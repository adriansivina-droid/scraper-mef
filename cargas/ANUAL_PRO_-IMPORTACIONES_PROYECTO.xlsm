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defaultThemeVersion="202300"/>
  <mc:AlternateContent xmlns:mc="http://schemas.openxmlformats.org/markup-compatibility/2006">
    <mc:Choice Requires="x15">
      <x15ac:absPath xmlns:x15ac="http://schemas.microsoft.com/office/spreadsheetml/2010/11/ac" url="H:\eecono\2679\PRACTICANTES\Marcos y Adrian\ADRIAN\02 IMPORTACIONES\"/>
    </mc:Choice>
  </mc:AlternateContent>
  <xr:revisionPtr revIDLastSave="0" documentId="13_ncr:20001_{53E9C1E8-2AD9-4108-9DC0-7EAD0668351E}" xr6:coauthVersionLast="47" xr6:coauthVersionMax="47" xr10:uidLastSave="{00000000-0000-0000-0000-000000000000}"/>
  <bookViews>
    <workbookView xWindow="14295" yWindow="0" windowWidth="14610" windowHeight="15585" firstSheet="3" activeTab="5" xr2:uid="{4035A941-3615-477F-ABD8-2BFB88775F1F}"/>
  </bookViews>
  <sheets>
    <sheet name="ORIGEN" sheetId="1" r:id="rId1"/>
    <sheet name="IMPORTACIONES" sheetId="4" r:id="rId2"/>
    <sheet name="RUC" sheetId="6" r:id="rId3"/>
    <sheet name="UNICOS" sheetId="2" r:id="rId4"/>
    <sheet name="PARTIDAS" sheetId="3" r:id="rId5"/>
    <sheet name="CUADRO 16" sheetId="7" r:id="rId6"/>
    <sheet name="REVISIÓN" sheetId="8" r:id="rId7"/>
  </sheets>
  <definedNames>
    <definedName name="___xleta.PRODUCT" hidden="1" xlm="1">#NAME?</definedName>
    <definedName name="___xleta.VALUE" hidden="1" xlm="1">#NAME?</definedName>
    <definedName name="___xleta.VLOOKUP" hidden="1" xlm="1">#NAME?</definedName>
    <definedName name="__xleta.PRODUCT" hidden="1" xlm="1">#NAME?</definedName>
    <definedName name="__xleta.VALUE" hidden="1" xlm="1">#NAME?</definedName>
    <definedName name="__xleta.VLOOKUP" hidden="1" xlm="1">#NAME?</definedName>
    <definedName name="_xlnm._FilterDatabase" localSheetId="3" hidden="1">UNICOS!$A$3:$B$3</definedName>
    <definedName name="_xlpm.c" hidden="1" xlm="1">#NAME?</definedName>
    <definedName name="_xlpm.o" hidden="1" xlm="1">#NAME?</definedName>
    <definedName name="_xlpm.p" hidden="1" xlm="1">#NAME?</definedName>
    <definedName name="_xlpm.s" hidden="1" xlm="1">#NAME?</definedName>
    <definedName name="_xlpm.v" hidden="1" xlm="1">#NAME?</definedName>
    <definedName name="SegmentaciónDeDatos_Años__FECHA">#N/A</definedName>
    <definedName name="SegmentaciónDeDatos_Años__FECHA1">#N/A</definedName>
    <definedName name="SegmentaciónDeDatos_Meses__FECHA">#N/A</definedName>
    <definedName name="SegmentaciónDeDatos_Meses__FECHA1">#N/A</definedName>
  </definedNames>
  <calcPr calcId="191029"/>
  <pivotCaches>
    <pivotCache cacheId="531" r:id="rId8"/>
  </pivotCaches>
  <fileRecoveryPr repairLoad="1"/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M6" i="1"/>
  <c r="I6" i="8" l="1" a="1"/>
  <c r="I6" i="8" s="1"/>
  <c r="A6" i="8" a="1"/>
  <c r="A6" i="8" s="1"/>
  <c r="I5" i="8" a="1"/>
  <c r="I5" i="8" s="1"/>
  <c r="A5" i="8" a="1"/>
  <c r="A5" i="8" s="1"/>
  <c r="M6" i="7"/>
  <c r="L6" i="7"/>
  <c r="K6" i="7"/>
  <c r="J6" i="7"/>
  <c r="I6" i="7"/>
  <c r="H6" i="7"/>
  <c r="G6" i="7"/>
  <c r="F6" i="7"/>
  <c r="E6" i="7"/>
  <c r="D6" i="7"/>
  <c r="C6" i="7"/>
  <c r="B6" i="7"/>
  <c r="N5" i="7"/>
  <c r="B4" i="7"/>
  <c r="H8306" i="3"/>
  <c r="B8306" i="3"/>
  <c r="H8305" i="3"/>
  <c r="B8305" i="3"/>
  <c r="H8304" i="3"/>
  <c r="B8304" i="3"/>
  <c r="H8303" i="3"/>
  <c r="B8303" i="3"/>
  <c r="H8302" i="3"/>
  <c r="B8302" i="3"/>
  <c r="H8301" i="3"/>
  <c r="B8301" i="3"/>
  <c r="H8300" i="3"/>
  <c r="B8300" i="3"/>
  <c r="H8299" i="3"/>
  <c r="B8299" i="3"/>
  <c r="H8298" i="3"/>
  <c r="B8298" i="3"/>
  <c r="H8297" i="3"/>
  <c r="B8297" i="3"/>
  <c r="H8296" i="3"/>
  <c r="B8296" i="3"/>
  <c r="H8295" i="3"/>
  <c r="B8295" i="3"/>
  <c r="H8294" i="3"/>
  <c r="B8294" i="3"/>
  <c r="H8293" i="3"/>
  <c r="B8293" i="3"/>
  <c r="H8292" i="3"/>
  <c r="B8292" i="3"/>
  <c r="H8291" i="3"/>
  <c r="B8291" i="3"/>
  <c r="H8290" i="3"/>
  <c r="B8290" i="3"/>
  <c r="H8289" i="3"/>
  <c r="B8289" i="3"/>
  <c r="H8288" i="3"/>
  <c r="B8288" i="3"/>
  <c r="H8287" i="3"/>
  <c r="B8287" i="3"/>
  <c r="H8286" i="3"/>
  <c r="B8286" i="3"/>
  <c r="H8285" i="3"/>
  <c r="B8285" i="3"/>
  <c r="H8284" i="3"/>
  <c r="B8284" i="3"/>
  <c r="H8283" i="3"/>
  <c r="B8283" i="3"/>
  <c r="H8282" i="3"/>
  <c r="B8282" i="3"/>
  <c r="H8281" i="3"/>
  <c r="B8281" i="3"/>
  <c r="H8280" i="3"/>
  <c r="B8280" i="3"/>
  <c r="H8279" i="3"/>
  <c r="B8279" i="3"/>
  <c r="H8278" i="3"/>
  <c r="B8278" i="3"/>
  <c r="H8277" i="3"/>
  <c r="B8277" i="3"/>
  <c r="H8276" i="3"/>
  <c r="B8276" i="3"/>
  <c r="H8275" i="3"/>
  <c r="B8275" i="3"/>
  <c r="H8274" i="3"/>
  <c r="B8274" i="3"/>
  <c r="H8273" i="3"/>
  <c r="B8273" i="3"/>
  <c r="H8272" i="3"/>
  <c r="B8272" i="3"/>
  <c r="H8271" i="3"/>
  <c r="B8271" i="3"/>
  <c r="H8270" i="3"/>
  <c r="B8270" i="3"/>
  <c r="H8269" i="3"/>
  <c r="B8269" i="3"/>
  <c r="H8268" i="3"/>
  <c r="B8268" i="3"/>
  <c r="H8267" i="3"/>
  <c r="B8267" i="3"/>
  <c r="H8266" i="3"/>
  <c r="B8266" i="3"/>
  <c r="H8265" i="3"/>
  <c r="B8265" i="3"/>
  <c r="H8264" i="3"/>
  <c r="B8264" i="3"/>
  <c r="H8263" i="3"/>
  <c r="B8263" i="3"/>
  <c r="H8262" i="3"/>
  <c r="B8262" i="3"/>
  <c r="H8261" i="3"/>
  <c r="B8261" i="3"/>
  <c r="H8260" i="3"/>
  <c r="B8260" i="3"/>
  <c r="H8259" i="3"/>
  <c r="B8259" i="3"/>
  <c r="H8258" i="3"/>
  <c r="B8258" i="3"/>
  <c r="H8257" i="3"/>
  <c r="B8257" i="3"/>
  <c r="H8256" i="3"/>
  <c r="B8256" i="3"/>
  <c r="H8255" i="3"/>
  <c r="B8255" i="3"/>
  <c r="H8254" i="3"/>
  <c r="B8254" i="3"/>
  <c r="H8253" i="3"/>
  <c r="B8253" i="3"/>
  <c r="H8252" i="3"/>
  <c r="B8252" i="3"/>
  <c r="H8251" i="3"/>
  <c r="B8251" i="3"/>
  <c r="H8250" i="3"/>
  <c r="B8250" i="3"/>
  <c r="H8249" i="3"/>
  <c r="B8249" i="3"/>
  <c r="H8248" i="3"/>
  <c r="B8248" i="3"/>
  <c r="H8247" i="3"/>
  <c r="B8247" i="3"/>
  <c r="H8246" i="3"/>
  <c r="B8246" i="3"/>
  <c r="H8245" i="3"/>
  <c r="B8245" i="3"/>
  <c r="H8244" i="3"/>
  <c r="B8244" i="3"/>
  <c r="H8243" i="3"/>
  <c r="B8243" i="3"/>
  <c r="H8242" i="3"/>
  <c r="B8242" i="3"/>
  <c r="H8241" i="3"/>
  <c r="B8241" i="3"/>
  <c r="H8240" i="3"/>
  <c r="B8240" i="3"/>
  <c r="H8239" i="3"/>
  <c r="B8239" i="3"/>
  <c r="H8238" i="3"/>
  <c r="B8238" i="3"/>
  <c r="H8237" i="3"/>
  <c r="B8237" i="3"/>
  <c r="H8236" i="3"/>
  <c r="B8236" i="3"/>
  <c r="H8235" i="3"/>
  <c r="B8235" i="3"/>
  <c r="H8234" i="3"/>
  <c r="B8234" i="3"/>
  <c r="H8233" i="3"/>
  <c r="B8233" i="3"/>
  <c r="H8232" i="3"/>
  <c r="B8232" i="3"/>
  <c r="H8231" i="3"/>
  <c r="B8231" i="3"/>
  <c r="H8230" i="3"/>
  <c r="B8230" i="3"/>
  <c r="H8229" i="3"/>
  <c r="B8229" i="3"/>
  <c r="H8228" i="3"/>
  <c r="B8228" i="3"/>
  <c r="H8227" i="3"/>
  <c r="B8227" i="3"/>
  <c r="H8226" i="3"/>
  <c r="B8226" i="3"/>
  <c r="H8225" i="3"/>
  <c r="B8225" i="3"/>
  <c r="H8224" i="3"/>
  <c r="B8224" i="3"/>
  <c r="H8223" i="3"/>
  <c r="B8223" i="3"/>
  <c r="H8222" i="3"/>
  <c r="B8222" i="3"/>
  <c r="H8221" i="3"/>
  <c r="B8221" i="3"/>
  <c r="H8220" i="3"/>
  <c r="B8220" i="3"/>
  <c r="H8219" i="3"/>
  <c r="B8219" i="3"/>
  <c r="H8218" i="3"/>
  <c r="B8218" i="3"/>
  <c r="H8217" i="3"/>
  <c r="B8217" i="3"/>
  <c r="H8216" i="3"/>
  <c r="B8216" i="3"/>
  <c r="H8215" i="3"/>
  <c r="B8215" i="3"/>
  <c r="H8214" i="3"/>
  <c r="B8214" i="3"/>
  <c r="H8213" i="3"/>
  <c r="B8213" i="3"/>
  <c r="H8212" i="3"/>
  <c r="B8212" i="3"/>
  <c r="H8211" i="3"/>
  <c r="B8211" i="3"/>
  <c r="H8210" i="3"/>
  <c r="B8210" i="3"/>
  <c r="H8209" i="3"/>
  <c r="B8209" i="3"/>
  <c r="H8208" i="3"/>
  <c r="B8208" i="3"/>
  <c r="H8207" i="3"/>
  <c r="B8207" i="3"/>
  <c r="H8206" i="3"/>
  <c r="B8206" i="3"/>
  <c r="H8205" i="3"/>
  <c r="B8205" i="3"/>
  <c r="H8204" i="3"/>
  <c r="B8204" i="3"/>
  <c r="H8203" i="3"/>
  <c r="B8203" i="3"/>
  <c r="H8202" i="3"/>
  <c r="B8202" i="3"/>
  <c r="H8201" i="3"/>
  <c r="B8201" i="3"/>
  <c r="H8200" i="3"/>
  <c r="B8200" i="3"/>
  <c r="H8199" i="3"/>
  <c r="B8199" i="3"/>
  <c r="H8198" i="3"/>
  <c r="B8198" i="3"/>
  <c r="H8197" i="3"/>
  <c r="B8197" i="3"/>
  <c r="H8196" i="3"/>
  <c r="B8196" i="3"/>
  <c r="H8195" i="3"/>
  <c r="B8195" i="3"/>
  <c r="H8194" i="3"/>
  <c r="B8194" i="3"/>
  <c r="H8193" i="3"/>
  <c r="B8193" i="3"/>
  <c r="H8192" i="3"/>
  <c r="B8192" i="3"/>
  <c r="H8191" i="3"/>
  <c r="B8191" i="3"/>
  <c r="H8190" i="3"/>
  <c r="B8190" i="3"/>
  <c r="H8189" i="3"/>
  <c r="B8189" i="3"/>
  <c r="H8188" i="3"/>
  <c r="B8188" i="3"/>
  <c r="H8187" i="3"/>
  <c r="B8187" i="3"/>
  <c r="H8186" i="3"/>
  <c r="B8186" i="3"/>
  <c r="H8185" i="3"/>
  <c r="B8185" i="3"/>
  <c r="H8184" i="3"/>
  <c r="B8184" i="3"/>
  <c r="H8183" i="3"/>
  <c r="B8183" i="3"/>
  <c r="H8182" i="3"/>
  <c r="B8182" i="3"/>
  <c r="H8181" i="3"/>
  <c r="B8181" i="3"/>
  <c r="H8180" i="3"/>
  <c r="B8180" i="3"/>
  <c r="H8179" i="3"/>
  <c r="B8179" i="3"/>
  <c r="H8178" i="3"/>
  <c r="B8178" i="3"/>
  <c r="H8177" i="3"/>
  <c r="B8177" i="3"/>
  <c r="H8176" i="3"/>
  <c r="B8176" i="3"/>
  <c r="H8175" i="3"/>
  <c r="B8175" i="3"/>
  <c r="H8174" i="3"/>
  <c r="B8174" i="3"/>
  <c r="H8173" i="3"/>
  <c r="B8173" i="3"/>
  <c r="H8172" i="3"/>
  <c r="B8172" i="3"/>
  <c r="H8171" i="3"/>
  <c r="B8171" i="3"/>
  <c r="H8170" i="3"/>
  <c r="B8170" i="3"/>
  <c r="H8169" i="3"/>
  <c r="B8169" i="3"/>
  <c r="H8168" i="3"/>
  <c r="B8168" i="3"/>
  <c r="H8167" i="3"/>
  <c r="B8167" i="3"/>
  <c r="H8166" i="3"/>
  <c r="B8166" i="3"/>
  <c r="H8165" i="3"/>
  <c r="B8165" i="3"/>
  <c r="H8164" i="3"/>
  <c r="B8164" i="3"/>
  <c r="H8163" i="3"/>
  <c r="B8163" i="3"/>
  <c r="H8162" i="3"/>
  <c r="B8162" i="3"/>
  <c r="H8161" i="3"/>
  <c r="B8161" i="3"/>
  <c r="H8160" i="3"/>
  <c r="B8160" i="3"/>
  <c r="H8159" i="3"/>
  <c r="B8159" i="3"/>
  <c r="H8158" i="3"/>
  <c r="B8158" i="3"/>
  <c r="H8157" i="3"/>
  <c r="B8157" i="3"/>
  <c r="H8156" i="3"/>
  <c r="B8156" i="3"/>
  <c r="H8155" i="3"/>
  <c r="B8155" i="3"/>
  <c r="H8154" i="3"/>
  <c r="B8154" i="3"/>
  <c r="H8153" i="3"/>
  <c r="B8153" i="3"/>
  <c r="H8152" i="3"/>
  <c r="B8152" i="3"/>
  <c r="H8151" i="3"/>
  <c r="B8151" i="3"/>
  <c r="H8150" i="3"/>
  <c r="B8150" i="3"/>
  <c r="H8149" i="3"/>
  <c r="B8149" i="3"/>
  <c r="H8148" i="3"/>
  <c r="B8148" i="3"/>
  <c r="H8147" i="3"/>
  <c r="B8147" i="3"/>
  <c r="H8146" i="3"/>
  <c r="B8146" i="3"/>
  <c r="H8145" i="3"/>
  <c r="B8145" i="3"/>
  <c r="H8144" i="3"/>
  <c r="B8144" i="3"/>
  <c r="H8143" i="3"/>
  <c r="B8143" i="3"/>
  <c r="H8142" i="3"/>
  <c r="B8142" i="3"/>
  <c r="H8141" i="3"/>
  <c r="B8141" i="3"/>
  <c r="H8140" i="3"/>
  <c r="B8140" i="3"/>
  <c r="H8139" i="3"/>
  <c r="B8139" i="3"/>
  <c r="H8138" i="3"/>
  <c r="B8138" i="3"/>
  <c r="H8137" i="3"/>
  <c r="B8137" i="3"/>
  <c r="H8136" i="3"/>
  <c r="B8136" i="3"/>
  <c r="H8135" i="3"/>
  <c r="B8135" i="3"/>
  <c r="H8134" i="3"/>
  <c r="B8134" i="3"/>
  <c r="H8133" i="3"/>
  <c r="B8133" i="3"/>
  <c r="H8132" i="3"/>
  <c r="B8132" i="3"/>
  <c r="H8131" i="3"/>
  <c r="B8131" i="3"/>
  <c r="H8130" i="3"/>
  <c r="B8130" i="3"/>
  <c r="H8129" i="3"/>
  <c r="B8129" i="3"/>
  <c r="H8128" i="3"/>
  <c r="B8128" i="3"/>
  <c r="H8127" i="3"/>
  <c r="B8127" i="3"/>
  <c r="H8126" i="3"/>
  <c r="B8126" i="3"/>
  <c r="H8125" i="3"/>
  <c r="B8125" i="3"/>
  <c r="H8124" i="3"/>
  <c r="B8124" i="3"/>
  <c r="H8123" i="3"/>
  <c r="B8123" i="3"/>
  <c r="H8122" i="3"/>
  <c r="B8122" i="3"/>
  <c r="H8121" i="3"/>
  <c r="B8121" i="3"/>
  <c r="H8120" i="3"/>
  <c r="B8120" i="3"/>
  <c r="H8119" i="3"/>
  <c r="B8119" i="3"/>
  <c r="H8118" i="3"/>
  <c r="B8118" i="3"/>
  <c r="H8117" i="3"/>
  <c r="B8117" i="3"/>
  <c r="H8116" i="3"/>
  <c r="B8116" i="3"/>
  <c r="H8115" i="3"/>
  <c r="B8115" i="3"/>
  <c r="H8114" i="3"/>
  <c r="B8114" i="3"/>
  <c r="H8113" i="3"/>
  <c r="B8113" i="3"/>
  <c r="H8112" i="3"/>
  <c r="B8112" i="3"/>
  <c r="H8111" i="3"/>
  <c r="B8111" i="3"/>
  <c r="H8110" i="3"/>
  <c r="B8110" i="3"/>
  <c r="H8109" i="3"/>
  <c r="B8109" i="3"/>
  <c r="H8108" i="3"/>
  <c r="B8108" i="3"/>
  <c r="H8107" i="3"/>
  <c r="B8107" i="3"/>
  <c r="H8106" i="3"/>
  <c r="B8106" i="3"/>
  <c r="H8105" i="3"/>
  <c r="B8105" i="3"/>
  <c r="H8104" i="3"/>
  <c r="B8104" i="3"/>
  <c r="H8103" i="3"/>
  <c r="B8103" i="3"/>
  <c r="H8102" i="3"/>
  <c r="B8102" i="3"/>
  <c r="H8101" i="3"/>
  <c r="B8101" i="3"/>
  <c r="H8100" i="3"/>
  <c r="B8100" i="3"/>
  <c r="H8099" i="3"/>
  <c r="B8099" i="3"/>
  <c r="H8098" i="3"/>
  <c r="B8098" i="3"/>
  <c r="H8097" i="3"/>
  <c r="B8097" i="3"/>
  <c r="H8096" i="3"/>
  <c r="B8096" i="3"/>
  <c r="H8095" i="3"/>
  <c r="B8095" i="3"/>
  <c r="H8094" i="3"/>
  <c r="B8094" i="3"/>
  <c r="H8093" i="3"/>
  <c r="B8093" i="3"/>
  <c r="H8092" i="3"/>
  <c r="B8092" i="3"/>
  <c r="H8091" i="3"/>
  <c r="B8091" i="3"/>
  <c r="H8090" i="3"/>
  <c r="B8090" i="3"/>
  <c r="H8089" i="3"/>
  <c r="B8089" i="3"/>
  <c r="H8088" i="3"/>
  <c r="B8088" i="3"/>
  <c r="H8087" i="3"/>
  <c r="B8087" i="3"/>
  <c r="H8086" i="3"/>
  <c r="B8086" i="3"/>
  <c r="H8085" i="3"/>
  <c r="B8085" i="3"/>
  <c r="H8084" i="3"/>
  <c r="B8084" i="3"/>
  <c r="H8083" i="3"/>
  <c r="B8083" i="3"/>
  <c r="H8082" i="3"/>
  <c r="B8082" i="3"/>
  <c r="H8081" i="3"/>
  <c r="B8081" i="3"/>
  <c r="H8080" i="3"/>
  <c r="B8080" i="3"/>
  <c r="H8079" i="3"/>
  <c r="B8079" i="3"/>
  <c r="H8078" i="3"/>
  <c r="B8078" i="3"/>
  <c r="H8077" i="3"/>
  <c r="B8077" i="3"/>
  <c r="H8076" i="3"/>
  <c r="B8076" i="3"/>
  <c r="H8075" i="3"/>
  <c r="B8075" i="3"/>
  <c r="H8074" i="3"/>
  <c r="B8074" i="3"/>
  <c r="H8073" i="3"/>
  <c r="B8073" i="3"/>
  <c r="H8072" i="3"/>
  <c r="B8072" i="3"/>
  <c r="H8071" i="3"/>
  <c r="B8071" i="3"/>
  <c r="H8070" i="3"/>
  <c r="B8070" i="3"/>
  <c r="H8069" i="3"/>
  <c r="B8069" i="3"/>
  <c r="H8068" i="3"/>
  <c r="B8068" i="3"/>
  <c r="H8067" i="3"/>
  <c r="B8067" i="3"/>
  <c r="H8066" i="3"/>
  <c r="B8066" i="3"/>
  <c r="H8065" i="3"/>
  <c r="B8065" i="3"/>
  <c r="H8064" i="3"/>
  <c r="B8064" i="3"/>
  <c r="H8063" i="3"/>
  <c r="B8063" i="3"/>
  <c r="H8062" i="3"/>
  <c r="B8062" i="3"/>
  <c r="H8061" i="3"/>
  <c r="B8061" i="3"/>
  <c r="H8060" i="3"/>
  <c r="B8060" i="3"/>
  <c r="H8059" i="3"/>
  <c r="B8059" i="3"/>
  <c r="H8058" i="3"/>
  <c r="B8058" i="3"/>
  <c r="H8057" i="3"/>
  <c r="B8057" i="3"/>
  <c r="H8056" i="3"/>
  <c r="B8056" i="3"/>
  <c r="H8055" i="3"/>
  <c r="B8055" i="3"/>
  <c r="H8054" i="3"/>
  <c r="B8054" i="3"/>
  <c r="H8053" i="3"/>
  <c r="B8053" i="3"/>
  <c r="H8052" i="3"/>
  <c r="B8052" i="3"/>
  <c r="H8051" i="3"/>
  <c r="B8051" i="3"/>
  <c r="H8050" i="3"/>
  <c r="B8050" i="3"/>
  <c r="H8049" i="3"/>
  <c r="B8049" i="3"/>
  <c r="H8048" i="3"/>
  <c r="B8048" i="3"/>
  <c r="H8047" i="3"/>
  <c r="B8047" i="3"/>
  <c r="H8046" i="3"/>
  <c r="B8046" i="3"/>
  <c r="H8045" i="3"/>
  <c r="B8045" i="3"/>
  <c r="H8044" i="3"/>
  <c r="B8044" i="3"/>
  <c r="H8043" i="3"/>
  <c r="B8043" i="3"/>
  <c r="H8042" i="3"/>
  <c r="B8042" i="3"/>
  <c r="H8041" i="3"/>
  <c r="B8041" i="3"/>
  <c r="H8040" i="3"/>
  <c r="B8040" i="3"/>
  <c r="H8039" i="3"/>
  <c r="B8039" i="3"/>
  <c r="H8038" i="3"/>
  <c r="B8038" i="3"/>
  <c r="H8037" i="3"/>
  <c r="B8037" i="3"/>
  <c r="H8036" i="3"/>
  <c r="B8036" i="3"/>
  <c r="H8035" i="3"/>
  <c r="B8035" i="3"/>
  <c r="H8034" i="3"/>
  <c r="B8034" i="3"/>
  <c r="H8033" i="3"/>
  <c r="B8033" i="3"/>
  <c r="H8032" i="3"/>
  <c r="B8032" i="3"/>
  <c r="H8031" i="3"/>
  <c r="B8031" i="3"/>
  <c r="H8030" i="3"/>
  <c r="B8030" i="3"/>
  <c r="H8029" i="3"/>
  <c r="B8029" i="3"/>
  <c r="H8028" i="3"/>
  <c r="B8028" i="3"/>
  <c r="H8027" i="3"/>
  <c r="B8027" i="3"/>
  <c r="H8026" i="3"/>
  <c r="B8026" i="3"/>
  <c r="H8025" i="3"/>
  <c r="B8025" i="3"/>
  <c r="H8024" i="3"/>
  <c r="B8024" i="3"/>
  <c r="H8023" i="3"/>
  <c r="B8023" i="3"/>
  <c r="H8022" i="3"/>
  <c r="B8022" i="3"/>
  <c r="H8021" i="3"/>
  <c r="B8021" i="3"/>
  <c r="H8020" i="3"/>
  <c r="B8020" i="3"/>
  <c r="H8019" i="3"/>
  <c r="B8019" i="3"/>
  <c r="H8018" i="3"/>
  <c r="B8018" i="3"/>
  <c r="H8017" i="3"/>
  <c r="B8017" i="3"/>
  <c r="H8016" i="3"/>
  <c r="B8016" i="3"/>
  <c r="H8015" i="3"/>
  <c r="B8015" i="3"/>
  <c r="H8014" i="3"/>
  <c r="B8014" i="3"/>
  <c r="H8013" i="3"/>
  <c r="B8013" i="3"/>
  <c r="H8012" i="3"/>
  <c r="B8012" i="3"/>
  <c r="H8011" i="3"/>
  <c r="B8011" i="3"/>
  <c r="H8010" i="3"/>
  <c r="B8010" i="3"/>
  <c r="H8009" i="3"/>
  <c r="B8009" i="3"/>
  <c r="H8008" i="3"/>
  <c r="B8008" i="3"/>
  <c r="H8007" i="3"/>
  <c r="B8007" i="3"/>
  <c r="H8006" i="3"/>
  <c r="B8006" i="3"/>
  <c r="H8005" i="3"/>
  <c r="B8005" i="3"/>
  <c r="H8004" i="3"/>
  <c r="B8004" i="3"/>
  <c r="H8003" i="3"/>
  <c r="B8003" i="3"/>
  <c r="H8002" i="3"/>
  <c r="B8002" i="3"/>
  <c r="H8001" i="3"/>
  <c r="B8001" i="3"/>
  <c r="H8000" i="3"/>
  <c r="B8000" i="3"/>
  <c r="H7999" i="3"/>
  <c r="B7999" i="3"/>
  <c r="H7998" i="3"/>
  <c r="B7998" i="3"/>
  <c r="H7997" i="3"/>
  <c r="B7997" i="3"/>
  <c r="H7996" i="3"/>
  <c r="B7996" i="3"/>
  <c r="H7995" i="3"/>
  <c r="B7995" i="3"/>
  <c r="H7994" i="3"/>
  <c r="B7994" i="3"/>
  <c r="H7993" i="3"/>
  <c r="B7993" i="3"/>
  <c r="H7992" i="3"/>
  <c r="B7992" i="3"/>
  <c r="H7991" i="3"/>
  <c r="B7991" i="3"/>
  <c r="H7990" i="3"/>
  <c r="B7990" i="3"/>
  <c r="H7989" i="3"/>
  <c r="B7989" i="3"/>
  <c r="H7988" i="3"/>
  <c r="B7988" i="3"/>
  <c r="H7987" i="3"/>
  <c r="B7987" i="3"/>
  <c r="H7986" i="3"/>
  <c r="B7986" i="3"/>
  <c r="H7985" i="3"/>
  <c r="B7985" i="3"/>
  <c r="H7984" i="3"/>
  <c r="B7984" i="3"/>
  <c r="H7983" i="3"/>
  <c r="B7983" i="3"/>
  <c r="H7982" i="3"/>
  <c r="B7982" i="3"/>
  <c r="H7981" i="3"/>
  <c r="B7981" i="3"/>
  <c r="H7980" i="3"/>
  <c r="B7980" i="3"/>
  <c r="H7979" i="3"/>
  <c r="B7979" i="3"/>
  <c r="H7978" i="3"/>
  <c r="B7978" i="3"/>
  <c r="H7977" i="3"/>
  <c r="B7977" i="3"/>
  <c r="H7976" i="3"/>
  <c r="B7976" i="3"/>
  <c r="H7975" i="3"/>
  <c r="B7975" i="3"/>
  <c r="H7974" i="3"/>
  <c r="B7974" i="3"/>
  <c r="H7973" i="3"/>
  <c r="B7973" i="3"/>
  <c r="H7972" i="3"/>
  <c r="B7972" i="3"/>
  <c r="H7971" i="3"/>
  <c r="B7971" i="3"/>
  <c r="H7970" i="3"/>
  <c r="B7970" i="3"/>
  <c r="H7969" i="3"/>
  <c r="B7969" i="3"/>
  <c r="H7968" i="3"/>
  <c r="B7968" i="3"/>
  <c r="H7967" i="3"/>
  <c r="B7967" i="3"/>
  <c r="H7966" i="3"/>
  <c r="B7966" i="3"/>
  <c r="H7965" i="3"/>
  <c r="B7965" i="3"/>
  <c r="H7964" i="3"/>
  <c r="B7964" i="3"/>
  <c r="H7963" i="3"/>
  <c r="B7963" i="3"/>
  <c r="H7962" i="3"/>
  <c r="B7962" i="3"/>
  <c r="H7961" i="3"/>
  <c r="B7961" i="3"/>
  <c r="H7960" i="3"/>
  <c r="B7960" i="3"/>
  <c r="H7959" i="3"/>
  <c r="B7959" i="3"/>
  <c r="H7958" i="3"/>
  <c r="B7958" i="3"/>
  <c r="H7957" i="3"/>
  <c r="B7957" i="3"/>
  <c r="H7956" i="3"/>
  <c r="B7956" i="3"/>
  <c r="H7955" i="3"/>
  <c r="B7955" i="3"/>
  <c r="H7954" i="3"/>
  <c r="B7954" i="3"/>
  <c r="H7953" i="3"/>
  <c r="B7953" i="3"/>
  <c r="H7952" i="3"/>
  <c r="B7952" i="3"/>
  <c r="H7951" i="3"/>
  <c r="B7951" i="3"/>
  <c r="H7950" i="3"/>
  <c r="B7950" i="3"/>
  <c r="H7949" i="3"/>
  <c r="B7949" i="3"/>
  <c r="H7948" i="3"/>
  <c r="B7948" i="3"/>
  <c r="H7947" i="3"/>
  <c r="B7947" i="3"/>
  <c r="H7946" i="3"/>
  <c r="B7946" i="3"/>
  <c r="H7945" i="3"/>
  <c r="B7945" i="3"/>
  <c r="H7944" i="3"/>
  <c r="B7944" i="3"/>
  <c r="H7943" i="3"/>
  <c r="B7943" i="3"/>
  <c r="H7942" i="3"/>
  <c r="B7942" i="3"/>
  <c r="H7941" i="3"/>
  <c r="B7941" i="3"/>
  <c r="H7940" i="3"/>
  <c r="B7940" i="3"/>
  <c r="H7939" i="3"/>
  <c r="B7939" i="3"/>
  <c r="H7938" i="3"/>
  <c r="B7938" i="3"/>
  <c r="H7937" i="3"/>
  <c r="B7937" i="3"/>
  <c r="H7936" i="3"/>
  <c r="B7936" i="3"/>
  <c r="H7935" i="3"/>
  <c r="B7935" i="3"/>
  <c r="H7934" i="3"/>
  <c r="B7934" i="3"/>
  <c r="H7933" i="3"/>
  <c r="B7933" i="3"/>
  <c r="H7932" i="3"/>
  <c r="B7932" i="3"/>
  <c r="H7931" i="3"/>
  <c r="B7931" i="3"/>
  <c r="H7930" i="3"/>
  <c r="B7930" i="3"/>
  <c r="H7929" i="3"/>
  <c r="B7929" i="3"/>
  <c r="H7928" i="3"/>
  <c r="B7928" i="3"/>
  <c r="H7927" i="3"/>
  <c r="B7927" i="3"/>
  <c r="H7926" i="3"/>
  <c r="B7926" i="3"/>
  <c r="H7925" i="3"/>
  <c r="B7925" i="3"/>
  <c r="H7924" i="3"/>
  <c r="B7924" i="3"/>
  <c r="H7923" i="3"/>
  <c r="B7923" i="3"/>
  <c r="H7922" i="3"/>
  <c r="B7922" i="3"/>
  <c r="H7921" i="3"/>
  <c r="B7921" i="3"/>
  <c r="H7920" i="3"/>
  <c r="B7920" i="3"/>
  <c r="H7919" i="3"/>
  <c r="B7919" i="3"/>
  <c r="H7918" i="3"/>
  <c r="B7918" i="3"/>
  <c r="H7917" i="3"/>
  <c r="B7917" i="3"/>
  <c r="H7916" i="3"/>
  <c r="B7916" i="3"/>
  <c r="H7915" i="3"/>
  <c r="B7915" i="3"/>
  <c r="H7914" i="3"/>
  <c r="B7914" i="3"/>
  <c r="H7913" i="3"/>
  <c r="B7913" i="3"/>
  <c r="H7912" i="3"/>
  <c r="B7912" i="3"/>
  <c r="H7911" i="3"/>
  <c r="B7911" i="3"/>
  <c r="H7910" i="3"/>
  <c r="B7910" i="3"/>
  <c r="H7909" i="3"/>
  <c r="B7909" i="3"/>
  <c r="H7908" i="3"/>
  <c r="B7908" i="3"/>
  <c r="H7907" i="3"/>
  <c r="B7907" i="3"/>
  <c r="H7906" i="3"/>
  <c r="B7906" i="3"/>
  <c r="H7905" i="3"/>
  <c r="B7905" i="3"/>
  <c r="H7904" i="3"/>
  <c r="B7904" i="3"/>
  <c r="H7903" i="3"/>
  <c r="B7903" i="3"/>
  <c r="H7902" i="3"/>
  <c r="B7902" i="3"/>
  <c r="H7901" i="3"/>
  <c r="B7901" i="3"/>
  <c r="H7900" i="3"/>
  <c r="B7900" i="3"/>
  <c r="H7899" i="3"/>
  <c r="B7899" i="3"/>
  <c r="H7898" i="3"/>
  <c r="B7898" i="3"/>
  <c r="H7897" i="3"/>
  <c r="B7897" i="3"/>
  <c r="H7896" i="3"/>
  <c r="B7896" i="3"/>
  <c r="H7895" i="3"/>
  <c r="B7895" i="3"/>
  <c r="H7894" i="3"/>
  <c r="B7894" i="3"/>
  <c r="H7893" i="3"/>
  <c r="B7893" i="3"/>
  <c r="H7892" i="3"/>
  <c r="B7892" i="3"/>
  <c r="H7891" i="3"/>
  <c r="B7891" i="3"/>
  <c r="H7890" i="3"/>
  <c r="B7890" i="3"/>
  <c r="H7889" i="3"/>
  <c r="B7889" i="3"/>
  <c r="H7888" i="3"/>
  <c r="B7888" i="3"/>
  <c r="H7887" i="3"/>
  <c r="B7887" i="3"/>
  <c r="H7886" i="3"/>
  <c r="B7886" i="3"/>
  <c r="H7885" i="3"/>
  <c r="B7885" i="3"/>
  <c r="H7884" i="3"/>
  <c r="B7884" i="3"/>
  <c r="H7883" i="3"/>
  <c r="B7883" i="3"/>
  <c r="H7882" i="3"/>
  <c r="B7882" i="3"/>
  <c r="H7881" i="3"/>
  <c r="B7881" i="3"/>
  <c r="H7880" i="3"/>
  <c r="B7880" i="3"/>
  <c r="H7879" i="3"/>
  <c r="B7879" i="3"/>
  <c r="H7878" i="3"/>
  <c r="B7878" i="3"/>
  <c r="H7877" i="3"/>
  <c r="B7877" i="3"/>
  <c r="H7876" i="3"/>
  <c r="B7876" i="3"/>
  <c r="H7875" i="3"/>
  <c r="B7875" i="3"/>
  <c r="H7874" i="3"/>
  <c r="B7874" i="3"/>
  <c r="H7873" i="3"/>
  <c r="B7873" i="3"/>
  <c r="H7872" i="3"/>
  <c r="B7872" i="3"/>
  <c r="H7871" i="3"/>
  <c r="B7871" i="3"/>
  <c r="H7870" i="3"/>
  <c r="B7870" i="3"/>
  <c r="H7869" i="3"/>
  <c r="B7869" i="3"/>
  <c r="H7868" i="3"/>
  <c r="B7868" i="3"/>
  <c r="H7867" i="3"/>
  <c r="B7867" i="3"/>
  <c r="H7866" i="3"/>
  <c r="B7866" i="3"/>
  <c r="H7865" i="3"/>
  <c r="B7865" i="3"/>
  <c r="H7864" i="3"/>
  <c r="B7864" i="3"/>
  <c r="H7863" i="3"/>
  <c r="B7863" i="3"/>
  <c r="H7862" i="3"/>
  <c r="B7862" i="3"/>
  <c r="H7861" i="3"/>
  <c r="B7861" i="3"/>
  <c r="H7860" i="3"/>
  <c r="B7860" i="3"/>
  <c r="H7859" i="3"/>
  <c r="B7859" i="3"/>
  <c r="H7858" i="3"/>
  <c r="B7858" i="3"/>
  <c r="H7857" i="3"/>
  <c r="B7857" i="3"/>
  <c r="H7856" i="3"/>
  <c r="B7856" i="3"/>
  <c r="H7855" i="3"/>
  <c r="B7855" i="3"/>
  <c r="H7854" i="3"/>
  <c r="B7854" i="3"/>
  <c r="H7853" i="3"/>
  <c r="B7853" i="3"/>
  <c r="H7852" i="3"/>
  <c r="B7852" i="3"/>
  <c r="H7851" i="3"/>
  <c r="B7851" i="3"/>
  <c r="H7850" i="3"/>
  <c r="B7850" i="3"/>
  <c r="H7849" i="3"/>
  <c r="B7849" i="3"/>
  <c r="H7848" i="3"/>
  <c r="B7848" i="3"/>
  <c r="H7847" i="3"/>
  <c r="B7847" i="3"/>
  <c r="H7846" i="3"/>
  <c r="B7846" i="3"/>
  <c r="H7845" i="3"/>
  <c r="B7845" i="3"/>
  <c r="H7844" i="3"/>
  <c r="B7844" i="3"/>
  <c r="H7843" i="3"/>
  <c r="B7843" i="3"/>
  <c r="H7842" i="3"/>
  <c r="B7842" i="3"/>
  <c r="H7841" i="3"/>
  <c r="B7841" i="3"/>
  <c r="H7840" i="3"/>
  <c r="B7840" i="3"/>
  <c r="H7839" i="3"/>
  <c r="B7839" i="3"/>
  <c r="H7838" i="3"/>
  <c r="B7838" i="3"/>
  <c r="H7837" i="3"/>
  <c r="B7837" i="3"/>
  <c r="H7836" i="3"/>
  <c r="B7836" i="3"/>
  <c r="H7835" i="3"/>
  <c r="B7835" i="3"/>
  <c r="H7834" i="3"/>
  <c r="B7834" i="3"/>
  <c r="H7833" i="3"/>
  <c r="B7833" i="3"/>
  <c r="H7832" i="3"/>
  <c r="B7832" i="3"/>
  <c r="H7831" i="3"/>
  <c r="B7831" i="3"/>
  <c r="H7830" i="3"/>
  <c r="B7830" i="3"/>
  <c r="H7829" i="3"/>
  <c r="B7829" i="3"/>
  <c r="H7828" i="3"/>
  <c r="B7828" i="3"/>
  <c r="H7827" i="3"/>
  <c r="B7827" i="3"/>
  <c r="H7826" i="3"/>
  <c r="B7826" i="3"/>
  <c r="H7825" i="3"/>
  <c r="B7825" i="3"/>
  <c r="H7824" i="3"/>
  <c r="B7824" i="3"/>
  <c r="H7823" i="3"/>
  <c r="B7823" i="3"/>
  <c r="H7822" i="3"/>
  <c r="B7822" i="3"/>
  <c r="H7821" i="3"/>
  <c r="B7821" i="3"/>
  <c r="H7820" i="3"/>
  <c r="B7820" i="3"/>
  <c r="H7819" i="3"/>
  <c r="B7819" i="3"/>
  <c r="H7818" i="3"/>
  <c r="B7818" i="3"/>
  <c r="H7817" i="3"/>
  <c r="B7817" i="3"/>
  <c r="H7816" i="3"/>
  <c r="B7816" i="3"/>
  <c r="H7815" i="3"/>
  <c r="B7815" i="3"/>
  <c r="H7814" i="3"/>
  <c r="B7814" i="3"/>
  <c r="H7813" i="3"/>
  <c r="B7813" i="3"/>
  <c r="H7812" i="3"/>
  <c r="B7812" i="3"/>
  <c r="H7811" i="3"/>
  <c r="B7811" i="3"/>
  <c r="H7810" i="3"/>
  <c r="B7810" i="3"/>
  <c r="H7809" i="3"/>
  <c r="B7809" i="3"/>
  <c r="H7808" i="3"/>
  <c r="B7808" i="3"/>
  <c r="H7807" i="3"/>
  <c r="B7807" i="3"/>
  <c r="H7806" i="3"/>
  <c r="B7806" i="3"/>
  <c r="H7805" i="3"/>
  <c r="B7805" i="3"/>
  <c r="H7804" i="3"/>
  <c r="B7804" i="3"/>
  <c r="H7803" i="3"/>
  <c r="B7803" i="3"/>
  <c r="H7802" i="3"/>
  <c r="B7802" i="3"/>
  <c r="H7801" i="3"/>
  <c r="B7801" i="3"/>
  <c r="H7800" i="3"/>
  <c r="B7800" i="3"/>
  <c r="H7799" i="3"/>
  <c r="B7799" i="3"/>
  <c r="H7798" i="3"/>
  <c r="B7798" i="3"/>
  <c r="H7797" i="3"/>
  <c r="B7797" i="3"/>
  <c r="H7796" i="3"/>
  <c r="B7796" i="3"/>
  <c r="H7795" i="3"/>
  <c r="B7795" i="3"/>
  <c r="H7794" i="3"/>
  <c r="B7794" i="3"/>
  <c r="H7793" i="3"/>
  <c r="B7793" i="3"/>
  <c r="H7792" i="3"/>
  <c r="B7792" i="3"/>
  <c r="H7791" i="3"/>
  <c r="B7791" i="3"/>
  <c r="H7790" i="3"/>
  <c r="B7790" i="3"/>
  <c r="H7789" i="3"/>
  <c r="B7789" i="3"/>
  <c r="H7788" i="3"/>
  <c r="B7788" i="3"/>
  <c r="H7787" i="3"/>
  <c r="B7787" i="3"/>
  <c r="H7786" i="3"/>
  <c r="B7786" i="3"/>
  <c r="H7785" i="3"/>
  <c r="B7785" i="3"/>
  <c r="H7784" i="3"/>
  <c r="B7784" i="3"/>
  <c r="H7783" i="3"/>
  <c r="B7783" i="3"/>
  <c r="H7782" i="3"/>
  <c r="B7782" i="3"/>
  <c r="H7781" i="3"/>
  <c r="B7781" i="3"/>
  <c r="H7780" i="3"/>
  <c r="B7780" i="3"/>
  <c r="H7779" i="3"/>
  <c r="B7779" i="3"/>
  <c r="H7778" i="3"/>
  <c r="B7778" i="3"/>
  <c r="H7777" i="3"/>
  <c r="B7777" i="3"/>
  <c r="H7776" i="3"/>
  <c r="B7776" i="3"/>
  <c r="H7775" i="3"/>
  <c r="B7775" i="3"/>
  <c r="H7774" i="3"/>
  <c r="B7774" i="3"/>
  <c r="H7773" i="3"/>
  <c r="B7773" i="3"/>
  <c r="H7772" i="3"/>
  <c r="B7772" i="3"/>
  <c r="H7771" i="3"/>
  <c r="B7771" i="3"/>
  <c r="H7770" i="3"/>
  <c r="B7770" i="3"/>
  <c r="H7769" i="3"/>
  <c r="B7769" i="3"/>
  <c r="H7768" i="3"/>
  <c r="B7768" i="3"/>
  <c r="H7767" i="3"/>
  <c r="B7767" i="3"/>
  <c r="H7766" i="3"/>
  <c r="B7766" i="3"/>
  <c r="H7765" i="3"/>
  <c r="B7765" i="3"/>
  <c r="H7764" i="3"/>
  <c r="B7764" i="3"/>
  <c r="H7763" i="3"/>
  <c r="B7763" i="3"/>
  <c r="H7762" i="3"/>
  <c r="B7762" i="3"/>
  <c r="H7761" i="3"/>
  <c r="B7761" i="3"/>
  <c r="H7760" i="3"/>
  <c r="B7760" i="3"/>
  <c r="H7759" i="3"/>
  <c r="B7759" i="3"/>
  <c r="H7758" i="3"/>
  <c r="B7758" i="3"/>
  <c r="H7757" i="3"/>
  <c r="B7757" i="3"/>
  <c r="H7756" i="3"/>
  <c r="B7756" i="3"/>
  <c r="H7755" i="3"/>
  <c r="B7755" i="3"/>
  <c r="H7754" i="3"/>
  <c r="B7754" i="3"/>
  <c r="H7753" i="3"/>
  <c r="B7753" i="3"/>
  <c r="H7752" i="3"/>
  <c r="B7752" i="3"/>
  <c r="H7751" i="3"/>
  <c r="B7751" i="3"/>
  <c r="H7750" i="3"/>
  <c r="B7750" i="3"/>
  <c r="H7749" i="3"/>
  <c r="B7749" i="3"/>
  <c r="H7748" i="3"/>
  <c r="B7748" i="3"/>
  <c r="H7747" i="3"/>
  <c r="B7747" i="3"/>
  <c r="H7746" i="3"/>
  <c r="B7746" i="3"/>
  <c r="H7745" i="3"/>
  <c r="B7745" i="3"/>
  <c r="H7744" i="3"/>
  <c r="B7744" i="3"/>
  <c r="H7743" i="3"/>
  <c r="B7743" i="3"/>
  <c r="H7742" i="3"/>
  <c r="B7742" i="3"/>
  <c r="H7741" i="3"/>
  <c r="B7741" i="3"/>
  <c r="H7740" i="3"/>
  <c r="B7740" i="3"/>
  <c r="H7739" i="3"/>
  <c r="B7739" i="3"/>
  <c r="H7738" i="3"/>
  <c r="B7738" i="3"/>
  <c r="H7737" i="3"/>
  <c r="B7737" i="3"/>
  <c r="H7736" i="3"/>
  <c r="B7736" i="3"/>
  <c r="H7735" i="3"/>
  <c r="B7735" i="3"/>
  <c r="H7734" i="3"/>
  <c r="B7734" i="3"/>
  <c r="H7733" i="3"/>
  <c r="B7733" i="3"/>
  <c r="H7732" i="3"/>
  <c r="B7732" i="3"/>
  <c r="H7731" i="3"/>
  <c r="B7731" i="3"/>
  <c r="H7730" i="3"/>
  <c r="B7730" i="3"/>
  <c r="H7729" i="3"/>
  <c r="B7729" i="3"/>
  <c r="H7728" i="3"/>
  <c r="B7728" i="3"/>
  <c r="H7727" i="3"/>
  <c r="B7727" i="3"/>
  <c r="H7726" i="3"/>
  <c r="B7726" i="3"/>
  <c r="H7725" i="3"/>
  <c r="B7725" i="3"/>
  <c r="H7724" i="3"/>
  <c r="B7724" i="3"/>
  <c r="H7723" i="3"/>
  <c r="B7723" i="3"/>
  <c r="H7722" i="3"/>
  <c r="B7722" i="3"/>
  <c r="H7721" i="3"/>
  <c r="B7721" i="3"/>
  <c r="H7720" i="3"/>
  <c r="B7720" i="3"/>
  <c r="H7719" i="3"/>
  <c r="B7719" i="3"/>
  <c r="H7718" i="3"/>
  <c r="B7718" i="3"/>
  <c r="H7717" i="3"/>
  <c r="B7717" i="3"/>
  <c r="H7716" i="3"/>
  <c r="B7716" i="3"/>
  <c r="H7715" i="3"/>
  <c r="B7715" i="3"/>
  <c r="H7714" i="3"/>
  <c r="B7714" i="3"/>
  <c r="H7713" i="3"/>
  <c r="B7713" i="3"/>
  <c r="H7712" i="3"/>
  <c r="B7712" i="3"/>
  <c r="H7711" i="3"/>
  <c r="B7711" i="3"/>
  <c r="H7710" i="3"/>
  <c r="B7710" i="3"/>
  <c r="H7709" i="3"/>
  <c r="B7709" i="3"/>
  <c r="H7708" i="3"/>
  <c r="B7708" i="3"/>
  <c r="H7707" i="3"/>
  <c r="B7707" i="3"/>
  <c r="H7706" i="3"/>
  <c r="B7706" i="3"/>
  <c r="H7705" i="3"/>
  <c r="B7705" i="3"/>
  <c r="H7704" i="3"/>
  <c r="B7704" i="3"/>
  <c r="H7703" i="3"/>
  <c r="B7703" i="3"/>
  <c r="H7702" i="3"/>
  <c r="B7702" i="3"/>
  <c r="H7701" i="3"/>
  <c r="B7701" i="3"/>
  <c r="H7700" i="3"/>
  <c r="B7700" i="3"/>
  <c r="H7699" i="3"/>
  <c r="B7699" i="3"/>
  <c r="H7698" i="3"/>
  <c r="B7698" i="3"/>
  <c r="H7697" i="3"/>
  <c r="B7697" i="3"/>
  <c r="H7696" i="3"/>
  <c r="B7696" i="3"/>
  <c r="H7695" i="3"/>
  <c r="B7695" i="3"/>
  <c r="H7694" i="3"/>
  <c r="B7694" i="3"/>
  <c r="H7693" i="3"/>
  <c r="B7693" i="3"/>
  <c r="H7692" i="3"/>
  <c r="B7692" i="3"/>
  <c r="H7691" i="3"/>
  <c r="B7691" i="3"/>
  <c r="H7690" i="3"/>
  <c r="B7690" i="3"/>
  <c r="H7689" i="3"/>
  <c r="B7689" i="3"/>
  <c r="H7688" i="3"/>
  <c r="B7688" i="3"/>
  <c r="H7687" i="3"/>
  <c r="B7687" i="3"/>
  <c r="H7686" i="3"/>
  <c r="B7686" i="3"/>
  <c r="H7685" i="3"/>
  <c r="B7685" i="3"/>
  <c r="H7684" i="3"/>
  <c r="B7684" i="3"/>
  <c r="H7683" i="3"/>
  <c r="B7683" i="3"/>
  <c r="H7682" i="3"/>
  <c r="B7682" i="3"/>
  <c r="H7681" i="3"/>
  <c r="B7681" i="3"/>
  <c r="H7680" i="3"/>
  <c r="B7680" i="3"/>
  <c r="H7679" i="3"/>
  <c r="B7679" i="3"/>
  <c r="H7678" i="3"/>
  <c r="B7678" i="3"/>
  <c r="H7677" i="3"/>
  <c r="B7677" i="3"/>
  <c r="H7676" i="3"/>
  <c r="B7676" i="3"/>
  <c r="H7675" i="3"/>
  <c r="B7675" i="3"/>
  <c r="H7674" i="3"/>
  <c r="B7674" i="3"/>
  <c r="H7673" i="3"/>
  <c r="B7673" i="3"/>
  <c r="H7672" i="3"/>
  <c r="B7672" i="3"/>
  <c r="H7671" i="3"/>
  <c r="B7671" i="3"/>
  <c r="H7670" i="3"/>
  <c r="B7670" i="3"/>
  <c r="H7669" i="3"/>
  <c r="B7669" i="3"/>
  <c r="H7668" i="3"/>
  <c r="B7668" i="3"/>
  <c r="H7667" i="3"/>
  <c r="B7667" i="3"/>
  <c r="H7666" i="3"/>
  <c r="B7666" i="3"/>
  <c r="H7665" i="3"/>
  <c r="B7665" i="3"/>
  <c r="H7664" i="3"/>
  <c r="B7664" i="3"/>
  <c r="H7663" i="3"/>
  <c r="B7663" i="3"/>
  <c r="H7662" i="3"/>
  <c r="B7662" i="3"/>
  <c r="H7661" i="3"/>
  <c r="B7661" i="3"/>
  <c r="H7660" i="3"/>
  <c r="B7660" i="3"/>
  <c r="H7659" i="3"/>
  <c r="B7659" i="3"/>
  <c r="H7658" i="3"/>
  <c r="B7658" i="3"/>
  <c r="H7657" i="3"/>
  <c r="B7657" i="3"/>
  <c r="H7656" i="3"/>
  <c r="B7656" i="3"/>
  <c r="H7655" i="3"/>
  <c r="B7655" i="3"/>
  <c r="H7654" i="3"/>
  <c r="B7654" i="3"/>
  <c r="H7653" i="3"/>
  <c r="B7653" i="3"/>
  <c r="H7652" i="3"/>
  <c r="B7652" i="3"/>
  <c r="H7651" i="3"/>
  <c r="B7651" i="3"/>
  <c r="H7650" i="3"/>
  <c r="B7650" i="3"/>
  <c r="H7649" i="3"/>
  <c r="B7649" i="3"/>
  <c r="H7648" i="3"/>
  <c r="B7648" i="3"/>
  <c r="H7647" i="3"/>
  <c r="B7647" i="3"/>
  <c r="H7646" i="3"/>
  <c r="B7646" i="3"/>
  <c r="H7645" i="3"/>
  <c r="B7645" i="3"/>
  <c r="H7644" i="3"/>
  <c r="B7644" i="3"/>
  <c r="H7643" i="3"/>
  <c r="B7643" i="3"/>
  <c r="H7642" i="3"/>
  <c r="B7642" i="3"/>
  <c r="H7641" i="3"/>
  <c r="B7641" i="3"/>
  <c r="H7640" i="3"/>
  <c r="B7640" i="3"/>
  <c r="H7639" i="3"/>
  <c r="B7639" i="3"/>
  <c r="H7638" i="3"/>
  <c r="B7638" i="3"/>
  <c r="H7637" i="3"/>
  <c r="B7637" i="3"/>
  <c r="H7636" i="3"/>
  <c r="B7636" i="3"/>
  <c r="H7635" i="3"/>
  <c r="B7635" i="3"/>
  <c r="H7634" i="3"/>
  <c r="B7634" i="3"/>
  <c r="H7633" i="3"/>
  <c r="B7633" i="3"/>
  <c r="H7632" i="3"/>
  <c r="B7632" i="3"/>
  <c r="H7631" i="3"/>
  <c r="B7631" i="3"/>
  <c r="H7630" i="3"/>
  <c r="B7630" i="3"/>
  <c r="H7629" i="3"/>
  <c r="B7629" i="3"/>
  <c r="H7628" i="3"/>
  <c r="B7628" i="3"/>
  <c r="H7627" i="3"/>
  <c r="B7627" i="3"/>
  <c r="H7626" i="3"/>
  <c r="B7626" i="3"/>
  <c r="H7625" i="3"/>
  <c r="B7625" i="3"/>
  <c r="H7624" i="3"/>
  <c r="B7624" i="3"/>
  <c r="H7623" i="3"/>
  <c r="B7623" i="3"/>
  <c r="H7622" i="3"/>
  <c r="B7622" i="3"/>
  <c r="H7621" i="3"/>
  <c r="B7621" i="3"/>
  <c r="H7620" i="3"/>
  <c r="B7620" i="3"/>
  <c r="H7619" i="3"/>
  <c r="B7619" i="3"/>
  <c r="H7618" i="3"/>
  <c r="B7618" i="3"/>
  <c r="H7617" i="3"/>
  <c r="B7617" i="3"/>
  <c r="H7616" i="3"/>
  <c r="B7616" i="3"/>
  <c r="H7615" i="3"/>
  <c r="B7615" i="3"/>
  <c r="H7614" i="3"/>
  <c r="B7614" i="3"/>
  <c r="H7613" i="3"/>
  <c r="B7613" i="3"/>
  <c r="H7612" i="3"/>
  <c r="B7612" i="3"/>
  <c r="H7611" i="3"/>
  <c r="B7611" i="3"/>
  <c r="H7610" i="3"/>
  <c r="B7610" i="3"/>
  <c r="H7609" i="3"/>
  <c r="B7609" i="3"/>
  <c r="H7608" i="3"/>
  <c r="B7608" i="3"/>
  <c r="H7607" i="3"/>
  <c r="B7607" i="3"/>
  <c r="H7606" i="3"/>
  <c r="B7606" i="3"/>
  <c r="H7605" i="3"/>
  <c r="B7605" i="3"/>
  <c r="H7604" i="3"/>
  <c r="B7604" i="3"/>
  <c r="H7603" i="3"/>
  <c r="B7603" i="3"/>
  <c r="H7602" i="3"/>
  <c r="B7602" i="3"/>
  <c r="H7601" i="3"/>
  <c r="B7601" i="3"/>
  <c r="H7600" i="3"/>
  <c r="B7600" i="3"/>
  <c r="H7599" i="3"/>
  <c r="B7599" i="3"/>
  <c r="H7598" i="3"/>
  <c r="B7598" i="3"/>
  <c r="H7597" i="3"/>
  <c r="B7597" i="3"/>
  <c r="H7596" i="3"/>
  <c r="B7596" i="3"/>
  <c r="H7595" i="3"/>
  <c r="B7595" i="3"/>
  <c r="H7594" i="3"/>
  <c r="B7594" i="3"/>
  <c r="H7593" i="3"/>
  <c r="B7593" i="3"/>
  <c r="H7592" i="3"/>
  <c r="B7592" i="3"/>
  <c r="H7591" i="3"/>
  <c r="B7591" i="3"/>
  <c r="H7590" i="3"/>
  <c r="B7590" i="3"/>
  <c r="H7589" i="3"/>
  <c r="B7589" i="3"/>
  <c r="H7588" i="3"/>
  <c r="B7588" i="3"/>
  <c r="H7587" i="3"/>
  <c r="B7587" i="3"/>
  <c r="H7586" i="3"/>
  <c r="B7586" i="3"/>
  <c r="H7585" i="3"/>
  <c r="B7585" i="3"/>
  <c r="H7584" i="3"/>
  <c r="B7584" i="3"/>
  <c r="H7583" i="3"/>
  <c r="B7583" i="3"/>
  <c r="H7582" i="3"/>
  <c r="B7582" i="3"/>
  <c r="H7581" i="3"/>
  <c r="B7581" i="3"/>
  <c r="H7580" i="3"/>
  <c r="B7580" i="3"/>
  <c r="H7579" i="3"/>
  <c r="B7579" i="3"/>
  <c r="H7578" i="3"/>
  <c r="B7578" i="3"/>
  <c r="H7577" i="3"/>
  <c r="B7577" i="3"/>
  <c r="H7576" i="3"/>
  <c r="B7576" i="3"/>
  <c r="H7575" i="3"/>
  <c r="B7575" i="3"/>
  <c r="H7574" i="3"/>
  <c r="B7574" i="3"/>
  <c r="H7573" i="3"/>
  <c r="B7573" i="3"/>
  <c r="H7572" i="3"/>
  <c r="B7572" i="3"/>
  <c r="H7571" i="3"/>
  <c r="B7571" i="3"/>
  <c r="H7570" i="3"/>
  <c r="B7570" i="3"/>
  <c r="H7569" i="3"/>
  <c r="B7569" i="3"/>
  <c r="H7568" i="3"/>
  <c r="B7568" i="3"/>
  <c r="H7567" i="3"/>
  <c r="B7567" i="3"/>
  <c r="H7566" i="3"/>
  <c r="B7566" i="3"/>
  <c r="H7565" i="3"/>
  <c r="B7565" i="3"/>
  <c r="H7564" i="3"/>
  <c r="B7564" i="3"/>
  <c r="H7563" i="3"/>
  <c r="B7563" i="3"/>
  <c r="H7562" i="3"/>
  <c r="B7562" i="3"/>
  <c r="H7561" i="3"/>
  <c r="B7561" i="3"/>
  <c r="H7560" i="3"/>
  <c r="B7560" i="3"/>
  <c r="H7559" i="3"/>
  <c r="B7559" i="3"/>
  <c r="H7558" i="3"/>
  <c r="B7558" i="3"/>
  <c r="H7557" i="3"/>
  <c r="B7557" i="3"/>
  <c r="H7556" i="3"/>
  <c r="B7556" i="3"/>
  <c r="H7555" i="3"/>
  <c r="B7555" i="3"/>
  <c r="H7554" i="3"/>
  <c r="B7554" i="3"/>
  <c r="H7553" i="3"/>
  <c r="B7553" i="3"/>
  <c r="H7552" i="3"/>
  <c r="B7552" i="3"/>
  <c r="H7551" i="3"/>
  <c r="B7551" i="3"/>
  <c r="H7550" i="3"/>
  <c r="B7550" i="3"/>
  <c r="H7549" i="3"/>
  <c r="B7549" i="3"/>
  <c r="H7548" i="3"/>
  <c r="B7548" i="3"/>
  <c r="H7547" i="3"/>
  <c r="B7547" i="3"/>
  <c r="H7546" i="3"/>
  <c r="B7546" i="3"/>
  <c r="H7545" i="3"/>
  <c r="B7545" i="3"/>
  <c r="H7544" i="3"/>
  <c r="B7544" i="3"/>
  <c r="H7543" i="3"/>
  <c r="B7543" i="3"/>
  <c r="H7542" i="3"/>
  <c r="B7542" i="3"/>
  <c r="H7541" i="3"/>
  <c r="B7541" i="3"/>
  <c r="H7540" i="3"/>
  <c r="B7540" i="3"/>
  <c r="H7539" i="3"/>
  <c r="B7539" i="3"/>
  <c r="H7538" i="3"/>
  <c r="B7538" i="3"/>
  <c r="H7537" i="3"/>
  <c r="B7537" i="3"/>
  <c r="H7536" i="3"/>
  <c r="B7536" i="3"/>
  <c r="H7535" i="3"/>
  <c r="B7535" i="3"/>
  <c r="H7534" i="3"/>
  <c r="B7534" i="3"/>
  <c r="H7533" i="3"/>
  <c r="B7533" i="3"/>
  <c r="H7532" i="3"/>
  <c r="B7532" i="3"/>
  <c r="H7531" i="3"/>
  <c r="B7531" i="3"/>
  <c r="H7530" i="3"/>
  <c r="B7530" i="3"/>
  <c r="H7529" i="3"/>
  <c r="B7529" i="3"/>
  <c r="H7528" i="3"/>
  <c r="B7528" i="3"/>
  <c r="H7527" i="3"/>
  <c r="B7527" i="3"/>
  <c r="H7526" i="3"/>
  <c r="B7526" i="3"/>
  <c r="H7525" i="3"/>
  <c r="B7525" i="3"/>
  <c r="H7524" i="3"/>
  <c r="B7524" i="3"/>
  <c r="H7523" i="3"/>
  <c r="B7523" i="3"/>
  <c r="H7522" i="3"/>
  <c r="B7522" i="3"/>
  <c r="H7521" i="3"/>
  <c r="B7521" i="3"/>
  <c r="H7520" i="3"/>
  <c r="B7520" i="3"/>
  <c r="H7519" i="3"/>
  <c r="B7519" i="3"/>
  <c r="H7518" i="3"/>
  <c r="B7518" i="3"/>
  <c r="H7517" i="3"/>
  <c r="B7517" i="3"/>
  <c r="H7516" i="3"/>
  <c r="B7516" i="3"/>
  <c r="H7515" i="3"/>
  <c r="B7515" i="3"/>
  <c r="H7514" i="3"/>
  <c r="B7514" i="3"/>
  <c r="H7513" i="3"/>
  <c r="B7513" i="3"/>
  <c r="H7512" i="3"/>
  <c r="B7512" i="3"/>
  <c r="H7511" i="3"/>
  <c r="B7511" i="3"/>
  <c r="H7510" i="3"/>
  <c r="B7510" i="3"/>
  <c r="H7509" i="3"/>
  <c r="B7509" i="3"/>
  <c r="H7508" i="3"/>
  <c r="B7508" i="3"/>
  <c r="H7507" i="3"/>
  <c r="B7507" i="3"/>
  <c r="H7506" i="3"/>
  <c r="B7506" i="3"/>
  <c r="H7505" i="3"/>
  <c r="B7505" i="3"/>
  <c r="H7504" i="3"/>
  <c r="B7504" i="3"/>
  <c r="H7503" i="3"/>
  <c r="B7503" i="3"/>
  <c r="H7502" i="3"/>
  <c r="B7502" i="3"/>
  <c r="H7501" i="3"/>
  <c r="B7501" i="3"/>
  <c r="H7500" i="3"/>
  <c r="B7500" i="3"/>
  <c r="H7499" i="3"/>
  <c r="B7499" i="3"/>
  <c r="H7498" i="3"/>
  <c r="B7498" i="3"/>
  <c r="H7497" i="3"/>
  <c r="B7497" i="3"/>
  <c r="H7496" i="3"/>
  <c r="B7496" i="3"/>
  <c r="H7495" i="3"/>
  <c r="B7495" i="3"/>
  <c r="H7494" i="3"/>
  <c r="B7494" i="3"/>
  <c r="H7493" i="3"/>
  <c r="B7493" i="3"/>
  <c r="H7492" i="3"/>
  <c r="B7492" i="3"/>
  <c r="H7491" i="3"/>
  <c r="B7491" i="3"/>
  <c r="H7490" i="3"/>
  <c r="B7490" i="3"/>
  <c r="H7489" i="3"/>
  <c r="B7489" i="3"/>
  <c r="H7488" i="3"/>
  <c r="B7488" i="3"/>
  <c r="H7487" i="3"/>
  <c r="B7487" i="3"/>
  <c r="H7486" i="3"/>
  <c r="B7486" i="3"/>
  <c r="H7485" i="3"/>
  <c r="B7485" i="3"/>
  <c r="H7484" i="3"/>
  <c r="B7484" i="3"/>
  <c r="H7483" i="3"/>
  <c r="B7483" i="3"/>
  <c r="H7482" i="3"/>
  <c r="B7482" i="3"/>
  <c r="H7481" i="3"/>
  <c r="B7481" i="3"/>
  <c r="H7480" i="3"/>
  <c r="B7480" i="3"/>
  <c r="H7479" i="3"/>
  <c r="B7479" i="3"/>
  <c r="H7478" i="3"/>
  <c r="B7478" i="3"/>
  <c r="H7477" i="3"/>
  <c r="B7477" i="3"/>
  <c r="H7476" i="3"/>
  <c r="B7476" i="3"/>
  <c r="H7475" i="3"/>
  <c r="B7475" i="3"/>
  <c r="H7474" i="3"/>
  <c r="B7474" i="3"/>
  <c r="H7473" i="3"/>
  <c r="B7473" i="3"/>
  <c r="H7472" i="3"/>
  <c r="B7472" i="3"/>
  <c r="H7471" i="3"/>
  <c r="B7471" i="3"/>
  <c r="H7470" i="3"/>
  <c r="B7470" i="3"/>
  <c r="H7469" i="3"/>
  <c r="B7469" i="3"/>
  <c r="H7468" i="3"/>
  <c r="B7468" i="3"/>
  <c r="H7467" i="3"/>
  <c r="B7467" i="3"/>
  <c r="H7466" i="3"/>
  <c r="B7466" i="3"/>
  <c r="H7465" i="3"/>
  <c r="B7465" i="3"/>
  <c r="H7464" i="3"/>
  <c r="B7464" i="3"/>
  <c r="H7463" i="3"/>
  <c r="B7463" i="3"/>
  <c r="H7462" i="3"/>
  <c r="B7462" i="3"/>
  <c r="H7461" i="3"/>
  <c r="B7461" i="3"/>
  <c r="H7460" i="3"/>
  <c r="B7460" i="3"/>
  <c r="H7459" i="3"/>
  <c r="B7459" i="3"/>
  <c r="H7458" i="3"/>
  <c r="B7458" i="3"/>
  <c r="H7457" i="3"/>
  <c r="B7457" i="3"/>
  <c r="H7456" i="3"/>
  <c r="B7456" i="3"/>
  <c r="H7455" i="3"/>
  <c r="B7455" i="3"/>
  <c r="H7454" i="3"/>
  <c r="B7454" i="3"/>
  <c r="H7453" i="3"/>
  <c r="B7453" i="3"/>
  <c r="H7452" i="3"/>
  <c r="B7452" i="3"/>
  <c r="H7451" i="3"/>
  <c r="B7451" i="3"/>
  <c r="H7450" i="3"/>
  <c r="B7450" i="3"/>
  <c r="H7449" i="3"/>
  <c r="B7449" i="3"/>
  <c r="H7448" i="3"/>
  <c r="B7448" i="3"/>
  <c r="H7447" i="3"/>
  <c r="B7447" i="3"/>
  <c r="H7446" i="3"/>
  <c r="B7446" i="3"/>
  <c r="H7445" i="3"/>
  <c r="B7445" i="3"/>
  <c r="H7444" i="3"/>
  <c r="B7444" i="3"/>
  <c r="H7443" i="3"/>
  <c r="B7443" i="3"/>
  <c r="H7442" i="3"/>
  <c r="B7442" i="3"/>
  <c r="H7441" i="3"/>
  <c r="B7441" i="3"/>
  <c r="H7440" i="3"/>
  <c r="B7440" i="3"/>
  <c r="H7439" i="3"/>
  <c r="B7439" i="3"/>
  <c r="H7438" i="3"/>
  <c r="B7438" i="3"/>
  <c r="H7437" i="3"/>
  <c r="B7437" i="3"/>
  <c r="H7436" i="3"/>
  <c r="B7436" i="3"/>
  <c r="H7435" i="3"/>
  <c r="B7435" i="3"/>
  <c r="H7434" i="3"/>
  <c r="B7434" i="3"/>
  <c r="H7433" i="3"/>
  <c r="B7433" i="3"/>
  <c r="H7432" i="3"/>
  <c r="B7432" i="3"/>
  <c r="H7431" i="3"/>
  <c r="B7431" i="3"/>
  <c r="H7430" i="3"/>
  <c r="B7430" i="3"/>
  <c r="H7429" i="3"/>
  <c r="B7429" i="3"/>
  <c r="H7428" i="3"/>
  <c r="B7428" i="3"/>
  <c r="H7427" i="3"/>
  <c r="B7427" i="3"/>
  <c r="H7426" i="3"/>
  <c r="B7426" i="3"/>
  <c r="H7425" i="3"/>
  <c r="B7425" i="3"/>
  <c r="H7424" i="3"/>
  <c r="B7424" i="3"/>
  <c r="H7423" i="3"/>
  <c r="B7423" i="3"/>
  <c r="H7422" i="3"/>
  <c r="B7422" i="3"/>
  <c r="H7421" i="3"/>
  <c r="B7421" i="3"/>
  <c r="H7420" i="3"/>
  <c r="B7420" i="3"/>
  <c r="H7419" i="3"/>
  <c r="B7419" i="3"/>
  <c r="H7418" i="3"/>
  <c r="B7418" i="3"/>
  <c r="H7417" i="3"/>
  <c r="B7417" i="3"/>
  <c r="H7416" i="3"/>
  <c r="B7416" i="3"/>
  <c r="H7415" i="3"/>
  <c r="B7415" i="3"/>
  <c r="H7414" i="3"/>
  <c r="B7414" i="3"/>
  <c r="H7413" i="3"/>
  <c r="B7413" i="3"/>
  <c r="H7412" i="3"/>
  <c r="B7412" i="3"/>
  <c r="H7411" i="3"/>
  <c r="B7411" i="3"/>
  <c r="H7410" i="3"/>
  <c r="B7410" i="3"/>
  <c r="H7409" i="3"/>
  <c r="B7409" i="3"/>
  <c r="H7408" i="3"/>
  <c r="B7408" i="3"/>
  <c r="H7407" i="3"/>
  <c r="B7407" i="3"/>
  <c r="H7406" i="3"/>
  <c r="B7406" i="3"/>
  <c r="H7405" i="3"/>
  <c r="B7405" i="3"/>
  <c r="H7404" i="3"/>
  <c r="B7404" i="3"/>
  <c r="H7403" i="3"/>
  <c r="B7403" i="3"/>
  <c r="H7402" i="3"/>
  <c r="B7402" i="3"/>
  <c r="H7401" i="3"/>
  <c r="B7401" i="3"/>
  <c r="H7400" i="3"/>
  <c r="B7400" i="3"/>
  <c r="H7399" i="3"/>
  <c r="B7399" i="3"/>
  <c r="H7398" i="3"/>
  <c r="B7398" i="3"/>
  <c r="H7397" i="3"/>
  <c r="B7397" i="3"/>
  <c r="H7396" i="3"/>
  <c r="B7396" i="3"/>
  <c r="H7395" i="3"/>
  <c r="B7395" i="3"/>
  <c r="H7394" i="3"/>
  <c r="B7394" i="3"/>
  <c r="H7393" i="3"/>
  <c r="B7393" i="3"/>
  <c r="H7392" i="3"/>
  <c r="B7392" i="3"/>
  <c r="H7391" i="3"/>
  <c r="B7391" i="3"/>
  <c r="H7390" i="3"/>
  <c r="B7390" i="3"/>
  <c r="H7389" i="3"/>
  <c r="B7389" i="3"/>
  <c r="H7388" i="3"/>
  <c r="B7388" i="3"/>
  <c r="H7387" i="3"/>
  <c r="B7387" i="3"/>
  <c r="H7386" i="3"/>
  <c r="B7386" i="3"/>
  <c r="H7385" i="3"/>
  <c r="B7385" i="3"/>
  <c r="H7384" i="3"/>
  <c r="B7384" i="3"/>
  <c r="H7383" i="3"/>
  <c r="B7383" i="3"/>
  <c r="H7382" i="3"/>
  <c r="B7382" i="3"/>
  <c r="H7381" i="3"/>
  <c r="B7381" i="3"/>
  <c r="H7380" i="3"/>
  <c r="B7380" i="3"/>
  <c r="H7379" i="3"/>
  <c r="B7379" i="3"/>
  <c r="H7378" i="3"/>
  <c r="B7378" i="3"/>
  <c r="H7377" i="3"/>
  <c r="B7377" i="3"/>
  <c r="H7376" i="3"/>
  <c r="B7376" i="3"/>
  <c r="H7375" i="3"/>
  <c r="B7375" i="3"/>
  <c r="H7374" i="3"/>
  <c r="B7374" i="3"/>
  <c r="H7373" i="3"/>
  <c r="B7373" i="3"/>
  <c r="H7372" i="3"/>
  <c r="B7372" i="3"/>
  <c r="H7371" i="3"/>
  <c r="B7371" i="3"/>
  <c r="H7370" i="3"/>
  <c r="B7370" i="3"/>
  <c r="H7369" i="3"/>
  <c r="B7369" i="3"/>
  <c r="H7368" i="3"/>
  <c r="B7368" i="3"/>
  <c r="H7367" i="3"/>
  <c r="B7367" i="3"/>
  <c r="H7366" i="3"/>
  <c r="B7366" i="3"/>
  <c r="H7365" i="3"/>
  <c r="B7365" i="3"/>
  <c r="H7364" i="3"/>
  <c r="B7364" i="3"/>
  <c r="H7363" i="3"/>
  <c r="B7363" i="3"/>
  <c r="H7362" i="3"/>
  <c r="B7362" i="3"/>
  <c r="H7361" i="3"/>
  <c r="B7361" i="3"/>
  <c r="H7360" i="3"/>
  <c r="B7360" i="3"/>
  <c r="H7359" i="3"/>
  <c r="B7359" i="3"/>
  <c r="H7358" i="3"/>
  <c r="B7358" i="3"/>
  <c r="H7357" i="3"/>
  <c r="B7357" i="3"/>
  <c r="H7356" i="3"/>
  <c r="B7356" i="3"/>
  <c r="H7355" i="3"/>
  <c r="B7355" i="3"/>
  <c r="H7354" i="3"/>
  <c r="B7354" i="3"/>
  <c r="H7353" i="3"/>
  <c r="B7353" i="3"/>
  <c r="H7352" i="3"/>
  <c r="B7352" i="3"/>
  <c r="H7351" i="3"/>
  <c r="B7351" i="3"/>
  <c r="H7350" i="3"/>
  <c r="B7350" i="3"/>
  <c r="H7349" i="3"/>
  <c r="B7349" i="3"/>
  <c r="H7348" i="3"/>
  <c r="B7348" i="3"/>
  <c r="H7347" i="3"/>
  <c r="B7347" i="3"/>
  <c r="H7346" i="3"/>
  <c r="B7346" i="3"/>
  <c r="H7345" i="3"/>
  <c r="B7345" i="3"/>
  <c r="H7344" i="3"/>
  <c r="B7344" i="3"/>
  <c r="H7343" i="3"/>
  <c r="B7343" i="3"/>
  <c r="H7342" i="3"/>
  <c r="B7342" i="3"/>
  <c r="H7341" i="3"/>
  <c r="B7341" i="3"/>
  <c r="H7340" i="3"/>
  <c r="B7340" i="3"/>
  <c r="H7339" i="3"/>
  <c r="B7339" i="3"/>
  <c r="H7338" i="3"/>
  <c r="B7338" i="3"/>
  <c r="H7337" i="3"/>
  <c r="B7337" i="3"/>
  <c r="H7336" i="3"/>
  <c r="B7336" i="3"/>
  <c r="H7335" i="3"/>
  <c r="B7335" i="3"/>
  <c r="H7334" i="3"/>
  <c r="B7334" i="3"/>
  <c r="H7333" i="3"/>
  <c r="B7333" i="3"/>
  <c r="H7332" i="3"/>
  <c r="B7332" i="3"/>
  <c r="H7331" i="3"/>
  <c r="B7331" i="3"/>
  <c r="H7330" i="3"/>
  <c r="B7330" i="3"/>
  <c r="H7329" i="3"/>
  <c r="B7329" i="3"/>
  <c r="H7328" i="3"/>
  <c r="B7328" i="3"/>
  <c r="H7327" i="3"/>
  <c r="B7327" i="3"/>
  <c r="H7326" i="3"/>
  <c r="B7326" i="3"/>
  <c r="H7325" i="3"/>
  <c r="B7325" i="3"/>
  <c r="H7324" i="3"/>
  <c r="B7324" i="3"/>
  <c r="H7323" i="3"/>
  <c r="B7323" i="3"/>
  <c r="H7322" i="3"/>
  <c r="B7322" i="3"/>
  <c r="H7321" i="3"/>
  <c r="B7321" i="3"/>
  <c r="H7320" i="3"/>
  <c r="B7320" i="3"/>
  <c r="H7319" i="3"/>
  <c r="B7319" i="3"/>
  <c r="H7318" i="3"/>
  <c r="B7318" i="3"/>
  <c r="H7317" i="3"/>
  <c r="B7317" i="3"/>
  <c r="H7316" i="3"/>
  <c r="B7316" i="3"/>
  <c r="H7315" i="3"/>
  <c r="B7315" i="3"/>
  <c r="H7314" i="3"/>
  <c r="B7314" i="3"/>
  <c r="H7313" i="3"/>
  <c r="B7313" i="3"/>
  <c r="H7312" i="3"/>
  <c r="B7312" i="3"/>
  <c r="H7311" i="3"/>
  <c r="B7311" i="3"/>
  <c r="H7310" i="3"/>
  <c r="B7310" i="3"/>
  <c r="H7309" i="3"/>
  <c r="B7309" i="3"/>
  <c r="H7308" i="3"/>
  <c r="B7308" i="3"/>
  <c r="H7307" i="3"/>
  <c r="B7307" i="3"/>
  <c r="H7306" i="3"/>
  <c r="B7306" i="3"/>
  <c r="H7305" i="3"/>
  <c r="B7305" i="3"/>
  <c r="H7304" i="3"/>
  <c r="B7304" i="3"/>
  <c r="H7303" i="3"/>
  <c r="B7303" i="3"/>
  <c r="H7302" i="3"/>
  <c r="B7302" i="3"/>
  <c r="H7301" i="3"/>
  <c r="B7301" i="3"/>
  <c r="H7300" i="3"/>
  <c r="B7300" i="3"/>
  <c r="H7299" i="3"/>
  <c r="B7299" i="3"/>
  <c r="H7298" i="3"/>
  <c r="B7298" i="3"/>
  <c r="H7297" i="3"/>
  <c r="B7297" i="3"/>
  <c r="H7296" i="3"/>
  <c r="B7296" i="3"/>
  <c r="H7295" i="3"/>
  <c r="B7295" i="3"/>
  <c r="H7294" i="3"/>
  <c r="B7294" i="3"/>
  <c r="H7293" i="3"/>
  <c r="B7293" i="3"/>
  <c r="H7292" i="3"/>
  <c r="B7292" i="3"/>
  <c r="H7291" i="3"/>
  <c r="B7291" i="3"/>
  <c r="H7290" i="3"/>
  <c r="B7290" i="3"/>
  <c r="H7289" i="3"/>
  <c r="B7289" i="3"/>
  <c r="H7288" i="3"/>
  <c r="B7288" i="3"/>
  <c r="H7287" i="3"/>
  <c r="B7287" i="3"/>
  <c r="H7286" i="3"/>
  <c r="B7286" i="3"/>
  <c r="H7285" i="3"/>
  <c r="B7285" i="3"/>
  <c r="H7284" i="3"/>
  <c r="B7284" i="3"/>
  <c r="H7283" i="3"/>
  <c r="B7283" i="3"/>
  <c r="H7282" i="3"/>
  <c r="B7282" i="3"/>
  <c r="H7281" i="3"/>
  <c r="B7281" i="3"/>
  <c r="H7280" i="3"/>
  <c r="B7280" i="3"/>
  <c r="H7279" i="3"/>
  <c r="B7279" i="3"/>
  <c r="H7278" i="3"/>
  <c r="B7278" i="3"/>
  <c r="H7277" i="3"/>
  <c r="B7277" i="3"/>
  <c r="H7276" i="3"/>
  <c r="B7276" i="3"/>
  <c r="H7275" i="3"/>
  <c r="B7275" i="3"/>
  <c r="H7274" i="3"/>
  <c r="B7274" i="3"/>
  <c r="H7273" i="3"/>
  <c r="B7273" i="3"/>
  <c r="H7272" i="3"/>
  <c r="B7272" i="3"/>
  <c r="H7271" i="3"/>
  <c r="B7271" i="3"/>
  <c r="H7270" i="3"/>
  <c r="B7270" i="3"/>
  <c r="H7269" i="3"/>
  <c r="B7269" i="3"/>
  <c r="H7268" i="3"/>
  <c r="B7268" i="3"/>
  <c r="H7267" i="3"/>
  <c r="B7267" i="3"/>
  <c r="H7266" i="3"/>
  <c r="B7266" i="3"/>
  <c r="H7265" i="3"/>
  <c r="B7265" i="3"/>
  <c r="H7264" i="3"/>
  <c r="B7264" i="3"/>
  <c r="H7263" i="3"/>
  <c r="B7263" i="3"/>
  <c r="H7262" i="3"/>
  <c r="B7262" i="3"/>
  <c r="H7261" i="3"/>
  <c r="B7261" i="3"/>
  <c r="H7260" i="3"/>
  <c r="B7260" i="3"/>
  <c r="H7259" i="3"/>
  <c r="B7259" i="3"/>
  <c r="H7258" i="3"/>
  <c r="B7258" i="3"/>
  <c r="H7257" i="3"/>
  <c r="B7257" i="3"/>
  <c r="H7256" i="3"/>
  <c r="B7256" i="3"/>
  <c r="H7255" i="3"/>
  <c r="B7255" i="3"/>
  <c r="H7254" i="3"/>
  <c r="B7254" i="3"/>
  <c r="H7253" i="3"/>
  <c r="B7253" i="3"/>
  <c r="H7252" i="3"/>
  <c r="B7252" i="3"/>
  <c r="H7251" i="3"/>
  <c r="B7251" i="3"/>
  <c r="H7250" i="3"/>
  <c r="B7250" i="3"/>
  <c r="H7249" i="3"/>
  <c r="B7249" i="3"/>
  <c r="H7248" i="3"/>
  <c r="B7248" i="3"/>
  <c r="H7247" i="3"/>
  <c r="B7247" i="3"/>
  <c r="H7246" i="3"/>
  <c r="B7246" i="3"/>
  <c r="H7245" i="3"/>
  <c r="B7245" i="3"/>
  <c r="H7244" i="3"/>
  <c r="B7244" i="3"/>
  <c r="H7243" i="3"/>
  <c r="B7243" i="3"/>
  <c r="H7242" i="3"/>
  <c r="B7242" i="3"/>
  <c r="H7241" i="3"/>
  <c r="B7241" i="3"/>
  <c r="H7240" i="3"/>
  <c r="B7240" i="3"/>
  <c r="H7239" i="3"/>
  <c r="B7239" i="3"/>
  <c r="H7238" i="3"/>
  <c r="B7238" i="3"/>
  <c r="H7237" i="3"/>
  <c r="B7237" i="3"/>
  <c r="H7236" i="3"/>
  <c r="B7236" i="3"/>
  <c r="H7235" i="3"/>
  <c r="B7235" i="3"/>
  <c r="H7234" i="3"/>
  <c r="B7234" i="3"/>
  <c r="H7233" i="3"/>
  <c r="B7233" i="3"/>
  <c r="H7232" i="3"/>
  <c r="B7232" i="3"/>
  <c r="H7231" i="3"/>
  <c r="B7231" i="3"/>
  <c r="H7230" i="3"/>
  <c r="B7230" i="3"/>
  <c r="H7229" i="3"/>
  <c r="B7229" i="3"/>
  <c r="H7228" i="3"/>
  <c r="B7228" i="3"/>
  <c r="H7227" i="3"/>
  <c r="B7227" i="3"/>
  <c r="H7226" i="3"/>
  <c r="B7226" i="3"/>
  <c r="H7225" i="3"/>
  <c r="B7225" i="3"/>
  <c r="H7224" i="3"/>
  <c r="B7224" i="3"/>
  <c r="H7223" i="3"/>
  <c r="B7223" i="3"/>
  <c r="H7222" i="3"/>
  <c r="B7222" i="3"/>
  <c r="H7221" i="3"/>
  <c r="B7221" i="3"/>
  <c r="H7220" i="3"/>
  <c r="B7220" i="3"/>
  <c r="H7219" i="3"/>
  <c r="B7219" i="3"/>
  <c r="H7218" i="3"/>
  <c r="B7218" i="3"/>
  <c r="H7217" i="3"/>
  <c r="B7217" i="3"/>
  <c r="H7216" i="3"/>
  <c r="B7216" i="3"/>
  <c r="H7215" i="3"/>
  <c r="B7215" i="3"/>
  <c r="H7214" i="3"/>
  <c r="B7214" i="3"/>
  <c r="H7213" i="3"/>
  <c r="B7213" i="3"/>
  <c r="H7212" i="3"/>
  <c r="B7212" i="3"/>
  <c r="H7211" i="3"/>
  <c r="B7211" i="3"/>
  <c r="H7210" i="3"/>
  <c r="B7210" i="3"/>
  <c r="H7209" i="3"/>
  <c r="B7209" i="3"/>
  <c r="H7208" i="3"/>
  <c r="B7208" i="3"/>
  <c r="H7207" i="3"/>
  <c r="B7207" i="3"/>
  <c r="H7206" i="3"/>
  <c r="B7206" i="3"/>
  <c r="H7205" i="3"/>
  <c r="B7205" i="3"/>
  <c r="H7204" i="3"/>
  <c r="B7204" i="3"/>
  <c r="H7203" i="3"/>
  <c r="B7203" i="3"/>
  <c r="H7202" i="3"/>
  <c r="B7202" i="3"/>
  <c r="H7201" i="3"/>
  <c r="B7201" i="3"/>
  <c r="H7200" i="3"/>
  <c r="B7200" i="3"/>
  <c r="H7199" i="3"/>
  <c r="B7199" i="3"/>
  <c r="H7198" i="3"/>
  <c r="B7198" i="3"/>
  <c r="H7197" i="3"/>
  <c r="B7197" i="3"/>
  <c r="H7196" i="3"/>
  <c r="B7196" i="3"/>
  <c r="H7195" i="3"/>
  <c r="B7195" i="3"/>
  <c r="H7194" i="3"/>
  <c r="B7194" i="3"/>
  <c r="H7193" i="3"/>
  <c r="B7193" i="3"/>
  <c r="H7192" i="3"/>
  <c r="B7192" i="3"/>
  <c r="H7191" i="3"/>
  <c r="B7191" i="3"/>
  <c r="H7190" i="3"/>
  <c r="B7190" i="3"/>
  <c r="H7189" i="3"/>
  <c r="B7189" i="3"/>
  <c r="H7188" i="3"/>
  <c r="B7188" i="3"/>
  <c r="H7187" i="3"/>
  <c r="B7187" i="3"/>
  <c r="H7186" i="3"/>
  <c r="B7186" i="3"/>
  <c r="H7185" i="3"/>
  <c r="B7185" i="3"/>
  <c r="H7184" i="3"/>
  <c r="B7184" i="3"/>
  <c r="H7183" i="3"/>
  <c r="B7183" i="3"/>
  <c r="H7182" i="3"/>
  <c r="B7182" i="3"/>
  <c r="H7181" i="3"/>
  <c r="B7181" i="3"/>
  <c r="H7180" i="3"/>
  <c r="B7180" i="3"/>
  <c r="H7179" i="3"/>
  <c r="B7179" i="3"/>
  <c r="H7178" i="3"/>
  <c r="B7178" i="3"/>
  <c r="H7177" i="3"/>
  <c r="B7177" i="3"/>
  <c r="H7176" i="3"/>
  <c r="B7176" i="3"/>
  <c r="H7175" i="3"/>
  <c r="B7175" i="3"/>
  <c r="H7174" i="3"/>
  <c r="B7174" i="3"/>
  <c r="H7173" i="3"/>
  <c r="B7173" i="3"/>
  <c r="H7172" i="3"/>
  <c r="B7172" i="3"/>
  <c r="H7171" i="3"/>
  <c r="B7171" i="3"/>
  <c r="H7170" i="3"/>
  <c r="B7170" i="3"/>
  <c r="H7169" i="3"/>
  <c r="B7169" i="3"/>
  <c r="H7168" i="3"/>
  <c r="B7168" i="3"/>
  <c r="H7167" i="3"/>
  <c r="B7167" i="3"/>
  <c r="H7166" i="3"/>
  <c r="B7166" i="3"/>
  <c r="H7165" i="3"/>
  <c r="B7165" i="3"/>
  <c r="H7164" i="3"/>
  <c r="B7164" i="3"/>
  <c r="H7163" i="3"/>
  <c r="B7163" i="3"/>
  <c r="H7162" i="3"/>
  <c r="B7162" i="3"/>
  <c r="H7161" i="3"/>
  <c r="B7161" i="3"/>
  <c r="H7160" i="3"/>
  <c r="B7160" i="3"/>
  <c r="H7159" i="3"/>
  <c r="B7159" i="3"/>
  <c r="H7158" i="3"/>
  <c r="B7158" i="3"/>
  <c r="H7157" i="3"/>
  <c r="B7157" i="3"/>
  <c r="H7156" i="3"/>
  <c r="B7156" i="3"/>
  <c r="H7155" i="3"/>
  <c r="B7155" i="3"/>
  <c r="H7154" i="3"/>
  <c r="B7154" i="3"/>
  <c r="H7153" i="3"/>
  <c r="B7153" i="3"/>
  <c r="H7152" i="3"/>
  <c r="B7152" i="3"/>
  <c r="H7151" i="3"/>
  <c r="B7151" i="3"/>
  <c r="H7150" i="3"/>
  <c r="B7150" i="3"/>
  <c r="H7149" i="3"/>
  <c r="B7149" i="3"/>
  <c r="H7148" i="3"/>
  <c r="B7148" i="3"/>
  <c r="H7147" i="3"/>
  <c r="B7147" i="3"/>
  <c r="H7146" i="3"/>
  <c r="B7146" i="3"/>
  <c r="H7145" i="3"/>
  <c r="B7145" i="3"/>
  <c r="H7144" i="3"/>
  <c r="B7144" i="3"/>
  <c r="H7143" i="3"/>
  <c r="B7143" i="3"/>
  <c r="H7142" i="3"/>
  <c r="B7142" i="3"/>
  <c r="H7141" i="3"/>
  <c r="B7141" i="3"/>
  <c r="H7140" i="3"/>
  <c r="B7140" i="3"/>
  <c r="H7139" i="3"/>
  <c r="B7139" i="3"/>
  <c r="H7138" i="3"/>
  <c r="B7138" i="3"/>
  <c r="H7137" i="3"/>
  <c r="B7137" i="3"/>
  <c r="H7136" i="3"/>
  <c r="B7136" i="3"/>
  <c r="H7135" i="3"/>
  <c r="B7135" i="3"/>
  <c r="H7134" i="3"/>
  <c r="B7134" i="3"/>
  <c r="H7133" i="3"/>
  <c r="B7133" i="3"/>
  <c r="H7132" i="3"/>
  <c r="B7132" i="3"/>
  <c r="H7131" i="3"/>
  <c r="B7131" i="3"/>
  <c r="H7130" i="3"/>
  <c r="B7130" i="3"/>
  <c r="H7129" i="3"/>
  <c r="B7129" i="3"/>
  <c r="H7128" i="3"/>
  <c r="B7128" i="3"/>
  <c r="H7127" i="3"/>
  <c r="B7127" i="3"/>
  <c r="H7126" i="3"/>
  <c r="B7126" i="3"/>
  <c r="H7125" i="3"/>
  <c r="B7125" i="3"/>
  <c r="H7124" i="3"/>
  <c r="B7124" i="3"/>
  <c r="H7123" i="3"/>
  <c r="B7123" i="3"/>
  <c r="H7122" i="3"/>
  <c r="B7122" i="3"/>
  <c r="H7121" i="3"/>
  <c r="B7121" i="3"/>
  <c r="H7120" i="3"/>
  <c r="B7120" i="3"/>
  <c r="H7119" i="3"/>
  <c r="B7119" i="3"/>
  <c r="H7118" i="3"/>
  <c r="B7118" i="3"/>
  <c r="H7117" i="3"/>
  <c r="B7117" i="3"/>
  <c r="H7116" i="3"/>
  <c r="B7116" i="3"/>
  <c r="H7115" i="3"/>
  <c r="B7115" i="3"/>
  <c r="H7114" i="3"/>
  <c r="B7114" i="3"/>
  <c r="H7113" i="3"/>
  <c r="B7113" i="3"/>
  <c r="H7112" i="3"/>
  <c r="B7112" i="3"/>
  <c r="H7111" i="3"/>
  <c r="B7111" i="3"/>
  <c r="H7110" i="3"/>
  <c r="B7110" i="3"/>
  <c r="H7109" i="3"/>
  <c r="B7109" i="3"/>
  <c r="H7108" i="3"/>
  <c r="B7108" i="3"/>
  <c r="H7107" i="3"/>
  <c r="B7107" i="3"/>
  <c r="H7106" i="3"/>
  <c r="B7106" i="3"/>
  <c r="H7105" i="3"/>
  <c r="B7105" i="3"/>
  <c r="H7104" i="3"/>
  <c r="B7104" i="3"/>
  <c r="H7103" i="3"/>
  <c r="B7103" i="3"/>
  <c r="H7102" i="3"/>
  <c r="B7102" i="3"/>
  <c r="H7101" i="3"/>
  <c r="B7101" i="3"/>
  <c r="H7100" i="3"/>
  <c r="B7100" i="3"/>
  <c r="H7099" i="3"/>
  <c r="B7099" i="3"/>
  <c r="H7098" i="3"/>
  <c r="B7098" i="3"/>
  <c r="H7097" i="3"/>
  <c r="B7097" i="3"/>
  <c r="H7096" i="3"/>
  <c r="B7096" i="3"/>
  <c r="H7095" i="3"/>
  <c r="B7095" i="3"/>
  <c r="H7094" i="3"/>
  <c r="B7094" i="3"/>
  <c r="H7093" i="3"/>
  <c r="B7093" i="3"/>
  <c r="H7092" i="3"/>
  <c r="B7092" i="3"/>
  <c r="H7091" i="3"/>
  <c r="B7091" i="3"/>
  <c r="H7090" i="3"/>
  <c r="B7090" i="3"/>
  <c r="H7089" i="3"/>
  <c r="B7089" i="3"/>
  <c r="H7088" i="3"/>
  <c r="B7088" i="3"/>
  <c r="H7087" i="3"/>
  <c r="B7087" i="3"/>
  <c r="H7086" i="3"/>
  <c r="B7086" i="3"/>
  <c r="H7085" i="3"/>
  <c r="B7085" i="3"/>
  <c r="H7084" i="3"/>
  <c r="B7084" i="3"/>
  <c r="H7083" i="3"/>
  <c r="B7083" i="3"/>
  <c r="H7082" i="3"/>
  <c r="B7082" i="3"/>
  <c r="H7081" i="3"/>
  <c r="B7081" i="3"/>
  <c r="H7080" i="3"/>
  <c r="B7080" i="3"/>
  <c r="H7079" i="3"/>
  <c r="B7079" i="3"/>
  <c r="H7078" i="3"/>
  <c r="B7078" i="3"/>
  <c r="H7077" i="3"/>
  <c r="B7077" i="3"/>
  <c r="H7076" i="3"/>
  <c r="B7076" i="3"/>
  <c r="H7075" i="3"/>
  <c r="B7075" i="3"/>
  <c r="H7074" i="3"/>
  <c r="B7074" i="3"/>
  <c r="H7073" i="3"/>
  <c r="B7073" i="3"/>
  <c r="H7072" i="3"/>
  <c r="B7072" i="3"/>
  <c r="H7071" i="3"/>
  <c r="B7071" i="3"/>
  <c r="H7070" i="3"/>
  <c r="B7070" i="3"/>
  <c r="H7069" i="3"/>
  <c r="B7069" i="3"/>
  <c r="H7068" i="3"/>
  <c r="B7068" i="3"/>
  <c r="H7067" i="3"/>
  <c r="B7067" i="3"/>
  <c r="H7066" i="3"/>
  <c r="B7066" i="3"/>
  <c r="H7065" i="3"/>
  <c r="B7065" i="3"/>
  <c r="H7064" i="3"/>
  <c r="B7064" i="3"/>
  <c r="H7063" i="3"/>
  <c r="B7063" i="3"/>
  <c r="H7062" i="3"/>
  <c r="B7062" i="3"/>
  <c r="H7061" i="3"/>
  <c r="B7061" i="3"/>
  <c r="H7060" i="3"/>
  <c r="B7060" i="3"/>
  <c r="H7059" i="3"/>
  <c r="B7059" i="3"/>
  <c r="H7058" i="3"/>
  <c r="B7058" i="3"/>
  <c r="H7057" i="3"/>
  <c r="B7057" i="3"/>
  <c r="H7056" i="3"/>
  <c r="B7056" i="3"/>
  <c r="H7055" i="3"/>
  <c r="B7055" i="3"/>
  <c r="H7054" i="3"/>
  <c r="B7054" i="3"/>
  <c r="H7053" i="3"/>
  <c r="B7053" i="3"/>
  <c r="H7052" i="3"/>
  <c r="B7052" i="3"/>
  <c r="H7051" i="3"/>
  <c r="B7051" i="3"/>
  <c r="H7050" i="3"/>
  <c r="B7050" i="3"/>
  <c r="H7049" i="3"/>
  <c r="B7049" i="3"/>
  <c r="H7048" i="3"/>
  <c r="B7048" i="3"/>
  <c r="H7047" i="3"/>
  <c r="B7047" i="3"/>
  <c r="H7046" i="3"/>
  <c r="B7046" i="3"/>
  <c r="H7045" i="3"/>
  <c r="B7045" i="3"/>
  <c r="H7044" i="3"/>
  <c r="B7044" i="3"/>
  <c r="H7043" i="3"/>
  <c r="B7043" i="3"/>
  <c r="H7042" i="3"/>
  <c r="B7042" i="3"/>
  <c r="H7041" i="3"/>
  <c r="B7041" i="3"/>
  <c r="H7040" i="3"/>
  <c r="B7040" i="3"/>
  <c r="H7039" i="3"/>
  <c r="B7039" i="3"/>
  <c r="H7038" i="3"/>
  <c r="B7038" i="3"/>
  <c r="H7037" i="3"/>
  <c r="B7037" i="3"/>
  <c r="H7036" i="3"/>
  <c r="B7036" i="3"/>
  <c r="H7035" i="3"/>
  <c r="B7035" i="3"/>
  <c r="H7034" i="3"/>
  <c r="B7034" i="3"/>
  <c r="H7033" i="3"/>
  <c r="B7033" i="3"/>
  <c r="H7032" i="3"/>
  <c r="B7032" i="3"/>
  <c r="H7031" i="3"/>
  <c r="B7031" i="3"/>
  <c r="H7030" i="3"/>
  <c r="B7030" i="3"/>
  <c r="H7029" i="3"/>
  <c r="B7029" i="3"/>
  <c r="H7028" i="3"/>
  <c r="B7028" i="3"/>
  <c r="H7027" i="3"/>
  <c r="B7027" i="3"/>
  <c r="H7026" i="3"/>
  <c r="B7026" i="3"/>
  <c r="H7025" i="3"/>
  <c r="B7025" i="3"/>
  <c r="H7024" i="3"/>
  <c r="B7024" i="3"/>
  <c r="H7023" i="3"/>
  <c r="B7023" i="3"/>
  <c r="H7022" i="3"/>
  <c r="B7022" i="3"/>
  <c r="H7021" i="3"/>
  <c r="B7021" i="3"/>
  <c r="H7020" i="3"/>
  <c r="B7020" i="3"/>
  <c r="H7019" i="3"/>
  <c r="B7019" i="3"/>
  <c r="H7018" i="3"/>
  <c r="B7018" i="3"/>
  <c r="H7017" i="3"/>
  <c r="B7017" i="3"/>
  <c r="H7016" i="3"/>
  <c r="B7016" i="3"/>
  <c r="H7015" i="3"/>
  <c r="B7015" i="3"/>
  <c r="H7014" i="3"/>
  <c r="B7014" i="3"/>
  <c r="H7013" i="3"/>
  <c r="B7013" i="3"/>
  <c r="H7012" i="3"/>
  <c r="B7012" i="3"/>
  <c r="H7011" i="3"/>
  <c r="B7011" i="3"/>
  <c r="H7010" i="3"/>
  <c r="B7010" i="3"/>
  <c r="H7009" i="3"/>
  <c r="B7009" i="3"/>
  <c r="H7008" i="3"/>
  <c r="B7008" i="3"/>
  <c r="H7007" i="3"/>
  <c r="B7007" i="3"/>
  <c r="H7006" i="3"/>
  <c r="B7006" i="3"/>
  <c r="H7005" i="3"/>
  <c r="B7005" i="3"/>
  <c r="H7004" i="3"/>
  <c r="B7004" i="3"/>
  <c r="H7003" i="3"/>
  <c r="B7003" i="3"/>
  <c r="H7002" i="3"/>
  <c r="B7002" i="3"/>
  <c r="H7001" i="3"/>
  <c r="B7001" i="3"/>
  <c r="H7000" i="3"/>
  <c r="B7000" i="3"/>
  <c r="H6999" i="3"/>
  <c r="B6999" i="3"/>
  <c r="H6998" i="3"/>
  <c r="B6998" i="3"/>
  <c r="H6997" i="3"/>
  <c r="B6997" i="3"/>
  <c r="H6996" i="3"/>
  <c r="B6996" i="3"/>
  <c r="H6995" i="3"/>
  <c r="B6995" i="3"/>
  <c r="H6994" i="3"/>
  <c r="B6994" i="3"/>
  <c r="H6993" i="3"/>
  <c r="B6993" i="3"/>
  <c r="H6992" i="3"/>
  <c r="B6992" i="3"/>
  <c r="H6991" i="3"/>
  <c r="B6991" i="3"/>
  <c r="H6990" i="3"/>
  <c r="B6990" i="3"/>
  <c r="H6989" i="3"/>
  <c r="B6989" i="3"/>
  <c r="H6988" i="3"/>
  <c r="B6988" i="3"/>
  <c r="H6987" i="3"/>
  <c r="B6987" i="3"/>
  <c r="H6986" i="3"/>
  <c r="B6986" i="3"/>
  <c r="H6985" i="3"/>
  <c r="B6985" i="3"/>
  <c r="H6984" i="3"/>
  <c r="B6984" i="3"/>
  <c r="H6983" i="3"/>
  <c r="B6983" i="3"/>
  <c r="H6982" i="3"/>
  <c r="B6982" i="3"/>
  <c r="H6981" i="3"/>
  <c r="B6981" i="3"/>
  <c r="H6980" i="3"/>
  <c r="B6980" i="3"/>
  <c r="H6979" i="3"/>
  <c r="B6979" i="3"/>
  <c r="H6978" i="3"/>
  <c r="B6978" i="3"/>
  <c r="H6977" i="3"/>
  <c r="B6977" i="3"/>
  <c r="H6976" i="3"/>
  <c r="B6976" i="3"/>
  <c r="H6975" i="3"/>
  <c r="B6975" i="3"/>
  <c r="H6974" i="3"/>
  <c r="B6974" i="3"/>
  <c r="H6973" i="3"/>
  <c r="B6973" i="3"/>
  <c r="H6972" i="3"/>
  <c r="B6972" i="3"/>
  <c r="H6971" i="3"/>
  <c r="B6971" i="3"/>
  <c r="H6970" i="3"/>
  <c r="B6970" i="3"/>
  <c r="H6969" i="3"/>
  <c r="B6969" i="3"/>
  <c r="H6968" i="3"/>
  <c r="B6968" i="3"/>
  <c r="H6967" i="3"/>
  <c r="B6967" i="3"/>
  <c r="H6966" i="3"/>
  <c r="B6966" i="3"/>
  <c r="H6965" i="3"/>
  <c r="B6965" i="3"/>
  <c r="H6964" i="3"/>
  <c r="B6964" i="3"/>
  <c r="H6963" i="3"/>
  <c r="B6963" i="3"/>
  <c r="H6962" i="3"/>
  <c r="B6962" i="3"/>
  <c r="H6961" i="3"/>
  <c r="B6961" i="3"/>
  <c r="H6960" i="3"/>
  <c r="B6960" i="3"/>
  <c r="H6959" i="3"/>
  <c r="B6959" i="3"/>
  <c r="H6958" i="3"/>
  <c r="B6958" i="3"/>
  <c r="H6957" i="3"/>
  <c r="B6957" i="3"/>
  <c r="H6956" i="3"/>
  <c r="B6956" i="3"/>
  <c r="H6955" i="3"/>
  <c r="B6955" i="3"/>
  <c r="H6954" i="3"/>
  <c r="B6954" i="3"/>
  <c r="H6953" i="3"/>
  <c r="B6953" i="3"/>
  <c r="H6952" i="3"/>
  <c r="B6952" i="3"/>
  <c r="H6951" i="3"/>
  <c r="B6951" i="3"/>
  <c r="H6950" i="3"/>
  <c r="B6950" i="3"/>
  <c r="H6949" i="3"/>
  <c r="B6949" i="3"/>
  <c r="H6948" i="3"/>
  <c r="B6948" i="3"/>
  <c r="H6947" i="3"/>
  <c r="B6947" i="3"/>
  <c r="H6946" i="3"/>
  <c r="B6946" i="3"/>
  <c r="H6945" i="3"/>
  <c r="B6945" i="3"/>
  <c r="H6944" i="3"/>
  <c r="B6944" i="3"/>
  <c r="H6943" i="3"/>
  <c r="B6943" i="3"/>
  <c r="H6942" i="3"/>
  <c r="B6942" i="3"/>
  <c r="H6941" i="3"/>
  <c r="B6941" i="3"/>
  <c r="H6940" i="3"/>
  <c r="B6940" i="3"/>
  <c r="H6939" i="3"/>
  <c r="B6939" i="3"/>
  <c r="H6938" i="3"/>
  <c r="B6938" i="3"/>
  <c r="H6937" i="3"/>
  <c r="B6937" i="3"/>
  <c r="H6936" i="3"/>
  <c r="B6936" i="3"/>
  <c r="H6935" i="3"/>
  <c r="B6935" i="3"/>
  <c r="H6934" i="3"/>
  <c r="B6934" i="3"/>
  <c r="H6933" i="3"/>
  <c r="B6933" i="3"/>
  <c r="H6932" i="3"/>
  <c r="B6932" i="3"/>
  <c r="H6931" i="3"/>
  <c r="B6931" i="3"/>
  <c r="H6930" i="3"/>
  <c r="B6930" i="3"/>
  <c r="H6929" i="3"/>
  <c r="B6929" i="3"/>
  <c r="H6928" i="3"/>
  <c r="B6928" i="3"/>
  <c r="H6927" i="3"/>
  <c r="B6927" i="3"/>
  <c r="H6926" i="3"/>
  <c r="B6926" i="3"/>
  <c r="H6925" i="3"/>
  <c r="B6925" i="3"/>
  <c r="H6924" i="3"/>
  <c r="B6924" i="3"/>
  <c r="H6923" i="3"/>
  <c r="B6923" i="3"/>
  <c r="H6922" i="3"/>
  <c r="B6922" i="3"/>
  <c r="H6921" i="3"/>
  <c r="B6921" i="3"/>
  <c r="H6920" i="3"/>
  <c r="B6920" i="3"/>
  <c r="H6919" i="3"/>
  <c r="B6919" i="3"/>
  <c r="H6918" i="3"/>
  <c r="B6918" i="3"/>
  <c r="H6917" i="3"/>
  <c r="B6917" i="3"/>
  <c r="H6916" i="3"/>
  <c r="B6916" i="3"/>
  <c r="H6915" i="3"/>
  <c r="B6915" i="3"/>
  <c r="H6914" i="3"/>
  <c r="B6914" i="3"/>
  <c r="H6913" i="3"/>
  <c r="B6913" i="3"/>
  <c r="H6912" i="3"/>
  <c r="B6912" i="3"/>
  <c r="H6911" i="3"/>
  <c r="B6911" i="3"/>
  <c r="H6910" i="3"/>
  <c r="B6910" i="3"/>
  <c r="H6909" i="3"/>
  <c r="B6909" i="3"/>
  <c r="H6908" i="3"/>
  <c r="B6908" i="3"/>
  <c r="H6907" i="3"/>
  <c r="B6907" i="3"/>
  <c r="H6906" i="3"/>
  <c r="B6906" i="3"/>
  <c r="H6905" i="3"/>
  <c r="B6905" i="3"/>
  <c r="H6904" i="3"/>
  <c r="B6904" i="3"/>
  <c r="H6903" i="3"/>
  <c r="B6903" i="3"/>
  <c r="H6902" i="3"/>
  <c r="B6902" i="3"/>
  <c r="H6901" i="3"/>
  <c r="B6901" i="3"/>
  <c r="H6900" i="3"/>
  <c r="B6900" i="3"/>
  <c r="H6899" i="3"/>
  <c r="B6899" i="3"/>
  <c r="H6898" i="3"/>
  <c r="B6898" i="3"/>
  <c r="H6897" i="3"/>
  <c r="B6897" i="3"/>
  <c r="H6896" i="3"/>
  <c r="B6896" i="3"/>
  <c r="H6895" i="3"/>
  <c r="B6895" i="3"/>
  <c r="H6894" i="3"/>
  <c r="B6894" i="3"/>
  <c r="H6893" i="3"/>
  <c r="B6893" i="3"/>
  <c r="H6892" i="3"/>
  <c r="B6892" i="3"/>
  <c r="H6891" i="3"/>
  <c r="B6891" i="3"/>
  <c r="H6890" i="3"/>
  <c r="B6890" i="3"/>
  <c r="H6889" i="3"/>
  <c r="B6889" i="3"/>
  <c r="H6888" i="3"/>
  <c r="B6888" i="3"/>
  <c r="H6887" i="3"/>
  <c r="B6887" i="3"/>
  <c r="H6886" i="3"/>
  <c r="B6886" i="3"/>
  <c r="H6885" i="3"/>
  <c r="B6885" i="3"/>
  <c r="H6884" i="3"/>
  <c r="B6884" i="3"/>
  <c r="H6883" i="3"/>
  <c r="B6883" i="3"/>
  <c r="H6882" i="3"/>
  <c r="B6882" i="3"/>
  <c r="H6881" i="3"/>
  <c r="B6881" i="3"/>
  <c r="H6880" i="3"/>
  <c r="B6880" i="3"/>
  <c r="H6879" i="3"/>
  <c r="B6879" i="3"/>
  <c r="H6878" i="3"/>
  <c r="B6878" i="3"/>
  <c r="H6877" i="3"/>
  <c r="B6877" i="3"/>
  <c r="H6876" i="3"/>
  <c r="B6876" i="3"/>
  <c r="H6875" i="3"/>
  <c r="B6875" i="3"/>
  <c r="H6874" i="3"/>
  <c r="B6874" i="3"/>
  <c r="H6873" i="3"/>
  <c r="B6873" i="3"/>
  <c r="H6872" i="3"/>
  <c r="B6872" i="3"/>
  <c r="H6871" i="3"/>
  <c r="B6871" i="3"/>
  <c r="H6870" i="3"/>
  <c r="B6870" i="3"/>
  <c r="H6869" i="3"/>
  <c r="B6869" i="3"/>
  <c r="H6868" i="3"/>
  <c r="B6868" i="3"/>
  <c r="H6867" i="3"/>
  <c r="B6867" i="3"/>
  <c r="H6866" i="3"/>
  <c r="B6866" i="3"/>
  <c r="H6865" i="3"/>
  <c r="B6865" i="3"/>
  <c r="H6864" i="3"/>
  <c r="B6864" i="3"/>
  <c r="H6863" i="3"/>
  <c r="B6863" i="3"/>
  <c r="H6862" i="3"/>
  <c r="B6862" i="3"/>
  <c r="H6861" i="3"/>
  <c r="B6861" i="3"/>
  <c r="H6860" i="3"/>
  <c r="B6860" i="3"/>
  <c r="H6859" i="3"/>
  <c r="B6859" i="3"/>
  <c r="H6858" i="3"/>
  <c r="B6858" i="3"/>
  <c r="H6857" i="3"/>
  <c r="B6857" i="3"/>
  <c r="H6856" i="3"/>
  <c r="B6856" i="3"/>
  <c r="H6855" i="3"/>
  <c r="B6855" i="3"/>
  <c r="H6854" i="3"/>
  <c r="B6854" i="3"/>
  <c r="H6853" i="3"/>
  <c r="B6853" i="3"/>
  <c r="H6852" i="3"/>
  <c r="B6852" i="3"/>
  <c r="H6851" i="3"/>
  <c r="B6851" i="3"/>
  <c r="H6850" i="3"/>
  <c r="B6850" i="3"/>
  <c r="H6849" i="3"/>
  <c r="B6849" i="3"/>
  <c r="H6848" i="3"/>
  <c r="B6848" i="3"/>
  <c r="H6847" i="3"/>
  <c r="B6847" i="3"/>
  <c r="H6846" i="3"/>
  <c r="B6846" i="3"/>
  <c r="H6845" i="3"/>
  <c r="B6845" i="3"/>
  <c r="H6844" i="3"/>
  <c r="B6844" i="3"/>
  <c r="H6843" i="3"/>
  <c r="B6843" i="3"/>
  <c r="H6842" i="3"/>
  <c r="B6842" i="3"/>
  <c r="H6841" i="3"/>
  <c r="B6841" i="3"/>
  <c r="H6840" i="3"/>
  <c r="B6840" i="3"/>
  <c r="H6839" i="3"/>
  <c r="B6839" i="3"/>
  <c r="H6838" i="3"/>
  <c r="B6838" i="3"/>
  <c r="H6837" i="3"/>
  <c r="B6837" i="3"/>
  <c r="H6836" i="3"/>
  <c r="B6836" i="3"/>
  <c r="H6835" i="3"/>
  <c r="B6835" i="3"/>
  <c r="H6834" i="3"/>
  <c r="B6834" i="3"/>
  <c r="H6833" i="3"/>
  <c r="B6833" i="3"/>
  <c r="H6832" i="3"/>
  <c r="B6832" i="3"/>
  <c r="H6831" i="3"/>
  <c r="B6831" i="3"/>
  <c r="H6830" i="3"/>
  <c r="B6830" i="3"/>
  <c r="H6829" i="3"/>
  <c r="B6829" i="3"/>
  <c r="H6828" i="3"/>
  <c r="B6828" i="3"/>
  <c r="H6827" i="3"/>
  <c r="B6827" i="3"/>
  <c r="H6826" i="3"/>
  <c r="B6826" i="3"/>
  <c r="H6825" i="3"/>
  <c r="B6825" i="3"/>
  <c r="H6824" i="3"/>
  <c r="B6824" i="3"/>
  <c r="H6823" i="3"/>
  <c r="B6823" i="3"/>
  <c r="H6822" i="3"/>
  <c r="B6822" i="3"/>
  <c r="H6821" i="3"/>
  <c r="B6821" i="3"/>
  <c r="H6820" i="3"/>
  <c r="B6820" i="3"/>
  <c r="H6819" i="3"/>
  <c r="B6819" i="3"/>
  <c r="H6818" i="3"/>
  <c r="B6818" i="3"/>
  <c r="H6817" i="3"/>
  <c r="B6817" i="3"/>
  <c r="H6816" i="3"/>
  <c r="B6816" i="3"/>
  <c r="H6815" i="3"/>
  <c r="B6815" i="3"/>
  <c r="H6814" i="3"/>
  <c r="B6814" i="3"/>
  <c r="H6813" i="3"/>
  <c r="B6813" i="3"/>
  <c r="H6812" i="3"/>
  <c r="B6812" i="3"/>
  <c r="H6811" i="3"/>
  <c r="B6811" i="3"/>
  <c r="H6810" i="3"/>
  <c r="B6810" i="3"/>
  <c r="H6809" i="3"/>
  <c r="B6809" i="3"/>
  <c r="H6808" i="3"/>
  <c r="B6808" i="3"/>
  <c r="H6807" i="3"/>
  <c r="B6807" i="3"/>
  <c r="H6806" i="3"/>
  <c r="B6806" i="3"/>
  <c r="H6805" i="3"/>
  <c r="B6805" i="3"/>
  <c r="H6804" i="3"/>
  <c r="B6804" i="3"/>
  <c r="H6803" i="3"/>
  <c r="B6803" i="3"/>
  <c r="H6802" i="3"/>
  <c r="B6802" i="3"/>
  <c r="H6801" i="3"/>
  <c r="B6801" i="3"/>
  <c r="H6800" i="3"/>
  <c r="B6800" i="3"/>
  <c r="H6799" i="3"/>
  <c r="B6799" i="3"/>
  <c r="H6798" i="3"/>
  <c r="B6798" i="3"/>
  <c r="H6797" i="3"/>
  <c r="B6797" i="3"/>
  <c r="H6796" i="3"/>
  <c r="B6796" i="3"/>
  <c r="H6795" i="3"/>
  <c r="B6795" i="3"/>
  <c r="H6794" i="3"/>
  <c r="B6794" i="3"/>
  <c r="H6793" i="3"/>
  <c r="B6793" i="3"/>
  <c r="H6792" i="3"/>
  <c r="B6792" i="3"/>
  <c r="H6791" i="3"/>
  <c r="B6791" i="3"/>
  <c r="H6790" i="3"/>
  <c r="B6790" i="3"/>
  <c r="H6789" i="3"/>
  <c r="B6789" i="3"/>
  <c r="H6788" i="3"/>
  <c r="B6788" i="3"/>
  <c r="H6787" i="3"/>
  <c r="B6787" i="3"/>
  <c r="H6786" i="3"/>
  <c r="B6786" i="3"/>
  <c r="H6785" i="3"/>
  <c r="B6785" i="3"/>
  <c r="H6784" i="3"/>
  <c r="B6784" i="3"/>
  <c r="H6783" i="3"/>
  <c r="B6783" i="3"/>
  <c r="H6782" i="3"/>
  <c r="B6782" i="3"/>
  <c r="H6781" i="3"/>
  <c r="B6781" i="3"/>
  <c r="H6780" i="3"/>
  <c r="B6780" i="3"/>
  <c r="H6779" i="3"/>
  <c r="B6779" i="3"/>
  <c r="H6778" i="3"/>
  <c r="B6778" i="3"/>
  <c r="H6777" i="3"/>
  <c r="B6777" i="3"/>
  <c r="H6776" i="3"/>
  <c r="B6776" i="3"/>
  <c r="H6775" i="3"/>
  <c r="B6775" i="3"/>
  <c r="H6774" i="3"/>
  <c r="B6774" i="3"/>
  <c r="H6773" i="3"/>
  <c r="B6773" i="3"/>
  <c r="H6772" i="3"/>
  <c r="B6772" i="3"/>
  <c r="H6771" i="3"/>
  <c r="B6771" i="3"/>
  <c r="H6770" i="3"/>
  <c r="B6770" i="3"/>
  <c r="H6769" i="3"/>
  <c r="B6769" i="3"/>
  <c r="H6768" i="3"/>
  <c r="B6768" i="3"/>
  <c r="H6767" i="3"/>
  <c r="B6767" i="3"/>
  <c r="H6766" i="3"/>
  <c r="B6766" i="3"/>
  <c r="H6765" i="3"/>
  <c r="B6765" i="3"/>
  <c r="H6764" i="3"/>
  <c r="B6764" i="3"/>
  <c r="H6763" i="3"/>
  <c r="B6763" i="3"/>
  <c r="H6762" i="3"/>
  <c r="B6762" i="3"/>
  <c r="H6761" i="3"/>
  <c r="B6761" i="3"/>
  <c r="H6760" i="3"/>
  <c r="B6760" i="3"/>
  <c r="H6759" i="3"/>
  <c r="B6759" i="3"/>
  <c r="H6758" i="3"/>
  <c r="B6758" i="3"/>
  <c r="H6757" i="3"/>
  <c r="B6757" i="3"/>
  <c r="H6756" i="3"/>
  <c r="B6756" i="3"/>
  <c r="H6755" i="3"/>
  <c r="B6755" i="3"/>
  <c r="H6754" i="3"/>
  <c r="B6754" i="3"/>
  <c r="H6753" i="3"/>
  <c r="B6753" i="3"/>
  <c r="H6752" i="3"/>
  <c r="B6752" i="3"/>
  <c r="H6751" i="3"/>
  <c r="B6751" i="3"/>
  <c r="H6750" i="3"/>
  <c r="B6750" i="3"/>
  <c r="H6749" i="3"/>
  <c r="B6749" i="3"/>
  <c r="H6748" i="3"/>
  <c r="B6748" i="3"/>
  <c r="H6747" i="3"/>
  <c r="B6747" i="3"/>
  <c r="H6746" i="3"/>
  <c r="B6746" i="3"/>
  <c r="H6745" i="3"/>
  <c r="B6745" i="3"/>
  <c r="H6744" i="3"/>
  <c r="B6744" i="3"/>
  <c r="H6743" i="3"/>
  <c r="B6743" i="3"/>
  <c r="H6742" i="3"/>
  <c r="B6742" i="3"/>
  <c r="H6741" i="3"/>
  <c r="B6741" i="3"/>
  <c r="H6740" i="3"/>
  <c r="B6740" i="3"/>
  <c r="H6739" i="3"/>
  <c r="B6739" i="3"/>
  <c r="H6738" i="3"/>
  <c r="B6738" i="3"/>
  <c r="H6737" i="3"/>
  <c r="B6737" i="3"/>
  <c r="H6736" i="3"/>
  <c r="B6736" i="3"/>
  <c r="H6735" i="3"/>
  <c r="B6735" i="3"/>
  <c r="H6734" i="3"/>
  <c r="B6734" i="3"/>
  <c r="H6733" i="3"/>
  <c r="B6733" i="3"/>
  <c r="H6732" i="3"/>
  <c r="B6732" i="3"/>
  <c r="H6731" i="3"/>
  <c r="B6731" i="3"/>
  <c r="H6730" i="3"/>
  <c r="B6730" i="3"/>
  <c r="H6729" i="3"/>
  <c r="B6729" i="3"/>
  <c r="H6728" i="3"/>
  <c r="B6728" i="3"/>
  <c r="H6727" i="3"/>
  <c r="B6727" i="3"/>
  <c r="H6726" i="3"/>
  <c r="B6726" i="3"/>
  <c r="H6725" i="3"/>
  <c r="B6725" i="3"/>
  <c r="H6724" i="3"/>
  <c r="B6724" i="3"/>
  <c r="H6723" i="3"/>
  <c r="B6723" i="3"/>
  <c r="H6722" i="3"/>
  <c r="B6722" i="3"/>
  <c r="H6721" i="3"/>
  <c r="B6721" i="3"/>
  <c r="H6720" i="3"/>
  <c r="B6720" i="3"/>
  <c r="H6719" i="3"/>
  <c r="B6719" i="3"/>
  <c r="H6718" i="3"/>
  <c r="B6718" i="3"/>
  <c r="H6717" i="3"/>
  <c r="B6717" i="3"/>
  <c r="H6716" i="3"/>
  <c r="B6716" i="3"/>
  <c r="H6715" i="3"/>
  <c r="B6715" i="3"/>
  <c r="H6714" i="3"/>
  <c r="B6714" i="3"/>
  <c r="H6713" i="3"/>
  <c r="B6713" i="3"/>
  <c r="H6712" i="3"/>
  <c r="B6712" i="3"/>
  <c r="H6711" i="3"/>
  <c r="B6711" i="3"/>
  <c r="H6710" i="3"/>
  <c r="B6710" i="3"/>
  <c r="H6709" i="3"/>
  <c r="B6709" i="3"/>
  <c r="H6708" i="3"/>
  <c r="B6708" i="3"/>
  <c r="H6707" i="3"/>
  <c r="B6707" i="3"/>
  <c r="H6706" i="3"/>
  <c r="B6706" i="3"/>
  <c r="H6705" i="3"/>
  <c r="B6705" i="3"/>
  <c r="H6704" i="3"/>
  <c r="B6704" i="3"/>
  <c r="H6703" i="3"/>
  <c r="B6703" i="3"/>
  <c r="H6702" i="3"/>
  <c r="B6702" i="3"/>
  <c r="H6701" i="3"/>
  <c r="B6701" i="3"/>
  <c r="H6700" i="3"/>
  <c r="B6700" i="3"/>
  <c r="H6699" i="3"/>
  <c r="B6699" i="3"/>
  <c r="H6698" i="3"/>
  <c r="B6698" i="3"/>
  <c r="H6697" i="3"/>
  <c r="B6697" i="3"/>
  <c r="H6696" i="3"/>
  <c r="B6696" i="3"/>
  <c r="H6695" i="3"/>
  <c r="B6695" i="3"/>
  <c r="H6694" i="3"/>
  <c r="B6694" i="3"/>
  <c r="H6693" i="3"/>
  <c r="B6693" i="3"/>
  <c r="H6692" i="3"/>
  <c r="B6692" i="3"/>
  <c r="H6691" i="3"/>
  <c r="B6691" i="3"/>
  <c r="H6690" i="3"/>
  <c r="B6690" i="3"/>
  <c r="H6689" i="3"/>
  <c r="B6689" i="3"/>
  <c r="H6688" i="3"/>
  <c r="B6688" i="3"/>
  <c r="H6687" i="3"/>
  <c r="B6687" i="3"/>
  <c r="H6686" i="3"/>
  <c r="B6686" i="3"/>
  <c r="H6685" i="3"/>
  <c r="B6685" i="3"/>
  <c r="H6684" i="3"/>
  <c r="B6684" i="3"/>
  <c r="H6683" i="3"/>
  <c r="B6683" i="3"/>
  <c r="H6682" i="3"/>
  <c r="B6682" i="3"/>
  <c r="H6681" i="3"/>
  <c r="B6681" i="3"/>
  <c r="H6680" i="3"/>
  <c r="B6680" i="3"/>
  <c r="H6679" i="3"/>
  <c r="B6679" i="3"/>
  <c r="H6678" i="3"/>
  <c r="B6678" i="3"/>
  <c r="H6677" i="3"/>
  <c r="B6677" i="3"/>
  <c r="H6676" i="3"/>
  <c r="B6676" i="3"/>
  <c r="H6675" i="3"/>
  <c r="B6675" i="3"/>
  <c r="H6674" i="3"/>
  <c r="B6674" i="3"/>
  <c r="H6673" i="3"/>
  <c r="B6673" i="3"/>
  <c r="H6672" i="3"/>
  <c r="B6672" i="3"/>
  <c r="H6671" i="3"/>
  <c r="B6671" i="3"/>
  <c r="H6670" i="3"/>
  <c r="B6670" i="3"/>
  <c r="H6669" i="3"/>
  <c r="B6669" i="3"/>
  <c r="H6668" i="3"/>
  <c r="B6668" i="3"/>
  <c r="H6667" i="3"/>
  <c r="B6667" i="3"/>
  <c r="H6666" i="3"/>
  <c r="B6666" i="3"/>
  <c r="H6665" i="3"/>
  <c r="B6665" i="3"/>
  <c r="H6664" i="3"/>
  <c r="B6664" i="3"/>
  <c r="H6663" i="3"/>
  <c r="B6663" i="3"/>
  <c r="H6662" i="3"/>
  <c r="B6662" i="3"/>
  <c r="H6661" i="3"/>
  <c r="B6661" i="3"/>
  <c r="H6660" i="3"/>
  <c r="B6660" i="3"/>
  <c r="H6659" i="3"/>
  <c r="B6659" i="3"/>
  <c r="H6658" i="3"/>
  <c r="B6658" i="3"/>
  <c r="H6657" i="3"/>
  <c r="B6657" i="3"/>
  <c r="H6656" i="3"/>
  <c r="B6656" i="3"/>
  <c r="H6655" i="3"/>
  <c r="B6655" i="3"/>
  <c r="H6654" i="3"/>
  <c r="B6654" i="3"/>
  <c r="H6653" i="3"/>
  <c r="B6653" i="3"/>
  <c r="H6652" i="3"/>
  <c r="B6652" i="3"/>
  <c r="H6651" i="3"/>
  <c r="B6651" i="3"/>
  <c r="H6650" i="3"/>
  <c r="B6650" i="3"/>
  <c r="H6649" i="3"/>
  <c r="B6649" i="3"/>
  <c r="H6648" i="3"/>
  <c r="B6648" i="3"/>
  <c r="H6647" i="3"/>
  <c r="B6647" i="3"/>
  <c r="H6646" i="3"/>
  <c r="B6646" i="3"/>
  <c r="H6645" i="3"/>
  <c r="B6645" i="3"/>
  <c r="H6644" i="3"/>
  <c r="B6644" i="3"/>
  <c r="H6643" i="3"/>
  <c r="B6643" i="3"/>
  <c r="H6642" i="3"/>
  <c r="B6642" i="3"/>
  <c r="H6641" i="3"/>
  <c r="B6641" i="3"/>
  <c r="H6640" i="3"/>
  <c r="B6640" i="3"/>
  <c r="H6639" i="3"/>
  <c r="B6639" i="3"/>
  <c r="H6638" i="3"/>
  <c r="B6638" i="3"/>
  <c r="H6637" i="3"/>
  <c r="B6637" i="3"/>
  <c r="H6636" i="3"/>
  <c r="B6636" i="3"/>
  <c r="H6635" i="3"/>
  <c r="B6635" i="3"/>
  <c r="H6634" i="3"/>
  <c r="B6634" i="3"/>
  <c r="H6633" i="3"/>
  <c r="B6633" i="3"/>
  <c r="H6632" i="3"/>
  <c r="B6632" i="3"/>
  <c r="H6631" i="3"/>
  <c r="B6631" i="3"/>
  <c r="H6630" i="3"/>
  <c r="B6630" i="3"/>
  <c r="H6629" i="3"/>
  <c r="B6629" i="3"/>
  <c r="H6628" i="3"/>
  <c r="B6628" i="3"/>
  <c r="H6627" i="3"/>
  <c r="B6627" i="3"/>
  <c r="H6626" i="3"/>
  <c r="B6626" i="3"/>
  <c r="H6625" i="3"/>
  <c r="B6625" i="3"/>
  <c r="H6624" i="3"/>
  <c r="B6624" i="3"/>
  <c r="H6623" i="3"/>
  <c r="B6623" i="3"/>
  <c r="H6622" i="3"/>
  <c r="B6622" i="3"/>
  <c r="H6621" i="3"/>
  <c r="B6621" i="3"/>
  <c r="H6620" i="3"/>
  <c r="B6620" i="3"/>
  <c r="H6619" i="3"/>
  <c r="B6619" i="3"/>
  <c r="H6618" i="3"/>
  <c r="B6618" i="3"/>
  <c r="H6617" i="3"/>
  <c r="B6617" i="3"/>
  <c r="H6616" i="3"/>
  <c r="B6616" i="3"/>
  <c r="H6615" i="3"/>
  <c r="B6615" i="3"/>
  <c r="H6614" i="3"/>
  <c r="B6614" i="3"/>
  <c r="H6613" i="3"/>
  <c r="B6613" i="3"/>
  <c r="H6612" i="3"/>
  <c r="B6612" i="3"/>
  <c r="H6611" i="3"/>
  <c r="B6611" i="3"/>
  <c r="H6610" i="3"/>
  <c r="B6610" i="3"/>
  <c r="H6609" i="3"/>
  <c r="B6609" i="3"/>
  <c r="H6608" i="3"/>
  <c r="B6608" i="3"/>
  <c r="H6607" i="3"/>
  <c r="B6607" i="3"/>
  <c r="H6606" i="3"/>
  <c r="B6606" i="3"/>
  <c r="H6605" i="3"/>
  <c r="B6605" i="3"/>
  <c r="H6604" i="3"/>
  <c r="B6604" i="3"/>
  <c r="H6603" i="3"/>
  <c r="B6603" i="3"/>
  <c r="H6602" i="3"/>
  <c r="B6602" i="3"/>
  <c r="H6601" i="3"/>
  <c r="B6601" i="3"/>
  <c r="H6600" i="3"/>
  <c r="B6600" i="3"/>
  <c r="H6599" i="3"/>
  <c r="B6599" i="3"/>
  <c r="H6598" i="3"/>
  <c r="B6598" i="3"/>
  <c r="H6597" i="3"/>
  <c r="B6597" i="3"/>
  <c r="H6596" i="3"/>
  <c r="B6596" i="3"/>
  <c r="H6595" i="3"/>
  <c r="B6595" i="3"/>
  <c r="H6594" i="3"/>
  <c r="B6594" i="3"/>
  <c r="H6593" i="3"/>
  <c r="B6593" i="3"/>
  <c r="H6592" i="3"/>
  <c r="B6592" i="3"/>
  <c r="H6591" i="3"/>
  <c r="B6591" i="3"/>
  <c r="H6590" i="3"/>
  <c r="B6590" i="3"/>
  <c r="H6589" i="3"/>
  <c r="B6589" i="3"/>
  <c r="H6588" i="3"/>
  <c r="B6588" i="3"/>
  <c r="H6587" i="3"/>
  <c r="B6587" i="3"/>
  <c r="H6586" i="3"/>
  <c r="B6586" i="3"/>
  <c r="H6585" i="3"/>
  <c r="B6585" i="3"/>
  <c r="H6584" i="3"/>
  <c r="B6584" i="3"/>
  <c r="H6583" i="3"/>
  <c r="B6583" i="3"/>
  <c r="H6582" i="3"/>
  <c r="B6582" i="3"/>
  <c r="H6581" i="3"/>
  <c r="B6581" i="3"/>
  <c r="H6580" i="3"/>
  <c r="B6580" i="3"/>
  <c r="H6579" i="3"/>
  <c r="B6579" i="3"/>
  <c r="H6578" i="3"/>
  <c r="B6578" i="3"/>
  <c r="H6577" i="3"/>
  <c r="B6577" i="3"/>
  <c r="H6576" i="3"/>
  <c r="B6576" i="3"/>
  <c r="H6575" i="3"/>
  <c r="B6575" i="3"/>
  <c r="H6574" i="3"/>
  <c r="B6574" i="3"/>
  <c r="H6573" i="3"/>
  <c r="B6573" i="3"/>
  <c r="H6572" i="3"/>
  <c r="B6572" i="3"/>
  <c r="H6571" i="3"/>
  <c r="B6571" i="3"/>
  <c r="H6570" i="3"/>
  <c r="B6570" i="3"/>
  <c r="H6569" i="3"/>
  <c r="B6569" i="3"/>
  <c r="H6568" i="3"/>
  <c r="B6568" i="3"/>
  <c r="H6567" i="3"/>
  <c r="B6567" i="3"/>
  <c r="H6566" i="3"/>
  <c r="B6566" i="3"/>
  <c r="H6565" i="3"/>
  <c r="B6565" i="3"/>
  <c r="H6564" i="3"/>
  <c r="B6564" i="3"/>
  <c r="H6563" i="3"/>
  <c r="B6563" i="3"/>
  <c r="H6562" i="3"/>
  <c r="B6562" i="3"/>
  <c r="H6561" i="3"/>
  <c r="B6561" i="3"/>
  <c r="H6560" i="3"/>
  <c r="B6560" i="3"/>
  <c r="H6559" i="3"/>
  <c r="B6559" i="3"/>
  <c r="H6558" i="3"/>
  <c r="B6558" i="3"/>
  <c r="H6557" i="3"/>
  <c r="B6557" i="3"/>
  <c r="H6556" i="3"/>
  <c r="B6556" i="3"/>
  <c r="H6555" i="3"/>
  <c r="B6555" i="3"/>
  <c r="H6554" i="3"/>
  <c r="B6554" i="3"/>
  <c r="H6553" i="3"/>
  <c r="B6553" i="3"/>
  <c r="H6552" i="3"/>
  <c r="B6552" i="3"/>
  <c r="H6551" i="3"/>
  <c r="B6551" i="3"/>
  <c r="H6550" i="3"/>
  <c r="B6550" i="3"/>
  <c r="H6549" i="3"/>
  <c r="B6549" i="3"/>
  <c r="H6548" i="3"/>
  <c r="B6548" i="3"/>
  <c r="H6547" i="3"/>
  <c r="B6547" i="3"/>
  <c r="H6546" i="3"/>
  <c r="B6546" i="3"/>
  <c r="H6545" i="3"/>
  <c r="B6545" i="3"/>
  <c r="H6544" i="3"/>
  <c r="B6544" i="3"/>
  <c r="H6543" i="3"/>
  <c r="B6543" i="3"/>
  <c r="H6542" i="3"/>
  <c r="B6542" i="3"/>
  <c r="H6541" i="3"/>
  <c r="B6541" i="3"/>
  <c r="H6540" i="3"/>
  <c r="B6540" i="3"/>
  <c r="H6539" i="3"/>
  <c r="B6539" i="3"/>
  <c r="H6538" i="3"/>
  <c r="B6538" i="3"/>
  <c r="H6537" i="3"/>
  <c r="B6537" i="3"/>
  <c r="H6536" i="3"/>
  <c r="B6536" i="3"/>
  <c r="H6535" i="3"/>
  <c r="B6535" i="3"/>
  <c r="H6534" i="3"/>
  <c r="B6534" i="3"/>
  <c r="H6533" i="3"/>
  <c r="B6533" i="3"/>
  <c r="H6532" i="3"/>
  <c r="B6532" i="3"/>
  <c r="H6531" i="3"/>
  <c r="B6531" i="3"/>
  <c r="H6530" i="3"/>
  <c r="B6530" i="3"/>
  <c r="H6529" i="3"/>
  <c r="B6529" i="3"/>
  <c r="H6528" i="3"/>
  <c r="B6528" i="3"/>
  <c r="H6527" i="3"/>
  <c r="B6527" i="3"/>
  <c r="H6526" i="3"/>
  <c r="B6526" i="3"/>
  <c r="H6525" i="3"/>
  <c r="B6525" i="3"/>
  <c r="H6524" i="3"/>
  <c r="B6524" i="3"/>
  <c r="H6523" i="3"/>
  <c r="B6523" i="3"/>
  <c r="H6522" i="3"/>
  <c r="B6522" i="3"/>
  <c r="H6521" i="3"/>
  <c r="B6521" i="3"/>
  <c r="H6520" i="3"/>
  <c r="B6520" i="3"/>
  <c r="H6519" i="3"/>
  <c r="B6519" i="3"/>
  <c r="H6518" i="3"/>
  <c r="B6518" i="3"/>
  <c r="H6517" i="3"/>
  <c r="B6517" i="3"/>
  <c r="H6516" i="3"/>
  <c r="B6516" i="3"/>
  <c r="H6515" i="3"/>
  <c r="B6515" i="3"/>
  <c r="H6514" i="3"/>
  <c r="B6514" i="3"/>
  <c r="H6513" i="3"/>
  <c r="B6513" i="3"/>
  <c r="H6512" i="3"/>
  <c r="B6512" i="3"/>
  <c r="H6511" i="3"/>
  <c r="B6511" i="3"/>
  <c r="H6510" i="3"/>
  <c r="B6510" i="3"/>
  <c r="H6509" i="3"/>
  <c r="B6509" i="3"/>
  <c r="H6508" i="3"/>
  <c r="B6508" i="3"/>
  <c r="H6507" i="3"/>
  <c r="B6507" i="3"/>
  <c r="H6506" i="3"/>
  <c r="B6506" i="3"/>
  <c r="H6505" i="3"/>
  <c r="B6505" i="3"/>
  <c r="H6504" i="3"/>
  <c r="B6504" i="3"/>
  <c r="H6503" i="3"/>
  <c r="B6503" i="3"/>
  <c r="H6502" i="3"/>
  <c r="B6502" i="3"/>
  <c r="H6501" i="3"/>
  <c r="B6501" i="3"/>
  <c r="H6500" i="3"/>
  <c r="B6500" i="3"/>
  <c r="H6499" i="3"/>
  <c r="B6499" i="3"/>
  <c r="H6498" i="3"/>
  <c r="B6498" i="3"/>
  <c r="H6497" i="3"/>
  <c r="B6497" i="3"/>
  <c r="H6496" i="3"/>
  <c r="B6496" i="3"/>
  <c r="H6495" i="3"/>
  <c r="B6495" i="3"/>
  <c r="H6494" i="3"/>
  <c r="B6494" i="3"/>
  <c r="H6493" i="3"/>
  <c r="B6493" i="3"/>
  <c r="H6492" i="3"/>
  <c r="B6492" i="3"/>
  <c r="H6491" i="3"/>
  <c r="B6491" i="3"/>
  <c r="H6490" i="3"/>
  <c r="B6490" i="3"/>
  <c r="H6489" i="3"/>
  <c r="B6489" i="3"/>
  <c r="H6488" i="3"/>
  <c r="B6488" i="3"/>
  <c r="H6487" i="3"/>
  <c r="B6487" i="3"/>
  <c r="H6486" i="3"/>
  <c r="B6486" i="3"/>
  <c r="H6485" i="3"/>
  <c r="B6485" i="3"/>
  <c r="H6484" i="3"/>
  <c r="B6484" i="3"/>
  <c r="H6483" i="3"/>
  <c r="B6483" i="3"/>
  <c r="H6482" i="3"/>
  <c r="B6482" i="3"/>
  <c r="H6481" i="3"/>
  <c r="B6481" i="3"/>
  <c r="H6480" i="3"/>
  <c r="B6480" i="3"/>
  <c r="H6479" i="3"/>
  <c r="B6479" i="3"/>
  <c r="H6478" i="3"/>
  <c r="B6478" i="3"/>
  <c r="H6477" i="3"/>
  <c r="B6477" i="3"/>
  <c r="H6476" i="3"/>
  <c r="B6476" i="3"/>
  <c r="H6475" i="3"/>
  <c r="B6475" i="3"/>
  <c r="H6474" i="3"/>
  <c r="B6474" i="3"/>
  <c r="H6473" i="3"/>
  <c r="B6473" i="3"/>
  <c r="H6472" i="3"/>
  <c r="B6472" i="3"/>
  <c r="H6471" i="3"/>
  <c r="B6471" i="3"/>
  <c r="H6470" i="3"/>
  <c r="B6470" i="3"/>
  <c r="H6469" i="3"/>
  <c r="B6469" i="3"/>
  <c r="H6468" i="3"/>
  <c r="B6468" i="3"/>
  <c r="H6467" i="3"/>
  <c r="B6467" i="3"/>
  <c r="H6466" i="3"/>
  <c r="B6466" i="3"/>
  <c r="H6465" i="3"/>
  <c r="B6465" i="3"/>
  <c r="H6464" i="3"/>
  <c r="B6464" i="3"/>
  <c r="H6463" i="3"/>
  <c r="B6463" i="3"/>
  <c r="H6462" i="3"/>
  <c r="B6462" i="3"/>
  <c r="H6461" i="3"/>
  <c r="B6461" i="3"/>
  <c r="H6460" i="3"/>
  <c r="B6460" i="3"/>
  <c r="H6459" i="3"/>
  <c r="B6459" i="3"/>
  <c r="H6458" i="3"/>
  <c r="B6458" i="3"/>
  <c r="H6457" i="3"/>
  <c r="B6457" i="3"/>
  <c r="H6456" i="3"/>
  <c r="B6456" i="3"/>
  <c r="H6455" i="3"/>
  <c r="B6455" i="3"/>
  <c r="H6454" i="3"/>
  <c r="B6454" i="3"/>
  <c r="H6453" i="3"/>
  <c r="B6453" i="3"/>
  <c r="H6452" i="3"/>
  <c r="B6452" i="3"/>
  <c r="H6451" i="3"/>
  <c r="B6451" i="3"/>
  <c r="H6450" i="3"/>
  <c r="B6450" i="3"/>
  <c r="H6449" i="3"/>
  <c r="B6449" i="3"/>
  <c r="H6448" i="3"/>
  <c r="B6448" i="3"/>
  <c r="H6447" i="3"/>
  <c r="B6447" i="3"/>
  <c r="H6446" i="3"/>
  <c r="B6446" i="3"/>
  <c r="H6445" i="3"/>
  <c r="B6445" i="3"/>
  <c r="H6444" i="3"/>
  <c r="B6444" i="3"/>
  <c r="H6443" i="3"/>
  <c r="B6443" i="3"/>
  <c r="H6442" i="3"/>
  <c r="B6442" i="3"/>
  <c r="H6441" i="3"/>
  <c r="B6441" i="3"/>
  <c r="H6440" i="3"/>
  <c r="B6440" i="3"/>
  <c r="H6439" i="3"/>
  <c r="B6439" i="3"/>
  <c r="H6438" i="3"/>
  <c r="B6438" i="3"/>
  <c r="H6437" i="3"/>
  <c r="B6437" i="3"/>
  <c r="H6436" i="3"/>
  <c r="B6436" i="3"/>
  <c r="H6435" i="3"/>
  <c r="B6435" i="3"/>
  <c r="H6434" i="3"/>
  <c r="B6434" i="3"/>
  <c r="H6433" i="3"/>
  <c r="B6433" i="3"/>
  <c r="H6432" i="3"/>
  <c r="B6432" i="3"/>
  <c r="H6431" i="3"/>
  <c r="B6431" i="3"/>
  <c r="H6430" i="3"/>
  <c r="B6430" i="3"/>
  <c r="H6429" i="3"/>
  <c r="B6429" i="3"/>
  <c r="H6428" i="3"/>
  <c r="B6428" i="3"/>
  <c r="H6427" i="3"/>
  <c r="B6427" i="3"/>
  <c r="H6426" i="3"/>
  <c r="B6426" i="3"/>
  <c r="H6425" i="3"/>
  <c r="B6425" i="3"/>
  <c r="H6424" i="3"/>
  <c r="B6424" i="3"/>
  <c r="H6423" i="3"/>
  <c r="B6423" i="3"/>
  <c r="H6422" i="3"/>
  <c r="B6422" i="3"/>
  <c r="H6421" i="3"/>
  <c r="B6421" i="3"/>
  <c r="H6420" i="3"/>
  <c r="B6420" i="3"/>
  <c r="H6419" i="3"/>
  <c r="B6419" i="3"/>
  <c r="H6418" i="3"/>
  <c r="B6418" i="3"/>
  <c r="H6417" i="3"/>
  <c r="B6417" i="3"/>
  <c r="H6416" i="3"/>
  <c r="B6416" i="3"/>
  <c r="H6415" i="3"/>
  <c r="B6415" i="3"/>
  <c r="H6414" i="3"/>
  <c r="B6414" i="3"/>
  <c r="H6413" i="3"/>
  <c r="B6413" i="3"/>
  <c r="H6412" i="3"/>
  <c r="B6412" i="3"/>
  <c r="H6411" i="3"/>
  <c r="B6411" i="3"/>
  <c r="H6410" i="3"/>
  <c r="B6410" i="3"/>
  <c r="H6409" i="3"/>
  <c r="B6409" i="3"/>
  <c r="H6408" i="3"/>
  <c r="B6408" i="3"/>
  <c r="H6407" i="3"/>
  <c r="B6407" i="3"/>
  <c r="H6406" i="3"/>
  <c r="B6406" i="3"/>
  <c r="H6405" i="3"/>
  <c r="B6405" i="3"/>
  <c r="H6404" i="3"/>
  <c r="B6404" i="3"/>
  <c r="H6403" i="3"/>
  <c r="B6403" i="3"/>
  <c r="H6402" i="3"/>
  <c r="B6402" i="3"/>
  <c r="H6401" i="3"/>
  <c r="B6401" i="3"/>
  <c r="H6400" i="3"/>
  <c r="B6400" i="3"/>
  <c r="H6399" i="3"/>
  <c r="B6399" i="3"/>
  <c r="H6398" i="3"/>
  <c r="B6398" i="3"/>
  <c r="H6397" i="3"/>
  <c r="B6397" i="3"/>
  <c r="H6396" i="3"/>
  <c r="B6396" i="3"/>
  <c r="H6395" i="3"/>
  <c r="B6395" i="3"/>
  <c r="H6394" i="3"/>
  <c r="B6394" i="3"/>
  <c r="H6393" i="3"/>
  <c r="B6393" i="3"/>
  <c r="H6392" i="3"/>
  <c r="B6392" i="3"/>
  <c r="H6391" i="3"/>
  <c r="B6391" i="3"/>
  <c r="H6390" i="3"/>
  <c r="B6390" i="3"/>
  <c r="H6389" i="3"/>
  <c r="B6389" i="3"/>
  <c r="H6388" i="3"/>
  <c r="B6388" i="3"/>
  <c r="H6387" i="3"/>
  <c r="B6387" i="3"/>
  <c r="H6386" i="3"/>
  <c r="B6386" i="3"/>
  <c r="H6385" i="3"/>
  <c r="B6385" i="3"/>
  <c r="H6384" i="3"/>
  <c r="B6384" i="3"/>
  <c r="H6383" i="3"/>
  <c r="B6383" i="3"/>
  <c r="H6382" i="3"/>
  <c r="B6382" i="3"/>
  <c r="H6381" i="3"/>
  <c r="B6381" i="3"/>
  <c r="H6380" i="3"/>
  <c r="B6380" i="3"/>
  <c r="H6379" i="3"/>
  <c r="B6379" i="3"/>
  <c r="H6378" i="3"/>
  <c r="B6378" i="3"/>
  <c r="H6377" i="3"/>
  <c r="B6377" i="3"/>
  <c r="H6376" i="3"/>
  <c r="B6376" i="3"/>
  <c r="H6375" i="3"/>
  <c r="B6375" i="3"/>
  <c r="H6374" i="3"/>
  <c r="B6374" i="3"/>
  <c r="H6373" i="3"/>
  <c r="B6373" i="3"/>
  <c r="H6372" i="3"/>
  <c r="B6372" i="3"/>
  <c r="H6371" i="3"/>
  <c r="B6371" i="3"/>
  <c r="H6370" i="3"/>
  <c r="B6370" i="3"/>
  <c r="H6369" i="3"/>
  <c r="B6369" i="3"/>
  <c r="H6368" i="3"/>
  <c r="B6368" i="3"/>
  <c r="H6367" i="3"/>
  <c r="B6367" i="3"/>
  <c r="H6366" i="3"/>
  <c r="B6366" i="3"/>
  <c r="H6365" i="3"/>
  <c r="B6365" i="3"/>
  <c r="H6364" i="3"/>
  <c r="B6364" i="3"/>
  <c r="H6363" i="3"/>
  <c r="B6363" i="3"/>
  <c r="H6362" i="3"/>
  <c r="B6362" i="3"/>
  <c r="H6361" i="3"/>
  <c r="B6361" i="3"/>
  <c r="H6360" i="3"/>
  <c r="B6360" i="3"/>
  <c r="H6359" i="3"/>
  <c r="B6359" i="3"/>
  <c r="H6358" i="3"/>
  <c r="B6358" i="3"/>
  <c r="H6357" i="3"/>
  <c r="B6357" i="3"/>
  <c r="H6356" i="3"/>
  <c r="B6356" i="3"/>
  <c r="H6355" i="3"/>
  <c r="B6355" i="3"/>
  <c r="H6354" i="3"/>
  <c r="B6354" i="3"/>
  <c r="H6353" i="3"/>
  <c r="B6353" i="3"/>
  <c r="H6352" i="3"/>
  <c r="B6352" i="3"/>
  <c r="H6351" i="3"/>
  <c r="B6351" i="3"/>
  <c r="H6350" i="3"/>
  <c r="B6350" i="3"/>
  <c r="H6349" i="3"/>
  <c r="B6349" i="3"/>
  <c r="H6348" i="3"/>
  <c r="B6348" i="3"/>
  <c r="H6347" i="3"/>
  <c r="B6347" i="3"/>
  <c r="H6346" i="3"/>
  <c r="B6346" i="3"/>
  <c r="H6345" i="3"/>
  <c r="B6345" i="3"/>
  <c r="H6344" i="3"/>
  <c r="B6344" i="3"/>
  <c r="H6343" i="3"/>
  <c r="B6343" i="3"/>
  <c r="H6342" i="3"/>
  <c r="B6342" i="3"/>
  <c r="H6341" i="3"/>
  <c r="B6341" i="3"/>
  <c r="H6340" i="3"/>
  <c r="B6340" i="3"/>
  <c r="H6339" i="3"/>
  <c r="B6339" i="3"/>
  <c r="H6338" i="3"/>
  <c r="B6338" i="3"/>
  <c r="H6337" i="3"/>
  <c r="B6337" i="3"/>
  <c r="H6336" i="3"/>
  <c r="B6336" i="3"/>
  <c r="H6335" i="3"/>
  <c r="B6335" i="3"/>
  <c r="H6334" i="3"/>
  <c r="B6334" i="3"/>
  <c r="H6333" i="3"/>
  <c r="B6333" i="3"/>
  <c r="H6332" i="3"/>
  <c r="B6332" i="3"/>
  <c r="H6331" i="3"/>
  <c r="B6331" i="3"/>
  <c r="H6330" i="3"/>
  <c r="B6330" i="3"/>
  <c r="H6329" i="3"/>
  <c r="B6329" i="3"/>
  <c r="H6328" i="3"/>
  <c r="B6328" i="3"/>
  <c r="H6327" i="3"/>
  <c r="B6327" i="3"/>
  <c r="H6326" i="3"/>
  <c r="B6326" i="3"/>
  <c r="H6325" i="3"/>
  <c r="B6325" i="3"/>
  <c r="H6324" i="3"/>
  <c r="B6324" i="3"/>
  <c r="H6323" i="3"/>
  <c r="B6323" i="3"/>
  <c r="H6322" i="3"/>
  <c r="B6322" i="3"/>
  <c r="H6321" i="3"/>
  <c r="B6321" i="3"/>
  <c r="H6320" i="3"/>
  <c r="B6320" i="3"/>
  <c r="H6319" i="3"/>
  <c r="B6319" i="3"/>
  <c r="H6318" i="3"/>
  <c r="B6318" i="3"/>
  <c r="H6317" i="3"/>
  <c r="B6317" i="3"/>
  <c r="H6316" i="3"/>
  <c r="B6316" i="3"/>
  <c r="H6315" i="3"/>
  <c r="B6315" i="3"/>
  <c r="H6314" i="3"/>
  <c r="B6314" i="3"/>
  <c r="H6313" i="3"/>
  <c r="B6313" i="3"/>
  <c r="H6312" i="3"/>
  <c r="B6312" i="3"/>
  <c r="H6311" i="3"/>
  <c r="B6311" i="3"/>
  <c r="H6310" i="3"/>
  <c r="B6310" i="3"/>
  <c r="H6309" i="3"/>
  <c r="B6309" i="3"/>
  <c r="H6308" i="3"/>
  <c r="B6308" i="3"/>
  <c r="H6307" i="3"/>
  <c r="B6307" i="3"/>
  <c r="H6306" i="3"/>
  <c r="B6306" i="3"/>
  <c r="H6305" i="3"/>
  <c r="B6305" i="3"/>
  <c r="H6304" i="3"/>
  <c r="B6304" i="3"/>
  <c r="H6303" i="3"/>
  <c r="B6303" i="3"/>
  <c r="H6302" i="3"/>
  <c r="B6302" i="3"/>
  <c r="H6301" i="3"/>
  <c r="B6301" i="3"/>
  <c r="H6300" i="3"/>
  <c r="B6300" i="3"/>
  <c r="H6299" i="3"/>
  <c r="B6299" i="3"/>
  <c r="H6298" i="3"/>
  <c r="B6298" i="3"/>
  <c r="H6297" i="3"/>
  <c r="B6297" i="3"/>
  <c r="H6296" i="3"/>
  <c r="B6296" i="3"/>
  <c r="H6295" i="3"/>
  <c r="B6295" i="3"/>
  <c r="H6294" i="3"/>
  <c r="B6294" i="3"/>
  <c r="H6293" i="3"/>
  <c r="B6293" i="3"/>
  <c r="H6292" i="3"/>
  <c r="B6292" i="3"/>
  <c r="H6291" i="3"/>
  <c r="B6291" i="3"/>
  <c r="H6290" i="3"/>
  <c r="B6290" i="3"/>
  <c r="H6289" i="3"/>
  <c r="B6289" i="3"/>
  <c r="H6288" i="3"/>
  <c r="B6288" i="3"/>
  <c r="H6287" i="3"/>
  <c r="B6287" i="3"/>
  <c r="H6286" i="3"/>
  <c r="B6286" i="3"/>
  <c r="H6285" i="3"/>
  <c r="B6285" i="3"/>
  <c r="H6284" i="3"/>
  <c r="B6284" i="3"/>
  <c r="H6283" i="3"/>
  <c r="B6283" i="3"/>
  <c r="H6282" i="3"/>
  <c r="B6282" i="3"/>
  <c r="H6281" i="3"/>
  <c r="B6281" i="3"/>
  <c r="H6280" i="3"/>
  <c r="B6280" i="3"/>
  <c r="H6279" i="3"/>
  <c r="B6279" i="3"/>
  <c r="H6278" i="3"/>
  <c r="B6278" i="3"/>
  <c r="H6277" i="3"/>
  <c r="B6277" i="3"/>
  <c r="H6276" i="3"/>
  <c r="B6276" i="3"/>
  <c r="H6275" i="3"/>
  <c r="B6275" i="3"/>
  <c r="H6274" i="3"/>
  <c r="B6274" i="3"/>
  <c r="H6273" i="3"/>
  <c r="B6273" i="3"/>
  <c r="H6272" i="3"/>
  <c r="B6272" i="3"/>
  <c r="H6271" i="3"/>
  <c r="B6271" i="3"/>
  <c r="H6270" i="3"/>
  <c r="B6270" i="3"/>
  <c r="H6269" i="3"/>
  <c r="B6269" i="3"/>
  <c r="H6268" i="3"/>
  <c r="B6268" i="3"/>
  <c r="H6267" i="3"/>
  <c r="B6267" i="3"/>
  <c r="H6266" i="3"/>
  <c r="B6266" i="3"/>
  <c r="H6265" i="3"/>
  <c r="B6265" i="3"/>
  <c r="H6264" i="3"/>
  <c r="B6264" i="3"/>
  <c r="H6263" i="3"/>
  <c r="B6263" i="3"/>
  <c r="H6262" i="3"/>
  <c r="B6262" i="3"/>
  <c r="H6261" i="3"/>
  <c r="B6261" i="3"/>
  <c r="H6260" i="3"/>
  <c r="B6260" i="3"/>
  <c r="H6259" i="3"/>
  <c r="B6259" i="3"/>
  <c r="H6258" i="3"/>
  <c r="B6258" i="3"/>
  <c r="H6257" i="3"/>
  <c r="B6257" i="3"/>
  <c r="H6256" i="3"/>
  <c r="B6256" i="3"/>
  <c r="H6255" i="3"/>
  <c r="B6255" i="3"/>
  <c r="H6254" i="3"/>
  <c r="B6254" i="3"/>
  <c r="H6253" i="3"/>
  <c r="B6253" i="3"/>
  <c r="H6252" i="3"/>
  <c r="B6252" i="3"/>
  <c r="H6251" i="3"/>
  <c r="B6251" i="3"/>
  <c r="H6250" i="3"/>
  <c r="B6250" i="3"/>
  <c r="H6249" i="3"/>
  <c r="B6249" i="3"/>
  <c r="H6248" i="3"/>
  <c r="B6248" i="3"/>
  <c r="H6247" i="3"/>
  <c r="B6247" i="3"/>
  <c r="H6246" i="3"/>
  <c r="B6246" i="3"/>
  <c r="H6245" i="3"/>
  <c r="B6245" i="3"/>
  <c r="H6244" i="3"/>
  <c r="B6244" i="3"/>
  <c r="H6243" i="3"/>
  <c r="B6243" i="3"/>
  <c r="H6242" i="3"/>
  <c r="B6242" i="3"/>
  <c r="H6241" i="3"/>
  <c r="B6241" i="3"/>
  <c r="H6240" i="3"/>
  <c r="B6240" i="3"/>
  <c r="H6239" i="3"/>
  <c r="B6239" i="3"/>
  <c r="H6238" i="3"/>
  <c r="B6238" i="3"/>
  <c r="H6237" i="3"/>
  <c r="B6237" i="3"/>
  <c r="H6236" i="3"/>
  <c r="B6236" i="3"/>
  <c r="H6235" i="3"/>
  <c r="B6235" i="3"/>
  <c r="H6234" i="3"/>
  <c r="B6234" i="3"/>
  <c r="H6233" i="3"/>
  <c r="B6233" i="3"/>
  <c r="H6232" i="3"/>
  <c r="B6232" i="3"/>
  <c r="H6231" i="3"/>
  <c r="B6231" i="3"/>
  <c r="H6230" i="3"/>
  <c r="B6230" i="3"/>
  <c r="H6229" i="3"/>
  <c r="B6229" i="3"/>
  <c r="H6228" i="3"/>
  <c r="B6228" i="3"/>
  <c r="H6227" i="3"/>
  <c r="B6227" i="3"/>
  <c r="H6226" i="3"/>
  <c r="B6226" i="3"/>
  <c r="H6225" i="3"/>
  <c r="B6225" i="3"/>
  <c r="H6224" i="3"/>
  <c r="B6224" i="3"/>
  <c r="H6223" i="3"/>
  <c r="B6223" i="3"/>
  <c r="H6222" i="3"/>
  <c r="B6222" i="3"/>
  <c r="H6221" i="3"/>
  <c r="B6221" i="3"/>
  <c r="H6220" i="3"/>
  <c r="B6220" i="3"/>
  <c r="H6219" i="3"/>
  <c r="B6219" i="3"/>
  <c r="H6218" i="3"/>
  <c r="B6218" i="3"/>
  <c r="H6217" i="3"/>
  <c r="B6217" i="3"/>
  <c r="H6216" i="3"/>
  <c r="B6216" i="3"/>
  <c r="H6215" i="3"/>
  <c r="B6215" i="3"/>
  <c r="H6214" i="3"/>
  <c r="B6214" i="3"/>
  <c r="H6213" i="3"/>
  <c r="B6213" i="3"/>
  <c r="H6212" i="3"/>
  <c r="B6212" i="3"/>
  <c r="H6211" i="3"/>
  <c r="B6211" i="3"/>
  <c r="H6210" i="3"/>
  <c r="B6210" i="3"/>
  <c r="H6209" i="3"/>
  <c r="B6209" i="3"/>
  <c r="H6208" i="3"/>
  <c r="B6208" i="3"/>
  <c r="H6207" i="3"/>
  <c r="B6207" i="3"/>
  <c r="H6206" i="3"/>
  <c r="B6206" i="3"/>
  <c r="H6205" i="3"/>
  <c r="B6205" i="3"/>
  <c r="H6204" i="3"/>
  <c r="B6204" i="3"/>
  <c r="H6203" i="3"/>
  <c r="B6203" i="3"/>
  <c r="H6202" i="3"/>
  <c r="B6202" i="3"/>
  <c r="H6201" i="3"/>
  <c r="B6201" i="3"/>
  <c r="H6200" i="3"/>
  <c r="B6200" i="3"/>
  <c r="H6199" i="3"/>
  <c r="B6199" i="3"/>
  <c r="H6198" i="3"/>
  <c r="B6198" i="3"/>
  <c r="H6197" i="3"/>
  <c r="B6197" i="3"/>
  <c r="H6196" i="3"/>
  <c r="B6196" i="3"/>
  <c r="H6195" i="3"/>
  <c r="B6195" i="3"/>
  <c r="H6194" i="3"/>
  <c r="B6194" i="3"/>
  <c r="H6193" i="3"/>
  <c r="B6193" i="3"/>
  <c r="H6192" i="3"/>
  <c r="B6192" i="3"/>
  <c r="H6191" i="3"/>
  <c r="B6191" i="3"/>
  <c r="H6190" i="3"/>
  <c r="B6190" i="3"/>
  <c r="H6189" i="3"/>
  <c r="B6189" i="3"/>
  <c r="H6188" i="3"/>
  <c r="B6188" i="3"/>
  <c r="H6187" i="3"/>
  <c r="B6187" i="3"/>
  <c r="H6186" i="3"/>
  <c r="B6186" i="3"/>
  <c r="H6185" i="3"/>
  <c r="B6185" i="3"/>
  <c r="H6184" i="3"/>
  <c r="B6184" i="3"/>
  <c r="H6183" i="3"/>
  <c r="B6183" i="3"/>
  <c r="H6182" i="3"/>
  <c r="B6182" i="3"/>
  <c r="H6181" i="3"/>
  <c r="B6181" i="3"/>
  <c r="H6180" i="3"/>
  <c r="B6180" i="3"/>
  <c r="H6179" i="3"/>
  <c r="B6179" i="3"/>
  <c r="H6178" i="3"/>
  <c r="B6178" i="3"/>
  <c r="H6177" i="3"/>
  <c r="B6177" i="3"/>
  <c r="H6176" i="3"/>
  <c r="B6176" i="3"/>
  <c r="H6175" i="3"/>
  <c r="B6175" i="3"/>
  <c r="H6174" i="3"/>
  <c r="B6174" i="3"/>
  <c r="H6173" i="3"/>
  <c r="B6173" i="3"/>
  <c r="H6172" i="3"/>
  <c r="B6172" i="3"/>
  <c r="H6171" i="3"/>
  <c r="B6171" i="3"/>
  <c r="H6170" i="3"/>
  <c r="B6170" i="3"/>
  <c r="H6169" i="3"/>
  <c r="B6169" i="3"/>
  <c r="H6168" i="3"/>
  <c r="B6168" i="3"/>
  <c r="H6167" i="3"/>
  <c r="B6167" i="3"/>
  <c r="H6166" i="3"/>
  <c r="B6166" i="3"/>
  <c r="H6165" i="3"/>
  <c r="B6165" i="3"/>
  <c r="H6164" i="3"/>
  <c r="B6164" i="3"/>
  <c r="H6163" i="3"/>
  <c r="B6163" i="3"/>
  <c r="H6162" i="3"/>
  <c r="B6162" i="3"/>
  <c r="H6161" i="3"/>
  <c r="B6161" i="3"/>
  <c r="H6160" i="3"/>
  <c r="B6160" i="3"/>
  <c r="H6159" i="3"/>
  <c r="B6159" i="3"/>
  <c r="H6158" i="3"/>
  <c r="B6158" i="3"/>
  <c r="H6157" i="3"/>
  <c r="B6157" i="3"/>
  <c r="H6156" i="3"/>
  <c r="B6156" i="3"/>
  <c r="H6155" i="3"/>
  <c r="B6155" i="3"/>
  <c r="H6154" i="3"/>
  <c r="B6154" i="3"/>
  <c r="H6153" i="3"/>
  <c r="B6153" i="3"/>
  <c r="H6152" i="3"/>
  <c r="B6152" i="3"/>
  <c r="H6151" i="3"/>
  <c r="B6151" i="3"/>
  <c r="H6150" i="3"/>
  <c r="B6150" i="3"/>
  <c r="H6149" i="3"/>
  <c r="B6149" i="3"/>
  <c r="H6148" i="3"/>
  <c r="B6148" i="3"/>
  <c r="H6147" i="3"/>
  <c r="B6147" i="3"/>
  <c r="H6146" i="3"/>
  <c r="B6146" i="3"/>
  <c r="H6145" i="3"/>
  <c r="B6145" i="3"/>
  <c r="H6144" i="3"/>
  <c r="B6144" i="3"/>
  <c r="H6143" i="3"/>
  <c r="B6143" i="3"/>
  <c r="H6142" i="3"/>
  <c r="B6142" i="3"/>
  <c r="H6141" i="3"/>
  <c r="B6141" i="3"/>
  <c r="H6140" i="3"/>
  <c r="B6140" i="3"/>
  <c r="H6139" i="3"/>
  <c r="B6139" i="3"/>
  <c r="H6138" i="3"/>
  <c r="B6138" i="3"/>
  <c r="H6137" i="3"/>
  <c r="B6137" i="3"/>
  <c r="H6136" i="3"/>
  <c r="B6136" i="3"/>
  <c r="H6135" i="3"/>
  <c r="B6135" i="3"/>
  <c r="H6134" i="3"/>
  <c r="B6134" i="3"/>
  <c r="H6133" i="3"/>
  <c r="B6133" i="3"/>
  <c r="H6132" i="3"/>
  <c r="B6132" i="3"/>
  <c r="H6131" i="3"/>
  <c r="B6131" i="3"/>
  <c r="H6130" i="3"/>
  <c r="B6130" i="3"/>
  <c r="H6129" i="3"/>
  <c r="B6129" i="3"/>
  <c r="H6128" i="3"/>
  <c r="B6128" i="3"/>
  <c r="H6127" i="3"/>
  <c r="B6127" i="3"/>
  <c r="H6126" i="3"/>
  <c r="B6126" i="3"/>
  <c r="H6125" i="3"/>
  <c r="B6125" i="3"/>
  <c r="H6124" i="3"/>
  <c r="B6124" i="3"/>
  <c r="H6123" i="3"/>
  <c r="B6123" i="3"/>
  <c r="H6122" i="3"/>
  <c r="B6122" i="3"/>
  <c r="H6121" i="3"/>
  <c r="B6121" i="3"/>
  <c r="H6120" i="3"/>
  <c r="B6120" i="3"/>
  <c r="H6119" i="3"/>
  <c r="B6119" i="3"/>
  <c r="H6118" i="3"/>
  <c r="B6118" i="3"/>
  <c r="H6117" i="3"/>
  <c r="B6117" i="3"/>
  <c r="H6116" i="3"/>
  <c r="B6116" i="3"/>
  <c r="H6115" i="3"/>
  <c r="B6115" i="3"/>
  <c r="H6114" i="3"/>
  <c r="B6114" i="3"/>
  <c r="H6113" i="3"/>
  <c r="B6113" i="3"/>
  <c r="H6112" i="3"/>
  <c r="B6112" i="3"/>
  <c r="H6111" i="3"/>
  <c r="B6111" i="3"/>
  <c r="H6110" i="3"/>
  <c r="B6110" i="3"/>
  <c r="H6109" i="3"/>
  <c r="B6109" i="3"/>
  <c r="H6108" i="3"/>
  <c r="B6108" i="3"/>
  <c r="H6107" i="3"/>
  <c r="B6107" i="3"/>
  <c r="H6106" i="3"/>
  <c r="B6106" i="3"/>
  <c r="H6105" i="3"/>
  <c r="B6105" i="3"/>
  <c r="H6104" i="3"/>
  <c r="B6104" i="3"/>
  <c r="H6103" i="3"/>
  <c r="B6103" i="3"/>
  <c r="H6102" i="3"/>
  <c r="B6102" i="3"/>
  <c r="H6101" i="3"/>
  <c r="B6101" i="3"/>
  <c r="H6100" i="3"/>
  <c r="B6100" i="3"/>
  <c r="H6099" i="3"/>
  <c r="B6099" i="3"/>
  <c r="H6098" i="3"/>
  <c r="B6098" i="3"/>
  <c r="H6097" i="3"/>
  <c r="B6097" i="3"/>
  <c r="H6096" i="3"/>
  <c r="B6096" i="3"/>
  <c r="H6095" i="3"/>
  <c r="B6095" i="3"/>
  <c r="H6094" i="3"/>
  <c r="B6094" i="3"/>
  <c r="H6093" i="3"/>
  <c r="B6093" i="3"/>
  <c r="H6092" i="3"/>
  <c r="B6092" i="3"/>
  <c r="H6091" i="3"/>
  <c r="B6091" i="3"/>
  <c r="H6090" i="3"/>
  <c r="B6090" i="3"/>
  <c r="H6089" i="3"/>
  <c r="B6089" i="3"/>
  <c r="H6088" i="3"/>
  <c r="B6088" i="3"/>
  <c r="H6087" i="3"/>
  <c r="B6087" i="3"/>
  <c r="H6086" i="3"/>
  <c r="B6086" i="3"/>
  <c r="H6085" i="3"/>
  <c r="B6085" i="3"/>
  <c r="H6084" i="3"/>
  <c r="B6084" i="3"/>
  <c r="H6083" i="3"/>
  <c r="B6083" i="3"/>
  <c r="H6082" i="3"/>
  <c r="B6082" i="3"/>
  <c r="H6081" i="3"/>
  <c r="B6081" i="3"/>
  <c r="H6080" i="3"/>
  <c r="B6080" i="3"/>
  <c r="H6079" i="3"/>
  <c r="B6079" i="3"/>
  <c r="H6078" i="3"/>
  <c r="B6078" i="3"/>
  <c r="H6077" i="3"/>
  <c r="B6077" i="3"/>
  <c r="H6076" i="3"/>
  <c r="B6076" i="3"/>
  <c r="H6075" i="3"/>
  <c r="B6075" i="3"/>
  <c r="H6074" i="3"/>
  <c r="B6074" i="3"/>
  <c r="H6073" i="3"/>
  <c r="B6073" i="3"/>
  <c r="H6072" i="3"/>
  <c r="B6072" i="3"/>
  <c r="H6071" i="3"/>
  <c r="B6071" i="3"/>
  <c r="H6070" i="3"/>
  <c r="B6070" i="3"/>
  <c r="H6069" i="3"/>
  <c r="B6069" i="3"/>
  <c r="H6068" i="3"/>
  <c r="B6068" i="3"/>
  <c r="H6067" i="3"/>
  <c r="B6067" i="3"/>
  <c r="H6066" i="3"/>
  <c r="B6066" i="3"/>
  <c r="H6065" i="3"/>
  <c r="B6065" i="3"/>
  <c r="H6064" i="3"/>
  <c r="B6064" i="3"/>
  <c r="H6063" i="3"/>
  <c r="B6063" i="3"/>
  <c r="H6062" i="3"/>
  <c r="B6062" i="3"/>
  <c r="H6061" i="3"/>
  <c r="B6061" i="3"/>
  <c r="H6060" i="3"/>
  <c r="B6060" i="3"/>
  <c r="H6059" i="3"/>
  <c r="B6059" i="3"/>
  <c r="H6058" i="3"/>
  <c r="B6058" i="3"/>
  <c r="H6057" i="3"/>
  <c r="B6057" i="3"/>
  <c r="H6056" i="3"/>
  <c r="B6056" i="3"/>
  <c r="H6055" i="3"/>
  <c r="B6055" i="3"/>
  <c r="H6054" i="3"/>
  <c r="B6054" i="3"/>
  <c r="H6053" i="3"/>
  <c r="B6053" i="3"/>
  <c r="H6052" i="3"/>
  <c r="B6052" i="3"/>
  <c r="H6051" i="3"/>
  <c r="B6051" i="3"/>
  <c r="H6050" i="3"/>
  <c r="B6050" i="3"/>
  <c r="H6049" i="3"/>
  <c r="B6049" i="3"/>
  <c r="H6048" i="3"/>
  <c r="B6048" i="3"/>
  <c r="H6047" i="3"/>
  <c r="B6047" i="3"/>
  <c r="H6046" i="3"/>
  <c r="B6046" i="3"/>
  <c r="H6045" i="3"/>
  <c r="B6045" i="3"/>
  <c r="H6044" i="3"/>
  <c r="B6044" i="3"/>
  <c r="H6043" i="3"/>
  <c r="B6043" i="3"/>
  <c r="H6042" i="3"/>
  <c r="B6042" i="3"/>
  <c r="H6041" i="3"/>
  <c r="B6041" i="3"/>
  <c r="H6040" i="3"/>
  <c r="B6040" i="3"/>
  <c r="H6039" i="3"/>
  <c r="B6039" i="3"/>
  <c r="H6038" i="3"/>
  <c r="B6038" i="3"/>
  <c r="H6037" i="3"/>
  <c r="B6037" i="3"/>
  <c r="H6036" i="3"/>
  <c r="B6036" i="3"/>
  <c r="H6035" i="3"/>
  <c r="B6035" i="3"/>
  <c r="H6034" i="3"/>
  <c r="B6034" i="3"/>
  <c r="H6033" i="3"/>
  <c r="B6033" i="3"/>
  <c r="H6032" i="3"/>
  <c r="B6032" i="3"/>
  <c r="H6031" i="3"/>
  <c r="B6031" i="3"/>
  <c r="H6030" i="3"/>
  <c r="B6030" i="3"/>
  <c r="H6029" i="3"/>
  <c r="B6029" i="3"/>
  <c r="H6028" i="3"/>
  <c r="B6028" i="3"/>
  <c r="H6027" i="3"/>
  <c r="B6027" i="3"/>
  <c r="H6026" i="3"/>
  <c r="B6026" i="3"/>
  <c r="H6025" i="3"/>
  <c r="B6025" i="3"/>
  <c r="H6024" i="3"/>
  <c r="B6024" i="3"/>
  <c r="H6023" i="3"/>
  <c r="B6023" i="3"/>
  <c r="H6022" i="3"/>
  <c r="B6022" i="3"/>
  <c r="H6021" i="3"/>
  <c r="B6021" i="3"/>
  <c r="H6020" i="3"/>
  <c r="B6020" i="3"/>
  <c r="H6019" i="3"/>
  <c r="B6019" i="3"/>
  <c r="H6018" i="3"/>
  <c r="B6018" i="3"/>
  <c r="H6017" i="3"/>
  <c r="B6017" i="3"/>
  <c r="H6016" i="3"/>
  <c r="B6016" i="3"/>
  <c r="H6015" i="3"/>
  <c r="B6015" i="3"/>
  <c r="H6014" i="3"/>
  <c r="B6014" i="3"/>
  <c r="H6013" i="3"/>
  <c r="B6013" i="3"/>
  <c r="H6012" i="3"/>
  <c r="B6012" i="3"/>
  <c r="H6011" i="3"/>
  <c r="B6011" i="3"/>
  <c r="H6010" i="3"/>
  <c r="B6010" i="3"/>
  <c r="H6009" i="3"/>
  <c r="B6009" i="3"/>
  <c r="H6008" i="3"/>
  <c r="B6008" i="3"/>
  <c r="H6007" i="3"/>
  <c r="B6007" i="3"/>
  <c r="H6006" i="3"/>
  <c r="B6006" i="3"/>
  <c r="H6005" i="3"/>
  <c r="B6005" i="3"/>
  <c r="H6004" i="3"/>
  <c r="B6004" i="3"/>
  <c r="H6003" i="3"/>
  <c r="B6003" i="3"/>
  <c r="H6002" i="3"/>
  <c r="B6002" i="3"/>
  <c r="H6001" i="3"/>
  <c r="B6001" i="3"/>
  <c r="H6000" i="3"/>
  <c r="B6000" i="3"/>
  <c r="H5999" i="3"/>
  <c r="B5999" i="3"/>
  <c r="H5998" i="3"/>
  <c r="B5998" i="3"/>
  <c r="H5997" i="3"/>
  <c r="B5997" i="3"/>
  <c r="H5996" i="3"/>
  <c r="B5996" i="3"/>
  <c r="H5995" i="3"/>
  <c r="B5995" i="3"/>
  <c r="H5994" i="3"/>
  <c r="B5994" i="3"/>
  <c r="H5993" i="3"/>
  <c r="B5993" i="3"/>
  <c r="H5992" i="3"/>
  <c r="B5992" i="3"/>
  <c r="H5991" i="3"/>
  <c r="B5991" i="3"/>
  <c r="H5990" i="3"/>
  <c r="B5990" i="3"/>
  <c r="H5989" i="3"/>
  <c r="B5989" i="3"/>
  <c r="H5988" i="3"/>
  <c r="B5988" i="3"/>
  <c r="H5987" i="3"/>
  <c r="B5987" i="3"/>
  <c r="H5986" i="3"/>
  <c r="B5986" i="3"/>
  <c r="H5985" i="3"/>
  <c r="B5985" i="3"/>
  <c r="H5984" i="3"/>
  <c r="B5984" i="3"/>
  <c r="H5983" i="3"/>
  <c r="B5983" i="3"/>
  <c r="H5982" i="3"/>
  <c r="B5982" i="3"/>
  <c r="H5981" i="3"/>
  <c r="B5981" i="3"/>
  <c r="H5980" i="3"/>
  <c r="B5980" i="3"/>
  <c r="H5979" i="3"/>
  <c r="B5979" i="3"/>
  <c r="H5978" i="3"/>
  <c r="B5978" i="3"/>
  <c r="H5977" i="3"/>
  <c r="B5977" i="3"/>
  <c r="H5976" i="3"/>
  <c r="B5976" i="3"/>
  <c r="H5975" i="3"/>
  <c r="B5975" i="3"/>
  <c r="H5974" i="3"/>
  <c r="B5974" i="3"/>
  <c r="H5973" i="3"/>
  <c r="B5973" i="3"/>
  <c r="H5972" i="3"/>
  <c r="B5972" i="3"/>
  <c r="H5971" i="3"/>
  <c r="B5971" i="3"/>
  <c r="H5970" i="3"/>
  <c r="B5970" i="3"/>
  <c r="H5969" i="3"/>
  <c r="B5969" i="3"/>
  <c r="H5968" i="3"/>
  <c r="B5968" i="3"/>
  <c r="H5967" i="3"/>
  <c r="B5967" i="3"/>
  <c r="H5966" i="3"/>
  <c r="B5966" i="3"/>
  <c r="H5965" i="3"/>
  <c r="B5965" i="3"/>
  <c r="H5964" i="3"/>
  <c r="B5964" i="3"/>
  <c r="H5963" i="3"/>
  <c r="B5963" i="3"/>
  <c r="H5962" i="3"/>
  <c r="B5962" i="3"/>
  <c r="H5961" i="3"/>
  <c r="B5961" i="3"/>
  <c r="H5960" i="3"/>
  <c r="B5960" i="3"/>
  <c r="H5959" i="3"/>
  <c r="B5959" i="3"/>
  <c r="H5958" i="3"/>
  <c r="B5958" i="3"/>
  <c r="H5957" i="3"/>
  <c r="B5957" i="3"/>
  <c r="H5956" i="3"/>
  <c r="B5956" i="3"/>
  <c r="H5955" i="3"/>
  <c r="B5955" i="3"/>
  <c r="H5954" i="3"/>
  <c r="B5954" i="3"/>
  <c r="H5953" i="3"/>
  <c r="B5953" i="3"/>
  <c r="H5952" i="3"/>
  <c r="B5952" i="3"/>
  <c r="H5951" i="3"/>
  <c r="B5951" i="3"/>
  <c r="H5950" i="3"/>
  <c r="B5950" i="3"/>
  <c r="H5949" i="3"/>
  <c r="B5949" i="3"/>
  <c r="H5948" i="3"/>
  <c r="B5948" i="3"/>
  <c r="H5947" i="3"/>
  <c r="B5947" i="3"/>
  <c r="H5946" i="3"/>
  <c r="B5946" i="3"/>
  <c r="H5945" i="3"/>
  <c r="B5945" i="3"/>
  <c r="H5944" i="3"/>
  <c r="B5944" i="3"/>
  <c r="H5943" i="3"/>
  <c r="B5943" i="3"/>
  <c r="H5942" i="3"/>
  <c r="B5942" i="3"/>
  <c r="H5941" i="3"/>
  <c r="B5941" i="3"/>
  <c r="H5940" i="3"/>
  <c r="B5940" i="3"/>
  <c r="H5939" i="3"/>
  <c r="B5939" i="3"/>
  <c r="H5938" i="3"/>
  <c r="B5938" i="3"/>
  <c r="H5937" i="3"/>
  <c r="B5937" i="3"/>
  <c r="H5936" i="3"/>
  <c r="B5936" i="3"/>
  <c r="H5935" i="3"/>
  <c r="B5935" i="3"/>
  <c r="H5934" i="3"/>
  <c r="B5934" i="3"/>
  <c r="H5933" i="3"/>
  <c r="B5933" i="3"/>
  <c r="H5932" i="3"/>
  <c r="B5932" i="3"/>
  <c r="H5931" i="3"/>
  <c r="B5931" i="3"/>
  <c r="H5930" i="3"/>
  <c r="B5930" i="3"/>
  <c r="H5929" i="3"/>
  <c r="B5929" i="3"/>
  <c r="H5928" i="3"/>
  <c r="B5928" i="3"/>
  <c r="H5927" i="3"/>
  <c r="B5927" i="3"/>
  <c r="H5926" i="3"/>
  <c r="B5926" i="3"/>
  <c r="H5925" i="3"/>
  <c r="B5925" i="3"/>
  <c r="H5924" i="3"/>
  <c r="B5924" i="3"/>
  <c r="H5923" i="3"/>
  <c r="B5923" i="3"/>
  <c r="H5922" i="3"/>
  <c r="B5922" i="3"/>
  <c r="H5921" i="3"/>
  <c r="B5921" i="3"/>
  <c r="H5920" i="3"/>
  <c r="B5920" i="3"/>
  <c r="H5919" i="3"/>
  <c r="B5919" i="3"/>
  <c r="H5918" i="3"/>
  <c r="B5918" i="3"/>
  <c r="H5917" i="3"/>
  <c r="B5917" i="3"/>
  <c r="H5916" i="3"/>
  <c r="B5916" i="3"/>
  <c r="H5915" i="3"/>
  <c r="B5915" i="3"/>
  <c r="H5914" i="3"/>
  <c r="B5914" i="3"/>
  <c r="H5913" i="3"/>
  <c r="B5913" i="3"/>
  <c r="H5912" i="3"/>
  <c r="B5912" i="3"/>
  <c r="H5911" i="3"/>
  <c r="B5911" i="3"/>
  <c r="H5910" i="3"/>
  <c r="B5910" i="3"/>
  <c r="H5909" i="3"/>
  <c r="B5909" i="3"/>
  <c r="H5908" i="3"/>
  <c r="B5908" i="3"/>
  <c r="H5907" i="3"/>
  <c r="B5907" i="3"/>
  <c r="H5906" i="3"/>
  <c r="B5906" i="3"/>
  <c r="H5905" i="3"/>
  <c r="B5905" i="3"/>
  <c r="H5904" i="3"/>
  <c r="B5904" i="3"/>
  <c r="H5903" i="3"/>
  <c r="B5903" i="3"/>
  <c r="H5902" i="3"/>
  <c r="B5902" i="3"/>
  <c r="H5901" i="3"/>
  <c r="B5901" i="3"/>
  <c r="H5900" i="3"/>
  <c r="B5900" i="3"/>
  <c r="H5899" i="3"/>
  <c r="B5899" i="3"/>
  <c r="H5898" i="3"/>
  <c r="B5898" i="3"/>
  <c r="H5897" i="3"/>
  <c r="B5897" i="3"/>
  <c r="H5896" i="3"/>
  <c r="B5896" i="3"/>
  <c r="H5895" i="3"/>
  <c r="B5895" i="3"/>
  <c r="H5894" i="3"/>
  <c r="B5894" i="3"/>
  <c r="H5893" i="3"/>
  <c r="B5893" i="3"/>
  <c r="H5892" i="3"/>
  <c r="B5892" i="3"/>
  <c r="H5891" i="3"/>
  <c r="B5891" i="3"/>
  <c r="H5890" i="3"/>
  <c r="B5890" i="3"/>
  <c r="H5889" i="3"/>
  <c r="B5889" i="3"/>
  <c r="H5888" i="3"/>
  <c r="B5888" i="3"/>
  <c r="H5887" i="3"/>
  <c r="B5887" i="3"/>
  <c r="H5886" i="3"/>
  <c r="B5886" i="3"/>
  <c r="H5885" i="3"/>
  <c r="B5885" i="3"/>
  <c r="H5884" i="3"/>
  <c r="B5884" i="3"/>
  <c r="H5883" i="3"/>
  <c r="B5883" i="3"/>
  <c r="H5882" i="3"/>
  <c r="B5882" i="3"/>
  <c r="H5881" i="3"/>
  <c r="B5881" i="3"/>
  <c r="H5880" i="3"/>
  <c r="B5880" i="3"/>
  <c r="H5879" i="3"/>
  <c r="B5879" i="3"/>
  <c r="H5878" i="3"/>
  <c r="B5878" i="3"/>
  <c r="H5877" i="3"/>
  <c r="B5877" i="3"/>
  <c r="H5876" i="3"/>
  <c r="B5876" i="3"/>
  <c r="H5875" i="3"/>
  <c r="B5875" i="3"/>
  <c r="H5874" i="3"/>
  <c r="B5874" i="3"/>
  <c r="H5873" i="3"/>
  <c r="B5873" i="3"/>
  <c r="H5872" i="3"/>
  <c r="B5872" i="3"/>
  <c r="H5871" i="3"/>
  <c r="B5871" i="3"/>
  <c r="H5870" i="3"/>
  <c r="B5870" i="3"/>
  <c r="H5869" i="3"/>
  <c r="B5869" i="3"/>
  <c r="H5868" i="3"/>
  <c r="B5868" i="3"/>
  <c r="H5867" i="3"/>
  <c r="B5867" i="3"/>
  <c r="H5866" i="3"/>
  <c r="B5866" i="3"/>
  <c r="H5865" i="3"/>
  <c r="B5865" i="3"/>
  <c r="H5864" i="3"/>
  <c r="B5864" i="3"/>
  <c r="H5863" i="3"/>
  <c r="B5863" i="3"/>
  <c r="H5862" i="3"/>
  <c r="B5862" i="3"/>
  <c r="H5861" i="3"/>
  <c r="B5861" i="3"/>
  <c r="H5860" i="3"/>
  <c r="B5860" i="3"/>
  <c r="H5859" i="3"/>
  <c r="B5859" i="3"/>
  <c r="H5858" i="3"/>
  <c r="B5858" i="3"/>
  <c r="H5857" i="3"/>
  <c r="B5857" i="3"/>
  <c r="H5856" i="3"/>
  <c r="B5856" i="3"/>
  <c r="H5855" i="3"/>
  <c r="B5855" i="3"/>
  <c r="H5854" i="3"/>
  <c r="B5854" i="3"/>
  <c r="H5853" i="3"/>
  <c r="B5853" i="3"/>
  <c r="H5852" i="3"/>
  <c r="B5852" i="3"/>
  <c r="H5851" i="3"/>
  <c r="B5851" i="3"/>
  <c r="H5850" i="3"/>
  <c r="B5850" i="3"/>
  <c r="H5849" i="3"/>
  <c r="B5849" i="3"/>
  <c r="H5848" i="3"/>
  <c r="B5848" i="3"/>
  <c r="H5847" i="3"/>
  <c r="B5847" i="3"/>
  <c r="H5846" i="3"/>
  <c r="B5846" i="3"/>
  <c r="H5845" i="3"/>
  <c r="B5845" i="3"/>
  <c r="H5844" i="3"/>
  <c r="B5844" i="3"/>
  <c r="H5843" i="3"/>
  <c r="B5843" i="3"/>
  <c r="H5842" i="3"/>
  <c r="B5842" i="3"/>
  <c r="H5841" i="3"/>
  <c r="B5841" i="3"/>
  <c r="H5840" i="3"/>
  <c r="B5840" i="3"/>
  <c r="H5839" i="3"/>
  <c r="B5839" i="3"/>
  <c r="H5838" i="3"/>
  <c r="B5838" i="3"/>
  <c r="H5837" i="3"/>
  <c r="B5837" i="3"/>
  <c r="H5836" i="3"/>
  <c r="B5836" i="3"/>
  <c r="H5835" i="3"/>
  <c r="B5835" i="3"/>
  <c r="H5834" i="3"/>
  <c r="B5834" i="3"/>
  <c r="H5833" i="3"/>
  <c r="B5833" i="3"/>
  <c r="H5832" i="3"/>
  <c r="B5832" i="3"/>
  <c r="H5831" i="3"/>
  <c r="B5831" i="3"/>
  <c r="H5830" i="3"/>
  <c r="B5830" i="3"/>
  <c r="H5829" i="3"/>
  <c r="B5829" i="3"/>
  <c r="H5828" i="3"/>
  <c r="B5828" i="3"/>
  <c r="H5827" i="3"/>
  <c r="B5827" i="3"/>
  <c r="H5826" i="3"/>
  <c r="B5826" i="3"/>
  <c r="H5825" i="3"/>
  <c r="B5825" i="3"/>
  <c r="H5824" i="3"/>
  <c r="B5824" i="3"/>
  <c r="H5823" i="3"/>
  <c r="B5823" i="3"/>
  <c r="H5822" i="3"/>
  <c r="B5822" i="3"/>
  <c r="H5821" i="3"/>
  <c r="B5821" i="3"/>
  <c r="H5820" i="3"/>
  <c r="B5820" i="3"/>
  <c r="H5819" i="3"/>
  <c r="B5819" i="3"/>
  <c r="H5818" i="3"/>
  <c r="B5818" i="3"/>
  <c r="H5817" i="3"/>
  <c r="B5817" i="3"/>
  <c r="H5816" i="3"/>
  <c r="B5816" i="3"/>
  <c r="H5815" i="3"/>
  <c r="B5815" i="3"/>
  <c r="H5814" i="3"/>
  <c r="B5814" i="3"/>
  <c r="H5813" i="3"/>
  <c r="B5813" i="3"/>
  <c r="H5812" i="3"/>
  <c r="B5812" i="3"/>
  <c r="H5811" i="3"/>
  <c r="B5811" i="3"/>
  <c r="H5810" i="3"/>
  <c r="B5810" i="3"/>
  <c r="H5809" i="3"/>
  <c r="B5809" i="3"/>
  <c r="H5808" i="3"/>
  <c r="B5808" i="3"/>
  <c r="H5807" i="3"/>
  <c r="B5807" i="3"/>
  <c r="H5806" i="3"/>
  <c r="B5806" i="3"/>
  <c r="H5805" i="3"/>
  <c r="B5805" i="3"/>
  <c r="H5804" i="3"/>
  <c r="B5804" i="3"/>
  <c r="H5803" i="3"/>
  <c r="B5803" i="3"/>
  <c r="H5802" i="3"/>
  <c r="B5802" i="3"/>
  <c r="H5801" i="3"/>
  <c r="B5801" i="3"/>
  <c r="H5800" i="3"/>
  <c r="B5800" i="3"/>
  <c r="H5799" i="3"/>
  <c r="B5799" i="3"/>
  <c r="H5798" i="3"/>
  <c r="B5798" i="3"/>
  <c r="H5797" i="3"/>
  <c r="B5797" i="3"/>
  <c r="H5796" i="3"/>
  <c r="B5796" i="3"/>
  <c r="H5795" i="3"/>
  <c r="B5795" i="3"/>
  <c r="H5794" i="3"/>
  <c r="B5794" i="3"/>
  <c r="H5793" i="3"/>
  <c r="B5793" i="3"/>
  <c r="H5792" i="3"/>
  <c r="B5792" i="3"/>
  <c r="H5791" i="3"/>
  <c r="B5791" i="3"/>
  <c r="H5790" i="3"/>
  <c r="B5790" i="3"/>
  <c r="H5789" i="3"/>
  <c r="B5789" i="3"/>
  <c r="H5788" i="3"/>
  <c r="B5788" i="3"/>
  <c r="H5787" i="3"/>
  <c r="B5787" i="3"/>
  <c r="H5786" i="3"/>
  <c r="B5786" i="3"/>
  <c r="H5785" i="3"/>
  <c r="B5785" i="3"/>
  <c r="H5784" i="3"/>
  <c r="B5784" i="3"/>
  <c r="H5783" i="3"/>
  <c r="B5783" i="3"/>
  <c r="H5782" i="3"/>
  <c r="B5782" i="3"/>
  <c r="H5781" i="3"/>
  <c r="B5781" i="3"/>
  <c r="H5780" i="3"/>
  <c r="B5780" i="3"/>
  <c r="H5779" i="3"/>
  <c r="B5779" i="3"/>
  <c r="H5778" i="3"/>
  <c r="B5778" i="3"/>
  <c r="H5777" i="3"/>
  <c r="B5777" i="3"/>
  <c r="H5776" i="3"/>
  <c r="B5776" i="3"/>
  <c r="H5775" i="3"/>
  <c r="B5775" i="3"/>
  <c r="H5774" i="3"/>
  <c r="B5774" i="3"/>
  <c r="H5773" i="3"/>
  <c r="B5773" i="3"/>
  <c r="H5772" i="3"/>
  <c r="B5772" i="3"/>
  <c r="H5771" i="3"/>
  <c r="B5771" i="3"/>
  <c r="H5770" i="3"/>
  <c r="B5770" i="3"/>
  <c r="H5769" i="3"/>
  <c r="B5769" i="3"/>
  <c r="H5768" i="3"/>
  <c r="B5768" i="3"/>
  <c r="H5767" i="3"/>
  <c r="B5767" i="3"/>
  <c r="H5766" i="3"/>
  <c r="B5766" i="3"/>
  <c r="H5765" i="3"/>
  <c r="B5765" i="3"/>
  <c r="H5764" i="3"/>
  <c r="B5764" i="3"/>
  <c r="H5763" i="3"/>
  <c r="B5763" i="3"/>
  <c r="H5762" i="3"/>
  <c r="B5762" i="3"/>
  <c r="H5761" i="3"/>
  <c r="B5761" i="3"/>
  <c r="H5760" i="3"/>
  <c r="B5760" i="3"/>
  <c r="H5759" i="3"/>
  <c r="B5759" i="3"/>
  <c r="H5758" i="3"/>
  <c r="B5758" i="3"/>
  <c r="H5757" i="3"/>
  <c r="B5757" i="3"/>
  <c r="H5756" i="3"/>
  <c r="B5756" i="3"/>
  <c r="H5755" i="3"/>
  <c r="B5755" i="3"/>
  <c r="H5754" i="3"/>
  <c r="B5754" i="3"/>
  <c r="H5753" i="3"/>
  <c r="B5753" i="3"/>
  <c r="H5752" i="3"/>
  <c r="B5752" i="3"/>
  <c r="H5751" i="3"/>
  <c r="B5751" i="3"/>
  <c r="H5750" i="3"/>
  <c r="B5750" i="3"/>
  <c r="H5749" i="3"/>
  <c r="B5749" i="3"/>
  <c r="H5748" i="3"/>
  <c r="B5748" i="3"/>
  <c r="H5747" i="3"/>
  <c r="B5747" i="3"/>
  <c r="H5746" i="3"/>
  <c r="B5746" i="3"/>
  <c r="H5745" i="3"/>
  <c r="B5745" i="3"/>
  <c r="H5744" i="3"/>
  <c r="B5744" i="3"/>
  <c r="H5743" i="3"/>
  <c r="B5743" i="3"/>
  <c r="H5742" i="3"/>
  <c r="B5742" i="3"/>
  <c r="H5741" i="3"/>
  <c r="B5741" i="3"/>
  <c r="H5740" i="3"/>
  <c r="B5740" i="3"/>
  <c r="H5739" i="3"/>
  <c r="B5739" i="3"/>
  <c r="H5738" i="3"/>
  <c r="B5738" i="3"/>
  <c r="H5737" i="3"/>
  <c r="B5737" i="3"/>
  <c r="H5736" i="3"/>
  <c r="B5736" i="3"/>
  <c r="H5735" i="3"/>
  <c r="B5735" i="3"/>
  <c r="H5734" i="3"/>
  <c r="B5734" i="3"/>
  <c r="H5733" i="3"/>
  <c r="B5733" i="3"/>
  <c r="H5732" i="3"/>
  <c r="B5732" i="3"/>
  <c r="H5731" i="3"/>
  <c r="B5731" i="3"/>
  <c r="H5730" i="3"/>
  <c r="B5730" i="3"/>
  <c r="H5729" i="3"/>
  <c r="B5729" i="3"/>
  <c r="H5728" i="3"/>
  <c r="B5728" i="3"/>
  <c r="H5727" i="3"/>
  <c r="B5727" i="3"/>
  <c r="H5726" i="3"/>
  <c r="B5726" i="3"/>
  <c r="H5725" i="3"/>
  <c r="B5725" i="3"/>
  <c r="H5724" i="3"/>
  <c r="B5724" i="3"/>
  <c r="H5723" i="3"/>
  <c r="B5723" i="3"/>
  <c r="H5722" i="3"/>
  <c r="B5722" i="3"/>
  <c r="H5721" i="3"/>
  <c r="B5721" i="3"/>
  <c r="H5720" i="3"/>
  <c r="B5720" i="3"/>
  <c r="H5719" i="3"/>
  <c r="B5719" i="3"/>
  <c r="H5718" i="3"/>
  <c r="B5718" i="3"/>
  <c r="H5717" i="3"/>
  <c r="B5717" i="3"/>
  <c r="H5716" i="3"/>
  <c r="B5716" i="3"/>
  <c r="H5715" i="3"/>
  <c r="B5715" i="3"/>
  <c r="H5714" i="3"/>
  <c r="B5714" i="3"/>
  <c r="H5713" i="3"/>
  <c r="B5713" i="3"/>
  <c r="H5712" i="3"/>
  <c r="B5712" i="3"/>
  <c r="H5711" i="3"/>
  <c r="B5711" i="3"/>
  <c r="H5710" i="3"/>
  <c r="B5710" i="3"/>
  <c r="H5709" i="3"/>
  <c r="B5709" i="3"/>
  <c r="H5708" i="3"/>
  <c r="B5708" i="3"/>
  <c r="H5707" i="3"/>
  <c r="B5707" i="3"/>
  <c r="H5706" i="3"/>
  <c r="B5706" i="3"/>
  <c r="H5705" i="3"/>
  <c r="B5705" i="3"/>
  <c r="H5704" i="3"/>
  <c r="B5704" i="3"/>
  <c r="H5703" i="3"/>
  <c r="B5703" i="3"/>
  <c r="H5702" i="3"/>
  <c r="B5702" i="3"/>
  <c r="H5701" i="3"/>
  <c r="B5701" i="3"/>
  <c r="H5700" i="3"/>
  <c r="B5700" i="3"/>
  <c r="H5699" i="3"/>
  <c r="B5699" i="3"/>
  <c r="H5698" i="3"/>
  <c r="B5698" i="3"/>
  <c r="H5697" i="3"/>
  <c r="B5697" i="3"/>
  <c r="H5696" i="3"/>
  <c r="B5696" i="3"/>
  <c r="H5695" i="3"/>
  <c r="B5695" i="3"/>
  <c r="H5694" i="3"/>
  <c r="B5694" i="3"/>
  <c r="H5693" i="3"/>
  <c r="B5693" i="3"/>
  <c r="H5692" i="3"/>
  <c r="B5692" i="3"/>
  <c r="H5691" i="3"/>
  <c r="B5691" i="3"/>
  <c r="H5690" i="3"/>
  <c r="B5690" i="3"/>
  <c r="H5689" i="3"/>
  <c r="B5689" i="3"/>
  <c r="H5688" i="3"/>
  <c r="B5688" i="3"/>
  <c r="H5687" i="3"/>
  <c r="B5687" i="3"/>
  <c r="H5686" i="3"/>
  <c r="B5686" i="3"/>
  <c r="H5685" i="3"/>
  <c r="B5685" i="3"/>
  <c r="H5684" i="3"/>
  <c r="B5684" i="3"/>
  <c r="H5683" i="3"/>
  <c r="B5683" i="3"/>
  <c r="H5682" i="3"/>
  <c r="B5682" i="3"/>
  <c r="H5681" i="3"/>
  <c r="B5681" i="3"/>
  <c r="H5680" i="3"/>
  <c r="B5680" i="3"/>
  <c r="H5679" i="3"/>
  <c r="B5679" i="3"/>
  <c r="H5678" i="3"/>
  <c r="B5678" i="3"/>
  <c r="H5677" i="3"/>
  <c r="B5677" i="3"/>
  <c r="H5676" i="3"/>
  <c r="B5676" i="3"/>
  <c r="H5675" i="3"/>
  <c r="B5675" i="3"/>
  <c r="H5674" i="3"/>
  <c r="B5674" i="3"/>
  <c r="H5673" i="3"/>
  <c r="B5673" i="3"/>
  <c r="H5672" i="3"/>
  <c r="B5672" i="3"/>
  <c r="H5671" i="3"/>
  <c r="B5671" i="3"/>
  <c r="H5670" i="3"/>
  <c r="B5670" i="3"/>
  <c r="H5669" i="3"/>
  <c r="B5669" i="3"/>
  <c r="H5668" i="3"/>
  <c r="B5668" i="3"/>
  <c r="H5667" i="3"/>
  <c r="B5667" i="3"/>
  <c r="H5666" i="3"/>
  <c r="B5666" i="3"/>
  <c r="H5665" i="3"/>
  <c r="B5665" i="3"/>
  <c r="H5664" i="3"/>
  <c r="B5664" i="3"/>
  <c r="H5663" i="3"/>
  <c r="B5663" i="3"/>
  <c r="H5662" i="3"/>
  <c r="B5662" i="3"/>
  <c r="H5661" i="3"/>
  <c r="B5661" i="3"/>
  <c r="H5660" i="3"/>
  <c r="B5660" i="3"/>
  <c r="H5659" i="3"/>
  <c r="B5659" i="3"/>
  <c r="H5658" i="3"/>
  <c r="B5658" i="3"/>
  <c r="H5657" i="3"/>
  <c r="B5657" i="3"/>
  <c r="H5656" i="3"/>
  <c r="B5656" i="3"/>
  <c r="H5655" i="3"/>
  <c r="B5655" i="3"/>
  <c r="H5654" i="3"/>
  <c r="B5654" i="3"/>
  <c r="H5653" i="3"/>
  <c r="B5653" i="3"/>
  <c r="H5652" i="3"/>
  <c r="B5652" i="3"/>
  <c r="H5651" i="3"/>
  <c r="B5651" i="3"/>
  <c r="H5650" i="3"/>
  <c r="B5650" i="3"/>
  <c r="H5649" i="3"/>
  <c r="B5649" i="3"/>
  <c r="H5648" i="3"/>
  <c r="B5648" i="3"/>
  <c r="H5647" i="3"/>
  <c r="B5647" i="3"/>
  <c r="H5646" i="3"/>
  <c r="B5646" i="3"/>
  <c r="H5645" i="3"/>
  <c r="B5645" i="3"/>
  <c r="H5644" i="3"/>
  <c r="B5644" i="3"/>
  <c r="H5643" i="3"/>
  <c r="B5643" i="3"/>
  <c r="H5642" i="3"/>
  <c r="B5642" i="3"/>
  <c r="H5641" i="3"/>
  <c r="B5641" i="3"/>
  <c r="H5640" i="3"/>
  <c r="B5640" i="3"/>
  <c r="H5639" i="3"/>
  <c r="B5639" i="3"/>
  <c r="H5638" i="3"/>
  <c r="B5638" i="3"/>
  <c r="H5637" i="3"/>
  <c r="B5637" i="3"/>
  <c r="H5636" i="3"/>
  <c r="B5636" i="3"/>
  <c r="H5635" i="3"/>
  <c r="B5635" i="3"/>
  <c r="H5634" i="3"/>
  <c r="B5634" i="3"/>
  <c r="H5633" i="3"/>
  <c r="B5633" i="3"/>
  <c r="H5632" i="3"/>
  <c r="B5632" i="3"/>
  <c r="H5631" i="3"/>
  <c r="B5631" i="3"/>
  <c r="H5630" i="3"/>
  <c r="B5630" i="3"/>
  <c r="H5629" i="3"/>
  <c r="B5629" i="3"/>
  <c r="H5628" i="3"/>
  <c r="B5628" i="3"/>
  <c r="H5627" i="3"/>
  <c r="B5627" i="3"/>
  <c r="H5626" i="3"/>
  <c r="B5626" i="3"/>
  <c r="H5625" i="3"/>
  <c r="B5625" i="3"/>
  <c r="H5624" i="3"/>
  <c r="B5624" i="3"/>
  <c r="H5623" i="3"/>
  <c r="B5623" i="3"/>
  <c r="H5622" i="3"/>
  <c r="B5622" i="3"/>
  <c r="H5621" i="3"/>
  <c r="B5621" i="3"/>
  <c r="H5620" i="3"/>
  <c r="B5620" i="3"/>
  <c r="H5619" i="3"/>
  <c r="B5619" i="3"/>
  <c r="H5618" i="3"/>
  <c r="B5618" i="3"/>
  <c r="H5617" i="3"/>
  <c r="B5617" i="3"/>
  <c r="H5616" i="3"/>
  <c r="B5616" i="3"/>
  <c r="H5615" i="3"/>
  <c r="B5615" i="3"/>
  <c r="H5614" i="3"/>
  <c r="B5614" i="3"/>
  <c r="H5613" i="3"/>
  <c r="B5613" i="3"/>
  <c r="H5612" i="3"/>
  <c r="B5612" i="3"/>
  <c r="H5611" i="3"/>
  <c r="B5611" i="3"/>
  <c r="H5610" i="3"/>
  <c r="B5610" i="3"/>
  <c r="H5609" i="3"/>
  <c r="B5609" i="3"/>
  <c r="H5608" i="3"/>
  <c r="B5608" i="3"/>
  <c r="H5607" i="3"/>
  <c r="B5607" i="3"/>
  <c r="H5606" i="3"/>
  <c r="B5606" i="3"/>
  <c r="H5605" i="3"/>
  <c r="B5605" i="3"/>
  <c r="H5604" i="3"/>
  <c r="B5604" i="3"/>
  <c r="H5603" i="3"/>
  <c r="B5603" i="3"/>
  <c r="H5602" i="3"/>
  <c r="B5602" i="3"/>
  <c r="H5601" i="3"/>
  <c r="B5601" i="3"/>
  <c r="H5600" i="3"/>
  <c r="B5600" i="3"/>
  <c r="H5599" i="3"/>
  <c r="B5599" i="3"/>
  <c r="H5598" i="3"/>
  <c r="B5598" i="3"/>
  <c r="H5597" i="3"/>
  <c r="B5597" i="3"/>
  <c r="H5596" i="3"/>
  <c r="B5596" i="3"/>
  <c r="H5595" i="3"/>
  <c r="B5595" i="3"/>
  <c r="H5594" i="3"/>
  <c r="B5594" i="3"/>
  <c r="H5593" i="3"/>
  <c r="B5593" i="3"/>
  <c r="H5592" i="3"/>
  <c r="B5592" i="3"/>
  <c r="H5591" i="3"/>
  <c r="B5591" i="3"/>
  <c r="H5590" i="3"/>
  <c r="B5590" i="3"/>
  <c r="H5589" i="3"/>
  <c r="B5589" i="3"/>
  <c r="H5588" i="3"/>
  <c r="B5588" i="3"/>
  <c r="H5587" i="3"/>
  <c r="B5587" i="3"/>
  <c r="H5586" i="3"/>
  <c r="B5586" i="3"/>
  <c r="H5585" i="3"/>
  <c r="B5585" i="3"/>
  <c r="H5584" i="3"/>
  <c r="B5584" i="3"/>
  <c r="H5583" i="3"/>
  <c r="B5583" i="3"/>
  <c r="H5582" i="3"/>
  <c r="B5582" i="3"/>
  <c r="H5581" i="3"/>
  <c r="B5581" i="3"/>
  <c r="H5580" i="3"/>
  <c r="B5580" i="3"/>
  <c r="H5579" i="3"/>
  <c r="B5579" i="3"/>
  <c r="H5578" i="3"/>
  <c r="B5578" i="3"/>
  <c r="H5577" i="3"/>
  <c r="B5577" i="3"/>
  <c r="H5576" i="3"/>
  <c r="B5576" i="3"/>
  <c r="H5575" i="3"/>
  <c r="B5575" i="3"/>
  <c r="H5574" i="3"/>
  <c r="B5574" i="3"/>
  <c r="H5573" i="3"/>
  <c r="B5573" i="3"/>
  <c r="H5572" i="3"/>
  <c r="B5572" i="3"/>
  <c r="H5571" i="3"/>
  <c r="B5571" i="3"/>
  <c r="H5570" i="3"/>
  <c r="B5570" i="3"/>
  <c r="H5569" i="3"/>
  <c r="B5569" i="3"/>
  <c r="H5568" i="3"/>
  <c r="B5568" i="3"/>
  <c r="H5567" i="3"/>
  <c r="B5567" i="3"/>
  <c r="H5566" i="3"/>
  <c r="B5566" i="3"/>
  <c r="H5565" i="3"/>
  <c r="B5565" i="3"/>
  <c r="H5564" i="3"/>
  <c r="B5564" i="3"/>
  <c r="H5563" i="3"/>
  <c r="B5563" i="3"/>
  <c r="H5562" i="3"/>
  <c r="B5562" i="3"/>
  <c r="H5561" i="3"/>
  <c r="B5561" i="3"/>
  <c r="H5560" i="3"/>
  <c r="B5560" i="3"/>
  <c r="H5559" i="3"/>
  <c r="B5559" i="3"/>
  <c r="H5558" i="3"/>
  <c r="B5558" i="3"/>
  <c r="H5557" i="3"/>
  <c r="B5557" i="3"/>
  <c r="H5556" i="3"/>
  <c r="B5556" i="3"/>
  <c r="H5555" i="3"/>
  <c r="B5555" i="3"/>
  <c r="H5554" i="3"/>
  <c r="B5554" i="3"/>
  <c r="H5553" i="3"/>
  <c r="B5553" i="3"/>
  <c r="H5552" i="3"/>
  <c r="B5552" i="3"/>
  <c r="H5551" i="3"/>
  <c r="B5551" i="3"/>
  <c r="H5550" i="3"/>
  <c r="B5550" i="3"/>
  <c r="H5549" i="3"/>
  <c r="B5549" i="3"/>
  <c r="H5548" i="3"/>
  <c r="B5548" i="3"/>
  <c r="H5547" i="3"/>
  <c r="B5547" i="3"/>
  <c r="H5546" i="3"/>
  <c r="B5546" i="3"/>
  <c r="H5545" i="3"/>
  <c r="B5545" i="3"/>
  <c r="H5544" i="3"/>
  <c r="B5544" i="3"/>
  <c r="H5543" i="3"/>
  <c r="B5543" i="3"/>
  <c r="H5542" i="3"/>
  <c r="B5542" i="3"/>
  <c r="H5541" i="3"/>
  <c r="B5541" i="3"/>
  <c r="H5540" i="3"/>
  <c r="B5540" i="3"/>
  <c r="H5539" i="3"/>
  <c r="B5539" i="3"/>
  <c r="H5538" i="3"/>
  <c r="B5538" i="3"/>
  <c r="H5537" i="3"/>
  <c r="B5537" i="3"/>
  <c r="H5536" i="3"/>
  <c r="B5536" i="3"/>
  <c r="H5535" i="3"/>
  <c r="B5535" i="3"/>
  <c r="H5534" i="3"/>
  <c r="B5534" i="3"/>
  <c r="H5533" i="3"/>
  <c r="B5533" i="3"/>
  <c r="H5532" i="3"/>
  <c r="B5532" i="3"/>
  <c r="H5531" i="3"/>
  <c r="B5531" i="3"/>
  <c r="H5530" i="3"/>
  <c r="B5530" i="3"/>
  <c r="H5529" i="3"/>
  <c r="B5529" i="3"/>
  <c r="H5528" i="3"/>
  <c r="B5528" i="3"/>
  <c r="H5527" i="3"/>
  <c r="B5527" i="3"/>
  <c r="H5526" i="3"/>
  <c r="B5526" i="3"/>
  <c r="H5525" i="3"/>
  <c r="B5525" i="3"/>
  <c r="H5524" i="3"/>
  <c r="B5524" i="3"/>
  <c r="H5523" i="3"/>
  <c r="B5523" i="3"/>
  <c r="H5522" i="3"/>
  <c r="B5522" i="3"/>
  <c r="H5521" i="3"/>
  <c r="B5521" i="3"/>
  <c r="H5520" i="3"/>
  <c r="B5520" i="3"/>
  <c r="H5519" i="3"/>
  <c r="B5519" i="3"/>
  <c r="H5518" i="3"/>
  <c r="B5518" i="3"/>
  <c r="H5517" i="3"/>
  <c r="B5517" i="3"/>
  <c r="H5516" i="3"/>
  <c r="B5516" i="3"/>
  <c r="H5515" i="3"/>
  <c r="B5515" i="3"/>
  <c r="H5514" i="3"/>
  <c r="B5514" i="3"/>
  <c r="H5513" i="3"/>
  <c r="B5513" i="3"/>
  <c r="H5512" i="3"/>
  <c r="B5512" i="3"/>
  <c r="H5511" i="3"/>
  <c r="B5511" i="3"/>
  <c r="H5510" i="3"/>
  <c r="B5510" i="3"/>
  <c r="H5509" i="3"/>
  <c r="B5509" i="3"/>
  <c r="H5508" i="3"/>
  <c r="B5508" i="3"/>
  <c r="H5507" i="3"/>
  <c r="B5507" i="3"/>
  <c r="H5506" i="3"/>
  <c r="B5506" i="3"/>
  <c r="H5505" i="3"/>
  <c r="B5505" i="3"/>
  <c r="H5504" i="3"/>
  <c r="B5504" i="3"/>
  <c r="H5503" i="3"/>
  <c r="B5503" i="3"/>
  <c r="H5502" i="3"/>
  <c r="B5502" i="3"/>
  <c r="H5501" i="3"/>
  <c r="B5501" i="3"/>
  <c r="H5500" i="3"/>
  <c r="B5500" i="3"/>
  <c r="H5499" i="3"/>
  <c r="B5499" i="3"/>
  <c r="H5498" i="3"/>
  <c r="B5498" i="3"/>
  <c r="H5497" i="3"/>
  <c r="B5497" i="3"/>
  <c r="H5496" i="3"/>
  <c r="B5496" i="3"/>
  <c r="H5495" i="3"/>
  <c r="B5495" i="3"/>
  <c r="H5494" i="3"/>
  <c r="B5494" i="3"/>
  <c r="H5493" i="3"/>
  <c r="B5493" i="3"/>
  <c r="H5492" i="3"/>
  <c r="B5492" i="3"/>
  <c r="H5491" i="3"/>
  <c r="B5491" i="3"/>
  <c r="H5490" i="3"/>
  <c r="B5490" i="3"/>
  <c r="H5489" i="3"/>
  <c r="B5489" i="3"/>
  <c r="H5488" i="3"/>
  <c r="B5488" i="3"/>
  <c r="H5487" i="3"/>
  <c r="B5487" i="3"/>
  <c r="H5486" i="3"/>
  <c r="B5486" i="3"/>
  <c r="H5485" i="3"/>
  <c r="B5485" i="3"/>
  <c r="H5484" i="3"/>
  <c r="B5484" i="3"/>
  <c r="H5483" i="3"/>
  <c r="B5483" i="3"/>
  <c r="H5482" i="3"/>
  <c r="B5482" i="3"/>
  <c r="H5481" i="3"/>
  <c r="B5481" i="3"/>
  <c r="H5480" i="3"/>
  <c r="B5480" i="3"/>
  <c r="H5479" i="3"/>
  <c r="B5479" i="3"/>
  <c r="H5478" i="3"/>
  <c r="B5478" i="3"/>
  <c r="H5477" i="3"/>
  <c r="B5477" i="3"/>
  <c r="H5476" i="3"/>
  <c r="B5476" i="3"/>
  <c r="H5475" i="3"/>
  <c r="B5475" i="3"/>
  <c r="H5474" i="3"/>
  <c r="B5474" i="3"/>
  <c r="H5473" i="3"/>
  <c r="B5473" i="3"/>
  <c r="H5472" i="3"/>
  <c r="B5472" i="3"/>
  <c r="H5471" i="3"/>
  <c r="B5471" i="3"/>
  <c r="H5470" i="3"/>
  <c r="B5470" i="3"/>
  <c r="H5469" i="3"/>
  <c r="B5469" i="3"/>
  <c r="H5468" i="3"/>
  <c r="B5468" i="3"/>
  <c r="H5467" i="3"/>
  <c r="B5467" i="3"/>
  <c r="H5466" i="3"/>
  <c r="B5466" i="3"/>
  <c r="H5465" i="3"/>
  <c r="B5465" i="3"/>
  <c r="H5464" i="3"/>
  <c r="B5464" i="3"/>
  <c r="H5463" i="3"/>
  <c r="B5463" i="3"/>
  <c r="H5462" i="3"/>
  <c r="B5462" i="3"/>
  <c r="H5461" i="3"/>
  <c r="B5461" i="3"/>
  <c r="H5460" i="3"/>
  <c r="B5460" i="3"/>
  <c r="H5459" i="3"/>
  <c r="B5459" i="3"/>
  <c r="H5458" i="3"/>
  <c r="B5458" i="3"/>
  <c r="H5457" i="3"/>
  <c r="B5457" i="3"/>
  <c r="H5456" i="3"/>
  <c r="B5456" i="3"/>
  <c r="H5455" i="3"/>
  <c r="B5455" i="3"/>
  <c r="H5454" i="3"/>
  <c r="B5454" i="3"/>
  <c r="H5453" i="3"/>
  <c r="B5453" i="3"/>
  <c r="H5452" i="3"/>
  <c r="B5452" i="3"/>
  <c r="H5451" i="3"/>
  <c r="B5451" i="3"/>
  <c r="H5450" i="3"/>
  <c r="B5450" i="3"/>
  <c r="H5449" i="3"/>
  <c r="B5449" i="3"/>
  <c r="H5448" i="3"/>
  <c r="B5448" i="3"/>
  <c r="H5447" i="3"/>
  <c r="B5447" i="3"/>
  <c r="H5446" i="3"/>
  <c r="B5446" i="3"/>
  <c r="H5445" i="3"/>
  <c r="B5445" i="3"/>
  <c r="H5444" i="3"/>
  <c r="B5444" i="3"/>
  <c r="H5443" i="3"/>
  <c r="B5443" i="3"/>
  <c r="H5442" i="3"/>
  <c r="B5442" i="3"/>
  <c r="H5441" i="3"/>
  <c r="B5441" i="3"/>
  <c r="H5440" i="3"/>
  <c r="B5440" i="3"/>
  <c r="H5439" i="3"/>
  <c r="B5439" i="3"/>
  <c r="H5438" i="3"/>
  <c r="B5438" i="3"/>
  <c r="H5437" i="3"/>
  <c r="B5437" i="3"/>
  <c r="H5436" i="3"/>
  <c r="B5436" i="3"/>
  <c r="H5435" i="3"/>
  <c r="B5435" i="3"/>
  <c r="H5434" i="3"/>
  <c r="B5434" i="3"/>
  <c r="H5433" i="3"/>
  <c r="B5433" i="3"/>
  <c r="H5432" i="3"/>
  <c r="B5432" i="3"/>
  <c r="H5431" i="3"/>
  <c r="B5431" i="3"/>
  <c r="H5430" i="3"/>
  <c r="B5430" i="3"/>
  <c r="H5429" i="3"/>
  <c r="B5429" i="3"/>
  <c r="H5428" i="3"/>
  <c r="B5428" i="3"/>
  <c r="H5427" i="3"/>
  <c r="B5427" i="3"/>
  <c r="H5426" i="3"/>
  <c r="B5426" i="3"/>
  <c r="H5425" i="3"/>
  <c r="B5425" i="3"/>
  <c r="H5424" i="3"/>
  <c r="B5424" i="3"/>
  <c r="H5423" i="3"/>
  <c r="B5423" i="3"/>
  <c r="H5422" i="3"/>
  <c r="B5422" i="3"/>
  <c r="H5421" i="3"/>
  <c r="B5421" i="3"/>
  <c r="H5420" i="3"/>
  <c r="B5420" i="3"/>
  <c r="H5419" i="3"/>
  <c r="B5419" i="3"/>
  <c r="H5418" i="3"/>
  <c r="B5418" i="3"/>
  <c r="H5417" i="3"/>
  <c r="B5417" i="3"/>
  <c r="H5416" i="3"/>
  <c r="B5416" i="3"/>
  <c r="H5415" i="3"/>
  <c r="B5415" i="3"/>
  <c r="H5414" i="3"/>
  <c r="B5414" i="3"/>
  <c r="H5413" i="3"/>
  <c r="B5413" i="3"/>
  <c r="H5412" i="3"/>
  <c r="B5412" i="3"/>
  <c r="H5411" i="3"/>
  <c r="B5411" i="3"/>
  <c r="H5410" i="3"/>
  <c r="B5410" i="3"/>
  <c r="H5409" i="3"/>
  <c r="B5409" i="3"/>
  <c r="H5408" i="3"/>
  <c r="B5408" i="3"/>
  <c r="H5407" i="3"/>
  <c r="B5407" i="3"/>
  <c r="H5406" i="3"/>
  <c r="B5406" i="3"/>
  <c r="H5405" i="3"/>
  <c r="B5405" i="3"/>
  <c r="H5404" i="3"/>
  <c r="B5404" i="3"/>
  <c r="H5403" i="3"/>
  <c r="B5403" i="3"/>
  <c r="H5402" i="3"/>
  <c r="B5402" i="3"/>
  <c r="H5401" i="3"/>
  <c r="B5401" i="3"/>
  <c r="H5400" i="3"/>
  <c r="B5400" i="3"/>
  <c r="H5399" i="3"/>
  <c r="B5399" i="3"/>
  <c r="H5398" i="3"/>
  <c r="B5398" i="3"/>
  <c r="H5397" i="3"/>
  <c r="B5397" i="3"/>
  <c r="H5396" i="3"/>
  <c r="B5396" i="3"/>
  <c r="H5395" i="3"/>
  <c r="B5395" i="3"/>
  <c r="H5394" i="3"/>
  <c r="B5394" i="3"/>
  <c r="H5393" i="3"/>
  <c r="B5393" i="3"/>
  <c r="H5392" i="3"/>
  <c r="B5392" i="3"/>
  <c r="H5391" i="3"/>
  <c r="B5391" i="3"/>
  <c r="H5390" i="3"/>
  <c r="B5390" i="3"/>
  <c r="H5389" i="3"/>
  <c r="B5389" i="3"/>
  <c r="H5388" i="3"/>
  <c r="B5388" i="3"/>
  <c r="H5387" i="3"/>
  <c r="B5387" i="3"/>
  <c r="H5386" i="3"/>
  <c r="B5386" i="3"/>
  <c r="H5385" i="3"/>
  <c r="B5385" i="3"/>
  <c r="H5384" i="3"/>
  <c r="B5384" i="3"/>
  <c r="H5383" i="3"/>
  <c r="B5383" i="3"/>
  <c r="H5382" i="3"/>
  <c r="B5382" i="3"/>
  <c r="H5381" i="3"/>
  <c r="B5381" i="3"/>
  <c r="H5380" i="3"/>
  <c r="B5380" i="3"/>
  <c r="H5379" i="3"/>
  <c r="B5379" i="3"/>
  <c r="H5378" i="3"/>
  <c r="B5378" i="3"/>
  <c r="H5377" i="3"/>
  <c r="B5377" i="3"/>
  <c r="H5376" i="3"/>
  <c r="B5376" i="3"/>
  <c r="H5375" i="3"/>
  <c r="B5375" i="3"/>
  <c r="H5374" i="3"/>
  <c r="B5374" i="3"/>
  <c r="H5373" i="3"/>
  <c r="B5373" i="3"/>
  <c r="H5372" i="3"/>
  <c r="B5372" i="3"/>
  <c r="H5371" i="3"/>
  <c r="B5371" i="3"/>
  <c r="H5370" i="3"/>
  <c r="B5370" i="3"/>
  <c r="H5369" i="3"/>
  <c r="B5369" i="3"/>
  <c r="H5368" i="3"/>
  <c r="B5368" i="3"/>
  <c r="H5367" i="3"/>
  <c r="B5367" i="3"/>
  <c r="H5366" i="3"/>
  <c r="B5366" i="3"/>
  <c r="H5365" i="3"/>
  <c r="B5365" i="3"/>
  <c r="H5364" i="3"/>
  <c r="B5364" i="3"/>
  <c r="H5363" i="3"/>
  <c r="B5363" i="3"/>
  <c r="H5362" i="3"/>
  <c r="B5362" i="3"/>
  <c r="H5361" i="3"/>
  <c r="B5361" i="3"/>
  <c r="H5360" i="3"/>
  <c r="B5360" i="3"/>
  <c r="H5359" i="3"/>
  <c r="B5359" i="3"/>
  <c r="H5358" i="3"/>
  <c r="B5358" i="3"/>
  <c r="H5357" i="3"/>
  <c r="B5357" i="3"/>
  <c r="H5356" i="3"/>
  <c r="B5356" i="3"/>
  <c r="H5355" i="3"/>
  <c r="B5355" i="3"/>
  <c r="H5354" i="3"/>
  <c r="B5354" i="3"/>
  <c r="H5353" i="3"/>
  <c r="B5353" i="3"/>
  <c r="H5352" i="3"/>
  <c r="B5352" i="3"/>
  <c r="H5351" i="3"/>
  <c r="B5351" i="3"/>
  <c r="H5350" i="3"/>
  <c r="B5350" i="3"/>
  <c r="H5349" i="3"/>
  <c r="B5349" i="3"/>
  <c r="H5348" i="3"/>
  <c r="B5348" i="3"/>
  <c r="H5347" i="3"/>
  <c r="B5347" i="3"/>
  <c r="H5346" i="3"/>
  <c r="B5346" i="3"/>
  <c r="H5345" i="3"/>
  <c r="B5345" i="3"/>
  <c r="H5344" i="3"/>
  <c r="B5344" i="3"/>
  <c r="H5343" i="3"/>
  <c r="B5343" i="3"/>
  <c r="H5342" i="3"/>
  <c r="B5342" i="3"/>
  <c r="H5341" i="3"/>
  <c r="B5341" i="3"/>
  <c r="H5340" i="3"/>
  <c r="B5340" i="3"/>
  <c r="H5339" i="3"/>
  <c r="B5339" i="3"/>
  <c r="H5338" i="3"/>
  <c r="B5338" i="3"/>
  <c r="H5337" i="3"/>
  <c r="B5337" i="3"/>
  <c r="H5336" i="3"/>
  <c r="B5336" i="3"/>
  <c r="H5335" i="3"/>
  <c r="B5335" i="3"/>
  <c r="H5334" i="3"/>
  <c r="B5334" i="3"/>
  <c r="H5333" i="3"/>
  <c r="B5333" i="3"/>
  <c r="H5332" i="3"/>
  <c r="B5332" i="3"/>
  <c r="H5331" i="3"/>
  <c r="B5331" i="3"/>
  <c r="H5330" i="3"/>
  <c r="B5330" i="3"/>
  <c r="H5329" i="3"/>
  <c r="B5329" i="3"/>
  <c r="H5328" i="3"/>
  <c r="B5328" i="3"/>
  <c r="H5327" i="3"/>
  <c r="B5327" i="3"/>
  <c r="H5326" i="3"/>
  <c r="B5326" i="3"/>
  <c r="H5325" i="3"/>
  <c r="B5325" i="3"/>
  <c r="H5324" i="3"/>
  <c r="B5324" i="3"/>
  <c r="H5323" i="3"/>
  <c r="B5323" i="3"/>
  <c r="H5322" i="3"/>
  <c r="B5322" i="3"/>
  <c r="H5321" i="3"/>
  <c r="B5321" i="3"/>
  <c r="H5320" i="3"/>
  <c r="B5320" i="3"/>
  <c r="H5319" i="3"/>
  <c r="B5319" i="3"/>
  <c r="H5318" i="3"/>
  <c r="B5318" i="3"/>
  <c r="H5317" i="3"/>
  <c r="B5317" i="3"/>
  <c r="H5316" i="3"/>
  <c r="B5316" i="3"/>
  <c r="H5315" i="3"/>
  <c r="B5315" i="3"/>
  <c r="H5314" i="3"/>
  <c r="B5314" i="3"/>
  <c r="H5313" i="3"/>
  <c r="B5313" i="3"/>
  <c r="H5312" i="3"/>
  <c r="B5312" i="3"/>
  <c r="H5311" i="3"/>
  <c r="B5311" i="3"/>
  <c r="H5310" i="3"/>
  <c r="B5310" i="3"/>
  <c r="H5309" i="3"/>
  <c r="B5309" i="3"/>
  <c r="H5308" i="3"/>
  <c r="B5308" i="3"/>
  <c r="H5307" i="3"/>
  <c r="B5307" i="3"/>
  <c r="H5306" i="3"/>
  <c r="B5306" i="3"/>
  <c r="H5305" i="3"/>
  <c r="B5305" i="3"/>
  <c r="H5304" i="3"/>
  <c r="B5304" i="3"/>
  <c r="H5303" i="3"/>
  <c r="B5303" i="3"/>
  <c r="H5302" i="3"/>
  <c r="B5302" i="3"/>
  <c r="H5301" i="3"/>
  <c r="B5301" i="3"/>
  <c r="H5300" i="3"/>
  <c r="B5300" i="3"/>
  <c r="H5299" i="3"/>
  <c r="B5299" i="3"/>
  <c r="H5298" i="3"/>
  <c r="B5298" i="3"/>
  <c r="H5297" i="3"/>
  <c r="B5297" i="3"/>
  <c r="H5296" i="3"/>
  <c r="B5296" i="3"/>
  <c r="H5295" i="3"/>
  <c r="B5295" i="3"/>
  <c r="H5294" i="3"/>
  <c r="B5294" i="3"/>
  <c r="H5293" i="3"/>
  <c r="B5293" i="3"/>
  <c r="H5292" i="3"/>
  <c r="B5292" i="3"/>
  <c r="H5291" i="3"/>
  <c r="B5291" i="3"/>
  <c r="H5290" i="3"/>
  <c r="B5290" i="3"/>
  <c r="H5289" i="3"/>
  <c r="B5289" i="3"/>
  <c r="H5288" i="3"/>
  <c r="B5288" i="3"/>
  <c r="H5287" i="3"/>
  <c r="B5287" i="3"/>
  <c r="H5286" i="3"/>
  <c r="B5286" i="3"/>
  <c r="H5285" i="3"/>
  <c r="B5285" i="3"/>
  <c r="H5284" i="3"/>
  <c r="B5284" i="3"/>
  <c r="H5283" i="3"/>
  <c r="B5283" i="3"/>
  <c r="H5282" i="3"/>
  <c r="B5282" i="3"/>
  <c r="H5281" i="3"/>
  <c r="B5281" i="3"/>
  <c r="H5280" i="3"/>
  <c r="B5280" i="3"/>
  <c r="H5279" i="3"/>
  <c r="B5279" i="3"/>
  <c r="H5278" i="3"/>
  <c r="B5278" i="3"/>
  <c r="H5277" i="3"/>
  <c r="B5277" i="3"/>
  <c r="H5276" i="3"/>
  <c r="B5276" i="3"/>
  <c r="H5275" i="3"/>
  <c r="B5275" i="3"/>
  <c r="H5274" i="3"/>
  <c r="B5274" i="3"/>
  <c r="H5273" i="3"/>
  <c r="B5273" i="3"/>
  <c r="H5272" i="3"/>
  <c r="B5272" i="3"/>
  <c r="H5271" i="3"/>
  <c r="B5271" i="3"/>
  <c r="H5270" i="3"/>
  <c r="B5270" i="3"/>
  <c r="H5269" i="3"/>
  <c r="B5269" i="3"/>
  <c r="H5268" i="3"/>
  <c r="B5268" i="3"/>
  <c r="H5267" i="3"/>
  <c r="B5267" i="3"/>
  <c r="H5266" i="3"/>
  <c r="B5266" i="3"/>
  <c r="H5265" i="3"/>
  <c r="B5265" i="3"/>
  <c r="H5264" i="3"/>
  <c r="B5264" i="3"/>
  <c r="H5263" i="3"/>
  <c r="B5263" i="3"/>
  <c r="H5262" i="3"/>
  <c r="B5262" i="3"/>
  <c r="H5261" i="3"/>
  <c r="B5261" i="3"/>
  <c r="H5260" i="3"/>
  <c r="B5260" i="3"/>
  <c r="H5259" i="3"/>
  <c r="B5259" i="3"/>
  <c r="H5258" i="3"/>
  <c r="B5258" i="3"/>
  <c r="H5257" i="3"/>
  <c r="B5257" i="3"/>
  <c r="H5256" i="3"/>
  <c r="B5256" i="3"/>
  <c r="H5255" i="3"/>
  <c r="B5255" i="3"/>
  <c r="H5254" i="3"/>
  <c r="B5254" i="3"/>
  <c r="H5253" i="3"/>
  <c r="B5253" i="3"/>
  <c r="H5252" i="3"/>
  <c r="B5252" i="3"/>
  <c r="H5251" i="3"/>
  <c r="B5251" i="3"/>
  <c r="H5250" i="3"/>
  <c r="B5250" i="3"/>
  <c r="H5249" i="3"/>
  <c r="B5249" i="3"/>
  <c r="H5248" i="3"/>
  <c r="B5248" i="3"/>
  <c r="H5247" i="3"/>
  <c r="B5247" i="3"/>
  <c r="H5246" i="3"/>
  <c r="B5246" i="3"/>
  <c r="H5245" i="3"/>
  <c r="B5245" i="3"/>
  <c r="H5244" i="3"/>
  <c r="B5244" i="3"/>
  <c r="H5243" i="3"/>
  <c r="B5243" i="3"/>
  <c r="H5242" i="3"/>
  <c r="B5242" i="3"/>
  <c r="H5241" i="3"/>
  <c r="B5241" i="3"/>
  <c r="H5240" i="3"/>
  <c r="B5240" i="3"/>
  <c r="H5239" i="3"/>
  <c r="B5239" i="3"/>
  <c r="H5238" i="3"/>
  <c r="B5238" i="3"/>
  <c r="H5237" i="3"/>
  <c r="B5237" i="3"/>
  <c r="H5236" i="3"/>
  <c r="B5236" i="3"/>
  <c r="H5235" i="3"/>
  <c r="B5235" i="3"/>
  <c r="H5234" i="3"/>
  <c r="B5234" i="3"/>
  <c r="H5233" i="3"/>
  <c r="B5233" i="3"/>
  <c r="H5232" i="3"/>
  <c r="B5232" i="3"/>
  <c r="H5231" i="3"/>
  <c r="B5231" i="3"/>
  <c r="H5230" i="3"/>
  <c r="B5230" i="3"/>
  <c r="H5229" i="3"/>
  <c r="B5229" i="3"/>
  <c r="H5228" i="3"/>
  <c r="B5228" i="3"/>
  <c r="H5227" i="3"/>
  <c r="B5227" i="3"/>
  <c r="H5226" i="3"/>
  <c r="B5226" i="3"/>
  <c r="H5225" i="3"/>
  <c r="B5225" i="3"/>
  <c r="H5224" i="3"/>
  <c r="B5224" i="3"/>
  <c r="H5223" i="3"/>
  <c r="B5223" i="3"/>
  <c r="H5222" i="3"/>
  <c r="B5222" i="3"/>
  <c r="H5221" i="3"/>
  <c r="B5221" i="3"/>
  <c r="H5220" i="3"/>
  <c r="B5220" i="3"/>
  <c r="H5219" i="3"/>
  <c r="B5219" i="3"/>
  <c r="H5218" i="3"/>
  <c r="B5218" i="3"/>
  <c r="H5217" i="3"/>
  <c r="B5217" i="3"/>
  <c r="H5216" i="3"/>
  <c r="B5216" i="3"/>
  <c r="H5215" i="3"/>
  <c r="B5215" i="3"/>
  <c r="H5214" i="3"/>
  <c r="B5214" i="3"/>
  <c r="H5213" i="3"/>
  <c r="B5213" i="3"/>
  <c r="H5212" i="3"/>
  <c r="B5212" i="3"/>
  <c r="H5211" i="3"/>
  <c r="B5211" i="3"/>
  <c r="H5210" i="3"/>
  <c r="B5210" i="3"/>
  <c r="H5209" i="3"/>
  <c r="B5209" i="3"/>
  <c r="H5208" i="3"/>
  <c r="B5208" i="3"/>
  <c r="H5207" i="3"/>
  <c r="B5207" i="3"/>
  <c r="H5206" i="3"/>
  <c r="B5206" i="3"/>
  <c r="H5205" i="3"/>
  <c r="B5205" i="3"/>
  <c r="H5204" i="3"/>
  <c r="B5204" i="3"/>
  <c r="H5203" i="3"/>
  <c r="B5203" i="3"/>
  <c r="H5202" i="3"/>
  <c r="B5202" i="3"/>
  <c r="H5201" i="3"/>
  <c r="B5201" i="3"/>
  <c r="H5200" i="3"/>
  <c r="B5200" i="3"/>
  <c r="H5199" i="3"/>
  <c r="B5199" i="3"/>
  <c r="H5198" i="3"/>
  <c r="B5198" i="3"/>
  <c r="H5197" i="3"/>
  <c r="B5197" i="3"/>
  <c r="H5196" i="3"/>
  <c r="B5196" i="3"/>
  <c r="H5195" i="3"/>
  <c r="B5195" i="3"/>
  <c r="H5194" i="3"/>
  <c r="B5194" i="3"/>
  <c r="H5193" i="3"/>
  <c r="B5193" i="3"/>
  <c r="H5192" i="3"/>
  <c r="B5192" i="3"/>
  <c r="H5191" i="3"/>
  <c r="B5191" i="3"/>
  <c r="H5190" i="3"/>
  <c r="B5190" i="3"/>
  <c r="H5189" i="3"/>
  <c r="B5189" i="3"/>
  <c r="H5188" i="3"/>
  <c r="B5188" i="3"/>
  <c r="H5187" i="3"/>
  <c r="B5187" i="3"/>
  <c r="H5186" i="3"/>
  <c r="B5186" i="3"/>
  <c r="H5185" i="3"/>
  <c r="B5185" i="3"/>
  <c r="H5184" i="3"/>
  <c r="B5184" i="3"/>
  <c r="H5183" i="3"/>
  <c r="B5183" i="3"/>
  <c r="H5182" i="3"/>
  <c r="B5182" i="3"/>
  <c r="H5181" i="3"/>
  <c r="B5181" i="3"/>
  <c r="H5180" i="3"/>
  <c r="B5180" i="3"/>
  <c r="H5179" i="3"/>
  <c r="B5179" i="3"/>
  <c r="H5178" i="3"/>
  <c r="B5178" i="3"/>
  <c r="H5177" i="3"/>
  <c r="B5177" i="3"/>
  <c r="H5176" i="3"/>
  <c r="B5176" i="3"/>
  <c r="H5175" i="3"/>
  <c r="B5175" i="3"/>
  <c r="H5174" i="3"/>
  <c r="B5174" i="3"/>
  <c r="H5173" i="3"/>
  <c r="B5173" i="3"/>
  <c r="H5172" i="3"/>
  <c r="B5172" i="3"/>
  <c r="H5171" i="3"/>
  <c r="B5171" i="3"/>
  <c r="H5170" i="3"/>
  <c r="B5170" i="3"/>
  <c r="H5169" i="3"/>
  <c r="B5169" i="3"/>
  <c r="H5168" i="3"/>
  <c r="B5168" i="3"/>
  <c r="H5167" i="3"/>
  <c r="B5167" i="3"/>
  <c r="H5166" i="3"/>
  <c r="B5166" i="3"/>
  <c r="H5165" i="3"/>
  <c r="B5165" i="3"/>
  <c r="H5164" i="3"/>
  <c r="B5164" i="3"/>
  <c r="H5163" i="3"/>
  <c r="B5163" i="3"/>
  <c r="H5162" i="3"/>
  <c r="B5162" i="3"/>
  <c r="H5161" i="3"/>
  <c r="B5161" i="3"/>
  <c r="H5160" i="3"/>
  <c r="B5160" i="3"/>
  <c r="H5159" i="3"/>
  <c r="B5159" i="3"/>
  <c r="H5158" i="3"/>
  <c r="B5158" i="3"/>
  <c r="H5157" i="3"/>
  <c r="B5157" i="3"/>
  <c r="H5156" i="3"/>
  <c r="B5156" i="3"/>
  <c r="H5155" i="3"/>
  <c r="B5155" i="3"/>
  <c r="H5154" i="3"/>
  <c r="B5154" i="3"/>
  <c r="H5153" i="3"/>
  <c r="B5153" i="3"/>
  <c r="H5152" i="3"/>
  <c r="B5152" i="3"/>
  <c r="H5151" i="3"/>
  <c r="B5151" i="3"/>
  <c r="H5150" i="3"/>
  <c r="B5150" i="3"/>
  <c r="H5149" i="3"/>
  <c r="B5149" i="3"/>
  <c r="H5148" i="3"/>
  <c r="B5148" i="3"/>
  <c r="H5147" i="3"/>
  <c r="B5147" i="3"/>
  <c r="H5146" i="3"/>
  <c r="B5146" i="3"/>
  <c r="H5145" i="3"/>
  <c r="B5145" i="3"/>
  <c r="H5144" i="3"/>
  <c r="B5144" i="3"/>
  <c r="H5143" i="3"/>
  <c r="B5143" i="3"/>
  <c r="H5142" i="3"/>
  <c r="B5142" i="3"/>
  <c r="H5141" i="3"/>
  <c r="B5141" i="3"/>
  <c r="H5140" i="3"/>
  <c r="B5140" i="3"/>
  <c r="H5139" i="3"/>
  <c r="B5139" i="3"/>
  <c r="H5138" i="3"/>
  <c r="B5138" i="3"/>
  <c r="H5137" i="3"/>
  <c r="B5137" i="3"/>
  <c r="H5136" i="3"/>
  <c r="B5136" i="3"/>
  <c r="H5135" i="3"/>
  <c r="B5135" i="3"/>
  <c r="H5134" i="3"/>
  <c r="B5134" i="3"/>
  <c r="H5133" i="3"/>
  <c r="B5133" i="3"/>
  <c r="H5132" i="3"/>
  <c r="B5132" i="3"/>
  <c r="H5131" i="3"/>
  <c r="B5131" i="3"/>
  <c r="H5130" i="3"/>
  <c r="B5130" i="3"/>
  <c r="H5129" i="3"/>
  <c r="B5129" i="3"/>
  <c r="H5128" i="3"/>
  <c r="B5128" i="3"/>
  <c r="H5127" i="3"/>
  <c r="B5127" i="3"/>
  <c r="H5126" i="3"/>
  <c r="B5126" i="3"/>
  <c r="H5125" i="3"/>
  <c r="B5125" i="3"/>
  <c r="H5124" i="3"/>
  <c r="B5124" i="3"/>
  <c r="H5123" i="3"/>
  <c r="B5123" i="3"/>
  <c r="H5122" i="3"/>
  <c r="B5122" i="3"/>
  <c r="H5121" i="3"/>
  <c r="B5121" i="3"/>
  <c r="H5120" i="3"/>
  <c r="B5120" i="3"/>
  <c r="H5119" i="3"/>
  <c r="B5119" i="3"/>
  <c r="H5118" i="3"/>
  <c r="B5118" i="3"/>
  <c r="H5117" i="3"/>
  <c r="B5117" i="3"/>
  <c r="H5116" i="3"/>
  <c r="B5116" i="3"/>
  <c r="H5115" i="3"/>
  <c r="B5115" i="3"/>
  <c r="H5114" i="3"/>
  <c r="B5114" i="3"/>
  <c r="H5113" i="3"/>
  <c r="B5113" i="3"/>
  <c r="H5112" i="3"/>
  <c r="B5112" i="3"/>
  <c r="H5111" i="3"/>
  <c r="B5111" i="3"/>
  <c r="H5110" i="3"/>
  <c r="B5110" i="3"/>
  <c r="H5109" i="3"/>
  <c r="B5109" i="3"/>
  <c r="H5108" i="3"/>
  <c r="B5108" i="3"/>
  <c r="H5107" i="3"/>
  <c r="B5107" i="3"/>
  <c r="H5106" i="3"/>
  <c r="B5106" i="3"/>
  <c r="H5105" i="3"/>
  <c r="B5105" i="3"/>
  <c r="H5104" i="3"/>
  <c r="B5104" i="3"/>
  <c r="H5103" i="3"/>
  <c r="B5103" i="3"/>
  <c r="H5102" i="3"/>
  <c r="B5102" i="3"/>
  <c r="H5101" i="3"/>
  <c r="B5101" i="3"/>
  <c r="H5100" i="3"/>
  <c r="B5100" i="3"/>
  <c r="H5099" i="3"/>
  <c r="B5099" i="3"/>
  <c r="H5098" i="3"/>
  <c r="B5098" i="3"/>
  <c r="H5097" i="3"/>
  <c r="B5097" i="3"/>
  <c r="H5096" i="3"/>
  <c r="B5096" i="3"/>
  <c r="H5095" i="3"/>
  <c r="B5095" i="3"/>
  <c r="H5094" i="3"/>
  <c r="B5094" i="3"/>
  <c r="H5093" i="3"/>
  <c r="B5093" i="3"/>
  <c r="H5092" i="3"/>
  <c r="B5092" i="3"/>
  <c r="H5091" i="3"/>
  <c r="B5091" i="3"/>
  <c r="H5090" i="3"/>
  <c r="B5090" i="3"/>
  <c r="H5089" i="3"/>
  <c r="B5089" i="3"/>
  <c r="H5088" i="3"/>
  <c r="B5088" i="3"/>
  <c r="H5087" i="3"/>
  <c r="B5087" i="3"/>
  <c r="H5086" i="3"/>
  <c r="B5086" i="3"/>
  <c r="H5085" i="3"/>
  <c r="B5085" i="3"/>
  <c r="H5084" i="3"/>
  <c r="B5084" i="3"/>
  <c r="H5083" i="3"/>
  <c r="B5083" i="3"/>
  <c r="H5082" i="3"/>
  <c r="B5082" i="3"/>
  <c r="H5081" i="3"/>
  <c r="B5081" i="3"/>
  <c r="H5080" i="3"/>
  <c r="B5080" i="3"/>
  <c r="H5079" i="3"/>
  <c r="B5079" i="3"/>
  <c r="H5078" i="3"/>
  <c r="B5078" i="3"/>
  <c r="H5077" i="3"/>
  <c r="B5077" i="3"/>
  <c r="H5076" i="3"/>
  <c r="B5076" i="3"/>
  <c r="H5075" i="3"/>
  <c r="B5075" i="3"/>
  <c r="H5074" i="3"/>
  <c r="B5074" i="3"/>
  <c r="H5073" i="3"/>
  <c r="B5073" i="3"/>
  <c r="H5072" i="3"/>
  <c r="B5072" i="3"/>
  <c r="H5071" i="3"/>
  <c r="B5071" i="3"/>
  <c r="H5070" i="3"/>
  <c r="B5070" i="3"/>
  <c r="H5069" i="3"/>
  <c r="B5069" i="3"/>
  <c r="H5068" i="3"/>
  <c r="B5068" i="3"/>
  <c r="H5067" i="3"/>
  <c r="B5067" i="3"/>
  <c r="H5066" i="3"/>
  <c r="B5066" i="3"/>
  <c r="H5065" i="3"/>
  <c r="B5065" i="3"/>
  <c r="H5064" i="3"/>
  <c r="B5064" i="3"/>
  <c r="H5063" i="3"/>
  <c r="B5063" i="3"/>
  <c r="H5062" i="3"/>
  <c r="B5062" i="3"/>
  <c r="H5061" i="3"/>
  <c r="B5061" i="3"/>
  <c r="H5060" i="3"/>
  <c r="B5060" i="3"/>
  <c r="H5059" i="3"/>
  <c r="B5059" i="3"/>
  <c r="H5058" i="3"/>
  <c r="B5058" i="3"/>
  <c r="H5057" i="3"/>
  <c r="B5057" i="3"/>
  <c r="H5056" i="3"/>
  <c r="B5056" i="3"/>
  <c r="H5055" i="3"/>
  <c r="B5055" i="3"/>
  <c r="H5054" i="3"/>
  <c r="B5054" i="3"/>
  <c r="H5053" i="3"/>
  <c r="B5053" i="3"/>
  <c r="H5052" i="3"/>
  <c r="B5052" i="3"/>
  <c r="H5051" i="3"/>
  <c r="B5051" i="3"/>
  <c r="H5050" i="3"/>
  <c r="B5050" i="3"/>
  <c r="H5049" i="3"/>
  <c r="B5049" i="3"/>
  <c r="H5048" i="3"/>
  <c r="B5048" i="3"/>
  <c r="H5047" i="3"/>
  <c r="B5047" i="3"/>
  <c r="H5046" i="3"/>
  <c r="B5046" i="3"/>
  <c r="H5045" i="3"/>
  <c r="B5045" i="3"/>
  <c r="H5044" i="3"/>
  <c r="B5044" i="3"/>
  <c r="H5043" i="3"/>
  <c r="B5043" i="3"/>
  <c r="H5042" i="3"/>
  <c r="B5042" i="3"/>
  <c r="H5041" i="3"/>
  <c r="B5041" i="3"/>
  <c r="H5040" i="3"/>
  <c r="B5040" i="3"/>
  <c r="H5039" i="3"/>
  <c r="B5039" i="3"/>
  <c r="H5038" i="3"/>
  <c r="B5038" i="3"/>
  <c r="H5037" i="3"/>
  <c r="B5037" i="3"/>
  <c r="H5036" i="3"/>
  <c r="B5036" i="3"/>
  <c r="H5035" i="3"/>
  <c r="B5035" i="3"/>
  <c r="H5034" i="3"/>
  <c r="B5034" i="3"/>
  <c r="H5033" i="3"/>
  <c r="B5033" i="3"/>
  <c r="H5032" i="3"/>
  <c r="B5032" i="3"/>
  <c r="H5031" i="3"/>
  <c r="B5031" i="3"/>
  <c r="H5030" i="3"/>
  <c r="B5030" i="3"/>
  <c r="H5029" i="3"/>
  <c r="B5029" i="3"/>
  <c r="H5028" i="3"/>
  <c r="B5028" i="3"/>
  <c r="H5027" i="3"/>
  <c r="B5027" i="3"/>
  <c r="H5026" i="3"/>
  <c r="B5026" i="3"/>
  <c r="H5025" i="3"/>
  <c r="B5025" i="3"/>
  <c r="H5024" i="3"/>
  <c r="B5024" i="3"/>
  <c r="H5023" i="3"/>
  <c r="B5023" i="3"/>
  <c r="H5022" i="3"/>
  <c r="B5022" i="3"/>
  <c r="H5021" i="3"/>
  <c r="B5021" i="3"/>
  <c r="H5020" i="3"/>
  <c r="B5020" i="3"/>
  <c r="H5019" i="3"/>
  <c r="B5019" i="3"/>
  <c r="H5018" i="3"/>
  <c r="B5018" i="3"/>
  <c r="H5017" i="3"/>
  <c r="B5017" i="3"/>
  <c r="H5016" i="3"/>
  <c r="B5016" i="3"/>
  <c r="H5015" i="3"/>
  <c r="B5015" i="3"/>
  <c r="H5014" i="3"/>
  <c r="B5014" i="3"/>
  <c r="H5013" i="3"/>
  <c r="B5013" i="3"/>
  <c r="H5012" i="3"/>
  <c r="B5012" i="3"/>
  <c r="H5011" i="3"/>
  <c r="B5011" i="3"/>
  <c r="H5010" i="3"/>
  <c r="B5010" i="3"/>
  <c r="H5009" i="3"/>
  <c r="B5009" i="3"/>
  <c r="H5008" i="3"/>
  <c r="B5008" i="3"/>
  <c r="H5007" i="3"/>
  <c r="B5007" i="3"/>
  <c r="H5006" i="3"/>
  <c r="B5006" i="3"/>
  <c r="H5005" i="3"/>
  <c r="B5005" i="3"/>
  <c r="H5004" i="3"/>
  <c r="B5004" i="3"/>
  <c r="H5003" i="3"/>
  <c r="B5003" i="3"/>
  <c r="H5002" i="3"/>
  <c r="B5002" i="3"/>
  <c r="H5001" i="3"/>
  <c r="B5001" i="3"/>
  <c r="H5000" i="3"/>
  <c r="B5000" i="3"/>
  <c r="H4999" i="3"/>
  <c r="B4999" i="3"/>
  <c r="H4998" i="3"/>
  <c r="B4998" i="3"/>
  <c r="H4997" i="3"/>
  <c r="B4997" i="3"/>
  <c r="H4996" i="3"/>
  <c r="B4996" i="3"/>
  <c r="H4995" i="3"/>
  <c r="B4995" i="3"/>
  <c r="H4994" i="3"/>
  <c r="B4994" i="3"/>
  <c r="H4993" i="3"/>
  <c r="B4993" i="3"/>
  <c r="H4992" i="3"/>
  <c r="B4992" i="3"/>
  <c r="H4991" i="3"/>
  <c r="B4991" i="3"/>
  <c r="H4990" i="3"/>
  <c r="B4990" i="3"/>
  <c r="H4989" i="3"/>
  <c r="B4989" i="3"/>
  <c r="H4988" i="3"/>
  <c r="B4988" i="3"/>
  <c r="H4987" i="3"/>
  <c r="B4987" i="3"/>
  <c r="H4986" i="3"/>
  <c r="B4986" i="3"/>
  <c r="H4985" i="3"/>
  <c r="B4985" i="3"/>
  <c r="H4984" i="3"/>
  <c r="B4984" i="3"/>
  <c r="H4983" i="3"/>
  <c r="B4983" i="3"/>
  <c r="H4982" i="3"/>
  <c r="B4982" i="3"/>
  <c r="H4981" i="3"/>
  <c r="B4981" i="3"/>
  <c r="H4980" i="3"/>
  <c r="B4980" i="3"/>
  <c r="H4979" i="3"/>
  <c r="B4979" i="3"/>
  <c r="H4978" i="3"/>
  <c r="B4978" i="3"/>
  <c r="H4977" i="3"/>
  <c r="B4977" i="3"/>
  <c r="H4976" i="3"/>
  <c r="B4976" i="3"/>
  <c r="H4975" i="3"/>
  <c r="B4975" i="3"/>
  <c r="H4974" i="3"/>
  <c r="B4974" i="3"/>
  <c r="H4973" i="3"/>
  <c r="B4973" i="3"/>
  <c r="H4972" i="3"/>
  <c r="B4972" i="3"/>
  <c r="H4971" i="3"/>
  <c r="B4971" i="3"/>
  <c r="H4970" i="3"/>
  <c r="B4970" i="3"/>
  <c r="H4969" i="3"/>
  <c r="B4969" i="3"/>
  <c r="H4968" i="3"/>
  <c r="B4968" i="3"/>
  <c r="H4967" i="3"/>
  <c r="B4967" i="3"/>
  <c r="H4966" i="3"/>
  <c r="B4966" i="3"/>
  <c r="H4965" i="3"/>
  <c r="B4965" i="3"/>
  <c r="H4964" i="3"/>
  <c r="B4964" i="3"/>
  <c r="H4963" i="3"/>
  <c r="B4963" i="3"/>
  <c r="H4962" i="3"/>
  <c r="B4962" i="3"/>
  <c r="H4961" i="3"/>
  <c r="B4961" i="3"/>
  <c r="H4960" i="3"/>
  <c r="B4960" i="3"/>
  <c r="H4959" i="3"/>
  <c r="B4959" i="3"/>
  <c r="H4958" i="3"/>
  <c r="B4958" i="3"/>
  <c r="H4957" i="3"/>
  <c r="B4957" i="3"/>
  <c r="H4956" i="3"/>
  <c r="B4956" i="3"/>
  <c r="H4955" i="3"/>
  <c r="B4955" i="3"/>
  <c r="H4954" i="3"/>
  <c r="B4954" i="3"/>
  <c r="H4953" i="3"/>
  <c r="B4953" i="3"/>
  <c r="H4952" i="3"/>
  <c r="B4952" i="3"/>
  <c r="H4951" i="3"/>
  <c r="B4951" i="3"/>
  <c r="H4950" i="3"/>
  <c r="B4950" i="3"/>
  <c r="H4949" i="3"/>
  <c r="B4949" i="3"/>
  <c r="H4948" i="3"/>
  <c r="B4948" i="3"/>
  <c r="H4947" i="3"/>
  <c r="B4947" i="3"/>
  <c r="H4946" i="3"/>
  <c r="B4946" i="3"/>
  <c r="H4945" i="3"/>
  <c r="B4945" i="3"/>
  <c r="H4944" i="3"/>
  <c r="B4944" i="3"/>
  <c r="H4943" i="3"/>
  <c r="B4943" i="3"/>
  <c r="H4942" i="3"/>
  <c r="B4942" i="3"/>
  <c r="H4941" i="3"/>
  <c r="B4941" i="3"/>
  <c r="H4940" i="3"/>
  <c r="B4940" i="3"/>
  <c r="H4939" i="3"/>
  <c r="B4939" i="3"/>
  <c r="H4938" i="3"/>
  <c r="B4938" i="3"/>
  <c r="H4937" i="3"/>
  <c r="B4937" i="3"/>
  <c r="H4936" i="3"/>
  <c r="B4936" i="3"/>
  <c r="H4935" i="3"/>
  <c r="B4935" i="3"/>
  <c r="H4934" i="3"/>
  <c r="B4934" i="3"/>
  <c r="H4933" i="3"/>
  <c r="B4933" i="3"/>
  <c r="H4932" i="3"/>
  <c r="B4932" i="3"/>
  <c r="H4931" i="3"/>
  <c r="B4931" i="3"/>
  <c r="H4930" i="3"/>
  <c r="B4930" i="3"/>
  <c r="H4929" i="3"/>
  <c r="B4929" i="3"/>
  <c r="H4928" i="3"/>
  <c r="B4928" i="3"/>
  <c r="H4927" i="3"/>
  <c r="B4927" i="3"/>
  <c r="H4926" i="3"/>
  <c r="B4926" i="3"/>
  <c r="H4925" i="3"/>
  <c r="B4925" i="3"/>
  <c r="H4924" i="3"/>
  <c r="B4924" i="3"/>
  <c r="H4923" i="3"/>
  <c r="B4923" i="3"/>
  <c r="H4922" i="3"/>
  <c r="B4922" i="3"/>
  <c r="H4921" i="3"/>
  <c r="B4921" i="3"/>
  <c r="H4920" i="3"/>
  <c r="B4920" i="3"/>
  <c r="H4919" i="3"/>
  <c r="B4919" i="3"/>
  <c r="H4918" i="3"/>
  <c r="B4918" i="3"/>
  <c r="H4917" i="3"/>
  <c r="B4917" i="3"/>
  <c r="H4916" i="3"/>
  <c r="B4916" i="3"/>
  <c r="H4915" i="3"/>
  <c r="B4915" i="3"/>
  <c r="H4914" i="3"/>
  <c r="B4914" i="3"/>
  <c r="H4913" i="3"/>
  <c r="B4913" i="3"/>
  <c r="H4912" i="3"/>
  <c r="B4912" i="3"/>
  <c r="H4911" i="3"/>
  <c r="B4911" i="3"/>
  <c r="H4910" i="3"/>
  <c r="B4910" i="3"/>
  <c r="H4909" i="3"/>
  <c r="B4909" i="3"/>
  <c r="H4908" i="3"/>
  <c r="B4908" i="3"/>
  <c r="H4907" i="3"/>
  <c r="B4907" i="3"/>
  <c r="H4906" i="3"/>
  <c r="B4906" i="3"/>
  <c r="H4905" i="3"/>
  <c r="B4905" i="3"/>
  <c r="H4904" i="3"/>
  <c r="B4904" i="3"/>
  <c r="H4903" i="3"/>
  <c r="B4903" i="3"/>
  <c r="H4902" i="3"/>
  <c r="B4902" i="3"/>
  <c r="H4901" i="3"/>
  <c r="B4901" i="3"/>
  <c r="H4900" i="3"/>
  <c r="B4900" i="3"/>
  <c r="H4899" i="3"/>
  <c r="B4899" i="3"/>
  <c r="H4898" i="3"/>
  <c r="B4898" i="3"/>
  <c r="H4897" i="3"/>
  <c r="B4897" i="3"/>
  <c r="H4896" i="3"/>
  <c r="B4896" i="3"/>
  <c r="H4895" i="3"/>
  <c r="B4895" i="3"/>
  <c r="H4894" i="3"/>
  <c r="B4894" i="3"/>
  <c r="H4893" i="3"/>
  <c r="B4893" i="3"/>
  <c r="H4892" i="3"/>
  <c r="B4892" i="3"/>
  <c r="H4891" i="3"/>
  <c r="B4891" i="3"/>
  <c r="H4890" i="3"/>
  <c r="B4890" i="3"/>
  <c r="H4889" i="3"/>
  <c r="B4889" i="3"/>
  <c r="H4888" i="3"/>
  <c r="B4888" i="3"/>
  <c r="H4887" i="3"/>
  <c r="B4887" i="3"/>
  <c r="H4886" i="3"/>
  <c r="B4886" i="3"/>
  <c r="H4885" i="3"/>
  <c r="B4885" i="3"/>
  <c r="H4884" i="3"/>
  <c r="B4884" i="3"/>
  <c r="H4883" i="3"/>
  <c r="B4883" i="3"/>
  <c r="H4882" i="3"/>
  <c r="B4882" i="3"/>
  <c r="H4881" i="3"/>
  <c r="B4881" i="3"/>
  <c r="H4880" i="3"/>
  <c r="B4880" i="3"/>
  <c r="H4879" i="3"/>
  <c r="B4879" i="3"/>
  <c r="H4878" i="3"/>
  <c r="B4878" i="3"/>
  <c r="H4877" i="3"/>
  <c r="B4877" i="3"/>
  <c r="H4876" i="3"/>
  <c r="B4876" i="3"/>
  <c r="H4875" i="3"/>
  <c r="B4875" i="3"/>
  <c r="H4874" i="3"/>
  <c r="B4874" i="3"/>
  <c r="H4873" i="3"/>
  <c r="B4873" i="3"/>
  <c r="H4872" i="3"/>
  <c r="B4872" i="3"/>
  <c r="H4871" i="3"/>
  <c r="B4871" i="3"/>
  <c r="H4870" i="3"/>
  <c r="B4870" i="3"/>
  <c r="H4869" i="3"/>
  <c r="B4869" i="3"/>
  <c r="H4868" i="3"/>
  <c r="B4868" i="3"/>
  <c r="H4867" i="3"/>
  <c r="B4867" i="3"/>
  <c r="H4866" i="3"/>
  <c r="B4866" i="3"/>
  <c r="H4865" i="3"/>
  <c r="B4865" i="3"/>
  <c r="H4864" i="3"/>
  <c r="B4864" i="3"/>
  <c r="H4863" i="3"/>
  <c r="B4863" i="3"/>
  <c r="H4862" i="3"/>
  <c r="B4862" i="3"/>
  <c r="H4861" i="3"/>
  <c r="B4861" i="3"/>
  <c r="H4860" i="3"/>
  <c r="B4860" i="3"/>
  <c r="H4859" i="3"/>
  <c r="B4859" i="3"/>
  <c r="H4858" i="3"/>
  <c r="B4858" i="3"/>
  <c r="H4857" i="3"/>
  <c r="B4857" i="3"/>
  <c r="H4856" i="3"/>
  <c r="B4856" i="3"/>
  <c r="H4855" i="3"/>
  <c r="B4855" i="3"/>
  <c r="H4854" i="3"/>
  <c r="B4854" i="3"/>
  <c r="H4853" i="3"/>
  <c r="B4853" i="3"/>
  <c r="H4852" i="3"/>
  <c r="B4852" i="3"/>
  <c r="H4851" i="3"/>
  <c r="B4851" i="3"/>
  <c r="H4850" i="3"/>
  <c r="B4850" i="3"/>
  <c r="H4849" i="3"/>
  <c r="B4849" i="3"/>
  <c r="H4848" i="3"/>
  <c r="B4848" i="3"/>
  <c r="H4847" i="3"/>
  <c r="B4847" i="3"/>
  <c r="H4846" i="3"/>
  <c r="B4846" i="3"/>
  <c r="H4845" i="3"/>
  <c r="B4845" i="3"/>
  <c r="H4844" i="3"/>
  <c r="B4844" i="3"/>
  <c r="H4843" i="3"/>
  <c r="B4843" i="3"/>
  <c r="H4842" i="3"/>
  <c r="B4842" i="3"/>
  <c r="H4841" i="3"/>
  <c r="B4841" i="3"/>
  <c r="H4840" i="3"/>
  <c r="B4840" i="3"/>
  <c r="H4839" i="3"/>
  <c r="B4839" i="3"/>
  <c r="H4838" i="3"/>
  <c r="B4838" i="3"/>
  <c r="H4837" i="3"/>
  <c r="B4837" i="3"/>
  <c r="H4836" i="3"/>
  <c r="B4836" i="3"/>
  <c r="H4835" i="3"/>
  <c r="B4835" i="3"/>
  <c r="H4834" i="3"/>
  <c r="B4834" i="3"/>
  <c r="H4833" i="3"/>
  <c r="B4833" i="3"/>
  <c r="H4832" i="3"/>
  <c r="B4832" i="3"/>
  <c r="H4831" i="3"/>
  <c r="B4831" i="3"/>
  <c r="H4830" i="3"/>
  <c r="B4830" i="3"/>
  <c r="H4829" i="3"/>
  <c r="B4829" i="3"/>
  <c r="H4828" i="3"/>
  <c r="B4828" i="3"/>
  <c r="H4827" i="3"/>
  <c r="B4827" i="3"/>
  <c r="H4826" i="3"/>
  <c r="B4826" i="3"/>
  <c r="H4825" i="3"/>
  <c r="B4825" i="3"/>
  <c r="H4824" i="3"/>
  <c r="B4824" i="3"/>
  <c r="H4823" i="3"/>
  <c r="B4823" i="3"/>
  <c r="H4822" i="3"/>
  <c r="B4822" i="3"/>
  <c r="H4821" i="3"/>
  <c r="B4821" i="3"/>
  <c r="H4820" i="3"/>
  <c r="B4820" i="3"/>
  <c r="H4819" i="3"/>
  <c r="B4819" i="3"/>
  <c r="H4818" i="3"/>
  <c r="B4818" i="3"/>
  <c r="H4817" i="3"/>
  <c r="B4817" i="3"/>
  <c r="H4816" i="3"/>
  <c r="B4816" i="3"/>
  <c r="H4815" i="3"/>
  <c r="B4815" i="3"/>
  <c r="H4814" i="3"/>
  <c r="B4814" i="3"/>
  <c r="H4813" i="3"/>
  <c r="B4813" i="3"/>
  <c r="H4812" i="3"/>
  <c r="B4812" i="3"/>
  <c r="H4811" i="3"/>
  <c r="B4811" i="3"/>
  <c r="H4810" i="3"/>
  <c r="B4810" i="3"/>
  <c r="H4809" i="3"/>
  <c r="B4809" i="3"/>
  <c r="H4808" i="3"/>
  <c r="B4808" i="3"/>
  <c r="H4807" i="3"/>
  <c r="B4807" i="3"/>
  <c r="H4806" i="3"/>
  <c r="B4806" i="3"/>
  <c r="H4805" i="3"/>
  <c r="B4805" i="3"/>
  <c r="H4804" i="3"/>
  <c r="B4804" i="3"/>
  <c r="H4803" i="3"/>
  <c r="B4803" i="3"/>
  <c r="H4802" i="3"/>
  <c r="B4802" i="3"/>
  <c r="H4801" i="3"/>
  <c r="B4801" i="3"/>
  <c r="H4800" i="3"/>
  <c r="B4800" i="3"/>
  <c r="H4799" i="3"/>
  <c r="B4799" i="3"/>
  <c r="H4798" i="3"/>
  <c r="B4798" i="3"/>
  <c r="H4797" i="3"/>
  <c r="B4797" i="3"/>
  <c r="H4796" i="3"/>
  <c r="B4796" i="3"/>
  <c r="H4795" i="3"/>
  <c r="B4795" i="3"/>
  <c r="H4794" i="3"/>
  <c r="B4794" i="3"/>
  <c r="H4793" i="3"/>
  <c r="B4793" i="3"/>
  <c r="H4792" i="3"/>
  <c r="B4792" i="3"/>
  <c r="H4791" i="3"/>
  <c r="B4791" i="3"/>
  <c r="H4790" i="3"/>
  <c r="B4790" i="3"/>
  <c r="H4789" i="3"/>
  <c r="B4789" i="3"/>
  <c r="H4788" i="3"/>
  <c r="B4788" i="3"/>
  <c r="H4787" i="3"/>
  <c r="B4787" i="3"/>
  <c r="H4786" i="3"/>
  <c r="B4786" i="3"/>
  <c r="H4785" i="3"/>
  <c r="B4785" i="3"/>
  <c r="H4784" i="3"/>
  <c r="B4784" i="3"/>
  <c r="H4783" i="3"/>
  <c r="B4783" i="3"/>
  <c r="H4782" i="3"/>
  <c r="B4782" i="3"/>
  <c r="H4781" i="3"/>
  <c r="B4781" i="3"/>
  <c r="H4780" i="3"/>
  <c r="B4780" i="3"/>
  <c r="H4779" i="3"/>
  <c r="B4779" i="3"/>
  <c r="H4778" i="3"/>
  <c r="B4778" i="3"/>
  <c r="H4777" i="3"/>
  <c r="B4777" i="3"/>
  <c r="H4776" i="3"/>
  <c r="B4776" i="3"/>
  <c r="H4775" i="3"/>
  <c r="B4775" i="3"/>
  <c r="H4774" i="3"/>
  <c r="B4774" i="3"/>
  <c r="H4773" i="3"/>
  <c r="B4773" i="3"/>
  <c r="H4772" i="3"/>
  <c r="B4772" i="3"/>
  <c r="H4771" i="3"/>
  <c r="B4771" i="3"/>
  <c r="H4770" i="3"/>
  <c r="B4770" i="3"/>
  <c r="H4769" i="3"/>
  <c r="B4769" i="3"/>
  <c r="H4768" i="3"/>
  <c r="B4768" i="3"/>
  <c r="H4767" i="3"/>
  <c r="B4767" i="3"/>
  <c r="H4766" i="3"/>
  <c r="B4766" i="3"/>
  <c r="H4765" i="3"/>
  <c r="B4765" i="3"/>
  <c r="H4764" i="3"/>
  <c r="B4764" i="3"/>
  <c r="H4763" i="3"/>
  <c r="B4763" i="3"/>
  <c r="H4762" i="3"/>
  <c r="B4762" i="3"/>
  <c r="H4761" i="3"/>
  <c r="B4761" i="3"/>
  <c r="H4760" i="3"/>
  <c r="B4760" i="3"/>
  <c r="H4759" i="3"/>
  <c r="B4759" i="3"/>
  <c r="H4758" i="3"/>
  <c r="B4758" i="3"/>
  <c r="H4757" i="3"/>
  <c r="B4757" i="3"/>
  <c r="H4756" i="3"/>
  <c r="B4756" i="3"/>
  <c r="H4755" i="3"/>
  <c r="B4755" i="3"/>
  <c r="H4754" i="3"/>
  <c r="B4754" i="3"/>
  <c r="H4753" i="3"/>
  <c r="B4753" i="3"/>
  <c r="H4752" i="3"/>
  <c r="B4752" i="3"/>
  <c r="H4751" i="3"/>
  <c r="B4751" i="3"/>
  <c r="H4750" i="3"/>
  <c r="B4750" i="3"/>
  <c r="H4749" i="3"/>
  <c r="B4749" i="3"/>
  <c r="H4748" i="3"/>
  <c r="B4748" i="3"/>
  <c r="H4747" i="3"/>
  <c r="B4747" i="3"/>
  <c r="H4746" i="3"/>
  <c r="B4746" i="3"/>
  <c r="H4745" i="3"/>
  <c r="B4745" i="3"/>
  <c r="H4744" i="3"/>
  <c r="B4744" i="3"/>
  <c r="H4743" i="3"/>
  <c r="B4743" i="3"/>
  <c r="H4742" i="3"/>
  <c r="B4742" i="3"/>
  <c r="H4741" i="3"/>
  <c r="B4741" i="3"/>
  <c r="H4740" i="3"/>
  <c r="B4740" i="3"/>
  <c r="H4739" i="3"/>
  <c r="B4739" i="3"/>
  <c r="H4738" i="3"/>
  <c r="B4738" i="3"/>
  <c r="H4737" i="3"/>
  <c r="B4737" i="3"/>
  <c r="H4736" i="3"/>
  <c r="B4736" i="3"/>
  <c r="H4735" i="3"/>
  <c r="B4735" i="3"/>
  <c r="H4734" i="3"/>
  <c r="B4734" i="3"/>
  <c r="H4733" i="3"/>
  <c r="B4733" i="3"/>
  <c r="H4732" i="3"/>
  <c r="B4732" i="3"/>
  <c r="H4731" i="3"/>
  <c r="B4731" i="3"/>
  <c r="H4730" i="3"/>
  <c r="B4730" i="3"/>
  <c r="H4729" i="3"/>
  <c r="B4729" i="3"/>
  <c r="H4728" i="3"/>
  <c r="B4728" i="3"/>
  <c r="H4727" i="3"/>
  <c r="B4727" i="3"/>
  <c r="H4726" i="3"/>
  <c r="B4726" i="3"/>
  <c r="H4725" i="3"/>
  <c r="B4725" i="3"/>
  <c r="H4724" i="3"/>
  <c r="B4724" i="3"/>
  <c r="H4723" i="3"/>
  <c r="B4723" i="3"/>
  <c r="H4722" i="3"/>
  <c r="B4722" i="3"/>
  <c r="H4721" i="3"/>
  <c r="B4721" i="3"/>
  <c r="H4720" i="3"/>
  <c r="B4720" i="3"/>
  <c r="H4719" i="3"/>
  <c r="B4719" i="3"/>
  <c r="H4718" i="3"/>
  <c r="B4718" i="3"/>
  <c r="H4717" i="3"/>
  <c r="B4717" i="3"/>
  <c r="H4716" i="3"/>
  <c r="B4716" i="3"/>
  <c r="H4715" i="3"/>
  <c r="B4715" i="3"/>
  <c r="H4714" i="3"/>
  <c r="B4714" i="3"/>
  <c r="H4713" i="3"/>
  <c r="B4713" i="3"/>
  <c r="H4712" i="3"/>
  <c r="B4712" i="3"/>
  <c r="H4711" i="3"/>
  <c r="B4711" i="3"/>
  <c r="H4710" i="3"/>
  <c r="B4710" i="3"/>
  <c r="H4709" i="3"/>
  <c r="B4709" i="3"/>
  <c r="H4708" i="3"/>
  <c r="B4708" i="3"/>
  <c r="H4707" i="3"/>
  <c r="B4707" i="3"/>
  <c r="H4706" i="3"/>
  <c r="B4706" i="3"/>
  <c r="H4705" i="3"/>
  <c r="B4705" i="3"/>
  <c r="H4704" i="3"/>
  <c r="B4704" i="3"/>
  <c r="H4703" i="3"/>
  <c r="B4703" i="3"/>
  <c r="H4702" i="3"/>
  <c r="B4702" i="3"/>
  <c r="H4701" i="3"/>
  <c r="B4701" i="3"/>
  <c r="H4700" i="3"/>
  <c r="B4700" i="3"/>
  <c r="H4699" i="3"/>
  <c r="B4699" i="3"/>
  <c r="H4698" i="3"/>
  <c r="B4698" i="3"/>
  <c r="H4697" i="3"/>
  <c r="B4697" i="3"/>
  <c r="H4696" i="3"/>
  <c r="B4696" i="3"/>
  <c r="H4695" i="3"/>
  <c r="B4695" i="3"/>
  <c r="H4694" i="3"/>
  <c r="B4694" i="3"/>
  <c r="H4693" i="3"/>
  <c r="B4693" i="3"/>
  <c r="H4692" i="3"/>
  <c r="B4692" i="3"/>
  <c r="H4691" i="3"/>
  <c r="B4691" i="3"/>
  <c r="H4690" i="3"/>
  <c r="B4690" i="3"/>
  <c r="H4689" i="3"/>
  <c r="B4689" i="3"/>
  <c r="H4688" i="3"/>
  <c r="B4688" i="3"/>
  <c r="H4687" i="3"/>
  <c r="B4687" i="3"/>
  <c r="H4686" i="3"/>
  <c r="B4686" i="3"/>
  <c r="H4685" i="3"/>
  <c r="B4685" i="3"/>
  <c r="H4684" i="3"/>
  <c r="B4684" i="3"/>
  <c r="H4683" i="3"/>
  <c r="B4683" i="3"/>
  <c r="H4682" i="3"/>
  <c r="B4682" i="3"/>
  <c r="H4681" i="3"/>
  <c r="B4681" i="3"/>
  <c r="H4680" i="3"/>
  <c r="B4680" i="3"/>
  <c r="H4679" i="3"/>
  <c r="B4679" i="3"/>
  <c r="H4678" i="3"/>
  <c r="B4678" i="3"/>
  <c r="H4677" i="3"/>
  <c r="B4677" i="3"/>
  <c r="H4676" i="3"/>
  <c r="B4676" i="3"/>
  <c r="H4675" i="3"/>
  <c r="B4675" i="3"/>
  <c r="H4674" i="3"/>
  <c r="B4674" i="3"/>
  <c r="H4673" i="3"/>
  <c r="B4673" i="3"/>
  <c r="H4672" i="3"/>
  <c r="B4672" i="3"/>
  <c r="H4671" i="3"/>
  <c r="B4671" i="3"/>
  <c r="H4670" i="3"/>
  <c r="B4670" i="3"/>
  <c r="H4669" i="3"/>
  <c r="B4669" i="3"/>
  <c r="H4668" i="3"/>
  <c r="B4668" i="3"/>
  <c r="H4667" i="3"/>
  <c r="B4667" i="3"/>
  <c r="H4666" i="3"/>
  <c r="B4666" i="3"/>
  <c r="H4665" i="3"/>
  <c r="B4665" i="3"/>
  <c r="H4664" i="3"/>
  <c r="B4664" i="3"/>
  <c r="H4663" i="3"/>
  <c r="B4663" i="3"/>
  <c r="H4662" i="3"/>
  <c r="B4662" i="3"/>
  <c r="H4661" i="3"/>
  <c r="B4661" i="3"/>
  <c r="H4660" i="3"/>
  <c r="B4660" i="3"/>
  <c r="H4659" i="3"/>
  <c r="B4659" i="3"/>
  <c r="H4658" i="3"/>
  <c r="B4658" i="3"/>
  <c r="H4657" i="3"/>
  <c r="B4657" i="3"/>
  <c r="H4656" i="3"/>
  <c r="B4656" i="3"/>
  <c r="H4655" i="3"/>
  <c r="B4655" i="3"/>
  <c r="H4654" i="3"/>
  <c r="B4654" i="3"/>
  <c r="H4653" i="3"/>
  <c r="B4653" i="3"/>
  <c r="H4652" i="3"/>
  <c r="B4652" i="3"/>
  <c r="H4651" i="3"/>
  <c r="B4651" i="3"/>
  <c r="H4650" i="3"/>
  <c r="B4650" i="3"/>
  <c r="H4649" i="3"/>
  <c r="B4649" i="3"/>
  <c r="H4648" i="3"/>
  <c r="B4648" i="3"/>
  <c r="H4647" i="3"/>
  <c r="B4647" i="3"/>
  <c r="H4646" i="3"/>
  <c r="B4646" i="3"/>
  <c r="H4645" i="3"/>
  <c r="B4645" i="3"/>
  <c r="H4644" i="3"/>
  <c r="B4644" i="3"/>
  <c r="H4643" i="3"/>
  <c r="B4643" i="3"/>
  <c r="H4642" i="3"/>
  <c r="B4642" i="3"/>
  <c r="H4641" i="3"/>
  <c r="B4641" i="3"/>
  <c r="H4640" i="3"/>
  <c r="B4640" i="3"/>
  <c r="H4639" i="3"/>
  <c r="B4639" i="3"/>
  <c r="H4638" i="3"/>
  <c r="B4638" i="3"/>
  <c r="H4637" i="3"/>
  <c r="B4637" i="3"/>
  <c r="H4636" i="3"/>
  <c r="B4636" i="3"/>
  <c r="H4635" i="3"/>
  <c r="B4635" i="3"/>
  <c r="H4634" i="3"/>
  <c r="B4634" i="3"/>
  <c r="H4633" i="3"/>
  <c r="B4633" i="3"/>
  <c r="H4632" i="3"/>
  <c r="B4632" i="3"/>
  <c r="H4631" i="3"/>
  <c r="B4631" i="3"/>
  <c r="H4630" i="3"/>
  <c r="B4630" i="3"/>
  <c r="H4629" i="3"/>
  <c r="B4629" i="3"/>
  <c r="H4628" i="3"/>
  <c r="B4628" i="3"/>
  <c r="H4627" i="3"/>
  <c r="B4627" i="3"/>
  <c r="H4626" i="3"/>
  <c r="B4626" i="3"/>
  <c r="H4625" i="3"/>
  <c r="B4625" i="3"/>
  <c r="H4624" i="3"/>
  <c r="B4624" i="3"/>
  <c r="H4623" i="3"/>
  <c r="B4623" i="3"/>
  <c r="H4622" i="3"/>
  <c r="B4622" i="3"/>
  <c r="H4621" i="3"/>
  <c r="B4621" i="3"/>
  <c r="H4620" i="3"/>
  <c r="B4620" i="3"/>
  <c r="H4619" i="3"/>
  <c r="B4619" i="3"/>
  <c r="H4618" i="3"/>
  <c r="B4618" i="3"/>
  <c r="H4617" i="3"/>
  <c r="B4617" i="3"/>
  <c r="H4616" i="3"/>
  <c r="B4616" i="3"/>
  <c r="H4615" i="3"/>
  <c r="B4615" i="3"/>
  <c r="H4614" i="3"/>
  <c r="B4614" i="3"/>
  <c r="H4613" i="3"/>
  <c r="B4613" i="3"/>
  <c r="H4612" i="3"/>
  <c r="B4612" i="3"/>
  <c r="H4611" i="3"/>
  <c r="B4611" i="3"/>
  <c r="H4610" i="3"/>
  <c r="B4610" i="3"/>
  <c r="H4609" i="3"/>
  <c r="B4609" i="3"/>
  <c r="H4608" i="3"/>
  <c r="B4608" i="3"/>
  <c r="H4607" i="3"/>
  <c r="B4607" i="3"/>
  <c r="H4606" i="3"/>
  <c r="B4606" i="3"/>
  <c r="H4605" i="3"/>
  <c r="B4605" i="3"/>
  <c r="H4604" i="3"/>
  <c r="B4604" i="3"/>
  <c r="H4603" i="3"/>
  <c r="B4603" i="3"/>
  <c r="H4602" i="3"/>
  <c r="B4602" i="3"/>
  <c r="H4601" i="3"/>
  <c r="B4601" i="3"/>
  <c r="H4600" i="3"/>
  <c r="B4600" i="3"/>
  <c r="H4599" i="3"/>
  <c r="B4599" i="3"/>
  <c r="H4598" i="3"/>
  <c r="B4598" i="3"/>
  <c r="H4597" i="3"/>
  <c r="B4597" i="3"/>
  <c r="H4596" i="3"/>
  <c r="B4596" i="3"/>
  <c r="H4595" i="3"/>
  <c r="B4595" i="3"/>
  <c r="H4594" i="3"/>
  <c r="B4594" i="3"/>
  <c r="H4593" i="3"/>
  <c r="B4593" i="3"/>
  <c r="H4592" i="3"/>
  <c r="B4592" i="3"/>
  <c r="H4591" i="3"/>
  <c r="B4591" i="3"/>
  <c r="H4590" i="3"/>
  <c r="B4590" i="3"/>
  <c r="H4589" i="3"/>
  <c r="B4589" i="3"/>
  <c r="H4588" i="3"/>
  <c r="B4588" i="3"/>
  <c r="H4587" i="3"/>
  <c r="B4587" i="3"/>
  <c r="H4586" i="3"/>
  <c r="B4586" i="3"/>
  <c r="H4585" i="3"/>
  <c r="B4585" i="3"/>
  <c r="H4584" i="3"/>
  <c r="B4584" i="3"/>
  <c r="H4583" i="3"/>
  <c r="B4583" i="3"/>
  <c r="H4582" i="3"/>
  <c r="B4582" i="3"/>
  <c r="H4581" i="3"/>
  <c r="B4581" i="3"/>
  <c r="H4580" i="3"/>
  <c r="B4580" i="3"/>
  <c r="H4579" i="3"/>
  <c r="B4579" i="3"/>
  <c r="H4578" i="3"/>
  <c r="B4578" i="3"/>
  <c r="H4577" i="3"/>
  <c r="B4577" i="3"/>
  <c r="H4576" i="3"/>
  <c r="B4576" i="3"/>
  <c r="H4575" i="3"/>
  <c r="B4575" i="3"/>
  <c r="H4574" i="3"/>
  <c r="B4574" i="3"/>
  <c r="H4573" i="3"/>
  <c r="B4573" i="3"/>
  <c r="H4572" i="3"/>
  <c r="B4572" i="3"/>
  <c r="H4571" i="3"/>
  <c r="B4571" i="3"/>
  <c r="H4570" i="3"/>
  <c r="B4570" i="3"/>
  <c r="H4569" i="3"/>
  <c r="B4569" i="3"/>
  <c r="H4568" i="3"/>
  <c r="B4568" i="3"/>
  <c r="H4567" i="3"/>
  <c r="B4567" i="3"/>
  <c r="H4566" i="3"/>
  <c r="B4566" i="3"/>
  <c r="H4565" i="3"/>
  <c r="B4565" i="3"/>
  <c r="H4564" i="3"/>
  <c r="B4564" i="3"/>
  <c r="H4563" i="3"/>
  <c r="B4563" i="3"/>
  <c r="H4562" i="3"/>
  <c r="B4562" i="3"/>
  <c r="H4561" i="3"/>
  <c r="B4561" i="3"/>
  <c r="H4560" i="3"/>
  <c r="B4560" i="3"/>
  <c r="H4559" i="3"/>
  <c r="B4559" i="3"/>
  <c r="H4558" i="3"/>
  <c r="B4558" i="3"/>
  <c r="H4557" i="3"/>
  <c r="B4557" i="3"/>
  <c r="H4556" i="3"/>
  <c r="B4556" i="3"/>
  <c r="H4555" i="3"/>
  <c r="B4555" i="3"/>
  <c r="H4554" i="3"/>
  <c r="B4554" i="3"/>
  <c r="H4553" i="3"/>
  <c r="B4553" i="3"/>
  <c r="H4552" i="3"/>
  <c r="B4552" i="3"/>
  <c r="H4551" i="3"/>
  <c r="B4551" i="3"/>
  <c r="H4550" i="3"/>
  <c r="B4550" i="3"/>
  <c r="H4549" i="3"/>
  <c r="B4549" i="3"/>
  <c r="H4548" i="3"/>
  <c r="B4548" i="3"/>
  <c r="H4547" i="3"/>
  <c r="B4547" i="3"/>
  <c r="H4546" i="3"/>
  <c r="B4546" i="3"/>
  <c r="H4545" i="3"/>
  <c r="B4545" i="3"/>
  <c r="H4544" i="3"/>
  <c r="B4544" i="3"/>
  <c r="H4543" i="3"/>
  <c r="B4543" i="3"/>
  <c r="H4542" i="3"/>
  <c r="B4542" i="3"/>
  <c r="H4541" i="3"/>
  <c r="B4541" i="3"/>
  <c r="H4540" i="3"/>
  <c r="B4540" i="3"/>
  <c r="H4539" i="3"/>
  <c r="B4539" i="3"/>
  <c r="H4538" i="3"/>
  <c r="B4538" i="3"/>
  <c r="H4537" i="3"/>
  <c r="B4537" i="3"/>
  <c r="H4536" i="3"/>
  <c r="B4536" i="3"/>
  <c r="H4535" i="3"/>
  <c r="B4535" i="3"/>
  <c r="H4534" i="3"/>
  <c r="B4534" i="3"/>
  <c r="H4533" i="3"/>
  <c r="B4533" i="3"/>
  <c r="H4532" i="3"/>
  <c r="B4532" i="3"/>
  <c r="H4531" i="3"/>
  <c r="B4531" i="3"/>
  <c r="H4530" i="3"/>
  <c r="B4530" i="3"/>
  <c r="H4529" i="3"/>
  <c r="B4529" i="3"/>
  <c r="H4528" i="3"/>
  <c r="B4528" i="3"/>
  <c r="H4527" i="3"/>
  <c r="B4527" i="3"/>
  <c r="H4526" i="3"/>
  <c r="B4526" i="3"/>
  <c r="H4525" i="3"/>
  <c r="B4525" i="3"/>
  <c r="H4524" i="3"/>
  <c r="B4524" i="3"/>
  <c r="H4523" i="3"/>
  <c r="B4523" i="3"/>
  <c r="H4522" i="3"/>
  <c r="B4522" i="3"/>
  <c r="H4521" i="3"/>
  <c r="B4521" i="3"/>
  <c r="H4520" i="3"/>
  <c r="B4520" i="3"/>
  <c r="H4519" i="3"/>
  <c r="B4519" i="3"/>
  <c r="H4518" i="3"/>
  <c r="B4518" i="3"/>
  <c r="H4517" i="3"/>
  <c r="B4517" i="3"/>
  <c r="H4516" i="3"/>
  <c r="B4516" i="3"/>
  <c r="H4515" i="3"/>
  <c r="B4515" i="3"/>
  <c r="H4514" i="3"/>
  <c r="B4514" i="3"/>
  <c r="H4513" i="3"/>
  <c r="B4513" i="3"/>
  <c r="H4512" i="3"/>
  <c r="B4512" i="3"/>
  <c r="H4511" i="3"/>
  <c r="B4511" i="3"/>
  <c r="H4510" i="3"/>
  <c r="B4510" i="3"/>
  <c r="H4509" i="3"/>
  <c r="B4509" i="3"/>
  <c r="H4508" i="3"/>
  <c r="B4508" i="3"/>
  <c r="H4507" i="3"/>
  <c r="B4507" i="3"/>
  <c r="H4506" i="3"/>
  <c r="B4506" i="3"/>
  <c r="H4505" i="3"/>
  <c r="B4505" i="3"/>
  <c r="H4504" i="3"/>
  <c r="B4504" i="3"/>
  <c r="H4503" i="3"/>
  <c r="B4503" i="3"/>
  <c r="H4502" i="3"/>
  <c r="B4502" i="3"/>
  <c r="H4501" i="3"/>
  <c r="B4501" i="3"/>
  <c r="H4500" i="3"/>
  <c r="B4500" i="3"/>
  <c r="H4499" i="3"/>
  <c r="B4499" i="3"/>
  <c r="H4498" i="3"/>
  <c r="B4498" i="3"/>
  <c r="H4497" i="3"/>
  <c r="B4497" i="3"/>
  <c r="H4496" i="3"/>
  <c r="B4496" i="3"/>
  <c r="H4495" i="3"/>
  <c r="B4495" i="3"/>
  <c r="H4494" i="3"/>
  <c r="B4494" i="3"/>
  <c r="H4493" i="3"/>
  <c r="B4493" i="3"/>
  <c r="H4492" i="3"/>
  <c r="B4492" i="3"/>
  <c r="H4491" i="3"/>
  <c r="B4491" i="3"/>
  <c r="H4490" i="3"/>
  <c r="B4490" i="3"/>
  <c r="H4489" i="3"/>
  <c r="B4489" i="3"/>
  <c r="H4488" i="3"/>
  <c r="B4488" i="3"/>
  <c r="H4487" i="3"/>
  <c r="B4487" i="3"/>
  <c r="H4486" i="3"/>
  <c r="B4486" i="3"/>
  <c r="H4485" i="3"/>
  <c r="B4485" i="3"/>
  <c r="H4484" i="3"/>
  <c r="B4484" i="3"/>
  <c r="H4483" i="3"/>
  <c r="B4483" i="3"/>
  <c r="H4482" i="3"/>
  <c r="B4482" i="3"/>
  <c r="H4481" i="3"/>
  <c r="B4481" i="3"/>
  <c r="H4480" i="3"/>
  <c r="B4480" i="3"/>
  <c r="H4479" i="3"/>
  <c r="B4479" i="3"/>
  <c r="H4478" i="3"/>
  <c r="B4478" i="3"/>
  <c r="H4477" i="3"/>
  <c r="B4477" i="3"/>
  <c r="H4476" i="3"/>
  <c r="B4476" i="3"/>
  <c r="H4475" i="3"/>
  <c r="B4475" i="3"/>
  <c r="H4474" i="3"/>
  <c r="B4474" i="3"/>
  <c r="H4473" i="3"/>
  <c r="B4473" i="3"/>
  <c r="H4472" i="3"/>
  <c r="B4472" i="3"/>
  <c r="H4471" i="3"/>
  <c r="B4471" i="3"/>
  <c r="H4470" i="3"/>
  <c r="B4470" i="3"/>
  <c r="H4469" i="3"/>
  <c r="B4469" i="3"/>
  <c r="H4468" i="3"/>
  <c r="B4468" i="3"/>
  <c r="H4467" i="3"/>
  <c r="B4467" i="3"/>
  <c r="H4466" i="3"/>
  <c r="B4466" i="3"/>
  <c r="H4465" i="3"/>
  <c r="B4465" i="3"/>
  <c r="H4464" i="3"/>
  <c r="B4464" i="3"/>
  <c r="H4463" i="3"/>
  <c r="B4463" i="3"/>
  <c r="H4462" i="3"/>
  <c r="B4462" i="3"/>
  <c r="H4461" i="3"/>
  <c r="B4461" i="3"/>
  <c r="H4460" i="3"/>
  <c r="B4460" i="3"/>
  <c r="H4459" i="3"/>
  <c r="B4459" i="3"/>
  <c r="H4458" i="3"/>
  <c r="B4458" i="3"/>
  <c r="H4457" i="3"/>
  <c r="B4457" i="3"/>
  <c r="H4456" i="3"/>
  <c r="B4456" i="3"/>
  <c r="H4455" i="3"/>
  <c r="B4455" i="3"/>
  <c r="H4454" i="3"/>
  <c r="B4454" i="3"/>
  <c r="H4453" i="3"/>
  <c r="B4453" i="3"/>
  <c r="H4452" i="3"/>
  <c r="B4452" i="3"/>
  <c r="H4451" i="3"/>
  <c r="B4451" i="3"/>
  <c r="H4450" i="3"/>
  <c r="B4450" i="3"/>
  <c r="H4449" i="3"/>
  <c r="B4449" i="3"/>
  <c r="H4448" i="3"/>
  <c r="B4448" i="3"/>
  <c r="H4447" i="3"/>
  <c r="B4447" i="3"/>
  <c r="H4446" i="3"/>
  <c r="B4446" i="3"/>
  <c r="H4445" i="3"/>
  <c r="B4445" i="3"/>
  <c r="H4444" i="3"/>
  <c r="B4444" i="3"/>
  <c r="H4443" i="3"/>
  <c r="B4443" i="3"/>
  <c r="H4442" i="3"/>
  <c r="B4442" i="3"/>
  <c r="H4441" i="3"/>
  <c r="B4441" i="3"/>
  <c r="H4440" i="3"/>
  <c r="B4440" i="3"/>
  <c r="H4439" i="3"/>
  <c r="B4439" i="3"/>
  <c r="H4438" i="3"/>
  <c r="B4438" i="3"/>
  <c r="H4437" i="3"/>
  <c r="B4437" i="3"/>
  <c r="H4436" i="3"/>
  <c r="B4436" i="3"/>
  <c r="H4435" i="3"/>
  <c r="B4435" i="3"/>
  <c r="H4434" i="3"/>
  <c r="B4434" i="3"/>
  <c r="H4433" i="3"/>
  <c r="B4433" i="3"/>
  <c r="H4432" i="3"/>
  <c r="B4432" i="3"/>
  <c r="H4431" i="3"/>
  <c r="B4431" i="3"/>
  <c r="H4430" i="3"/>
  <c r="B4430" i="3"/>
  <c r="H4429" i="3"/>
  <c r="B4429" i="3"/>
  <c r="H4428" i="3"/>
  <c r="B4428" i="3"/>
  <c r="H4427" i="3"/>
  <c r="B4427" i="3"/>
  <c r="H4426" i="3"/>
  <c r="B4426" i="3"/>
  <c r="H4425" i="3"/>
  <c r="B4425" i="3"/>
  <c r="H4424" i="3"/>
  <c r="B4424" i="3"/>
  <c r="H4423" i="3"/>
  <c r="B4423" i="3"/>
  <c r="H4422" i="3"/>
  <c r="B4422" i="3"/>
  <c r="H4421" i="3"/>
  <c r="B4421" i="3"/>
  <c r="H4420" i="3"/>
  <c r="B4420" i="3"/>
  <c r="H4419" i="3"/>
  <c r="B4419" i="3"/>
  <c r="H4418" i="3"/>
  <c r="B4418" i="3"/>
  <c r="H4417" i="3"/>
  <c r="B4417" i="3"/>
  <c r="H4416" i="3"/>
  <c r="B4416" i="3"/>
  <c r="H4415" i="3"/>
  <c r="B4415" i="3"/>
  <c r="H4414" i="3"/>
  <c r="B4414" i="3"/>
  <c r="H4413" i="3"/>
  <c r="B4413" i="3"/>
  <c r="H4412" i="3"/>
  <c r="B4412" i="3"/>
  <c r="H4411" i="3"/>
  <c r="B4411" i="3"/>
  <c r="H4410" i="3"/>
  <c r="B4410" i="3"/>
  <c r="H4409" i="3"/>
  <c r="B4409" i="3"/>
  <c r="H4408" i="3"/>
  <c r="B4408" i="3"/>
  <c r="H4407" i="3"/>
  <c r="B4407" i="3"/>
  <c r="H4406" i="3"/>
  <c r="B4406" i="3"/>
  <c r="H4405" i="3"/>
  <c r="B4405" i="3"/>
  <c r="H4404" i="3"/>
  <c r="B4404" i="3"/>
  <c r="H4403" i="3"/>
  <c r="B4403" i="3"/>
  <c r="H4402" i="3"/>
  <c r="B4402" i="3"/>
  <c r="H4401" i="3"/>
  <c r="B4401" i="3"/>
  <c r="H4400" i="3"/>
  <c r="B4400" i="3"/>
  <c r="H4399" i="3"/>
  <c r="B4399" i="3"/>
  <c r="H4398" i="3"/>
  <c r="B4398" i="3"/>
  <c r="H4397" i="3"/>
  <c r="B4397" i="3"/>
  <c r="H4396" i="3"/>
  <c r="B4396" i="3"/>
  <c r="H4395" i="3"/>
  <c r="B4395" i="3"/>
  <c r="H4394" i="3"/>
  <c r="B4394" i="3"/>
  <c r="H4393" i="3"/>
  <c r="B4393" i="3"/>
  <c r="H4392" i="3"/>
  <c r="B4392" i="3"/>
  <c r="H4391" i="3"/>
  <c r="B4391" i="3"/>
  <c r="H4390" i="3"/>
  <c r="B4390" i="3"/>
  <c r="H4389" i="3"/>
  <c r="B4389" i="3"/>
  <c r="H4388" i="3"/>
  <c r="B4388" i="3"/>
  <c r="H4387" i="3"/>
  <c r="B4387" i="3"/>
  <c r="H4386" i="3"/>
  <c r="B4386" i="3"/>
  <c r="H4385" i="3"/>
  <c r="B4385" i="3"/>
  <c r="H4384" i="3"/>
  <c r="B4384" i="3"/>
  <c r="H4383" i="3"/>
  <c r="B4383" i="3"/>
  <c r="H4382" i="3"/>
  <c r="B4382" i="3"/>
  <c r="H4381" i="3"/>
  <c r="B4381" i="3"/>
  <c r="H4380" i="3"/>
  <c r="B4380" i="3"/>
  <c r="H4379" i="3"/>
  <c r="B4379" i="3"/>
  <c r="H4378" i="3"/>
  <c r="B4378" i="3"/>
  <c r="H4377" i="3"/>
  <c r="B4377" i="3"/>
  <c r="H4376" i="3"/>
  <c r="B4376" i="3"/>
  <c r="H4375" i="3"/>
  <c r="B4375" i="3"/>
  <c r="H4374" i="3"/>
  <c r="B4374" i="3"/>
  <c r="H4373" i="3"/>
  <c r="B4373" i="3"/>
  <c r="H4372" i="3"/>
  <c r="B4372" i="3"/>
  <c r="H4371" i="3"/>
  <c r="B4371" i="3"/>
  <c r="H4370" i="3"/>
  <c r="B4370" i="3"/>
  <c r="H4369" i="3"/>
  <c r="B4369" i="3"/>
  <c r="H4368" i="3"/>
  <c r="B4368" i="3"/>
  <c r="H4367" i="3"/>
  <c r="B4367" i="3"/>
  <c r="H4366" i="3"/>
  <c r="B4366" i="3"/>
  <c r="H4365" i="3"/>
  <c r="B4365" i="3"/>
  <c r="H4364" i="3"/>
  <c r="B4364" i="3"/>
  <c r="H4363" i="3"/>
  <c r="B4363" i="3"/>
  <c r="H4362" i="3"/>
  <c r="B4362" i="3"/>
  <c r="H4361" i="3"/>
  <c r="B4361" i="3"/>
  <c r="H4360" i="3"/>
  <c r="B4360" i="3"/>
  <c r="H4359" i="3"/>
  <c r="B4359" i="3"/>
  <c r="H4358" i="3"/>
  <c r="B4358" i="3"/>
  <c r="H4357" i="3"/>
  <c r="B4357" i="3"/>
  <c r="H4356" i="3"/>
  <c r="B4356" i="3"/>
  <c r="H4355" i="3"/>
  <c r="B4355" i="3"/>
  <c r="H4354" i="3"/>
  <c r="B4354" i="3"/>
  <c r="H4353" i="3"/>
  <c r="B4353" i="3"/>
  <c r="H4352" i="3"/>
  <c r="B4352" i="3"/>
  <c r="H4351" i="3"/>
  <c r="B4351" i="3"/>
  <c r="H4350" i="3"/>
  <c r="B4350" i="3"/>
  <c r="H4349" i="3"/>
  <c r="B4349" i="3"/>
  <c r="H4348" i="3"/>
  <c r="B4348" i="3"/>
  <c r="H4347" i="3"/>
  <c r="B4347" i="3"/>
  <c r="H4346" i="3"/>
  <c r="B4346" i="3"/>
  <c r="H4345" i="3"/>
  <c r="B4345" i="3"/>
  <c r="H4344" i="3"/>
  <c r="B4344" i="3"/>
  <c r="H4343" i="3"/>
  <c r="B4343" i="3"/>
  <c r="H4342" i="3"/>
  <c r="B4342" i="3"/>
  <c r="H4341" i="3"/>
  <c r="B4341" i="3"/>
  <c r="H4340" i="3"/>
  <c r="B4340" i="3"/>
  <c r="H4339" i="3"/>
  <c r="B4339" i="3"/>
  <c r="H4338" i="3"/>
  <c r="B4338" i="3"/>
  <c r="H4337" i="3"/>
  <c r="B4337" i="3"/>
  <c r="H4336" i="3"/>
  <c r="B4336" i="3"/>
  <c r="H4335" i="3"/>
  <c r="B4335" i="3"/>
  <c r="H4334" i="3"/>
  <c r="B4334" i="3"/>
  <c r="H4333" i="3"/>
  <c r="B4333" i="3"/>
  <c r="H4332" i="3"/>
  <c r="B4332" i="3"/>
  <c r="H4331" i="3"/>
  <c r="B4331" i="3"/>
  <c r="H4330" i="3"/>
  <c r="B4330" i="3"/>
  <c r="H4329" i="3"/>
  <c r="B4329" i="3"/>
  <c r="H4328" i="3"/>
  <c r="B4328" i="3"/>
  <c r="H4327" i="3"/>
  <c r="B4327" i="3"/>
  <c r="H4326" i="3"/>
  <c r="B4326" i="3"/>
  <c r="H4325" i="3"/>
  <c r="B4325" i="3"/>
  <c r="H4324" i="3"/>
  <c r="B4324" i="3"/>
  <c r="H4323" i="3"/>
  <c r="B4323" i="3"/>
  <c r="H4322" i="3"/>
  <c r="B4322" i="3"/>
  <c r="H4321" i="3"/>
  <c r="B4321" i="3"/>
  <c r="H4320" i="3"/>
  <c r="B4320" i="3"/>
  <c r="H4319" i="3"/>
  <c r="B4319" i="3"/>
  <c r="H4318" i="3"/>
  <c r="B4318" i="3"/>
  <c r="H4317" i="3"/>
  <c r="B4317" i="3"/>
  <c r="H4316" i="3"/>
  <c r="B4316" i="3"/>
  <c r="H4315" i="3"/>
  <c r="B4315" i="3"/>
  <c r="H4314" i="3"/>
  <c r="B4314" i="3"/>
  <c r="H4313" i="3"/>
  <c r="B4313" i="3"/>
  <c r="H4312" i="3"/>
  <c r="B4312" i="3"/>
  <c r="H4311" i="3"/>
  <c r="B4311" i="3"/>
  <c r="H4310" i="3"/>
  <c r="B4310" i="3"/>
  <c r="H4309" i="3"/>
  <c r="B4309" i="3"/>
  <c r="H4308" i="3"/>
  <c r="B4308" i="3"/>
  <c r="H4307" i="3"/>
  <c r="B4307" i="3"/>
  <c r="H4306" i="3"/>
  <c r="B4306" i="3"/>
  <c r="H4305" i="3"/>
  <c r="B4305" i="3"/>
  <c r="H4304" i="3"/>
  <c r="B4304" i="3"/>
  <c r="H4303" i="3"/>
  <c r="B4303" i="3"/>
  <c r="H4302" i="3"/>
  <c r="B4302" i="3"/>
  <c r="H4301" i="3"/>
  <c r="B4301" i="3"/>
  <c r="H4300" i="3"/>
  <c r="B4300" i="3"/>
  <c r="H4299" i="3"/>
  <c r="B4299" i="3"/>
  <c r="H4298" i="3"/>
  <c r="B4298" i="3"/>
  <c r="H4297" i="3"/>
  <c r="B4297" i="3"/>
  <c r="H4296" i="3"/>
  <c r="B4296" i="3"/>
  <c r="H4295" i="3"/>
  <c r="B4295" i="3"/>
  <c r="H4294" i="3"/>
  <c r="B4294" i="3"/>
  <c r="H4293" i="3"/>
  <c r="B4293" i="3"/>
  <c r="H4292" i="3"/>
  <c r="B4292" i="3"/>
  <c r="H4291" i="3"/>
  <c r="B4291" i="3"/>
  <c r="H4290" i="3"/>
  <c r="B4290" i="3"/>
  <c r="H4289" i="3"/>
  <c r="B4289" i="3"/>
  <c r="H4288" i="3"/>
  <c r="B4288" i="3"/>
  <c r="H4287" i="3"/>
  <c r="B4287" i="3"/>
  <c r="H4286" i="3"/>
  <c r="B4286" i="3"/>
  <c r="H4285" i="3"/>
  <c r="B4285" i="3"/>
  <c r="H4284" i="3"/>
  <c r="B4284" i="3"/>
  <c r="H4283" i="3"/>
  <c r="B4283" i="3"/>
  <c r="H4282" i="3"/>
  <c r="B4282" i="3"/>
  <c r="H4281" i="3"/>
  <c r="B4281" i="3"/>
  <c r="H4280" i="3"/>
  <c r="B4280" i="3"/>
  <c r="H4279" i="3"/>
  <c r="B4279" i="3"/>
  <c r="H4278" i="3"/>
  <c r="B4278" i="3"/>
  <c r="H4277" i="3"/>
  <c r="B4277" i="3"/>
  <c r="H4276" i="3"/>
  <c r="B4276" i="3"/>
  <c r="H4275" i="3"/>
  <c r="B4275" i="3"/>
  <c r="H4274" i="3"/>
  <c r="B4274" i="3"/>
  <c r="H4273" i="3"/>
  <c r="B4273" i="3"/>
  <c r="H4272" i="3"/>
  <c r="B4272" i="3"/>
  <c r="H4271" i="3"/>
  <c r="B4271" i="3"/>
  <c r="H4270" i="3"/>
  <c r="B4270" i="3"/>
  <c r="H4269" i="3"/>
  <c r="B4269" i="3"/>
  <c r="H4268" i="3"/>
  <c r="B4268" i="3"/>
  <c r="H4267" i="3"/>
  <c r="B4267" i="3"/>
  <c r="H4266" i="3"/>
  <c r="B4266" i="3"/>
  <c r="H4265" i="3"/>
  <c r="B4265" i="3"/>
  <c r="H4264" i="3"/>
  <c r="B4264" i="3"/>
  <c r="H4263" i="3"/>
  <c r="B4263" i="3"/>
  <c r="H4262" i="3"/>
  <c r="B4262" i="3"/>
  <c r="H4261" i="3"/>
  <c r="B4261" i="3"/>
  <c r="H4260" i="3"/>
  <c r="B4260" i="3"/>
  <c r="H4259" i="3"/>
  <c r="B4259" i="3"/>
  <c r="H4258" i="3"/>
  <c r="B4258" i="3"/>
  <c r="H4257" i="3"/>
  <c r="B4257" i="3"/>
  <c r="H4256" i="3"/>
  <c r="B4256" i="3"/>
  <c r="H4255" i="3"/>
  <c r="B4255" i="3"/>
  <c r="H4254" i="3"/>
  <c r="B4254" i="3"/>
  <c r="H4253" i="3"/>
  <c r="B4253" i="3"/>
  <c r="H4252" i="3"/>
  <c r="B4252" i="3"/>
  <c r="H4251" i="3"/>
  <c r="B4251" i="3"/>
  <c r="H4250" i="3"/>
  <c r="B4250" i="3"/>
  <c r="H4249" i="3"/>
  <c r="B4249" i="3"/>
  <c r="H4248" i="3"/>
  <c r="B4248" i="3"/>
  <c r="H4247" i="3"/>
  <c r="B4247" i="3"/>
  <c r="H4246" i="3"/>
  <c r="B4246" i="3"/>
  <c r="H4245" i="3"/>
  <c r="B4245" i="3"/>
  <c r="H4244" i="3"/>
  <c r="B4244" i="3"/>
  <c r="H4243" i="3"/>
  <c r="B4243" i="3"/>
  <c r="H4242" i="3"/>
  <c r="B4242" i="3"/>
  <c r="H4241" i="3"/>
  <c r="B4241" i="3"/>
  <c r="H4240" i="3"/>
  <c r="B4240" i="3"/>
  <c r="H4239" i="3"/>
  <c r="B4239" i="3"/>
  <c r="H4238" i="3"/>
  <c r="B4238" i="3"/>
  <c r="H4237" i="3"/>
  <c r="B4237" i="3"/>
  <c r="H4236" i="3"/>
  <c r="B4236" i="3"/>
  <c r="H4235" i="3"/>
  <c r="B4235" i="3"/>
  <c r="H4234" i="3"/>
  <c r="B4234" i="3"/>
  <c r="H4233" i="3"/>
  <c r="B4233" i="3"/>
  <c r="H4232" i="3"/>
  <c r="B4232" i="3"/>
  <c r="H4231" i="3"/>
  <c r="B4231" i="3"/>
  <c r="H4230" i="3"/>
  <c r="B4230" i="3"/>
  <c r="H4229" i="3"/>
  <c r="B4229" i="3"/>
  <c r="H4228" i="3"/>
  <c r="B4228" i="3"/>
  <c r="H4227" i="3"/>
  <c r="B4227" i="3"/>
  <c r="H4226" i="3"/>
  <c r="B4226" i="3"/>
  <c r="H4225" i="3"/>
  <c r="B4225" i="3"/>
  <c r="H4224" i="3"/>
  <c r="B4224" i="3"/>
  <c r="H4223" i="3"/>
  <c r="B4223" i="3"/>
  <c r="H4222" i="3"/>
  <c r="B4222" i="3"/>
  <c r="H4221" i="3"/>
  <c r="B4221" i="3"/>
  <c r="H4220" i="3"/>
  <c r="B4220" i="3"/>
  <c r="H4219" i="3"/>
  <c r="B4219" i="3"/>
  <c r="H4218" i="3"/>
  <c r="B4218" i="3"/>
  <c r="H4217" i="3"/>
  <c r="B4217" i="3"/>
  <c r="H4216" i="3"/>
  <c r="B4216" i="3"/>
  <c r="H4215" i="3"/>
  <c r="B4215" i="3"/>
  <c r="H4214" i="3"/>
  <c r="B4214" i="3"/>
  <c r="H4213" i="3"/>
  <c r="B4213" i="3"/>
  <c r="H4212" i="3"/>
  <c r="B4212" i="3"/>
  <c r="H4211" i="3"/>
  <c r="B4211" i="3"/>
  <c r="H4210" i="3"/>
  <c r="B4210" i="3"/>
  <c r="H4209" i="3"/>
  <c r="B4209" i="3"/>
  <c r="H4208" i="3"/>
  <c r="B4208" i="3"/>
  <c r="H4207" i="3"/>
  <c r="B4207" i="3"/>
  <c r="H4206" i="3"/>
  <c r="B4206" i="3"/>
  <c r="H4205" i="3"/>
  <c r="B4205" i="3"/>
  <c r="H4204" i="3"/>
  <c r="B4204" i="3"/>
  <c r="H4203" i="3"/>
  <c r="B4203" i="3"/>
  <c r="H4202" i="3"/>
  <c r="B4202" i="3"/>
  <c r="H4201" i="3"/>
  <c r="B4201" i="3"/>
  <c r="H4200" i="3"/>
  <c r="B4200" i="3"/>
  <c r="H4199" i="3"/>
  <c r="B4199" i="3"/>
  <c r="H4198" i="3"/>
  <c r="B4198" i="3"/>
  <c r="H4197" i="3"/>
  <c r="B4197" i="3"/>
  <c r="H4196" i="3"/>
  <c r="B4196" i="3"/>
  <c r="H4195" i="3"/>
  <c r="B4195" i="3"/>
  <c r="H4194" i="3"/>
  <c r="B4194" i="3"/>
  <c r="H4193" i="3"/>
  <c r="B4193" i="3"/>
  <c r="H4192" i="3"/>
  <c r="B4192" i="3"/>
  <c r="H4191" i="3"/>
  <c r="B4191" i="3"/>
  <c r="H4190" i="3"/>
  <c r="B4190" i="3"/>
  <c r="H4189" i="3"/>
  <c r="B4189" i="3"/>
  <c r="H4188" i="3"/>
  <c r="B4188" i="3"/>
  <c r="H4187" i="3"/>
  <c r="B4187" i="3"/>
  <c r="H4186" i="3"/>
  <c r="B4186" i="3"/>
  <c r="H4185" i="3"/>
  <c r="B4185" i="3"/>
  <c r="H4184" i="3"/>
  <c r="B4184" i="3"/>
  <c r="H4183" i="3"/>
  <c r="B4183" i="3"/>
  <c r="H4182" i="3"/>
  <c r="B4182" i="3"/>
  <c r="H4181" i="3"/>
  <c r="B4181" i="3"/>
  <c r="H4180" i="3"/>
  <c r="B4180" i="3"/>
  <c r="H4179" i="3"/>
  <c r="B4179" i="3"/>
  <c r="H4178" i="3"/>
  <c r="B4178" i="3"/>
  <c r="H4177" i="3"/>
  <c r="B4177" i="3"/>
  <c r="H4176" i="3"/>
  <c r="B4176" i="3"/>
  <c r="H4175" i="3"/>
  <c r="B4175" i="3"/>
  <c r="H4174" i="3"/>
  <c r="B4174" i="3"/>
  <c r="H4173" i="3"/>
  <c r="B4173" i="3"/>
  <c r="H4172" i="3"/>
  <c r="B4172" i="3"/>
  <c r="H4171" i="3"/>
  <c r="B4171" i="3"/>
  <c r="H4170" i="3"/>
  <c r="B4170" i="3"/>
  <c r="H4169" i="3"/>
  <c r="B4169" i="3"/>
  <c r="H4168" i="3"/>
  <c r="B4168" i="3"/>
  <c r="H4167" i="3"/>
  <c r="B4167" i="3"/>
  <c r="H4166" i="3"/>
  <c r="B4166" i="3"/>
  <c r="H4165" i="3"/>
  <c r="B4165" i="3"/>
  <c r="H4164" i="3"/>
  <c r="B4164" i="3"/>
  <c r="H4163" i="3"/>
  <c r="B4163" i="3"/>
  <c r="H4162" i="3"/>
  <c r="B4162" i="3"/>
  <c r="H4161" i="3"/>
  <c r="B4161" i="3"/>
  <c r="H4160" i="3"/>
  <c r="B4160" i="3"/>
  <c r="H4159" i="3"/>
  <c r="B4159" i="3"/>
  <c r="H4158" i="3"/>
  <c r="B4158" i="3"/>
  <c r="H4157" i="3"/>
  <c r="B4157" i="3"/>
  <c r="H4156" i="3"/>
  <c r="B4156" i="3"/>
  <c r="H4155" i="3"/>
  <c r="B4155" i="3"/>
  <c r="H4154" i="3"/>
  <c r="B4154" i="3"/>
  <c r="H4153" i="3"/>
  <c r="B4153" i="3"/>
  <c r="H4152" i="3"/>
  <c r="B4152" i="3"/>
  <c r="H4151" i="3"/>
  <c r="B4151" i="3"/>
  <c r="H4150" i="3"/>
  <c r="B4150" i="3"/>
  <c r="H4149" i="3"/>
  <c r="B4149" i="3"/>
  <c r="H4148" i="3"/>
  <c r="B4148" i="3"/>
  <c r="H4147" i="3"/>
  <c r="B4147" i="3"/>
  <c r="H4146" i="3"/>
  <c r="B4146" i="3"/>
  <c r="H4145" i="3"/>
  <c r="B4145" i="3"/>
  <c r="H4144" i="3"/>
  <c r="B4144" i="3"/>
  <c r="H4143" i="3"/>
  <c r="B4143" i="3"/>
  <c r="H4142" i="3"/>
  <c r="B4142" i="3"/>
  <c r="H4141" i="3"/>
  <c r="B4141" i="3"/>
  <c r="H4140" i="3"/>
  <c r="B4140" i="3"/>
  <c r="H4139" i="3"/>
  <c r="B4139" i="3"/>
  <c r="H4138" i="3"/>
  <c r="B4138" i="3"/>
  <c r="H4137" i="3"/>
  <c r="B4137" i="3"/>
  <c r="H4136" i="3"/>
  <c r="B4136" i="3"/>
  <c r="H4135" i="3"/>
  <c r="B4135" i="3"/>
  <c r="H4134" i="3"/>
  <c r="B4134" i="3"/>
  <c r="H4133" i="3"/>
  <c r="B4133" i="3"/>
  <c r="H4132" i="3"/>
  <c r="B4132" i="3"/>
  <c r="H4131" i="3"/>
  <c r="B4131" i="3"/>
  <c r="H4130" i="3"/>
  <c r="B4130" i="3"/>
  <c r="H4129" i="3"/>
  <c r="B4129" i="3"/>
  <c r="H4128" i="3"/>
  <c r="B4128" i="3"/>
  <c r="H4127" i="3"/>
  <c r="B4127" i="3"/>
  <c r="H4126" i="3"/>
  <c r="B4126" i="3"/>
  <c r="H4125" i="3"/>
  <c r="B4125" i="3"/>
  <c r="H4124" i="3"/>
  <c r="B4124" i="3"/>
  <c r="H4123" i="3"/>
  <c r="B4123" i="3"/>
  <c r="H4122" i="3"/>
  <c r="B4122" i="3"/>
  <c r="H4121" i="3"/>
  <c r="B4121" i="3"/>
  <c r="H4120" i="3"/>
  <c r="B4120" i="3"/>
  <c r="H4119" i="3"/>
  <c r="B4119" i="3"/>
  <c r="H4118" i="3"/>
  <c r="B4118" i="3"/>
  <c r="H4117" i="3"/>
  <c r="B4117" i="3"/>
  <c r="H4116" i="3"/>
  <c r="B4116" i="3"/>
  <c r="H4115" i="3"/>
  <c r="B4115" i="3"/>
  <c r="H4114" i="3"/>
  <c r="B4114" i="3"/>
  <c r="H4113" i="3"/>
  <c r="B4113" i="3"/>
  <c r="H4112" i="3"/>
  <c r="B4112" i="3"/>
  <c r="H4111" i="3"/>
  <c r="B4111" i="3"/>
  <c r="H4110" i="3"/>
  <c r="B4110" i="3"/>
  <c r="H4109" i="3"/>
  <c r="B4109" i="3"/>
  <c r="H4108" i="3"/>
  <c r="B4108" i="3"/>
  <c r="H4107" i="3"/>
  <c r="B4107" i="3"/>
  <c r="H4106" i="3"/>
  <c r="B4106" i="3"/>
  <c r="H4105" i="3"/>
  <c r="B4105" i="3"/>
  <c r="H4104" i="3"/>
  <c r="B4104" i="3"/>
  <c r="H4103" i="3"/>
  <c r="B4103" i="3"/>
  <c r="H4102" i="3"/>
  <c r="B4102" i="3"/>
  <c r="H4101" i="3"/>
  <c r="B4101" i="3"/>
  <c r="H4100" i="3"/>
  <c r="B4100" i="3"/>
  <c r="H4099" i="3"/>
  <c r="B4099" i="3"/>
  <c r="H4098" i="3"/>
  <c r="B4098" i="3"/>
  <c r="H4097" i="3"/>
  <c r="B4097" i="3"/>
  <c r="H4096" i="3"/>
  <c r="B4096" i="3"/>
  <c r="H4095" i="3"/>
  <c r="B4095" i="3"/>
  <c r="H4094" i="3"/>
  <c r="B4094" i="3"/>
  <c r="H4093" i="3"/>
  <c r="B4093" i="3"/>
  <c r="H4092" i="3"/>
  <c r="B4092" i="3"/>
  <c r="H4091" i="3"/>
  <c r="B4091" i="3"/>
  <c r="H4090" i="3"/>
  <c r="B4090" i="3"/>
  <c r="H4089" i="3"/>
  <c r="B4089" i="3"/>
  <c r="H4088" i="3"/>
  <c r="B4088" i="3"/>
  <c r="H4087" i="3"/>
  <c r="B4087" i="3"/>
  <c r="H4086" i="3"/>
  <c r="B4086" i="3"/>
  <c r="H4085" i="3"/>
  <c r="B4085" i="3"/>
  <c r="H4084" i="3"/>
  <c r="B4084" i="3"/>
  <c r="H4083" i="3"/>
  <c r="B4083" i="3"/>
  <c r="H4082" i="3"/>
  <c r="B4082" i="3"/>
  <c r="H4081" i="3"/>
  <c r="B4081" i="3"/>
  <c r="H4080" i="3"/>
  <c r="B4080" i="3"/>
  <c r="H4079" i="3"/>
  <c r="B4079" i="3"/>
  <c r="H4078" i="3"/>
  <c r="B4078" i="3"/>
  <c r="H4077" i="3"/>
  <c r="B4077" i="3"/>
  <c r="H4076" i="3"/>
  <c r="B4076" i="3"/>
  <c r="H4075" i="3"/>
  <c r="B4075" i="3"/>
  <c r="H4074" i="3"/>
  <c r="B4074" i="3"/>
  <c r="H4073" i="3"/>
  <c r="B4073" i="3"/>
  <c r="H4072" i="3"/>
  <c r="B4072" i="3"/>
  <c r="H4071" i="3"/>
  <c r="B4071" i="3"/>
  <c r="H4070" i="3"/>
  <c r="B4070" i="3"/>
  <c r="H4069" i="3"/>
  <c r="B4069" i="3"/>
  <c r="H4068" i="3"/>
  <c r="B4068" i="3"/>
  <c r="H4067" i="3"/>
  <c r="B4067" i="3"/>
  <c r="H4066" i="3"/>
  <c r="B4066" i="3"/>
  <c r="H4065" i="3"/>
  <c r="B4065" i="3"/>
  <c r="H4064" i="3"/>
  <c r="B4064" i="3"/>
  <c r="H4063" i="3"/>
  <c r="B4063" i="3"/>
  <c r="H4062" i="3"/>
  <c r="B4062" i="3"/>
  <c r="H4061" i="3"/>
  <c r="B4061" i="3"/>
  <c r="H4060" i="3"/>
  <c r="B4060" i="3"/>
  <c r="H4059" i="3"/>
  <c r="B4059" i="3"/>
  <c r="H4058" i="3"/>
  <c r="B4058" i="3"/>
  <c r="H4057" i="3"/>
  <c r="B4057" i="3"/>
  <c r="H4056" i="3"/>
  <c r="B4056" i="3"/>
  <c r="H4055" i="3"/>
  <c r="B4055" i="3"/>
  <c r="H4054" i="3"/>
  <c r="B4054" i="3"/>
  <c r="H4053" i="3"/>
  <c r="B4053" i="3"/>
  <c r="H4052" i="3"/>
  <c r="B4052" i="3"/>
  <c r="H4051" i="3"/>
  <c r="B4051" i="3"/>
  <c r="H4050" i="3"/>
  <c r="B4050" i="3"/>
  <c r="H4049" i="3"/>
  <c r="B4049" i="3"/>
  <c r="H4048" i="3"/>
  <c r="B4048" i="3"/>
  <c r="H4047" i="3"/>
  <c r="B4047" i="3"/>
  <c r="H4046" i="3"/>
  <c r="B4046" i="3"/>
  <c r="H4045" i="3"/>
  <c r="B4045" i="3"/>
  <c r="H4044" i="3"/>
  <c r="B4044" i="3"/>
  <c r="H4043" i="3"/>
  <c r="B4043" i="3"/>
  <c r="H4042" i="3"/>
  <c r="B4042" i="3"/>
  <c r="H4041" i="3"/>
  <c r="B4041" i="3"/>
  <c r="H4040" i="3"/>
  <c r="B4040" i="3"/>
  <c r="H4039" i="3"/>
  <c r="B4039" i="3"/>
  <c r="H4038" i="3"/>
  <c r="B4038" i="3"/>
  <c r="H4037" i="3"/>
  <c r="B4037" i="3"/>
  <c r="H4036" i="3"/>
  <c r="B4036" i="3"/>
  <c r="H4035" i="3"/>
  <c r="B4035" i="3"/>
  <c r="H4034" i="3"/>
  <c r="B4034" i="3"/>
  <c r="H4033" i="3"/>
  <c r="B4033" i="3"/>
  <c r="H4032" i="3"/>
  <c r="B4032" i="3"/>
  <c r="H4031" i="3"/>
  <c r="B4031" i="3"/>
  <c r="H4030" i="3"/>
  <c r="B4030" i="3"/>
  <c r="H4029" i="3"/>
  <c r="B4029" i="3"/>
  <c r="H4028" i="3"/>
  <c r="B4028" i="3"/>
  <c r="H4027" i="3"/>
  <c r="B4027" i="3"/>
  <c r="H4026" i="3"/>
  <c r="B4026" i="3"/>
  <c r="H4025" i="3"/>
  <c r="B4025" i="3"/>
  <c r="H4024" i="3"/>
  <c r="B4024" i="3"/>
  <c r="H4023" i="3"/>
  <c r="B4023" i="3"/>
  <c r="H4022" i="3"/>
  <c r="B4022" i="3"/>
  <c r="H4021" i="3"/>
  <c r="B4021" i="3"/>
  <c r="H4020" i="3"/>
  <c r="B4020" i="3"/>
  <c r="H4019" i="3"/>
  <c r="B4019" i="3"/>
  <c r="H4018" i="3"/>
  <c r="B4018" i="3"/>
  <c r="H4017" i="3"/>
  <c r="B4017" i="3"/>
  <c r="H4016" i="3"/>
  <c r="B4016" i="3"/>
  <c r="H4015" i="3"/>
  <c r="B4015" i="3"/>
  <c r="H4014" i="3"/>
  <c r="B4014" i="3"/>
  <c r="H4013" i="3"/>
  <c r="B4013" i="3"/>
  <c r="H4012" i="3"/>
  <c r="B4012" i="3"/>
  <c r="H4011" i="3"/>
  <c r="B4011" i="3"/>
  <c r="H4010" i="3"/>
  <c r="B4010" i="3"/>
  <c r="H4009" i="3"/>
  <c r="B4009" i="3"/>
  <c r="H4008" i="3"/>
  <c r="B4008" i="3"/>
  <c r="H4007" i="3"/>
  <c r="B4007" i="3"/>
  <c r="H4006" i="3"/>
  <c r="B4006" i="3"/>
  <c r="H4005" i="3"/>
  <c r="B4005" i="3"/>
  <c r="H4004" i="3"/>
  <c r="B4004" i="3"/>
  <c r="H4003" i="3"/>
  <c r="B4003" i="3"/>
  <c r="H4002" i="3"/>
  <c r="B4002" i="3"/>
  <c r="H4001" i="3"/>
  <c r="B4001" i="3"/>
  <c r="H4000" i="3"/>
  <c r="B4000" i="3"/>
  <c r="H3999" i="3"/>
  <c r="B3999" i="3"/>
  <c r="H3998" i="3"/>
  <c r="B3998" i="3"/>
  <c r="H3997" i="3"/>
  <c r="B3997" i="3"/>
  <c r="H3996" i="3"/>
  <c r="B3996" i="3"/>
  <c r="H3995" i="3"/>
  <c r="B3995" i="3"/>
  <c r="H3994" i="3"/>
  <c r="B3994" i="3"/>
  <c r="H3993" i="3"/>
  <c r="B3993" i="3"/>
  <c r="H3992" i="3"/>
  <c r="B3992" i="3"/>
  <c r="H3991" i="3"/>
  <c r="B3991" i="3"/>
  <c r="H3990" i="3"/>
  <c r="B3990" i="3"/>
  <c r="H3989" i="3"/>
  <c r="B3989" i="3"/>
  <c r="H3988" i="3"/>
  <c r="B3988" i="3"/>
  <c r="H3987" i="3"/>
  <c r="B3987" i="3"/>
  <c r="H3986" i="3"/>
  <c r="B3986" i="3"/>
  <c r="H3985" i="3"/>
  <c r="B3985" i="3"/>
  <c r="H3984" i="3"/>
  <c r="B3984" i="3"/>
  <c r="H3983" i="3"/>
  <c r="B3983" i="3"/>
  <c r="H3982" i="3"/>
  <c r="B3982" i="3"/>
  <c r="H3981" i="3"/>
  <c r="B3981" i="3"/>
  <c r="H3980" i="3"/>
  <c r="B3980" i="3"/>
  <c r="H3979" i="3"/>
  <c r="B3979" i="3"/>
  <c r="H3978" i="3"/>
  <c r="B3978" i="3"/>
  <c r="H3977" i="3"/>
  <c r="B3977" i="3"/>
  <c r="H3976" i="3"/>
  <c r="B3976" i="3"/>
  <c r="H3975" i="3"/>
  <c r="B3975" i="3"/>
  <c r="H3974" i="3"/>
  <c r="B3974" i="3"/>
  <c r="H3973" i="3"/>
  <c r="B3973" i="3"/>
  <c r="H3972" i="3"/>
  <c r="B3972" i="3"/>
  <c r="H3971" i="3"/>
  <c r="B3971" i="3"/>
  <c r="H3970" i="3"/>
  <c r="B3970" i="3"/>
  <c r="H3969" i="3"/>
  <c r="B3969" i="3"/>
  <c r="H3968" i="3"/>
  <c r="B3968" i="3"/>
  <c r="H3967" i="3"/>
  <c r="B3967" i="3"/>
  <c r="H3966" i="3"/>
  <c r="B3966" i="3"/>
  <c r="H3965" i="3"/>
  <c r="B3965" i="3"/>
  <c r="H3964" i="3"/>
  <c r="B3964" i="3"/>
  <c r="H3963" i="3"/>
  <c r="B3963" i="3"/>
  <c r="H3962" i="3"/>
  <c r="B3962" i="3"/>
  <c r="H3961" i="3"/>
  <c r="B3961" i="3"/>
  <c r="H3960" i="3"/>
  <c r="B3960" i="3"/>
  <c r="H3959" i="3"/>
  <c r="B3959" i="3"/>
  <c r="H3958" i="3"/>
  <c r="B3958" i="3"/>
  <c r="H3957" i="3"/>
  <c r="B3957" i="3"/>
  <c r="H3956" i="3"/>
  <c r="B3956" i="3"/>
  <c r="H3955" i="3"/>
  <c r="B3955" i="3"/>
  <c r="H3954" i="3"/>
  <c r="B3954" i="3"/>
  <c r="H3953" i="3"/>
  <c r="B3953" i="3"/>
  <c r="H3952" i="3"/>
  <c r="B3952" i="3"/>
  <c r="H3951" i="3"/>
  <c r="B3951" i="3"/>
  <c r="H3950" i="3"/>
  <c r="B3950" i="3"/>
  <c r="H3949" i="3"/>
  <c r="B3949" i="3"/>
  <c r="H3948" i="3"/>
  <c r="B3948" i="3"/>
  <c r="H3947" i="3"/>
  <c r="B3947" i="3"/>
  <c r="H3946" i="3"/>
  <c r="B3946" i="3"/>
  <c r="H3945" i="3"/>
  <c r="B3945" i="3"/>
  <c r="H3944" i="3"/>
  <c r="B3944" i="3"/>
  <c r="H3943" i="3"/>
  <c r="B3943" i="3"/>
  <c r="H3942" i="3"/>
  <c r="B3942" i="3"/>
  <c r="H3941" i="3"/>
  <c r="B3941" i="3"/>
  <c r="H3940" i="3"/>
  <c r="B3940" i="3"/>
  <c r="H3939" i="3"/>
  <c r="B3939" i="3"/>
  <c r="H3938" i="3"/>
  <c r="B3938" i="3"/>
  <c r="H3937" i="3"/>
  <c r="B3937" i="3"/>
  <c r="H3936" i="3"/>
  <c r="B3936" i="3"/>
  <c r="H3935" i="3"/>
  <c r="B3935" i="3"/>
  <c r="H3934" i="3"/>
  <c r="B3934" i="3"/>
  <c r="H3933" i="3"/>
  <c r="B3933" i="3"/>
  <c r="H3932" i="3"/>
  <c r="B3932" i="3"/>
  <c r="H3931" i="3"/>
  <c r="B3931" i="3"/>
  <c r="H3930" i="3"/>
  <c r="B3930" i="3"/>
  <c r="H3929" i="3"/>
  <c r="B3929" i="3"/>
  <c r="H3928" i="3"/>
  <c r="B3928" i="3"/>
  <c r="H3927" i="3"/>
  <c r="B3927" i="3"/>
  <c r="H3926" i="3"/>
  <c r="B3926" i="3"/>
  <c r="H3925" i="3"/>
  <c r="B3925" i="3"/>
  <c r="H3924" i="3"/>
  <c r="B3924" i="3"/>
  <c r="H3923" i="3"/>
  <c r="B3923" i="3"/>
  <c r="H3922" i="3"/>
  <c r="B3922" i="3"/>
  <c r="H3921" i="3"/>
  <c r="B3921" i="3"/>
  <c r="H3920" i="3"/>
  <c r="B3920" i="3"/>
  <c r="H3919" i="3"/>
  <c r="B3919" i="3"/>
  <c r="H3918" i="3"/>
  <c r="B3918" i="3"/>
  <c r="H3917" i="3"/>
  <c r="B3917" i="3"/>
  <c r="H3916" i="3"/>
  <c r="B3916" i="3"/>
  <c r="H3915" i="3"/>
  <c r="B3915" i="3"/>
  <c r="H3914" i="3"/>
  <c r="B3914" i="3"/>
  <c r="H3913" i="3"/>
  <c r="B3913" i="3"/>
  <c r="H3912" i="3"/>
  <c r="B3912" i="3"/>
  <c r="H3911" i="3"/>
  <c r="B3911" i="3"/>
  <c r="H3910" i="3"/>
  <c r="B3910" i="3"/>
  <c r="H3909" i="3"/>
  <c r="B3909" i="3"/>
  <c r="H3908" i="3"/>
  <c r="B3908" i="3"/>
  <c r="H3907" i="3"/>
  <c r="B3907" i="3"/>
  <c r="H3906" i="3"/>
  <c r="B3906" i="3"/>
  <c r="H3905" i="3"/>
  <c r="B3905" i="3"/>
  <c r="H3904" i="3"/>
  <c r="B3904" i="3"/>
  <c r="H3903" i="3"/>
  <c r="B3903" i="3"/>
  <c r="H3902" i="3"/>
  <c r="B3902" i="3"/>
  <c r="H3901" i="3"/>
  <c r="B3901" i="3"/>
  <c r="H3900" i="3"/>
  <c r="B3900" i="3"/>
  <c r="H3899" i="3"/>
  <c r="B3899" i="3"/>
  <c r="H3898" i="3"/>
  <c r="B3898" i="3"/>
  <c r="H3897" i="3"/>
  <c r="B3897" i="3"/>
  <c r="H3896" i="3"/>
  <c r="B3896" i="3"/>
  <c r="H3895" i="3"/>
  <c r="B3895" i="3"/>
  <c r="H3894" i="3"/>
  <c r="B3894" i="3"/>
  <c r="H3893" i="3"/>
  <c r="B3893" i="3"/>
  <c r="H3892" i="3"/>
  <c r="B3892" i="3"/>
  <c r="H3891" i="3"/>
  <c r="B3891" i="3"/>
  <c r="H3890" i="3"/>
  <c r="B3890" i="3"/>
  <c r="H3889" i="3"/>
  <c r="B3889" i="3"/>
  <c r="H3888" i="3"/>
  <c r="B3888" i="3"/>
  <c r="H3887" i="3"/>
  <c r="B3887" i="3"/>
  <c r="H3886" i="3"/>
  <c r="B3886" i="3"/>
  <c r="H3885" i="3"/>
  <c r="B3885" i="3"/>
  <c r="H3884" i="3"/>
  <c r="B3884" i="3"/>
  <c r="H3883" i="3"/>
  <c r="B3883" i="3"/>
  <c r="H3882" i="3"/>
  <c r="B3882" i="3"/>
  <c r="H3881" i="3"/>
  <c r="B3881" i="3"/>
  <c r="H3880" i="3"/>
  <c r="B3880" i="3"/>
  <c r="H3879" i="3"/>
  <c r="B3879" i="3"/>
  <c r="H3878" i="3"/>
  <c r="B3878" i="3"/>
  <c r="H3877" i="3"/>
  <c r="B3877" i="3"/>
  <c r="H3876" i="3"/>
  <c r="B3876" i="3"/>
  <c r="H3875" i="3"/>
  <c r="B3875" i="3"/>
  <c r="H3874" i="3"/>
  <c r="B3874" i="3"/>
  <c r="H3873" i="3"/>
  <c r="B3873" i="3"/>
  <c r="H3872" i="3"/>
  <c r="B3872" i="3"/>
  <c r="H3871" i="3"/>
  <c r="B3871" i="3"/>
  <c r="H3870" i="3"/>
  <c r="B3870" i="3"/>
  <c r="H3869" i="3"/>
  <c r="B3869" i="3"/>
  <c r="H3868" i="3"/>
  <c r="B3868" i="3"/>
  <c r="H3867" i="3"/>
  <c r="B3867" i="3"/>
  <c r="H3866" i="3"/>
  <c r="B3866" i="3"/>
  <c r="H3865" i="3"/>
  <c r="B3865" i="3"/>
  <c r="H3864" i="3"/>
  <c r="B3864" i="3"/>
  <c r="H3863" i="3"/>
  <c r="B3863" i="3"/>
  <c r="H3862" i="3"/>
  <c r="B3862" i="3"/>
  <c r="H3861" i="3"/>
  <c r="B3861" i="3"/>
  <c r="H3860" i="3"/>
  <c r="B3860" i="3"/>
  <c r="H3859" i="3"/>
  <c r="B3859" i="3"/>
  <c r="H3858" i="3"/>
  <c r="B3858" i="3"/>
  <c r="H3857" i="3"/>
  <c r="B3857" i="3"/>
  <c r="H3856" i="3"/>
  <c r="B3856" i="3"/>
  <c r="H3855" i="3"/>
  <c r="B3855" i="3"/>
  <c r="H3854" i="3"/>
  <c r="B3854" i="3"/>
  <c r="H3853" i="3"/>
  <c r="B3853" i="3"/>
  <c r="H3852" i="3"/>
  <c r="B3852" i="3"/>
  <c r="H3851" i="3"/>
  <c r="B3851" i="3"/>
  <c r="H3850" i="3"/>
  <c r="B3850" i="3"/>
  <c r="H3849" i="3"/>
  <c r="B3849" i="3"/>
  <c r="H3848" i="3"/>
  <c r="B3848" i="3"/>
  <c r="H3847" i="3"/>
  <c r="B3847" i="3"/>
  <c r="H3846" i="3"/>
  <c r="B3846" i="3"/>
  <c r="H3845" i="3"/>
  <c r="B3845" i="3"/>
  <c r="H3844" i="3"/>
  <c r="B3844" i="3"/>
  <c r="H3843" i="3"/>
  <c r="B3843" i="3"/>
  <c r="H3842" i="3"/>
  <c r="B3842" i="3"/>
  <c r="H3841" i="3"/>
  <c r="B3841" i="3"/>
  <c r="H3840" i="3"/>
  <c r="B3840" i="3"/>
  <c r="H3839" i="3"/>
  <c r="B3839" i="3"/>
  <c r="H3838" i="3"/>
  <c r="B3838" i="3"/>
  <c r="H3837" i="3"/>
  <c r="B3837" i="3"/>
  <c r="H3836" i="3"/>
  <c r="B3836" i="3"/>
  <c r="H3835" i="3"/>
  <c r="B3835" i="3"/>
  <c r="H3834" i="3"/>
  <c r="B3834" i="3"/>
  <c r="H3833" i="3"/>
  <c r="B3833" i="3"/>
  <c r="H3832" i="3"/>
  <c r="B3832" i="3"/>
  <c r="H3831" i="3"/>
  <c r="B3831" i="3"/>
  <c r="H3830" i="3"/>
  <c r="B3830" i="3"/>
  <c r="H3829" i="3"/>
  <c r="B3829" i="3"/>
  <c r="H3828" i="3"/>
  <c r="B3828" i="3"/>
  <c r="H3827" i="3"/>
  <c r="B3827" i="3"/>
  <c r="H3826" i="3"/>
  <c r="B3826" i="3"/>
  <c r="H3825" i="3"/>
  <c r="B3825" i="3"/>
  <c r="H3824" i="3"/>
  <c r="B3824" i="3"/>
  <c r="H3823" i="3"/>
  <c r="B3823" i="3"/>
  <c r="H3822" i="3"/>
  <c r="B3822" i="3"/>
  <c r="H3821" i="3"/>
  <c r="B3821" i="3"/>
  <c r="H3820" i="3"/>
  <c r="B3820" i="3"/>
  <c r="H3819" i="3"/>
  <c r="B3819" i="3"/>
  <c r="H3818" i="3"/>
  <c r="B3818" i="3"/>
  <c r="H3817" i="3"/>
  <c r="B3817" i="3"/>
  <c r="H3816" i="3"/>
  <c r="B3816" i="3"/>
  <c r="H3815" i="3"/>
  <c r="B3815" i="3"/>
  <c r="H3814" i="3"/>
  <c r="B3814" i="3"/>
  <c r="H3813" i="3"/>
  <c r="B3813" i="3"/>
  <c r="H3812" i="3"/>
  <c r="B3812" i="3"/>
  <c r="H3811" i="3"/>
  <c r="B3811" i="3"/>
  <c r="H3810" i="3"/>
  <c r="B3810" i="3"/>
  <c r="H3809" i="3"/>
  <c r="B3809" i="3"/>
  <c r="H3808" i="3"/>
  <c r="B3808" i="3"/>
  <c r="H3807" i="3"/>
  <c r="B3807" i="3"/>
  <c r="H3806" i="3"/>
  <c r="B3806" i="3"/>
  <c r="H3805" i="3"/>
  <c r="B3805" i="3"/>
  <c r="H3804" i="3"/>
  <c r="B3804" i="3"/>
  <c r="H3803" i="3"/>
  <c r="B3803" i="3"/>
  <c r="H3802" i="3"/>
  <c r="B3802" i="3"/>
  <c r="H3801" i="3"/>
  <c r="B3801" i="3"/>
  <c r="H3800" i="3"/>
  <c r="B3800" i="3"/>
  <c r="H3799" i="3"/>
  <c r="B3799" i="3"/>
  <c r="H3798" i="3"/>
  <c r="B3798" i="3"/>
  <c r="H3797" i="3"/>
  <c r="B3797" i="3"/>
  <c r="H3796" i="3"/>
  <c r="B3796" i="3"/>
  <c r="H3795" i="3"/>
  <c r="B3795" i="3"/>
  <c r="H3794" i="3"/>
  <c r="B3794" i="3"/>
  <c r="H3793" i="3"/>
  <c r="B3793" i="3"/>
  <c r="H3792" i="3"/>
  <c r="B3792" i="3"/>
  <c r="H3791" i="3"/>
  <c r="B3791" i="3"/>
  <c r="H3790" i="3"/>
  <c r="B3790" i="3"/>
  <c r="H3789" i="3"/>
  <c r="B3789" i="3"/>
  <c r="H3788" i="3"/>
  <c r="B3788" i="3"/>
  <c r="H3787" i="3"/>
  <c r="B3787" i="3"/>
  <c r="H3786" i="3"/>
  <c r="B3786" i="3"/>
  <c r="H3785" i="3"/>
  <c r="B3785" i="3"/>
  <c r="H3784" i="3"/>
  <c r="B3784" i="3"/>
  <c r="H3783" i="3"/>
  <c r="B3783" i="3"/>
  <c r="H3782" i="3"/>
  <c r="B3782" i="3"/>
  <c r="H3781" i="3"/>
  <c r="B3781" i="3"/>
  <c r="H3780" i="3"/>
  <c r="B3780" i="3"/>
  <c r="H3779" i="3"/>
  <c r="B3779" i="3"/>
  <c r="H3778" i="3"/>
  <c r="B3778" i="3"/>
  <c r="H3777" i="3"/>
  <c r="B3777" i="3"/>
  <c r="H3776" i="3"/>
  <c r="B3776" i="3"/>
  <c r="H3775" i="3"/>
  <c r="B3775" i="3"/>
  <c r="H3774" i="3"/>
  <c r="B3774" i="3"/>
  <c r="H3773" i="3"/>
  <c r="B3773" i="3"/>
  <c r="H3772" i="3"/>
  <c r="B3772" i="3"/>
  <c r="H3771" i="3"/>
  <c r="B3771" i="3"/>
  <c r="H3770" i="3"/>
  <c r="B3770" i="3"/>
  <c r="H3769" i="3"/>
  <c r="B3769" i="3"/>
  <c r="H3768" i="3"/>
  <c r="B3768" i="3"/>
  <c r="H3767" i="3"/>
  <c r="B3767" i="3"/>
  <c r="H3766" i="3"/>
  <c r="B3766" i="3"/>
  <c r="H3765" i="3"/>
  <c r="B3765" i="3"/>
  <c r="H3764" i="3"/>
  <c r="B3764" i="3"/>
  <c r="H3763" i="3"/>
  <c r="B3763" i="3"/>
  <c r="H3762" i="3"/>
  <c r="B3762" i="3"/>
  <c r="H3761" i="3"/>
  <c r="B3761" i="3"/>
  <c r="H3760" i="3"/>
  <c r="B3760" i="3"/>
  <c r="H3759" i="3"/>
  <c r="B3759" i="3"/>
  <c r="H3758" i="3"/>
  <c r="B3758" i="3"/>
  <c r="H3757" i="3"/>
  <c r="B3757" i="3"/>
  <c r="H3756" i="3"/>
  <c r="B3756" i="3"/>
  <c r="H3755" i="3"/>
  <c r="B3755" i="3"/>
  <c r="H3754" i="3"/>
  <c r="B3754" i="3"/>
  <c r="H3753" i="3"/>
  <c r="B3753" i="3"/>
  <c r="H3752" i="3"/>
  <c r="B3752" i="3"/>
  <c r="H3751" i="3"/>
  <c r="B3751" i="3"/>
  <c r="H3750" i="3"/>
  <c r="B3750" i="3"/>
  <c r="H3749" i="3"/>
  <c r="B3749" i="3"/>
  <c r="H3748" i="3"/>
  <c r="B3748" i="3"/>
  <c r="H3747" i="3"/>
  <c r="B3747" i="3"/>
  <c r="H3746" i="3"/>
  <c r="B3746" i="3"/>
  <c r="H3745" i="3"/>
  <c r="B3745" i="3"/>
  <c r="H3744" i="3"/>
  <c r="B3744" i="3"/>
  <c r="H3743" i="3"/>
  <c r="B3743" i="3"/>
  <c r="H3742" i="3"/>
  <c r="B3742" i="3"/>
  <c r="H3741" i="3"/>
  <c r="B3741" i="3"/>
  <c r="H3740" i="3"/>
  <c r="B3740" i="3"/>
  <c r="H3739" i="3"/>
  <c r="B3739" i="3"/>
  <c r="H3738" i="3"/>
  <c r="B3738" i="3"/>
  <c r="H3737" i="3"/>
  <c r="B3737" i="3"/>
  <c r="H3736" i="3"/>
  <c r="B3736" i="3"/>
  <c r="H3735" i="3"/>
  <c r="B3735" i="3"/>
  <c r="H3734" i="3"/>
  <c r="B3734" i="3"/>
  <c r="H3733" i="3"/>
  <c r="B3733" i="3"/>
  <c r="H3732" i="3"/>
  <c r="B3732" i="3"/>
  <c r="H3731" i="3"/>
  <c r="B3731" i="3"/>
  <c r="H3730" i="3"/>
  <c r="B3730" i="3"/>
  <c r="H3729" i="3"/>
  <c r="B3729" i="3"/>
  <c r="H3728" i="3"/>
  <c r="B3728" i="3"/>
  <c r="H3727" i="3"/>
  <c r="B3727" i="3"/>
  <c r="H3726" i="3"/>
  <c r="B3726" i="3"/>
  <c r="H3725" i="3"/>
  <c r="B3725" i="3"/>
  <c r="H3724" i="3"/>
  <c r="B3724" i="3"/>
  <c r="H3723" i="3"/>
  <c r="B3723" i="3"/>
  <c r="H3722" i="3"/>
  <c r="B3722" i="3"/>
  <c r="H3721" i="3"/>
  <c r="B3721" i="3"/>
  <c r="H3720" i="3"/>
  <c r="B3720" i="3"/>
  <c r="H3719" i="3"/>
  <c r="B3719" i="3"/>
  <c r="H3718" i="3"/>
  <c r="B3718" i="3"/>
  <c r="H3717" i="3"/>
  <c r="B3717" i="3"/>
  <c r="H3716" i="3"/>
  <c r="B3716" i="3"/>
  <c r="H3715" i="3"/>
  <c r="B3715" i="3"/>
  <c r="H3714" i="3"/>
  <c r="B3714" i="3"/>
  <c r="H3713" i="3"/>
  <c r="B3713" i="3"/>
  <c r="H3712" i="3"/>
  <c r="B3712" i="3"/>
  <c r="H3711" i="3"/>
  <c r="B3711" i="3"/>
  <c r="H3710" i="3"/>
  <c r="B3710" i="3"/>
  <c r="H3709" i="3"/>
  <c r="B3709" i="3"/>
  <c r="H3708" i="3"/>
  <c r="B3708" i="3"/>
  <c r="H3707" i="3"/>
  <c r="B3707" i="3"/>
  <c r="H3706" i="3"/>
  <c r="B3706" i="3"/>
  <c r="H3705" i="3"/>
  <c r="B3705" i="3"/>
  <c r="H3704" i="3"/>
  <c r="B3704" i="3"/>
  <c r="H3703" i="3"/>
  <c r="B3703" i="3"/>
  <c r="H3702" i="3"/>
  <c r="B3702" i="3"/>
  <c r="H3701" i="3"/>
  <c r="B3701" i="3"/>
  <c r="H3700" i="3"/>
  <c r="B3700" i="3"/>
  <c r="H3699" i="3"/>
  <c r="B3699" i="3"/>
  <c r="H3698" i="3"/>
  <c r="B3698" i="3"/>
  <c r="H3697" i="3"/>
  <c r="B3697" i="3"/>
  <c r="H3696" i="3"/>
  <c r="B3696" i="3"/>
  <c r="H3695" i="3"/>
  <c r="B3695" i="3"/>
  <c r="H3694" i="3"/>
  <c r="B3694" i="3"/>
  <c r="H3693" i="3"/>
  <c r="B3693" i="3"/>
  <c r="H3692" i="3"/>
  <c r="B3692" i="3"/>
  <c r="H3691" i="3"/>
  <c r="B3691" i="3"/>
  <c r="H3690" i="3"/>
  <c r="B3690" i="3"/>
  <c r="H3689" i="3"/>
  <c r="B3689" i="3"/>
  <c r="H3688" i="3"/>
  <c r="B3688" i="3"/>
  <c r="H3687" i="3"/>
  <c r="B3687" i="3"/>
  <c r="H3686" i="3"/>
  <c r="B3686" i="3"/>
  <c r="H3685" i="3"/>
  <c r="B3685" i="3"/>
  <c r="H3684" i="3"/>
  <c r="B3684" i="3"/>
  <c r="H3683" i="3"/>
  <c r="B3683" i="3"/>
  <c r="H3682" i="3"/>
  <c r="B3682" i="3"/>
  <c r="H3681" i="3"/>
  <c r="B3681" i="3"/>
  <c r="H3680" i="3"/>
  <c r="B3680" i="3"/>
  <c r="H3679" i="3"/>
  <c r="B3679" i="3"/>
  <c r="H3678" i="3"/>
  <c r="B3678" i="3"/>
  <c r="H3677" i="3"/>
  <c r="B3677" i="3"/>
  <c r="H3676" i="3"/>
  <c r="B3676" i="3"/>
  <c r="H3675" i="3"/>
  <c r="B3675" i="3"/>
  <c r="H3674" i="3"/>
  <c r="B3674" i="3"/>
  <c r="H3673" i="3"/>
  <c r="B3673" i="3"/>
  <c r="H3672" i="3"/>
  <c r="B3672" i="3"/>
  <c r="H3671" i="3"/>
  <c r="B3671" i="3"/>
  <c r="H3670" i="3"/>
  <c r="B3670" i="3"/>
  <c r="H3669" i="3"/>
  <c r="B3669" i="3"/>
  <c r="H3668" i="3"/>
  <c r="B3668" i="3"/>
  <c r="H3667" i="3"/>
  <c r="B3667" i="3"/>
  <c r="H3666" i="3"/>
  <c r="B3666" i="3"/>
  <c r="H3665" i="3"/>
  <c r="B3665" i="3"/>
  <c r="H3664" i="3"/>
  <c r="B3664" i="3"/>
  <c r="H3663" i="3"/>
  <c r="B3663" i="3"/>
  <c r="H3662" i="3"/>
  <c r="B3662" i="3"/>
  <c r="H3661" i="3"/>
  <c r="B3661" i="3"/>
  <c r="H3660" i="3"/>
  <c r="B3660" i="3"/>
  <c r="H3659" i="3"/>
  <c r="B3659" i="3"/>
  <c r="H3658" i="3"/>
  <c r="B3658" i="3"/>
  <c r="H3657" i="3"/>
  <c r="B3657" i="3"/>
  <c r="H3656" i="3"/>
  <c r="B3656" i="3"/>
  <c r="H3655" i="3"/>
  <c r="B3655" i="3"/>
  <c r="H3654" i="3"/>
  <c r="B3654" i="3"/>
  <c r="H3653" i="3"/>
  <c r="B3653" i="3"/>
  <c r="H3652" i="3"/>
  <c r="B3652" i="3"/>
  <c r="H3651" i="3"/>
  <c r="B3651" i="3"/>
  <c r="H3650" i="3"/>
  <c r="B3650" i="3"/>
  <c r="H3649" i="3"/>
  <c r="B3649" i="3"/>
  <c r="H3648" i="3"/>
  <c r="B3648" i="3"/>
  <c r="H3647" i="3"/>
  <c r="B3647" i="3"/>
  <c r="H3646" i="3"/>
  <c r="B3646" i="3"/>
  <c r="H3645" i="3"/>
  <c r="B3645" i="3"/>
  <c r="H3644" i="3"/>
  <c r="B3644" i="3"/>
  <c r="H3643" i="3"/>
  <c r="B3643" i="3"/>
  <c r="H3642" i="3"/>
  <c r="B3642" i="3"/>
  <c r="H3641" i="3"/>
  <c r="B3641" i="3"/>
  <c r="H3640" i="3"/>
  <c r="B3640" i="3"/>
  <c r="H3639" i="3"/>
  <c r="B3639" i="3"/>
  <c r="H3638" i="3"/>
  <c r="B3638" i="3"/>
  <c r="H3637" i="3"/>
  <c r="B3637" i="3"/>
  <c r="H3636" i="3"/>
  <c r="B3636" i="3"/>
  <c r="H3635" i="3"/>
  <c r="B3635" i="3"/>
  <c r="H3634" i="3"/>
  <c r="B3634" i="3"/>
  <c r="H3633" i="3"/>
  <c r="B3633" i="3"/>
  <c r="H3632" i="3"/>
  <c r="B3632" i="3"/>
  <c r="H3631" i="3"/>
  <c r="B3631" i="3"/>
  <c r="H3630" i="3"/>
  <c r="B3630" i="3"/>
  <c r="H3629" i="3"/>
  <c r="B3629" i="3"/>
  <c r="H3628" i="3"/>
  <c r="B3628" i="3"/>
  <c r="H3627" i="3"/>
  <c r="B3627" i="3"/>
  <c r="H3626" i="3"/>
  <c r="B3626" i="3"/>
  <c r="H3625" i="3"/>
  <c r="B3625" i="3"/>
  <c r="H3624" i="3"/>
  <c r="B3624" i="3"/>
  <c r="H3623" i="3"/>
  <c r="B3623" i="3"/>
  <c r="H3622" i="3"/>
  <c r="B3622" i="3"/>
  <c r="H3621" i="3"/>
  <c r="B3621" i="3"/>
  <c r="H3620" i="3"/>
  <c r="B3620" i="3"/>
  <c r="H3619" i="3"/>
  <c r="B3619" i="3"/>
  <c r="H3618" i="3"/>
  <c r="B3618" i="3"/>
  <c r="H3617" i="3"/>
  <c r="B3617" i="3"/>
  <c r="H3616" i="3"/>
  <c r="B3616" i="3"/>
  <c r="H3615" i="3"/>
  <c r="B3615" i="3"/>
  <c r="H3614" i="3"/>
  <c r="B3614" i="3"/>
  <c r="H3613" i="3"/>
  <c r="B3613" i="3"/>
  <c r="H3612" i="3"/>
  <c r="B3612" i="3"/>
  <c r="H3611" i="3"/>
  <c r="B3611" i="3"/>
  <c r="H3610" i="3"/>
  <c r="B3610" i="3"/>
  <c r="H3609" i="3"/>
  <c r="B3609" i="3"/>
  <c r="H3608" i="3"/>
  <c r="B3608" i="3"/>
  <c r="H3607" i="3"/>
  <c r="B3607" i="3"/>
  <c r="H3606" i="3"/>
  <c r="B3606" i="3"/>
  <c r="H3605" i="3"/>
  <c r="B3605" i="3"/>
  <c r="H3604" i="3"/>
  <c r="B3604" i="3"/>
  <c r="H3603" i="3"/>
  <c r="B3603" i="3"/>
  <c r="H3602" i="3"/>
  <c r="B3602" i="3"/>
  <c r="H3601" i="3"/>
  <c r="B3601" i="3"/>
  <c r="H3600" i="3"/>
  <c r="B3600" i="3"/>
  <c r="H3599" i="3"/>
  <c r="B3599" i="3"/>
  <c r="H3598" i="3"/>
  <c r="B3598" i="3"/>
  <c r="H3597" i="3"/>
  <c r="B3597" i="3"/>
  <c r="H3596" i="3"/>
  <c r="B3596" i="3"/>
  <c r="H3595" i="3"/>
  <c r="B3595" i="3"/>
  <c r="H3594" i="3"/>
  <c r="B3594" i="3"/>
  <c r="H3593" i="3"/>
  <c r="B3593" i="3"/>
  <c r="H3592" i="3"/>
  <c r="B3592" i="3"/>
  <c r="H3591" i="3"/>
  <c r="B3591" i="3"/>
  <c r="H3590" i="3"/>
  <c r="B3590" i="3"/>
  <c r="H3589" i="3"/>
  <c r="B3589" i="3"/>
  <c r="H3588" i="3"/>
  <c r="B3588" i="3"/>
  <c r="H3587" i="3"/>
  <c r="B3587" i="3"/>
  <c r="H3586" i="3"/>
  <c r="B3586" i="3"/>
  <c r="H3585" i="3"/>
  <c r="B3585" i="3"/>
  <c r="H3584" i="3"/>
  <c r="B3584" i="3"/>
  <c r="H3583" i="3"/>
  <c r="B3583" i="3"/>
  <c r="H3582" i="3"/>
  <c r="B3582" i="3"/>
  <c r="H3581" i="3"/>
  <c r="B3581" i="3"/>
  <c r="H3580" i="3"/>
  <c r="B3580" i="3"/>
  <c r="H3579" i="3"/>
  <c r="B3579" i="3"/>
  <c r="H3578" i="3"/>
  <c r="B3578" i="3"/>
  <c r="H3577" i="3"/>
  <c r="B3577" i="3"/>
  <c r="H3576" i="3"/>
  <c r="B3576" i="3"/>
  <c r="H3575" i="3"/>
  <c r="B3575" i="3"/>
  <c r="H3574" i="3"/>
  <c r="B3574" i="3"/>
  <c r="H3573" i="3"/>
  <c r="B3573" i="3"/>
  <c r="H3572" i="3"/>
  <c r="B3572" i="3"/>
  <c r="H3571" i="3"/>
  <c r="B3571" i="3"/>
  <c r="H3570" i="3"/>
  <c r="B3570" i="3"/>
  <c r="H3569" i="3"/>
  <c r="B3569" i="3"/>
  <c r="H3568" i="3"/>
  <c r="B3568" i="3"/>
  <c r="H3567" i="3"/>
  <c r="B3567" i="3"/>
  <c r="H3566" i="3"/>
  <c r="B3566" i="3"/>
  <c r="H3565" i="3"/>
  <c r="B3565" i="3"/>
  <c r="H3564" i="3"/>
  <c r="B3564" i="3"/>
  <c r="H3563" i="3"/>
  <c r="B3563" i="3"/>
  <c r="H3562" i="3"/>
  <c r="B3562" i="3"/>
  <c r="H3561" i="3"/>
  <c r="B3561" i="3"/>
  <c r="H3560" i="3"/>
  <c r="B3560" i="3"/>
  <c r="H3559" i="3"/>
  <c r="B3559" i="3"/>
  <c r="H3558" i="3"/>
  <c r="B3558" i="3"/>
  <c r="H3557" i="3"/>
  <c r="B3557" i="3"/>
  <c r="H3556" i="3"/>
  <c r="B3556" i="3"/>
  <c r="H3555" i="3"/>
  <c r="B3555" i="3"/>
  <c r="H3554" i="3"/>
  <c r="B3554" i="3"/>
  <c r="H3553" i="3"/>
  <c r="B3553" i="3"/>
  <c r="H3552" i="3"/>
  <c r="B3552" i="3"/>
  <c r="H3551" i="3"/>
  <c r="B3551" i="3"/>
  <c r="H3550" i="3"/>
  <c r="B3550" i="3"/>
  <c r="H3549" i="3"/>
  <c r="B3549" i="3"/>
  <c r="H3548" i="3"/>
  <c r="B3548" i="3"/>
  <c r="H3547" i="3"/>
  <c r="B3547" i="3"/>
  <c r="H3546" i="3"/>
  <c r="B3546" i="3"/>
  <c r="H3545" i="3"/>
  <c r="B3545" i="3"/>
  <c r="H3544" i="3"/>
  <c r="B3544" i="3"/>
  <c r="H3543" i="3"/>
  <c r="B3543" i="3"/>
  <c r="H3542" i="3"/>
  <c r="B3542" i="3"/>
  <c r="H3541" i="3"/>
  <c r="B3541" i="3"/>
  <c r="H3540" i="3"/>
  <c r="B3540" i="3"/>
  <c r="H3539" i="3"/>
  <c r="B3539" i="3"/>
  <c r="H3538" i="3"/>
  <c r="B3538" i="3"/>
  <c r="H3537" i="3"/>
  <c r="B3537" i="3"/>
  <c r="H3536" i="3"/>
  <c r="B3536" i="3"/>
  <c r="H3535" i="3"/>
  <c r="B3535" i="3"/>
  <c r="H3534" i="3"/>
  <c r="B3534" i="3"/>
  <c r="H3533" i="3"/>
  <c r="B3533" i="3"/>
  <c r="H3532" i="3"/>
  <c r="B3532" i="3"/>
  <c r="H3531" i="3"/>
  <c r="B3531" i="3"/>
  <c r="H3530" i="3"/>
  <c r="B3530" i="3"/>
  <c r="H3529" i="3"/>
  <c r="B3529" i="3"/>
  <c r="H3528" i="3"/>
  <c r="B3528" i="3"/>
  <c r="H3527" i="3"/>
  <c r="B3527" i="3"/>
  <c r="H3526" i="3"/>
  <c r="B3526" i="3"/>
  <c r="H3525" i="3"/>
  <c r="B3525" i="3"/>
  <c r="H3524" i="3"/>
  <c r="B3524" i="3"/>
  <c r="H3523" i="3"/>
  <c r="B3523" i="3"/>
  <c r="H3522" i="3"/>
  <c r="B3522" i="3"/>
  <c r="H3521" i="3"/>
  <c r="B3521" i="3"/>
  <c r="H3520" i="3"/>
  <c r="B3520" i="3"/>
  <c r="H3519" i="3"/>
  <c r="B3519" i="3"/>
  <c r="H3518" i="3"/>
  <c r="B3518" i="3"/>
  <c r="H3517" i="3"/>
  <c r="B3517" i="3"/>
  <c r="H3516" i="3"/>
  <c r="B3516" i="3"/>
  <c r="H3515" i="3"/>
  <c r="B3515" i="3"/>
  <c r="H3514" i="3"/>
  <c r="B3514" i="3"/>
  <c r="H3513" i="3"/>
  <c r="B3513" i="3"/>
  <c r="H3512" i="3"/>
  <c r="B3512" i="3"/>
  <c r="H3511" i="3"/>
  <c r="B3511" i="3"/>
  <c r="H3510" i="3"/>
  <c r="B3510" i="3"/>
  <c r="H3509" i="3"/>
  <c r="B3509" i="3"/>
  <c r="H3508" i="3"/>
  <c r="B3508" i="3"/>
  <c r="H3507" i="3"/>
  <c r="B3507" i="3"/>
  <c r="H3506" i="3"/>
  <c r="B3506" i="3"/>
  <c r="H3505" i="3"/>
  <c r="B3505" i="3"/>
  <c r="H3504" i="3"/>
  <c r="B3504" i="3"/>
  <c r="H3503" i="3"/>
  <c r="B3503" i="3"/>
  <c r="H3502" i="3"/>
  <c r="B3502" i="3"/>
  <c r="H3501" i="3"/>
  <c r="B3501" i="3"/>
  <c r="H3500" i="3"/>
  <c r="B3500" i="3"/>
  <c r="H3499" i="3"/>
  <c r="B3499" i="3"/>
  <c r="H3498" i="3"/>
  <c r="B3498" i="3"/>
  <c r="H3497" i="3"/>
  <c r="B3497" i="3"/>
  <c r="H3496" i="3"/>
  <c r="B3496" i="3"/>
  <c r="H3495" i="3"/>
  <c r="B3495" i="3"/>
  <c r="H3494" i="3"/>
  <c r="B3494" i="3"/>
  <c r="H3493" i="3"/>
  <c r="B3493" i="3"/>
  <c r="H3492" i="3"/>
  <c r="B3492" i="3"/>
  <c r="H3491" i="3"/>
  <c r="B3491" i="3"/>
  <c r="H3490" i="3"/>
  <c r="B3490" i="3"/>
  <c r="H3489" i="3"/>
  <c r="B3489" i="3"/>
  <c r="H3488" i="3"/>
  <c r="B3488" i="3"/>
  <c r="H3487" i="3"/>
  <c r="B3487" i="3"/>
  <c r="H3486" i="3"/>
  <c r="B3486" i="3"/>
  <c r="H3485" i="3"/>
  <c r="B3485" i="3"/>
  <c r="H3484" i="3"/>
  <c r="B3484" i="3"/>
  <c r="H3483" i="3"/>
  <c r="B3483" i="3"/>
  <c r="H3482" i="3"/>
  <c r="B3482" i="3"/>
  <c r="H3481" i="3"/>
  <c r="B3481" i="3"/>
  <c r="H3480" i="3"/>
  <c r="B3480" i="3"/>
  <c r="H3479" i="3"/>
  <c r="B3479" i="3"/>
  <c r="H3478" i="3"/>
  <c r="B3478" i="3"/>
  <c r="H3477" i="3"/>
  <c r="B3477" i="3"/>
  <c r="H3476" i="3"/>
  <c r="B3476" i="3"/>
  <c r="H3475" i="3"/>
  <c r="B3475" i="3"/>
  <c r="H3474" i="3"/>
  <c r="B3474" i="3"/>
  <c r="H3473" i="3"/>
  <c r="B3473" i="3"/>
  <c r="H3472" i="3"/>
  <c r="B3472" i="3"/>
  <c r="H3471" i="3"/>
  <c r="B3471" i="3"/>
  <c r="H3470" i="3"/>
  <c r="B3470" i="3"/>
  <c r="H3469" i="3"/>
  <c r="B3469" i="3"/>
  <c r="H3468" i="3"/>
  <c r="B3468" i="3"/>
  <c r="H3467" i="3"/>
  <c r="B3467" i="3"/>
  <c r="H3466" i="3"/>
  <c r="B3466" i="3"/>
  <c r="H3465" i="3"/>
  <c r="B3465" i="3"/>
  <c r="H3464" i="3"/>
  <c r="B3464" i="3"/>
  <c r="H3463" i="3"/>
  <c r="B3463" i="3"/>
  <c r="H3462" i="3"/>
  <c r="B3462" i="3"/>
  <c r="H3461" i="3"/>
  <c r="B3461" i="3"/>
  <c r="H3460" i="3"/>
  <c r="B3460" i="3"/>
  <c r="H3459" i="3"/>
  <c r="B3459" i="3"/>
  <c r="H3458" i="3"/>
  <c r="B3458" i="3"/>
  <c r="H3457" i="3"/>
  <c r="B3457" i="3"/>
  <c r="H3456" i="3"/>
  <c r="B3456" i="3"/>
  <c r="H3455" i="3"/>
  <c r="B3455" i="3"/>
  <c r="H3454" i="3"/>
  <c r="B3454" i="3"/>
  <c r="H3453" i="3"/>
  <c r="B3453" i="3"/>
  <c r="H3452" i="3"/>
  <c r="B3452" i="3"/>
  <c r="H3451" i="3"/>
  <c r="B3451" i="3"/>
  <c r="H3450" i="3"/>
  <c r="B3450" i="3"/>
  <c r="H3449" i="3"/>
  <c r="B3449" i="3"/>
  <c r="H3448" i="3"/>
  <c r="B3448" i="3"/>
  <c r="H3447" i="3"/>
  <c r="B3447" i="3"/>
  <c r="H3446" i="3"/>
  <c r="B3446" i="3"/>
  <c r="H3445" i="3"/>
  <c r="B3445" i="3"/>
  <c r="H3444" i="3"/>
  <c r="B3444" i="3"/>
  <c r="H3443" i="3"/>
  <c r="B3443" i="3"/>
  <c r="H3442" i="3"/>
  <c r="B3442" i="3"/>
  <c r="H3441" i="3"/>
  <c r="B3441" i="3"/>
  <c r="H3440" i="3"/>
  <c r="B3440" i="3"/>
  <c r="H3439" i="3"/>
  <c r="B3439" i="3"/>
  <c r="H3438" i="3"/>
  <c r="B3438" i="3"/>
  <c r="H3437" i="3"/>
  <c r="B3437" i="3"/>
  <c r="H3436" i="3"/>
  <c r="B3436" i="3"/>
  <c r="H3435" i="3"/>
  <c r="B3435" i="3"/>
  <c r="H3434" i="3"/>
  <c r="B3434" i="3"/>
  <c r="H3433" i="3"/>
  <c r="B3433" i="3"/>
  <c r="H3432" i="3"/>
  <c r="B3432" i="3"/>
  <c r="H3431" i="3"/>
  <c r="B3431" i="3"/>
  <c r="H3430" i="3"/>
  <c r="B3430" i="3"/>
  <c r="H3429" i="3"/>
  <c r="B3429" i="3"/>
  <c r="H3428" i="3"/>
  <c r="B3428" i="3"/>
  <c r="H3427" i="3"/>
  <c r="B3427" i="3"/>
  <c r="H3426" i="3"/>
  <c r="B3426" i="3"/>
  <c r="H3425" i="3"/>
  <c r="B3425" i="3"/>
  <c r="H3424" i="3"/>
  <c r="B3424" i="3"/>
  <c r="H3423" i="3"/>
  <c r="B3423" i="3"/>
  <c r="H3422" i="3"/>
  <c r="B3422" i="3"/>
  <c r="H3421" i="3"/>
  <c r="B3421" i="3"/>
  <c r="H3420" i="3"/>
  <c r="B3420" i="3"/>
  <c r="H3419" i="3"/>
  <c r="B3419" i="3"/>
  <c r="H3418" i="3"/>
  <c r="B3418" i="3"/>
  <c r="H3417" i="3"/>
  <c r="B3417" i="3"/>
  <c r="H3416" i="3"/>
  <c r="B3416" i="3"/>
  <c r="H3415" i="3"/>
  <c r="B3415" i="3"/>
  <c r="H3414" i="3"/>
  <c r="B3414" i="3"/>
  <c r="H3413" i="3"/>
  <c r="B3413" i="3"/>
  <c r="H3412" i="3"/>
  <c r="B3412" i="3"/>
  <c r="H3411" i="3"/>
  <c r="B3411" i="3"/>
  <c r="H3410" i="3"/>
  <c r="B3410" i="3"/>
  <c r="H3409" i="3"/>
  <c r="B3409" i="3"/>
  <c r="H3408" i="3"/>
  <c r="B3408" i="3"/>
  <c r="H3407" i="3"/>
  <c r="B3407" i="3"/>
  <c r="H3406" i="3"/>
  <c r="B3406" i="3"/>
  <c r="H3405" i="3"/>
  <c r="B3405" i="3"/>
  <c r="H3404" i="3"/>
  <c r="B3404" i="3"/>
  <c r="H3403" i="3"/>
  <c r="B3403" i="3"/>
  <c r="H3402" i="3"/>
  <c r="B3402" i="3"/>
  <c r="H3401" i="3"/>
  <c r="B3401" i="3"/>
  <c r="H3400" i="3"/>
  <c r="B3400" i="3"/>
  <c r="H3399" i="3"/>
  <c r="B3399" i="3"/>
  <c r="H3398" i="3"/>
  <c r="B3398" i="3"/>
  <c r="H3397" i="3"/>
  <c r="B3397" i="3"/>
  <c r="H3396" i="3"/>
  <c r="B3396" i="3"/>
  <c r="H3395" i="3"/>
  <c r="B3395" i="3"/>
  <c r="H3394" i="3"/>
  <c r="B3394" i="3"/>
  <c r="H3393" i="3"/>
  <c r="B3393" i="3"/>
  <c r="H3392" i="3"/>
  <c r="B3392" i="3"/>
  <c r="H3391" i="3"/>
  <c r="B3391" i="3"/>
  <c r="H3390" i="3"/>
  <c r="B3390" i="3"/>
  <c r="H3389" i="3"/>
  <c r="B3389" i="3"/>
  <c r="H3388" i="3"/>
  <c r="B3388" i="3"/>
  <c r="H3387" i="3"/>
  <c r="B3387" i="3"/>
  <c r="H3386" i="3"/>
  <c r="B3386" i="3"/>
  <c r="H3385" i="3"/>
  <c r="B3385" i="3"/>
  <c r="H3384" i="3"/>
  <c r="B3384" i="3"/>
  <c r="H3383" i="3"/>
  <c r="B3383" i="3"/>
  <c r="H3382" i="3"/>
  <c r="B3382" i="3"/>
  <c r="H3381" i="3"/>
  <c r="B3381" i="3"/>
  <c r="H3380" i="3"/>
  <c r="B3380" i="3"/>
  <c r="H3379" i="3"/>
  <c r="B3379" i="3"/>
  <c r="H3378" i="3"/>
  <c r="B3378" i="3"/>
  <c r="H3377" i="3"/>
  <c r="B3377" i="3"/>
  <c r="H3376" i="3"/>
  <c r="B3376" i="3"/>
  <c r="H3375" i="3"/>
  <c r="B3375" i="3"/>
  <c r="H3374" i="3"/>
  <c r="B3374" i="3"/>
  <c r="H3373" i="3"/>
  <c r="B3373" i="3"/>
  <c r="H3372" i="3"/>
  <c r="B3372" i="3"/>
  <c r="H3371" i="3"/>
  <c r="B3371" i="3"/>
  <c r="H3370" i="3"/>
  <c r="B3370" i="3"/>
  <c r="H3369" i="3"/>
  <c r="B3369" i="3"/>
  <c r="H3368" i="3"/>
  <c r="B3368" i="3"/>
  <c r="H3367" i="3"/>
  <c r="B3367" i="3"/>
  <c r="H3366" i="3"/>
  <c r="B3366" i="3"/>
  <c r="H3365" i="3"/>
  <c r="B3365" i="3"/>
  <c r="H3364" i="3"/>
  <c r="B3364" i="3"/>
  <c r="H3363" i="3"/>
  <c r="B3363" i="3"/>
  <c r="H3362" i="3"/>
  <c r="B3362" i="3"/>
  <c r="H3361" i="3"/>
  <c r="B3361" i="3"/>
  <c r="H3360" i="3"/>
  <c r="B3360" i="3"/>
  <c r="H3359" i="3"/>
  <c r="B3359" i="3"/>
  <c r="H3358" i="3"/>
  <c r="B3358" i="3"/>
  <c r="H3357" i="3"/>
  <c r="B3357" i="3"/>
  <c r="H3356" i="3"/>
  <c r="B3356" i="3"/>
  <c r="H3355" i="3"/>
  <c r="B3355" i="3"/>
  <c r="H3354" i="3"/>
  <c r="B3354" i="3"/>
  <c r="H3353" i="3"/>
  <c r="B3353" i="3"/>
  <c r="H3352" i="3"/>
  <c r="B3352" i="3"/>
  <c r="H3351" i="3"/>
  <c r="B3351" i="3"/>
  <c r="H3350" i="3"/>
  <c r="B3350" i="3"/>
  <c r="H3349" i="3"/>
  <c r="B3349" i="3"/>
  <c r="H3348" i="3"/>
  <c r="B3348" i="3"/>
  <c r="H3347" i="3"/>
  <c r="B3347" i="3"/>
  <c r="H3346" i="3"/>
  <c r="B3346" i="3"/>
  <c r="H3345" i="3"/>
  <c r="B3345" i="3"/>
  <c r="H3344" i="3"/>
  <c r="B3344" i="3"/>
  <c r="H3343" i="3"/>
  <c r="B3343" i="3"/>
  <c r="H3342" i="3"/>
  <c r="B3342" i="3"/>
  <c r="H3341" i="3"/>
  <c r="B3341" i="3"/>
  <c r="H3340" i="3"/>
  <c r="B3340" i="3"/>
  <c r="H3339" i="3"/>
  <c r="B3339" i="3"/>
  <c r="H3338" i="3"/>
  <c r="B3338" i="3"/>
  <c r="H3337" i="3"/>
  <c r="B3337" i="3"/>
  <c r="H3336" i="3"/>
  <c r="B3336" i="3"/>
  <c r="H3335" i="3"/>
  <c r="B3335" i="3"/>
  <c r="H3334" i="3"/>
  <c r="B3334" i="3"/>
  <c r="H3333" i="3"/>
  <c r="B3333" i="3"/>
  <c r="H3332" i="3"/>
  <c r="B3332" i="3"/>
  <c r="H3331" i="3"/>
  <c r="B3331" i="3"/>
  <c r="H3330" i="3"/>
  <c r="B3330" i="3"/>
  <c r="H3329" i="3"/>
  <c r="B3329" i="3"/>
  <c r="H3328" i="3"/>
  <c r="B3328" i="3"/>
  <c r="H3327" i="3"/>
  <c r="B3327" i="3"/>
  <c r="H3326" i="3"/>
  <c r="B3326" i="3"/>
  <c r="H3325" i="3"/>
  <c r="B3325" i="3"/>
  <c r="H3324" i="3"/>
  <c r="B3324" i="3"/>
  <c r="H3323" i="3"/>
  <c r="B3323" i="3"/>
  <c r="H3322" i="3"/>
  <c r="B3322" i="3"/>
  <c r="H3321" i="3"/>
  <c r="B3321" i="3"/>
  <c r="H3320" i="3"/>
  <c r="B3320" i="3"/>
  <c r="H3319" i="3"/>
  <c r="B3319" i="3"/>
  <c r="H3318" i="3"/>
  <c r="B3318" i="3"/>
  <c r="H3317" i="3"/>
  <c r="B3317" i="3"/>
  <c r="H3316" i="3"/>
  <c r="B3316" i="3"/>
  <c r="H3315" i="3"/>
  <c r="B3315" i="3"/>
  <c r="H3314" i="3"/>
  <c r="B3314" i="3"/>
  <c r="H3313" i="3"/>
  <c r="B3313" i="3"/>
  <c r="H3312" i="3"/>
  <c r="B3312" i="3"/>
  <c r="H3311" i="3"/>
  <c r="B3311" i="3"/>
  <c r="H3310" i="3"/>
  <c r="B3310" i="3"/>
  <c r="H3309" i="3"/>
  <c r="B3309" i="3"/>
  <c r="H3308" i="3"/>
  <c r="B3308" i="3"/>
  <c r="H3307" i="3"/>
  <c r="B3307" i="3"/>
  <c r="H3306" i="3"/>
  <c r="B3306" i="3"/>
  <c r="H3305" i="3"/>
  <c r="B3305" i="3"/>
  <c r="H3304" i="3"/>
  <c r="B3304" i="3"/>
  <c r="H3303" i="3"/>
  <c r="B3303" i="3"/>
  <c r="H3302" i="3"/>
  <c r="B3302" i="3"/>
  <c r="H3301" i="3"/>
  <c r="B3301" i="3"/>
  <c r="H3300" i="3"/>
  <c r="B3300" i="3"/>
  <c r="H3299" i="3"/>
  <c r="B3299" i="3"/>
  <c r="H3298" i="3"/>
  <c r="B3298" i="3"/>
  <c r="H3297" i="3"/>
  <c r="B3297" i="3"/>
  <c r="H3296" i="3"/>
  <c r="B3296" i="3"/>
  <c r="H3295" i="3"/>
  <c r="B3295" i="3"/>
  <c r="H3294" i="3"/>
  <c r="B3294" i="3"/>
  <c r="H3293" i="3"/>
  <c r="B3293" i="3"/>
  <c r="H3292" i="3"/>
  <c r="B3292" i="3"/>
  <c r="H3291" i="3"/>
  <c r="B3291" i="3"/>
  <c r="H3290" i="3"/>
  <c r="B3290" i="3"/>
  <c r="H3289" i="3"/>
  <c r="B3289" i="3"/>
  <c r="H3288" i="3"/>
  <c r="B3288" i="3"/>
  <c r="H3287" i="3"/>
  <c r="B3287" i="3"/>
  <c r="H3286" i="3"/>
  <c r="B3286" i="3"/>
  <c r="H3285" i="3"/>
  <c r="B3285" i="3"/>
  <c r="H3284" i="3"/>
  <c r="B3284" i="3"/>
  <c r="H3283" i="3"/>
  <c r="B3283" i="3"/>
  <c r="H3282" i="3"/>
  <c r="B3282" i="3"/>
  <c r="H3281" i="3"/>
  <c r="B3281" i="3"/>
  <c r="H3280" i="3"/>
  <c r="B3280" i="3"/>
  <c r="H3279" i="3"/>
  <c r="B3279" i="3"/>
  <c r="H3278" i="3"/>
  <c r="B3278" i="3"/>
  <c r="H3277" i="3"/>
  <c r="B3277" i="3"/>
  <c r="H3276" i="3"/>
  <c r="B3276" i="3"/>
  <c r="H3275" i="3"/>
  <c r="B3275" i="3"/>
  <c r="H3274" i="3"/>
  <c r="B3274" i="3"/>
  <c r="H3273" i="3"/>
  <c r="B3273" i="3"/>
  <c r="H3272" i="3"/>
  <c r="B3272" i="3"/>
  <c r="H3271" i="3"/>
  <c r="B3271" i="3"/>
  <c r="H3270" i="3"/>
  <c r="B3270" i="3"/>
  <c r="H3269" i="3"/>
  <c r="B3269" i="3"/>
  <c r="H3268" i="3"/>
  <c r="B3268" i="3"/>
  <c r="H3267" i="3"/>
  <c r="B3267" i="3"/>
  <c r="H3266" i="3"/>
  <c r="B3266" i="3"/>
  <c r="H3265" i="3"/>
  <c r="B3265" i="3"/>
  <c r="H3264" i="3"/>
  <c r="B3264" i="3"/>
  <c r="H3263" i="3"/>
  <c r="B3263" i="3"/>
  <c r="H3262" i="3"/>
  <c r="B3262" i="3"/>
  <c r="H3261" i="3"/>
  <c r="B3261" i="3"/>
  <c r="H3260" i="3"/>
  <c r="B3260" i="3"/>
  <c r="H3259" i="3"/>
  <c r="B3259" i="3"/>
  <c r="H3258" i="3"/>
  <c r="B3258" i="3"/>
  <c r="H3257" i="3"/>
  <c r="B3257" i="3"/>
  <c r="H3256" i="3"/>
  <c r="B3256" i="3"/>
  <c r="H3255" i="3"/>
  <c r="B3255" i="3"/>
  <c r="H3254" i="3"/>
  <c r="B3254" i="3"/>
  <c r="H3253" i="3"/>
  <c r="B3253" i="3"/>
  <c r="H3252" i="3"/>
  <c r="B3252" i="3"/>
  <c r="H3251" i="3"/>
  <c r="B3251" i="3"/>
  <c r="H3250" i="3"/>
  <c r="B3250" i="3"/>
  <c r="H3249" i="3"/>
  <c r="B3249" i="3"/>
  <c r="H3248" i="3"/>
  <c r="B3248" i="3"/>
  <c r="H3247" i="3"/>
  <c r="B3247" i="3"/>
  <c r="H3246" i="3"/>
  <c r="B3246" i="3"/>
  <c r="H3245" i="3"/>
  <c r="B3245" i="3"/>
  <c r="H3244" i="3"/>
  <c r="B3244" i="3"/>
  <c r="H3243" i="3"/>
  <c r="B3243" i="3"/>
  <c r="H3242" i="3"/>
  <c r="B3242" i="3"/>
  <c r="H3241" i="3"/>
  <c r="B3241" i="3"/>
  <c r="H3240" i="3"/>
  <c r="B3240" i="3"/>
  <c r="H3239" i="3"/>
  <c r="B3239" i="3"/>
  <c r="H3238" i="3"/>
  <c r="B3238" i="3"/>
  <c r="H3237" i="3"/>
  <c r="B3237" i="3"/>
  <c r="H3236" i="3"/>
  <c r="B3236" i="3"/>
  <c r="H3235" i="3"/>
  <c r="B3235" i="3"/>
  <c r="H3234" i="3"/>
  <c r="B3234" i="3"/>
  <c r="H3233" i="3"/>
  <c r="B3233" i="3"/>
  <c r="H3232" i="3"/>
  <c r="B3232" i="3"/>
  <c r="H3231" i="3"/>
  <c r="B3231" i="3"/>
  <c r="H3230" i="3"/>
  <c r="B3230" i="3"/>
  <c r="H3229" i="3"/>
  <c r="B3229" i="3"/>
  <c r="H3228" i="3"/>
  <c r="B3228" i="3"/>
  <c r="H3227" i="3"/>
  <c r="B3227" i="3"/>
  <c r="H3226" i="3"/>
  <c r="B3226" i="3"/>
  <c r="H3225" i="3"/>
  <c r="B3225" i="3"/>
  <c r="H3224" i="3"/>
  <c r="B3224" i="3"/>
  <c r="H3223" i="3"/>
  <c r="B3223" i="3"/>
  <c r="H3222" i="3"/>
  <c r="B3222" i="3"/>
  <c r="H3221" i="3"/>
  <c r="B3221" i="3"/>
  <c r="H3220" i="3"/>
  <c r="B3220" i="3"/>
  <c r="H3219" i="3"/>
  <c r="B3219" i="3"/>
  <c r="H3218" i="3"/>
  <c r="B3218" i="3"/>
  <c r="H3217" i="3"/>
  <c r="B3217" i="3"/>
  <c r="H3216" i="3"/>
  <c r="B3216" i="3"/>
  <c r="H3215" i="3"/>
  <c r="B3215" i="3"/>
  <c r="H3214" i="3"/>
  <c r="B3214" i="3"/>
  <c r="H3213" i="3"/>
  <c r="B3213" i="3"/>
  <c r="H3212" i="3"/>
  <c r="B3212" i="3"/>
  <c r="H3211" i="3"/>
  <c r="B3211" i="3"/>
  <c r="H3210" i="3"/>
  <c r="B3210" i="3"/>
  <c r="H3209" i="3"/>
  <c r="B3209" i="3"/>
  <c r="H3208" i="3"/>
  <c r="B3208" i="3"/>
  <c r="H3207" i="3"/>
  <c r="B3207" i="3"/>
  <c r="H3206" i="3"/>
  <c r="B3206" i="3"/>
  <c r="H3205" i="3"/>
  <c r="B3205" i="3"/>
  <c r="H3204" i="3"/>
  <c r="B3204" i="3"/>
  <c r="H3203" i="3"/>
  <c r="B3203" i="3"/>
  <c r="H3202" i="3"/>
  <c r="B3202" i="3"/>
  <c r="H3201" i="3"/>
  <c r="B3201" i="3"/>
  <c r="H3200" i="3"/>
  <c r="B3200" i="3"/>
  <c r="H3199" i="3"/>
  <c r="B3199" i="3"/>
  <c r="H3198" i="3"/>
  <c r="B3198" i="3"/>
  <c r="H3197" i="3"/>
  <c r="B3197" i="3"/>
  <c r="H3196" i="3"/>
  <c r="B3196" i="3"/>
  <c r="H3195" i="3"/>
  <c r="B3195" i="3"/>
  <c r="H3194" i="3"/>
  <c r="B3194" i="3"/>
  <c r="H3193" i="3"/>
  <c r="B3193" i="3"/>
  <c r="H3192" i="3"/>
  <c r="B3192" i="3"/>
  <c r="H3191" i="3"/>
  <c r="B3191" i="3"/>
  <c r="H3190" i="3"/>
  <c r="B3190" i="3"/>
  <c r="H3189" i="3"/>
  <c r="B3189" i="3"/>
  <c r="H3188" i="3"/>
  <c r="B3188" i="3"/>
  <c r="H3187" i="3"/>
  <c r="B3187" i="3"/>
  <c r="H3186" i="3"/>
  <c r="B3186" i="3"/>
  <c r="H3185" i="3"/>
  <c r="B3185" i="3"/>
  <c r="H3184" i="3"/>
  <c r="B3184" i="3"/>
  <c r="H3183" i="3"/>
  <c r="B3183" i="3"/>
  <c r="H3182" i="3"/>
  <c r="B3182" i="3"/>
  <c r="H3181" i="3"/>
  <c r="B3181" i="3"/>
  <c r="H3180" i="3"/>
  <c r="B3180" i="3"/>
  <c r="H3179" i="3"/>
  <c r="B3179" i="3"/>
  <c r="H3178" i="3"/>
  <c r="B3178" i="3"/>
  <c r="H3177" i="3"/>
  <c r="B3177" i="3"/>
  <c r="H3176" i="3"/>
  <c r="B3176" i="3"/>
  <c r="H3175" i="3"/>
  <c r="B3175" i="3"/>
  <c r="H3174" i="3"/>
  <c r="B3174" i="3"/>
  <c r="H3173" i="3"/>
  <c r="B3173" i="3"/>
  <c r="H3172" i="3"/>
  <c r="B3172" i="3"/>
  <c r="H3171" i="3"/>
  <c r="B3171" i="3"/>
  <c r="H3170" i="3"/>
  <c r="B3170" i="3"/>
  <c r="H3169" i="3"/>
  <c r="B3169" i="3"/>
  <c r="H3168" i="3"/>
  <c r="B3168" i="3"/>
  <c r="H3167" i="3"/>
  <c r="B3167" i="3"/>
  <c r="H3166" i="3"/>
  <c r="B3166" i="3"/>
  <c r="H3165" i="3"/>
  <c r="B3165" i="3"/>
  <c r="H3164" i="3"/>
  <c r="B3164" i="3"/>
  <c r="H3163" i="3"/>
  <c r="B3163" i="3"/>
  <c r="H3162" i="3"/>
  <c r="B3162" i="3"/>
  <c r="H3161" i="3"/>
  <c r="B3161" i="3"/>
  <c r="H3160" i="3"/>
  <c r="B3160" i="3"/>
  <c r="H3159" i="3"/>
  <c r="B3159" i="3"/>
  <c r="H3158" i="3"/>
  <c r="B3158" i="3"/>
  <c r="H3157" i="3"/>
  <c r="B3157" i="3"/>
  <c r="H3156" i="3"/>
  <c r="B3156" i="3"/>
  <c r="H3155" i="3"/>
  <c r="B3155" i="3"/>
  <c r="H3154" i="3"/>
  <c r="B3154" i="3"/>
  <c r="H3153" i="3"/>
  <c r="B3153" i="3"/>
  <c r="H3152" i="3"/>
  <c r="B3152" i="3"/>
  <c r="H3151" i="3"/>
  <c r="B3151" i="3"/>
  <c r="H3150" i="3"/>
  <c r="B3150" i="3"/>
  <c r="H3149" i="3"/>
  <c r="B3149" i="3"/>
  <c r="H3148" i="3"/>
  <c r="B3148" i="3"/>
  <c r="H3147" i="3"/>
  <c r="B3147" i="3"/>
  <c r="H3146" i="3"/>
  <c r="B3146" i="3"/>
  <c r="H3145" i="3"/>
  <c r="B3145" i="3"/>
  <c r="H3144" i="3"/>
  <c r="B3144" i="3"/>
  <c r="H3143" i="3"/>
  <c r="B3143" i="3"/>
  <c r="H3142" i="3"/>
  <c r="B3142" i="3"/>
  <c r="H3141" i="3"/>
  <c r="B3141" i="3"/>
  <c r="H3140" i="3"/>
  <c r="B3140" i="3"/>
  <c r="H3139" i="3"/>
  <c r="B3139" i="3"/>
  <c r="H3138" i="3"/>
  <c r="B3138" i="3"/>
  <c r="H3137" i="3"/>
  <c r="B3137" i="3"/>
  <c r="H3136" i="3"/>
  <c r="B3136" i="3"/>
  <c r="H3135" i="3"/>
  <c r="B3135" i="3"/>
  <c r="H3134" i="3"/>
  <c r="B3134" i="3"/>
  <c r="H3133" i="3"/>
  <c r="B3133" i="3"/>
  <c r="H3132" i="3"/>
  <c r="B3132" i="3"/>
  <c r="H3131" i="3"/>
  <c r="B3131" i="3"/>
  <c r="H3130" i="3"/>
  <c r="B3130" i="3"/>
  <c r="H3129" i="3"/>
  <c r="B3129" i="3"/>
  <c r="H3128" i="3"/>
  <c r="B3128" i="3"/>
  <c r="H3127" i="3"/>
  <c r="B3127" i="3"/>
  <c r="H3126" i="3"/>
  <c r="B3126" i="3"/>
  <c r="H3125" i="3"/>
  <c r="B3125" i="3"/>
  <c r="H3124" i="3"/>
  <c r="B3124" i="3"/>
  <c r="H3123" i="3"/>
  <c r="B3123" i="3"/>
  <c r="H3122" i="3"/>
  <c r="B3122" i="3"/>
  <c r="H3121" i="3"/>
  <c r="B3121" i="3"/>
  <c r="H3120" i="3"/>
  <c r="B3120" i="3"/>
  <c r="H3119" i="3"/>
  <c r="B3119" i="3"/>
  <c r="H3118" i="3"/>
  <c r="B3118" i="3"/>
  <c r="H3117" i="3"/>
  <c r="B3117" i="3"/>
  <c r="H3116" i="3"/>
  <c r="B3116" i="3"/>
  <c r="H3115" i="3"/>
  <c r="B3115" i="3"/>
  <c r="H3114" i="3"/>
  <c r="B3114" i="3"/>
  <c r="H3113" i="3"/>
  <c r="B3113" i="3"/>
  <c r="H3112" i="3"/>
  <c r="B3112" i="3"/>
  <c r="H3111" i="3"/>
  <c r="B3111" i="3"/>
  <c r="H3110" i="3"/>
  <c r="B3110" i="3"/>
  <c r="H3109" i="3"/>
  <c r="B3109" i="3"/>
  <c r="H3108" i="3"/>
  <c r="B3108" i="3"/>
  <c r="H3107" i="3"/>
  <c r="B3107" i="3"/>
  <c r="H3106" i="3"/>
  <c r="B3106" i="3"/>
  <c r="H3105" i="3"/>
  <c r="B3105" i="3"/>
  <c r="H3104" i="3"/>
  <c r="B3104" i="3"/>
  <c r="H3103" i="3"/>
  <c r="B3103" i="3"/>
  <c r="H3102" i="3"/>
  <c r="B3102" i="3"/>
  <c r="H3101" i="3"/>
  <c r="B3101" i="3"/>
  <c r="H3100" i="3"/>
  <c r="B3100" i="3"/>
  <c r="H3099" i="3"/>
  <c r="B3099" i="3"/>
  <c r="H3098" i="3"/>
  <c r="B3098" i="3"/>
  <c r="H3097" i="3"/>
  <c r="B3097" i="3"/>
  <c r="H3096" i="3"/>
  <c r="B3096" i="3"/>
  <c r="H3095" i="3"/>
  <c r="B3095" i="3"/>
  <c r="H3094" i="3"/>
  <c r="B3094" i="3"/>
  <c r="H3093" i="3"/>
  <c r="B3093" i="3"/>
  <c r="H3092" i="3"/>
  <c r="B3092" i="3"/>
  <c r="H3091" i="3"/>
  <c r="B3091" i="3"/>
  <c r="H3090" i="3"/>
  <c r="B3090" i="3"/>
  <c r="H3089" i="3"/>
  <c r="B3089" i="3"/>
  <c r="H3088" i="3"/>
  <c r="B3088" i="3"/>
  <c r="H3087" i="3"/>
  <c r="B3087" i="3"/>
  <c r="H3086" i="3"/>
  <c r="B3086" i="3"/>
  <c r="H3085" i="3"/>
  <c r="B3085" i="3"/>
  <c r="H3084" i="3"/>
  <c r="B3084" i="3"/>
  <c r="H3083" i="3"/>
  <c r="B3083" i="3"/>
  <c r="H3082" i="3"/>
  <c r="B3082" i="3"/>
  <c r="H3081" i="3"/>
  <c r="B3081" i="3"/>
  <c r="H3080" i="3"/>
  <c r="B3080" i="3"/>
  <c r="H3079" i="3"/>
  <c r="B3079" i="3"/>
  <c r="H3078" i="3"/>
  <c r="B3078" i="3"/>
  <c r="H3077" i="3"/>
  <c r="B3077" i="3"/>
  <c r="H3076" i="3"/>
  <c r="B3076" i="3"/>
  <c r="H3075" i="3"/>
  <c r="B3075" i="3"/>
  <c r="H3074" i="3"/>
  <c r="B3074" i="3"/>
  <c r="H3073" i="3"/>
  <c r="B3073" i="3"/>
  <c r="H3072" i="3"/>
  <c r="B3072" i="3"/>
  <c r="H3071" i="3"/>
  <c r="B3071" i="3"/>
  <c r="H3070" i="3"/>
  <c r="B3070" i="3"/>
  <c r="H3069" i="3"/>
  <c r="B3069" i="3"/>
  <c r="H3068" i="3"/>
  <c r="B3068" i="3"/>
  <c r="H3067" i="3"/>
  <c r="B3067" i="3"/>
  <c r="H3066" i="3"/>
  <c r="B3066" i="3"/>
  <c r="H3065" i="3"/>
  <c r="B3065" i="3"/>
  <c r="H3064" i="3"/>
  <c r="B3064" i="3"/>
  <c r="H3063" i="3"/>
  <c r="B3063" i="3"/>
  <c r="H3062" i="3"/>
  <c r="B3062" i="3"/>
  <c r="H3061" i="3"/>
  <c r="B3061" i="3"/>
  <c r="H3060" i="3"/>
  <c r="B3060" i="3"/>
  <c r="H3059" i="3"/>
  <c r="B3059" i="3"/>
  <c r="H3058" i="3"/>
  <c r="B3058" i="3"/>
  <c r="H3057" i="3"/>
  <c r="B3057" i="3"/>
  <c r="H3056" i="3"/>
  <c r="B3056" i="3"/>
  <c r="H3055" i="3"/>
  <c r="B3055" i="3"/>
  <c r="H3054" i="3"/>
  <c r="B3054" i="3"/>
  <c r="H3053" i="3"/>
  <c r="B3053" i="3"/>
  <c r="H3052" i="3"/>
  <c r="B3052" i="3"/>
  <c r="H3051" i="3"/>
  <c r="B3051" i="3"/>
  <c r="H3050" i="3"/>
  <c r="B3050" i="3"/>
  <c r="H3049" i="3"/>
  <c r="B3049" i="3"/>
  <c r="H3048" i="3"/>
  <c r="B3048" i="3"/>
  <c r="H3047" i="3"/>
  <c r="B3047" i="3"/>
  <c r="H3046" i="3"/>
  <c r="B3046" i="3"/>
  <c r="H3045" i="3"/>
  <c r="B3045" i="3"/>
  <c r="H3044" i="3"/>
  <c r="B3044" i="3"/>
  <c r="H3043" i="3"/>
  <c r="B3043" i="3"/>
  <c r="H3042" i="3"/>
  <c r="B3042" i="3"/>
  <c r="H3041" i="3"/>
  <c r="B3041" i="3"/>
  <c r="H3040" i="3"/>
  <c r="B3040" i="3"/>
  <c r="H3039" i="3"/>
  <c r="B3039" i="3"/>
  <c r="H3038" i="3"/>
  <c r="B3038" i="3"/>
  <c r="H3037" i="3"/>
  <c r="B3037" i="3"/>
  <c r="H3036" i="3"/>
  <c r="B3036" i="3"/>
  <c r="H3035" i="3"/>
  <c r="B3035" i="3"/>
  <c r="H3034" i="3"/>
  <c r="B3034" i="3"/>
  <c r="H3033" i="3"/>
  <c r="B3033" i="3"/>
  <c r="H3032" i="3"/>
  <c r="B3032" i="3"/>
  <c r="H3031" i="3"/>
  <c r="B3031" i="3"/>
  <c r="H3030" i="3"/>
  <c r="B3030" i="3"/>
  <c r="H3029" i="3"/>
  <c r="B3029" i="3"/>
  <c r="H3028" i="3"/>
  <c r="B3028" i="3"/>
  <c r="H3027" i="3"/>
  <c r="B3027" i="3"/>
  <c r="H3026" i="3"/>
  <c r="B3026" i="3"/>
  <c r="H3025" i="3"/>
  <c r="B3025" i="3"/>
  <c r="H3024" i="3"/>
  <c r="B3024" i="3"/>
  <c r="H3023" i="3"/>
  <c r="B3023" i="3"/>
  <c r="H3022" i="3"/>
  <c r="B3022" i="3"/>
  <c r="H3021" i="3"/>
  <c r="B3021" i="3"/>
  <c r="H3020" i="3"/>
  <c r="B3020" i="3"/>
  <c r="H3019" i="3"/>
  <c r="B3019" i="3"/>
  <c r="H3018" i="3"/>
  <c r="B3018" i="3"/>
  <c r="H3017" i="3"/>
  <c r="B3017" i="3"/>
  <c r="H3016" i="3"/>
  <c r="B3016" i="3"/>
  <c r="H3015" i="3"/>
  <c r="B3015" i="3"/>
  <c r="H3014" i="3"/>
  <c r="B3014" i="3"/>
  <c r="H3013" i="3"/>
  <c r="B3013" i="3"/>
  <c r="H3012" i="3"/>
  <c r="B3012" i="3"/>
  <c r="H3011" i="3"/>
  <c r="B3011" i="3"/>
  <c r="H3010" i="3"/>
  <c r="B3010" i="3"/>
  <c r="H3009" i="3"/>
  <c r="B3009" i="3"/>
  <c r="H3008" i="3"/>
  <c r="B3008" i="3"/>
  <c r="H3007" i="3"/>
  <c r="B3007" i="3"/>
  <c r="H3006" i="3"/>
  <c r="B3006" i="3"/>
  <c r="H3005" i="3"/>
  <c r="B3005" i="3"/>
  <c r="H3004" i="3"/>
  <c r="B3004" i="3"/>
  <c r="H3003" i="3"/>
  <c r="B3003" i="3"/>
  <c r="H3002" i="3"/>
  <c r="B3002" i="3"/>
  <c r="H3001" i="3"/>
  <c r="B3001" i="3"/>
  <c r="H3000" i="3"/>
  <c r="B3000" i="3"/>
  <c r="H2999" i="3"/>
  <c r="B2999" i="3"/>
  <c r="H2998" i="3"/>
  <c r="B2998" i="3"/>
  <c r="H2997" i="3"/>
  <c r="B2997" i="3"/>
  <c r="H2996" i="3"/>
  <c r="B2996" i="3"/>
  <c r="H2995" i="3"/>
  <c r="B2995" i="3"/>
  <c r="H2994" i="3"/>
  <c r="B2994" i="3"/>
  <c r="H2993" i="3"/>
  <c r="B2993" i="3"/>
  <c r="H2992" i="3"/>
  <c r="B2992" i="3"/>
  <c r="H2991" i="3"/>
  <c r="B2991" i="3"/>
  <c r="H2990" i="3"/>
  <c r="B2990" i="3"/>
  <c r="H2989" i="3"/>
  <c r="B2989" i="3"/>
  <c r="H2988" i="3"/>
  <c r="B2988" i="3"/>
  <c r="H2987" i="3"/>
  <c r="B2987" i="3"/>
  <c r="H2986" i="3"/>
  <c r="B2986" i="3"/>
  <c r="H2985" i="3"/>
  <c r="B2985" i="3"/>
  <c r="H2984" i="3"/>
  <c r="B2984" i="3"/>
  <c r="H2983" i="3"/>
  <c r="B2983" i="3"/>
  <c r="H2982" i="3"/>
  <c r="B2982" i="3"/>
  <c r="H2981" i="3"/>
  <c r="B2981" i="3"/>
  <c r="H2980" i="3"/>
  <c r="B2980" i="3"/>
  <c r="H2979" i="3"/>
  <c r="B2979" i="3"/>
  <c r="H2978" i="3"/>
  <c r="B2978" i="3"/>
  <c r="H2977" i="3"/>
  <c r="B2977" i="3"/>
  <c r="H2976" i="3"/>
  <c r="B2976" i="3"/>
  <c r="H2975" i="3"/>
  <c r="B2975" i="3"/>
  <c r="H2974" i="3"/>
  <c r="B2974" i="3"/>
  <c r="H2973" i="3"/>
  <c r="B2973" i="3"/>
  <c r="H2972" i="3"/>
  <c r="B2972" i="3"/>
  <c r="H2971" i="3"/>
  <c r="B2971" i="3"/>
  <c r="H2970" i="3"/>
  <c r="B2970" i="3"/>
  <c r="H2969" i="3"/>
  <c r="B2969" i="3"/>
  <c r="H2968" i="3"/>
  <c r="B2968" i="3"/>
  <c r="H2967" i="3"/>
  <c r="B2967" i="3"/>
  <c r="H2966" i="3"/>
  <c r="B2966" i="3"/>
  <c r="H2965" i="3"/>
  <c r="B2965" i="3"/>
  <c r="H2964" i="3"/>
  <c r="B2964" i="3"/>
  <c r="H2963" i="3"/>
  <c r="B2963" i="3"/>
  <c r="H2962" i="3"/>
  <c r="B2962" i="3"/>
  <c r="H2961" i="3"/>
  <c r="B2961" i="3"/>
  <c r="H2960" i="3"/>
  <c r="B2960" i="3"/>
  <c r="H2959" i="3"/>
  <c r="B2959" i="3"/>
  <c r="H2958" i="3"/>
  <c r="B2958" i="3"/>
  <c r="H2957" i="3"/>
  <c r="B2957" i="3"/>
  <c r="H2956" i="3"/>
  <c r="B2956" i="3"/>
  <c r="H2955" i="3"/>
  <c r="B2955" i="3"/>
  <c r="H2954" i="3"/>
  <c r="B2954" i="3"/>
  <c r="H2953" i="3"/>
  <c r="B2953" i="3"/>
  <c r="H2952" i="3"/>
  <c r="B2952" i="3"/>
  <c r="H2951" i="3"/>
  <c r="B2951" i="3"/>
  <c r="H2950" i="3"/>
  <c r="B2950" i="3"/>
  <c r="H2949" i="3"/>
  <c r="B2949" i="3"/>
  <c r="H2948" i="3"/>
  <c r="B2948" i="3"/>
  <c r="H2947" i="3"/>
  <c r="B2947" i="3"/>
  <c r="H2946" i="3"/>
  <c r="B2946" i="3"/>
  <c r="H2945" i="3"/>
  <c r="B2945" i="3"/>
  <c r="H2944" i="3"/>
  <c r="B2944" i="3"/>
  <c r="H2943" i="3"/>
  <c r="B2943" i="3"/>
  <c r="H2942" i="3"/>
  <c r="B2942" i="3"/>
  <c r="H2941" i="3"/>
  <c r="B2941" i="3"/>
  <c r="H2940" i="3"/>
  <c r="B2940" i="3"/>
  <c r="H2939" i="3"/>
  <c r="B2939" i="3"/>
  <c r="H2938" i="3"/>
  <c r="B2938" i="3"/>
  <c r="H2937" i="3"/>
  <c r="B2937" i="3"/>
  <c r="H2936" i="3"/>
  <c r="B2936" i="3"/>
  <c r="H2935" i="3"/>
  <c r="B2935" i="3"/>
  <c r="H2934" i="3"/>
  <c r="B2934" i="3"/>
  <c r="H2933" i="3"/>
  <c r="B2933" i="3"/>
  <c r="H2932" i="3"/>
  <c r="B2932" i="3"/>
  <c r="H2931" i="3"/>
  <c r="B2931" i="3"/>
  <c r="H2930" i="3"/>
  <c r="B2930" i="3"/>
  <c r="H2929" i="3"/>
  <c r="B2929" i="3"/>
  <c r="H2928" i="3"/>
  <c r="B2928" i="3"/>
  <c r="H2927" i="3"/>
  <c r="B2927" i="3"/>
  <c r="H2926" i="3"/>
  <c r="B2926" i="3"/>
  <c r="H2925" i="3"/>
  <c r="B2925" i="3"/>
  <c r="H2924" i="3"/>
  <c r="B2924" i="3"/>
  <c r="H2923" i="3"/>
  <c r="B2923" i="3"/>
  <c r="H2922" i="3"/>
  <c r="B2922" i="3"/>
  <c r="H2921" i="3"/>
  <c r="B2921" i="3"/>
  <c r="H2920" i="3"/>
  <c r="B2920" i="3"/>
  <c r="H2919" i="3"/>
  <c r="B2919" i="3"/>
  <c r="H2918" i="3"/>
  <c r="B2918" i="3"/>
  <c r="H2917" i="3"/>
  <c r="B2917" i="3"/>
  <c r="H2916" i="3"/>
  <c r="B2916" i="3"/>
  <c r="H2915" i="3"/>
  <c r="B2915" i="3"/>
  <c r="H2914" i="3"/>
  <c r="B2914" i="3"/>
  <c r="H2913" i="3"/>
  <c r="B2913" i="3"/>
  <c r="H2912" i="3"/>
  <c r="B2912" i="3"/>
  <c r="H2911" i="3"/>
  <c r="B2911" i="3"/>
  <c r="H2910" i="3"/>
  <c r="B2910" i="3"/>
  <c r="H2909" i="3"/>
  <c r="B2909" i="3"/>
  <c r="H2908" i="3"/>
  <c r="B2908" i="3"/>
  <c r="H2907" i="3"/>
  <c r="B2907" i="3"/>
  <c r="H2906" i="3"/>
  <c r="B2906" i="3"/>
  <c r="H2905" i="3"/>
  <c r="B2905" i="3"/>
  <c r="H2904" i="3"/>
  <c r="B2904" i="3"/>
  <c r="H2903" i="3"/>
  <c r="B2903" i="3"/>
  <c r="H2902" i="3"/>
  <c r="B2902" i="3"/>
  <c r="H2901" i="3"/>
  <c r="B2901" i="3"/>
  <c r="H2900" i="3"/>
  <c r="B2900" i="3"/>
  <c r="H2899" i="3"/>
  <c r="B2899" i="3"/>
  <c r="H2898" i="3"/>
  <c r="B2898" i="3"/>
  <c r="H2897" i="3"/>
  <c r="B2897" i="3"/>
  <c r="H2896" i="3"/>
  <c r="B2896" i="3"/>
  <c r="H2895" i="3"/>
  <c r="B2895" i="3"/>
  <c r="H2894" i="3"/>
  <c r="B2894" i="3"/>
  <c r="H2893" i="3"/>
  <c r="B2893" i="3"/>
  <c r="H2892" i="3"/>
  <c r="B2892" i="3"/>
  <c r="H2891" i="3"/>
  <c r="B2891" i="3"/>
  <c r="H2890" i="3"/>
  <c r="B2890" i="3"/>
  <c r="H2889" i="3"/>
  <c r="B2889" i="3"/>
  <c r="H2888" i="3"/>
  <c r="B2888" i="3"/>
  <c r="H2887" i="3"/>
  <c r="B2887" i="3"/>
  <c r="H2886" i="3"/>
  <c r="B2886" i="3"/>
  <c r="H2885" i="3"/>
  <c r="B2885" i="3"/>
  <c r="H2884" i="3"/>
  <c r="B2884" i="3"/>
  <c r="H2883" i="3"/>
  <c r="B2883" i="3"/>
  <c r="H2882" i="3"/>
  <c r="B2882" i="3"/>
  <c r="H2881" i="3"/>
  <c r="B2881" i="3"/>
  <c r="H2880" i="3"/>
  <c r="B2880" i="3"/>
  <c r="H2879" i="3"/>
  <c r="B2879" i="3"/>
  <c r="H2878" i="3"/>
  <c r="B2878" i="3"/>
  <c r="H2877" i="3"/>
  <c r="B2877" i="3"/>
  <c r="H2876" i="3"/>
  <c r="B2876" i="3"/>
  <c r="H2875" i="3"/>
  <c r="B2875" i="3"/>
  <c r="H2874" i="3"/>
  <c r="B2874" i="3"/>
  <c r="H2873" i="3"/>
  <c r="B2873" i="3"/>
  <c r="H2872" i="3"/>
  <c r="B2872" i="3"/>
  <c r="H2871" i="3"/>
  <c r="B2871" i="3"/>
  <c r="H2870" i="3"/>
  <c r="B2870" i="3"/>
  <c r="H2869" i="3"/>
  <c r="B2869" i="3"/>
  <c r="H2868" i="3"/>
  <c r="B2868" i="3"/>
  <c r="H2867" i="3"/>
  <c r="B2867" i="3"/>
  <c r="H2866" i="3"/>
  <c r="B2866" i="3"/>
  <c r="H2865" i="3"/>
  <c r="B2865" i="3"/>
  <c r="H2864" i="3"/>
  <c r="B2864" i="3"/>
  <c r="H2863" i="3"/>
  <c r="B2863" i="3"/>
  <c r="H2862" i="3"/>
  <c r="B2862" i="3"/>
  <c r="H2861" i="3"/>
  <c r="B2861" i="3"/>
  <c r="H2860" i="3"/>
  <c r="B2860" i="3"/>
  <c r="H2859" i="3"/>
  <c r="B2859" i="3"/>
  <c r="H2858" i="3"/>
  <c r="B2858" i="3"/>
  <c r="H2857" i="3"/>
  <c r="B2857" i="3"/>
  <c r="H2856" i="3"/>
  <c r="B2856" i="3"/>
  <c r="H2855" i="3"/>
  <c r="B2855" i="3"/>
  <c r="H2854" i="3"/>
  <c r="B2854" i="3"/>
  <c r="H2853" i="3"/>
  <c r="B2853" i="3"/>
  <c r="H2852" i="3"/>
  <c r="B2852" i="3"/>
  <c r="H2851" i="3"/>
  <c r="B2851" i="3"/>
  <c r="H2850" i="3"/>
  <c r="B2850" i="3"/>
  <c r="H2849" i="3"/>
  <c r="B2849" i="3"/>
  <c r="H2848" i="3"/>
  <c r="B2848" i="3"/>
  <c r="H2847" i="3"/>
  <c r="B2847" i="3"/>
  <c r="H2846" i="3"/>
  <c r="B2846" i="3"/>
  <c r="H2845" i="3"/>
  <c r="B2845" i="3"/>
  <c r="H2844" i="3"/>
  <c r="B2844" i="3"/>
  <c r="H2843" i="3"/>
  <c r="B2843" i="3"/>
  <c r="H2842" i="3"/>
  <c r="B2842" i="3"/>
  <c r="H2841" i="3"/>
  <c r="B2841" i="3"/>
  <c r="H2840" i="3"/>
  <c r="B2840" i="3"/>
  <c r="H2839" i="3"/>
  <c r="B2839" i="3"/>
  <c r="H2838" i="3"/>
  <c r="B2838" i="3"/>
  <c r="H2837" i="3"/>
  <c r="B2837" i="3"/>
  <c r="H2836" i="3"/>
  <c r="B2836" i="3"/>
  <c r="H2835" i="3"/>
  <c r="B2835" i="3"/>
  <c r="H2834" i="3"/>
  <c r="B2834" i="3"/>
  <c r="H2833" i="3"/>
  <c r="B2833" i="3"/>
  <c r="H2832" i="3"/>
  <c r="B2832" i="3"/>
  <c r="H2831" i="3"/>
  <c r="B2831" i="3"/>
  <c r="H2830" i="3"/>
  <c r="B2830" i="3"/>
  <c r="H2829" i="3"/>
  <c r="B2829" i="3"/>
  <c r="H2828" i="3"/>
  <c r="B2828" i="3"/>
  <c r="H2827" i="3"/>
  <c r="B2827" i="3"/>
  <c r="H2826" i="3"/>
  <c r="B2826" i="3"/>
  <c r="H2825" i="3"/>
  <c r="B2825" i="3"/>
  <c r="H2824" i="3"/>
  <c r="B2824" i="3"/>
  <c r="H2823" i="3"/>
  <c r="B2823" i="3"/>
  <c r="H2822" i="3"/>
  <c r="B2822" i="3"/>
  <c r="H2821" i="3"/>
  <c r="B2821" i="3"/>
  <c r="H2820" i="3"/>
  <c r="B2820" i="3"/>
  <c r="H2819" i="3"/>
  <c r="B2819" i="3"/>
  <c r="H2818" i="3"/>
  <c r="B2818" i="3"/>
  <c r="H2817" i="3"/>
  <c r="B2817" i="3"/>
  <c r="H2816" i="3"/>
  <c r="B2816" i="3"/>
  <c r="H2815" i="3"/>
  <c r="B2815" i="3"/>
  <c r="H2814" i="3"/>
  <c r="B2814" i="3"/>
  <c r="H2813" i="3"/>
  <c r="B2813" i="3"/>
  <c r="H2812" i="3"/>
  <c r="B2812" i="3"/>
  <c r="H2811" i="3"/>
  <c r="B2811" i="3"/>
  <c r="H2810" i="3"/>
  <c r="B2810" i="3"/>
  <c r="H2809" i="3"/>
  <c r="B2809" i="3"/>
  <c r="H2808" i="3"/>
  <c r="B2808" i="3"/>
  <c r="H2807" i="3"/>
  <c r="B2807" i="3"/>
  <c r="H2806" i="3"/>
  <c r="B2806" i="3"/>
  <c r="H2805" i="3"/>
  <c r="B2805" i="3"/>
  <c r="H2804" i="3"/>
  <c r="B2804" i="3"/>
  <c r="H2803" i="3"/>
  <c r="B2803" i="3"/>
  <c r="H2802" i="3"/>
  <c r="B2802" i="3"/>
  <c r="H2801" i="3"/>
  <c r="B2801" i="3"/>
  <c r="H2800" i="3"/>
  <c r="B2800" i="3"/>
  <c r="H2799" i="3"/>
  <c r="B2799" i="3"/>
  <c r="H2798" i="3"/>
  <c r="B2798" i="3"/>
  <c r="H2797" i="3"/>
  <c r="B2797" i="3"/>
  <c r="H2796" i="3"/>
  <c r="B2796" i="3"/>
  <c r="H2795" i="3"/>
  <c r="B2795" i="3"/>
  <c r="H2794" i="3"/>
  <c r="B2794" i="3"/>
  <c r="H2793" i="3"/>
  <c r="B2793" i="3"/>
  <c r="H2792" i="3"/>
  <c r="B2792" i="3"/>
  <c r="H2791" i="3"/>
  <c r="B2791" i="3"/>
  <c r="H2790" i="3"/>
  <c r="B2790" i="3"/>
  <c r="H2789" i="3"/>
  <c r="B2789" i="3"/>
  <c r="H2788" i="3"/>
  <c r="B2788" i="3"/>
  <c r="H2787" i="3"/>
  <c r="B2787" i="3"/>
  <c r="H2786" i="3"/>
  <c r="B2786" i="3"/>
  <c r="H2785" i="3"/>
  <c r="B2785" i="3"/>
  <c r="H2784" i="3"/>
  <c r="B2784" i="3"/>
  <c r="H2783" i="3"/>
  <c r="B2783" i="3"/>
  <c r="H2782" i="3"/>
  <c r="B2782" i="3"/>
  <c r="H2781" i="3"/>
  <c r="B2781" i="3"/>
  <c r="H2780" i="3"/>
  <c r="B2780" i="3"/>
  <c r="H2779" i="3"/>
  <c r="B2779" i="3"/>
  <c r="H2778" i="3"/>
  <c r="B2778" i="3"/>
  <c r="H2777" i="3"/>
  <c r="B2777" i="3"/>
  <c r="H2776" i="3"/>
  <c r="B2776" i="3"/>
  <c r="H2775" i="3"/>
  <c r="B2775" i="3"/>
  <c r="H2774" i="3"/>
  <c r="B2774" i="3"/>
  <c r="H2773" i="3"/>
  <c r="B2773" i="3"/>
  <c r="H2772" i="3"/>
  <c r="B2772" i="3"/>
  <c r="H2771" i="3"/>
  <c r="B2771" i="3"/>
  <c r="H2770" i="3"/>
  <c r="B2770" i="3"/>
  <c r="H2769" i="3"/>
  <c r="B2769" i="3"/>
  <c r="H2768" i="3"/>
  <c r="B2768" i="3"/>
  <c r="H2767" i="3"/>
  <c r="B2767" i="3"/>
  <c r="H2766" i="3"/>
  <c r="B2766" i="3"/>
  <c r="H2765" i="3"/>
  <c r="B2765" i="3"/>
  <c r="H2764" i="3"/>
  <c r="B2764" i="3"/>
  <c r="H2763" i="3"/>
  <c r="B2763" i="3"/>
  <c r="H2762" i="3"/>
  <c r="B2762" i="3"/>
  <c r="H2761" i="3"/>
  <c r="B2761" i="3"/>
  <c r="H2760" i="3"/>
  <c r="B2760" i="3"/>
  <c r="H2759" i="3"/>
  <c r="B2759" i="3"/>
  <c r="H2758" i="3"/>
  <c r="B2758" i="3"/>
  <c r="H2757" i="3"/>
  <c r="B2757" i="3"/>
  <c r="H2756" i="3"/>
  <c r="B2756" i="3"/>
  <c r="H2755" i="3"/>
  <c r="B2755" i="3"/>
  <c r="H2754" i="3"/>
  <c r="B2754" i="3"/>
  <c r="H2753" i="3"/>
  <c r="B2753" i="3"/>
  <c r="H2752" i="3"/>
  <c r="B2752" i="3"/>
  <c r="H2751" i="3"/>
  <c r="B2751" i="3"/>
  <c r="H2750" i="3"/>
  <c r="B2750" i="3"/>
  <c r="H2749" i="3"/>
  <c r="B2749" i="3"/>
  <c r="H2748" i="3"/>
  <c r="B2748" i="3"/>
  <c r="H2747" i="3"/>
  <c r="B2747" i="3"/>
  <c r="H2746" i="3"/>
  <c r="B2746" i="3"/>
  <c r="H2745" i="3"/>
  <c r="B2745" i="3"/>
  <c r="H2744" i="3"/>
  <c r="B2744" i="3"/>
  <c r="H2743" i="3"/>
  <c r="B2743" i="3"/>
  <c r="H2742" i="3"/>
  <c r="B2742" i="3"/>
  <c r="H2741" i="3"/>
  <c r="B2741" i="3"/>
  <c r="H2740" i="3"/>
  <c r="B2740" i="3"/>
  <c r="H2739" i="3"/>
  <c r="B2739" i="3"/>
  <c r="H2738" i="3"/>
  <c r="B2738" i="3"/>
  <c r="H2737" i="3"/>
  <c r="B2737" i="3"/>
  <c r="H2736" i="3"/>
  <c r="B2736" i="3"/>
  <c r="H2735" i="3"/>
  <c r="B2735" i="3"/>
  <c r="H2734" i="3"/>
  <c r="B2734" i="3"/>
  <c r="H2733" i="3"/>
  <c r="B2733" i="3"/>
  <c r="H2732" i="3"/>
  <c r="B2732" i="3"/>
  <c r="H2731" i="3"/>
  <c r="B2731" i="3"/>
  <c r="H2730" i="3"/>
  <c r="B2730" i="3"/>
  <c r="H2729" i="3"/>
  <c r="B2729" i="3"/>
  <c r="H2728" i="3"/>
  <c r="B2728" i="3"/>
  <c r="H2727" i="3"/>
  <c r="B2727" i="3"/>
  <c r="H2726" i="3"/>
  <c r="B2726" i="3"/>
  <c r="H2725" i="3"/>
  <c r="B2725" i="3"/>
  <c r="H2724" i="3"/>
  <c r="B2724" i="3"/>
  <c r="H2723" i="3"/>
  <c r="B2723" i="3"/>
  <c r="H2722" i="3"/>
  <c r="B2722" i="3"/>
  <c r="H2721" i="3"/>
  <c r="B2721" i="3"/>
  <c r="H2720" i="3"/>
  <c r="B2720" i="3"/>
  <c r="H2719" i="3"/>
  <c r="B2719" i="3"/>
  <c r="H2718" i="3"/>
  <c r="B2718" i="3"/>
  <c r="H2717" i="3"/>
  <c r="B2717" i="3"/>
  <c r="H2716" i="3"/>
  <c r="B2716" i="3"/>
  <c r="H2715" i="3"/>
  <c r="B2715" i="3"/>
  <c r="H2714" i="3"/>
  <c r="B2714" i="3"/>
  <c r="H2713" i="3"/>
  <c r="B2713" i="3"/>
  <c r="H2712" i="3"/>
  <c r="B2712" i="3"/>
  <c r="H2711" i="3"/>
  <c r="B2711" i="3"/>
  <c r="H2710" i="3"/>
  <c r="B2710" i="3"/>
  <c r="H2709" i="3"/>
  <c r="B2709" i="3"/>
  <c r="H2708" i="3"/>
  <c r="B2708" i="3"/>
  <c r="H2707" i="3"/>
  <c r="B2707" i="3"/>
  <c r="H2706" i="3"/>
  <c r="B2706" i="3"/>
  <c r="H2705" i="3"/>
  <c r="B2705" i="3"/>
  <c r="H2704" i="3"/>
  <c r="B2704" i="3"/>
  <c r="H2703" i="3"/>
  <c r="B2703" i="3"/>
  <c r="H2702" i="3"/>
  <c r="B2702" i="3"/>
  <c r="H2701" i="3"/>
  <c r="B2701" i="3"/>
  <c r="H2700" i="3"/>
  <c r="B2700" i="3"/>
  <c r="H2699" i="3"/>
  <c r="B2699" i="3"/>
  <c r="H2698" i="3"/>
  <c r="B2698" i="3"/>
  <c r="H2697" i="3"/>
  <c r="B2697" i="3"/>
  <c r="H2696" i="3"/>
  <c r="B2696" i="3"/>
  <c r="H2695" i="3"/>
  <c r="B2695" i="3"/>
  <c r="H2694" i="3"/>
  <c r="B2694" i="3"/>
  <c r="H2693" i="3"/>
  <c r="B2693" i="3"/>
  <c r="H2692" i="3"/>
  <c r="B2692" i="3"/>
  <c r="H2691" i="3"/>
  <c r="B2691" i="3"/>
  <c r="H2690" i="3"/>
  <c r="B2690" i="3"/>
  <c r="H2689" i="3"/>
  <c r="B2689" i="3"/>
  <c r="H2688" i="3"/>
  <c r="B2688" i="3"/>
  <c r="H2687" i="3"/>
  <c r="B2687" i="3"/>
  <c r="H2686" i="3"/>
  <c r="B2686" i="3"/>
  <c r="H2685" i="3"/>
  <c r="B2685" i="3"/>
  <c r="H2684" i="3"/>
  <c r="B2684" i="3"/>
  <c r="H2683" i="3"/>
  <c r="B2683" i="3"/>
  <c r="H2682" i="3"/>
  <c r="B2682" i="3"/>
  <c r="H2681" i="3"/>
  <c r="B2681" i="3"/>
  <c r="H2680" i="3"/>
  <c r="B2680" i="3"/>
  <c r="H2679" i="3"/>
  <c r="B2679" i="3"/>
  <c r="H2678" i="3"/>
  <c r="B2678" i="3"/>
  <c r="H2677" i="3"/>
  <c r="B2677" i="3"/>
  <c r="H2676" i="3"/>
  <c r="B2676" i="3"/>
  <c r="H2675" i="3"/>
  <c r="B2675" i="3"/>
  <c r="H2674" i="3"/>
  <c r="B2674" i="3"/>
  <c r="H2673" i="3"/>
  <c r="B2673" i="3"/>
  <c r="H2672" i="3"/>
  <c r="B2672" i="3"/>
  <c r="H2671" i="3"/>
  <c r="B2671" i="3"/>
  <c r="H2670" i="3"/>
  <c r="B2670" i="3"/>
  <c r="H2669" i="3"/>
  <c r="B2669" i="3"/>
  <c r="H2668" i="3"/>
  <c r="B2668" i="3"/>
  <c r="H2667" i="3"/>
  <c r="B2667" i="3"/>
  <c r="H2666" i="3"/>
  <c r="B2666" i="3"/>
  <c r="H2665" i="3"/>
  <c r="B2665" i="3"/>
  <c r="H2664" i="3"/>
  <c r="B2664" i="3"/>
  <c r="H2663" i="3"/>
  <c r="B2663" i="3"/>
  <c r="H2662" i="3"/>
  <c r="B2662" i="3"/>
  <c r="H2661" i="3"/>
  <c r="B2661" i="3"/>
  <c r="H2660" i="3"/>
  <c r="B2660" i="3"/>
  <c r="H2659" i="3"/>
  <c r="B2659" i="3"/>
  <c r="H2658" i="3"/>
  <c r="B2658" i="3"/>
  <c r="H2657" i="3"/>
  <c r="B2657" i="3"/>
  <c r="H2656" i="3"/>
  <c r="B2656" i="3"/>
  <c r="H2655" i="3"/>
  <c r="B2655" i="3"/>
  <c r="H2654" i="3"/>
  <c r="B2654" i="3"/>
  <c r="H2653" i="3"/>
  <c r="B2653" i="3"/>
  <c r="H2652" i="3"/>
  <c r="B2652" i="3"/>
  <c r="H2651" i="3"/>
  <c r="B2651" i="3"/>
  <c r="H2650" i="3"/>
  <c r="B2650" i="3"/>
  <c r="H2649" i="3"/>
  <c r="B2649" i="3"/>
  <c r="H2648" i="3"/>
  <c r="B2648" i="3"/>
  <c r="H2647" i="3"/>
  <c r="B2647" i="3"/>
  <c r="H2646" i="3"/>
  <c r="B2646" i="3"/>
  <c r="H2645" i="3"/>
  <c r="B2645" i="3"/>
  <c r="H2644" i="3"/>
  <c r="B2644" i="3"/>
  <c r="H2643" i="3"/>
  <c r="B2643" i="3"/>
  <c r="H2642" i="3"/>
  <c r="B2642" i="3"/>
  <c r="H2641" i="3"/>
  <c r="B2641" i="3"/>
  <c r="H2640" i="3"/>
  <c r="B2640" i="3"/>
  <c r="H2639" i="3"/>
  <c r="B2639" i="3"/>
  <c r="H2638" i="3"/>
  <c r="B2638" i="3"/>
  <c r="H2637" i="3"/>
  <c r="B2637" i="3"/>
  <c r="H2636" i="3"/>
  <c r="B2636" i="3"/>
  <c r="H2635" i="3"/>
  <c r="B2635" i="3"/>
  <c r="H2634" i="3"/>
  <c r="B2634" i="3"/>
  <c r="H2633" i="3"/>
  <c r="B2633" i="3"/>
  <c r="H2632" i="3"/>
  <c r="B2632" i="3"/>
  <c r="H2631" i="3"/>
  <c r="B2631" i="3"/>
  <c r="H2630" i="3"/>
  <c r="B2630" i="3"/>
  <c r="H2629" i="3"/>
  <c r="B2629" i="3"/>
  <c r="H2628" i="3"/>
  <c r="B2628" i="3"/>
  <c r="H2627" i="3"/>
  <c r="B2627" i="3"/>
  <c r="H2626" i="3"/>
  <c r="B2626" i="3"/>
  <c r="H2625" i="3"/>
  <c r="B2625" i="3"/>
  <c r="H2624" i="3"/>
  <c r="B2624" i="3"/>
  <c r="H2623" i="3"/>
  <c r="B2623" i="3"/>
  <c r="H2622" i="3"/>
  <c r="B2622" i="3"/>
  <c r="H2621" i="3"/>
  <c r="B2621" i="3"/>
  <c r="H2620" i="3"/>
  <c r="B2620" i="3"/>
  <c r="H2619" i="3"/>
  <c r="B2619" i="3"/>
  <c r="H2618" i="3"/>
  <c r="B2618" i="3"/>
  <c r="H2617" i="3"/>
  <c r="B2617" i="3"/>
  <c r="H2616" i="3"/>
  <c r="B2616" i="3"/>
  <c r="H2615" i="3"/>
  <c r="B2615" i="3"/>
  <c r="H2614" i="3"/>
  <c r="B2614" i="3"/>
  <c r="H2613" i="3"/>
  <c r="B2613" i="3"/>
  <c r="H2612" i="3"/>
  <c r="B2612" i="3"/>
  <c r="H2611" i="3"/>
  <c r="B2611" i="3"/>
  <c r="H2610" i="3"/>
  <c r="B2610" i="3"/>
  <c r="H2609" i="3"/>
  <c r="B2609" i="3"/>
  <c r="H2608" i="3"/>
  <c r="B2608" i="3"/>
  <c r="H2607" i="3"/>
  <c r="B2607" i="3"/>
  <c r="H2606" i="3"/>
  <c r="B2606" i="3"/>
  <c r="H2605" i="3"/>
  <c r="B2605" i="3"/>
  <c r="H2604" i="3"/>
  <c r="B2604" i="3"/>
  <c r="H2603" i="3"/>
  <c r="B2603" i="3"/>
  <c r="H2602" i="3"/>
  <c r="B2602" i="3"/>
  <c r="H2601" i="3"/>
  <c r="B2601" i="3"/>
  <c r="H2600" i="3"/>
  <c r="B2600" i="3"/>
  <c r="H2599" i="3"/>
  <c r="B2599" i="3"/>
  <c r="H2598" i="3"/>
  <c r="B2598" i="3"/>
  <c r="H2597" i="3"/>
  <c r="B2597" i="3"/>
  <c r="H2596" i="3"/>
  <c r="B2596" i="3"/>
  <c r="H2595" i="3"/>
  <c r="B2595" i="3"/>
  <c r="H2594" i="3"/>
  <c r="B2594" i="3"/>
  <c r="H2593" i="3"/>
  <c r="B2593" i="3"/>
  <c r="H2592" i="3"/>
  <c r="B2592" i="3"/>
  <c r="H2591" i="3"/>
  <c r="B2591" i="3"/>
  <c r="H2590" i="3"/>
  <c r="B2590" i="3"/>
  <c r="H2589" i="3"/>
  <c r="B2589" i="3"/>
  <c r="H2588" i="3"/>
  <c r="B2588" i="3"/>
  <c r="H2587" i="3"/>
  <c r="B2587" i="3"/>
  <c r="H2586" i="3"/>
  <c r="B2586" i="3"/>
  <c r="H2585" i="3"/>
  <c r="B2585" i="3"/>
  <c r="H2584" i="3"/>
  <c r="B2584" i="3"/>
  <c r="H2583" i="3"/>
  <c r="B2583" i="3"/>
  <c r="H2582" i="3"/>
  <c r="B2582" i="3"/>
  <c r="H2581" i="3"/>
  <c r="B2581" i="3"/>
  <c r="H2580" i="3"/>
  <c r="B2580" i="3"/>
  <c r="H2579" i="3"/>
  <c r="B2579" i="3"/>
  <c r="H2578" i="3"/>
  <c r="B2578" i="3"/>
  <c r="H2577" i="3"/>
  <c r="B2577" i="3"/>
  <c r="H2576" i="3"/>
  <c r="B2576" i="3"/>
  <c r="H2575" i="3"/>
  <c r="B2575" i="3"/>
  <c r="H2574" i="3"/>
  <c r="B2574" i="3"/>
  <c r="H2573" i="3"/>
  <c r="B2573" i="3"/>
  <c r="H2572" i="3"/>
  <c r="B2572" i="3"/>
  <c r="H2571" i="3"/>
  <c r="B2571" i="3"/>
  <c r="H2570" i="3"/>
  <c r="B2570" i="3"/>
  <c r="H2569" i="3"/>
  <c r="B2569" i="3"/>
  <c r="H2568" i="3"/>
  <c r="B2568" i="3"/>
  <c r="H2567" i="3"/>
  <c r="B2567" i="3"/>
  <c r="H2566" i="3"/>
  <c r="B2566" i="3"/>
  <c r="H2565" i="3"/>
  <c r="B2565" i="3"/>
  <c r="H2564" i="3"/>
  <c r="B2564" i="3"/>
  <c r="H2563" i="3"/>
  <c r="B2563" i="3"/>
  <c r="H2562" i="3"/>
  <c r="B2562" i="3"/>
  <c r="H2561" i="3"/>
  <c r="B2561" i="3"/>
  <c r="H2560" i="3"/>
  <c r="B2560" i="3"/>
  <c r="H2559" i="3"/>
  <c r="B2559" i="3"/>
  <c r="H2558" i="3"/>
  <c r="B2558" i="3"/>
  <c r="H2557" i="3"/>
  <c r="B2557" i="3"/>
  <c r="H2556" i="3"/>
  <c r="B2556" i="3"/>
  <c r="H2555" i="3"/>
  <c r="B2555" i="3"/>
  <c r="H2554" i="3"/>
  <c r="B2554" i="3"/>
  <c r="H2553" i="3"/>
  <c r="B2553" i="3"/>
  <c r="H2552" i="3"/>
  <c r="B2552" i="3"/>
  <c r="H2551" i="3"/>
  <c r="B2551" i="3"/>
  <c r="H2550" i="3"/>
  <c r="B2550" i="3"/>
  <c r="H2549" i="3"/>
  <c r="B2549" i="3"/>
  <c r="H2548" i="3"/>
  <c r="B2548" i="3"/>
  <c r="H2547" i="3"/>
  <c r="B2547" i="3"/>
  <c r="H2546" i="3"/>
  <c r="B2546" i="3"/>
  <c r="H2545" i="3"/>
  <c r="B2545" i="3"/>
  <c r="H2544" i="3"/>
  <c r="B2544" i="3"/>
  <c r="H2543" i="3"/>
  <c r="B2543" i="3"/>
  <c r="H2542" i="3"/>
  <c r="B2542" i="3"/>
  <c r="H2541" i="3"/>
  <c r="B2541" i="3"/>
  <c r="H2540" i="3"/>
  <c r="B2540" i="3"/>
  <c r="H2539" i="3"/>
  <c r="B2539" i="3"/>
  <c r="H2538" i="3"/>
  <c r="B2538" i="3"/>
  <c r="H2537" i="3"/>
  <c r="B2537" i="3"/>
  <c r="H2536" i="3"/>
  <c r="B2536" i="3"/>
  <c r="H2535" i="3"/>
  <c r="B2535" i="3"/>
  <c r="H2534" i="3"/>
  <c r="B2534" i="3"/>
  <c r="H2533" i="3"/>
  <c r="B2533" i="3"/>
  <c r="H2532" i="3"/>
  <c r="B2532" i="3"/>
  <c r="H2531" i="3"/>
  <c r="B2531" i="3"/>
  <c r="H2530" i="3"/>
  <c r="B2530" i="3"/>
  <c r="H2529" i="3"/>
  <c r="B2529" i="3"/>
  <c r="H2528" i="3"/>
  <c r="B2528" i="3"/>
  <c r="H2527" i="3"/>
  <c r="B2527" i="3"/>
  <c r="H2526" i="3"/>
  <c r="B2526" i="3"/>
  <c r="H2525" i="3"/>
  <c r="B2525" i="3"/>
  <c r="H2524" i="3"/>
  <c r="B2524" i="3"/>
  <c r="H2523" i="3"/>
  <c r="B2523" i="3"/>
  <c r="H2522" i="3"/>
  <c r="B2522" i="3"/>
  <c r="H2521" i="3"/>
  <c r="B2521" i="3"/>
  <c r="H2520" i="3"/>
  <c r="B2520" i="3"/>
  <c r="H2519" i="3"/>
  <c r="B2519" i="3"/>
  <c r="H2518" i="3"/>
  <c r="B2518" i="3"/>
  <c r="H2517" i="3"/>
  <c r="B2517" i="3"/>
  <c r="H2516" i="3"/>
  <c r="B2516" i="3"/>
  <c r="H2515" i="3"/>
  <c r="B2515" i="3"/>
  <c r="H2514" i="3"/>
  <c r="B2514" i="3"/>
  <c r="H2513" i="3"/>
  <c r="B2513" i="3"/>
  <c r="H2512" i="3"/>
  <c r="B2512" i="3"/>
  <c r="H2511" i="3"/>
  <c r="B2511" i="3"/>
  <c r="H2510" i="3"/>
  <c r="B2510" i="3"/>
  <c r="H2509" i="3"/>
  <c r="B2509" i="3"/>
  <c r="H2508" i="3"/>
  <c r="B2508" i="3"/>
  <c r="H2507" i="3"/>
  <c r="B2507" i="3"/>
  <c r="H2506" i="3"/>
  <c r="B2506" i="3"/>
  <c r="H2505" i="3"/>
  <c r="B2505" i="3"/>
  <c r="H2504" i="3"/>
  <c r="B2504" i="3"/>
  <c r="H2503" i="3"/>
  <c r="B2503" i="3"/>
  <c r="H2502" i="3"/>
  <c r="B2502" i="3"/>
  <c r="H2501" i="3"/>
  <c r="B2501" i="3"/>
  <c r="H2500" i="3"/>
  <c r="B2500" i="3"/>
  <c r="H2499" i="3"/>
  <c r="B2499" i="3"/>
  <c r="H2498" i="3"/>
  <c r="B2498" i="3"/>
  <c r="H2497" i="3"/>
  <c r="B2497" i="3"/>
  <c r="H2496" i="3"/>
  <c r="B2496" i="3"/>
  <c r="H2495" i="3"/>
  <c r="B2495" i="3"/>
  <c r="H2494" i="3"/>
  <c r="B2494" i="3"/>
  <c r="H2493" i="3"/>
  <c r="B2493" i="3"/>
  <c r="H2492" i="3"/>
  <c r="B2492" i="3"/>
  <c r="H2491" i="3"/>
  <c r="B2491" i="3"/>
  <c r="H2490" i="3"/>
  <c r="B2490" i="3"/>
  <c r="H2489" i="3"/>
  <c r="B2489" i="3"/>
  <c r="H2488" i="3"/>
  <c r="B2488" i="3"/>
  <c r="H2487" i="3"/>
  <c r="B2487" i="3"/>
  <c r="H2486" i="3"/>
  <c r="B2486" i="3"/>
  <c r="H2485" i="3"/>
  <c r="B2485" i="3"/>
  <c r="H2484" i="3"/>
  <c r="B2484" i="3"/>
  <c r="H2483" i="3"/>
  <c r="B2483" i="3"/>
  <c r="H2482" i="3"/>
  <c r="B2482" i="3"/>
  <c r="H2481" i="3"/>
  <c r="B2481" i="3"/>
  <c r="H2480" i="3"/>
  <c r="B2480" i="3"/>
  <c r="H2479" i="3"/>
  <c r="B2479" i="3"/>
  <c r="H2478" i="3"/>
  <c r="B2478" i="3"/>
  <c r="H2477" i="3"/>
  <c r="B2477" i="3"/>
  <c r="H2476" i="3"/>
  <c r="B2476" i="3"/>
  <c r="H2475" i="3"/>
  <c r="B2475" i="3"/>
  <c r="H2474" i="3"/>
  <c r="B2474" i="3"/>
  <c r="H2473" i="3"/>
  <c r="B2473" i="3"/>
  <c r="H2472" i="3"/>
  <c r="B2472" i="3"/>
  <c r="H2471" i="3"/>
  <c r="B2471" i="3"/>
  <c r="H2470" i="3"/>
  <c r="B2470" i="3"/>
  <c r="H2469" i="3"/>
  <c r="B2469" i="3"/>
  <c r="H2468" i="3"/>
  <c r="B2468" i="3"/>
  <c r="H2467" i="3"/>
  <c r="B2467" i="3"/>
  <c r="H2466" i="3"/>
  <c r="B2466" i="3"/>
  <c r="H2465" i="3"/>
  <c r="B2465" i="3"/>
  <c r="H2464" i="3"/>
  <c r="B2464" i="3"/>
  <c r="H2463" i="3"/>
  <c r="B2463" i="3"/>
  <c r="H2462" i="3"/>
  <c r="B2462" i="3"/>
  <c r="H2461" i="3"/>
  <c r="B2461" i="3"/>
  <c r="H2460" i="3"/>
  <c r="B2460" i="3"/>
  <c r="H2459" i="3"/>
  <c r="B2459" i="3"/>
  <c r="H2458" i="3"/>
  <c r="B2458" i="3"/>
  <c r="H2457" i="3"/>
  <c r="B2457" i="3"/>
  <c r="H2456" i="3"/>
  <c r="B2456" i="3"/>
  <c r="H2455" i="3"/>
  <c r="B2455" i="3"/>
  <c r="H2454" i="3"/>
  <c r="B2454" i="3"/>
  <c r="H2453" i="3"/>
  <c r="B2453" i="3"/>
  <c r="H2452" i="3"/>
  <c r="B2452" i="3"/>
  <c r="H2451" i="3"/>
  <c r="B2451" i="3"/>
  <c r="H2450" i="3"/>
  <c r="B2450" i="3"/>
  <c r="H2449" i="3"/>
  <c r="B2449" i="3"/>
  <c r="H2448" i="3"/>
  <c r="B2448" i="3"/>
  <c r="H2447" i="3"/>
  <c r="B2447" i="3"/>
  <c r="H2446" i="3"/>
  <c r="B2446" i="3"/>
  <c r="H2445" i="3"/>
  <c r="B2445" i="3"/>
  <c r="H2444" i="3"/>
  <c r="B2444" i="3"/>
  <c r="H2443" i="3"/>
  <c r="B2443" i="3"/>
  <c r="H2442" i="3"/>
  <c r="B2442" i="3"/>
  <c r="H2441" i="3"/>
  <c r="B2441" i="3"/>
  <c r="H2440" i="3"/>
  <c r="B2440" i="3"/>
  <c r="H2439" i="3"/>
  <c r="B2439" i="3"/>
  <c r="H2438" i="3"/>
  <c r="B2438" i="3"/>
  <c r="H2437" i="3"/>
  <c r="B2437" i="3"/>
  <c r="H2436" i="3"/>
  <c r="B2436" i="3"/>
  <c r="H2435" i="3"/>
  <c r="B2435" i="3"/>
  <c r="H2434" i="3"/>
  <c r="B2434" i="3"/>
  <c r="H2433" i="3"/>
  <c r="B2433" i="3"/>
  <c r="H2432" i="3"/>
  <c r="B2432" i="3"/>
  <c r="H2431" i="3"/>
  <c r="B2431" i="3"/>
  <c r="H2430" i="3"/>
  <c r="B2430" i="3"/>
  <c r="H2429" i="3"/>
  <c r="B2429" i="3"/>
  <c r="H2428" i="3"/>
  <c r="B2428" i="3"/>
  <c r="H2427" i="3"/>
  <c r="B2427" i="3"/>
  <c r="H2426" i="3"/>
  <c r="B2426" i="3"/>
  <c r="H2425" i="3"/>
  <c r="B2425" i="3"/>
  <c r="H2424" i="3"/>
  <c r="B2424" i="3"/>
  <c r="H2423" i="3"/>
  <c r="B2423" i="3"/>
  <c r="H2422" i="3"/>
  <c r="B2422" i="3"/>
  <c r="H2421" i="3"/>
  <c r="B2421" i="3"/>
  <c r="H2420" i="3"/>
  <c r="B2420" i="3"/>
  <c r="H2419" i="3"/>
  <c r="B2419" i="3"/>
  <c r="H2418" i="3"/>
  <c r="B2418" i="3"/>
  <c r="H2417" i="3"/>
  <c r="B2417" i="3"/>
  <c r="H2416" i="3"/>
  <c r="B2416" i="3"/>
  <c r="H2415" i="3"/>
  <c r="B2415" i="3"/>
  <c r="H2414" i="3"/>
  <c r="B2414" i="3"/>
  <c r="H2413" i="3"/>
  <c r="B2413" i="3"/>
  <c r="H2412" i="3"/>
  <c r="B2412" i="3"/>
  <c r="H2411" i="3"/>
  <c r="B2411" i="3"/>
  <c r="H2410" i="3"/>
  <c r="B2410" i="3"/>
  <c r="H2409" i="3"/>
  <c r="B2409" i="3"/>
  <c r="H2408" i="3"/>
  <c r="B2408" i="3"/>
  <c r="H2407" i="3"/>
  <c r="B2407" i="3"/>
  <c r="H2406" i="3"/>
  <c r="B2406" i="3"/>
  <c r="H2405" i="3"/>
  <c r="B2405" i="3"/>
  <c r="H2404" i="3"/>
  <c r="B2404" i="3"/>
  <c r="H2403" i="3"/>
  <c r="B2403" i="3"/>
  <c r="H2402" i="3"/>
  <c r="B2402" i="3"/>
  <c r="H2401" i="3"/>
  <c r="B2401" i="3"/>
  <c r="H2400" i="3"/>
  <c r="B2400" i="3"/>
  <c r="H2399" i="3"/>
  <c r="B2399" i="3"/>
  <c r="H2398" i="3"/>
  <c r="B2398" i="3"/>
  <c r="H2397" i="3"/>
  <c r="B2397" i="3"/>
  <c r="H2396" i="3"/>
  <c r="B2396" i="3"/>
  <c r="H2395" i="3"/>
  <c r="B2395" i="3"/>
  <c r="H2394" i="3"/>
  <c r="B2394" i="3"/>
  <c r="H2393" i="3"/>
  <c r="B2393" i="3"/>
  <c r="H2392" i="3"/>
  <c r="B2392" i="3"/>
  <c r="H2391" i="3"/>
  <c r="B2391" i="3"/>
  <c r="H2390" i="3"/>
  <c r="B2390" i="3"/>
  <c r="H2389" i="3"/>
  <c r="B2389" i="3"/>
  <c r="H2388" i="3"/>
  <c r="B2388" i="3"/>
  <c r="H2387" i="3"/>
  <c r="B2387" i="3"/>
  <c r="H2386" i="3"/>
  <c r="B2386" i="3"/>
  <c r="H2385" i="3"/>
  <c r="B2385" i="3"/>
  <c r="H2384" i="3"/>
  <c r="B2384" i="3"/>
  <c r="H2383" i="3"/>
  <c r="B2383" i="3"/>
  <c r="H2382" i="3"/>
  <c r="B2382" i="3"/>
  <c r="H2381" i="3"/>
  <c r="B2381" i="3"/>
  <c r="H2380" i="3"/>
  <c r="B2380" i="3"/>
  <c r="H2379" i="3"/>
  <c r="B2379" i="3"/>
  <c r="H2378" i="3"/>
  <c r="B2378" i="3"/>
  <c r="H2377" i="3"/>
  <c r="B2377" i="3"/>
  <c r="H2376" i="3"/>
  <c r="B2376" i="3"/>
  <c r="H2375" i="3"/>
  <c r="B2375" i="3"/>
  <c r="H2374" i="3"/>
  <c r="B2374" i="3"/>
  <c r="H2373" i="3"/>
  <c r="B2373" i="3"/>
  <c r="H2372" i="3"/>
  <c r="B2372" i="3"/>
  <c r="H2371" i="3"/>
  <c r="B2371" i="3"/>
  <c r="H2370" i="3"/>
  <c r="B2370" i="3"/>
  <c r="H2369" i="3"/>
  <c r="B2369" i="3"/>
  <c r="H2368" i="3"/>
  <c r="B2368" i="3"/>
  <c r="H2367" i="3"/>
  <c r="B2367" i="3"/>
  <c r="H2366" i="3"/>
  <c r="B2366" i="3"/>
  <c r="H2365" i="3"/>
  <c r="B2365" i="3"/>
  <c r="H2364" i="3"/>
  <c r="B2364" i="3"/>
  <c r="H2363" i="3"/>
  <c r="B2363" i="3"/>
  <c r="H2362" i="3"/>
  <c r="B2362" i="3"/>
  <c r="H2361" i="3"/>
  <c r="B2361" i="3"/>
  <c r="H2360" i="3"/>
  <c r="B2360" i="3"/>
  <c r="H2359" i="3"/>
  <c r="B2359" i="3"/>
  <c r="H2358" i="3"/>
  <c r="B2358" i="3"/>
  <c r="H2357" i="3"/>
  <c r="B2357" i="3"/>
  <c r="H2356" i="3"/>
  <c r="B2356" i="3"/>
  <c r="H2355" i="3"/>
  <c r="B2355" i="3"/>
  <c r="H2354" i="3"/>
  <c r="B2354" i="3"/>
  <c r="H2353" i="3"/>
  <c r="B2353" i="3"/>
  <c r="H2352" i="3"/>
  <c r="B2352" i="3"/>
  <c r="H2351" i="3"/>
  <c r="B2351" i="3"/>
  <c r="H2350" i="3"/>
  <c r="B2350" i="3"/>
  <c r="H2349" i="3"/>
  <c r="B2349" i="3"/>
  <c r="H2348" i="3"/>
  <c r="B2348" i="3"/>
  <c r="H2347" i="3"/>
  <c r="B2347" i="3"/>
  <c r="H2346" i="3"/>
  <c r="B2346" i="3"/>
  <c r="H2345" i="3"/>
  <c r="B2345" i="3"/>
  <c r="H2344" i="3"/>
  <c r="B2344" i="3"/>
  <c r="H2343" i="3"/>
  <c r="B2343" i="3"/>
  <c r="H2342" i="3"/>
  <c r="B2342" i="3"/>
  <c r="H2341" i="3"/>
  <c r="B2341" i="3"/>
  <c r="H2340" i="3"/>
  <c r="B2340" i="3"/>
  <c r="H2339" i="3"/>
  <c r="B2339" i="3"/>
  <c r="H2338" i="3"/>
  <c r="B2338" i="3"/>
  <c r="H2337" i="3"/>
  <c r="B2337" i="3"/>
  <c r="H2336" i="3"/>
  <c r="B2336" i="3"/>
  <c r="H2335" i="3"/>
  <c r="B2335" i="3"/>
  <c r="H2334" i="3"/>
  <c r="B2334" i="3"/>
  <c r="H2333" i="3"/>
  <c r="B2333" i="3"/>
  <c r="H2332" i="3"/>
  <c r="B2332" i="3"/>
  <c r="H2331" i="3"/>
  <c r="B2331" i="3"/>
  <c r="H2330" i="3"/>
  <c r="B2330" i="3"/>
  <c r="H2329" i="3"/>
  <c r="B2329" i="3"/>
  <c r="H2328" i="3"/>
  <c r="B2328" i="3"/>
  <c r="H2327" i="3"/>
  <c r="B2327" i="3"/>
  <c r="H2326" i="3"/>
  <c r="B2326" i="3"/>
  <c r="H2325" i="3"/>
  <c r="B2325" i="3"/>
  <c r="H2324" i="3"/>
  <c r="B2324" i="3"/>
  <c r="H2323" i="3"/>
  <c r="B2323" i="3"/>
  <c r="H2322" i="3"/>
  <c r="B2322" i="3"/>
  <c r="H2321" i="3"/>
  <c r="B2321" i="3"/>
  <c r="H2320" i="3"/>
  <c r="B2320" i="3"/>
  <c r="H2319" i="3"/>
  <c r="B2319" i="3"/>
  <c r="H2318" i="3"/>
  <c r="B2318" i="3"/>
  <c r="H2317" i="3"/>
  <c r="B2317" i="3"/>
  <c r="H2316" i="3"/>
  <c r="B2316" i="3"/>
  <c r="H2315" i="3"/>
  <c r="B2315" i="3"/>
  <c r="H2314" i="3"/>
  <c r="B2314" i="3"/>
  <c r="H2313" i="3"/>
  <c r="B2313" i="3"/>
  <c r="H2312" i="3"/>
  <c r="B2312" i="3"/>
  <c r="H2311" i="3"/>
  <c r="B2311" i="3"/>
  <c r="H2310" i="3"/>
  <c r="B2310" i="3"/>
  <c r="H2309" i="3"/>
  <c r="B2309" i="3"/>
  <c r="H2308" i="3"/>
  <c r="B2308" i="3"/>
  <c r="H2307" i="3"/>
  <c r="B2307" i="3"/>
  <c r="H2306" i="3"/>
  <c r="B2306" i="3"/>
  <c r="H2305" i="3"/>
  <c r="B2305" i="3"/>
  <c r="H2304" i="3"/>
  <c r="B2304" i="3"/>
  <c r="H2303" i="3"/>
  <c r="B2303" i="3"/>
  <c r="H2302" i="3"/>
  <c r="B2302" i="3"/>
  <c r="H2301" i="3"/>
  <c r="B2301" i="3"/>
  <c r="H2300" i="3"/>
  <c r="B2300" i="3"/>
  <c r="H2299" i="3"/>
  <c r="B2299" i="3"/>
  <c r="H2298" i="3"/>
  <c r="B2298" i="3"/>
  <c r="H2297" i="3"/>
  <c r="B2297" i="3"/>
  <c r="H2296" i="3"/>
  <c r="B2296" i="3"/>
  <c r="H2295" i="3"/>
  <c r="B2295" i="3"/>
  <c r="H2294" i="3"/>
  <c r="B2294" i="3"/>
  <c r="H2293" i="3"/>
  <c r="B2293" i="3"/>
  <c r="H2292" i="3"/>
  <c r="B2292" i="3"/>
  <c r="H2291" i="3"/>
  <c r="B2291" i="3"/>
  <c r="H2290" i="3"/>
  <c r="B2290" i="3"/>
  <c r="H2289" i="3"/>
  <c r="B2289" i="3"/>
  <c r="H2288" i="3"/>
  <c r="B2288" i="3"/>
  <c r="H2287" i="3"/>
  <c r="B2287" i="3"/>
  <c r="H2286" i="3"/>
  <c r="B2286" i="3"/>
  <c r="H2285" i="3"/>
  <c r="B2285" i="3"/>
  <c r="H2284" i="3"/>
  <c r="B2284" i="3"/>
  <c r="H2283" i="3"/>
  <c r="B2283" i="3"/>
  <c r="H2282" i="3"/>
  <c r="B2282" i="3"/>
  <c r="H2281" i="3"/>
  <c r="B2281" i="3"/>
  <c r="H2280" i="3"/>
  <c r="B2280" i="3"/>
  <c r="H2279" i="3"/>
  <c r="B2279" i="3"/>
  <c r="H2278" i="3"/>
  <c r="B2278" i="3"/>
  <c r="H2277" i="3"/>
  <c r="B2277" i="3"/>
  <c r="H2276" i="3"/>
  <c r="B2276" i="3"/>
  <c r="H2275" i="3"/>
  <c r="B2275" i="3"/>
  <c r="H2274" i="3"/>
  <c r="B2274" i="3"/>
  <c r="H2273" i="3"/>
  <c r="B2273" i="3"/>
  <c r="H2272" i="3"/>
  <c r="B2272" i="3"/>
  <c r="H2271" i="3"/>
  <c r="B2271" i="3"/>
  <c r="H2270" i="3"/>
  <c r="B2270" i="3"/>
  <c r="H2269" i="3"/>
  <c r="B2269" i="3"/>
  <c r="H2268" i="3"/>
  <c r="B2268" i="3"/>
  <c r="H2267" i="3"/>
  <c r="B2267" i="3"/>
  <c r="H2266" i="3"/>
  <c r="B2266" i="3"/>
  <c r="H2265" i="3"/>
  <c r="B2265" i="3"/>
  <c r="H2264" i="3"/>
  <c r="B2264" i="3"/>
  <c r="H2263" i="3"/>
  <c r="B2263" i="3"/>
  <c r="H2262" i="3"/>
  <c r="B2262" i="3"/>
  <c r="H2261" i="3"/>
  <c r="B2261" i="3"/>
  <c r="H2260" i="3"/>
  <c r="B2260" i="3"/>
  <c r="H2259" i="3"/>
  <c r="B2259" i="3"/>
  <c r="H2258" i="3"/>
  <c r="B2258" i="3"/>
  <c r="H2257" i="3"/>
  <c r="B2257" i="3"/>
  <c r="H2256" i="3"/>
  <c r="B2256" i="3"/>
  <c r="H2255" i="3"/>
  <c r="B2255" i="3"/>
  <c r="H2254" i="3"/>
  <c r="B2254" i="3"/>
  <c r="H2253" i="3"/>
  <c r="B2253" i="3"/>
  <c r="H2252" i="3"/>
  <c r="B2252" i="3"/>
  <c r="H2251" i="3"/>
  <c r="B2251" i="3"/>
  <c r="H2250" i="3"/>
  <c r="B2250" i="3"/>
  <c r="H2249" i="3"/>
  <c r="B2249" i="3"/>
  <c r="H2248" i="3"/>
  <c r="B2248" i="3"/>
  <c r="H2247" i="3"/>
  <c r="B2247" i="3"/>
  <c r="H2246" i="3"/>
  <c r="B2246" i="3"/>
  <c r="H2245" i="3"/>
  <c r="B2245" i="3"/>
  <c r="H2244" i="3"/>
  <c r="B2244" i="3"/>
  <c r="H2243" i="3"/>
  <c r="B2243" i="3"/>
  <c r="H2242" i="3"/>
  <c r="B2242" i="3"/>
  <c r="H2241" i="3"/>
  <c r="B2241" i="3"/>
  <c r="H2240" i="3"/>
  <c r="B2240" i="3"/>
  <c r="H2239" i="3"/>
  <c r="B2239" i="3"/>
  <c r="H2238" i="3"/>
  <c r="B2238" i="3"/>
  <c r="H2237" i="3"/>
  <c r="B2237" i="3"/>
  <c r="H2236" i="3"/>
  <c r="B2236" i="3"/>
  <c r="H2235" i="3"/>
  <c r="B2235" i="3"/>
  <c r="H2234" i="3"/>
  <c r="B2234" i="3"/>
  <c r="H2233" i="3"/>
  <c r="B2233" i="3"/>
  <c r="H2232" i="3"/>
  <c r="B2232" i="3"/>
  <c r="H2231" i="3"/>
  <c r="B2231" i="3"/>
  <c r="H2230" i="3"/>
  <c r="B2230" i="3"/>
  <c r="H2229" i="3"/>
  <c r="B2229" i="3"/>
  <c r="H2228" i="3"/>
  <c r="B2228" i="3"/>
  <c r="H2227" i="3"/>
  <c r="B2227" i="3"/>
  <c r="H2226" i="3"/>
  <c r="B2226" i="3"/>
  <c r="H2225" i="3"/>
  <c r="B2225" i="3"/>
  <c r="H2224" i="3"/>
  <c r="B2224" i="3"/>
  <c r="H2223" i="3"/>
  <c r="B2223" i="3"/>
  <c r="H2222" i="3"/>
  <c r="B2222" i="3"/>
  <c r="H2221" i="3"/>
  <c r="B2221" i="3"/>
  <c r="H2220" i="3"/>
  <c r="B2220" i="3"/>
  <c r="H2219" i="3"/>
  <c r="B2219" i="3"/>
  <c r="H2218" i="3"/>
  <c r="B2218" i="3"/>
  <c r="H2217" i="3"/>
  <c r="B2217" i="3"/>
  <c r="H2216" i="3"/>
  <c r="B2216" i="3"/>
  <c r="H2215" i="3"/>
  <c r="B2215" i="3"/>
  <c r="H2214" i="3"/>
  <c r="B2214" i="3"/>
  <c r="H2213" i="3"/>
  <c r="B2213" i="3"/>
  <c r="H2212" i="3"/>
  <c r="B2212" i="3"/>
  <c r="H2211" i="3"/>
  <c r="B2211" i="3"/>
  <c r="H2210" i="3"/>
  <c r="B2210" i="3"/>
  <c r="H2209" i="3"/>
  <c r="B2209" i="3"/>
  <c r="H2208" i="3"/>
  <c r="B2208" i="3"/>
  <c r="H2207" i="3"/>
  <c r="B2207" i="3"/>
  <c r="H2206" i="3"/>
  <c r="B2206" i="3"/>
  <c r="H2205" i="3"/>
  <c r="B2205" i="3"/>
  <c r="H2204" i="3"/>
  <c r="B2204" i="3"/>
  <c r="H2203" i="3"/>
  <c r="B2203" i="3"/>
  <c r="H2202" i="3"/>
  <c r="B2202" i="3"/>
  <c r="H2201" i="3"/>
  <c r="B2201" i="3"/>
  <c r="H2200" i="3"/>
  <c r="B2200" i="3"/>
  <c r="H2199" i="3"/>
  <c r="B2199" i="3"/>
  <c r="H2198" i="3"/>
  <c r="B2198" i="3"/>
  <c r="H2197" i="3"/>
  <c r="B2197" i="3"/>
  <c r="H2196" i="3"/>
  <c r="B2196" i="3"/>
  <c r="H2195" i="3"/>
  <c r="B2195" i="3"/>
  <c r="H2194" i="3"/>
  <c r="B2194" i="3"/>
  <c r="H2193" i="3"/>
  <c r="B2193" i="3"/>
  <c r="H2192" i="3"/>
  <c r="B2192" i="3"/>
  <c r="H2191" i="3"/>
  <c r="B2191" i="3"/>
  <c r="H2190" i="3"/>
  <c r="B2190" i="3"/>
  <c r="H2189" i="3"/>
  <c r="B2189" i="3"/>
  <c r="H2188" i="3"/>
  <c r="B2188" i="3"/>
  <c r="H2187" i="3"/>
  <c r="B2187" i="3"/>
  <c r="H2186" i="3"/>
  <c r="B2186" i="3"/>
  <c r="H2185" i="3"/>
  <c r="B2185" i="3"/>
  <c r="H2184" i="3"/>
  <c r="B2184" i="3"/>
  <c r="H2183" i="3"/>
  <c r="B2183" i="3"/>
  <c r="H2182" i="3"/>
  <c r="B2182" i="3"/>
  <c r="H2181" i="3"/>
  <c r="B2181" i="3"/>
  <c r="H2180" i="3"/>
  <c r="B2180" i="3"/>
  <c r="H2179" i="3"/>
  <c r="B2179" i="3"/>
  <c r="H2178" i="3"/>
  <c r="B2178" i="3"/>
  <c r="H2177" i="3"/>
  <c r="B2177" i="3"/>
  <c r="H2176" i="3"/>
  <c r="B2176" i="3"/>
  <c r="H2175" i="3"/>
  <c r="B2175" i="3"/>
  <c r="H2174" i="3"/>
  <c r="B2174" i="3"/>
  <c r="H2173" i="3"/>
  <c r="B2173" i="3"/>
  <c r="H2172" i="3"/>
  <c r="B2172" i="3"/>
  <c r="H2171" i="3"/>
  <c r="B2171" i="3"/>
  <c r="H2170" i="3"/>
  <c r="B2170" i="3"/>
  <c r="H2169" i="3"/>
  <c r="B2169" i="3"/>
  <c r="H2168" i="3"/>
  <c r="B2168" i="3"/>
  <c r="H2167" i="3"/>
  <c r="B2167" i="3"/>
  <c r="H2166" i="3"/>
  <c r="B2166" i="3"/>
  <c r="H2165" i="3"/>
  <c r="B2165" i="3"/>
  <c r="H2164" i="3"/>
  <c r="B2164" i="3"/>
  <c r="H2163" i="3"/>
  <c r="B2163" i="3"/>
  <c r="H2162" i="3"/>
  <c r="B2162" i="3"/>
  <c r="H2161" i="3"/>
  <c r="B2161" i="3"/>
  <c r="H2160" i="3"/>
  <c r="B2160" i="3"/>
  <c r="H2159" i="3"/>
  <c r="B2159" i="3"/>
  <c r="H2158" i="3"/>
  <c r="B2158" i="3"/>
  <c r="H2157" i="3"/>
  <c r="B2157" i="3"/>
  <c r="H2156" i="3"/>
  <c r="B2156" i="3"/>
  <c r="H2155" i="3"/>
  <c r="B2155" i="3"/>
  <c r="H2154" i="3"/>
  <c r="B2154" i="3"/>
  <c r="H2153" i="3"/>
  <c r="B2153" i="3"/>
  <c r="H2152" i="3"/>
  <c r="B2152" i="3"/>
  <c r="H2151" i="3"/>
  <c r="B2151" i="3"/>
  <c r="H2150" i="3"/>
  <c r="B2150" i="3"/>
  <c r="H2149" i="3"/>
  <c r="B2149" i="3"/>
  <c r="H2148" i="3"/>
  <c r="B2148" i="3"/>
  <c r="H2147" i="3"/>
  <c r="B2147" i="3"/>
  <c r="H2146" i="3"/>
  <c r="B2146" i="3"/>
  <c r="H2145" i="3"/>
  <c r="B2145" i="3"/>
  <c r="H2144" i="3"/>
  <c r="B2144" i="3"/>
  <c r="H2143" i="3"/>
  <c r="B2143" i="3"/>
  <c r="H2142" i="3"/>
  <c r="B2142" i="3"/>
  <c r="H2141" i="3"/>
  <c r="B2141" i="3"/>
  <c r="H2140" i="3"/>
  <c r="B2140" i="3"/>
  <c r="H2139" i="3"/>
  <c r="B2139" i="3"/>
  <c r="H2138" i="3"/>
  <c r="B2138" i="3"/>
  <c r="H2137" i="3"/>
  <c r="B2137" i="3"/>
  <c r="H2136" i="3"/>
  <c r="B2136" i="3"/>
  <c r="H2135" i="3"/>
  <c r="B2135" i="3"/>
  <c r="H2134" i="3"/>
  <c r="B2134" i="3"/>
  <c r="H2133" i="3"/>
  <c r="B2133" i="3"/>
  <c r="H2132" i="3"/>
  <c r="B2132" i="3"/>
  <c r="H2131" i="3"/>
  <c r="B2131" i="3"/>
  <c r="H2130" i="3"/>
  <c r="B2130" i="3"/>
  <c r="H2129" i="3"/>
  <c r="B2129" i="3"/>
  <c r="H2128" i="3"/>
  <c r="B2128" i="3"/>
  <c r="H2127" i="3"/>
  <c r="B2127" i="3"/>
  <c r="H2126" i="3"/>
  <c r="B2126" i="3"/>
  <c r="H2125" i="3"/>
  <c r="B2125" i="3"/>
  <c r="H2124" i="3"/>
  <c r="B2124" i="3"/>
  <c r="H2123" i="3"/>
  <c r="B2123" i="3"/>
  <c r="H2122" i="3"/>
  <c r="B2122" i="3"/>
  <c r="H2121" i="3"/>
  <c r="B2121" i="3"/>
  <c r="H2120" i="3"/>
  <c r="B2120" i="3"/>
  <c r="H2119" i="3"/>
  <c r="B2119" i="3"/>
  <c r="H2118" i="3"/>
  <c r="B2118" i="3"/>
  <c r="H2117" i="3"/>
  <c r="B2117" i="3"/>
  <c r="H2116" i="3"/>
  <c r="B2116" i="3"/>
  <c r="H2115" i="3"/>
  <c r="B2115" i="3"/>
  <c r="H2114" i="3"/>
  <c r="B2114" i="3"/>
  <c r="H2113" i="3"/>
  <c r="B2113" i="3"/>
  <c r="H2112" i="3"/>
  <c r="B2112" i="3"/>
  <c r="H2111" i="3"/>
  <c r="B2111" i="3"/>
  <c r="H2110" i="3"/>
  <c r="B2110" i="3"/>
  <c r="H2109" i="3"/>
  <c r="B2109" i="3"/>
  <c r="H2108" i="3"/>
  <c r="B2108" i="3"/>
  <c r="H2107" i="3"/>
  <c r="B2107" i="3"/>
  <c r="H2106" i="3"/>
  <c r="B2106" i="3"/>
  <c r="H2105" i="3"/>
  <c r="B2105" i="3"/>
  <c r="H2104" i="3"/>
  <c r="B2104" i="3"/>
  <c r="H2103" i="3"/>
  <c r="B2103" i="3"/>
  <c r="H2102" i="3"/>
  <c r="B2102" i="3"/>
  <c r="H2101" i="3"/>
  <c r="B2101" i="3"/>
  <c r="H2100" i="3"/>
  <c r="B2100" i="3"/>
  <c r="H2099" i="3"/>
  <c r="B2099" i="3"/>
  <c r="H2098" i="3"/>
  <c r="B2098" i="3"/>
  <c r="H2097" i="3"/>
  <c r="B2097" i="3"/>
  <c r="H2096" i="3"/>
  <c r="B2096" i="3"/>
  <c r="H2095" i="3"/>
  <c r="B2095" i="3"/>
  <c r="H2094" i="3"/>
  <c r="B2094" i="3"/>
  <c r="H2093" i="3"/>
  <c r="B2093" i="3"/>
  <c r="H2092" i="3"/>
  <c r="B2092" i="3"/>
  <c r="H2091" i="3"/>
  <c r="B2091" i="3"/>
  <c r="H2090" i="3"/>
  <c r="B2090" i="3"/>
  <c r="H2089" i="3"/>
  <c r="B2089" i="3"/>
  <c r="H2088" i="3"/>
  <c r="B2088" i="3"/>
  <c r="H2087" i="3"/>
  <c r="B2087" i="3"/>
  <c r="H2086" i="3"/>
  <c r="B2086" i="3"/>
  <c r="H2085" i="3"/>
  <c r="B2085" i="3"/>
  <c r="H2084" i="3"/>
  <c r="B2084" i="3"/>
  <c r="H2083" i="3"/>
  <c r="B2083" i="3"/>
  <c r="H2082" i="3"/>
  <c r="B2082" i="3"/>
  <c r="H2081" i="3"/>
  <c r="B2081" i="3"/>
  <c r="H2080" i="3"/>
  <c r="B2080" i="3"/>
  <c r="H2079" i="3"/>
  <c r="B2079" i="3"/>
  <c r="H2078" i="3"/>
  <c r="B2078" i="3"/>
  <c r="H2077" i="3"/>
  <c r="B2077" i="3"/>
  <c r="H2076" i="3"/>
  <c r="B2076" i="3"/>
  <c r="H2075" i="3"/>
  <c r="B2075" i="3"/>
  <c r="H2074" i="3"/>
  <c r="B2074" i="3"/>
  <c r="H2073" i="3"/>
  <c r="B2073" i="3"/>
  <c r="H2072" i="3"/>
  <c r="B2072" i="3"/>
  <c r="H2071" i="3"/>
  <c r="B2071" i="3"/>
  <c r="H2070" i="3"/>
  <c r="B2070" i="3"/>
  <c r="H2069" i="3"/>
  <c r="B2069" i="3"/>
  <c r="H2068" i="3"/>
  <c r="B2068" i="3"/>
  <c r="H2067" i="3"/>
  <c r="B2067" i="3"/>
  <c r="H2066" i="3"/>
  <c r="B2066" i="3"/>
  <c r="H2065" i="3"/>
  <c r="B2065" i="3"/>
  <c r="H2064" i="3"/>
  <c r="B2064" i="3"/>
  <c r="H2063" i="3"/>
  <c r="B2063" i="3"/>
  <c r="H2062" i="3"/>
  <c r="B2062" i="3"/>
  <c r="H2061" i="3"/>
  <c r="B2061" i="3"/>
  <c r="H2060" i="3"/>
  <c r="B2060" i="3"/>
  <c r="H2059" i="3"/>
  <c r="B2059" i="3"/>
  <c r="H2058" i="3"/>
  <c r="B2058" i="3"/>
  <c r="H2057" i="3"/>
  <c r="B2057" i="3"/>
  <c r="H2056" i="3"/>
  <c r="B2056" i="3"/>
  <c r="H2055" i="3"/>
  <c r="B2055" i="3"/>
  <c r="H2054" i="3"/>
  <c r="B2054" i="3"/>
  <c r="H2053" i="3"/>
  <c r="B2053" i="3"/>
  <c r="H2052" i="3"/>
  <c r="B2052" i="3"/>
  <c r="H2051" i="3"/>
  <c r="B2051" i="3"/>
  <c r="H2050" i="3"/>
  <c r="B2050" i="3"/>
  <c r="H2049" i="3"/>
  <c r="B2049" i="3"/>
  <c r="H2048" i="3"/>
  <c r="B2048" i="3"/>
  <c r="H2047" i="3"/>
  <c r="B2047" i="3"/>
  <c r="H2046" i="3"/>
  <c r="B2046" i="3"/>
  <c r="H2045" i="3"/>
  <c r="B2045" i="3"/>
  <c r="H2044" i="3"/>
  <c r="B2044" i="3"/>
  <c r="H2043" i="3"/>
  <c r="B2043" i="3"/>
  <c r="H2042" i="3"/>
  <c r="B2042" i="3"/>
  <c r="H2041" i="3"/>
  <c r="B2041" i="3"/>
  <c r="H2040" i="3"/>
  <c r="B2040" i="3"/>
  <c r="H2039" i="3"/>
  <c r="B2039" i="3"/>
  <c r="H2038" i="3"/>
  <c r="B2038" i="3"/>
  <c r="H2037" i="3"/>
  <c r="B2037" i="3"/>
  <c r="H2036" i="3"/>
  <c r="B2036" i="3"/>
  <c r="H2035" i="3"/>
  <c r="B2035" i="3"/>
  <c r="H2034" i="3"/>
  <c r="B2034" i="3"/>
  <c r="H2033" i="3"/>
  <c r="B2033" i="3"/>
  <c r="H2032" i="3"/>
  <c r="B2032" i="3"/>
  <c r="H2031" i="3"/>
  <c r="B2031" i="3"/>
  <c r="H2030" i="3"/>
  <c r="B2030" i="3"/>
  <c r="H2029" i="3"/>
  <c r="B2029" i="3"/>
  <c r="H2028" i="3"/>
  <c r="B2028" i="3"/>
  <c r="H2027" i="3"/>
  <c r="B2027" i="3"/>
  <c r="H2026" i="3"/>
  <c r="B2026" i="3"/>
  <c r="H2025" i="3"/>
  <c r="B2025" i="3"/>
  <c r="H2024" i="3"/>
  <c r="B2024" i="3"/>
  <c r="H2023" i="3"/>
  <c r="B2023" i="3"/>
  <c r="H2022" i="3"/>
  <c r="B2022" i="3"/>
  <c r="H2021" i="3"/>
  <c r="B2021" i="3"/>
  <c r="H2020" i="3"/>
  <c r="B2020" i="3"/>
  <c r="H2019" i="3"/>
  <c r="B2019" i="3"/>
  <c r="H2018" i="3"/>
  <c r="B2018" i="3"/>
  <c r="H2017" i="3"/>
  <c r="B2017" i="3"/>
  <c r="H2016" i="3"/>
  <c r="B2016" i="3"/>
  <c r="H2015" i="3"/>
  <c r="B2015" i="3"/>
  <c r="H2014" i="3"/>
  <c r="B2014" i="3"/>
  <c r="H2013" i="3"/>
  <c r="B2013" i="3"/>
  <c r="H2012" i="3"/>
  <c r="B2012" i="3"/>
  <c r="H2011" i="3"/>
  <c r="B2011" i="3"/>
  <c r="H2010" i="3"/>
  <c r="B2010" i="3"/>
  <c r="H2009" i="3"/>
  <c r="B2009" i="3"/>
  <c r="H2008" i="3"/>
  <c r="B2008" i="3"/>
  <c r="H2007" i="3"/>
  <c r="B2007" i="3"/>
  <c r="H2006" i="3"/>
  <c r="B2006" i="3"/>
  <c r="H2005" i="3"/>
  <c r="B2005" i="3"/>
  <c r="H2004" i="3"/>
  <c r="B2004" i="3"/>
  <c r="H2003" i="3"/>
  <c r="B2003" i="3"/>
  <c r="H2002" i="3"/>
  <c r="B2002" i="3"/>
  <c r="H2001" i="3"/>
  <c r="B2001" i="3"/>
  <c r="H2000" i="3"/>
  <c r="B2000" i="3"/>
  <c r="H1999" i="3"/>
  <c r="B1999" i="3"/>
  <c r="H1998" i="3"/>
  <c r="B1998" i="3"/>
  <c r="H1997" i="3"/>
  <c r="B1997" i="3"/>
  <c r="H1996" i="3"/>
  <c r="B1996" i="3"/>
  <c r="H1995" i="3"/>
  <c r="B1995" i="3"/>
  <c r="H1994" i="3"/>
  <c r="B1994" i="3"/>
  <c r="H1993" i="3"/>
  <c r="B1993" i="3"/>
  <c r="H1992" i="3"/>
  <c r="B1992" i="3"/>
  <c r="H1991" i="3"/>
  <c r="B1991" i="3"/>
  <c r="H1990" i="3"/>
  <c r="B1990" i="3"/>
  <c r="H1989" i="3"/>
  <c r="B1989" i="3"/>
  <c r="H1988" i="3"/>
  <c r="B1988" i="3"/>
  <c r="H1987" i="3"/>
  <c r="B1987" i="3"/>
  <c r="H1986" i="3"/>
  <c r="B1986" i="3"/>
  <c r="H1985" i="3"/>
  <c r="B1985" i="3"/>
  <c r="H1984" i="3"/>
  <c r="B1984" i="3"/>
  <c r="H1983" i="3"/>
  <c r="B1983" i="3"/>
  <c r="H1982" i="3"/>
  <c r="B1982" i="3"/>
  <c r="H1981" i="3"/>
  <c r="B1981" i="3"/>
  <c r="H1980" i="3"/>
  <c r="B1980" i="3"/>
  <c r="H1979" i="3"/>
  <c r="B1979" i="3"/>
  <c r="H1978" i="3"/>
  <c r="B1978" i="3"/>
  <c r="H1977" i="3"/>
  <c r="B1977" i="3"/>
  <c r="H1976" i="3"/>
  <c r="B1976" i="3"/>
  <c r="H1975" i="3"/>
  <c r="B1975" i="3"/>
  <c r="H1974" i="3"/>
  <c r="B1974" i="3"/>
  <c r="H1973" i="3"/>
  <c r="B1973" i="3"/>
  <c r="H1972" i="3"/>
  <c r="B1972" i="3"/>
  <c r="H1971" i="3"/>
  <c r="B1971" i="3"/>
  <c r="H1970" i="3"/>
  <c r="B1970" i="3"/>
  <c r="H1969" i="3"/>
  <c r="B1969" i="3"/>
  <c r="H1968" i="3"/>
  <c r="B1968" i="3"/>
  <c r="H1967" i="3"/>
  <c r="B1967" i="3"/>
  <c r="H1966" i="3"/>
  <c r="B1966" i="3"/>
  <c r="H1965" i="3"/>
  <c r="B1965" i="3"/>
  <c r="H1964" i="3"/>
  <c r="B1964" i="3"/>
  <c r="H1963" i="3"/>
  <c r="B1963" i="3"/>
  <c r="H1962" i="3"/>
  <c r="B1962" i="3"/>
  <c r="H1961" i="3"/>
  <c r="B1961" i="3"/>
  <c r="H1960" i="3"/>
  <c r="B1960" i="3"/>
  <c r="H1959" i="3"/>
  <c r="B1959" i="3"/>
  <c r="H1958" i="3"/>
  <c r="B1958" i="3"/>
  <c r="H1957" i="3"/>
  <c r="B1957" i="3"/>
  <c r="H1956" i="3"/>
  <c r="B1956" i="3"/>
  <c r="H1955" i="3"/>
  <c r="B1955" i="3"/>
  <c r="H1954" i="3"/>
  <c r="B1954" i="3"/>
  <c r="H1953" i="3"/>
  <c r="B1953" i="3"/>
  <c r="H1952" i="3"/>
  <c r="B1952" i="3"/>
  <c r="H1951" i="3"/>
  <c r="B1951" i="3"/>
  <c r="H1950" i="3"/>
  <c r="B1950" i="3"/>
  <c r="H1949" i="3"/>
  <c r="B1949" i="3"/>
  <c r="H1948" i="3"/>
  <c r="B1948" i="3"/>
  <c r="H1947" i="3"/>
  <c r="B1947" i="3"/>
  <c r="H1946" i="3"/>
  <c r="B1946" i="3"/>
  <c r="H1945" i="3"/>
  <c r="B1945" i="3"/>
  <c r="H1944" i="3"/>
  <c r="B1944" i="3"/>
  <c r="H1943" i="3"/>
  <c r="B1943" i="3"/>
  <c r="H1942" i="3"/>
  <c r="B1942" i="3"/>
  <c r="H1941" i="3"/>
  <c r="B1941" i="3"/>
  <c r="H1940" i="3"/>
  <c r="B1940" i="3"/>
  <c r="H1939" i="3"/>
  <c r="B1939" i="3"/>
  <c r="H1938" i="3"/>
  <c r="B1938" i="3"/>
  <c r="H1937" i="3"/>
  <c r="B1937" i="3"/>
  <c r="H1936" i="3"/>
  <c r="B1936" i="3"/>
  <c r="H1935" i="3"/>
  <c r="B1935" i="3"/>
  <c r="H1934" i="3"/>
  <c r="B1934" i="3"/>
  <c r="H1933" i="3"/>
  <c r="B1933" i="3"/>
  <c r="H1932" i="3"/>
  <c r="B1932" i="3"/>
  <c r="H1931" i="3"/>
  <c r="B1931" i="3"/>
  <c r="H1930" i="3"/>
  <c r="B1930" i="3"/>
  <c r="H1929" i="3"/>
  <c r="B1929" i="3"/>
  <c r="H1928" i="3"/>
  <c r="B1928" i="3"/>
  <c r="H1927" i="3"/>
  <c r="B1927" i="3"/>
  <c r="H1926" i="3"/>
  <c r="B1926" i="3"/>
  <c r="H1925" i="3"/>
  <c r="B1925" i="3"/>
  <c r="H1924" i="3"/>
  <c r="B1924" i="3"/>
  <c r="H1923" i="3"/>
  <c r="B1923" i="3"/>
  <c r="H1922" i="3"/>
  <c r="B1922" i="3"/>
  <c r="H1921" i="3"/>
  <c r="B1921" i="3"/>
  <c r="H1920" i="3"/>
  <c r="B1920" i="3"/>
  <c r="H1919" i="3"/>
  <c r="B1919" i="3"/>
  <c r="H1918" i="3"/>
  <c r="B1918" i="3"/>
  <c r="H1917" i="3"/>
  <c r="B1917" i="3"/>
  <c r="H1916" i="3"/>
  <c r="B1916" i="3"/>
  <c r="H1915" i="3"/>
  <c r="B1915" i="3"/>
  <c r="H1914" i="3"/>
  <c r="B1914" i="3"/>
  <c r="H1913" i="3"/>
  <c r="B1913" i="3"/>
  <c r="H1912" i="3"/>
  <c r="B1912" i="3"/>
  <c r="H1911" i="3"/>
  <c r="B1911" i="3"/>
  <c r="H1910" i="3"/>
  <c r="B1910" i="3"/>
  <c r="H1909" i="3"/>
  <c r="B1909" i="3"/>
  <c r="H1908" i="3"/>
  <c r="B1908" i="3"/>
  <c r="H1907" i="3"/>
  <c r="B1907" i="3"/>
  <c r="H1906" i="3"/>
  <c r="B1906" i="3"/>
  <c r="H1905" i="3"/>
  <c r="B1905" i="3"/>
  <c r="H1904" i="3"/>
  <c r="B1904" i="3"/>
  <c r="H1903" i="3"/>
  <c r="B1903" i="3"/>
  <c r="H1902" i="3"/>
  <c r="B1902" i="3"/>
  <c r="H1901" i="3"/>
  <c r="B1901" i="3"/>
  <c r="H1900" i="3"/>
  <c r="B1900" i="3"/>
  <c r="H1899" i="3"/>
  <c r="B1899" i="3"/>
  <c r="H1898" i="3"/>
  <c r="B1898" i="3"/>
  <c r="H1897" i="3"/>
  <c r="B1897" i="3"/>
  <c r="H1896" i="3"/>
  <c r="B1896" i="3"/>
  <c r="H1895" i="3"/>
  <c r="B1895" i="3"/>
  <c r="H1894" i="3"/>
  <c r="B1894" i="3"/>
  <c r="H1893" i="3"/>
  <c r="B1893" i="3"/>
  <c r="H1892" i="3"/>
  <c r="B1892" i="3"/>
  <c r="H1891" i="3"/>
  <c r="B1891" i="3"/>
  <c r="H1890" i="3"/>
  <c r="B1890" i="3"/>
  <c r="H1889" i="3"/>
  <c r="B1889" i="3"/>
  <c r="H1888" i="3"/>
  <c r="B1888" i="3"/>
  <c r="H1887" i="3"/>
  <c r="B1887" i="3"/>
  <c r="H1886" i="3"/>
  <c r="B1886" i="3"/>
  <c r="H1885" i="3"/>
  <c r="B1885" i="3"/>
  <c r="H1884" i="3"/>
  <c r="B1884" i="3"/>
  <c r="H1883" i="3"/>
  <c r="B1883" i="3"/>
  <c r="H1882" i="3"/>
  <c r="B1882" i="3"/>
  <c r="H1881" i="3"/>
  <c r="B1881" i="3"/>
  <c r="H1880" i="3"/>
  <c r="B1880" i="3"/>
  <c r="H1879" i="3"/>
  <c r="B1879" i="3"/>
  <c r="H1878" i="3"/>
  <c r="B1878" i="3"/>
  <c r="H1877" i="3"/>
  <c r="B1877" i="3"/>
  <c r="H1876" i="3"/>
  <c r="B1876" i="3"/>
  <c r="H1875" i="3"/>
  <c r="B1875" i="3"/>
  <c r="H1874" i="3"/>
  <c r="B1874" i="3"/>
  <c r="H1873" i="3"/>
  <c r="B1873" i="3"/>
  <c r="H1872" i="3"/>
  <c r="B1872" i="3"/>
  <c r="H1871" i="3"/>
  <c r="B1871" i="3"/>
  <c r="H1870" i="3"/>
  <c r="B1870" i="3"/>
  <c r="H1869" i="3"/>
  <c r="B1869" i="3"/>
  <c r="H1868" i="3"/>
  <c r="B1868" i="3"/>
  <c r="H1867" i="3"/>
  <c r="B1867" i="3"/>
  <c r="H1866" i="3"/>
  <c r="B1866" i="3"/>
  <c r="H1865" i="3"/>
  <c r="B1865" i="3"/>
  <c r="H1864" i="3"/>
  <c r="B1864" i="3"/>
  <c r="H1863" i="3"/>
  <c r="B1863" i="3"/>
  <c r="H1862" i="3"/>
  <c r="B1862" i="3"/>
  <c r="H1861" i="3"/>
  <c r="B1861" i="3"/>
  <c r="H1860" i="3"/>
  <c r="B1860" i="3"/>
  <c r="H1859" i="3"/>
  <c r="B1859" i="3"/>
  <c r="H1858" i="3"/>
  <c r="B1858" i="3"/>
  <c r="H1857" i="3"/>
  <c r="B1857" i="3"/>
  <c r="H1856" i="3"/>
  <c r="B1856" i="3"/>
  <c r="H1855" i="3"/>
  <c r="B1855" i="3"/>
  <c r="H1854" i="3"/>
  <c r="B1854" i="3"/>
  <c r="H1853" i="3"/>
  <c r="B1853" i="3"/>
  <c r="H1852" i="3"/>
  <c r="B1852" i="3"/>
  <c r="H1851" i="3"/>
  <c r="B1851" i="3"/>
  <c r="H1850" i="3"/>
  <c r="B1850" i="3"/>
  <c r="H1849" i="3"/>
  <c r="B1849" i="3"/>
  <c r="H1848" i="3"/>
  <c r="B1848" i="3"/>
  <c r="H1847" i="3"/>
  <c r="B1847" i="3"/>
  <c r="H1846" i="3"/>
  <c r="B1846" i="3"/>
  <c r="H1845" i="3"/>
  <c r="B1845" i="3"/>
  <c r="H1844" i="3"/>
  <c r="B1844" i="3"/>
  <c r="H1843" i="3"/>
  <c r="B1843" i="3"/>
  <c r="H1842" i="3"/>
  <c r="B1842" i="3"/>
  <c r="H1841" i="3"/>
  <c r="B1841" i="3"/>
  <c r="H1840" i="3"/>
  <c r="B1840" i="3"/>
  <c r="H1839" i="3"/>
  <c r="B1839" i="3"/>
  <c r="H1838" i="3"/>
  <c r="B1838" i="3"/>
  <c r="H1837" i="3"/>
  <c r="B1837" i="3"/>
  <c r="H1836" i="3"/>
  <c r="B1836" i="3"/>
  <c r="H1835" i="3"/>
  <c r="B1835" i="3"/>
  <c r="H1834" i="3"/>
  <c r="B1834" i="3"/>
  <c r="H1833" i="3"/>
  <c r="B1833" i="3"/>
  <c r="H1832" i="3"/>
  <c r="B1832" i="3"/>
  <c r="H1831" i="3"/>
  <c r="B1831" i="3"/>
  <c r="H1830" i="3"/>
  <c r="B1830" i="3"/>
  <c r="H1829" i="3"/>
  <c r="B1829" i="3"/>
  <c r="H1828" i="3"/>
  <c r="B1828" i="3"/>
  <c r="H1827" i="3"/>
  <c r="B1827" i="3"/>
  <c r="H1826" i="3"/>
  <c r="B1826" i="3"/>
  <c r="H1825" i="3"/>
  <c r="B1825" i="3"/>
  <c r="H1824" i="3"/>
  <c r="B1824" i="3"/>
  <c r="H1823" i="3"/>
  <c r="B1823" i="3"/>
  <c r="H1822" i="3"/>
  <c r="B1822" i="3"/>
  <c r="H1821" i="3"/>
  <c r="B1821" i="3"/>
  <c r="H1820" i="3"/>
  <c r="B1820" i="3"/>
  <c r="H1819" i="3"/>
  <c r="B1819" i="3"/>
  <c r="H1818" i="3"/>
  <c r="B1818" i="3"/>
  <c r="H1817" i="3"/>
  <c r="B1817" i="3"/>
  <c r="H1816" i="3"/>
  <c r="B1816" i="3"/>
  <c r="H1815" i="3"/>
  <c r="B1815" i="3"/>
  <c r="H1814" i="3"/>
  <c r="B1814" i="3"/>
  <c r="H1813" i="3"/>
  <c r="B1813" i="3"/>
  <c r="H1812" i="3"/>
  <c r="B1812" i="3"/>
  <c r="H1811" i="3"/>
  <c r="B1811" i="3"/>
  <c r="H1810" i="3"/>
  <c r="B1810" i="3"/>
  <c r="H1809" i="3"/>
  <c r="B1809" i="3"/>
  <c r="H1808" i="3"/>
  <c r="B1808" i="3"/>
  <c r="H1807" i="3"/>
  <c r="B1807" i="3"/>
  <c r="H1806" i="3"/>
  <c r="B1806" i="3"/>
  <c r="H1805" i="3"/>
  <c r="B1805" i="3"/>
  <c r="H1804" i="3"/>
  <c r="B1804" i="3"/>
  <c r="H1803" i="3"/>
  <c r="B1803" i="3"/>
  <c r="H1802" i="3"/>
  <c r="B1802" i="3"/>
  <c r="H1801" i="3"/>
  <c r="B1801" i="3"/>
  <c r="H1800" i="3"/>
  <c r="B1800" i="3"/>
  <c r="H1799" i="3"/>
  <c r="B1799" i="3"/>
  <c r="H1798" i="3"/>
  <c r="B1798" i="3"/>
  <c r="H1797" i="3"/>
  <c r="B1797" i="3"/>
  <c r="H1796" i="3"/>
  <c r="B1796" i="3"/>
  <c r="H1795" i="3"/>
  <c r="B1795" i="3"/>
  <c r="H1794" i="3"/>
  <c r="B1794" i="3"/>
  <c r="H1793" i="3"/>
  <c r="B1793" i="3"/>
  <c r="H1792" i="3"/>
  <c r="B1792" i="3"/>
  <c r="H1791" i="3"/>
  <c r="B1791" i="3"/>
  <c r="H1790" i="3"/>
  <c r="B1790" i="3"/>
  <c r="H1789" i="3"/>
  <c r="B1789" i="3"/>
  <c r="H1788" i="3"/>
  <c r="B1788" i="3"/>
  <c r="H1787" i="3"/>
  <c r="B1787" i="3"/>
  <c r="H1786" i="3"/>
  <c r="B1786" i="3"/>
  <c r="H1785" i="3"/>
  <c r="B1785" i="3"/>
  <c r="H1784" i="3"/>
  <c r="B1784" i="3"/>
  <c r="H1783" i="3"/>
  <c r="B1783" i="3"/>
  <c r="H1782" i="3"/>
  <c r="B1782" i="3"/>
  <c r="H1781" i="3"/>
  <c r="B1781" i="3"/>
  <c r="H1780" i="3"/>
  <c r="B1780" i="3"/>
  <c r="H1779" i="3"/>
  <c r="B1779" i="3"/>
  <c r="H1778" i="3"/>
  <c r="B1778" i="3"/>
  <c r="H1777" i="3"/>
  <c r="B1777" i="3"/>
  <c r="H1776" i="3"/>
  <c r="B1776" i="3"/>
  <c r="H1775" i="3"/>
  <c r="B1775" i="3"/>
  <c r="H1774" i="3"/>
  <c r="B1774" i="3"/>
  <c r="H1773" i="3"/>
  <c r="B1773" i="3"/>
  <c r="H1772" i="3"/>
  <c r="B1772" i="3"/>
  <c r="H1771" i="3"/>
  <c r="B1771" i="3"/>
  <c r="H1770" i="3"/>
  <c r="B1770" i="3"/>
  <c r="H1769" i="3"/>
  <c r="B1769" i="3"/>
  <c r="H1768" i="3"/>
  <c r="B1768" i="3"/>
  <c r="H1767" i="3"/>
  <c r="B1767" i="3"/>
  <c r="H1766" i="3"/>
  <c r="B1766" i="3"/>
  <c r="H1765" i="3"/>
  <c r="B1765" i="3"/>
  <c r="H1764" i="3"/>
  <c r="B1764" i="3"/>
  <c r="H1763" i="3"/>
  <c r="B1763" i="3"/>
  <c r="H1762" i="3"/>
  <c r="B1762" i="3"/>
  <c r="H1761" i="3"/>
  <c r="B1761" i="3"/>
  <c r="H1760" i="3"/>
  <c r="B1760" i="3"/>
  <c r="H1759" i="3"/>
  <c r="B1759" i="3"/>
  <c r="H1758" i="3"/>
  <c r="B1758" i="3"/>
  <c r="H1757" i="3"/>
  <c r="B1757" i="3"/>
  <c r="H1756" i="3"/>
  <c r="B1756" i="3"/>
  <c r="H1755" i="3"/>
  <c r="B1755" i="3"/>
  <c r="H1754" i="3"/>
  <c r="B1754" i="3"/>
  <c r="H1753" i="3"/>
  <c r="B1753" i="3"/>
  <c r="H1752" i="3"/>
  <c r="B1752" i="3"/>
  <c r="H1751" i="3"/>
  <c r="B1751" i="3"/>
  <c r="H1750" i="3"/>
  <c r="B1750" i="3"/>
  <c r="H1749" i="3"/>
  <c r="B1749" i="3"/>
  <c r="H1748" i="3"/>
  <c r="B1748" i="3"/>
  <c r="H1747" i="3"/>
  <c r="B1747" i="3"/>
  <c r="H1746" i="3"/>
  <c r="B1746" i="3"/>
  <c r="H1745" i="3"/>
  <c r="B1745" i="3"/>
  <c r="H1744" i="3"/>
  <c r="B1744" i="3"/>
  <c r="H1743" i="3"/>
  <c r="B1743" i="3"/>
  <c r="H1742" i="3"/>
  <c r="B1742" i="3"/>
  <c r="H1741" i="3"/>
  <c r="B1741" i="3"/>
  <c r="H1740" i="3"/>
  <c r="B1740" i="3"/>
  <c r="H1739" i="3"/>
  <c r="B1739" i="3"/>
  <c r="H1738" i="3"/>
  <c r="B1738" i="3"/>
  <c r="H1737" i="3"/>
  <c r="B1737" i="3"/>
  <c r="H1736" i="3"/>
  <c r="B1736" i="3"/>
  <c r="H1735" i="3"/>
  <c r="B1735" i="3"/>
  <c r="H1734" i="3"/>
  <c r="B1734" i="3"/>
  <c r="H1733" i="3"/>
  <c r="B1733" i="3"/>
  <c r="H1732" i="3"/>
  <c r="B1732" i="3"/>
  <c r="H1731" i="3"/>
  <c r="B1731" i="3"/>
  <c r="H1730" i="3"/>
  <c r="B1730" i="3"/>
  <c r="H1729" i="3"/>
  <c r="B1729" i="3"/>
  <c r="H1728" i="3"/>
  <c r="B1728" i="3"/>
  <c r="H1727" i="3"/>
  <c r="B1727" i="3"/>
  <c r="H1726" i="3"/>
  <c r="B1726" i="3"/>
  <c r="H1725" i="3"/>
  <c r="B1725" i="3"/>
  <c r="H1724" i="3"/>
  <c r="B1724" i="3"/>
  <c r="H1723" i="3"/>
  <c r="B1723" i="3"/>
  <c r="H1722" i="3"/>
  <c r="B1722" i="3"/>
  <c r="H1721" i="3"/>
  <c r="B1721" i="3"/>
  <c r="H1720" i="3"/>
  <c r="B1720" i="3"/>
  <c r="H1719" i="3"/>
  <c r="B1719" i="3"/>
  <c r="H1718" i="3"/>
  <c r="B1718" i="3"/>
  <c r="H1717" i="3"/>
  <c r="B1717" i="3"/>
  <c r="H1716" i="3"/>
  <c r="B1716" i="3"/>
  <c r="H1715" i="3"/>
  <c r="B1715" i="3"/>
  <c r="H1714" i="3"/>
  <c r="B1714" i="3"/>
  <c r="H1713" i="3"/>
  <c r="B1713" i="3"/>
  <c r="H1712" i="3"/>
  <c r="B1712" i="3"/>
  <c r="H1711" i="3"/>
  <c r="B1711" i="3"/>
  <c r="H1710" i="3"/>
  <c r="B1710" i="3"/>
  <c r="H1709" i="3"/>
  <c r="B1709" i="3"/>
  <c r="H1708" i="3"/>
  <c r="B1708" i="3"/>
  <c r="H1707" i="3"/>
  <c r="B1707" i="3"/>
  <c r="H1706" i="3"/>
  <c r="B1706" i="3"/>
  <c r="H1705" i="3"/>
  <c r="B1705" i="3"/>
  <c r="H1704" i="3"/>
  <c r="B1704" i="3"/>
  <c r="H1703" i="3"/>
  <c r="B1703" i="3"/>
  <c r="H1702" i="3"/>
  <c r="B1702" i="3"/>
  <c r="H1701" i="3"/>
  <c r="B1701" i="3"/>
  <c r="H1700" i="3"/>
  <c r="B1700" i="3"/>
  <c r="H1699" i="3"/>
  <c r="B1699" i="3"/>
  <c r="H1698" i="3"/>
  <c r="B1698" i="3"/>
  <c r="H1697" i="3"/>
  <c r="B1697" i="3"/>
  <c r="H1696" i="3"/>
  <c r="B1696" i="3"/>
  <c r="H1695" i="3"/>
  <c r="B1695" i="3"/>
  <c r="H1694" i="3"/>
  <c r="B1694" i="3"/>
  <c r="H1693" i="3"/>
  <c r="B1693" i="3"/>
  <c r="H1692" i="3"/>
  <c r="B1692" i="3"/>
  <c r="H1691" i="3"/>
  <c r="B1691" i="3"/>
  <c r="H1690" i="3"/>
  <c r="B1690" i="3"/>
  <c r="H1689" i="3"/>
  <c r="B1689" i="3"/>
  <c r="H1688" i="3"/>
  <c r="B1688" i="3"/>
  <c r="H1687" i="3"/>
  <c r="B1687" i="3"/>
  <c r="H1686" i="3"/>
  <c r="B1686" i="3"/>
  <c r="H1685" i="3"/>
  <c r="B1685" i="3"/>
  <c r="H1684" i="3"/>
  <c r="B1684" i="3"/>
  <c r="H1683" i="3"/>
  <c r="B1683" i="3"/>
  <c r="H1682" i="3"/>
  <c r="B1682" i="3"/>
  <c r="H1681" i="3"/>
  <c r="B1681" i="3"/>
  <c r="H1680" i="3"/>
  <c r="B1680" i="3"/>
  <c r="H1679" i="3"/>
  <c r="B1679" i="3"/>
  <c r="H1678" i="3"/>
  <c r="B1678" i="3"/>
  <c r="H1677" i="3"/>
  <c r="B1677" i="3"/>
  <c r="H1676" i="3"/>
  <c r="B1676" i="3"/>
  <c r="H1675" i="3"/>
  <c r="B1675" i="3"/>
  <c r="H1674" i="3"/>
  <c r="B1674" i="3"/>
  <c r="H1673" i="3"/>
  <c r="B1673" i="3"/>
  <c r="H1672" i="3"/>
  <c r="B1672" i="3"/>
  <c r="H1671" i="3"/>
  <c r="B1671" i="3"/>
  <c r="H1670" i="3"/>
  <c r="B1670" i="3"/>
  <c r="H1669" i="3"/>
  <c r="B1669" i="3"/>
  <c r="H1668" i="3"/>
  <c r="B1668" i="3"/>
  <c r="H1667" i="3"/>
  <c r="B1667" i="3"/>
  <c r="H1666" i="3"/>
  <c r="B1666" i="3"/>
  <c r="H1665" i="3"/>
  <c r="B1665" i="3"/>
  <c r="H1664" i="3"/>
  <c r="B1664" i="3"/>
  <c r="H1663" i="3"/>
  <c r="B1663" i="3"/>
  <c r="H1662" i="3"/>
  <c r="B1662" i="3"/>
  <c r="H1661" i="3"/>
  <c r="B1661" i="3"/>
  <c r="H1660" i="3"/>
  <c r="B1660" i="3"/>
  <c r="H1659" i="3"/>
  <c r="B1659" i="3"/>
  <c r="H1658" i="3"/>
  <c r="B1658" i="3"/>
  <c r="H1657" i="3"/>
  <c r="B1657" i="3"/>
  <c r="H1656" i="3"/>
  <c r="B1656" i="3"/>
  <c r="H1655" i="3"/>
  <c r="B1655" i="3"/>
  <c r="H1654" i="3"/>
  <c r="B1654" i="3"/>
  <c r="H1653" i="3"/>
  <c r="B1653" i="3"/>
  <c r="H1652" i="3"/>
  <c r="B1652" i="3"/>
  <c r="H1651" i="3"/>
  <c r="B1651" i="3"/>
  <c r="H1650" i="3"/>
  <c r="B1650" i="3"/>
  <c r="H1649" i="3"/>
  <c r="B1649" i="3"/>
  <c r="H1648" i="3"/>
  <c r="B1648" i="3"/>
  <c r="H1647" i="3"/>
  <c r="B1647" i="3"/>
  <c r="H1646" i="3"/>
  <c r="B1646" i="3"/>
  <c r="H1645" i="3"/>
  <c r="B1645" i="3"/>
  <c r="H1644" i="3"/>
  <c r="B1644" i="3"/>
  <c r="H1643" i="3"/>
  <c r="B1643" i="3"/>
  <c r="H1642" i="3"/>
  <c r="B1642" i="3"/>
  <c r="H1641" i="3"/>
  <c r="B1641" i="3"/>
  <c r="H1640" i="3"/>
  <c r="B1640" i="3"/>
  <c r="H1639" i="3"/>
  <c r="B1639" i="3"/>
  <c r="H1638" i="3"/>
  <c r="B1638" i="3"/>
  <c r="H1637" i="3"/>
  <c r="B1637" i="3"/>
  <c r="H1636" i="3"/>
  <c r="B1636" i="3"/>
  <c r="H1635" i="3"/>
  <c r="B1635" i="3"/>
  <c r="H1634" i="3"/>
  <c r="B1634" i="3"/>
  <c r="H1633" i="3"/>
  <c r="B1633" i="3"/>
  <c r="H1632" i="3"/>
  <c r="B1632" i="3"/>
  <c r="H1631" i="3"/>
  <c r="B1631" i="3"/>
  <c r="H1630" i="3"/>
  <c r="B1630" i="3"/>
  <c r="H1629" i="3"/>
  <c r="B1629" i="3"/>
  <c r="H1628" i="3"/>
  <c r="B1628" i="3"/>
  <c r="H1627" i="3"/>
  <c r="B1627" i="3"/>
  <c r="H1626" i="3"/>
  <c r="B1626" i="3"/>
  <c r="H1625" i="3"/>
  <c r="B1625" i="3"/>
  <c r="H1624" i="3"/>
  <c r="B1624" i="3"/>
  <c r="H1623" i="3"/>
  <c r="B1623" i="3"/>
  <c r="H1622" i="3"/>
  <c r="B1622" i="3"/>
  <c r="H1621" i="3"/>
  <c r="B1621" i="3"/>
  <c r="H1620" i="3"/>
  <c r="B1620" i="3"/>
  <c r="H1619" i="3"/>
  <c r="B1619" i="3"/>
  <c r="H1618" i="3"/>
  <c r="B1618" i="3"/>
  <c r="H1617" i="3"/>
  <c r="B1617" i="3"/>
  <c r="H1616" i="3"/>
  <c r="B1616" i="3"/>
  <c r="H1615" i="3"/>
  <c r="B1615" i="3"/>
  <c r="H1614" i="3"/>
  <c r="B1614" i="3"/>
  <c r="H1613" i="3"/>
  <c r="B1613" i="3"/>
  <c r="H1612" i="3"/>
  <c r="B1612" i="3"/>
  <c r="H1611" i="3"/>
  <c r="B1611" i="3"/>
  <c r="H1610" i="3"/>
  <c r="B1610" i="3"/>
  <c r="H1609" i="3"/>
  <c r="B1609" i="3"/>
  <c r="H1608" i="3"/>
  <c r="B1608" i="3"/>
  <c r="H1607" i="3"/>
  <c r="B1607" i="3"/>
  <c r="H1606" i="3"/>
  <c r="B1606" i="3"/>
  <c r="H1605" i="3"/>
  <c r="B1605" i="3"/>
  <c r="H1604" i="3"/>
  <c r="B1604" i="3"/>
  <c r="H1603" i="3"/>
  <c r="B1603" i="3"/>
  <c r="H1602" i="3"/>
  <c r="B1602" i="3"/>
  <c r="H1601" i="3"/>
  <c r="B1601" i="3"/>
  <c r="H1600" i="3"/>
  <c r="B1600" i="3"/>
  <c r="H1599" i="3"/>
  <c r="B1599" i="3"/>
  <c r="H1598" i="3"/>
  <c r="B1598" i="3"/>
  <c r="H1597" i="3"/>
  <c r="B1597" i="3"/>
  <c r="H1596" i="3"/>
  <c r="B1596" i="3"/>
  <c r="H1595" i="3"/>
  <c r="B1595" i="3"/>
  <c r="H1594" i="3"/>
  <c r="B1594" i="3"/>
  <c r="H1593" i="3"/>
  <c r="B1593" i="3"/>
  <c r="H1592" i="3"/>
  <c r="B1592" i="3"/>
  <c r="H1591" i="3"/>
  <c r="B1591" i="3"/>
  <c r="H1590" i="3"/>
  <c r="B1590" i="3"/>
  <c r="H1589" i="3"/>
  <c r="B1589" i="3"/>
  <c r="H1588" i="3"/>
  <c r="B1588" i="3"/>
  <c r="H1587" i="3"/>
  <c r="B1587" i="3"/>
  <c r="H1586" i="3"/>
  <c r="B1586" i="3"/>
  <c r="H1585" i="3"/>
  <c r="B1585" i="3"/>
  <c r="H1584" i="3"/>
  <c r="B1584" i="3"/>
  <c r="H1583" i="3"/>
  <c r="B1583" i="3"/>
  <c r="H1582" i="3"/>
  <c r="B1582" i="3"/>
  <c r="H1581" i="3"/>
  <c r="B1581" i="3"/>
  <c r="H1580" i="3"/>
  <c r="B1580" i="3"/>
  <c r="H1579" i="3"/>
  <c r="B1579" i="3"/>
  <c r="H1578" i="3"/>
  <c r="B1578" i="3"/>
  <c r="H1577" i="3"/>
  <c r="B1577" i="3"/>
  <c r="H1576" i="3"/>
  <c r="B1576" i="3"/>
  <c r="H1575" i="3"/>
  <c r="B1575" i="3"/>
  <c r="H1574" i="3"/>
  <c r="B1574" i="3"/>
  <c r="H1573" i="3"/>
  <c r="B1573" i="3"/>
  <c r="H1572" i="3"/>
  <c r="B1572" i="3"/>
  <c r="H1571" i="3"/>
  <c r="B1571" i="3"/>
  <c r="H1570" i="3"/>
  <c r="B1570" i="3"/>
  <c r="H1569" i="3"/>
  <c r="B1569" i="3"/>
  <c r="H1568" i="3"/>
  <c r="B1568" i="3"/>
  <c r="H1567" i="3"/>
  <c r="B1567" i="3"/>
  <c r="H1566" i="3"/>
  <c r="B1566" i="3"/>
  <c r="H1565" i="3"/>
  <c r="B1565" i="3"/>
  <c r="H1564" i="3"/>
  <c r="B1564" i="3"/>
  <c r="H1563" i="3"/>
  <c r="B1563" i="3"/>
  <c r="H1562" i="3"/>
  <c r="B1562" i="3"/>
  <c r="H1561" i="3"/>
  <c r="B1561" i="3"/>
  <c r="H1560" i="3"/>
  <c r="B1560" i="3"/>
  <c r="H1559" i="3"/>
  <c r="B1559" i="3"/>
  <c r="H1558" i="3"/>
  <c r="B1558" i="3"/>
  <c r="H1557" i="3"/>
  <c r="B1557" i="3"/>
  <c r="H1556" i="3"/>
  <c r="B1556" i="3"/>
  <c r="H1555" i="3"/>
  <c r="B1555" i="3"/>
  <c r="H1554" i="3"/>
  <c r="B1554" i="3"/>
  <c r="H1553" i="3"/>
  <c r="B1553" i="3"/>
  <c r="H1552" i="3"/>
  <c r="B1552" i="3"/>
  <c r="H1551" i="3"/>
  <c r="B1551" i="3"/>
  <c r="H1550" i="3"/>
  <c r="B1550" i="3"/>
  <c r="H1549" i="3"/>
  <c r="B1549" i="3"/>
  <c r="H1548" i="3"/>
  <c r="B1548" i="3"/>
  <c r="H1547" i="3"/>
  <c r="B1547" i="3"/>
  <c r="H1546" i="3"/>
  <c r="B1546" i="3"/>
  <c r="H1545" i="3"/>
  <c r="B1545" i="3"/>
  <c r="H1544" i="3"/>
  <c r="B1544" i="3"/>
  <c r="H1543" i="3"/>
  <c r="B1543" i="3"/>
  <c r="H1542" i="3"/>
  <c r="B1542" i="3"/>
  <c r="H1541" i="3"/>
  <c r="B1541" i="3"/>
  <c r="H1540" i="3"/>
  <c r="B1540" i="3"/>
  <c r="H1539" i="3"/>
  <c r="B1539" i="3"/>
  <c r="H1538" i="3"/>
  <c r="B1538" i="3"/>
  <c r="H1537" i="3"/>
  <c r="B1537" i="3"/>
  <c r="H1536" i="3"/>
  <c r="B1536" i="3"/>
  <c r="H1535" i="3"/>
  <c r="B1535" i="3"/>
  <c r="H1534" i="3"/>
  <c r="B1534" i="3"/>
  <c r="H1533" i="3"/>
  <c r="B1533" i="3"/>
  <c r="H1532" i="3"/>
  <c r="B1532" i="3"/>
  <c r="H1531" i="3"/>
  <c r="B1531" i="3"/>
  <c r="H1530" i="3"/>
  <c r="B1530" i="3"/>
  <c r="H1529" i="3"/>
  <c r="B1529" i="3"/>
  <c r="H1528" i="3"/>
  <c r="B1528" i="3"/>
  <c r="H1527" i="3"/>
  <c r="B1527" i="3"/>
  <c r="H1526" i="3"/>
  <c r="B1526" i="3"/>
  <c r="H1525" i="3"/>
  <c r="B1525" i="3"/>
  <c r="H1524" i="3"/>
  <c r="B1524" i="3"/>
  <c r="H1523" i="3"/>
  <c r="B1523" i="3"/>
  <c r="H1522" i="3"/>
  <c r="B1522" i="3"/>
  <c r="H1521" i="3"/>
  <c r="B1521" i="3"/>
  <c r="H1520" i="3"/>
  <c r="B1520" i="3"/>
  <c r="H1519" i="3"/>
  <c r="B1519" i="3"/>
  <c r="H1518" i="3"/>
  <c r="B1518" i="3"/>
  <c r="H1517" i="3"/>
  <c r="B1517" i="3"/>
  <c r="H1516" i="3"/>
  <c r="B1516" i="3"/>
  <c r="H1515" i="3"/>
  <c r="B1515" i="3"/>
  <c r="H1514" i="3"/>
  <c r="B1514" i="3"/>
  <c r="H1513" i="3"/>
  <c r="B1513" i="3"/>
  <c r="H1512" i="3"/>
  <c r="B1512" i="3"/>
  <c r="H1511" i="3"/>
  <c r="B1511" i="3"/>
  <c r="H1510" i="3"/>
  <c r="B1510" i="3"/>
  <c r="H1509" i="3"/>
  <c r="B1509" i="3"/>
  <c r="H1508" i="3"/>
  <c r="B1508" i="3"/>
  <c r="H1507" i="3"/>
  <c r="B1507" i="3"/>
  <c r="H1506" i="3"/>
  <c r="B1506" i="3"/>
  <c r="H1505" i="3"/>
  <c r="B1505" i="3"/>
  <c r="H1504" i="3"/>
  <c r="B1504" i="3"/>
  <c r="H1503" i="3"/>
  <c r="B1503" i="3"/>
  <c r="H1502" i="3"/>
  <c r="B1502" i="3"/>
  <c r="H1501" i="3"/>
  <c r="B1501" i="3"/>
  <c r="H1500" i="3"/>
  <c r="B1500" i="3"/>
  <c r="H1499" i="3"/>
  <c r="B1499" i="3"/>
  <c r="H1498" i="3"/>
  <c r="B1498" i="3"/>
  <c r="H1497" i="3"/>
  <c r="B1497" i="3"/>
  <c r="H1496" i="3"/>
  <c r="B1496" i="3"/>
  <c r="H1495" i="3"/>
  <c r="B1495" i="3"/>
  <c r="H1494" i="3"/>
  <c r="B1494" i="3"/>
  <c r="H1493" i="3"/>
  <c r="B1493" i="3"/>
  <c r="H1492" i="3"/>
  <c r="B1492" i="3"/>
  <c r="H1491" i="3"/>
  <c r="B1491" i="3"/>
  <c r="H1490" i="3"/>
  <c r="B1490" i="3"/>
  <c r="H1489" i="3"/>
  <c r="B1489" i="3"/>
  <c r="H1488" i="3"/>
  <c r="B1488" i="3"/>
  <c r="H1487" i="3"/>
  <c r="B1487" i="3"/>
  <c r="H1486" i="3"/>
  <c r="B1486" i="3"/>
  <c r="H1485" i="3"/>
  <c r="B1485" i="3"/>
  <c r="H1484" i="3"/>
  <c r="B1484" i="3"/>
  <c r="H1483" i="3"/>
  <c r="B1483" i="3"/>
  <c r="H1482" i="3"/>
  <c r="B1482" i="3"/>
  <c r="H1481" i="3"/>
  <c r="B1481" i="3"/>
  <c r="H1480" i="3"/>
  <c r="B1480" i="3"/>
  <c r="H1479" i="3"/>
  <c r="B1479" i="3"/>
  <c r="H1478" i="3"/>
  <c r="B1478" i="3"/>
  <c r="H1477" i="3"/>
  <c r="B1477" i="3"/>
  <c r="H1476" i="3"/>
  <c r="B1476" i="3"/>
  <c r="H1475" i="3"/>
  <c r="B1475" i="3"/>
  <c r="H1474" i="3"/>
  <c r="B1474" i="3"/>
  <c r="H1473" i="3"/>
  <c r="B1473" i="3"/>
  <c r="H1472" i="3"/>
  <c r="B1472" i="3"/>
  <c r="H1471" i="3"/>
  <c r="B1471" i="3"/>
  <c r="H1470" i="3"/>
  <c r="B1470" i="3"/>
  <c r="H1469" i="3"/>
  <c r="B1469" i="3"/>
  <c r="H1468" i="3"/>
  <c r="B1468" i="3"/>
  <c r="H1467" i="3"/>
  <c r="B1467" i="3"/>
  <c r="H1466" i="3"/>
  <c r="B1466" i="3"/>
  <c r="H1465" i="3"/>
  <c r="B1465" i="3"/>
  <c r="H1464" i="3"/>
  <c r="B1464" i="3"/>
  <c r="H1463" i="3"/>
  <c r="B1463" i="3"/>
  <c r="H1462" i="3"/>
  <c r="B1462" i="3"/>
  <c r="H1461" i="3"/>
  <c r="B1461" i="3"/>
  <c r="H1460" i="3"/>
  <c r="B1460" i="3"/>
  <c r="H1459" i="3"/>
  <c r="B1459" i="3"/>
  <c r="H1458" i="3"/>
  <c r="B1458" i="3"/>
  <c r="H1457" i="3"/>
  <c r="B1457" i="3"/>
  <c r="H1456" i="3"/>
  <c r="B1456" i="3"/>
  <c r="H1455" i="3"/>
  <c r="B1455" i="3"/>
  <c r="H1454" i="3"/>
  <c r="B1454" i="3"/>
  <c r="H1453" i="3"/>
  <c r="B1453" i="3"/>
  <c r="H1452" i="3"/>
  <c r="B1452" i="3"/>
  <c r="H1451" i="3"/>
  <c r="B1451" i="3"/>
  <c r="H1450" i="3"/>
  <c r="B1450" i="3"/>
  <c r="H1449" i="3"/>
  <c r="B1449" i="3"/>
  <c r="H1448" i="3"/>
  <c r="B1448" i="3"/>
  <c r="H1447" i="3"/>
  <c r="B1447" i="3"/>
  <c r="H1446" i="3"/>
  <c r="B1446" i="3"/>
  <c r="H1445" i="3"/>
  <c r="B1445" i="3"/>
  <c r="H1444" i="3"/>
  <c r="B1444" i="3"/>
  <c r="H1443" i="3"/>
  <c r="B1443" i="3"/>
  <c r="H1442" i="3"/>
  <c r="B1442" i="3"/>
  <c r="H1441" i="3"/>
  <c r="B1441" i="3"/>
  <c r="H1440" i="3"/>
  <c r="B1440" i="3"/>
  <c r="H1439" i="3"/>
  <c r="B1439" i="3"/>
  <c r="H1438" i="3"/>
  <c r="B1438" i="3"/>
  <c r="H1437" i="3"/>
  <c r="B1437" i="3"/>
  <c r="H1436" i="3"/>
  <c r="B1436" i="3"/>
  <c r="H1435" i="3"/>
  <c r="B1435" i="3"/>
  <c r="H1434" i="3"/>
  <c r="B1434" i="3"/>
  <c r="H1433" i="3"/>
  <c r="B1433" i="3"/>
  <c r="H1432" i="3"/>
  <c r="B1432" i="3"/>
  <c r="H1431" i="3"/>
  <c r="B1431" i="3"/>
  <c r="H1430" i="3"/>
  <c r="B1430" i="3"/>
  <c r="H1429" i="3"/>
  <c r="B1429" i="3"/>
  <c r="H1428" i="3"/>
  <c r="B1428" i="3"/>
  <c r="H1427" i="3"/>
  <c r="B1427" i="3"/>
  <c r="H1426" i="3"/>
  <c r="B1426" i="3"/>
  <c r="H1425" i="3"/>
  <c r="B1425" i="3"/>
  <c r="H1424" i="3"/>
  <c r="B1424" i="3"/>
  <c r="H1423" i="3"/>
  <c r="B1423" i="3"/>
  <c r="H1422" i="3"/>
  <c r="B1422" i="3"/>
  <c r="H1421" i="3"/>
  <c r="B1421" i="3"/>
  <c r="H1420" i="3"/>
  <c r="B1420" i="3"/>
  <c r="H1419" i="3"/>
  <c r="B1419" i="3"/>
  <c r="H1418" i="3"/>
  <c r="B1418" i="3"/>
  <c r="H1417" i="3"/>
  <c r="B1417" i="3"/>
  <c r="H1416" i="3"/>
  <c r="B1416" i="3"/>
  <c r="H1415" i="3"/>
  <c r="B1415" i="3"/>
  <c r="H1414" i="3"/>
  <c r="B1414" i="3"/>
  <c r="H1413" i="3"/>
  <c r="B1413" i="3"/>
  <c r="H1412" i="3"/>
  <c r="B1412" i="3"/>
  <c r="H1411" i="3"/>
  <c r="B1411" i="3"/>
  <c r="H1410" i="3"/>
  <c r="B1410" i="3"/>
  <c r="H1409" i="3"/>
  <c r="B1409" i="3"/>
  <c r="H1408" i="3"/>
  <c r="B1408" i="3"/>
  <c r="H1407" i="3"/>
  <c r="B1407" i="3"/>
  <c r="H1406" i="3"/>
  <c r="B1406" i="3"/>
  <c r="H1405" i="3"/>
  <c r="B1405" i="3"/>
  <c r="H1404" i="3"/>
  <c r="B1404" i="3"/>
  <c r="H1403" i="3"/>
  <c r="B1403" i="3"/>
  <c r="H1402" i="3"/>
  <c r="B1402" i="3"/>
  <c r="H1401" i="3"/>
  <c r="B1401" i="3"/>
  <c r="H1400" i="3"/>
  <c r="B1400" i="3"/>
  <c r="H1399" i="3"/>
  <c r="B1399" i="3"/>
  <c r="H1398" i="3"/>
  <c r="B1398" i="3"/>
  <c r="H1397" i="3"/>
  <c r="B1397" i="3"/>
  <c r="H1396" i="3"/>
  <c r="B1396" i="3"/>
  <c r="H1395" i="3"/>
  <c r="B1395" i="3"/>
  <c r="H1394" i="3"/>
  <c r="B1394" i="3"/>
  <c r="H1393" i="3"/>
  <c r="B1393" i="3"/>
  <c r="H1392" i="3"/>
  <c r="B1392" i="3"/>
  <c r="H1391" i="3"/>
  <c r="B1391" i="3"/>
  <c r="H1390" i="3"/>
  <c r="B1390" i="3"/>
  <c r="H1389" i="3"/>
  <c r="B1389" i="3"/>
  <c r="H1388" i="3"/>
  <c r="B1388" i="3"/>
  <c r="H1387" i="3"/>
  <c r="B1387" i="3"/>
  <c r="H1386" i="3"/>
  <c r="B1386" i="3"/>
  <c r="H1385" i="3"/>
  <c r="B1385" i="3"/>
  <c r="H1384" i="3"/>
  <c r="B1384" i="3"/>
  <c r="H1383" i="3"/>
  <c r="B1383" i="3"/>
  <c r="H1382" i="3"/>
  <c r="B1382" i="3"/>
  <c r="H1381" i="3"/>
  <c r="B1381" i="3"/>
  <c r="H1380" i="3"/>
  <c r="B1380" i="3"/>
  <c r="H1379" i="3"/>
  <c r="B1379" i="3"/>
  <c r="H1378" i="3"/>
  <c r="B1378" i="3"/>
  <c r="H1377" i="3"/>
  <c r="B1377" i="3"/>
  <c r="H1376" i="3"/>
  <c r="B1376" i="3"/>
  <c r="H1375" i="3"/>
  <c r="B1375" i="3"/>
  <c r="H1374" i="3"/>
  <c r="B1374" i="3"/>
  <c r="H1373" i="3"/>
  <c r="B1373" i="3"/>
  <c r="H1372" i="3"/>
  <c r="B1372" i="3"/>
  <c r="H1371" i="3"/>
  <c r="B1371" i="3"/>
  <c r="H1370" i="3"/>
  <c r="B1370" i="3"/>
  <c r="H1369" i="3"/>
  <c r="B1369" i="3"/>
  <c r="H1368" i="3"/>
  <c r="B1368" i="3"/>
  <c r="H1367" i="3"/>
  <c r="B1367" i="3"/>
  <c r="H1366" i="3"/>
  <c r="B1366" i="3"/>
  <c r="H1365" i="3"/>
  <c r="B1365" i="3"/>
  <c r="H1364" i="3"/>
  <c r="B1364" i="3"/>
  <c r="H1363" i="3"/>
  <c r="B1363" i="3"/>
  <c r="H1362" i="3"/>
  <c r="B1362" i="3"/>
  <c r="H1361" i="3"/>
  <c r="B1361" i="3"/>
  <c r="H1360" i="3"/>
  <c r="B1360" i="3"/>
  <c r="H1359" i="3"/>
  <c r="B1359" i="3"/>
  <c r="H1358" i="3"/>
  <c r="B1358" i="3"/>
  <c r="H1357" i="3"/>
  <c r="B1357" i="3"/>
  <c r="H1356" i="3"/>
  <c r="B1356" i="3"/>
  <c r="H1355" i="3"/>
  <c r="B1355" i="3"/>
  <c r="H1354" i="3"/>
  <c r="B1354" i="3"/>
  <c r="H1353" i="3"/>
  <c r="B1353" i="3"/>
  <c r="H1352" i="3"/>
  <c r="B1352" i="3"/>
  <c r="H1351" i="3"/>
  <c r="B1351" i="3"/>
  <c r="H1350" i="3"/>
  <c r="B1350" i="3"/>
  <c r="H1349" i="3"/>
  <c r="B1349" i="3"/>
  <c r="H1348" i="3"/>
  <c r="B1348" i="3"/>
  <c r="H1347" i="3"/>
  <c r="B1347" i="3"/>
  <c r="H1346" i="3"/>
  <c r="B1346" i="3"/>
  <c r="H1345" i="3"/>
  <c r="B1345" i="3"/>
  <c r="H1344" i="3"/>
  <c r="B1344" i="3"/>
  <c r="H1343" i="3"/>
  <c r="B1343" i="3"/>
  <c r="H1342" i="3"/>
  <c r="B1342" i="3"/>
  <c r="H1341" i="3"/>
  <c r="B1341" i="3"/>
  <c r="H1340" i="3"/>
  <c r="B1340" i="3"/>
  <c r="H1339" i="3"/>
  <c r="B1339" i="3"/>
  <c r="H1338" i="3"/>
  <c r="B1338" i="3"/>
  <c r="H1337" i="3"/>
  <c r="B1337" i="3"/>
  <c r="H1336" i="3"/>
  <c r="B1336" i="3"/>
  <c r="H1335" i="3"/>
  <c r="B1335" i="3"/>
  <c r="H1334" i="3"/>
  <c r="B1334" i="3"/>
  <c r="H1333" i="3"/>
  <c r="B1333" i="3"/>
  <c r="H1332" i="3"/>
  <c r="B1332" i="3"/>
  <c r="H1331" i="3"/>
  <c r="B1331" i="3"/>
  <c r="H1330" i="3"/>
  <c r="B1330" i="3"/>
  <c r="H1329" i="3"/>
  <c r="B1329" i="3"/>
  <c r="H1328" i="3"/>
  <c r="B1328" i="3"/>
  <c r="H1327" i="3"/>
  <c r="B1327" i="3"/>
  <c r="H1326" i="3"/>
  <c r="B1326" i="3"/>
  <c r="H1325" i="3"/>
  <c r="B1325" i="3"/>
  <c r="H1324" i="3"/>
  <c r="B1324" i="3"/>
  <c r="H1323" i="3"/>
  <c r="B1323" i="3"/>
  <c r="H1322" i="3"/>
  <c r="B1322" i="3"/>
  <c r="H1321" i="3"/>
  <c r="B1321" i="3"/>
  <c r="H1320" i="3"/>
  <c r="B1320" i="3"/>
  <c r="H1319" i="3"/>
  <c r="B1319" i="3"/>
  <c r="H1318" i="3"/>
  <c r="B1318" i="3"/>
  <c r="H1317" i="3"/>
  <c r="B1317" i="3"/>
  <c r="H1316" i="3"/>
  <c r="B1316" i="3"/>
  <c r="H1315" i="3"/>
  <c r="B1315" i="3"/>
  <c r="H1314" i="3"/>
  <c r="B1314" i="3"/>
  <c r="H1313" i="3"/>
  <c r="B1313" i="3"/>
  <c r="H1312" i="3"/>
  <c r="B1312" i="3"/>
  <c r="H1311" i="3"/>
  <c r="B1311" i="3"/>
  <c r="H1310" i="3"/>
  <c r="B1310" i="3"/>
  <c r="H1309" i="3"/>
  <c r="B1309" i="3"/>
  <c r="H1308" i="3"/>
  <c r="B1308" i="3"/>
  <c r="H1307" i="3"/>
  <c r="B1307" i="3"/>
  <c r="H1306" i="3"/>
  <c r="B1306" i="3"/>
  <c r="H1305" i="3"/>
  <c r="B1305" i="3"/>
  <c r="H1304" i="3"/>
  <c r="B1304" i="3"/>
  <c r="H1303" i="3"/>
  <c r="B1303" i="3"/>
  <c r="H1302" i="3"/>
  <c r="B1302" i="3"/>
  <c r="H1301" i="3"/>
  <c r="B1301" i="3"/>
  <c r="H1300" i="3"/>
  <c r="B1300" i="3"/>
  <c r="H1299" i="3"/>
  <c r="B1299" i="3"/>
  <c r="H1298" i="3"/>
  <c r="B1298" i="3"/>
  <c r="H1297" i="3"/>
  <c r="B1297" i="3"/>
  <c r="H1296" i="3"/>
  <c r="B1296" i="3"/>
  <c r="H1295" i="3"/>
  <c r="B1295" i="3"/>
  <c r="H1294" i="3"/>
  <c r="B1294" i="3"/>
  <c r="H1293" i="3"/>
  <c r="B1293" i="3"/>
  <c r="H1292" i="3"/>
  <c r="B1292" i="3"/>
  <c r="H1291" i="3"/>
  <c r="B1291" i="3"/>
  <c r="H1290" i="3"/>
  <c r="B1290" i="3"/>
  <c r="H1289" i="3"/>
  <c r="B1289" i="3"/>
  <c r="H1288" i="3"/>
  <c r="B1288" i="3"/>
  <c r="H1287" i="3"/>
  <c r="B1287" i="3"/>
  <c r="H1286" i="3"/>
  <c r="B1286" i="3"/>
  <c r="H1285" i="3"/>
  <c r="B1285" i="3"/>
  <c r="H1284" i="3"/>
  <c r="B1284" i="3"/>
  <c r="H1283" i="3"/>
  <c r="B1283" i="3"/>
  <c r="H1282" i="3"/>
  <c r="B1282" i="3"/>
  <c r="H1281" i="3"/>
  <c r="B1281" i="3"/>
  <c r="H1280" i="3"/>
  <c r="B1280" i="3"/>
  <c r="H1279" i="3"/>
  <c r="B1279" i="3"/>
  <c r="H1278" i="3"/>
  <c r="B1278" i="3"/>
  <c r="H1277" i="3"/>
  <c r="B1277" i="3"/>
  <c r="H1276" i="3"/>
  <c r="B1276" i="3"/>
  <c r="H1275" i="3"/>
  <c r="B1275" i="3"/>
  <c r="H1274" i="3"/>
  <c r="B1274" i="3"/>
  <c r="H1273" i="3"/>
  <c r="B1273" i="3"/>
  <c r="H1272" i="3"/>
  <c r="B1272" i="3"/>
  <c r="H1271" i="3"/>
  <c r="B1271" i="3"/>
  <c r="H1270" i="3"/>
  <c r="B1270" i="3"/>
  <c r="H1269" i="3"/>
  <c r="B1269" i="3"/>
  <c r="H1268" i="3"/>
  <c r="B1268" i="3"/>
  <c r="H1267" i="3"/>
  <c r="B1267" i="3"/>
  <c r="H1266" i="3"/>
  <c r="B1266" i="3"/>
  <c r="H1265" i="3"/>
  <c r="B1265" i="3"/>
  <c r="H1264" i="3"/>
  <c r="B1264" i="3"/>
  <c r="H1263" i="3"/>
  <c r="B1263" i="3"/>
  <c r="H1262" i="3"/>
  <c r="B1262" i="3"/>
  <c r="H1261" i="3"/>
  <c r="B1261" i="3"/>
  <c r="H1260" i="3"/>
  <c r="B1260" i="3"/>
  <c r="H1259" i="3"/>
  <c r="B1259" i="3"/>
  <c r="H1258" i="3"/>
  <c r="B1258" i="3"/>
  <c r="H1257" i="3"/>
  <c r="B1257" i="3"/>
  <c r="H1256" i="3"/>
  <c r="B1256" i="3"/>
  <c r="H1255" i="3"/>
  <c r="B1255" i="3"/>
  <c r="H1254" i="3"/>
  <c r="B1254" i="3"/>
  <c r="H1253" i="3"/>
  <c r="B1253" i="3"/>
  <c r="H1252" i="3"/>
  <c r="B1252" i="3"/>
  <c r="H1251" i="3"/>
  <c r="B1251" i="3"/>
  <c r="H1250" i="3"/>
  <c r="B1250" i="3"/>
  <c r="H1249" i="3"/>
  <c r="B1249" i="3"/>
  <c r="H1248" i="3"/>
  <c r="B1248" i="3"/>
  <c r="H1247" i="3"/>
  <c r="B1247" i="3"/>
  <c r="H1246" i="3"/>
  <c r="B1246" i="3"/>
  <c r="H1245" i="3"/>
  <c r="B1245" i="3"/>
  <c r="H1244" i="3"/>
  <c r="B1244" i="3"/>
  <c r="H1243" i="3"/>
  <c r="B1243" i="3"/>
  <c r="H1242" i="3"/>
  <c r="B1242" i="3"/>
  <c r="H1241" i="3"/>
  <c r="B1241" i="3"/>
  <c r="H1240" i="3"/>
  <c r="B1240" i="3"/>
  <c r="H1239" i="3"/>
  <c r="B1239" i="3"/>
  <c r="H1238" i="3"/>
  <c r="B1238" i="3"/>
  <c r="H1237" i="3"/>
  <c r="B1237" i="3"/>
  <c r="H1236" i="3"/>
  <c r="B1236" i="3"/>
  <c r="H1235" i="3"/>
  <c r="B1235" i="3"/>
  <c r="H1234" i="3"/>
  <c r="B1234" i="3"/>
  <c r="H1233" i="3"/>
  <c r="B1233" i="3"/>
  <c r="H1232" i="3"/>
  <c r="B1232" i="3"/>
  <c r="H1231" i="3"/>
  <c r="B1231" i="3"/>
  <c r="H1230" i="3"/>
  <c r="B1230" i="3"/>
  <c r="H1229" i="3"/>
  <c r="B1229" i="3"/>
  <c r="H1228" i="3"/>
  <c r="B1228" i="3"/>
  <c r="H1227" i="3"/>
  <c r="B1227" i="3"/>
  <c r="H1226" i="3"/>
  <c r="B1226" i="3"/>
  <c r="H1225" i="3"/>
  <c r="B1225" i="3"/>
  <c r="H1224" i="3"/>
  <c r="B1224" i="3"/>
  <c r="H1223" i="3"/>
  <c r="B1223" i="3"/>
  <c r="H1222" i="3"/>
  <c r="B1222" i="3"/>
  <c r="H1221" i="3"/>
  <c r="B1221" i="3"/>
  <c r="H1220" i="3"/>
  <c r="B1220" i="3"/>
  <c r="H1219" i="3"/>
  <c r="B1219" i="3"/>
  <c r="H1218" i="3"/>
  <c r="B1218" i="3"/>
  <c r="H1217" i="3"/>
  <c r="B1217" i="3"/>
  <c r="H1216" i="3"/>
  <c r="B1216" i="3"/>
  <c r="H1215" i="3"/>
  <c r="B1215" i="3"/>
  <c r="H1214" i="3"/>
  <c r="B1214" i="3"/>
  <c r="H1213" i="3"/>
  <c r="B1213" i="3"/>
  <c r="H1212" i="3"/>
  <c r="B1212" i="3"/>
  <c r="H1211" i="3"/>
  <c r="B1211" i="3"/>
  <c r="H1210" i="3"/>
  <c r="B1210" i="3"/>
  <c r="H1209" i="3"/>
  <c r="B1209" i="3"/>
  <c r="H1208" i="3"/>
  <c r="B1208" i="3"/>
  <c r="H1207" i="3"/>
  <c r="B1207" i="3"/>
  <c r="H1206" i="3"/>
  <c r="B1206" i="3"/>
  <c r="H1205" i="3"/>
  <c r="B1205" i="3"/>
  <c r="H1204" i="3"/>
  <c r="B1204" i="3"/>
  <c r="H1203" i="3"/>
  <c r="B1203" i="3"/>
  <c r="H1202" i="3"/>
  <c r="B1202" i="3"/>
  <c r="H1201" i="3"/>
  <c r="B1201" i="3"/>
  <c r="H1200" i="3"/>
  <c r="B1200" i="3"/>
  <c r="H1199" i="3"/>
  <c r="B1199" i="3"/>
  <c r="H1198" i="3"/>
  <c r="B1198" i="3"/>
  <c r="H1197" i="3"/>
  <c r="B1197" i="3"/>
  <c r="H1196" i="3"/>
  <c r="B1196" i="3"/>
  <c r="H1195" i="3"/>
  <c r="B1195" i="3"/>
  <c r="H1194" i="3"/>
  <c r="B1194" i="3"/>
  <c r="H1193" i="3"/>
  <c r="B1193" i="3"/>
  <c r="H1192" i="3"/>
  <c r="B1192" i="3"/>
  <c r="H1191" i="3"/>
  <c r="B1191" i="3"/>
  <c r="H1190" i="3"/>
  <c r="B1190" i="3"/>
  <c r="H1189" i="3"/>
  <c r="B1189" i="3"/>
  <c r="H1188" i="3"/>
  <c r="B1188" i="3"/>
  <c r="H1187" i="3"/>
  <c r="B1187" i="3"/>
  <c r="H1186" i="3"/>
  <c r="B1186" i="3"/>
  <c r="H1185" i="3"/>
  <c r="B1185" i="3"/>
  <c r="H1184" i="3"/>
  <c r="B1184" i="3"/>
  <c r="H1183" i="3"/>
  <c r="B1183" i="3"/>
  <c r="H1182" i="3"/>
  <c r="B1182" i="3"/>
  <c r="H1181" i="3"/>
  <c r="B1181" i="3"/>
  <c r="H1180" i="3"/>
  <c r="B1180" i="3"/>
  <c r="H1179" i="3"/>
  <c r="B1179" i="3"/>
  <c r="H1178" i="3"/>
  <c r="B1178" i="3"/>
  <c r="H1177" i="3"/>
  <c r="B1177" i="3"/>
  <c r="H1176" i="3"/>
  <c r="B1176" i="3"/>
  <c r="H1175" i="3"/>
  <c r="B1175" i="3"/>
  <c r="H1174" i="3"/>
  <c r="B1174" i="3"/>
  <c r="H1173" i="3"/>
  <c r="B1173" i="3"/>
  <c r="H1172" i="3"/>
  <c r="B1172" i="3"/>
  <c r="H1171" i="3"/>
  <c r="B1171" i="3"/>
  <c r="H1170" i="3"/>
  <c r="B1170" i="3"/>
  <c r="H1169" i="3"/>
  <c r="B1169" i="3"/>
  <c r="H1168" i="3"/>
  <c r="B1168" i="3"/>
  <c r="H1167" i="3"/>
  <c r="B1167" i="3"/>
  <c r="H1166" i="3"/>
  <c r="B1166" i="3"/>
  <c r="H1165" i="3"/>
  <c r="B1165" i="3"/>
  <c r="H1164" i="3"/>
  <c r="B1164" i="3"/>
  <c r="H1163" i="3"/>
  <c r="B1163" i="3"/>
  <c r="H1162" i="3"/>
  <c r="B1162" i="3"/>
  <c r="H1161" i="3"/>
  <c r="B1161" i="3"/>
  <c r="H1160" i="3"/>
  <c r="B1160" i="3"/>
  <c r="H1159" i="3"/>
  <c r="B1159" i="3"/>
  <c r="H1158" i="3"/>
  <c r="B1158" i="3"/>
  <c r="H1157" i="3"/>
  <c r="B1157" i="3"/>
  <c r="H1156" i="3"/>
  <c r="B1156" i="3"/>
  <c r="H1155" i="3"/>
  <c r="B1155" i="3"/>
  <c r="H1154" i="3"/>
  <c r="B1154" i="3"/>
  <c r="H1153" i="3"/>
  <c r="B1153" i="3"/>
  <c r="H1152" i="3"/>
  <c r="B1152" i="3"/>
  <c r="H1151" i="3"/>
  <c r="B1151" i="3"/>
  <c r="H1150" i="3"/>
  <c r="B1150" i="3"/>
  <c r="H1149" i="3"/>
  <c r="B1149" i="3"/>
  <c r="H1148" i="3"/>
  <c r="B1148" i="3"/>
  <c r="H1147" i="3"/>
  <c r="B1147" i="3"/>
  <c r="H1146" i="3"/>
  <c r="B1146" i="3"/>
  <c r="H1145" i="3"/>
  <c r="B1145" i="3"/>
  <c r="H1144" i="3"/>
  <c r="B1144" i="3"/>
  <c r="H1143" i="3"/>
  <c r="B1143" i="3"/>
  <c r="H1142" i="3"/>
  <c r="B1142" i="3"/>
  <c r="H1141" i="3"/>
  <c r="B1141" i="3"/>
  <c r="H1140" i="3"/>
  <c r="B1140" i="3"/>
  <c r="H1139" i="3"/>
  <c r="B1139" i="3"/>
  <c r="H1138" i="3"/>
  <c r="B1138" i="3"/>
  <c r="H1137" i="3"/>
  <c r="B1137" i="3"/>
  <c r="H1136" i="3"/>
  <c r="B1136" i="3"/>
  <c r="H1135" i="3"/>
  <c r="B1135" i="3"/>
  <c r="H1134" i="3"/>
  <c r="B1134" i="3"/>
  <c r="H1133" i="3"/>
  <c r="B1133" i="3"/>
  <c r="H1132" i="3"/>
  <c r="B1132" i="3"/>
  <c r="H1131" i="3"/>
  <c r="B1131" i="3"/>
  <c r="H1130" i="3"/>
  <c r="B1130" i="3"/>
  <c r="H1129" i="3"/>
  <c r="B1129" i="3"/>
  <c r="H1128" i="3"/>
  <c r="B1128" i="3"/>
  <c r="H1127" i="3"/>
  <c r="B1127" i="3"/>
  <c r="H1126" i="3"/>
  <c r="B1126" i="3"/>
  <c r="H1125" i="3"/>
  <c r="B1125" i="3"/>
  <c r="H1124" i="3"/>
  <c r="B1124" i="3"/>
  <c r="H1123" i="3"/>
  <c r="B1123" i="3"/>
  <c r="H1122" i="3"/>
  <c r="B1122" i="3"/>
  <c r="H1121" i="3"/>
  <c r="B1121" i="3"/>
  <c r="H1120" i="3"/>
  <c r="B1120" i="3"/>
  <c r="H1119" i="3"/>
  <c r="B1119" i="3"/>
  <c r="H1118" i="3"/>
  <c r="B1118" i="3"/>
  <c r="H1117" i="3"/>
  <c r="B1117" i="3"/>
  <c r="H1116" i="3"/>
  <c r="B1116" i="3"/>
  <c r="H1115" i="3"/>
  <c r="B1115" i="3"/>
  <c r="H1114" i="3"/>
  <c r="B1114" i="3"/>
  <c r="H1113" i="3"/>
  <c r="B1113" i="3"/>
  <c r="H1112" i="3"/>
  <c r="B1112" i="3"/>
  <c r="H1111" i="3"/>
  <c r="B1111" i="3"/>
  <c r="H1110" i="3"/>
  <c r="B1110" i="3"/>
  <c r="H1109" i="3"/>
  <c r="B1109" i="3"/>
  <c r="H1108" i="3"/>
  <c r="B1108" i="3"/>
  <c r="H1107" i="3"/>
  <c r="B1107" i="3"/>
  <c r="H1106" i="3"/>
  <c r="B1106" i="3"/>
  <c r="H1105" i="3"/>
  <c r="B1105" i="3"/>
  <c r="H1104" i="3"/>
  <c r="B1104" i="3"/>
  <c r="H1103" i="3"/>
  <c r="B1103" i="3"/>
  <c r="H1102" i="3"/>
  <c r="B1102" i="3"/>
  <c r="H1101" i="3"/>
  <c r="B1101" i="3"/>
  <c r="H1100" i="3"/>
  <c r="B1100" i="3"/>
  <c r="H1099" i="3"/>
  <c r="B1099" i="3"/>
  <c r="H1098" i="3"/>
  <c r="B1098" i="3"/>
  <c r="H1097" i="3"/>
  <c r="B1097" i="3"/>
  <c r="H1096" i="3"/>
  <c r="B1096" i="3"/>
  <c r="H1095" i="3"/>
  <c r="B1095" i="3"/>
  <c r="H1094" i="3"/>
  <c r="B1094" i="3"/>
  <c r="H1093" i="3"/>
  <c r="B1093" i="3"/>
  <c r="H1092" i="3"/>
  <c r="B1092" i="3"/>
  <c r="H1091" i="3"/>
  <c r="B1091" i="3"/>
  <c r="H1090" i="3"/>
  <c r="B1090" i="3"/>
  <c r="H1089" i="3"/>
  <c r="B1089" i="3"/>
  <c r="H1088" i="3"/>
  <c r="B1088" i="3"/>
  <c r="H1087" i="3"/>
  <c r="B1087" i="3"/>
  <c r="H1086" i="3"/>
  <c r="B1086" i="3"/>
  <c r="H1085" i="3"/>
  <c r="B1085" i="3"/>
  <c r="H1084" i="3"/>
  <c r="B1084" i="3"/>
  <c r="H1083" i="3"/>
  <c r="B1083" i="3"/>
  <c r="H1082" i="3"/>
  <c r="B1082" i="3"/>
  <c r="H1081" i="3"/>
  <c r="B1081" i="3"/>
  <c r="H1080" i="3"/>
  <c r="B1080" i="3"/>
  <c r="H1079" i="3"/>
  <c r="B1079" i="3"/>
  <c r="H1078" i="3"/>
  <c r="B1078" i="3"/>
  <c r="H1077" i="3"/>
  <c r="B1077" i="3"/>
  <c r="H1076" i="3"/>
  <c r="B1076" i="3"/>
  <c r="H1075" i="3"/>
  <c r="B1075" i="3"/>
  <c r="H1074" i="3"/>
  <c r="B1074" i="3"/>
  <c r="H1073" i="3"/>
  <c r="B1073" i="3"/>
  <c r="H1072" i="3"/>
  <c r="B1072" i="3"/>
  <c r="H1071" i="3"/>
  <c r="B1071" i="3"/>
  <c r="H1070" i="3"/>
  <c r="B1070" i="3"/>
  <c r="H1069" i="3"/>
  <c r="B1069" i="3"/>
  <c r="H1068" i="3"/>
  <c r="B1068" i="3"/>
  <c r="H1067" i="3"/>
  <c r="B1067" i="3"/>
  <c r="H1066" i="3"/>
  <c r="B1066" i="3"/>
  <c r="H1065" i="3"/>
  <c r="B1065" i="3"/>
  <c r="H1064" i="3"/>
  <c r="B1064" i="3"/>
  <c r="H1063" i="3"/>
  <c r="B1063" i="3"/>
  <c r="H1062" i="3"/>
  <c r="B1062" i="3"/>
  <c r="H1061" i="3"/>
  <c r="B1061" i="3"/>
  <c r="H1060" i="3"/>
  <c r="B1060" i="3"/>
  <c r="H1059" i="3"/>
  <c r="B1059" i="3"/>
  <c r="H1058" i="3"/>
  <c r="B1058" i="3"/>
  <c r="H1057" i="3"/>
  <c r="B1057" i="3"/>
  <c r="H1056" i="3"/>
  <c r="B1056" i="3"/>
  <c r="H1055" i="3"/>
  <c r="B1055" i="3"/>
  <c r="H1054" i="3"/>
  <c r="B1054" i="3"/>
  <c r="H1053" i="3"/>
  <c r="B1053" i="3"/>
  <c r="H1052" i="3"/>
  <c r="B1052" i="3"/>
  <c r="H1051" i="3"/>
  <c r="B1051" i="3"/>
  <c r="H1050" i="3"/>
  <c r="B1050" i="3"/>
  <c r="H1049" i="3"/>
  <c r="B1049" i="3"/>
  <c r="H1048" i="3"/>
  <c r="B1048" i="3"/>
  <c r="H1047" i="3"/>
  <c r="B1047" i="3"/>
  <c r="H1046" i="3"/>
  <c r="B1046" i="3"/>
  <c r="H1045" i="3"/>
  <c r="B1045" i="3"/>
  <c r="H1044" i="3"/>
  <c r="B1044" i="3"/>
  <c r="H1043" i="3"/>
  <c r="B1043" i="3"/>
  <c r="H1042" i="3"/>
  <c r="B1042" i="3"/>
  <c r="H1041" i="3"/>
  <c r="B1041" i="3"/>
  <c r="H1040" i="3"/>
  <c r="B1040" i="3"/>
  <c r="H1039" i="3"/>
  <c r="B1039" i="3"/>
  <c r="H1038" i="3"/>
  <c r="B1038" i="3"/>
  <c r="H1037" i="3"/>
  <c r="B1037" i="3"/>
  <c r="H1036" i="3"/>
  <c r="B1036" i="3"/>
  <c r="H1035" i="3"/>
  <c r="B1035" i="3"/>
  <c r="H1034" i="3"/>
  <c r="B1034" i="3"/>
  <c r="H1033" i="3"/>
  <c r="B1033" i="3"/>
  <c r="H1032" i="3"/>
  <c r="B1032" i="3"/>
  <c r="H1031" i="3"/>
  <c r="B1031" i="3"/>
  <c r="H1030" i="3"/>
  <c r="B1030" i="3"/>
  <c r="H1029" i="3"/>
  <c r="B1029" i="3"/>
  <c r="H1028" i="3"/>
  <c r="B1028" i="3"/>
  <c r="H1027" i="3"/>
  <c r="B1027" i="3"/>
  <c r="H1026" i="3"/>
  <c r="B1026" i="3"/>
  <c r="H1025" i="3"/>
  <c r="B1025" i="3"/>
  <c r="H1024" i="3"/>
  <c r="B1024" i="3"/>
  <c r="H1023" i="3"/>
  <c r="B1023" i="3"/>
  <c r="H1022" i="3"/>
  <c r="B1022" i="3"/>
  <c r="H1021" i="3"/>
  <c r="B1021" i="3"/>
  <c r="H1020" i="3"/>
  <c r="B1020" i="3"/>
  <c r="H1019" i="3"/>
  <c r="B1019" i="3"/>
  <c r="H1018" i="3"/>
  <c r="B1018" i="3"/>
  <c r="H1017" i="3"/>
  <c r="B1017" i="3"/>
  <c r="H1016" i="3"/>
  <c r="B1016" i="3"/>
  <c r="H1015" i="3"/>
  <c r="B1015" i="3"/>
  <c r="H1014" i="3"/>
  <c r="B1014" i="3"/>
  <c r="H1013" i="3"/>
  <c r="B1013" i="3"/>
  <c r="H1012" i="3"/>
  <c r="B1012" i="3"/>
  <c r="H1011" i="3"/>
  <c r="B1011" i="3"/>
  <c r="H1010" i="3"/>
  <c r="B1010" i="3"/>
  <c r="H1009" i="3"/>
  <c r="B1009" i="3"/>
  <c r="H1008" i="3"/>
  <c r="B1008" i="3"/>
  <c r="H1007" i="3"/>
  <c r="B1007" i="3"/>
  <c r="H1006" i="3"/>
  <c r="B1006" i="3"/>
  <c r="H1005" i="3"/>
  <c r="B1005" i="3"/>
  <c r="H1004" i="3"/>
  <c r="B1004" i="3"/>
  <c r="H1003" i="3"/>
  <c r="B1003" i="3"/>
  <c r="H1002" i="3"/>
  <c r="B1002" i="3"/>
  <c r="H1001" i="3"/>
  <c r="B1001" i="3"/>
  <c r="H1000" i="3"/>
  <c r="B1000" i="3"/>
  <c r="H999" i="3"/>
  <c r="B999" i="3"/>
  <c r="H998" i="3"/>
  <c r="B998" i="3"/>
  <c r="H997" i="3"/>
  <c r="B997" i="3"/>
  <c r="H996" i="3"/>
  <c r="B996" i="3"/>
  <c r="H995" i="3"/>
  <c r="B995" i="3"/>
  <c r="H994" i="3"/>
  <c r="B994" i="3"/>
  <c r="H993" i="3"/>
  <c r="B993" i="3"/>
  <c r="H992" i="3"/>
  <c r="B992" i="3"/>
  <c r="H991" i="3"/>
  <c r="B991" i="3"/>
  <c r="H990" i="3"/>
  <c r="B990" i="3"/>
  <c r="H989" i="3"/>
  <c r="B989" i="3"/>
  <c r="H988" i="3"/>
  <c r="B988" i="3"/>
  <c r="H987" i="3"/>
  <c r="B987" i="3"/>
  <c r="H986" i="3"/>
  <c r="B986" i="3"/>
  <c r="H985" i="3"/>
  <c r="B985" i="3"/>
  <c r="H984" i="3"/>
  <c r="B984" i="3"/>
  <c r="H983" i="3"/>
  <c r="B983" i="3"/>
  <c r="H982" i="3"/>
  <c r="B982" i="3"/>
  <c r="H981" i="3"/>
  <c r="B981" i="3"/>
  <c r="H980" i="3"/>
  <c r="B980" i="3"/>
  <c r="H979" i="3"/>
  <c r="B979" i="3"/>
  <c r="H978" i="3"/>
  <c r="B978" i="3"/>
  <c r="H977" i="3"/>
  <c r="B977" i="3"/>
  <c r="H976" i="3"/>
  <c r="B976" i="3"/>
  <c r="H975" i="3"/>
  <c r="B975" i="3"/>
  <c r="H974" i="3"/>
  <c r="B974" i="3"/>
  <c r="H973" i="3"/>
  <c r="B973" i="3"/>
  <c r="H972" i="3"/>
  <c r="B972" i="3"/>
  <c r="H971" i="3"/>
  <c r="B971" i="3"/>
  <c r="H970" i="3"/>
  <c r="B970" i="3"/>
  <c r="H969" i="3"/>
  <c r="B969" i="3"/>
  <c r="H968" i="3"/>
  <c r="B968" i="3"/>
  <c r="H967" i="3"/>
  <c r="B967" i="3"/>
  <c r="H966" i="3"/>
  <c r="B966" i="3"/>
  <c r="H965" i="3"/>
  <c r="B965" i="3"/>
  <c r="H964" i="3"/>
  <c r="B964" i="3"/>
  <c r="H963" i="3"/>
  <c r="B963" i="3"/>
  <c r="H962" i="3"/>
  <c r="B962" i="3"/>
  <c r="H961" i="3"/>
  <c r="B961" i="3"/>
  <c r="H960" i="3"/>
  <c r="B960" i="3"/>
  <c r="H959" i="3"/>
  <c r="B959" i="3"/>
  <c r="H958" i="3"/>
  <c r="B958" i="3"/>
  <c r="H957" i="3"/>
  <c r="B957" i="3"/>
  <c r="H956" i="3"/>
  <c r="B956" i="3"/>
  <c r="H955" i="3"/>
  <c r="B955" i="3"/>
  <c r="H954" i="3"/>
  <c r="B954" i="3"/>
  <c r="H953" i="3"/>
  <c r="B953" i="3"/>
  <c r="H952" i="3"/>
  <c r="B952" i="3"/>
  <c r="H951" i="3"/>
  <c r="B951" i="3"/>
  <c r="H950" i="3"/>
  <c r="B950" i="3"/>
  <c r="H949" i="3"/>
  <c r="B949" i="3"/>
  <c r="H948" i="3"/>
  <c r="B948" i="3"/>
  <c r="H947" i="3"/>
  <c r="B947" i="3"/>
  <c r="H946" i="3"/>
  <c r="B946" i="3"/>
  <c r="H945" i="3"/>
  <c r="B945" i="3"/>
  <c r="H944" i="3"/>
  <c r="B944" i="3"/>
  <c r="H943" i="3"/>
  <c r="B943" i="3"/>
  <c r="H942" i="3"/>
  <c r="B942" i="3"/>
  <c r="H941" i="3"/>
  <c r="B941" i="3"/>
  <c r="H940" i="3"/>
  <c r="B940" i="3"/>
  <c r="H939" i="3"/>
  <c r="B939" i="3"/>
  <c r="H938" i="3"/>
  <c r="B938" i="3"/>
  <c r="H937" i="3"/>
  <c r="B937" i="3"/>
  <c r="H936" i="3"/>
  <c r="B936" i="3"/>
  <c r="H935" i="3"/>
  <c r="B935" i="3"/>
  <c r="H934" i="3"/>
  <c r="B934" i="3"/>
  <c r="H933" i="3"/>
  <c r="B933" i="3"/>
  <c r="H932" i="3"/>
  <c r="B932" i="3"/>
  <c r="H931" i="3"/>
  <c r="B931" i="3"/>
  <c r="H930" i="3"/>
  <c r="B930" i="3"/>
  <c r="H929" i="3"/>
  <c r="B929" i="3"/>
  <c r="H928" i="3"/>
  <c r="B928" i="3"/>
  <c r="H927" i="3"/>
  <c r="B927" i="3"/>
  <c r="H926" i="3"/>
  <c r="B926" i="3"/>
  <c r="H925" i="3"/>
  <c r="B925" i="3"/>
  <c r="H924" i="3"/>
  <c r="B924" i="3"/>
  <c r="H923" i="3"/>
  <c r="B923" i="3"/>
  <c r="H922" i="3"/>
  <c r="B922" i="3"/>
  <c r="H921" i="3"/>
  <c r="B921" i="3"/>
  <c r="H920" i="3"/>
  <c r="B920" i="3"/>
  <c r="H919" i="3"/>
  <c r="B919" i="3"/>
  <c r="H918" i="3"/>
  <c r="B918" i="3"/>
  <c r="H917" i="3"/>
  <c r="B917" i="3"/>
  <c r="H916" i="3"/>
  <c r="B916" i="3"/>
  <c r="H915" i="3"/>
  <c r="B915" i="3"/>
  <c r="H914" i="3"/>
  <c r="B914" i="3"/>
  <c r="H913" i="3"/>
  <c r="B913" i="3"/>
  <c r="H912" i="3"/>
  <c r="B912" i="3"/>
  <c r="H911" i="3"/>
  <c r="B911" i="3"/>
  <c r="H910" i="3"/>
  <c r="B910" i="3"/>
  <c r="H909" i="3"/>
  <c r="B909" i="3"/>
  <c r="H908" i="3"/>
  <c r="B908" i="3"/>
  <c r="H907" i="3"/>
  <c r="B907" i="3"/>
  <c r="H906" i="3"/>
  <c r="B906" i="3"/>
  <c r="H905" i="3"/>
  <c r="B905" i="3"/>
  <c r="H904" i="3"/>
  <c r="B904" i="3"/>
  <c r="H903" i="3"/>
  <c r="B903" i="3"/>
  <c r="H902" i="3"/>
  <c r="B902" i="3"/>
  <c r="H901" i="3"/>
  <c r="B901" i="3"/>
  <c r="H900" i="3"/>
  <c r="B900" i="3"/>
  <c r="H899" i="3"/>
  <c r="B899" i="3"/>
  <c r="H898" i="3"/>
  <c r="B898" i="3"/>
  <c r="H897" i="3"/>
  <c r="B897" i="3"/>
  <c r="H896" i="3"/>
  <c r="B896" i="3"/>
  <c r="H895" i="3"/>
  <c r="B895" i="3"/>
  <c r="H894" i="3"/>
  <c r="B894" i="3"/>
  <c r="H893" i="3"/>
  <c r="B893" i="3"/>
  <c r="H892" i="3"/>
  <c r="B892" i="3"/>
  <c r="H891" i="3"/>
  <c r="B891" i="3"/>
  <c r="H890" i="3"/>
  <c r="B890" i="3"/>
  <c r="H889" i="3"/>
  <c r="B889" i="3"/>
  <c r="H888" i="3"/>
  <c r="B888" i="3"/>
  <c r="H887" i="3"/>
  <c r="B887" i="3"/>
  <c r="H886" i="3"/>
  <c r="B886" i="3"/>
  <c r="H885" i="3"/>
  <c r="B885" i="3"/>
  <c r="H884" i="3"/>
  <c r="B884" i="3"/>
  <c r="H883" i="3"/>
  <c r="B883" i="3"/>
  <c r="H882" i="3"/>
  <c r="B882" i="3"/>
  <c r="H881" i="3"/>
  <c r="B881" i="3"/>
  <c r="H880" i="3"/>
  <c r="B880" i="3"/>
  <c r="H879" i="3"/>
  <c r="B879" i="3"/>
  <c r="H878" i="3"/>
  <c r="B878" i="3"/>
  <c r="H877" i="3"/>
  <c r="B877" i="3"/>
  <c r="H876" i="3"/>
  <c r="B876" i="3"/>
  <c r="H875" i="3"/>
  <c r="B875" i="3"/>
  <c r="H874" i="3"/>
  <c r="B874" i="3"/>
  <c r="H873" i="3"/>
  <c r="B873" i="3"/>
  <c r="H872" i="3"/>
  <c r="B872" i="3"/>
  <c r="H871" i="3"/>
  <c r="B871" i="3"/>
  <c r="H870" i="3"/>
  <c r="B870" i="3"/>
  <c r="H869" i="3"/>
  <c r="B869" i="3"/>
  <c r="H868" i="3"/>
  <c r="B868" i="3"/>
  <c r="H867" i="3"/>
  <c r="B867" i="3"/>
  <c r="H866" i="3"/>
  <c r="B866" i="3"/>
  <c r="H865" i="3"/>
  <c r="B865" i="3"/>
  <c r="H864" i="3"/>
  <c r="B864" i="3"/>
  <c r="H863" i="3"/>
  <c r="B863" i="3"/>
  <c r="H862" i="3"/>
  <c r="B862" i="3"/>
  <c r="H861" i="3"/>
  <c r="B861" i="3"/>
  <c r="H860" i="3"/>
  <c r="B860" i="3"/>
  <c r="H859" i="3"/>
  <c r="B859" i="3"/>
  <c r="H858" i="3"/>
  <c r="B858" i="3"/>
  <c r="H857" i="3"/>
  <c r="B857" i="3"/>
  <c r="H856" i="3"/>
  <c r="B856" i="3"/>
  <c r="H855" i="3"/>
  <c r="B855" i="3"/>
  <c r="H854" i="3"/>
  <c r="B854" i="3"/>
  <c r="H853" i="3"/>
  <c r="B853" i="3"/>
  <c r="H852" i="3"/>
  <c r="B852" i="3"/>
  <c r="H851" i="3"/>
  <c r="B851" i="3"/>
  <c r="H850" i="3"/>
  <c r="B850" i="3"/>
  <c r="H849" i="3"/>
  <c r="B849" i="3"/>
  <c r="H848" i="3"/>
  <c r="B848" i="3"/>
  <c r="H847" i="3"/>
  <c r="B847" i="3"/>
  <c r="H846" i="3"/>
  <c r="B846" i="3"/>
  <c r="H845" i="3"/>
  <c r="B845" i="3"/>
  <c r="H844" i="3"/>
  <c r="B844" i="3"/>
  <c r="H843" i="3"/>
  <c r="B843" i="3"/>
  <c r="H842" i="3"/>
  <c r="B842" i="3"/>
  <c r="H841" i="3"/>
  <c r="B841" i="3"/>
  <c r="H840" i="3"/>
  <c r="B840" i="3"/>
  <c r="H839" i="3"/>
  <c r="B839" i="3"/>
  <c r="H838" i="3"/>
  <c r="B838" i="3"/>
  <c r="H837" i="3"/>
  <c r="B837" i="3"/>
  <c r="H836" i="3"/>
  <c r="B836" i="3"/>
  <c r="H835" i="3"/>
  <c r="B835" i="3"/>
  <c r="H834" i="3"/>
  <c r="B834" i="3"/>
  <c r="H833" i="3"/>
  <c r="B833" i="3"/>
  <c r="H832" i="3"/>
  <c r="B832" i="3"/>
  <c r="H831" i="3"/>
  <c r="B831" i="3"/>
  <c r="H830" i="3"/>
  <c r="B830" i="3"/>
  <c r="H829" i="3"/>
  <c r="B829" i="3"/>
  <c r="H828" i="3"/>
  <c r="B828" i="3"/>
  <c r="H827" i="3"/>
  <c r="B827" i="3"/>
  <c r="H826" i="3"/>
  <c r="B826" i="3"/>
  <c r="H825" i="3"/>
  <c r="B825" i="3"/>
  <c r="H824" i="3"/>
  <c r="B824" i="3"/>
  <c r="H823" i="3"/>
  <c r="B823" i="3"/>
  <c r="H822" i="3"/>
  <c r="B822" i="3"/>
  <c r="H821" i="3"/>
  <c r="B821" i="3"/>
  <c r="H820" i="3"/>
  <c r="B820" i="3"/>
  <c r="H819" i="3"/>
  <c r="B819" i="3"/>
  <c r="H818" i="3"/>
  <c r="B818" i="3"/>
  <c r="H817" i="3"/>
  <c r="B817" i="3"/>
  <c r="H816" i="3"/>
  <c r="B816" i="3"/>
  <c r="H815" i="3"/>
  <c r="B815" i="3"/>
  <c r="H814" i="3"/>
  <c r="B814" i="3"/>
  <c r="H813" i="3"/>
  <c r="B813" i="3"/>
  <c r="H812" i="3"/>
  <c r="B812" i="3"/>
  <c r="H811" i="3"/>
  <c r="B811" i="3"/>
  <c r="H810" i="3"/>
  <c r="B810" i="3"/>
  <c r="H809" i="3"/>
  <c r="B809" i="3"/>
  <c r="H808" i="3"/>
  <c r="B808" i="3"/>
  <c r="H807" i="3"/>
  <c r="B807" i="3"/>
  <c r="H806" i="3"/>
  <c r="B806" i="3"/>
  <c r="H805" i="3"/>
  <c r="B805" i="3"/>
  <c r="H804" i="3"/>
  <c r="B804" i="3"/>
  <c r="H803" i="3"/>
  <c r="B803" i="3"/>
  <c r="H802" i="3"/>
  <c r="B802" i="3"/>
  <c r="H801" i="3"/>
  <c r="B801" i="3"/>
  <c r="H800" i="3"/>
  <c r="B800" i="3"/>
  <c r="H799" i="3"/>
  <c r="B799" i="3"/>
  <c r="H798" i="3"/>
  <c r="B798" i="3"/>
  <c r="H797" i="3"/>
  <c r="B797" i="3"/>
  <c r="H796" i="3"/>
  <c r="B796" i="3"/>
  <c r="H795" i="3"/>
  <c r="B795" i="3"/>
  <c r="H794" i="3"/>
  <c r="B794" i="3"/>
  <c r="H793" i="3"/>
  <c r="B793" i="3"/>
  <c r="H792" i="3"/>
  <c r="B792" i="3"/>
  <c r="H791" i="3"/>
  <c r="B791" i="3"/>
  <c r="H790" i="3"/>
  <c r="B790" i="3"/>
  <c r="H789" i="3"/>
  <c r="B789" i="3"/>
  <c r="H788" i="3"/>
  <c r="B788" i="3"/>
  <c r="H787" i="3"/>
  <c r="B787" i="3"/>
  <c r="H786" i="3"/>
  <c r="B786" i="3"/>
  <c r="H785" i="3"/>
  <c r="B785" i="3"/>
  <c r="H784" i="3"/>
  <c r="B784" i="3"/>
  <c r="H783" i="3"/>
  <c r="B783" i="3"/>
  <c r="H782" i="3"/>
  <c r="B782" i="3"/>
  <c r="H781" i="3"/>
  <c r="B781" i="3"/>
  <c r="H780" i="3"/>
  <c r="B780" i="3"/>
  <c r="H779" i="3"/>
  <c r="B779" i="3"/>
  <c r="H778" i="3"/>
  <c r="B778" i="3"/>
  <c r="H777" i="3"/>
  <c r="B777" i="3"/>
  <c r="H776" i="3"/>
  <c r="B776" i="3"/>
  <c r="H775" i="3"/>
  <c r="B775" i="3"/>
  <c r="H774" i="3"/>
  <c r="B774" i="3"/>
  <c r="H773" i="3"/>
  <c r="B773" i="3"/>
  <c r="H772" i="3"/>
  <c r="B772" i="3"/>
  <c r="H771" i="3"/>
  <c r="B771" i="3"/>
  <c r="H770" i="3"/>
  <c r="B770" i="3"/>
  <c r="H769" i="3"/>
  <c r="B769" i="3"/>
  <c r="H768" i="3"/>
  <c r="B768" i="3"/>
  <c r="H767" i="3"/>
  <c r="B767" i="3"/>
  <c r="H766" i="3"/>
  <c r="B766" i="3"/>
  <c r="H765" i="3"/>
  <c r="B765" i="3"/>
  <c r="H764" i="3"/>
  <c r="B764" i="3"/>
  <c r="H763" i="3"/>
  <c r="B763" i="3"/>
  <c r="H762" i="3"/>
  <c r="B762" i="3"/>
  <c r="H761" i="3"/>
  <c r="B761" i="3"/>
  <c r="H760" i="3"/>
  <c r="B760" i="3"/>
  <c r="H759" i="3"/>
  <c r="B759" i="3"/>
  <c r="H758" i="3"/>
  <c r="B758" i="3"/>
  <c r="H757" i="3"/>
  <c r="B757" i="3"/>
  <c r="H756" i="3"/>
  <c r="B756" i="3"/>
  <c r="H755" i="3"/>
  <c r="B755" i="3"/>
  <c r="H754" i="3"/>
  <c r="B754" i="3"/>
  <c r="H753" i="3"/>
  <c r="B753" i="3"/>
  <c r="H752" i="3"/>
  <c r="B752" i="3"/>
  <c r="H751" i="3"/>
  <c r="B751" i="3"/>
  <c r="H750" i="3"/>
  <c r="B750" i="3"/>
  <c r="H749" i="3"/>
  <c r="B749" i="3"/>
  <c r="H748" i="3"/>
  <c r="B748" i="3"/>
  <c r="H747" i="3"/>
  <c r="B747" i="3"/>
  <c r="H746" i="3"/>
  <c r="B746" i="3"/>
  <c r="H745" i="3"/>
  <c r="B745" i="3"/>
  <c r="H744" i="3"/>
  <c r="B744" i="3"/>
  <c r="H743" i="3"/>
  <c r="B743" i="3"/>
  <c r="H742" i="3"/>
  <c r="B742" i="3"/>
  <c r="H741" i="3"/>
  <c r="B741" i="3"/>
  <c r="H740" i="3"/>
  <c r="B740" i="3"/>
  <c r="H739" i="3"/>
  <c r="B739" i="3"/>
  <c r="H738" i="3"/>
  <c r="B738" i="3"/>
  <c r="H737" i="3"/>
  <c r="B737" i="3"/>
  <c r="H736" i="3"/>
  <c r="B736" i="3"/>
  <c r="H735" i="3"/>
  <c r="B735" i="3"/>
  <c r="H734" i="3"/>
  <c r="B734" i="3"/>
  <c r="H733" i="3"/>
  <c r="B733" i="3"/>
  <c r="H732" i="3"/>
  <c r="B732" i="3"/>
  <c r="H731" i="3"/>
  <c r="B731" i="3"/>
  <c r="H730" i="3"/>
  <c r="B730" i="3"/>
  <c r="H729" i="3"/>
  <c r="B729" i="3"/>
  <c r="H728" i="3"/>
  <c r="B728" i="3"/>
  <c r="H727" i="3"/>
  <c r="B727" i="3"/>
  <c r="H726" i="3"/>
  <c r="B726" i="3"/>
  <c r="H725" i="3"/>
  <c r="B725" i="3"/>
  <c r="H724" i="3"/>
  <c r="B724" i="3"/>
  <c r="H723" i="3"/>
  <c r="B723" i="3"/>
  <c r="H722" i="3"/>
  <c r="B722" i="3"/>
  <c r="H721" i="3"/>
  <c r="B721" i="3"/>
  <c r="H720" i="3"/>
  <c r="B720" i="3"/>
  <c r="H719" i="3"/>
  <c r="B719" i="3"/>
  <c r="H718" i="3"/>
  <c r="B718" i="3"/>
  <c r="H717" i="3"/>
  <c r="B717" i="3"/>
  <c r="H716" i="3"/>
  <c r="B716" i="3"/>
  <c r="H715" i="3"/>
  <c r="B715" i="3"/>
  <c r="H714" i="3"/>
  <c r="B714" i="3"/>
  <c r="H713" i="3"/>
  <c r="B713" i="3"/>
  <c r="H712" i="3"/>
  <c r="B712" i="3"/>
  <c r="H711" i="3"/>
  <c r="B711" i="3"/>
  <c r="H710" i="3"/>
  <c r="B710" i="3"/>
  <c r="H709" i="3"/>
  <c r="B709" i="3"/>
  <c r="H708" i="3"/>
  <c r="B708" i="3"/>
  <c r="H707" i="3"/>
  <c r="B707" i="3"/>
  <c r="H706" i="3"/>
  <c r="B706" i="3"/>
  <c r="H705" i="3"/>
  <c r="B705" i="3"/>
  <c r="H704" i="3"/>
  <c r="B704" i="3"/>
  <c r="H703" i="3"/>
  <c r="B703" i="3"/>
  <c r="H702" i="3"/>
  <c r="B702" i="3"/>
  <c r="H701" i="3"/>
  <c r="B701" i="3"/>
  <c r="H700" i="3"/>
  <c r="B700" i="3"/>
  <c r="H699" i="3"/>
  <c r="B699" i="3"/>
  <c r="H698" i="3"/>
  <c r="B698" i="3"/>
  <c r="H697" i="3"/>
  <c r="B697" i="3"/>
  <c r="H696" i="3"/>
  <c r="B696" i="3"/>
  <c r="H695" i="3"/>
  <c r="B695" i="3"/>
  <c r="H694" i="3"/>
  <c r="B694" i="3"/>
  <c r="H693" i="3"/>
  <c r="B693" i="3"/>
  <c r="H692" i="3"/>
  <c r="B692" i="3"/>
  <c r="H691" i="3"/>
  <c r="B691" i="3"/>
  <c r="H690" i="3"/>
  <c r="B690" i="3"/>
  <c r="H689" i="3"/>
  <c r="B689" i="3"/>
  <c r="H688" i="3"/>
  <c r="B688" i="3"/>
  <c r="H687" i="3"/>
  <c r="B687" i="3"/>
  <c r="H686" i="3"/>
  <c r="B686" i="3"/>
  <c r="H685" i="3"/>
  <c r="B685" i="3"/>
  <c r="H684" i="3"/>
  <c r="B684" i="3"/>
  <c r="H683" i="3"/>
  <c r="B683" i="3"/>
  <c r="H682" i="3"/>
  <c r="B682" i="3"/>
  <c r="H681" i="3"/>
  <c r="B681" i="3"/>
  <c r="H680" i="3"/>
  <c r="B680" i="3"/>
  <c r="H679" i="3"/>
  <c r="B679" i="3"/>
  <c r="H678" i="3"/>
  <c r="B678" i="3"/>
  <c r="H677" i="3"/>
  <c r="B677" i="3"/>
  <c r="H676" i="3"/>
  <c r="B676" i="3"/>
  <c r="H675" i="3"/>
  <c r="B675" i="3"/>
  <c r="H674" i="3"/>
  <c r="B674" i="3"/>
  <c r="H673" i="3"/>
  <c r="B673" i="3"/>
  <c r="H672" i="3"/>
  <c r="B672" i="3"/>
  <c r="H671" i="3"/>
  <c r="B671" i="3"/>
  <c r="H670" i="3"/>
  <c r="B670" i="3"/>
  <c r="H669" i="3"/>
  <c r="B669" i="3"/>
  <c r="H668" i="3"/>
  <c r="B668" i="3"/>
  <c r="H667" i="3"/>
  <c r="B667" i="3"/>
  <c r="H666" i="3"/>
  <c r="B666" i="3"/>
  <c r="H665" i="3"/>
  <c r="B665" i="3"/>
  <c r="H664" i="3"/>
  <c r="B664" i="3"/>
  <c r="H663" i="3"/>
  <c r="B663" i="3"/>
  <c r="H662" i="3"/>
  <c r="B662" i="3"/>
  <c r="H661" i="3"/>
  <c r="B661" i="3"/>
  <c r="H660" i="3"/>
  <c r="B660" i="3"/>
  <c r="H659" i="3"/>
  <c r="B659" i="3"/>
  <c r="H658" i="3"/>
  <c r="B658" i="3"/>
  <c r="H657" i="3"/>
  <c r="B657" i="3"/>
  <c r="H656" i="3"/>
  <c r="B656" i="3"/>
  <c r="H655" i="3"/>
  <c r="B655" i="3"/>
  <c r="H654" i="3"/>
  <c r="B654" i="3"/>
  <c r="H653" i="3"/>
  <c r="B653" i="3"/>
  <c r="H652" i="3"/>
  <c r="B652" i="3"/>
  <c r="H651" i="3"/>
  <c r="B651" i="3"/>
  <c r="H650" i="3"/>
  <c r="B650" i="3"/>
  <c r="H649" i="3"/>
  <c r="B649" i="3"/>
  <c r="H648" i="3"/>
  <c r="B648" i="3"/>
  <c r="H647" i="3"/>
  <c r="B647" i="3"/>
  <c r="H646" i="3"/>
  <c r="B646" i="3"/>
  <c r="H645" i="3"/>
  <c r="B645" i="3"/>
  <c r="H644" i="3"/>
  <c r="B644" i="3"/>
  <c r="H643" i="3"/>
  <c r="B643" i="3"/>
  <c r="H642" i="3"/>
  <c r="B642" i="3"/>
  <c r="H641" i="3"/>
  <c r="B641" i="3"/>
  <c r="H640" i="3"/>
  <c r="B640" i="3"/>
  <c r="H639" i="3"/>
  <c r="B639" i="3"/>
  <c r="H638" i="3"/>
  <c r="B638" i="3"/>
  <c r="H637" i="3"/>
  <c r="B637" i="3"/>
  <c r="H636" i="3"/>
  <c r="B636" i="3"/>
  <c r="H635" i="3"/>
  <c r="B635" i="3"/>
  <c r="H634" i="3"/>
  <c r="B634" i="3"/>
  <c r="H633" i="3"/>
  <c r="B633" i="3"/>
  <c r="H632" i="3"/>
  <c r="B632" i="3"/>
  <c r="H631" i="3"/>
  <c r="B631" i="3"/>
  <c r="H630" i="3"/>
  <c r="B630" i="3"/>
  <c r="H629" i="3"/>
  <c r="B629" i="3"/>
  <c r="H628" i="3"/>
  <c r="B628" i="3"/>
  <c r="H627" i="3"/>
  <c r="B627" i="3"/>
  <c r="H626" i="3"/>
  <c r="B626" i="3"/>
  <c r="H625" i="3"/>
  <c r="B625" i="3"/>
  <c r="H624" i="3"/>
  <c r="B624" i="3"/>
  <c r="H623" i="3"/>
  <c r="B623" i="3"/>
  <c r="H622" i="3"/>
  <c r="B622" i="3"/>
  <c r="H621" i="3"/>
  <c r="B621" i="3"/>
  <c r="H620" i="3"/>
  <c r="B620" i="3"/>
  <c r="H619" i="3"/>
  <c r="B619" i="3"/>
  <c r="H618" i="3"/>
  <c r="B618" i="3"/>
  <c r="H617" i="3"/>
  <c r="B617" i="3"/>
  <c r="H616" i="3"/>
  <c r="B616" i="3"/>
  <c r="H615" i="3"/>
  <c r="B615" i="3"/>
  <c r="H614" i="3"/>
  <c r="B614" i="3"/>
  <c r="H613" i="3"/>
  <c r="B613" i="3"/>
  <c r="H612" i="3"/>
  <c r="B612" i="3"/>
  <c r="H611" i="3"/>
  <c r="B611" i="3"/>
  <c r="H610" i="3"/>
  <c r="B610" i="3"/>
  <c r="H609" i="3"/>
  <c r="B609" i="3"/>
  <c r="H608" i="3"/>
  <c r="B608" i="3"/>
  <c r="H607" i="3"/>
  <c r="B607" i="3"/>
  <c r="H606" i="3"/>
  <c r="B606" i="3"/>
  <c r="H605" i="3"/>
  <c r="B605" i="3"/>
  <c r="H604" i="3"/>
  <c r="B604" i="3"/>
  <c r="H603" i="3"/>
  <c r="B603" i="3"/>
  <c r="H602" i="3"/>
  <c r="B602" i="3"/>
  <c r="H601" i="3"/>
  <c r="B601" i="3"/>
  <c r="H600" i="3"/>
  <c r="B600" i="3"/>
  <c r="H599" i="3"/>
  <c r="B599" i="3"/>
  <c r="H598" i="3"/>
  <c r="B598" i="3"/>
  <c r="H597" i="3"/>
  <c r="B597" i="3"/>
  <c r="H596" i="3"/>
  <c r="B596" i="3"/>
  <c r="H595" i="3"/>
  <c r="B595" i="3"/>
  <c r="H594" i="3"/>
  <c r="B594" i="3"/>
  <c r="H593" i="3"/>
  <c r="B593" i="3"/>
  <c r="H592" i="3"/>
  <c r="B592" i="3"/>
  <c r="H591" i="3"/>
  <c r="B591" i="3"/>
  <c r="H590" i="3"/>
  <c r="B590" i="3"/>
  <c r="H589" i="3"/>
  <c r="B589" i="3"/>
  <c r="H588" i="3"/>
  <c r="B588" i="3"/>
  <c r="H587" i="3"/>
  <c r="B587" i="3"/>
  <c r="H586" i="3"/>
  <c r="B586" i="3"/>
  <c r="H585" i="3"/>
  <c r="B585" i="3"/>
  <c r="H584" i="3"/>
  <c r="B584" i="3"/>
  <c r="H583" i="3"/>
  <c r="B583" i="3"/>
  <c r="H582" i="3"/>
  <c r="B582" i="3"/>
  <c r="H581" i="3"/>
  <c r="B581" i="3"/>
  <c r="H580" i="3"/>
  <c r="B580" i="3"/>
  <c r="H579" i="3"/>
  <c r="B579" i="3"/>
  <c r="H578" i="3"/>
  <c r="B578" i="3"/>
  <c r="H577" i="3"/>
  <c r="B577" i="3"/>
  <c r="H576" i="3"/>
  <c r="B576" i="3"/>
  <c r="H575" i="3"/>
  <c r="B575" i="3"/>
  <c r="H574" i="3"/>
  <c r="B574" i="3"/>
  <c r="H573" i="3"/>
  <c r="B573" i="3"/>
  <c r="H572" i="3"/>
  <c r="B572" i="3"/>
  <c r="H571" i="3"/>
  <c r="B571" i="3"/>
  <c r="H570" i="3"/>
  <c r="B570" i="3"/>
  <c r="H569" i="3"/>
  <c r="B569" i="3"/>
  <c r="H568" i="3"/>
  <c r="B568" i="3"/>
  <c r="H567" i="3"/>
  <c r="B567" i="3"/>
  <c r="H566" i="3"/>
  <c r="B566" i="3"/>
  <c r="H565" i="3"/>
  <c r="B565" i="3"/>
  <c r="H564" i="3"/>
  <c r="B564" i="3"/>
  <c r="H563" i="3"/>
  <c r="B563" i="3"/>
  <c r="H562" i="3"/>
  <c r="B562" i="3"/>
  <c r="H561" i="3"/>
  <c r="B561" i="3"/>
  <c r="H560" i="3"/>
  <c r="B560" i="3"/>
  <c r="H559" i="3"/>
  <c r="B559" i="3"/>
  <c r="H558" i="3"/>
  <c r="B558" i="3"/>
  <c r="H557" i="3"/>
  <c r="B557" i="3"/>
  <c r="H556" i="3"/>
  <c r="B556" i="3"/>
  <c r="H555" i="3"/>
  <c r="B555" i="3"/>
  <c r="H554" i="3"/>
  <c r="B554" i="3"/>
  <c r="H553" i="3"/>
  <c r="B553" i="3"/>
  <c r="H552" i="3"/>
  <c r="B552" i="3"/>
  <c r="H551" i="3"/>
  <c r="B551" i="3"/>
  <c r="H550" i="3"/>
  <c r="B550" i="3"/>
  <c r="H549" i="3"/>
  <c r="B549" i="3"/>
  <c r="H548" i="3"/>
  <c r="B548" i="3"/>
  <c r="H547" i="3"/>
  <c r="B547" i="3"/>
  <c r="H546" i="3"/>
  <c r="B546" i="3"/>
  <c r="H545" i="3"/>
  <c r="B545" i="3"/>
  <c r="H544" i="3"/>
  <c r="B544" i="3"/>
  <c r="H543" i="3"/>
  <c r="B543" i="3"/>
  <c r="H542" i="3"/>
  <c r="B542" i="3"/>
  <c r="H541" i="3"/>
  <c r="B541" i="3"/>
  <c r="H540" i="3"/>
  <c r="B540" i="3"/>
  <c r="H539" i="3"/>
  <c r="B539" i="3"/>
  <c r="H538" i="3"/>
  <c r="B538" i="3"/>
  <c r="H537" i="3"/>
  <c r="B537" i="3"/>
  <c r="H536" i="3"/>
  <c r="B536" i="3"/>
  <c r="H535" i="3"/>
  <c r="B535" i="3"/>
  <c r="H534" i="3"/>
  <c r="B534" i="3"/>
  <c r="H533" i="3"/>
  <c r="B533" i="3"/>
  <c r="H532" i="3"/>
  <c r="B532" i="3"/>
  <c r="H531" i="3"/>
  <c r="B531" i="3"/>
  <c r="H530" i="3"/>
  <c r="B530" i="3"/>
  <c r="H529" i="3"/>
  <c r="B529" i="3"/>
  <c r="H528" i="3"/>
  <c r="B528" i="3"/>
  <c r="H527" i="3"/>
  <c r="B527" i="3"/>
  <c r="H526" i="3"/>
  <c r="B526" i="3"/>
  <c r="H525" i="3"/>
  <c r="B525" i="3"/>
  <c r="H524" i="3"/>
  <c r="B524" i="3"/>
  <c r="H523" i="3"/>
  <c r="B523" i="3"/>
  <c r="H522" i="3"/>
  <c r="B522" i="3"/>
  <c r="H521" i="3"/>
  <c r="B521" i="3"/>
  <c r="H520" i="3"/>
  <c r="B520" i="3"/>
  <c r="H519" i="3"/>
  <c r="B519" i="3"/>
  <c r="H518" i="3"/>
  <c r="B518" i="3"/>
  <c r="H517" i="3"/>
  <c r="B517" i="3"/>
  <c r="H516" i="3"/>
  <c r="B516" i="3"/>
  <c r="H515" i="3"/>
  <c r="B515" i="3"/>
  <c r="H514" i="3"/>
  <c r="B514" i="3"/>
  <c r="H513" i="3"/>
  <c r="B513" i="3"/>
  <c r="H512" i="3"/>
  <c r="B512" i="3"/>
  <c r="H511" i="3"/>
  <c r="B511" i="3"/>
  <c r="H510" i="3"/>
  <c r="B510" i="3"/>
  <c r="H509" i="3"/>
  <c r="B509" i="3"/>
  <c r="H508" i="3"/>
  <c r="B508" i="3"/>
  <c r="H507" i="3"/>
  <c r="B507" i="3"/>
  <c r="H506" i="3"/>
  <c r="B506" i="3"/>
  <c r="H505" i="3"/>
  <c r="B505" i="3"/>
  <c r="H504" i="3"/>
  <c r="B504" i="3"/>
  <c r="H503" i="3"/>
  <c r="B503" i="3"/>
  <c r="H502" i="3"/>
  <c r="B502" i="3"/>
  <c r="H501" i="3"/>
  <c r="B501" i="3"/>
  <c r="H500" i="3"/>
  <c r="B500" i="3"/>
  <c r="H499" i="3"/>
  <c r="B499" i="3"/>
  <c r="H498" i="3"/>
  <c r="B498" i="3"/>
  <c r="H497" i="3"/>
  <c r="B497" i="3"/>
  <c r="H496" i="3"/>
  <c r="B496" i="3"/>
  <c r="H495" i="3"/>
  <c r="B495" i="3"/>
  <c r="H494" i="3"/>
  <c r="B494" i="3"/>
  <c r="H493" i="3"/>
  <c r="B493" i="3"/>
  <c r="H492" i="3"/>
  <c r="B492" i="3"/>
  <c r="H491" i="3"/>
  <c r="B491" i="3"/>
  <c r="H490" i="3"/>
  <c r="B490" i="3"/>
  <c r="H489" i="3"/>
  <c r="B489" i="3"/>
  <c r="H488" i="3"/>
  <c r="B488" i="3"/>
  <c r="H487" i="3"/>
  <c r="B487" i="3"/>
  <c r="H486" i="3"/>
  <c r="B486" i="3"/>
  <c r="H485" i="3"/>
  <c r="B485" i="3"/>
  <c r="H484" i="3"/>
  <c r="B484" i="3"/>
  <c r="H483" i="3"/>
  <c r="B483" i="3"/>
  <c r="H482" i="3"/>
  <c r="B482" i="3"/>
  <c r="H481" i="3"/>
  <c r="B481" i="3"/>
  <c r="H480" i="3"/>
  <c r="B480" i="3"/>
  <c r="H479" i="3"/>
  <c r="B479" i="3"/>
  <c r="H478" i="3"/>
  <c r="B478" i="3"/>
  <c r="H477" i="3"/>
  <c r="B477" i="3"/>
  <c r="H476" i="3"/>
  <c r="B476" i="3"/>
  <c r="H475" i="3"/>
  <c r="B475" i="3"/>
  <c r="H474" i="3"/>
  <c r="B474" i="3"/>
  <c r="H473" i="3"/>
  <c r="B473" i="3"/>
  <c r="H472" i="3"/>
  <c r="B472" i="3"/>
  <c r="H471" i="3"/>
  <c r="B471" i="3"/>
  <c r="H470" i="3"/>
  <c r="B470" i="3"/>
  <c r="H469" i="3"/>
  <c r="B469" i="3"/>
  <c r="H468" i="3"/>
  <c r="B468" i="3"/>
  <c r="H467" i="3"/>
  <c r="B467" i="3"/>
  <c r="H466" i="3"/>
  <c r="B466" i="3"/>
  <c r="H465" i="3"/>
  <c r="B465" i="3"/>
  <c r="H464" i="3"/>
  <c r="B464" i="3"/>
  <c r="H463" i="3"/>
  <c r="B463" i="3"/>
  <c r="H462" i="3"/>
  <c r="B462" i="3"/>
  <c r="H461" i="3"/>
  <c r="B461" i="3"/>
  <c r="H460" i="3"/>
  <c r="B460" i="3"/>
  <c r="H459" i="3"/>
  <c r="B459" i="3"/>
  <c r="H458" i="3"/>
  <c r="B458" i="3"/>
  <c r="H457" i="3"/>
  <c r="B457" i="3"/>
  <c r="H456" i="3"/>
  <c r="B456" i="3"/>
  <c r="H455" i="3"/>
  <c r="B455" i="3"/>
  <c r="H454" i="3"/>
  <c r="B454" i="3"/>
  <c r="H453" i="3"/>
  <c r="B453" i="3"/>
  <c r="H452" i="3"/>
  <c r="B452" i="3"/>
  <c r="H451" i="3"/>
  <c r="B451" i="3"/>
  <c r="H450" i="3"/>
  <c r="B450" i="3"/>
  <c r="H449" i="3"/>
  <c r="B449" i="3"/>
  <c r="H448" i="3"/>
  <c r="B448" i="3"/>
  <c r="H447" i="3"/>
  <c r="B447" i="3"/>
  <c r="H446" i="3"/>
  <c r="B446" i="3"/>
  <c r="H445" i="3"/>
  <c r="B445" i="3"/>
  <c r="H444" i="3"/>
  <c r="B444" i="3"/>
  <c r="H443" i="3"/>
  <c r="B443" i="3"/>
  <c r="H442" i="3"/>
  <c r="B442" i="3"/>
  <c r="H441" i="3"/>
  <c r="B441" i="3"/>
  <c r="H440" i="3"/>
  <c r="B440" i="3"/>
  <c r="H439" i="3"/>
  <c r="B439" i="3"/>
  <c r="H438" i="3"/>
  <c r="B438" i="3"/>
  <c r="H437" i="3"/>
  <c r="B437" i="3"/>
  <c r="H436" i="3"/>
  <c r="B436" i="3"/>
  <c r="H435" i="3"/>
  <c r="B435" i="3"/>
  <c r="H434" i="3"/>
  <c r="B434" i="3"/>
  <c r="H433" i="3"/>
  <c r="B433" i="3"/>
  <c r="H432" i="3"/>
  <c r="B432" i="3"/>
  <c r="H431" i="3"/>
  <c r="B431" i="3"/>
  <c r="H430" i="3"/>
  <c r="B430" i="3"/>
  <c r="H429" i="3"/>
  <c r="B429" i="3"/>
  <c r="H428" i="3"/>
  <c r="B428" i="3"/>
  <c r="H427" i="3"/>
  <c r="B427" i="3"/>
  <c r="H426" i="3"/>
  <c r="B426" i="3"/>
  <c r="H425" i="3"/>
  <c r="B425" i="3"/>
  <c r="H424" i="3"/>
  <c r="B424" i="3"/>
  <c r="H423" i="3"/>
  <c r="B423" i="3"/>
  <c r="H422" i="3"/>
  <c r="B422" i="3"/>
  <c r="H421" i="3"/>
  <c r="B421" i="3"/>
  <c r="H420" i="3"/>
  <c r="B420" i="3"/>
  <c r="H419" i="3"/>
  <c r="B419" i="3"/>
  <c r="H418" i="3"/>
  <c r="B418" i="3"/>
  <c r="H417" i="3"/>
  <c r="B417" i="3"/>
  <c r="H416" i="3"/>
  <c r="B416" i="3"/>
  <c r="H415" i="3"/>
  <c r="B415" i="3"/>
  <c r="H414" i="3"/>
  <c r="B414" i="3"/>
  <c r="H413" i="3"/>
  <c r="B413" i="3"/>
  <c r="H412" i="3"/>
  <c r="B412" i="3"/>
  <c r="H411" i="3"/>
  <c r="B411" i="3"/>
  <c r="H410" i="3"/>
  <c r="B410" i="3"/>
  <c r="H409" i="3"/>
  <c r="B409" i="3"/>
  <c r="H408" i="3"/>
  <c r="B408" i="3"/>
  <c r="H407" i="3"/>
  <c r="B407" i="3"/>
  <c r="H406" i="3"/>
  <c r="B406" i="3"/>
  <c r="H405" i="3"/>
  <c r="B405" i="3"/>
  <c r="H404" i="3"/>
  <c r="B404" i="3"/>
  <c r="H403" i="3"/>
  <c r="B403" i="3"/>
  <c r="H402" i="3"/>
  <c r="B402" i="3"/>
  <c r="H401" i="3"/>
  <c r="B401" i="3"/>
  <c r="H400" i="3"/>
  <c r="B400" i="3"/>
  <c r="H399" i="3"/>
  <c r="B399" i="3"/>
  <c r="H398" i="3"/>
  <c r="B398" i="3"/>
  <c r="H397" i="3"/>
  <c r="B397" i="3"/>
  <c r="H396" i="3"/>
  <c r="B396" i="3"/>
  <c r="H395" i="3"/>
  <c r="B395" i="3"/>
  <c r="H394" i="3"/>
  <c r="B394" i="3"/>
  <c r="H393" i="3"/>
  <c r="B393" i="3"/>
  <c r="H392" i="3"/>
  <c r="B392" i="3"/>
  <c r="H391" i="3"/>
  <c r="B391" i="3"/>
  <c r="H390" i="3"/>
  <c r="B390" i="3"/>
  <c r="H389" i="3"/>
  <c r="B389" i="3"/>
  <c r="H388" i="3"/>
  <c r="B388" i="3"/>
  <c r="H387" i="3"/>
  <c r="B387" i="3"/>
  <c r="H386" i="3"/>
  <c r="B386" i="3"/>
  <c r="H385" i="3"/>
  <c r="B385" i="3"/>
  <c r="H384" i="3"/>
  <c r="B384" i="3"/>
  <c r="H383" i="3"/>
  <c r="B383" i="3"/>
  <c r="H382" i="3"/>
  <c r="B382" i="3"/>
  <c r="H381" i="3"/>
  <c r="B381" i="3"/>
  <c r="H380" i="3"/>
  <c r="B380" i="3"/>
  <c r="H379" i="3"/>
  <c r="B379" i="3"/>
  <c r="H378" i="3"/>
  <c r="B378" i="3"/>
  <c r="H377" i="3"/>
  <c r="B377" i="3"/>
  <c r="H376" i="3"/>
  <c r="B376" i="3"/>
  <c r="H375" i="3"/>
  <c r="B375" i="3"/>
  <c r="H374" i="3"/>
  <c r="B374" i="3"/>
  <c r="H373" i="3"/>
  <c r="B373" i="3"/>
  <c r="H372" i="3"/>
  <c r="B372" i="3"/>
  <c r="H371" i="3"/>
  <c r="B371" i="3"/>
  <c r="H370" i="3"/>
  <c r="B370" i="3"/>
  <c r="H369" i="3"/>
  <c r="B369" i="3"/>
  <c r="H368" i="3"/>
  <c r="B368" i="3"/>
  <c r="H367" i="3"/>
  <c r="B367" i="3"/>
  <c r="H366" i="3"/>
  <c r="B366" i="3"/>
  <c r="H365" i="3"/>
  <c r="B365" i="3"/>
  <c r="H364" i="3"/>
  <c r="B364" i="3"/>
  <c r="H363" i="3"/>
  <c r="B363" i="3"/>
  <c r="H362" i="3"/>
  <c r="B362" i="3"/>
  <c r="H361" i="3"/>
  <c r="B361" i="3"/>
  <c r="H360" i="3"/>
  <c r="B360" i="3"/>
  <c r="H359" i="3"/>
  <c r="B359" i="3"/>
  <c r="H358" i="3"/>
  <c r="B358" i="3"/>
  <c r="H357" i="3"/>
  <c r="B357" i="3"/>
  <c r="H356" i="3"/>
  <c r="B356" i="3"/>
  <c r="H355" i="3"/>
  <c r="B355" i="3"/>
  <c r="H354" i="3"/>
  <c r="B354" i="3"/>
  <c r="H353" i="3"/>
  <c r="B353" i="3"/>
  <c r="H352" i="3"/>
  <c r="B352" i="3"/>
  <c r="H351" i="3"/>
  <c r="B351" i="3"/>
  <c r="H350" i="3"/>
  <c r="B350" i="3"/>
  <c r="H349" i="3"/>
  <c r="B349" i="3"/>
  <c r="H348" i="3"/>
  <c r="B348" i="3"/>
  <c r="H347" i="3"/>
  <c r="B347" i="3"/>
  <c r="H346" i="3"/>
  <c r="B346" i="3"/>
  <c r="H345" i="3"/>
  <c r="B345" i="3"/>
  <c r="H344" i="3"/>
  <c r="B344" i="3"/>
  <c r="H343" i="3"/>
  <c r="B343" i="3"/>
  <c r="H342" i="3"/>
  <c r="B342" i="3"/>
  <c r="H341" i="3"/>
  <c r="B341" i="3"/>
  <c r="H340" i="3"/>
  <c r="B340" i="3"/>
  <c r="H339" i="3"/>
  <c r="B339" i="3"/>
  <c r="H338" i="3"/>
  <c r="B338" i="3"/>
  <c r="H337" i="3"/>
  <c r="B337" i="3"/>
  <c r="H336" i="3"/>
  <c r="B336" i="3"/>
  <c r="H335" i="3"/>
  <c r="B335" i="3"/>
  <c r="H334" i="3"/>
  <c r="B334" i="3"/>
  <c r="H333" i="3"/>
  <c r="B333" i="3"/>
  <c r="H332" i="3"/>
  <c r="B332" i="3"/>
  <c r="H331" i="3"/>
  <c r="B331" i="3"/>
  <c r="H330" i="3"/>
  <c r="B330" i="3"/>
  <c r="H329" i="3"/>
  <c r="B329" i="3"/>
  <c r="H328" i="3"/>
  <c r="B328" i="3"/>
  <c r="H327" i="3"/>
  <c r="B327" i="3"/>
  <c r="H326" i="3"/>
  <c r="B326" i="3"/>
  <c r="H325" i="3"/>
  <c r="B325" i="3"/>
  <c r="H324" i="3"/>
  <c r="B324" i="3"/>
  <c r="H323" i="3"/>
  <c r="B323" i="3"/>
  <c r="H322" i="3"/>
  <c r="B322" i="3"/>
  <c r="H321" i="3"/>
  <c r="B321" i="3"/>
  <c r="H320" i="3"/>
  <c r="B320" i="3"/>
  <c r="H319" i="3"/>
  <c r="B319" i="3"/>
  <c r="H318" i="3"/>
  <c r="B318" i="3"/>
  <c r="H317" i="3"/>
  <c r="B317" i="3"/>
  <c r="H316" i="3"/>
  <c r="B316" i="3"/>
  <c r="H315" i="3"/>
  <c r="B315" i="3"/>
  <c r="H314" i="3"/>
  <c r="B314" i="3"/>
  <c r="H313" i="3"/>
  <c r="B313" i="3"/>
  <c r="H312" i="3"/>
  <c r="B312" i="3"/>
  <c r="H311" i="3"/>
  <c r="B311" i="3"/>
  <c r="H310" i="3"/>
  <c r="B310" i="3"/>
  <c r="H309" i="3"/>
  <c r="B309" i="3"/>
  <c r="H308" i="3"/>
  <c r="B308" i="3"/>
  <c r="H307" i="3"/>
  <c r="B307" i="3"/>
  <c r="H306" i="3"/>
  <c r="B306" i="3"/>
  <c r="H305" i="3"/>
  <c r="B305" i="3"/>
  <c r="H304" i="3"/>
  <c r="B304" i="3"/>
  <c r="H303" i="3"/>
  <c r="B303" i="3"/>
  <c r="H302" i="3"/>
  <c r="B302" i="3"/>
  <c r="H301" i="3"/>
  <c r="B301" i="3"/>
  <c r="H300" i="3"/>
  <c r="B300" i="3"/>
  <c r="H299" i="3"/>
  <c r="B299" i="3"/>
  <c r="H298" i="3"/>
  <c r="B298" i="3"/>
  <c r="H297" i="3"/>
  <c r="B297" i="3"/>
  <c r="H296" i="3"/>
  <c r="B296" i="3"/>
  <c r="H295" i="3"/>
  <c r="B295" i="3"/>
  <c r="H294" i="3"/>
  <c r="B294" i="3"/>
  <c r="H293" i="3"/>
  <c r="B293" i="3"/>
  <c r="H292" i="3"/>
  <c r="B292" i="3"/>
  <c r="H291" i="3"/>
  <c r="B291" i="3"/>
  <c r="H290" i="3"/>
  <c r="B290" i="3"/>
  <c r="H289" i="3"/>
  <c r="B289" i="3"/>
  <c r="H288" i="3"/>
  <c r="B288" i="3"/>
  <c r="H287" i="3"/>
  <c r="B287" i="3"/>
  <c r="H286" i="3"/>
  <c r="B286" i="3"/>
  <c r="H285" i="3"/>
  <c r="B285" i="3"/>
  <c r="H284" i="3"/>
  <c r="B284" i="3"/>
  <c r="H283" i="3"/>
  <c r="B283" i="3"/>
  <c r="H282" i="3"/>
  <c r="B282" i="3"/>
  <c r="H281" i="3"/>
  <c r="B281" i="3"/>
  <c r="H280" i="3"/>
  <c r="B280" i="3"/>
  <c r="H279" i="3"/>
  <c r="B279" i="3"/>
  <c r="H278" i="3"/>
  <c r="B278" i="3"/>
  <c r="H277" i="3"/>
  <c r="B277" i="3"/>
  <c r="H276" i="3"/>
  <c r="B276" i="3"/>
  <c r="H275" i="3"/>
  <c r="B275" i="3"/>
  <c r="H274" i="3"/>
  <c r="B274" i="3"/>
  <c r="H273" i="3"/>
  <c r="B273" i="3"/>
  <c r="H272" i="3"/>
  <c r="B272" i="3"/>
  <c r="H271" i="3"/>
  <c r="B271" i="3"/>
  <c r="H270" i="3"/>
  <c r="B270" i="3"/>
  <c r="H269" i="3"/>
  <c r="B269" i="3"/>
  <c r="H268" i="3"/>
  <c r="B268" i="3"/>
  <c r="H267" i="3"/>
  <c r="B267" i="3"/>
  <c r="H266" i="3"/>
  <c r="B266" i="3"/>
  <c r="H265" i="3"/>
  <c r="B265" i="3"/>
  <c r="H264" i="3"/>
  <c r="B264" i="3"/>
  <c r="H263" i="3"/>
  <c r="B263" i="3"/>
  <c r="H262" i="3"/>
  <c r="B262" i="3"/>
  <c r="H261" i="3"/>
  <c r="B261" i="3"/>
  <c r="H260" i="3"/>
  <c r="B260" i="3"/>
  <c r="H259" i="3"/>
  <c r="B259" i="3"/>
  <c r="H258" i="3"/>
  <c r="B258" i="3"/>
  <c r="H257" i="3"/>
  <c r="B257" i="3"/>
  <c r="H256" i="3"/>
  <c r="B256" i="3"/>
  <c r="H255" i="3"/>
  <c r="B255" i="3"/>
  <c r="H254" i="3"/>
  <c r="B254" i="3"/>
  <c r="H253" i="3"/>
  <c r="B253" i="3"/>
  <c r="H252" i="3"/>
  <c r="B252" i="3"/>
  <c r="H251" i="3"/>
  <c r="B251" i="3"/>
  <c r="H250" i="3"/>
  <c r="B250" i="3"/>
  <c r="H249" i="3"/>
  <c r="B249" i="3"/>
  <c r="H248" i="3"/>
  <c r="B248" i="3"/>
  <c r="H247" i="3"/>
  <c r="B247" i="3"/>
  <c r="H246" i="3"/>
  <c r="B246" i="3"/>
  <c r="H245" i="3"/>
  <c r="B245" i="3"/>
  <c r="H244" i="3"/>
  <c r="B244" i="3"/>
  <c r="H243" i="3"/>
  <c r="B243" i="3"/>
  <c r="H242" i="3"/>
  <c r="B242" i="3"/>
  <c r="H241" i="3"/>
  <c r="B241" i="3"/>
  <c r="H240" i="3"/>
  <c r="B240" i="3"/>
  <c r="H239" i="3"/>
  <c r="B239" i="3"/>
  <c r="H238" i="3"/>
  <c r="B238" i="3"/>
  <c r="H237" i="3"/>
  <c r="B237" i="3"/>
  <c r="H236" i="3"/>
  <c r="B236" i="3"/>
  <c r="H235" i="3"/>
  <c r="B235" i="3"/>
  <c r="H234" i="3"/>
  <c r="B234" i="3"/>
  <c r="H233" i="3"/>
  <c r="B233" i="3"/>
  <c r="H232" i="3"/>
  <c r="B232" i="3"/>
  <c r="H231" i="3"/>
  <c r="B231" i="3"/>
  <c r="H230" i="3"/>
  <c r="B230" i="3"/>
  <c r="H229" i="3"/>
  <c r="B229" i="3"/>
  <c r="H228" i="3"/>
  <c r="B228" i="3"/>
  <c r="H227" i="3"/>
  <c r="B227" i="3"/>
  <c r="H226" i="3"/>
  <c r="B226" i="3"/>
  <c r="H225" i="3"/>
  <c r="B225" i="3"/>
  <c r="H224" i="3"/>
  <c r="B224" i="3"/>
  <c r="H223" i="3"/>
  <c r="B223" i="3"/>
  <c r="H222" i="3"/>
  <c r="B222" i="3"/>
  <c r="H221" i="3"/>
  <c r="B221" i="3"/>
  <c r="H220" i="3"/>
  <c r="B220" i="3"/>
  <c r="H219" i="3"/>
  <c r="B219" i="3"/>
  <c r="H218" i="3"/>
  <c r="B218" i="3"/>
  <c r="H217" i="3"/>
  <c r="B217" i="3"/>
  <c r="H216" i="3"/>
  <c r="B216" i="3"/>
  <c r="H215" i="3"/>
  <c r="B215" i="3"/>
  <c r="H214" i="3"/>
  <c r="B214" i="3"/>
  <c r="H213" i="3"/>
  <c r="B213" i="3"/>
  <c r="H212" i="3"/>
  <c r="B212" i="3"/>
  <c r="H211" i="3"/>
  <c r="B211" i="3"/>
  <c r="H210" i="3"/>
  <c r="B210" i="3"/>
  <c r="H209" i="3"/>
  <c r="B209" i="3"/>
  <c r="H208" i="3"/>
  <c r="B208" i="3"/>
  <c r="H207" i="3"/>
  <c r="B207" i="3"/>
  <c r="H206" i="3"/>
  <c r="B206" i="3"/>
  <c r="H205" i="3"/>
  <c r="B205" i="3"/>
  <c r="H204" i="3"/>
  <c r="B204" i="3"/>
  <c r="H203" i="3"/>
  <c r="B203" i="3"/>
  <c r="H202" i="3"/>
  <c r="B202" i="3"/>
  <c r="H201" i="3"/>
  <c r="B201" i="3"/>
  <c r="H200" i="3"/>
  <c r="B200" i="3"/>
  <c r="H199" i="3"/>
  <c r="B199" i="3"/>
  <c r="H198" i="3"/>
  <c r="B198" i="3"/>
  <c r="H197" i="3"/>
  <c r="B197" i="3"/>
  <c r="H196" i="3"/>
  <c r="B196" i="3"/>
  <c r="H195" i="3"/>
  <c r="B195" i="3"/>
  <c r="H194" i="3"/>
  <c r="B194" i="3"/>
  <c r="H193" i="3"/>
  <c r="B193" i="3"/>
  <c r="H192" i="3"/>
  <c r="B192" i="3"/>
  <c r="H191" i="3"/>
  <c r="B191" i="3"/>
  <c r="H190" i="3"/>
  <c r="B190" i="3"/>
  <c r="H189" i="3"/>
  <c r="B189" i="3"/>
  <c r="H188" i="3"/>
  <c r="B188" i="3"/>
  <c r="H187" i="3"/>
  <c r="B187" i="3"/>
  <c r="H186" i="3"/>
  <c r="B186" i="3"/>
  <c r="H185" i="3"/>
  <c r="B185" i="3"/>
  <c r="H184" i="3"/>
  <c r="B184" i="3"/>
  <c r="H183" i="3"/>
  <c r="B183" i="3"/>
  <c r="H182" i="3"/>
  <c r="B182" i="3"/>
  <c r="H181" i="3"/>
  <c r="B181" i="3"/>
  <c r="H180" i="3"/>
  <c r="B180" i="3"/>
  <c r="H179" i="3"/>
  <c r="B179" i="3"/>
  <c r="H178" i="3"/>
  <c r="B178" i="3"/>
  <c r="H177" i="3"/>
  <c r="B177" i="3"/>
  <c r="H176" i="3"/>
  <c r="B176" i="3"/>
  <c r="H175" i="3"/>
  <c r="B175" i="3"/>
  <c r="H174" i="3"/>
  <c r="B174" i="3"/>
  <c r="H173" i="3"/>
  <c r="B173" i="3"/>
  <c r="H172" i="3"/>
  <c r="B172" i="3"/>
  <c r="H171" i="3"/>
  <c r="B171" i="3"/>
  <c r="H170" i="3"/>
  <c r="B170" i="3"/>
  <c r="H169" i="3"/>
  <c r="B169" i="3"/>
  <c r="H168" i="3"/>
  <c r="B168" i="3"/>
  <c r="H167" i="3"/>
  <c r="B167" i="3"/>
  <c r="H166" i="3"/>
  <c r="B166" i="3"/>
  <c r="H165" i="3"/>
  <c r="B165" i="3"/>
  <c r="H164" i="3"/>
  <c r="B164" i="3"/>
  <c r="H163" i="3"/>
  <c r="B163" i="3"/>
  <c r="H162" i="3"/>
  <c r="B162" i="3"/>
  <c r="H161" i="3"/>
  <c r="B161" i="3"/>
  <c r="H160" i="3"/>
  <c r="B160" i="3"/>
  <c r="H159" i="3"/>
  <c r="B159" i="3"/>
  <c r="H158" i="3"/>
  <c r="B158" i="3"/>
  <c r="H157" i="3"/>
  <c r="B157" i="3"/>
  <c r="H156" i="3"/>
  <c r="B156" i="3"/>
  <c r="H155" i="3"/>
  <c r="B155" i="3"/>
  <c r="H154" i="3"/>
  <c r="B154" i="3"/>
  <c r="H153" i="3"/>
  <c r="B153" i="3"/>
  <c r="H152" i="3"/>
  <c r="B152" i="3"/>
  <c r="H151" i="3"/>
  <c r="B151" i="3"/>
  <c r="H150" i="3"/>
  <c r="B150" i="3"/>
  <c r="H149" i="3"/>
  <c r="B149" i="3"/>
  <c r="H148" i="3"/>
  <c r="B148" i="3"/>
  <c r="H147" i="3"/>
  <c r="B147" i="3"/>
  <c r="H146" i="3"/>
  <c r="B146" i="3"/>
  <c r="H145" i="3"/>
  <c r="B145" i="3"/>
  <c r="H144" i="3"/>
  <c r="B144" i="3"/>
  <c r="H143" i="3"/>
  <c r="B143" i="3"/>
  <c r="H142" i="3"/>
  <c r="B142" i="3"/>
  <c r="H141" i="3"/>
  <c r="B141" i="3"/>
  <c r="H140" i="3"/>
  <c r="B140" i="3"/>
  <c r="H139" i="3"/>
  <c r="B139" i="3"/>
  <c r="H138" i="3"/>
  <c r="B138" i="3"/>
  <c r="H137" i="3"/>
  <c r="B137" i="3"/>
  <c r="H136" i="3"/>
  <c r="B136" i="3"/>
  <c r="H135" i="3"/>
  <c r="B135" i="3"/>
  <c r="H134" i="3"/>
  <c r="B134" i="3"/>
  <c r="H133" i="3"/>
  <c r="B133" i="3"/>
  <c r="H132" i="3"/>
  <c r="B132" i="3"/>
  <c r="H131" i="3"/>
  <c r="B131" i="3"/>
  <c r="H130" i="3"/>
  <c r="B130" i="3"/>
  <c r="H129" i="3"/>
  <c r="B129" i="3"/>
  <c r="H128" i="3"/>
  <c r="B128" i="3"/>
  <c r="H127" i="3"/>
  <c r="B127" i="3"/>
  <c r="H126" i="3"/>
  <c r="B126" i="3"/>
  <c r="H125" i="3"/>
  <c r="B125" i="3"/>
  <c r="H124" i="3"/>
  <c r="B124" i="3"/>
  <c r="H123" i="3"/>
  <c r="B123" i="3"/>
  <c r="H122" i="3"/>
  <c r="B122" i="3"/>
  <c r="H121" i="3"/>
  <c r="B121" i="3"/>
  <c r="H120" i="3"/>
  <c r="B120" i="3"/>
  <c r="H119" i="3"/>
  <c r="B119" i="3"/>
  <c r="H118" i="3"/>
  <c r="B118" i="3"/>
  <c r="H117" i="3"/>
  <c r="B117" i="3"/>
  <c r="H116" i="3"/>
  <c r="B116" i="3"/>
  <c r="H115" i="3"/>
  <c r="B115" i="3"/>
  <c r="H114" i="3"/>
  <c r="B114" i="3"/>
  <c r="H113" i="3"/>
  <c r="B113" i="3"/>
  <c r="H112" i="3"/>
  <c r="B112" i="3"/>
  <c r="H111" i="3"/>
  <c r="B111" i="3"/>
  <c r="H110" i="3"/>
  <c r="B110" i="3"/>
  <c r="H109" i="3"/>
  <c r="B109" i="3"/>
  <c r="H108" i="3"/>
  <c r="B108" i="3"/>
  <c r="H107" i="3"/>
  <c r="B107" i="3"/>
  <c r="H106" i="3"/>
  <c r="B106" i="3"/>
  <c r="H105" i="3"/>
  <c r="B105" i="3"/>
  <c r="H104" i="3"/>
  <c r="B104" i="3"/>
  <c r="H103" i="3"/>
  <c r="B103" i="3"/>
  <c r="H102" i="3"/>
  <c r="B102" i="3"/>
  <c r="H101" i="3"/>
  <c r="B101" i="3"/>
  <c r="H100" i="3"/>
  <c r="B100" i="3"/>
  <c r="H99" i="3"/>
  <c r="B99" i="3"/>
  <c r="H98" i="3"/>
  <c r="B98" i="3"/>
  <c r="H97" i="3"/>
  <c r="B97" i="3"/>
  <c r="H96" i="3"/>
  <c r="B96" i="3"/>
  <c r="H95" i="3"/>
  <c r="B95" i="3"/>
  <c r="H94" i="3"/>
  <c r="B94" i="3"/>
  <c r="H93" i="3"/>
  <c r="B93" i="3"/>
  <c r="H92" i="3"/>
  <c r="B92" i="3"/>
  <c r="H91" i="3"/>
  <c r="B91" i="3"/>
  <c r="H90" i="3"/>
  <c r="B90" i="3"/>
  <c r="H89" i="3"/>
  <c r="B89" i="3"/>
  <c r="H88" i="3"/>
  <c r="B88" i="3"/>
  <c r="H87" i="3"/>
  <c r="B87" i="3"/>
  <c r="H86" i="3"/>
  <c r="B86" i="3"/>
  <c r="H85" i="3"/>
  <c r="B85" i="3"/>
  <c r="H84" i="3"/>
  <c r="B84" i="3"/>
  <c r="H83" i="3"/>
  <c r="B83" i="3"/>
  <c r="H82" i="3"/>
  <c r="B82" i="3"/>
  <c r="H81" i="3"/>
  <c r="B81" i="3"/>
  <c r="H80" i="3"/>
  <c r="B80" i="3"/>
  <c r="H79" i="3"/>
  <c r="B79" i="3"/>
  <c r="H78" i="3"/>
  <c r="B78" i="3"/>
  <c r="H77" i="3"/>
  <c r="B77" i="3"/>
  <c r="H76" i="3"/>
  <c r="B76" i="3"/>
  <c r="H75" i="3"/>
  <c r="B75" i="3"/>
  <c r="H74" i="3"/>
  <c r="B74" i="3"/>
  <c r="H73" i="3"/>
  <c r="B73" i="3"/>
  <c r="H72" i="3"/>
  <c r="B72" i="3"/>
  <c r="H71" i="3"/>
  <c r="B71" i="3"/>
  <c r="H70" i="3"/>
  <c r="B70" i="3"/>
  <c r="H69" i="3"/>
  <c r="B69" i="3"/>
  <c r="H68" i="3"/>
  <c r="B68" i="3"/>
  <c r="H67" i="3"/>
  <c r="B67" i="3"/>
  <c r="H66" i="3"/>
  <c r="B66" i="3"/>
  <c r="H65" i="3"/>
  <c r="B65" i="3"/>
  <c r="H64" i="3"/>
  <c r="B64" i="3"/>
  <c r="H63" i="3"/>
  <c r="B63" i="3"/>
  <c r="H62" i="3"/>
  <c r="B62" i="3"/>
  <c r="H61" i="3"/>
  <c r="B61" i="3"/>
  <c r="H60" i="3"/>
  <c r="B60" i="3"/>
  <c r="H59" i="3"/>
  <c r="B59" i="3"/>
  <c r="H58" i="3"/>
  <c r="B58" i="3"/>
  <c r="H57" i="3"/>
  <c r="B57" i="3"/>
  <c r="H56" i="3"/>
  <c r="B56" i="3"/>
  <c r="H55" i="3"/>
  <c r="B55" i="3"/>
  <c r="H54" i="3"/>
  <c r="B54" i="3"/>
  <c r="H53" i="3"/>
  <c r="B53" i="3"/>
  <c r="H52" i="3"/>
  <c r="B52" i="3"/>
  <c r="H51" i="3"/>
  <c r="B51" i="3"/>
  <c r="H50" i="3"/>
  <c r="B50" i="3"/>
  <c r="H49" i="3"/>
  <c r="B49" i="3"/>
  <c r="H48" i="3"/>
  <c r="B48" i="3"/>
  <c r="H47" i="3"/>
  <c r="B47" i="3"/>
  <c r="H46" i="3"/>
  <c r="B46" i="3"/>
  <c r="H45" i="3"/>
  <c r="B45" i="3"/>
  <c r="H44" i="3"/>
  <c r="B44" i="3"/>
  <c r="H43" i="3"/>
  <c r="B43" i="3"/>
  <c r="H42" i="3"/>
  <c r="B42" i="3"/>
  <c r="H41" i="3"/>
  <c r="B41" i="3"/>
  <c r="H40" i="3"/>
  <c r="B40" i="3"/>
  <c r="H39" i="3"/>
  <c r="B39" i="3"/>
  <c r="H38" i="3"/>
  <c r="B38" i="3"/>
  <c r="H37" i="3"/>
  <c r="B37" i="3"/>
  <c r="H36" i="3"/>
  <c r="B36" i="3"/>
  <c r="H35" i="3"/>
  <c r="B35" i="3"/>
  <c r="H34" i="3"/>
  <c r="B34" i="3"/>
  <c r="H33" i="3"/>
  <c r="B33" i="3"/>
  <c r="H32" i="3"/>
  <c r="B32" i="3"/>
  <c r="H31" i="3"/>
  <c r="B31" i="3"/>
  <c r="H30" i="3"/>
  <c r="B30" i="3"/>
  <c r="H29" i="3"/>
  <c r="B29" i="3"/>
  <c r="H28" i="3"/>
  <c r="B28" i="3"/>
  <c r="H27" i="3"/>
  <c r="B27" i="3"/>
  <c r="H26" i="3"/>
  <c r="B26" i="3"/>
  <c r="H25" i="3"/>
  <c r="B25" i="3"/>
  <c r="H24" i="3"/>
  <c r="B24" i="3"/>
  <c r="H23" i="3"/>
  <c r="B23" i="3"/>
  <c r="H22" i="3"/>
  <c r="B22" i="3"/>
  <c r="H21" i="3"/>
  <c r="B21" i="3"/>
  <c r="H20" i="3"/>
  <c r="B20" i="3"/>
  <c r="H19" i="3"/>
  <c r="B19" i="3"/>
  <c r="H18" i="3"/>
  <c r="B18" i="3"/>
  <c r="H17" i="3"/>
  <c r="B17" i="3"/>
  <c r="H16" i="3"/>
  <c r="B16" i="3"/>
  <c r="H15" i="3"/>
  <c r="B15" i="3"/>
  <c r="H14" i="3"/>
  <c r="B14" i="3"/>
  <c r="H13" i="3"/>
  <c r="B13" i="3"/>
  <c r="H12" i="3"/>
  <c r="B12" i="3"/>
  <c r="H11" i="3"/>
  <c r="B11" i="3"/>
  <c r="H10" i="3"/>
  <c r="B10" i="3"/>
  <c r="H9" i="3"/>
  <c r="B9" i="3"/>
  <c r="H8" i="3"/>
  <c r="B8" i="3"/>
  <c r="H7" i="3"/>
  <c r="B7" i="3"/>
  <c r="H6" i="3"/>
  <c r="B6" i="3"/>
  <c r="H5" i="3"/>
  <c r="B5" i="3"/>
  <c r="H4" i="3"/>
  <c r="B4" i="3"/>
  <c r="H3" i="3"/>
  <c r="B3" i="3"/>
  <c r="H2" i="3"/>
  <c r="B2" i="3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U6" i="1"/>
  <c r="T6" i="1"/>
  <c r="S6" i="1"/>
  <c r="R6" i="1"/>
  <c r="Q6" i="1"/>
  <c r="P6" i="1"/>
  <c r="O6" i="1"/>
  <c r="N6" i="1"/>
  <c r="L6" i="1"/>
  <c r="M24" i="7" l="1" a="1"/>
  <c r="M24" i="7" s="1"/>
  <c r="G24" i="7" a="1"/>
  <c r="G24" i="7" s="1"/>
  <c r="L24" i="7" a="1"/>
  <c r="L24" i="7" s="1"/>
  <c r="H24" i="7" a="1"/>
  <c r="H24" i="7" s="1"/>
  <c r="D24" i="7" a="1"/>
  <c r="D24" i="7" s="1"/>
  <c r="C24" i="7" a="1"/>
  <c r="C24" i="7" s="1"/>
  <c r="B24" i="7" a="1"/>
  <c r="B24" i="7" s="1"/>
  <c r="J24" i="7" a="1"/>
  <c r="J24" i="7" s="1"/>
  <c r="F24" i="7" a="1"/>
  <c r="F24" i="7" s="1"/>
  <c r="K21" i="7" a="1"/>
  <c r="K21" i="7" s="1"/>
  <c r="E12" i="7" a="1"/>
  <c r="E12" i="7" s="1"/>
  <c r="E24" i="7" a="1"/>
  <c r="E24" i="7" s="1"/>
  <c r="I24" i="7" a="1"/>
  <c r="I24" i="7" s="1"/>
  <c r="F5" i="8" a="1"/>
  <c r="F5" i="8" s="1"/>
  <c r="K24" i="7" a="1"/>
  <c r="K24" i="7" s="1"/>
  <c r="C5" i="8" a="1"/>
  <c r="C5" i="8" s="1"/>
  <c r="M6" i="8" a="1"/>
  <c r="M6" i="8" s="1"/>
  <c r="F6" i="8" a="1"/>
  <c r="F6" i="8" s="1"/>
  <c r="C6" i="8" a="1"/>
  <c r="C6" i="8" s="1"/>
  <c r="M5" i="8" a="1"/>
  <c r="M5" i="8" s="1"/>
  <c r="F10" i="7" l="1" a="1"/>
  <c r="F10" i="7" s="1"/>
  <c r="D20" i="7" a="1"/>
  <c r="D20" i="7" s="1"/>
  <c r="C10" i="7" a="1"/>
  <c r="C10" i="7" s="1"/>
  <c r="C16" i="7" a="1"/>
  <c r="C16" i="7" s="1"/>
  <c r="G12" i="7" a="1"/>
  <c r="G12" i="7" s="1"/>
  <c r="F11" i="7" a="1"/>
  <c r="F11" i="7" s="1"/>
  <c r="E14" i="7" a="1"/>
  <c r="E14" i="7" s="1"/>
  <c r="C19" i="7" a="1"/>
  <c r="C19" i="7" s="1"/>
  <c r="E19" i="7" a="1"/>
  <c r="E19" i="7" s="1"/>
  <c r="E11" i="7" a="1"/>
  <c r="E11" i="7" s="1"/>
  <c r="B11" i="7" a="1"/>
  <c r="B11" i="7" s="1"/>
  <c r="G14" i="7" a="1"/>
  <c r="G14" i="7" s="1"/>
  <c r="E10" i="7" a="1"/>
  <c r="E10" i="7" s="1"/>
  <c r="H18" i="7" a="1"/>
  <c r="H18" i="7" s="1"/>
  <c r="L14" i="7" a="1"/>
  <c r="L14" i="7" s="1"/>
  <c r="L11" i="7" a="1"/>
  <c r="L11" i="7" s="1"/>
  <c r="K14" i="7" a="1"/>
  <c r="K14" i="7" s="1"/>
  <c r="I19" i="7" a="1"/>
  <c r="I19" i="7" s="1"/>
  <c r="K19" i="7" a="1"/>
  <c r="K19" i="7" s="1"/>
  <c r="K11" i="7" a="1"/>
  <c r="K11" i="7" s="1"/>
  <c r="D12" i="7" a="1"/>
  <c r="D12" i="7" s="1"/>
  <c r="E16" i="7" a="1"/>
  <c r="E16" i="7" s="1"/>
  <c r="B14" i="7" a="1"/>
  <c r="B14" i="7" s="1"/>
  <c r="K20" i="7" a="1"/>
  <c r="K20" i="7" s="1"/>
  <c r="K16" i="7" a="1"/>
  <c r="K16" i="7" s="1"/>
  <c r="D15" i="7" a="1"/>
  <c r="D15" i="7" s="1"/>
  <c r="D16" i="7" a="1"/>
  <c r="D16" i="7" s="1"/>
  <c r="B21" i="7" a="1"/>
  <c r="B21" i="7" s="1"/>
  <c r="D21" i="7" a="1"/>
  <c r="D21" i="7" s="1"/>
  <c r="C15" i="7" a="1"/>
  <c r="C15" i="7" s="1"/>
  <c r="F20" i="7" a="1"/>
  <c r="F20" i="7" s="1"/>
  <c r="K10" i="7" a="1"/>
  <c r="K10" i="7" s="1"/>
  <c r="L20" i="7" a="1"/>
  <c r="L20" i="7" s="1"/>
  <c r="D18" i="7" a="1"/>
  <c r="D18" i="7" s="1"/>
  <c r="J15" i="7" a="1"/>
  <c r="J15" i="7" s="1"/>
  <c r="J16" i="7" a="1"/>
  <c r="J16" i="7" s="1"/>
  <c r="H21" i="7" a="1"/>
  <c r="H21" i="7" s="1"/>
  <c r="J21" i="7" a="1"/>
  <c r="J21" i="7" s="1"/>
  <c r="I15" i="7" a="1"/>
  <c r="I15" i="7" s="1"/>
  <c r="I16" i="7" a="1"/>
  <c r="I16" i="7" s="1"/>
  <c r="I14" i="7" a="1"/>
  <c r="I14" i="7" s="1"/>
  <c r="J12" i="7" a="1"/>
  <c r="J12" i="7" s="1"/>
  <c r="M20" i="7" a="1"/>
  <c r="M20" i="7" s="1"/>
  <c r="E20" i="7" a="1"/>
  <c r="E20" i="7" s="1"/>
  <c r="B19" i="7" a="1"/>
  <c r="B19" i="7" s="1"/>
  <c r="C18" i="7" a="1"/>
  <c r="C18" i="7" s="1"/>
  <c r="D19" i="7" a="1"/>
  <c r="D19" i="7" s="1"/>
  <c r="D11" i="7" a="1"/>
  <c r="D11" i="7" s="1"/>
  <c r="G19" i="7" a="1"/>
  <c r="G19" i="7" s="1"/>
  <c r="M18" i="7" a="1"/>
  <c r="M18" i="7" s="1"/>
  <c r="F18" i="7" a="1"/>
  <c r="F18" i="7" s="1"/>
  <c r="C14" i="7" a="1"/>
  <c r="C14" i="7" s="1"/>
  <c r="K18" i="7" a="1"/>
  <c r="K18" i="7" s="1"/>
  <c r="I10" i="7" a="1"/>
  <c r="I10" i="7" s="1"/>
  <c r="H19" i="7" a="1"/>
  <c r="H19" i="7" s="1"/>
  <c r="I18" i="7" a="1"/>
  <c r="I18" i="7" s="1"/>
  <c r="J19" i="7" a="1"/>
  <c r="J19" i="7" s="1"/>
  <c r="J11" i="7" a="1"/>
  <c r="J11" i="7" s="1"/>
  <c r="M19" i="7" a="1"/>
  <c r="M19" i="7" s="1"/>
  <c r="J10" i="7" a="1"/>
  <c r="J10" i="7" s="1"/>
  <c r="J14" i="7" a="1"/>
  <c r="J14" i="7" s="1"/>
  <c r="B16" i="7" a="1"/>
  <c r="B16" i="7" s="1"/>
  <c r="D10" i="7" a="1"/>
  <c r="D10" i="7" s="1"/>
  <c r="H12" i="7" a="1"/>
  <c r="H12" i="7" s="1"/>
  <c r="G21" i="7" a="1"/>
  <c r="G21" i="7" s="1"/>
  <c r="B20" i="7" a="1"/>
  <c r="B20" i="7" s="1"/>
  <c r="C21" i="7" a="1"/>
  <c r="C21" i="7" s="1"/>
  <c r="B15" i="7" a="1"/>
  <c r="B15" i="7" s="1"/>
  <c r="F21" i="7" a="1"/>
  <c r="F21" i="7" s="1"/>
  <c r="F14" i="7" a="1"/>
  <c r="F14" i="7" s="1"/>
  <c r="F16" i="7" a="1"/>
  <c r="F16" i="7" s="1"/>
  <c r="G18" i="7" a="1"/>
  <c r="G18" i="7" s="1"/>
  <c r="C12" i="7" a="1"/>
  <c r="C12" i="7" s="1"/>
  <c r="M14" i="7" a="1"/>
  <c r="M14" i="7" s="1"/>
  <c r="M21" i="7" a="1"/>
  <c r="M21" i="7" s="1"/>
  <c r="H20" i="7" a="1"/>
  <c r="H20" i="7" s="1"/>
  <c r="I21" i="7" a="1"/>
  <c r="I21" i="7" s="1"/>
  <c r="H15" i="7" a="1"/>
  <c r="H15" i="7" s="1"/>
  <c r="L21" i="7" a="1"/>
  <c r="L21" i="7" s="1"/>
  <c r="I12" i="7" a="1"/>
  <c r="I12" i="7" s="1"/>
  <c r="H11" i="7" a="1"/>
  <c r="H11" i="7" s="1"/>
  <c r="J18" i="7" a="1"/>
  <c r="J18" i="7" s="1"/>
  <c r="J20" i="7" a="1"/>
  <c r="J20" i="7" s="1"/>
  <c r="H14" i="7" a="1"/>
  <c r="H14" i="7" s="1"/>
  <c r="L16" i="7" a="1"/>
  <c r="L16" i="7" s="1"/>
  <c r="G10" i="7" a="1"/>
  <c r="G10" i="7" s="1"/>
  <c r="G11" i="7" a="1"/>
  <c r="G11" i="7" s="1"/>
  <c r="C11" i="7" a="1"/>
  <c r="C11" i="7" s="1"/>
  <c r="F19" i="7" a="1"/>
  <c r="F19" i="7" s="1"/>
  <c r="B18" i="7" a="1"/>
  <c r="B18" i="7" s="1"/>
  <c r="F15" i="7" a="1"/>
  <c r="F15" i="7" s="1"/>
  <c r="M12" i="7" a="1"/>
  <c r="M12" i="7" s="1"/>
  <c r="L10" i="7" a="1"/>
  <c r="L10" i="7" s="1"/>
  <c r="G16" i="7" a="1"/>
  <c r="G16" i="7" s="1"/>
  <c r="E18" i="7" a="1"/>
  <c r="E18" i="7" s="1"/>
  <c r="M10" i="7" a="1"/>
  <c r="M10" i="7" s="1"/>
  <c r="M11" i="7" a="1"/>
  <c r="M11" i="7" s="1"/>
  <c r="I11" i="7" a="1"/>
  <c r="I11" i="7" s="1"/>
  <c r="L19" i="7" a="1"/>
  <c r="L19" i="7" s="1"/>
  <c r="C20" i="7" a="1"/>
  <c r="C20" i="7" s="1"/>
  <c r="B12" i="7" a="1"/>
  <c r="B12" i="7" s="1"/>
  <c r="H16" i="7" a="1"/>
  <c r="H16" i="7" s="1"/>
  <c r="K12" i="7" a="1"/>
  <c r="K12" i="7" s="1"/>
  <c r="L18" i="7" a="1"/>
  <c r="L18" i="7" s="1"/>
  <c r="G20" i="7" a="1"/>
  <c r="G20" i="7" s="1"/>
  <c r="F12" i="7" a="1"/>
  <c r="F12" i="7" s="1"/>
  <c r="E15" i="7" a="1"/>
  <c r="E15" i="7" s="1"/>
  <c r="G15" i="7" a="1"/>
  <c r="G15" i="7" s="1"/>
  <c r="E21" i="7" a="1"/>
  <c r="E21" i="7" s="1"/>
  <c r="N24" i="7"/>
  <c r="B10" i="7" a="1"/>
  <c r="B10" i="7" s="1"/>
  <c r="L15" i="7" a="1"/>
  <c r="L15" i="7" s="1"/>
  <c r="M16" i="7" a="1"/>
  <c r="M16" i="7" s="1"/>
  <c r="D14" i="7" a="1"/>
  <c r="D14" i="7" s="1"/>
  <c r="D13" i="7" s="1"/>
  <c r="H10" i="7" a="1"/>
  <c r="H10" i="7" s="1"/>
  <c r="I20" i="7" a="1"/>
  <c r="I20" i="7" s="1"/>
  <c r="L12" i="7" a="1"/>
  <c r="L12" i="7" s="1"/>
  <c r="K15" i="7" a="1"/>
  <c r="K15" i="7" s="1"/>
  <c r="M15" i="7" a="1"/>
  <c r="M15" i="7" s="1"/>
  <c r="C13" i="7" l="1"/>
  <c r="H9" i="7"/>
  <c r="L17" i="7"/>
  <c r="K17" i="7"/>
  <c r="E9" i="7"/>
  <c r="N10" i="7"/>
  <c r="B9" i="7"/>
  <c r="N20" i="7"/>
  <c r="I9" i="7"/>
  <c r="N11" i="7"/>
  <c r="K9" i="7"/>
  <c r="G9" i="7"/>
  <c r="M9" i="7"/>
  <c r="M13" i="7"/>
  <c r="D9" i="7"/>
  <c r="F17" i="7"/>
  <c r="I13" i="7"/>
  <c r="E17" i="7"/>
  <c r="H13" i="7"/>
  <c r="N16" i="7"/>
  <c r="M17" i="7"/>
  <c r="G17" i="7"/>
  <c r="J13" i="7"/>
  <c r="E13" i="7"/>
  <c r="L9" i="7"/>
  <c r="J17" i="7"/>
  <c r="J9" i="7"/>
  <c r="N21" i="7"/>
  <c r="K13" i="7"/>
  <c r="F13" i="7"/>
  <c r="L13" i="7"/>
  <c r="H17" i="7"/>
  <c r="C9" i="7"/>
  <c r="N18" i="7"/>
  <c r="B17" i="7"/>
  <c r="N15" i="7"/>
  <c r="I17" i="7"/>
  <c r="C17" i="7"/>
  <c r="N12" i="7"/>
  <c r="N19" i="7"/>
  <c r="D17" i="7"/>
  <c r="N14" i="7"/>
  <c r="B13" i="7"/>
  <c r="G13" i="7"/>
  <c r="F9" i="7"/>
  <c r="G7" i="7" l="1"/>
  <c r="G25" i="7" s="1"/>
  <c r="I7" i="7"/>
  <c r="I25" i="7" s="1"/>
  <c r="H7" i="7"/>
  <c r="H25" i="7" s="1"/>
  <c r="N13" i="7"/>
  <c r="E7" i="7"/>
  <c r="E25" i="7" s="1"/>
  <c r="J7" i="7"/>
  <c r="J25" i="7" s="1"/>
  <c r="D7" i="7"/>
  <c r="D25" i="7" s="1"/>
  <c r="L7" i="7"/>
  <c r="L25" i="7" s="1"/>
  <c r="M7" i="7"/>
  <c r="M25" i="7" s="1"/>
  <c r="N17" i="7"/>
  <c r="F7" i="7"/>
  <c r="F25" i="7" s="1"/>
  <c r="K7" i="7"/>
  <c r="K25" i="7" s="1"/>
  <c r="N9" i="7"/>
  <c r="B7" i="7"/>
  <c r="C7" i="7"/>
  <c r="C25" i="7" s="1"/>
  <c r="N7" i="7" l="1"/>
  <c r="N25" i="7" s="1"/>
  <c r="B25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<sst xmlns="http://schemas.openxmlformats.org/spreadsheetml/2006/main" count="52139" uniqueCount="16441">
  <si>
    <t>ADUANA</t>
  </si>
  <si>
    <t>RUC</t>
  </si>
  <si>
    <t>PARTIDA</t>
  </si>
  <si>
    <t>FOB</t>
  </si>
  <si>
    <t>FLETE</t>
  </si>
  <si>
    <t>SEGURO</t>
  </si>
  <si>
    <t>KILOS</t>
  </si>
  <si>
    <t>COD_PAIS</t>
  </si>
  <si>
    <t>CUODE</t>
  </si>
  <si>
    <t>FENUM</t>
  </si>
  <si>
    <t>CUOD</t>
  </si>
  <si>
    <t>FECHA</t>
  </si>
  <si>
    <t>TIPO</t>
  </si>
  <si>
    <t>CATEGORÍA</t>
  </si>
  <si>
    <t>DESC. CUODE</t>
  </si>
  <si>
    <t>CIF</t>
  </si>
  <si>
    <t>EMPRESA</t>
  </si>
  <si>
    <t>PRODUCTO</t>
  </si>
  <si>
    <t>PAIS</t>
  </si>
  <si>
    <t>CONTINENTE</t>
  </si>
  <si>
    <t>20600119321</t>
  </si>
  <si>
    <t>8415109000</t>
  </si>
  <si>
    <t>20393529076</t>
  </si>
  <si>
    <t>0303890000</t>
  </si>
  <si>
    <t>8487100000</t>
  </si>
  <si>
    <t>20609563967</t>
  </si>
  <si>
    <t>20610271368</t>
  </si>
  <si>
    <t>20451373251</t>
  </si>
  <si>
    <t>1701999000</t>
  </si>
  <si>
    <t>8418991000</t>
  </si>
  <si>
    <t>8408100000</t>
  </si>
  <si>
    <t>20614021633</t>
  </si>
  <si>
    <t>2304000000</t>
  </si>
  <si>
    <t>20541214233</t>
  </si>
  <si>
    <t>1507909000</t>
  </si>
  <si>
    <t>20612351610</t>
  </si>
  <si>
    <t>20612517020</t>
  </si>
  <si>
    <t>20600839897</t>
  </si>
  <si>
    <t>8415900000</t>
  </si>
  <si>
    <t>20528339493</t>
  </si>
  <si>
    <t>CÓDIGO</t>
  </si>
  <si>
    <t>TEXTO</t>
  </si>
  <si>
    <t>PAÍS</t>
  </si>
  <si>
    <t>RAZÓN SOCIAL</t>
  </si>
  <si>
    <t>Isla Bouvet</t>
  </si>
  <si>
    <t>ANTÁRTIDA</t>
  </si>
  <si>
    <t>10000876629</t>
  </si>
  <si>
    <t>RODRIGUEZ EGOAVIL MAURO</t>
  </si>
  <si>
    <t>Costa de Marfil</t>
  </si>
  <si>
    <t>ÁFRICA</t>
  </si>
  <si>
    <t>10001264201</t>
  </si>
  <si>
    <t>BORJAS OLORTEGUI TONY</t>
  </si>
  <si>
    <t>Islas Malvinas</t>
  </si>
  <si>
    <t>AMÉRICA</t>
  </si>
  <si>
    <t>10011399873</t>
  </si>
  <si>
    <t>CISNEROS REÁTEGUI KATHERINE</t>
  </si>
  <si>
    <t>Francia Metropolitana</t>
  </si>
  <si>
    <t>EUROPA</t>
  </si>
  <si>
    <t>10052037293</t>
  </si>
  <si>
    <t>SAN ROMAN NUÑEZ HUGO ALBERTO</t>
  </si>
  <si>
    <t>Territorios Australes Franceses</t>
  </si>
  <si>
    <t>10052121804</t>
  </si>
  <si>
    <t>ACHING ROJAS ROBERTO</t>
  </si>
  <si>
    <t>Islas Heard y McDonald</t>
  </si>
  <si>
    <t>10052827120</t>
  </si>
  <si>
    <t>ZAPATERIA ALEXANDER SHOES</t>
  </si>
  <si>
    <t>Mayotte</t>
  </si>
  <si>
    <t>10052829084</t>
  </si>
  <si>
    <t>WONG RAMÍREZ DE FERREIRA VICTORIA</t>
  </si>
  <si>
    <t>Islas Georgias del Sur y Sandwich del Sur</t>
  </si>
  <si>
    <t>10052952536</t>
  </si>
  <si>
    <t>PINTO RUIZ JUAN</t>
  </si>
  <si>
    <t>Islas Svalbard y Jan Mayen</t>
  </si>
  <si>
    <t>10053337789</t>
  </si>
  <si>
    <t>ALCALDE AREVALO ROXANA</t>
  </si>
  <si>
    <t>Islas Ultramarinas Menores de Estados Unidos</t>
  </si>
  <si>
    <t>10053351340</t>
  </si>
  <si>
    <t>ROCHA CABRERA LUIS ESTANISLAO</t>
  </si>
  <si>
    <t>Otros Países</t>
  </si>
  <si>
    <t>OTROS</t>
  </si>
  <si>
    <t>10053376326</t>
  </si>
  <si>
    <t>ROJAS ZELADA MIQUEAS</t>
  </si>
  <si>
    <t>Afganistán</t>
  </si>
  <si>
    <t>ASIA</t>
  </si>
  <si>
    <t>10053411091</t>
  </si>
  <si>
    <t>VALERA RUIZ REYNALDO</t>
  </si>
  <si>
    <t>Albania</t>
  </si>
  <si>
    <t>10053567971</t>
  </si>
  <si>
    <t>MONTOYA AVILA YONY FREDY</t>
  </si>
  <si>
    <t>Alderney</t>
  </si>
  <si>
    <t>10053749467</t>
  </si>
  <si>
    <t>FERNANDEZ SOUZA WILLY FREDHIT</t>
  </si>
  <si>
    <t>Alemania</t>
  </si>
  <si>
    <t>10053797682</t>
  </si>
  <si>
    <t>CAMONES JIMEZ VLADIMIR ENZO</t>
  </si>
  <si>
    <t>Armenia</t>
  </si>
  <si>
    <t>10053951398</t>
  </si>
  <si>
    <t>PINEDO HORA CASTALIA FABIOLA</t>
  </si>
  <si>
    <t>Aruba</t>
  </si>
  <si>
    <t>10054103315</t>
  </si>
  <si>
    <t>CHAVESTA CASTRO MANUEL EUGENIO</t>
  </si>
  <si>
    <t>Ascensión</t>
  </si>
  <si>
    <t>10054137121</t>
  </si>
  <si>
    <t>LEONARD ZUMAETA MARIBEL</t>
  </si>
  <si>
    <t>Bosnia y Herzegovina</t>
  </si>
  <si>
    <t>10057163637</t>
  </si>
  <si>
    <t>VALLES WIN NATANAEL</t>
  </si>
  <si>
    <t>Burkina Faso</t>
  </si>
  <si>
    <t>10059548676</t>
  </si>
  <si>
    <t>WONG GARCIA LUIS JAVIER</t>
  </si>
  <si>
    <t>Andorra</t>
  </si>
  <si>
    <t>10072339211</t>
  </si>
  <si>
    <t>CORREA LINARES LUIS ARTURO</t>
  </si>
  <si>
    <t>Angola</t>
  </si>
  <si>
    <t>10166679261</t>
  </si>
  <si>
    <t>SILVA CENTURION DOMINGO</t>
  </si>
  <si>
    <t>Anguila</t>
  </si>
  <si>
    <t>10166875787</t>
  </si>
  <si>
    <t>DÁVILA TELLO SANTOS</t>
  </si>
  <si>
    <t>Antigua y Barbuda</t>
  </si>
  <si>
    <t>10258446271</t>
  </si>
  <si>
    <t>LOPEZ CARDENAS ROBERTO</t>
  </si>
  <si>
    <t>Antillas Neerlandesas</t>
  </si>
  <si>
    <t>10329042371</t>
  </si>
  <si>
    <t>CHAVESTA CASTRO JOSÉ MANUEL</t>
  </si>
  <si>
    <t>Arabia Saudita</t>
  </si>
  <si>
    <t>10329084766</t>
  </si>
  <si>
    <t>PICHEN RIVERA MARÍA DEL PILAR</t>
  </si>
  <si>
    <t>Argelia</t>
  </si>
  <si>
    <t>10329694491</t>
  </si>
  <si>
    <t xml:space="preserve">CHAVESTA ALARCON WILLIAM RICHARD </t>
  </si>
  <si>
    <t>Argentina</t>
  </si>
  <si>
    <t>10412431214</t>
  </si>
  <si>
    <t>RUÍZ FLORES JOHANA DEL ROSARIO</t>
  </si>
  <si>
    <t>Australia</t>
  </si>
  <si>
    <t>OCEANÍA</t>
  </si>
  <si>
    <t>10417708273</t>
  </si>
  <si>
    <t>LAURA VALDIVIA LADYS</t>
  </si>
  <si>
    <t>Austria</t>
  </si>
  <si>
    <t>10461013690</t>
  </si>
  <si>
    <t>RIMARACHIN PAIMA LETICIA GIMENA</t>
  </si>
  <si>
    <t>Azerbaiyán</t>
  </si>
  <si>
    <t>10463546865</t>
  </si>
  <si>
    <t>CASTILLO TORO DANILO</t>
  </si>
  <si>
    <t>Bahamas</t>
  </si>
  <si>
    <t>10467991146</t>
  </si>
  <si>
    <t>HERRERA NAVARRO PATRICIA CAROLINA</t>
  </si>
  <si>
    <t>Baréin</t>
  </si>
  <si>
    <t>10700778628</t>
  </si>
  <si>
    <t>PICHEN RODRÍGUEZ HENDERSON EMILIANO</t>
  </si>
  <si>
    <t>Bangladés</t>
  </si>
  <si>
    <t>10703693534</t>
  </si>
  <si>
    <t>ACHING PICHEN SHARLENE FIORELLA</t>
  </si>
  <si>
    <t>Barbados</t>
  </si>
  <si>
    <t>15408536186</t>
  </si>
  <si>
    <t>FERNANDES ANGELO JOSÉ</t>
  </si>
  <si>
    <t>Bélgica</t>
  </si>
  <si>
    <t>15493177513</t>
  </si>
  <si>
    <t>RIBEIRO MACEDO ELIETE</t>
  </si>
  <si>
    <t>Belice</t>
  </si>
  <si>
    <t>15567220173</t>
  </si>
  <si>
    <t>TRIANA ESCOBAR EDILSON</t>
  </si>
  <si>
    <t>Bermudas</t>
  </si>
  <si>
    <t>17232763051</t>
  </si>
  <si>
    <t>BARRIOS GALVÁN RAMIRO</t>
  </si>
  <si>
    <t>Bielorrusia</t>
  </si>
  <si>
    <t>20100027292</t>
  </si>
  <si>
    <t>FERREYROS S.A.A.</t>
  </si>
  <si>
    <t>Birmania (Myanmar)</t>
  </si>
  <si>
    <t>20100045517</t>
  </si>
  <si>
    <t>MOTA-ENGIL PERU S.A.</t>
  </si>
  <si>
    <t>Bolivia</t>
  </si>
  <si>
    <t>20100053455</t>
  </si>
  <si>
    <t>BANCO INTERNACIONAL DEL PERÚ INTERBANK</t>
  </si>
  <si>
    <t>Botsuana</t>
  </si>
  <si>
    <t>20100128218</t>
  </si>
  <si>
    <t>PETROLEOS DEL PERÚ.</t>
  </si>
  <si>
    <t>Brasil</t>
  </si>
  <si>
    <t>PETROLEOS DEL PERU PETROPERU SA</t>
  </si>
  <si>
    <t>Brunéi Darussalam</t>
  </si>
  <si>
    <t>20100154057</t>
  </si>
  <si>
    <t>GRAÑA Y MONTERO S.A. (SERV. PETROL.)</t>
  </si>
  <si>
    <t>Bulgaria</t>
  </si>
  <si>
    <t>20100998115</t>
  </si>
  <si>
    <t>PETRO ACEROS S.A.C.</t>
  </si>
  <si>
    <t>Burundi</t>
  </si>
  <si>
    <t>20101101143</t>
  </si>
  <si>
    <t>M.I. OVERSEAS LIMITED - SUC. PERÚ (SEV. PETROLEROS)</t>
  </si>
  <si>
    <t>Bután</t>
  </si>
  <si>
    <t>20103732981</t>
  </si>
  <si>
    <t>MAQUINARIAS Y VEHÍCULOS IQUITOS S.A.</t>
  </si>
  <si>
    <t>Cabo Verde</t>
  </si>
  <si>
    <t>20103743169</t>
  </si>
  <si>
    <t>SERVICIOS PETROLEROS AMAZONICOS SA</t>
  </si>
  <si>
    <t>Islas Caimán</t>
  </si>
  <si>
    <t>20103744211</t>
  </si>
  <si>
    <t>PETREX S.A. (PETROLERA)</t>
  </si>
  <si>
    <t>Camboya</t>
  </si>
  <si>
    <t>Camerún</t>
  </si>
  <si>
    <t>20103761817</t>
  </si>
  <si>
    <t>RIO REY S.C.R.LTDA</t>
  </si>
  <si>
    <t>Campione d’Italia</t>
  </si>
  <si>
    <t>20103761906</t>
  </si>
  <si>
    <t>INVERSIONES DEL ORIENTE S.A.</t>
  </si>
  <si>
    <t>Canadá</t>
  </si>
  <si>
    <t>20103763607</t>
  </si>
  <si>
    <t>ARQUÍMEDES LAZARO RODRIGUEZ S.A.</t>
  </si>
  <si>
    <t>Islas del Canal</t>
  </si>
  <si>
    <t>20103795631</t>
  </si>
  <si>
    <t>ELECTRO ORIENTE S.A.</t>
  </si>
  <si>
    <t>Islas Cantón y Enderbury</t>
  </si>
  <si>
    <t>20103808121</t>
  </si>
  <si>
    <t>DA COSTA MANZUR MARIO EIRLTDA.</t>
  </si>
  <si>
    <t>Santa Sede (Vaticano)</t>
  </si>
  <si>
    <t>20103829802</t>
  </si>
  <si>
    <t>DERTEANO &amp; STUCKER S.A.</t>
  </si>
  <si>
    <t>Islas Cocos</t>
  </si>
  <si>
    <t>Colombia</t>
  </si>
  <si>
    <t>20103859621</t>
  </si>
  <si>
    <t>TRIPLAY ENCHAPES S.A.C.</t>
  </si>
  <si>
    <t>Comoras</t>
  </si>
  <si>
    <t>20103884811</t>
  </si>
  <si>
    <t>IREDI INTERNATIONAL DEL ORIENTE S.R.L.</t>
  </si>
  <si>
    <t>Congo</t>
  </si>
  <si>
    <t>20103912297</t>
  </si>
  <si>
    <t>SERVICIOS Y EQUIPOS AMAZÓNICOS S.A.C.</t>
  </si>
  <si>
    <t>Islas Cook</t>
  </si>
  <si>
    <t>20103913340</t>
  </si>
  <si>
    <t>ORGANIZACIÓN VICTORIA S.A.</t>
  </si>
  <si>
    <t>Corea del Norte</t>
  </si>
  <si>
    <t>Corea del Sur</t>
  </si>
  <si>
    <t>20103921016</t>
  </si>
  <si>
    <t>EMPRESA RADIO DIFUSORA PATTY E.I.R.LTDA.</t>
  </si>
  <si>
    <t>20103927995</t>
  </si>
  <si>
    <t>COMPAÑÍA REPRESENTACIONES S.A.</t>
  </si>
  <si>
    <t>Costa Rica</t>
  </si>
  <si>
    <t>20103964921</t>
  </si>
  <si>
    <t>EXPLORACIONES AMAZÓNICASS.A.</t>
  </si>
  <si>
    <t>Croacia</t>
  </si>
  <si>
    <t>20103967199</t>
  </si>
  <si>
    <t>COMERCIAL INDUSTRIAL SELVA S.A.</t>
  </si>
  <si>
    <t>Cuba</t>
  </si>
  <si>
    <t>20103973245</t>
  </si>
  <si>
    <t>BAKER HUGHES OILFIELD (SERVICIOS PETROLEROS)</t>
  </si>
  <si>
    <t>Chad</t>
  </si>
  <si>
    <t>Checoslovaquia (Disuelto)</t>
  </si>
  <si>
    <t>20103988358</t>
  </si>
  <si>
    <t>SERVICIOS ELECTRÓNICOS GENERALES S.A.</t>
  </si>
  <si>
    <t>Chile</t>
  </si>
  <si>
    <t>20111157058</t>
  </si>
  <si>
    <t>ASOC. UNION PERUANA DE LA IGLESIA DEL 7° DÍA</t>
  </si>
  <si>
    <t>China</t>
  </si>
  <si>
    <t>20112291238</t>
  </si>
  <si>
    <t xml:space="preserve">OCEANIC CONTRACTORS INC. SUCURSAL PERÚ </t>
  </si>
  <si>
    <t>Taiwán (Formosa)</t>
  </si>
  <si>
    <t>20114040143</t>
  </si>
  <si>
    <t>IMPORTACIONES LIMA S.A.</t>
  </si>
  <si>
    <t>Chipre</t>
  </si>
  <si>
    <t>20114042600</t>
  </si>
  <si>
    <t>TRIPLAY IQUITOS S.A.C</t>
  </si>
  <si>
    <t>Benín</t>
  </si>
  <si>
    <t>20128847619</t>
  </si>
  <si>
    <t>CHIU HERMANOS S.R.L.TDA</t>
  </si>
  <si>
    <t>Dinamarca</t>
  </si>
  <si>
    <t>20128847881</t>
  </si>
  <si>
    <t>NAVIERA ORIENTE SAC</t>
  </si>
  <si>
    <t>Dominica</t>
  </si>
  <si>
    <t>20128873296</t>
  </si>
  <si>
    <t>TIENDAS CORREAS SAC</t>
  </si>
  <si>
    <t>Ecuador</t>
  </si>
  <si>
    <t>20128905759</t>
  </si>
  <si>
    <t>OXIGENO LORETO S.R.L.</t>
  </si>
  <si>
    <t>Egipto</t>
  </si>
  <si>
    <t>20128915711</t>
  </si>
  <si>
    <t>CERVECERÍA SAN JUAN</t>
  </si>
  <si>
    <t>El Salvador</t>
  </si>
  <si>
    <t>20128941551</t>
  </si>
  <si>
    <t>EDILBERTO ALIAGA E HIJOS</t>
  </si>
  <si>
    <t>Eritrea</t>
  </si>
  <si>
    <t>20128990098</t>
  </si>
  <si>
    <t>TÉCNICA DE COMUNICACIONES E.I.R.LTDA.</t>
  </si>
  <si>
    <t>Emiratos Árabes Unidos</t>
  </si>
  <si>
    <t>20146678573</t>
  </si>
  <si>
    <t>SOUTH AMERICA MISSION FILIAL DEL PERÚ</t>
  </si>
  <si>
    <t>España</t>
  </si>
  <si>
    <t>20148092282</t>
  </si>
  <si>
    <t>UNIVERSIDAD NACIONAL MAYOR DE SAN MARCOS</t>
  </si>
  <si>
    <t>Eslovaquia</t>
  </si>
  <si>
    <t>20153408191</t>
  </si>
  <si>
    <t>MARINA DE GUERRA DEL PERÚ</t>
  </si>
  <si>
    <t>Eslovenia</t>
  </si>
  <si>
    <t>20154438719</t>
  </si>
  <si>
    <t>IMPORTACIONES PUCALLPA S.A.</t>
  </si>
  <si>
    <t>Estados Unidos</t>
  </si>
  <si>
    <t>20171707596</t>
  </si>
  <si>
    <t>INDUSTRIAL UCAYALI S.A.</t>
  </si>
  <si>
    <t>Estonia</t>
  </si>
  <si>
    <t>20176709139</t>
  </si>
  <si>
    <t xml:space="preserve">VICARIATO APOST DE SAN JOSE DE AMAZONAS </t>
  </si>
  <si>
    <t>Etiopía</t>
  </si>
  <si>
    <t>20203866497</t>
  </si>
  <si>
    <t>SIMA IQUITOS S.R.L.TDA</t>
  </si>
  <si>
    <t>Islas Feroe</t>
  </si>
  <si>
    <t>20206941228</t>
  </si>
  <si>
    <t>AGROPECUARIA SAN MARTIN SRL</t>
  </si>
  <si>
    <t>Filipinas</t>
  </si>
  <si>
    <t>20208088298</t>
  </si>
  <si>
    <t>ASERRADERO ANACONDA SA</t>
  </si>
  <si>
    <t>Finlandia</t>
  </si>
  <si>
    <t>20214334039</t>
  </si>
  <si>
    <t>FORESTAL IND. YAVARÍ  S.A.</t>
  </si>
  <si>
    <t>Francia</t>
  </si>
  <si>
    <t>20216145136</t>
  </si>
  <si>
    <t>SERVICIOS GENERALES OTERO E.I.R.LTDA</t>
  </si>
  <si>
    <t>Gabón</t>
  </si>
  <si>
    <t>20220898114</t>
  </si>
  <si>
    <t>COSECHA EVÁNGELISTICA EN EL AMAZONAS</t>
  </si>
  <si>
    <t>Gambia</t>
  </si>
  <si>
    <t>20226675648</t>
  </si>
  <si>
    <t>BJ SERVICES COMPANY SA SUCURSAL DEL PERÚ</t>
  </si>
  <si>
    <t>Gaza y Jericó (Territorios Palestinos)</t>
  </si>
  <si>
    <t>20227729709</t>
  </si>
  <si>
    <t>CLÍNICA ADVENTISTA ANA STAHL</t>
  </si>
  <si>
    <t>Georgia</t>
  </si>
  <si>
    <t>20228907783</t>
  </si>
  <si>
    <t>MADERAS EXIMPORT R Y C SCRLTDA</t>
  </si>
  <si>
    <t>Ghana</t>
  </si>
  <si>
    <t>20229610474</t>
  </si>
  <si>
    <t xml:space="preserve">ASOCIACIÓN CENTRO CRISTIANA VIDA ABUNDANTE </t>
  </si>
  <si>
    <t>Gibraltar</t>
  </si>
  <si>
    <t>20229960297</t>
  </si>
  <si>
    <t xml:space="preserve">CLUB DE LEONES DE IQUITOS </t>
  </si>
  <si>
    <t>Granada</t>
  </si>
  <si>
    <t>20232236273</t>
  </si>
  <si>
    <t>ELECTRO UCAYALI S.A. (P)</t>
  </si>
  <si>
    <t>Grecia</t>
  </si>
  <si>
    <t>20253128641</t>
  </si>
  <si>
    <t>WARTSILA PERÚ S.A.</t>
  </si>
  <si>
    <t>Groenlandia</t>
  </si>
  <si>
    <t>20258262728</t>
  </si>
  <si>
    <t>REPSOL EXPLORACION PERU SUCURSAL DEL PERU</t>
  </si>
  <si>
    <t>Guadalupe</t>
  </si>
  <si>
    <t>20264617741</t>
  </si>
  <si>
    <t>SMITH INTERNACIONAL INC. SUCURSAL DEL PERU</t>
  </si>
  <si>
    <t>Guam</t>
  </si>
  <si>
    <t>20267638358</t>
  </si>
  <si>
    <t>OCCIDENTAL PETROLERA DE PERÚ INC. SUC. PERU</t>
  </si>
  <si>
    <t>Guatemala</t>
  </si>
  <si>
    <t>20280102904</t>
  </si>
  <si>
    <t>NORTH AMERICAN FLOAT PLANE SERVICE S.A.C.</t>
  </si>
  <si>
    <t>Guayana Francesa</t>
  </si>
  <si>
    <t>20280300021</t>
  </si>
  <si>
    <t xml:space="preserve">TRANSPORTES JUPITER SRL </t>
  </si>
  <si>
    <t>Guernsey</t>
  </si>
  <si>
    <t>20280442918</t>
  </si>
  <si>
    <t>PROMOTARA MERCANTIL L.V. EIRL LTDA.</t>
  </si>
  <si>
    <t>Guinea</t>
  </si>
  <si>
    <t>20280566307</t>
  </si>
  <si>
    <t>CÍA INDUSTRIAL Y COMERCIAL IQUITOS S.A.</t>
  </si>
  <si>
    <t>Guinea Ecuatorial</t>
  </si>
  <si>
    <t>20283731988</t>
  </si>
  <si>
    <t>DISTRIBUIDORA SANTA CLARA SAC</t>
  </si>
  <si>
    <t>Guinea-Bisáu</t>
  </si>
  <si>
    <t>20304177552</t>
  </si>
  <si>
    <t>PLUSPETROL  CORPORATION - SUC.PERÚ (PETROLERA)</t>
  </si>
  <si>
    <t>Guyana</t>
  </si>
  <si>
    <t>20308668780</t>
  </si>
  <si>
    <t>CREDITO LEASING SA</t>
  </si>
  <si>
    <t>Haití</t>
  </si>
  <si>
    <t>20318411868</t>
  </si>
  <si>
    <t>TELESISTEMAS EIRLTDA</t>
  </si>
  <si>
    <t>Honduras</t>
  </si>
  <si>
    <t>20318631809</t>
  </si>
  <si>
    <t>NAVIERA YACUPUMA SA</t>
  </si>
  <si>
    <t>Honduras Británicas (Belice)</t>
  </si>
  <si>
    <t>20318670375</t>
  </si>
  <si>
    <t>COMERCIAL REMIG SRLTDA</t>
  </si>
  <si>
    <t>Hong Kong</t>
  </si>
  <si>
    <t>20318670456</t>
  </si>
  <si>
    <t>AVIACIÓN DEL SUR S.A.</t>
  </si>
  <si>
    <t>Hungría</t>
  </si>
  <si>
    <t>20329398642</t>
  </si>
  <si>
    <t>HOTEL PLAZA S.A.</t>
  </si>
  <si>
    <t>India</t>
  </si>
  <si>
    <t>20329436323</t>
  </si>
  <si>
    <t>DESARROLLO FORESTAL SAC</t>
  </si>
  <si>
    <t>Indonesia</t>
  </si>
  <si>
    <t>20329495508</t>
  </si>
  <si>
    <t>OXIGENO IQUITOS S.R.L.</t>
  </si>
  <si>
    <t>Irak</t>
  </si>
  <si>
    <t>20329973256</t>
  </si>
  <si>
    <t>SCHLUMBERGER (SERVICIOS PETROLEROS)</t>
  </si>
  <si>
    <t>República Islámica de Irán</t>
  </si>
  <si>
    <t>Irlanda (Eire)</t>
  </si>
  <si>
    <t>20347982068</t>
  </si>
  <si>
    <t>OCCIDENTAL EXPLORADORA DEL PERU LTD SP</t>
  </si>
  <si>
    <t>Islas Azores</t>
  </si>
  <si>
    <t>20350910256</t>
  </si>
  <si>
    <t xml:space="preserve">EMPRESA DE TRANSPORTE FLUVIAL N.T.C. EIRLTDA </t>
  </si>
  <si>
    <t>Isla de Man</t>
  </si>
  <si>
    <t>20351311089</t>
  </si>
  <si>
    <t>MADERAS INDUSTRIALES Y LAMINADAS S.A.C.</t>
  </si>
  <si>
    <t>Islandia</t>
  </si>
  <si>
    <t>20351382342</t>
  </si>
  <si>
    <t>STOSIK EQUIPMENT PERÚ S.A.C.</t>
  </si>
  <si>
    <t>Islas Canarias</t>
  </si>
  <si>
    <t>20351597462</t>
  </si>
  <si>
    <t>FORESMETAL SAC</t>
  </si>
  <si>
    <t>Isla de Christmas</t>
  </si>
  <si>
    <t>20351761955</t>
  </si>
  <si>
    <t>AMAZON TIMBERLAND DEVELOPMENT SRL</t>
  </si>
  <si>
    <t>Islas Qeshm</t>
  </si>
  <si>
    <t>20352431436</t>
  </si>
  <si>
    <t>INDUSTRIAS Y SERVICIOS KAROLINA E.I.R.L.</t>
  </si>
  <si>
    <t>Israel</t>
  </si>
  <si>
    <t>20362013802</t>
  </si>
  <si>
    <t>UNIVERSAL GAS SRLTDA</t>
  </si>
  <si>
    <t>Italia</t>
  </si>
  <si>
    <t>20366164741</t>
  </si>
  <si>
    <t>SHALOM INVERSIONES S.A.C.</t>
  </si>
  <si>
    <t>Jamaica</t>
  </si>
  <si>
    <t>20366291939</t>
  </si>
  <si>
    <t>MARIE DISTRIBUIDORES S.R.L.</t>
  </si>
  <si>
    <t>Islas Johnston</t>
  </si>
  <si>
    <t>20366551515</t>
  </si>
  <si>
    <t>TRANSPORTES AMAZÓNICOS S.A.</t>
  </si>
  <si>
    <t>Japón</t>
  </si>
  <si>
    <t>20366742451</t>
  </si>
  <si>
    <t>SERVICIOS Y TRANSPORTES AMAZONICOS SRL</t>
  </si>
  <si>
    <t>Jersey</t>
  </si>
  <si>
    <t>20382042116</t>
  </si>
  <si>
    <t>BRAND SERVICES PETROLEROS S.A.</t>
  </si>
  <si>
    <t>Jordania</t>
  </si>
  <si>
    <t>20385218029</t>
  </si>
  <si>
    <t>ENERGY SERVICES DEL PERU SAC</t>
  </si>
  <si>
    <t>Kazajistán</t>
  </si>
  <si>
    <t>20393075539</t>
  </si>
  <si>
    <t>IMPORTACIONES CJ E.I.R.L.</t>
  </si>
  <si>
    <t>Kenia</t>
  </si>
  <si>
    <t>20393077400</t>
  </si>
  <si>
    <t>GIMMEX S.R.L.</t>
  </si>
  <si>
    <t>Kiribati</t>
  </si>
  <si>
    <t>20393081695</t>
  </si>
  <si>
    <t>MAQUISELVA EIRL</t>
  </si>
  <si>
    <t>Kirguistán</t>
  </si>
  <si>
    <t>20393087626</t>
  </si>
  <si>
    <t>BEBIDAS Y ALIMENTOS BUITANO SAC</t>
  </si>
  <si>
    <t>Kuwait</t>
  </si>
  <si>
    <t>20393090414</t>
  </si>
  <si>
    <t xml:space="preserve">JG SERVICIOS GENERALES E.I.R.L. </t>
  </si>
  <si>
    <t>Labun</t>
  </si>
  <si>
    <t>20393124416</t>
  </si>
  <si>
    <t>CASA LA VIRREYNA SAC</t>
  </si>
  <si>
    <t>República Popular Democrática de Laos</t>
  </si>
  <si>
    <t>20393136007</t>
  </si>
  <si>
    <t>MAQUIRUT E.I.R.LTDA.</t>
  </si>
  <si>
    <t>Lesoto</t>
  </si>
  <si>
    <t>20393216299</t>
  </si>
  <si>
    <t>SAAVEDRA IMPORTACIONES E.I.R.L.</t>
  </si>
  <si>
    <t>Letonia</t>
  </si>
  <si>
    <t>20393219638</t>
  </si>
  <si>
    <t>MOVIL AIR REGIONAL S.A.</t>
  </si>
  <si>
    <t>Líbano</t>
  </si>
  <si>
    <t>Liberia</t>
  </si>
  <si>
    <t>20393229196</t>
  </si>
  <si>
    <t>PROTECNIA AMAZON S.A.C.</t>
  </si>
  <si>
    <t>Libia</t>
  </si>
  <si>
    <t>20393290006</t>
  </si>
  <si>
    <t>MITSUI MMP AMAZON SAC</t>
  </si>
  <si>
    <t>Liechtenstein</t>
  </si>
  <si>
    <t>20393432404</t>
  </si>
  <si>
    <t>F.I. INTERNATIONAL TRACTOR SAC</t>
  </si>
  <si>
    <t>Lituania</t>
  </si>
  <si>
    <t>INVERSIONES EN GRANOS Y PESCADO AMAZONICO E.I.R.L.</t>
  </si>
  <si>
    <t>Luxemburgo</t>
  </si>
  <si>
    <t>20393804395</t>
  </si>
  <si>
    <t>LOGISTICA Y TRANSPORTE INTEGRAL SAJUTA E.I.R.L.</t>
  </si>
  <si>
    <t>Macao</t>
  </si>
  <si>
    <t>20393990679</t>
  </si>
  <si>
    <t>COMPAÑIA DEL FRIO S.R.L.</t>
  </si>
  <si>
    <t>Macedonia</t>
  </si>
  <si>
    <t>20408453489</t>
  </si>
  <si>
    <t>ATENC. INTEG. DE SALUD-HOSP. REG. DE LORETO</t>
  </si>
  <si>
    <t>Madagascar</t>
  </si>
  <si>
    <t>20408454299</t>
  </si>
  <si>
    <t>DIRECCION DE ADMINISTRACION GENERAL DE SALUD</t>
  </si>
  <si>
    <t>Madeira</t>
  </si>
  <si>
    <t>20408567905</t>
  </si>
  <si>
    <t>DAILEY DEL PERÚ</t>
  </si>
  <si>
    <t>Malasia</t>
  </si>
  <si>
    <t>20408614831</t>
  </si>
  <si>
    <t>CONSORCIO DE SERVICIOS FUNERARIOS</t>
  </si>
  <si>
    <t>Malaui</t>
  </si>
  <si>
    <t>20408650047</t>
  </si>
  <si>
    <t>AMALUR INDUSTRIAL S.A.</t>
  </si>
  <si>
    <t>Maldivas</t>
  </si>
  <si>
    <t>20408741191</t>
  </si>
  <si>
    <t>GLOBAL COMUNICATION S.R. LTDA.</t>
  </si>
  <si>
    <t>Malí</t>
  </si>
  <si>
    <t>20408771774</t>
  </si>
  <si>
    <t>ATLANTIC INTERNATIONAL SUD AMERICA E.I.R.L.</t>
  </si>
  <si>
    <t>Malta</t>
  </si>
  <si>
    <t>20408914397</t>
  </si>
  <si>
    <t>KEVIN IMPORT SAC</t>
  </si>
  <si>
    <t>Islas Marianas del Norte</t>
  </si>
  <si>
    <t>20408952566</t>
  </si>
  <si>
    <t>ILZRO RAPS</t>
  </si>
  <si>
    <t>Islas Marshall</t>
  </si>
  <si>
    <t>20408971943</t>
  </si>
  <si>
    <t>GLP AMAZONICO S.A.C.</t>
  </si>
  <si>
    <t>Marruecos</t>
  </si>
  <si>
    <t>20409082859</t>
  </si>
  <si>
    <t>TRIPLAY MARTIN S.A.C. / TRIMASA</t>
  </si>
  <si>
    <t>Martinica</t>
  </si>
  <si>
    <t>20446585771</t>
  </si>
  <si>
    <t>S.W. TRACTOR PARTS S.C.R.L.</t>
  </si>
  <si>
    <t>Mauricio</t>
  </si>
  <si>
    <t>20450946771</t>
  </si>
  <si>
    <t>NUMBER ONE S.R.LTDA.</t>
  </si>
  <si>
    <t>Mauritania</t>
  </si>
  <si>
    <t>20451060393</t>
  </si>
  <si>
    <t>GRANJA SANTA ROSA S.A.C.</t>
  </si>
  <si>
    <t>México</t>
  </si>
  <si>
    <t>20451242319</t>
  </si>
  <si>
    <t>SOUTH AMERICA VENTURE INVESTMENTS S.A.C.</t>
  </si>
  <si>
    <t>Estados Federados de Micronesia</t>
  </si>
  <si>
    <t>20451366042</t>
  </si>
  <si>
    <t>HUSQVARNA IQUITOS S.A.</t>
  </si>
  <si>
    <t>Islas Midway</t>
  </si>
  <si>
    <t>DISTRIBUIDORA NICO EIRL</t>
  </si>
  <si>
    <t>Moldavia</t>
  </si>
  <si>
    <t>20451384377</t>
  </si>
  <si>
    <t>AERO MEDIC IMPORT EIRL</t>
  </si>
  <si>
    <t>Mongolia</t>
  </si>
  <si>
    <t>20451390423</t>
  </si>
  <si>
    <t>AMAZON RESERVE &amp; RESORT SAC</t>
  </si>
  <si>
    <t>Mónaco</t>
  </si>
  <si>
    <t>20451430743</t>
  </si>
  <si>
    <t>HIDRAULICA AMAZONICA EIRL</t>
  </si>
  <si>
    <t>Isla Montserrat</t>
  </si>
  <si>
    <t>20451440544</t>
  </si>
  <si>
    <t>MUNICIPALIDAD DISTRITAL DE BELÉN</t>
  </si>
  <si>
    <t>Mozambique</t>
  </si>
  <si>
    <t>20469568424</t>
  </si>
  <si>
    <t>GULF COAST OILFIELD PRODUCTS DEL PERÚ SAC.</t>
  </si>
  <si>
    <t>Namibia</t>
  </si>
  <si>
    <t>20488766334</t>
  </si>
  <si>
    <t>SERVICIOS AÉREOS TARAPOTO EIRL</t>
  </si>
  <si>
    <t>Nauru</t>
  </si>
  <si>
    <t>20489174295</t>
  </si>
  <si>
    <t>SERV. DE TEL. Y REP. EL ANGEL RAFAEL EIRL</t>
  </si>
  <si>
    <t>Isla de Navidad (Christmas)</t>
  </si>
  <si>
    <t>20491085593</t>
  </si>
  <si>
    <t>MEGA ORIENTE SOCIEDAD ANONIMA CERRADA-MEGA ORIENTE S.A.C.</t>
  </si>
  <si>
    <t>Nepal</t>
  </si>
  <si>
    <t>20493156358</t>
  </si>
  <si>
    <t>VIA BRASIL S.R.L.</t>
  </si>
  <si>
    <t>Nicaragua</t>
  </si>
  <si>
    <t>20493162757</t>
  </si>
  <si>
    <t>COMERCIAL LOO YI  SRL</t>
  </si>
  <si>
    <t>Níger</t>
  </si>
  <si>
    <t>20493176464</t>
  </si>
  <si>
    <t>THE AMAZON OXYGEN SAC.</t>
  </si>
  <si>
    <t>Nigeria</t>
  </si>
  <si>
    <t>20493177606</t>
  </si>
  <si>
    <t xml:space="preserve">NOVEDADES JENNYLI SRL </t>
  </si>
  <si>
    <t>Isla Niue</t>
  </si>
  <si>
    <t>20493179480</t>
  </si>
  <si>
    <t>ASOCIACIÓN CIVIL SELVA AMAZÓNICA</t>
  </si>
  <si>
    <t>Isla Norfolk</t>
  </si>
  <si>
    <t>20493191005</t>
  </si>
  <si>
    <t>SELVA TRACTOR PERÚ S.A.C.</t>
  </si>
  <si>
    <t>Noruega</t>
  </si>
  <si>
    <t>20493208170</t>
  </si>
  <si>
    <t>CORPORACIÓN DEL ORIENTE S.R.L.</t>
  </si>
  <si>
    <t>Nueva Caledonia</t>
  </si>
  <si>
    <t>20493226313</t>
  </si>
  <si>
    <t>ICC ORIENTE S.A.C.</t>
  </si>
  <si>
    <t>Papúa Nueva Guinea</t>
  </si>
  <si>
    <t>20493238915</t>
  </si>
  <si>
    <t>HANOVER PERÚ SELVA SRL</t>
  </si>
  <si>
    <t>Nueva Zelanda</t>
  </si>
  <si>
    <t>20493242432</t>
  </si>
  <si>
    <t>NOVEDADES EL BARATERO EIRL</t>
  </si>
  <si>
    <t>Vanuatu</t>
  </si>
  <si>
    <t>20493255844</t>
  </si>
  <si>
    <t>JUNIOR INVERSIONES SRL</t>
  </si>
  <si>
    <t>Omán</t>
  </si>
  <si>
    <t>20493258274</t>
  </si>
  <si>
    <t>INVERSIONES WCA EIRL</t>
  </si>
  <si>
    <t>Islas del Pacífico</t>
  </si>
  <si>
    <t>20493268156</t>
  </si>
  <si>
    <t>PERUBATT DEL ORIENTE SAC</t>
  </si>
  <si>
    <t>Países Bajos</t>
  </si>
  <si>
    <t>20493282141</t>
  </si>
  <si>
    <t>IMPORTADORA JESSY SRL</t>
  </si>
  <si>
    <t>Pakistán</t>
  </si>
  <si>
    <t>20493285751</t>
  </si>
  <si>
    <t>DAWN ON THE AMAZON EIRL</t>
  </si>
  <si>
    <t>Islas Palaos (Palau)</t>
  </si>
  <si>
    <t>20493286057</t>
  </si>
  <si>
    <t>TOTAL ENERGIE AMAZÓNICA SAC</t>
  </si>
  <si>
    <t>Territorio Autónomo de Palestina</t>
  </si>
  <si>
    <t>20493286642</t>
  </si>
  <si>
    <t>PERUROV DEL ORIENTE SA</t>
  </si>
  <si>
    <t>Panamá</t>
  </si>
  <si>
    <t>20493290593</t>
  </si>
  <si>
    <t>EMPRESA COMERCIALIZADORA Y DISTRIBUIDORA DE ABARROTES Y GRANOS EIRL</t>
  </si>
  <si>
    <t>Paraguay</t>
  </si>
  <si>
    <t>20493295129</t>
  </si>
  <si>
    <t>AMAZONECO EIRL</t>
  </si>
  <si>
    <t>Perú</t>
  </si>
  <si>
    <t>20493328663</t>
  </si>
  <si>
    <t>SCHLUMBERGER DEL AMAZONAS S.A.C.</t>
  </si>
  <si>
    <t>Isla Pitcairn</t>
  </si>
  <si>
    <t>20493329392</t>
  </si>
  <si>
    <t>ONG ISPTE / PARD</t>
  </si>
  <si>
    <t>Polinesia Francesa</t>
  </si>
  <si>
    <t>20493364546</t>
  </si>
  <si>
    <t>DOMINIO FOREST COMPANY SAC</t>
  </si>
  <si>
    <t>Polonia</t>
  </si>
  <si>
    <t>20493400364</t>
  </si>
  <si>
    <t>JULLY SPA EIRL</t>
  </si>
  <si>
    <t>Portugal</t>
  </si>
  <si>
    <t>20493405676</t>
  </si>
  <si>
    <t>TVS SATELITAL SAC</t>
  </si>
  <si>
    <t>Puerto Rico</t>
  </si>
  <si>
    <t>20493428455</t>
  </si>
  <si>
    <t>TRANS TURISMO AMAZONAS EXPRESS EIRL</t>
  </si>
  <si>
    <t>Catar</t>
  </si>
  <si>
    <t>20493441559</t>
  </si>
  <si>
    <t>ASIA MOTOR S.A.</t>
  </si>
  <si>
    <t>Reino Unido</t>
  </si>
  <si>
    <t>20493462718</t>
  </si>
  <si>
    <t>IMPORTACIONES &amp; REPRESENTACIONES VIOLETA</t>
  </si>
  <si>
    <t>Escocia</t>
  </si>
  <si>
    <t>20493466381</t>
  </si>
  <si>
    <t>SECRETS E.I.R.L.</t>
  </si>
  <si>
    <t>República Árabe Unida (Disuelta)</t>
  </si>
  <si>
    <t>OTRO</t>
  </si>
  <si>
    <t>20493497937</t>
  </si>
  <si>
    <t xml:space="preserve">ASERRADERO HERNDON S.A.C. </t>
  </si>
  <si>
    <t>República Centroafricana</t>
  </si>
  <si>
    <t>20493502957</t>
  </si>
  <si>
    <t xml:space="preserve">PEOPLE OF PERU PROJECT </t>
  </si>
  <si>
    <t>República Checa</t>
  </si>
  <si>
    <t>20493508645</t>
  </si>
  <si>
    <t>HONDA SELVA DEL PERÚ S.A.</t>
  </si>
  <si>
    <t>Reino de Esuatini (Suazilandia)</t>
  </si>
  <si>
    <t>20493522711</t>
  </si>
  <si>
    <t>CONSULTORES Y AUDITORES MILGREC EIRL</t>
  </si>
  <si>
    <t>República de Túnez</t>
  </si>
  <si>
    <t>20493531540</t>
  </si>
  <si>
    <t>INVERSIONES LA REGIÓN E.I.R.L.</t>
  </si>
  <si>
    <t>República Dominicana</t>
  </si>
  <si>
    <t>20493621964</t>
  </si>
  <si>
    <t xml:space="preserve">SUGAR IQUITOS E.I.R.L. </t>
  </si>
  <si>
    <t>Reunión</t>
  </si>
  <si>
    <t>20501432793</t>
  </si>
  <si>
    <t>AVANZIT TECNOLOGÍA S.A.C. 09</t>
  </si>
  <si>
    <t>Zimbabue</t>
  </si>
  <si>
    <t>20503332052</t>
  </si>
  <si>
    <t>QMAX S.A.C.</t>
  </si>
  <si>
    <t>Rumanía</t>
  </si>
  <si>
    <t>20504311342</t>
  </si>
  <si>
    <t>PLUSPETROL NORTE S.A.  (PETROLERA)</t>
  </si>
  <si>
    <t>Ruanda</t>
  </si>
  <si>
    <t>20506913811</t>
  </si>
  <si>
    <t>COLUMBIA HELICOPTERS PERU S.A.C.</t>
  </si>
  <si>
    <t>Rusia</t>
  </si>
  <si>
    <t>20509723304</t>
  </si>
  <si>
    <t>SERTECPET S.A.</t>
  </si>
  <si>
    <t>Islas Salomón</t>
  </si>
  <si>
    <t>20510761503</t>
  </si>
  <si>
    <t>SAXON SERVICES DEL PERU S.A.</t>
  </si>
  <si>
    <t>Sáhara Occidental</t>
  </si>
  <si>
    <t>20519388287</t>
  </si>
  <si>
    <t>PROCOPET PERU S.A.C.</t>
  </si>
  <si>
    <t>Samoa Occidental</t>
  </si>
  <si>
    <t>20528157115</t>
  </si>
  <si>
    <t>PS-UCAMARA S.A.C.</t>
  </si>
  <si>
    <t>Samoa Americana</t>
  </si>
  <si>
    <t>20531204159</t>
  </si>
  <si>
    <t>GRUPO ALTO AMAZONA SAC</t>
  </si>
  <si>
    <t>San Cristóbal y Nieves</t>
  </si>
  <si>
    <t>20531288239</t>
  </si>
  <si>
    <t>MADERAS FRANCO SRL</t>
  </si>
  <si>
    <t>San Marino</t>
  </si>
  <si>
    <t>20531335253</t>
  </si>
  <si>
    <t>CONSORCIO LAS PALMERAS SRL</t>
  </si>
  <si>
    <t>San Pedro y Miquelón</t>
  </si>
  <si>
    <t>20531369743</t>
  </si>
  <si>
    <t>COMERCIAL DENISAM S.R.L.</t>
  </si>
  <si>
    <t>San Vicente y las Granadinas</t>
  </si>
  <si>
    <t>20531408749</t>
  </si>
  <si>
    <t>MAQUINARIAS Y SERVICIOS GENERALES EIRL</t>
  </si>
  <si>
    <t>Santa Elena</t>
  </si>
  <si>
    <t>20541118781</t>
  </si>
  <si>
    <t>COMERCIAL BRYMER SPORT E.I.R.L.</t>
  </si>
  <si>
    <t>Santa Lucía</t>
  </si>
  <si>
    <t>20541136178</t>
  </si>
  <si>
    <t>MULTISERVICIOS ADRIAN E.I.R.L.</t>
  </si>
  <si>
    <t>Santo Tomé y Príncipe</t>
  </si>
  <si>
    <t>KL IMPORT EXPORT PERU SAC</t>
  </si>
  <si>
    <t>Senegal</t>
  </si>
  <si>
    <t>20600708041</t>
  </si>
  <si>
    <t>AMAZON BUSINESS &amp; SERVICE E.I.R.L.</t>
  </si>
  <si>
    <t>Seychelles</t>
  </si>
  <si>
    <t>20601111285</t>
  </si>
  <si>
    <t>IMPORTADORA Y COMERCIALIZADORA DA COSTA E.I.R.L</t>
  </si>
  <si>
    <t>Sierra Leona</t>
  </si>
  <si>
    <t>20601449588</t>
  </si>
  <si>
    <t>PPC COMERCIO Y REPRESENTACIONES S.R.L.</t>
  </si>
  <si>
    <t>Singapur</t>
  </si>
  <si>
    <t>República Árabe de Siria</t>
  </si>
  <si>
    <t>20603071558</t>
  </si>
  <si>
    <t> HELISTAR PERU S.A.C.</t>
  </si>
  <si>
    <t>Somalia</t>
  </si>
  <si>
    <t>20603124279</t>
  </si>
  <si>
    <t>COMERCIO IMPORT J.R. E.I.R.L.</t>
  </si>
  <si>
    <t>Sri Lanka</t>
  </si>
  <si>
    <t>PESCADOS DE LA SELVA E.I.R.L.</t>
  </si>
  <si>
    <t>República de Sudáfrica</t>
  </si>
  <si>
    <t>INDUSTRIA DE HIELOS Y PESCADOS JD S.R.L.</t>
  </si>
  <si>
    <t>Sudán</t>
  </si>
  <si>
    <t>INVERSIONES COMERPEZ HJC S.R.L.</t>
  </si>
  <si>
    <t>Suecia</t>
  </si>
  <si>
    <t>LA CADENA DE SUPERMERCADOS E.I.R.L.</t>
  </si>
  <si>
    <t>Suiza</t>
  </si>
  <si>
    <t>20614700395</t>
  </si>
  <si>
    <t>SIMPREX PERU E.I.R.L.</t>
  </si>
  <si>
    <t>Surinam</t>
  </si>
  <si>
    <t>20504898173</t>
  </si>
  <si>
    <t>SERVICIOS PETROLEROS Y CONSTRUCCIONES SEPCON S.A.C.</t>
  </si>
  <si>
    <t>Esuatini (Suazilandia)</t>
  </si>
  <si>
    <t>ARYA ALIMENTOS S.R.L.</t>
  </si>
  <si>
    <t>Tayikistán</t>
  </si>
  <si>
    <t>CORPORACION MONTEVERDE SOCIEDAD ANONIMA CERRADA - CORPORACION MONTEVERDE S.A.C.</t>
  </si>
  <si>
    <t>Tailandia</t>
  </si>
  <si>
    <t>ROOSS IMPORT E.I.R.L.</t>
  </si>
  <si>
    <t>República Unida de Tanzania</t>
  </si>
  <si>
    <t>TRANSPORTES EDUARDO SOCIEDAD ANONIMA CERRADA</t>
  </si>
  <si>
    <t>Yibuti</t>
  </si>
  <si>
    <t>Territorio Antártico Británico</t>
  </si>
  <si>
    <t>Territorio Británico del Océano Índico</t>
  </si>
  <si>
    <t>Timor Oriental</t>
  </si>
  <si>
    <t>Togo</t>
  </si>
  <si>
    <t>Tokelau</t>
  </si>
  <si>
    <t>Tonga</t>
  </si>
  <si>
    <t>Trinidad y Tobago</t>
  </si>
  <si>
    <t>Tristán de Acuña</t>
  </si>
  <si>
    <t>Túnez</t>
  </si>
  <si>
    <t>Islas Turcas y Caicos</t>
  </si>
  <si>
    <t>Turkmenistán</t>
  </si>
  <si>
    <t>Turquía</t>
  </si>
  <si>
    <t>Tuvalu</t>
  </si>
  <si>
    <t>Ucrania</t>
  </si>
  <si>
    <t>Uganda</t>
  </si>
  <si>
    <t>Unión Soviética (Disuelta)</t>
  </si>
  <si>
    <t>Uruguay</t>
  </si>
  <si>
    <t>Uzbekistán</t>
  </si>
  <si>
    <t>Venezuela</t>
  </si>
  <si>
    <t>Vietnam</t>
  </si>
  <si>
    <t>Vietnam del Norte</t>
  </si>
  <si>
    <t>Islas Vírgenes Británicas</t>
  </si>
  <si>
    <t>Islas Vírgenes de los Estados Unidos</t>
  </si>
  <si>
    <t>Fiyi</t>
  </si>
  <si>
    <t>Isla Wake</t>
  </si>
  <si>
    <t>Islas Wallis y Futuna</t>
  </si>
  <si>
    <t>Yemen</t>
  </si>
  <si>
    <t>Yugoslavia (Disuelta)</t>
  </si>
  <si>
    <t>Zaire (República Democrática del Congo)</t>
  </si>
  <si>
    <t>Zambia</t>
  </si>
  <si>
    <t>Zona del Canal de Panamá</t>
  </si>
  <si>
    <t>Zona Libre de Ostrava</t>
  </si>
  <si>
    <t>Zona Neutral (Palestina)</t>
  </si>
  <si>
    <t>PARTIDA_TEXTO</t>
  </si>
  <si>
    <t>CATEGORIA</t>
  </si>
  <si>
    <t>NOTAS</t>
  </si>
  <si>
    <t>DESCRIPCION</t>
  </si>
  <si>
    <t>CUODE PRIMARIO</t>
  </si>
  <si>
    <t>CUODE SECUNDARIO</t>
  </si>
  <si>
    <t>Cuode</t>
  </si>
  <si>
    <t>Producto</t>
  </si>
  <si>
    <t>0101210000</t>
  </si>
  <si>
    <t>01.</t>
  </si>
  <si>
    <t>BIENES DE CONSUMO</t>
  </si>
  <si>
    <t>Bienes de consumo no duradero</t>
  </si>
  <si>
    <t>Productos alimenticios primarios</t>
  </si>
  <si>
    <t>0101291000</t>
  </si>
  <si>
    <t>0101299000</t>
  </si>
  <si>
    <t>Bebidas</t>
  </si>
  <si>
    <t>0101300000</t>
  </si>
  <si>
    <t>Tabacos</t>
  </si>
  <si>
    <t>0101900000</t>
  </si>
  <si>
    <t>0102210000</t>
  </si>
  <si>
    <t>0102291000</t>
  </si>
  <si>
    <t>Otros bienes de consumo</t>
  </si>
  <si>
    <t>0102299000</t>
  </si>
  <si>
    <t>Bienes de consumo duraderos</t>
  </si>
  <si>
    <t>0102310000</t>
  </si>
  <si>
    <t>Utensilios domésticos</t>
  </si>
  <si>
    <t>0102390000</t>
  </si>
  <si>
    <t>0102900000</t>
  </si>
  <si>
    <t>Muebles u otros equipos fijos</t>
  </si>
  <si>
    <t>0103100000</t>
  </si>
  <si>
    <t>Máquinas y aparatos de uso doméstico</t>
  </si>
  <si>
    <t>0103910000</t>
  </si>
  <si>
    <t>Vehículos de transporte vehicular</t>
  </si>
  <si>
    <t>0103920000</t>
  </si>
  <si>
    <t>Armas y equipo militar</t>
  </si>
  <si>
    <t>0104101000</t>
  </si>
  <si>
    <t>Otros bienes de consumo diversos</t>
  </si>
  <si>
    <t>0104109000</t>
  </si>
  <si>
    <t>02.</t>
  </si>
  <si>
    <t>MATERIAS PRIMAS</t>
  </si>
  <si>
    <t>Combustibles, lubricantes y conexos</t>
  </si>
  <si>
    <t>Combustibles semielaborados</t>
  </si>
  <si>
    <t>0104201000</t>
  </si>
  <si>
    <t>Combustibles elaborados</t>
  </si>
  <si>
    <t>0104209000</t>
  </si>
  <si>
    <t>Lubricantes</t>
  </si>
  <si>
    <t>0105110000</t>
  </si>
  <si>
    <t>Electricidad</t>
  </si>
  <si>
    <t>0105120000</t>
  </si>
  <si>
    <t>Materias primas para la agricultura</t>
  </si>
  <si>
    <t>Alimentos para animales: primarios</t>
  </si>
  <si>
    <t>Combustibles primarios</t>
  </si>
  <si>
    <t>0105130000</t>
  </si>
  <si>
    <t>Alimentos para animales: semielaborados</t>
  </si>
  <si>
    <t>0105140000</t>
  </si>
  <si>
    <t>Alimentos para animales: elaborados</t>
  </si>
  <si>
    <t>0105150000</t>
  </si>
  <si>
    <t>0105940000</t>
  </si>
  <si>
    <t>0105990000</t>
  </si>
  <si>
    <t>Materias primas para la industria</t>
  </si>
  <si>
    <t>0106110000</t>
  </si>
  <si>
    <t>Monos</t>
  </si>
  <si>
    <t>0106120000</t>
  </si>
  <si>
    <t>Ballenas, delfines y marsopas</t>
  </si>
  <si>
    <t>Productos no alimenticios primarios</t>
  </si>
  <si>
    <t>0106131100</t>
  </si>
  <si>
    <t>Productos no alimenticios semielaborados</t>
  </si>
  <si>
    <t>0106131200</t>
  </si>
  <si>
    <t>Productos no alimenticios elaborados</t>
  </si>
  <si>
    <t>0106131900</t>
  </si>
  <si>
    <t>Productos no alimenticios desechos</t>
  </si>
  <si>
    <t>0106139000</t>
  </si>
  <si>
    <t>Productos mineros primarios</t>
  </si>
  <si>
    <t>0106140000</t>
  </si>
  <si>
    <t>0106190000</t>
  </si>
  <si>
    <t>Mamíferos</t>
  </si>
  <si>
    <t>Especificar</t>
  </si>
  <si>
    <t>0106200000</t>
  </si>
  <si>
    <t>Tortugas y reptiles</t>
  </si>
  <si>
    <t>Productos mineros desechos</t>
  </si>
  <si>
    <t>0106310000</t>
  </si>
  <si>
    <t>0106320000</t>
  </si>
  <si>
    <t>0106330000</t>
  </si>
  <si>
    <t>03.</t>
  </si>
  <si>
    <t>BIENES DE CAPITAL</t>
  </si>
  <si>
    <t>Materiales de construcción</t>
  </si>
  <si>
    <t>0106390000</t>
  </si>
  <si>
    <t>0106410000</t>
  </si>
  <si>
    <t>0106490000</t>
  </si>
  <si>
    <t>Para la agricultura</t>
  </si>
  <si>
    <t>Máquinas y herramientas</t>
  </si>
  <si>
    <t>0106900000</t>
  </si>
  <si>
    <t>Ranas, anfibios y reptiles</t>
  </si>
  <si>
    <t>Otros equipos para la agricultura</t>
  </si>
  <si>
    <t>0201100000</t>
  </si>
  <si>
    <t>Materiales de transporte y tracción</t>
  </si>
  <si>
    <t>0201200000</t>
  </si>
  <si>
    <t>Para la industria</t>
  </si>
  <si>
    <t>Máquinas y aparatos de oficina</t>
  </si>
  <si>
    <t>0201300010</t>
  </si>
  <si>
    <t>Herramientas</t>
  </si>
  <si>
    <t>0201300090</t>
  </si>
  <si>
    <t>0202100000</t>
  </si>
  <si>
    <t>0202200000</t>
  </si>
  <si>
    <t>0202300010</t>
  </si>
  <si>
    <t>Equipo de transporte</t>
  </si>
  <si>
    <t>0202300090</t>
  </si>
  <si>
    <t>0203110000</t>
  </si>
  <si>
    <t>Equipo fijo de transporte</t>
  </si>
  <si>
    <t>0203120000</t>
  </si>
  <si>
    <t>0203191000</t>
  </si>
  <si>
    <t>0203192000</t>
  </si>
  <si>
    <t>0203193000</t>
  </si>
  <si>
    <t>0203199000</t>
  </si>
  <si>
    <t>0203210000</t>
  </si>
  <si>
    <t>0203220000</t>
  </si>
  <si>
    <t>0203291000</t>
  </si>
  <si>
    <t>0203292000</t>
  </si>
  <si>
    <t>0203293000</t>
  </si>
  <si>
    <t>0203299000</t>
  </si>
  <si>
    <t>0204100000</t>
  </si>
  <si>
    <t>0204210000</t>
  </si>
  <si>
    <t>0204220000</t>
  </si>
  <si>
    <t>0204230000</t>
  </si>
  <si>
    <t>0204300000</t>
  </si>
  <si>
    <t>0204410000</t>
  </si>
  <si>
    <t>0204420000</t>
  </si>
  <si>
    <t>0204430000</t>
  </si>
  <si>
    <t>0204500000</t>
  </si>
  <si>
    <t>0205000000</t>
  </si>
  <si>
    <t>Carne de animales de las especies caballar, asnal
o mular, fresca, refrigerada o congelada.</t>
  </si>
  <si>
    <t>0206100000</t>
  </si>
  <si>
    <t>0206210000</t>
  </si>
  <si>
    <t>0206220000</t>
  </si>
  <si>
    <t>0206290000</t>
  </si>
  <si>
    <t>0206300000</t>
  </si>
  <si>
    <t>0206410000</t>
  </si>
  <si>
    <t>0206491000</t>
  </si>
  <si>
    <t>0206499000</t>
  </si>
  <si>
    <t>0206800000</t>
  </si>
  <si>
    <t>0206900000</t>
  </si>
  <si>
    <t>0207110000</t>
  </si>
  <si>
    <t>0207120000</t>
  </si>
  <si>
    <t>0207130011</t>
  </si>
  <si>
    <t>0207130012</t>
  </si>
  <si>
    <t>0207130090</t>
  </si>
  <si>
    <t>0207140010</t>
  </si>
  <si>
    <t>0207140021</t>
  </si>
  <si>
    <t>0207140022</t>
  </si>
  <si>
    <t>0207140090</t>
  </si>
  <si>
    <t>0207240000</t>
  </si>
  <si>
    <t>0207250000</t>
  </si>
  <si>
    <t>0207260000</t>
  </si>
  <si>
    <t>0207270000</t>
  </si>
  <si>
    <t>0207410000</t>
  </si>
  <si>
    <t>0207420000</t>
  </si>
  <si>
    <t>0207430000</t>
  </si>
  <si>
    <t>0207440000</t>
  </si>
  <si>
    <t>0207450000</t>
  </si>
  <si>
    <t>0207510000</t>
  </si>
  <si>
    <t>0207520000</t>
  </si>
  <si>
    <t>0207530000</t>
  </si>
  <si>
    <t>0207540000</t>
  </si>
  <si>
    <t>0207550000</t>
  </si>
  <si>
    <t>0207600000</t>
  </si>
  <si>
    <t>0208100000</t>
  </si>
  <si>
    <t>0208300000</t>
  </si>
  <si>
    <t>0208400000</t>
  </si>
  <si>
    <t>0208500000</t>
  </si>
  <si>
    <t>0208600000</t>
  </si>
  <si>
    <t>0208900000</t>
  </si>
  <si>
    <t>0209101000</t>
  </si>
  <si>
    <t>0209109000</t>
  </si>
  <si>
    <t>0209900000</t>
  </si>
  <si>
    <t>0210110000</t>
  </si>
  <si>
    <t>0210120000</t>
  </si>
  <si>
    <t>0210190000</t>
  </si>
  <si>
    <t>0210200000</t>
  </si>
  <si>
    <t>0210910000</t>
  </si>
  <si>
    <t>0210920010</t>
  </si>
  <si>
    <t>0210920090</t>
  </si>
  <si>
    <t>0210930000</t>
  </si>
  <si>
    <t>0210991000</t>
  </si>
  <si>
    <t>0210999000</t>
  </si>
  <si>
    <t>0301110000</t>
  </si>
  <si>
    <t>Peces ornamentales</t>
  </si>
  <si>
    <t>0301190000</t>
  </si>
  <si>
    <t>0301911000</t>
  </si>
  <si>
    <t>0301919000</t>
  </si>
  <si>
    <t>0301920000</t>
  </si>
  <si>
    <t>Anguilas</t>
  </si>
  <si>
    <t>0301930000</t>
  </si>
  <si>
    <t>0301940010</t>
  </si>
  <si>
    <t>0301940091</t>
  </si>
  <si>
    <t>0301940099</t>
  </si>
  <si>
    <t>0301950000</t>
  </si>
  <si>
    <t>0301991100</t>
  </si>
  <si>
    <t>0301991900</t>
  </si>
  <si>
    <t>Alevinos de paiche</t>
  </si>
  <si>
    <t>0301999000</t>
  </si>
  <si>
    <t>0302110000</t>
  </si>
  <si>
    <t>0302130000</t>
  </si>
  <si>
    <t>0302140000</t>
  </si>
  <si>
    <t>0302190000</t>
  </si>
  <si>
    <t>Pescado congelado</t>
  </si>
  <si>
    <t>0302210000</t>
  </si>
  <si>
    <t>0302220000</t>
  </si>
  <si>
    <t>0302230000</t>
  </si>
  <si>
    <t>0302240000</t>
  </si>
  <si>
    <t>0302290000</t>
  </si>
  <si>
    <t>0302310000</t>
  </si>
  <si>
    <t>0302320000</t>
  </si>
  <si>
    <t>0302330000</t>
  </si>
  <si>
    <t>0302340000</t>
  </si>
  <si>
    <t>0302350000</t>
  </si>
  <si>
    <t>0302360000</t>
  </si>
  <si>
    <t>0302390000</t>
  </si>
  <si>
    <t>0302410000</t>
  </si>
  <si>
    <t>0302420000</t>
  </si>
  <si>
    <t>Pescado congelado (Anchoas)</t>
  </si>
  <si>
    <t>0302430000</t>
  </si>
  <si>
    <t>0302440000</t>
  </si>
  <si>
    <t>0302450000</t>
  </si>
  <si>
    <t>0302460000</t>
  </si>
  <si>
    <t>0302470000</t>
  </si>
  <si>
    <t>Peces espada</t>
  </si>
  <si>
    <t>0302490000</t>
  </si>
  <si>
    <t>0302510000</t>
  </si>
  <si>
    <t>0302520000</t>
  </si>
  <si>
    <t>0302530000</t>
  </si>
  <si>
    <t>0302540000</t>
  </si>
  <si>
    <t>0302550000</t>
  </si>
  <si>
    <t>0302560000</t>
  </si>
  <si>
    <t>0302590000</t>
  </si>
  <si>
    <t>0302710000</t>
  </si>
  <si>
    <t>0302720000</t>
  </si>
  <si>
    <t>Bagres o peces gato</t>
  </si>
  <si>
    <t>0302730000</t>
  </si>
  <si>
    <t>0302740000</t>
  </si>
  <si>
    <t>0302790000</t>
  </si>
  <si>
    <t>0302810000</t>
  </si>
  <si>
    <t>0302820000</t>
  </si>
  <si>
    <t>0302830000</t>
  </si>
  <si>
    <t>0302840000</t>
  </si>
  <si>
    <t>0302850000</t>
  </si>
  <si>
    <t>0302890000</t>
  </si>
  <si>
    <t>0302910000</t>
  </si>
  <si>
    <t>0302920000</t>
  </si>
  <si>
    <t>0302990000</t>
  </si>
  <si>
    <t>0303110000</t>
  </si>
  <si>
    <t>0303120000</t>
  </si>
  <si>
    <t>0303130000</t>
  </si>
  <si>
    <t>0303140000</t>
  </si>
  <si>
    <t>0303190000</t>
  </si>
  <si>
    <t>0303230000</t>
  </si>
  <si>
    <t>0303240000</t>
  </si>
  <si>
    <t>0303250000</t>
  </si>
  <si>
    <t>0303260000</t>
  </si>
  <si>
    <t>0303290000</t>
  </si>
  <si>
    <t>0303310000</t>
  </si>
  <si>
    <t>0303320000</t>
  </si>
  <si>
    <t>0303330000</t>
  </si>
  <si>
    <t>0303340000</t>
  </si>
  <si>
    <t>0303390000</t>
  </si>
  <si>
    <t>0303410000</t>
  </si>
  <si>
    <t>0303420000</t>
  </si>
  <si>
    <t>0303430000</t>
  </si>
  <si>
    <t>0303440000</t>
  </si>
  <si>
    <t>0303450000</t>
  </si>
  <si>
    <t>0303460000</t>
  </si>
  <si>
    <t>0303490000</t>
  </si>
  <si>
    <t>0303510000</t>
  </si>
  <si>
    <t>0303530010</t>
  </si>
  <si>
    <t>0303530090</t>
  </si>
  <si>
    <t>0303540000</t>
  </si>
  <si>
    <t>0303550000</t>
  </si>
  <si>
    <t>0303560000</t>
  </si>
  <si>
    <t>0303570000</t>
  </si>
  <si>
    <t>0303590000</t>
  </si>
  <si>
    <t>0303630000</t>
  </si>
  <si>
    <t>0303640000</t>
  </si>
  <si>
    <t>0303650000</t>
  </si>
  <si>
    <t>0303660000</t>
  </si>
  <si>
    <t>0303670000</t>
  </si>
  <si>
    <t>0303680000</t>
  </si>
  <si>
    <t>0303690000</t>
  </si>
  <si>
    <t>0303810000</t>
  </si>
  <si>
    <t>0303820000</t>
  </si>
  <si>
    <t>0303830000</t>
  </si>
  <si>
    <t>0303840000</t>
  </si>
  <si>
    <t>0303910000</t>
  </si>
  <si>
    <t>0303920000</t>
  </si>
  <si>
    <t>0303990000</t>
  </si>
  <si>
    <t>0304310000</t>
  </si>
  <si>
    <t>0304320000</t>
  </si>
  <si>
    <t>0304330000</t>
  </si>
  <si>
    <t>0304390000</t>
  </si>
  <si>
    <t>0304410000</t>
  </si>
  <si>
    <t>0304420000</t>
  </si>
  <si>
    <t>0304430000</t>
  </si>
  <si>
    <t>0304440000</t>
  </si>
  <si>
    <t>0304450000</t>
  </si>
  <si>
    <t>0304460000</t>
  </si>
  <si>
    <t>0304470000</t>
  </si>
  <si>
    <t>0304480000</t>
  </si>
  <si>
    <t>0304490000</t>
  </si>
  <si>
    <t>0304510000</t>
  </si>
  <si>
    <t>Tilapias</t>
  </si>
  <si>
    <t>0304520000</t>
  </si>
  <si>
    <t>0304530000</t>
  </si>
  <si>
    <t>0304540000</t>
  </si>
  <si>
    <t>0304550000</t>
  </si>
  <si>
    <t>0304560000</t>
  </si>
  <si>
    <t>0304570000</t>
  </si>
  <si>
    <t>0304590000</t>
  </si>
  <si>
    <t>0304610000</t>
  </si>
  <si>
    <t>0304620000</t>
  </si>
  <si>
    <t>0304630000</t>
  </si>
  <si>
    <t>0304690000</t>
  </si>
  <si>
    <t>0304710000</t>
  </si>
  <si>
    <t>0304720000</t>
  </si>
  <si>
    <t>0304730000</t>
  </si>
  <si>
    <t>0304740010</t>
  </si>
  <si>
    <t>0304740020</t>
  </si>
  <si>
    <t>0304740030</t>
  </si>
  <si>
    <t>0304740040</t>
  </si>
  <si>
    <t>0304740050</t>
  </si>
  <si>
    <t>0304740060</t>
  </si>
  <si>
    <t>0304740090</t>
  </si>
  <si>
    <t>0304750000</t>
  </si>
  <si>
    <t>0304790000</t>
  </si>
  <si>
    <t>0304810000</t>
  </si>
  <si>
    <t>0304820000</t>
  </si>
  <si>
    <t>0304830000</t>
  </si>
  <si>
    <t>0304840000</t>
  </si>
  <si>
    <t>0304850000</t>
  </si>
  <si>
    <t>0304860000</t>
  </si>
  <si>
    <t>0304870000</t>
  </si>
  <si>
    <t>0304880000</t>
  </si>
  <si>
    <t>0304890000</t>
  </si>
  <si>
    <t>Filete de pescado</t>
  </si>
  <si>
    <t>0304910000</t>
  </si>
  <si>
    <t>0304920000</t>
  </si>
  <si>
    <t>0304930000</t>
  </si>
  <si>
    <t>0304940000</t>
  </si>
  <si>
    <t>0304950000</t>
  </si>
  <si>
    <t>0304960000</t>
  </si>
  <si>
    <t>0304970000</t>
  </si>
  <si>
    <t>0304990000</t>
  </si>
  <si>
    <t>Filete de paiche</t>
  </si>
  <si>
    <t>0305100000</t>
  </si>
  <si>
    <t>0305200000</t>
  </si>
  <si>
    <t>0305310000</t>
  </si>
  <si>
    <t>0305320000</t>
  </si>
  <si>
    <t>0305391000</t>
  </si>
  <si>
    <t>0305399000</t>
  </si>
  <si>
    <t>0305410000</t>
  </si>
  <si>
    <t>0305420000</t>
  </si>
  <si>
    <t>0305430000</t>
  </si>
  <si>
    <t>0305440000</t>
  </si>
  <si>
    <t>0305490000</t>
  </si>
  <si>
    <t>0305510000</t>
  </si>
  <si>
    <t>0305520000</t>
  </si>
  <si>
    <t>0305531000</t>
  </si>
  <si>
    <t>0305539000</t>
  </si>
  <si>
    <t>0305540000</t>
  </si>
  <si>
    <t>0305590000</t>
  </si>
  <si>
    <t>0305610000</t>
  </si>
  <si>
    <t>0305620000</t>
  </si>
  <si>
    <t>0305630000</t>
  </si>
  <si>
    <t>0305640000</t>
  </si>
  <si>
    <t>0305690000</t>
  </si>
  <si>
    <t>0305710000</t>
  </si>
  <si>
    <t>0305720000</t>
  </si>
  <si>
    <t>0305790000</t>
  </si>
  <si>
    <t>0306110000</t>
  </si>
  <si>
    <t>0306120000</t>
  </si>
  <si>
    <t>0306140000</t>
  </si>
  <si>
    <t>Cangrejos</t>
  </si>
  <si>
    <t>0306150000</t>
  </si>
  <si>
    <t>0306160000</t>
  </si>
  <si>
    <t>Camarones</t>
  </si>
  <si>
    <t>0306171100</t>
  </si>
  <si>
    <t>0306171200</t>
  </si>
  <si>
    <t>0306171300</t>
  </si>
  <si>
    <t>0306171400</t>
  </si>
  <si>
    <t>0306171900</t>
  </si>
  <si>
    <t>0306179100</t>
  </si>
  <si>
    <t>0306179900</t>
  </si>
  <si>
    <t>0306190000</t>
  </si>
  <si>
    <t>0306310000</t>
  </si>
  <si>
    <t>0306320000</t>
  </si>
  <si>
    <t>0306330000</t>
  </si>
  <si>
    <t>0306340000</t>
  </si>
  <si>
    <t>0306350000</t>
  </si>
  <si>
    <t>0306361100</t>
  </si>
  <si>
    <t>0306361910</t>
  </si>
  <si>
    <t>0306361990</t>
  </si>
  <si>
    <t>0306369100</t>
  </si>
  <si>
    <t>0306369200</t>
  </si>
  <si>
    <t>0306369900</t>
  </si>
  <si>
    <t>0306390000</t>
  </si>
  <si>
    <t>0306910000</t>
  </si>
  <si>
    <t>0306920000</t>
  </si>
  <si>
    <t>0306930000</t>
  </si>
  <si>
    <t>0306940000</t>
  </si>
  <si>
    <t>0306951000</t>
  </si>
  <si>
    <t>0306959000</t>
  </si>
  <si>
    <t>0306991000</t>
  </si>
  <si>
    <t>0306999000</t>
  </si>
  <si>
    <t>0307110000</t>
  </si>
  <si>
    <t>0307120000</t>
  </si>
  <si>
    <t>0307190000</t>
  </si>
  <si>
    <t>0307211000</t>
  </si>
  <si>
    <t>0307219000</t>
  </si>
  <si>
    <t>0307221000</t>
  </si>
  <si>
    <t>0307229000</t>
  </si>
  <si>
    <t>0307291000</t>
  </si>
  <si>
    <t>0307299000</t>
  </si>
  <si>
    <t>0307310000</t>
  </si>
  <si>
    <t>0307320000</t>
  </si>
  <si>
    <t>0307390000</t>
  </si>
  <si>
    <t>0307420000</t>
  </si>
  <si>
    <t>0307430000</t>
  </si>
  <si>
    <t>0307490000</t>
  </si>
  <si>
    <t>0307510000</t>
  </si>
  <si>
    <t>0307520000</t>
  </si>
  <si>
    <t>0307590000</t>
  </si>
  <si>
    <t>0307600000</t>
  </si>
  <si>
    <t>0307710000</t>
  </si>
  <si>
    <t>0307720000</t>
  </si>
  <si>
    <t>0307790000</t>
  </si>
  <si>
    <t>0307810000</t>
  </si>
  <si>
    <t>0307820000</t>
  </si>
  <si>
    <t>0307830000</t>
  </si>
  <si>
    <t>0307840000</t>
  </si>
  <si>
    <t>congelados</t>
  </si>
  <si>
    <t>0307870000</t>
  </si>
  <si>
    <t>0307880000</t>
  </si>
  <si>
    <t>0307910000</t>
  </si>
  <si>
    <t>0307921000</t>
  </si>
  <si>
    <t>0307922000</t>
  </si>
  <si>
    <t>0307929010</t>
  </si>
  <si>
    <t>0307929090</t>
  </si>
  <si>
    <t>0307992000</t>
  </si>
  <si>
    <t>0307995000</t>
  </si>
  <si>
    <t>0307999010</t>
  </si>
  <si>
    <t>0307999090</t>
  </si>
  <si>
    <t>0308110000</t>
  </si>
  <si>
    <t>0308120000</t>
  </si>
  <si>
    <t>0308190000</t>
  </si>
  <si>
    <t>0308210000</t>
  </si>
  <si>
    <t>0308220000</t>
  </si>
  <si>
    <t>0308290000</t>
  </si>
  <si>
    <t>0308300000</t>
  </si>
  <si>
    <t>0308900000</t>
  </si>
  <si>
    <t>0401100000</t>
  </si>
  <si>
    <t>0401200000</t>
  </si>
  <si>
    <t>0401400000</t>
  </si>
  <si>
    <t>0401500000</t>
  </si>
  <si>
    <t>0402101000</t>
  </si>
  <si>
    <t>0402109000</t>
  </si>
  <si>
    <t>0402211100</t>
  </si>
  <si>
    <t>0402211900</t>
  </si>
  <si>
    <t>0402219100</t>
  </si>
  <si>
    <t>0402219900</t>
  </si>
  <si>
    <t>0402291100</t>
  </si>
  <si>
    <t>0402291900</t>
  </si>
  <si>
    <t>0402299100</t>
  </si>
  <si>
    <t>0402299900</t>
  </si>
  <si>
    <t>0402911000</t>
  </si>
  <si>
    <t>0402919000</t>
  </si>
  <si>
    <t>0402991000</t>
  </si>
  <si>
    <t>0402999000</t>
  </si>
  <si>
    <t>0403100020</t>
  </si>
  <si>
    <t>0403100090</t>
  </si>
  <si>
    <t>0403901000</t>
  </si>
  <si>
    <t>0403909010</t>
  </si>
  <si>
    <t>0403909090</t>
  </si>
  <si>
    <t>0404101000</t>
  </si>
  <si>
    <t>0404109000</t>
  </si>
  <si>
    <t>0404900000</t>
  </si>
  <si>
    <t>0405100000</t>
  </si>
  <si>
    <t>Mantequilla (manteca)</t>
  </si>
  <si>
    <t>0405200000</t>
  </si>
  <si>
    <t>0405902000</t>
  </si>
  <si>
    <t>0405909000</t>
  </si>
  <si>
    <t>0406100000</t>
  </si>
  <si>
    <t>Quesos</t>
  </si>
  <si>
    <t>0406200000</t>
  </si>
  <si>
    <t>0406300000</t>
  </si>
  <si>
    <t>0406400000</t>
  </si>
  <si>
    <t>0406904000</t>
  </si>
  <si>
    <t>0406905000</t>
  </si>
  <si>
    <t>0406906000</t>
  </si>
  <si>
    <t>0406909000</t>
  </si>
  <si>
    <t>0407110000</t>
  </si>
  <si>
    <t>0407190000</t>
  </si>
  <si>
    <t>0407211000</t>
  </si>
  <si>
    <t>0407219000</t>
  </si>
  <si>
    <t>0407291000</t>
  </si>
  <si>
    <t>0407299000</t>
  </si>
  <si>
    <t>0407900000</t>
  </si>
  <si>
    <t>0408110000</t>
  </si>
  <si>
    <t>0408190000</t>
  </si>
  <si>
    <t>0408910000</t>
  </si>
  <si>
    <t>0408990000</t>
  </si>
  <si>
    <t>0409001000</t>
  </si>
  <si>
    <t>Miel natural</t>
  </si>
  <si>
    <t>0409009000</t>
  </si>
  <si>
    <t>0410000000</t>
  </si>
  <si>
    <t>Productos comestibles de origen animal no
expresados ni comprendidos en otra parte.</t>
  </si>
  <si>
    <t>0501000000</t>
  </si>
  <si>
    <t>Cabello en bruto, incluso lavado o desgrasado;
desperdicios de cabello.</t>
  </si>
  <si>
    <t>0502100000</t>
  </si>
  <si>
    <t>0502900000</t>
  </si>
  <si>
    <t>0504001000</t>
  </si>
  <si>
    <t>0504002000</t>
  </si>
  <si>
    <t>0504003000</t>
  </si>
  <si>
    <t>0505100000</t>
  </si>
  <si>
    <t>0505900000</t>
  </si>
  <si>
    <t>0506100000</t>
  </si>
  <si>
    <t>0506900000</t>
  </si>
  <si>
    <t>0507100000</t>
  </si>
  <si>
    <t>0507900000</t>
  </si>
  <si>
    <t>0508000000</t>
  </si>
  <si>
    <t>Coral y materias similares, en bruto o
simplemente preparados, pero sin otro trabajo;
valvas y caparazones de moluscos, crustáceos o
equinodermos, y jibiones, en bruto o simplemente
preparados, pero sin cortar en forma determinada,
incluso en polvo y desperdicios.</t>
  </si>
  <si>
    <t>0510001000</t>
  </si>
  <si>
    <t>Sustancias de animales</t>
  </si>
  <si>
    <t>0510009000</t>
  </si>
  <si>
    <t>0511100000</t>
  </si>
  <si>
    <t>0511911000</t>
  </si>
  <si>
    <t>0511912000</t>
  </si>
  <si>
    <t>0511919000</t>
  </si>
  <si>
    <t>0511991000</t>
  </si>
  <si>
    <t>0511993000</t>
  </si>
  <si>
    <t>0511994000</t>
  </si>
  <si>
    <t>0511999020</t>
  </si>
  <si>
    <t>0511999090</t>
  </si>
  <si>
    <t>Mariposas disecadas</t>
  </si>
  <si>
    <t>0601100000</t>
  </si>
  <si>
    <t>Bulbos, cebollas, tubérculos, raíces y bulbos tuberosos, turiones y rizomas, en reposo vegetativo</t>
  </si>
  <si>
    <t>0601200000</t>
  </si>
  <si>
    <t>0602101000</t>
  </si>
  <si>
    <t>0602109000</t>
  </si>
  <si>
    <t>Planta acuatica espada amazónica</t>
  </si>
  <si>
    <t>0602200000</t>
  </si>
  <si>
    <t>0602300000</t>
  </si>
  <si>
    <t>0602400000</t>
  </si>
  <si>
    <t>0602901000</t>
  </si>
  <si>
    <t>Orquídeas</t>
  </si>
  <si>
    <t>0602909000</t>
  </si>
  <si>
    <t>0603110000</t>
  </si>
  <si>
    <t>0603121000</t>
  </si>
  <si>
    <t>0603129000</t>
  </si>
  <si>
    <t>0603130000</t>
  </si>
  <si>
    <t>0603141000</t>
  </si>
  <si>
    <t>0603149000</t>
  </si>
  <si>
    <t>0603150000</t>
  </si>
  <si>
    <t>0603191000</t>
  </si>
  <si>
    <t>0603192000</t>
  </si>
  <si>
    <t>0603193000</t>
  </si>
  <si>
    <t>0603194000</t>
  </si>
  <si>
    <t>0603199000</t>
  </si>
  <si>
    <t>0603900000</t>
  </si>
  <si>
    <t>Productos de la floricultura</t>
  </si>
  <si>
    <t>0604200000</t>
  </si>
  <si>
    <t>0604900000</t>
  </si>
  <si>
    <t>Hojas secas</t>
  </si>
  <si>
    <t>0701100000</t>
  </si>
  <si>
    <t>0701900000</t>
  </si>
  <si>
    <t>0702000000</t>
  </si>
  <si>
    <t>Tomates frescos o refrigerados.</t>
  </si>
  <si>
    <t>0703100000</t>
  </si>
  <si>
    <t>Cebollas y chalotes</t>
  </si>
  <si>
    <t>0703201000</t>
  </si>
  <si>
    <t>0703209000</t>
  </si>
  <si>
    <t>Hortalizas</t>
  </si>
  <si>
    <t>0703900000</t>
  </si>
  <si>
    <t>0704100000</t>
  </si>
  <si>
    <t>0704200000</t>
  </si>
  <si>
    <t>0704900000</t>
  </si>
  <si>
    <t>0705110000</t>
  </si>
  <si>
    <t>0705190000</t>
  </si>
  <si>
    <t>0705210000</t>
  </si>
  <si>
    <t>0705290000</t>
  </si>
  <si>
    <t>0706100000</t>
  </si>
  <si>
    <t>0706900000</t>
  </si>
  <si>
    <t>0707000000</t>
  </si>
  <si>
    <t>Pepinos y pepinillos, frescos o refrigerados.</t>
  </si>
  <si>
    <t>0708100000</t>
  </si>
  <si>
    <t>0708200000</t>
  </si>
  <si>
    <t>Frijoles</t>
  </si>
  <si>
    <t>0708900000</t>
  </si>
  <si>
    <t>0709200000</t>
  </si>
  <si>
    <t>0709300000</t>
  </si>
  <si>
    <t>0709400000</t>
  </si>
  <si>
    <t>0709510000</t>
  </si>
  <si>
    <t>0709590000</t>
  </si>
  <si>
    <t>0709600000</t>
  </si>
  <si>
    <t>0709700000</t>
  </si>
  <si>
    <t>0709910000</t>
  </si>
  <si>
    <t>0709920000</t>
  </si>
  <si>
    <t>0709930000</t>
  </si>
  <si>
    <t>0709991000</t>
  </si>
  <si>
    <t>Maíz dulce (Zea mays var. saccharata)</t>
  </si>
  <si>
    <t>0709999000</t>
  </si>
  <si>
    <t>0710100000</t>
  </si>
  <si>
    <t>0710210000</t>
  </si>
  <si>
    <t>0710220000</t>
  </si>
  <si>
    <t>0710290000</t>
  </si>
  <si>
    <t>0710300000</t>
  </si>
  <si>
    <t>0710400000</t>
  </si>
  <si>
    <t>0710801000</t>
  </si>
  <si>
    <t>0710802000</t>
  </si>
  <si>
    <t>0710809000</t>
  </si>
  <si>
    <t>0710900000</t>
  </si>
  <si>
    <t>0711200000</t>
  </si>
  <si>
    <t>0711400000</t>
  </si>
  <si>
    <t>0711510000</t>
  </si>
  <si>
    <t>0711590000</t>
  </si>
  <si>
    <t>0711900000</t>
  </si>
  <si>
    <t>0712200000</t>
  </si>
  <si>
    <t>0712310000</t>
  </si>
  <si>
    <t>0712320000</t>
  </si>
  <si>
    <t>0712330000</t>
  </si>
  <si>
    <t>0712390000</t>
  </si>
  <si>
    <t>0712901000</t>
  </si>
  <si>
    <t>0712902000</t>
  </si>
  <si>
    <t>0712909000</t>
  </si>
  <si>
    <t>0713101000</t>
  </si>
  <si>
    <t>0713109010</t>
  </si>
  <si>
    <t>0713109020</t>
  </si>
  <si>
    <t>0713201000</t>
  </si>
  <si>
    <t>0713209000</t>
  </si>
  <si>
    <t>0713311000</t>
  </si>
  <si>
    <t>0713319000</t>
  </si>
  <si>
    <t>0713321000</t>
  </si>
  <si>
    <t>0713329000</t>
  </si>
  <si>
    <t>0713331100</t>
  </si>
  <si>
    <t>0713331900</t>
  </si>
  <si>
    <t>0713339100</t>
  </si>
  <si>
    <t>0713339200</t>
  </si>
  <si>
    <t>0713339900</t>
  </si>
  <si>
    <t>0713341000</t>
  </si>
  <si>
    <t>0713349000</t>
  </si>
  <si>
    <t>0713351000</t>
  </si>
  <si>
    <t>0713359000</t>
  </si>
  <si>
    <t>0713391000</t>
  </si>
  <si>
    <t>0713399100</t>
  </si>
  <si>
    <t>0713399900</t>
  </si>
  <si>
    <t>0713401000</t>
  </si>
  <si>
    <t>0713409000</t>
  </si>
  <si>
    <t>0713501000</t>
  </si>
  <si>
    <t>0713509000</t>
  </si>
  <si>
    <t>0713601000</t>
  </si>
  <si>
    <t>0713609000</t>
  </si>
  <si>
    <t>0713901000</t>
  </si>
  <si>
    <t>0713909000</t>
  </si>
  <si>
    <t>0714100000</t>
  </si>
  <si>
    <t>Raíces de yuca</t>
  </si>
  <si>
    <t>0714201000</t>
  </si>
  <si>
    <t>0714209000</t>
  </si>
  <si>
    <t>0714300000</t>
  </si>
  <si>
    <t>0714400000</t>
  </si>
  <si>
    <t>0714500000</t>
  </si>
  <si>
    <t>0714901000</t>
  </si>
  <si>
    <t>Maca</t>
  </si>
  <si>
    <t>0714909000</t>
  </si>
  <si>
    <t>0801111000</t>
  </si>
  <si>
    <t>0801119000</t>
  </si>
  <si>
    <t>Coco rallado</t>
  </si>
  <si>
    <t>0801120000</t>
  </si>
  <si>
    <t>0801190000</t>
  </si>
  <si>
    <t>0801210000</t>
  </si>
  <si>
    <t>0801220000</t>
  </si>
  <si>
    <t>Nueces de Brasil</t>
  </si>
  <si>
    <t>0801310000</t>
  </si>
  <si>
    <t>0801320000</t>
  </si>
  <si>
    <t>0802110000</t>
  </si>
  <si>
    <t>0802121000</t>
  </si>
  <si>
    <t>0802129000</t>
  </si>
  <si>
    <t>0802210000</t>
  </si>
  <si>
    <t>0802220000</t>
  </si>
  <si>
    <t>0802310000</t>
  </si>
  <si>
    <t>0802320000</t>
  </si>
  <si>
    <t>0802410000</t>
  </si>
  <si>
    <t>0802420000</t>
  </si>
  <si>
    <t>0802510000</t>
  </si>
  <si>
    <t>0802520000</t>
  </si>
  <si>
    <t>0802610000</t>
  </si>
  <si>
    <t>0802620000</t>
  </si>
  <si>
    <t>0802700000</t>
  </si>
  <si>
    <t>0802800000</t>
  </si>
  <si>
    <t>0802900000</t>
  </si>
  <si>
    <t>Sacha inchi tostado</t>
  </si>
  <si>
    <t>Verificar</t>
  </si>
  <si>
    <t>0803101000</t>
  </si>
  <si>
    <t>Bananas</t>
  </si>
  <si>
    <t>0803102000</t>
  </si>
  <si>
    <t>Bananas secas</t>
  </si>
  <si>
    <t>0803901100</t>
  </si>
  <si>
    <t>Banana cavendish valery</t>
  </si>
  <si>
    <t>0803901200</t>
  </si>
  <si>
    <t>0803901900</t>
  </si>
  <si>
    <t>Bananitos</t>
  </si>
  <si>
    <t>0803902000</t>
  </si>
  <si>
    <t>0804100000</t>
  </si>
  <si>
    <t>0804200000</t>
  </si>
  <si>
    <t>0804300000</t>
  </si>
  <si>
    <t>Piñas</t>
  </si>
  <si>
    <t>0804400000</t>
  </si>
  <si>
    <t>Aguacates (paltas)</t>
  </si>
  <si>
    <t>0804501000</t>
  </si>
  <si>
    <t>0804502000</t>
  </si>
  <si>
    <t>Mangos</t>
  </si>
  <si>
    <t>0805100000</t>
  </si>
  <si>
    <t>Naranjas</t>
  </si>
  <si>
    <t>0805210000</t>
  </si>
  <si>
    <t>0805220000</t>
  </si>
  <si>
    <t>0805291000</t>
  </si>
  <si>
    <t>0805299000</t>
  </si>
  <si>
    <t>Cítricos</t>
  </si>
  <si>
    <t>0805400000</t>
  </si>
  <si>
    <t>0805501000</t>
  </si>
  <si>
    <t>0805502100</t>
  </si>
  <si>
    <t>0805502200</t>
  </si>
  <si>
    <t>Limón</t>
  </si>
  <si>
    <t>0805900000</t>
  </si>
  <si>
    <t>0806100000</t>
  </si>
  <si>
    <t>0806200000</t>
  </si>
  <si>
    <t>0807110000</t>
  </si>
  <si>
    <t>0807190000</t>
  </si>
  <si>
    <t>0807200000</t>
  </si>
  <si>
    <t>0808100000</t>
  </si>
  <si>
    <t>0808300000</t>
  </si>
  <si>
    <t>0808400000</t>
  </si>
  <si>
    <t>0809100000</t>
  </si>
  <si>
    <t>0809210000</t>
  </si>
  <si>
    <t>0809290000</t>
  </si>
  <si>
    <t>0809300000</t>
  </si>
  <si>
    <t>0809400000</t>
  </si>
  <si>
    <t>0810100000</t>
  </si>
  <si>
    <t>0810200000</t>
  </si>
  <si>
    <t>0810300000</t>
  </si>
  <si>
    <t>0810400000</t>
  </si>
  <si>
    <t>Arándanos</t>
  </si>
  <si>
    <t>0810500000</t>
  </si>
  <si>
    <t>0810600000</t>
  </si>
  <si>
    <t>0810700000</t>
  </si>
  <si>
    <t>0810901000</t>
  </si>
  <si>
    <t>Granadilla, maracuyá y demás</t>
  </si>
  <si>
    <t>0810902000</t>
  </si>
  <si>
    <t>Chirimoya, guanábana y demás anonas</t>
  </si>
  <si>
    <t>0810903000</t>
  </si>
  <si>
    <t>0810904000</t>
  </si>
  <si>
    <t>0810905000</t>
  </si>
  <si>
    <t>Uchuvas (aguaymanto, uvillas)</t>
  </si>
  <si>
    <t>0810909000</t>
  </si>
  <si>
    <t>Los demás</t>
  </si>
  <si>
    <t>0811101000</t>
  </si>
  <si>
    <t>0811109000</t>
  </si>
  <si>
    <t>Fresa congelada</t>
  </si>
  <si>
    <t>0811200000</t>
  </si>
  <si>
    <t>0811901000</t>
  </si>
  <si>
    <t>0811909100</t>
  </si>
  <si>
    <t>0811909200</t>
  </si>
  <si>
    <t>Pulpa de camu-camu</t>
  </si>
  <si>
    <t>0811909300</t>
  </si>
  <si>
    <t>Pulpa de lúcuma</t>
  </si>
  <si>
    <t>0811909400</t>
  </si>
  <si>
    <t>Pulpa de maracuyá</t>
  </si>
  <si>
    <t>0811909500</t>
  </si>
  <si>
    <t>Pulpa de guanábana</t>
  </si>
  <si>
    <t>0811909600</t>
  </si>
  <si>
    <t>Pulpa de papaya</t>
  </si>
  <si>
    <t>0811909900</t>
  </si>
  <si>
    <t>Pulpa de fruta</t>
  </si>
  <si>
    <t>0812100000</t>
  </si>
  <si>
    <t>0812902000</t>
  </si>
  <si>
    <t>0812909000</t>
  </si>
  <si>
    <t>0813100000</t>
  </si>
  <si>
    <t>0813200000</t>
  </si>
  <si>
    <t>0813300000</t>
  </si>
  <si>
    <t>0813400000</t>
  </si>
  <si>
    <t>Frutas</t>
  </si>
  <si>
    <t>0813500000</t>
  </si>
  <si>
    <t>Mezclas de frutas u otros frutos</t>
  </si>
  <si>
    <t>0814001000</t>
  </si>
  <si>
    <t>De limón (limón sutil, limón común, limón criollo)</t>
  </si>
  <si>
    <t>0814009000</t>
  </si>
  <si>
    <t>Cortezas de agrios (cítricos), melones o sandias, frescas, congeladas, secas o presentadas en agua salada, sulfurosa o adicionada de otras sustancias para su conservación provisional</t>
  </si>
  <si>
    <t>0901111000</t>
  </si>
  <si>
    <t>Café en grano para siembra</t>
  </si>
  <si>
    <t>0901119000</t>
  </si>
  <si>
    <t>Café en grano</t>
  </si>
  <si>
    <t>0901120000</t>
  </si>
  <si>
    <t>0901211000</t>
  </si>
  <si>
    <t>0901212000</t>
  </si>
  <si>
    <t>0901220000</t>
  </si>
  <si>
    <t>0901900000</t>
  </si>
  <si>
    <t>0902100000</t>
  </si>
  <si>
    <t>Té verde</t>
  </si>
  <si>
    <t>0902200000</t>
  </si>
  <si>
    <t>0902300000</t>
  </si>
  <si>
    <t>Té negro</t>
  </si>
  <si>
    <t>0902400000</t>
  </si>
  <si>
    <t>0903000000</t>
  </si>
  <si>
    <t>Yerba mate</t>
  </si>
  <si>
    <t>0904110000</t>
  </si>
  <si>
    <t>0904120000</t>
  </si>
  <si>
    <t>Pimienta paprika</t>
  </si>
  <si>
    <t>0904211010</t>
  </si>
  <si>
    <t>0904211090</t>
  </si>
  <si>
    <t>0904219000</t>
  </si>
  <si>
    <t>0904221000</t>
  </si>
  <si>
    <t>0904229000</t>
  </si>
  <si>
    <t>Pimienta</t>
  </si>
  <si>
    <t>0905100000</t>
  </si>
  <si>
    <t>Vainilla</t>
  </si>
  <si>
    <t>0905200000</t>
  </si>
  <si>
    <t>0906110000</t>
  </si>
  <si>
    <t>0906190000</t>
  </si>
  <si>
    <t>0906200000</t>
  </si>
  <si>
    <t>0907100000</t>
  </si>
  <si>
    <t>0907200000</t>
  </si>
  <si>
    <t>0908110000</t>
  </si>
  <si>
    <t>0908120000</t>
  </si>
  <si>
    <t>0908210000</t>
  </si>
  <si>
    <t>0908220000</t>
  </si>
  <si>
    <t>0908310000</t>
  </si>
  <si>
    <t>0908320000</t>
  </si>
  <si>
    <t>0909211000</t>
  </si>
  <si>
    <t>0909219000</t>
  </si>
  <si>
    <t>0909220000</t>
  </si>
  <si>
    <t>0909310000</t>
  </si>
  <si>
    <t>0909320000</t>
  </si>
  <si>
    <t>0909610000</t>
  </si>
  <si>
    <t>0909620000</t>
  </si>
  <si>
    <t>0910110000</t>
  </si>
  <si>
    <t>Jengibre, azafrán, cúrcuma, tomillo, hojas de laurel, curry</t>
  </si>
  <si>
    <t>0910120000</t>
  </si>
  <si>
    <t>0910200000</t>
  </si>
  <si>
    <t>0910300000</t>
  </si>
  <si>
    <t>Cúrcuma</t>
  </si>
  <si>
    <t>0910910000</t>
  </si>
  <si>
    <t>0910991000</t>
  </si>
  <si>
    <t>0910999000</t>
  </si>
  <si>
    <t>1001110000</t>
  </si>
  <si>
    <t>1001190000</t>
  </si>
  <si>
    <t>1001910010</t>
  </si>
  <si>
    <t>1001910090</t>
  </si>
  <si>
    <t>1001991000</t>
  </si>
  <si>
    <t>1001992000</t>
  </si>
  <si>
    <t>1002100000</t>
  </si>
  <si>
    <t>1002900000</t>
  </si>
  <si>
    <t>1003100000</t>
  </si>
  <si>
    <t>1003900000</t>
  </si>
  <si>
    <t>1004100000</t>
  </si>
  <si>
    <t>1004900000</t>
  </si>
  <si>
    <t>1005100000</t>
  </si>
  <si>
    <t>1005901100</t>
  </si>
  <si>
    <t>Cereales</t>
  </si>
  <si>
    <t>1005901200</t>
  </si>
  <si>
    <t>1005901900</t>
  </si>
  <si>
    <t>1005902000</t>
  </si>
  <si>
    <t>1005903000</t>
  </si>
  <si>
    <t>1005904000</t>
  </si>
  <si>
    <t>Maíz morado</t>
  </si>
  <si>
    <t>1005909000</t>
  </si>
  <si>
    <t>1006101000</t>
  </si>
  <si>
    <t>Arroz con cáscara</t>
  </si>
  <si>
    <t>1006109000</t>
  </si>
  <si>
    <t>1006200000</t>
  </si>
  <si>
    <t>1006300000</t>
  </si>
  <si>
    <t>Arroz</t>
  </si>
  <si>
    <t>1006400000</t>
  </si>
  <si>
    <t>1007100000</t>
  </si>
  <si>
    <t>1007900000</t>
  </si>
  <si>
    <t>1008101000</t>
  </si>
  <si>
    <t>1008109000</t>
  </si>
  <si>
    <t>1008210000</t>
  </si>
  <si>
    <t>1008290000</t>
  </si>
  <si>
    <t>1008301000</t>
  </si>
  <si>
    <t>1008309000</t>
  </si>
  <si>
    <t>1008400000</t>
  </si>
  <si>
    <t>1008501000</t>
  </si>
  <si>
    <t>1008509000</t>
  </si>
  <si>
    <t>Quinua</t>
  </si>
  <si>
    <t>1008600000</t>
  </si>
  <si>
    <t>1008902100</t>
  </si>
  <si>
    <t>1008902900</t>
  </si>
  <si>
    <t>1008909100</t>
  </si>
  <si>
    <t>1008909900</t>
  </si>
  <si>
    <t>1101000000</t>
  </si>
  <si>
    <t>Harina de trigo o de morcajo (tranquillón).</t>
  </si>
  <si>
    <t>1102200000</t>
  </si>
  <si>
    <t>Harina de maíz</t>
  </si>
  <si>
    <t>1102901000</t>
  </si>
  <si>
    <t>1102909000</t>
  </si>
  <si>
    <t>Harina de quinua</t>
  </si>
  <si>
    <t>1103110000</t>
  </si>
  <si>
    <t>1103130000</t>
  </si>
  <si>
    <t>1103190000</t>
  </si>
  <si>
    <t>1103200000</t>
  </si>
  <si>
    <t>1104120000</t>
  </si>
  <si>
    <t>1104190000</t>
  </si>
  <si>
    <t>Harina de cereales</t>
  </si>
  <si>
    <t>1104220000</t>
  </si>
  <si>
    <t>1104230000</t>
  </si>
  <si>
    <t>1104291000</t>
  </si>
  <si>
    <t>1104299000</t>
  </si>
  <si>
    <t>1104300000</t>
  </si>
  <si>
    <t>1105100000</t>
  </si>
  <si>
    <t>1105200000</t>
  </si>
  <si>
    <t>1106100000</t>
  </si>
  <si>
    <t>Harina de sacha inchi</t>
  </si>
  <si>
    <t>1106201000</t>
  </si>
  <si>
    <t>Maca en polvo</t>
  </si>
  <si>
    <t>1106209000</t>
  </si>
  <si>
    <t>Harina de raíces o tubérculos</t>
  </si>
  <si>
    <t>1106301000</t>
  </si>
  <si>
    <t>Harina de bananas o plátanos</t>
  </si>
  <si>
    <t>1106302000</t>
  </si>
  <si>
    <t>Harina de lúcuma</t>
  </si>
  <si>
    <t>1106309000</t>
  </si>
  <si>
    <t>Harina de hortalizas</t>
  </si>
  <si>
    <t>1107100000</t>
  </si>
  <si>
    <t>1107200000</t>
  </si>
  <si>
    <t>1108110000</t>
  </si>
  <si>
    <t>1108120000</t>
  </si>
  <si>
    <t>1108130000</t>
  </si>
  <si>
    <t>1108140000</t>
  </si>
  <si>
    <t>Fécula de yuca</t>
  </si>
  <si>
    <t>1108190000</t>
  </si>
  <si>
    <t>1108200000</t>
  </si>
  <si>
    <t>1109000000</t>
  </si>
  <si>
    <t>Gluten de trigo, incluso seco.</t>
  </si>
  <si>
    <t>1201100000</t>
  </si>
  <si>
    <t>1201900000</t>
  </si>
  <si>
    <t>1202300000</t>
  </si>
  <si>
    <t>1202410000</t>
  </si>
  <si>
    <t>1202420000</t>
  </si>
  <si>
    <t>1203000000</t>
  </si>
  <si>
    <t>Copra.</t>
  </si>
  <si>
    <t>1204001000</t>
  </si>
  <si>
    <t>1204009000</t>
  </si>
  <si>
    <t>1205101000</t>
  </si>
  <si>
    <t>1205109000</t>
  </si>
  <si>
    <t>1205901000</t>
  </si>
  <si>
    <t>1205909000</t>
  </si>
  <si>
    <t>1206001000</t>
  </si>
  <si>
    <t>1206009000</t>
  </si>
  <si>
    <t>1207101000</t>
  </si>
  <si>
    <t>1207109000</t>
  </si>
  <si>
    <t>1207210000</t>
  </si>
  <si>
    <t>1207290000</t>
  </si>
  <si>
    <t>1207301000</t>
  </si>
  <si>
    <t>1207309000</t>
  </si>
  <si>
    <t>1207401000</t>
  </si>
  <si>
    <t>1207409000</t>
  </si>
  <si>
    <t>Plantas y partes de plantas</t>
  </si>
  <si>
    <t>1207501000</t>
  </si>
  <si>
    <t>1207509000</t>
  </si>
  <si>
    <t>1207601000</t>
  </si>
  <si>
    <t>1207609000</t>
  </si>
  <si>
    <t>1207701000</t>
  </si>
  <si>
    <t>1207709000</t>
  </si>
  <si>
    <t>1207910000</t>
  </si>
  <si>
    <t>1207991000</t>
  </si>
  <si>
    <t>Semillas</t>
  </si>
  <si>
    <t>1207999100</t>
  </si>
  <si>
    <t>1207999900</t>
  </si>
  <si>
    <t>Semillas de frutas</t>
  </si>
  <si>
    <t>1208100000</t>
  </si>
  <si>
    <t>Harina de habas (porotos, frijoles, fréjoles) de soja (soya)</t>
  </si>
  <si>
    <t>1208900000</t>
  </si>
  <si>
    <t>Harina de oleaginosos</t>
  </si>
  <si>
    <t>1209100000</t>
  </si>
  <si>
    <t>1209210000</t>
  </si>
  <si>
    <t>1209220000</t>
  </si>
  <si>
    <t>1209230000</t>
  </si>
  <si>
    <t>1209240000</t>
  </si>
  <si>
    <t>1209250000</t>
  </si>
  <si>
    <t>1209290000</t>
  </si>
  <si>
    <t>Semillas y esporas para siembra</t>
  </si>
  <si>
    <t>1209300000</t>
  </si>
  <si>
    <t>Semillas de plantas herbáceas</t>
  </si>
  <si>
    <t>1209911000</t>
  </si>
  <si>
    <t>1209912000</t>
  </si>
  <si>
    <t>1209913000</t>
  </si>
  <si>
    <t>1209914000</t>
  </si>
  <si>
    <t>1209915000</t>
  </si>
  <si>
    <t>1209919000</t>
  </si>
  <si>
    <t>1209991000</t>
  </si>
  <si>
    <t>Semillas de árboles</t>
  </si>
  <si>
    <t>1209992000</t>
  </si>
  <si>
    <t>Semillas de tabaco</t>
  </si>
  <si>
    <t>1209993000</t>
  </si>
  <si>
    <t>1209994000</t>
  </si>
  <si>
    <t>1209999000</t>
  </si>
  <si>
    <t>1210100000</t>
  </si>
  <si>
    <t>1210200000</t>
  </si>
  <si>
    <t>1211200010</t>
  </si>
  <si>
    <t>1211200090</t>
  </si>
  <si>
    <t>1211300000</t>
  </si>
  <si>
    <t>1211400000</t>
  </si>
  <si>
    <t>1211500000</t>
  </si>
  <si>
    <t>1211903000</t>
  </si>
  <si>
    <t>Orégano</t>
  </si>
  <si>
    <t>1211905000</t>
  </si>
  <si>
    <t>Uña de gato</t>
  </si>
  <si>
    <t>1211906000</t>
  </si>
  <si>
    <t>1211909040</t>
  </si>
  <si>
    <t>1211909091</t>
  </si>
  <si>
    <t>1211909099</t>
  </si>
  <si>
    <t>1212210000</t>
  </si>
  <si>
    <t>1212290000</t>
  </si>
  <si>
    <t>1212910000</t>
  </si>
  <si>
    <t>1212920000</t>
  </si>
  <si>
    <t>Algarrobos</t>
  </si>
  <si>
    <t>1212930000</t>
  </si>
  <si>
    <t>1212940000</t>
  </si>
  <si>
    <t>1212991000</t>
  </si>
  <si>
    <t>Estevia</t>
  </si>
  <si>
    <t>1212999000</t>
  </si>
  <si>
    <t>1213000000</t>
  </si>
  <si>
    <t>Paja y cascabillo de cereales, en bruto, incluso
picados, molidos, prensados o en «pellets».</t>
  </si>
  <si>
    <t>1214100000</t>
  </si>
  <si>
    <t>1214900000</t>
  </si>
  <si>
    <t>1301200000</t>
  </si>
  <si>
    <t>1301904000</t>
  </si>
  <si>
    <t>1301909010</t>
  </si>
  <si>
    <t>1301909090</t>
  </si>
  <si>
    <t>Goma</t>
  </si>
  <si>
    <t>1302111000</t>
  </si>
  <si>
    <t>1302119000</t>
  </si>
  <si>
    <t>1302120000</t>
  </si>
  <si>
    <t>1302130000</t>
  </si>
  <si>
    <t>1302140000</t>
  </si>
  <si>
    <t>Jugo y extracto de efedra</t>
  </si>
  <si>
    <t>1302191100</t>
  </si>
  <si>
    <t>Extracto de uña de gato</t>
  </si>
  <si>
    <t>1302191900</t>
  </si>
  <si>
    <t>1302192000</t>
  </si>
  <si>
    <t>Extracto de habas (porotos, frijoles, fréjoles) de soja (soya), incluso en polvo</t>
  </si>
  <si>
    <t>1302199100</t>
  </si>
  <si>
    <t>Jugo y extracto de vegetal</t>
  </si>
  <si>
    <t>1302199900</t>
  </si>
  <si>
    <t>1302200000</t>
  </si>
  <si>
    <t>1302310000</t>
  </si>
  <si>
    <t>1302320000</t>
  </si>
  <si>
    <t>1302391000</t>
  </si>
  <si>
    <t>Mucílagos de semilla de tara</t>
  </si>
  <si>
    <t>1302399000</t>
  </si>
  <si>
    <t>Productos vegetales</t>
  </si>
  <si>
    <t>1401100000</t>
  </si>
  <si>
    <t>1401200000</t>
  </si>
  <si>
    <t>1401900000</t>
  </si>
  <si>
    <t>1404200000</t>
  </si>
  <si>
    <t>1404901000</t>
  </si>
  <si>
    <t>Achiote en polvo</t>
  </si>
  <si>
    <t>1404902000</t>
  </si>
  <si>
    <t>Tara en polvo</t>
  </si>
  <si>
    <t>1404909010</t>
  </si>
  <si>
    <t>Materias vegetales de las especies utilizadas principalmente para relleno, incluso en capas aun con soporte de otras materias, excepto «kapok»</t>
  </si>
  <si>
    <t>1404909090</t>
  </si>
  <si>
    <t>1501100000</t>
  </si>
  <si>
    <t>1501200000</t>
  </si>
  <si>
    <t>1501900000</t>
  </si>
  <si>
    <t>1502101010</t>
  </si>
  <si>
    <t>1502101090</t>
  </si>
  <si>
    <t>1502109010</t>
  </si>
  <si>
    <t>1502109090</t>
  </si>
  <si>
    <t>1502901010</t>
  </si>
  <si>
    <t>1502901090</t>
  </si>
  <si>
    <t>1502909010</t>
  </si>
  <si>
    <t>1502909090</t>
  </si>
  <si>
    <t>1503000000</t>
  </si>
  <si>
    <t>Estearina solar, aceite de manteca de cerdo,
oleoestearina, oleomargarina y aceite de sebo, sin
emulsionar, mezclar ni preparar de otro modo.</t>
  </si>
  <si>
    <t>1504101000</t>
  </si>
  <si>
    <t>1504102100</t>
  </si>
  <si>
    <t>1504102900</t>
  </si>
  <si>
    <t>1504201000</t>
  </si>
  <si>
    <t>Aceite crudo de pescado</t>
  </si>
  <si>
    <t>1504209000</t>
  </si>
  <si>
    <t>1504300000</t>
  </si>
  <si>
    <t>1505001000</t>
  </si>
  <si>
    <t>1505009100</t>
  </si>
  <si>
    <t>1505009900</t>
  </si>
  <si>
    <t>1506001000</t>
  </si>
  <si>
    <t>1506009000</t>
  </si>
  <si>
    <t>1507100000</t>
  </si>
  <si>
    <t>1507901000</t>
  </si>
  <si>
    <t>Productos alimenticios semielaborados</t>
  </si>
  <si>
    <t>Aceite de soya</t>
  </si>
  <si>
    <t>1508100000</t>
  </si>
  <si>
    <t>1508900000</t>
  </si>
  <si>
    <t>1509100000</t>
  </si>
  <si>
    <t>1509900000</t>
  </si>
  <si>
    <t>1510000000</t>
  </si>
  <si>
    <t>Aceite de aceituna</t>
  </si>
  <si>
    <t>1511100000</t>
  </si>
  <si>
    <t>Aceite crudo de palma</t>
  </si>
  <si>
    <t>1511900000</t>
  </si>
  <si>
    <t>Aceite refinado / Estearina / Manteca vegetal de palma</t>
  </si>
  <si>
    <t>1512111000</t>
  </si>
  <si>
    <t>1512112000</t>
  </si>
  <si>
    <t>1512191000</t>
  </si>
  <si>
    <t>1512192000</t>
  </si>
  <si>
    <t>1512210000</t>
  </si>
  <si>
    <t>1512290000</t>
  </si>
  <si>
    <t>1513110000</t>
  </si>
  <si>
    <t>1513190000</t>
  </si>
  <si>
    <t>1513211000</t>
  </si>
  <si>
    <t>Aceite refinado de almendra de palma</t>
  </si>
  <si>
    <t>1513212000</t>
  </si>
  <si>
    <t>1513291000</t>
  </si>
  <si>
    <t>Aceite refinado de palmiste</t>
  </si>
  <si>
    <t>1513292000</t>
  </si>
  <si>
    <t>1514110000</t>
  </si>
  <si>
    <t>1514190000</t>
  </si>
  <si>
    <t>1514910000</t>
  </si>
  <si>
    <t>1514990000</t>
  </si>
  <si>
    <t>1515110000</t>
  </si>
  <si>
    <t>1515190000</t>
  </si>
  <si>
    <t>1515210000</t>
  </si>
  <si>
    <t>1515290000</t>
  </si>
  <si>
    <t>1515300000</t>
  </si>
  <si>
    <t>1515500000</t>
  </si>
  <si>
    <t>Aceite de sésamo (ajonjolí)</t>
  </si>
  <si>
    <t>1515900010</t>
  </si>
  <si>
    <t>1515900090</t>
  </si>
  <si>
    <t>Aceite refinado / Manteca vegetal</t>
  </si>
  <si>
    <t>1516100000</t>
  </si>
  <si>
    <t>Grasas y aceites animales</t>
  </si>
  <si>
    <t>1516200000</t>
  </si>
  <si>
    <t>1517100000</t>
  </si>
  <si>
    <t>Margarina</t>
  </si>
  <si>
    <t>1517900000</t>
  </si>
  <si>
    <t>Aceite refinado / Manteca vegetal de palma</t>
  </si>
  <si>
    <t>1518001000</t>
  </si>
  <si>
    <t>1518009000</t>
  </si>
  <si>
    <t>1520000000</t>
  </si>
  <si>
    <t>Glicerol en bruto; aguas y lejías glicerinosas.</t>
  </si>
  <si>
    <t>1521101000</t>
  </si>
  <si>
    <t>1521102000</t>
  </si>
  <si>
    <t>1521109000</t>
  </si>
  <si>
    <t>1521901000</t>
  </si>
  <si>
    <t>1521902000</t>
  </si>
  <si>
    <t>1522000000</t>
  </si>
  <si>
    <t>Degrás</t>
  </si>
  <si>
    <t>1601000000</t>
  </si>
  <si>
    <t>Embutidos y productos similares de carne,
despojos o sangre; preparaciones alimenticias a
base de estos productos.</t>
  </si>
  <si>
    <t>1602100000</t>
  </si>
  <si>
    <t>1602200000</t>
  </si>
  <si>
    <t>1602311000</t>
  </si>
  <si>
    <t>1602319000</t>
  </si>
  <si>
    <t>1602321011</t>
  </si>
  <si>
    <t>1602321012</t>
  </si>
  <si>
    <t>1602321090</t>
  </si>
  <si>
    <t>1602329011</t>
  </si>
  <si>
    <t>1602329012</t>
  </si>
  <si>
    <t>1602329090</t>
  </si>
  <si>
    <t>Conservas de pollo</t>
  </si>
  <si>
    <t>1602391000</t>
  </si>
  <si>
    <t>1602399000</t>
  </si>
  <si>
    <t>1602410000</t>
  </si>
  <si>
    <t>1602420000</t>
  </si>
  <si>
    <t>1602490000</t>
  </si>
  <si>
    <t>1602500000</t>
  </si>
  <si>
    <t>1602900000</t>
  </si>
  <si>
    <t>1603000000</t>
  </si>
  <si>
    <t>Extractos y jugos de carne, pescado o de
crustáceos, moluscos o demás invertebrados
acuáticos.</t>
  </si>
  <si>
    <t>1604110000</t>
  </si>
  <si>
    <t>1604120000</t>
  </si>
  <si>
    <t>1604131010</t>
  </si>
  <si>
    <t>1604131020</t>
  </si>
  <si>
    <t>1604131090</t>
  </si>
  <si>
    <t>1604132000</t>
  </si>
  <si>
    <t>1604133000</t>
  </si>
  <si>
    <t>1604139000</t>
  </si>
  <si>
    <t>1604141000</t>
  </si>
  <si>
    <t>1604142000</t>
  </si>
  <si>
    <t>1604150000</t>
  </si>
  <si>
    <t>1604160000</t>
  </si>
  <si>
    <t>1604170000</t>
  </si>
  <si>
    <t>1604180000</t>
  </si>
  <si>
    <t>1604190000</t>
  </si>
  <si>
    <t>1604200000</t>
  </si>
  <si>
    <t>1604310000</t>
  </si>
  <si>
    <t>1604320000</t>
  </si>
  <si>
    <t>1605100000</t>
  </si>
  <si>
    <t>1605210000</t>
  </si>
  <si>
    <t>1605290000</t>
  </si>
  <si>
    <t>1605300000</t>
  </si>
  <si>
    <t>1605400000</t>
  </si>
  <si>
    <t>1605510000</t>
  </si>
  <si>
    <t>1605520000</t>
  </si>
  <si>
    <t>1605530000</t>
  </si>
  <si>
    <t>1605540000</t>
  </si>
  <si>
    <t>1605550000</t>
  </si>
  <si>
    <t>1605560000</t>
  </si>
  <si>
    <t>1605570000</t>
  </si>
  <si>
    <t>1605580000</t>
  </si>
  <si>
    <t>1605591000</t>
  </si>
  <si>
    <t>1605599000</t>
  </si>
  <si>
    <t>1605610000</t>
  </si>
  <si>
    <t>1605620000</t>
  </si>
  <si>
    <t>1605630000</t>
  </si>
  <si>
    <t>1605690000</t>
  </si>
  <si>
    <t>1701120000</t>
  </si>
  <si>
    <t>1701130000</t>
  </si>
  <si>
    <t>Panela granulada</t>
  </si>
  <si>
    <t>1701140000</t>
  </si>
  <si>
    <t>Azúcar de caña</t>
  </si>
  <si>
    <t>1701910000</t>
  </si>
  <si>
    <t>1701991000</t>
  </si>
  <si>
    <t>1702110000</t>
  </si>
  <si>
    <t>1702191000</t>
  </si>
  <si>
    <t>1702192000</t>
  </si>
  <si>
    <t>1702200000</t>
  </si>
  <si>
    <t>1702301000</t>
  </si>
  <si>
    <t>1702302000</t>
  </si>
  <si>
    <t>1702309000</t>
  </si>
  <si>
    <t>1702401000</t>
  </si>
  <si>
    <t>1702402000</t>
  </si>
  <si>
    <t>1702500000</t>
  </si>
  <si>
    <t>1702600000</t>
  </si>
  <si>
    <t>1702901000</t>
  </si>
  <si>
    <t>Miel de yacón</t>
  </si>
  <si>
    <t>1702902000</t>
  </si>
  <si>
    <t>1702903000</t>
  </si>
  <si>
    <t>1702904000</t>
  </si>
  <si>
    <t>Jarabe de algarrobina</t>
  </si>
  <si>
    <t>1702909000</t>
  </si>
  <si>
    <t>1703100000</t>
  </si>
  <si>
    <t>1703900000</t>
  </si>
  <si>
    <t>1704101000</t>
  </si>
  <si>
    <t>1704109000</t>
  </si>
  <si>
    <t>1704901000</t>
  </si>
  <si>
    <t>Golosinas</t>
  </si>
  <si>
    <t>1704909000</t>
  </si>
  <si>
    <t>1801001100</t>
  </si>
  <si>
    <t>Cacao en grano</t>
  </si>
  <si>
    <t>1801001900</t>
  </si>
  <si>
    <t>1801002000</t>
  </si>
  <si>
    <t>1802000000</t>
  </si>
  <si>
    <t>Cacao en cáscara y demás residuos</t>
  </si>
  <si>
    <t>1803100000</t>
  </si>
  <si>
    <t>Cacao en pasta</t>
  </si>
  <si>
    <t>1803200000</t>
  </si>
  <si>
    <t>Cacao en manteca</t>
  </si>
  <si>
    <t>1804001100</t>
  </si>
  <si>
    <t>1804001200</t>
  </si>
  <si>
    <t>1804001300</t>
  </si>
  <si>
    <t>1804002000</t>
  </si>
  <si>
    <t>Grasa y aceite de cacao</t>
  </si>
  <si>
    <t>1805000000</t>
  </si>
  <si>
    <t>Cacao en polvo</t>
  </si>
  <si>
    <t>1806100000</t>
  </si>
  <si>
    <t>1806201000</t>
  </si>
  <si>
    <t>1806209000</t>
  </si>
  <si>
    <t>Chocolates</t>
  </si>
  <si>
    <t>1806310000</t>
  </si>
  <si>
    <t>1806320000</t>
  </si>
  <si>
    <t>1806900000</t>
  </si>
  <si>
    <t>1901101000</t>
  </si>
  <si>
    <t>1901109100</t>
  </si>
  <si>
    <t>1901109900</t>
  </si>
  <si>
    <t>1901200000</t>
  </si>
  <si>
    <t>1901901000</t>
  </si>
  <si>
    <t>1901902000</t>
  </si>
  <si>
    <t>1901909000</t>
  </si>
  <si>
    <t>Harina de fruta</t>
  </si>
  <si>
    <t>1902110000</t>
  </si>
  <si>
    <t>1902190000</t>
  </si>
  <si>
    <t>1902200000</t>
  </si>
  <si>
    <t>1902300000</t>
  </si>
  <si>
    <t>1902400000</t>
  </si>
  <si>
    <t>1903000000</t>
  </si>
  <si>
    <t>Tapioca y sus sucedáneos preparados con fécula,
en copos, grumos, granos perlados, cerniduras o
formas similares.</t>
  </si>
  <si>
    <t>1904100000</t>
  </si>
  <si>
    <t>1904200000</t>
  </si>
  <si>
    <t>1904300000</t>
  </si>
  <si>
    <t>1904900000</t>
  </si>
  <si>
    <t>1905100000</t>
  </si>
  <si>
    <t>1905200000</t>
  </si>
  <si>
    <t>1905310000</t>
  </si>
  <si>
    <t>1905320000</t>
  </si>
  <si>
    <t>1905400000</t>
  </si>
  <si>
    <t>1905901000</t>
  </si>
  <si>
    <t>1905909000</t>
  </si>
  <si>
    <t>2001100000</t>
  </si>
  <si>
    <t>2001901000</t>
  </si>
  <si>
    <t>2001909000</t>
  </si>
  <si>
    <t>Conservas de hortalizas</t>
  </si>
  <si>
    <t>2002100000</t>
  </si>
  <si>
    <t>2002900000</t>
  </si>
  <si>
    <t>2003100000</t>
  </si>
  <si>
    <t>2003900000</t>
  </si>
  <si>
    <t>2004100000</t>
  </si>
  <si>
    <t>2004900000</t>
  </si>
  <si>
    <t>2005100000</t>
  </si>
  <si>
    <t>2005200000</t>
  </si>
  <si>
    <t>2005400000</t>
  </si>
  <si>
    <t>2005510000</t>
  </si>
  <si>
    <t>2005590000</t>
  </si>
  <si>
    <t>2005600000</t>
  </si>
  <si>
    <t>Espárragos</t>
  </si>
  <si>
    <t>2005700000</t>
  </si>
  <si>
    <t>2005800000</t>
  </si>
  <si>
    <t>2005910000</t>
  </si>
  <si>
    <t>2005991000</t>
  </si>
  <si>
    <t>Alcachofas</t>
  </si>
  <si>
    <t>2005992000</t>
  </si>
  <si>
    <t>Pimiento piquillo</t>
  </si>
  <si>
    <t>2005993190</t>
  </si>
  <si>
    <t>2005999000</t>
  </si>
  <si>
    <t>2006000000</t>
  </si>
  <si>
    <t>Hortalizas, frutas u otros frutos o sus cortezas y
demás partes de plantas, confitados con azúcar
(almibarados, glaseados o escarchados).</t>
  </si>
  <si>
    <t>2007100000</t>
  </si>
  <si>
    <t>2007911000</t>
  </si>
  <si>
    <t>Confituras, jaleas y mermeladas</t>
  </si>
  <si>
    <t>2007912000</t>
  </si>
  <si>
    <t>2007991100</t>
  </si>
  <si>
    <t>2007991200</t>
  </si>
  <si>
    <t>2007999100</t>
  </si>
  <si>
    <t>2007999200</t>
  </si>
  <si>
    <t>Purés y pastas</t>
  </si>
  <si>
    <t>2008111000</t>
  </si>
  <si>
    <t>2008119000</t>
  </si>
  <si>
    <t>2008191000</t>
  </si>
  <si>
    <t>2008192000</t>
  </si>
  <si>
    <t>2008199000</t>
  </si>
  <si>
    <t>Sacha inchi en snack</t>
  </si>
  <si>
    <t>2008201000</t>
  </si>
  <si>
    <t>Piñas conservadas</t>
  </si>
  <si>
    <t>2008209000</t>
  </si>
  <si>
    <t>2008300000</t>
  </si>
  <si>
    <t>2008400000</t>
  </si>
  <si>
    <t>2008500000</t>
  </si>
  <si>
    <t>2008601000</t>
  </si>
  <si>
    <t>2008609000</t>
  </si>
  <si>
    <t>2008702000</t>
  </si>
  <si>
    <t>2008709000</t>
  </si>
  <si>
    <t>2008800000</t>
  </si>
  <si>
    <t>2008910000</t>
  </si>
  <si>
    <t>Conservas de palmito</t>
  </si>
  <si>
    <t>2008930000</t>
  </si>
  <si>
    <t>2008970000</t>
  </si>
  <si>
    <t>2008992000</t>
  </si>
  <si>
    <t>2008993000</t>
  </si>
  <si>
    <t>2008999000</t>
  </si>
  <si>
    <t>2009110000</t>
  </si>
  <si>
    <t>2009120000</t>
  </si>
  <si>
    <t>2009190000</t>
  </si>
  <si>
    <t>2009210000</t>
  </si>
  <si>
    <t>2009290000</t>
  </si>
  <si>
    <t>2009310000</t>
  </si>
  <si>
    <t>2009391000</t>
  </si>
  <si>
    <t>2009399000</t>
  </si>
  <si>
    <t>2009410000</t>
  </si>
  <si>
    <t>2009490000</t>
  </si>
  <si>
    <t>2009500000</t>
  </si>
  <si>
    <t>2009610000</t>
  </si>
  <si>
    <t>2009690000</t>
  </si>
  <si>
    <t>2009710000</t>
  </si>
  <si>
    <t>2009790000</t>
  </si>
  <si>
    <t>2009810000</t>
  </si>
  <si>
    <t>2009891000</t>
  </si>
  <si>
    <t>2009892000</t>
  </si>
  <si>
    <t>2009893000</t>
  </si>
  <si>
    <t>2009894000</t>
  </si>
  <si>
    <t>2009895000</t>
  </si>
  <si>
    <t>Harina de camu camu</t>
  </si>
  <si>
    <t>2009896000</t>
  </si>
  <si>
    <t>2009899000</t>
  </si>
  <si>
    <t>2009900000</t>
  </si>
  <si>
    <t>2101110000</t>
  </si>
  <si>
    <t>2101120000</t>
  </si>
  <si>
    <t>2101200000</t>
  </si>
  <si>
    <t>2101300000</t>
  </si>
  <si>
    <t>2102101000</t>
  </si>
  <si>
    <t>2102109000</t>
  </si>
  <si>
    <t>2102200000</t>
  </si>
  <si>
    <t>2102300000</t>
  </si>
  <si>
    <t>2103100000</t>
  </si>
  <si>
    <t>2103200000</t>
  </si>
  <si>
    <t>2103301000</t>
  </si>
  <si>
    <t>2103302000</t>
  </si>
  <si>
    <t>2103901000</t>
  </si>
  <si>
    <t>Mayonesa</t>
  </si>
  <si>
    <t>2103902000</t>
  </si>
  <si>
    <t>Condimentos y sazonadores</t>
  </si>
  <si>
    <t>2103909000</t>
  </si>
  <si>
    <t>Salsas y condimentos</t>
  </si>
  <si>
    <t>2104101000</t>
  </si>
  <si>
    <t>2104102000</t>
  </si>
  <si>
    <t>Sopas, potajes o caldos, preparados</t>
  </si>
  <si>
    <t>2104200000</t>
  </si>
  <si>
    <t>2105001000</t>
  </si>
  <si>
    <t>2105009000</t>
  </si>
  <si>
    <t>2106101100</t>
  </si>
  <si>
    <t>2106101900</t>
  </si>
  <si>
    <t>2106102000</t>
  </si>
  <si>
    <t>2106901000</t>
  </si>
  <si>
    <t>Postres</t>
  </si>
  <si>
    <t>2106902100</t>
  </si>
  <si>
    <t>2106902900</t>
  </si>
  <si>
    <t>2106903000</t>
  </si>
  <si>
    <t>2106904000</t>
  </si>
  <si>
    <t>2106905000</t>
  </si>
  <si>
    <t>2106906100</t>
  </si>
  <si>
    <t>2106906900</t>
  </si>
  <si>
    <t>2106907100</t>
  </si>
  <si>
    <t>2106907200</t>
  </si>
  <si>
    <t>Extracto de vegetales</t>
  </si>
  <si>
    <t>2106907300</t>
  </si>
  <si>
    <t>2106907400</t>
  </si>
  <si>
    <t>2106907900</t>
  </si>
  <si>
    <t>2106908000</t>
  </si>
  <si>
    <t>2106909000</t>
  </si>
  <si>
    <t>2201100011</t>
  </si>
  <si>
    <t>2201100012</t>
  </si>
  <si>
    <t>2201100030</t>
  </si>
  <si>
    <t>2201900010</t>
  </si>
  <si>
    <t>2201900020</t>
  </si>
  <si>
    <t>2201900090</t>
  </si>
  <si>
    <t>2202100000</t>
  </si>
  <si>
    <t>2202910000</t>
  </si>
  <si>
    <t>2202990000</t>
  </si>
  <si>
    <t>Chicha morada</t>
  </si>
  <si>
    <t>2203000000</t>
  </si>
  <si>
    <t>Cerveza de malta.</t>
  </si>
  <si>
    <t>2204100000</t>
  </si>
  <si>
    <t>2204210000</t>
  </si>
  <si>
    <t>2204221000</t>
  </si>
  <si>
    <t>2204229000</t>
  </si>
  <si>
    <t>2204291000</t>
  </si>
  <si>
    <t>2204299000</t>
  </si>
  <si>
    <t>2204300000</t>
  </si>
  <si>
    <t>2205100000</t>
  </si>
  <si>
    <t>2205900000</t>
  </si>
  <si>
    <t>2206000000</t>
  </si>
  <si>
    <t>Bebidas fermentadas: sidra, perada, aguamiel, sake</t>
  </si>
  <si>
    <t>2207100000</t>
  </si>
  <si>
    <t>2207200010</t>
  </si>
  <si>
    <t>2207200090</t>
  </si>
  <si>
    <t>2208202100</t>
  </si>
  <si>
    <t>2208202200</t>
  </si>
  <si>
    <t>2208202900</t>
  </si>
  <si>
    <t>2208203000</t>
  </si>
  <si>
    <t>2208300000</t>
  </si>
  <si>
    <t>2208400000</t>
  </si>
  <si>
    <t>2208500000</t>
  </si>
  <si>
    <t>2208600000</t>
  </si>
  <si>
    <t>2208701000</t>
  </si>
  <si>
    <t>2208702000</t>
  </si>
  <si>
    <t>Bebidas en crema (cocteles)</t>
  </si>
  <si>
    <t>2208709000</t>
  </si>
  <si>
    <t>Bebidas alcohólicas</t>
  </si>
  <si>
    <t>2208901000</t>
  </si>
  <si>
    <t>2208902000</t>
  </si>
  <si>
    <t>2208904200</t>
  </si>
  <si>
    <t>2208904900</t>
  </si>
  <si>
    <t>2208909000</t>
  </si>
  <si>
    <t>2209000000</t>
  </si>
  <si>
    <t>Vinagre y sucedáneos del vinagre obtenidos a
partir del ácido acético.</t>
  </si>
  <si>
    <t>2301101000</t>
  </si>
  <si>
    <t>2301109000</t>
  </si>
  <si>
    <t>2301201100</t>
  </si>
  <si>
    <t>2301201900</t>
  </si>
  <si>
    <t>2301209000</t>
  </si>
  <si>
    <t>2302100000</t>
  </si>
  <si>
    <t>2302300000</t>
  </si>
  <si>
    <t>2302400010</t>
  </si>
  <si>
    <t>2302400090</t>
  </si>
  <si>
    <t>2302500000</t>
  </si>
  <si>
    <t>2303100000</t>
  </si>
  <si>
    <t>2303200000</t>
  </si>
  <si>
    <t>Pulpa de remolacha, bagazo de caña de azúcar y demás desperdicios de industria azucarera</t>
  </si>
  <si>
    <t>2303300000</t>
  </si>
  <si>
    <t>Tortas y  residuos de soja (alimento para animales)</t>
  </si>
  <si>
    <t>2305000000</t>
  </si>
  <si>
    <t>Tortas y  residuos de maní (alimento para animales)</t>
  </si>
  <si>
    <t>2306100000</t>
  </si>
  <si>
    <t>2306200000</t>
  </si>
  <si>
    <t>2306300000</t>
  </si>
  <si>
    <t>2306410000</t>
  </si>
  <si>
    <t>2306490000</t>
  </si>
  <si>
    <t>2306500000</t>
  </si>
  <si>
    <t>2306600000</t>
  </si>
  <si>
    <t>2306900000</t>
  </si>
  <si>
    <t>2307000000</t>
  </si>
  <si>
    <t>Lías o heces de vino; tártaro bruto.</t>
  </si>
  <si>
    <t>2308001000</t>
  </si>
  <si>
    <t>2308009000</t>
  </si>
  <si>
    <t>2309101000</t>
  </si>
  <si>
    <t>2309109000</t>
  </si>
  <si>
    <t>2309901000</t>
  </si>
  <si>
    <t>2309902000</t>
  </si>
  <si>
    <t>2309903000</t>
  </si>
  <si>
    <t>2309909000</t>
  </si>
  <si>
    <t>2401101000</t>
  </si>
  <si>
    <t>Tabaco</t>
  </si>
  <si>
    <t>2401102000</t>
  </si>
  <si>
    <t>2401201000</t>
  </si>
  <si>
    <t>2401202000</t>
  </si>
  <si>
    <t>2401300000</t>
  </si>
  <si>
    <t>Desperdicios de tabaco</t>
  </si>
  <si>
    <t>2402100000</t>
  </si>
  <si>
    <t>Puros</t>
  </si>
  <si>
    <t>2402201000</t>
  </si>
  <si>
    <t>2402202000</t>
  </si>
  <si>
    <t>2402900000</t>
  </si>
  <si>
    <t>2403110000</t>
  </si>
  <si>
    <t>2403190000</t>
  </si>
  <si>
    <t>2403910000</t>
  </si>
  <si>
    <t>2403990000</t>
  </si>
  <si>
    <t>2501001000</t>
  </si>
  <si>
    <t>Sal de mesa</t>
  </si>
  <si>
    <t>2501002000</t>
  </si>
  <si>
    <t>2501009100</t>
  </si>
  <si>
    <t>2501009200</t>
  </si>
  <si>
    <t>2501009910</t>
  </si>
  <si>
    <t>2501009990</t>
  </si>
  <si>
    <t>Sal, azufre ypolvos</t>
  </si>
  <si>
    <t>2502000000</t>
  </si>
  <si>
    <t>Piritas de hierro sin tostar.</t>
  </si>
  <si>
    <t>2503000000</t>
  </si>
  <si>
    <t>Azufre de cualquier clase, excepto el sublimado,
el precipitado y el coloidal.</t>
  </si>
  <si>
    <t>2504100000</t>
  </si>
  <si>
    <t>2504900000</t>
  </si>
  <si>
    <t>2505100000</t>
  </si>
  <si>
    <t>2505900000</t>
  </si>
  <si>
    <t>2506100000</t>
  </si>
  <si>
    <t>2506200000</t>
  </si>
  <si>
    <t>2507001000</t>
  </si>
  <si>
    <t>2507009000</t>
  </si>
  <si>
    <t>2508100000</t>
  </si>
  <si>
    <t>2508300000</t>
  </si>
  <si>
    <t>2508400000</t>
  </si>
  <si>
    <t>2508500000</t>
  </si>
  <si>
    <t>2508600000</t>
  </si>
  <si>
    <t>2508700000</t>
  </si>
  <si>
    <t>2509000000</t>
  </si>
  <si>
    <t>Creta.</t>
  </si>
  <si>
    <t>2510100000</t>
  </si>
  <si>
    <t>2510200000</t>
  </si>
  <si>
    <t>2511100000</t>
  </si>
  <si>
    <t>2511200000</t>
  </si>
  <si>
    <t>2512000000</t>
  </si>
  <si>
    <t>Harinas silíceas fósiles (por ejemplo:
«Kieselguhr», tripolita, diatomita) y demás tierras
silíceas análogas, de densidad aparente inferior o
igual a 1, incluso calcinadas.</t>
  </si>
  <si>
    <t>2513100010</t>
  </si>
  <si>
    <t>2513100090</t>
  </si>
  <si>
    <t>Piedra pómez</t>
  </si>
  <si>
    <t>2513200000</t>
  </si>
  <si>
    <t>2514000000</t>
  </si>
  <si>
    <t>Pizarra, incluso desbastada o simplemente
troceada, por aserrado o de otro modo, en
bloques o en placas cuadradas o rectangulares.</t>
  </si>
  <si>
    <t>2515110000</t>
  </si>
  <si>
    <t>2515120000</t>
  </si>
  <si>
    <t>2515200000</t>
  </si>
  <si>
    <t>2516110000</t>
  </si>
  <si>
    <t>2516120000</t>
  </si>
  <si>
    <t>2516200000</t>
  </si>
  <si>
    <t>2516900000</t>
  </si>
  <si>
    <t>2517100000</t>
  </si>
  <si>
    <t>2517200000</t>
  </si>
  <si>
    <t>2517300000</t>
  </si>
  <si>
    <t>2517410000</t>
  </si>
  <si>
    <t>2517490000</t>
  </si>
  <si>
    <t>2518100000</t>
  </si>
  <si>
    <t>2518200000</t>
  </si>
  <si>
    <t>2518300000</t>
  </si>
  <si>
    <t>2519100000</t>
  </si>
  <si>
    <t>2519901000</t>
  </si>
  <si>
    <t>2519902000</t>
  </si>
  <si>
    <t>2519903000</t>
  </si>
  <si>
    <t>2520100000</t>
  </si>
  <si>
    <t>Yeso natural</t>
  </si>
  <si>
    <t>2520200000</t>
  </si>
  <si>
    <t>2521000000</t>
  </si>
  <si>
    <t>Castinas; piedras para la fabricación de cal o de
cemento.</t>
  </si>
  <si>
    <t>2522100000</t>
  </si>
  <si>
    <t>2522200000</t>
  </si>
  <si>
    <t>2522300000</t>
  </si>
  <si>
    <t>2523100000</t>
  </si>
  <si>
    <t>2523210000</t>
  </si>
  <si>
    <t>2523290000</t>
  </si>
  <si>
    <t>Cemento Portland</t>
  </si>
  <si>
    <t>2523300000</t>
  </si>
  <si>
    <t>2523900000</t>
  </si>
  <si>
    <t>2524101000</t>
  </si>
  <si>
    <t>2524109000</t>
  </si>
  <si>
    <t>2524900000</t>
  </si>
  <si>
    <t>2525100000</t>
  </si>
  <si>
    <t>2525200000</t>
  </si>
  <si>
    <t>2525300000</t>
  </si>
  <si>
    <t>2526100000</t>
  </si>
  <si>
    <t>2526200000</t>
  </si>
  <si>
    <t>2528001000</t>
  </si>
  <si>
    <t>2528009000</t>
  </si>
  <si>
    <t>2529100000</t>
  </si>
  <si>
    <t>2529210000</t>
  </si>
  <si>
    <t>2529220000</t>
  </si>
  <si>
    <t>2529300000</t>
  </si>
  <si>
    <t>2530100000</t>
  </si>
  <si>
    <t>2530200000</t>
  </si>
  <si>
    <t>2530900010</t>
  </si>
  <si>
    <t>2530900020</t>
  </si>
  <si>
    <t>2530900090</t>
  </si>
  <si>
    <t>2601110000</t>
  </si>
  <si>
    <t>2601120000</t>
  </si>
  <si>
    <t>2601200000</t>
  </si>
  <si>
    <t>2602000000</t>
  </si>
  <si>
    <t>Minerales de manganeso y sus concentrados,
incluidos los minerales de manganeso
ferruginosos y sus concentrados con un contenido
de manganeso superior o igual al 20 % en peso,
sobre producto seco.</t>
  </si>
  <si>
    <t>2603000000</t>
  </si>
  <si>
    <t>Minerales de cobre y sus concentrados</t>
  </si>
  <si>
    <t>2604000000</t>
  </si>
  <si>
    <t>Minerales de níquel y sus concentrados.</t>
  </si>
  <si>
    <t>2605000000</t>
  </si>
  <si>
    <t>Minerales de cobalto y sus concentrados.</t>
  </si>
  <si>
    <t>2606000000</t>
  </si>
  <si>
    <t>Minerales de aluminio y sus concentrados.</t>
  </si>
  <si>
    <t>2607000000</t>
  </si>
  <si>
    <t>Minerales de plomo y sus concentrados.</t>
  </si>
  <si>
    <t>2608000010</t>
  </si>
  <si>
    <t>2608000090</t>
  </si>
  <si>
    <t>2609000000</t>
  </si>
  <si>
    <t>Minerales de estaño y sus concentrados.</t>
  </si>
  <si>
    <t>2610000000</t>
  </si>
  <si>
    <t>Minerales de cromo y sus concentrados.</t>
  </si>
  <si>
    <t>2611000000</t>
  </si>
  <si>
    <t>Minerales de volframio (tungsteno) y sus
concentrados.</t>
  </si>
  <si>
    <t>2612100000</t>
  </si>
  <si>
    <t>2612200000</t>
  </si>
  <si>
    <t>2613100000</t>
  </si>
  <si>
    <t>2613900000</t>
  </si>
  <si>
    <t>2614000000</t>
  </si>
  <si>
    <t>Minerales de titanio y sus concentrados.</t>
  </si>
  <si>
    <t>2615100000</t>
  </si>
  <si>
    <t>2615900000</t>
  </si>
  <si>
    <t>2616100000</t>
  </si>
  <si>
    <t>2616901000</t>
  </si>
  <si>
    <t>Minerales de oro y sus concentrados</t>
  </si>
  <si>
    <t>2616909000</t>
  </si>
  <si>
    <t>2617100000</t>
  </si>
  <si>
    <t>2617900000</t>
  </si>
  <si>
    <t>2618000000</t>
  </si>
  <si>
    <t>Escorias granuladas (arena de escorias) de la
siderurgia.</t>
  </si>
  <si>
    <t>2619000000</t>
  </si>
  <si>
    <t>Escorias (excepto las granuladas), batiduras y
demás desperdicios de la siderurgia.</t>
  </si>
  <si>
    <t>2620110000</t>
  </si>
  <si>
    <t>2620190000</t>
  </si>
  <si>
    <t>2620210000</t>
  </si>
  <si>
    <t>2620290000</t>
  </si>
  <si>
    <t>2620300000</t>
  </si>
  <si>
    <t>2620400000</t>
  </si>
  <si>
    <t>2620600000</t>
  </si>
  <si>
    <t>2620910000</t>
  </si>
  <si>
    <t>2620990000</t>
  </si>
  <si>
    <t>2621100000</t>
  </si>
  <si>
    <t>2621900000</t>
  </si>
  <si>
    <t>2701110000</t>
  </si>
  <si>
    <t>Carbón</t>
  </si>
  <si>
    <t>2701120000</t>
  </si>
  <si>
    <t>2701190000</t>
  </si>
  <si>
    <t>2701200000</t>
  </si>
  <si>
    <t>2702100000</t>
  </si>
  <si>
    <t>2702200000</t>
  </si>
  <si>
    <t>2703000000</t>
  </si>
  <si>
    <t>Turba</t>
  </si>
  <si>
    <t>2704001000</t>
  </si>
  <si>
    <t>2704002000</t>
  </si>
  <si>
    <t>2704003000</t>
  </si>
  <si>
    <t>2705000000</t>
  </si>
  <si>
    <t>Gas de hulla, gas de agua, gas pobre y gases
similares, excepto el gas de petróleo y demás
hidrocarburos gaseosos</t>
  </si>
  <si>
    <t>2706000000</t>
  </si>
  <si>
    <t>Alquitranes de hulla, lignito o turba y demás
alquitranes minerales, aunque estén
deshidratados o descabezados, incluidos los
alquitranes reconstituidos.</t>
  </si>
  <si>
    <t>2707100000</t>
  </si>
  <si>
    <t>2707200000</t>
  </si>
  <si>
    <t>2707300000</t>
  </si>
  <si>
    <t>2707400000</t>
  </si>
  <si>
    <t>2707501000</t>
  </si>
  <si>
    <t>2707509000</t>
  </si>
  <si>
    <t>2707910000</t>
  </si>
  <si>
    <t>2707991000</t>
  </si>
  <si>
    <t>2707999000</t>
  </si>
  <si>
    <t>2708100000</t>
  </si>
  <si>
    <t>2708200000</t>
  </si>
  <si>
    <t>2709000000</t>
  </si>
  <si>
    <t>Barriles de petróleo crudo</t>
  </si>
  <si>
    <t>2710121100</t>
  </si>
  <si>
    <t>2710121310</t>
  </si>
  <si>
    <t>2710121321</t>
  </si>
  <si>
    <t>2710121329</t>
  </si>
  <si>
    <t>2710121331</t>
  </si>
  <si>
    <t>2710121339</t>
  </si>
  <si>
    <t>2710121341</t>
  </si>
  <si>
    <t>2710121349</t>
  </si>
  <si>
    <t>2710121351</t>
  </si>
  <si>
    <t>2710121359</t>
  </si>
  <si>
    <t>Barriles de combustible</t>
  </si>
  <si>
    <t>2710121900</t>
  </si>
  <si>
    <t>Muestra para análisis de combustible</t>
  </si>
  <si>
    <t>2710122000</t>
  </si>
  <si>
    <t>2710129100</t>
  </si>
  <si>
    <t>2710129200</t>
  </si>
  <si>
    <t>2710129300</t>
  </si>
  <si>
    <t>2710129400</t>
  </si>
  <si>
    <t>2710129500</t>
  </si>
  <si>
    <t>2710129900</t>
  </si>
  <si>
    <t>2710191200</t>
  </si>
  <si>
    <t>2710191300</t>
  </si>
  <si>
    <t>2710191400</t>
  </si>
  <si>
    <t>2710191510</t>
  </si>
  <si>
    <t>2710191590</t>
  </si>
  <si>
    <t>2710191900</t>
  </si>
  <si>
    <t>2710192111</t>
  </si>
  <si>
    <t>2710192119</t>
  </si>
  <si>
    <t>2710192191</t>
  </si>
  <si>
    <t>2710192199</t>
  </si>
  <si>
    <t>2710192210</t>
  </si>
  <si>
    <t>2710192290</t>
  </si>
  <si>
    <t>2710192900</t>
  </si>
  <si>
    <t>2710193100</t>
  </si>
  <si>
    <t>2710193200</t>
  </si>
  <si>
    <t>2710193300</t>
  </si>
  <si>
    <t>2710193400</t>
  </si>
  <si>
    <t>Grasas lubricantes</t>
  </si>
  <si>
    <t>2710193500</t>
  </si>
  <si>
    <t>Aceites base para lubricantes</t>
  </si>
  <si>
    <t>2710193600</t>
  </si>
  <si>
    <t>2710193700</t>
  </si>
  <si>
    <t>2710193800</t>
  </si>
  <si>
    <t>Aceite para motor</t>
  </si>
  <si>
    <t>2710193900</t>
  </si>
  <si>
    <t>2710200011</t>
  </si>
  <si>
    <t>2710200012</t>
  </si>
  <si>
    <t>2710200013</t>
  </si>
  <si>
    <t>2710200019</t>
  </si>
  <si>
    <t>2710200090</t>
  </si>
  <si>
    <t>2710910000</t>
  </si>
  <si>
    <t>2710990000</t>
  </si>
  <si>
    <t>2711110000</t>
  </si>
  <si>
    <t>2711120000</t>
  </si>
  <si>
    <t>2711130000</t>
  </si>
  <si>
    <t>2711140000</t>
  </si>
  <si>
    <t>2711190000</t>
  </si>
  <si>
    <t>2711210000</t>
  </si>
  <si>
    <t>2711290000</t>
  </si>
  <si>
    <t>2712101000</t>
  </si>
  <si>
    <t>2712109000</t>
  </si>
  <si>
    <t>2712200000</t>
  </si>
  <si>
    <t>2712901000</t>
  </si>
  <si>
    <t>2712902000</t>
  </si>
  <si>
    <t>2712903000</t>
  </si>
  <si>
    <t>2712909000</t>
  </si>
  <si>
    <t>2713110000</t>
  </si>
  <si>
    <t>2713120000</t>
  </si>
  <si>
    <t>2713200000</t>
  </si>
  <si>
    <t>2713900000</t>
  </si>
  <si>
    <t>2714100000</t>
  </si>
  <si>
    <t>2714900000</t>
  </si>
  <si>
    <t>2715001000</t>
  </si>
  <si>
    <t>2715009000</t>
  </si>
  <si>
    <t>2716000000</t>
  </si>
  <si>
    <t>Energía eléctrica</t>
  </si>
  <si>
    <t>2801100000</t>
  </si>
  <si>
    <t>2801200000</t>
  </si>
  <si>
    <t>2801300000</t>
  </si>
  <si>
    <t>2802000000</t>
  </si>
  <si>
    <t>Azufre sublimado o precipitado; azufre coloidal.</t>
  </si>
  <si>
    <t>2803001000</t>
  </si>
  <si>
    <t>2803009000</t>
  </si>
  <si>
    <t>2804100000</t>
  </si>
  <si>
    <t>2804210000</t>
  </si>
  <si>
    <t>2804290000</t>
  </si>
  <si>
    <t>2804300000</t>
  </si>
  <si>
    <t>Nitrógeno</t>
  </si>
  <si>
    <t>2804400000</t>
  </si>
  <si>
    <t>2804501000</t>
  </si>
  <si>
    <t>2804502000</t>
  </si>
  <si>
    <t>2804610000</t>
  </si>
  <si>
    <t>2804690000</t>
  </si>
  <si>
    <t>2804701000</t>
  </si>
  <si>
    <t>2804709000</t>
  </si>
  <si>
    <t>2804800000</t>
  </si>
  <si>
    <t>2804901000</t>
  </si>
  <si>
    <t>2804909000</t>
  </si>
  <si>
    <t>2805110000</t>
  </si>
  <si>
    <t>2805120000</t>
  </si>
  <si>
    <t>2805190000</t>
  </si>
  <si>
    <t>2805300000</t>
  </si>
  <si>
    <t>2805400000</t>
  </si>
  <si>
    <t>2806100000</t>
  </si>
  <si>
    <t>2806200000</t>
  </si>
  <si>
    <t>2807001000</t>
  </si>
  <si>
    <t>2807002000</t>
  </si>
  <si>
    <t>2808001000</t>
  </si>
  <si>
    <t>2808002000</t>
  </si>
  <si>
    <t>2809100000</t>
  </si>
  <si>
    <t>2809201000</t>
  </si>
  <si>
    <t>2809202000</t>
  </si>
  <si>
    <t>2810001000</t>
  </si>
  <si>
    <t>2810009000</t>
  </si>
  <si>
    <t>2811110000</t>
  </si>
  <si>
    <t>2811120000</t>
  </si>
  <si>
    <t>2811191000</t>
  </si>
  <si>
    <t>2811193000</t>
  </si>
  <si>
    <t>2811199020</t>
  </si>
  <si>
    <t>2811199090</t>
  </si>
  <si>
    <t>2811210000</t>
  </si>
  <si>
    <t>2811221000</t>
  </si>
  <si>
    <t>2811229000</t>
  </si>
  <si>
    <t>2811292000</t>
  </si>
  <si>
    <t>2811294000</t>
  </si>
  <si>
    <t>2811299000</t>
  </si>
  <si>
    <t>2812110000</t>
  </si>
  <si>
    <t>2812120000</t>
  </si>
  <si>
    <t>2812130000</t>
  </si>
  <si>
    <t>2812140000</t>
  </si>
  <si>
    <t>2812150000</t>
  </si>
  <si>
    <t>2812160000</t>
  </si>
  <si>
    <t>2812170000</t>
  </si>
  <si>
    <t>2812191000</t>
  </si>
  <si>
    <t>2812199000</t>
  </si>
  <si>
    <t>2812900000</t>
  </si>
  <si>
    <t>2813100000</t>
  </si>
  <si>
    <t>2813902000</t>
  </si>
  <si>
    <t>2813909000</t>
  </si>
  <si>
    <t>2814100000</t>
  </si>
  <si>
    <t>2814200000</t>
  </si>
  <si>
    <t>2815110000</t>
  </si>
  <si>
    <t>2815120000</t>
  </si>
  <si>
    <t>2815200000</t>
  </si>
  <si>
    <t>2815300000</t>
  </si>
  <si>
    <t>2816100000</t>
  </si>
  <si>
    <t>2816400000</t>
  </si>
  <si>
    <t>2817001000</t>
  </si>
  <si>
    <t>2817002000</t>
  </si>
  <si>
    <t>2818100000</t>
  </si>
  <si>
    <t>2818200000</t>
  </si>
  <si>
    <t>2818300000</t>
  </si>
  <si>
    <t>2819100000</t>
  </si>
  <si>
    <t>2819901000</t>
  </si>
  <si>
    <t>2819909000</t>
  </si>
  <si>
    <t>2820100000</t>
  </si>
  <si>
    <t>2820900000</t>
  </si>
  <si>
    <t>2821101000</t>
  </si>
  <si>
    <t>2821102000</t>
  </si>
  <si>
    <t>2821200000</t>
  </si>
  <si>
    <t>2822000000</t>
  </si>
  <si>
    <t>Óxidos e hidróxidos de cobalto; óxidos de cobalto
comerciales.</t>
  </si>
  <si>
    <t>2823001000</t>
  </si>
  <si>
    <t>2823009000</t>
  </si>
  <si>
    <t>2824100000</t>
  </si>
  <si>
    <t>2824900000</t>
  </si>
  <si>
    <t>2825100000</t>
  </si>
  <si>
    <t>2825200000</t>
  </si>
  <si>
    <t>2825300000</t>
  </si>
  <si>
    <t>2825400000</t>
  </si>
  <si>
    <t>2825500000</t>
  </si>
  <si>
    <t>2825600000</t>
  </si>
  <si>
    <t>2825700000</t>
  </si>
  <si>
    <t>2825800000</t>
  </si>
  <si>
    <t>2825901000</t>
  </si>
  <si>
    <t>2825904000</t>
  </si>
  <si>
    <t>2825909010</t>
  </si>
  <si>
    <t>2825909090</t>
  </si>
  <si>
    <t>2826120000</t>
  </si>
  <si>
    <t>2826191000</t>
  </si>
  <si>
    <t>2826199000</t>
  </si>
  <si>
    <t>2826300000</t>
  </si>
  <si>
    <t>2826900000</t>
  </si>
  <si>
    <t>2827100000</t>
  </si>
  <si>
    <t>2827200000</t>
  </si>
  <si>
    <t>2827310000</t>
  </si>
  <si>
    <t>2827320000</t>
  </si>
  <si>
    <t>2827350000</t>
  </si>
  <si>
    <t>2827391000</t>
  </si>
  <si>
    <t>2827393000</t>
  </si>
  <si>
    <t>2827394000</t>
  </si>
  <si>
    <t>2827395000</t>
  </si>
  <si>
    <t>2827399010</t>
  </si>
  <si>
    <t>2827399090</t>
  </si>
  <si>
    <t>2827410000</t>
  </si>
  <si>
    <t>2827491000</t>
  </si>
  <si>
    <t>2827499000</t>
  </si>
  <si>
    <t>2827510000</t>
  </si>
  <si>
    <t>2827590000</t>
  </si>
  <si>
    <t>2827601000</t>
  </si>
  <si>
    <t>2827609000</t>
  </si>
  <si>
    <t>2828100000</t>
  </si>
  <si>
    <t>2828901100</t>
  </si>
  <si>
    <t>2828901900</t>
  </si>
  <si>
    <t>2828902000</t>
  </si>
  <si>
    <t>2828903000</t>
  </si>
  <si>
    <t>2829110000</t>
  </si>
  <si>
    <t>2829191000</t>
  </si>
  <si>
    <t>2829199000</t>
  </si>
  <si>
    <t>2829901000</t>
  </si>
  <si>
    <t>2829902000</t>
  </si>
  <si>
    <t>2829909000</t>
  </si>
  <si>
    <t>2830101000</t>
  </si>
  <si>
    <t>2830102000</t>
  </si>
  <si>
    <t>2830901000</t>
  </si>
  <si>
    <t>2830909000</t>
  </si>
  <si>
    <t>2831100000</t>
  </si>
  <si>
    <t>2831900000</t>
  </si>
  <si>
    <t>2832100000</t>
  </si>
  <si>
    <t>2832201000</t>
  </si>
  <si>
    <t>2832209000</t>
  </si>
  <si>
    <t>2832301000</t>
  </si>
  <si>
    <t>2832309000</t>
  </si>
  <si>
    <t>2833110000</t>
  </si>
  <si>
    <t>2833190000</t>
  </si>
  <si>
    <t>2833210000</t>
  </si>
  <si>
    <t>2833220000</t>
  </si>
  <si>
    <t>2833240000</t>
  </si>
  <si>
    <t>2833250000</t>
  </si>
  <si>
    <t>2833270000</t>
  </si>
  <si>
    <t>2833291000</t>
  </si>
  <si>
    <t>2833293000</t>
  </si>
  <si>
    <t>2833295000</t>
  </si>
  <si>
    <t>2833296000</t>
  </si>
  <si>
    <t>2833299000</t>
  </si>
  <si>
    <t>2833301000</t>
  </si>
  <si>
    <t>2833309000</t>
  </si>
  <si>
    <t>2833401000</t>
  </si>
  <si>
    <t>2833409000</t>
  </si>
  <si>
    <t>2834100000</t>
  </si>
  <si>
    <t>2834210000</t>
  </si>
  <si>
    <t>2834291000</t>
  </si>
  <si>
    <t>2834299000</t>
  </si>
  <si>
    <t>2835100000</t>
  </si>
  <si>
    <t>2835220000</t>
  </si>
  <si>
    <t>2835240000</t>
  </si>
  <si>
    <t>2835250000</t>
  </si>
  <si>
    <t>2835260000</t>
  </si>
  <si>
    <t>2835291000</t>
  </si>
  <si>
    <t>2835292000</t>
  </si>
  <si>
    <t>2835299010</t>
  </si>
  <si>
    <t>2835299090</t>
  </si>
  <si>
    <t>2835310000</t>
  </si>
  <si>
    <t>2835391000</t>
  </si>
  <si>
    <t>2835399000</t>
  </si>
  <si>
    <t>2836200000</t>
  </si>
  <si>
    <t>2836300000</t>
  </si>
  <si>
    <t>2836400000</t>
  </si>
  <si>
    <t>2836500000</t>
  </si>
  <si>
    <t>Carbonato de calcio</t>
  </si>
  <si>
    <t>2836600000</t>
  </si>
  <si>
    <t>2836910000</t>
  </si>
  <si>
    <t>2836920000</t>
  </si>
  <si>
    <t>2836991000</t>
  </si>
  <si>
    <t>2836992000</t>
  </si>
  <si>
    <t>2836993000</t>
  </si>
  <si>
    <t>2836994000</t>
  </si>
  <si>
    <t>2836995000</t>
  </si>
  <si>
    <t>2836999000</t>
  </si>
  <si>
    <t>2837111000</t>
  </si>
  <si>
    <t>2837112000</t>
  </si>
  <si>
    <t>2837190000</t>
  </si>
  <si>
    <t>2837200000</t>
  </si>
  <si>
    <t>2839110000</t>
  </si>
  <si>
    <t>2839190000</t>
  </si>
  <si>
    <t>2839901000</t>
  </si>
  <si>
    <t>2839902000</t>
  </si>
  <si>
    <t>2839903000</t>
  </si>
  <si>
    <t>2839904000</t>
  </si>
  <si>
    <t>2839909000</t>
  </si>
  <si>
    <t>2840110000</t>
  </si>
  <si>
    <t>2840190000</t>
  </si>
  <si>
    <t>2840200000</t>
  </si>
  <si>
    <t>2840300000</t>
  </si>
  <si>
    <t>2841300000</t>
  </si>
  <si>
    <t>2841501000</t>
  </si>
  <si>
    <t>2841502000</t>
  </si>
  <si>
    <t>2841503000</t>
  </si>
  <si>
    <t>2841504000</t>
  </si>
  <si>
    <t>2841505000</t>
  </si>
  <si>
    <t>2841509000</t>
  </si>
  <si>
    <t>2841610000</t>
  </si>
  <si>
    <t>2841690000</t>
  </si>
  <si>
    <t>2841700000</t>
  </si>
  <si>
    <t>2841800000</t>
  </si>
  <si>
    <t>2841901000</t>
  </si>
  <si>
    <t>2841909000</t>
  </si>
  <si>
    <t>2842100000</t>
  </si>
  <si>
    <t>2842901000</t>
  </si>
  <si>
    <t>2842902100</t>
  </si>
  <si>
    <t>2842902900</t>
  </si>
  <si>
    <t>2842903000</t>
  </si>
  <si>
    <t>2842909000</t>
  </si>
  <si>
    <t>2843100000</t>
  </si>
  <si>
    <t>2843210000</t>
  </si>
  <si>
    <t>2843290000</t>
  </si>
  <si>
    <t>2843300000</t>
  </si>
  <si>
    <t>2843900000</t>
  </si>
  <si>
    <t>2844100000</t>
  </si>
  <si>
    <t>2844200000</t>
  </si>
  <si>
    <t>2844300000</t>
  </si>
  <si>
    <t>2844401000</t>
  </si>
  <si>
    <t>2844409000</t>
  </si>
  <si>
    <t>2844500000</t>
  </si>
  <si>
    <t>2845100000</t>
  </si>
  <si>
    <t>2845900000</t>
  </si>
  <si>
    <t>2846100000</t>
  </si>
  <si>
    <t>2846900000</t>
  </si>
  <si>
    <t>2847000000</t>
  </si>
  <si>
    <t>Peróxido de hidrógeno (agua oxigenada), incluso
solidificado con urea.</t>
  </si>
  <si>
    <t>2849100000</t>
  </si>
  <si>
    <t>2849200000</t>
  </si>
  <si>
    <t>2849901000</t>
  </si>
  <si>
    <t>2849909000</t>
  </si>
  <si>
    <t>2850001000</t>
  </si>
  <si>
    <t>2850002000</t>
  </si>
  <si>
    <t>2850009000</t>
  </si>
  <si>
    <t>2852101000</t>
  </si>
  <si>
    <t>2852102100</t>
  </si>
  <si>
    <t>2852102910</t>
  </si>
  <si>
    <t>2852102990</t>
  </si>
  <si>
    <t>2852109010</t>
  </si>
  <si>
    <t>2852109021</t>
  </si>
  <si>
    <t>2852109022</t>
  </si>
  <si>
    <t>2852109023</t>
  </si>
  <si>
    <t>2852109029</t>
  </si>
  <si>
    <t>2852109031</t>
  </si>
  <si>
    <t>2852109032</t>
  </si>
  <si>
    <t>2852109033</t>
  </si>
  <si>
    <t>2852109034</t>
  </si>
  <si>
    <t>2852109041</t>
  </si>
  <si>
    <t>2852109042</t>
  </si>
  <si>
    <t>2852109043</t>
  </si>
  <si>
    <t>2852109051</t>
  </si>
  <si>
    <t>2852109052</t>
  </si>
  <si>
    <t>2852109053</t>
  </si>
  <si>
    <t>2852109054</t>
  </si>
  <si>
    <t>2852109059</t>
  </si>
  <si>
    <t>2852109060</t>
  </si>
  <si>
    <t>2852109071</t>
  </si>
  <si>
    <t>2852109072</t>
  </si>
  <si>
    <t>2852109073</t>
  </si>
  <si>
    <t>2852109090</t>
  </si>
  <si>
    <t>2852901000</t>
  </si>
  <si>
    <t>2852909010</t>
  </si>
  <si>
    <t>2852909020</t>
  </si>
  <si>
    <t>2852909030</t>
  </si>
  <si>
    <t>2852909040</t>
  </si>
  <si>
    <t>2852909050</t>
  </si>
  <si>
    <t>2852909060</t>
  </si>
  <si>
    <t>2852909070</t>
  </si>
  <si>
    <t>2852909090</t>
  </si>
  <si>
    <t>2853100000</t>
  </si>
  <si>
    <t>2853901000</t>
  </si>
  <si>
    <t>2853909000</t>
  </si>
  <si>
    <t>2901100000</t>
  </si>
  <si>
    <t>2901210000</t>
  </si>
  <si>
    <t>2901220000</t>
  </si>
  <si>
    <t>2901230000</t>
  </si>
  <si>
    <t>2901240000</t>
  </si>
  <si>
    <t>2901290000</t>
  </si>
  <si>
    <t>2902110000</t>
  </si>
  <si>
    <t>2902190000</t>
  </si>
  <si>
    <t>2902200000</t>
  </si>
  <si>
    <t>2902300000</t>
  </si>
  <si>
    <t>2902410000</t>
  </si>
  <si>
    <t>2902420000</t>
  </si>
  <si>
    <t>2902430000</t>
  </si>
  <si>
    <t>2902440000</t>
  </si>
  <si>
    <t>2902500000</t>
  </si>
  <si>
    <t>2902600000</t>
  </si>
  <si>
    <t>2902700000</t>
  </si>
  <si>
    <t>2902901000</t>
  </si>
  <si>
    <t>2902909000</t>
  </si>
  <si>
    <t>2903111000</t>
  </si>
  <si>
    <t>2903112000</t>
  </si>
  <si>
    <t>2903120000</t>
  </si>
  <si>
    <t>2903130000</t>
  </si>
  <si>
    <t>2903140000</t>
  </si>
  <si>
    <t>2903150000</t>
  </si>
  <si>
    <t>2903191000</t>
  </si>
  <si>
    <t>2903199000</t>
  </si>
  <si>
    <t>2903210000</t>
  </si>
  <si>
    <t>2903220000</t>
  </si>
  <si>
    <t>2903230000</t>
  </si>
  <si>
    <t>2903291000</t>
  </si>
  <si>
    <t>2903299000</t>
  </si>
  <si>
    <t>2903310000</t>
  </si>
  <si>
    <t>2903391000</t>
  </si>
  <si>
    <t>2903392100</t>
  </si>
  <si>
    <t>2903392200</t>
  </si>
  <si>
    <t>2903392300</t>
  </si>
  <si>
    <t>2903392400</t>
  </si>
  <si>
    <t>2903392500</t>
  </si>
  <si>
    <t>2903392600</t>
  </si>
  <si>
    <t>2903393000</t>
  </si>
  <si>
    <t>2903399000</t>
  </si>
  <si>
    <t>2903710000</t>
  </si>
  <si>
    <t>2903720000</t>
  </si>
  <si>
    <t>2903730000</t>
  </si>
  <si>
    <t>2903740000</t>
  </si>
  <si>
    <t>2903750000</t>
  </si>
  <si>
    <t>2903760000</t>
  </si>
  <si>
    <t>2903771100</t>
  </si>
  <si>
    <t>2903771200</t>
  </si>
  <si>
    <t>2903771300</t>
  </si>
  <si>
    <t>2903772100</t>
  </si>
  <si>
    <t>2903772200</t>
  </si>
  <si>
    <t>2903772300</t>
  </si>
  <si>
    <t>2903772400</t>
  </si>
  <si>
    <t>2903772500</t>
  </si>
  <si>
    <t>2903773100</t>
  </si>
  <si>
    <t>2903773200</t>
  </si>
  <si>
    <t>2903773300</t>
  </si>
  <si>
    <t>2903773400</t>
  </si>
  <si>
    <t>2903773500</t>
  </si>
  <si>
    <t>2903773600</t>
  </si>
  <si>
    <t>2903773700</t>
  </si>
  <si>
    <t>2903779000</t>
  </si>
  <si>
    <t>2903780000</t>
  </si>
  <si>
    <t>2903791100</t>
  </si>
  <si>
    <t>2903791200</t>
  </si>
  <si>
    <t>2903791900</t>
  </si>
  <si>
    <t>2903792000</t>
  </si>
  <si>
    <t>2903799000</t>
  </si>
  <si>
    <t>2903811000</t>
  </si>
  <si>
    <t>2903812000</t>
  </si>
  <si>
    <t>2903819000</t>
  </si>
  <si>
    <t>2903821000</t>
  </si>
  <si>
    <t>2903822000</t>
  </si>
  <si>
    <t>2903823000</t>
  </si>
  <si>
    <t>2903830000</t>
  </si>
  <si>
    <t>2903891000</t>
  </si>
  <si>
    <t>2903899000</t>
  </si>
  <si>
    <t>2903910000</t>
  </si>
  <si>
    <t>2903921000</t>
  </si>
  <si>
    <t>2903922000</t>
  </si>
  <si>
    <t>2903930000</t>
  </si>
  <si>
    <t>2903940000</t>
  </si>
  <si>
    <t>2903991000</t>
  </si>
  <si>
    <t>2903992000</t>
  </si>
  <si>
    <t>2903993000</t>
  </si>
  <si>
    <t>2903999000</t>
  </si>
  <si>
    <t>2904101000</t>
  </si>
  <si>
    <t>2904109000</t>
  </si>
  <si>
    <t>2904201000</t>
  </si>
  <si>
    <t>2904202000</t>
  </si>
  <si>
    <t>2904203000</t>
  </si>
  <si>
    <t>2904204000</t>
  </si>
  <si>
    <t>2904209000</t>
  </si>
  <si>
    <t>2904310000</t>
  </si>
  <si>
    <t>2904320000</t>
  </si>
  <si>
    <t>2904330000</t>
  </si>
  <si>
    <t>2904340000</t>
  </si>
  <si>
    <t>2904350000</t>
  </si>
  <si>
    <t>2904360000</t>
  </si>
  <si>
    <t>2904910000</t>
  </si>
  <si>
    <t>2904990000</t>
  </si>
  <si>
    <t>2905110000</t>
  </si>
  <si>
    <t>2905121000</t>
  </si>
  <si>
    <t>2905122000</t>
  </si>
  <si>
    <t>2905130000</t>
  </si>
  <si>
    <t>2905141000</t>
  </si>
  <si>
    <t>2905149000</t>
  </si>
  <si>
    <t>2905161000</t>
  </si>
  <si>
    <t>2905169000</t>
  </si>
  <si>
    <t>2905170000</t>
  </si>
  <si>
    <t>2905191000</t>
  </si>
  <si>
    <t>2905192000</t>
  </si>
  <si>
    <t>2905193000</t>
  </si>
  <si>
    <t>2905194000</t>
  </si>
  <si>
    <t>2905195000</t>
  </si>
  <si>
    <t>2905196000</t>
  </si>
  <si>
    <t>2905199000</t>
  </si>
  <si>
    <t>2905220000</t>
  </si>
  <si>
    <t>2905290000</t>
  </si>
  <si>
    <t>2905310000</t>
  </si>
  <si>
    <t>2905320000</t>
  </si>
  <si>
    <t>2905391000</t>
  </si>
  <si>
    <t>2905399000</t>
  </si>
  <si>
    <t>2905410000</t>
  </si>
  <si>
    <t>2905420000</t>
  </si>
  <si>
    <t>2905430000</t>
  </si>
  <si>
    <t>2905440000</t>
  </si>
  <si>
    <t>2905450000</t>
  </si>
  <si>
    <t>2905490000</t>
  </si>
  <si>
    <t>2905510000</t>
  </si>
  <si>
    <t>2905590000</t>
  </si>
  <si>
    <t>2906110000</t>
  </si>
  <si>
    <t>2906120000</t>
  </si>
  <si>
    <t>2906130000</t>
  </si>
  <si>
    <t>2906190000</t>
  </si>
  <si>
    <t>2906210000</t>
  </si>
  <si>
    <t>2906290000</t>
  </si>
  <si>
    <t>2907111000</t>
  </si>
  <si>
    <t>2907112000</t>
  </si>
  <si>
    <t>2907120000</t>
  </si>
  <si>
    <t>2907131000</t>
  </si>
  <si>
    <t>2907139000</t>
  </si>
  <si>
    <t>2907150000</t>
  </si>
  <si>
    <t>2907190000</t>
  </si>
  <si>
    <t>2907210000</t>
  </si>
  <si>
    <t>2907220000</t>
  </si>
  <si>
    <t>2907230000</t>
  </si>
  <si>
    <t>2907291000</t>
  </si>
  <si>
    <t>2907299000</t>
  </si>
  <si>
    <t>2908110000</t>
  </si>
  <si>
    <t>2908190000</t>
  </si>
  <si>
    <t>2908910000</t>
  </si>
  <si>
    <t>2908920000</t>
  </si>
  <si>
    <t>2908991000</t>
  </si>
  <si>
    <t>2908992200</t>
  </si>
  <si>
    <t>2908992300</t>
  </si>
  <si>
    <t>2908992900</t>
  </si>
  <si>
    <t>2908999000</t>
  </si>
  <si>
    <t>2909110000</t>
  </si>
  <si>
    <t>2909191000</t>
  </si>
  <si>
    <t>2909199000</t>
  </si>
  <si>
    <t>2909200000</t>
  </si>
  <si>
    <t>2909301000</t>
  </si>
  <si>
    <t>2909309000</t>
  </si>
  <si>
    <t>2909410000</t>
  </si>
  <si>
    <t>2909430000</t>
  </si>
  <si>
    <t>2909440000</t>
  </si>
  <si>
    <t>2909491000</t>
  </si>
  <si>
    <t>2909492000</t>
  </si>
  <si>
    <t>2909493000</t>
  </si>
  <si>
    <t>2909494000</t>
  </si>
  <si>
    <t>2909495000</t>
  </si>
  <si>
    <t>2909496000</t>
  </si>
  <si>
    <t>2909499000</t>
  </si>
  <si>
    <t>2909501000</t>
  </si>
  <si>
    <t>2909509000</t>
  </si>
  <si>
    <t>2909601000</t>
  </si>
  <si>
    <t>2909609000</t>
  </si>
  <si>
    <t>2910100000</t>
  </si>
  <si>
    <t>2910200000</t>
  </si>
  <si>
    <t>2910300000</t>
  </si>
  <si>
    <t>2910400000</t>
  </si>
  <si>
    <t>2910500000</t>
  </si>
  <si>
    <t>2910900000</t>
  </si>
  <si>
    <t>2911000000</t>
  </si>
  <si>
    <t>Acetales y semiacetales, incluso con otras
funciones oxigenadas, y sus derivados
halogenados, sulfonados, nitrados o nitrosados.</t>
  </si>
  <si>
    <t>2912110000</t>
  </si>
  <si>
    <t>2912120000</t>
  </si>
  <si>
    <t>2912192000</t>
  </si>
  <si>
    <t>2912193000</t>
  </si>
  <si>
    <t>2912199000</t>
  </si>
  <si>
    <t>2912210000</t>
  </si>
  <si>
    <t>2912291000</t>
  </si>
  <si>
    <t>2912299000</t>
  </si>
  <si>
    <t>2912410000</t>
  </si>
  <si>
    <t>2912420000</t>
  </si>
  <si>
    <t>2912491000</t>
  </si>
  <si>
    <t>2912499000</t>
  </si>
  <si>
    <t>2912500000</t>
  </si>
  <si>
    <t>2912600000</t>
  </si>
  <si>
    <t>2913000000</t>
  </si>
  <si>
    <t>Derivados halogenados, sulfonados, nitrados o
nitrosados de los productos de la partida 29.12.</t>
  </si>
  <si>
    <t>2914110000</t>
  </si>
  <si>
    <t>2914120000</t>
  </si>
  <si>
    <t>2914130000</t>
  </si>
  <si>
    <t>2914190000</t>
  </si>
  <si>
    <t>2914221000</t>
  </si>
  <si>
    <t>2914222000</t>
  </si>
  <si>
    <t>2914230000</t>
  </si>
  <si>
    <t>2914292000</t>
  </si>
  <si>
    <t>2914293000</t>
  </si>
  <si>
    <t>2914299000</t>
  </si>
  <si>
    <t>2914310000</t>
  </si>
  <si>
    <t>2914390000</t>
  </si>
  <si>
    <t>2914401000</t>
  </si>
  <si>
    <t>2914409000</t>
  </si>
  <si>
    <t>2914500000</t>
  </si>
  <si>
    <t>2914610000</t>
  </si>
  <si>
    <t>2914620000</t>
  </si>
  <si>
    <t>2914690000</t>
  </si>
  <si>
    <t>2914710000</t>
  </si>
  <si>
    <t>2914790000</t>
  </si>
  <si>
    <t>2915110000</t>
  </si>
  <si>
    <t>2915121000</t>
  </si>
  <si>
    <t>2915129000</t>
  </si>
  <si>
    <t>2915130000</t>
  </si>
  <si>
    <t>2915210000</t>
  </si>
  <si>
    <t>2915240000</t>
  </si>
  <si>
    <t>2915291000</t>
  </si>
  <si>
    <t>2915292000</t>
  </si>
  <si>
    <t>2915299010</t>
  </si>
  <si>
    <t>2915299090</t>
  </si>
  <si>
    <t>2915310000</t>
  </si>
  <si>
    <t>2915320000</t>
  </si>
  <si>
    <t>2915330000</t>
  </si>
  <si>
    <t>2915360000</t>
  </si>
  <si>
    <t>2915391000</t>
  </si>
  <si>
    <t>2915392100</t>
  </si>
  <si>
    <t>2915392200</t>
  </si>
  <si>
    <t>2915393000</t>
  </si>
  <si>
    <t>2915399000</t>
  </si>
  <si>
    <t>2915401000</t>
  </si>
  <si>
    <t>2915402000</t>
  </si>
  <si>
    <t>2915501000</t>
  </si>
  <si>
    <t>2915502100</t>
  </si>
  <si>
    <t>2915502200</t>
  </si>
  <si>
    <t>2915601100</t>
  </si>
  <si>
    <t>2915601900</t>
  </si>
  <si>
    <t>2915602000</t>
  </si>
  <si>
    <t>2915701000</t>
  </si>
  <si>
    <t>2915702100</t>
  </si>
  <si>
    <t>2915702200</t>
  </si>
  <si>
    <t>2915702900</t>
  </si>
  <si>
    <t>2915902000</t>
  </si>
  <si>
    <t>2915903100</t>
  </si>
  <si>
    <t>2915903900</t>
  </si>
  <si>
    <t>2915904000</t>
  </si>
  <si>
    <t>2915905000</t>
  </si>
  <si>
    <t>2915909000</t>
  </si>
  <si>
    <t>2916111000</t>
  </si>
  <si>
    <t>2916112000</t>
  </si>
  <si>
    <t>2916121000</t>
  </si>
  <si>
    <t>2916129000</t>
  </si>
  <si>
    <t>2916130000</t>
  </si>
  <si>
    <t>2916141000</t>
  </si>
  <si>
    <t>2916149000</t>
  </si>
  <si>
    <t>2916151000</t>
  </si>
  <si>
    <t>2916152000</t>
  </si>
  <si>
    <t>2916159000</t>
  </si>
  <si>
    <t>2916160000</t>
  </si>
  <si>
    <t>2916191000</t>
  </si>
  <si>
    <t>2916192000</t>
  </si>
  <si>
    <t>2916199000</t>
  </si>
  <si>
    <t>2916201000</t>
  </si>
  <si>
    <t>2916202000</t>
  </si>
  <si>
    <t>2916209000</t>
  </si>
  <si>
    <t>2916311000</t>
  </si>
  <si>
    <t>2916313000</t>
  </si>
  <si>
    <t>2916314000</t>
  </si>
  <si>
    <t>2916319000</t>
  </si>
  <si>
    <t>2916321000</t>
  </si>
  <si>
    <t>2916322000</t>
  </si>
  <si>
    <t>2916340000</t>
  </si>
  <si>
    <t>2916390000</t>
  </si>
  <si>
    <t>2917111000</t>
  </si>
  <si>
    <t>2917112000</t>
  </si>
  <si>
    <t>2917121000</t>
  </si>
  <si>
    <t>2917122000</t>
  </si>
  <si>
    <t>2917131000</t>
  </si>
  <si>
    <t>2917132000</t>
  </si>
  <si>
    <t>2917140000</t>
  </si>
  <si>
    <t>2917191000</t>
  </si>
  <si>
    <t>2917192000</t>
  </si>
  <si>
    <t>2917193000</t>
  </si>
  <si>
    <t>2917199000</t>
  </si>
  <si>
    <t>2917200000</t>
  </si>
  <si>
    <t>2917320000</t>
  </si>
  <si>
    <t>2917330000</t>
  </si>
  <si>
    <t>2917341000</t>
  </si>
  <si>
    <t>2917342000</t>
  </si>
  <si>
    <t>2917349000</t>
  </si>
  <si>
    <t>2917350000</t>
  </si>
  <si>
    <t>2917361000</t>
  </si>
  <si>
    <t>2917362000</t>
  </si>
  <si>
    <t>2917370000</t>
  </si>
  <si>
    <t>2917392000</t>
  </si>
  <si>
    <t>2917393000</t>
  </si>
  <si>
    <t>2917394000</t>
  </si>
  <si>
    <t>2917399000</t>
  </si>
  <si>
    <t>2918111000</t>
  </si>
  <si>
    <t>2918112000</t>
  </si>
  <si>
    <t>2918119000</t>
  </si>
  <si>
    <t>2918120000</t>
  </si>
  <si>
    <t>2918130000</t>
  </si>
  <si>
    <t>2918140000</t>
  </si>
  <si>
    <t>2918153000</t>
  </si>
  <si>
    <t>2918159000</t>
  </si>
  <si>
    <t>2918161000</t>
  </si>
  <si>
    <t>2918162000</t>
  </si>
  <si>
    <t>2918163000</t>
  </si>
  <si>
    <t>2918169000</t>
  </si>
  <si>
    <t>2918170000</t>
  </si>
  <si>
    <t>2918180000</t>
  </si>
  <si>
    <t>2918192000</t>
  </si>
  <si>
    <t>2918199000</t>
  </si>
  <si>
    <t>2918211000</t>
  </si>
  <si>
    <t>2918212000</t>
  </si>
  <si>
    <t>2918221000</t>
  </si>
  <si>
    <t>2918222000</t>
  </si>
  <si>
    <t>2918230000</t>
  </si>
  <si>
    <t>2918291100</t>
  </si>
  <si>
    <t>2918291200</t>
  </si>
  <si>
    <t>2918291900</t>
  </si>
  <si>
    <t>2918299000</t>
  </si>
  <si>
    <t>2918300000</t>
  </si>
  <si>
    <t>2918910000</t>
  </si>
  <si>
    <t>2918991100</t>
  </si>
  <si>
    <t>2918991200</t>
  </si>
  <si>
    <t>2918992000</t>
  </si>
  <si>
    <t>2918993000</t>
  </si>
  <si>
    <t>2918994000</t>
  </si>
  <si>
    <t>2918995000</t>
  </si>
  <si>
    <t>2918996000</t>
  </si>
  <si>
    <t>2918997000</t>
  </si>
  <si>
    <t>2918999100</t>
  </si>
  <si>
    <t>2918999200</t>
  </si>
  <si>
    <t>2918999900</t>
  </si>
  <si>
    <t>2919100000</t>
  </si>
  <si>
    <t>2919901100</t>
  </si>
  <si>
    <t>2919901900</t>
  </si>
  <si>
    <t>2919902000</t>
  </si>
  <si>
    <t>2919903000</t>
  </si>
  <si>
    <t>2919909000</t>
  </si>
  <si>
    <t>2920111000</t>
  </si>
  <si>
    <t>2920112000</t>
  </si>
  <si>
    <t>2920192000</t>
  </si>
  <si>
    <t>2920199000</t>
  </si>
  <si>
    <t>2920210000</t>
  </si>
  <si>
    <t>2920220000</t>
  </si>
  <si>
    <t>2920230000</t>
  </si>
  <si>
    <t>2920240000</t>
  </si>
  <si>
    <t>2920290000</t>
  </si>
  <si>
    <t>2920300000</t>
  </si>
  <si>
    <t>2920901000</t>
  </si>
  <si>
    <t>2920902000</t>
  </si>
  <si>
    <t>2920909000</t>
  </si>
  <si>
    <t>2921110000</t>
  </si>
  <si>
    <t>2921120000</t>
  </si>
  <si>
    <t>2921130000</t>
  </si>
  <si>
    <t>2921140000</t>
  </si>
  <si>
    <t>2921191000</t>
  </si>
  <si>
    <t>2921192000</t>
  </si>
  <si>
    <t>2921193000</t>
  </si>
  <si>
    <t>2921194100</t>
  </si>
  <si>
    <t>2921194200</t>
  </si>
  <si>
    <t>2921194900</t>
  </si>
  <si>
    <t>2921195000</t>
  </si>
  <si>
    <t>2921199000</t>
  </si>
  <si>
    <t>2921210000</t>
  </si>
  <si>
    <t>2921220000</t>
  </si>
  <si>
    <t>2921290000</t>
  </si>
  <si>
    <t>2921300000</t>
  </si>
  <si>
    <t>2921410000</t>
  </si>
  <si>
    <t>2921421000</t>
  </si>
  <si>
    <t>2921422000</t>
  </si>
  <si>
    <t>2921429000</t>
  </si>
  <si>
    <t>2921430000</t>
  </si>
  <si>
    <t>2921440000</t>
  </si>
  <si>
    <t>2921450000</t>
  </si>
  <si>
    <t>2921461000</t>
  </si>
  <si>
    <t>2921462000</t>
  </si>
  <si>
    <t>2921463000</t>
  </si>
  <si>
    <t>2921469000</t>
  </si>
  <si>
    <t>2921491000</t>
  </si>
  <si>
    <t>2921499000</t>
  </si>
  <si>
    <t>2921510000</t>
  </si>
  <si>
    <t>2921590000</t>
  </si>
  <si>
    <t>2922111000</t>
  </si>
  <si>
    <t>2922112000</t>
  </si>
  <si>
    <t>2922121000</t>
  </si>
  <si>
    <t>2922122000</t>
  </si>
  <si>
    <t>2922141000</t>
  </si>
  <si>
    <t>2922142000</t>
  </si>
  <si>
    <t>2922150000</t>
  </si>
  <si>
    <t>2922160000</t>
  </si>
  <si>
    <t>2922171000</t>
  </si>
  <si>
    <t>2922172000</t>
  </si>
  <si>
    <t>2922180000</t>
  </si>
  <si>
    <t>2922192100</t>
  </si>
  <si>
    <t>2922192200</t>
  </si>
  <si>
    <t>2922192900</t>
  </si>
  <si>
    <t>2922195000</t>
  </si>
  <si>
    <t>2922199000</t>
  </si>
  <si>
    <t>2922210000</t>
  </si>
  <si>
    <t>2922290000</t>
  </si>
  <si>
    <t>2922311000</t>
  </si>
  <si>
    <t>2922312000</t>
  </si>
  <si>
    <t>2922313000</t>
  </si>
  <si>
    <t>2922319000</t>
  </si>
  <si>
    <t>2922390000</t>
  </si>
  <si>
    <t>2922410000</t>
  </si>
  <si>
    <t>2922421000</t>
  </si>
  <si>
    <t>2922429000</t>
  </si>
  <si>
    <t>2922430000</t>
  </si>
  <si>
    <t>2922441000</t>
  </si>
  <si>
    <t>2922449000</t>
  </si>
  <si>
    <t>2922491000</t>
  </si>
  <si>
    <t>2922493000</t>
  </si>
  <si>
    <t>2922494100</t>
  </si>
  <si>
    <t>2922494200</t>
  </si>
  <si>
    <t>2922499000</t>
  </si>
  <si>
    <t>Aditivos químicos</t>
  </si>
  <si>
    <t>2922503000</t>
  </si>
  <si>
    <t>2922504000</t>
  </si>
  <si>
    <t>2922509000</t>
  </si>
  <si>
    <t>2923100000</t>
  </si>
  <si>
    <t>2923200000</t>
  </si>
  <si>
    <t>2923300000</t>
  </si>
  <si>
    <t>2923400000</t>
  </si>
  <si>
    <t>2923901000</t>
  </si>
  <si>
    <t>2923909000</t>
  </si>
  <si>
    <t>2924110000</t>
  </si>
  <si>
    <t>2924120000</t>
  </si>
  <si>
    <t>2924190000</t>
  </si>
  <si>
    <t>2924211000</t>
  </si>
  <si>
    <t>2924219000</t>
  </si>
  <si>
    <t>2924230000</t>
  </si>
  <si>
    <t>2924240000</t>
  </si>
  <si>
    <t>2924250000</t>
  </si>
  <si>
    <t>2924291000</t>
  </si>
  <si>
    <t>2924292000</t>
  </si>
  <si>
    <t>2924293000</t>
  </si>
  <si>
    <t>2924294000</t>
  </si>
  <si>
    <t>2924295000</t>
  </si>
  <si>
    <t>2924296000</t>
  </si>
  <si>
    <t>2924297000</t>
  </si>
  <si>
    <t>2924298000</t>
  </si>
  <si>
    <t>2924299000</t>
  </si>
  <si>
    <t>2925110000</t>
  </si>
  <si>
    <t>2925120000</t>
  </si>
  <si>
    <t>2925190000</t>
  </si>
  <si>
    <t>2925210000</t>
  </si>
  <si>
    <t>2925291000</t>
  </si>
  <si>
    <t>2925299000</t>
  </si>
  <si>
    <t>2926100000</t>
  </si>
  <si>
    <t>2926200000</t>
  </si>
  <si>
    <t>2926301000</t>
  </si>
  <si>
    <t>2926302000</t>
  </si>
  <si>
    <t>2926400000</t>
  </si>
  <si>
    <t>2926902000</t>
  </si>
  <si>
    <t>2926903000</t>
  </si>
  <si>
    <t>2926904000</t>
  </si>
  <si>
    <t>2926905000</t>
  </si>
  <si>
    <t>2926909000</t>
  </si>
  <si>
    <t>2927000000</t>
  </si>
  <si>
    <t>Compuestos diazoicos, azoicos o azoxi.</t>
  </si>
  <si>
    <t>2928001000</t>
  </si>
  <si>
    <t>2928002000</t>
  </si>
  <si>
    <t>2928009000</t>
  </si>
  <si>
    <t>2929101000</t>
  </si>
  <si>
    <t>2929109000</t>
  </si>
  <si>
    <t>2929901000</t>
  </si>
  <si>
    <t>2929902000</t>
  </si>
  <si>
    <t>2929903000</t>
  </si>
  <si>
    <t>2929909000</t>
  </si>
  <si>
    <t>2930201000</t>
  </si>
  <si>
    <t>2930202000</t>
  </si>
  <si>
    <t>2930209000</t>
  </si>
  <si>
    <t>2930301000</t>
  </si>
  <si>
    <t>2930309000</t>
  </si>
  <si>
    <t>2930400000</t>
  </si>
  <si>
    <t>2930600000</t>
  </si>
  <si>
    <t>2930700000</t>
  </si>
  <si>
    <t>2930800000</t>
  </si>
  <si>
    <t>2930901100</t>
  </si>
  <si>
    <t>2930901900</t>
  </si>
  <si>
    <t>2930902100</t>
  </si>
  <si>
    <t>2930902900</t>
  </si>
  <si>
    <t>2930903000</t>
  </si>
  <si>
    <t>2930905100</t>
  </si>
  <si>
    <t>2930905900</t>
  </si>
  <si>
    <t>2930907000</t>
  </si>
  <si>
    <t>2930908000</t>
  </si>
  <si>
    <t>2930909200</t>
  </si>
  <si>
    <t>2930909310</t>
  </si>
  <si>
    <t>2930909320</t>
  </si>
  <si>
    <t>2930909400</t>
  </si>
  <si>
    <t>2930909500</t>
  </si>
  <si>
    <t>2930909600</t>
  </si>
  <si>
    <t>2930909700</t>
  </si>
  <si>
    <t>2930909800</t>
  </si>
  <si>
    <t>2930909900</t>
  </si>
  <si>
    <t>2931100000</t>
  </si>
  <si>
    <t>2931200000</t>
  </si>
  <si>
    <t>2931310000</t>
  </si>
  <si>
    <t>2931320000</t>
  </si>
  <si>
    <t>2931330000</t>
  </si>
  <si>
    <t>2931340000</t>
  </si>
  <si>
    <t>2931350000</t>
  </si>
  <si>
    <t>2931360000</t>
  </si>
  <si>
    <t>2931370000</t>
  </si>
  <si>
    <t>2931380000</t>
  </si>
  <si>
    <t>2931391100</t>
  </si>
  <si>
    <t>2931391200</t>
  </si>
  <si>
    <t>2931392000</t>
  </si>
  <si>
    <t>2931399100</t>
  </si>
  <si>
    <t>2931399200</t>
  </si>
  <si>
    <t>2931399300</t>
  </si>
  <si>
    <t>2931399400</t>
  </si>
  <si>
    <t>2931399500</t>
  </si>
  <si>
    <t>2931399600</t>
  </si>
  <si>
    <t>2931399900</t>
  </si>
  <si>
    <t>2931901000</t>
  </si>
  <si>
    <t>2931909000</t>
  </si>
  <si>
    <t>2932110000</t>
  </si>
  <si>
    <t>2932120000</t>
  </si>
  <si>
    <t>2932131000</t>
  </si>
  <si>
    <t>2932132000</t>
  </si>
  <si>
    <t>2932140000</t>
  </si>
  <si>
    <t>2932190000</t>
  </si>
  <si>
    <t>2932201000</t>
  </si>
  <si>
    <t>2932209100</t>
  </si>
  <si>
    <t>2932209900</t>
  </si>
  <si>
    <t>2932910000</t>
  </si>
  <si>
    <t>2932920000</t>
  </si>
  <si>
    <t>2932930000</t>
  </si>
  <si>
    <t>2932940000</t>
  </si>
  <si>
    <t>2932950000</t>
  </si>
  <si>
    <t>2932991000</t>
  </si>
  <si>
    <t>2932992000</t>
  </si>
  <si>
    <t>2932994000</t>
  </si>
  <si>
    <t>2932999000</t>
  </si>
  <si>
    <t>2933111000</t>
  </si>
  <si>
    <t>2933113000</t>
  </si>
  <si>
    <t>2933119000</t>
  </si>
  <si>
    <t>2933191000</t>
  </si>
  <si>
    <t>2933199000</t>
  </si>
  <si>
    <t>2933210000</t>
  </si>
  <si>
    <t>2933290000</t>
  </si>
  <si>
    <t>2933310000</t>
  </si>
  <si>
    <t>2933320000</t>
  </si>
  <si>
    <t>2933331000</t>
  </si>
  <si>
    <t>2933332000</t>
  </si>
  <si>
    <t>2933333000</t>
  </si>
  <si>
    <t>2933334000</t>
  </si>
  <si>
    <t>2933335000</t>
  </si>
  <si>
    <t>2933339000</t>
  </si>
  <si>
    <t>2933391100</t>
  </si>
  <si>
    <t>2933391200</t>
  </si>
  <si>
    <t>2933392000</t>
  </si>
  <si>
    <t>2933393000</t>
  </si>
  <si>
    <t>2933396000</t>
  </si>
  <si>
    <t>2933397000</t>
  </si>
  <si>
    <t>2933399000</t>
  </si>
  <si>
    <t>2933410000</t>
  </si>
  <si>
    <t>2933491000</t>
  </si>
  <si>
    <t>2933499000</t>
  </si>
  <si>
    <t>2933520000</t>
  </si>
  <si>
    <t>2933531000</t>
  </si>
  <si>
    <t>2933532000</t>
  </si>
  <si>
    <t>2933533000</t>
  </si>
  <si>
    <t>2933534000</t>
  </si>
  <si>
    <t>2933539000</t>
  </si>
  <si>
    <t>2933540000</t>
  </si>
  <si>
    <t>2933551000</t>
  </si>
  <si>
    <t>2933552000</t>
  </si>
  <si>
    <t>2933553000</t>
  </si>
  <si>
    <t>2933554000</t>
  </si>
  <si>
    <t>2933559000</t>
  </si>
  <si>
    <t>2933591000</t>
  </si>
  <si>
    <t>2933592000</t>
  </si>
  <si>
    <t>2933593000</t>
  </si>
  <si>
    <t>2933594000</t>
  </si>
  <si>
    <t>2933595000</t>
  </si>
  <si>
    <t>2933596000</t>
  </si>
  <si>
    <t>2933599000</t>
  </si>
  <si>
    <t>2933610000</t>
  </si>
  <si>
    <t>2933691000</t>
  </si>
  <si>
    <t>2933699000</t>
  </si>
  <si>
    <t>2933710000</t>
  </si>
  <si>
    <t>2933720000</t>
  </si>
  <si>
    <t>2933791000</t>
  </si>
  <si>
    <t>2933799000</t>
  </si>
  <si>
    <t>2933911000</t>
  </si>
  <si>
    <t>2933912000</t>
  </si>
  <si>
    <t>2933913000</t>
  </si>
  <si>
    <t>2933914000</t>
  </si>
  <si>
    <t>2933915000</t>
  </si>
  <si>
    <t>2933916000</t>
  </si>
  <si>
    <t>2933917000</t>
  </si>
  <si>
    <t>2933919000</t>
  </si>
  <si>
    <t>2933920000</t>
  </si>
  <si>
    <t>2933991000</t>
  </si>
  <si>
    <t>2933992000</t>
  </si>
  <si>
    <t>2933999010</t>
  </si>
  <si>
    <t>2933999090</t>
  </si>
  <si>
    <t>2934101000</t>
  </si>
  <si>
    <t>2934109000</t>
  </si>
  <si>
    <t>2934200010</t>
  </si>
  <si>
    <t>2934200090</t>
  </si>
  <si>
    <t>2934300010</t>
  </si>
  <si>
    <t>2934300090</t>
  </si>
  <si>
    <t>2934911000</t>
  </si>
  <si>
    <t>2934912000</t>
  </si>
  <si>
    <t>2934913000</t>
  </si>
  <si>
    <t>2934919000</t>
  </si>
  <si>
    <t>2934991000</t>
  </si>
  <si>
    <t>2934992000</t>
  </si>
  <si>
    <t>2934993000</t>
  </si>
  <si>
    <t>2934994000</t>
  </si>
  <si>
    <t>2934999000</t>
  </si>
  <si>
    <t>2935100000</t>
  </si>
  <si>
    <t>2935200000</t>
  </si>
  <si>
    <t>2935300000</t>
  </si>
  <si>
    <t>2935400000</t>
  </si>
  <si>
    <t>2935500000</t>
  </si>
  <si>
    <t>2935901000</t>
  </si>
  <si>
    <t>2935909000</t>
  </si>
  <si>
    <t>2936210000</t>
  </si>
  <si>
    <t>2936220000</t>
  </si>
  <si>
    <t>2936230000</t>
  </si>
  <si>
    <t>2936240000</t>
  </si>
  <si>
    <t>2936250000</t>
  </si>
  <si>
    <t>2936260000</t>
  </si>
  <si>
    <t>2936270000</t>
  </si>
  <si>
    <t>2936280000</t>
  </si>
  <si>
    <t>2936291000</t>
  </si>
  <si>
    <t>2936292000</t>
  </si>
  <si>
    <t>2936293000</t>
  </si>
  <si>
    <t>2936299000</t>
  </si>
  <si>
    <t>2936900000</t>
  </si>
  <si>
    <t>2937110000</t>
  </si>
  <si>
    <t>2937120000</t>
  </si>
  <si>
    <t>2937191000</t>
  </si>
  <si>
    <t>2937199000</t>
  </si>
  <si>
    <t>2937211000</t>
  </si>
  <si>
    <t>2937212000</t>
  </si>
  <si>
    <t>2937219010</t>
  </si>
  <si>
    <t>2937219020</t>
  </si>
  <si>
    <t>2937221000</t>
  </si>
  <si>
    <t>2937222000</t>
  </si>
  <si>
    <t>2937223000</t>
  </si>
  <si>
    <t>2937224000</t>
  </si>
  <si>
    <t>2937229010</t>
  </si>
  <si>
    <t>2937229090</t>
  </si>
  <si>
    <t>2937231000</t>
  </si>
  <si>
    <t>2937232000</t>
  </si>
  <si>
    <t>2937239000</t>
  </si>
  <si>
    <t>2937291000</t>
  </si>
  <si>
    <t>2937292000</t>
  </si>
  <si>
    <t>2937299010</t>
  </si>
  <si>
    <t>2937299020</t>
  </si>
  <si>
    <t>2937299030</t>
  </si>
  <si>
    <t>2937299040</t>
  </si>
  <si>
    <t>2937299090</t>
  </si>
  <si>
    <t>2937500000</t>
  </si>
  <si>
    <t>2937900000</t>
  </si>
  <si>
    <t>2938100000</t>
  </si>
  <si>
    <t>2938902000</t>
  </si>
  <si>
    <t>2938909000</t>
  </si>
  <si>
    <t>2939111000</t>
  </si>
  <si>
    <t>2939112000</t>
  </si>
  <si>
    <t>2939113000</t>
  </si>
  <si>
    <t>2939114000</t>
  </si>
  <si>
    <t>2939115000</t>
  </si>
  <si>
    <t>2939116000</t>
  </si>
  <si>
    <t>2939117000</t>
  </si>
  <si>
    <t>2939191000</t>
  </si>
  <si>
    <t>2939199000</t>
  </si>
  <si>
    <t>2939200000</t>
  </si>
  <si>
    <t>2939300000</t>
  </si>
  <si>
    <t>2939410000</t>
  </si>
  <si>
    <t>2939420000</t>
  </si>
  <si>
    <t>2939430000</t>
  </si>
  <si>
    <t>2939440000</t>
  </si>
  <si>
    <t>2939490000</t>
  </si>
  <si>
    <t>2939510000</t>
  </si>
  <si>
    <t>2939590000</t>
  </si>
  <si>
    <t>2939610000</t>
  </si>
  <si>
    <t>2939620000</t>
  </si>
  <si>
    <t>2939630000</t>
  </si>
  <si>
    <t>2939690000</t>
  </si>
  <si>
    <t>2939711000</t>
  </si>
  <si>
    <t>2939712000</t>
  </si>
  <si>
    <t>2939713010</t>
  </si>
  <si>
    <t>2939713020</t>
  </si>
  <si>
    <t>2939714010</t>
  </si>
  <si>
    <t>2939714020</t>
  </si>
  <si>
    <t>2939715010</t>
  </si>
  <si>
    <t>2939715020</t>
  </si>
  <si>
    <t>2939791000</t>
  </si>
  <si>
    <t>2939799000</t>
  </si>
  <si>
    <t>2939800000</t>
  </si>
  <si>
    <t>2940000000</t>
  </si>
  <si>
    <t>Azúcares químicamente puros, excepto la
sacarosa, lactosa, maltosa, glucosa y fructosa
(levulosa); éteres, acetales y ésteres de azúcares
y sus sales, excepto los productos de las partidas
29.37, 29.38 ó 29.39.</t>
  </si>
  <si>
    <t>2941101000</t>
  </si>
  <si>
    <t>2941102000</t>
  </si>
  <si>
    <t>2941103000</t>
  </si>
  <si>
    <t>2941104000</t>
  </si>
  <si>
    <t>2941109000</t>
  </si>
  <si>
    <t>2941200000</t>
  </si>
  <si>
    <t>2941301000</t>
  </si>
  <si>
    <t>2941302000</t>
  </si>
  <si>
    <t>2941309000</t>
  </si>
  <si>
    <t>2941400000</t>
  </si>
  <si>
    <t>2941500000</t>
  </si>
  <si>
    <t>2941901000</t>
  </si>
  <si>
    <t>2941902000</t>
  </si>
  <si>
    <t>2941903000</t>
  </si>
  <si>
    <t>2941904000</t>
  </si>
  <si>
    <t>2941905000</t>
  </si>
  <si>
    <t>2941906010</t>
  </si>
  <si>
    <t>2941906090</t>
  </si>
  <si>
    <t>2941909000</t>
  </si>
  <si>
    <t>2942000000</t>
  </si>
  <si>
    <t>Los demás compuestos orgánicos.</t>
  </si>
  <si>
    <t>3001201000</t>
  </si>
  <si>
    <t>3001202000</t>
  </si>
  <si>
    <t>3001209000</t>
  </si>
  <si>
    <t>3001901000</t>
  </si>
  <si>
    <t>3001909000</t>
  </si>
  <si>
    <t>3002110000</t>
  </si>
  <si>
    <t>3002121100</t>
  </si>
  <si>
    <t>3002121200</t>
  </si>
  <si>
    <t>Suero antidiftérico</t>
  </si>
  <si>
    <t>3002121300</t>
  </si>
  <si>
    <t>3002121900</t>
  </si>
  <si>
    <t>Productos farmacéuticos</t>
  </si>
  <si>
    <t>3002122100</t>
  </si>
  <si>
    <t>3002122900</t>
  </si>
  <si>
    <t>3002131000</t>
  </si>
  <si>
    <t>3002132000</t>
  </si>
  <si>
    <t>3002139000</t>
  </si>
  <si>
    <t>3002141000</t>
  </si>
  <si>
    <t>3002142000</t>
  </si>
  <si>
    <t>3002149000</t>
  </si>
  <si>
    <t>3002151000</t>
  </si>
  <si>
    <t>3002152000</t>
  </si>
  <si>
    <t>3002159000</t>
  </si>
  <si>
    <t>3002191000</t>
  </si>
  <si>
    <t>3002192000</t>
  </si>
  <si>
    <t>3002199000</t>
  </si>
  <si>
    <t>3002201000</t>
  </si>
  <si>
    <t>3002202000</t>
  </si>
  <si>
    <t>3002203000</t>
  </si>
  <si>
    <t>3002209000</t>
  </si>
  <si>
    <t>3002301000</t>
  </si>
  <si>
    <t>3002309000</t>
  </si>
  <si>
    <t>3002901000</t>
  </si>
  <si>
    <t>3002902000</t>
  </si>
  <si>
    <t>3002903000</t>
  </si>
  <si>
    <t>3002904000</t>
  </si>
  <si>
    <t>3002905000</t>
  </si>
  <si>
    <t>3002909000</t>
  </si>
  <si>
    <t>3003100000</t>
  </si>
  <si>
    <t>3003200000</t>
  </si>
  <si>
    <t>3003310000</t>
  </si>
  <si>
    <t>3003390000</t>
  </si>
  <si>
    <t>3003410000</t>
  </si>
  <si>
    <t>3003420000</t>
  </si>
  <si>
    <t>3003430000</t>
  </si>
  <si>
    <t>3003490000</t>
  </si>
  <si>
    <t>3003600000</t>
  </si>
  <si>
    <t>3003901000</t>
  </si>
  <si>
    <t>3003902000</t>
  </si>
  <si>
    <t>3004101000</t>
  </si>
  <si>
    <t>3004102000</t>
  </si>
  <si>
    <t>3004201100</t>
  </si>
  <si>
    <t>3004201900</t>
  </si>
  <si>
    <t>3004202000</t>
  </si>
  <si>
    <t>3004310000</t>
  </si>
  <si>
    <t>3004321100</t>
  </si>
  <si>
    <t>3004321900</t>
  </si>
  <si>
    <t>3004322000</t>
  </si>
  <si>
    <t>3004391100</t>
  </si>
  <si>
    <t>3004391900</t>
  </si>
  <si>
    <t>3004392000</t>
  </si>
  <si>
    <t>3004411000</t>
  </si>
  <si>
    <t>3004412000</t>
  </si>
  <si>
    <t>3004421000</t>
  </si>
  <si>
    <t>3004422000</t>
  </si>
  <si>
    <t>3004431000</t>
  </si>
  <si>
    <t>3004432000</t>
  </si>
  <si>
    <t>3004491000</t>
  </si>
  <si>
    <t>3004492000</t>
  </si>
  <si>
    <t>3004501000</t>
  </si>
  <si>
    <t>3004502000</t>
  </si>
  <si>
    <t>3004600000</t>
  </si>
  <si>
    <t>3004901000</t>
  </si>
  <si>
    <t>3004902100</t>
  </si>
  <si>
    <t>3004902200</t>
  </si>
  <si>
    <t>3004902300</t>
  </si>
  <si>
    <t>3004902400</t>
  </si>
  <si>
    <t>3004902900</t>
  </si>
  <si>
    <t>3004903000</t>
  </si>
  <si>
    <t>3005101000</t>
  </si>
  <si>
    <t>3005109000</t>
  </si>
  <si>
    <t>3005901000</t>
  </si>
  <si>
    <t>3005902000</t>
  </si>
  <si>
    <t>3005903100</t>
  </si>
  <si>
    <t>3005903900</t>
  </si>
  <si>
    <t>3005909000</t>
  </si>
  <si>
    <t>3006101000</t>
  </si>
  <si>
    <t>3006102000</t>
  </si>
  <si>
    <t>3006109000</t>
  </si>
  <si>
    <t>3006200000</t>
  </si>
  <si>
    <t>3006301000</t>
  </si>
  <si>
    <t>3006302000</t>
  </si>
  <si>
    <t>3006303000</t>
  </si>
  <si>
    <t>3006401000</t>
  </si>
  <si>
    <t>3006402000</t>
  </si>
  <si>
    <t>3006500000</t>
  </si>
  <si>
    <t>Botiquines equipados para primeros auxilios</t>
  </si>
  <si>
    <t>3006600000</t>
  </si>
  <si>
    <t>3006700000</t>
  </si>
  <si>
    <t>3006910000</t>
  </si>
  <si>
    <t>3006920000</t>
  </si>
  <si>
    <t>3101001000</t>
  </si>
  <si>
    <t>3101009000</t>
  </si>
  <si>
    <t>3102101000</t>
  </si>
  <si>
    <t>3102109000</t>
  </si>
  <si>
    <t>3102210000</t>
  </si>
  <si>
    <t>3102290000</t>
  </si>
  <si>
    <t>3102300010</t>
  </si>
  <si>
    <t>3102300020</t>
  </si>
  <si>
    <t>3102300090</t>
  </si>
  <si>
    <t>3102400000</t>
  </si>
  <si>
    <t>3102500000</t>
  </si>
  <si>
    <t>3102600000</t>
  </si>
  <si>
    <t>3102800000</t>
  </si>
  <si>
    <t>3102901000</t>
  </si>
  <si>
    <t>3102909000</t>
  </si>
  <si>
    <t>3103110000</t>
  </si>
  <si>
    <t>3103190000</t>
  </si>
  <si>
    <t>3103900010</t>
  </si>
  <si>
    <t>3103900090</t>
  </si>
  <si>
    <t>3104202000</t>
  </si>
  <si>
    <t>3104209000</t>
  </si>
  <si>
    <t>3104300000</t>
  </si>
  <si>
    <t>3104901000</t>
  </si>
  <si>
    <t>3104909010</t>
  </si>
  <si>
    <t>3104909090</t>
  </si>
  <si>
    <t>3105100000</t>
  </si>
  <si>
    <t>3105200000</t>
  </si>
  <si>
    <t>3105300000</t>
  </si>
  <si>
    <t>3105400000</t>
  </si>
  <si>
    <t>3105510000</t>
  </si>
  <si>
    <t>3105590000</t>
  </si>
  <si>
    <t>3105600000</t>
  </si>
  <si>
    <t>3105901000</t>
  </si>
  <si>
    <t>3105902000</t>
  </si>
  <si>
    <t>3105909000</t>
  </si>
  <si>
    <t>3201100000</t>
  </si>
  <si>
    <t>3201200000</t>
  </si>
  <si>
    <t>3201902000</t>
  </si>
  <si>
    <t>3201903000</t>
  </si>
  <si>
    <t>3201909010</t>
  </si>
  <si>
    <t>3201909090</t>
  </si>
  <si>
    <t>Productos químicos</t>
  </si>
  <si>
    <t>3202100000</t>
  </si>
  <si>
    <t>3202901000</t>
  </si>
  <si>
    <t>3202909000</t>
  </si>
  <si>
    <t>3203001100</t>
  </si>
  <si>
    <t>3203001200</t>
  </si>
  <si>
    <t>3203001300</t>
  </si>
  <si>
    <t>3203001400</t>
  </si>
  <si>
    <t>3203001500</t>
  </si>
  <si>
    <t>3203001600</t>
  </si>
  <si>
    <t>3203001700</t>
  </si>
  <si>
    <t>3203001900</t>
  </si>
  <si>
    <t>3203002100</t>
  </si>
  <si>
    <t>3203002900</t>
  </si>
  <si>
    <t>3204110000</t>
  </si>
  <si>
    <t>3204120000</t>
  </si>
  <si>
    <t>3204130000</t>
  </si>
  <si>
    <t>3204140000</t>
  </si>
  <si>
    <t>3204151000</t>
  </si>
  <si>
    <t>3204159000</t>
  </si>
  <si>
    <t>3204160000</t>
  </si>
  <si>
    <t>3204170000</t>
  </si>
  <si>
    <t>3204191000</t>
  </si>
  <si>
    <t>3204199000</t>
  </si>
  <si>
    <t>3204200000</t>
  </si>
  <si>
    <t>3204900000</t>
  </si>
  <si>
    <t>3205000000</t>
  </si>
  <si>
    <t>Lacas colorantes; preparaciones a que se refiere
la Nota 3 de este Capítulo a base de lacas
colorantes.</t>
  </si>
  <si>
    <t>3206110000</t>
  </si>
  <si>
    <t>3206190000</t>
  </si>
  <si>
    <t>3206200000</t>
  </si>
  <si>
    <t>3206410000</t>
  </si>
  <si>
    <t>3206420000</t>
  </si>
  <si>
    <t>3206491000</t>
  </si>
  <si>
    <t>3206492000</t>
  </si>
  <si>
    <t>3206493000</t>
  </si>
  <si>
    <t>3206499100</t>
  </si>
  <si>
    <t>3206499900</t>
  </si>
  <si>
    <t>3206500000</t>
  </si>
  <si>
    <t>3207100000</t>
  </si>
  <si>
    <t>3207201000</t>
  </si>
  <si>
    <t>3207209000</t>
  </si>
  <si>
    <t>3207300000</t>
  </si>
  <si>
    <t>3207401000</t>
  </si>
  <si>
    <t>3207409000</t>
  </si>
  <si>
    <t>3208100000</t>
  </si>
  <si>
    <t>3208200000</t>
  </si>
  <si>
    <t>3208900000</t>
  </si>
  <si>
    <t>3209100000</t>
  </si>
  <si>
    <t>3209900000</t>
  </si>
  <si>
    <t>3210001000</t>
  </si>
  <si>
    <t>3210002000</t>
  </si>
  <si>
    <t>3210009000</t>
  </si>
  <si>
    <t>3211000000</t>
  </si>
  <si>
    <t>Secativos preparados.</t>
  </si>
  <si>
    <t>3212100000</t>
  </si>
  <si>
    <t>3212901000</t>
  </si>
  <si>
    <t>3212902000</t>
  </si>
  <si>
    <t>3213101000</t>
  </si>
  <si>
    <t>3213109000</t>
  </si>
  <si>
    <t>3213900000</t>
  </si>
  <si>
    <t>3214101000</t>
  </si>
  <si>
    <t>3214102000</t>
  </si>
  <si>
    <t>3214900000</t>
  </si>
  <si>
    <t>3215110000</t>
  </si>
  <si>
    <t>3215190000</t>
  </si>
  <si>
    <t>3215901000</t>
  </si>
  <si>
    <t>3215902000</t>
  </si>
  <si>
    <t>3215909000</t>
  </si>
  <si>
    <t>3301120000</t>
  </si>
  <si>
    <t>3301130000</t>
  </si>
  <si>
    <t>3301191000</t>
  </si>
  <si>
    <t>3301199000</t>
  </si>
  <si>
    <t>3301240000</t>
  </si>
  <si>
    <t>3301250000</t>
  </si>
  <si>
    <t>3301291000</t>
  </si>
  <si>
    <t>3301292000</t>
  </si>
  <si>
    <t>3301293000</t>
  </si>
  <si>
    <t>3301299000</t>
  </si>
  <si>
    <t>Aceite de palo de rosa</t>
  </si>
  <si>
    <t>3301300000</t>
  </si>
  <si>
    <t>3301901000</t>
  </si>
  <si>
    <t>Aceites esenciales</t>
  </si>
  <si>
    <t>3301902000</t>
  </si>
  <si>
    <t>3301909000</t>
  </si>
  <si>
    <t>Aceites</t>
  </si>
  <si>
    <t>3302101000</t>
  </si>
  <si>
    <t>3302109000</t>
  </si>
  <si>
    <t>3302900000</t>
  </si>
  <si>
    <t>3303000000</t>
  </si>
  <si>
    <t>Perfumes</t>
  </si>
  <si>
    <t>3304100000</t>
  </si>
  <si>
    <t>3304200000</t>
  </si>
  <si>
    <t>3304300000</t>
  </si>
  <si>
    <t>3304910000</t>
  </si>
  <si>
    <t>3304990000</t>
  </si>
  <si>
    <t>Maquillaje</t>
  </si>
  <si>
    <t>3305100000</t>
  </si>
  <si>
    <t>3305200000</t>
  </si>
  <si>
    <t>3305300000</t>
  </si>
  <si>
    <t>3305900000</t>
  </si>
  <si>
    <t>3306100000</t>
  </si>
  <si>
    <t>3306200000</t>
  </si>
  <si>
    <t>3306900000</t>
  </si>
  <si>
    <t>3307100000</t>
  </si>
  <si>
    <t>3307200000</t>
  </si>
  <si>
    <t>Desodorantes</t>
  </si>
  <si>
    <t>3307300000</t>
  </si>
  <si>
    <t>3307410000</t>
  </si>
  <si>
    <t>Varillas de incienso</t>
  </si>
  <si>
    <t>3307490000</t>
  </si>
  <si>
    <t>3307901000</t>
  </si>
  <si>
    <t>3307909000</t>
  </si>
  <si>
    <t>3401110000</t>
  </si>
  <si>
    <t>Jabones</t>
  </si>
  <si>
    <t>3401191000</t>
  </si>
  <si>
    <t>3401199000</t>
  </si>
  <si>
    <t>3401200000</t>
  </si>
  <si>
    <t>3401300000</t>
  </si>
  <si>
    <t>3402111000</t>
  </si>
  <si>
    <t>3402119000</t>
  </si>
  <si>
    <t>3402121000</t>
  </si>
  <si>
    <t>3402129000</t>
  </si>
  <si>
    <t>3402131000</t>
  </si>
  <si>
    <t>3402139000</t>
  </si>
  <si>
    <t>3402191000</t>
  </si>
  <si>
    <t>3402199000</t>
  </si>
  <si>
    <t>3402200000</t>
  </si>
  <si>
    <t>3402901000</t>
  </si>
  <si>
    <t>3402909100</t>
  </si>
  <si>
    <t>3402909900</t>
  </si>
  <si>
    <t>Productos de limpieza</t>
  </si>
  <si>
    <t>3403110000</t>
  </si>
  <si>
    <t>3403190000</t>
  </si>
  <si>
    <t>Lubricante</t>
  </si>
  <si>
    <t>3403910000</t>
  </si>
  <si>
    <t>3403990000</t>
  </si>
  <si>
    <t>3404200000</t>
  </si>
  <si>
    <t>3404903000</t>
  </si>
  <si>
    <t>3404904010</t>
  </si>
  <si>
    <t>3404904020</t>
  </si>
  <si>
    <t>3404909010</t>
  </si>
  <si>
    <t>3404909020</t>
  </si>
  <si>
    <t>3405100000</t>
  </si>
  <si>
    <t>3405200000</t>
  </si>
  <si>
    <t>3405300000</t>
  </si>
  <si>
    <t>3405400000</t>
  </si>
  <si>
    <t>3405900000</t>
  </si>
  <si>
    <t>3406000000</t>
  </si>
  <si>
    <t>Velas, cirios y artículos similares.</t>
  </si>
  <si>
    <t>3407001000</t>
  </si>
  <si>
    <t>3407002000</t>
  </si>
  <si>
    <t>3407009000</t>
  </si>
  <si>
    <t>3501100000</t>
  </si>
  <si>
    <t>3501901000</t>
  </si>
  <si>
    <t>3501909000</t>
  </si>
  <si>
    <t>3502110000</t>
  </si>
  <si>
    <t>3502190000</t>
  </si>
  <si>
    <t>3502200000</t>
  </si>
  <si>
    <t>3502901000</t>
  </si>
  <si>
    <t>3502909000</t>
  </si>
  <si>
    <t>3503001000</t>
  </si>
  <si>
    <t>3503002000</t>
  </si>
  <si>
    <t>3504001000</t>
  </si>
  <si>
    <t>3504009000</t>
  </si>
  <si>
    <t>3505100000</t>
  </si>
  <si>
    <t>Harinas y almidones</t>
  </si>
  <si>
    <t>3505200000</t>
  </si>
  <si>
    <t>3506100000</t>
  </si>
  <si>
    <t>Pegamento</t>
  </si>
  <si>
    <t>3506910000</t>
  </si>
  <si>
    <t>3506990000</t>
  </si>
  <si>
    <t>3507100000</t>
  </si>
  <si>
    <t>3507901300</t>
  </si>
  <si>
    <t>3507901900</t>
  </si>
  <si>
    <t>3507903000</t>
  </si>
  <si>
    <t>3507904000</t>
  </si>
  <si>
    <t>3507905000</t>
  </si>
  <si>
    <t>3507906000</t>
  </si>
  <si>
    <t>3507909000</t>
  </si>
  <si>
    <t>3601000000</t>
  </si>
  <si>
    <t>Pólvora.</t>
  </si>
  <si>
    <t>3602001100</t>
  </si>
  <si>
    <t>3602001900</t>
  </si>
  <si>
    <t>3602002000</t>
  </si>
  <si>
    <t>3602009000</t>
  </si>
  <si>
    <t>3603001000</t>
  </si>
  <si>
    <t>3603002000</t>
  </si>
  <si>
    <t>3603003000</t>
  </si>
  <si>
    <t>3603004000</t>
  </si>
  <si>
    <t>3603005000</t>
  </si>
  <si>
    <t>3603006000</t>
  </si>
  <si>
    <t>3604100000</t>
  </si>
  <si>
    <t>3604900000</t>
  </si>
  <si>
    <t>3605000000</t>
  </si>
  <si>
    <t>Fósforos (cerillas), excepto los artículos de
pirotecnia de la partida 36.04.</t>
  </si>
  <si>
    <t>3606100000</t>
  </si>
  <si>
    <t>3606900010</t>
  </si>
  <si>
    <t>3606900090</t>
  </si>
  <si>
    <t>3701100000</t>
  </si>
  <si>
    <t>3701200000</t>
  </si>
  <si>
    <t>3701301000</t>
  </si>
  <si>
    <t>Placas metálicas para artes gráficas</t>
  </si>
  <si>
    <t>3701309000</t>
  </si>
  <si>
    <t>3701910000</t>
  </si>
  <si>
    <t>3701990000</t>
  </si>
  <si>
    <t>3702100000</t>
  </si>
  <si>
    <t>3702310000</t>
  </si>
  <si>
    <t>3702320000</t>
  </si>
  <si>
    <t>3702390000</t>
  </si>
  <si>
    <t>3702410000</t>
  </si>
  <si>
    <t>3702420000</t>
  </si>
  <si>
    <t>3702430000</t>
  </si>
  <si>
    <t>3702440000</t>
  </si>
  <si>
    <t>3702520000</t>
  </si>
  <si>
    <t>3702530000</t>
  </si>
  <si>
    <t>3702540000</t>
  </si>
  <si>
    <t>3702550000</t>
  </si>
  <si>
    <t>3702560000</t>
  </si>
  <si>
    <t>3702960000</t>
  </si>
  <si>
    <t>3702970000</t>
  </si>
  <si>
    <t>3702980000</t>
  </si>
  <si>
    <t>3703100000</t>
  </si>
  <si>
    <t>3703200000</t>
  </si>
  <si>
    <t>3703900000</t>
  </si>
  <si>
    <t>3704000000</t>
  </si>
  <si>
    <t>Placas, películas, papel, cartón y textiles,
fotográficos, impresionados pero sin revelar.</t>
  </si>
  <si>
    <t>3705000010</t>
  </si>
  <si>
    <t>3705000090</t>
  </si>
  <si>
    <t>3706100000</t>
  </si>
  <si>
    <t>3706900000</t>
  </si>
  <si>
    <t>3707100000</t>
  </si>
  <si>
    <t>3707900000</t>
  </si>
  <si>
    <t>3801100000</t>
  </si>
  <si>
    <t>3801200000</t>
  </si>
  <si>
    <t>3801300000</t>
  </si>
  <si>
    <t>3801900000</t>
  </si>
  <si>
    <t>3802100000</t>
  </si>
  <si>
    <t>3802901000</t>
  </si>
  <si>
    <t>3802902000</t>
  </si>
  <si>
    <t>3802909000</t>
  </si>
  <si>
    <t>3803000000</t>
  </si>
  <si>
    <t>«Tall oil», incluso refinado.</t>
  </si>
  <si>
    <t>3804001000</t>
  </si>
  <si>
    <t>3804009000</t>
  </si>
  <si>
    <t>3805100000</t>
  </si>
  <si>
    <t>3805901000</t>
  </si>
  <si>
    <t>3805909000</t>
  </si>
  <si>
    <t>3806100000</t>
  </si>
  <si>
    <t>3806200000</t>
  </si>
  <si>
    <t>3806300000</t>
  </si>
  <si>
    <t>3806903000</t>
  </si>
  <si>
    <t>3806904000</t>
  </si>
  <si>
    <t>3806909000</t>
  </si>
  <si>
    <t>3807000000</t>
  </si>
  <si>
    <t>Alquitranes de
madera</t>
  </si>
  <si>
    <t>3808520000</t>
  </si>
  <si>
    <t>3808590010</t>
  </si>
  <si>
    <t>3808590020</t>
  </si>
  <si>
    <t>3808590090</t>
  </si>
  <si>
    <t>3808610000</t>
  </si>
  <si>
    <t>3808620000</t>
  </si>
  <si>
    <t>3808690000</t>
  </si>
  <si>
    <t>3808911200</t>
  </si>
  <si>
    <t>3808911400</t>
  </si>
  <si>
    <t>3808911500</t>
  </si>
  <si>
    <t>3808911900</t>
  </si>
  <si>
    <t>3808919100</t>
  </si>
  <si>
    <t>3808919300</t>
  </si>
  <si>
    <t>3808919400</t>
  </si>
  <si>
    <t>3808919500</t>
  </si>
  <si>
    <t>3808919700</t>
  </si>
  <si>
    <t>3808919800</t>
  </si>
  <si>
    <t>3808919900</t>
  </si>
  <si>
    <t>3808921100</t>
  </si>
  <si>
    <t>3808921200</t>
  </si>
  <si>
    <t>3808921900</t>
  </si>
  <si>
    <t>3808929100</t>
  </si>
  <si>
    <t>3808929200</t>
  </si>
  <si>
    <t>3808929300</t>
  </si>
  <si>
    <t>3808929400</t>
  </si>
  <si>
    <t>3808929900</t>
  </si>
  <si>
    <t>3808931100</t>
  </si>
  <si>
    <t>3808931900</t>
  </si>
  <si>
    <t>3808939100</t>
  </si>
  <si>
    <t>3808939300</t>
  </si>
  <si>
    <t>3808939900</t>
  </si>
  <si>
    <t>3808941100</t>
  </si>
  <si>
    <t>3808941900</t>
  </si>
  <si>
    <t>3808949100</t>
  </si>
  <si>
    <t>3808949900</t>
  </si>
  <si>
    <t>3808991100</t>
  </si>
  <si>
    <t>3808991900</t>
  </si>
  <si>
    <t>3808999100</t>
  </si>
  <si>
    <t>3808999900</t>
  </si>
  <si>
    <t>3809100000</t>
  </si>
  <si>
    <t>3809910000</t>
  </si>
  <si>
    <t>3809920000</t>
  </si>
  <si>
    <t>3809930000</t>
  </si>
  <si>
    <t>3810101000</t>
  </si>
  <si>
    <t>3810102000</t>
  </si>
  <si>
    <t>3810109000</t>
  </si>
  <si>
    <t>3810901000</t>
  </si>
  <si>
    <t>3810902000</t>
  </si>
  <si>
    <t>3811110000</t>
  </si>
  <si>
    <t>3811190000</t>
  </si>
  <si>
    <t>3811211000</t>
  </si>
  <si>
    <t>3811212000</t>
  </si>
  <si>
    <t>3811219000</t>
  </si>
  <si>
    <t>3811290000</t>
  </si>
  <si>
    <t>3811900000</t>
  </si>
  <si>
    <t>Preservante</t>
  </si>
  <si>
    <t>3812100000</t>
  </si>
  <si>
    <t>3812200000</t>
  </si>
  <si>
    <t>3812310000</t>
  </si>
  <si>
    <t>3812391000</t>
  </si>
  <si>
    <t>3812399000</t>
  </si>
  <si>
    <t>3813001200</t>
  </si>
  <si>
    <t>3813001300</t>
  </si>
  <si>
    <t>3813001400</t>
  </si>
  <si>
    <t>3813001500</t>
  </si>
  <si>
    <t>3813001900</t>
  </si>
  <si>
    <t>3813002000</t>
  </si>
  <si>
    <t>3814001000</t>
  </si>
  <si>
    <t>3814002000</t>
  </si>
  <si>
    <t>3814003000</t>
  </si>
  <si>
    <t>3814009000</t>
  </si>
  <si>
    <t>Disolvente</t>
  </si>
  <si>
    <t>3815110000</t>
  </si>
  <si>
    <t>3815120000</t>
  </si>
  <si>
    <t>3815191000</t>
  </si>
  <si>
    <t>3815199000</t>
  </si>
  <si>
    <t>3815900000</t>
  </si>
  <si>
    <t>3816000000</t>
  </si>
  <si>
    <t>Cementos, morteros, hormigones y preparaciones
similares, refractarios, excepto los productos de la
partida 38.01.</t>
  </si>
  <si>
    <t>3817001000</t>
  </si>
  <si>
    <t>3817002000</t>
  </si>
  <si>
    <t>3817009010</t>
  </si>
  <si>
    <t>3817009090</t>
  </si>
  <si>
    <t>3818000000</t>
  </si>
  <si>
    <t>Elementos químicos dopados para uso en
electrónica, en discos, obleas («wafers») o formas
análogas; compuestos químicos dopados para
uso en electrónica.</t>
  </si>
  <si>
    <t>3819000000</t>
  </si>
  <si>
    <t>Líquidos para frenos hidráulicos</t>
  </si>
  <si>
    <t>3820000000</t>
  </si>
  <si>
    <t>Preparaciones anticongelantes y líquidos
preparados para descongelar.</t>
  </si>
  <si>
    <t>3821000010</t>
  </si>
  <si>
    <t>3821000020</t>
  </si>
  <si>
    <t>3822003000</t>
  </si>
  <si>
    <t>3822009000</t>
  </si>
  <si>
    <t>3823110000</t>
  </si>
  <si>
    <t>3823120000</t>
  </si>
  <si>
    <t>3823130000</t>
  </si>
  <si>
    <t>Ácidos grasos</t>
  </si>
  <si>
    <t>3823190000</t>
  </si>
  <si>
    <t>3823701000</t>
  </si>
  <si>
    <t>3823702000</t>
  </si>
  <si>
    <t>3823703000</t>
  </si>
  <si>
    <t>3823709000</t>
  </si>
  <si>
    <t>3824100000</t>
  </si>
  <si>
    <t>3824300000</t>
  </si>
  <si>
    <t>3824400000</t>
  </si>
  <si>
    <t>3824500000</t>
  </si>
  <si>
    <t>3824600000</t>
  </si>
  <si>
    <t>3824710010</t>
  </si>
  <si>
    <t>3824710090</t>
  </si>
  <si>
    <t>3824720000</t>
  </si>
  <si>
    <t>3824730000</t>
  </si>
  <si>
    <t>3824740000</t>
  </si>
  <si>
    <t>3824750000</t>
  </si>
  <si>
    <t>3824760000</t>
  </si>
  <si>
    <t>3824770000</t>
  </si>
  <si>
    <t>3824780000</t>
  </si>
  <si>
    <t>3824790010</t>
  </si>
  <si>
    <t>3824790020</t>
  </si>
  <si>
    <t>3824790090</t>
  </si>
  <si>
    <t>3824810000</t>
  </si>
  <si>
    <t>3824820000</t>
  </si>
  <si>
    <t>3824830000</t>
  </si>
  <si>
    <t>3824840000</t>
  </si>
  <si>
    <t>3824850000</t>
  </si>
  <si>
    <t>3824860000</t>
  </si>
  <si>
    <t>3824870000</t>
  </si>
  <si>
    <t>3824880000</t>
  </si>
  <si>
    <t>3824910000</t>
  </si>
  <si>
    <t>3824991000</t>
  </si>
  <si>
    <t>3824992100</t>
  </si>
  <si>
    <t>3824992200</t>
  </si>
  <si>
    <t>3824993100</t>
  </si>
  <si>
    <t>3824993200</t>
  </si>
  <si>
    <t>3824994000</t>
  </si>
  <si>
    <t>3824995000</t>
  </si>
  <si>
    <t>3824996000</t>
  </si>
  <si>
    <t>3824997000</t>
  </si>
  <si>
    <t>3824998000</t>
  </si>
  <si>
    <t>3824999100</t>
  </si>
  <si>
    <t>3824999200</t>
  </si>
  <si>
    <t>3824999300</t>
  </si>
  <si>
    <t>3824999400</t>
  </si>
  <si>
    <t>3824999500</t>
  </si>
  <si>
    <t>3824999600</t>
  </si>
  <si>
    <t>3824999700</t>
  </si>
  <si>
    <t>3824999800</t>
  </si>
  <si>
    <t>3824999911</t>
  </si>
  <si>
    <t>3824999912</t>
  </si>
  <si>
    <t>3824999913</t>
  </si>
  <si>
    <t>3824999914</t>
  </si>
  <si>
    <t>3824999915</t>
  </si>
  <si>
    <t>3824999920</t>
  </si>
  <si>
    <t>3824999930</t>
  </si>
  <si>
    <t>3824999941</t>
  </si>
  <si>
    <t>3824999942</t>
  </si>
  <si>
    <t>3824999951</t>
  </si>
  <si>
    <t>3824999959</t>
  </si>
  <si>
    <t>3824999960</t>
  </si>
  <si>
    <t>3824999971</t>
  </si>
  <si>
    <t>3824999979</t>
  </si>
  <si>
    <t>3824999991</t>
  </si>
  <si>
    <t>3824999999</t>
  </si>
  <si>
    <t>3825100000</t>
  </si>
  <si>
    <t>3825200000</t>
  </si>
  <si>
    <t>3825300000</t>
  </si>
  <si>
    <t>3825410000</t>
  </si>
  <si>
    <t>3825490000</t>
  </si>
  <si>
    <t>3825500000</t>
  </si>
  <si>
    <t>3825610000</t>
  </si>
  <si>
    <t>3825690000</t>
  </si>
  <si>
    <t>3825900000</t>
  </si>
  <si>
    <t>3826000000</t>
  </si>
  <si>
    <t>Biodiésel y sus mezclas, sin aceites de petróleo o
de mineral bituminoso o con un contenido inferior
al 70 % en peso.</t>
  </si>
  <si>
    <t>3901100000</t>
  </si>
  <si>
    <t>3901200000</t>
  </si>
  <si>
    <t>3901300000</t>
  </si>
  <si>
    <t>3901400000</t>
  </si>
  <si>
    <t>3901901000</t>
  </si>
  <si>
    <t>3901909000</t>
  </si>
  <si>
    <t>3902100000</t>
  </si>
  <si>
    <t>3902200000</t>
  </si>
  <si>
    <t>3902300000</t>
  </si>
  <si>
    <t>3902900000</t>
  </si>
  <si>
    <t>3903110000</t>
  </si>
  <si>
    <t>3903190000</t>
  </si>
  <si>
    <t>3903200000</t>
  </si>
  <si>
    <t>3903300000</t>
  </si>
  <si>
    <t>3903900000</t>
  </si>
  <si>
    <t>Plástico y sus manufacturas</t>
  </si>
  <si>
    <t>3904101000</t>
  </si>
  <si>
    <t>3904102000</t>
  </si>
  <si>
    <t>3904109000</t>
  </si>
  <si>
    <t>3904210000</t>
  </si>
  <si>
    <t>3904220000</t>
  </si>
  <si>
    <t>3904301000</t>
  </si>
  <si>
    <t>3904309000</t>
  </si>
  <si>
    <t>3904400000</t>
  </si>
  <si>
    <t>3904500000</t>
  </si>
  <si>
    <t>3904610000</t>
  </si>
  <si>
    <t>3904690000</t>
  </si>
  <si>
    <t>3904900000</t>
  </si>
  <si>
    <t>3905120000</t>
  </si>
  <si>
    <t>3905190000</t>
  </si>
  <si>
    <t>3905210000</t>
  </si>
  <si>
    <t>3905290000</t>
  </si>
  <si>
    <t>3905300000</t>
  </si>
  <si>
    <t>3905910000</t>
  </si>
  <si>
    <t>3905991000</t>
  </si>
  <si>
    <t>3905992000</t>
  </si>
  <si>
    <t>3905999000</t>
  </si>
  <si>
    <t>3906100000</t>
  </si>
  <si>
    <t>3906901000</t>
  </si>
  <si>
    <t>3906902100</t>
  </si>
  <si>
    <t>3906902900</t>
  </si>
  <si>
    <t>3906909000</t>
  </si>
  <si>
    <t>3907100000</t>
  </si>
  <si>
    <t>3907201000</t>
  </si>
  <si>
    <t>3907202000</t>
  </si>
  <si>
    <t>3907203000</t>
  </si>
  <si>
    <t>3907209000</t>
  </si>
  <si>
    <t>3907301000</t>
  </si>
  <si>
    <t>3907309000</t>
  </si>
  <si>
    <t>3907400000</t>
  </si>
  <si>
    <t>3907500000</t>
  </si>
  <si>
    <t>3907611000</t>
  </si>
  <si>
    <t>3907619000</t>
  </si>
  <si>
    <t>3907691000</t>
  </si>
  <si>
    <t>3907699000</t>
  </si>
  <si>
    <t>3907700000</t>
  </si>
  <si>
    <t>3907910000</t>
  </si>
  <si>
    <t>3907990000</t>
  </si>
  <si>
    <t>3908101000</t>
  </si>
  <si>
    <t>3908109000</t>
  </si>
  <si>
    <t>3908900000</t>
  </si>
  <si>
    <t>3909101000</t>
  </si>
  <si>
    <t>3909109000</t>
  </si>
  <si>
    <t>3909201000</t>
  </si>
  <si>
    <t>3909209000</t>
  </si>
  <si>
    <t>3909310000</t>
  </si>
  <si>
    <t>3909390000</t>
  </si>
  <si>
    <t>3909400000</t>
  </si>
  <si>
    <t>3909500000</t>
  </si>
  <si>
    <t>3910001000</t>
  </si>
  <si>
    <t>3910009000</t>
  </si>
  <si>
    <t>3911101000</t>
  </si>
  <si>
    <t>3911109000</t>
  </si>
  <si>
    <t>3911900000</t>
  </si>
  <si>
    <t>3912110000</t>
  </si>
  <si>
    <t>3912120000</t>
  </si>
  <si>
    <t>3912201000</t>
  </si>
  <si>
    <t>3912209000</t>
  </si>
  <si>
    <t>3912310000</t>
  </si>
  <si>
    <t>3912390010</t>
  </si>
  <si>
    <t>3912390020</t>
  </si>
  <si>
    <t>3912900000</t>
  </si>
  <si>
    <t>3913100000</t>
  </si>
  <si>
    <t>3913901000</t>
  </si>
  <si>
    <t>3913903000</t>
  </si>
  <si>
    <t>3913904000</t>
  </si>
  <si>
    <t>3913909000</t>
  </si>
  <si>
    <t>3914000000</t>
  </si>
  <si>
    <t>Intercambiadores de iones a base de polímeros
de las partidas 39.01 a 39.13, en formas
primarias.</t>
  </si>
  <si>
    <t>3915100000</t>
  </si>
  <si>
    <t>3915200000</t>
  </si>
  <si>
    <t>3915300000</t>
  </si>
  <si>
    <t>3915900000</t>
  </si>
  <si>
    <t>3916100000</t>
  </si>
  <si>
    <t>3916200000</t>
  </si>
  <si>
    <t>3916900000</t>
  </si>
  <si>
    <t>3917100000</t>
  </si>
  <si>
    <t>3917211000</t>
  </si>
  <si>
    <t>3917219000</t>
  </si>
  <si>
    <t>3917220000</t>
  </si>
  <si>
    <t>3917231000</t>
  </si>
  <si>
    <t>3917239000</t>
  </si>
  <si>
    <t>3917291000</t>
  </si>
  <si>
    <t>3917299100</t>
  </si>
  <si>
    <t>3917299900</t>
  </si>
  <si>
    <t>Tubos</t>
  </si>
  <si>
    <t>3917310000</t>
  </si>
  <si>
    <t>3917321000</t>
  </si>
  <si>
    <t>3917329100</t>
  </si>
  <si>
    <t>3917329900</t>
  </si>
  <si>
    <t>3917331000</t>
  </si>
  <si>
    <t>3917339000</t>
  </si>
  <si>
    <t>3917391000</t>
  </si>
  <si>
    <t>3917399000</t>
  </si>
  <si>
    <t>3917400000</t>
  </si>
  <si>
    <t>3918101000</t>
  </si>
  <si>
    <t>3918109000</t>
  </si>
  <si>
    <t>3918901000</t>
  </si>
  <si>
    <t>3918909000</t>
  </si>
  <si>
    <t>3919100000</t>
  </si>
  <si>
    <t>Cintas</t>
  </si>
  <si>
    <t>3919901100</t>
  </si>
  <si>
    <t>3919901900</t>
  </si>
  <si>
    <t>3919909000</t>
  </si>
  <si>
    <t>3920100000</t>
  </si>
  <si>
    <t>3920201000</t>
  </si>
  <si>
    <t>3920209000</t>
  </si>
  <si>
    <t>3920301000</t>
  </si>
  <si>
    <t>3920309000</t>
  </si>
  <si>
    <t>3920430000</t>
  </si>
  <si>
    <t>3920490000</t>
  </si>
  <si>
    <t>3920510000</t>
  </si>
  <si>
    <t>3920590000</t>
  </si>
  <si>
    <t>3920610000</t>
  </si>
  <si>
    <t>3920620000</t>
  </si>
  <si>
    <t>3920630000</t>
  </si>
  <si>
    <t>3920690000</t>
  </si>
  <si>
    <t>3920710000</t>
  </si>
  <si>
    <t>3920730000</t>
  </si>
  <si>
    <t>3920790000</t>
  </si>
  <si>
    <t>3920911000</t>
  </si>
  <si>
    <t>3920919000</t>
  </si>
  <si>
    <t>3920920000</t>
  </si>
  <si>
    <t>3920930000</t>
  </si>
  <si>
    <t>3920940000</t>
  </si>
  <si>
    <t>3920990000</t>
  </si>
  <si>
    <t>3921110000</t>
  </si>
  <si>
    <t>3921120000</t>
  </si>
  <si>
    <t>3921130000</t>
  </si>
  <si>
    <t>3921140000</t>
  </si>
  <si>
    <t>3921191000</t>
  </si>
  <si>
    <t>3921199000</t>
  </si>
  <si>
    <t>3921901000</t>
  </si>
  <si>
    <t>3921909000</t>
  </si>
  <si>
    <t>3922101000</t>
  </si>
  <si>
    <t>3922109000</t>
  </si>
  <si>
    <t>3922200000</t>
  </si>
  <si>
    <t>3922900000</t>
  </si>
  <si>
    <t>3923101000</t>
  </si>
  <si>
    <t>3923109000</t>
  </si>
  <si>
    <t>3923210000</t>
  </si>
  <si>
    <t>3923291000</t>
  </si>
  <si>
    <t>3923292000</t>
  </si>
  <si>
    <t>3923299000</t>
  </si>
  <si>
    <t>3923302000</t>
  </si>
  <si>
    <t>3923309100</t>
  </si>
  <si>
    <t>3923309900</t>
  </si>
  <si>
    <t>3923401000</t>
  </si>
  <si>
    <t>3923409000</t>
  </si>
  <si>
    <t>3923501000</t>
  </si>
  <si>
    <t>3923509000</t>
  </si>
  <si>
    <t>Botellas y frascos de vidrio</t>
  </si>
  <si>
    <t>3923900000</t>
  </si>
  <si>
    <t>3924101000</t>
  </si>
  <si>
    <t>3924109000</t>
  </si>
  <si>
    <t>3924900000</t>
  </si>
  <si>
    <t>3925100000</t>
  </si>
  <si>
    <t>Depósitos, cisternas, cubas</t>
  </si>
  <si>
    <t>3925200000</t>
  </si>
  <si>
    <t>3925300000</t>
  </si>
  <si>
    <t>3925900000</t>
  </si>
  <si>
    <t>3926100000</t>
  </si>
  <si>
    <t>3926200000</t>
  </si>
  <si>
    <t>3926300000</t>
  </si>
  <si>
    <t>3926400000</t>
  </si>
  <si>
    <t>3926901000</t>
  </si>
  <si>
    <t>3926902000</t>
  </si>
  <si>
    <t>3926903000</t>
  </si>
  <si>
    <t>Tornillos, pernos, arandelas</t>
  </si>
  <si>
    <t>3926904000</t>
  </si>
  <si>
    <t>Juntas o empaquetaduras</t>
  </si>
  <si>
    <t>3926906000</t>
  </si>
  <si>
    <t>3926907000</t>
  </si>
  <si>
    <t>Máscaras de protección</t>
  </si>
  <si>
    <t>3926909010</t>
  </si>
  <si>
    <t>3926909090</t>
  </si>
  <si>
    <t>Productos de plástico</t>
  </si>
  <si>
    <t>4001100000</t>
  </si>
  <si>
    <t>4001210000</t>
  </si>
  <si>
    <t>4001220000</t>
  </si>
  <si>
    <t>4001291000</t>
  </si>
  <si>
    <t>4001292000</t>
  </si>
  <si>
    <t>4001299000</t>
  </si>
  <si>
    <t>4001300000</t>
  </si>
  <si>
    <t>4002111000</t>
  </si>
  <si>
    <t>4002112000</t>
  </si>
  <si>
    <t>4002191100</t>
  </si>
  <si>
    <t>4002191200</t>
  </si>
  <si>
    <t>4002192100</t>
  </si>
  <si>
    <t>4002192200</t>
  </si>
  <si>
    <t>4002201000</t>
  </si>
  <si>
    <t>4002209100</t>
  </si>
  <si>
    <t>4002209200</t>
  </si>
  <si>
    <t>4002311000</t>
  </si>
  <si>
    <t>4002319100</t>
  </si>
  <si>
    <t>4002319200</t>
  </si>
  <si>
    <t>4002391000</t>
  </si>
  <si>
    <t>4002399100</t>
  </si>
  <si>
    <t>4002399200</t>
  </si>
  <si>
    <t>4002410000</t>
  </si>
  <si>
    <t>Látex</t>
  </si>
  <si>
    <t>4002491000</t>
  </si>
  <si>
    <t>4002492000</t>
  </si>
  <si>
    <t>4002510000</t>
  </si>
  <si>
    <t>4002591000</t>
  </si>
  <si>
    <t>4002592000</t>
  </si>
  <si>
    <t>4002601000</t>
  </si>
  <si>
    <t>4002609100</t>
  </si>
  <si>
    <t>4002609200</t>
  </si>
  <si>
    <t>4002701000</t>
  </si>
  <si>
    <t>4002709100</t>
  </si>
  <si>
    <t>4002709200</t>
  </si>
  <si>
    <t>4002800000</t>
  </si>
  <si>
    <t>4002910000</t>
  </si>
  <si>
    <t>4002991010</t>
  </si>
  <si>
    <t>4002991090</t>
  </si>
  <si>
    <t>4002992000</t>
  </si>
  <si>
    <t>4003000000</t>
  </si>
  <si>
    <t>Caucho regenerado en formas primarias o en
placas, hojas o tiras.</t>
  </si>
  <si>
    <t>4004000000</t>
  </si>
  <si>
    <t>Desechos, desperdicios y recortes, de caucho sin
endurecer, incluso en polvo o gránulos.</t>
  </si>
  <si>
    <t>4005100000</t>
  </si>
  <si>
    <t>4005200010</t>
  </si>
  <si>
    <t>4005200090</t>
  </si>
  <si>
    <t>4005911000</t>
  </si>
  <si>
    <t>4005919000</t>
  </si>
  <si>
    <t>4005991000</t>
  </si>
  <si>
    <t>4005999000</t>
  </si>
  <si>
    <t>4006100000</t>
  </si>
  <si>
    <t>4006900000</t>
  </si>
  <si>
    <t>4007000000</t>
  </si>
  <si>
    <t>Hilos y cuerdas, de caucho vulcanizado.</t>
  </si>
  <si>
    <t>4008111000</t>
  </si>
  <si>
    <t>4008112000</t>
  </si>
  <si>
    <t>4008190000</t>
  </si>
  <si>
    <t>4008211000</t>
  </si>
  <si>
    <t>4008212100</t>
  </si>
  <si>
    <t>4008212900</t>
  </si>
  <si>
    <t>4008290000</t>
  </si>
  <si>
    <t>4009110000</t>
  </si>
  <si>
    <t>Mangueras</t>
  </si>
  <si>
    <t>4009120000</t>
  </si>
  <si>
    <t>4009210000</t>
  </si>
  <si>
    <t>4009220000</t>
  </si>
  <si>
    <t>4009310000</t>
  </si>
  <si>
    <t>4009320000</t>
  </si>
  <si>
    <t>4009410000</t>
  </si>
  <si>
    <t>4009420000</t>
  </si>
  <si>
    <t>4010110000</t>
  </si>
  <si>
    <t>4010120000</t>
  </si>
  <si>
    <t>4010191000</t>
  </si>
  <si>
    <t>4010199000</t>
  </si>
  <si>
    <t>4010310000</t>
  </si>
  <si>
    <t>4010320000</t>
  </si>
  <si>
    <t>4010330000</t>
  </si>
  <si>
    <t>4010340000</t>
  </si>
  <si>
    <t>4010350000</t>
  </si>
  <si>
    <t>4010360000</t>
  </si>
  <si>
    <t>4010390000</t>
  </si>
  <si>
    <t>Correas de transmisión</t>
  </si>
  <si>
    <t>4011101000</t>
  </si>
  <si>
    <t>4011109000</t>
  </si>
  <si>
    <t>4011201000</t>
  </si>
  <si>
    <t>4011209000</t>
  </si>
  <si>
    <t>4011300000</t>
  </si>
  <si>
    <t>Llanta de ten de aterrizaje</t>
  </si>
  <si>
    <t>4011400000</t>
  </si>
  <si>
    <t>4011500000</t>
  </si>
  <si>
    <t>4011700000</t>
  </si>
  <si>
    <t>4011800000</t>
  </si>
  <si>
    <t>4011900000</t>
  </si>
  <si>
    <t>4012110000</t>
  </si>
  <si>
    <t>4012120000</t>
  </si>
  <si>
    <t>4012130000</t>
  </si>
  <si>
    <t>4012190000</t>
  </si>
  <si>
    <t>4012200000</t>
  </si>
  <si>
    <t>4012901000</t>
  </si>
  <si>
    <t>4012902000</t>
  </si>
  <si>
    <t>4012903000</t>
  </si>
  <si>
    <t>4012904100</t>
  </si>
  <si>
    <t>4012904900</t>
  </si>
  <si>
    <t>4013100000</t>
  </si>
  <si>
    <t>4013200000</t>
  </si>
  <si>
    <t>4013900000</t>
  </si>
  <si>
    <t>4014100000</t>
  </si>
  <si>
    <t>4014900000</t>
  </si>
  <si>
    <t>4015110000</t>
  </si>
  <si>
    <t>4015191000</t>
  </si>
  <si>
    <t>4015199000</t>
  </si>
  <si>
    <t>4015901000</t>
  </si>
  <si>
    <t>4015902000</t>
  </si>
  <si>
    <t>4015909000</t>
  </si>
  <si>
    <t>4016100000</t>
  </si>
  <si>
    <t>4016910000</t>
  </si>
  <si>
    <t>Alfombras</t>
  </si>
  <si>
    <t>4016920000</t>
  </si>
  <si>
    <t>4016930000</t>
  </si>
  <si>
    <t>4016940000</t>
  </si>
  <si>
    <t>4016951000</t>
  </si>
  <si>
    <t>4016952000</t>
  </si>
  <si>
    <t>4016959000</t>
  </si>
  <si>
    <t>4016991000</t>
  </si>
  <si>
    <t>Artículos para usos técnicos</t>
  </si>
  <si>
    <t>4016992100</t>
  </si>
  <si>
    <t>4016992900</t>
  </si>
  <si>
    <t>Jebe</t>
  </si>
  <si>
    <t>4016993000</t>
  </si>
  <si>
    <t>Tapones</t>
  </si>
  <si>
    <t>4016994000</t>
  </si>
  <si>
    <t>4016996000</t>
  </si>
  <si>
    <t>4016999000</t>
  </si>
  <si>
    <t>4017000000</t>
  </si>
  <si>
    <t>Manufacturas de caucho</t>
  </si>
  <si>
    <t>4101200000</t>
  </si>
  <si>
    <t>4101500000</t>
  </si>
  <si>
    <t>4101900000</t>
  </si>
  <si>
    <t>4102100000</t>
  </si>
  <si>
    <t>4102210000</t>
  </si>
  <si>
    <t>4102290000</t>
  </si>
  <si>
    <t>4103200000</t>
  </si>
  <si>
    <t>4103300000</t>
  </si>
  <si>
    <t>4103900000</t>
  </si>
  <si>
    <t>4104110000</t>
  </si>
  <si>
    <t>4104190000</t>
  </si>
  <si>
    <t>4104410000</t>
  </si>
  <si>
    <t>4104490000</t>
  </si>
  <si>
    <t>4105100000</t>
  </si>
  <si>
    <t>4105300000</t>
  </si>
  <si>
    <t>4106210000</t>
  </si>
  <si>
    <t>4106220000</t>
  </si>
  <si>
    <t>4106310000</t>
  </si>
  <si>
    <t>4106320000</t>
  </si>
  <si>
    <t>4106400000</t>
  </si>
  <si>
    <t>4106910000</t>
  </si>
  <si>
    <t>4106920000</t>
  </si>
  <si>
    <t>4107110000</t>
  </si>
  <si>
    <t>4107120000</t>
  </si>
  <si>
    <t>4107190000</t>
  </si>
  <si>
    <t>4107910000</t>
  </si>
  <si>
    <t>4107920000</t>
  </si>
  <si>
    <t>4107990000</t>
  </si>
  <si>
    <t>4112000000</t>
  </si>
  <si>
    <t>Manufacturas de cuero</t>
  </si>
  <si>
    <t>4113100000</t>
  </si>
  <si>
    <t>4113200000</t>
  </si>
  <si>
    <t>4113300000</t>
  </si>
  <si>
    <t>4113900000</t>
  </si>
  <si>
    <t>4114100000</t>
  </si>
  <si>
    <t>4114200000</t>
  </si>
  <si>
    <t>4115100000</t>
  </si>
  <si>
    <t>4115200000</t>
  </si>
  <si>
    <t>4201000000</t>
  </si>
  <si>
    <t>Artículos de talabartería o guarnicionería para
todos los animales (incluidos los tiros, traíllas,
rodilleras, bozales, sudaderos, alforjas, abrigos
para perros y artículos similares), de cualquier
materia.</t>
  </si>
  <si>
    <t>4202111000</t>
  </si>
  <si>
    <t>4202119000</t>
  </si>
  <si>
    <t>4202121000</t>
  </si>
  <si>
    <t>4202129000</t>
  </si>
  <si>
    <t>4202190000</t>
  </si>
  <si>
    <t>4202210000</t>
  </si>
  <si>
    <t>4202220000</t>
  </si>
  <si>
    <t>4202290000</t>
  </si>
  <si>
    <t>4202310000</t>
  </si>
  <si>
    <t>4202320000</t>
  </si>
  <si>
    <t>4202390000</t>
  </si>
  <si>
    <t>4202911000</t>
  </si>
  <si>
    <t>4202919000</t>
  </si>
  <si>
    <t>4202920000</t>
  </si>
  <si>
    <t>4202991000</t>
  </si>
  <si>
    <t>4202999000</t>
  </si>
  <si>
    <t>Artesanías</t>
  </si>
  <si>
    <t>4203100000</t>
  </si>
  <si>
    <t>4203210000</t>
  </si>
  <si>
    <t>4203290000</t>
  </si>
  <si>
    <t>4203300000</t>
  </si>
  <si>
    <t>4203400000</t>
  </si>
  <si>
    <t>4205001000</t>
  </si>
  <si>
    <t>4205009010</t>
  </si>
  <si>
    <t>4205009090</t>
  </si>
  <si>
    <t>4206001000</t>
  </si>
  <si>
    <t>4206002000</t>
  </si>
  <si>
    <t>4206009000</t>
  </si>
  <si>
    <t>4301100000</t>
  </si>
  <si>
    <t>4301300000</t>
  </si>
  <si>
    <t>4301600000</t>
  </si>
  <si>
    <t>4301800000</t>
  </si>
  <si>
    <t>4301900000</t>
  </si>
  <si>
    <t>4302110000</t>
  </si>
  <si>
    <t>4302190000</t>
  </si>
  <si>
    <t>4302200000</t>
  </si>
  <si>
    <t>4302300000</t>
  </si>
  <si>
    <t>4303101000</t>
  </si>
  <si>
    <t>4303109000</t>
  </si>
  <si>
    <t>4303901000</t>
  </si>
  <si>
    <t>4303909000</t>
  </si>
  <si>
    <t>4304000000</t>
  </si>
  <si>
    <t>Peletería facticia o artificial y artículos de peletería
facticia o artificial.</t>
  </si>
  <si>
    <t>4401110000</t>
  </si>
  <si>
    <t>4401120000</t>
  </si>
  <si>
    <t>4401210000</t>
  </si>
  <si>
    <t>4401220000</t>
  </si>
  <si>
    <t>4401310000</t>
  </si>
  <si>
    <t>4401390000</t>
  </si>
  <si>
    <t>4401400000</t>
  </si>
  <si>
    <t>4402100000</t>
  </si>
  <si>
    <t>4402900000</t>
  </si>
  <si>
    <t>Carbón vegetal</t>
  </si>
  <si>
    <t>4403110000</t>
  </si>
  <si>
    <t>4403120000</t>
  </si>
  <si>
    <t>4403210000</t>
  </si>
  <si>
    <t>4403220000</t>
  </si>
  <si>
    <t>4403230000</t>
  </si>
  <si>
    <t>4403240000</t>
  </si>
  <si>
    <t>4403250000</t>
  </si>
  <si>
    <t>4403260000</t>
  </si>
  <si>
    <t>4403410000</t>
  </si>
  <si>
    <t>4403491000</t>
  </si>
  <si>
    <t>4403499000</t>
  </si>
  <si>
    <t>Madera aserrada</t>
  </si>
  <si>
    <t>4403910000</t>
  </si>
  <si>
    <t>4403930000</t>
  </si>
  <si>
    <t>4403940000</t>
  </si>
  <si>
    <t>4403950000</t>
  </si>
  <si>
    <t>4403960000</t>
  </si>
  <si>
    <t>4403970000</t>
  </si>
  <si>
    <t>4403980000</t>
  </si>
  <si>
    <t>4403990000</t>
  </si>
  <si>
    <t>4404100000</t>
  </si>
  <si>
    <t>4404200000</t>
  </si>
  <si>
    <t>4405000000</t>
  </si>
  <si>
    <t>Lana de madera; harina de madera.</t>
  </si>
  <si>
    <t>4406110000</t>
  </si>
  <si>
    <t>4406120000</t>
  </si>
  <si>
    <t>4406910000</t>
  </si>
  <si>
    <t>4406920000</t>
  </si>
  <si>
    <t>4407111000</t>
  </si>
  <si>
    <t>4407119000</t>
  </si>
  <si>
    <t>4407120000</t>
  </si>
  <si>
    <t>4407191000</t>
  </si>
  <si>
    <t>4407199000</t>
  </si>
  <si>
    <t>4407210000</t>
  </si>
  <si>
    <t>4407220000</t>
  </si>
  <si>
    <t>4407250000</t>
  </si>
  <si>
    <t>4407260000</t>
  </si>
  <si>
    <t>4407270000</t>
  </si>
  <si>
    <t>4407280000</t>
  </si>
  <si>
    <t>4407291000</t>
  </si>
  <si>
    <t>4407299000</t>
  </si>
  <si>
    <t>4407910000</t>
  </si>
  <si>
    <t>4407920000</t>
  </si>
  <si>
    <t>4407930000</t>
  </si>
  <si>
    <t>4407940000</t>
  </si>
  <si>
    <t>4407950000</t>
  </si>
  <si>
    <t>4407960000</t>
  </si>
  <si>
    <t>4407970000</t>
  </si>
  <si>
    <t>4407990000</t>
  </si>
  <si>
    <t>4408101000</t>
  </si>
  <si>
    <t>4408109000</t>
  </si>
  <si>
    <t>4408310000</t>
  </si>
  <si>
    <t>4408391000</t>
  </si>
  <si>
    <t>4408399000</t>
  </si>
  <si>
    <t>4408900000</t>
  </si>
  <si>
    <t>4409101000</t>
  </si>
  <si>
    <t>4409102000</t>
  </si>
  <si>
    <t>Madera moldurada</t>
  </si>
  <si>
    <t>4409109000</t>
  </si>
  <si>
    <t>4409210000</t>
  </si>
  <si>
    <t>4409221010</t>
  </si>
  <si>
    <t>Tablillas y frisos</t>
  </si>
  <si>
    <t>4409221020</t>
  </si>
  <si>
    <t>4409221090</t>
  </si>
  <si>
    <t>Decking</t>
  </si>
  <si>
    <t>4409229010</t>
  </si>
  <si>
    <t>4409229020</t>
  </si>
  <si>
    <t>4409229090</t>
  </si>
  <si>
    <t>Machihembrado / Decking / Tablillas y frisos / Tableros / Madera moldurada</t>
  </si>
  <si>
    <t>4409291000</t>
  </si>
  <si>
    <t>Madera tablillas</t>
  </si>
  <si>
    <t>4409292000</t>
  </si>
  <si>
    <t>4409299000</t>
  </si>
  <si>
    <t>4410110000</t>
  </si>
  <si>
    <t>Tableros</t>
  </si>
  <si>
    <t>4410120000</t>
  </si>
  <si>
    <t>4410190000</t>
  </si>
  <si>
    <t>4410900000</t>
  </si>
  <si>
    <t>4411120000</t>
  </si>
  <si>
    <t>4411130000</t>
  </si>
  <si>
    <t>4411140000</t>
  </si>
  <si>
    <t>4411920000</t>
  </si>
  <si>
    <t>4411930000</t>
  </si>
  <si>
    <t>4411940000</t>
  </si>
  <si>
    <t>4412100000</t>
  </si>
  <si>
    <t>4412310000</t>
  </si>
  <si>
    <t>Triplay</t>
  </si>
  <si>
    <t>4412330000</t>
  </si>
  <si>
    <t>4412340000</t>
  </si>
  <si>
    <t>4412390000</t>
  </si>
  <si>
    <t>4412940000</t>
  </si>
  <si>
    <t>4412990000</t>
  </si>
  <si>
    <t>4413000000</t>
  </si>
  <si>
    <t>Madera densificada en bloques, tablas, tiras o perfiles</t>
  </si>
  <si>
    <t>4414000000</t>
  </si>
  <si>
    <t>Marcos de madera para cuadros, fotografías,
espejos u objetos similares.</t>
  </si>
  <si>
    <t>4415100000</t>
  </si>
  <si>
    <t>4415200000</t>
  </si>
  <si>
    <t>4416000000</t>
  </si>
  <si>
    <t>Barriles, cubas, tinas y demás manufacturas de
tonelería y sus partes, de madera, incluidas las
duelas.</t>
  </si>
  <si>
    <t>4417001000</t>
  </si>
  <si>
    <t>4417009000</t>
  </si>
  <si>
    <t>4418100000</t>
  </si>
  <si>
    <t>4418200000</t>
  </si>
  <si>
    <t>Puertas y sus marcos, contramarcos y umbrales</t>
  </si>
  <si>
    <t>4418400000</t>
  </si>
  <si>
    <t>4418500000</t>
  </si>
  <si>
    <t>Tablillas para cubierta de tejados o fachadas</t>
  </si>
  <si>
    <t>4418600000</t>
  </si>
  <si>
    <t>Postes y vigas</t>
  </si>
  <si>
    <t>4418730000</t>
  </si>
  <si>
    <t>4418740000</t>
  </si>
  <si>
    <t>4418750000</t>
  </si>
  <si>
    <t>4418790000</t>
  </si>
  <si>
    <t>4418911000</t>
  </si>
  <si>
    <t>4418919000</t>
  </si>
  <si>
    <t>4418991000</t>
  </si>
  <si>
    <t>4418999000</t>
  </si>
  <si>
    <t>4419110000</t>
  </si>
  <si>
    <t>Tablones para mesa</t>
  </si>
  <si>
    <t>4419120000</t>
  </si>
  <si>
    <t>Palillos</t>
  </si>
  <si>
    <t>4419190000</t>
  </si>
  <si>
    <t>4419900000</t>
  </si>
  <si>
    <t>4420100000</t>
  </si>
  <si>
    <t>4420900000</t>
  </si>
  <si>
    <t>4421100000</t>
  </si>
  <si>
    <t>4421911000</t>
  </si>
  <si>
    <t>4421912000</t>
  </si>
  <si>
    <t>Mondadientes</t>
  </si>
  <si>
    <t>4421913000</t>
  </si>
  <si>
    <t>Palitos y cucharitas planas</t>
  </si>
  <si>
    <t>4421914000</t>
  </si>
  <si>
    <t>Madera preparada para fósforos</t>
  </si>
  <si>
    <t>4421919000</t>
  </si>
  <si>
    <t>4421991000</t>
  </si>
  <si>
    <t>4421992000</t>
  </si>
  <si>
    <t>4421993000</t>
  </si>
  <si>
    <t>4421994000</t>
  </si>
  <si>
    <t>4421999000</t>
  </si>
  <si>
    <t>Maderas acabados</t>
  </si>
  <si>
    <t>4501100000</t>
  </si>
  <si>
    <t>4501900000</t>
  </si>
  <si>
    <t>4502000000</t>
  </si>
  <si>
    <t>Corcho natural, descortezado o simplemente
escuadrado o en bloques, placas, hojas o tiras,
cuadradas o rectangulares (incluidos los esbozos
con aristas vivas para tapones).</t>
  </si>
  <si>
    <t>4503100000</t>
  </si>
  <si>
    <t>4503900000</t>
  </si>
  <si>
    <t>4504100000</t>
  </si>
  <si>
    <t>4504901000</t>
  </si>
  <si>
    <t>4504902000</t>
  </si>
  <si>
    <t>4504909000</t>
  </si>
  <si>
    <t>4601210000</t>
  </si>
  <si>
    <t>4601220000</t>
  </si>
  <si>
    <t>4601290000</t>
  </si>
  <si>
    <t>4601920000</t>
  </si>
  <si>
    <t>4601930000</t>
  </si>
  <si>
    <t>4601940000</t>
  </si>
  <si>
    <t>4601990000</t>
  </si>
  <si>
    <t>4602110000</t>
  </si>
  <si>
    <t>4602120000</t>
  </si>
  <si>
    <t>4602190000</t>
  </si>
  <si>
    <t>4602900000</t>
  </si>
  <si>
    <t>4701000000</t>
  </si>
  <si>
    <t>Pasta mecánica de madera.</t>
  </si>
  <si>
    <t>4702000000</t>
  </si>
  <si>
    <t>Pasta química de madera para disolver.</t>
  </si>
  <si>
    <t>4703110000</t>
  </si>
  <si>
    <t>4703190000</t>
  </si>
  <si>
    <t>4703210000</t>
  </si>
  <si>
    <t>4703290000</t>
  </si>
  <si>
    <t>4704110000</t>
  </si>
  <si>
    <t>4704190000</t>
  </si>
  <si>
    <t>4704210000</t>
  </si>
  <si>
    <t>4704290000</t>
  </si>
  <si>
    <t>4705000000</t>
  </si>
  <si>
    <t>Pasta de madera obtenida por la combinación de
procedimientos mecánico y químico.</t>
  </si>
  <si>
    <t>4706100000</t>
  </si>
  <si>
    <t>4706200000</t>
  </si>
  <si>
    <t>4706300010</t>
  </si>
  <si>
    <t>4706300020</t>
  </si>
  <si>
    <t>4706300030</t>
  </si>
  <si>
    <t>4706910000</t>
  </si>
  <si>
    <t>4706920000</t>
  </si>
  <si>
    <t>4706930000</t>
  </si>
  <si>
    <t>4707100000</t>
  </si>
  <si>
    <t>4707200000</t>
  </si>
  <si>
    <t>4707300000</t>
  </si>
  <si>
    <t>4707900000</t>
  </si>
  <si>
    <t>4801000000</t>
  </si>
  <si>
    <t>Papel prensa en bobinas (rollos) o en hojas.</t>
  </si>
  <si>
    <t>4802100000</t>
  </si>
  <si>
    <t>4802200010</t>
  </si>
  <si>
    <t>4802200090</t>
  </si>
  <si>
    <t>4802400000</t>
  </si>
  <si>
    <t>4802540010</t>
  </si>
  <si>
    <t>4802540090</t>
  </si>
  <si>
    <t>4802551010</t>
  </si>
  <si>
    <t>4802551090</t>
  </si>
  <si>
    <t>4802552000</t>
  </si>
  <si>
    <t>4802559000</t>
  </si>
  <si>
    <t>4802561010</t>
  </si>
  <si>
    <t>4802561090</t>
  </si>
  <si>
    <t>4802562000</t>
  </si>
  <si>
    <t>4802569000</t>
  </si>
  <si>
    <t>4802571010</t>
  </si>
  <si>
    <t>4802571090</t>
  </si>
  <si>
    <t>4802572000</t>
  </si>
  <si>
    <t>4802579000</t>
  </si>
  <si>
    <t>4802581010</t>
  </si>
  <si>
    <t>4802581090</t>
  </si>
  <si>
    <t>4802589010</t>
  </si>
  <si>
    <t>4802589090</t>
  </si>
  <si>
    <t>4802611000</t>
  </si>
  <si>
    <t>4802619010</t>
  </si>
  <si>
    <t>4802619020</t>
  </si>
  <si>
    <t>4802619030</t>
  </si>
  <si>
    <t>4802619040</t>
  </si>
  <si>
    <t>4802619090</t>
  </si>
  <si>
    <t>4802620010</t>
  </si>
  <si>
    <t>4802620020</t>
  </si>
  <si>
    <t>4802620030</t>
  </si>
  <si>
    <t>4802620090</t>
  </si>
  <si>
    <t>4802691000</t>
  </si>
  <si>
    <t>4802699010</t>
  </si>
  <si>
    <t>4802699020</t>
  </si>
  <si>
    <t>4802699030</t>
  </si>
  <si>
    <t>4802699040</t>
  </si>
  <si>
    <t>4802699090</t>
  </si>
  <si>
    <t>4803001000</t>
  </si>
  <si>
    <t>4803009000</t>
  </si>
  <si>
    <t>4804110000</t>
  </si>
  <si>
    <t>4804190000</t>
  </si>
  <si>
    <t>4804210000</t>
  </si>
  <si>
    <t>4804290000</t>
  </si>
  <si>
    <t>4804310010</t>
  </si>
  <si>
    <t>4804310090</t>
  </si>
  <si>
    <t>4804390000</t>
  </si>
  <si>
    <t>4804411000</t>
  </si>
  <si>
    <t>4804419010</t>
  </si>
  <si>
    <t>4804419090</t>
  </si>
  <si>
    <t>4804420000</t>
  </si>
  <si>
    <t>4804490000</t>
  </si>
  <si>
    <t>4804510020</t>
  </si>
  <si>
    <t>4804510090</t>
  </si>
  <si>
    <t>4804520000</t>
  </si>
  <si>
    <t>4804590000</t>
  </si>
  <si>
    <t>4805110000</t>
  </si>
  <si>
    <t>4805120010</t>
  </si>
  <si>
    <t>4805120090</t>
  </si>
  <si>
    <t>4805190010</t>
  </si>
  <si>
    <t>4805190090</t>
  </si>
  <si>
    <t>4805240000</t>
  </si>
  <si>
    <t>4805250010</t>
  </si>
  <si>
    <t>4805250090</t>
  </si>
  <si>
    <t>4805300000</t>
  </si>
  <si>
    <t>4805401000</t>
  </si>
  <si>
    <t>4805402000</t>
  </si>
  <si>
    <t>4805409000</t>
  </si>
  <si>
    <t>4805500000</t>
  </si>
  <si>
    <t>4805911000</t>
  </si>
  <si>
    <t>4805912000</t>
  </si>
  <si>
    <t>4805913000</t>
  </si>
  <si>
    <t>4805919010</t>
  </si>
  <si>
    <t>4805919020</t>
  </si>
  <si>
    <t>4805919090</t>
  </si>
  <si>
    <t>4805921000</t>
  </si>
  <si>
    <t>4805922000</t>
  </si>
  <si>
    <t>4805929000</t>
  </si>
  <si>
    <t>4805931000</t>
  </si>
  <si>
    <t>4805932000</t>
  </si>
  <si>
    <t>4805933000</t>
  </si>
  <si>
    <t>4805939000</t>
  </si>
  <si>
    <t>4806100000</t>
  </si>
  <si>
    <t>4806200000</t>
  </si>
  <si>
    <t>4806300000</t>
  </si>
  <si>
    <t>4806400000</t>
  </si>
  <si>
    <t>4807000000</t>
  </si>
  <si>
    <t>Papel y cartón obtenidos por pegado de hojas
planas, sin estucar ni recubrir en la superficie y sin
impregnar, incluso reforzados interiormente, en
bobinas (rollos) o en hojas.</t>
  </si>
  <si>
    <t>4808100000</t>
  </si>
  <si>
    <t>4808400000</t>
  </si>
  <si>
    <t>4808900000</t>
  </si>
  <si>
    <t>4809200000</t>
  </si>
  <si>
    <t>4809900010</t>
  </si>
  <si>
    <t>4809900090</t>
  </si>
  <si>
    <t>4810131100</t>
  </si>
  <si>
    <t>4810131900</t>
  </si>
  <si>
    <t>4810132000</t>
  </si>
  <si>
    <t>4810141000</t>
  </si>
  <si>
    <t>4810149000</t>
  </si>
  <si>
    <t>4810190000</t>
  </si>
  <si>
    <t>4810220000</t>
  </si>
  <si>
    <t>4810290000</t>
  </si>
  <si>
    <t>4810310000</t>
  </si>
  <si>
    <t>4810320000</t>
  </si>
  <si>
    <t>4810390000</t>
  </si>
  <si>
    <t>4810920000</t>
  </si>
  <si>
    <t>4810990000</t>
  </si>
  <si>
    <t>4811101010</t>
  </si>
  <si>
    <t>4811101090</t>
  </si>
  <si>
    <t>4811109000</t>
  </si>
  <si>
    <t>4811411000</t>
  </si>
  <si>
    <t>4811419000</t>
  </si>
  <si>
    <t>4811491000</t>
  </si>
  <si>
    <t>4811499000</t>
  </si>
  <si>
    <t>4811511010</t>
  </si>
  <si>
    <t>4811511090</t>
  </si>
  <si>
    <t>4811512000</t>
  </si>
  <si>
    <t>4811519000</t>
  </si>
  <si>
    <t>Papel y cartón</t>
  </si>
  <si>
    <t>4811591010</t>
  </si>
  <si>
    <t>4811591090</t>
  </si>
  <si>
    <t>4811592000</t>
  </si>
  <si>
    <t>4811593000</t>
  </si>
  <si>
    <t>4811594010</t>
  </si>
  <si>
    <t>4811594090</t>
  </si>
  <si>
    <t>4811595000</t>
  </si>
  <si>
    <t>4811596000</t>
  </si>
  <si>
    <t>4811599000</t>
  </si>
  <si>
    <t>4811601010</t>
  </si>
  <si>
    <t>4811601090</t>
  </si>
  <si>
    <t>4811609000</t>
  </si>
  <si>
    <t>4811901000</t>
  </si>
  <si>
    <t>4811902010</t>
  </si>
  <si>
    <t>4811902090</t>
  </si>
  <si>
    <t>4811905000</t>
  </si>
  <si>
    <t>4811908010</t>
  </si>
  <si>
    <t>4811908090</t>
  </si>
  <si>
    <t>4811909000</t>
  </si>
  <si>
    <t>4812000000</t>
  </si>
  <si>
    <t>Bloques y placas, filtrantes, de pasta de papel.</t>
  </si>
  <si>
    <t>4813100000</t>
  </si>
  <si>
    <t>4813200000</t>
  </si>
  <si>
    <t>4813900000</t>
  </si>
  <si>
    <t>4814200000</t>
  </si>
  <si>
    <t>4814900010</t>
  </si>
  <si>
    <t>4814900090</t>
  </si>
  <si>
    <t>4816200000</t>
  </si>
  <si>
    <t>4816900000</t>
  </si>
  <si>
    <t>4817100000</t>
  </si>
  <si>
    <t>4817200000</t>
  </si>
  <si>
    <t>4817300000</t>
  </si>
  <si>
    <t>4818100000</t>
  </si>
  <si>
    <t>4818200000</t>
  </si>
  <si>
    <t>4818300000</t>
  </si>
  <si>
    <t>4818500000</t>
  </si>
  <si>
    <t>4818900000</t>
  </si>
  <si>
    <t>4819100000</t>
  </si>
  <si>
    <t>Cajas de papel o cartón</t>
  </si>
  <si>
    <t>4819200000</t>
  </si>
  <si>
    <t>4819301000</t>
  </si>
  <si>
    <t>4819309000</t>
  </si>
  <si>
    <t>4819400000</t>
  </si>
  <si>
    <t>4819500000</t>
  </si>
  <si>
    <t>4819600000</t>
  </si>
  <si>
    <t>4820100000</t>
  </si>
  <si>
    <t>4820200000</t>
  </si>
  <si>
    <t>Cuadernos</t>
  </si>
  <si>
    <t>4820300000</t>
  </si>
  <si>
    <t>4820401000</t>
  </si>
  <si>
    <t>4820409000</t>
  </si>
  <si>
    <t>4820500000</t>
  </si>
  <si>
    <t>4820900010</t>
  </si>
  <si>
    <t>4820900090</t>
  </si>
  <si>
    <t>4821100000</t>
  </si>
  <si>
    <t>Etiquetas</t>
  </si>
  <si>
    <t>4821900000</t>
  </si>
  <si>
    <t>4822100000</t>
  </si>
  <si>
    <t>4822900000</t>
  </si>
  <si>
    <t>4823200010</t>
  </si>
  <si>
    <t>4823200090</t>
  </si>
  <si>
    <t>4823400000</t>
  </si>
  <si>
    <t>4823610000</t>
  </si>
  <si>
    <t>4823690000</t>
  </si>
  <si>
    <t>4823700000</t>
  </si>
  <si>
    <t>4823902000</t>
  </si>
  <si>
    <t>4823904000</t>
  </si>
  <si>
    <t>4823905000</t>
  </si>
  <si>
    <t>4823906000</t>
  </si>
  <si>
    <t>4823909010</t>
  </si>
  <si>
    <t>4823909020</t>
  </si>
  <si>
    <t>4823909030</t>
  </si>
  <si>
    <t>4823909040</t>
  </si>
  <si>
    <t>4823909050</t>
  </si>
  <si>
    <t>4823909060</t>
  </si>
  <si>
    <t>4823909070</t>
  </si>
  <si>
    <t>4823909091</t>
  </si>
  <si>
    <t>4823909099</t>
  </si>
  <si>
    <t>4901101000</t>
  </si>
  <si>
    <t>4901109000</t>
  </si>
  <si>
    <t>4901910000</t>
  </si>
  <si>
    <t>4901991000</t>
  </si>
  <si>
    <t>4901999000</t>
  </si>
  <si>
    <t>Libro, folletos e impresos</t>
  </si>
  <si>
    <t>4902100000</t>
  </si>
  <si>
    <t>4902901000</t>
  </si>
  <si>
    <t>4902909000</t>
  </si>
  <si>
    <t>Diarios</t>
  </si>
  <si>
    <t>4903000000</t>
  </si>
  <si>
    <t>Álbumes o libros de estampas y cuadernos para
dibujar o colorear, para niños.</t>
  </si>
  <si>
    <t>4904000000</t>
  </si>
  <si>
    <t>Música manuscrita o impresa, incluso con
ilustraciones o encuadernada.</t>
  </si>
  <si>
    <t>4905100000</t>
  </si>
  <si>
    <t>4905910000</t>
  </si>
  <si>
    <t>4905990000</t>
  </si>
  <si>
    <t>4906000000</t>
  </si>
  <si>
    <t>Planos y dibujos originales hechos a mano, de
arquitectura, ingeniería, industriales, comerciales,
topográficos o similares; textos manuscritos;
reproducciones fotográficas sobre papel
sensibilizado y copias con papel carbón
(carbónico), de los planos, dibujos o textos antes
mencionados.</t>
  </si>
  <si>
    <t>4907001000</t>
  </si>
  <si>
    <t>4907002000</t>
  </si>
  <si>
    <t>4907003000</t>
  </si>
  <si>
    <t>4907009000</t>
  </si>
  <si>
    <t>4908100000</t>
  </si>
  <si>
    <t>4908901000</t>
  </si>
  <si>
    <t>4908909000</t>
  </si>
  <si>
    <t>4909000000</t>
  </si>
  <si>
    <t>Tarjetas postales impresas o ilustradas; tarjetas
impresas con felicitaciones o comunicaciones
personales, incluso con ilustraciones, adornos o
aplicaciones, o con sobres.</t>
  </si>
  <si>
    <t>4910000000</t>
  </si>
  <si>
    <t>Calendarios de cualquier clase impresos,
incluidos los tacos de calendario.</t>
  </si>
  <si>
    <t>4911100000</t>
  </si>
  <si>
    <t>Impresos publicitarios</t>
  </si>
  <si>
    <t>4911910000</t>
  </si>
  <si>
    <t>4911990000</t>
  </si>
  <si>
    <t>5001000000</t>
  </si>
  <si>
    <t>Capullos de seda aptos para el devanado.</t>
  </si>
  <si>
    <t>5002000000</t>
  </si>
  <si>
    <t>Seda cruda (sin torcer).</t>
  </si>
  <si>
    <t>5003000000</t>
  </si>
  <si>
    <t>Desperdicios de seda (incluidos los capullos no
aptos para el devanado, desperdicios de hilados e
hilachas).</t>
  </si>
  <si>
    <t>5004000000</t>
  </si>
  <si>
    <t>Hilados de seda (excepto los hilados de
desperdicios de seda) sin acondicionar para la
venta al por menor.</t>
  </si>
  <si>
    <t>5005000000</t>
  </si>
  <si>
    <t>Hilados de desperdicios de seda sin acondicionar
para la venta al por menor.</t>
  </si>
  <si>
    <t>5006000000</t>
  </si>
  <si>
    <t>Hilados de seda o de desperdicios de seda,
acondicionados para la venta al por menor; «pelo
de Mesina» («crin de Florencia»).</t>
  </si>
  <si>
    <t>5007100000</t>
  </si>
  <si>
    <t>5007200000</t>
  </si>
  <si>
    <t>5007900000</t>
  </si>
  <si>
    <t>5101110000</t>
  </si>
  <si>
    <t>5101190000</t>
  </si>
  <si>
    <t>5101210000</t>
  </si>
  <si>
    <t>5101290000</t>
  </si>
  <si>
    <t>5101300000</t>
  </si>
  <si>
    <t>5102110000</t>
  </si>
  <si>
    <t>5102191000</t>
  </si>
  <si>
    <t>5102192000</t>
  </si>
  <si>
    <t>5102199000</t>
  </si>
  <si>
    <t>5102200000</t>
  </si>
  <si>
    <t>5103100000</t>
  </si>
  <si>
    <t>5103200000</t>
  </si>
  <si>
    <t>5103300000</t>
  </si>
  <si>
    <t>5104000000</t>
  </si>
  <si>
    <t>Hilachas de lana o de pelo fino u ordinario.</t>
  </si>
  <si>
    <t>5105100000</t>
  </si>
  <si>
    <t>5105210000</t>
  </si>
  <si>
    <t>5105291000</t>
  </si>
  <si>
    <t>5105299000</t>
  </si>
  <si>
    <t>5105310000</t>
  </si>
  <si>
    <t>5105391000</t>
  </si>
  <si>
    <t>5105392000</t>
  </si>
  <si>
    <t>5105399000</t>
  </si>
  <si>
    <t>5105400000</t>
  </si>
  <si>
    <t>5106100000</t>
  </si>
  <si>
    <t>5106200000</t>
  </si>
  <si>
    <t>5107100000</t>
  </si>
  <si>
    <t>5107200000</t>
  </si>
  <si>
    <t>5108100000</t>
  </si>
  <si>
    <t>5108200000</t>
  </si>
  <si>
    <t>5109100000</t>
  </si>
  <si>
    <t>5109900000</t>
  </si>
  <si>
    <t>5110001000</t>
  </si>
  <si>
    <t>5110009000</t>
  </si>
  <si>
    <t>5111111000</t>
  </si>
  <si>
    <t>5111112000</t>
  </si>
  <si>
    <t>5111114000</t>
  </si>
  <si>
    <t>5111119000</t>
  </si>
  <si>
    <t>5111191000</t>
  </si>
  <si>
    <t>5111192000</t>
  </si>
  <si>
    <t>5111194000</t>
  </si>
  <si>
    <t>5111199000</t>
  </si>
  <si>
    <t>5111201000</t>
  </si>
  <si>
    <t>5111202000</t>
  </si>
  <si>
    <t>5111204000</t>
  </si>
  <si>
    <t>5111209000</t>
  </si>
  <si>
    <t>5111301000</t>
  </si>
  <si>
    <t>5111302000</t>
  </si>
  <si>
    <t>5111304000</t>
  </si>
  <si>
    <t>5111309000</t>
  </si>
  <si>
    <t>5111901000</t>
  </si>
  <si>
    <t>5111902000</t>
  </si>
  <si>
    <t>5111904000</t>
  </si>
  <si>
    <t>5111909000</t>
  </si>
  <si>
    <t>5112111000</t>
  </si>
  <si>
    <t>5112112000</t>
  </si>
  <si>
    <t>5112114000</t>
  </si>
  <si>
    <t>5112119000</t>
  </si>
  <si>
    <t>5112191000</t>
  </si>
  <si>
    <t>5112192000</t>
  </si>
  <si>
    <t>5112194000</t>
  </si>
  <si>
    <t>5112199000</t>
  </si>
  <si>
    <t>5112201000</t>
  </si>
  <si>
    <t>5112202000</t>
  </si>
  <si>
    <t>5112204000</t>
  </si>
  <si>
    <t>5112209000</t>
  </si>
  <si>
    <t>5112301000</t>
  </si>
  <si>
    <t>5112302000</t>
  </si>
  <si>
    <t>5112304000</t>
  </si>
  <si>
    <t>5112309000</t>
  </si>
  <si>
    <t>5112901000</t>
  </si>
  <si>
    <t>5112902000</t>
  </si>
  <si>
    <t>5112904000</t>
  </si>
  <si>
    <t>5112909000</t>
  </si>
  <si>
    <t>5113000000</t>
  </si>
  <si>
    <t>Tejidos de pelo ordinario o de crin.</t>
  </si>
  <si>
    <t>5201001000</t>
  </si>
  <si>
    <t>Productos textiles de algodón</t>
  </si>
  <si>
    <t>5201002000</t>
  </si>
  <si>
    <t>5201003000</t>
  </si>
  <si>
    <t>5201009000</t>
  </si>
  <si>
    <t>5202100000</t>
  </si>
  <si>
    <t>5202910000</t>
  </si>
  <si>
    <t>5202990000</t>
  </si>
  <si>
    <t>5203000000</t>
  </si>
  <si>
    <t>Algodón cardado o peinado.</t>
  </si>
  <si>
    <t>5204110000</t>
  </si>
  <si>
    <t>5204190000</t>
  </si>
  <si>
    <t>5204200000</t>
  </si>
  <si>
    <t>5205110000</t>
  </si>
  <si>
    <t>5205120000</t>
  </si>
  <si>
    <t>5205130000</t>
  </si>
  <si>
    <t>5205140000</t>
  </si>
  <si>
    <t>5205150000</t>
  </si>
  <si>
    <t>5205210000</t>
  </si>
  <si>
    <t>5205220000</t>
  </si>
  <si>
    <t>5205230000</t>
  </si>
  <si>
    <t>5205240000</t>
  </si>
  <si>
    <t>5205260000</t>
  </si>
  <si>
    <t>5205270000</t>
  </si>
  <si>
    <t>5205280000</t>
  </si>
  <si>
    <t>5205310000</t>
  </si>
  <si>
    <t>5205320000</t>
  </si>
  <si>
    <t>5205330000</t>
  </si>
  <si>
    <t>5205340000</t>
  </si>
  <si>
    <t>5205350000</t>
  </si>
  <si>
    <t>5205410000</t>
  </si>
  <si>
    <t>5205420000</t>
  </si>
  <si>
    <t>5205430000</t>
  </si>
  <si>
    <t>5205440000</t>
  </si>
  <si>
    <t>5205460000</t>
  </si>
  <si>
    <t>5205470000</t>
  </si>
  <si>
    <t>5205480000</t>
  </si>
  <si>
    <t>5206110000</t>
  </si>
  <si>
    <t>5206120000</t>
  </si>
  <si>
    <t>5206130000</t>
  </si>
  <si>
    <t>5206140000</t>
  </si>
  <si>
    <t>5206150000</t>
  </si>
  <si>
    <t>5206210000</t>
  </si>
  <si>
    <t>5206220000</t>
  </si>
  <si>
    <t>5206230000</t>
  </si>
  <si>
    <t>5206240000</t>
  </si>
  <si>
    <t>5206250000</t>
  </si>
  <si>
    <t>5206310000</t>
  </si>
  <si>
    <t>5206320000</t>
  </si>
  <si>
    <t>5206330000</t>
  </si>
  <si>
    <t>5206340000</t>
  </si>
  <si>
    <t>5206350000</t>
  </si>
  <si>
    <t>5206410000</t>
  </si>
  <si>
    <t>5206420000</t>
  </si>
  <si>
    <t>5206430000</t>
  </si>
  <si>
    <t>5206440000</t>
  </si>
  <si>
    <t>5206450000</t>
  </si>
  <si>
    <t>5207100000</t>
  </si>
  <si>
    <t>5207900000</t>
  </si>
  <si>
    <t>Productos textiles</t>
  </si>
  <si>
    <t>5208110000</t>
  </si>
  <si>
    <t>5208120000</t>
  </si>
  <si>
    <t>5208130000</t>
  </si>
  <si>
    <t>5208190000</t>
  </si>
  <si>
    <t>5208211000</t>
  </si>
  <si>
    <t>5208219000</t>
  </si>
  <si>
    <t>5208220000</t>
  </si>
  <si>
    <t>5208230000</t>
  </si>
  <si>
    <t>5208290000</t>
  </si>
  <si>
    <t>5208310000</t>
  </si>
  <si>
    <t>5208320000</t>
  </si>
  <si>
    <t>5208330000</t>
  </si>
  <si>
    <t>5208390000</t>
  </si>
  <si>
    <t>5208410000</t>
  </si>
  <si>
    <t>5208420000</t>
  </si>
  <si>
    <t>5208430000</t>
  </si>
  <si>
    <t>5208490000</t>
  </si>
  <si>
    <t>5208510000</t>
  </si>
  <si>
    <t>5208520000</t>
  </si>
  <si>
    <t>5208591000</t>
  </si>
  <si>
    <t>5208599000</t>
  </si>
  <si>
    <t>5209110000</t>
  </si>
  <si>
    <t>5209120000</t>
  </si>
  <si>
    <t>5209190000</t>
  </si>
  <si>
    <t>5209210000</t>
  </si>
  <si>
    <t>5209220000</t>
  </si>
  <si>
    <t>5209290000</t>
  </si>
  <si>
    <t>5209310000</t>
  </si>
  <si>
    <t>5209320000</t>
  </si>
  <si>
    <t>5209390000</t>
  </si>
  <si>
    <t>5209410000</t>
  </si>
  <si>
    <t>5209420000</t>
  </si>
  <si>
    <t>5209430000</t>
  </si>
  <si>
    <t>5209490000</t>
  </si>
  <si>
    <t>5209510000</t>
  </si>
  <si>
    <t>5209520000</t>
  </si>
  <si>
    <t>5209590000</t>
  </si>
  <si>
    <t>5210110000</t>
  </si>
  <si>
    <t>5210190000</t>
  </si>
  <si>
    <t>5210210000</t>
  </si>
  <si>
    <t>5210290000</t>
  </si>
  <si>
    <t>5210310000</t>
  </si>
  <si>
    <t>5210320000</t>
  </si>
  <si>
    <t>5210390000</t>
  </si>
  <si>
    <t>5210410000</t>
  </si>
  <si>
    <t>5210490000</t>
  </si>
  <si>
    <t>5210510000</t>
  </si>
  <si>
    <t>5210590000</t>
  </si>
  <si>
    <t>5211110000</t>
  </si>
  <si>
    <t>5211120000</t>
  </si>
  <si>
    <t>5211190000</t>
  </si>
  <si>
    <t>5211200000</t>
  </si>
  <si>
    <t>5211310000</t>
  </si>
  <si>
    <t>5211320000</t>
  </si>
  <si>
    <t>5211390000</t>
  </si>
  <si>
    <t>5211410000</t>
  </si>
  <si>
    <t>5211420000</t>
  </si>
  <si>
    <t>5211430000</t>
  </si>
  <si>
    <t>5211490000</t>
  </si>
  <si>
    <t>5211510000</t>
  </si>
  <si>
    <t>5211520000</t>
  </si>
  <si>
    <t>5211590000</t>
  </si>
  <si>
    <t>5212110000</t>
  </si>
  <si>
    <t>5212120000</t>
  </si>
  <si>
    <t>5212130000</t>
  </si>
  <si>
    <t>5212140000</t>
  </si>
  <si>
    <t>5212150000</t>
  </si>
  <si>
    <t>5212210000</t>
  </si>
  <si>
    <t>5212220000</t>
  </si>
  <si>
    <t>5212230000</t>
  </si>
  <si>
    <t>5212240000</t>
  </si>
  <si>
    <t>5212250000</t>
  </si>
  <si>
    <t>5301100000</t>
  </si>
  <si>
    <t>5301210000</t>
  </si>
  <si>
    <t>5301290000</t>
  </si>
  <si>
    <t>5301300000</t>
  </si>
  <si>
    <t>5302100000</t>
  </si>
  <si>
    <t>5302900000</t>
  </si>
  <si>
    <t>5303100000</t>
  </si>
  <si>
    <t>5303903000</t>
  </si>
  <si>
    <t>5303909000</t>
  </si>
  <si>
    <t>5305001100</t>
  </si>
  <si>
    <t>5305001900</t>
  </si>
  <si>
    <t>5305009010</t>
  </si>
  <si>
    <t>5305009020</t>
  </si>
  <si>
    <t>5305009090</t>
  </si>
  <si>
    <t>5306100000</t>
  </si>
  <si>
    <t>5306201000</t>
  </si>
  <si>
    <t>5306209000</t>
  </si>
  <si>
    <t>5307100000</t>
  </si>
  <si>
    <t>5307200000</t>
  </si>
  <si>
    <t>5308100000</t>
  </si>
  <si>
    <t>5308200000</t>
  </si>
  <si>
    <t>5308900010</t>
  </si>
  <si>
    <t>5308900090</t>
  </si>
  <si>
    <t>5309110000</t>
  </si>
  <si>
    <t>5309190000</t>
  </si>
  <si>
    <t>5309210000</t>
  </si>
  <si>
    <t>5309290000</t>
  </si>
  <si>
    <t>5310100000</t>
  </si>
  <si>
    <t>5310900000</t>
  </si>
  <si>
    <t>5311000000</t>
  </si>
  <si>
    <t>5401101000</t>
  </si>
  <si>
    <t>5401109000</t>
  </si>
  <si>
    <t>5401201000</t>
  </si>
  <si>
    <t>5401209000</t>
  </si>
  <si>
    <t>5402110000</t>
  </si>
  <si>
    <t>5402191000</t>
  </si>
  <si>
    <t>5402199000</t>
  </si>
  <si>
    <t>5402200000</t>
  </si>
  <si>
    <t>5402310000</t>
  </si>
  <si>
    <t>5402320000</t>
  </si>
  <si>
    <t>5402330000</t>
  </si>
  <si>
    <t>5402340000</t>
  </si>
  <si>
    <t>5402390000</t>
  </si>
  <si>
    <t>5402440010</t>
  </si>
  <si>
    <t>5402440090</t>
  </si>
  <si>
    <t>5402450000</t>
  </si>
  <si>
    <t>5402460000</t>
  </si>
  <si>
    <t>5402470000</t>
  </si>
  <si>
    <t>5402480000</t>
  </si>
  <si>
    <t>5402491000</t>
  </si>
  <si>
    <t>5402499000</t>
  </si>
  <si>
    <t>5402510000</t>
  </si>
  <si>
    <t>5402520000</t>
  </si>
  <si>
    <t>5402530000</t>
  </si>
  <si>
    <t>5402590000</t>
  </si>
  <si>
    <t>5402610000</t>
  </si>
  <si>
    <t>5402620000</t>
  </si>
  <si>
    <t>5402630000</t>
  </si>
  <si>
    <t>5402690000</t>
  </si>
  <si>
    <t>5403100000</t>
  </si>
  <si>
    <t>5403310000</t>
  </si>
  <si>
    <t>5403320000</t>
  </si>
  <si>
    <t>5403330000</t>
  </si>
  <si>
    <t>5403390000</t>
  </si>
  <si>
    <t>5403410000</t>
  </si>
  <si>
    <t>5403420000</t>
  </si>
  <si>
    <t>5403490000</t>
  </si>
  <si>
    <t>5404111000</t>
  </si>
  <si>
    <t>5404119000</t>
  </si>
  <si>
    <t>5404120000</t>
  </si>
  <si>
    <t>5404191000</t>
  </si>
  <si>
    <t>5404199000</t>
  </si>
  <si>
    <t>5404900000</t>
  </si>
  <si>
    <t>5405000000</t>
  </si>
  <si>
    <t>5406001000</t>
  </si>
  <si>
    <t>5406009000</t>
  </si>
  <si>
    <t>5407101000</t>
  </si>
  <si>
    <t>5407109000</t>
  </si>
  <si>
    <t>5407200000</t>
  </si>
  <si>
    <t>5407300000</t>
  </si>
  <si>
    <t>5407410000</t>
  </si>
  <si>
    <t>5407420000</t>
  </si>
  <si>
    <t>5407430000</t>
  </si>
  <si>
    <t>5407440000</t>
  </si>
  <si>
    <t>5407510000</t>
  </si>
  <si>
    <t>5407520000</t>
  </si>
  <si>
    <t>5407530000</t>
  </si>
  <si>
    <t>5407540000</t>
  </si>
  <si>
    <t>5407610000</t>
  </si>
  <si>
    <t>5407690000</t>
  </si>
  <si>
    <t>5407711000</t>
  </si>
  <si>
    <t>5407719000</t>
  </si>
  <si>
    <t>5407720000</t>
  </si>
  <si>
    <t>5407730000</t>
  </si>
  <si>
    <t>5407740000</t>
  </si>
  <si>
    <t>5407810000</t>
  </si>
  <si>
    <t>5407820000</t>
  </si>
  <si>
    <t>5407830000</t>
  </si>
  <si>
    <t>5407840000</t>
  </si>
  <si>
    <t>5407910000</t>
  </si>
  <si>
    <t>5407920000</t>
  </si>
  <si>
    <t>5407930000</t>
  </si>
  <si>
    <t>5407940000</t>
  </si>
  <si>
    <t>5408100010</t>
  </si>
  <si>
    <t>5408100090</t>
  </si>
  <si>
    <t>5408210000</t>
  </si>
  <si>
    <t>5408220000</t>
  </si>
  <si>
    <t>5408230000</t>
  </si>
  <si>
    <t>5408240000</t>
  </si>
  <si>
    <t>5408310000</t>
  </si>
  <si>
    <t>5408320000</t>
  </si>
  <si>
    <t>5408330000</t>
  </si>
  <si>
    <t>5408340000</t>
  </si>
  <si>
    <t>5501100000</t>
  </si>
  <si>
    <t>5501200000</t>
  </si>
  <si>
    <t>5501301000</t>
  </si>
  <si>
    <t>5501309000</t>
  </si>
  <si>
    <t>5501400000</t>
  </si>
  <si>
    <t>5501900000</t>
  </si>
  <si>
    <t>5502100000</t>
  </si>
  <si>
    <t>5502901000</t>
  </si>
  <si>
    <t>5502909000</t>
  </si>
  <si>
    <t>5503110000</t>
  </si>
  <si>
    <t>5503190000</t>
  </si>
  <si>
    <t>5503200000</t>
  </si>
  <si>
    <t>5503301000</t>
  </si>
  <si>
    <t>5503309000</t>
  </si>
  <si>
    <t>5503400000</t>
  </si>
  <si>
    <t>5503901000</t>
  </si>
  <si>
    <t>5503909000</t>
  </si>
  <si>
    <t>5504100000</t>
  </si>
  <si>
    <t>5504900000</t>
  </si>
  <si>
    <t>5505100000</t>
  </si>
  <si>
    <t>5505200000</t>
  </si>
  <si>
    <t>5506100000</t>
  </si>
  <si>
    <t>5506200000</t>
  </si>
  <si>
    <t>5506300000</t>
  </si>
  <si>
    <t>5506400000</t>
  </si>
  <si>
    <t>5506900000</t>
  </si>
  <si>
    <t>5507000000</t>
  </si>
  <si>
    <t>5508101000</t>
  </si>
  <si>
    <t>5508109000</t>
  </si>
  <si>
    <t>5508201000</t>
  </si>
  <si>
    <t>5508209000</t>
  </si>
  <si>
    <t>5509110000</t>
  </si>
  <si>
    <t>5509120000</t>
  </si>
  <si>
    <t>5509210000</t>
  </si>
  <si>
    <t>5509220000</t>
  </si>
  <si>
    <t>5509310000</t>
  </si>
  <si>
    <t>5509320000</t>
  </si>
  <si>
    <t>5509410000</t>
  </si>
  <si>
    <t>5509420000</t>
  </si>
  <si>
    <t>5509510000</t>
  </si>
  <si>
    <t>5509520000</t>
  </si>
  <si>
    <t>5509530000</t>
  </si>
  <si>
    <t>5509590000</t>
  </si>
  <si>
    <t>5509610000</t>
  </si>
  <si>
    <t>5509620000</t>
  </si>
  <si>
    <t>5509690000</t>
  </si>
  <si>
    <t>5509910000</t>
  </si>
  <si>
    <t>5509920000</t>
  </si>
  <si>
    <t>5509990000</t>
  </si>
  <si>
    <t>5510110000</t>
  </si>
  <si>
    <t>5510120000</t>
  </si>
  <si>
    <t>5510200000</t>
  </si>
  <si>
    <t>5510300000</t>
  </si>
  <si>
    <t>5510900000</t>
  </si>
  <si>
    <t>5511100000</t>
  </si>
  <si>
    <t>5511200000</t>
  </si>
  <si>
    <t>5511300000</t>
  </si>
  <si>
    <t>5512110000</t>
  </si>
  <si>
    <t>5512190000</t>
  </si>
  <si>
    <t>5512210000</t>
  </si>
  <si>
    <t>5512290000</t>
  </si>
  <si>
    <t>5512910000</t>
  </si>
  <si>
    <t>5512990000</t>
  </si>
  <si>
    <t>5513110000</t>
  </si>
  <si>
    <t>5513120000</t>
  </si>
  <si>
    <t>5513130000</t>
  </si>
  <si>
    <t>5513190000</t>
  </si>
  <si>
    <t>5513210000</t>
  </si>
  <si>
    <t>5513231000</t>
  </si>
  <si>
    <t>5513239000</t>
  </si>
  <si>
    <t>5513290000</t>
  </si>
  <si>
    <t>5513310000</t>
  </si>
  <si>
    <t>5513391000</t>
  </si>
  <si>
    <t>5513392000</t>
  </si>
  <si>
    <t>5513399000</t>
  </si>
  <si>
    <t>5513410000</t>
  </si>
  <si>
    <t>5513491000</t>
  </si>
  <si>
    <t>5513492000</t>
  </si>
  <si>
    <t>5513499000</t>
  </si>
  <si>
    <t>5514110000</t>
  </si>
  <si>
    <t>5514120000</t>
  </si>
  <si>
    <t>5514191000</t>
  </si>
  <si>
    <t>5514199000</t>
  </si>
  <si>
    <t>5514210000</t>
  </si>
  <si>
    <t>5514220000</t>
  </si>
  <si>
    <t>5514230000</t>
  </si>
  <si>
    <t>5514290000</t>
  </si>
  <si>
    <t>5514301000</t>
  </si>
  <si>
    <t>5514302000</t>
  </si>
  <si>
    <t>5514303000</t>
  </si>
  <si>
    <t>5514309000</t>
  </si>
  <si>
    <t>5514410000</t>
  </si>
  <si>
    <t>5514420000</t>
  </si>
  <si>
    <t>5514430000</t>
  </si>
  <si>
    <t>5514490000</t>
  </si>
  <si>
    <t>5515110000</t>
  </si>
  <si>
    <t>5515120000</t>
  </si>
  <si>
    <t>5515130000</t>
  </si>
  <si>
    <t>5515190000</t>
  </si>
  <si>
    <t>5515210000</t>
  </si>
  <si>
    <t>5515220000</t>
  </si>
  <si>
    <t>5515290000</t>
  </si>
  <si>
    <t>5515910000</t>
  </si>
  <si>
    <t>5515990000</t>
  </si>
  <si>
    <t>5516110000</t>
  </si>
  <si>
    <t>5516120000</t>
  </si>
  <si>
    <t>5516130000</t>
  </si>
  <si>
    <t>5516140000</t>
  </si>
  <si>
    <t>5516210000</t>
  </si>
  <si>
    <t>5516220000</t>
  </si>
  <si>
    <t>5516230000</t>
  </si>
  <si>
    <t>5516240000</t>
  </si>
  <si>
    <t>5516310000</t>
  </si>
  <si>
    <t>5516320000</t>
  </si>
  <si>
    <t>5516330000</t>
  </si>
  <si>
    <t>5516340000</t>
  </si>
  <si>
    <t>5516410000</t>
  </si>
  <si>
    <t>5516420000</t>
  </si>
  <si>
    <t>5516430000</t>
  </si>
  <si>
    <t>5516440000</t>
  </si>
  <si>
    <t>5516910000</t>
  </si>
  <si>
    <t>5516920000</t>
  </si>
  <si>
    <t>5516930000</t>
  </si>
  <si>
    <t>5516940000</t>
  </si>
  <si>
    <t>5601210000</t>
  </si>
  <si>
    <t>5601220000</t>
  </si>
  <si>
    <t>5601290000</t>
  </si>
  <si>
    <t>5601300000</t>
  </si>
  <si>
    <t>5602100000</t>
  </si>
  <si>
    <t>5602210000</t>
  </si>
  <si>
    <t>5602290000</t>
  </si>
  <si>
    <t>5602900000</t>
  </si>
  <si>
    <t>5603110000</t>
  </si>
  <si>
    <t>5603121000</t>
  </si>
  <si>
    <t>5603129000</t>
  </si>
  <si>
    <t>5603130000</t>
  </si>
  <si>
    <t>5603140000</t>
  </si>
  <si>
    <t>5603910000</t>
  </si>
  <si>
    <t>5603920000</t>
  </si>
  <si>
    <t>5603930000</t>
  </si>
  <si>
    <t>5603940000</t>
  </si>
  <si>
    <t>5604100000</t>
  </si>
  <si>
    <t>5604902000</t>
  </si>
  <si>
    <t>5604909000</t>
  </si>
  <si>
    <t>5605000000</t>
  </si>
  <si>
    <t>5606000000</t>
  </si>
  <si>
    <t>5607210000</t>
  </si>
  <si>
    <t>5607290000</t>
  </si>
  <si>
    <t>5607410000</t>
  </si>
  <si>
    <t>5607490000</t>
  </si>
  <si>
    <t>5607500000</t>
  </si>
  <si>
    <t>5607900000</t>
  </si>
  <si>
    <t>5608110000</t>
  </si>
  <si>
    <t>5608190000</t>
  </si>
  <si>
    <t>Mallas</t>
  </si>
  <si>
    <t>5608900000</t>
  </si>
  <si>
    <t>5609001000</t>
  </si>
  <si>
    <t>5609009000</t>
  </si>
  <si>
    <t>5701100000</t>
  </si>
  <si>
    <t>5701900000</t>
  </si>
  <si>
    <t>5702100000</t>
  </si>
  <si>
    <t>5702200000</t>
  </si>
  <si>
    <t>5702310000</t>
  </si>
  <si>
    <t>5702320000</t>
  </si>
  <si>
    <t>5702390000</t>
  </si>
  <si>
    <t>5702410000</t>
  </si>
  <si>
    <t>5702420000</t>
  </si>
  <si>
    <t>5702490000</t>
  </si>
  <si>
    <t>5702500000</t>
  </si>
  <si>
    <t>5702910000</t>
  </si>
  <si>
    <t>5702920000</t>
  </si>
  <si>
    <t>5702990000</t>
  </si>
  <si>
    <t>5703100000</t>
  </si>
  <si>
    <t>5703200000</t>
  </si>
  <si>
    <t>5703300000</t>
  </si>
  <si>
    <t>5703900000</t>
  </si>
  <si>
    <t>5704100000</t>
  </si>
  <si>
    <t>5704200000</t>
  </si>
  <si>
    <t>5704900000</t>
  </si>
  <si>
    <t>5705000000</t>
  </si>
  <si>
    <t>5801100000</t>
  </si>
  <si>
    <t>5801210000</t>
  </si>
  <si>
    <t>5801220000</t>
  </si>
  <si>
    <t>5801230000</t>
  </si>
  <si>
    <t>5801260000</t>
  </si>
  <si>
    <t>5801271000</t>
  </si>
  <si>
    <t>5801272000</t>
  </si>
  <si>
    <t>5801310000</t>
  </si>
  <si>
    <t>5801320000</t>
  </si>
  <si>
    <t>5801330000</t>
  </si>
  <si>
    <t>5801360000</t>
  </si>
  <si>
    <t>5801370000</t>
  </si>
  <si>
    <t>5801900000</t>
  </si>
  <si>
    <t>5802110000</t>
  </si>
  <si>
    <t>5802190000</t>
  </si>
  <si>
    <t>5802200000</t>
  </si>
  <si>
    <t>5802300000</t>
  </si>
  <si>
    <t>5803001000</t>
  </si>
  <si>
    <t>5803009000</t>
  </si>
  <si>
    <t>5804100000</t>
  </si>
  <si>
    <t>5804210000</t>
  </si>
  <si>
    <t>5804290000</t>
  </si>
  <si>
    <t>5804300000</t>
  </si>
  <si>
    <t>5805000000</t>
  </si>
  <si>
    <t>5806100000</t>
  </si>
  <si>
    <t>5806200000</t>
  </si>
  <si>
    <t>5806310000</t>
  </si>
  <si>
    <t>5806321000</t>
  </si>
  <si>
    <t>5806329000</t>
  </si>
  <si>
    <t>5806390000</t>
  </si>
  <si>
    <t>5806400000</t>
  </si>
  <si>
    <t>5807100000</t>
  </si>
  <si>
    <t>5807900000</t>
  </si>
  <si>
    <t>5808100000</t>
  </si>
  <si>
    <t>5808900000</t>
  </si>
  <si>
    <t>5809000000</t>
  </si>
  <si>
    <t>5810100000</t>
  </si>
  <si>
    <t>5810910000</t>
  </si>
  <si>
    <t>5810920000</t>
  </si>
  <si>
    <t>5810990000</t>
  </si>
  <si>
    <t>5811000000</t>
  </si>
  <si>
    <t>5901100000</t>
  </si>
  <si>
    <t>5901900000</t>
  </si>
  <si>
    <t>5902101000</t>
  </si>
  <si>
    <t>5902109000</t>
  </si>
  <si>
    <t>5902201000</t>
  </si>
  <si>
    <t>5902209000</t>
  </si>
  <si>
    <t>5902900000</t>
  </si>
  <si>
    <t>5903100000</t>
  </si>
  <si>
    <t>5903200000</t>
  </si>
  <si>
    <t>5903900000</t>
  </si>
  <si>
    <t>5904100000</t>
  </si>
  <si>
    <t>5904900000</t>
  </si>
  <si>
    <t>5905000000</t>
  </si>
  <si>
    <t>5906100000</t>
  </si>
  <si>
    <t>5906910000</t>
  </si>
  <si>
    <t>5906991000</t>
  </si>
  <si>
    <t>5906999010</t>
  </si>
  <si>
    <t>5906999090</t>
  </si>
  <si>
    <t>5907000000</t>
  </si>
  <si>
    <t>5908000000</t>
  </si>
  <si>
    <t>5909000000</t>
  </si>
  <si>
    <t>5910000000</t>
  </si>
  <si>
    <t>5911100000</t>
  </si>
  <si>
    <t>5911200000</t>
  </si>
  <si>
    <t>5911310000</t>
  </si>
  <si>
    <t>5911320000</t>
  </si>
  <si>
    <t>5911400000</t>
  </si>
  <si>
    <t>5911901000</t>
  </si>
  <si>
    <t>5911909000</t>
  </si>
  <si>
    <t>6001100000</t>
  </si>
  <si>
    <t>6001210000</t>
  </si>
  <si>
    <t>6001220000</t>
  </si>
  <si>
    <t>6001290000</t>
  </si>
  <si>
    <t>6001910000</t>
  </si>
  <si>
    <t>6001920000</t>
  </si>
  <si>
    <t>6001990000</t>
  </si>
  <si>
    <t>6002400000</t>
  </si>
  <si>
    <t>6002900000</t>
  </si>
  <si>
    <t>6003100000</t>
  </si>
  <si>
    <t>6003200000</t>
  </si>
  <si>
    <t>6003300000</t>
  </si>
  <si>
    <t>6003400000</t>
  </si>
  <si>
    <t>6003900000</t>
  </si>
  <si>
    <t>6004100000</t>
  </si>
  <si>
    <t>6004900000</t>
  </si>
  <si>
    <t>6005210000</t>
  </si>
  <si>
    <t>6005220000</t>
  </si>
  <si>
    <t>6005230000</t>
  </si>
  <si>
    <t>6005240000</t>
  </si>
  <si>
    <t>6005350000</t>
  </si>
  <si>
    <t>6005360000</t>
  </si>
  <si>
    <t>6005370000</t>
  </si>
  <si>
    <t>6005380000</t>
  </si>
  <si>
    <t>6005390000</t>
  </si>
  <si>
    <t>6005410000</t>
  </si>
  <si>
    <t>6005420000</t>
  </si>
  <si>
    <t>6005430000</t>
  </si>
  <si>
    <t>6005440000</t>
  </si>
  <si>
    <t>6005900000</t>
  </si>
  <si>
    <t>6006100000</t>
  </si>
  <si>
    <t>6006210000</t>
  </si>
  <si>
    <t>6006220000</t>
  </si>
  <si>
    <t>6006230000</t>
  </si>
  <si>
    <t>6006240000</t>
  </si>
  <si>
    <t>6006310000</t>
  </si>
  <si>
    <t>6006320000</t>
  </si>
  <si>
    <t>6006330000</t>
  </si>
  <si>
    <t>6006340000</t>
  </si>
  <si>
    <t>6006410000</t>
  </si>
  <si>
    <t>6006420000</t>
  </si>
  <si>
    <t>6006430000</t>
  </si>
  <si>
    <t>6006440000</t>
  </si>
  <si>
    <t>6006900000</t>
  </si>
  <si>
    <t>6101200000</t>
  </si>
  <si>
    <t>6101300000</t>
  </si>
  <si>
    <t>6101901000</t>
  </si>
  <si>
    <t>6101909000</t>
  </si>
  <si>
    <t>6102100000</t>
  </si>
  <si>
    <t>6102200000</t>
  </si>
  <si>
    <t>6102300000</t>
  </si>
  <si>
    <t>6102900000</t>
  </si>
  <si>
    <t>6103101000</t>
  </si>
  <si>
    <t>6103102000</t>
  </si>
  <si>
    <t>6103109000</t>
  </si>
  <si>
    <t>6103220000</t>
  </si>
  <si>
    <t>6103230000</t>
  </si>
  <si>
    <t>6103291000</t>
  </si>
  <si>
    <t>6103299000</t>
  </si>
  <si>
    <t>6103310000</t>
  </si>
  <si>
    <t>6103320000</t>
  </si>
  <si>
    <t>6103330000</t>
  </si>
  <si>
    <t>6103390000</t>
  </si>
  <si>
    <t>6103410000</t>
  </si>
  <si>
    <t>6103420000</t>
  </si>
  <si>
    <t>6103430000</t>
  </si>
  <si>
    <t>6103490000</t>
  </si>
  <si>
    <t>6104130000</t>
  </si>
  <si>
    <t>6104191000</t>
  </si>
  <si>
    <t>6104192000</t>
  </si>
  <si>
    <t>6104199000</t>
  </si>
  <si>
    <t>6104220000</t>
  </si>
  <si>
    <t>6104230000</t>
  </si>
  <si>
    <t>6104291000</t>
  </si>
  <si>
    <t>6104299000</t>
  </si>
  <si>
    <t>6104310000</t>
  </si>
  <si>
    <t>6104320000</t>
  </si>
  <si>
    <t>6104330000</t>
  </si>
  <si>
    <t>6104390000</t>
  </si>
  <si>
    <t>6104410000</t>
  </si>
  <si>
    <t>6104420000</t>
  </si>
  <si>
    <t>6104430000</t>
  </si>
  <si>
    <t>6104440000</t>
  </si>
  <si>
    <t>6104490000</t>
  </si>
  <si>
    <t>6104510000</t>
  </si>
  <si>
    <t>6104520000</t>
  </si>
  <si>
    <t>6104530000</t>
  </si>
  <si>
    <t>6104590000</t>
  </si>
  <si>
    <t>6104610000</t>
  </si>
  <si>
    <t>6104620000</t>
  </si>
  <si>
    <t>Prendas de vestir</t>
  </si>
  <si>
    <t>6104630000</t>
  </si>
  <si>
    <t>6104690000</t>
  </si>
  <si>
    <t>6105100041</t>
  </si>
  <si>
    <t>6105100042</t>
  </si>
  <si>
    <t>6105100049</t>
  </si>
  <si>
    <t>6105100051</t>
  </si>
  <si>
    <t>6105100052</t>
  </si>
  <si>
    <t>6105100059</t>
  </si>
  <si>
    <t>6105100080</t>
  </si>
  <si>
    <t>6105100091</t>
  </si>
  <si>
    <t>6105100092</t>
  </si>
  <si>
    <t>6105100099</t>
  </si>
  <si>
    <t>6105201000</t>
  </si>
  <si>
    <t>6105209000</t>
  </si>
  <si>
    <t>6105900000</t>
  </si>
  <si>
    <t>6106100021</t>
  </si>
  <si>
    <t>6106100022</t>
  </si>
  <si>
    <t>6106100029</t>
  </si>
  <si>
    <t>6106100031</t>
  </si>
  <si>
    <t>6106100032</t>
  </si>
  <si>
    <t>6106100039</t>
  </si>
  <si>
    <t>6106100090</t>
  </si>
  <si>
    <t>6106200000</t>
  </si>
  <si>
    <t>6106900000</t>
  </si>
  <si>
    <t>6107110000</t>
  </si>
  <si>
    <t>6107120000</t>
  </si>
  <si>
    <t>6107190000</t>
  </si>
  <si>
    <t>6107210000</t>
  </si>
  <si>
    <t>6107220000</t>
  </si>
  <si>
    <t>6107290000</t>
  </si>
  <si>
    <t>6107910000</t>
  </si>
  <si>
    <t>6107991000</t>
  </si>
  <si>
    <t>6107999000</t>
  </si>
  <si>
    <t>6108110000</t>
  </si>
  <si>
    <t>6108190000</t>
  </si>
  <si>
    <t>6108210000</t>
  </si>
  <si>
    <t>6108220000</t>
  </si>
  <si>
    <t>6108290000</t>
  </si>
  <si>
    <t>6108310000</t>
  </si>
  <si>
    <t>6108320000</t>
  </si>
  <si>
    <t>6108390000</t>
  </si>
  <si>
    <t>6108910000</t>
  </si>
  <si>
    <t>6108920000</t>
  </si>
  <si>
    <t>6108990000</t>
  </si>
  <si>
    <t>6109100031</t>
  </si>
  <si>
    <t>6109100032</t>
  </si>
  <si>
    <t>6109100039</t>
  </si>
  <si>
    <t>6109100041</t>
  </si>
  <si>
    <t>6109100042</t>
  </si>
  <si>
    <t>6109100049</t>
  </si>
  <si>
    <t>6109100050</t>
  </si>
  <si>
    <t>6109901000</t>
  </si>
  <si>
    <t>6109909000</t>
  </si>
  <si>
    <t>6110111010</t>
  </si>
  <si>
    <t>6110111090</t>
  </si>
  <si>
    <t>6110112000</t>
  </si>
  <si>
    <t>6110113000</t>
  </si>
  <si>
    <t>6110119010</t>
  </si>
  <si>
    <t>6110119090</t>
  </si>
  <si>
    <t>6110120000</t>
  </si>
  <si>
    <t>6110191010</t>
  </si>
  <si>
    <t>6110191090</t>
  </si>
  <si>
    <t>6110192000</t>
  </si>
  <si>
    <t>6110193000</t>
  </si>
  <si>
    <t>6110199010</t>
  </si>
  <si>
    <t>6110199090</t>
  </si>
  <si>
    <t>6110201010</t>
  </si>
  <si>
    <t>6110201090</t>
  </si>
  <si>
    <t>6110202000</t>
  </si>
  <si>
    <t>6110203000</t>
  </si>
  <si>
    <t>6110209010</t>
  </si>
  <si>
    <t>6110209090</t>
  </si>
  <si>
    <t>6110301000</t>
  </si>
  <si>
    <t>6110309000</t>
  </si>
  <si>
    <t>6110900000</t>
  </si>
  <si>
    <t>6111200000</t>
  </si>
  <si>
    <t>6111300000</t>
  </si>
  <si>
    <t>6111901000</t>
  </si>
  <si>
    <t>6111909000</t>
  </si>
  <si>
    <t>6112110000</t>
  </si>
  <si>
    <t>6112120000</t>
  </si>
  <si>
    <t>6112190000</t>
  </si>
  <si>
    <t>6112200000</t>
  </si>
  <si>
    <t>6112310000</t>
  </si>
  <si>
    <t>6112390000</t>
  </si>
  <si>
    <t>6112410000</t>
  </si>
  <si>
    <t>6112490000</t>
  </si>
  <si>
    <t>6113000000</t>
  </si>
  <si>
    <t>6114200000</t>
  </si>
  <si>
    <t>6114300000</t>
  </si>
  <si>
    <t>6114901000</t>
  </si>
  <si>
    <t>6114909000</t>
  </si>
  <si>
    <t>6115101000</t>
  </si>
  <si>
    <t>6115109000</t>
  </si>
  <si>
    <t>6115210000</t>
  </si>
  <si>
    <t>6115220000</t>
  </si>
  <si>
    <t>6115290000</t>
  </si>
  <si>
    <t>6115301000</t>
  </si>
  <si>
    <t>6115309000</t>
  </si>
  <si>
    <t>6115940000</t>
  </si>
  <si>
    <t>6115950000</t>
  </si>
  <si>
    <t>6115960000</t>
  </si>
  <si>
    <t>6115990000</t>
  </si>
  <si>
    <t>6116100000</t>
  </si>
  <si>
    <t>6116910000</t>
  </si>
  <si>
    <t>6116920000</t>
  </si>
  <si>
    <t>6116930000</t>
  </si>
  <si>
    <t>6116990000</t>
  </si>
  <si>
    <t>6117100000</t>
  </si>
  <si>
    <t>6117801000</t>
  </si>
  <si>
    <t>6117802000</t>
  </si>
  <si>
    <t>6117809000</t>
  </si>
  <si>
    <t>6117901000</t>
  </si>
  <si>
    <t>6117909000</t>
  </si>
  <si>
    <t>6201110000</t>
  </si>
  <si>
    <t>6201120000</t>
  </si>
  <si>
    <t>6201130000</t>
  </si>
  <si>
    <t>6201190000</t>
  </si>
  <si>
    <t>6201910000</t>
  </si>
  <si>
    <t>6201920000</t>
  </si>
  <si>
    <t>6201930000</t>
  </si>
  <si>
    <t>6201990000</t>
  </si>
  <si>
    <t>6202110000</t>
  </si>
  <si>
    <t>6202120000</t>
  </si>
  <si>
    <t>6202130000</t>
  </si>
  <si>
    <t>6202190000</t>
  </si>
  <si>
    <t>6202910000</t>
  </si>
  <si>
    <t>6202920000</t>
  </si>
  <si>
    <t>6202930000</t>
  </si>
  <si>
    <t>6202990000</t>
  </si>
  <si>
    <t>6203110000</t>
  </si>
  <si>
    <t>6203120000</t>
  </si>
  <si>
    <t>6203190000</t>
  </si>
  <si>
    <t>6203220000</t>
  </si>
  <si>
    <t>6203230000</t>
  </si>
  <si>
    <t>6203291000</t>
  </si>
  <si>
    <t>6203299000</t>
  </si>
  <si>
    <t>6203310000</t>
  </si>
  <si>
    <t>6203320000</t>
  </si>
  <si>
    <t>6203330000</t>
  </si>
  <si>
    <t>6203390000</t>
  </si>
  <si>
    <t>6203410000</t>
  </si>
  <si>
    <t>6203421010</t>
  </si>
  <si>
    <t>6203421020</t>
  </si>
  <si>
    <t>6203422010</t>
  </si>
  <si>
    <t>6203422020</t>
  </si>
  <si>
    <t>6203429010</t>
  </si>
  <si>
    <t>6203429020</t>
  </si>
  <si>
    <t>6203430000</t>
  </si>
  <si>
    <t>6203490000</t>
  </si>
  <si>
    <t>6204110000</t>
  </si>
  <si>
    <t>6204120000</t>
  </si>
  <si>
    <t>6204130000</t>
  </si>
  <si>
    <t>6204190000</t>
  </si>
  <si>
    <t>6204210000</t>
  </si>
  <si>
    <t>6204220000</t>
  </si>
  <si>
    <t>6204230000</t>
  </si>
  <si>
    <t>6204290000</t>
  </si>
  <si>
    <t>6204310000</t>
  </si>
  <si>
    <t>6204320000</t>
  </si>
  <si>
    <t>6204330000</t>
  </si>
  <si>
    <t>6204390000</t>
  </si>
  <si>
    <t>6204410000</t>
  </si>
  <si>
    <t>6204420000</t>
  </si>
  <si>
    <t>6204430000</t>
  </si>
  <si>
    <t>6204440000</t>
  </si>
  <si>
    <t>6204490000</t>
  </si>
  <si>
    <t>6204510000</t>
  </si>
  <si>
    <t>6204520000</t>
  </si>
  <si>
    <t>6204530000</t>
  </si>
  <si>
    <t>6204590000</t>
  </si>
  <si>
    <t>6204610000</t>
  </si>
  <si>
    <t>6204620000</t>
  </si>
  <si>
    <t>6204630000</t>
  </si>
  <si>
    <t>6204690000</t>
  </si>
  <si>
    <t>6205200000</t>
  </si>
  <si>
    <t>6205300000</t>
  </si>
  <si>
    <t>6205901000</t>
  </si>
  <si>
    <t>6205909000</t>
  </si>
  <si>
    <t>6206100000</t>
  </si>
  <si>
    <t>6206200000</t>
  </si>
  <si>
    <t>6206300000</t>
  </si>
  <si>
    <t>6206400000</t>
  </si>
  <si>
    <t>6206900000</t>
  </si>
  <si>
    <t>6207110000</t>
  </si>
  <si>
    <t>6207190000</t>
  </si>
  <si>
    <t>6207210000</t>
  </si>
  <si>
    <t>6207220000</t>
  </si>
  <si>
    <t>6207290000</t>
  </si>
  <si>
    <t>6207910000</t>
  </si>
  <si>
    <t>6207991000</t>
  </si>
  <si>
    <t>6207999000</t>
  </si>
  <si>
    <t>6208110000</t>
  </si>
  <si>
    <t>6208190000</t>
  </si>
  <si>
    <t>6208210000</t>
  </si>
  <si>
    <t>6208220000</t>
  </si>
  <si>
    <t>6208290000</t>
  </si>
  <si>
    <t>6208910000</t>
  </si>
  <si>
    <t>6208920000</t>
  </si>
  <si>
    <t>6208990000</t>
  </si>
  <si>
    <t>6209200000</t>
  </si>
  <si>
    <t>6209300000</t>
  </si>
  <si>
    <t>6209901000</t>
  </si>
  <si>
    <t>6209909000</t>
  </si>
  <si>
    <t>6210100000</t>
  </si>
  <si>
    <t>6210200000</t>
  </si>
  <si>
    <t>6210300000</t>
  </si>
  <si>
    <t>6210400000</t>
  </si>
  <si>
    <t>6210500000</t>
  </si>
  <si>
    <t>6211110000</t>
  </si>
  <si>
    <t>6211120000</t>
  </si>
  <si>
    <t>6211200000</t>
  </si>
  <si>
    <t>6211320000</t>
  </si>
  <si>
    <t>6211330000</t>
  </si>
  <si>
    <t>6211391000</t>
  </si>
  <si>
    <t>6211399000</t>
  </si>
  <si>
    <t>6211420000</t>
  </si>
  <si>
    <t>6211430000</t>
  </si>
  <si>
    <t>6211491000</t>
  </si>
  <si>
    <t>6211499000</t>
  </si>
  <si>
    <t>6212100000</t>
  </si>
  <si>
    <t>6212200000</t>
  </si>
  <si>
    <t>6212300000</t>
  </si>
  <si>
    <t>6212900000</t>
  </si>
  <si>
    <t>6213200000</t>
  </si>
  <si>
    <t>6213901000</t>
  </si>
  <si>
    <t>6213909000</t>
  </si>
  <si>
    <t>6214100000</t>
  </si>
  <si>
    <t>6214200000</t>
  </si>
  <si>
    <t>6214300000</t>
  </si>
  <si>
    <t>6214400000</t>
  </si>
  <si>
    <t>6214900000</t>
  </si>
  <si>
    <t>6215100000</t>
  </si>
  <si>
    <t>6215200000</t>
  </si>
  <si>
    <t>6215900000</t>
  </si>
  <si>
    <t>6216001000</t>
  </si>
  <si>
    <t>6216009000</t>
  </si>
  <si>
    <t>6217100000</t>
  </si>
  <si>
    <t>6217900000</t>
  </si>
  <si>
    <t>6301100000</t>
  </si>
  <si>
    <t>6301201000</t>
  </si>
  <si>
    <t>6301202000</t>
  </si>
  <si>
    <t>6301209000</t>
  </si>
  <si>
    <t>6301300000</t>
  </si>
  <si>
    <t>6301400000</t>
  </si>
  <si>
    <t>6301900000</t>
  </si>
  <si>
    <t>Mantas</t>
  </si>
  <si>
    <t>6302101000</t>
  </si>
  <si>
    <t>6302109000</t>
  </si>
  <si>
    <t>6302210000</t>
  </si>
  <si>
    <t>6302220000</t>
  </si>
  <si>
    <t>6302290000</t>
  </si>
  <si>
    <t>6302310000</t>
  </si>
  <si>
    <t>6302320000</t>
  </si>
  <si>
    <t>6302390000</t>
  </si>
  <si>
    <t>6302401000</t>
  </si>
  <si>
    <t>6302409000</t>
  </si>
  <si>
    <t>6302510000</t>
  </si>
  <si>
    <t>6302530000</t>
  </si>
  <si>
    <t>6302591000</t>
  </si>
  <si>
    <t>6302599000</t>
  </si>
  <si>
    <t>6302600000</t>
  </si>
  <si>
    <t>6302910000</t>
  </si>
  <si>
    <t>6302930000</t>
  </si>
  <si>
    <t>6302991000</t>
  </si>
  <si>
    <t>6302999000</t>
  </si>
  <si>
    <t>6303120000</t>
  </si>
  <si>
    <t>6303191000</t>
  </si>
  <si>
    <t>6303199000</t>
  </si>
  <si>
    <t>6303910000</t>
  </si>
  <si>
    <t>6303920000</t>
  </si>
  <si>
    <t>6303990000</t>
  </si>
  <si>
    <t>6304110000</t>
  </si>
  <si>
    <t>6304190000</t>
  </si>
  <si>
    <t>6304200000</t>
  </si>
  <si>
    <t>6304910000</t>
  </si>
  <si>
    <t>6304920000</t>
  </si>
  <si>
    <t>6304930000</t>
  </si>
  <si>
    <t>6304990000</t>
  </si>
  <si>
    <t>6305101000</t>
  </si>
  <si>
    <t>6305109000</t>
  </si>
  <si>
    <t>6305200000</t>
  </si>
  <si>
    <t>6305320000</t>
  </si>
  <si>
    <t>6305331000</t>
  </si>
  <si>
    <t>6305332000</t>
  </si>
  <si>
    <t>6305390000</t>
  </si>
  <si>
    <t>6305901000</t>
  </si>
  <si>
    <t>6305909000</t>
  </si>
  <si>
    <t>6306120000</t>
  </si>
  <si>
    <t>6306191000</t>
  </si>
  <si>
    <t>6306199000</t>
  </si>
  <si>
    <t>6306220000</t>
  </si>
  <si>
    <t>6306290000</t>
  </si>
  <si>
    <t>Carpas</t>
  </si>
  <si>
    <t>6306300000</t>
  </si>
  <si>
    <t>6306400000</t>
  </si>
  <si>
    <t>6306901000</t>
  </si>
  <si>
    <t>6306909000</t>
  </si>
  <si>
    <t>6307100000</t>
  </si>
  <si>
    <t>6307200000</t>
  </si>
  <si>
    <t>6307901000</t>
  </si>
  <si>
    <t>6307902000</t>
  </si>
  <si>
    <t>6307903000</t>
  </si>
  <si>
    <t>6307904000</t>
  </si>
  <si>
    <t>6307909000</t>
  </si>
  <si>
    <t>6308000000</t>
  </si>
  <si>
    <t>6309000000</t>
  </si>
  <si>
    <t>6310101000</t>
  </si>
  <si>
    <t>6310109000</t>
  </si>
  <si>
    <t>6310900000</t>
  </si>
  <si>
    <t>6401100000</t>
  </si>
  <si>
    <t>6401920000</t>
  </si>
  <si>
    <t>6401990000</t>
  </si>
  <si>
    <t>6402120000</t>
  </si>
  <si>
    <t>6402190000</t>
  </si>
  <si>
    <t>6402200000</t>
  </si>
  <si>
    <t>6402910000</t>
  </si>
  <si>
    <t>6402991000</t>
  </si>
  <si>
    <t>6402999000</t>
  </si>
  <si>
    <t>6403120000</t>
  </si>
  <si>
    <t>6403190000</t>
  </si>
  <si>
    <t>6403200000</t>
  </si>
  <si>
    <t>6403400000</t>
  </si>
  <si>
    <t>6403510000</t>
  </si>
  <si>
    <t>6403590000</t>
  </si>
  <si>
    <t>6403911000</t>
  </si>
  <si>
    <t>6403919000</t>
  </si>
  <si>
    <t>6403991000</t>
  </si>
  <si>
    <t>6403999000</t>
  </si>
  <si>
    <t>6404111000</t>
  </si>
  <si>
    <t>6404112000</t>
  </si>
  <si>
    <t>6404190000</t>
  </si>
  <si>
    <t>6404200000</t>
  </si>
  <si>
    <t>6405100000</t>
  </si>
  <si>
    <t>6405200000</t>
  </si>
  <si>
    <t>6405900000</t>
  </si>
  <si>
    <t>6406100000</t>
  </si>
  <si>
    <t>Partes de calzado</t>
  </si>
  <si>
    <t>6406200000</t>
  </si>
  <si>
    <t>6406901000</t>
  </si>
  <si>
    <t>6406909000</t>
  </si>
  <si>
    <t>6501000000</t>
  </si>
  <si>
    <t>Cascos para sombreros</t>
  </si>
  <si>
    <t>6502001000</t>
  </si>
  <si>
    <t>6502009000</t>
  </si>
  <si>
    <t>6504000000</t>
  </si>
  <si>
    <t>Sombreros</t>
  </si>
  <si>
    <t>6505001000</t>
  </si>
  <si>
    <t>6505002000</t>
  </si>
  <si>
    <t>6505009000</t>
  </si>
  <si>
    <t>6506100000</t>
  </si>
  <si>
    <t>Cascos de seguridad</t>
  </si>
  <si>
    <t>6506910000</t>
  </si>
  <si>
    <t>6506990000</t>
  </si>
  <si>
    <t>6507000000</t>
  </si>
  <si>
    <t>Desudadores, forros, fundas, armaduras, viseras
y barboquejos (barbijos), para sombreros y demás
tocados.</t>
  </si>
  <si>
    <t>6601100000</t>
  </si>
  <si>
    <t>6601910000</t>
  </si>
  <si>
    <t>6601990000</t>
  </si>
  <si>
    <t>6602000000</t>
  </si>
  <si>
    <t>Bastones, bastones asiento, látigos, fustas y
artículos similares.</t>
  </si>
  <si>
    <t>6603200000</t>
  </si>
  <si>
    <t>6603900000</t>
  </si>
  <si>
    <t>6701000000</t>
  </si>
  <si>
    <t>Pieles y demás partes de ave con sus plumas o
plumón; plumas, partes de plumas, plumón y
artículos de estas materias, excepto los productos
de la partida 05.05 y los cañones y astiles de
plumas, trabajados.</t>
  </si>
  <si>
    <t>6702100000</t>
  </si>
  <si>
    <t>Flores, follaje y frutos de plástico</t>
  </si>
  <si>
    <t>6702900000</t>
  </si>
  <si>
    <t>6703000000</t>
  </si>
  <si>
    <t>Cabello peinado, afinado, blanqueado o
preparado de otra forma; lana, pelo u otra materia
textil, preparados para la fabricación de pelucas o
artículos similares.</t>
  </si>
  <si>
    <t>6704110000</t>
  </si>
  <si>
    <t>6704190000</t>
  </si>
  <si>
    <t>6704200000</t>
  </si>
  <si>
    <t>6704900000</t>
  </si>
  <si>
    <t>6801000000</t>
  </si>
  <si>
    <t>Adoquines, encintados (bordillos) y losas para
pavimentos, de piedra natural (excepto la pizarra).</t>
  </si>
  <si>
    <t>6802100000</t>
  </si>
  <si>
    <t>6802210000</t>
  </si>
  <si>
    <t>6802230000</t>
  </si>
  <si>
    <t>6802291000</t>
  </si>
  <si>
    <t>6802299000</t>
  </si>
  <si>
    <t>6802910000</t>
  </si>
  <si>
    <t>6802920000</t>
  </si>
  <si>
    <t>6802930000</t>
  </si>
  <si>
    <t>6802990000</t>
  </si>
  <si>
    <t>6803000000</t>
  </si>
  <si>
    <t>Pizarra natural trabajada y manufacturas de
pizarra natural o aglomerada.</t>
  </si>
  <si>
    <t>6804100000</t>
  </si>
  <si>
    <t>6804210000</t>
  </si>
  <si>
    <t>6804220000</t>
  </si>
  <si>
    <t>Manufacturas de piedra</t>
  </si>
  <si>
    <t>6804230000</t>
  </si>
  <si>
    <t>6804300000</t>
  </si>
  <si>
    <t>6805100000</t>
  </si>
  <si>
    <t>6805200000</t>
  </si>
  <si>
    <t>Lijas</t>
  </si>
  <si>
    <t>6805300000</t>
  </si>
  <si>
    <t>6806100000</t>
  </si>
  <si>
    <t>6806200000</t>
  </si>
  <si>
    <t>6806900000</t>
  </si>
  <si>
    <t>6807100000</t>
  </si>
  <si>
    <t>6807900000</t>
  </si>
  <si>
    <t>6808000000</t>
  </si>
  <si>
    <t>Productos cerámicos</t>
  </si>
  <si>
    <t>6809110000</t>
  </si>
  <si>
    <t>6809190000</t>
  </si>
  <si>
    <t>6809900000</t>
  </si>
  <si>
    <t>6810110000</t>
  </si>
  <si>
    <t>6810190000</t>
  </si>
  <si>
    <t>6810910000</t>
  </si>
  <si>
    <t>6810990000</t>
  </si>
  <si>
    <t>6811400010</t>
  </si>
  <si>
    <t>6811400020</t>
  </si>
  <si>
    <t>6811400090</t>
  </si>
  <si>
    <t>6811810000</t>
  </si>
  <si>
    <t>6811820000</t>
  </si>
  <si>
    <t>6811890000</t>
  </si>
  <si>
    <t>6812800010</t>
  </si>
  <si>
    <t>6812800020</t>
  </si>
  <si>
    <t>6812800030</t>
  </si>
  <si>
    <t>6812800090</t>
  </si>
  <si>
    <t>6812910000</t>
  </si>
  <si>
    <t>6812920000</t>
  </si>
  <si>
    <t>6812930000</t>
  </si>
  <si>
    <t>6812991000</t>
  </si>
  <si>
    <t>6812992000</t>
  </si>
  <si>
    <t>6812993000</t>
  </si>
  <si>
    <t>6812994000</t>
  </si>
  <si>
    <t>6812995000</t>
  </si>
  <si>
    <t>6812999000</t>
  </si>
  <si>
    <t>6813200000</t>
  </si>
  <si>
    <t>6813810000</t>
  </si>
  <si>
    <t>6813890000</t>
  </si>
  <si>
    <t>6814100000</t>
  </si>
  <si>
    <t>6814900000</t>
  </si>
  <si>
    <t>6815100000</t>
  </si>
  <si>
    <t>6815200000</t>
  </si>
  <si>
    <t>6815910000</t>
  </si>
  <si>
    <t>6815990000</t>
  </si>
  <si>
    <t>6901000000</t>
  </si>
  <si>
    <t>6902100000</t>
  </si>
  <si>
    <t>6902201000</t>
  </si>
  <si>
    <t>6902209000</t>
  </si>
  <si>
    <t>6902900000</t>
  </si>
  <si>
    <t>6903101000</t>
  </si>
  <si>
    <t>6903109000</t>
  </si>
  <si>
    <t>6903201000</t>
  </si>
  <si>
    <t>6903209000</t>
  </si>
  <si>
    <t>6903901000</t>
  </si>
  <si>
    <t>6903909000</t>
  </si>
  <si>
    <t>6904100000</t>
  </si>
  <si>
    <t>6904900000</t>
  </si>
  <si>
    <t>6905100000</t>
  </si>
  <si>
    <t>6905900000</t>
  </si>
  <si>
    <t>6906000000</t>
  </si>
  <si>
    <t>6907210000</t>
  </si>
  <si>
    <t>6907220000</t>
  </si>
  <si>
    <t>6907230000</t>
  </si>
  <si>
    <t>6907300000</t>
  </si>
  <si>
    <t>6907400000</t>
  </si>
  <si>
    <t>6909110000</t>
  </si>
  <si>
    <t>6909120000</t>
  </si>
  <si>
    <t>6909190000</t>
  </si>
  <si>
    <t>6909900000</t>
  </si>
  <si>
    <t>6910100000</t>
  </si>
  <si>
    <t>6910900000</t>
  </si>
  <si>
    <t>6911100000</t>
  </si>
  <si>
    <t>6911900000</t>
  </si>
  <si>
    <t>6912000000</t>
  </si>
  <si>
    <t>6913100000</t>
  </si>
  <si>
    <t>6913900000</t>
  </si>
  <si>
    <t>6914100000</t>
  </si>
  <si>
    <t>6914900000</t>
  </si>
  <si>
    <t>7001001000</t>
  </si>
  <si>
    <t>7001003000</t>
  </si>
  <si>
    <t>7002100000</t>
  </si>
  <si>
    <t>7002200000</t>
  </si>
  <si>
    <t>7002310000</t>
  </si>
  <si>
    <t>7002320000</t>
  </si>
  <si>
    <t>7002390000</t>
  </si>
  <si>
    <t>7003121000</t>
  </si>
  <si>
    <t>7003122000</t>
  </si>
  <si>
    <t>7003191000</t>
  </si>
  <si>
    <t>7003192000</t>
  </si>
  <si>
    <t>7003200000</t>
  </si>
  <si>
    <t>7003300000</t>
  </si>
  <si>
    <t>7004200010</t>
  </si>
  <si>
    <t>7004200090</t>
  </si>
  <si>
    <t>7004900020</t>
  </si>
  <si>
    <t>7004900090</t>
  </si>
  <si>
    <t>7005100000</t>
  </si>
  <si>
    <t>7005211100</t>
  </si>
  <si>
    <t>7005211900</t>
  </si>
  <si>
    <t>7005219000</t>
  </si>
  <si>
    <t>7005291000</t>
  </si>
  <si>
    <t>7005299000</t>
  </si>
  <si>
    <t>7005300000</t>
  </si>
  <si>
    <t>7006000000</t>
  </si>
  <si>
    <t>Productos de vidrio</t>
  </si>
  <si>
    <t>7007110000</t>
  </si>
  <si>
    <t>7007190000</t>
  </si>
  <si>
    <t>7007210000</t>
  </si>
  <si>
    <t>7007290000</t>
  </si>
  <si>
    <t>7008000000</t>
  </si>
  <si>
    <t>7009100000</t>
  </si>
  <si>
    <t>7009910000</t>
  </si>
  <si>
    <t>7009920000</t>
  </si>
  <si>
    <t>7010100000</t>
  </si>
  <si>
    <t>7010200000</t>
  </si>
  <si>
    <t>7010901000</t>
  </si>
  <si>
    <t>7010902000</t>
  </si>
  <si>
    <t>7010903000</t>
  </si>
  <si>
    <t>7010904000</t>
  </si>
  <si>
    <t>7011100000</t>
  </si>
  <si>
    <t>7011200000</t>
  </si>
  <si>
    <t>7011900000</t>
  </si>
  <si>
    <t>7013100000</t>
  </si>
  <si>
    <t>7013220000</t>
  </si>
  <si>
    <t>7013280000</t>
  </si>
  <si>
    <t>7013330000</t>
  </si>
  <si>
    <t>7013370000</t>
  </si>
  <si>
    <t>7013410000</t>
  </si>
  <si>
    <t>7013420000</t>
  </si>
  <si>
    <t>7013490000</t>
  </si>
  <si>
    <t>7013910000</t>
  </si>
  <si>
    <t>7013990000</t>
  </si>
  <si>
    <t>7014000000</t>
  </si>
  <si>
    <t>7015100000</t>
  </si>
  <si>
    <t>7015900000</t>
  </si>
  <si>
    <t>7016100000</t>
  </si>
  <si>
    <t>7016901000</t>
  </si>
  <si>
    <t>7016902000</t>
  </si>
  <si>
    <t>7016909000</t>
  </si>
  <si>
    <t>7017100000</t>
  </si>
  <si>
    <t>7017200000</t>
  </si>
  <si>
    <t>7017900000</t>
  </si>
  <si>
    <t>7018100000</t>
  </si>
  <si>
    <t>7018200000</t>
  </si>
  <si>
    <t>7018900010</t>
  </si>
  <si>
    <t>7018900090</t>
  </si>
  <si>
    <t>7019110000</t>
  </si>
  <si>
    <t>7019120000</t>
  </si>
  <si>
    <t>7019190000</t>
  </si>
  <si>
    <t>7019310000</t>
  </si>
  <si>
    <t>7019320000</t>
  </si>
  <si>
    <t>7019390000</t>
  </si>
  <si>
    <t>7019400000</t>
  </si>
  <si>
    <t>7019510000</t>
  </si>
  <si>
    <t>7019520000</t>
  </si>
  <si>
    <t>7019590000</t>
  </si>
  <si>
    <t>7019901000</t>
  </si>
  <si>
    <t>7019909000</t>
  </si>
  <si>
    <t>7020001000</t>
  </si>
  <si>
    <t>7020009000</t>
  </si>
  <si>
    <t>7101100000</t>
  </si>
  <si>
    <t>7101210000</t>
  </si>
  <si>
    <t>7101220000</t>
  </si>
  <si>
    <t>7102100000</t>
  </si>
  <si>
    <t>7102210000</t>
  </si>
  <si>
    <t>7102290000</t>
  </si>
  <si>
    <t>7102310000</t>
  </si>
  <si>
    <t>7102390000</t>
  </si>
  <si>
    <t>7103101000</t>
  </si>
  <si>
    <t>7103102000</t>
  </si>
  <si>
    <t>7103109000</t>
  </si>
  <si>
    <t>7103911000</t>
  </si>
  <si>
    <t>7103912000</t>
  </si>
  <si>
    <t>7103991000</t>
  </si>
  <si>
    <t>7103999000</t>
  </si>
  <si>
    <t>7104100000</t>
  </si>
  <si>
    <t>7104200000</t>
  </si>
  <si>
    <t>7104900000</t>
  </si>
  <si>
    <t>7105100000</t>
  </si>
  <si>
    <t>7105900000</t>
  </si>
  <si>
    <t>7106100000</t>
  </si>
  <si>
    <t>7106911000</t>
  </si>
  <si>
    <t>7106912000</t>
  </si>
  <si>
    <t>7106920000</t>
  </si>
  <si>
    <t>7107000000</t>
  </si>
  <si>
    <t>Joyería</t>
  </si>
  <si>
    <t>7108110000</t>
  </si>
  <si>
    <t>7108120000</t>
  </si>
  <si>
    <t>7108130000</t>
  </si>
  <si>
    <t>7108200000</t>
  </si>
  <si>
    <t>7109000000</t>
  </si>
  <si>
    <t>7110110000</t>
  </si>
  <si>
    <t>7110190000</t>
  </si>
  <si>
    <t>7110210000</t>
  </si>
  <si>
    <t>7110290000</t>
  </si>
  <si>
    <t>7110310000</t>
  </si>
  <si>
    <t>7110390000</t>
  </si>
  <si>
    <t>7110410000</t>
  </si>
  <si>
    <t>7110490000</t>
  </si>
  <si>
    <t>7111000000</t>
  </si>
  <si>
    <t>7112300000</t>
  </si>
  <si>
    <t>7112910000</t>
  </si>
  <si>
    <t>7112920000</t>
  </si>
  <si>
    <t>7112990000</t>
  </si>
  <si>
    <t>7113110000</t>
  </si>
  <si>
    <t>7113190000</t>
  </si>
  <si>
    <t>7113200000</t>
  </si>
  <si>
    <t>7114111000</t>
  </si>
  <si>
    <t>7114119000</t>
  </si>
  <si>
    <t>7114190000</t>
  </si>
  <si>
    <t>7114200000</t>
  </si>
  <si>
    <t>7115100000</t>
  </si>
  <si>
    <t>7115900000</t>
  </si>
  <si>
    <t>7116100000</t>
  </si>
  <si>
    <t>7116200000</t>
  </si>
  <si>
    <t>7117110000</t>
  </si>
  <si>
    <t>7117190000</t>
  </si>
  <si>
    <t>7117900000</t>
  </si>
  <si>
    <t>7118100000</t>
  </si>
  <si>
    <t>7118900000</t>
  </si>
  <si>
    <t>7201100000</t>
  </si>
  <si>
    <t>7201200000</t>
  </si>
  <si>
    <t>7201500000</t>
  </si>
  <si>
    <t>7202110000</t>
  </si>
  <si>
    <t>7202190000</t>
  </si>
  <si>
    <t>7202210000</t>
  </si>
  <si>
    <t>7202290000</t>
  </si>
  <si>
    <t>7202300000</t>
  </si>
  <si>
    <t>7202410000</t>
  </si>
  <si>
    <t>7202490000</t>
  </si>
  <si>
    <t>7202500000</t>
  </si>
  <si>
    <t>7202600000</t>
  </si>
  <si>
    <t>7202700000</t>
  </si>
  <si>
    <t>7202800000</t>
  </si>
  <si>
    <t>7202910000</t>
  </si>
  <si>
    <t>7202920000</t>
  </si>
  <si>
    <t>7202930000</t>
  </si>
  <si>
    <t>7202990000</t>
  </si>
  <si>
    <t>7203100000</t>
  </si>
  <si>
    <t>7203900000</t>
  </si>
  <si>
    <t>7204100000</t>
  </si>
  <si>
    <t>7204210000</t>
  </si>
  <si>
    <t>7204290000</t>
  </si>
  <si>
    <t>Chatarra</t>
  </si>
  <si>
    <t>7204300000</t>
  </si>
  <si>
    <t>7204410000</t>
  </si>
  <si>
    <t>7204490000</t>
  </si>
  <si>
    <t>7204500000</t>
  </si>
  <si>
    <t>7205100000</t>
  </si>
  <si>
    <t>7205210000</t>
  </si>
  <si>
    <t>7205290000</t>
  </si>
  <si>
    <t>7206100000</t>
  </si>
  <si>
    <t>7206900000</t>
  </si>
  <si>
    <t>7207110000</t>
  </si>
  <si>
    <t>7207120000</t>
  </si>
  <si>
    <t>7207190000</t>
  </si>
  <si>
    <t>7207200000</t>
  </si>
  <si>
    <t>7208101000</t>
  </si>
  <si>
    <t>7208102000</t>
  </si>
  <si>
    <t>7208103000</t>
  </si>
  <si>
    <t>7208104000</t>
  </si>
  <si>
    <t>7208251000</t>
  </si>
  <si>
    <t>7208252000</t>
  </si>
  <si>
    <t>7208260000</t>
  </si>
  <si>
    <t>7208270000</t>
  </si>
  <si>
    <t>7208360000</t>
  </si>
  <si>
    <t>7208371000</t>
  </si>
  <si>
    <t>7208379000</t>
  </si>
  <si>
    <t>7208381000</t>
  </si>
  <si>
    <t>7208389000</t>
  </si>
  <si>
    <t>7208391000</t>
  </si>
  <si>
    <t>7208399100</t>
  </si>
  <si>
    <t>7208399900</t>
  </si>
  <si>
    <t>7208401000</t>
  </si>
  <si>
    <t>7208402000</t>
  </si>
  <si>
    <t>7208403000</t>
  </si>
  <si>
    <t>7208404000</t>
  </si>
  <si>
    <t>7208511000</t>
  </si>
  <si>
    <t>7208512000</t>
  </si>
  <si>
    <t>7208521000</t>
  </si>
  <si>
    <t>7208529000</t>
  </si>
  <si>
    <t>7208530000</t>
  </si>
  <si>
    <t>7208540000</t>
  </si>
  <si>
    <t>7208900000</t>
  </si>
  <si>
    <t>7209150000</t>
  </si>
  <si>
    <t>7209160000</t>
  </si>
  <si>
    <t>7209170000</t>
  </si>
  <si>
    <t>7209181000</t>
  </si>
  <si>
    <t>7209182000</t>
  </si>
  <si>
    <t>7209250000</t>
  </si>
  <si>
    <t>7209260000</t>
  </si>
  <si>
    <t>7209270000</t>
  </si>
  <si>
    <t>7209280000</t>
  </si>
  <si>
    <t>7209900000</t>
  </si>
  <si>
    <t>7210110000</t>
  </si>
  <si>
    <t>7210120000</t>
  </si>
  <si>
    <t>7210200000</t>
  </si>
  <si>
    <t>7210300000</t>
  </si>
  <si>
    <t>7210410000</t>
  </si>
  <si>
    <t>7210490000</t>
  </si>
  <si>
    <t>7210500000</t>
  </si>
  <si>
    <t>7210610000</t>
  </si>
  <si>
    <t>7210690000</t>
  </si>
  <si>
    <t>7210701000</t>
  </si>
  <si>
    <t>7210709000</t>
  </si>
  <si>
    <t>7210900000</t>
  </si>
  <si>
    <t>7211130000</t>
  </si>
  <si>
    <t>7211140000</t>
  </si>
  <si>
    <t>7211191000</t>
  </si>
  <si>
    <t>7211199000</t>
  </si>
  <si>
    <t>7211230000</t>
  </si>
  <si>
    <t>7211290000</t>
  </si>
  <si>
    <t>7211900000</t>
  </si>
  <si>
    <t>7212100000</t>
  </si>
  <si>
    <t>7212200000</t>
  </si>
  <si>
    <t>7212300000</t>
  </si>
  <si>
    <t>7212400000</t>
  </si>
  <si>
    <t>7212500000</t>
  </si>
  <si>
    <t>7212600000</t>
  </si>
  <si>
    <t>7213100000</t>
  </si>
  <si>
    <t>7213200000</t>
  </si>
  <si>
    <t>7213911000</t>
  </si>
  <si>
    <t>7213919000</t>
  </si>
  <si>
    <t>7213990000</t>
  </si>
  <si>
    <t>7214100000</t>
  </si>
  <si>
    <t>7214200000</t>
  </si>
  <si>
    <t>7214301000</t>
  </si>
  <si>
    <t>7214309000</t>
  </si>
  <si>
    <t>7214912000</t>
  </si>
  <si>
    <t>7214919000</t>
  </si>
  <si>
    <t>7214991000</t>
  </si>
  <si>
    <t>7214999000</t>
  </si>
  <si>
    <t>7215101000</t>
  </si>
  <si>
    <t>7215109000</t>
  </si>
  <si>
    <t>7215501000</t>
  </si>
  <si>
    <t>7215509000</t>
  </si>
  <si>
    <t>7215901000</t>
  </si>
  <si>
    <t>7215909000</t>
  </si>
  <si>
    <t>7216100000</t>
  </si>
  <si>
    <t>7216210000</t>
  </si>
  <si>
    <t>7216220000</t>
  </si>
  <si>
    <t>7216310000</t>
  </si>
  <si>
    <t>7216320000</t>
  </si>
  <si>
    <t>7216330000</t>
  </si>
  <si>
    <t>7216400000</t>
  </si>
  <si>
    <t>7216500000</t>
  </si>
  <si>
    <t>7216610000</t>
  </si>
  <si>
    <t>7216690000</t>
  </si>
  <si>
    <t>7216910000</t>
  </si>
  <si>
    <t>7216990000</t>
  </si>
  <si>
    <t>7217100000</t>
  </si>
  <si>
    <t>7217200000</t>
  </si>
  <si>
    <t>7217300000</t>
  </si>
  <si>
    <t>7217900000</t>
  </si>
  <si>
    <t>Alambre de hierro o acero</t>
  </si>
  <si>
    <t>7218100000</t>
  </si>
  <si>
    <t>7218910000</t>
  </si>
  <si>
    <t>7218990000</t>
  </si>
  <si>
    <t>7219110000</t>
  </si>
  <si>
    <t>7219120000</t>
  </si>
  <si>
    <t>7219130000</t>
  </si>
  <si>
    <t>7219140000</t>
  </si>
  <si>
    <t>7219210000</t>
  </si>
  <si>
    <t>7219220000</t>
  </si>
  <si>
    <t>7219230000</t>
  </si>
  <si>
    <t>7219240000</t>
  </si>
  <si>
    <t>7219310000</t>
  </si>
  <si>
    <t>7219320000</t>
  </si>
  <si>
    <t>7219330000</t>
  </si>
  <si>
    <t>7219340000</t>
  </si>
  <si>
    <t>7219350000</t>
  </si>
  <si>
    <t>7219900000</t>
  </si>
  <si>
    <t>7220110000</t>
  </si>
  <si>
    <t>7220120000</t>
  </si>
  <si>
    <t>7220200000</t>
  </si>
  <si>
    <t>7220900000</t>
  </si>
  <si>
    <t>7221000000</t>
  </si>
  <si>
    <t>Alambre de acero inoxidable</t>
  </si>
  <si>
    <t>7222111000</t>
  </si>
  <si>
    <t>7222119000</t>
  </si>
  <si>
    <t>7222191000</t>
  </si>
  <si>
    <t>7222199000</t>
  </si>
  <si>
    <t>7222201000</t>
  </si>
  <si>
    <t>7222209000</t>
  </si>
  <si>
    <t>7222301000</t>
  </si>
  <si>
    <t>7222309000</t>
  </si>
  <si>
    <t>7222400000</t>
  </si>
  <si>
    <t>7223000000</t>
  </si>
  <si>
    <t>7224100000</t>
  </si>
  <si>
    <t>7224900000</t>
  </si>
  <si>
    <t>7225110000</t>
  </si>
  <si>
    <t>7225190000</t>
  </si>
  <si>
    <t>7225300000</t>
  </si>
  <si>
    <t>7225400000</t>
  </si>
  <si>
    <t>7225500000</t>
  </si>
  <si>
    <t>7225910000</t>
  </si>
  <si>
    <t>7225920000</t>
  </si>
  <si>
    <t>7225990000</t>
  </si>
  <si>
    <t>7226110000</t>
  </si>
  <si>
    <t>7226190000</t>
  </si>
  <si>
    <t>7226200000</t>
  </si>
  <si>
    <t>7226910000</t>
  </si>
  <si>
    <t>7226920000</t>
  </si>
  <si>
    <t>7226990000</t>
  </si>
  <si>
    <t>7227100000</t>
  </si>
  <si>
    <t>7227200000</t>
  </si>
  <si>
    <t>7227900000</t>
  </si>
  <si>
    <t>7228100000</t>
  </si>
  <si>
    <t>7228201000</t>
  </si>
  <si>
    <t>7228209000</t>
  </si>
  <si>
    <t>7228300000</t>
  </si>
  <si>
    <t>7228401000</t>
  </si>
  <si>
    <t>7228409000</t>
  </si>
  <si>
    <t>7228501000</t>
  </si>
  <si>
    <t>7228509000</t>
  </si>
  <si>
    <t>7228601000</t>
  </si>
  <si>
    <t>7228609000</t>
  </si>
  <si>
    <t>7228700000</t>
  </si>
  <si>
    <t>7228800000</t>
  </si>
  <si>
    <t>7229200000</t>
  </si>
  <si>
    <t>7229900000</t>
  </si>
  <si>
    <t>7301100000</t>
  </si>
  <si>
    <t>7301200000</t>
  </si>
  <si>
    <t>7302100000</t>
  </si>
  <si>
    <t>7302300000</t>
  </si>
  <si>
    <t>7302400000</t>
  </si>
  <si>
    <t>7302901000</t>
  </si>
  <si>
    <t>7302909000</t>
  </si>
  <si>
    <t>7303000000</t>
  </si>
  <si>
    <t>Tubos de hierro o acero</t>
  </si>
  <si>
    <t>7304110000</t>
  </si>
  <si>
    <t>7304190000</t>
  </si>
  <si>
    <t>7304220000</t>
  </si>
  <si>
    <t>7304230000</t>
  </si>
  <si>
    <t>7304240000</t>
  </si>
  <si>
    <t>7304290000</t>
  </si>
  <si>
    <t>7304310000</t>
  </si>
  <si>
    <t>7304390000</t>
  </si>
  <si>
    <t>7304410000</t>
  </si>
  <si>
    <t>7304490000</t>
  </si>
  <si>
    <t>7304510000</t>
  </si>
  <si>
    <t>7304590000</t>
  </si>
  <si>
    <t>7304900000</t>
  </si>
  <si>
    <t>7305110000</t>
  </si>
  <si>
    <t>7305120000</t>
  </si>
  <si>
    <t>7305190000</t>
  </si>
  <si>
    <t>7305200000</t>
  </si>
  <si>
    <t>7305310000</t>
  </si>
  <si>
    <t>7305390000</t>
  </si>
  <si>
    <t>7305900000</t>
  </si>
  <si>
    <t>7306110000</t>
  </si>
  <si>
    <t>7306190000</t>
  </si>
  <si>
    <t>7306210000</t>
  </si>
  <si>
    <t>7306290000</t>
  </si>
  <si>
    <t>7306301000</t>
  </si>
  <si>
    <t>7306309100</t>
  </si>
  <si>
    <t>7306309200</t>
  </si>
  <si>
    <t>7306309900</t>
  </si>
  <si>
    <t>7306400000</t>
  </si>
  <si>
    <t>7306500000</t>
  </si>
  <si>
    <t>7306610000</t>
  </si>
  <si>
    <t>7306690000</t>
  </si>
  <si>
    <t>7306900000</t>
  </si>
  <si>
    <t>7307110000</t>
  </si>
  <si>
    <t>7307190000</t>
  </si>
  <si>
    <t>7307210000</t>
  </si>
  <si>
    <t>7307220000</t>
  </si>
  <si>
    <t>7307230000</t>
  </si>
  <si>
    <t>7307290000</t>
  </si>
  <si>
    <t>7307910000</t>
  </si>
  <si>
    <t>7307920000</t>
  </si>
  <si>
    <t>7307930000</t>
  </si>
  <si>
    <t>7307990000</t>
  </si>
  <si>
    <t>7308100000</t>
  </si>
  <si>
    <t>7308200000</t>
  </si>
  <si>
    <t>7308300000</t>
  </si>
  <si>
    <t>7308400000</t>
  </si>
  <si>
    <t>7308901000</t>
  </si>
  <si>
    <t>7308902000</t>
  </si>
  <si>
    <t>7308909000</t>
  </si>
  <si>
    <t>Manufacturas de hierro o acero</t>
  </si>
  <si>
    <t>7309000000</t>
  </si>
  <si>
    <t>Depósitos, cisternas, cubas y recipientes similares
para cualquier materia (excepto gas comprimido o
licuado), de fundición, hierro o acero, de
capacidad superior a 300 l, sin dispositivos
mecánicos ni térmicos, incluso con revestimiento
interior o calorífugo.</t>
  </si>
  <si>
    <t>7310100000</t>
  </si>
  <si>
    <t>7310210000</t>
  </si>
  <si>
    <t>7310291000</t>
  </si>
  <si>
    <t>7310299000</t>
  </si>
  <si>
    <t>7311001000</t>
  </si>
  <si>
    <t>7311009000</t>
  </si>
  <si>
    <t>7312101000</t>
  </si>
  <si>
    <t>7312109000</t>
  </si>
  <si>
    <t>Cables de hierro o acero</t>
  </si>
  <si>
    <t>7312900000</t>
  </si>
  <si>
    <t>7313001000</t>
  </si>
  <si>
    <t>7313009000</t>
  </si>
  <si>
    <t>7314120000</t>
  </si>
  <si>
    <t>7314140000</t>
  </si>
  <si>
    <t>7314191000</t>
  </si>
  <si>
    <t>7314199000</t>
  </si>
  <si>
    <t>Telas metálicas</t>
  </si>
  <si>
    <t>7314200000</t>
  </si>
  <si>
    <t>7314310000</t>
  </si>
  <si>
    <t>7314390000</t>
  </si>
  <si>
    <t>7314410000</t>
  </si>
  <si>
    <t>7314420000</t>
  </si>
  <si>
    <t>7314490000</t>
  </si>
  <si>
    <t>7314500000</t>
  </si>
  <si>
    <t>7315110000</t>
  </si>
  <si>
    <t>7315120000</t>
  </si>
  <si>
    <t>7315190000</t>
  </si>
  <si>
    <t>7315200000</t>
  </si>
  <si>
    <t>7315810000</t>
  </si>
  <si>
    <t>7315820000</t>
  </si>
  <si>
    <t>7315890000</t>
  </si>
  <si>
    <t>7315900000</t>
  </si>
  <si>
    <t>7316000000</t>
  </si>
  <si>
    <t>Anclas, rezones y sus partes, de fundición, hierro
o acero.</t>
  </si>
  <si>
    <t>7317000000</t>
  </si>
  <si>
    <t>Puntas, clavos, chinches, grapas</t>
  </si>
  <si>
    <t>7318110000</t>
  </si>
  <si>
    <t>Tirafondos</t>
  </si>
  <si>
    <t>7318120000</t>
  </si>
  <si>
    <t>7318130000</t>
  </si>
  <si>
    <t>7318140000</t>
  </si>
  <si>
    <t>7318151000</t>
  </si>
  <si>
    <t>7318159000</t>
  </si>
  <si>
    <t>Tornillos y pernos</t>
  </si>
  <si>
    <t>7318160000</t>
  </si>
  <si>
    <t>Tuercas</t>
  </si>
  <si>
    <t>7318190000</t>
  </si>
  <si>
    <t>7318210000</t>
  </si>
  <si>
    <t>7318220000</t>
  </si>
  <si>
    <t>Arandelas</t>
  </si>
  <si>
    <t>7318230000</t>
  </si>
  <si>
    <t>Remaches</t>
  </si>
  <si>
    <t>7318240000</t>
  </si>
  <si>
    <t>Pasadores, clavijas y chavetas</t>
  </si>
  <si>
    <t>7318290000</t>
  </si>
  <si>
    <t>7319400000</t>
  </si>
  <si>
    <t>7319901000</t>
  </si>
  <si>
    <t>7319909000</t>
  </si>
  <si>
    <t>7320100000</t>
  </si>
  <si>
    <t>7320201000</t>
  </si>
  <si>
    <t>7320209000</t>
  </si>
  <si>
    <t>7320900000</t>
  </si>
  <si>
    <t>Resortes</t>
  </si>
  <si>
    <t>7321111100</t>
  </si>
  <si>
    <t>7321111200</t>
  </si>
  <si>
    <t>7321111900</t>
  </si>
  <si>
    <t>7321119000</t>
  </si>
  <si>
    <t>7321120000</t>
  </si>
  <si>
    <t>7321191000</t>
  </si>
  <si>
    <t>7321199000</t>
  </si>
  <si>
    <t>7321810000</t>
  </si>
  <si>
    <t>7321820000</t>
  </si>
  <si>
    <t>7321891000</t>
  </si>
  <si>
    <t>7321899000</t>
  </si>
  <si>
    <t>7321901000</t>
  </si>
  <si>
    <t>7321909000</t>
  </si>
  <si>
    <t>7322110000</t>
  </si>
  <si>
    <t>7322190000</t>
  </si>
  <si>
    <t>7322900000</t>
  </si>
  <si>
    <t>7323100000</t>
  </si>
  <si>
    <t>7323911000</t>
  </si>
  <si>
    <t>7323912000</t>
  </si>
  <si>
    <t>7323921000</t>
  </si>
  <si>
    <t>7323922000</t>
  </si>
  <si>
    <t>7323931000</t>
  </si>
  <si>
    <t>7323932000</t>
  </si>
  <si>
    <t>7323941000</t>
  </si>
  <si>
    <t>7323949000</t>
  </si>
  <si>
    <t>7323991000</t>
  </si>
  <si>
    <t>7323999000</t>
  </si>
  <si>
    <t>7324100000</t>
  </si>
  <si>
    <t>7324210000</t>
  </si>
  <si>
    <t>7324290000</t>
  </si>
  <si>
    <t>7324900000</t>
  </si>
  <si>
    <t>7325100000</t>
  </si>
  <si>
    <t>7325910000</t>
  </si>
  <si>
    <t>7325990000</t>
  </si>
  <si>
    <t>7326110000</t>
  </si>
  <si>
    <t>7326190000</t>
  </si>
  <si>
    <t>7326200000</t>
  </si>
  <si>
    <t>7326901000</t>
  </si>
  <si>
    <t>7326909000</t>
  </si>
  <si>
    <t>7401001000</t>
  </si>
  <si>
    <t>7401002000</t>
  </si>
  <si>
    <t>7402001000</t>
  </si>
  <si>
    <t>7402002000</t>
  </si>
  <si>
    <t>7402003000</t>
  </si>
  <si>
    <t>7403110000</t>
  </si>
  <si>
    <t>7403120000</t>
  </si>
  <si>
    <t>7403130000</t>
  </si>
  <si>
    <t>7403190000</t>
  </si>
  <si>
    <t>7403210000</t>
  </si>
  <si>
    <t>7403220000</t>
  </si>
  <si>
    <t>7403291000</t>
  </si>
  <si>
    <t>7403299000</t>
  </si>
  <si>
    <t>7404000000</t>
  </si>
  <si>
    <t>Manufacturas de cobre</t>
  </si>
  <si>
    <t>7405000000</t>
  </si>
  <si>
    <t>7406100000</t>
  </si>
  <si>
    <t>7406200000</t>
  </si>
  <si>
    <t>7407100000</t>
  </si>
  <si>
    <t>7407210000</t>
  </si>
  <si>
    <t>7407290000</t>
  </si>
  <si>
    <t>7408110000</t>
  </si>
  <si>
    <t>7408190000</t>
  </si>
  <si>
    <t>7408210000</t>
  </si>
  <si>
    <t>7408220000</t>
  </si>
  <si>
    <t>7408290000</t>
  </si>
  <si>
    <t>7409110000</t>
  </si>
  <si>
    <t>7409190000</t>
  </si>
  <si>
    <t>7409210000</t>
  </si>
  <si>
    <t>7409290000</t>
  </si>
  <si>
    <t>7409310000</t>
  </si>
  <si>
    <t>7409390000</t>
  </si>
  <si>
    <t>7409400000</t>
  </si>
  <si>
    <t>7409900000</t>
  </si>
  <si>
    <t>7410110000</t>
  </si>
  <si>
    <t>7410120000</t>
  </si>
  <si>
    <t>7410210000</t>
  </si>
  <si>
    <t>7410220000</t>
  </si>
  <si>
    <t>7411100000</t>
  </si>
  <si>
    <t>7411210000</t>
  </si>
  <si>
    <t>7411220000</t>
  </si>
  <si>
    <t>7411290000</t>
  </si>
  <si>
    <t>7412100000</t>
  </si>
  <si>
    <t>7412200000</t>
  </si>
  <si>
    <t>7413000000</t>
  </si>
  <si>
    <t>7415100000</t>
  </si>
  <si>
    <t>7415210000</t>
  </si>
  <si>
    <t>7415290000</t>
  </si>
  <si>
    <t>7415330000</t>
  </si>
  <si>
    <t>7415390000</t>
  </si>
  <si>
    <t>7418101000</t>
  </si>
  <si>
    <t>7418102000</t>
  </si>
  <si>
    <t>7418109000</t>
  </si>
  <si>
    <t>7418200000</t>
  </si>
  <si>
    <t>7419100000</t>
  </si>
  <si>
    <t>7419910000</t>
  </si>
  <si>
    <t>7419991000</t>
  </si>
  <si>
    <t>7419992000</t>
  </si>
  <si>
    <t>7419999000</t>
  </si>
  <si>
    <t>7501100000</t>
  </si>
  <si>
    <t>7501200000</t>
  </si>
  <si>
    <t>7502100000</t>
  </si>
  <si>
    <t>7502200000</t>
  </si>
  <si>
    <t>7503000000</t>
  </si>
  <si>
    <t>Manfacturas de níquel</t>
  </si>
  <si>
    <t>7504000000</t>
  </si>
  <si>
    <t>7505110000</t>
  </si>
  <si>
    <t>7505120000</t>
  </si>
  <si>
    <t>7505210000</t>
  </si>
  <si>
    <t>7505220000</t>
  </si>
  <si>
    <t>7506100000</t>
  </si>
  <si>
    <t>7506200000</t>
  </si>
  <si>
    <t>7507110000</t>
  </si>
  <si>
    <t>7507120000</t>
  </si>
  <si>
    <t>7507200000</t>
  </si>
  <si>
    <t>7508100000</t>
  </si>
  <si>
    <t>7508901000</t>
  </si>
  <si>
    <t>7508909000</t>
  </si>
  <si>
    <t>7601100000</t>
  </si>
  <si>
    <t>7601200000</t>
  </si>
  <si>
    <t>7602000000</t>
  </si>
  <si>
    <t>Desperdicios y desechos, de aluminio.</t>
  </si>
  <si>
    <t>7603100000</t>
  </si>
  <si>
    <t>7603200000</t>
  </si>
  <si>
    <t>7604101000</t>
  </si>
  <si>
    <t>7604102000</t>
  </si>
  <si>
    <t>7604210000</t>
  </si>
  <si>
    <t>7604291000</t>
  </si>
  <si>
    <t>7604292000</t>
  </si>
  <si>
    <t>7605110000</t>
  </si>
  <si>
    <t>7605190000</t>
  </si>
  <si>
    <t>7605210000</t>
  </si>
  <si>
    <t>7605290000</t>
  </si>
  <si>
    <t>7606110000</t>
  </si>
  <si>
    <t>7606122000</t>
  </si>
  <si>
    <t>7606129000</t>
  </si>
  <si>
    <t>7606911000</t>
  </si>
  <si>
    <t>7606919000</t>
  </si>
  <si>
    <t>7606922000</t>
  </si>
  <si>
    <t>7606923000</t>
  </si>
  <si>
    <t>7606929000</t>
  </si>
  <si>
    <t>7607110000</t>
  </si>
  <si>
    <t>7607190000</t>
  </si>
  <si>
    <t>7607200000</t>
  </si>
  <si>
    <t>7608101000</t>
  </si>
  <si>
    <t>7608109000</t>
  </si>
  <si>
    <t>7608200000</t>
  </si>
  <si>
    <t>Tubos de aluminio</t>
  </si>
  <si>
    <t>7609000000</t>
  </si>
  <si>
    <t>Accesorios de tubería (por ejemplo: empalmes
(racores), codos, manguitos) de aluminio.</t>
  </si>
  <si>
    <t>7610100000</t>
  </si>
  <si>
    <t>7610900000</t>
  </si>
  <si>
    <t>7611000000</t>
  </si>
  <si>
    <t>Depósitos, cisternas, cubas y recipientes similares
para cualquier materia (excepto gas comprimido o
licuado), de aluminio, de capacidad superior a 300
l, sin dispositivos mecánicos ni térmicos, incluso
con revestimiento interior o calorífugo.</t>
  </si>
  <si>
    <t>7612100000</t>
  </si>
  <si>
    <t>7612901000</t>
  </si>
  <si>
    <t>7612903000</t>
  </si>
  <si>
    <t>7612904000</t>
  </si>
  <si>
    <t>7612909000</t>
  </si>
  <si>
    <t>7613000000</t>
  </si>
  <si>
    <t>Recipientes para gas comprimido o licuado, de
aluminio.</t>
  </si>
  <si>
    <t>7614100000</t>
  </si>
  <si>
    <t>7614900000</t>
  </si>
  <si>
    <t>7615101000</t>
  </si>
  <si>
    <t>7615102000</t>
  </si>
  <si>
    <t>7615108000</t>
  </si>
  <si>
    <t>7615109000</t>
  </si>
  <si>
    <t>7615200000</t>
  </si>
  <si>
    <t>7616100000</t>
  </si>
  <si>
    <t>7616910000</t>
  </si>
  <si>
    <t>7616991000</t>
  </si>
  <si>
    <t>7616999000</t>
  </si>
  <si>
    <t>7801100000</t>
  </si>
  <si>
    <t>7801910000</t>
  </si>
  <si>
    <t>7801990000</t>
  </si>
  <si>
    <t>7802000000</t>
  </si>
  <si>
    <t>Desperdicios y desechos, de plomo.</t>
  </si>
  <si>
    <t>7804110000</t>
  </si>
  <si>
    <t>7804190000</t>
  </si>
  <si>
    <t>7804200000</t>
  </si>
  <si>
    <t>7806001000</t>
  </si>
  <si>
    <t>7806002000</t>
  </si>
  <si>
    <t>7806003000</t>
  </si>
  <si>
    <t>7806009000</t>
  </si>
  <si>
    <t>7901110000</t>
  </si>
  <si>
    <t>7901120000</t>
  </si>
  <si>
    <t>7901200000</t>
  </si>
  <si>
    <t>7902000000</t>
  </si>
  <si>
    <t>Desperdicios y desechos, de cinc.</t>
  </si>
  <si>
    <t>7903100000</t>
  </si>
  <si>
    <t>7903900000</t>
  </si>
  <si>
    <t>7904001000</t>
  </si>
  <si>
    <t>7904009000</t>
  </si>
  <si>
    <t>7905000011</t>
  </si>
  <si>
    <t>7905000012</t>
  </si>
  <si>
    <t>7905000091</t>
  </si>
  <si>
    <t>7905000099</t>
  </si>
  <si>
    <t>7907001000</t>
  </si>
  <si>
    <t>7907002000</t>
  </si>
  <si>
    <t>7907009000</t>
  </si>
  <si>
    <t>8001100000</t>
  </si>
  <si>
    <t>8001200000</t>
  </si>
  <si>
    <t>8002000000</t>
  </si>
  <si>
    <t>Desperdicios y desechos, de estaño.</t>
  </si>
  <si>
    <t>8003001000</t>
  </si>
  <si>
    <t>8003009000</t>
  </si>
  <si>
    <t>8007001000</t>
  </si>
  <si>
    <t>8007002000</t>
  </si>
  <si>
    <t>8007003000</t>
  </si>
  <si>
    <t>8007009000</t>
  </si>
  <si>
    <t>8101100000</t>
  </si>
  <si>
    <t>8101940000</t>
  </si>
  <si>
    <t>8101960000</t>
  </si>
  <si>
    <t>8101970000</t>
  </si>
  <si>
    <t>8101990000</t>
  </si>
  <si>
    <t>8102100000</t>
  </si>
  <si>
    <t>8102940000</t>
  </si>
  <si>
    <t>8102950000</t>
  </si>
  <si>
    <t>8102960000</t>
  </si>
  <si>
    <t>8102970000</t>
  </si>
  <si>
    <t>8102990000</t>
  </si>
  <si>
    <t>8103200000</t>
  </si>
  <si>
    <t>8103300000</t>
  </si>
  <si>
    <t>8103900000</t>
  </si>
  <si>
    <t>8104110000</t>
  </si>
  <si>
    <t>8104190000</t>
  </si>
  <si>
    <t>8104200000</t>
  </si>
  <si>
    <t>8104300000</t>
  </si>
  <si>
    <t>8104900000</t>
  </si>
  <si>
    <t>8105200000</t>
  </si>
  <si>
    <t>8105300000</t>
  </si>
  <si>
    <t>8105900000</t>
  </si>
  <si>
    <t>8106001100</t>
  </si>
  <si>
    <t>8106001900</t>
  </si>
  <si>
    <t>8106002000</t>
  </si>
  <si>
    <t>8106009000</t>
  </si>
  <si>
    <t>8107200010</t>
  </si>
  <si>
    <t>8107200090</t>
  </si>
  <si>
    <t>8107300000</t>
  </si>
  <si>
    <t>8107900000</t>
  </si>
  <si>
    <t>8108200000</t>
  </si>
  <si>
    <t>8108300000</t>
  </si>
  <si>
    <t>8108900000</t>
  </si>
  <si>
    <t>8109200000</t>
  </si>
  <si>
    <t>8109300000</t>
  </si>
  <si>
    <t>8109900000</t>
  </si>
  <si>
    <t>8110100000</t>
  </si>
  <si>
    <t>8110200000</t>
  </si>
  <si>
    <t>8110900000</t>
  </si>
  <si>
    <t>8111001100</t>
  </si>
  <si>
    <t>8111001200</t>
  </si>
  <si>
    <t>8111009000</t>
  </si>
  <si>
    <t>8112120000</t>
  </si>
  <si>
    <t>8112130000</t>
  </si>
  <si>
    <t>8112190000</t>
  </si>
  <si>
    <t>8112210000</t>
  </si>
  <si>
    <t>8112220000</t>
  </si>
  <si>
    <t>8112290000</t>
  </si>
  <si>
    <t>8112510000</t>
  </si>
  <si>
    <t>8112520000</t>
  </si>
  <si>
    <t>8112590000</t>
  </si>
  <si>
    <t>8112921010</t>
  </si>
  <si>
    <t>8112921090</t>
  </si>
  <si>
    <t>8112922010</t>
  </si>
  <si>
    <t>8112922090</t>
  </si>
  <si>
    <t>8112990000</t>
  </si>
  <si>
    <t>8113000000</t>
  </si>
  <si>
    <t>Cermet y sus manufacturas, incluidos los
desperdicios y desechos.</t>
  </si>
  <si>
    <t>8201100000</t>
  </si>
  <si>
    <t>8201300000</t>
  </si>
  <si>
    <t>8201401000</t>
  </si>
  <si>
    <t>Machetes</t>
  </si>
  <si>
    <t>8201409000</t>
  </si>
  <si>
    <t>8201500000</t>
  </si>
  <si>
    <t>8201601000</t>
  </si>
  <si>
    <t>8201609000</t>
  </si>
  <si>
    <t>8201901000</t>
  </si>
  <si>
    <t>8201909000</t>
  </si>
  <si>
    <t>8202101000</t>
  </si>
  <si>
    <t>8202109000</t>
  </si>
  <si>
    <t>8202200000</t>
  </si>
  <si>
    <t>8202310000</t>
  </si>
  <si>
    <t>8202390000</t>
  </si>
  <si>
    <t>8202400000</t>
  </si>
  <si>
    <t>8202910000</t>
  </si>
  <si>
    <t>8202990000</t>
  </si>
  <si>
    <t>8203100000</t>
  </si>
  <si>
    <t>8203200000</t>
  </si>
  <si>
    <t>8203300000</t>
  </si>
  <si>
    <t>8203400000</t>
  </si>
  <si>
    <t>8204110000</t>
  </si>
  <si>
    <t>8204120000</t>
  </si>
  <si>
    <t>8204200000</t>
  </si>
  <si>
    <t>8205100000</t>
  </si>
  <si>
    <t>8205200000</t>
  </si>
  <si>
    <t>Martillos y mazas</t>
  </si>
  <si>
    <t>8205300000</t>
  </si>
  <si>
    <t>8205401000</t>
  </si>
  <si>
    <t>8205409000</t>
  </si>
  <si>
    <t>8205510000</t>
  </si>
  <si>
    <t>8205591000</t>
  </si>
  <si>
    <t>8205592000</t>
  </si>
  <si>
    <t>8205593000</t>
  </si>
  <si>
    <t>8205596000</t>
  </si>
  <si>
    <t>8205599100</t>
  </si>
  <si>
    <t>8205599200</t>
  </si>
  <si>
    <t>8205599900</t>
  </si>
  <si>
    <t>8205601000</t>
  </si>
  <si>
    <t>8205609000</t>
  </si>
  <si>
    <t>8205700000</t>
  </si>
  <si>
    <t>8205901000</t>
  </si>
  <si>
    <t>8205909000</t>
  </si>
  <si>
    <t>8206000000</t>
  </si>
  <si>
    <t>Herramientas de dos o más de las partidas 82.02
a 82.05, acondicionadas en juegos para la venta
al por menor.</t>
  </si>
  <si>
    <t>8207131000</t>
  </si>
  <si>
    <t>8207132000</t>
  </si>
  <si>
    <t>8207133000</t>
  </si>
  <si>
    <t>8207139000</t>
  </si>
  <si>
    <t>8207191000</t>
  </si>
  <si>
    <t>8207192100</t>
  </si>
  <si>
    <t>8207192900</t>
  </si>
  <si>
    <t>8207193000</t>
  </si>
  <si>
    <t>8207198000</t>
  </si>
  <si>
    <t>8207200000</t>
  </si>
  <si>
    <t>8207300000</t>
  </si>
  <si>
    <t>8207400000</t>
  </si>
  <si>
    <t>8207500000</t>
  </si>
  <si>
    <t>8207600000</t>
  </si>
  <si>
    <t>8207700000</t>
  </si>
  <si>
    <t>8207800000</t>
  </si>
  <si>
    <t>8207900000</t>
  </si>
  <si>
    <t>8208100000</t>
  </si>
  <si>
    <t>8208200000</t>
  </si>
  <si>
    <t>8208300000</t>
  </si>
  <si>
    <t>8208400000</t>
  </si>
  <si>
    <t>8208900000</t>
  </si>
  <si>
    <t>8209001000</t>
  </si>
  <si>
    <t>8209009000</t>
  </si>
  <si>
    <t>8210001000</t>
  </si>
  <si>
    <t>8210009000</t>
  </si>
  <si>
    <t>8211100000</t>
  </si>
  <si>
    <t>8211910000</t>
  </si>
  <si>
    <t>8211920000</t>
  </si>
  <si>
    <t>8211931000</t>
  </si>
  <si>
    <t>8211939000</t>
  </si>
  <si>
    <t>8211941000</t>
  </si>
  <si>
    <t>8211949000</t>
  </si>
  <si>
    <t>8211950000</t>
  </si>
  <si>
    <t>8212101000</t>
  </si>
  <si>
    <t>8212102000</t>
  </si>
  <si>
    <t>8212200000</t>
  </si>
  <si>
    <t>8212900000</t>
  </si>
  <si>
    <t>8213000000</t>
  </si>
  <si>
    <t>Tijeras y sus hojas</t>
  </si>
  <si>
    <t>8214100000</t>
  </si>
  <si>
    <t>8214200000</t>
  </si>
  <si>
    <t>Herramientas de manicura o de pedicuro</t>
  </si>
  <si>
    <t>8214901000</t>
  </si>
  <si>
    <t>8214909000</t>
  </si>
  <si>
    <t>8215100000</t>
  </si>
  <si>
    <t>8215200000</t>
  </si>
  <si>
    <t>8215910000</t>
  </si>
  <si>
    <t>8215990000</t>
  </si>
  <si>
    <t>8301100000</t>
  </si>
  <si>
    <t>8301200000</t>
  </si>
  <si>
    <t>8301300000</t>
  </si>
  <si>
    <t>8301401000</t>
  </si>
  <si>
    <t>8301409000</t>
  </si>
  <si>
    <t>8301500000</t>
  </si>
  <si>
    <t>8301600000</t>
  </si>
  <si>
    <t>8301700000</t>
  </si>
  <si>
    <t>8302101000</t>
  </si>
  <si>
    <t>8302109000</t>
  </si>
  <si>
    <t>8302200000</t>
  </si>
  <si>
    <t>Ruedas</t>
  </si>
  <si>
    <t>8302300000</t>
  </si>
  <si>
    <t>8302410000</t>
  </si>
  <si>
    <t>8302420000</t>
  </si>
  <si>
    <t>8302490000</t>
  </si>
  <si>
    <t>8302500000</t>
  </si>
  <si>
    <t>8302600000</t>
  </si>
  <si>
    <t>8303001000</t>
  </si>
  <si>
    <t>8303002000</t>
  </si>
  <si>
    <t>8303009000</t>
  </si>
  <si>
    <t>8304000000</t>
  </si>
  <si>
    <t>Clasificadores, ficheros, cajas de clasificación,
bandejas de correspondencia, plumeros (vasos o
cajas para plumas de escribir), portasellos y
material similar de oficina, de metal común,
excepto los muebles de oficina de la partida
94.03.</t>
  </si>
  <si>
    <t>8305100000</t>
  </si>
  <si>
    <t>8305200000</t>
  </si>
  <si>
    <t>8305900000</t>
  </si>
  <si>
    <t>8306100000</t>
  </si>
  <si>
    <t>8306210000</t>
  </si>
  <si>
    <t>8306290000</t>
  </si>
  <si>
    <t>8306300000</t>
  </si>
  <si>
    <t>8307100000</t>
  </si>
  <si>
    <t>8307900000</t>
  </si>
  <si>
    <t>8308101100</t>
  </si>
  <si>
    <t>8308101200</t>
  </si>
  <si>
    <t>8308101900</t>
  </si>
  <si>
    <t>8308109000</t>
  </si>
  <si>
    <t>8308200000</t>
  </si>
  <si>
    <t>8308900000</t>
  </si>
  <si>
    <t>8309100000</t>
  </si>
  <si>
    <t>8309900000</t>
  </si>
  <si>
    <t>8310000000</t>
  </si>
  <si>
    <t>Placas indicadoras, placas rótulo, placas de
direcciones y placas similares, cifras, letras y
signos diversos, de metal común, excepto los de
la partida 94.05.</t>
  </si>
  <si>
    <t>8311100000</t>
  </si>
  <si>
    <t>8311200000</t>
  </si>
  <si>
    <t>8311300000</t>
  </si>
  <si>
    <t>8311900000</t>
  </si>
  <si>
    <t>8401100000</t>
  </si>
  <si>
    <t>8401200000</t>
  </si>
  <si>
    <t>8401300000</t>
  </si>
  <si>
    <t>8401400000</t>
  </si>
  <si>
    <t>8402110000</t>
  </si>
  <si>
    <t>8402120000</t>
  </si>
  <si>
    <t>Calderas</t>
  </si>
  <si>
    <t>8402190000</t>
  </si>
  <si>
    <t>8402200000</t>
  </si>
  <si>
    <t>8402900000</t>
  </si>
  <si>
    <t>8403100000</t>
  </si>
  <si>
    <t>8403900000</t>
  </si>
  <si>
    <t>8404100000</t>
  </si>
  <si>
    <t>8404200000</t>
  </si>
  <si>
    <t>8404900000</t>
  </si>
  <si>
    <t>8405100000</t>
  </si>
  <si>
    <t>8405900000</t>
  </si>
  <si>
    <t>8406100000</t>
  </si>
  <si>
    <t>8406810000</t>
  </si>
  <si>
    <t>8406820000</t>
  </si>
  <si>
    <t>8406900000</t>
  </si>
  <si>
    <t>8407100000</t>
  </si>
  <si>
    <t>Motores de aviación</t>
  </si>
  <si>
    <t>8407210000</t>
  </si>
  <si>
    <t>8407290000</t>
  </si>
  <si>
    <t>8407310000</t>
  </si>
  <si>
    <t>8407320000</t>
  </si>
  <si>
    <t>8407330000</t>
  </si>
  <si>
    <t>8407340000</t>
  </si>
  <si>
    <t>8407900000</t>
  </si>
  <si>
    <t>Motores para barcos</t>
  </si>
  <si>
    <t>8408201000</t>
  </si>
  <si>
    <t>8408209000</t>
  </si>
  <si>
    <t>8408901000</t>
  </si>
  <si>
    <t>8408902000</t>
  </si>
  <si>
    <t>8409100000</t>
  </si>
  <si>
    <t>Partes de motores de aviación</t>
  </si>
  <si>
    <t>8409911000</t>
  </si>
  <si>
    <t>8409912000</t>
  </si>
  <si>
    <t>8409913000</t>
  </si>
  <si>
    <t>8409914000</t>
  </si>
  <si>
    <t>8409915000</t>
  </si>
  <si>
    <t>8409916000</t>
  </si>
  <si>
    <t>8409917000</t>
  </si>
  <si>
    <t>8409918000</t>
  </si>
  <si>
    <t>8409919100</t>
  </si>
  <si>
    <t>8409919900</t>
  </si>
  <si>
    <t>8409991000</t>
  </si>
  <si>
    <t>Pistones</t>
  </si>
  <si>
    <t>8409992000</t>
  </si>
  <si>
    <t>8409993000</t>
  </si>
  <si>
    <t>Inyectores de combustible</t>
  </si>
  <si>
    <t>8409994000</t>
  </si>
  <si>
    <t>8409995000</t>
  </si>
  <si>
    <t>8409996000</t>
  </si>
  <si>
    <t>8409997000</t>
  </si>
  <si>
    <t>8409998000</t>
  </si>
  <si>
    <t>8409999100</t>
  </si>
  <si>
    <t>8409999200</t>
  </si>
  <si>
    <t>8409999300</t>
  </si>
  <si>
    <t>8409999900</t>
  </si>
  <si>
    <t>8410110000</t>
  </si>
  <si>
    <t>8410120000</t>
  </si>
  <si>
    <t>8410130000</t>
  </si>
  <si>
    <t>8410900000</t>
  </si>
  <si>
    <t>8411110000</t>
  </si>
  <si>
    <t>8411120000</t>
  </si>
  <si>
    <t>8411210000</t>
  </si>
  <si>
    <t>8411220000</t>
  </si>
  <si>
    <t>8411810000</t>
  </si>
  <si>
    <t>8411820000</t>
  </si>
  <si>
    <t>8411910000</t>
  </si>
  <si>
    <t>8411990000</t>
  </si>
  <si>
    <t>8412100000</t>
  </si>
  <si>
    <t>8412210000</t>
  </si>
  <si>
    <t>8412290000</t>
  </si>
  <si>
    <t>8412310000</t>
  </si>
  <si>
    <t>8412390000</t>
  </si>
  <si>
    <t>Motores neumáticos</t>
  </si>
  <si>
    <t>8412801000</t>
  </si>
  <si>
    <t>8412809000</t>
  </si>
  <si>
    <t>8412900000</t>
  </si>
  <si>
    <t>Partes de máquinas</t>
  </si>
  <si>
    <t>8413110000</t>
  </si>
  <si>
    <t>8413190000</t>
  </si>
  <si>
    <t>8413200000</t>
  </si>
  <si>
    <t>8413301000</t>
  </si>
  <si>
    <t>8413302000</t>
  </si>
  <si>
    <t>8413309100</t>
  </si>
  <si>
    <t>8413309200</t>
  </si>
  <si>
    <t>8413309900</t>
  </si>
  <si>
    <t>8413400000</t>
  </si>
  <si>
    <t>8413500000</t>
  </si>
  <si>
    <t>Bombas volumétricas</t>
  </si>
  <si>
    <t>8413601000</t>
  </si>
  <si>
    <t>8413609000</t>
  </si>
  <si>
    <t>8413701100</t>
  </si>
  <si>
    <t>8413701900</t>
  </si>
  <si>
    <t>8413702100</t>
  </si>
  <si>
    <t>8413702900</t>
  </si>
  <si>
    <t>8413811000</t>
  </si>
  <si>
    <t>8413819000</t>
  </si>
  <si>
    <t>8413820000</t>
  </si>
  <si>
    <t>8413911000</t>
  </si>
  <si>
    <t>8413912000</t>
  </si>
  <si>
    <t>8413913000</t>
  </si>
  <si>
    <t>8413919000</t>
  </si>
  <si>
    <t>8413920000</t>
  </si>
  <si>
    <t>8414100000</t>
  </si>
  <si>
    <t>Bombas de vacío</t>
  </si>
  <si>
    <t>8414200000</t>
  </si>
  <si>
    <t>Compresores de aire</t>
  </si>
  <si>
    <t>8414304000</t>
  </si>
  <si>
    <t>8414309100</t>
  </si>
  <si>
    <t>8414309200</t>
  </si>
  <si>
    <t>8414309900</t>
  </si>
  <si>
    <t>8414401000</t>
  </si>
  <si>
    <t>8414409000</t>
  </si>
  <si>
    <t>8414510000</t>
  </si>
  <si>
    <t>8414590000</t>
  </si>
  <si>
    <t>8414600000</t>
  </si>
  <si>
    <t>8414801000</t>
  </si>
  <si>
    <t>8414802100</t>
  </si>
  <si>
    <t>8414802200</t>
  </si>
  <si>
    <t>8414802300</t>
  </si>
  <si>
    <t>8414809000</t>
  </si>
  <si>
    <t>8414901000</t>
  </si>
  <si>
    <t>8414909000</t>
  </si>
  <si>
    <t>8415101000</t>
  </si>
  <si>
    <t>Aire acondicionado</t>
  </si>
  <si>
    <t>8415200000</t>
  </si>
  <si>
    <t>8415811000</t>
  </si>
  <si>
    <t>8415819000</t>
  </si>
  <si>
    <t>8415822000</t>
  </si>
  <si>
    <t>8415823000</t>
  </si>
  <si>
    <t>8415824000</t>
  </si>
  <si>
    <t>8415831000</t>
  </si>
  <si>
    <t>8415839000</t>
  </si>
  <si>
    <t>Partes para aires acondicionados</t>
  </si>
  <si>
    <t>8416100000</t>
  </si>
  <si>
    <t>8416201000</t>
  </si>
  <si>
    <t>8416202000</t>
  </si>
  <si>
    <t>8416203000</t>
  </si>
  <si>
    <t>8416300000</t>
  </si>
  <si>
    <t>8416900000</t>
  </si>
  <si>
    <t>8417100000</t>
  </si>
  <si>
    <t>8417201000</t>
  </si>
  <si>
    <t>8417209000</t>
  </si>
  <si>
    <t>8417802000</t>
  </si>
  <si>
    <t>8417803000</t>
  </si>
  <si>
    <t>8417809000</t>
  </si>
  <si>
    <t>8417900000</t>
  </si>
  <si>
    <t>8418101000</t>
  </si>
  <si>
    <t>8418102000</t>
  </si>
  <si>
    <t>8418103000</t>
  </si>
  <si>
    <t>8418109000</t>
  </si>
  <si>
    <t>8418211000</t>
  </si>
  <si>
    <t>8418212000</t>
  </si>
  <si>
    <t>8418213000</t>
  </si>
  <si>
    <t>8418219000</t>
  </si>
  <si>
    <t>8418291000</t>
  </si>
  <si>
    <t>8418299000</t>
  </si>
  <si>
    <t>8418300000</t>
  </si>
  <si>
    <t>8418400000</t>
  </si>
  <si>
    <t>8418500000</t>
  </si>
  <si>
    <t>8418610000</t>
  </si>
  <si>
    <t>8418691100</t>
  </si>
  <si>
    <t>8418691200</t>
  </si>
  <si>
    <t>8418699100</t>
  </si>
  <si>
    <t>8418699200</t>
  </si>
  <si>
    <t>8418699300</t>
  </si>
  <si>
    <t>8418699400</t>
  </si>
  <si>
    <t>8418699900</t>
  </si>
  <si>
    <t>8418910000</t>
  </si>
  <si>
    <t>Placas evaporadoras</t>
  </si>
  <si>
    <t>8418992000</t>
  </si>
  <si>
    <t>8418999010</t>
  </si>
  <si>
    <t>8418999090</t>
  </si>
  <si>
    <t>8419110000</t>
  </si>
  <si>
    <t>8419191000</t>
  </si>
  <si>
    <t>8419199000</t>
  </si>
  <si>
    <t>8419200000</t>
  </si>
  <si>
    <t>8419310000</t>
  </si>
  <si>
    <t>8419320000</t>
  </si>
  <si>
    <t>8419391000</t>
  </si>
  <si>
    <t>8419392000</t>
  </si>
  <si>
    <t>8419399100</t>
  </si>
  <si>
    <t>8419399900</t>
  </si>
  <si>
    <t>8419400000</t>
  </si>
  <si>
    <t>8419501000</t>
  </si>
  <si>
    <t>8419509000</t>
  </si>
  <si>
    <t>8419600000</t>
  </si>
  <si>
    <t>8419810000</t>
  </si>
  <si>
    <t>Máquinas cafeteras</t>
  </si>
  <si>
    <t>8419891000</t>
  </si>
  <si>
    <t>Autoclaves</t>
  </si>
  <si>
    <t>8419899100</t>
  </si>
  <si>
    <t>8419899200</t>
  </si>
  <si>
    <t>8419899300</t>
  </si>
  <si>
    <t>8419899900</t>
  </si>
  <si>
    <t>8419901000</t>
  </si>
  <si>
    <t>8419909000</t>
  </si>
  <si>
    <t>8420101000</t>
  </si>
  <si>
    <t>8420109000</t>
  </si>
  <si>
    <t>8420910000</t>
  </si>
  <si>
    <t>8420990000</t>
  </si>
  <si>
    <t>8421110000</t>
  </si>
  <si>
    <t>8421120000</t>
  </si>
  <si>
    <t>8421191000</t>
  </si>
  <si>
    <t>8421192000</t>
  </si>
  <si>
    <t>8421193000</t>
  </si>
  <si>
    <t>8421199000</t>
  </si>
  <si>
    <t>Filtros</t>
  </si>
  <si>
    <t>8421211000</t>
  </si>
  <si>
    <t>8421219000</t>
  </si>
  <si>
    <t>8421220000</t>
  </si>
  <si>
    <t>8421230000</t>
  </si>
  <si>
    <t>8421291000</t>
  </si>
  <si>
    <t>8421292000</t>
  </si>
  <si>
    <t>8421293000</t>
  </si>
  <si>
    <t>8421294000</t>
  </si>
  <si>
    <t>8421299000</t>
  </si>
  <si>
    <t>8421310000</t>
  </si>
  <si>
    <t>8421391000</t>
  </si>
  <si>
    <t>8421392000</t>
  </si>
  <si>
    <t>8421399000</t>
  </si>
  <si>
    <t>8421910000</t>
  </si>
  <si>
    <t>8421991000</t>
  </si>
  <si>
    <t>8421999000</t>
  </si>
  <si>
    <t>8422110000</t>
  </si>
  <si>
    <t>8422190000</t>
  </si>
  <si>
    <t>8422200000</t>
  </si>
  <si>
    <t>8422301000</t>
  </si>
  <si>
    <t>8422309000</t>
  </si>
  <si>
    <t>8422401000</t>
  </si>
  <si>
    <t>8422402000</t>
  </si>
  <si>
    <t>8422403000</t>
  </si>
  <si>
    <t>8422409000</t>
  </si>
  <si>
    <t>8422900000</t>
  </si>
  <si>
    <t>8423100000</t>
  </si>
  <si>
    <t>Básculas y balanzas</t>
  </si>
  <si>
    <t>8423200000</t>
  </si>
  <si>
    <t>8423301000</t>
  </si>
  <si>
    <t>8423309000</t>
  </si>
  <si>
    <t>8423810010</t>
  </si>
  <si>
    <t>8423810090</t>
  </si>
  <si>
    <t>8423821000</t>
  </si>
  <si>
    <t>8423829010</t>
  </si>
  <si>
    <t>8423829090</t>
  </si>
  <si>
    <t>8423891000</t>
  </si>
  <si>
    <t>8423899010</t>
  </si>
  <si>
    <t>8423899090</t>
  </si>
  <si>
    <t>8423900000</t>
  </si>
  <si>
    <t>8424100000</t>
  </si>
  <si>
    <t>8424200000</t>
  </si>
  <si>
    <t>Pistolas aerográficas</t>
  </si>
  <si>
    <t>8424300000</t>
  </si>
  <si>
    <t>8424410000</t>
  </si>
  <si>
    <t>8424490000</t>
  </si>
  <si>
    <t>Drones para agricultura</t>
  </si>
  <si>
    <t>8424821000</t>
  </si>
  <si>
    <t>8424822100</t>
  </si>
  <si>
    <t>8424822900</t>
  </si>
  <si>
    <t>8424829000</t>
  </si>
  <si>
    <t>8424890000</t>
  </si>
  <si>
    <t>8424901000</t>
  </si>
  <si>
    <t>8424909000</t>
  </si>
  <si>
    <t>8425110000</t>
  </si>
  <si>
    <t>8425190000</t>
  </si>
  <si>
    <t>8425311000</t>
  </si>
  <si>
    <t>8425319000</t>
  </si>
  <si>
    <t>8425391000</t>
  </si>
  <si>
    <t>8425399000</t>
  </si>
  <si>
    <t>8425410000</t>
  </si>
  <si>
    <t>8425422000</t>
  </si>
  <si>
    <t>8425429000</t>
  </si>
  <si>
    <t>Gatas</t>
  </si>
  <si>
    <t>8425491000</t>
  </si>
  <si>
    <t>8425499000</t>
  </si>
  <si>
    <t>8426110000</t>
  </si>
  <si>
    <t>8426121000</t>
  </si>
  <si>
    <t>8426122000</t>
  </si>
  <si>
    <t>8426190000</t>
  </si>
  <si>
    <t>8426200000</t>
  </si>
  <si>
    <t>8426300000</t>
  </si>
  <si>
    <t>8426411000</t>
  </si>
  <si>
    <t>8426419000</t>
  </si>
  <si>
    <t>8426490000</t>
  </si>
  <si>
    <t>8426910000</t>
  </si>
  <si>
    <t>8426991000</t>
  </si>
  <si>
    <t>Cables aéreos</t>
  </si>
  <si>
    <t>8426992000</t>
  </si>
  <si>
    <t>8426999000</t>
  </si>
  <si>
    <t>8427100000</t>
  </si>
  <si>
    <t>8427200000</t>
  </si>
  <si>
    <t>Carretillas autopropulsadas</t>
  </si>
  <si>
    <t>8427900000</t>
  </si>
  <si>
    <t>8428101000</t>
  </si>
  <si>
    <t>8428109000</t>
  </si>
  <si>
    <t>8428200000</t>
  </si>
  <si>
    <t>8428310000</t>
  </si>
  <si>
    <t>8428320000</t>
  </si>
  <si>
    <t>8428330000</t>
  </si>
  <si>
    <t>8428390000</t>
  </si>
  <si>
    <t>8428400000</t>
  </si>
  <si>
    <t>8428600000</t>
  </si>
  <si>
    <t>8428901000</t>
  </si>
  <si>
    <t>8428909000</t>
  </si>
  <si>
    <t>8429110000</t>
  </si>
  <si>
    <t>8429190000</t>
  </si>
  <si>
    <t>8429200000</t>
  </si>
  <si>
    <t>8429300000</t>
  </si>
  <si>
    <t>8429400000</t>
  </si>
  <si>
    <t>8429510000</t>
  </si>
  <si>
    <t>8429520000</t>
  </si>
  <si>
    <t>8429590000</t>
  </si>
  <si>
    <t>8430100000</t>
  </si>
  <si>
    <t>8430200000</t>
  </si>
  <si>
    <t>8430310000</t>
  </si>
  <si>
    <t>8430390000</t>
  </si>
  <si>
    <t>8430410000</t>
  </si>
  <si>
    <t>8430490000</t>
  </si>
  <si>
    <t>Máquinas para perforar</t>
  </si>
  <si>
    <t>8430500000</t>
  </si>
  <si>
    <t>8430611000</t>
  </si>
  <si>
    <t>8430619000</t>
  </si>
  <si>
    <t>8430691000</t>
  </si>
  <si>
    <t>8430699000</t>
  </si>
  <si>
    <t>8431101000</t>
  </si>
  <si>
    <t>8431109000</t>
  </si>
  <si>
    <t>8431200000</t>
  </si>
  <si>
    <t>8431310000</t>
  </si>
  <si>
    <t>8431390000</t>
  </si>
  <si>
    <t>8431410000</t>
  </si>
  <si>
    <t>8431420000</t>
  </si>
  <si>
    <t>8431431000</t>
  </si>
  <si>
    <t>8431439000</t>
  </si>
  <si>
    <t>8431490000</t>
  </si>
  <si>
    <t>8432100000</t>
  </si>
  <si>
    <t>8432210000</t>
  </si>
  <si>
    <t>8432290010</t>
  </si>
  <si>
    <t>8432290020</t>
  </si>
  <si>
    <t>8432310000</t>
  </si>
  <si>
    <t>8432390000</t>
  </si>
  <si>
    <t>8432410000</t>
  </si>
  <si>
    <t>8432420000</t>
  </si>
  <si>
    <t>8432800000</t>
  </si>
  <si>
    <t>8432901000</t>
  </si>
  <si>
    <t>8432909000</t>
  </si>
  <si>
    <t>8433111000</t>
  </si>
  <si>
    <t>8433119000</t>
  </si>
  <si>
    <t>8433191000</t>
  </si>
  <si>
    <t>8433199000</t>
  </si>
  <si>
    <t>8433200000</t>
  </si>
  <si>
    <t>8433300000</t>
  </si>
  <si>
    <t>8433400000</t>
  </si>
  <si>
    <t>8433510000</t>
  </si>
  <si>
    <t>8433520000</t>
  </si>
  <si>
    <t>8433530000</t>
  </si>
  <si>
    <t>8433591000</t>
  </si>
  <si>
    <t>8433592000</t>
  </si>
  <si>
    <t>8433599000</t>
  </si>
  <si>
    <t>8433601000</t>
  </si>
  <si>
    <t>8433609000</t>
  </si>
  <si>
    <t>8433901000</t>
  </si>
  <si>
    <t>8433909000</t>
  </si>
  <si>
    <t>8434100000</t>
  </si>
  <si>
    <t>8434200000</t>
  </si>
  <si>
    <t>8434901000</t>
  </si>
  <si>
    <t>8434909000</t>
  </si>
  <si>
    <t>8435100000</t>
  </si>
  <si>
    <t>8435900000</t>
  </si>
  <si>
    <t>8436100000</t>
  </si>
  <si>
    <t>8436210000</t>
  </si>
  <si>
    <t>8436291000</t>
  </si>
  <si>
    <t>8436292000</t>
  </si>
  <si>
    <t>8436299000</t>
  </si>
  <si>
    <t>8436801000</t>
  </si>
  <si>
    <t>8436809000</t>
  </si>
  <si>
    <t>8436910000</t>
  </si>
  <si>
    <t>8436990000</t>
  </si>
  <si>
    <t>8437101100</t>
  </si>
  <si>
    <t>8437101900</t>
  </si>
  <si>
    <t>8437109000</t>
  </si>
  <si>
    <t>8437801100</t>
  </si>
  <si>
    <t>8437801900</t>
  </si>
  <si>
    <t>8437809100</t>
  </si>
  <si>
    <t>8437809200</t>
  </si>
  <si>
    <t>8437809300</t>
  </si>
  <si>
    <t>8437809900</t>
  </si>
  <si>
    <t>8437900000</t>
  </si>
  <si>
    <t>8438101000</t>
  </si>
  <si>
    <t>8438102000</t>
  </si>
  <si>
    <t>8438201000</t>
  </si>
  <si>
    <t>8438202000</t>
  </si>
  <si>
    <t>8438300000</t>
  </si>
  <si>
    <t>8438400000</t>
  </si>
  <si>
    <t>8438501000</t>
  </si>
  <si>
    <t>8438509000</t>
  </si>
  <si>
    <t>8438600000</t>
  </si>
  <si>
    <t>8438801000</t>
  </si>
  <si>
    <t>Descascarilladoras y despulpadoras de café</t>
  </si>
  <si>
    <t>8438802000</t>
  </si>
  <si>
    <t>8438809000</t>
  </si>
  <si>
    <t>8438900000</t>
  </si>
  <si>
    <t>8439100000</t>
  </si>
  <si>
    <t>8439200000</t>
  </si>
  <si>
    <t>8439300000</t>
  </si>
  <si>
    <t>8439910000</t>
  </si>
  <si>
    <t>8439990000</t>
  </si>
  <si>
    <t>8440100000</t>
  </si>
  <si>
    <t>8440900000</t>
  </si>
  <si>
    <t>8441100000</t>
  </si>
  <si>
    <t>8441200000</t>
  </si>
  <si>
    <t>8441300000</t>
  </si>
  <si>
    <t>8441400000</t>
  </si>
  <si>
    <t>8441800000</t>
  </si>
  <si>
    <t>8441900000</t>
  </si>
  <si>
    <t>8442301000</t>
  </si>
  <si>
    <t>8442302000</t>
  </si>
  <si>
    <t>8442309000</t>
  </si>
  <si>
    <t>8442400000</t>
  </si>
  <si>
    <t>8442501000</t>
  </si>
  <si>
    <t>8442509000</t>
  </si>
  <si>
    <t>8443110000</t>
  </si>
  <si>
    <t>8443120000</t>
  </si>
  <si>
    <t>8443130000</t>
  </si>
  <si>
    <t>Impresoras</t>
  </si>
  <si>
    <t>8443140000</t>
  </si>
  <si>
    <t>8443150000</t>
  </si>
  <si>
    <t>8443160000</t>
  </si>
  <si>
    <t>8443170000</t>
  </si>
  <si>
    <t>8443191000</t>
  </si>
  <si>
    <t>8443199000</t>
  </si>
  <si>
    <t>8443310000</t>
  </si>
  <si>
    <t>8443321100</t>
  </si>
  <si>
    <t>8443321900</t>
  </si>
  <si>
    <t>8443322000</t>
  </si>
  <si>
    <t>8443329000</t>
  </si>
  <si>
    <t>8443391000</t>
  </si>
  <si>
    <t>8443399000</t>
  </si>
  <si>
    <t>8443910000</t>
  </si>
  <si>
    <t>8443990000</t>
  </si>
  <si>
    <t>8444000000</t>
  </si>
  <si>
    <t>Máquinas para textilería</t>
  </si>
  <si>
    <t>8445110000</t>
  </si>
  <si>
    <t>8445120000</t>
  </si>
  <si>
    <t>8445130000</t>
  </si>
  <si>
    <t>8445191000</t>
  </si>
  <si>
    <t>8445199000</t>
  </si>
  <si>
    <t>8445200000</t>
  </si>
  <si>
    <t>8445300000</t>
  </si>
  <si>
    <t>8445400000</t>
  </si>
  <si>
    <t>8445900000</t>
  </si>
  <si>
    <t>8446100000</t>
  </si>
  <si>
    <t>8446210000</t>
  </si>
  <si>
    <t>8446290000</t>
  </si>
  <si>
    <t>8446300000</t>
  </si>
  <si>
    <t>8447110000</t>
  </si>
  <si>
    <t>8447120000</t>
  </si>
  <si>
    <t>8447201000</t>
  </si>
  <si>
    <t>8447202000</t>
  </si>
  <si>
    <t>8447203000</t>
  </si>
  <si>
    <t>8447900000</t>
  </si>
  <si>
    <t>8448110000</t>
  </si>
  <si>
    <t>8448190000</t>
  </si>
  <si>
    <t>8448200000</t>
  </si>
  <si>
    <t>8448310000</t>
  </si>
  <si>
    <t>8448321000</t>
  </si>
  <si>
    <t>8448329000</t>
  </si>
  <si>
    <t>8448330000</t>
  </si>
  <si>
    <t>8448390000</t>
  </si>
  <si>
    <t>8448420000</t>
  </si>
  <si>
    <t>8448490000</t>
  </si>
  <si>
    <t>8448510000</t>
  </si>
  <si>
    <t>8448590000</t>
  </si>
  <si>
    <t>8449001000</t>
  </si>
  <si>
    <t>8449009000</t>
  </si>
  <si>
    <t>8450110000</t>
  </si>
  <si>
    <t>8450120000</t>
  </si>
  <si>
    <t>8450190000</t>
  </si>
  <si>
    <t>8450200000</t>
  </si>
  <si>
    <t>8450900000</t>
  </si>
  <si>
    <t>8451100000</t>
  </si>
  <si>
    <t>8451210000</t>
  </si>
  <si>
    <t>8451290000</t>
  </si>
  <si>
    <t>8451300000</t>
  </si>
  <si>
    <t>8451401000</t>
  </si>
  <si>
    <t>8451409000</t>
  </si>
  <si>
    <t>8451500000</t>
  </si>
  <si>
    <t>8451800000</t>
  </si>
  <si>
    <t>8451900000</t>
  </si>
  <si>
    <t>8452101000</t>
  </si>
  <si>
    <t>8452102000</t>
  </si>
  <si>
    <t>8452210000</t>
  </si>
  <si>
    <t>8452290000</t>
  </si>
  <si>
    <t>8452300000</t>
  </si>
  <si>
    <t>8452901000</t>
  </si>
  <si>
    <t>8452909000</t>
  </si>
  <si>
    <t>8453100000</t>
  </si>
  <si>
    <t>8453200000</t>
  </si>
  <si>
    <t>8453800000</t>
  </si>
  <si>
    <t>8453900000</t>
  </si>
  <si>
    <t>8454100000</t>
  </si>
  <si>
    <t>8454200000</t>
  </si>
  <si>
    <t>8454300000</t>
  </si>
  <si>
    <t>8454900000</t>
  </si>
  <si>
    <t>8455100000</t>
  </si>
  <si>
    <t>8455210000</t>
  </si>
  <si>
    <t>8455220000</t>
  </si>
  <si>
    <t>8455300000</t>
  </si>
  <si>
    <t>8455900000</t>
  </si>
  <si>
    <t>8456110000</t>
  </si>
  <si>
    <t>8456120000</t>
  </si>
  <si>
    <t>8456200000</t>
  </si>
  <si>
    <t>8456300000</t>
  </si>
  <si>
    <t>8456400000</t>
  </si>
  <si>
    <t>8456500000</t>
  </si>
  <si>
    <t>8456900000</t>
  </si>
  <si>
    <t>8457100000</t>
  </si>
  <si>
    <t>8457200000</t>
  </si>
  <si>
    <t>8457300000</t>
  </si>
  <si>
    <t>8458111000</t>
  </si>
  <si>
    <t>8458112000</t>
  </si>
  <si>
    <t>8458119000</t>
  </si>
  <si>
    <t>8458191000</t>
  </si>
  <si>
    <t>8458192000</t>
  </si>
  <si>
    <t>8458193000</t>
  </si>
  <si>
    <t>8458199000</t>
  </si>
  <si>
    <t>8458910000</t>
  </si>
  <si>
    <t>8458990000</t>
  </si>
  <si>
    <t>8459101000</t>
  </si>
  <si>
    <t>8459102000</t>
  </si>
  <si>
    <t>8459103000</t>
  </si>
  <si>
    <t>8459104000</t>
  </si>
  <si>
    <t>8459210000</t>
  </si>
  <si>
    <t>8459290000</t>
  </si>
  <si>
    <t>8459310000</t>
  </si>
  <si>
    <t>8459390000</t>
  </si>
  <si>
    <t>8459410000</t>
  </si>
  <si>
    <t>8459490000</t>
  </si>
  <si>
    <t>8459510000</t>
  </si>
  <si>
    <t>8459590000</t>
  </si>
  <si>
    <t>8459610000</t>
  </si>
  <si>
    <t>8459690000</t>
  </si>
  <si>
    <t>8459700000</t>
  </si>
  <si>
    <t>8460120000</t>
  </si>
  <si>
    <t>8460190000</t>
  </si>
  <si>
    <t>8460220000</t>
  </si>
  <si>
    <t>8460230000</t>
  </si>
  <si>
    <t>8460240000</t>
  </si>
  <si>
    <t>8460290000</t>
  </si>
  <si>
    <t>8460310000</t>
  </si>
  <si>
    <t>8460390000</t>
  </si>
  <si>
    <t>8460400000</t>
  </si>
  <si>
    <t>8460900000</t>
  </si>
  <si>
    <t>8461200000</t>
  </si>
  <si>
    <t>8461300000</t>
  </si>
  <si>
    <t>8461400000</t>
  </si>
  <si>
    <t>8461500000</t>
  </si>
  <si>
    <t>8461901000</t>
  </si>
  <si>
    <t>Máquinas de cepillar</t>
  </si>
  <si>
    <t>8461909000</t>
  </si>
  <si>
    <t>8462101000</t>
  </si>
  <si>
    <t>8462102100</t>
  </si>
  <si>
    <t>8462102900</t>
  </si>
  <si>
    <t>8462210000</t>
  </si>
  <si>
    <t>8462291000</t>
  </si>
  <si>
    <t>8462299000</t>
  </si>
  <si>
    <t>8462310000</t>
  </si>
  <si>
    <t>8462391000</t>
  </si>
  <si>
    <t>8462399000</t>
  </si>
  <si>
    <t>8462410000</t>
  </si>
  <si>
    <t>8462491000</t>
  </si>
  <si>
    <t>8462499000</t>
  </si>
  <si>
    <t>8462910000</t>
  </si>
  <si>
    <t>8462990000</t>
  </si>
  <si>
    <t>8463101000</t>
  </si>
  <si>
    <t>8463109000</t>
  </si>
  <si>
    <t>8463200000</t>
  </si>
  <si>
    <t>8463300000</t>
  </si>
  <si>
    <t>8463901000</t>
  </si>
  <si>
    <t>Remachadoras</t>
  </si>
  <si>
    <t>8463909000</t>
  </si>
  <si>
    <t>8464100000</t>
  </si>
  <si>
    <t>8464200000</t>
  </si>
  <si>
    <t>8464900000</t>
  </si>
  <si>
    <t>8465100000</t>
  </si>
  <si>
    <t>8465200000</t>
  </si>
  <si>
    <t>8465911000</t>
  </si>
  <si>
    <t>8465919100</t>
  </si>
  <si>
    <t>Máquinas de aserrar</t>
  </si>
  <si>
    <t>8465919200</t>
  </si>
  <si>
    <t>8465919900</t>
  </si>
  <si>
    <t>8465921000</t>
  </si>
  <si>
    <t>8465929000</t>
  </si>
  <si>
    <t>8465931000</t>
  </si>
  <si>
    <t>8465939000</t>
  </si>
  <si>
    <t>8465941000</t>
  </si>
  <si>
    <t>8465949000</t>
  </si>
  <si>
    <t>8465951000</t>
  </si>
  <si>
    <t>8465959000</t>
  </si>
  <si>
    <t>8465960000</t>
  </si>
  <si>
    <t>8465991000</t>
  </si>
  <si>
    <t>8465999000</t>
  </si>
  <si>
    <t>8466100000</t>
  </si>
  <si>
    <t>8466200000</t>
  </si>
  <si>
    <t>8466300000</t>
  </si>
  <si>
    <t>8466910000</t>
  </si>
  <si>
    <t>8466920000</t>
  </si>
  <si>
    <t>8466930000</t>
  </si>
  <si>
    <t>8466940000</t>
  </si>
  <si>
    <t>8467111000</t>
  </si>
  <si>
    <t>8467112000</t>
  </si>
  <si>
    <t>8467119000</t>
  </si>
  <si>
    <t>8467191000</t>
  </si>
  <si>
    <t>8467192000</t>
  </si>
  <si>
    <t>8467199000</t>
  </si>
  <si>
    <t>8467210000</t>
  </si>
  <si>
    <t>Taladros</t>
  </si>
  <si>
    <t>8467220000</t>
  </si>
  <si>
    <t>8467290000</t>
  </si>
  <si>
    <t>8467810000</t>
  </si>
  <si>
    <t>8467891000</t>
  </si>
  <si>
    <t>8467899000</t>
  </si>
  <si>
    <t>8467910000</t>
  </si>
  <si>
    <t>8467920000</t>
  </si>
  <si>
    <t>8467990000</t>
  </si>
  <si>
    <t>8468100000</t>
  </si>
  <si>
    <t>8468201000</t>
  </si>
  <si>
    <t>8468209000</t>
  </si>
  <si>
    <t>8468800000</t>
  </si>
  <si>
    <t>8468900000</t>
  </si>
  <si>
    <t>8470100000</t>
  </si>
  <si>
    <t>8470210000</t>
  </si>
  <si>
    <t>8470290000</t>
  </si>
  <si>
    <t>8470300000</t>
  </si>
  <si>
    <t>8470500000</t>
  </si>
  <si>
    <t>8470901000</t>
  </si>
  <si>
    <t>8470902000</t>
  </si>
  <si>
    <t>8470909000</t>
  </si>
  <si>
    <t>8471300000</t>
  </si>
  <si>
    <t>Computadoras</t>
  </si>
  <si>
    <t>8471410000</t>
  </si>
  <si>
    <t>8471490000</t>
  </si>
  <si>
    <t>8471500000</t>
  </si>
  <si>
    <t>8471602000</t>
  </si>
  <si>
    <t>8471609000</t>
  </si>
  <si>
    <t>8471700000</t>
  </si>
  <si>
    <t>8471800000</t>
  </si>
  <si>
    <t>8471900000</t>
  </si>
  <si>
    <t>8472100000</t>
  </si>
  <si>
    <t>8472300000</t>
  </si>
  <si>
    <t>8472901000</t>
  </si>
  <si>
    <t>8472902000</t>
  </si>
  <si>
    <t>8472903000</t>
  </si>
  <si>
    <t>8472904000</t>
  </si>
  <si>
    <t>8472905000</t>
  </si>
  <si>
    <t>8472909000</t>
  </si>
  <si>
    <t>8473210000</t>
  </si>
  <si>
    <t>8473290000</t>
  </si>
  <si>
    <t>8473300000</t>
  </si>
  <si>
    <t>8473401000</t>
  </si>
  <si>
    <t>8473409000</t>
  </si>
  <si>
    <t>8473500000</t>
  </si>
  <si>
    <t>8474101000</t>
  </si>
  <si>
    <t>8474102000</t>
  </si>
  <si>
    <t>8474109000</t>
  </si>
  <si>
    <t>8474201000</t>
  </si>
  <si>
    <t>8474202000</t>
  </si>
  <si>
    <t>8474203000</t>
  </si>
  <si>
    <t>8474209000</t>
  </si>
  <si>
    <t>8474311000</t>
  </si>
  <si>
    <t>8474319000</t>
  </si>
  <si>
    <t>8474320000</t>
  </si>
  <si>
    <t>8474391000</t>
  </si>
  <si>
    <t>8474392000</t>
  </si>
  <si>
    <t>8474399000</t>
  </si>
  <si>
    <t>8474801000</t>
  </si>
  <si>
    <t>8474802000</t>
  </si>
  <si>
    <t>8474803000</t>
  </si>
  <si>
    <t>8474809000</t>
  </si>
  <si>
    <t>8474900000</t>
  </si>
  <si>
    <t>8475100000</t>
  </si>
  <si>
    <t>8475210000</t>
  </si>
  <si>
    <t>8475290000</t>
  </si>
  <si>
    <t>8475900000</t>
  </si>
  <si>
    <t>8476210000</t>
  </si>
  <si>
    <t>8476290000</t>
  </si>
  <si>
    <t>8476810000</t>
  </si>
  <si>
    <t>8476890000</t>
  </si>
  <si>
    <t>8476900000</t>
  </si>
  <si>
    <t>8477100000</t>
  </si>
  <si>
    <t>8477200000</t>
  </si>
  <si>
    <t>8477300000</t>
  </si>
  <si>
    <t>8477400000</t>
  </si>
  <si>
    <t>8477510000</t>
  </si>
  <si>
    <t>8477591000</t>
  </si>
  <si>
    <t>8477599000</t>
  </si>
  <si>
    <t>8477800000</t>
  </si>
  <si>
    <t>8477900000</t>
  </si>
  <si>
    <t>8478101000</t>
  </si>
  <si>
    <t>8478109000</t>
  </si>
  <si>
    <t>8478900000</t>
  </si>
  <si>
    <t>8479100000</t>
  </si>
  <si>
    <t>8479201000</t>
  </si>
  <si>
    <t>8479209000</t>
  </si>
  <si>
    <t>8479300000</t>
  </si>
  <si>
    <t>8479400000</t>
  </si>
  <si>
    <t>8479500000</t>
  </si>
  <si>
    <t>8479600000</t>
  </si>
  <si>
    <t>8479710000</t>
  </si>
  <si>
    <t>8479790000</t>
  </si>
  <si>
    <t>8479810000</t>
  </si>
  <si>
    <t>8479820000</t>
  </si>
  <si>
    <t>8479891000</t>
  </si>
  <si>
    <t>8479892000</t>
  </si>
  <si>
    <t>8479893000</t>
  </si>
  <si>
    <t>8479894000</t>
  </si>
  <si>
    <t>8479895000</t>
  </si>
  <si>
    <t>8479898000</t>
  </si>
  <si>
    <t>Prensas</t>
  </si>
  <si>
    <t>8479899000</t>
  </si>
  <si>
    <t>8479900000</t>
  </si>
  <si>
    <t>8480100000</t>
  </si>
  <si>
    <t>8480200000</t>
  </si>
  <si>
    <t>8480300000</t>
  </si>
  <si>
    <t>8480410000</t>
  </si>
  <si>
    <t>8480490000</t>
  </si>
  <si>
    <t>8480500000</t>
  </si>
  <si>
    <t>8480600000</t>
  </si>
  <si>
    <t>8480711000</t>
  </si>
  <si>
    <t>8480719000</t>
  </si>
  <si>
    <t>8480790000</t>
  </si>
  <si>
    <t>8481100010</t>
  </si>
  <si>
    <t>8481100090</t>
  </si>
  <si>
    <t>Válvulas</t>
  </si>
  <si>
    <t>8481200010</t>
  </si>
  <si>
    <t>8481200090</t>
  </si>
  <si>
    <t>8481300010</t>
  </si>
  <si>
    <t>8481300090</t>
  </si>
  <si>
    <t>Artículos de grifería</t>
  </si>
  <si>
    <t>8481400010</t>
  </si>
  <si>
    <t>8481400090</t>
  </si>
  <si>
    <t>8481801000</t>
  </si>
  <si>
    <t>8481802000</t>
  </si>
  <si>
    <t>8481803000</t>
  </si>
  <si>
    <t>8481804000</t>
  </si>
  <si>
    <t>8481805100</t>
  </si>
  <si>
    <t>8481805900</t>
  </si>
  <si>
    <t>8481806000</t>
  </si>
  <si>
    <t>8481807000</t>
  </si>
  <si>
    <t>8481808000</t>
  </si>
  <si>
    <t xml:space="preserve">Válulas para grifería </t>
  </si>
  <si>
    <t>8481809100</t>
  </si>
  <si>
    <t>8481809900</t>
  </si>
  <si>
    <t>8481901000</t>
  </si>
  <si>
    <t>8481909000</t>
  </si>
  <si>
    <t>8482100000</t>
  </si>
  <si>
    <t>Rodamientos</t>
  </si>
  <si>
    <t>8482200000</t>
  </si>
  <si>
    <t>8482300000</t>
  </si>
  <si>
    <t>8482400000</t>
  </si>
  <si>
    <t>8482500000</t>
  </si>
  <si>
    <t>8482800000</t>
  </si>
  <si>
    <t>8482910000</t>
  </si>
  <si>
    <t>Bolas, rodillos y agujas</t>
  </si>
  <si>
    <t>8482990000</t>
  </si>
  <si>
    <t>8483101000</t>
  </si>
  <si>
    <t>8483109100</t>
  </si>
  <si>
    <t>8483109200</t>
  </si>
  <si>
    <t>8483109300</t>
  </si>
  <si>
    <t>8483109900</t>
  </si>
  <si>
    <t>8483200000</t>
  </si>
  <si>
    <t>8483301000</t>
  </si>
  <si>
    <t>8483309000</t>
  </si>
  <si>
    <t>8483403000</t>
  </si>
  <si>
    <t>8483409100</t>
  </si>
  <si>
    <t>8483409200</t>
  </si>
  <si>
    <t>8483409900</t>
  </si>
  <si>
    <t>8483500000</t>
  </si>
  <si>
    <t>8483601000</t>
  </si>
  <si>
    <t>8483609000</t>
  </si>
  <si>
    <t>8483904000</t>
  </si>
  <si>
    <t>8483909000</t>
  </si>
  <si>
    <t>8484100000</t>
  </si>
  <si>
    <t>8484200000</t>
  </si>
  <si>
    <t>8484900000</t>
  </si>
  <si>
    <t>8486100000</t>
  </si>
  <si>
    <t>8486200000</t>
  </si>
  <si>
    <t>8486300000</t>
  </si>
  <si>
    <t>8486400000</t>
  </si>
  <si>
    <t>8486900000</t>
  </si>
  <si>
    <t>Hélices para barcos y sus paletas</t>
  </si>
  <si>
    <t>8487901000</t>
  </si>
  <si>
    <t>Instrumentos para la industria</t>
  </si>
  <si>
    <t>8487902000</t>
  </si>
  <si>
    <t>8487909000</t>
  </si>
  <si>
    <t>8501101000</t>
  </si>
  <si>
    <t>8501102000</t>
  </si>
  <si>
    <t>8501109100</t>
  </si>
  <si>
    <t>8501109200</t>
  </si>
  <si>
    <t>8501109300</t>
  </si>
  <si>
    <t>8501201100</t>
  </si>
  <si>
    <t>8501201900</t>
  </si>
  <si>
    <t>8501202100</t>
  </si>
  <si>
    <t>8501202900</t>
  </si>
  <si>
    <t>8501311000</t>
  </si>
  <si>
    <t>8501312000</t>
  </si>
  <si>
    <t>8501313000</t>
  </si>
  <si>
    <t>8501321000</t>
  </si>
  <si>
    <t>8501322100</t>
  </si>
  <si>
    <t>8501322900</t>
  </si>
  <si>
    <t>8501324000</t>
  </si>
  <si>
    <t>8501331000</t>
  </si>
  <si>
    <t>8501332000</t>
  </si>
  <si>
    <t>8501333000</t>
  </si>
  <si>
    <t>8501341000</t>
  </si>
  <si>
    <t>8501342000</t>
  </si>
  <si>
    <t>8501343000</t>
  </si>
  <si>
    <t>8501401100</t>
  </si>
  <si>
    <t>8501401900</t>
  </si>
  <si>
    <t>8501402100</t>
  </si>
  <si>
    <t>8501402900</t>
  </si>
  <si>
    <t>8501403100</t>
  </si>
  <si>
    <t>8501403900</t>
  </si>
  <si>
    <t>8501404100</t>
  </si>
  <si>
    <t>8501404900</t>
  </si>
  <si>
    <t>8501511000</t>
  </si>
  <si>
    <t>8501519000</t>
  </si>
  <si>
    <t>Motores</t>
  </si>
  <si>
    <t>8501521000</t>
  </si>
  <si>
    <t>8501522000</t>
  </si>
  <si>
    <t>Motores y generadores eléctricos</t>
  </si>
  <si>
    <t>8501523000</t>
  </si>
  <si>
    <t>8501524000</t>
  </si>
  <si>
    <t>8501530000</t>
  </si>
  <si>
    <t>8501611000</t>
  </si>
  <si>
    <t>8501612000</t>
  </si>
  <si>
    <t>8501619000</t>
  </si>
  <si>
    <t>8501620000</t>
  </si>
  <si>
    <t>8501630000</t>
  </si>
  <si>
    <t>8501640000</t>
  </si>
  <si>
    <t>8502111000</t>
  </si>
  <si>
    <t>8502119000</t>
  </si>
  <si>
    <t>8502121000</t>
  </si>
  <si>
    <t>8502129000</t>
  </si>
  <si>
    <t>8502131000</t>
  </si>
  <si>
    <t>8502139000</t>
  </si>
  <si>
    <t>8502201000</t>
  </si>
  <si>
    <t>8502209000</t>
  </si>
  <si>
    <t>8502310000</t>
  </si>
  <si>
    <t>8502391000</t>
  </si>
  <si>
    <t>8502399000</t>
  </si>
  <si>
    <t>8502400000</t>
  </si>
  <si>
    <t>8503000000</t>
  </si>
  <si>
    <t>8504100000</t>
  </si>
  <si>
    <t>8504211100</t>
  </si>
  <si>
    <t>8504211900</t>
  </si>
  <si>
    <t>8504219000</t>
  </si>
  <si>
    <t>8504221000</t>
  </si>
  <si>
    <t>8504229000</t>
  </si>
  <si>
    <t>8504230000</t>
  </si>
  <si>
    <t>8504311000</t>
  </si>
  <si>
    <t>8504319000</t>
  </si>
  <si>
    <t>8504321000</t>
  </si>
  <si>
    <t>8504329000</t>
  </si>
  <si>
    <t>8504330000</t>
  </si>
  <si>
    <t>8504341000</t>
  </si>
  <si>
    <t>8504342000</t>
  </si>
  <si>
    <t>8504343000</t>
  </si>
  <si>
    <t>8504401000</t>
  </si>
  <si>
    <t>8504402000</t>
  </si>
  <si>
    <t>8504409000</t>
  </si>
  <si>
    <t>8504501000</t>
  </si>
  <si>
    <t>8504509000</t>
  </si>
  <si>
    <t>8504900000</t>
  </si>
  <si>
    <t>8505110000</t>
  </si>
  <si>
    <t>Dispositivos magnéticos o electromagnéticos </t>
  </si>
  <si>
    <t>8505191000</t>
  </si>
  <si>
    <t>8505199000</t>
  </si>
  <si>
    <t>8505200000</t>
  </si>
  <si>
    <t>8505901000</t>
  </si>
  <si>
    <t>8505902000</t>
  </si>
  <si>
    <t>8505903000</t>
  </si>
  <si>
    <t>8505909000</t>
  </si>
  <si>
    <t>8506101100</t>
  </si>
  <si>
    <t>Pilas y baterías</t>
  </si>
  <si>
    <t>8506101200</t>
  </si>
  <si>
    <t>8506101900</t>
  </si>
  <si>
    <t>8506109100</t>
  </si>
  <si>
    <t>8506109200</t>
  </si>
  <si>
    <t>8506109900</t>
  </si>
  <si>
    <t>8506301000</t>
  </si>
  <si>
    <t>8506302000</t>
  </si>
  <si>
    <t>8506309000</t>
  </si>
  <si>
    <t>8506401000</t>
  </si>
  <si>
    <t>8506402000</t>
  </si>
  <si>
    <t>8506409000</t>
  </si>
  <si>
    <t>8506501000</t>
  </si>
  <si>
    <t>8506502000</t>
  </si>
  <si>
    <t>8506509000</t>
  </si>
  <si>
    <t>8506601000</t>
  </si>
  <si>
    <t>8506602000</t>
  </si>
  <si>
    <t>8506609000</t>
  </si>
  <si>
    <t>8506801000</t>
  </si>
  <si>
    <t>8506802000</t>
  </si>
  <si>
    <t>8506809000</t>
  </si>
  <si>
    <t>8506900000</t>
  </si>
  <si>
    <t>8507100000</t>
  </si>
  <si>
    <t>8507200000</t>
  </si>
  <si>
    <t>8507300000</t>
  </si>
  <si>
    <t>8507400000</t>
  </si>
  <si>
    <t>8507500000</t>
  </si>
  <si>
    <t>8507600000</t>
  </si>
  <si>
    <t>8507800000</t>
  </si>
  <si>
    <t>8507901000</t>
  </si>
  <si>
    <t>8507902000</t>
  </si>
  <si>
    <t>8507903000</t>
  </si>
  <si>
    <t>8507909000</t>
  </si>
  <si>
    <t>8508110000</t>
  </si>
  <si>
    <t>8508190000</t>
  </si>
  <si>
    <t>8508600000</t>
  </si>
  <si>
    <t>8508700000</t>
  </si>
  <si>
    <t>8509401000</t>
  </si>
  <si>
    <t>8509409000</t>
  </si>
  <si>
    <t>8509801000</t>
  </si>
  <si>
    <t>8509802000</t>
  </si>
  <si>
    <t>8509809000</t>
  </si>
  <si>
    <t>8509900000</t>
  </si>
  <si>
    <t>8510100000</t>
  </si>
  <si>
    <t>8510201000</t>
  </si>
  <si>
    <t>8510202000</t>
  </si>
  <si>
    <t>8510300000</t>
  </si>
  <si>
    <t>8510901000</t>
  </si>
  <si>
    <t>8510909000</t>
  </si>
  <si>
    <t>8511101000</t>
  </si>
  <si>
    <t>8511109000</t>
  </si>
  <si>
    <t>8511201000</t>
  </si>
  <si>
    <t>8511209000</t>
  </si>
  <si>
    <t>8511301000</t>
  </si>
  <si>
    <t>8511309100</t>
  </si>
  <si>
    <t>8511309200</t>
  </si>
  <si>
    <t>8511401000</t>
  </si>
  <si>
    <t>8511409000</t>
  </si>
  <si>
    <t>8511501000</t>
  </si>
  <si>
    <t>8511509000</t>
  </si>
  <si>
    <t>8511801000</t>
  </si>
  <si>
    <t>8511809000</t>
  </si>
  <si>
    <t>8511901000</t>
  </si>
  <si>
    <t>8511902100</t>
  </si>
  <si>
    <t>8511902900</t>
  </si>
  <si>
    <t>8511903000</t>
  </si>
  <si>
    <t>8511909000</t>
  </si>
  <si>
    <t>8512100000</t>
  </si>
  <si>
    <t>8512201000</t>
  </si>
  <si>
    <t>8512209000</t>
  </si>
  <si>
    <t>Aparatos eléctricos</t>
  </si>
  <si>
    <t>8512301000</t>
  </si>
  <si>
    <t>8512309000</t>
  </si>
  <si>
    <t>8512400000</t>
  </si>
  <si>
    <t>8512901000</t>
  </si>
  <si>
    <t>8512909000</t>
  </si>
  <si>
    <t>8513101000</t>
  </si>
  <si>
    <t>8513109000</t>
  </si>
  <si>
    <t>8513900000</t>
  </si>
  <si>
    <t>8514100000</t>
  </si>
  <si>
    <t>8514200000</t>
  </si>
  <si>
    <t>8514301000</t>
  </si>
  <si>
    <t>8514309000</t>
  </si>
  <si>
    <t>8514400000</t>
  </si>
  <si>
    <t>8514900000</t>
  </si>
  <si>
    <t>8515110000</t>
  </si>
  <si>
    <t>Soldadores y pistolas para soldar</t>
  </si>
  <si>
    <t>8515190000</t>
  </si>
  <si>
    <t>8515210000</t>
  </si>
  <si>
    <t>8515290000</t>
  </si>
  <si>
    <t>8515310000</t>
  </si>
  <si>
    <t>8515390000</t>
  </si>
  <si>
    <t>8515801000</t>
  </si>
  <si>
    <t>8515809000</t>
  </si>
  <si>
    <t>8515900000</t>
  </si>
  <si>
    <t>8516100000</t>
  </si>
  <si>
    <t>8516210000</t>
  </si>
  <si>
    <t>8516291000</t>
  </si>
  <si>
    <t>8516299000</t>
  </si>
  <si>
    <t>8516310000</t>
  </si>
  <si>
    <t>8516320000</t>
  </si>
  <si>
    <t>8516330000</t>
  </si>
  <si>
    <t>8516400000</t>
  </si>
  <si>
    <t>8516500000</t>
  </si>
  <si>
    <t>8516601000</t>
  </si>
  <si>
    <t>8516602000</t>
  </si>
  <si>
    <t>8516603000</t>
  </si>
  <si>
    <t>8516710000</t>
  </si>
  <si>
    <t>8516720000</t>
  </si>
  <si>
    <t>8516790000</t>
  </si>
  <si>
    <t>8516800000</t>
  </si>
  <si>
    <t>8516900000</t>
  </si>
  <si>
    <t>8517110000</t>
  </si>
  <si>
    <t>8517120000</t>
  </si>
  <si>
    <t>8517180000</t>
  </si>
  <si>
    <t>8517610000</t>
  </si>
  <si>
    <t>8517621000</t>
  </si>
  <si>
    <t>8517622000</t>
  </si>
  <si>
    <t>8517629000</t>
  </si>
  <si>
    <t>8517691000</t>
  </si>
  <si>
    <t>8517692000</t>
  </si>
  <si>
    <t>8517699000</t>
  </si>
  <si>
    <t>8517700000</t>
  </si>
  <si>
    <t>8518100000</t>
  </si>
  <si>
    <t>8518210000</t>
  </si>
  <si>
    <t>8518220000</t>
  </si>
  <si>
    <t>8518290000</t>
  </si>
  <si>
    <t>8518300000</t>
  </si>
  <si>
    <t>8518400000</t>
  </si>
  <si>
    <t>8518500000</t>
  </si>
  <si>
    <t>8518901000</t>
  </si>
  <si>
    <t>8518909000</t>
  </si>
  <si>
    <t>8519200000</t>
  </si>
  <si>
    <t>8519301000</t>
  </si>
  <si>
    <t>8519309000</t>
  </si>
  <si>
    <t>8519500000</t>
  </si>
  <si>
    <t>8519811000</t>
  </si>
  <si>
    <t>8519812000</t>
  </si>
  <si>
    <t>8519819000</t>
  </si>
  <si>
    <t>8519891000</t>
  </si>
  <si>
    <t>8519899000</t>
  </si>
  <si>
    <t>8521100000</t>
  </si>
  <si>
    <t>8521901000</t>
  </si>
  <si>
    <t>8521909000</t>
  </si>
  <si>
    <t>8522100000</t>
  </si>
  <si>
    <t>8522902000</t>
  </si>
  <si>
    <t>8522903000</t>
  </si>
  <si>
    <t>8522904000</t>
  </si>
  <si>
    <t>8522905000</t>
  </si>
  <si>
    <t>8522909000</t>
  </si>
  <si>
    <t>8523210000</t>
  </si>
  <si>
    <t>8523291000</t>
  </si>
  <si>
    <t>8523292100</t>
  </si>
  <si>
    <t>8523292200</t>
  </si>
  <si>
    <t>8523292300</t>
  </si>
  <si>
    <t>8523293110</t>
  </si>
  <si>
    <t>8523293190</t>
  </si>
  <si>
    <t>8523293210</t>
  </si>
  <si>
    <t>8523293290</t>
  </si>
  <si>
    <t>8523293310</t>
  </si>
  <si>
    <t>8523293390</t>
  </si>
  <si>
    <t>8523299000</t>
  </si>
  <si>
    <t>8523410000</t>
  </si>
  <si>
    <t>8523491000</t>
  </si>
  <si>
    <t>8523492000</t>
  </si>
  <si>
    <t>8523499000</t>
  </si>
  <si>
    <t>8523510000</t>
  </si>
  <si>
    <t>8523520000</t>
  </si>
  <si>
    <t>Tarjetas inteligentes</t>
  </si>
  <si>
    <t>8523591000</t>
  </si>
  <si>
    <t>8523599000</t>
  </si>
  <si>
    <t>8523801000</t>
  </si>
  <si>
    <t>8523802110</t>
  </si>
  <si>
    <t>8523802120</t>
  </si>
  <si>
    <t>8523802910</t>
  </si>
  <si>
    <t>8523802920</t>
  </si>
  <si>
    <t>8523803000</t>
  </si>
  <si>
    <t>8523809000</t>
  </si>
  <si>
    <t>8525501000</t>
  </si>
  <si>
    <t>8525502000</t>
  </si>
  <si>
    <t>8525601000</t>
  </si>
  <si>
    <t>8525602000</t>
  </si>
  <si>
    <t>8525801000</t>
  </si>
  <si>
    <t>8525802000</t>
  </si>
  <si>
    <t>Cámaras digitales y videocámaras</t>
  </si>
  <si>
    <t>8526100000</t>
  </si>
  <si>
    <t>8526910000</t>
  </si>
  <si>
    <t>8526920000</t>
  </si>
  <si>
    <t>8527120000</t>
  </si>
  <si>
    <t>8527130000</t>
  </si>
  <si>
    <t>8527190000</t>
  </si>
  <si>
    <t>8527210000</t>
  </si>
  <si>
    <t>8527290000</t>
  </si>
  <si>
    <t>8527910000</t>
  </si>
  <si>
    <t>8527920000</t>
  </si>
  <si>
    <t>8527990000</t>
  </si>
  <si>
    <t>8528420000</t>
  </si>
  <si>
    <t>8528490000</t>
  </si>
  <si>
    <t>8528520000</t>
  </si>
  <si>
    <t>8528590000</t>
  </si>
  <si>
    <t>8528620000</t>
  </si>
  <si>
    <t>8528690000</t>
  </si>
  <si>
    <t>8528710000</t>
  </si>
  <si>
    <t>8528720000</t>
  </si>
  <si>
    <t>8528730000</t>
  </si>
  <si>
    <t>8529101000</t>
  </si>
  <si>
    <t>8529102000</t>
  </si>
  <si>
    <t>8529109000</t>
  </si>
  <si>
    <t>8529901000</t>
  </si>
  <si>
    <t>8529902000</t>
  </si>
  <si>
    <t>8529909000</t>
  </si>
  <si>
    <t>8530100000</t>
  </si>
  <si>
    <t>8530801000</t>
  </si>
  <si>
    <t>8530809000</t>
  </si>
  <si>
    <t>8530900000</t>
  </si>
  <si>
    <t>8531100000</t>
  </si>
  <si>
    <t>8531200000</t>
  </si>
  <si>
    <t>8531800000</t>
  </si>
  <si>
    <t>8531900000</t>
  </si>
  <si>
    <t>8532100000</t>
  </si>
  <si>
    <t>8532210000</t>
  </si>
  <si>
    <t>8532220000</t>
  </si>
  <si>
    <t>8532230000</t>
  </si>
  <si>
    <t>8532240000</t>
  </si>
  <si>
    <t>8532250000</t>
  </si>
  <si>
    <t>8532290000</t>
  </si>
  <si>
    <t>8532300000</t>
  </si>
  <si>
    <t>8532900000</t>
  </si>
  <si>
    <t>8533100000</t>
  </si>
  <si>
    <t>8533210000</t>
  </si>
  <si>
    <t>8533290000</t>
  </si>
  <si>
    <t>8533311000</t>
  </si>
  <si>
    <t>8533312000</t>
  </si>
  <si>
    <t>8533319000</t>
  </si>
  <si>
    <t>8533391000</t>
  </si>
  <si>
    <t>8533392000</t>
  </si>
  <si>
    <t>8533393000</t>
  </si>
  <si>
    <t>8533399000</t>
  </si>
  <si>
    <t>8533401000</t>
  </si>
  <si>
    <t>8533402000</t>
  </si>
  <si>
    <t>8533403000</t>
  </si>
  <si>
    <t>8533404000</t>
  </si>
  <si>
    <t>8533409000</t>
  </si>
  <si>
    <t>8533900000</t>
  </si>
  <si>
    <t>8534000000</t>
  </si>
  <si>
    <t>Circuitos impresos.</t>
  </si>
  <si>
    <t>8535100000</t>
  </si>
  <si>
    <t>8535210000</t>
  </si>
  <si>
    <t>8535290000</t>
  </si>
  <si>
    <t>8535300000</t>
  </si>
  <si>
    <t>8535401000</t>
  </si>
  <si>
    <t>8535402000</t>
  </si>
  <si>
    <t>8535901000</t>
  </si>
  <si>
    <t>8535909000</t>
  </si>
  <si>
    <t>8536101000</t>
  </si>
  <si>
    <t>8536102000</t>
  </si>
  <si>
    <t>8536109000</t>
  </si>
  <si>
    <t>8536202000</t>
  </si>
  <si>
    <t>8536209000</t>
  </si>
  <si>
    <t>8536301100</t>
  </si>
  <si>
    <t>8536301900</t>
  </si>
  <si>
    <t>8536309000</t>
  </si>
  <si>
    <t>8536411000</t>
  </si>
  <si>
    <t>8536419000</t>
  </si>
  <si>
    <t>8536491100</t>
  </si>
  <si>
    <t>8536491900</t>
  </si>
  <si>
    <t>8536499000</t>
  </si>
  <si>
    <t>8536501100</t>
  </si>
  <si>
    <t>8536501900</t>
  </si>
  <si>
    <t>8536509000</t>
  </si>
  <si>
    <t>8536610000</t>
  </si>
  <si>
    <t>8536690000</t>
  </si>
  <si>
    <t>8536700000</t>
  </si>
  <si>
    <t>8536901000</t>
  </si>
  <si>
    <t>8536902000</t>
  </si>
  <si>
    <t>8536909000</t>
  </si>
  <si>
    <t>8537101000</t>
  </si>
  <si>
    <t>8537109000</t>
  </si>
  <si>
    <t>8537200000</t>
  </si>
  <si>
    <t>8538100000</t>
  </si>
  <si>
    <t>8538900000</t>
  </si>
  <si>
    <t>8539100000</t>
  </si>
  <si>
    <t>8539210000</t>
  </si>
  <si>
    <t>8539221000</t>
  </si>
  <si>
    <t>8539229000</t>
  </si>
  <si>
    <t>8539291000</t>
  </si>
  <si>
    <t>8539292000</t>
  </si>
  <si>
    <t>8539299010</t>
  </si>
  <si>
    <t>8539299090</t>
  </si>
  <si>
    <t>8539311000</t>
  </si>
  <si>
    <t>8539312000</t>
  </si>
  <si>
    <t>8539313000</t>
  </si>
  <si>
    <t>8539319000</t>
  </si>
  <si>
    <t>8539320000</t>
  </si>
  <si>
    <t>8539392000</t>
  </si>
  <si>
    <t>8539399000</t>
  </si>
  <si>
    <t>8539410000</t>
  </si>
  <si>
    <t>8539490000</t>
  </si>
  <si>
    <t>8539500000</t>
  </si>
  <si>
    <t>8539901000</t>
  </si>
  <si>
    <t>8539909000</t>
  </si>
  <si>
    <t>8540110000</t>
  </si>
  <si>
    <t>8540120000</t>
  </si>
  <si>
    <t>8540200000</t>
  </si>
  <si>
    <t>8540400000</t>
  </si>
  <si>
    <t>8540600000</t>
  </si>
  <si>
    <t>8540710000</t>
  </si>
  <si>
    <t>8540790000</t>
  </si>
  <si>
    <t>8540810000</t>
  </si>
  <si>
    <t>8540890000</t>
  </si>
  <si>
    <t>8540910000</t>
  </si>
  <si>
    <t>8540990000</t>
  </si>
  <si>
    <t>8541100000</t>
  </si>
  <si>
    <t>8541210000</t>
  </si>
  <si>
    <t>8541290000</t>
  </si>
  <si>
    <t>8541300000</t>
  </si>
  <si>
    <t>8541401000</t>
  </si>
  <si>
    <t>8541409000</t>
  </si>
  <si>
    <t>8541500000</t>
  </si>
  <si>
    <t>8541600000</t>
  </si>
  <si>
    <t>8541900000</t>
  </si>
  <si>
    <t>8542310000</t>
  </si>
  <si>
    <t>8542320000</t>
  </si>
  <si>
    <t>8542330000</t>
  </si>
  <si>
    <t>8542390000</t>
  </si>
  <si>
    <t>8542900000</t>
  </si>
  <si>
    <t>8543100000</t>
  </si>
  <si>
    <t>8543200000</t>
  </si>
  <si>
    <t>8543300000</t>
  </si>
  <si>
    <t>8543701000</t>
  </si>
  <si>
    <t>8543702000</t>
  </si>
  <si>
    <t>8543703000</t>
  </si>
  <si>
    <t>8543709000</t>
  </si>
  <si>
    <t>8543900000</t>
  </si>
  <si>
    <t>8544110000</t>
  </si>
  <si>
    <t>8544190000</t>
  </si>
  <si>
    <t>8544200000</t>
  </si>
  <si>
    <t>Cables</t>
  </si>
  <si>
    <t>8544300000</t>
  </si>
  <si>
    <t>8544421000</t>
  </si>
  <si>
    <t>8544422000</t>
  </si>
  <si>
    <t>8544429000</t>
  </si>
  <si>
    <t>8544491010</t>
  </si>
  <si>
    <t>8544491090</t>
  </si>
  <si>
    <t>8544499010</t>
  </si>
  <si>
    <t>8544499090</t>
  </si>
  <si>
    <t>8544601000</t>
  </si>
  <si>
    <t>8544609000</t>
  </si>
  <si>
    <t>8544700000</t>
  </si>
  <si>
    <t>8545110000</t>
  </si>
  <si>
    <t>8545190000</t>
  </si>
  <si>
    <t>8545200000</t>
  </si>
  <si>
    <t>8545902000</t>
  </si>
  <si>
    <t>8545909000</t>
  </si>
  <si>
    <t>8546100000</t>
  </si>
  <si>
    <t>8546200000</t>
  </si>
  <si>
    <t>8546901000</t>
  </si>
  <si>
    <t>8546909000</t>
  </si>
  <si>
    <t>8547101000</t>
  </si>
  <si>
    <t>8547109000</t>
  </si>
  <si>
    <t>8547200000</t>
  </si>
  <si>
    <t>8547901000</t>
  </si>
  <si>
    <t>8547909000</t>
  </si>
  <si>
    <t>8548100000</t>
  </si>
  <si>
    <t>8548900000</t>
  </si>
  <si>
    <t>8601100000</t>
  </si>
  <si>
    <t>8601200000</t>
  </si>
  <si>
    <t>8602100000</t>
  </si>
  <si>
    <t>8602900000</t>
  </si>
  <si>
    <t>8603100000</t>
  </si>
  <si>
    <t>8603900000</t>
  </si>
  <si>
    <t>8604001000</t>
  </si>
  <si>
    <t>8604009000</t>
  </si>
  <si>
    <t>8605000000</t>
  </si>
  <si>
    <t>Coches de viajeros, furgones de equipajes,
coches correo y demás coches especiales, para
vías férreas o similares (excepto los coches de la
partida 86.04).</t>
  </si>
  <si>
    <t>8606100000</t>
  </si>
  <si>
    <t>8606300000</t>
  </si>
  <si>
    <t>8606910000</t>
  </si>
  <si>
    <t>8606920000</t>
  </si>
  <si>
    <t>8606990000</t>
  </si>
  <si>
    <t>8607110000</t>
  </si>
  <si>
    <t>8607120000</t>
  </si>
  <si>
    <t>8607190000</t>
  </si>
  <si>
    <t>8607210000</t>
  </si>
  <si>
    <t>8607290000</t>
  </si>
  <si>
    <t>8607300000</t>
  </si>
  <si>
    <t>8607910000</t>
  </si>
  <si>
    <t>8607990000</t>
  </si>
  <si>
    <t>8608000000</t>
  </si>
  <si>
    <t>Material fijo de vías férreas o similares; aparatos
mecánicos (incluso electromecánicos) de
señalización, seguridad, control o mando para
vías férreas o similares, carreteras o vías
fluviales, áreas o parques de estacionamiento,
instalaciones portuarias o aeropuertos; sus partes.</t>
  </si>
  <si>
    <t>8609000000</t>
  </si>
  <si>
    <t>Contenedores (incluidos los contenedores
cisterna y los contenedores depósito)
especialmente concebidos y equipados para uno
o varios medios de transporte.</t>
  </si>
  <si>
    <t>8701100000</t>
  </si>
  <si>
    <t>Tractores de un solo eje</t>
  </si>
  <si>
    <t>8701200000</t>
  </si>
  <si>
    <t>8701300000</t>
  </si>
  <si>
    <t>8701910000</t>
  </si>
  <si>
    <t>8701920000</t>
  </si>
  <si>
    <t>8701930000</t>
  </si>
  <si>
    <t>8701940000</t>
  </si>
  <si>
    <t>8701950000</t>
  </si>
  <si>
    <t>8702101000</t>
  </si>
  <si>
    <t>8702109000</t>
  </si>
  <si>
    <t>8702201000</t>
  </si>
  <si>
    <t>8702209000</t>
  </si>
  <si>
    <t>8702301000</t>
  </si>
  <si>
    <t>8702309000</t>
  </si>
  <si>
    <t>8702401000</t>
  </si>
  <si>
    <t>8702409000</t>
  </si>
  <si>
    <t>8702901010</t>
  </si>
  <si>
    <t>8702901090</t>
  </si>
  <si>
    <t>8702909010</t>
  </si>
  <si>
    <t>8702909090</t>
  </si>
  <si>
    <t>8703100000</t>
  </si>
  <si>
    <t>8703210010</t>
  </si>
  <si>
    <t>8703210090</t>
  </si>
  <si>
    <t>8703221000</t>
  </si>
  <si>
    <t>8703229010</t>
  </si>
  <si>
    <t>8703229020</t>
  </si>
  <si>
    <t>8703229090</t>
  </si>
  <si>
    <t>8703231000</t>
  </si>
  <si>
    <t>8703239010</t>
  </si>
  <si>
    <t>8703239020</t>
  </si>
  <si>
    <t>8703239090</t>
  </si>
  <si>
    <t>8703241000</t>
  </si>
  <si>
    <t>8703249010</t>
  </si>
  <si>
    <t>8703249020</t>
  </si>
  <si>
    <t>8703249090</t>
  </si>
  <si>
    <t>Vehículos terrestres</t>
  </si>
  <si>
    <t>8703311000</t>
  </si>
  <si>
    <t>8703319010</t>
  </si>
  <si>
    <t>8703319020</t>
  </si>
  <si>
    <t>8703319090</t>
  </si>
  <si>
    <t>8703321000</t>
  </si>
  <si>
    <t>8703329010</t>
  </si>
  <si>
    <t>8703329020</t>
  </si>
  <si>
    <t>8703329090</t>
  </si>
  <si>
    <t>8703331000</t>
  </si>
  <si>
    <t>8703339010</t>
  </si>
  <si>
    <t>8703339020</t>
  </si>
  <si>
    <t>8703339090</t>
  </si>
  <si>
    <t>8703401000</t>
  </si>
  <si>
    <t>8703409010</t>
  </si>
  <si>
    <t>8703409020</t>
  </si>
  <si>
    <t>8703409090</t>
  </si>
  <si>
    <t>8703501000</t>
  </si>
  <si>
    <t>8703509010</t>
  </si>
  <si>
    <t>8703509020</t>
  </si>
  <si>
    <t>8703509090</t>
  </si>
  <si>
    <t>8703601000</t>
  </si>
  <si>
    <t>8703609010</t>
  </si>
  <si>
    <t>8703609020</t>
  </si>
  <si>
    <t>8703609090</t>
  </si>
  <si>
    <t>8703701000</t>
  </si>
  <si>
    <t>8703709010</t>
  </si>
  <si>
    <t>8703709020</t>
  </si>
  <si>
    <t>8703709090</t>
  </si>
  <si>
    <t>8703801000</t>
  </si>
  <si>
    <t>8703809010</t>
  </si>
  <si>
    <t>8703809020</t>
  </si>
  <si>
    <t>8703809090</t>
  </si>
  <si>
    <t>8703900010</t>
  </si>
  <si>
    <t>8703900020</t>
  </si>
  <si>
    <t>8703900090</t>
  </si>
  <si>
    <t>8704100000</t>
  </si>
  <si>
    <t>8704211010</t>
  </si>
  <si>
    <t>8704211090</t>
  </si>
  <si>
    <t>8704219000</t>
  </si>
  <si>
    <t>8704221000</t>
  </si>
  <si>
    <t>8704222000</t>
  </si>
  <si>
    <t>8704229000</t>
  </si>
  <si>
    <t>8704230000</t>
  </si>
  <si>
    <t>8704311010</t>
  </si>
  <si>
    <t>8704311090</t>
  </si>
  <si>
    <t>8704319000</t>
  </si>
  <si>
    <t>8704321000</t>
  </si>
  <si>
    <t>8704322000</t>
  </si>
  <si>
    <t>8704329000</t>
  </si>
  <si>
    <t>8704901100</t>
  </si>
  <si>
    <t>8704901900</t>
  </si>
  <si>
    <t>8704902100</t>
  </si>
  <si>
    <t>8704902900</t>
  </si>
  <si>
    <t>8704903100</t>
  </si>
  <si>
    <t>8704903900</t>
  </si>
  <si>
    <t>8704904100</t>
  </si>
  <si>
    <t>8704904900</t>
  </si>
  <si>
    <t>8704905100</t>
  </si>
  <si>
    <t>8704905900</t>
  </si>
  <si>
    <t>8704909100</t>
  </si>
  <si>
    <t>8704909900</t>
  </si>
  <si>
    <t>8705100000</t>
  </si>
  <si>
    <t>8705200000</t>
  </si>
  <si>
    <t>8705300000</t>
  </si>
  <si>
    <t>8705400000</t>
  </si>
  <si>
    <t>8705901100</t>
  </si>
  <si>
    <t>8705901900</t>
  </si>
  <si>
    <t>8705902000</t>
  </si>
  <si>
    <t>8705909000</t>
  </si>
  <si>
    <t>8706001000</t>
  </si>
  <si>
    <t>8706002100</t>
  </si>
  <si>
    <t>8706002900</t>
  </si>
  <si>
    <t>8706009100</t>
  </si>
  <si>
    <t>8706009200</t>
  </si>
  <si>
    <t>8706009900</t>
  </si>
  <si>
    <t>8707100000</t>
  </si>
  <si>
    <t>Motor de avioneta</t>
  </si>
  <si>
    <t>8707901000</t>
  </si>
  <si>
    <t>8707909000</t>
  </si>
  <si>
    <t>8708100000</t>
  </si>
  <si>
    <t>8708210000</t>
  </si>
  <si>
    <t>8708291000</t>
  </si>
  <si>
    <t>8708292000</t>
  </si>
  <si>
    <t>8708293000</t>
  </si>
  <si>
    <t>8708294000</t>
  </si>
  <si>
    <t>8708295000</t>
  </si>
  <si>
    <t>8708299000</t>
  </si>
  <si>
    <t>8708301000</t>
  </si>
  <si>
    <t>8708302100</t>
  </si>
  <si>
    <t>8708302200</t>
  </si>
  <si>
    <t>8708302300</t>
  </si>
  <si>
    <t>8708302400</t>
  </si>
  <si>
    <t>8708302500</t>
  </si>
  <si>
    <t>8708302900</t>
  </si>
  <si>
    <t>8708401000</t>
  </si>
  <si>
    <t>8708409000</t>
  </si>
  <si>
    <t>8708501100</t>
  </si>
  <si>
    <t>8708501900</t>
  </si>
  <si>
    <t>8708502100</t>
  </si>
  <si>
    <t>8708502900</t>
  </si>
  <si>
    <t>8708701000</t>
  </si>
  <si>
    <t>Ruedas y sus partes</t>
  </si>
  <si>
    <t>8708702000</t>
  </si>
  <si>
    <t>8708801000</t>
  </si>
  <si>
    <t>8708802000</t>
  </si>
  <si>
    <t>8708809000</t>
  </si>
  <si>
    <t>8708910000</t>
  </si>
  <si>
    <t>8708920000</t>
  </si>
  <si>
    <t>8708931000</t>
  </si>
  <si>
    <t>8708939100</t>
  </si>
  <si>
    <t>8708939900</t>
  </si>
  <si>
    <t>8708940000</t>
  </si>
  <si>
    <t>8708950000</t>
  </si>
  <si>
    <t>8708991100</t>
  </si>
  <si>
    <t>8708991900</t>
  </si>
  <si>
    <t>8708992100</t>
  </si>
  <si>
    <t>8708992900</t>
  </si>
  <si>
    <t>8708993100</t>
  </si>
  <si>
    <t>8708993200</t>
  </si>
  <si>
    <t>8708993300</t>
  </si>
  <si>
    <t>8708993900</t>
  </si>
  <si>
    <t>8708994000</t>
  </si>
  <si>
    <t>8708995000</t>
  </si>
  <si>
    <t>8708999600</t>
  </si>
  <si>
    <t>8708999900</t>
  </si>
  <si>
    <t>8709110000</t>
  </si>
  <si>
    <t>8709190000</t>
  </si>
  <si>
    <t>8709900000</t>
  </si>
  <si>
    <t>8710000000</t>
  </si>
  <si>
    <t>Tanques y  vehículos automóviles blindados de combate</t>
  </si>
  <si>
    <t>8711100000</t>
  </si>
  <si>
    <t>8711200000</t>
  </si>
  <si>
    <t>Motos</t>
  </si>
  <si>
    <t>8711300000</t>
  </si>
  <si>
    <t>8711400000</t>
  </si>
  <si>
    <t>8711500000</t>
  </si>
  <si>
    <t>8711600000</t>
  </si>
  <si>
    <t>8711900000</t>
  </si>
  <si>
    <t>8712000000</t>
  </si>
  <si>
    <t>Bicicletas</t>
  </si>
  <si>
    <t>8713100000</t>
  </si>
  <si>
    <t>8713900000</t>
  </si>
  <si>
    <t>8714101000</t>
  </si>
  <si>
    <t>8714109000</t>
  </si>
  <si>
    <t>8714200000</t>
  </si>
  <si>
    <t>8714910000</t>
  </si>
  <si>
    <t>8714921000</t>
  </si>
  <si>
    <t>8714929000</t>
  </si>
  <si>
    <t>8714930000</t>
  </si>
  <si>
    <t>8714940000</t>
  </si>
  <si>
    <t>8714950000</t>
  </si>
  <si>
    <t>8714960000</t>
  </si>
  <si>
    <t>8714990000</t>
  </si>
  <si>
    <t>8715001000</t>
  </si>
  <si>
    <t>8715009000</t>
  </si>
  <si>
    <t>8716100000</t>
  </si>
  <si>
    <t>8716200000</t>
  </si>
  <si>
    <t>8716310000</t>
  </si>
  <si>
    <t>8716390000</t>
  </si>
  <si>
    <t>8716400000</t>
  </si>
  <si>
    <t>8716801000</t>
  </si>
  <si>
    <t>8716809000</t>
  </si>
  <si>
    <t>8716900000</t>
  </si>
  <si>
    <t>8801000010</t>
  </si>
  <si>
    <t>8801000090</t>
  </si>
  <si>
    <t>8802110000</t>
  </si>
  <si>
    <t>8802120000</t>
  </si>
  <si>
    <t>8802201000</t>
  </si>
  <si>
    <t>8802209000</t>
  </si>
  <si>
    <t>8802301000</t>
  </si>
  <si>
    <t>8802309000</t>
  </si>
  <si>
    <t>8802400000</t>
  </si>
  <si>
    <t>8802600000</t>
  </si>
  <si>
    <t>8803100000</t>
  </si>
  <si>
    <t>Hélices, rotores y sus partes</t>
  </si>
  <si>
    <t>8803200000</t>
  </si>
  <si>
    <t>8803300000</t>
  </si>
  <si>
    <t>8803900000</t>
  </si>
  <si>
    <t>8804000000</t>
  </si>
  <si>
    <t>Paracaídas</t>
  </si>
  <si>
    <t>8805100000</t>
  </si>
  <si>
    <t>8805210000</t>
  </si>
  <si>
    <t>8805290000</t>
  </si>
  <si>
    <t>8807100000</t>
  </si>
  <si>
    <t>8901101100</t>
  </si>
  <si>
    <t>8901101900</t>
  </si>
  <si>
    <t>8901102000</t>
  </si>
  <si>
    <t>8901201100</t>
  </si>
  <si>
    <t>8901201900</t>
  </si>
  <si>
    <t>8901202000</t>
  </si>
  <si>
    <t>8901301100</t>
  </si>
  <si>
    <t>8901301900</t>
  </si>
  <si>
    <t>8901302000</t>
  </si>
  <si>
    <t>8901901100</t>
  </si>
  <si>
    <t>8901901900</t>
  </si>
  <si>
    <t>8901902000</t>
  </si>
  <si>
    <t>8902001100</t>
  </si>
  <si>
    <t>8902001900</t>
  </si>
  <si>
    <t>8902002000</t>
  </si>
  <si>
    <t>8903100000</t>
  </si>
  <si>
    <t>8903910000</t>
  </si>
  <si>
    <t>8903920000</t>
  </si>
  <si>
    <t>8903991000</t>
  </si>
  <si>
    <t>8903999000</t>
  </si>
  <si>
    <t>8904001000</t>
  </si>
  <si>
    <t>8904009000</t>
  </si>
  <si>
    <t>8905100000</t>
  </si>
  <si>
    <t>8905200000</t>
  </si>
  <si>
    <t>8905900000</t>
  </si>
  <si>
    <t>8906100000</t>
  </si>
  <si>
    <t>8906901000</t>
  </si>
  <si>
    <t>8906909000</t>
  </si>
  <si>
    <t>8907100000</t>
  </si>
  <si>
    <t>8907901000</t>
  </si>
  <si>
    <t>8907909000</t>
  </si>
  <si>
    <t>8908000000</t>
  </si>
  <si>
    <t>Barcos</t>
  </si>
  <si>
    <t>9001100000</t>
  </si>
  <si>
    <t>9001200000</t>
  </si>
  <si>
    <t>9001300000</t>
  </si>
  <si>
    <t>9001400000</t>
  </si>
  <si>
    <t>9001500000</t>
  </si>
  <si>
    <t>9001900000</t>
  </si>
  <si>
    <t>9002110000</t>
  </si>
  <si>
    <t>9002190000</t>
  </si>
  <si>
    <t>9002200000</t>
  </si>
  <si>
    <t>9002900000</t>
  </si>
  <si>
    <t>9003110000</t>
  </si>
  <si>
    <t>9003191000</t>
  </si>
  <si>
    <t>9003199000</t>
  </si>
  <si>
    <t>9003900000</t>
  </si>
  <si>
    <t>9004100000</t>
  </si>
  <si>
    <t>9004901000</t>
  </si>
  <si>
    <t>9004909000</t>
  </si>
  <si>
    <t>Gafas </t>
  </si>
  <si>
    <t>9005100000</t>
  </si>
  <si>
    <t>9005800000</t>
  </si>
  <si>
    <t>9005900000</t>
  </si>
  <si>
    <t>9006300000</t>
  </si>
  <si>
    <t>9006400000</t>
  </si>
  <si>
    <t>9006510000</t>
  </si>
  <si>
    <t>9006521010</t>
  </si>
  <si>
    <t>9006521090</t>
  </si>
  <si>
    <t>9006529010</t>
  </si>
  <si>
    <t>9006529090</t>
  </si>
  <si>
    <t>9006531010</t>
  </si>
  <si>
    <t>9006531090</t>
  </si>
  <si>
    <t>9006539010</t>
  </si>
  <si>
    <t>9006539090</t>
  </si>
  <si>
    <t>9006591010</t>
  </si>
  <si>
    <t>9006591090</t>
  </si>
  <si>
    <t>9006599010</t>
  </si>
  <si>
    <t>9006599020</t>
  </si>
  <si>
    <t>9006599090</t>
  </si>
  <si>
    <t>9006610000</t>
  </si>
  <si>
    <t>9006690000</t>
  </si>
  <si>
    <t>9006910000</t>
  </si>
  <si>
    <t>9006990000</t>
  </si>
  <si>
    <t>9007100010</t>
  </si>
  <si>
    <t>9007100090</t>
  </si>
  <si>
    <t>9007201000</t>
  </si>
  <si>
    <t>9007209000</t>
  </si>
  <si>
    <t>9007910000</t>
  </si>
  <si>
    <t>9007920000</t>
  </si>
  <si>
    <t>9008501000</t>
  </si>
  <si>
    <t>9008502000</t>
  </si>
  <si>
    <t>9008503000</t>
  </si>
  <si>
    <t>9008504000</t>
  </si>
  <si>
    <t>9008900000</t>
  </si>
  <si>
    <t>9010100000</t>
  </si>
  <si>
    <t>9010500000</t>
  </si>
  <si>
    <t>9010600000</t>
  </si>
  <si>
    <t>9010900000</t>
  </si>
  <si>
    <t>9011100000</t>
  </si>
  <si>
    <t>9011200000</t>
  </si>
  <si>
    <t>9011800000</t>
  </si>
  <si>
    <t>9011900000</t>
  </si>
  <si>
    <t>9012100000</t>
  </si>
  <si>
    <t>9012900000</t>
  </si>
  <si>
    <t>9013100000</t>
  </si>
  <si>
    <t>9013200000</t>
  </si>
  <si>
    <t>9013801000</t>
  </si>
  <si>
    <t>9013809000</t>
  </si>
  <si>
    <t>9013900000</t>
  </si>
  <si>
    <t>9014100000</t>
  </si>
  <si>
    <t>9014200000</t>
  </si>
  <si>
    <t>9014800000</t>
  </si>
  <si>
    <t>9014900000</t>
  </si>
  <si>
    <t>9015100000</t>
  </si>
  <si>
    <t>9015201000</t>
  </si>
  <si>
    <t>9015202000</t>
  </si>
  <si>
    <t>9015300000</t>
  </si>
  <si>
    <t>9015401000</t>
  </si>
  <si>
    <t>9015409000</t>
  </si>
  <si>
    <t>9015801000</t>
  </si>
  <si>
    <t>9015809000</t>
  </si>
  <si>
    <t>9015900000</t>
  </si>
  <si>
    <t>9016001100</t>
  </si>
  <si>
    <t>9016001200</t>
  </si>
  <si>
    <t>9016001900</t>
  </si>
  <si>
    <t>9016009000</t>
  </si>
  <si>
    <t>9017100000</t>
  </si>
  <si>
    <t>9017201000</t>
  </si>
  <si>
    <t>9017202000</t>
  </si>
  <si>
    <t>9017203000</t>
  </si>
  <si>
    <t>Instrumentos de dibujo, trazado o cálculo</t>
  </si>
  <si>
    <t>9017209000</t>
  </si>
  <si>
    <t>9017300000</t>
  </si>
  <si>
    <t>9017801000</t>
  </si>
  <si>
    <t>9017809000</t>
  </si>
  <si>
    <t>9017900000</t>
  </si>
  <si>
    <t>9018110000</t>
  </si>
  <si>
    <t>9018120000</t>
  </si>
  <si>
    <t>9018130000</t>
  </si>
  <si>
    <t>9018140000</t>
  </si>
  <si>
    <t>9018190000</t>
  </si>
  <si>
    <t>9018200000</t>
  </si>
  <si>
    <t>9018312000</t>
  </si>
  <si>
    <t>9018319000</t>
  </si>
  <si>
    <t>9018320000</t>
  </si>
  <si>
    <t>9018390010</t>
  </si>
  <si>
    <t>9018390090</t>
  </si>
  <si>
    <t>9018410000</t>
  </si>
  <si>
    <t>9018491000</t>
  </si>
  <si>
    <t>9018499000</t>
  </si>
  <si>
    <t>9018500000</t>
  </si>
  <si>
    <t>9018901000</t>
  </si>
  <si>
    <t>9018909000</t>
  </si>
  <si>
    <t>9019100000</t>
  </si>
  <si>
    <t>9019200000</t>
  </si>
  <si>
    <t>9020000000</t>
  </si>
  <si>
    <t>9021101000</t>
  </si>
  <si>
    <t>9021102000</t>
  </si>
  <si>
    <t>9021210000</t>
  </si>
  <si>
    <t>9021290000</t>
  </si>
  <si>
    <t>9021310000</t>
  </si>
  <si>
    <t>9021391000</t>
  </si>
  <si>
    <t>9021399000</t>
  </si>
  <si>
    <t>9021400000</t>
  </si>
  <si>
    <t>9021500000</t>
  </si>
  <si>
    <t>9021900000</t>
  </si>
  <si>
    <t>9022120000</t>
  </si>
  <si>
    <t>9022130000</t>
  </si>
  <si>
    <t>9022140000</t>
  </si>
  <si>
    <t>9022190000</t>
  </si>
  <si>
    <t>9022210000</t>
  </si>
  <si>
    <t>9022290000</t>
  </si>
  <si>
    <t>9022300000</t>
  </si>
  <si>
    <t>9022900000</t>
  </si>
  <si>
    <t>9023001000</t>
  </si>
  <si>
    <t>9023002000</t>
  </si>
  <si>
    <t>9023009000</t>
  </si>
  <si>
    <t>9024100000</t>
  </si>
  <si>
    <t>9024800000</t>
  </si>
  <si>
    <t>9024900000</t>
  </si>
  <si>
    <t>9025111000</t>
  </si>
  <si>
    <t>9025119000</t>
  </si>
  <si>
    <t>9025191100</t>
  </si>
  <si>
    <t>9025191200</t>
  </si>
  <si>
    <t>9025191900</t>
  </si>
  <si>
    <t>9025199000</t>
  </si>
  <si>
    <t>9025803000</t>
  </si>
  <si>
    <t>9025804100</t>
  </si>
  <si>
    <t>9025804900</t>
  </si>
  <si>
    <t>9025809000</t>
  </si>
  <si>
    <t>9025900000</t>
  </si>
  <si>
    <t>9026101100</t>
  </si>
  <si>
    <t>9026101200</t>
  </si>
  <si>
    <t>9026101900</t>
  </si>
  <si>
    <t>9026109000</t>
  </si>
  <si>
    <t>9026200000</t>
  </si>
  <si>
    <t>9026801100</t>
  </si>
  <si>
    <t>9026801900</t>
  </si>
  <si>
    <t>9026809000</t>
  </si>
  <si>
    <t>9026900000</t>
  </si>
  <si>
    <t>9027101000</t>
  </si>
  <si>
    <t>9027109000</t>
  </si>
  <si>
    <t>9027200000</t>
  </si>
  <si>
    <t>9027300000</t>
  </si>
  <si>
    <t>9027500000</t>
  </si>
  <si>
    <t>9027802000</t>
  </si>
  <si>
    <t>9027803000</t>
  </si>
  <si>
    <t>9027809000</t>
  </si>
  <si>
    <t>9027901000</t>
  </si>
  <si>
    <t>9027909000</t>
  </si>
  <si>
    <t>9028100000</t>
  </si>
  <si>
    <t>9028201000</t>
  </si>
  <si>
    <t>9028209000</t>
  </si>
  <si>
    <t>9028301000</t>
  </si>
  <si>
    <t>9028309000</t>
  </si>
  <si>
    <t>9028901000</t>
  </si>
  <si>
    <t>9028909000</t>
  </si>
  <si>
    <t>9029101000</t>
  </si>
  <si>
    <t>9029102000</t>
  </si>
  <si>
    <t>9029109000</t>
  </si>
  <si>
    <t>9029201000</t>
  </si>
  <si>
    <t>9029202000</t>
  </si>
  <si>
    <t>9029209000</t>
  </si>
  <si>
    <t>9029901000</t>
  </si>
  <si>
    <t>9029909000</t>
  </si>
  <si>
    <t>9030100000</t>
  </si>
  <si>
    <t>9030200000</t>
  </si>
  <si>
    <t>9030310000</t>
  </si>
  <si>
    <t>9030320000</t>
  </si>
  <si>
    <t>9030330000</t>
  </si>
  <si>
    <t>9030390000</t>
  </si>
  <si>
    <t>9030400000</t>
  </si>
  <si>
    <t>9030820000</t>
  </si>
  <si>
    <t>9030840000</t>
  </si>
  <si>
    <t>9030890000</t>
  </si>
  <si>
    <t>9030901000</t>
  </si>
  <si>
    <t>9030909000</t>
  </si>
  <si>
    <t>9031101000</t>
  </si>
  <si>
    <t>9031109000</t>
  </si>
  <si>
    <t>9031200000</t>
  </si>
  <si>
    <t>9031410000</t>
  </si>
  <si>
    <t>9031491000</t>
  </si>
  <si>
    <t>9031492000</t>
  </si>
  <si>
    <t>9031499000</t>
  </si>
  <si>
    <t>9031802000</t>
  </si>
  <si>
    <t>9031803000</t>
  </si>
  <si>
    <t>9031809000</t>
  </si>
  <si>
    <t>9031900000</t>
  </si>
  <si>
    <t>Instrumentos de medida</t>
  </si>
  <si>
    <t>9032100000</t>
  </si>
  <si>
    <t>9032200000</t>
  </si>
  <si>
    <t>9032810000</t>
  </si>
  <si>
    <t>9032891100</t>
  </si>
  <si>
    <t>9032891900</t>
  </si>
  <si>
    <t>9032899000</t>
  </si>
  <si>
    <t>9032901000</t>
  </si>
  <si>
    <t>9032902000</t>
  </si>
  <si>
    <t>9032909000</t>
  </si>
  <si>
    <t>9033000000</t>
  </si>
  <si>
    <t>9101110000</t>
  </si>
  <si>
    <t>9101190000</t>
  </si>
  <si>
    <t>9101210000</t>
  </si>
  <si>
    <t>9101290000</t>
  </si>
  <si>
    <t>9101910000</t>
  </si>
  <si>
    <t>9101990000</t>
  </si>
  <si>
    <t>9102110000</t>
  </si>
  <si>
    <t>9102120000</t>
  </si>
  <si>
    <t>9102190000</t>
  </si>
  <si>
    <t>9102210000</t>
  </si>
  <si>
    <t>9102290000</t>
  </si>
  <si>
    <t>9102910000</t>
  </si>
  <si>
    <t>9102990000</t>
  </si>
  <si>
    <t>9103100000</t>
  </si>
  <si>
    <t>9103900000</t>
  </si>
  <si>
    <t>9104001000</t>
  </si>
  <si>
    <t>9104009000</t>
  </si>
  <si>
    <t>9105110000</t>
  </si>
  <si>
    <t>9105190000</t>
  </si>
  <si>
    <t>9105210000</t>
  </si>
  <si>
    <t>9105290000</t>
  </si>
  <si>
    <t>9105911000</t>
  </si>
  <si>
    <t>9105919000</t>
  </si>
  <si>
    <t>9105990000</t>
  </si>
  <si>
    <t>9106100000</t>
  </si>
  <si>
    <t>9106901000</t>
  </si>
  <si>
    <t>9106909000</t>
  </si>
  <si>
    <t>9107000000</t>
  </si>
  <si>
    <t>9108110000</t>
  </si>
  <si>
    <t>9108120000</t>
  </si>
  <si>
    <t>9108190000</t>
  </si>
  <si>
    <t>9108200000</t>
  </si>
  <si>
    <t>9108900000</t>
  </si>
  <si>
    <t>9109100000</t>
  </si>
  <si>
    <t>9109900000</t>
  </si>
  <si>
    <t>9110110000</t>
  </si>
  <si>
    <t>9110120000</t>
  </si>
  <si>
    <t>9110190000</t>
  </si>
  <si>
    <t>9110900000</t>
  </si>
  <si>
    <t>9111100000</t>
  </si>
  <si>
    <t>9111200000</t>
  </si>
  <si>
    <t>9111800000</t>
  </si>
  <si>
    <t>9111900000</t>
  </si>
  <si>
    <t>9112200000</t>
  </si>
  <si>
    <t>9112900000</t>
  </si>
  <si>
    <t>9113100000</t>
  </si>
  <si>
    <t>9113200000</t>
  </si>
  <si>
    <t>9113901000</t>
  </si>
  <si>
    <t>9113902000</t>
  </si>
  <si>
    <t>9113909000</t>
  </si>
  <si>
    <t>9114100000</t>
  </si>
  <si>
    <t>9114300000</t>
  </si>
  <si>
    <t>9114400000</t>
  </si>
  <si>
    <t>9114900000</t>
  </si>
  <si>
    <t>9201100000</t>
  </si>
  <si>
    <t>9201200000</t>
  </si>
  <si>
    <t>9201900000</t>
  </si>
  <si>
    <t>9202100000</t>
  </si>
  <si>
    <t>9202900000</t>
  </si>
  <si>
    <t>9205100000</t>
  </si>
  <si>
    <t>9205901000</t>
  </si>
  <si>
    <t>9205902000</t>
  </si>
  <si>
    <t>9205903000</t>
  </si>
  <si>
    <t>9205909000</t>
  </si>
  <si>
    <t>9206000000</t>
  </si>
  <si>
    <t>Instrumentos musicales</t>
  </si>
  <si>
    <t>9207100000</t>
  </si>
  <si>
    <t>9207900000</t>
  </si>
  <si>
    <t>9208100000</t>
  </si>
  <si>
    <t>9208900000</t>
  </si>
  <si>
    <t>9209300000</t>
  </si>
  <si>
    <t>9209910000</t>
  </si>
  <si>
    <t>9209920000</t>
  </si>
  <si>
    <t>9209940000</t>
  </si>
  <si>
    <t>9209990000</t>
  </si>
  <si>
    <t>9301101000</t>
  </si>
  <si>
    <t>9301109000</t>
  </si>
  <si>
    <t>9301200000</t>
  </si>
  <si>
    <t>9301901000</t>
  </si>
  <si>
    <t>9301902100</t>
  </si>
  <si>
    <t>9301902200</t>
  </si>
  <si>
    <t>9301902300</t>
  </si>
  <si>
    <t>9301902900</t>
  </si>
  <si>
    <t>9301903000</t>
  </si>
  <si>
    <t>9301904100</t>
  </si>
  <si>
    <t>9301904900</t>
  </si>
  <si>
    <t>9301909000</t>
  </si>
  <si>
    <t>9302001000</t>
  </si>
  <si>
    <t>9302002100</t>
  </si>
  <si>
    <t>9302002900</t>
  </si>
  <si>
    <t>9302003000</t>
  </si>
  <si>
    <t>9303100000</t>
  </si>
  <si>
    <t>9303201100</t>
  </si>
  <si>
    <t>9303201200</t>
  </si>
  <si>
    <t>9303201900</t>
  </si>
  <si>
    <t>9303202000</t>
  </si>
  <si>
    <t>9303209000</t>
  </si>
  <si>
    <t>9303301000</t>
  </si>
  <si>
    <t>9303302000</t>
  </si>
  <si>
    <t>9303309000</t>
  </si>
  <si>
    <t>9303900000</t>
  </si>
  <si>
    <t>9304001000</t>
  </si>
  <si>
    <t>9304009000</t>
  </si>
  <si>
    <t>9305101000</t>
  </si>
  <si>
    <t>9305102000</t>
  </si>
  <si>
    <t>9305103000</t>
  </si>
  <si>
    <t>9305104000</t>
  </si>
  <si>
    <t>9305105000</t>
  </si>
  <si>
    <t>9305106000</t>
  </si>
  <si>
    <t>9305107000</t>
  </si>
  <si>
    <t>9305108000</t>
  </si>
  <si>
    <t>9305109000</t>
  </si>
  <si>
    <t>9305201000</t>
  </si>
  <si>
    <t>9305202100</t>
  </si>
  <si>
    <t>9305202200</t>
  </si>
  <si>
    <t>9305202300</t>
  </si>
  <si>
    <t>9305202400</t>
  </si>
  <si>
    <t>9305202500</t>
  </si>
  <si>
    <t>9305202600</t>
  </si>
  <si>
    <t>9305202700</t>
  </si>
  <si>
    <t>9305202800</t>
  </si>
  <si>
    <t>9305202900</t>
  </si>
  <si>
    <t>9305911100</t>
  </si>
  <si>
    <t>9305911200</t>
  </si>
  <si>
    <t>9305911300</t>
  </si>
  <si>
    <t>9305911400</t>
  </si>
  <si>
    <t>9305911500</t>
  </si>
  <si>
    <t>9305911600</t>
  </si>
  <si>
    <t>9305911700</t>
  </si>
  <si>
    <t>9305911800</t>
  </si>
  <si>
    <t>9305911900</t>
  </si>
  <si>
    <t>9305919000</t>
  </si>
  <si>
    <t>9305990000</t>
  </si>
  <si>
    <t>9306210000</t>
  </si>
  <si>
    <t>9306291000</t>
  </si>
  <si>
    <t>9306299000</t>
  </si>
  <si>
    <t>9306302000</t>
  </si>
  <si>
    <t>9306303000</t>
  </si>
  <si>
    <t>9306309000</t>
  </si>
  <si>
    <t>9306901100</t>
  </si>
  <si>
    <t>9306901200</t>
  </si>
  <si>
    <t>9306901900</t>
  </si>
  <si>
    <t>9306909000</t>
  </si>
  <si>
    <t>9307000000</t>
  </si>
  <si>
    <t>Sables, espadas, lanzas y similares</t>
  </si>
  <si>
    <t>9401100000</t>
  </si>
  <si>
    <t>9401200000</t>
  </si>
  <si>
    <t>9401300000</t>
  </si>
  <si>
    <t>9401400000</t>
  </si>
  <si>
    <t>9401520000</t>
  </si>
  <si>
    <t>9401530000</t>
  </si>
  <si>
    <t>9401590000</t>
  </si>
  <si>
    <t>9401610000</t>
  </si>
  <si>
    <t>9401690000</t>
  </si>
  <si>
    <t>9401710000</t>
  </si>
  <si>
    <t>9401790000</t>
  </si>
  <si>
    <t>9401800000</t>
  </si>
  <si>
    <t>9401901000</t>
  </si>
  <si>
    <t>9401909000</t>
  </si>
  <si>
    <t>9402101000</t>
  </si>
  <si>
    <t>9402109000</t>
  </si>
  <si>
    <t>9402901000</t>
  </si>
  <si>
    <t>9402909000</t>
  </si>
  <si>
    <t>9403100000</t>
  </si>
  <si>
    <t>9403200000</t>
  </si>
  <si>
    <t>Muebles de metal</t>
  </si>
  <si>
    <t>9403300000</t>
  </si>
  <si>
    <t>9403400000</t>
  </si>
  <si>
    <t>Muebles de madera</t>
  </si>
  <si>
    <t>9403500000</t>
  </si>
  <si>
    <t>9403600000</t>
  </si>
  <si>
    <t>9403700000</t>
  </si>
  <si>
    <t>9403820000</t>
  </si>
  <si>
    <t>9403830000</t>
  </si>
  <si>
    <t>9403890000</t>
  </si>
  <si>
    <t>9403900000</t>
  </si>
  <si>
    <t>9404100000</t>
  </si>
  <si>
    <t>9404210000</t>
  </si>
  <si>
    <t>9404290000</t>
  </si>
  <si>
    <t>9404300000</t>
  </si>
  <si>
    <t>9404900000</t>
  </si>
  <si>
    <t>9405101000</t>
  </si>
  <si>
    <t>9405102000</t>
  </si>
  <si>
    <t>9405109000</t>
  </si>
  <si>
    <t>9405200000</t>
  </si>
  <si>
    <t>9405300000</t>
  </si>
  <si>
    <t>9405401100</t>
  </si>
  <si>
    <t>9405401900</t>
  </si>
  <si>
    <t>9405409000</t>
  </si>
  <si>
    <t>9405501000</t>
  </si>
  <si>
    <t>9405509000</t>
  </si>
  <si>
    <t>9405600000</t>
  </si>
  <si>
    <t>9405910000</t>
  </si>
  <si>
    <t>9405920000</t>
  </si>
  <si>
    <t>9405990000</t>
  </si>
  <si>
    <t>9406100000</t>
  </si>
  <si>
    <t>9406900000</t>
  </si>
  <si>
    <t>9503001000</t>
  </si>
  <si>
    <t>9503002200</t>
  </si>
  <si>
    <t>9503002800</t>
  </si>
  <si>
    <t>9503002900</t>
  </si>
  <si>
    <t>9503003000</t>
  </si>
  <si>
    <t>9503004000</t>
  </si>
  <si>
    <t>9503009100</t>
  </si>
  <si>
    <t>9503009200</t>
  </si>
  <si>
    <t>9503009300</t>
  </si>
  <si>
    <t>9503009400</t>
  </si>
  <si>
    <t>9503009500</t>
  </si>
  <si>
    <t>9503009600</t>
  </si>
  <si>
    <t>9503009900</t>
  </si>
  <si>
    <t>9504200000</t>
  </si>
  <si>
    <t>9504301000</t>
  </si>
  <si>
    <t>9504309000</t>
  </si>
  <si>
    <t>9504400000</t>
  </si>
  <si>
    <t>9504500000</t>
  </si>
  <si>
    <t>9504901000</t>
  </si>
  <si>
    <t>9504903000</t>
  </si>
  <si>
    <t>9504909100</t>
  </si>
  <si>
    <t>9504909900</t>
  </si>
  <si>
    <t>9505100000</t>
  </si>
  <si>
    <t>Adornos de navidad</t>
  </si>
  <si>
    <t>9505900000</t>
  </si>
  <si>
    <t>Adornos</t>
  </si>
  <si>
    <t>9506110000</t>
  </si>
  <si>
    <t>9506120000</t>
  </si>
  <si>
    <t>9506190000</t>
  </si>
  <si>
    <t>9506210000</t>
  </si>
  <si>
    <t>9506290000</t>
  </si>
  <si>
    <t>9506310000</t>
  </si>
  <si>
    <t>9506320000</t>
  </si>
  <si>
    <t>9506390000</t>
  </si>
  <si>
    <t>9506400000</t>
  </si>
  <si>
    <t>Artículos para tenis de mesa</t>
  </si>
  <si>
    <t>9506510000</t>
  </si>
  <si>
    <t>9506590000</t>
  </si>
  <si>
    <t>9506610000</t>
  </si>
  <si>
    <t>9506620000</t>
  </si>
  <si>
    <t>9506690000</t>
  </si>
  <si>
    <t>9506700000</t>
  </si>
  <si>
    <t>9506910000</t>
  </si>
  <si>
    <t>9506991000</t>
  </si>
  <si>
    <t>9506999000</t>
  </si>
  <si>
    <t>9507100000</t>
  </si>
  <si>
    <t>9507200000</t>
  </si>
  <si>
    <t>9507300000</t>
  </si>
  <si>
    <t>9507901000</t>
  </si>
  <si>
    <t>9507909000</t>
  </si>
  <si>
    <t>9508100000</t>
  </si>
  <si>
    <t>9508900000</t>
  </si>
  <si>
    <t>9601100000</t>
  </si>
  <si>
    <t>9601900000</t>
  </si>
  <si>
    <t>9602001000</t>
  </si>
  <si>
    <t>9602009000</t>
  </si>
  <si>
    <t>9603100000</t>
  </si>
  <si>
    <t>9603210000</t>
  </si>
  <si>
    <t>9603290000</t>
  </si>
  <si>
    <t>9603301000</t>
  </si>
  <si>
    <t>9603309000</t>
  </si>
  <si>
    <t>9603400000</t>
  </si>
  <si>
    <t>9603500000</t>
  </si>
  <si>
    <t>9603901000</t>
  </si>
  <si>
    <t>9603909000</t>
  </si>
  <si>
    <t>9604000000</t>
  </si>
  <si>
    <t>Tamices, cedazos y cribas, de mano.</t>
  </si>
  <si>
    <t>9605000000</t>
  </si>
  <si>
    <t>9606100000</t>
  </si>
  <si>
    <t>9606210000</t>
  </si>
  <si>
    <t>9606220000</t>
  </si>
  <si>
    <t>9606291000</t>
  </si>
  <si>
    <t>9606299000</t>
  </si>
  <si>
    <t>9606301000</t>
  </si>
  <si>
    <t>9606309000</t>
  </si>
  <si>
    <t>9607110000</t>
  </si>
  <si>
    <t>9607190000</t>
  </si>
  <si>
    <t>9607200000</t>
  </si>
  <si>
    <t>9608100000</t>
  </si>
  <si>
    <t>9608200000</t>
  </si>
  <si>
    <t>9608300000</t>
  </si>
  <si>
    <t>9608400000</t>
  </si>
  <si>
    <t>9608500000</t>
  </si>
  <si>
    <t>9608600000</t>
  </si>
  <si>
    <t>9608910000</t>
  </si>
  <si>
    <t>9608991000</t>
  </si>
  <si>
    <t>9608992100</t>
  </si>
  <si>
    <t>9608992910</t>
  </si>
  <si>
    <t>9608992920</t>
  </si>
  <si>
    <t>9608992990</t>
  </si>
  <si>
    <t>9609100000</t>
  </si>
  <si>
    <t>9609200000</t>
  </si>
  <si>
    <t>9609900000</t>
  </si>
  <si>
    <t>9610000000</t>
  </si>
  <si>
    <t>Pizarras y tableros</t>
  </si>
  <si>
    <t>9611000000</t>
  </si>
  <si>
    <t>Fechadores, sellos, numeradores, timbradores y similares</t>
  </si>
  <si>
    <t>9612100000</t>
  </si>
  <si>
    <t>9612200000</t>
  </si>
  <si>
    <t>9613100000</t>
  </si>
  <si>
    <t>9613200000</t>
  </si>
  <si>
    <t>9613800000</t>
  </si>
  <si>
    <t>9613900000</t>
  </si>
  <si>
    <t>9614000000</t>
  </si>
  <si>
    <t>Pipas, boquillas para cigarros (puros) o cigarrillos, y sus partes</t>
  </si>
  <si>
    <t>9615110000</t>
  </si>
  <si>
    <t>9615190000</t>
  </si>
  <si>
    <t>9615900000</t>
  </si>
  <si>
    <t>Peines, pasadores y artículos similares</t>
  </si>
  <si>
    <t>9616100000</t>
  </si>
  <si>
    <t>Atomizadores</t>
  </si>
  <si>
    <t>9616200000</t>
  </si>
  <si>
    <t>9617000000</t>
  </si>
  <si>
    <t>Termos y demás recipientes isotérmicos</t>
  </si>
  <si>
    <t>9618000000</t>
  </si>
  <si>
    <t>Maniquíes y artículos similares</t>
  </si>
  <si>
    <t>9619001000</t>
  </si>
  <si>
    <t>9619002000</t>
  </si>
  <si>
    <t>9619009000</t>
  </si>
  <si>
    <t>9620000010</t>
  </si>
  <si>
    <t>9620000020</t>
  </si>
  <si>
    <t>9620000091</t>
  </si>
  <si>
    <t>9620000099</t>
  </si>
  <si>
    <t>9701100000</t>
  </si>
  <si>
    <t>Pinturas y dibujos</t>
  </si>
  <si>
    <t>9701900000</t>
  </si>
  <si>
    <t>9701910000</t>
  </si>
  <si>
    <t>9702000000</t>
  </si>
  <si>
    <t>Grabados, estampas y litografías</t>
  </si>
  <si>
    <t>9703000000</t>
  </si>
  <si>
    <t>Estatuas y esculturas</t>
  </si>
  <si>
    <t>9704000000</t>
  </si>
  <si>
    <t>Sellos (estampillas) de correo</t>
  </si>
  <si>
    <t>9705000000</t>
  </si>
  <si>
    <t>Colecciones y especímenes para colecciones de
zoología, botánica, mineralogía o anatomía o que
tengan interés histórico, arqueológico,
paleontológico, etnográfico o numismático.</t>
  </si>
  <si>
    <t>9706000000</t>
  </si>
  <si>
    <t>Antigüedades de más de cien años</t>
  </si>
  <si>
    <t>8807300000</t>
  </si>
  <si>
    <t>4418990000</t>
  </si>
  <si>
    <t>9405199000</t>
  </si>
  <si>
    <t>Aparatos de alumbrado</t>
  </si>
  <si>
    <t>4420190000</t>
  </si>
  <si>
    <t>Marquetería y taracea</t>
  </si>
  <si>
    <t>9705290000</t>
  </si>
  <si>
    <t>8462610000</t>
  </si>
  <si>
    <t>Prensas hidráulicas</t>
  </si>
  <si>
    <t>Total general</t>
  </si>
  <si>
    <t>Jun</t>
  </si>
  <si>
    <t>FOB (MILES)</t>
  </si>
  <si>
    <t>Suma de FOB (MILES)</t>
  </si>
  <si>
    <t xml:space="preserve"> </t>
  </si>
  <si>
    <t>2026</t>
  </si>
  <si>
    <t>x|</t>
  </si>
  <si>
    <t>FOB $ (MILES)</t>
  </si>
  <si>
    <t>9403990000</t>
  </si>
  <si>
    <t>3402500000</t>
  </si>
  <si>
    <t>8419120000</t>
  </si>
  <si>
    <t>6201400000</t>
  </si>
  <si>
    <t>8419399000</t>
  </si>
  <si>
    <t>Mar</t>
  </si>
  <si>
    <t>May</t>
  </si>
  <si>
    <t>Ago</t>
  </si>
  <si>
    <t>PRODUCTO_ORIGINAL</t>
  </si>
  <si>
    <t>PRODUCTO_CORREGIDO</t>
  </si>
  <si>
    <t>Abrasivos naturales o artificiales en polvo o gránulos con soporte de…, con soporte de otras materias</t>
  </si>
  <si>
    <t>Abrasivos con soporte</t>
  </si>
  <si>
    <t>Abrigos, chaquetones, capas, anoraks, cazadoras y artículos…, de fibras sintéticas o artificiales</t>
  </si>
  <si>
    <t>Abrigos sintéticos para hombre</t>
  </si>
  <si>
    <t>Accesorios de tubería (por ejemplo (los demás)</t>
  </si>
  <si>
    <t>Accesorios de tubería</t>
  </si>
  <si>
    <t>Aceite en bruto, incluso desgomado</t>
  </si>
  <si>
    <t>Aceite de soya en bruto</t>
  </si>
  <si>
    <t>Aceites de girasol o cártamo, y sus fracciones, de girasol</t>
  </si>
  <si>
    <t>Aceite de girasol refinado</t>
  </si>
  <si>
    <t>Aceites en bruto, de girasol</t>
  </si>
  <si>
    <t>Aceite de girasol en bruto</t>
  </si>
  <si>
    <t>Aguardiente de vino o de orujo de uvas, de vino (Por ejemplo, singani</t>
  </si>
  <si>
    <t>Aguardiente de uva (singani)</t>
  </si>
  <si>
    <t>Alcohol etílico sin desnaturalizar con grado alcohólico volumétrico superior o igual al 80 % vol</t>
  </si>
  <si>
    <t>Alcohol etílico sin desnaturalizar</t>
  </si>
  <si>
    <t>Alicates (incluso cortantes), tenazas, pinzas y herramientas similares</t>
  </si>
  <si>
    <t>Alicates y tenazas</t>
  </si>
  <si>
    <t>Alimentos para perros o gatos, acondicionados para la venta al por… (los demás)</t>
  </si>
  <si>
    <t>Alimento para mascotas</t>
  </si>
  <si>
    <t>Aluminio y sus manufacturas (los demás)</t>
  </si>
  <si>
    <t>Manufacturas de aluminio</t>
  </si>
  <si>
    <t>Analizadores de gases o humos (los demás)</t>
  </si>
  <si>
    <t>Analizadores de gases</t>
  </si>
  <si>
    <t>Enchufes y tomacorrientes</t>
  </si>
  <si>
    <t>Aparatos mecánicos (incluso manuales) para proyectar…, partes (los demás)</t>
  </si>
  <si>
    <t>Partes de aspersores</t>
  </si>
  <si>
    <t>Aparatos, dispositivos o equipos de laboratorio…, partes (los demás)</t>
  </si>
  <si>
    <t>Partes de equipos térmicos</t>
  </si>
  <si>
    <t>Artículos de grifería y órganos similares para…, partes (los demás)</t>
  </si>
  <si>
    <t>Partes de grifería</t>
  </si>
  <si>
    <t>Ballestas y sus hojas</t>
  </si>
  <si>
    <t>Ballestas para vehículos</t>
  </si>
  <si>
    <t>Bolígrafos</t>
  </si>
  <si>
    <t>Bombas de aire o de vacío, compresores de aire u otros gases y…, de potencia superior o igual a 262,5 kW (352 HP)</t>
  </si>
  <si>
    <t>Compresores de gran potencia</t>
  </si>
  <si>
    <t>Bombas para líquidos, incluso con dispositivo medidor incorporado (los demás)</t>
  </si>
  <si>
    <t>Bombas para líquidos</t>
  </si>
  <si>
    <t>Bombonas (damajuanas), botellas, frascos y artículos similares (los demás)</t>
  </si>
  <si>
    <t>Botellas y frascos plásticos</t>
  </si>
  <si>
    <t>Boratos de sodio naturales y sus concentrados (incluso calcinados)</t>
  </si>
  <si>
    <t>Boratos de sodio</t>
  </si>
  <si>
    <t>Cables eléctricos</t>
  </si>
  <si>
    <t>Cables de acero</t>
  </si>
  <si>
    <t>Cadenas de eslabones con contrete (travesaño)</t>
  </si>
  <si>
    <t>Cadenas de eslabones</t>
  </si>
  <si>
    <t>Cajas de cartón</t>
  </si>
  <si>
    <t>Calentadores solares de agua</t>
  </si>
  <si>
    <t>Calzado con suela de caucho, plástico, cuero natural o regenerado y… (los demás)</t>
  </si>
  <si>
    <t>Calzado de cuero</t>
  </si>
  <si>
    <t>Calzado, polainas y artículos análogos, que cubran el tobillo</t>
  </si>
  <si>
    <t>Botas de caucho o plástico</t>
  </si>
  <si>
    <t>Calzas, panty-medias, leotardos, medias, calcetines y demás artículos…, de algodón</t>
  </si>
  <si>
    <t>Medias de algodón</t>
  </si>
  <si>
    <t>Calzas, panty-medias, leotardos, medias, calcetines y demás artículos…, de fibras sintéticas</t>
  </si>
  <si>
    <t>Medias de fibras sintéticas</t>
  </si>
  <si>
    <t>Calzas, panty-medias, leotardos, medias, calcetines y demás artículos…, de fibras sintéticas, de título inferior a 67 decitex por hilo sencillo</t>
  </si>
  <si>
    <t>Pantimedias sintéticas</t>
  </si>
  <si>
    <t>Calzas, panty-medias, leotardos, medias, calcetines y demás artículos…, de las demás materias textiles</t>
  </si>
  <si>
    <t>Pantimedias de otras materias</t>
  </si>
  <si>
    <t>Camiones hormigonera</t>
  </si>
  <si>
    <t>Campanas aspirantes en las que el mayor lado horizontal sea inferior o igual a 120 cm</t>
  </si>
  <si>
    <t>Campanas extractoras</t>
  </si>
  <si>
    <t>Cargadoras y palas cargadoras de carga frontal</t>
  </si>
  <si>
    <t>Cargadores frontales</t>
  </si>
  <si>
    <t>Carne y despojos comestibles, de aves de la partida…, de aves de la especie Gallus domesticus, sin trocear, congelados</t>
  </si>
  <si>
    <t>Pollo entero congelado</t>
  </si>
  <si>
    <t>Carne y despojos comestibles, de aves de la partida…, de aves de la especie Gallus domesticus, trozos y despojos, congelados (los demás)</t>
  </si>
  <si>
    <t>Trozos de pollo congelados</t>
  </si>
  <si>
    <t>Centrifugadoras, incluidas las secadoras centrífugas, partes (los demás)</t>
  </si>
  <si>
    <t>Partes de centrifugadoras</t>
  </si>
  <si>
    <t>Cereales preparados</t>
  </si>
  <si>
    <t>Champúes</t>
  </si>
  <si>
    <t>Champú</t>
  </si>
  <si>
    <t>Chicles y demás gomas de mascar, incluso recubiertos de azúcar (los demás)</t>
  </si>
  <si>
    <t>Chicles</t>
  </si>
  <si>
    <t>Cinturones de seguridad</t>
  </si>
  <si>
    <t>Cinturones y chalecos salvavidas</t>
  </si>
  <si>
    <t>Chalecos salvavidas</t>
  </si>
  <si>
    <t>Cloruro de potasio, con un contenido de potasio, superior o igual a 58,0 % pero inferior o igual a 63,1 % en peso, expresado en óxido de potasio</t>
  </si>
  <si>
    <t>Cloruro de potasio</t>
  </si>
  <si>
    <t>Cocinas, empotrables</t>
  </si>
  <si>
    <t>Cocinas empotrables</t>
  </si>
  <si>
    <t>Compactadoras y apisonadoras (aplanadoras)</t>
  </si>
  <si>
    <t>Compactadoras y aplanadoras</t>
  </si>
  <si>
    <t>Cortes finos</t>
  </si>
  <si>
    <t>Cortes finos de res</t>
  </si>
  <si>
    <t>Cubos (vasos) de ajuste intercambiables, incluso con mango</t>
  </si>
  <si>
    <t>Dados de ajuste</t>
  </si>
  <si>
    <t>Cueros y pieles charolados y sus imitaciones de cueros o pieles chapados; cueros y pieles metalizados</t>
  </si>
  <si>
    <t>Cueros charolados</t>
  </si>
  <si>
    <t>Cueros y pieles curtidos o «crust», de bovino…, en estado húmedo (incluido el «wet-blue») (los demás)</t>
  </si>
  <si>
    <t>Cueros curtidos wet-blue</t>
  </si>
  <si>
    <t>Depósitos, barriles, tambores, bidones, latas o botes, cajas y…, sin soldadura</t>
  </si>
  <si>
    <t>Envases metálicos</t>
  </si>
  <si>
    <t>Deshuesada (los demás)</t>
  </si>
  <si>
    <t>Carne de res deshuesada</t>
  </si>
  <si>
    <t>Desperdicios y desechos (chatarra), de fundición, hierro o acero (los demás)</t>
  </si>
  <si>
    <t>Chatarra de hierro</t>
  </si>
  <si>
    <t>Destornilladores, para tornillos de ranura recta</t>
  </si>
  <si>
    <t>Destornilladores</t>
  </si>
  <si>
    <t>Diarios y revistas</t>
  </si>
  <si>
    <t>Diccionarios y enciclopedias, incluso en fascículos</t>
  </si>
  <si>
    <t>Diccionarios y enciclopedias</t>
  </si>
  <si>
    <t>Dióxido de carbono</t>
  </si>
  <si>
    <t>Espejos de vidrio, enmarcados o no, incluidos los espejos retrovisores, sin enmarcar</t>
  </si>
  <si>
    <t>Espejos de vidrio</t>
  </si>
  <si>
    <t>Extrusoras</t>
  </si>
  <si>
    <t>Gafas protectoras para el trabajo</t>
  </si>
  <si>
    <t>Gafas protectoras</t>
  </si>
  <si>
    <t>Galletas saladas o aromatizadas</t>
  </si>
  <si>
    <t>Galletas saladas</t>
  </si>
  <si>
    <t>Glutamato monosódico</t>
  </si>
  <si>
    <t>Grupos electrógenos con motor de émbolo (pistón) de…, de potencia superior a 375 kVA (los demás)</t>
  </si>
  <si>
    <t>Grupos electrógenos</t>
  </si>
  <si>
    <t>Grupos electrógenos con motor de émbolo (pistón) de…, de potencia superior a 375 kVA, de corriente alterna</t>
  </si>
  <si>
    <t>Grupos electrógenos de corriente alterna</t>
  </si>
  <si>
    <t>Guantes, mitones y manoplas (los demás)</t>
  </si>
  <si>
    <t>Guantes</t>
  </si>
  <si>
    <t>Guarniciones de fricción (por ejemplo, que no contengan amianto (asbesto) (los demás)</t>
  </si>
  <si>
    <t>Guarniciones de fricción</t>
  </si>
  <si>
    <t>Guarniciones para frenos</t>
  </si>
  <si>
    <t>Pastillas de freno</t>
  </si>
  <si>
    <t>Habas (porotos, frijoles, fréjoles) de soja (soya), incluso… (los demás)</t>
  </si>
  <si>
    <t>Soya en grano</t>
  </si>
  <si>
    <t>Harina de soya</t>
  </si>
  <si>
    <t>Harina y «pellets» de alfalfa</t>
  </si>
  <si>
    <t>Harina de alfalfa</t>
  </si>
  <si>
    <t>Herramientas de mano (incluidos los diamantes de vidriero) no… (los demás)</t>
  </si>
  <si>
    <t>Herramientas de mano</t>
  </si>
  <si>
    <t>Herramientas neumáticas, hidráulicas o con motor…, con motor eléctrico incorporado (los demás)</t>
  </si>
  <si>
    <t>Herramientas eléctricas</t>
  </si>
  <si>
    <t>Herramientas neumáticas, hidráulicas o con motor…, partes (los demás)</t>
  </si>
  <si>
    <t>Partes de herramientas eléctricas</t>
  </si>
  <si>
    <t>Hojas (los demás)</t>
  </si>
  <si>
    <t>Hojas de cuchillo</t>
  </si>
  <si>
    <t>Huevos de ave sin cáscara (cascarón) y yemas de huevo, frescos…, secos</t>
  </si>
  <si>
    <t>Huevo deshidratado</t>
  </si>
  <si>
    <t>Impregnados, recubiertos, revestidos o estratificados, con plástico o caucho</t>
  </si>
  <si>
    <t>Guantes de punto recubiertos</t>
  </si>
  <si>
    <t>Iniciadores y aceleradores de reacción y preparaciones catalíticas… (los demás)</t>
  </si>
  <si>
    <t>Catalizadores químicos</t>
  </si>
  <si>
    <t>Manómetros</t>
  </si>
  <si>
    <t>Instrumentos y aparatos de geodesia, topografía, agrimensura… (los demás)</t>
  </si>
  <si>
    <t>Instrumentos de topografía</t>
  </si>
  <si>
    <t>Kétchup y demás salsas de tomate</t>
  </si>
  <si>
    <t>Kétchup</t>
  </si>
  <si>
    <t>Ladrillos de construcción</t>
  </si>
  <si>
    <t>Ladrillos</t>
  </si>
  <si>
    <t>Leche y nata (crema), concentradas o con adición de…, en polvo, gránulos o demás formas sólidas, con un…, sin adición de azúcar ni otro edulcorante, c</t>
  </si>
  <si>
    <t>Leche en polvo</t>
  </si>
  <si>
    <t>Libros e impresos</t>
  </si>
  <si>
    <t>Llaves de ajuste de mano, ajustables</t>
  </si>
  <si>
    <t>Llaves ajustables</t>
  </si>
  <si>
    <t>Lámparas, de seguridad</t>
  </si>
  <si>
    <t>Lámparas de seguridad</t>
  </si>
  <si>
    <t>Mangueras de caucho</t>
  </si>
  <si>
    <t>Mantequilla</t>
  </si>
  <si>
    <t>Manufacturas de amiantocemento, celulosacemento o…, que no contengan amianto (asbesto) (los demás, placas, paneles, losetas, tejas y artículos similar</t>
  </si>
  <si>
    <t>Planchas de fibrocemento</t>
  </si>
  <si>
    <t>Chatarra de cobre</t>
  </si>
  <si>
    <t>Bolsos y estuches</t>
  </si>
  <si>
    <t>Muelas abrasivas</t>
  </si>
  <si>
    <t>Maníes (cacahuetes, cacahuates) sin tostar ni cocer de otro modo… (los demás)</t>
  </si>
  <si>
    <t>Maní sin tostar</t>
  </si>
  <si>
    <t>Maníes (cacahuetes, cacahuates) sin tostar ni cocer de otro modo…, sin cáscara, incluso quebrantados</t>
  </si>
  <si>
    <t>Maní sin cáscara</t>
  </si>
  <si>
    <t>Medias de compresión progresiva</t>
  </si>
  <si>
    <t>Medias de compresión</t>
  </si>
  <si>
    <t>Medicamentos (los demás, medicamentos para uso veterinario)</t>
  </si>
  <si>
    <t>Medicamentos veterinarios</t>
  </si>
  <si>
    <t>Medicamentos, para uso humano</t>
  </si>
  <si>
    <t>Medicamentos de uso humano</t>
  </si>
  <si>
    <t>Mineral de oro</t>
  </si>
  <si>
    <t>Monocelulares, con diámetro de salida inferior o igual a 100 mm</t>
  </si>
  <si>
    <t>Bombas centrífugas monocelulares</t>
  </si>
  <si>
    <t>Mostaza preparada</t>
  </si>
  <si>
    <t>Mostaza</t>
  </si>
  <si>
    <t>Motores hidráulicos (los demás)</t>
  </si>
  <si>
    <t>Motores hidráulicos</t>
  </si>
  <si>
    <t>Motores y generadores, eléctricos, de potencia superior a 7,5 kW (los demás)</t>
  </si>
  <si>
    <t>Motores eléctricos</t>
  </si>
  <si>
    <t>Muebles de madera de los tipos utilizados en dormitorios</t>
  </si>
  <si>
    <t>Muebles de dormitorio</t>
  </si>
  <si>
    <t>Muebles; mobiliario medicoquirúrgico; artículos de…, partes (los demás)</t>
  </si>
  <si>
    <t>Partes de muebles</t>
  </si>
  <si>
    <t>Máquinas de aserrar o trocear</t>
  </si>
  <si>
    <t>Sierras industriales</t>
  </si>
  <si>
    <t>Máquinas que efectúen dos o más de las siguientes funciones: impresión, copia o fax, aptas para ser conectadas a una máquina automática para tratamien</t>
  </si>
  <si>
    <t>Impresoras multifuncionales</t>
  </si>
  <si>
    <t>Máquinas y aparatos de chorro de arena o de vapor y aparatos de chorro similares</t>
  </si>
  <si>
    <t>Máquinas de chorro de arena</t>
  </si>
  <si>
    <t xml:space="preserve">Máquinas y aparatos mecánicos con función propia, no expresados ni…, para mezclar, amasar o sobar, quebrantar, triturar, pulverizar, cribar, tamizar, </t>
  </si>
  <si>
    <t>Mezcladoras y trituradoras</t>
  </si>
  <si>
    <t>Máquinas y aparatos para obras públicas, la construcción o trabajos análogos</t>
  </si>
  <si>
    <t>Maquinaria para construcción</t>
  </si>
  <si>
    <t>Máquinas y aparatos para soldar (aunque puedan cortar), eléctricos… (los demás)</t>
  </si>
  <si>
    <t>Máquinas de soldar</t>
  </si>
  <si>
    <t>Máquinas y aparatos para trabajar caucho o plástico o para fabricar… (los demás, máquinas y aparatos)</t>
  </si>
  <si>
    <t>Máquinas para plástico</t>
  </si>
  <si>
    <t>No ajustables</t>
  </si>
  <si>
    <t>Llaves fijas</t>
  </si>
  <si>
    <t>Castañas (nueces de Brasil)</t>
  </si>
  <si>
    <t>Oxígeno</t>
  </si>
  <si>
    <t>Palas mecánicas, excavadoras, cargadoras y palas cargadoras (los demás)</t>
  </si>
  <si>
    <t>Excavadoras</t>
  </si>
  <si>
    <t>Papel y cartón (los demás)</t>
  </si>
  <si>
    <t>Artículos de papel</t>
  </si>
  <si>
    <t>Papel y cartón corrugados, incluso perforados</t>
  </si>
  <si>
    <t>Cartón corrugado</t>
  </si>
  <si>
    <t>Papel y cartón, sin estucar ni recubrir, de los tipos utilizados para… (los demás)</t>
  </si>
  <si>
    <t>Papel higiénico en bobinas</t>
  </si>
  <si>
    <t>Pastas alimenticias sin cocer, rellenar ni preparar de otra forma (los demás)</t>
  </si>
  <si>
    <t>Fideos</t>
  </si>
  <si>
    <t>Pelo fino cardado o peinado, de alpaca o de llama (incluido el guanaco)</t>
  </si>
  <si>
    <t>Fibra de alpaca</t>
  </si>
  <si>
    <t>Pistolas de pintar</t>
  </si>
  <si>
    <t>Placas y baldosas, para pavimentación o revestimiento, con un coeficiente de absorción de agua superior al 0,5 % pero inferior o igual al 10 %, en pes</t>
  </si>
  <si>
    <t>Baldosas cerámicas</t>
  </si>
  <si>
    <t>Ajonjolí (sésamo)</t>
  </si>
  <si>
    <t>Plena flor sin dividir</t>
  </si>
  <si>
    <t>Cuero plena flor</t>
  </si>
  <si>
    <t>Plena flor sin dividir; divididos con la flor</t>
  </si>
  <si>
    <t>Cuero bovino plena flor</t>
  </si>
  <si>
    <t>Plástico y sus manufacturas (los demás)</t>
  </si>
  <si>
    <t>Láminas de plástico</t>
  </si>
  <si>
    <t>Poli(tereftalato de etileno), con un índice de viscosidad superior o igual a 78 ml/g (los demás)</t>
  </si>
  <si>
    <t>Resina PET</t>
  </si>
  <si>
    <t>Prendas de cuero</t>
  </si>
  <si>
    <t>Prendas y complementos (accesorios), de vestir, de punto, de fibras sintéticas o artificiales</t>
  </si>
  <si>
    <t>Prendas de punto sintéticas</t>
  </si>
  <si>
    <t>Preparaciones acondicionadas para la venta al por menor</t>
  </si>
  <si>
    <t>Detergentes</t>
  </si>
  <si>
    <t>Preparaciones alimenticias no expresadas ni comprendidas en otra parte (los demás)</t>
  </si>
  <si>
    <t>Preparaciones alimenticias</t>
  </si>
  <si>
    <t>Preparaciones de carne, pescado, crustáceos, de aves de la partida 01.05, de aves de la especie Gallus domesticus, en trozos sazonados y congelados (l</t>
  </si>
  <si>
    <t>Pollo sazonado congelado</t>
  </si>
  <si>
    <t>Preparaciones de carne, pescado, crustáceos, de la especie bovina</t>
  </si>
  <si>
    <t>Conservas de carne bovina</t>
  </si>
  <si>
    <t>Preparaciones de los tipos utilizados para la alimentación de los… (los demás)</t>
  </si>
  <si>
    <t>Alimento balanceado para animales</t>
  </si>
  <si>
    <t>Escobas y cepillos</t>
  </si>
  <si>
    <t>Artículos de plástico</t>
  </si>
  <si>
    <t>Cuerdas y cordeles sintéticos</t>
  </si>
  <si>
    <t>Radiadores y sus partes</t>
  </si>
  <si>
    <t>Radiadores</t>
  </si>
  <si>
    <t>Resinas epoxi, líquidas</t>
  </si>
  <si>
    <t>Resinas epoxi</t>
  </si>
  <si>
    <t>Resistencias calentadoras</t>
  </si>
  <si>
    <t>Resistencias eléctricas</t>
  </si>
  <si>
    <t>Sacos (bolsas) con una anchura en la base superior o igual a 40 cm, multipliegos</t>
  </si>
  <si>
    <t>Sacos de papel</t>
  </si>
  <si>
    <t>Sacos (bolsas) y talegas, para envasar, de materias textiles sintéticas o artificiales, de polipropileno</t>
  </si>
  <si>
    <t>Sacos de polipropileno</t>
  </si>
  <si>
    <t>Saturados</t>
  </si>
  <si>
    <t>Hidrocarburos saturados</t>
  </si>
  <si>
    <t>Secadores (los demás)</t>
  </si>
  <si>
    <t>Secadores</t>
  </si>
  <si>
    <t>Semillas oleaginosas</t>
  </si>
  <si>
    <t>Sombreros, demás tocados, y sus partes, de las demás materias</t>
  </si>
  <si>
    <t>Sorgo de grano (granífero) (los demás)</t>
  </si>
  <si>
    <t>Sorgo</t>
  </si>
  <si>
    <t>Tableros MDF</t>
  </si>
  <si>
    <t>Tejas</t>
  </si>
  <si>
    <t>Tejidos de punto, de fibras sintéticas, con hilados de distintos colores</t>
  </si>
  <si>
    <t>Tejidos de punto sintéticos</t>
  </si>
  <si>
    <t>Tornos para el ascenso y descenso de jaulas o montacargas en pozos de minas; tornos especialmente concebidos para el interior de minas</t>
  </si>
  <si>
    <t>Tornos para minería</t>
  </si>
  <si>
    <t>Tornos; cabrestantes (los demás)</t>
  </si>
  <si>
    <t>Cabrestantes</t>
  </si>
  <si>
    <t>Torta de soya</t>
  </si>
  <si>
    <t>Tortas y demás residuos sólidos de la extracción de grasas o aceites…, de semillas de girasol</t>
  </si>
  <si>
    <t>Torta de girasol</t>
  </si>
  <si>
    <t>Tubos rígidos, de polímeros de cloruro de vinilo (los demás)</t>
  </si>
  <si>
    <t>Tubos de PVC</t>
  </si>
  <si>
    <t>Tubos rígidos, de polímeros de etileno (los demás)</t>
  </si>
  <si>
    <t>Tubos de polietileno</t>
  </si>
  <si>
    <t>Urea, incluso en disolución acuosa, con un porcentaje de nitrógeno superior o igual a 45,0 % pero inferior o igual a 46,6 % en peso</t>
  </si>
  <si>
    <t>Urea</t>
  </si>
  <si>
    <t>Vehículos automóviles para transporte de mercancías, de peso total con carga máxima inferior o igual a 5 t, inferior o igual a 4,537 t (los demás)</t>
  </si>
  <si>
    <t>Camionetas de carga</t>
  </si>
  <si>
    <t>Vino de uvas frescas, incluso encabezado, en recipientes con capacidad inferior o igual a 2 l</t>
  </si>
  <si>
    <t>Vino</t>
  </si>
  <si>
    <t>Válvulas de seguridad</t>
  </si>
  <si>
    <t>Yemas de huevo, secas</t>
  </si>
  <si>
    <t>Yemas de huevo secas</t>
  </si>
  <si>
    <t>«T-shirts» para hombres o mujeres (los demás)</t>
  </si>
  <si>
    <t>Polos</t>
  </si>
  <si>
    <t>Ácido oleico</t>
  </si>
  <si>
    <t>Ácido ortobórico</t>
  </si>
  <si>
    <t>Ácido bórico</t>
  </si>
  <si>
    <t>Útiles de embutir, estampar o punzonar</t>
  </si>
  <si>
    <t>Troqueles y punzones</t>
  </si>
  <si>
    <t>Útiles de roscar (incluso aterrajar)</t>
  </si>
  <si>
    <t>Machos de roscar</t>
  </si>
  <si>
    <t>Útiles de taladrar</t>
  </si>
  <si>
    <t>Brocas</t>
  </si>
  <si>
    <t>Útiles intercambiables para herramientas de mano, incluso mecánicas… (los demás, útiles intercambiables)</t>
  </si>
  <si>
    <t>Útiles para herramientas</t>
  </si>
  <si>
    <t>FUENTE</t>
  </si>
  <si>
    <t>Caballos, reproductores de raza pura</t>
  </si>
  <si>
    <t>ESTIMADO</t>
  </si>
  <si>
    <t>Caballos, para carrera</t>
  </si>
  <si>
    <t>Productos alimenticios elaborados</t>
  </si>
  <si>
    <t>Caballos (los demás)</t>
  </si>
  <si>
    <t>Asnos</t>
  </si>
  <si>
    <t>Caballos, asnos, mulos y burdéganos, vivos (los demás)</t>
  </si>
  <si>
    <t>Productos farmacéuticos y de tocador</t>
  </si>
  <si>
    <t>Bovinos domésticos, reproductores de raza pura</t>
  </si>
  <si>
    <t>Vestuario y otras confecciones</t>
  </si>
  <si>
    <t>Bovinos domésticos, para lidia</t>
  </si>
  <si>
    <t>Bovinos domésticos (los demás)</t>
  </si>
  <si>
    <t>Búfalos, reproductores de raza pura</t>
  </si>
  <si>
    <t>Búfalos (los demás)</t>
  </si>
  <si>
    <t>Objetos de adorno personal</t>
  </si>
  <si>
    <t>Animales vivos de la especie bovina (los demás)</t>
  </si>
  <si>
    <t>Animales vivos de la especie porcina, reproductores de raza pura</t>
  </si>
  <si>
    <t>Animales vivos de la especie porcina, de peso inferior a 50 kg</t>
  </si>
  <si>
    <t>Animales vivos de la especie porcina, de peso superior o igual a 50 kg</t>
  </si>
  <si>
    <t>Animales vivos de las especies ovina o caprina, de la especie ovina, reproductores de raza pura</t>
  </si>
  <si>
    <t>Animales vivos de las especies ovina o caprina, de la especie ovina (los demás)</t>
  </si>
  <si>
    <t>Animales vivos de las especies ovina o caprina, de la especie caprina, reproductores de raza pura</t>
  </si>
  <si>
    <t>Animales vivos de las especies ovina o caprina, de la especie caprina (los demás)</t>
  </si>
  <si>
    <t>Aves de la especie Gallus domesticus</t>
  </si>
  <si>
    <t>Pavos (gallipavos)</t>
  </si>
  <si>
    <t>Gallos, gallinas, patos, gansos, pavos (gallipavos) y…, de peso inferior o igual a 185 g, patos</t>
  </si>
  <si>
    <t>Gallos, gallinas, patos, gansos, pavos (gallipavos) y…, de peso inferior o igual a 185 g, gansos</t>
  </si>
  <si>
    <t>Gallos, gallinas, patos, gansos, pavos (gallipavos) y…, de peso inferior o igual a 185 g, pintadas</t>
  </si>
  <si>
    <t>Otras materias primas para la agricultura: naturales</t>
  </si>
  <si>
    <t>Otras materias primas para la agricultura: elaboradas</t>
  </si>
  <si>
    <t>Gallos, gallinas, patos, gansos, pavos (gallipavos) y pintadas, de… (los demás)</t>
  </si>
  <si>
    <t>Llamas (Lama glama), incluidos los guanacos</t>
  </si>
  <si>
    <t>Alpacas (Lama pacus)</t>
  </si>
  <si>
    <t>Camélidos sudamericanos (los demás)</t>
  </si>
  <si>
    <t>Camellos y demás camélidos (Camelidae) (los demás)</t>
  </si>
  <si>
    <t>Conejos y liebres</t>
  </si>
  <si>
    <t>Productos mineros semielaborados</t>
  </si>
  <si>
    <t>Productos mineros elaborados</t>
  </si>
  <si>
    <t>Aves de rapiña</t>
  </si>
  <si>
    <t>Productos químico-farmacéuticos semielaborados</t>
  </si>
  <si>
    <t>Psitaciformes (incluidos los loros, guacamayos, cacatúas y demás papagayos)</t>
  </si>
  <si>
    <t>Productos químico-farmacéuticos elaborados</t>
  </si>
  <si>
    <t>Avestruces; emúes (Dromaius novaehollandiae)</t>
  </si>
  <si>
    <t>Materiales de construcción naturales</t>
  </si>
  <si>
    <t>Aves (los demás)</t>
  </si>
  <si>
    <t>Materiales de construcción semielaborados</t>
  </si>
  <si>
    <t>Insectos, abejas</t>
  </si>
  <si>
    <t>Materiales de construcción elaborados</t>
  </si>
  <si>
    <t>Insectos (los demás)</t>
  </si>
  <si>
    <t>Carne de animales de la especie bovina, fresca o refrigerada, en canales o medias canales</t>
  </si>
  <si>
    <t>Carne de animales de la especie bovina, fresca o refrigerada (los demás, cortes (trozos) sin deshuesar)</t>
  </si>
  <si>
    <t>CUODE ORIGEN</t>
  </si>
  <si>
    <t>Partes y accesorios de maquinaria industrial</t>
  </si>
  <si>
    <t>Carne de animales de la especie bovina, congelada, en canales o medias canales</t>
  </si>
  <si>
    <t>Maquinaria industrial</t>
  </si>
  <si>
    <t>Carne de animales de la especie bovina, congelada (los demás, cortes (trozos) sin deshuesar)</t>
  </si>
  <si>
    <t>Otros equipos fijos</t>
  </si>
  <si>
    <t>Partes y accesorios de equipo de transporte</t>
  </si>
  <si>
    <t>Equipo rodante de transporte</t>
  </si>
  <si>
    <t>Fresca o refrigerada, en canales o medias canales</t>
  </si>
  <si>
    <t>Piernas, paletas, y sus trozos, sin deshuesar</t>
  </si>
  <si>
    <t>Carne deshuesada</t>
  </si>
  <si>
    <t>Chuletas, costillas</t>
  </si>
  <si>
    <t>Tocino con partes magras</t>
  </si>
  <si>
    <t>Fresca o refrigerada (los demás)</t>
  </si>
  <si>
    <t>Congelada, en canales o medias canales</t>
  </si>
  <si>
    <t>Congelada (los demás)</t>
  </si>
  <si>
    <t>Canales o medias canales de cordero, frescas o refrigeradas</t>
  </si>
  <si>
    <t>Carne de animales de las especies ovina o caprina, fresca…, en canales o medias canales</t>
  </si>
  <si>
    <t>Carne de animales de las especies ovina o caprina, fresca… (los demás, cortes (trozos) sin deshuesar)</t>
  </si>
  <si>
    <t>Carne de animales de las especies ovina o caprina, fresca…, deshuesadas</t>
  </si>
  <si>
    <t>Canales o medias canales de cordero, congeladas</t>
  </si>
  <si>
    <t>Carne de animales de la especie caprina</t>
  </si>
  <si>
    <t>Despojos comestibles de animales de las especies bovina, porcina…, de la especie bovina, frescos o refrigerados</t>
  </si>
  <si>
    <t>Despojos comestibles de animales de las especies…, de la especie bovina, congelados, lenguas</t>
  </si>
  <si>
    <t>Despojos comestibles de animales de las especies…, de la especie bovina, congelados, hígados</t>
  </si>
  <si>
    <t>Despojos comestibles de animales de las especies…, de la especie bovina, congelados (los demás)</t>
  </si>
  <si>
    <t>Despojos comestibles de animales de las especies bovina, porcina…, de la especie porcina, frescos o refrigerados</t>
  </si>
  <si>
    <t>Despojos comestibles de animales de las especies…, de la especie porcina, congelados, hígados</t>
  </si>
  <si>
    <t>Piel comestible (cuero, pellejo)</t>
  </si>
  <si>
    <t>Despojos comestibles de animales de las especies…, de la especie porcina, congelados (los demás)</t>
  </si>
  <si>
    <t>Despojos comestibles de animales de las especies bovina, porcina… (los demás, frescos o refrigerados)</t>
  </si>
  <si>
    <t>Despojos comestibles de animales de las especies bovina, porcina… (los demás, congelados)</t>
  </si>
  <si>
    <t>Carne y despojos comestibles, de aves de la partida…, de aves de la especie Gallus domesticus, sin trocear, frescos o refrigerados</t>
  </si>
  <si>
    <t>Cuartos traseros, sin deshuesar</t>
  </si>
  <si>
    <t>Cuartos traseros, deshuesado</t>
  </si>
  <si>
    <t>Carne y despojos comestibles, de aves de la partida…, de aves de la especie Gallus domesticus, trozos y despojos, frescos o refrigerados (los demás)</t>
  </si>
  <si>
    <t>Carne mecánicamente deshuesada</t>
  </si>
  <si>
    <t>Carne y despojos comestibles, de aves de la partida…, de pavo (gallipavo), sin trocear, frescos o refrigerados</t>
  </si>
  <si>
    <t>Carne y despojos comestibles, de aves de la partida…, de pavo (gallipavo), sin trocear, congelados</t>
  </si>
  <si>
    <t>Carne y despojos comestibles, de aves de la partida…, de pavo (gallipavo), trozos y despojos, frescos o refrigerados</t>
  </si>
  <si>
    <t>Carne y despojos comestibles, de aves de la partida…, de pavo (gallipavo), trozos y despojos, congelados</t>
  </si>
  <si>
    <t>Carne y despojos comestibles, de aves de la partida…, de pato, sin trocear, frescos o refrigerados</t>
  </si>
  <si>
    <t>Carne y despojos comestibles, de aves de la partida…, de pato, sin trocear, congelados</t>
  </si>
  <si>
    <t>Hígados grasos, frescos o refrigerados</t>
  </si>
  <si>
    <t>Carne y despojos comestibles, de aves de la partida…, de pato (los demás, frescos o refrigerados)</t>
  </si>
  <si>
    <t>Carne y despojos comestibles, de aves de la partida…, de pato (los demás, congelados)</t>
  </si>
  <si>
    <t>Carne y despojos comestibles, de aves de la partida…, de ganso, sin trocear, frescos o refrigerados</t>
  </si>
  <si>
    <t>Carne y despojos comestibles, de aves de la partida…, de ganso, sin trocear, congelados</t>
  </si>
  <si>
    <t>Carne y despojos comestibles, de aves de la partida…, de ganso (los demás, frescos o refrigerados)</t>
  </si>
  <si>
    <t>Carne y despojos comestibles, de aves de la partida…, de ganso (los demás, congelados)</t>
  </si>
  <si>
    <t>Carne y despojos comestibles, de aves de la partida 01.05, frescos…, de pintada</t>
  </si>
  <si>
    <t>Carne y despojos comestibles, de conejo o liebre</t>
  </si>
  <si>
    <t>Carne y despojos comestibles, de primates</t>
  </si>
  <si>
    <t>Carne y despojos comestibles, de ballenas, delfines y marsopas (mamíferos del orden Cetacea); de manatíes y dugones o dugongos (mamíferos del orden Si</t>
  </si>
  <si>
    <t>Carne y despojos comestibles, de reptiles (incluidas las serpientes y tortugas de mar)</t>
  </si>
  <si>
    <t>Carne y despojos comestibles, de camellos y demás camélidos (Camelidae)</t>
  </si>
  <si>
    <t>Carne y despojos comestibles (los demás)</t>
  </si>
  <si>
    <t>Tocino sin partes magras</t>
  </si>
  <si>
    <t>Tocino sin partes magras y grasa de cerdo o de ave sin…, de cerdo (los demás)</t>
  </si>
  <si>
    <t>Tocino sin partes magras y grasa de cerdo o de ave sin fundir ni… (los demás)</t>
  </si>
  <si>
    <t>Jamones, paletas, y sus trozos, sin deshuesar</t>
  </si>
  <si>
    <t>Tocino entreverado de panza (panceta) y sus trozos</t>
  </si>
  <si>
    <t>Carne de la especie porcina (los demás)</t>
  </si>
  <si>
    <t>Carne de la especie bovina</t>
  </si>
  <si>
    <t>Carne y despojos comestibles, salados o en salmuera, secos o ahumados, de primates</t>
  </si>
  <si>
    <t>Carne y despojos comestibles, salados o en salmuera…, de ballenas, delfines y marsopas (mamíferos del orden Cetacea), de ballenas, delfines y marsopas</t>
  </si>
  <si>
    <t>Carne y despojos comestibles, salados o en salmuera…, de ballenas, delfines y marsopas (mamíferos del orden Cetacea) (los demás)</t>
  </si>
  <si>
    <t>Carne y despojos comestibles, salados o en salmuera, secos o ahumados, de reptiles (incluidas las serpientes y tortugas de mar)</t>
  </si>
  <si>
    <t>Harina y polvo comestibles, de carne o de despojos</t>
  </si>
  <si>
    <t>Carne y despojos comestibles, salados o en salmuera, secos o ahumados (los demás)</t>
  </si>
  <si>
    <t>Truchas (Salmo trutta, Oncorhynchus mykiss, Oncorhynchus clarki…, para reproducción o cría industrial</t>
  </si>
  <si>
    <t>Truchas (Salmo trutta, Oncorhynchus mykiss, Oncorhynchus clarki… (los demás)</t>
  </si>
  <si>
    <t>Carpas (Cyprinus spp., Carassius spp., Ctenopharyngodon idellus, Hypophthalmichthys spp., Cirrhinus spp., Mylopharyngodon piceus, Catla catla, Labeo s</t>
  </si>
  <si>
    <t>Atunes (Thunnus thynnus)</t>
  </si>
  <si>
    <t>Atunes comunes o de aleta azul, del Atlántico y del Pacífico (Thunnus…, para reproducción o cría industrial</t>
  </si>
  <si>
    <t>Atunes comunes o de aleta azul, del Atlántico y del Pacífico (Thunnus… (los demás)</t>
  </si>
  <si>
    <t>Atunes del sur (Thunnus maccoyii)</t>
  </si>
  <si>
    <t>Peces vivos, para reproducción o cría industrial, tilapia</t>
  </si>
  <si>
    <t>Peces vivos (los demás)</t>
  </si>
  <si>
    <t>Truchas (Salmo trutta, Oncorhynchus mykiss, Oncorhynchus clarki, Oncorhynchus aguabonita, Oncorhynchus gilae, Oncorhynchus apache y Oncorhynchus chrys</t>
  </si>
  <si>
    <t>Salmones del Pacífico (Oncorhynchus nerka, Oncorhynchus gorbuscha, Oncorhynchus keta, Oncorhynchus tschawytscha, Oncorhynchus kisutch, Oncorhynchus ma</t>
  </si>
  <si>
    <t>Salmones del Atlántico (Salmo salar) y salmones del Danubio (Hucho hucho)</t>
  </si>
  <si>
    <t>MANUAL</t>
  </si>
  <si>
    <t>Fletanes («halibut») (Reinhardtius hippoglossoides, Hippoglossus hippoglossus, Hippoglossus stenolepis)</t>
  </si>
  <si>
    <t>Sollas (Pleuronectes platessa)</t>
  </si>
  <si>
    <t>Lenguados (Solea spp.)</t>
  </si>
  <si>
    <t>Rodaballos («turbots») (Psetta maxima)</t>
  </si>
  <si>
    <t>Pescados planos (Pleuronectidae, Bothidae, Cynoglossidae, Soleidae… (los demás)</t>
  </si>
  <si>
    <t>Albacoras o atunes blancos (Thunnus alalunga)</t>
  </si>
  <si>
    <t>Atunes de aleta amarilla (rabiles) (Thunnus albacares)</t>
  </si>
  <si>
    <t>Listados (bonitos de vientre rayado) (Katsuwonus pelamis)</t>
  </si>
  <si>
    <t>Patudos o atunes ojo grande (Thunnus obesus)</t>
  </si>
  <si>
    <t>Atunes comunes o de aleta azul, del Atlántico y del Pacífico (Thunnus thynnus, Thunnus orientalis)</t>
  </si>
  <si>
    <t>Atunes (del género Thunnus), listados (bonitos de vientre rayado)… (los demás)</t>
  </si>
  <si>
    <t>Arenques (Clupea harengus, Clupea pallasii)</t>
  </si>
  <si>
    <t>Sardinas (Sardina pilchardus, Sardinops spp.), sardinelas (Sardinella spp.) y espadines (Sprattus sprattus)</t>
  </si>
  <si>
    <t>Caballas (Scomber scombrus, Scomber australasicus, Scomber japonicus)</t>
  </si>
  <si>
    <t>Jureles (Trachurus spp.)</t>
  </si>
  <si>
    <t>Cobias (Rachycentron canadum)</t>
  </si>
  <si>
    <t>Arenques (Clupea harengus, Clupea pallasii), anchoas (Engraulis… (los demás)</t>
  </si>
  <si>
    <t>Bacalaos (Gadus morhua, Gadus ogac, Gadus macrocephalus)</t>
  </si>
  <si>
    <t>Eglefinos (Melanogrammus aeglefinus)</t>
  </si>
  <si>
    <t>Carboneros (Pollachius virens)</t>
  </si>
  <si>
    <t>Merluzas (Merluccius spp., Urophycis spp.)</t>
  </si>
  <si>
    <t>Abadejos de Alaska (Theragra chalcogramma)</t>
  </si>
  <si>
    <t>Bacaladillas (Micromesistius poutassou, Micromesistius australis)</t>
  </si>
  <si>
    <t>Tilapias (Oreochromis spp.)</t>
  </si>
  <si>
    <t>Anguilas (Anguilla spp.)</t>
  </si>
  <si>
    <t>Tilapias (Oreochromis spp.), bagres o peces gato (Pangasius spp.… (los demás)</t>
  </si>
  <si>
    <t>Cazones y demás escualos</t>
  </si>
  <si>
    <t>Rayas (Rajidae)</t>
  </si>
  <si>
    <t>Austromerluzas antárticas y austromerluzas negras (merluzas negras, bacalaos de profundidad, nototenias negras) (Dissostichus spp.)</t>
  </si>
  <si>
    <t>Róbalos (Dicentrarchus spp.)</t>
  </si>
  <si>
    <t>Sargos (Doradas, Espáridos) (Sparidae)</t>
  </si>
  <si>
    <t>Pescado fresco o refrigerado (los demás)</t>
  </si>
  <si>
    <t>Hígados, huevas y lechas</t>
  </si>
  <si>
    <t>Aletas de tiburón</t>
  </si>
  <si>
    <t>Hígados, huevas, lechas, aletas, cabezas, colas, vejigas natatorias y… (los demás)</t>
  </si>
  <si>
    <t>Salmones rojos (Oncorhynchus nerka)</t>
  </si>
  <si>
    <t>Salmónidos (los demás, salmones del Pacífico (Oncorhynchus gorbuscha, Oncorhynchus keta, Oncorhynchus tschawytscha, Oncorhynchus kisutch, Oncorhynchus</t>
  </si>
  <si>
    <t>Sardinas (Sardina pilchardus, Sardinops spp.), sardinelas (Sardinella…, sin cabeza, sin vísceras</t>
  </si>
  <si>
    <t>Sardinas (Sardina pilchardus, Sardinops spp.), sardinelas (Sardinella… (los demás)</t>
  </si>
  <si>
    <t>Pescados de las familias Bregmacerotidae, Euclichthyidae, Gadidae… (los demás)</t>
  </si>
  <si>
    <t>Hígados, huevas y lechas, aletas, cabezas, colas, vejigas natatorias… (los demás)</t>
  </si>
  <si>
    <t>Percas del Nilo (Lates niloticus)</t>
  </si>
  <si>
    <t>Filetes y demás carne de pescado (incluso picada)…, filetes frescos o refrigerados de tilapias (Oreochromis spp.), bagres… (los demás)</t>
  </si>
  <si>
    <t>Salmones del pacífico (Oncorhynchus nerka, Oncorhynchus gorbuscha, Oncorhynchus keta, Oncorhynchus tschawytscha, Oncorhynchus kisutch, Oncorhynchus ma</t>
  </si>
  <si>
    <t>Pescados planos (Pleuronectidae, Bothidae, Cynoglossidae, Soleidae, Scophthalmidae y Citharidae)</t>
  </si>
  <si>
    <t>Pescados de las familias Bregmacerotidae, Euclichthyidae, Gadidae, Macrouridae, Melanonidae, Merlucciidae, Moridae y Muraenolepididae</t>
  </si>
  <si>
    <t>Filetes y demás carne de pescado (incluso picada)…, filetes de los demás pescados, frescos o refrigerados (los demás)</t>
  </si>
  <si>
    <t>Filetes y demás carne de pescado (incluso picada), frescos…, salmónidos</t>
  </si>
  <si>
    <t>Filetes y demás carne de pescado (incluso picada), frescos… (los demás)</t>
  </si>
  <si>
    <t>Filetes y demás carne de pescado (incluso picada)…, filetes congelados de tilapias (Oreochromis spp.), bagres o peces… (los demás)</t>
  </si>
  <si>
    <t>Merluzas (Merluccius spp., Urophycis spp.), en bloques, sin piel, con espinas</t>
  </si>
  <si>
    <t>Merluzas (Merluccius spp., Urophycis spp.), en bloques, sin piel, sin espinas</t>
  </si>
  <si>
    <t>Merluzas (Merluccius spp., Urophycis spp.), en bloques, picado</t>
  </si>
  <si>
    <t>Porciones (“tabletas”), sin piel, con espinas</t>
  </si>
  <si>
    <t>Interfoliados, sin piel, con espinas</t>
  </si>
  <si>
    <t>Interfoliados, sin piel, sin espinas</t>
  </si>
  <si>
    <t>Merluzas (Merluccius spp., Urophycis spp.) (los demás)</t>
  </si>
  <si>
    <t>Filetes y demás carne de pescado (incluso picada)…, filetes congelados de pescados de las familias Bregmacerotidae… (los demás)</t>
  </si>
  <si>
    <t>Atunes (del género Thunnus), listados (bonitos de vientre rayado) (Katsuwonus pelamis)</t>
  </si>
  <si>
    <t>Cazones, demás escualos y rayas (Rajidae)</t>
  </si>
  <si>
    <t>Pescados de las familias Bregmacerotidae, Euclichthyidae, Gadidae, Macrouridae, Melanonidae, Merlucciidae, Moridae y Muraenolepididae, excepto los aba</t>
  </si>
  <si>
    <t>Harina, polvo y «pellets» de pescado, aptos para la alimentación humana</t>
  </si>
  <si>
    <t>MANUAL (código no vigente en Arancel 2022)</t>
  </si>
  <si>
    <t>Hígados, huevas y lechas, de pescado, secos, ahumados, salados o en salmuera</t>
  </si>
  <si>
    <t>Pescado seco, salado o en salmuera, filetes de pescado, secos, salados o en salmuera, sin ahumar, de bacalaos (Gadus morhua, Gadus ogac, Gadus macroce</t>
  </si>
  <si>
    <t>Pescado seco, salado o en salmuera, filetes de pescado, secos, salados o en salmuera, sin ahumar (los demás)</t>
  </si>
  <si>
    <t>Pescados ahumados, incluidos los filetes (los demás)</t>
  </si>
  <si>
    <t>Pescado seco, incluso salado, sin ahumar (los demás)</t>
  </si>
  <si>
    <t>Pescado salado sin secar ni ahumar y pescado en salmuera (los demás)</t>
  </si>
  <si>
    <t>Cabezas, colas y vejigas natatorias, de pescado</t>
  </si>
  <si>
    <t>Aletas, cabezas, colas, vejigas natatorias y demás despojos… (los demás)</t>
  </si>
  <si>
    <t>Langostas (Palinurus spp., Panulirus spp., Jasus spp.)</t>
  </si>
  <si>
    <t>Bogavantes (Homarus spp.)</t>
  </si>
  <si>
    <t>Cigalas (Nephrops norvegicus)</t>
  </si>
  <si>
    <t>Langostinos (Géneros de la familia Penaeidae), enteros</t>
  </si>
  <si>
    <t>Colas sin caparazón</t>
  </si>
  <si>
    <t>Colas con caparazón, sin cocer en agua o vapor</t>
  </si>
  <si>
    <t>Colas con caparazón, cocidos en agua o vapor</t>
  </si>
  <si>
    <t>Langostinos (Géneros de la familia Penaeidae) (los demás)</t>
  </si>
  <si>
    <t>Crustáceos, incluso pelados, vivos, frescos…, congelados (los demás)</t>
  </si>
  <si>
    <t>Langostinos (Géneros de la familia Penaeidae), para reproducción o cría industrial</t>
  </si>
  <si>
    <t>Langostinos (Géneros de la familia Penaeidae), frescos o refrigerados</t>
  </si>
  <si>
    <t>Crustáceos, incluso pelados, vivos, frescos…, vivos, frescos o refrigerados (los demás)</t>
  </si>
  <si>
    <t>Cangrejos (excepto macruros)</t>
  </si>
  <si>
    <t>Camarones, langostinos y demás decápodos Natantia (los demás)</t>
  </si>
  <si>
    <t>0306990000</t>
  </si>
  <si>
    <t>Crustáceos, incluso pelados, vivos, frescos, refrigerados… (los demás)</t>
  </si>
  <si>
    <t>Harina, polvo y «pellets»</t>
  </si>
  <si>
    <t>ESTIMADO (código no vigente en Arancel 2022)</t>
  </si>
  <si>
    <t>Crustáceos, incluso pelados, vivos, frescos, refrigerados, congelados (los demás)</t>
  </si>
  <si>
    <t>Ostras, vivas, frescas o refrigeradas</t>
  </si>
  <si>
    <t>Ostras, congeladas</t>
  </si>
  <si>
    <t>Ostras (los demás)</t>
  </si>
  <si>
    <t>Vieiras (conchas de abanico) (Pecten jacobaeus)</t>
  </si>
  <si>
    <t>Vieiras, volandeiras y demás moluscos de la familia…, vivos, frescos o refrigerados (los demás)</t>
  </si>
  <si>
    <t>Vieiras (conchas de abanico) (Pecten Jacobaeus)</t>
  </si>
  <si>
    <t>Vieiras, volandeiras y demás moluscos de la familia…, congelados (los demás)</t>
  </si>
  <si>
    <t>Vieiras, volandeiras y demás moluscos de la familia Pectinidae (los demás)</t>
  </si>
  <si>
    <t>Mejillones (Mytilus spp., Perna spp.), vivos, frescos o refrigerados</t>
  </si>
  <si>
    <t>Mejillones (Mytilus spp., Perna spp.), congelados</t>
  </si>
  <si>
    <t>Mejillones (Mytilus spp., Perna spp.) (los demás)</t>
  </si>
  <si>
    <t>Jibias (sepias) y globitos, vivos, frescos o refrigerados</t>
  </si>
  <si>
    <t>Jibias (sepias) y globitos, congelados</t>
  </si>
  <si>
    <t>Jibias (sepias) y globitos (los demás)</t>
  </si>
  <si>
    <t>Pulpos (Octopus spp.), vivos, frescos o refrigerados</t>
  </si>
  <si>
    <t>Pulpos (Octopus spp.), congelados</t>
  </si>
  <si>
    <t>Pulpos (Octopus spp.) (los demás)</t>
  </si>
  <si>
    <t>Caracoles, excepto los de mar</t>
  </si>
  <si>
    <t>Almejas, berberechos y arcas (familias Arcidae, Arcticidae…, vivos, frescos o refrigerados</t>
  </si>
  <si>
    <t>Almejas, berberechos y arcas (familias Arcidae, Arcticidae…, congelados</t>
  </si>
  <si>
    <t>Almejas, berberechos y arcas (familias Arcidae, Arcticidae… (los demás)</t>
  </si>
  <si>
    <t>Abulones u orejas de mar (Haliotis spp.), vivos, frescos o refrigerados</t>
  </si>
  <si>
    <t>Cobos (caracoles de mar) (Strombus spp.), vivos, frescos o refrigerados</t>
  </si>
  <si>
    <t>Abulones u orejas de mar (Haliotis spp.), congelados</t>
  </si>
  <si>
    <t>Abulones u orejas de mar (Haliotis spp.) y cobos (caracoles de mar)… (los demás, abulones u orejas de mar (Haliotis spp.))</t>
  </si>
  <si>
    <t>Abulones u orejas de mar (Haliotis spp.) y cobos (caracoles de mar)… (los demás, cobos (caracoles de mar) (Strombus spp.))</t>
  </si>
  <si>
    <t>Moluscos, incluso separados de sus valvas, vivos, frescos…, vivos, frescos o refrigerados</t>
  </si>
  <si>
    <t>Locos (chanque, caracoles de mar) (Concholepas concholepas)</t>
  </si>
  <si>
    <t>Moluscos, incluso separados de sus valvas, vivos…, congelados, lapas</t>
  </si>
  <si>
    <t>Moluscos, incluso separados de sus valvas, vivos…, congelados, machas</t>
  </si>
  <si>
    <t>Moluscos, incluso separados de sus valvas, vivos…, congelados (los demás)</t>
  </si>
  <si>
    <t>Moluscos, incluso separados de sus valvas, vivos, frescos…, lapas</t>
  </si>
  <si>
    <t>Moluscos, incluso separados de sus valvas, vivos, frescos…, machas</t>
  </si>
  <si>
    <t>Moluscos, incluso separados de sus valvas, vivos, frescos… (los demás)</t>
  </si>
  <si>
    <t>Pepinos de mar (Stichopus japonicus, Holothuroidea), vivos, frescos o refrigerados</t>
  </si>
  <si>
    <t>Pepinos de mar (Stichopus japonicus, Holothuroidea), congelados</t>
  </si>
  <si>
    <t>Pepinos de mar (Stichopus japonicus, Holothuroidea) (los demás)</t>
  </si>
  <si>
    <t>Erizos de mar (Strongylocentrotus spp., Paracentrotus lividus…, vivos, frescos o refrigerados</t>
  </si>
  <si>
    <t>Erizos de mar (Strongylocentrotus spp., Paracentrotus lividus…, congelados</t>
  </si>
  <si>
    <t>Erizos de mar (Strongylocentrotus spp., Paracentrotus lividus… (los demás)</t>
  </si>
  <si>
    <t>Medusas (Rhopilema spp.)</t>
  </si>
  <si>
    <t>Invertebrados acuáticos (los demás)</t>
  </si>
  <si>
    <t>0309100000</t>
  </si>
  <si>
    <t>Harina, polvo y «pellets» de pescado, crustáceos, moluscos y demás…, de pescado</t>
  </si>
  <si>
    <t>0309901000</t>
  </si>
  <si>
    <t>Harina, polvo y «pellets» de pescado, crustáceos, moluscos y demás…, de crustáceos</t>
  </si>
  <si>
    <t>0309909000</t>
  </si>
  <si>
    <t>Harina, polvo y «pellets» de pescado, crustáceos, moluscos y demás… (los demás)</t>
  </si>
  <si>
    <t>Leche y nata (crema), sin concentrar, sin adición de azúcar ni otro…, con un contenido de materias grasas inferior o igual al 1 % en peso</t>
  </si>
  <si>
    <t>Leche y nata (crema), sin concentrar, sin adición de azúcar ni otro…, con un contenido de materias grasas superior al 1 % pero inferior o igual al 6 %</t>
  </si>
  <si>
    <t xml:space="preserve">Leche y nata (crema), sin concentrar, sin adición de azúcar ni otro…, con un contenido de materias grasas superior al 6 % pero inferior o igual al 10 </t>
  </si>
  <si>
    <t>Leche y nata (crema), sin concentrar, sin adición de azúcar ni otro…, con un contenido de materias grasas superior al 10 % en peso</t>
  </si>
  <si>
    <t>Leche y nata (crema), concentradas o con adición de…, en polvo, gránulos o demás formas sólidas, con un contenido de…, en envases de contenido neto in</t>
  </si>
  <si>
    <t>Leche y nata (crema), concentradas o con adición de…, en polvo, gránulos o demás formas sólidas, con un contenido de… (los demás)</t>
  </si>
  <si>
    <t>Leche y nata (crema), concentradas o con adición de…, en polvo, gránulos o demás formas sólidas, con un…, sin adición de azúcar ni otro edulcorante, e</t>
  </si>
  <si>
    <t>Leche y nata (crema), concentradas o con adición de…, en polvo, gránulos o demás formas sólidas, con un…, sin adición de azúcar ni otro edulcorante (l</t>
  </si>
  <si>
    <t>Leche y nata (crema), concentradas o con adición de…, en polvo, gránulos o demás formas sólidas, con un…, con un contenido de materias grasas superior</t>
  </si>
  <si>
    <t>Leche evaporada</t>
  </si>
  <si>
    <t>Leche y nata (crema), concentradas o con adición de…, sin adición de azúcar ni otro edulcorante (los demás)</t>
  </si>
  <si>
    <t>Leche condensada</t>
  </si>
  <si>
    <t>Leche y nata (crema), concentradas o con adición de azúcar u otro… (los demás)</t>
  </si>
  <si>
    <t>Aromatizados o con frutas u otros frutos o cacao, incluso con adición de azúcar y otro edulcorante</t>
  </si>
  <si>
    <t>Yogur; suero de mantequilla (de manteca), leche y nata (crema) cuajada (los demás)</t>
  </si>
  <si>
    <t>0403200010</t>
  </si>
  <si>
    <t>Aromatizados o con frutas u otros frutos o cacao, incluso con adición de azúcar u otro edulcorante</t>
  </si>
  <si>
    <t>0403200090</t>
  </si>
  <si>
    <t>Yogur (los demás)</t>
  </si>
  <si>
    <t>Suero de mantequilla</t>
  </si>
  <si>
    <t>Yogur; suero de mantequilla (de manteca), leche y nata (crema)… (los demás)</t>
  </si>
  <si>
    <t>Lactosuero parcial o totalmente desmineralizado</t>
  </si>
  <si>
    <t>Lactosuero, aunque esté modificado, incluso concentrado o con adición… (los demás)</t>
  </si>
  <si>
    <t>Lactosuero, incluso concentrado o con adición de azúcar u otro… (los demás)</t>
  </si>
  <si>
    <t>Pastas lácteas para untar</t>
  </si>
  <si>
    <t>Grasa láctea anhidra («butteroil»)</t>
  </si>
  <si>
    <t>Mantequilla (manteca) y demás materias grasas de la leche (los demás)</t>
  </si>
  <si>
    <t>Quesos y requesón, con un contenido de humedad inferior al 50 % en peso, calculado sobre una base totalmente desgrasada</t>
  </si>
  <si>
    <t>Quesos y requesón, con un contenido de humedad superior o igual al 50 % pero inferior al 56 %, en peso, calculado sobre una base totalmente desgrasada</t>
  </si>
  <si>
    <t>Quesos y requesón, con un contenido de humedad superior o igual al 56 % pero inferior al 69 %, en peso, calculado sobre una base totalmente desgrasada</t>
  </si>
  <si>
    <t>Quesos y requesón (los demás)</t>
  </si>
  <si>
    <t>Huevos fecundados para incubación, de gallina de la especie Gallus domesticus</t>
  </si>
  <si>
    <t>Huevos fecundados para incubación (los demás)</t>
  </si>
  <si>
    <t>Huevos de ave con cáscara (cascarón), frescos…, de gallina de la especie Gallus domesticus, para la producción de vacunas (libres de patógenos específ</t>
  </si>
  <si>
    <t>Huevos de ave con cáscara (cascarón), frescos…, de gallina de la especie Gallus domesticus (los demás)</t>
  </si>
  <si>
    <t>Huevos de ave con cáscara (cascarón), frescos, conservados o cocidos, para la producción de vacunas (libres de patógenos específicos)</t>
  </si>
  <si>
    <t>Huevos de ave con cáscara (cascarón), frescos, conservados o cocidos (los demás)</t>
  </si>
  <si>
    <t>Yemas de huevo (los demás)</t>
  </si>
  <si>
    <t>Huevos de ave sin cáscara (cascarón) y yemas de huevo, frescos… (los demás)</t>
  </si>
  <si>
    <t>0410100010</t>
  </si>
  <si>
    <t>Harina y polvo</t>
  </si>
  <si>
    <t>0410100020</t>
  </si>
  <si>
    <t>Insectos, enteros o en trozos, secos, ahumados, salados o en salmuera</t>
  </si>
  <si>
    <t>0410100090</t>
  </si>
  <si>
    <t>0410900000</t>
  </si>
  <si>
    <t>Insectos y demás productos comestibles de origen animal, no… (los demás)</t>
  </si>
  <si>
    <t>Cerdas de cerdo o de jabalí y sus desperdicios</t>
  </si>
  <si>
    <t>Cerdas de cerdo o de jabalí (los demás)</t>
  </si>
  <si>
    <t>Estómagos</t>
  </si>
  <si>
    <t>Tripas</t>
  </si>
  <si>
    <t>Vejigas</t>
  </si>
  <si>
    <t>Plumas de las utilizadas para relleno; plumón</t>
  </si>
  <si>
    <t>Pieles y demás partes de ave, con sus plumas o plumón, plumas y… (los demás)</t>
  </si>
  <si>
    <t>Oseína y huesos acidulados</t>
  </si>
  <si>
    <t>Huesos y núcleos córneos, en bruto, desgrasados, simplemente… (los demás)</t>
  </si>
  <si>
    <t>Marfil; polvo y desperdicios de marfil</t>
  </si>
  <si>
    <t>Marfil, concha (caparazón) de tortuga, ballenas de mamíferos marinos… (los demás)</t>
  </si>
  <si>
    <t>Semen de bovino</t>
  </si>
  <si>
    <t>Huevas y lechas de pescado</t>
  </si>
  <si>
    <t>Despojos de pescado</t>
  </si>
  <si>
    <t>Productos de pescado o de crustáceos, moluscos o demás invertebrados… (los demás)</t>
  </si>
  <si>
    <t>Cochinilla (Dactylopious coccus)</t>
  </si>
  <si>
    <t>Semen de los demás animales</t>
  </si>
  <si>
    <t>Productos de origen animal no expresados ni comprendidos en otra parte, embriones</t>
  </si>
  <si>
    <t>Esponjas naturales de origen animal</t>
  </si>
  <si>
    <t>Esquejes sin enraizar e injertos, orquídeas</t>
  </si>
  <si>
    <t>Arboles, arbustos y matas, de frutas o de otros frutos comestibles, incluso injertados</t>
  </si>
  <si>
    <t>Rododendros y azaleas, incluso injertados</t>
  </si>
  <si>
    <t>Rosales, incluso injertados</t>
  </si>
  <si>
    <t>Flores y capullos, cortados para ramos o adornos…, frescos, rosas</t>
  </si>
  <si>
    <t>Claveles, miniatura</t>
  </si>
  <si>
    <t>Claveles (los demás)</t>
  </si>
  <si>
    <t>Crisantemos, pompones</t>
  </si>
  <si>
    <t>Crisantemos (los demás)</t>
  </si>
  <si>
    <t>Azucenas (Lilium spp.)</t>
  </si>
  <si>
    <t>Gypsophila (Lluvia, ilusión) (Gypsophilia paniculata L.)</t>
  </si>
  <si>
    <t>Flores y capullos, cortados para ramos o adornos…, frescos, aster</t>
  </si>
  <si>
    <t>Flores y capullos, cortados para ramos o adornos…, frescos, alstroemeria</t>
  </si>
  <si>
    <t>Flores y capullos, cortados para ramos o adornos…, frescos, gerbera</t>
  </si>
  <si>
    <t>Flores y capullos, cortados para ramos o adornos…, frescos (los demás)</t>
  </si>
  <si>
    <t>Follaje, hojas, ramas y demás partes de plantas, sin flores ni…, frescos</t>
  </si>
  <si>
    <t>Papas (patatas) frescas o refrigeradas, para siembra</t>
  </si>
  <si>
    <t>Papas (patatas) frescas o refrigeradas (los demás)</t>
  </si>
  <si>
    <t>Ajos, para siembra</t>
  </si>
  <si>
    <t>Puerros y demás hortalizas aliáceas</t>
  </si>
  <si>
    <t>Coliflores y brócolis</t>
  </si>
  <si>
    <t>Coles (repollitos) de Bruselas</t>
  </si>
  <si>
    <t>Coles, incluidos los repollos, coliflores, coles rizadas, colinabos y… (los demás)</t>
  </si>
  <si>
    <t>Lechugas, repolladas</t>
  </si>
  <si>
    <t>Lechugas (los demás)</t>
  </si>
  <si>
    <t>Endibia «witloof» (Cichorium intybus var. foliosum)</t>
  </si>
  <si>
    <t>Achicorias, comprendidas la escarola y la endibia (los demás)</t>
  </si>
  <si>
    <t>Zanahorias y nabos</t>
  </si>
  <si>
    <t>Zanahorias, nabos, remolachas para ensalada, salsifíes, apionabos… (los demás)</t>
  </si>
  <si>
    <t>Arvejas (guisantes, chícharos) (Pisum sativum)</t>
  </si>
  <si>
    <t>Hortalizas de vaina, aunque estén desvainadas, frescas o refrigeradas (los demás)</t>
  </si>
  <si>
    <t>Berenjenas</t>
  </si>
  <si>
    <t>Apio, excepto el apionabo</t>
  </si>
  <si>
    <t>Hongos del género Agaricus</t>
  </si>
  <si>
    <t>0709520000</t>
  </si>
  <si>
    <t>Hongos del género Boletus</t>
  </si>
  <si>
    <t>0709530000</t>
  </si>
  <si>
    <t>Hongos del género Cantharellus</t>
  </si>
  <si>
    <t>0709540000</t>
  </si>
  <si>
    <t>Shiitake (Lentinus edodes)</t>
  </si>
  <si>
    <t>0709550000</t>
  </si>
  <si>
    <t>Matsutake (Tricholoma matsutake, Tricholoma magnivelare, Tricholoma anatolicum, Tricholoma dulciolens, Tricholoma caligatum)</t>
  </si>
  <si>
    <t>0709560000</t>
  </si>
  <si>
    <t>Trufas (Tuber spp.)</t>
  </si>
  <si>
    <t>Hongos y trufas (los demás)</t>
  </si>
  <si>
    <t>Frutos de los géneros Capsicum o Pimenta</t>
  </si>
  <si>
    <t>Espinacas (incluida la de Nueva Zelanda) y armuelles</t>
  </si>
  <si>
    <t>Alcachofas (alcauciles)</t>
  </si>
  <si>
    <t>Hortalizas, plantas, raíces y tubérculos alimenticios, aceitunas</t>
  </si>
  <si>
    <t>Calabazas (zapallos) y calabacines (Cucurbita spp.)</t>
  </si>
  <si>
    <t>Hortalizas, plantas, raíces y tubérculos alimenticios (los demás)</t>
  </si>
  <si>
    <t>Papas (patatas)</t>
  </si>
  <si>
    <t>Hortalizas de vaina, estén o no desvainadas (los demás)</t>
  </si>
  <si>
    <t>Maíz dulce</t>
  </si>
  <si>
    <t>Hortalizas, aunque estén cocidas en agua o vapor, congeladas, espárragos</t>
  </si>
  <si>
    <t>Brócoli (Brassica oleracea italica)</t>
  </si>
  <si>
    <t>Hortalizas, aunque estén cocidas en agua o vapor, congeladas (los demás)</t>
  </si>
  <si>
    <t>Mezclas de hortalizas</t>
  </si>
  <si>
    <t>Aceitunas</t>
  </si>
  <si>
    <t>Pepinos y pepinillos</t>
  </si>
  <si>
    <t>Hortalizas conservadas provisionalmente, pero todavía impropias, en… (los demás, hortalizas; mezclas de hortalizas)</t>
  </si>
  <si>
    <t>Cebollas</t>
  </si>
  <si>
    <t>Orejas de Judas (Auricularia spp.)</t>
  </si>
  <si>
    <t>Hongos gelatinosos (Tremella spp.)</t>
  </si>
  <si>
    <t>0712340000</t>
  </si>
  <si>
    <t>Orejas de Judas (Auricularia spp.), hongos gelatinosos (Tremella… (los demás)</t>
  </si>
  <si>
    <t>Hortalizas secas, incluidas las cortadas en trozos o en rodajas o las…, ajos</t>
  </si>
  <si>
    <t>Maíz dulce para la siembra</t>
  </si>
  <si>
    <t>Hortalizas secas, incluidas las cortadas en trozos o en rodajas o las… (los demás)</t>
  </si>
  <si>
    <t>Arvejas (guisantes, chícharos) (Pisum sativum), para siembra</t>
  </si>
  <si>
    <t>Arvejas (guisantes, chícharos) (Pisum sativum), enteras</t>
  </si>
  <si>
    <t>Arvejas (guisantes, chícharos) (Pisum sativum), partidas</t>
  </si>
  <si>
    <t>Garbanzos, para siembra</t>
  </si>
  <si>
    <t>Garbanzos (los demás)</t>
  </si>
  <si>
    <t>Frijoles (fréjoles, porotos, alubias, judías) de las especies Vigna…, para siembra</t>
  </si>
  <si>
    <t>Frijoles (fréjoles, porotos, alubias, judías) Adzuki (Phaseolus o…, para siembra</t>
  </si>
  <si>
    <t>Frijoles (fréjoles, porotos, alubias, judías) Adzuki (Phaseolus o… (los demás)</t>
  </si>
  <si>
    <t>Frijoles (fréjoles, porotos, alubias, judías) comunes…, para siembra, negro</t>
  </si>
  <si>
    <t>Frijoles (fréjoles, porotos, alubias, judías) comunes…, para siembra (los demás)</t>
  </si>
  <si>
    <t>Frijoles (fréjoles, porotos, alubias, judías) comunes (Phaseolus…, canario</t>
  </si>
  <si>
    <t>Frijoles (fréjoles, porotos, alubias, judías) bambara (Vigna…, para siembra</t>
  </si>
  <si>
    <t>Frijoles (fréjoles, porotos, alubias, judías) bambara (Vigna… (los demás)</t>
  </si>
  <si>
    <t>Frijoles (fréjoles, porotos, alubias, judías) salvajes o caupí (Vigna…, para siembra</t>
  </si>
  <si>
    <t>Frijoles (fréjoles, porotos, alubias, judías) salvajes o caupí (Vigna… (los demás)</t>
  </si>
  <si>
    <t>Frijoles (fréjoles, porotos, alubias, judías) (Vigna spp., Phaseolus…, para siembra</t>
  </si>
  <si>
    <t>Pallares (Phaseolus lunatus)</t>
  </si>
  <si>
    <t>Frijoles (fréjoles, porotos, alubias, judías) (Vigna spp., Phaseolus… (los demás)</t>
  </si>
  <si>
    <t>Lentejas, para siembra</t>
  </si>
  <si>
    <t>Lentejas (los demás)</t>
  </si>
  <si>
    <t>Habas (Vicia faba var. major), haba caballar (Vicia faba var. equina)…, para siembra</t>
  </si>
  <si>
    <t>Habas (Vicia faba var. major), haba caballar (Vicia faba var. equina)… (los demás)</t>
  </si>
  <si>
    <t>Arvejas (guisantes, chícharos) de palo, gandú o gandul (Cajanus cajan), para siembra</t>
  </si>
  <si>
    <t>Arvejas (guisantes, chícharos) de palo, gandú o gandul (Cajanus cajan) (los demás)</t>
  </si>
  <si>
    <t>Hortalizas de vaina secas desvainadas, aunque estén mondadas o…, para siembra</t>
  </si>
  <si>
    <t>Hortalizas de vaina secas desvainadas, aunque estén mondadas o… (los demás)</t>
  </si>
  <si>
    <t>Camotes (batatas, boniatos), para siembra</t>
  </si>
  <si>
    <t>Camotes (batatas, boniatos) (los demás)</t>
  </si>
  <si>
    <t>Ñame (Dioscorea spp.)</t>
  </si>
  <si>
    <t>Taro (Colocasia spp.)</t>
  </si>
  <si>
    <t>Yautía (malanga) (Xanthosoma spp.)</t>
  </si>
  <si>
    <t>Raíces de yuca (mandioca), arrurruz o salep, aguaturmas (patacas)… (los demás)</t>
  </si>
  <si>
    <t>Cocos, secos, para siembra</t>
  </si>
  <si>
    <t>Cocos, con la cáscara interna (endocarpio)</t>
  </si>
  <si>
    <t>Cocos (los demás)</t>
  </si>
  <si>
    <t>Nueces del Brasil, con cáscara</t>
  </si>
  <si>
    <t>Nueces de marañón (merey, cajuil, anacardo, «cajú»), con cáscara</t>
  </si>
  <si>
    <t>Nueces de marañón (merey, cajuil, anacardo, «cajú»), sin cáscara</t>
  </si>
  <si>
    <t>Almendras, con cáscara</t>
  </si>
  <si>
    <t>Almendras, sin cáscara, para siembra</t>
  </si>
  <si>
    <t>Almendras, sin cáscara (los demás)</t>
  </si>
  <si>
    <t>Avellanas (Corylus spp.), con cáscara</t>
  </si>
  <si>
    <t>Avellanas (Corylus spp.), sin cáscara</t>
  </si>
  <si>
    <t>Nueces de nogal, con cáscara</t>
  </si>
  <si>
    <t>Nueces de nogal, sin cáscara</t>
  </si>
  <si>
    <t>Castañas (Castanea spp.), con cáscara</t>
  </si>
  <si>
    <t>Castañas (Castanea spp.), sin cáscara</t>
  </si>
  <si>
    <t>Pistachos, con cáscara</t>
  </si>
  <si>
    <t>Pistachos, sin cáscara</t>
  </si>
  <si>
    <t>Nueces de macadamia, con cáscara</t>
  </si>
  <si>
    <t>Nueces de macadamia, sin cáscara</t>
  </si>
  <si>
    <t>Nueces de cola (Cola spp.)</t>
  </si>
  <si>
    <t>Nueces de areca</t>
  </si>
  <si>
    <t>0802910000</t>
  </si>
  <si>
    <t>Piñones con cáscara</t>
  </si>
  <si>
    <t>0802920000</t>
  </si>
  <si>
    <t>Piñones sin cáscara</t>
  </si>
  <si>
    <t>0802990000</t>
  </si>
  <si>
    <t>Frutas y frutos comestibles (los demás)</t>
  </si>
  <si>
    <t>Bocadillo (manzanito, orito) (Musa acuminata)</t>
  </si>
  <si>
    <t>Dátiles</t>
  </si>
  <si>
    <t>Higos</t>
  </si>
  <si>
    <t>Guayabas, mangos y mangostanes, guayabas</t>
  </si>
  <si>
    <t>Mandarinas (incluidas las tangerinas y satsumas)</t>
  </si>
  <si>
    <t>Mandarinas (incluidas las tangerinas y satsumas), clementinas</t>
  </si>
  <si>
    <t>Tangelo (Citrus reticulata x Citrus paradisis)</t>
  </si>
  <si>
    <t>Toronjas y pomelos</t>
  </si>
  <si>
    <t>Limones (Citrus limon, Citrus limonum)</t>
  </si>
  <si>
    <t>Limón (limón sutil, limón común, limón criollo) (Citrus aurantifolia)</t>
  </si>
  <si>
    <t>Agrios (cítricos) frescos o secos (los demás)</t>
  </si>
  <si>
    <t>Uvas, frescas o secas, incluidas las pasas, frescas</t>
  </si>
  <si>
    <t>Uvas, frescas o secas, incluidas las pasas, secas, incluidas las pasas</t>
  </si>
  <si>
    <t>Melones y sandías, sandías</t>
  </si>
  <si>
    <t>Melones y sandías (los demás)</t>
  </si>
  <si>
    <t>Papayas</t>
  </si>
  <si>
    <t>Manzanas</t>
  </si>
  <si>
    <t>Peras</t>
  </si>
  <si>
    <t>Membrillos</t>
  </si>
  <si>
    <t>Damascos (albaricoques, chabacanos)</t>
  </si>
  <si>
    <t>Guindas (cerezas ácidas) (Prunus cerasus)</t>
  </si>
  <si>
    <t>Cerezas (los demás)</t>
  </si>
  <si>
    <t>Duraznos (melocotones), incluidos los griñones y nectarinas</t>
  </si>
  <si>
    <t>Ciruelas y endrinas</t>
  </si>
  <si>
    <t>Fresas (frutillas)</t>
  </si>
  <si>
    <t>Frambuesas, zarzamoras, moras y moras-frambuesa</t>
  </si>
  <si>
    <t>Grosellas negras, blancas o rojas y grosellas espinosas</t>
  </si>
  <si>
    <t>Kiwis</t>
  </si>
  <si>
    <t>Duriones</t>
  </si>
  <si>
    <t>Caquis (persimonios)</t>
  </si>
  <si>
    <t>Tomate de árbol (lima tomate, tamarillo) (Cyphomandra betacea)</t>
  </si>
  <si>
    <t>Pitahayas (Cereus spp.)</t>
  </si>
  <si>
    <t>Fresas (frutillas), con adición de azúcar u otro edulcorante</t>
  </si>
  <si>
    <t>Frambuesas, zarzamoras, moras, moras-frambuesa y grosellas</t>
  </si>
  <si>
    <t>Frutas y otros frutos, sin cocer o cocidos en agua o vapor…, con adición de azúcar u otro edulcorante</t>
  </si>
  <si>
    <t>Mango (Mangifera indica L.)</t>
  </si>
  <si>
    <t>Cerezas</t>
  </si>
  <si>
    <t>Frutas y otros frutos, conservados provisionalmente, pero todavía… (los demás)</t>
  </si>
  <si>
    <t>Ciruelas</t>
  </si>
  <si>
    <t>Pimienta, sin triturar ni pulverizar</t>
  </si>
  <si>
    <t>Paprika (Capsicum annuum, L.), en trozos o rodajas</t>
  </si>
  <si>
    <t>Canela (Cinnamomum zeylanicum Blume)</t>
  </si>
  <si>
    <t>Canela y flores de canelero, sin triturar ni pulverizar (los demás)</t>
  </si>
  <si>
    <t>Trituradas o pulverizadas</t>
  </si>
  <si>
    <t>Clavos (frutos enteros, clavillos y pedúnculos), sin triturar ni pulverizar</t>
  </si>
  <si>
    <t>Triturados o pulverizados</t>
  </si>
  <si>
    <t>Nuez moscada, sin triturar ni pulverizar</t>
  </si>
  <si>
    <t>Triturada o pulverizada</t>
  </si>
  <si>
    <t>Macis, sin triturar ni pulverizar</t>
  </si>
  <si>
    <t>Triturado o pulverizado</t>
  </si>
  <si>
    <t>Amomos y cardamomos, sin triturar ni pulverizar</t>
  </si>
  <si>
    <t>Semillas de cilantro, sin triturar ni pulverizar, para siembra</t>
  </si>
  <si>
    <t>Semillas de cilantro, sin triturar ni pulverizar (los demás)</t>
  </si>
  <si>
    <t>Semillas de comino, sin triturar ni pulverizar</t>
  </si>
  <si>
    <t>Semillas de anís, badiana, alcaravea o hinojo, sin triturar ni pulverizar</t>
  </si>
  <si>
    <t>Azafrán</t>
  </si>
  <si>
    <t>Mezclas previstas en la Nota 1 b) de este Capítulo</t>
  </si>
  <si>
    <t>Hojas de laurel</t>
  </si>
  <si>
    <t>Jengibre, azafrán, cúrcuma, tomillo, hojas de laurel, curri y demás… (los demás)</t>
  </si>
  <si>
    <t>Trigo duro, para siembra</t>
  </si>
  <si>
    <t>Trigo duro (los demás)</t>
  </si>
  <si>
    <t>Trigo y morcajo (tranquillón), para siembra, trigo</t>
  </si>
  <si>
    <t>Trigo y morcajo (tranquillón), para siembra (los demás)</t>
  </si>
  <si>
    <t>Trigo y morcajo (tranquillón) (los demás, trigos)</t>
  </si>
  <si>
    <t>Morcajo (tranquillón)</t>
  </si>
  <si>
    <t>Centeno, para siembra</t>
  </si>
  <si>
    <t>Centeno (los demás)</t>
  </si>
  <si>
    <t>Cebada, para siembra</t>
  </si>
  <si>
    <t>Cebada (los demás)</t>
  </si>
  <si>
    <t>Avena, para siembra</t>
  </si>
  <si>
    <t>Avena (los demás)</t>
  </si>
  <si>
    <t>Maíz, para siembra</t>
  </si>
  <si>
    <t>Maíz duro (Zea mays convar. Vulgaris, Zea mays var. Indurata y demás…, blanco</t>
  </si>
  <si>
    <t>Maíz duro (Zea mays convar. Vulgaris, Zea mays var. Indurata y demás… (los demás)</t>
  </si>
  <si>
    <t>Maíz reventón (Zea mays convar. microsperma o Zea mays var. everta)</t>
  </si>
  <si>
    <t>Blanco gigante (Zea mays amilacea cv. gigante)</t>
  </si>
  <si>
    <t>Maíz (los demás)</t>
  </si>
  <si>
    <t>Arroz con cáscara (arroz «paddy») (los demás)</t>
  </si>
  <si>
    <t>Arroz descascarillado (arroz cargo o arroz pardo)</t>
  </si>
  <si>
    <t>Arroz partido</t>
  </si>
  <si>
    <t>Sorgo de grano (granífero), para siembra</t>
  </si>
  <si>
    <t>Alforfón, para siembra</t>
  </si>
  <si>
    <t>Alforfón (los demás)</t>
  </si>
  <si>
    <t>Mijo, para siembra</t>
  </si>
  <si>
    <t>Mijo (los demás)</t>
  </si>
  <si>
    <t>Alpiste, para siembra</t>
  </si>
  <si>
    <t>Alpiste (los demás)</t>
  </si>
  <si>
    <t>Fonio (Digitaria spp.)</t>
  </si>
  <si>
    <t>Quinua (quinoa) (Chenopodium quinoa), para siembra</t>
  </si>
  <si>
    <t>Triticale</t>
  </si>
  <si>
    <t>Kiwicha (Amaranthus caudatus), para siembra</t>
  </si>
  <si>
    <t>Alforfón, mijo y alpiste, para siembra</t>
  </si>
  <si>
    <t>Alforfón, mijo y alpiste (los demás)</t>
  </si>
  <si>
    <t>Harina de centeno</t>
  </si>
  <si>
    <t>Grañones y sémola, de trigo</t>
  </si>
  <si>
    <t>Grañones y sémola, de maíz</t>
  </si>
  <si>
    <t>Grañones y sémola, de los demás cereales</t>
  </si>
  <si>
    <t>«Pellets»</t>
  </si>
  <si>
    <t>Granos aplastados o en copos, de avena</t>
  </si>
  <si>
    <t>Granos de cereales trabajados de otro modo (por ejemplo, de avena</t>
  </si>
  <si>
    <t>Granos de cereales trabajados de otro modo (por ejemplo, de maíz</t>
  </si>
  <si>
    <t>Granos de cereales trabajados de otro modo (por ejemplo, de los demás cereales, de cebada</t>
  </si>
  <si>
    <t>Granos de cereales trabajados de otro modo (por ejemplo, de los demás cereales (los demás)</t>
  </si>
  <si>
    <t>Germen de cereales entero, aplastado, en copos o molido</t>
  </si>
  <si>
    <t>Harina, sémola y polvo</t>
  </si>
  <si>
    <t>Copos, gránulos y «pellets»</t>
  </si>
  <si>
    <t>Malta (de cebada u otros cereales), incluso tostada, sin tostar</t>
  </si>
  <si>
    <t>Tostada</t>
  </si>
  <si>
    <t>Almidón de trigo</t>
  </si>
  <si>
    <t>Almidón de maíz</t>
  </si>
  <si>
    <t>Fécula de papa (patata)</t>
  </si>
  <si>
    <t>Almidón y fécula (los demás, almidones y féculas)</t>
  </si>
  <si>
    <t>Inulina</t>
  </si>
  <si>
    <t>Habas (porotos, frijoles, fréjoles) de soja (soya), incluso…, para siembra</t>
  </si>
  <si>
    <t>Maníes (cacahuetes, cacahuates) sin tostar ni cocer de otro modo…, para siembra</t>
  </si>
  <si>
    <t>Maníes (cacahuetes, cacahuates) sin tostar ni cocer de otro modo…, con cáscara</t>
  </si>
  <si>
    <t>Semillas de nabo (nabina) o de colza con bajo contenido de ácido…, para siembra</t>
  </si>
  <si>
    <t>Semillas de nabo (nabina) o de colza con bajo contenido de ácido… (los demás)</t>
  </si>
  <si>
    <t>Semillas de nabo (nabina) o de colza, incluso quebrantadas, para siembra</t>
  </si>
  <si>
    <t>Semillas de nabo (nabina) o de colza, incluso quebrantadas (los demás)</t>
  </si>
  <si>
    <t>Nueces y almendras de palma (palmiste), para siembra</t>
  </si>
  <si>
    <t>Nueces y almendras de palma (palmiste) (los demás)</t>
  </si>
  <si>
    <t>Semillas de algodón, para siembra</t>
  </si>
  <si>
    <t>Semillas de algodón (los demás)</t>
  </si>
  <si>
    <t>Semillas de ricino, para siembra</t>
  </si>
  <si>
    <t>Semillas de ricino (los demás)</t>
  </si>
  <si>
    <t>Semillas de sésamo (ajonjolí), para siembra</t>
  </si>
  <si>
    <t>Semillas de mostaza, para siembra</t>
  </si>
  <si>
    <t>Semillas de mostaza (los demás)</t>
  </si>
  <si>
    <t>Semillas de cártamo (Carthamus tinctorius), para siembra</t>
  </si>
  <si>
    <t>Semillas de cártamo (Carthamus tinctorius) (los demás)</t>
  </si>
  <si>
    <t>Semillas de melón, para siembra</t>
  </si>
  <si>
    <t>Semillas de melón (los demás)</t>
  </si>
  <si>
    <t>Semillas de amapola (adormidera)</t>
  </si>
  <si>
    <t>Semillas de Karité</t>
  </si>
  <si>
    <t>Semillas de remolacha azucarera</t>
  </si>
  <si>
    <t>Semillas forrajeras, de alfalfa</t>
  </si>
  <si>
    <t>Semillas forrajeras, de trébol (Trifolium spp.)</t>
  </si>
  <si>
    <t>Semillas forrajeras, de festucas</t>
  </si>
  <si>
    <t>Semillas forrajeras, de pasto azul de Kentucky (Poa pratensis L.)</t>
  </si>
  <si>
    <t>Semillas forrajeras, de ballico (Lolium multiflorum Lam., Lolium perenne L.)</t>
  </si>
  <si>
    <t>Semillas de hortalizas, de cebollas, puerros (poros), ajos y demás hortalizas del género Allium</t>
  </si>
  <si>
    <t>Semillas de hortalizas, de coles, coliflores, brócoli, nabos y demás hortalizas del género Brassica</t>
  </si>
  <si>
    <t>Semillas de hortalizas, de zanahoria (Daucus carota)</t>
  </si>
  <si>
    <t>Semillas de hortalizas, de lechuga (Lactuca sativa)</t>
  </si>
  <si>
    <t>Semillas de hortalizas, de tomates (Licopersicum spp.)</t>
  </si>
  <si>
    <t>Semillas de hortalizas (los demás)</t>
  </si>
  <si>
    <t>Semillas de tara (Caesalpinea spinosa)</t>
  </si>
  <si>
    <t>Semillas de achiote (onoto, bija)</t>
  </si>
  <si>
    <t>Conos de lúpulo sin triturar ni moler ni en «pellets»</t>
  </si>
  <si>
    <t>Conos de lúpulo triturados, molidos o en «pellets»; lupulino</t>
  </si>
  <si>
    <t>Raíces de ginseng, refrigerados o congelados</t>
  </si>
  <si>
    <t>Raíces de ginseng (los demás)</t>
  </si>
  <si>
    <t>Hojas de coca</t>
  </si>
  <si>
    <t>Paja de adormidera</t>
  </si>
  <si>
    <t>Efedra</t>
  </si>
  <si>
    <t>1211600010</t>
  </si>
  <si>
    <t>Corteza de cerezo africano (Prunus africana), refrigerados, congelados</t>
  </si>
  <si>
    <t>1211600090</t>
  </si>
  <si>
    <t>Corteza de cerezo africano (Prunus africana) (los demás)</t>
  </si>
  <si>
    <t>Hierbaluisa (Cymbopogon citratus)</t>
  </si>
  <si>
    <t>Piretro (pelitre)</t>
  </si>
  <si>
    <t>Aptas para la alimentación humana</t>
  </si>
  <si>
    <t>Algas (los demás)</t>
  </si>
  <si>
    <t>Remolacha azucarera</t>
  </si>
  <si>
    <t>Caña de azúcar</t>
  </si>
  <si>
    <t>Raíces de achicoria</t>
  </si>
  <si>
    <t>Algarrobas, algas, remolacha azucarera y caña de azúcar, frescas… (los demás)</t>
  </si>
  <si>
    <t>Nabos forrajeros, remolachas forrajeras, raíces forrajeras, heno… (los demás)</t>
  </si>
  <si>
    <t>Goma arábiga</t>
  </si>
  <si>
    <t>Goma tragacanto</t>
  </si>
  <si>
    <t>Goma laca</t>
  </si>
  <si>
    <t>Concentrado de paja de adormidera</t>
  </si>
  <si>
    <t>Opio (los demás)</t>
  </si>
  <si>
    <t>Jugos y extractos vegetales, de regaliz</t>
  </si>
  <si>
    <t>Jugos y extractos vegetales, de lúpulo</t>
  </si>
  <si>
    <t>Materias pécticas, pectinatos y pectatos</t>
  </si>
  <si>
    <t>Mucílagos y espesativos derivados de los vegetales, incluso…, agar-agar</t>
  </si>
  <si>
    <t>Mucílagos y espesativos de la algarroba o de sus semillas o de las semillas de guar, incluso modificados</t>
  </si>
  <si>
    <t>Bambú</t>
  </si>
  <si>
    <t>Roten (ratán)</t>
  </si>
  <si>
    <t>Materias vegetales de las especies utilizadas principalmente en… (los demás)</t>
  </si>
  <si>
    <t>Línteres de algodón</t>
  </si>
  <si>
    <t>Manteca de cerdo</t>
  </si>
  <si>
    <t>Grasas y aceites, animales, vegetales o de origen microbiano, y… (los demás, grasas de cerdo)</t>
  </si>
  <si>
    <t>Grasas y aceites, animales, vegetales o de origen microbiano, y… (los demás)</t>
  </si>
  <si>
    <t>Desnaturalizado, en rama</t>
  </si>
  <si>
    <t>Desnaturalizado (los demás)</t>
  </si>
  <si>
    <t>Sebo, en rama</t>
  </si>
  <si>
    <t>Sebo (los demás)</t>
  </si>
  <si>
    <t>Desnaturalizadas, en rama</t>
  </si>
  <si>
    <t>Desnaturalizadas (los demás)</t>
  </si>
  <si>
    <t>Grasa de animales de las especies bovina, ovina o caprina, en rama</t>
  </si>
  <si>
    <t>Grasa de animales de las especies bovina, ovina o caprina (los demás)</t>
  </si>
  <si>
    <t>Aceites de hígado de pescado y sus fracciones, de hígado de bacalao</t>
  </si>
  <si>
    <t>Aceites de hígado de pescado y sus fracciones, de los demás pescados, en bruto</t>
  </si>
  <si>
    <t>Aceites de hígado de pescado y sus fracciones, de los demás pescados (los demás)</t>
  </si>
  <si>
    <t>Grasas y aceites de pescado y sus fracciones (los demás)</t>
  </si>
  <si>
    <t>Grasas y aceites de mamíferos marinos y sus fracciones</t>
  </si>
  <si>
    <t>Grasa de lana en bruto (suarda o suintina)</t>
  </si>
  <si>
    <t>Grasa de animales de las especies bovina, ovina o caprina, lanolina</t>
  </si>
  <si>
    <t>Aceite de pie de buey</t>
  </si>
  <si>
    <t>Aceite de soja (soya) y sus fracciones, incluso refinado, pero sin…, con adición de sustancias desnaturalizantes en una proporción inferior o igual al</t>
  </si>
  <si>
    <t>Aceite en bruto</t>
  </si>
  <si>
    <t>Aceite de soja (soya) y sus fracciones, incluso refinado, pero sin… (los demás)</t>
  </si>
  <si>
    <t>Virgen</t>
  </si>
  <si>
    <t>1509200000</t>
  </si>
  <si>
    <t>Aceite de oliva virgen extra</t>
  </si>
  <si>
    <t>1509300000</t>
  </si>
  <si>
    <t>Aceite de oliva virgen</t>
  </si>
  <si>
    <t>1509400000</t>
  </si>
  <si>
    <t>Aceite de oliva y sus fracciones, incluso refinado, pero sin… (los demás, aceites de oliva vírgenes)</t>
  </si>
  <si>
    <t>Aceite de oliva y sus fracciones, incluso refinado, pero sin… (los demás)</t>
  </si>
  <si>
    <t>1510100000</t>
  </si>
  <si>
    <t>Aceite de orujo de oliva en bruto</t>
  </si>
  <si>
    <t>1510900000</t>
  </si>
  <si>
    <t>Pero sin modificar químicamente, y mezclas de estos aceites o… (los demás)</t>
  </si>
  <si>
    <t>Aceites en bruto, de cártamo</t>
  </si>
  <si>
    <t>Aceites de girasol o cártamo, y sus fracciones, de cártamo</t>
  </si>
  <si>
    <t>Aceite en bruto, incluso sin gosipol</t>
  </si>
  <si>
    <t>Aceite de algodón y sus fracciones (los demás)</t>
  </si>
  <si>
    <t>Aceite de coco (de copra) y sus fracciones (los demás)</t>
  </si>
  <si>
    <t>Aceites en bruto, de babasú</t>
  </si>
  <si>
    <t>Aceites de almendra de palma (palmiste) o de babasú, y sus fracciones, de babasú</t>
  </si>
  <si>
    <t>Aceites en bruto</t>
  </si>
  <si>
    <t>Aceites de nabo (de nabina) o de colza con bajo contenido de ácido… (los demás)</t>
  </si>
  <si>
    <t>Aceite de palma y sus fracciones, incluso refinado, pero sin… (los demás)</t>
  </si>
  <si>
    <t>Aceite de lino (de linaza) y sus fracciones (los demás)</t>
  </si>
  <si>
    <t>Aceite de maíz y sus fracciones (los demás)</t>
  </si>
  <si>
    <t>Aceite de ricino y sus fracciones</t>
  </si>
  <si>
    <t>1515600000</t>
  </si>
  <si>
    <t>Grasas y aceites, de origen microbiano, y sus fracciones</t>
  </si>
  <si>
    <t>Aceite de tung y sus fracciones</t>
  </si>
  <si>
    <t>1516300000</t>
  </si>
  <si>
    <t>Linoxina</t>
  </si>
  <si>
    <t>Origen microbiano, o de fracciones de diferentes grasas o aceites, de… (los demás)</t>
  </si>
  <si>
    <t>Cera de carnauba</t>
  </si>
  <si>
    <t>Cera de candelilla</t>
  </si>
  <si>
    <t>Ceras vegetales (los demás)</t>
  </si>
  <si>
    <t>Cera de abejas o de otros insectos</t>
  </si>
  <si>
    <t>Esperma de ballena o de otros cetáceos (espermaceti)</t>
  </si>
  <si>
    <t>1601000010</t>
  </si>
  <si>
    <t>Preparaciones de carne, pescado, crustáceos, de insectos</t>
  </si>
  <si>
    <t>1601000090</t>
  </si>
  <si>
    <t>Preparaciones de carne, pescado, crustáceos (los demás)</t>
  </si>
  <si>
    <t>Preparaciones homogeneizadas</t>
  </si>
  <si>
    <t>1602100010</t>
  </si>
  <si>
    <t>Preparaciones homogeneizadas, de insectos</t>
  </si>
  <si>
    <t>1602100090</t>
  </si>
  <si>
    <t>Preparaciones homogeneizadas (los demás)</t>
  </si>
  <si>
    <t>Preparaciones de carne, pescado, crustáceos, de hígado de cualquier animal</t>
  </si>
  <si>
    <t>Preparaciones de carne, pescado, crustáceos, de aves de la partida 01.05, de pavo (gallipavo), en trozos sazonados y congelados</t>
  </si>
  <si>
    <t>Preparaciones de carne, pescado, crustáceos, de aves de la partida 01.05, de pavo (gallipavo) (los demás)</t>
  </si>
  <si>
    <t>Preparaciones de carne, pescado, crustáceos, de aves de la partida 01.05, en trozos sazonados y congelados</t>
  </si>
  <si>
    <t>Preparaciones de carne, pescado, crustáceos, de aves de la partida 01.05 (los demás)</t>
  </si>
  <si>
    <t>Jamones y trozos de jamón</t>
  </si>
  <si>
    <t>Paletas y trozos de paleta</t>
  </si>
  <si>
    <t>Preparaciones de carne, pescado, crustáceos, de la especie porcina (los demás, incluidas las mezclas)</t>
  </si>
  <si>
    <t>Las demás preparaciones y conservas de carne, despojos, sangre o de in (los demás)</t>
  </si>
  <si>
    <t>1602900010</t>
  </si>
  <si>
    <t>1602900090</t>
  </si>
  <si>
    <t>Pescado entero o en trozos, salmones</t>
  </si>
  <si>
    <t>Pescado entero o en trozos, arenques</t>
  </si>
  <si>
    <t>Sardinas, sardinelas y espadines, en salsa de tomate, en envase tipo “oval”</t>
  </si>
  <si>
    <t>Sardinas, sardinelas y espadines, en salsa de tomate, en envase tipo “tall”</t>
  </si>
  <si>
    <t>Sardinas, sardinelas y espadines, en salsa de tomate (los demás)</t>
  </si>
  <si>
    <t>Sardinas, sardinelas y espadines, en aceite</t>
  </si>
  <si>
    <t>Sardinas, sardinelas y espadines, en agua y sal</t>
  </si>
  <si>
    <t>Sardinas, sardinelas y espadines (los demás)</t>
  </si>
  <si>
    <t>Atunes, listados y bonitos (Sarda spp.), atunes</t>
  </si>
  <si>
    <t>Listados y bonitos</t>
  </si>
  <si>
    <t>Pescado entero o en trozos, caballas</t>
  </si>
  <si>
    <t>Pescado entero o en trozos, anchoas</t>
  </si>
  <si>
    <t>Pescado entero o en trozos, anguilas</t>
  </si>
  <si>
    <t>Pescado entero o en trozos (los demás)</t>
  </si>
  <si>
    <t>Preparaciones y conservas de pescado (los demás, preparaciones y conservas de pescado)</t>
  </si>
  <si>
    <t>Caviar y sus sucedáneos, caviar</t>
  </si>
  <si>
    <t>Sucedáneos del caviar</t>
  </si>
  <si>
    <t>Camarones, langostinos y demás decápodos Natantia, presentados en envases no herméticos</t>
  </si>
  <si>
    <t>Bogavantes</t>
  </si>
  <si>
    <t>Crustáceos, moluscos y demás invertebrados acuáticos, preparados o… (los demás, crustáceos)</t>
  </si>
  <si>
    <t>Moluscos, ostras</t>
  </si>
  <si>
    <t>Vieiras, volandeiras y demás moluscos</t>
  </si>
  <si>
    <t>Moluscos, mejillones</t>
  </si>
  <si>
    <t>Jibias (sepias), globitos, calamares y potas</t>
  </si>
  <si>
    <t>Moluscos, pulpos</t>
  </si>
  <si>
    <t>Almejas, berberechos y arcas</t>
  </si>
  <si>
    <t>Abulones u orejas de mar</t>
  </si>
  <si>
    <t>Locos (chanque, caracoles de mar) (Concholepas concholepas) y machas</t>
  </si>
  <si>
    <t>Moluscos (los demás)</t>
  </si>
  <si>
    <t>Pepinos de mar</t>
  </si>
  <si>
    <t>Erizos de mar</t>
  </si>
  <si>
    <t>Crustáceos, moluscos y demás invertebrados acuáticos, preparados o…, medusas</t>
  </si>
  <si>
    <t>Crustáceos, moluscos y demás invertebrados acuáticos, preparados o… (los demás)</t>
  </si>
  <si>
    <t>Azúcar en bruto sin adición de aromatizante ni colorante, de remolacha</t>
  </si>
  <si>
    <t>Azúcar de caña o de remolacha y sacarosa químicamente pura, en estado…, con adición de aromatizante o colorante</t>
  </si>
  <si>
    <t>Sacarosa químicamente pura</t>
  </si>
  <si>
    <t>Lactosa y jarabe de lactosa, con un contenido de lactosa superior o igual al 99 % en peso, expresado en lactosa anhidra, calculado sobre producto seco</t>
  </si>
  <si>
    <t>Lactosa y jarabe de lactosa, lactosa</t>
  </si>
  <si>
    <t>Jarabe de lactosa</t>
  </si>
  <si>
    <t>Azúcar y jarabe de arce («maple»)</t>
  </si>
  <si>
    <t>Glucosa y jarabe de glucosa, sin fructosa o con un contenido de…, con un contenido de glucosa superior o igual al 99 % en peso, expresado en glucosa a</t>
  </si>
  <si>
    <t>Jarabe de glucosa</t>
  </si>
  <si>
    <t>Glucosa y jarabe de glucosa, sin fructosa o con un contenido de… (los demás)</t>
  </si>
  <si>
    <t>Glucosa y jarabe de glucosa, con un contenido de fructosa sobre…, glucosa</t>
  </si>
  <si>
    <t>Fructosa químicamente pura</t>
  </si>
  <si>
    <t>Azúcares y artículos de confitería (los demás, fructosas y jarabe de fructosa, con un contenido de fructosa sobre producto seco superior al 50 % en pe</t>
  </si>
  <si>
    <t>Azúcar y melaza caramelizados</t>
  </si>
  <si>
    <t>Azúcares con adición de aromatizante o colorante</t>
  </si>
  <si>
    <t>Azúcares y artículos de confitería (los demás)</t>
  </si>
  <si>
    <t>Melaza de caña</t>
  </si>
  <si>
    <t>Melaza procedente de la extracción o del refinado del azúcar (los demás)</t>
  </si>
  <si>
    <t>Recubiertos de azúcar</t>
  </si>
  <si>
    <t>Manteca de cacao, con un índice de acidez expresado en ácido oleico superior a 1,65 %</t>
  </si>
  <si>
    <t>Chocolate y demás preparaciones alimenticias que contengan cacao, sin adición de azúcar, ni otros edulcorantes</t>
  </si>
  <si>
    <t>Fórmulas lácteas para niños de hasta 12 meses de edad</t>
  </si>
  <si>
    <t>Preparaciones para la alimentación de lactantes o niños de corta…, a base de harina, sémola, almidón, fécula o extracto de malta</t>
  </si>
  <si>
    <t>Preparaciones para la alimentación de lactantes o niños de corta… (los demás)</t>
  </si>
  <si>
    <t>Mezclas y pastas para la preparación de productos de panadería, pastelería o galletería, de la partida 19.05</t>
  </si>
  <si>
    <t>Extracto de malta</t>
  </si>
  <si>
    <t>Manjar blanco o dulce de leche</t>
  </si>
  <si>
    <t>Pastas alimenticias sin cocer, rellenar ni preparar de otra forma, que contengan huevo</t>
  </si>
  <si>
    <t>Pastas alimenticias rellenas, incluso cocidas o preparadas de otra forma</t>
  </si>
  <si>
    <t>Pastas alimenticias, incluso cocidas o rellenas (de carne u otras… (los demás, pastas alimenticias)</t>
  </si>
  <si>
    <t>Cuscús</t>
  </si>
  <si>
    <t>Trigo bulgur</t>
  </si>
  <si>
    <t>Pan crujiente llamado «Knäckebrot»</t>
  </si>
  <si>
    <t>Pan de especias</t>
  </si>
  <si>
    <t>Pan tostado y productos similares tostados</t>
  </si>
  <si>
    <t>Hortalizas, frutas u otros frutos y demás partes comestibles de…, aceitunas</t>
  </si>
  <si>
    <t>Tomates enteros o en trozos</t>
  </si>
  <si>
    <t>Tomates preparados o conservados (los demás)</t>
  </si>
  <si>
    <t>Hongos y trufas, preparados o conservados (los demás)</t>
  </si>
  <si>
    <t>Preparaciones de hortalizas, frutas u otros frutos o demás partes de… (los demás, hortalizas y las mezclas de hortalizas)</t>
  </si>
  <si>
    <t>Hortalizas homogeneizadas</t>
  </si>
  <si>
    <t>Frijoles (fréjoles, porotos, alubias, judías) (Vigna spp., Phaseolus…, desvainados</t>
  </si>
  <si>
    <t>Brotes de bambú</t>
  </si>
  <si>
    <t>2005993110</t>
  </si>
  <si>
    <t>2005993120</t>
  </si>
  <si>
    <t>Pimiento morrón</t>
  </si>
  <si>
    <t>2005993900</t>
  </si>
  <si>
    <t>Frutos de los géneros Capsicum o Pimienta (los demás)</t>
  </si>
  <si>
    <t>Preparaciones de hortalizas, frutas u otros frutos o demás partes de… (los demás)</t>
  </si>
  <si>
    <t>Maníes (cacahuetes, cacahuates), manteca</t>
  </si>
  <si>
    <t>Maníes (cacahuetes, cacahuates) (los demás)</t>
  </si>
  <si>
    <t>Nueces de marañón (merey, cajuil, anacardo, «cajú»)</t>
  </si>
  <si>
    <t>Frutos de cáscara, maníes (cacahuetes, cacahuates) y demás semillas…, pistachos</t>
  </si>
  <si>
    <t>Piñas (ananás) (los demás)</t>
  </si>
  <si>
    <t>Agrios (cítricos)</t>
  </si>
  <si>
    <t>Cerezas, en agua con adición de azúcar u otro edulcorante, incluido el jarabe</t>
  </si>
  <si>
    <t>Duraznos (melocotones), incluidos los griñones y nectarinas, en agua con adición de azúcar u otro edulcorante, incluido el jarabe</t>
  </si>
  <si>
    <t>Duraznos (melocotones), incluidos los griñones y nectarinas (los demás)</t>
  </si>
  <si>
    <t>Arándanos agrios, trepadores o palustres (Vaccinium macrocarpon, Vaccinium oxycoccos); arándanos rojos o encarnados (Vaccinium vitis-idaea)</t>
  </si>
  <si>
    <t>Frutas u otros frutos y demás partes comestibles de plantas…, mezclas</t>
  </si>
  <si>
    <t>Frutas u otros frutos y demás partes comestibles de plantas…, papayas</t>
  </si>
  <si>
    <t>Frutas u otros frutos y demás partes comestibles de plantas…, mangos</t>
  </si>
  <si>
    <t>Jugo de naranja, congelado</t>
  </si>
  <si>
    <t>Jugo de naranja, sin congelar, de valor Brix inferior o igual a 20</t>
  </si>
  <si>
    <t>Jugo de naranja (los demás)</t>
  </si>
  <si>
    <t>Jugo de toronja, de valor Brix inferior o igual a 20</t>
  </si>
  <si>
    <t>Jugo de toronja (los demás)</t>
  </si>
  <si>
    <t>Jugo de cualquier otro agrio (cítrico), de valor Brix inferior o igual a 20</t>
  </si>
  <si>
    <t>Jugo de cualquier otro agrio (cítrico), de limón de la subpartida 0805.50.21</t>
  </si>
  <si>
    <t>Jugo de cualquier otro agrio (cítrico) (los demás)</t>
  </si>
  <si>
    <t>Jugo de piña (ananá), de valor Brix inferior o igual a 20</t>
  </si>
  <si>
    <t>Jugo de piña (ananá) (los demás)</t>
  </si>
  <si>
    <t>Jugo de tomate</t>
  </si>
  <si>
    <t>Jugo de uva (incluido el mosto), de valor Brix inferior o igual a 30</t>
  </si>
  <si>
    <t>Jugo de uva (incluido el mosto) (los demás)</t>
  </si>
  <si>
    <t>Jugo de manzana, de valor Brix inferior o igual a 20</t>
  </si>
  <si>
    <t>Jugo de manzana (los demás)</t>
  </si>
  <si>
    <t>Jugo de arándanos agrios, trepadores o palustres (Vaccinium macrocarpon, Vaccinium oxycoccos); jugo de arándanos rojos o encarnados (Vaccinium vitis-i</t>
  </si>
  <si>
    <t>Jugo de cualquier otra fruta o fruto u hortaliza, de papaya</t>
  </si>
  <si>
    <t>Jugo de cualquier otra fruta o fruto u hortaliza, de maracuyá (parchita) (Passiflora edulis)</t>
  </si>
  <si>
    <t>Jugo de cualquier otra fruta o fruto u hortaliza, de guanábana (Annona muricata)</t>
  </si>
  <si>
    <t>Jugo de cualquier otra fruta o fruto u hortaliza, de mango</t>
  </si>
  <si>
    <t>Jugo de cualquier otra fruta o fruto u hortaliza, de hortaliza</t>
  </si>
  <si>
    <t>Mezclas de jugos</t>
  </si>
  <si>
    <t>Extractos, esencias y concentrados</t>
  </si>
  <si>
    <t>Preparaciones a base de extractos, esencias o concentrados o a base de café</t>
  </si>
  <si>
    <t xml:space="preserve">Extractos, esencias y concentrados de té o de yerba mate y preparaciones a base de estos extractos, esencias o concentrados o a base de té o de yerba </t>
  </si>
  <si>
    <t>Achicoria tostada y demás sucedáneos del café tostados y sus extractos, esencias y concentrados</t>
  </si>
  <si>
    <t>Levadura de cultivo</t>
  </si>
  <si>
    <t>Levaduras vivas (los demás)</t>
  </si>
  <si>
    <t>Levaduras muertas; los demás microorganismos monocelulares muertos</t>
  </si>
  <si>
    <t>Polvos preparados para esponjar masas</t>
  </si>
  <si>
    <t>Salsa de soja (soya)</t>
  </si>
  <si>
    <t>Harina de mostaza</t>
  </si>
  <si>
    <t>Preparaciones para sopas, potajes o caldos</t>
  </si>
  <si>
    <t>Preparaciones alimenticias compuestas homogeneizadas</t>
  </si>
  <si>
    <t>Helados que no contengan leche, ni productos lácteos</t>
  </si>
  <si>
    <t>Preparaciones para sopas, potajes o caldos (los demás)</t>
  </si>
  <si>
    <t>Concentrados de proteínas, de soya, con un contenido de proteína en base seca entre 65 % y 75 %</t>
  </si>
  <si>
    <t>Concentrados de proteínas (los demás)</t>
  </si>
  <si>
    <t>Preparaciones compuestas cuyo grado alcohólico volumétrico sea… (los demás)</t>
  </si>
  <si>
    <t>Hidrolizados de proteínas</t>
  </si>
  <si>
    <t>Autolizados de levadura</t>
  </si>
  <si>
    <t>Mejoradores de panificación</t>
  </si>
  <si>
    <t>Preparaciones edulcorantes, a base de estevia</t>
  </si>
  <si>
    <t>Preparaciones edulcorantes (los demás)</t>
  </si>
  <si>
    <t>Complementos y suplementos alimenticios, que contengan como ingrediente principal una o más vitaminas con uno o más minerales</t>
  </si>
  <si>
    <t>Complementos y suplementos alimenticios, que contengan como ingrediente principal una o más vitaminas</t>
  </si>
  <si>
    <t>Complementos y suplementos alimenticios (los demás)</t>
  </si>
  <si>
    <t>Fórmulas no lácteas para niños de hasta 12 meses de edad</t>
  </si>
  <si>
    <t>Natural, incluso gaseada</t>
  </si>
  <si>
    <t>Artificial, incluso gaseada</t>
  </si>
  <si>
    <t>Agua gaseada</t>
  </si>
  <si>
    <t>Agua sin gasear</t>
  </si>
  <si>
    <t>Agua, incluidas el agua mineral natural o artificial y la gaseada…, hielo</t>
  </si>
  <si>
    <t>Agua, incluidas el agua mineral natural o artificial y la gaseada… (los demás)</t>
  </si>
  <si>
    <t>Agua, incluidas el agua mineral y la gaseada, con adición de azúcar u otro edulcorante o aromatizada</t>
  </si>
  <si>
    <t>Cerveza sin alcohol</t>
  </si>
  <si>
    <t>Vino espumoso</t>
  </si>
  <si>
    <t>Mosto de uva en el que la fermentación se ha impedido o cortado añadiendo alcohol</t>
  </si>
  <si>
    <t>Vino de uvas frescas, incluso encabezado, en recipientes con capacidad superior a 2 l pero inferior o igual a… (los demás, vinos)</t>
  </si>
  <si>
    <t>Vino de uvas frescas, incluso encabezado (los demás, vinos)</t>
  </si>
  <si>
    <t>Vino de uvas frescas, incluso encabezado (los demás, mostos de uva 0)</t>
  </si>
  <si>
    <t>Vermut y demás vinos de uvas frescas preparados con plantas o…, en recipientes con capacidad inferior o igual a 2 l</t>
  </si>
  <si>
    <t>Vermut y demás vinos de uvas frescas preparados con plantas o… (los demás)</t>
  </si>
  <si>
    <t>Alcohol carburante</t>
  </si>
  <si>
    <t>Alcohol etílico y aguardiente desnaturalizados, de cualquier… (los demás)</t>
  </si>
  <si>
    <t>Aguardiente de vino o de orujo de uvas, de vino (Por ejemplo, pisco</t>
  </si>
  <si>
    <t>Aguardiente de vino o de orujo de uvas, de vino (Por ejemplo (los demás)</t>
  </si>
  <si>
    <t>Aguardiente de vino o de orujo de uvas, de orujo de uvas («grappa» y similares)</t>
  </si>
  <si>
    <t>Whisky</t>
  </si>
  <si>
    <t>Ron y demás aguardientes procedentes de la destilación, previa fermentación, de productos de la caña de azúcar</t>
  </si>
  <si>
    <t>Gin y ginebra</t>
  </si>
  <si>
    <t>Vodka</t>
  </si>
  <si>
    <t>Licores, de anís</t>
  </si>
  <si>
    <t>Alcohol etílico sin desnaturalizar con grado alcohólico volumétrico inferior al 80 % vol</t>
  </si>
  <si>
    <t>Aguardiente de agaves (tequila y similares)</t>
  </si>
  <si>
    <t>Alcohol etílico sin desnaturalizar con grado alcohólico volumétrico…, de anís</t>
  </si>
  <si>
    <t>Alcohol etílico sin desnaturalizar con grado alcohólico volumétrico… (los demás)</t>
  </si>
  <si>
    <t>Harina, polvo y «pellets», de carne o despojos, chicharrones</t>
  </si>
  <si>
    <t>Harina, polvo y «pellets», de carne o despojos (los demás)</t>
  </si>
  <si>
    <t>Harina, polvo y «pellets», de pescado o de crustáceos…, de pescado, con un contenido de grasa superior a 2 % en peso</t>
  </si>
  <si>
    <t>Harina, polvo y «pellets», de pescado o de crustáceos…, de pescado, con un contenido de grasa inferior o igual a 2 % en peso</t>
  </si>
  <si>
    <t>Harina, polvo y «pellets», de pescado o de crustáceos, moluscos o… (los demás)</t>
  </si>
  <si>
    <t>Salvados, moyuelos y demás residuos del cernido, de la molienda o de…, de maíz</t>
  </si>
  <si>
    <t>Salvados, moyuelos y demás residuos del cernido, de la molienda o de…, de trigo</t>
  </si>
  <si>
    <t>Salvados, moyuelos y demás residuos del cernido, de la…, de los demás cereales, de arroz</t>
  </si>
  <si>
    <t>Salvados, moyuelos y demás residuos del cernido, de la…, de los demás cereales (los demás)</t>
  </si>
  <si>
    <t>Salvados, moyuelos y demás residuos del cernido, de la molienda o de…, de leguminosas</t>
  </si>
  <si>
    <t>Residuos de la industria del almidón y residuos similares</t>
  </si>
  <si>
    <t>Heces y desperdicios de cervecería o de destilería</t>
  </si>
  <si>
    <t>Tortas y demás residuos sólidos de la extracción de grasas o aceites…, de semillas de algodón</t>
  </si>
  <si>
    <t>Tortas y demás residuos sólidos de la extracción de grasas o aceites…, de semillas de lino</t>
  </si>
  <si>
    <t>Tortas y demás residuos sólidos de la extracción de…, de semillas de nabo (nabina) o de colza, con bajo contenido de ácido erúcico</t>
  </si>
  <si>
    <t>Tortas y demás residuos sólidos de la extracción de…, de semillas de nabo (nabina) o de colza (los demás)</t>
  </si>
  <si>
    <t>Tortas y demás residuos sólidos de la extracción de grasas o aceites…, de coco o de copra</t>
  </si>
  <si>
    <t>Tortas y demás residuos sólidos de la extracción de grasas o aceites…, de nuez o de almendra de palma (palmiste)</t>
  </si>
  <si>
    <t>Tortas y demás residuos sólidos de la extracción de grasas o aceites… (los demás)</t>
  </si>
  <si>
    <t>Harina de flores de marigold</t>
  </si>
  <si>
    <t>Presentados en envases herméticos</t>
  </si>
  <si>
    <t>2309102000</t>
  </si>
  <si>
    <t>Alimentos para perros o gatos, acondicionados para la venta al por…, presentados en envases herméticos, con un contenido de humedad superior o igual a</t>
  </si>
  <si>
    <t>Preparaciones forrajeras con adición de melazas o de azúcar</t>
  </si>
  <si>
    <t>Preparaciones de los tipos utilizados para la alimentación de los…, premezclas</t>
  </si>
  <si>
    <t>Sustitutos de la leche para alimentación de terneros</t>
  </si>
  <si>
    <t>2404110000</t>
  </si>
  <si>
    <t>Productos destinados para la inhalación sin combustión, que contengan tabaco o tabaco reconstituido</t>
  </si>
  <si>
    <t>2404120000</t>
  </si>
  <si>
    <t>Productos destinados para la inhalación sin combustión (los demás, que contengan nicotina)</t>
  </si>
  <si>
    <t>2404190010</t>
  </si>
  <si>
    <t>Productos destinados para la inhalación sin combustión, que contengan sucedáneos del tabaco</t>
  </si>
  <si>
    <t>2404190090</t>
  </si>
  <si>
    <t>Productos destinados para la inhalación sin combustión (los demás)</t>
  </si>
  <si>
    <t>2404910000</t>
  </si>
  <si>
    <t>Productos que contengan tabaco, tabaco reconstituido, nicotina o…, para administrarse por vía oral</t>
  </si>
  <si>
    <t>2404920000</t>
  </si>
  <si>
    <t>Productos que contengan tabaco, tabaco reconstituido, nicotina o…, para administrarse por vía transdérmica</t>
  </si>
  <si>
    <t>2404990000</t>
  </si>
  <si>
    <t>Productos que contengan tabaco, tabaco reconstituido, nicotina o… (los demás)</t>
  </si>
  <si>
    <t>Cloruro de sodio, con pureza superior o igual al 99,5 %, incluso en disolución acuosa</t>
  </si>
  <si>
    <t>Sal; azufre; tierras y piedras; yesos, cales y cementos, desnaturalizada</t>
  </si>
  <si>
    <t>Sal; azufre; tierras y piedras; yesos, cales y cementos, para alimento de ganado</t>
  </si>
  <si>
    <t>Agua de mar</t>
  </si>
  <si>
    <t>Grafito natural, en polvo o en escamas</t>
  </si>
  <si>
    <t>Grafito natural (los demás)</t>
  </si>
  <si>
    <t>Arenas silíceas y arenas cuarzosas</t>
  </si>
  <si>
    <t>Arenas naturales de cualquier clase, incluso coloreadas (los demás)</t>
  </si>
  <si>
    <t>Cuarzo</t>
  </si>
  <si>
    <t>Cuarcita</t>
  </si>
  <si>
    <t>Caolín, incluso calcinado</t>
  </si>
  <si>
    <t>Cuarzo (excepto las arenas naturales) (los demás)</t>
  </si>
  <si>
    <t>Bentonita</t>
  </si>
  <si>
    <t>Arcillas refractarias</t>
  </si>
  <si>
    <t>Sal; azufre; tierras y piedras; yesos, cales y cementos (los demás, arcillas)</t>
  </si>
  <si>
    <t>Andalucita, cianita y silimanita</t>
  </si>
  <si>
    <t>Mullita</t>
  </si>
  <si>
    <t>Tierras de chamota o de dinas</t>
  </si>
  <si>
    <t>Fosfatos de calcio naturales, fosfatos aluminocálcicos naturales y…, sin moler</t>
  </si>
  <si>
    <t>Molidos</t>
  </si>
  <si>
    <t>Sulfato de bario natural (baritina)</t>
  </si>
  <si>
    <t>Carbonato de bario natural (witherita)</t>
  </si>
  <si>
    <t>Piedra pómez, en bruto o en trozos irregulares, incluida la quebrantada (grava de piedra pómez o «bimskies»)</t>
  </si>
  <si>
    <t>Esmeril, corindón natural, granate natural y demás abrasivos naturales</t>
  </si>
  <si>
    <t>Mármol y travertinos, en bruto o desbastados</t>
  </si>
  <si>
    <t>Mármol y travertinos, simplemente troceados, por aserrado o de otro modo, en bloques o en placas cuadradas o rectangulares</t>
  </si>
  <si>
    <t>«Ecaussines» y demás piedras calizas de talla o de construcción; alabastro</t>
  </si>
  <si>
    <t>Granito, en bruto o desbastado</t>
  </si>
  <si>
    <t>Granito, simplemente troceado, por aserrado o de otro modo, en bloques o en placas cuadradas o rectangulares</t>
  </si>
  <si>
    <t>Arenisca</t>
  </si>
  <si>
    <t>Granito, pórfido, basalto, arenisca y demás piedras de talla o de… (los demás, piedras de talla o de construcción)</t>
  </si>
  <si>
    <t>Cantos, grava, piedras machacadas, de los tipos generalmente utilizados para hacer hormigón, o para firmes de carreteras, vías férreas u otros balasto</t>
  </si>
  <si>
    <t>Macadán de escorias o de desechos industriales similares, incluso con materiales citados en la subpartida 2517.10</t>
  </si>
  <si>
    <t>Macadán alquitranado</t>
  </si>
  <si>
    <t>Gránulos, tasquiles (fragmentos) y polvo de piedras de las partidas…, de mármol</t>
  </si>
  <si>
    <t>Gránulos, tasquiles (fragmentos) y polvo de piedras de las partidas… (los demás)</t>
  </si>
  <si>
    <t>Dolomita sin calcinar ni sinterizar, llamada «cruda»</t>
  </si>
  <si>
    <t>Dolomita calcinada o sinterizada</t>
  </si>
  <si>
    <t>Aglomerado de dolomita</t>
  </si>
  <si>
    <t>Carbonato de magnesio natural (magnesita)</t>
  </si>
  <si>
    <t>Magnesia electrofundida</t>
  </si>
  <si>
    <t>Óxido de magnesio, incluso químicamente puro</t>
  </si>
  <si>
    <t>Magnesia calcinada a muerte (sinterizada), incluso con pequeñas cantidades de otros óxidos añadidos antes de la sinterización</t>
  </si>
  <si>
    <t>Yeso fraguable</t>
  </si>
  <si>
    <t>Cal viva</t>
  </si>
  <si>
    <t>Cal apagada</t>
  </si>
  <si>
    <t>Cal hidráulica</t>
  </si>
  <si>
    <t>Cementos sin pulverizar o clínker</t>
  </si>
  <si>
    <t>Cemento blanco, incluso coloreado artificialmente</t>
  </si>
  <si>
    <t>Cementos aluminosos</t>
  </si>
  <si>
    <t>Cementos hidráulicos (comprendidos los cementos sin pulverizar o… (los demás, cementos hidráulicos)</t>
  </si>
  <si>
    <t>Crocidolita, fibras</t>
  </si>
  <si>
    <t>Crocidolita (los demás)</t>
  </si>
  <si>
    <t>Amianto (asbesto) (los demás)</t>
  </si>
  <si>
    <t>Mica en bruto o exfoliada en hojas o en laminillas irregulares («splittings»)</t>
  </si>
  <si>
    <t>Mica en polvo</t>
  </si>
  <si>
    <t>Desperdicios de mica</t>
  </si>
  <si>
    <t>Esteatita natural, incluso desbastada o simplemente troceada, por…, sin triturar ni pulverizar</t>
  </si>
  <si>
    <t>Esteatita natural, incluso desbastada o simplemente troceada, por… (los demás)</t>
  </si>
  <si>
    <t>Feldespato</t>
  </si>
  <si>
    <t>Espato flúor, con un contenido de fluoruro de calcio inferior o igual al 97 % en peso</t>
  </si>
  <si>
    <t>Espato flúor, con un contenido de fluoruro de calcio superior al 97 % en peso</t>
  </si>
  <si>
    <t>Leucita; nefelina y nefelina sienita</t>
  </si>
  <si>
    <t>Vermiculita, perlita y cloritas, sin dilatar</t>
  </si>
  <si>
    <t>Kieserita, epsomita (sulfatos de magnesio naturales)</t>
  </si>
  <si>
    <t>Criolita natural, quiolita natural</t>
  </si>
  <si>
    <t>Óxidos de hierro micáceos naturales</t>
  </si>
  <si>
    <t>Materias minerales no expresadas ni comprendidas en otra parte (los demás)</t>
  </si>
  <si>
    <t>Minerales de hierro y sus concentrados, sin aglomerar</t>
  </si>
  <si>
    <t>Minerales de hierro y sus concentrados, aglomerados</t>
  </si>
  <si>
    <t>Piritas de hierro tostadas (cenizas de piritas)</t>
  </si>
  <si>
    <t>Concentrado de cinc de baja ley</t>
  </si>
  <si>
    <t>Minerales de hierro y sus concentrados, incluidas las piritas de… (los demás)</t>
  </si>
  <si>
    <t>Minerales de uranio y sus concentrados</t>
  </si>
  <si>
    <t>Minerales de torio y sus concentrados</t>
  </si>
  <si>
    <t>Minerales de molibdeno y sus concentrados, tostados</t>
  </si>
  <si>
    <t>Minerales de molibdeno y sus concentrados (los demás)</t>
  </si>
  <si>
    <t>Minerales de circonio y sus concentrados</t>
  </si>
  <si>
    <t>Minerales de niobio, tantalio, vanadio o circonio, y sus concentrados (los demás)</t>
  </si>
  <si>
    <t>Minerales de plata y sus concentrados</t>
  </si>
  <si>
    <t>Minerales de los metales preciosos y sus concentrados (los demás)</t>
  </si>
  <si>
    <t>Minerales de antimonio y sus concentrados</t>
  </si>
  <si>
    <t>Minerales metalíferos, escorias y cenizas (los demás)</t>
  </si>
  <si>
    <t>Matas de galvanización</t>
  </si>
  <si>
    <t>Escorias, cenizas y residuos, que contengan principalmente cinc (los demás)</t>
  </si>
  <si>
    <t>Lodos de gasolina con plomo y lodos de compuestos antidetonantes con plomo</t>
  </si>
  <si>
    <t>Escorias, cenizas y residuos, que contengan principalmente plomo (los demás)</t>
  </si>
  <si>
    <t>Escorias, cenizas y residuos, que contengan principalmente cobre</t>
  </si>
  <si>
    <t>Escorias, cenizas y residuos, que contengan principalmente aluminio</t>
  </si>
  <si>
    <t>Escorias, cenizas y residuos, que contengan arsénico, mercurio, talio o sus mezclas, de los tipos utilizados para la extracción de arsénico o de estos</t>
  </si>
  <si>
    <t>Escorias, cenizas y residuos, que contengan antimonio, berilio, cadmio, cromo, o sus mezclas</t>
  </si>
  <si>
    <t>Escorias, cenizas y residuos (los demás)</t>
  </si>
  <si>
    <t>Cenizas y residuos procedentes de la incineración de desechos municipales</t>
  </si>
  <si>
    <t>Hulla bituminosa</t>
  </si>
  <si>
    <t>Hullas, incluso pulverizadas, pero sin aglomerar (los demás, hullas)</t>
  </si>
  <si>
    <t>Briquetas, ovoides y combustibles sólidos similares, obtenidos de la hulla</t>
  </si>
  <si>
    <t>Lignitos, incluso pulverizados, pero sin aglomerar</t>
  </si>
  <si>
    <t>Lignitos aglomerados</t>
  </si>
  <si>
    <t>Coques y semicoques de hulla</t>
  </si>
  <si>
    <t>Coques y semicoques de lignito o turba</t>
  </si>
  <si>
    <t>Carbón de retorta</t>
  </si>
  <si>
    <t>Benzol (benceno)</t>
  </si>
  <si>
    <t>Toluol (tolueno)</t>
  </si>
  <si>
    <t>Xilol (xilenos)</t>
  </si>
  <si>
    <t>Naftaleno</t>
  </si>
  <si>
    <t>Nafta disolvente</t>
  </si>
  <si>
    <t>Aceites y demás productos de la destilación de los alquitranes de… (los demás)</t>
  </si>
  <si>
    <t>Aceites de creosota</t>
  </si>
  <si>
    <t>Aceites y demás productos de la destilación de los alquitranes de…, antraceno</t>
  </si>
  <si>
    <t>Brea</t>
  </si>
  <si>
    <t>Coque de brea</t>
  </si>
  <si>
    <t>Gasolinas sin tetraetilo de plomo, para motores de aviación</t>
  </si>
  <si>
    <t>Gasolinas sin tetraetilo de plomo, para motores de vehículos automóviles, con un Número de Octano Research (RON) inferior a 84</t>
  </si>
  <si>
    <t>Gasolinas sin tetraetilo de plomo, para motores de vehículos automóviles, con un Número de Octano Research (RON) superior o igual a 84, pero…, con 7,8</t>
  </si>
  <si>
    <t>Gasolinas sin tetraetilo de plomo, para motores de vehículos automóviles, con un Número de Octano Research (RON) superior o igual a 84, pero… (los dem</t>
  </si>
  <si>
    <t>Gasolinas sin tetraetilo de plomo, para motores de vehículos automóviles, con un Número de Octano Research (RON) superior o igual a 90, pero…, con 7,8</t>
  </si>
  <si>
    <t>Gasolinas sin tetraetilo de plomo, para motores de vehículos automóviles, con un Número de Octano Research (RON) superior o igual a 90, pero… (los dem</t>
  </si>
  <si>
    <t>Gasolinas sin tetraetilo de plomo, para motores de vehículos automóviles, con un Número de Octano Research (RON) superior o igual a 95, pero…, con 7,8</t>
  </si>
  <si>
    <t>Gasolinas sin tetraetilo de plomo, para motores de vehículos automóviles, con un Número de Octano Research (RON) superior o igual a 95, pero… (los dem</t>
  </si>
  <si>
    <t>Gasolinas sin tetraetilo de plomo, para motores de vehículos automóviles, con un Número de Octano Research (RON) superior o igual a 97, con 7,8 % en v</t>
  </si>
  <si>
    <t>Gasolinas con tetraetilo de plomo</t>
  </si>
  <si>
    <t>Espíritu de petróleo («White Spirit»)</t>
  </si>
  <si>
    <t>Carburorreactores tipo gasolina, para reactores y turbinas</t>
  </si>
  <si>
    <t>Aceites livianos (ligeros) y preparaciones, tetrapropileno</t>
  </si>
  <si>
    <t>Mezclas de n-parafinas</t>
  </si>
  <si>
    <t>Mezclas de n-olefinas</t>
  </si>
  <si>
    <t>Aceites livianos (ligeros) y preparaciones (los demás)</t>
  </si>
  <si>
    <t>Aceites medios y preparaciones, queroseno</t>
  </si>
  <si>
    <t>Carburorreactores tipo queroseno para reactores y turbinas (los demás)</t>
  </si>
  <si>
    <t>Aceites medios y preparaciones (los demás)</t>
  </si>
  <si>
    <t>Diesel 2, con un contenido de azufre menor o igual a 50 ppm</t>
  </si>
  <si>
    <t>Gasoils (gasóleo), con un contenido de azufre menor o igual a 50 ppm</t>
  </si>
  <si>
    <t>Gasoils (gasóleo) (los demás)</t>
  </si>
  <si>
    <t>Fueloils (fuel) (los demás)</t>
  </si>
  <si>
    <t>Aceites pesados (los demás)</t>
  </si>
  <si>
    <t>Aceites para aislamiento eléctrico</t>
  </si>
  <si>
    <t>Aceites para transmisiones hidráulicas</t>
  </si>
  <si>
    <t>Aceites blancos (de vaselina o de parafina)</t>
  </si>
  <si>
    <t>Preparaciones a base de aceites pesados (los demás)</t>
  </si>
  <si>
    <t>Mezclas de Diesel 2 con Biodiesel B100 (los demás)</t>
  </si>
  <si>
    <t>Desechos de aceites, que contengan bifenilos policlorados (PCB), terfenilos policlorados (PCT) o bifenilos polibromados (PBB)</t>
  </si>
  <si>
    <t>Desechos de aceites (los demás)</t>
  </si>
  <si>
    <t>Gas natural</t>
  </si>
  <si>
    <t>Licuados, propano</t>
  </si>
  <si>
    <t>Licuados, butanos</t>
  </si>
  <si>
    <t>Etileno, propileno, butileno y butadieno</t>
  </si>
  <si>
    <t>Licuados (los demás)</t>
  </si>
  <si>
    <t>Gas de petróleo y demás hidrocarburos gaseosos, en estado gaseoso (los demás)</t>
  </si>
  <si>
    <t>Vaselina, en bruto</t>
  </si>
  <si>
    <t>Vaselina (los demás)</t>
  </si>
  <si>
    <t>Parafina con un contenido de aceite inferior al 0,75 % en peso</t>
  </si>
  <si>
    <t>Cera de petróleo microcristalina</t>
  </si>
  <si>
    <t>Ozoquerita y ceresina</t>
  </si>
  <si>
    <t>Parafina con un contenido de aceite superior o igual a 0,75 % en peso</t>
  </si>
  <si>
    <t>Vaselina; parafina, cera de petróleo microcristalina, «slack wax»… (los demás)</t>
  </si>
  <si>
    <t>Coque de petróleo, sin calcinar</t>
  </si>
  <si>
    <t>Coque de petróleo, calcinado</t>
  </si>
  <si>
    <t>Betún de petróleo</t>
  </si>
  <si>
    <t>Coque de petróleo, betún de petróleo y demás residuos de los aceites… (los demás, residuos de los aceites de petróleo o de mineral bituminoso)</t>
  </si>
  <si>
    <t>Pizarras y arenas bituminosas</t>
  </si>
  <si>
    <t>Betunes y asfaltos naturales (los demás)</t>
  </si>
  <si>
    <t>Mástiques bituminosos</t>
  </si>
  <si>
    <t>Cloro</t>
  </si>
  <si>
    <t>Yodo</t>
  </si>
  <si>
    <t>Flúor; bromo</t>
  </si>
  <si>
    <t>Negro de acetileno</t>
  </si>
  <si>
    <t>Flúor, cloro, bromo y yodo. 2803.00 Carbono (negros de humo y otras… (los demás)</t>
  </si>
  <si>
    <t>Hidrógeno</t>
  </si>
  <si>
    <t>Gases nobles, argón</t>
  </si>
  <si>
    <t>Gases nobles (los demás)</t>
  </si>
  <si>
    <t>Boro; telurio, boro</t>
  </si>
  <si>
    <t>Boro; telurio, telurio</t>
  </si>
  <si>
    <t>Silicio, con un contenido de silicio superior o igual al 99,99 % en peso</t>
  </si>
  <si>
    <t>Silicio (los demás)</t>
  </si>
  <si>
    <t>Fósforo rojo o amorfo</t>
  </si>
  <si>
    <t>Fósforo (los demás)</t>
  </si>
  <si>
    <t>Arsénico</t>
  </si>
  <si>
    <t>Selenio, en polvo</t>
  </si>
  <si>
    <t>Selenio (los demás)</t>
  </si>
  <si>
    <t>Metales alcalinos o alcalinotérreos, sodio</t>
  </si>
  <si>
    <t>Metales alcalinos o alcalinotérreos, calcio</t>
  </si>
  <si>
    <t>Metales alcalinos o alcalinotérreos (los demás)</t>
  </si>
  <si>
    <t>Metales de las tierras raras, escandio e itrio, incluso mezclados o aleados entre sí</t>
  </si>
  <si>
    <t>Mercurio</t>
  </si>
  <si>
    <t>Cloruro de hidrógeno (ácido clorhídrico)</t>
  </si>
  <si>
    <t>Ácido clorosulfúrico</t>
  </si>
  <si>
    <t>Ácido sulfúrico</t>
  </si>
  <si>
    <t>Óleum (ácido sulfúrico fumante)</t>
  </si>
  <si>
    <t>Ácido nítrico</t>
  </si>
  <si>
    <t>Ácidos sulfonítricos</t>
  </si>
  <si>
    <t>Pentóxido de difósforo</t>
  </si>
  <si>
    <t>Ácido fosfórico</t>
  </si>
  <si>
    <t>Ácidos polifosfóricos</t>
  </si>
  <si>
    <t>Pentóxido de difósforo (los demás)</t>
  </si>
  <si>
    <t>Fluoruro de hidrógeno (ácido fluorhídrico)</t>
  </si>
  <si>
    <t>Cianuro de hidrógeno (ácido cianhídrico)</t>
  </si>
  <si>
    <t>Ácido aminosulfónico (ácido sulfámico)</t>
  </si>
  <si>
    <t>Derivados del fósforo</t>
  </si>
  <si>
    <t>Derivados del azufre, del selenio o del telurio</t>
  </si>
  <si>
    <t>Productos químicos inorgánicos (los demás)</t>
  </si>
  <si>
    <t>Gel de sílice</t>
  </si>
  <si>
    <t>Dióxido de silicio (los demás)</t>
  </si>
  <si>
    <t>Hemióxido de nitrógeno (óxido nitroso, protóxido de nitrógeno)</t>
  </si>
  <si>
    <t>Trióxido de diarsénico (sesquióxido de arsénico, anhídrido arsenioso, arsénico blanco)</t>
  </si>
  <si>
    <t>Dicloruro de carbonilo (fosgeno)</t>
  </si>
  <si>
    <t>Oxicloruro de fósforo</t>
  </si>
  <si>
    <t>Tricloruro de fósforo</t>
  </si>
  <si>
    <t>Pentacloruro de fósforo</t>
  </si>
  <si>
    <t>Monocloruro de azufre</t>
  </si>
  <si>
    <t>Dicloruro de azufre</t>
  </si>
  <si>
    <t>Cloruro de tionilo</t>
  </si>
  <si>
    <t>Tricloruro de arsénico</t>
  </si>
  <si>
    <t>Cloruros y oxicloruros (los demás)</t>
  </si>
  <si>
    <t>Halogenuros y oxihalogenuros de los elementos no metálicos (los demás)</t>
  </si>
  <si>
    <t>Disulfuro de carbono</t>
  </si>
  <si>
    <t>Sulfuros de fósforo</t>
  </si>
  <si>
    <t>Sulfuros de los elementos no metálicos (los demás)</t>
  </si>
  <si>
    <t>Amoníaco anhidro</t>
  </si>
  <si>
    <t>Amoníaco en disolución acuosa</t>
  </si>
  <si>
    <t>Hidróxido de sodio (sosa o soda cáustica), sólido</t>
  </si>
  <si>
    <t>Hidróxido de sodio (sosa o soda cáustica), en disolución acuosa (lejía de sosa o soda cáustica)</t>
  </si>
  <si>
    <t>Hidróxido de potasio (potasa cáustica)</t>
  </si>
  <si>
    <t>Peróxidos de sodio o de potasio</t>
  </si>
  <si>
    <t>Hidróxido y peróxido de magnesio</t>
  </si>
  <si>
    <t>Óxidos, hidróxidos y peróxidos, de estroncio o de bario</t>
  </si>
  <si>
    <t>Óxido de cinc (blanco o flor de cinc)</t>
  </si>
  <si>
    <t>Peróxido de cinc</t>
  </si>
  <si>
    <t>Corindón artificial, aunque no sea de constitución química definida</t>
  </si>
  <si>
    <t>Óxido de aluminio, excepto el corindón artificial</t>
  </si>
  <si>
    <t>Hidróxido de aluminio</t>
  </si>
  <si>
    <t>Trióxido de cromo</t>
  </si>
  <si>
    <t>Trióxido de dicromo (sesquióxido de cromo u «óxido verde»)</t>
  </si>
  <si>
    <t>Óxidos e hidróxidos de cromo (los demás)</t>
  </si>
  <si>
    <t>Dióxido de manganeso</t>
  </si>
  <si>
    <t>Óxidos de manganeso (los demás)</t>
  </si>
  <si>
    <t>Óxidos e hidróxidos de hierro, óxidos</t>
  </si>
  <si>
    <t>Óxidos e hidróxidos de hierro, hidróxidos</t>
  </si>
  <si>
    <t>Tierras colorantes</t>
  </si>
  <si>
    <t>Dióxido de titanio (óxido titánico o anhídrido titánico)</t>
  </si>
  <si>
    <t>Óxidos e hidróxidos de hierro (los demás)</t>
  </si>
  <si>
    <t>Monóxido de plomo (litargirio, masicote)</t>
  </si>
  <si>
    <t>Óxidos de plomo (los demás)</t>
  </si>
  <si>
    <t>Hidrazina e hidroxilamina y sus sales inorgánicas</t>
  </si>
  <si>
    <t>Óxido e hidróxido de litio</t>
  </si>
  <si>
    <t>Óxidos e hidróxidos de vanadio</t>
  </si>
  <si>
    <t>Óxidos e hidróxidos de níquel</t>
  </si>
  <si>
    <t>Óxidos e hidróxidos de cobre</t>
  </si>
  <si>
    <t>Óxidos de germanio y dióxido de circonio</t>
  </si>
  <si>
    <t>Óxidos e hidróxidos de molibdeno</t>
  </si>
  <si>
    <t>Óxidos de antimonio</t>
  </si>
  <si>
    <t>Óxidos e hidróxidos de estaño</t>
  </si>
  <si>
    <t>Óxido e hidróxido de calcio</t>
  </si>
  <si>
    <t>Óxidos e hidróxidos de bismuto</t>
  </si>
  <si>
    <t>Hidrazina e hidroxilamina y sus sales inorgánicas (los demás)</t>
  </si>
  <si>
    <t>Fluoruros, de aluminio</t>
  </si>
  <si>
    <t>Fluoruros, de sodio</t>
  </si>
  <si>
    <t>Fluoruros (los demás)</t>
  </si>
  <si>
    <t>Hexafluoroaluminato de sodio (criolita sintética)</t>
  </si>
  <si>
    <t>Cloruro de amonio</t>
  </si>
  <si>
    <t>Cloruro de calcio</t>
  </si>
  <si>
    <t>Cloruros, oxicloruros e hidroxicloruros, de magnesio</t>
  </si>
  <si>
    <t>Cloruros, oxicloruros e hidroxicloruros, de aluminio</t>
  </si>
  <si>
    <t>Cloruros, oxicloruros e hidroxicloruros, de níquel</t>
  </si>
  <si>
    <t>Cloruros, oxicloruros e hidroxicloruros, de cobre</t>
  </si>
  <si>
    <t>Cloruros, oxicloruros e hidroxicloruros, de estaño</t>
  </si>
  <si>
    <t>Cloruros, oxicloruros e hidroxicloruros, de hierro</t>
  </si>
  <si>
    <t>Cloruros, oxicloruros e hidroxicloruros, de cinc</t>
  </si>
  <si>
    <t>Cloruros, oxicloruros e hidroxicloruros, de cobalto</t>
  </si>
  <si>
    <t>Cloruros, oxicloruros e hidroxicloruros (los demás)</t>
  </si>
  <si>
    <t>Oxicloruros e hidroxicloruros, de cobre</t>
  </si>
  <si>
    <t>Oxicloruros e hidroxicloruros, de aluminio</t>
  </si>
  <si>
    <t>Oxicloruros e hidroxicloruros (los demás)</t>
  </si>
  <si>
    <t>Bromuros de sodio o potasio</t>
  </si>
  <si>
    <t>Bromuros y oxibromuros (los demás)</t>
  </si>
  <si>
    <t>Yoduros y oxiyoduros, de sodio o de potasio</t>
  </si>
  <si>
    <t>Yoduros y oxiyoduros (los demás)</t>
  </si>
  <si>
    <t>Hipoclorito de calcio comercial y demás hipocloritos de calcio</t>
  </si>
  <si>
    <t>Hipocloritos, de sodio</t>
  </si>
  <si>
    <t>Hipocloritos (los demás)</t>
  </si>
  <si>
    <t>Hipocloritos, cloritos</t>
  </si>
  <si>
    <t>Hipocloritos, hipobromitos</t>
  </si>
  <si>
    <t>Cloratos, de sodio</t>
  </si>
  <si>
    <t>Cloratos, de potasio</t>
  </si>
  <si>
    <t>Cloratos (los demás)</t>
  </si>
  <si>
    <t>Cloratos y percloratos, percloratos</t>
  </si>
  <si>
    <t>Yodato de potasio</t>
  </si>
  <si>
    <t>Cloratos y percloratos (los demás)</t>
  </si>
  <si>
    <t>Sulfuro de sodio</t>
  </si>
  <si>
    <t>Hidrogenosulfuro (sulfhidrato) de sodio</t>
  </si>
  <si>
    <t>Sulfuro de potasio</t>
  </si>
  <si>
    <t>Sulfuros; polisulfuros, aunque no sean de constitución química… (los demás)</t>
  </si>
  <si>
    <t>Ditionitos y sulfoxilatos, de sodio</t>
  </si>
  <si>
    <t>Ditionitos y sulfoxilatos (los demás)</t>
  </si>
  <si>
    <t>Sulfitos de sodio</t>
  </si>
  <si>
    <t>Sulfitos; tiosulfatos, de amonio</t>
  </si>
  <si>
    <t>Sulfitos; tiosulfatos (los demás)</t>
  </si>
  <si>
    <t>Tiosulfatos, de sodio</t>
  </si>
  <si>
    <t>Tiosulfatos (los demás)</t>
  </si>
  <si>
    <t>Sulfato de disodio</t>
  </si>
  <si>
    <t>Sulfatos de sodio (los demás)</t>
  </si>
  <si>
    <t>Sulfatos; alumbres; peroxosulfatos (persulfatos), de magnesio</t>
  </si>
  <si>
    <t>Sulfatos; alumbres; peroxosulfatos (persulfatos), de aluminio</t>
  </si>
  <si>
    <t>Sulfatos; alumbres; peroxosulfatos (persulfatos), de níquel</t>
  </si>
  <si>
    <t>Sulfatos; alumbres; peroxosulfatos (persulfatos), de cobre</t>
  </si>
  <si>
    <t>Sulfatos; alumbres; peroxosulfatos (persulfatos), de bario</t>
  </si>
  <si>
    <t>Sulfatos; alumbres; peroxosulfatos (persulfatos), de hierro</t>
  </si>
  <si>
    <t>Sulfatos; alumbres; peroxosulfatos (persulfatos), de plomo</t>
  </si>
  <si>
    <t>Sulfatos; alumbres; peroxosulfatos (persulfatos), de cromo</t>
  </si>
  <si>
    <t>Sulfatos; alumbres; peroxosulfatos (persulfatos), de cinc</t>
  </si>
  <si>
    <t>Sulfatos; alumbres; peroxosulfatos (persulfatos) (los demás)</t>
  </si>
  <si>
    <t>Alumbres, de aluminio</t>
  </si>
  <si>
    <t>Alumbres (los demás)</t>
  </si>
  <si>
    <t>Peroxosulfatos (persulfatos), de sodio</t>
  </si>
  <si>
    <t>Peroxosulfatos (persulfatos) (los demás)</t>
  </si>
  <si>
    <t>Nitritos</t>
  </si>
  <si>
    <t>Nitratos, de potasio</t>
  </si>
  <si>
    <t>Nitratos, de magnesio</t>
  </si>
  <si>
    <t>Nitratos (los demás)</t>
  </si>
  <si>
    <t>Fosfinatos (hipofosfitos) y fosfonatos (fosfitos)</t>
  </si>
  <si>
    <t>Fosfatos, de monosodio o de disodio</t>
  </si>
  <si>
    <t>Fosfatos, de potasio</t>
  </si>
  <si>
    <t>Hidrogenoortofosfato de calcio («fosfato dicálcico»)</t>
  </si>
  <si>
    <t>Fosfatos (los demás, fosfatos de calcio)</t>
  </si>
  <si>
    <t>Fosfatos, de hierro</t>
  </si>
  <si>
    <t>Fosfatos, de triamonio</t>
  </si>
  <si>
    <t>Fosfatos, de trisodio</t>
  </si>
  <si>
    <t>Fosfatos (los demás)</t>
  </si>
  <si>
    <t>Trifosfato de sodio (tripolifosfato de sodio)</t>
  </si>
  <si>
    <t>Pirofosfatos de sodio</t>
  </si>
  <si>
    <t>Polifosfatos (los demás)</t>
  </si>
  <si>
    <t>Carbonato de disodio</t>
  </si>
  <si>
    <t>Hidrogenocarbonato (bicarbonato) de sodio</t>
  </si>
  <si>
    <t>Carbonatos de potasio</t>
  </si>
  <si>
    <t>Carbonato de bario</t>
  </si>
  <si>
    <t>Carbonatos de litio</t>
  </si>
  <si>
    <t>Carbonato de estroncio</t>
  </si>
  <si>
    <t>Carbonato de magnesio precipitado</t>
  </si>
  <si>
    <t>Carbonatos de amonio</t>
  </si>
  <si>
    <t>Carbonato de cobalto</t>
  </si>
  <si>
    <t>Carbonato de níquel</t>
  </si>
  <si>
    <t>Sesquicarbonato de sodio</t>
  </si>
  <si>
    <t>Carbonatos (los demás)</t>
  </si>
  <si>
    <t>Cianuros y oxicianuros, de sodio, cianuro</t>
  </si>
  <si>
    <t>Cianuros y oxicianuros, de sodio, oxicianuro</t>
  </si>
  <si>
    <t>Cianuros y oxicianuros (los demás)</t>
  </si>
  <si>
    <t>Cianuros complejos</t>
  </si>
  <si>
    <t>Silicatos, de sodio, metasilicatos</t>
  </si>
  <si>
    <t>Silicatos, de sodio (los demás)</t>
  </si>
  <si>
    <t>Silicatos, de aluminio</t>
  </si>
  <si>
    <t>Silicatos, de calcio precipitado</t>
  </si>
  <si>
    <t>Silicatos, de magnesio</t>
  </si>
  <si>
    <t>Silicatos, de potasio</t>
  </si>
  <si>
    <t>Silicatos (los demás)</t>
  </si>
  <si>
    <t>Tetraborato de disodio (bórax refinado), anhidro</t>
  </si>
  <si>
    <t>Tetraborato de disodio (bórax refinado) (los demás)</t>
  </si>
  <si>
    <t>Boratos; peroxoboratos (perboratos) (los demás, boratos)</t>
  </si>
  <si>
    <t>Peroxoboratos (perboratos)</t>
  </si>
  <si>
    <t>Dicromato de sodio</t>
  </si>
  <si>
    <t>Cromatos de cinc o de plomo</t>
  </si>
  <si>
    <t>Cromato de potasio</t>
  </si>
  <si>
    <t>Cromato de sodio</t>
  </si>
  <si>
    <t>Dicromato de potasio</t>
  </si>
  <si>
    <t>Dicromato de talio</t>
  </si>
  <si>
    <t>Sales de los ácidos oxometálicos o peroxometálicos (los demás)</t>
  </si>
  <si>
    <t>Permanganato de potasio</t>
  </si>
  <si>
    <t>Manganitos, manganatos y permanganatos (los demás)</t>
  </si>
  <si>
    <t>Molibdatos</t>
  </si>
  <si>
    <t>Volframatos (tungstatos)</t>
  </si>
  <si>
    <t>Sales de los ácidos oxometálicos o peroxometálicos, aluminatos</t>
  </si>
  <si>
    <t>Silicatos dobles o complejos, incluidos los aluminosilicatos, aunque no sean de constitución química definida</t>
  </si>
  <si>
    <t>Arsenitos y arseniatos</t>
  </si>
  <si>
    <t>Cloruros dobles o complejos, de amonio y cinc</t>
  </si>
  <si>
    <t>Cloruros dobles o complejos (los demás)</t>
  </si>
  <si>
    <t>Fosfatos dobles o complejos (fosfosales)</t>
  </si>
  <si>
    <t>Metal precioso en estado coloidal</t>
  </si>
  <si>
    <t>Nitrato de plata</t>
  </si>
  <si>
    <t>Compuestos de plata (los demás)</t>
  </si>
  <si>
    <t>Compuestos de oro</t>
  </si>
  <si>
    <t>Metal precioso en estado coloidal (los demás, compuestos; amalgamas)</t>
  </si>
  <si>
    <t>Uranio natural y sus compuestos; aleaciones, dispersiones (incluido el cermet), productos cerámicos y mezclas, que contengan uranio natural o compuest</t>
  </si>
  <si>
    <t>Uranio enriquecido en U 235 y sus compuestos; plutonio y sus compuestos; aleaciones, dispersiones (incluido el cermet), productos cerámicos y mezclas,</t>
  </si>
  <si>
    <t>Uranio empobrecido en U 235 y sus compuestos; torio y sus compuestos; aleaciones, dispersiones (incluido el cermet), productos cerámicos y mezclas, qu</t>
  </si>
  <si>
    <t>Residuos radiactivos</t>
  </si>
  <si>
    <t>Elementos químicos radiactivos e isótopos radiactivos (incluidos los e (los demás)</t>
  </si>
  <si>
    <t>2844410000</t>
  </si>
  <si>
    <t>Tritio y sus compuestos; aleaciones, dispersiones (incluido el cermet), productos cerámicos y mezclas, que contengan tritio o sus compuestos</t>
  </si>
  <si>
    <t>2844420000</t>
  </si>
  <si>
    <t>Actinio-225, actinio-227, californio-253, curio-240, curio-241, curio-242, curio-243, curio-244, einstenio-253, einstenio-254, gadolinio-148, polonio-</t>
  </si>
  <si>
    <t>2844430000</t>
  </si>
  <si>
    <t>Elementos e isótopos y compuestos, radiactivos (los demás, elementos e isótopos y compuestos, radiactivos; aleaciones, dispersiones (incluido el cerme</t>
  </si>
  <si>
    <t>2844440000</t>
  </si>
  <si>
    <t>Elementos combustibles (cartuchos) agotados (irradiados) de reactores nucleares</t>
  </si>
  <si>
    <t>Agua pesada (óxido de deuterio)</t>
  </si>
  <si>
    <t>2845200000</t>
  </si>
  <si>
    <t>Boro enriquecido en boro-10 y sus compuestos</t>
  </si>
  <si>
    <t>2845300000</t>
  </si>
  <si>
    <t>Litio enriquecido en litio-6 y sus compuestos</t>
  </si>
  <si>
    <t>2845400000</t>
  </si>
  <si>
    <t>Helio-3</t>
  </si>
  <si>
    <t>Isótopos (los demás)</t>
  </si>
  <si>
    <t>Compuestos de cerio</t>
  </si>
  <si>
    <t>Compuestos inorgánicos u orgánicos, de metales de las tierras raras… (los demás)</t>
  </si>
  <si>
    <t>Carburos, aunque no sean de constitución química definida, de calcio</t>
  </si>
  <si>
    <t>Carburos, aunque no sean de constitución química definida, de silicio</t>
  </si>
  <si>
    <t>Carburos, aunque no sean de constitución química definida, de volframio (tungsteno)</t>
  </si>
  <si>
    <t>Carburos, aunque no sean de constitución química definida (los demás)</t>
  </si>
  <si>
    <t>Nitruro de plomo</t>
  </si>
  <si>
    <t>Aziduros (azidas)</t>
  </si>
  <si>
    <t>Sulfatos de mercurio</t>
  </si>
  <si>
    <t>Merbromina (DCI) (mercurocromo)</t>
  </si>
  <si>
    <t>Sales y ésteres del ácido láctico</t>
  </si>
  <si>
    <t>Compuestos organomercúricos (los demás)</t>
  </si>
  <si>
    <t>Óxidos, hidróxidos y peróxidos</t>
  </si>
  <si>
    <t>Cloruro mercurioso</t>
  </si>
  <si>
    <t>Cloruro mercúrico</t>
  </si>
  <si>
    <t>Oxicloruros e hidroxicloruros</t>
  </si>
  <si>
    <t>Sulfuro; polisulfuro</t>
  </si>
  <si>
    <t>Sulfuro; polisulfuro; nitratos; polifosfatos; cianuros; oxicianuros y…, nitratos</t>
  </si>
  <si>
    <t>Sulfuro; polisulfuro; nitratos; polifosfatos; cianuros; oxicianuros y…, polifosfatos</t>
  </si>
  <si>
    <t>Cianuros, oxicianuros y cianuros complejos</t>
  </si>
  <si>
    <t>Fulminato, cianato y tiocianato</t>
  </si>
  <si>
    <t>Cromatos y dicromatos</t>
  </si>
  <si>
    <t>Fulminato, cianato y tiocianato, peroxocromatos</t>
  </si>
  <si>
    <t>Silicatos dobles o complejos, incluidos los aluminosilicatos</t>
  </si>
  <si>
    <t>Cloruros dobles o complejos</t>
  </si>
  <si>
    <t>Compuestos inorgánicos u orgánicos de mercurio, aunque…, de constitución química definida (los demás, sales de los ácidos o peroxoácidos inorgánicos)</t>
  </si>
  <si>
    <t>Compuestos inorgánicos u orgánicos de metal precioso</t>
  </si>
  <si>
    <t>Fosfuros; carburos; hidruros, nitruros, aziduros (azidas), siliciuros…, fosfuros</t>
  </si>
  <si>
    <t>Fosfuros; carburos; hidruros, nitruros, aziduros (azidas), siliciuros…, carburos</t>
  </si>
  <si>
    <t>Hidruros, nitruros, aziduros (azidas), siliciuros y boruros</t>
  </si>
  <si>
    <t>Compuestos inorgánicos u orgánicos de mercurio, aunque…, de constitución química definida (los demás, compuestos inorgánicos)</t>
  </si>
  <si>
    <t>Compuestos organomercúricos</t>
  </si>
  <si>
    <t>Compuestos inorgánicos u orgánicos de mercurio, aunque no sean de…, polisulfuros</t>
  </si>
  <si>
    <t>Compuestos inorgánicos u orgánicos de mercurio, aunque no sean de…, polifosfatos</t>
  </si>
  <si>
    <t>Compuestos inorgánicos u orgánicos de mercurio, aunque no sean de… (los demás, sales de los ácidos o peroxoácidos inorgánicos (incluidos los aluminosi</t>
  </si>
  <si>
    <t>Compuestos inorgánicos u orgánicos de mercurio, aunque no sean de…, fosfuros</t>
  </si>
  <si>
    <t>Compuestos inorgánicos u orgánicos de mercurio, aunque no sean de…, carburos</t>
  </si>
  <si>
    <t>Compuestos inorgánicos u orgánicos de mercurio, aunque no sean de… (los demás)</t>
  </si>
  <si>
    <t>Cloruro de cianógeno («chlorcyan»)</t>
  </si>
  <si>
    <t>Agua destilada, de conductibilidad o del mismo grado de pureza; aire líquido y aire purificado</t>
  </si>
  <si>
    <t>Fosfuros, aunque no sean de constitución química definida (los demás)</t>
  </si>
  <si>
    <t>No saturados, etileno</t>
  </si>
  <si>
    <t>Propeno (propileno)</t>
  </si>
  <si>
    <t>Buteno (butileno) y sus isómeros</t>
  </si>
  <si>
    <t>Buta-1,3-dieno e isopreno</t>
  </si>
  <si>
    <t>No saturados (los demás)</t>
  </si>
  <si>
    <t>Ciclánicos, ciclénicos o cicloterpénicos, ciclohexano</t>
  </si>
  <si>
    <t>Ciclánicos, ciclénicos o cicloterpénicos (los demás)</t>
  </si>
  <si>
    <t>Benceno</t>
  </si>
  <si>
    <t>Tolueno</t>
  </si>
  <si>
    <t>Xilenos, o-Xileno</t>
  </si>
  <si>
    <t>Xilenos, m-Xileno</t>
  </si>
  <si>
    <t>Xilenos, p-Xileno</t>
  </si>
  <si>
    <t>Mezclas de isómeros del xileno</t>
  </si>
  <si>
    <t>Estireno</t>
  </si>
  <si>
    <t>Etilbenceno</t>
  </si>
  <si>
    <t>Cumeno</t>
  </si>
  <si>
    <t>Hidrocarburos cíclicos, naftaleno</t>
  </si>
  <si>
    <t>Hidrocarburos cíclicos (los demás)</t>
  </si>
  <si>
    <t>Clorometano (cloruro de metilo)</t>
  </si>
  <si>
    <t>Cloroetano (cloruro de etilo)</t>
  </si>
  <si>
    <t>Diclorometano (cloruro de metileno)</t>
  </si>
  <si>
    <t>Cloroformo (triclorometano)</t>
  </si>
  <si>
    <t>Tetracloruro de carbono</t>
  </si>
  <si>
    <t>Dicloruro de etileno (ISO) (1,2-dicloroetano)</t>
  </si>
  <si>
    <t>Derivados clorados de los hidrocarburos acíclicos saturados, 1,1,1-Tricloroetano (metil-cloroformo)</t>
  </si>
  <si>
    <t>Derivados clorados de los hidrocarburos acíclicos saturados (los demás)</t>
  </si>
  <si>
    <t>Cloruro de vinilo (cloroetileno)</t>
  </si>
  <si>
    <t>Derivados clorados de los hidrocarburos acíclicos no saturados, tricloroetileno</t>
  </si>
  <si>
    <t>Tetracloroetileno (percloroetileno)</t>
  </si>
  <si>
    <t>Cloruro de vinilideno (monómero)</t>
  </si>
  <si>
    <t>Derivados clorados de los hidrocarburos acíclicos no saturados (los demás)</t>
  </si>
  <si>
    <t>Dibromuro de etileno (ISO) (1,2‑dibromoetano)</t>
  </si>
  <si>
    <t>Bromometano (bromuro de metilo)</t>
  </si>
  <si>
    <t>Difluorometano</t>
  </si>
  <si>
    <t>Trifluorometano</t>
  </si>
  <si>
    <t>Difluoroetano</t>
  </si>
  <si>
    <t>Trifluoroetano</t>
  </si>
  <si>
    <t>Tetrafluoroetano</t>
  </si>
  <si>
    <t>Pentafluoroetano</t>
  </si>
  <si>
    <t>1,1,3,3,3-Pentafluoro-2-(trifluorometil)prop-1-eno</t>
  </si>
  <si>
    <t>Derivados halogenados de los hidrocarburos (los demás)</t>
  </si>
  <si>
    <t>2903410000</t>
  </si>
  <si>
    <t>Trifluorometano (HFC-23)</t>
  </si>
  <si>
    <t>2903420000</t>
  </si>
  <si>
    <t>Difluorometano (HFC-32)</t>
  </si>
  <si>
    <t>2903430000</t>
  </si>
  <si>
    <t>Fluorometano (HFC-41), 1,2-difluoroetano (HFC-152) y 1,1-difluoroetano (HFC-152a)</t>
  </si>
  <si>
    <t>2903440000</t>
  </si>
  <si>
    <t>Pentafluoroetano (HFC-125), 1,1,1-trifluoroetano (HFC-143a) y 1,1,2-trifluoroetano (HFC-143)</t>
  </si>
  <si>
    <t>2903450000</t>
  </si>
  <si>
    <t>Derivados fluorados de los hidrocarburos acíclicos saturados, 1,1,1,2-Tetrafluoroetano (HFC-134a) y 1,1,2,2-tetrafluoroetano (HFC-134)</t>
  </si>
  <si>
    <t>2903460000</t>
  </si>
  <si>
    <t>Derivados fluorados de los hidrocarburos acíclicos saturados, 1,1,1,2,3,3,3-Heptafluoropropano (HFC-227ea), 1,1,1,2,2,3-hexafluoropropano (HFC-236cb),</t>
  </si>
  <si>
    <t>2903470000</t>
  </si>
  <si>
    <t>Derivados fluorados de los hidrocarburos acíclicos saturados, 1,1,1,3,3-Pentafluoropropano (HFC-245fa) y 1,1,2,2,3-pentafluoropropano (HFC-245ca)</t>
  </si>
  <si>
    <t>2903480000</t>
  </si>
  <si>
    <t>Derivados fluorados de los hidrocarburos acíclicos saturados, 1,1,1,3,3-Pentafluorobutano (HFC-365mfc) y 1,1,1,2,2,3,4,5,5,5-decafluoropentano (HFC-43</t>
  </si>
  <si>
    <t>2903490000</t>
  </si>
  <si>
    <t>Derivados fluorados de los hidrocarburos acíclicos saturados (los demás)</t>
  </si>
  <si>
    <t>2903510000</t>
  </si>
  <si>
    <t>Derivados fluorados de los hidrocarburos acíclicos no saturados, 2,3,3,3-Tetrafluoropropeno (HFO-1234yf), 1,3,3,3-tetrafluoropropeno (HFO-1234ze) y (Z</t>
  </si>
  <si>
    <t>2903591000</t>
  </si>
  <si>
    <t>Derivados fluorados de los hidrocarburos acíclicos no saturados, 1,1,3,3,3-Pentafluoro-2-(trifluorometil)prop-1-eno</t>
  </si>
  <si>
    <t>2903599000</t>
  </si>
  <si>
    <t>Derivados fluorados de los hidrocarburos acíclicos no saturados (los demás)</t>
  </si>
  <si>
    <t>2903610000</t>
  </si>
  <si>
    <t>Bromuro de metilo (bromometano)</t>
  </si>
  <si>
    <t>2903620000</t>
  </si>
  <si>
    <t>Dibromuro de etileno (ISO) (1,2-dibromoetano)</t>
  </si>
  <si>
    <t>2903690000</t>
  </si>
  <si>
    <t>Derivados bromados o derivados yodados, de los hidrocarburos acíclicos (los demás)</t>
  </si>
  <si>
    <t>Clorodifluorometano (HCFC-22)</t>
  </si>
  <si>
    <t>Diclorotrifluoroetanos (HCFC-123)</t>
  </si>
  <si>
    <t>Diclorofluoroetanos (HCFC-141, 141b)</t>
  </si>
  <si>
    <t>Clorodifluoroetanos (HCFC-142, 142b)</t>
  </si>
  <si>
    <t>Dicloropentafluoropropanos (HCFC-225, 225ca, 225cb)</t>
  </si>
  <si>
    <t>Bromoclorodifluorometano (Halón-1211), bromotrifluorometano (Halón-1301) y dibromotetrafluoroetanos (Halón-2402)</t>
  </si>
  <si>
    <t>Clorofluorometanos, clorotrifluorometano</t>
  </si>
  <si>
    <t>Clorofluorometanos, diclorodifluorometano</t>
  </si>
  <si>
    <t>Clorofluorometanos, triclorofluorometano</t>
  </si>
  <si>
    <t>Clorofluoroetanos, cloropentafluoroetanos</t>
  </si>
  <si>
    <t>Clorofluoroetanos, diclorotetrafluoroetanos</t>
  </si>
  <si>
    <t>Clorofluoroetanos, triclorotrifluoroetanos</t>
  </si>
  <si>
    <t>Clorofluoroetanos, tetraclorodifluoroetanos</t>
  </si>
  <si>
    <t>Clorofluoroetanos, pentaclorofluoroetanos</t>
  </si>
  <si>
    <t>Clorofluoropropanos, cloroheptafluoropropanos</t>
  </si>
  <si>
    <t>Clorofluoropropanos, diclorohexafluoropropanos</t>
  </si>
  <si>
    <t>Clorofluoropropanos, tricloropentafluoropropanos</t>
  </si>
  <si>
    <t>Clorofluoropropanos, tetraclorotetrafluoropropanos</t>
  </si>
  <si>
    <t>Clorofluoropropanos, pentaclorotrifluoropropanos</t>
  </si>
  <si>
    <t>Clorofluoropropanos, hexaclorodifluoropropanos</t>
  </si>
  <si>
    <t>Clorofluoropropanos, heptaclorofluoropropanos</t>
  </si>
  <si>
    <t>Derivados halogenados de los hidrocarburos acíclicos con dos… (los demás)</t>
  </si>
  <si>
    <t>Derivados halogenados de los hidrocarburos acíclicos con dos… (los demás, derivados perhalogenados)</t>
  </si>
  <si>
    <t>Derivados halogenados de los hidrocarburos acíclicos con dos…, triclorofluoroetanos</t>
  </si>
  <si>
    <t>Derivados halogenados de los hidrocarburos acíclicos con dos…, clorotetrafluoroetanos</t>
  </si>
  <si>
    <t>Derivados del metano, del etano o del propano, halogenados solamente con fluor y bromo</t>
  </si>
  <si>
    <t>Lindano (ISO, DCI) isómero gamma</t>
  </si>
  <si>
    <t>Isómeros alfa, beta, delta</t>
  </si>
  <si>
    <t>Derivados halogenados de los hidrocarburos ciclánicos…, 1,2,3,4,5,6-Hexaclorociclohexano (HCH (ISO)), incluido el lindano… (los demás)</t>
  </si>
  <si>
    <t>Aldrina (ISO)</t>
  </si>
  <si>
    <t>Clordano (ISO)</t>
  </si>
  <si>
    <t>Heptacloro (ISO)</t>
  </si>
  <si>
    <t>Mirex (ISO)</t>
  </si>
  <si>
    <t>Canfecloro (toxafeno)</t>
  </si>
  <si>
    <t>Derivados halogenados de los hidrocarburos ciclánicos, ciclénicos o… (los demás)</t>
  </si>
  <si>
    <t>Clorobenceno, o-diclorobenceno y p-diclorobenceno</t>
  </si>
  <si>
    <t>Hexaclorobenceno (ISO)</t>
  </si>
  <si>
    <t>DDT (ISO) (clofenotano (DCI), 1,1,1-tricloro-2,2-bis(p-clorofenil)etano)</t>
  </si>
  <si>
    <t>Pentaclorobenceno (ISO)</t>
  </si>
  <si>
    <t>Derivados halogenados de los hidrocarburos aromáticos, hexabromobifenilos</t>
  </si>
  <si>
    <t>Derivados clorados</t>
  </si>
  <si>
    <t>Derivados fluorados</t>
  </si>
  <si>
    <t>Derivados bromados</t>
  </si>
  <si>
    <t>Derivados halogenados de los hidrocarburos aromáticos (los demás)</t>
  </si>
  <si>
    <t>Ácidos naftalenosulfónicos</t>
  </si>
  <si>
    <t>Derivados solamente sulfonados, sus sales y sus ésteres etílicos (los demás)</t>
  </si>
  <si>
    <t>Derivados solamente nitrados o solamente nitrosados, dinitrotolueno</t>
  </si>
  <si>
    <t>Trinitrotolueno (TNT)</t>
  </si>
  <si>
    <t>Trinitrobutilmetaxileno y dinitrobutilparacimeno</t>
  </si>
  <si>
    <t>Derivados solamente nitrados o solamente nitrosados, nitrobenceno</t>
  </si>
  <si>
    <t>Derivados solamente nitrados o solamente nitrosados (los demás)</t>
  </si>
  <si>
    <t>Ácido perfluorooctano sulfónico</t>
  </si>
  <si>
    <t>Perfluorooctano sulfonato de amonio</t>
  </si>
  <si>
    <t>Perfluorooctano sulfonato de litio</t>
  </si>
  <si>
    <t>Perfluorooctano sulfonato de potasio</t>
  </si>
  <si>
    <t>Ácido perfluorooctano sulfónico, sus sales y fluoruro de… (los demás, sales del ácido perfluorooctano sulfónico)</t>
  </si>
  <si>
    <t>Fluoruro de perfluorooctano sulfonilo</t>
  </si>
  <si>
    <t>Tricloronitrometano (cloropicrina)</t>
  </si>
  <si>
    <t>Derivados sulfonados, nitrados o nitrosados de los hidrocarburos… (los demás)</t>
  </si>
  <si>
    <t>Metanol (alcohol metílico)</t>
  </si>
  <si>
    <t>Alcohol propílico</t>
  </si>
  <si>
    <t>Alcohol isopropílico</t>
  </si>
  <si>
    <t>Butan-1-ol (alcohol n-butílico)</t>
  </si>
  <si>
    <t>Monoalcoholes saturados, isobutílico</t>
  </si>
  <si>
    <t>Monoalcoholes saturados (los demás)</t>
  </si>
  <si>
    <t>Octanol (alcohol octílico) y sus isómeros, 2-Etilhexanol</t>
  </si>
  <si>
    <t>Octanol (alcohol octílico) y sus isómeros (los demás, alcoholes octílicos)</t>
  </si>
  <si>
    <t>Dodecan-1-ol (alcohol laurílico), hexadecan-1-ol (alcohol cetílico) y octadecan-1-ol (alcohol estearílico)</t>
  </si>
  <si>
    <t>Monoalcoholes saturados, metilamílico</t>
  </si>
  <si>
    <t>Monoalcoholes saturados (los demás, alcoholes hexílicos (hexanoles); alcoholes heptílicos (heptanoles))</t>
  </si>
  <si>
    <t>Alcoholes nonílicos (nonanoles)</t>
  </si>
  <si>
    <t>Alcoholes decílicos (decanoles)</t>
  </si>
  <si>
    <t>Monoalcoholes saturados, 3,3-dimetilbutan-2-ol (alcohol pinacolílico)</t>
  </si>
  <si>
    <t>Pentanol (alcohol amílico) y sus isómeros</t>
  </si>
  <si>
    <t>Alcoholes terpénicos acíclicos</t>
  </si>
  <si>
    <t>Monoalcoholes no saturados (los demás)</t>
  </si>
  <si>
    <t>Etilenglicol (etanodiol)</t>
  </si>
  <si>
    <t>Propilenglicol (propano-1,2-diol)</t>
  </si>
  <si>
    <t>Butilenglicol (butanodiol)</t>
  </si>
  <si>
    <t>Dioles (los demás)</t>
  </si>
  <si>
    <t>Alcoholes acíclicos y sus derivados halogenados, sulfonados, nitrados…, 2-Etil-2-(hidroximetil)propano-1,3-diol (trimetilolpropano)</t>
  </si>
  <si>
    <t>Pentaeritritol (pentaeritrita)</t>
  </si>
  <si>
    <t>Alcoholes acíclicos y sus derivados halogenados, sulfonados, nitrados…, manitol</t>
  </si>
  <si>
    <t>D-glucitol (sorbitol)</t>
  </si>
  <si>
    <t>Alcoholes acíclicos y sus derivados halogenados, sulfonados, nitrados…, glicerol</t>
  </si>
  <si>
    <t>Alcoholes acíclicos y sus derivados halogenados, sulfonados, nitrados… (los demás)</t>
  </si>
  <si>
    <t>Etclorvinol (DCI)</t>
  </si>
  <si>
    <t>Derivados halogenados, sulfonados, nitrados o nitrosados de los… (los demás)</t>
  </si>
  <si>
    <t>Ciclánicos, ciclénicos o cicloterpénicos, mentol</t>
  </si>
  <si>
    <t>Ciclohexanol, metilciclohexanoles y dimetilciclohexanoles</t>
  </si>
  <si>
    <t>Esteroles e inositoles</t>
  </si>
  <si>
    <t>Alcohol bencílico</t>
  </si>
  <si>
    <t>Aromáticos (los demás)</t>
  </si>
  <si>
    <t>Fenol (hidroxibenceno)</t>
  </si>
  <si>
    <t>Fenol (hidroxibenceno) y sus sales, sales</t>
  </si>
  <si>
    <t>Cresoles y sus sales</t>
  </si>
  <si>
    <t>Octilfenol, nonilfenol y sus isómeros, nonilfenol</t>
  </si>
  <si>
    <t>Octilfenol, nonilfenol y sus isómeros (los demás)</t>
  </si>
  <si>
    <t>Naftoles y sus sales</t>
  </si>
  <si>
    <t>Monofenoles (los demás)</t>
  </si>
  <si>
    <t>Resorcinol y sus sales</t>
  </si>
  <si>
    <t>Hidroquinona y sus sales</t>
  </si>
  <si>
    <t>Polifenoles, 4,4'-Isopropilidendifenol (bisfenol A, difenilolpropano) y sus sales</t>
  </si>
  <si>
    <t>Polifenoles, fenoles-alcoholes</t>
  </si>
  <si>
    <t>Polifenoles (los demás)</t>
  </si>
  <si>
    <t>Pentaclorofenol (ISO)</t>
  </si>
  <si>
    <t>Derivados solamente halogenados y sus sales (los demás)</t>
  </si>
  <si>
    <t>Dinoseb (ISO) y sus sales</t>
  </si>
  <si>
    <t>Derivados halogenados, sulfonados, nitrados o nitrosados, de los…, 4,6-Dinitro-o-cresol (DNOC (ISO)) y sus sales</t>
  </si>
  <si>
    <t>Derivados solamente sulfonados, sus sales y sus ésteres</t>
  </si>
  <si>
    <t>Derivados solamente nitrados, sus sales y sus ésteres, dinitrofenol</t>
  </si>
  <si>
    <t>Ácido pícrico (trinitrofenol)</t>
  </si>
  <si>
    <t>Derivados solamente nitrados, sus sales y sus ésteres (los demás)</t>
  </si>
  <si>
    <t>Derivados halogenados, sulfonados, nitrados o nitrosados, de los… (los demás)</t>
  </si>
  <si>
    <t>Eter dietílico (óxido de dietilo)</t>
  </si>
  <si>
    <t>Metil terc-butil éter</t>
  </si>
  <si>
    <t>Éteres acíclicos y sus derivados halogenados, sulfonados, nitrados o… (los demás)</t>
  </si>
  <si>
    <t>Éteres ciclánicos, ciclénicos, cicloterpénicos, y sus derivados halogenados, sulfonados, nitrados o nitrosados</t>
  </si>
  <si>
    <t>Éteres aromáticos y sus derivados halogenados, sulfonados, nitrados o…, anetol</t>
  </si>
  <si>
    <t>Éteres aromáticos y sus derivados halogenados, sulfonados, nitrados o… (los demás)</t>
  </si>
  <si>
    <t>Éteres-alcoholes y sus derivados halogenados, sulfonados, nitrados o…, 2,2'-Oxidietanol (dietilenglicol)</t>
  </si>
  <si>
    <t>Éteres monobutílicos del etilenglicol o del dietilenglicol</t>
  </si>
  <si>
    <t>Éteres-alcoholes y sus derivados halogenados, sulfonados, nitrados o… (los demás, éteres monoalquílicos del etilenglicol o del dietilenglicol)</t>
  </si>
  <si>
    <t>Éteres-alcoholes y sus derivados halogenados, sulfonados, nitrados o…, dipropilenglicol</t>
  </si>
  <si>
    <t>Éteres-alcoholes y sus derivados halogenados, sulfonados, nitrados o…, trietilenglicol</t>
  </si>
  <si>
    <t>Éteres-alcoholes y sus derivados halogenados, sulfonados, nitrados o…, glicerilguayacol</t>
  </si>
  <si>
    <t>Éter metílico del propilenglicol</t>
  </si>
  <si>
    <t>Éteres-alcoholes y sus derivados halogenados, sulfonados, nitrados o… (los demás, éteres de los propilenglicoles)</t>
  </si>
  <si>
    <t>Éteres-alcoholes y sus derivados halogenados, sulfonados, nitrados o… (los demás, éteres de los etilenglicoles)</t>
  </si>
  <si>
    <t>Éteres-alcoholes y sus derivados halogenados, sulfonados, nitrados o… (los demás)</t>
  </si>
  <si>
    <t>Guayacol, eugenol e isoeugenol; sulfoguayacolato de potasio</t>
  </si>
  <si>
    <t>Éteres-fenoles, éteres-alcoholes-fenoles, y sus derivados… (los demás)</t>
  </si>
  <si>
    <t>Peróxido de metiletilcetona</t>
  </si>
  <si>
    <t>Peróxidos de alcoholes, peróxidos de éteres, peróxidos de acetales y… (los demás)</t>
  </si>
  <si>
    <t>Oxirano (óxido de etileno)</t>
  </si>
  <si>
    <t>Metiloxirano (óxido de propileno)</t>
  </si>
  <si>
    <t>Epóxidos, epoxialcoholes, epoxifenoles y epoxiéteres, con tres átomos…, 1-Cloro-2,3-epoxipropano (epiclorhidrina)</t>
  </si>
  <si>
    <t>Dieldrina (ISO, DCI)</t>
  </si>
  <si>
    <t>Endrina (ISO)</t>
  </si>
  <si>
    <t>Epóxidos, epoxialcoholes, epoxifenoles y epoxiéteres, con tres átomos… (los demás)</t>
  </si>
  <si>
    <t>Metanal (formaldehído)</t>
  </si>
  <si>
    <t>Etanal (acetaldehído)</t>
  </si>
  <si>
    <t>Citral y citronelal</t>
  </si>
  <si>
    <t>Aldehídos acíclicos sin otras funciones oxigenadas, glutaraldehído</t>
  </si>
  <si>
    <t>Aldehídos acíclicos sin otras funciones oxigenadas (los demás)</t>
  </si>
  <si>
    <t>Benzaldehído (aldehído benzoico)</t>
  </si>
  <si>
    <t>Aldehídos cinámico y fenilacético</t>
  </si>
  <si>
    <t>Aldehídos cíclicos sin otras funciones oxigenadas (los demás)</t>
  </si>
  <si>
    <t>Vainillina (aldehído metilprotocatéquico)</t>
  </si>
  <si>
    <t>Etilvainillina (aldehído etilprotocatéquico)</t>
  </si>
  <si>
    <t>Aldehídos-alcoholes, aldehídos-éteres, aldehídos-fenoles y aldehídos…, aldehídos-alcoholes</t>
  </si>
  <si>
    <t>Aldehídos-alcoholes, aldehídos-éteres, aldehídos-fenoles y aldehídos… (los demás)</t>
  </si>
  <si>
    <t>Polímeros cíclicos de los aldehídos</t>
  </si>
  <si>
    <t>Paraformaldehído</t>
  </si>
  <si>
    <t>Cetonas acíclicas sin otras funciones oxigenadas, acetona</t>
  </si>
  <si>
    <t>Butanona (metiletilcetona)</t>
  </si>
  <si>
    <t>Cetonas acíclicas sin otras funciones oxigenadas, 4-Metilpentan-2-ona (metilisobutilcetona)</t>
  </si>
  <si>
    <t>Cetonas acíclicas sin otras funciones oxigenadas (los demás)</t>
  </si>
  <si>
    <t>Ciclohexanona y metilciclohexanonas, ciclohexanona</t>
  </si>
  <si>
    <t>Ciclohexanona y metilciclohexanonas, metilciclohexanonas</t>
  </si>
  <si>
    <t>Iononas y metiliononas</t>
  </si>
  <si>
    <t>Cetonas ciclánicas, ciclénicas o cicloterpénicas, sin otras funciones…, isoforona</t>
  </si>
  <si>
    <t>Cetonas ciclánicas, ciclénicas o cicloterpénicas, sin otras funciones…, alcanfor</t>
  </si>
  <si>
    <t>Cetonas ciclánicas, ciclénicas o cicloterpénicas, sin otras funciones… (los demás)</t>
  </si>
  <si>
    <t>Fenilacetona (fenilpropan-2-ona)</t>
  </si>
  <si>
    <t>Cetonas aromáticas sin otras funciones oxigenadas (los demás)</t>
  </si>
  <si>
    <t>Cetonas-alcoholes y cetonas-aldehídos, 4-Hidroxi-4-metilpentan-2-ona (diacetona alcohol)</t>
  </si>
  <si>
    <t>Cetonas-alcoholes y cetonas-aldehídos (los demás)</t>
  </si>
  <si>
    <t>Cetonas-fenoles y cetonas con otras funciones oxigenadas</t>
  </si>
  <si>
    <t>Quinonas, antraquinona</t>
  </si>
  <si>
    <t>Coenzima Q10 (ubidecarenona (DCI))</t>
  </si>
  <si>
    <t>Quinonas (los demás)</t>
  </si>
  <si>
    <t>Clordecona (ISO)</t>
  </si>
  <si>
    <t>Derivados halogenados, sulfonados, nitrados o nitrosados (los demás)</t>
  </si>
  <si>
    <t>Ácido fórmico</t>
  </si>
  <si>
    <t>Formiato de sodio</t>
  </si>
  <si>
    <t>Sales del ácido fórmico (los demás)</t>
  </si>
  <si>
    <t>Ésteres del ácido fórmico</t>
  </si>
  <si>
    <t>Ácido acético</t>
  </si>
  <si>
    <t>Anhídrido acético</t>
  </si>
  <si>
    <t>Acetatos de calcio, plomo, cobre, cromo, aluminio o hierro</t>
  </si>
  <si>
    <t>Acetato de sodio</t>
  </si>
  <si>
    <t>Acetato de cobalto</t>
  </si>
  <si>
    <t>Ácido acético y sus sales (los demás)</t>
  </si>
  <si>
    <t>Acetato de etilo</t>
  </si>
  <si>
    <t>Acetato de vinilo</t>
  </si>
  <si>
    <t>Acetato de n-butilo</t>
  </si>
  <si>
    <t>Acetato de dinoseb (ISO)</t>
  </si>
  <si>
    <t>Acetato de 2-etoxietilo</t>
  </si>
  <si>
    <t>Acetato de propilo</t>
  </si>
  <si>
    <t>Acetato de isopropilo</t>
  </si>
  <si>
    <t>Acetatos de amilo y de isoamilo</t>
  </si>
  <si>
    <t>Ésteres del ácido acético (los demás)</t>
  </si>
  <si>
    <t>Ácidos mono-, di- o tricloroacéticos, sus sales y sus ésteres, ácidos</t>
  </si>
  <si>
    <t>Sales y ésteres</t>
  </si>
  <si>
    <t>Ácido propiónico</t>
  </si>
  <si>
    <t>Sales y ésteres, sales</t>
  </si>
  <si>
    <t>Sales y ésteres, ésteres</t>
  </si>
  <si>
    <t>Ácidos butanoicos</t>
  </si>
  <si>
    <t>Ácidos butanoicos, sus sales y sus ésteres (los demás)</t>
  </si>
  <si>
    <t>Ácidos pentanoicos, sus sales y sus ésteres</t>
  </si>
  <si>
    <t>Ácido palmítico, sus sales y sus ésteres</t>
  </si>
  <si>
    <t>Ácido esteárico</t>
  </si>
  <si>
    <t>Ácido esteárico, sus sales y sus ésteres, sales</t>
  </si>
  <si>
    <t>Ácido esteárico, sus sales y sus ésteres, ésteres</t>
  </si>
  <si>
    <t>Ácidos bromoacéticos</t>
  </si>
  <si>
    <t>Cloruro de acetilo</t>
  </si>
  <si>
    <t>Ácidos monocarboxílicos acíclicos saturados y sus anhídridos… (los demás)</t>
  </si>
  <si>
    <t>Octanoato de estaño</t>
  </si>
  <si>
    <t>Ácido láurico</t>
  </si>
  <si>
    <t>Ácido acrílico</t>
  </si>
  <si>
    <t>Ácido acrílico y sus sales, sales</t>
  </si>
  <si>
    <t>Acrilato de butilo</t>
  </si>
  <si>
    <t>Ésteres del ácido acrílico (los demás)</t>
  </si>
  <si>
    <t>Ácido metacrílico y sus sales</t>
  </si>
  <si>
    <t>Metacrilato de metilo</t>
  </si>
  <si>
    <t>Ésteres del ácido metacrílico (los demás)</t>
  </si>
  <si>
    <t>Sales y ésteres del ácido oleico</t>
  </si>
  <si>
    <t>Ácidos oleico, linoleico o linolénico, sus sales y sus ésteres (los demás)</t>
  </si>
  <si>
    <t>Binapacril (ISO)</t>
  </si>
  <si>
    <t>Ácido sórbico y sus sales</t>
  </si>
  <si>
    <t>Derivados del ácido acrílico</t>
  </si>
  <si>
    <t>Ácidos monocarboxílicos acíclicos no saturados, sus anhídridos… (los demás)</t>
  </si>
  <si>
    <t>Aletrina (ISO)</t>
  </si>
  <si>
    <t>Permetrina (ISO) (DCI)</t>
  </si>
  <si>
    <t>Ácidos monocarboxílicos ciclánicos, ciclénicos o cicloterpénicos, sus… (los demás)</t>
  </si>
  <si>
    <t>Ácido benzoico</t>
  </si>
  <si>
    <t>Benzoato de sodio</t>
  </si>
  <si>
    <t>Benzoato de naftilo, benzoato de amonio, benzoato de potasio, benzoato de calcio, benzoato de metilo y benzoato de etilo</t>
  </si>
  <si>
    <t>Ácido benzoico, sus sales y sus ésteres (los demás)</t>
  </si>
  <si>
    <t>Peróxido de benzoilo</t>
  </si>
  <si>
    <t>Cloruro de benzoilo</t>
  </si>
  <si>
    <t>Ácido fenilacético y sus sales</t>
  </si>
  <si>
    <t>Ácidos monocarboxílicos aromáticos, sus anhídridos, halogenuros… (los demás)</t>
  </si>
  <si>
    <t>Ácido oxálico</t>
  </si>
  <si>
    <t>Ácido adípico</t>
  </si>
  <si>
    <t>Ácido azelaico (DCI), sus sales y sus ésteres</t>
  </si>
  <si>
    <t>Ácido sebácico, sus sales y sus ésteres</t>
  </si>
  <si>
    <t>Anhídrido maleico</t>
  </si>
  <si>
    <t>Ácido maleico</t>
  </si>
  <si>
    <t>Sales, ésteres y demás derivados del ácido maleico</t>
  </si>
  <si>
    <t>Ácido fumárico</t>
  </si>
  <si>
    <t>Ácidos policarboxílicos acíclicos, sus anhídridos, halogenuros… (los demás)</t>
  </si>
  <si>
    <t>Ácidos policarboxílicos ciclánicos, ciclénicos o cicloterpénicos, sus anhídridos, halogenuros, peróxidos, peroxiácidos y sus derivados</t>
  </si>
  <si>
    <t>Ortoftalatos de dioctilo</t>
  </si>
  <si>
    <t>Ortoftalatos de dinonilo o de didecilo</t>
  </si>
  <si>
    <t>Ortoftalatos de dimetilo o de dietilo</t>
  </si>
  <si>
    <t>Ortoftalatos de dibutilo</t>
  </si>
  <si>
    <t>Ácidos policarboxílicos aromáticos, sus anhídridos, halogenuros… (los demás)</t>
  </si>
  <si>
    <t>Anhídrido ftálico</t>
  </si>
  <si>
    <t>Ácido tereftálico</t>
  </si>
  <si>
    <t>Ácido tereftálico y sus sales, sales</t>
  </si>
  <si>
    <t>Tereftalato de dimetilo</t>
  </si>
  <si>
    <t>Ácido ortoftálico y sus sales</t>
  </si>
  <si>
    <t>Ácido isoftálico, sus ésteres y sus sales</t>
  </si>
  <si>
    <t>Anhídrido trimelítico</t>
  </si>
  <si>
    <t>Ácido láctico</t>
  </si>
  <si>
    <t>Lactato de calcio</t>
  </si>
  <si>
    <t>Ácido láctico, sus sales y sus ésteres (los demás)</t>
  </si>
  <si>
    <t>Ácido tartárico</t>
  </si>
  <si>
    <t>Sales y ésteres del ácido tartárico</t>
  </si>
  <si>
    <t>Ácido cítrico</t>
  </si>
  <si>
    <t>Citrato de sodio</t>
  </si>
  <si>
    <t>Sales y ésteres del ácido cítrico (los demás)</t>
  </si>
  <si>
    <t>Ácido glucónico</t>
  </si>
  <si>
    <t>Gluconato de calcio</t>
  </si>
  <si>
    <t>Gluconato de sodio</t>
  </si>
  <si>
    <t>Ácido glucónico, sus sales y sus ésteres (los demás)</t>
  </si>
  <si>
    <t>Ácido 2,2-difenil-2-hidroxiacético (ácido bencílico)</t>
  </si>
  <si>
    <t>Clorobencilato (ISO)</t>
  </si>
  <si>
    <t>Derivados del ácido glucónico</t>
  </si>
  <si>
    <t>Ácidos carboxílicos con función alcohol, pero sin otra función… (los demás)</t>
  </si>
  <si>
    <t>Ácido salicílico</t>
  </si>
  <si>
    <t>Ácido salicílico y sus sales, sales</t>
  </si>
  <si>
    <t>Ácido o-acetilsalicílico</t>
  </si>
  <si>
    <t>Ácidos carboxílicos con función fenol, pero sin otra función… (los demás, ésteres del ácido salicílico y sus sales)</t>
  </si>
  <si>
    <t>P-Hidroxibenzoato de metilo</t>
  </si>
  <si>
    <t>P-Hidroxibenzoato de propilo</t>
  </si>
  <si>
    <t>Ácido p-Hidroxibenzoico, sus sales y sus ésteres (los demás)</t>
  </si>
  <si>
    <t>Ácidos carboxílicos con función fenol, pero sin otra función… (los demás)</t>
  </si>
  <si>
    <t>Ácidos carboxílicos con función aldehído o cetona, pero sin otra función oxigenada, sus anhídridos, halogenuros, peróxidos, peroxiácidos y sus derivad</t>
  </si>
  <si>
    <t>Ácidos carboxílicos con funciones oxigenadas suplementarias y sus…, 2,4,5-T (ISO) (ácido 2,4,5-triclorofenoxiacético), sus sales y sus ésteres</t>
  </si>
  <si>
    <t>Ácidos carboxílicos con funciones oxigenadas…, 2,4-D (ISO) (ácido 2,4-diclorofenoxiacético) y sus sales, 2,4-D (ISO)</t>
  </si>
  <si>
    <t>Ácidos carboxílicos con funciones oxigenadas…, 2,4-D (ISO) (ácido 2,4-diclorofenoxiacético) y sus sales, sales</t>
  </si>
  <si>
    <t>Ésteres del 2,4-D</t>
  </si>
  <si>
    <t>Dicamba (ISO)</t>
  </si>
  <si>
    <t>MCPA (ISO)</t>
  </si>
  <si>
    <t>Ácidos carboxílicos con funciones oxigenadas suplementarias y sus…, 2,4-DB (Ácido 4-(2,4-diclorofenoxi) butírico)</t>
  </si>
  <si>
    <t>Diclorprop (ISO)</t>
  </si>
  <si>
    <t>Diclofop-metilo (2-(4-(2,4-diclorofenoxi)fenoxi) propionato de metilo)</t>
  </si>
  <si>
    <t>Naproxeno sódico</t>
  </si>
  <si>
    <t>Ácido 2,4 diclorofenoxipropiónico</t>
  </si>
  <si>
    <t>Ácidos carboxílicos con funciones oxigenadas suplementarias y sus… (los demás)</t>
  </si>
  <si>
    <t>Fosfato de tris(2,3-dibromopropilo)</t>
  </si>
  <si>
    <t>Glicerofosfato de sodio</t>
  </si>
  <si>
    <t>Ácido glicerofosfórico, sus sales y derivados (los demás)</t>
  </si>
  <si>
    <t>Dimetil-dicloro-vinil-fosfato (DDVP)</t>
  </si>
  <si>
    <t>Clorfenvinfos (ISO)</t>
  </si>
  <si>
    <t>Ésteres fosfóricos y sus sales, incluidos los lactofosfatos (los demás)</t>
  </si>
  <si>
    <t>Paratión (ISO) (paratión etílico)</t>
  </si>
  <si>
    <t>Paratión-metilo (ISO) (metil paratión)</t>
  </si>
  <si>
    <t>Benzotíofosfato de O-etil-o-p-nitrofenilo (EPN)</t>
  </si>
  <si>
    <t>Ésteres tiofosfóricos (fosforotioatos) y sus sales (los demás)</t>
  </si>
  <si>
    <t>Fosfito de dimetilo</t>
  </si>
  <si>
    <t>Fosfito de dietilo</t>
  </si>
  <si>
    <t>Fosfito de trimetilo</t>
  </si>
  <si>
    <t>Fosfito de trietilo</t>
  </si>
  <si>
    <t>Ésteres de fosfitos y sus sales (los demás)</t>
  </si>
  <si>
    <t>Endosulfán (ISO)</t>
  </si>
  <si>
    <t>Nitroglicerina (nitroglicerol)</t>
  </si>
  <si>
    <t>Pentrita (tetranitropentaeritritol)</t>
  </si>
  <si>
    <t>Ésteres de los demás ácidos inorgánicos de los no metales (los demás)</t>
  </si>
  <si>
    <t>Mono-, di- o trimetilamina y sus sales</t>
  </si>
  <si>
    <t>Clorhidrato de 2-cloroetil (N,N-dimetilamina)</t>
  </si>
  <si>
    <t>Clorhidrato de 2-cloroetil (N,N-dietilamina)</t>
  </si>
  <si>
    <t>Clorhidrato de 2-cloroetil (N,N-diisopropilamina)</t>
  </si>
  <si>
    <t>Monoaminas acíclicas y sus derivados, bis(2-cloroetil)etilamina</t>
  </si>
  <si>
    <t>Clormetina (DCI) (bis(2-cloro-etil)metilamina)</t>
  </si>
  <si>
    <t>Triclormetina (DCI) (tris(2-cloroetil)amina)</t>
  </si>
  <si>
    <t>N,N-dialquil (metil, etil, n-propil o isopropil)2-cloroetilaminas y…, 2-Cloro N,N – dimetiletilamina hidrocloruro (DMC)</t>
  </si>
  <si>
    <t>N,N-dialquil (metil, etil, n-propil o isopropil)2-cloroetilaminas y…, 2-Clorotrietilamina clorhidrato</t>
  </si>
  <si>
    <t>N,N-dialquil (metil, etil, n-propil o isopropil)2-cloroetilaminas y… (los demás)</t>
  </si>
  <si>
    <t>Dietilamina y sus sales</t>
  </si>
  <si>
    <t>Monoaminas acíclicas y sus derivados (los demás)</t>
  </si>
  <si>
    <t>Etilendiamina y sus sales</t>
  </si>
  <si>
    <t>Hexametilendiamina y sus sales</t>
  </si>
  <si>
    <t>Poliaminas acíclicas y sus derivados (los demás)</t>
  </si>
  <si>
    <t>Monoaminas y poliaminas, ciclánicas, ciclénicas o cicloterpénicas, y sus derivados; sales de estos productos</t>
  </si>
  <si>
    <t>Anilina y sus sales</t>
  </si>
  <si>
    <t>Derivados de la anilina y sus sales, cloroanilinas</t>
  </si>
  <si>
    <t>N-metil-N,2,4,6-tetranitroanilina (tetril)</t>
  </si>
  <si>
    <t>Derivados de la anilina y sus sales (los demás)</t>
  </si>
  <si>
    <t>Toluidinas y sus derivados; sales de estos productos</t>
  </si>
  <si>
    <t>Difenilamina y sus derivados; sales de estos productos</t>
  </si>
  <si>
    <t>Monoaminas aromáticas y sus derivados, 1-Naftilamina (alfa-naftilamina), 2-naftilamina (beta-naftilamina), y sus derivados; sales de estos productos</t>
  </si>
  <si>
    <t>Anfetamina (DCI)</t>
  </si>
  <si>
    <t>Benzfetamina (DCI), dexanfetamina (DCI), etilanfetamina (DCI) y fencanfamina (DCI)</t>
  </si>
  <si>
    <t>Lefetamina (DCI), levanfetamina (DCI), mefenorex (DCI) y fentermina (DCI)</t>
  </si>
  <si>
    <t>Anfetamina (DCI), benzfetamina (DCI), dexanfetamina (DCI)… (los demás)</t>
  </si>
  <si>
    <t>Monoaminas aromáticas y sus derivados, xilidinas</t>
  </si>
  <si>
    <t>Monoaminas aromáticas y sus derivados (los demás)</t>
  </si>
  <si>
    <t>O-, m- y p-Fenilendiamina, diaminotoluenos, y sus derivados; sales de estos productos</t>
  </si>
  <si>
    <t>Poliaminas aromáticas y sus derivados (los demás)</t>
  </si>
  <si>
    <t>Monoetanolamina y sus sales, monoetanolamina</t>
  </si>
  <si>
    <t>Monoetanolamina y sus sales, sales</t>
  </si>
  <si>
    <t>Dietanolamina y sus sales, dietanolamina</t>
  </si>
  <si>
    <t>Dietanolamina y sus sales, sales</t>
  </si>
  <si>
    <t>Dextropropoxifeno (DCI)</t>
  </si>
  <si>
    <t>Dextropropoxifeno (DCI) y sus sales, sales</t>
  </si>
  <si>
    <t>Amino-alcoholes, trietanolamina</t>
  </si>
  <si>
    <t>Perfluorooctano sulfonato de dietanolamonio</t>
  </si>
  <si>
    <t>Metildietanolamina y etildietanolamina, metildietanolamina</t>
  </si>
  <si>
    <t>Metildietanolamina y etildietanolamina, etildietanolamina</t>
  </si>
  <si>
    <t>Amino-alcoholes, 2-(N,N-Diisopropilamino)etanol</t>
  </si>
  <si>
    <t>N,N-dimetil-2-aminoetanol y sus sales protonadas</t>
  </si>
  <si>
    <t>N,N-dietil-2-aminoetanol y sus sales protonadas</t>
  </si>
  <si>
    <t>N,N-dialquil (metil, etil, n-propil o isopropil)-2-aminoetanoles y… (los demás)</t>
  </si>
  <si>
    <t>Sales de trietanolamina</t>
  </si>
  <si>
    <t>Amino-alcoholes (los demás)</t>
  </si>
  <si>
    <t>Ácidos aminohidroxinaftalensulfónicos y sus sales</t>
  </si>
  <si>
    <t>Amino-naftoles y demás amino-fenoles (los demás)</t>
  </si>
  <si>
    <t>Anfepramona (DCI)</t>
  </si>
  <si>
    <t>Metadona (DCI)</t>
  </si>
  <si>
    <t>Normetadona (DCI)</t>
  </si>
  <si>
    <t>Anfepramona (DCI), metadona (DCI) y normetadona (DCI) (los demás)</t>
  </si>
  <si>
    <t>Amino-aldehídos, amino-cetonas y amino-quinonas (los demás)</t>
  </si>
  <si>
    <t>Lisina y sus ésteres; sales de estos productos</t>
  </si>
  <si>
    <t>Ácido glutámico y sus sales (los demás)</t>
  </si>
  <si>
    <t>Ácido antranílico y sus sales</t>
  </si>
  <si>
    <t>Tilidina (DCI)</t>
  </si>
  <si>
    <t>Tilidina (DCI) y sus sales (los demás)</t>
  </si>
  <si>
    <t>Glicina (DCI), sus sales y ésteres</t>
  </si>
  <si>
    <t>Alaninas (DCI), fenilalanina (DCI), leucina (DCI), isoleucina (DCI) y ácido aspártico (DCI)</t>
  </si>
  <si>
    <t>Ácido etilendiaminotetracético (EDTA) (ácido edético (DCI))</t>
  </si>
  <si>
    <t>Ácido etilendiaminotetracético (EDTA) y sus sales, sales</t>
  </si>
  <si>
    <t>Amino-alcoholes-fenoles, aminoácidos-fenoles y demás compuestos…, 2-Amino-1-(2,5-dimetoxi-4-metil)-fenilpropano (STP, DOM)</t>
  </si>
  <si>
    <t>Aminoácidos-fenoles, sus sales y derivados</t>
  </si>
  <si>
    <t>Amino-alcoholes-fenoles, aminoácidos-fenoles y demás compuestos… (los demás)</t>
  </si>
  <si>
    <t>Colina y sus sales</t>
  </si>
  <si>
    <t>Lecitinas y demás fosfoaminolípidos</t>
  </si>
  <si>
    <t>Perfluorooctano sulfonato de tetraetilamonio</t>
  </si>
  <si>
    <t>Perfluorooctano sulfonato de didecildimetilamonio</t>
  </si>
  <si>
    <t>Derivados de la colina</t>
  </si>
  <si>
    <t>Sales e hidróxidos de amonio cuaternario (los demás)</t>
  </si>
  <si>
    <t>Meprobamato (DCI)</t>
  </si>
  <si>
    <t>Fluoroacetamida (ISO), fosfamidón (ISO) y monocrotofós (ISO)</t>
  </si>
  <si>
    <t>Amidas acíclicas (incluidos los carbamatos) y sus derivados (los demás)</t>
  </si>
  <si>
    <t>Diuron (ISO)</t>
  </si>
  <si>
    <t>Ureínas y sus derivados (los demás)</t>
  </si>
  <si>
    <t>Ácido 2-acetamidobenzoico (ácido N-acetilantranílico) y sus sales</t>
  </si>
  <si>
    <t>Etinamato (DCI)</t>
  </si>
  <si>
    <t>Alaclor (ISO)</t>
  </si>
  <si>
    <t>Acetil-p-aminofenol (paracetamol) (DCI)</t>
  </si>
  <si>
    <t>Lidocaína (DCI)</t>
  </si>
  <si>
    <t>Carbaril (ISO), carbarilo (DCI)</t>
  </si>
  <si>
    <t>Propanil (ISO)</t>
  </si>
  <si>
    <t>Metalaxyl (ISO)</t>
  </si>
  <si>
    <t>Aspartamo (DCI)</t>
  </si>
  <si>
    <t>Atenolol (DCI)</t>
  </si>
  <si>
    <t>Butacloro (2’-cloro-2’,6’ dietil-N-(butoximetil) acetanilida)</t>
  </si>
  <si>
    <t>Amidas cíclicas (incluidos los carbamatos) y sus derivados (los demás)</t>
  </si>
  <si>
    <t>Sacarina y sus sales</t>
  </si>
  <si>
    <t>Glutetimida (DCI)</t>
  </si>
  <si>
    <t>Imidas y sus derivados (los demás)</t>
  </si>
  <si>
    <t>Clordimeformo (ISO)</t>
  </si>
  <si>
    <t>Guanidinas, derivados y sales</t>
  </si>
  <si>
    <t>Iminas y sus derivados (los demás)</t>
  </si>
  <si>
    <t>Acrilonitrilo</t>
  </si>
  <si>
    <t>Compuestos con función nitrilo, 1-Cianoguanidina (diciandiamida)</t>
  </si>
  <si>
    <t>Fenproporex (DCI) y sus sales</t>
  </si>
  <si>
    <t>Intermedio de la metadona (DCI) (4-ciano-2-dimetilamino-4,4-difenilbutano)</t>
  </si>
  <si>
    <t>Alfa-Fenilacetoacetonitrilo</t>
  </si>
  <si>
    <t>Compuestos con función nitrilo, acetonitrilo</t>
  </si>
  <si>
    <t>Cianhidrina de acetona</t>
  </si>
  <si>
    <t>Compuestos con función nitrilo, 2-Ciano-N-[(etilamino)carbonil]-2-(metoxiamino) acetamida (cymoxanil)</t>
  </si>
  <si>
    <t>Compuestos con función nitrilo, cipermetrina</t>
  </si>
  <si>
    <t>Compuestos con función nitrilo (los demás)</t>
  </si>
  <si>
    <t>Etil-metil-cetoxima (butanona oxima)</t>
  </si>
  <si>
    <t>Foxima (ISO)(DCI)</t>
  </si>
  <si>
    <t>Compuestos con función nitrilo. 2928.00 Derivados orgánicos de la… (los demás)</t>
  </si>
  <si>
    <t>Isocianatos, toluen-diisocianato</t>
  </si>
  <si>
    <t>Isocianatos (los demás)</t>
  </si>
  <si>
    <t>Dihalogenuros de N,N-diaquil (metil, etil, n-propil o isopropil) fosforamidatos</t>
  </si>
  <si>
    <t>N,N-dialquil (metil, etil, n-propil o isopropil) fosforamidatos de dialquilo (metilo, etilo, n-propilo o isopropilo)</t>
  </si>
  <si>
    <t>Ciclamato de sodio (DCI)</t>
  </si>
  <si>
    <t>Compuestos con otras funciones nitrogenadas (los demás)</t>
  </si>
  <si>
    <t>2930100000</t>
  </si>
  <si>
    <t>Tiocompuestos orgánicos, 2-(N,N-Dimetilamino)etanotiol</t>
  </si>
  <si>
    <t>Tiocarbamatos y ditiocarbamatos, etildipropiltiocarbamato</t>
  </si>
  <si>
    <t>Butilato (ISO), tiobencarb, vernolato</t>
  </si>
  <si>
    <t>Tiocarbamatos y ditiocarbamatos (los demás)</t>
  </si>
  <si>
    <t>Disulfuro de tetrametiltiourama (ISO) (DCI)</t>
  </si>
  <si>
    <t>Mono-, di- o tetrasulfuros de tiourama (los demás)</t>
  </si>
  <si>
    <t>Metionina</t>
  </si>
  <si>
    <t>Tiocompuestos orgánicos, 2-(N,N-Dietilamino)etanotiol</t>
  </si>
  <si>
    <t>Sulfuro de bis(2-hidroxietilo) (tiodiglicol (DCI))</t>
  </si>
  <si>
    <t>Aldicarb (ISO), captafol (ISO) y metamidofos (ISO)</t>
  </si>
  <si>
    <t>Metiltiofanato (ISO)</t>
  </si>
  <si>
    <t>Tioamidas (los demás)</t>
  </si>
  <si>
    <t>N,N-Dialquil (metil, etil, n-propil, o isopropil) aminoetano-2-tioles y sus sales protonadas</t>
  </si>
  <si>
    <t>Tioles (mercaptanos) (los demás)</t>
  </si>
  <si>
    <t>Malatión (ISO)</t>
  </si>
  <si>
    <t>Isopropilxantato de sodio (ISO)</t>
  </si>
  <si>
    <t>Ditiocarbonatos (xantatos y xantogenatos) (los demás)</t>
  </si>
  <si>
    <t>Fosforotioato de O,O-dietilo y de S-[2-(dietilamino) etilo], y sus sales alquiladas o protonadas</t>
  </si>
  <si>
    <t>Etilditiofosfonato de O-etilo y de S-fenilo (fonofós)</t>
  </si>
  <si>
    <t>Sales, ésteres y derivados de la metionina</t>
  </si>
  <si>
    <t>Dimetoato (ISO)</t>
  </si>
  <si>
    <t>Fenthión (ISO)</t>
  </si>
  <si>
    <t>Hidrogenoalquil (metil, etil, n-propil o isopropil) fosfonotioatos de [S-2-(dialquil(metil, etil, n-propil o isopropil)amino)etilo], sus ésteres de O-</t>
  </si>
  <si>
    <t>Sulfuro de 2-cloroetilo y de clorometilo; sulfuro de bis(2-cloroetilo)</t>
  </si>
  <si>
    <t>Bis(2-cloroetiltio)metano; 1,2-bis(2-cloroetiltio)etano; 1,3-bis(2-cloroetiltio)-n-propano; 1,4-bis(2-cloroetiltio)-n-butano; 1,5-bis(2-cloroetiltio)-</t>
  </si>
  <si>
    <t>Óxido de bis-(2-cloro-etiltiometilo); óxido de bis-(2-cloroetiltioetilo)</t>
  </si>
  <si>
    <t>Tiocompuestos orgánicos (los demás, que contengan un átomo de fósforo unido a un grupo metilo, etilo, n-propilo o isopropilo, sin otros átomos de carb</t>
  </si>
  <si>
    <t>Tiocompuestos orgánicos (los demás)</t>
  </si>
  <si>
    <t>Tetrametilplomo y tetraetilplomo</t>
  </si>
  <si>
    <t>Compuestos de tributilestaño</t>
  </si>
  <si>
    <t>Metilfosfonato de dimetilo</t>
  </si>
  <si>
    <t>Propilfosfonato de dimetilo</t>
  </si>
  <si>
    <t>Etilfosfonato de dietilo</t>
  </si>
  <si>
    <t>3-(Trihidroxisilil)propil metilfosfonato de sodio</t>
  </si>
  <si>
    <t>2,4,6-Trióxido de 2,4,6-tripropil-1,3,5,2,4,6-trioxatrifosfinano</t>
  </si>
  <si>
    <t>Metilfosfonato de (5-etil-2-metil-2-óxido-1,3,2-dioxafosfinan-5-il)metil metilo</t>
  </si>
  <si>
    <t>Metilfosfonato de bis[(5-etil-2-metil-2-óxido-1,3,2-dioxafosfinan-5-il)metilo]</t>
  </si>
  <si>
    <t>Sal del ácido metilfosfónico y de (aminoiminometil)urea (1 : 1)</t>
  </si>
  <si>
    <t>Glyfosato (ISO)</t>
  </si>
  <si>
    <t>Sales</t>
  </si>
  <si>
    <t>Alquil (metil, etil, n-propil o isopropil) fosfonofluoridatos de O-alquilo (hasta 10 carbonos, incluyendo cicloalquilos)</t>
  </si>
  <si>
    <t>Triclorfón (ISO)</t>
  </si>
  <si>
    <t>N-N-dialquil (metil, etil, n-propil o isopropil) fosforoamidocianidatos de O-alquilo (hasta 10 carbonos, incluyendo cicloalquilos)</t>
  </si>
  <si>
    <t>Difluoruros de alquil (metil, etil, n-propil o isopropil)fosfonilo</t>
  </si>
  <si>
    <t>Hidrogenoalquil (metil, etil, n-propil o isopropil)fosfonitos de [O-2-(dialquil(metil, etil, n-propil o isopropil)amino)etilo]; sus ésteres de O-alquilo (hasta 10 carbonos, incluyendo cicloalquilos); sus sales alquiladas o protonadas</t>
  </si>
  <si>
    <t>Metilfosfonocloridato de O-isopropilo; metilfosfonocloridato de O-pinacolilo</t>
  </si>
  <si>
    <t>Los demás compuestos órgano-inorgánicos (los demás)</t>
  </si>
  <si>
    <t>2931410000</t>
  </si>
  <si>
    <t>2931420000</t>
  </si>
  <si>
    <t>2931430000</t>
  </si>
  <si>
    <t>2931440000</t>
  </si>
  <si>
    <t>Ácido metilfosfónico</t>
  </si>
  <si>
    <t>2931450000</t>
  </si>
  <si>
    <t>Sal de ácido metilfosfónico y de (aminoiminometil)urea (1 : 1)</t>
  </si>
  <si>
    <t>2931460000</t>
  </si>
  <si>
    <t>Derivados órgano-fosforados no halogenados, 2,4,6-Trióxido de 2,4,6-tripropil-1,3,5,2,4,6-trioxatrifosfinano</t>
  </si>
  <si>
    <t>2931470000</t>
  </si>
  <si>
    <t>Metilfosfonato de (5-etil-2-metil-2-óxido-1,3,2-dioxafosfinano-5-il)metil metilo</t>
  </si>
  <si>
    <t>2931480000</t>
  </si>
  <si>
    <t>Derivados órgano-fosforados no halogenados, 3,9-Dióxido de 3,9-dimetil-2,4,8,10-tetraoxa-3,9-difosfaspiro[5.5] undecano</t>
  </si>
  <si>
    <t>2931491100</t>
  </si>
  <si>
    <t>2931491200</t>
  </si>
  <si>
    <t>Glyfosato (ISO) (N-(fosfonometil) glicina) y sus sales, sales</t>
  </si>
  <si>
    <t>2931492000</t>
  </si>
  <si>
    <t>2931493000</t>
  </si>
  <si>
    <t>Hidrogenoalquil (metil, etil, n-propil o isopropil)fosfonitos de [O-2- (dialquil(metil, etil, n-propil o isopropil)amino)etilo]; sus ésteres de O-alqu</t>
  </si>
  <si>
    <t>2931494000</t>
  </si>
  <si>
    <t>Derivados órgano-fosforados no halogenados (los demás, que contengan un átomo de fósforo unido a un grupo metilo,etilo, n-propilo o isopropilo, sin ot</t>
  </si>
  <si>
    <t>2931499000</t>
  </si>
  <si>
    <t>Derivados órgano-fosforados no halogenados (los demás)</t>
  </si>
  <si>
    <t>2931510000</t>
  </si>
  <si>
    <t>Dicloruro metilfosfónico</t>
  </si>
  <si>
    <t>2931520000</t>
  </si>
  <si>
    <t>Dicloruro propilfosfónico</t>
  </si>
  <si>
    <t>2931530000</t>
  </si>
  <si>
    <t>Metilfosfonotionato de O-(3-cloropropil)-O-[4-nitro-3-(trifluorometil)fenilo]</t>
  </si>
  <si>
    <t>2931540000</t>
  </si>
  <si>
    <t>2931591000</t>
  </si>
  <si>
    <t>2931592000</t>
  </si>
  <si>
    <t>2931593000</t>
  </si>
  <si>
    <t>2931599000</t>
  </si>
  <si>
    <t>Derivados órgano- fosforados halogenados (los demás)</t>
  </si>
  <si>
    <t>Productos químicos orgánicos, 2-clorovinildicloroarsina; bis(2-clorovinil)cloroarsina; tris(2-clorovinil)arsina</t>
  </si>
  <si>
    <t>Productos químicos orgánicos (los demás)</t>
  </si>
  <si>
    <t>Compuestos cuya estructura contenga uno o más ciclos furano (incluso…, tetrahidrofurano</t>
  </si>
  <si>
    <t>Compuestos cuya estructura contenga uno o más ciclos furano (incluso…, 2-Furaldehído (furfural)</t>
  </si>
  <si>
    <t>Alcohol furfurílico</t>
  </si>
  <si>
    <t>Alcohol tetrahidrofurfurílico</t>
  </si>
  <si>
    <t>Compuestos cuya estructura contenga uno o más ciclos furano (incluso…, sucralosa</t>
  </si>
  <si>
    <t>Compuestos cuya estructura contenga uno o más ciclos furano (incluso… (los demás)</t>
  </si>
  <si>
    <t>Cumarina, metilcumarinas y etilcumarinas</t>
  </si>
  <si>
    <t>Warfarina (ISO) (DCI)</t>
  </si>
  <si>
    <t>Lactonas (los demás)</t>
  </si>
  <si>
    <t>Compuestos heterocíclicos con heteroátomo(s) de oxígeno exclusivamente, isosafrol</t>
  </si>
  <si>
    <t>Compuestos heterocíclicos con heteroátomo(s) de oxígeno exclusivamente, 1-(1,3-Benzodioxol-5-il)propan-2-ona</t>
  </si>
  <si>
    <t>Compuestos heterocíclicos con heteroátomo(s) de oxígeno exclusivamente, piperonal</t>
  </si>
  <si>
    <t>Compuestos heterocíclicos con heteroátomo(s) de oxígeno exclusivamente, safrol</t>
  </si>
  <si>
    <t>Tetrahidrocannabinoles (todos los isómeros)</t>
  </si>
  <si>
    <t>2932960000</t>
  </si>
  <si>
    <t>Carbofurano (carbofurán) (ISO)</t>
  </si>
  <si>
    <t>Butóxido de piperonilo</t>
  </si>
  <si>
    <t>Compuestos heterocíclicos con heteroátomo(s) de oxígeno exclusivamente, eucaliptol</t>
  </si>
  <si>
    <t>Carbofuran (ISO)</t>
  </si>
  <si>
    <t>Compuestos heterocíclicos con heteroátomo(s) de oxígeno exclusivamente (los demás)</t>
  </si>
  <si>
    <t>Fenazona (DCI) (antipirina)</t>
  </si>
  <si>
    <t>Dipirona (4-Metilamino-1,5 dimetil-2-fenil-3-pirazolona metansulfonato de sodio)</t>
  </si>
  <si>
    <t>Fenazona (antipirina) y sus derivados (los demás)</t>
  </si>
  <si>
    <t>Fenilbutazona (DCI)</t>
  </si>
  <si>
    <t>Compuestos cuya estructura contenga uno o más ciclos pirazol (incluso… (los demás)</t>
  </si>
  <si>
    <t>Hidantoína y sus derivados</t>
  </si>
  <si>
    <t>Compuestos cuya estructura contenga uno o más ciclos imidazol… (los demás)</t>
  </si>
  <si>
    <t>Piridina y sus sales</t>
  </si>
  <si>
    <t>Piperidina y sus sales</t>
  </si>
  <si>
    <t>Bromazepam (DCI)</t>
  </si>
  <si>
    <t>Fentanilo (DCI)</t>
  </si>
  <si>
    <t>Petidina (DCI)</t>
  </si>
  <si>
    <t>Intermedio A de la petidina (DCI): (4-ciano-1-metil-4-fenil-piperidina o 1-metil-4-fenil-4 cianopiperidina)</t>
  </si>
  <si>
    <t>Alfentanilo (DCI), anileridina (DCI), bezitramida (DCI), difenoxilato (DCI), difenoxina (DCI), dipipanona (DCI), fenciclidina (DCI) (PCP), fenoperidin</t>
  </si>
  <si>
    <t>Alfentanilo (DCI), anileridina (DCI), bezitramida (DCI), bromazepam… (los demás)</t>
  </si>
  <si>
    <t>2933340000</t>
  </si>
  <si>
    <t>Compuestos cuya estructura contenga un ciclo piridina (incluso… (los demás, fentanilos y sus derivados)</t>
  </si>
  <si>
    <t>2933350000</t>
  </si>
  <si>
    <t>Compuestos cuya estructura contenga un ciclo piridina (incluso…, quinuclidin-3-ol</t>
  </si>
  <si>
    <t>2933360000</t>
  </si>
  <si>
    <t>Compuestos cuya estructura contenga un ciclo piridina (incluso…, 4-Anilino-N-fenetilpiperidina (ANPP)</t>
  </si>
  <si>
    <t>2933370000</t>
  </si>
  <si>
    <t>N-Fenetil-4piperidona (NPP)</t>
  </si>
  <si>
    <t>Picloram (ISO)</t>
  </si>
  <si>
    <t>Picloram (ISO) y sus sales, sales</t>
  </si>
  <si>
    <t>Dicloruro de paraquat</t>
  </si>
  <si>
    <t>Hidracida del ácido isonicotínico</t>
  </si>
  <si>
    <t>Benzilato de 3-quinuclidinilo</t>
  </si>
  <si>
    <t>Quinuclidin-3-ol</t>
  </si>
  <si>
    <t>Compuestos cuya estructura contenga un ciclo piridina (incluso… (los demás)</t>
  </si>
  <si>
    <t>Levorfanol (DCI) y sus sales</t>
  </si>
  <si>
    <t>Compuestos cuya estructura contenga ciclos quinoleína o isoquinoleína…, 6-Etoxi-1,2-dihidro-2,2,4-trimetilquinolina (etoxiquina)</t>
  </si>
  <si>
    <t>Compuestos cuya estructura contenga ciclos quinoleína o isoquinoleína… (los demás)</t>
  </si>
  <si>
    <t>Malonilurea (ácido barbitúrico) y sus sales</t>
  </si>
  <si>
    <t>Fenobarbital (DCI)</t>
  </si>
  <si>
    <t>Alobarbital (DCI), amobarbital (DCI), barbital (DCI), butalbital (DCI) y butobarbital</t>
  </si>
  <si>
    <t>Ciclobarbital (DCI), metilfenobarbital (DCI) y pentobarbital (DCI)</t>
  </si>
  <si>
    <t>Secbutabarbital (DCI), secobarbital (DCI) y vinilbital (DCI)</t>
  </si>
  <si>
    <t>Alobarbital (DCI), amobarbital (DCI), barbital (DCI), butalbital… (los demás)</t>
  </si>
  <si>
    <t>Compuestos cuya estructura contenga uno o más ciclos pirimidina… (los demás, derivados de la malonilurea (ácido barbitúrico); sales de estos productos</t>
  </si>
  <si>
    <t>Loprazolam (DCI)</t>
  </si>
  <si>
    <t>Meclocualona (DCI)</t>
  </si>
  <si>
    <t>Metacualona (DCI)</t>
  </si>
  <si>
    <t>Zipeprol (DCI)</t>
  </si>
  <si>
    <t>Loprazolam (DCI), meclocualona (DCI), metacualona (DCI) y zipeprol… (los demás)</t>
  </si>
  <si>
    <t>Piperazina (dietilendiamina) y 2,5-dimetil-piperazina (dimetil-2,5-dietilendiamina)</t>
  </si>
  <si>
    <t>2933591100</t>
  </si>
  <si>
    <t>2933591200</t>
  </si>
  <si>
    <t>Ciprofloxacina (DCI) y sus sales</t>
  </si>
  <si>
    <t>2933591300</t>
  </si>
  <si>
    <t>Hidroxizina (DCI)</t>
  </si>
  <si>
    <t>2933591900</t>
  </si>
  <si>
    <t>Piperazina y sus derivados (los demás)</t>
  </si>
  <si>
    <t>Amprolio (DCI)</t>
  </si>
  <si>
    <t>Compuestos heterocíclicos con heteroátomo(s) de nitrógeno exclusivamen (los demás)</t>
  </si>
  <si>
    <t>Tiopental sódico (DCI)</t>
  </si>
  <si>
    <t>Compuestos cuya estructura contenga uno o más ciclos pirimidina… (los demás)</t>
  </si>
  <si>
    <t>Compuestos cuya estructura contenga uno o más ciclos triazina…, melamina</t>
  </si>
  <si>
    <t>Atrazina (ISO)</t>
  </si>
  <si>
    <t>Compuestos cuya estructura contenga uno o más ciclos triazina… (los demás)</t>
  </si>
  <si>
    <t>Lactamas, 6-Hexanolactama (épsilon-caprolactama)</t>
  </si>
  <si>
    <t>Clobazam (DCI) y metiprilona (DCI)</t>
  </si>
  <si>
    <t>Primidona (DCI)</t>
  </si>
  <si>
    <t>Lactamas (los demás)</t>
  </si>
  <si>
    <t>Alprazolam (DCI)</t>
  </si>
  <si>
    <t>Diazepam (DCI)</t>
  </si>
  <si>
    <t>Lorazepam (DCI)</t>
  </si>
  <si>
    <t>Triazolam (DCI)</t>
  </si>
  <si>
    <t>Camazepam (DCI), clordiazepóxido (DCI), clonazepam (DCI), clorazepato, delorazepam (DCI), estazolam (DCI), fludiazepam (DCI) y flunitrazepam (DCI)</t>
  </si>
  <si>
    <t>Flurazepam (DCI), halazepam (DCI), loflazepato de etilo (DCI), lormetazepam (DCI), mazindol (DCI), medazepam (DCI), midazolam (DCI), nimetazepam (DCI)</t>
  </si>
  <si>
    <t>Nitrazepam (DCI), nordazepam (DCI), oxazepam (DCI), pinazepam (DCI), prazepam (DCI), pirovalerona (DCI), temazepam (DCI) y tetrazepam (DCI)</t>
  </si>
  <si>
    <t>Alprazolam (DCI), camazepam (DCI), clonazepam (DCI), clorazepato… (los demás)</t>
  </si>
  <si>
    <t>Azinfos-metil (ISO)</t>
  </si>
  <si>
    <t>Parbendazol (DCI)</t>
  </si>
  <si>
    <t>Albendazol (DCI)</t>
  </si>
  <si>
    <t>Compuestos heterocíclicos con heteroátomo(s) de nitrógeno…, triadimefón</t>
  </si>
  <si>
    <t>Compuestos heterocíclicos con heteroátomo(s) de nitrógeno… (los demás)</t>
  </si>
  <si>
    <t>Tiabendazol (ISO)</t>
  </si>
  <si>
    <t>Compuestos cuya estructura contenga uno o más ciclos tiazol (incluso… (los demás)</t>
  </si>
  <si>
    <t>Compuestos cuya estructura contenga ciclos benzotiazol (incluso…, mercaptobenzotiazol</t>
  </si>
  <si>
    <t>Compuestos cuya estructura contenga ciclos benzotiazol (incluso… (los demás)</t>
  </si>
  <si>
    <t>Compuestos cuya estructura contenga ciclos fenotiazina (incluso…, fenotiazina</t>
  </si>
  <si>
    <t>Compuestos cuya estructura contenga ciclos fenotiazina (incluso… (los demás)</t>
  </si>
  <si>
    <t>Aminorex (DCI), brotizolam (DCI), clotiazepam (DCI), cloxazolam (DCI) y dextromoramida (DCI)</t>
  </si>
  <si>
    <t>Haloxazolam (DCI), ketazolam (DCI), mesocarbo (DCI), oxazolam (DCI) y pemolina (DCI)</t>
  </si>
  <si>
    <t>Fenmetrazina (DCI), fendimetrazina (DCI) y sufentanil (DCI)</t>
  </si>
  <si>
    <t>Aminorex (DCI), brotizolam (DCI), clotiazepam (DCI), cloxazolam… (los demás)</t>
  </si>
  <si>
    <t>2934920000</t>
  </si>
  <si>
    <t>Ácidos nucleicos y sus sales, aunque no sean de constitución química… (los demás, fentanilos y sus derivados)</t>
  </si>
  <si>
    <t>Sultonas y sultamas</t>
  </si>
  <si>
    <t>Ácido 6-aminopenicilánico</t>
  </si>
  <si>
    <t>Ácidos nucleicos y sus sales</t>
  </si>
  <si>
    <t>Levamisol (DCI)</t>
  </si>
  <si>
    <t>Ácidos nucleicos y sus sales, aunque no sean de constitución química… (los demás)</t>
  </si>
  <si>
    <t>N-Metilperfluorooctano sulfonamida</t>
  </si>
  <si>
    <t>N-Etilperfluorooctano sulfonamida</t>
  </si>
  <si>
    <t>N-Etil-N-(2-hidroxietil)perfluorooctano sulfonamida</t>
  </si>
  <si>
    <t>N-(2-Hidroxietil)-N-metilperfluorooctano sulfonamida</t>
  </si>
  <si>
    <t>Sulfonamidas (los demás, perfluorooctano sulfonamidas)</t>
  </si>
  <si>
    <t>Sulpirida (DCI)</t>
  </si>
  <si>
    <t>Sulfonamidas (los demás)</t>
  </si>
  <si>
    <t>Vitaminas A y sus derivados</t>
  </si>
  <si>
    <t>Vitamina B1 y sus derivados</t>
  </si>
  <si>
    <t>Vitamina B2 y sus derivados</t>
  </si>
  <si>
    <t>Ácido D- o DL-pantoténico (vitamina B5) y sus derivados</t>
  </si>
  <si>
    <t>Vitamina B6 y sus derivados</t>
  </si>
  <si>
    <t>Vitamina B12 y sus derivados</t>
  </si>
  <si>
    <t>Vitamina C y sus derivados</t>
  </si>
  <si>
    <t>Vitamina E y sus derivados</t>
  </si>
  <si>
    <t>Vitamina B9 y sus derivados</t>
  </si>
  <si>
    <t>Vitamina K y sus derivados</t>
  </si>
  <si>
    <t>Vitamina PP y sus derivados</t>
  </si>
  <si>
    <t>Vitaminas y sus derivados, sin mezclar (los demás, vitaminas y sus derivados)</t>
  </si>
  <si>
    <t>Provitaminas y vitaminas, naturales o reproducidas por síntesis… (los demás, incluidos los concentrados naturales)</t>
  </si>
  <si>
    <t>Somatotropina, sus derivados y análogos estructurales</t>
  </si>
  <si>
    <t>Insulina y sus sales</t>
  </si>
  <si>
    <t>Oxitocina (DCI)</t>
  </si>
  <si>
    <t>Hormonas polipeptídicas, hormonas proteicas y hormonas… (los demás)</t>
  </si>
  <si>
    <t>Cortisona, hidrocortisona, prednisona (dehidrocortisona) y…, hidrocortisona</t>
  </si>
  <si>
    <t>Prednisolona (DCI) (dehidrohidrocortisona)</t>
  </si>
  <si>
    <t>Prednisona (dehidrocortisona)</t>
  </si>
  <si>
    <t>Cortisona, hidrocortisona, prednisona (dehidrocortisona) y…, cortisona</t>
  </si>
  <si>
    <t>Betametasona (DCI)</t>
  </si>
  <si>
    <t>Dexametasona (DCI)</t>
  </si>
  <si>
    <t>Triamcinolona (DCI)</t>
  </si>
  <si>
    <t>Fluocinonida (DCI)</t>
  </si>
  <si>
    <t>Derivados halogenados de las hormonas corticosteroides, de la hidrocortisona</t>
  </si>
  <si>
    <t>Derivados halogenados de las hormonas corticosteroides (los demás)</t>
  </si>
  <si>
    <t>Progesterona (DCI) y sus derivados</t>
  </si>
  <si>
    <t>Estriol (hidrato de foliculina)</t>
  </si>
  <si>
    <t>Estrógenos y progestógenos (los demás)</t>
  </si>
  <si>
    <t>Ciproterona (DCI)</t>
  </si>
  <si>
    <t>Finasteride (DCI)</t>
  </si>
  <si>
    <t>Corticosterona y sus ésteres</t>
  </si>
  <si>
    <t>Pregnenolona (DCI) y epoxipregnenolona</t>
  </si>
  <si>
    <t>Ésteres y sales de la hidrocortisona</t>
  </si>
  <si>
    <t>Acetato de desoxicorticosterona (DCIM); acetato de cloroprednisona (DCIM)</t>
  </si>
  <si>
    <t>Hormonas esteroideas, sus derivados y análogos estructurales (los demás)</t>
  </si>
  <si>
    <t>Prostaglandinas, tromboxanos y leucotrienos, sus derivados y análogos estructurales</t>
  </si>
  <si>
    <t>Hormonas, prostaglandinas, tromboxanos y leucotrienos, naturales o… (los demás)</t>
  </si>
  <si>
    <t>Rutósido (rutina) y sus derivados</t>
  </si>
  <si>
    <t>Heterósidos, naturales o reproducidos por síntesis, sus sales…, saponinas</t>
  </si>
  <si>
    <t>Heterósidos, naturales o reproducidos por síntesis, sus sales… (los demás)</t>
  </si>
  <si>
    <t>Concentrado de paja de adormidera y sus sales</t>
  </si>
  <si>
    <t>Codeína y sus sales</t>
  </si>
  <si>
    <t>Dihidrocodeína (DCI) y sus sales</t>
  </si>
  <si>
    <t>Heroína y sus sales</t>
  </si>
  <si>
    <t>Morfina y sus sales</t>
  </si>
  <si>
    <t>Buprenorfina (DCI), etilmorfina, etorfina (DCI), hidrocodona (DCI), hidromorfona (DCI); sales de estos productos</t>
  </si>
  <si>
    <t>Folcodina (DCI), nicomorfina (DCI), oxicodona (DCI), oximorfona (DCI), tebacona (DCI) y tebaína; sales de estos productos</t>
  </si>
  <si>
    <t>Papaverina, sus sales y derivados</t>
  </si>
  <si>
    <t>Alcaloides del opio y sus derivados (los demás)</t>
  </si>
  <si>
    <t>Alcaloides de la quina (chinchona) y sus derivados; sales de estos productos</t>
  </si>
  <si>
    <t>Cafeína y sus sales</t>
  </si>
  <si>
    <t>Efedrina y sus sales</t>
  </si>
  <si>
    <t>Seudoefedrina (DCI) y sus sales</t>
  </si>
  <si>
    <t>Catina (DCI) y sus sales</t>
  </si>
  <si>
    <t>Norefedrina y sus sales</t>
  </si>
  <si>
    <t>2939451000</t>
  </si>
  <si>
    <t>Levometanfetamina y sus sales</t>
  </si>
  <si>
    <t>2939452000</t>
  </si>
  <si>
    <t>Metanfetamina (DCI) y sus sales</t>
  </si>
  <si>
    <t>2939453000</t>
  </si>
  <si>
    <t>Racemato de metanfetamina y sus sales</t>
  </si>
  <si>
    <t>Alcaloides, naturales o reproducidos por síntesis, sus sales, éteres,  (los demás)</t>
  </si>
  <si>
    <t>2939491000</t>
  </si>
  <si>
    <t>Ésteres y demás derivados de la levometanfetamina</t>
  </si>
  <si>
    <t>2939492000</t>
  </si>
  <si>
    <t>Ésteres y demás derivados de la metanfetamina (DCI)</t>
  </si>
  <si>
    <t>2939493000</t>
  </si>
  <si>
    <t>Ésteres y demás derivados de racemato de metanfetamina</t>
  </si>
  <si>
    <t>2939499000</t>
  </si>
  <si>
    <t>Alcaloides de la efedra y sus derivados (los demás)</t>
  </si>
  <si>
    <t>Fenetilina (DCI) y sus sales</t>
  </si>
  <si>
    <t>Teofilina y aminofilina (teofilina-etilendiamina) y sus derivados (los demás)</t>
  </si>
  <si>
    <t>Ergometrina (DCI) y sus sales</t>
  </si>
  <si>
    <t>Ergotamina (DCI) y sus sales</t>
  </si>
  <si>
    <t>Ácido lisérgico y sus sales</t>
  </si>
  <si>
    <t>Alcaloides del cornezuelo del centeno y sus derivados (los demás)</t>
  </si>
  <si>
    <t>Cocaína; sus sales, ésteres y demás derivados</t>
  </si>
  <si>
    <t>Ecgonina; sus sales, ésteres y demás derivados</t>
  </si>
  <si>
    <t>Levometanfetamina</t>
  </si>
  <si>
    <t>Sales, ésteres y demás derivados</t>
  </si>
  <si>
    <t>Metanfetamina (DCI)</t>
  </si>
  <si>
    <t>Racemato de metanfetamina</t>
  </si>
  <si>
    <t>2939721000</t>
  </si>
  <si>
    <t>2939722000</t>
  </si>
  <si>
    <t>Escopolamina; sus sales y derivados</t>
  </si>
  <si>
    <t>Alcaloides, naturales o reproducidos por síntesis, sus sales, éteres… (los demás)</t>
  </si>
  <si>
    <t>Ampicilina (DCI) y sus sales</t>
  </si>
  <si>
    <t>Amoxicilina (DCI) y sus sales</t>
  </si>
  <si>
    <t>Oxacilina (DCI), cloxacilina (DCI), dicloxacilina (DCI) y sus sales</t>
  </si>
  <si>
    <t>Derivados de ampicilina, amoxicilina y dicloxacilina</t>
  </si>
  <si>
    <t>Penicilinas y sus derivados con la estructura del ácido penicilánico (los demás)</t>
  </si>
  <si>
    <t>Estreptomicinas y sus derivados; sales de estos productos</t>
  </si>
  <si>
    <t>Oxitetraciclina (ISO) (DCI) y sus derivados; sales de estos productos</t>
  </si>
  <si>
    <t>Clorotetraciclina y sus derivados; sales de estos productos</t>
  </si>
  <si>
    <t>Tetraciclinas y sus derivados (los demás)</t>
  </si>
  <si>
    <t>Cloranfenicol y sus derivados; sales de estos productos</t>
  </si>
  <si>
    <t>Eritromicina y sus derivados; sales de estos productos</t>
  </si>
  <si>
    <t>Neomicina (DCI) y sus derivados; sales de estos productos</t>
  </si>
  <si>
    <t>Actinomicina y sus derivados; sales de estos productos</t>
  </si>
  <si>
    <t>Bacitracina (DCI) y sus derivados; sales de estos productos</t>
  </si>
  <si>
    <t>Gramicidina (DCI) y sus derivados; sales de estos productos</t>
  </si>
  <si>
    <t>Tirotricina (DCI) y sus derivados; sales de estos productos</t>
  </si>
  <si>
    <t>Cefalexina (DCI)</t>
  </si>
  <si>
    <t>Cefalexina (DCI) y sus derivados (los demás)</t>
  </si>
  <si>
    <t>Antibióticos (los demás)</t>
  </si>
  <si>
    <t>Extractos de glándulas o de otros órganos o de sus secreciones, de hígado</t>
  </si>
  <si>
    <t>Extractos de glándulas o de otros órganos o de sus secreciones, de bilis</t>
  </si>
  <si>
    <t>Extractos de glándulas o de otros órganos o de sus secreciones (los demás)</t>
  </si>
  <si>
    <t>Heparina y sus sales</t>
  </si>
  <si>
    <t>Glándulas y demás órganos para usos opoterápicos, desecados, incluso… (los demás)</t>
  </si>
  <si>
    <t>Kit para el diagnóstico de la malaria (paludismo)</t>
  </si>
  <si>
    <t>Antisueros (sueros con anticuerpos), antiofídico</t>
  </si>
  <si>
    <t>Antisueros (sueros con anticuerpos), antitetánico</t>
  </si>
  <si>
    <t>Plasma humano</t>
  </si>
  <si>
    <t>Antisueros (sueros con anticuerpos) y demás fracciones de la sangre (los demás)</t>
  </si>
  <si>
    <t>Productos inmunológicos sin mezclar, sin dosificar ni acondicionar…, para tratamiento oncológico o VIH</t>
  </si>
  <si>
    <t>Reactivos de laboratorio o de diagnóstico que no se empleen en el paciente</t>
  </si>
  <si>
    <t>Productos inmunológicos sin mezclar, sin dosificar ni acondicionar… (los demás)</t>
  </si>
  <si>
    <t>Productos inmunológicos mezclados, sin dosificar ni acondicionar para…, para tratamiento oncológico o VIH</t>
  </si>
  <si>
    <t>Productos inmunológicos mezclados, sin dosificar ni acondicionar para… (los demás)</t>
  </si>
  <si>
    <t>Productos inmunológicos dosificados o acondicionados para la venta al…, para tratamiento oncológico o VIH</t>
  </si>
  <si>
    <t>Productos inmunológicos dosificados o acondicionados para la venta al… (los demás)</t>
  </si>
  <si>
    <t>Para tratamiento oncológico o VIH</t>
  </si>
  <si>
    <t>Sangre humana; sangre animal preparada para usos terapéuticos, profilá (los demás)</t>
  </si>
  <si>
    <t>Vacuna antipoliomielítica</t>
  </si>
  <si>
    <t>Vacuna antirrábica</t>
  </si>
  <si>
    <t>Vacuna antisarampionosa</t>
  </si>
  <si>
    <t>Antiaftosa</t>
  </si>
  <si>
    <t>3002411000</t>
  </si>
  <si>
    <t>Vacunas para uso en medicina humana, antipoliomielítica</t>
  </si>
  <si>
    <t>3002412000</t>
  </si>
  <si>
    <t>Vacunas para uso en medicina humana, antirrábica</t>
  </si>
  <si>
    <t>3002413000</t>
  </si>
  <si>
    <t>Vacunas para uso en medicina humana, antisarampionosa</t>
  </si>
  <si>
    <t>3002414000</t>
  </si>
  <si>
    <t>Vacunas para uso en medicina humana, antiCOVID-19</t>
  </si>
  <si>
    <t>3002419000</t>
  </si>
  <si>
    <t>Vacunas para uso en medicina humana (los demás)</t>
  </si>
  <si>
    <t>3002421000</t>
  </si>
  <si>
    <t>Vacunas para uso en medicina veterinaria, antiaftosa</t>
  </si>
  <si>
    <t>3002429000</t>
  </si>
  <si>
    <t>Vacunas para uso en medicina veterinaria (los demás)</t>
  </si>
  <si>
    <t>3002491000</t>
  </si>
  <si>
    <t>Cultivos de microorganismos</t>
  </si>
  <si>
    <t>3002492000</t>
  </si>
  <si>
    <t>Vacunas, toxinas, cultivos de microorganismos, saxitoxina</t>
  </si>
  <si>
    <t>3002493000</t>
  </si>
  <si>
    <t>Vacunas, toxinas, cultivos de microorganismos, ricina</t>
  </si>
  <si>
    <t>3002499000</t>
  </si>
  <si>
    <t>Vacunas, toxinas, cultivos de microorganismos (los demás)</t>
  </si>
  <si>
    <t>3002510000</t>
  </si>
  <si>
    <t>Productos de terapia celular</t>
  </si>
  <si>
    <t>3002590000</t>
  </si>
  <si>
    <t>Cultivos de células, incluso modificadas (los demás)</t>
  </si>
  <si>
    <t>Sangre humana</t>
  </si>
  <si>
    <t>Saxitoxina</t>
  </si>
  <si>
    <t>Ricina</t>
  </si>
  <si>
    <t>Sangre humana (los demás)</t>
  </si>
  <si>
    <t>Medicamentos, que contengan penicilinas o derivados de estos productos con la estructura del ácido penicilánico, o estreptomicinas o derivados de esto</t>
  </si>
  <si>
    <t>Medicamentos (los demás, que contengan antibióticos)</t>
  </si>
  <si>
    <t>Medicamentos, que contengan insulina</t>
  </si>
  <si>
    <t>Medicamentos (los demás)</t>
  </si>
  <si>
    <t>Medicamentos, que contengan efedrina o sus sales</t>
  </si>
  <si>
    <t>Medicamentos, que contengan seudoefedrina (DCI) o sus sales</t>
  </si>
  <si>
    <t>Medicamentos, que contengan norefedrina o sus sales</t>
  </si>
  <si>
    <t>Medicamentos (los demás, que contengan los principios activos contra la malaria (paludismo) descritos en la Nota 2 de subpartida del presente Capítulo</t>
  </si>
  <si>
    <t>Medicamentos, para uso veterinario</t>
  </si>
  <si>
    <t>Medicamentos, que contengan penicilinas o derivados de estos productos con la…, para uso humano</t>
  </si>
  <si>
    <t>Medicamentos, que contengan penicilinas o derivados de estos productos con la…, para uso veterinario</t>
  </si>
  <si>
    <t>Medicamentos, para uso humano, para tratamiento oncológico o VIH</t>
  </si>
  <si>
    <t>Medicamentos, para uso humano (los demás)</t>
  </si>
  <si>
    <t>Medicamentos, que contengan hormonas corticosteroides, sus derivados…, para uso humano, para tratamiento oncológico o VIH</t>
  </si>
  <si>
    <t>Medicamentos, que contengan hormonas corticosteroides, sus derivados…, para uso humano (los demás)</t>
  </si>
  <si>
    <t>Medicamentos, que contengan hormonas corticosteroides, sus derivados o análogos…, para uso veterinario</t>
  </si>
  <si>
    <t>Medicamentos, que contengan efedrina o sus sales, para uso humano</t>
  </si>
  <si>
    <t>Medicamentos, que contengan efedrina o sus sales, para uso veterinario</t>
  </si>
  <si>
    <t>Medicamentos, que contengan seudoefedrina (DCI) o sus sales, para uso humano</t>
  </si>
  <si>
    <t>Medicamentos, que contengan seudoefedrina (DCI) o sus sales, para uso veterinario</t>
  </si>
  <si>
    <t>Medicamentos, que contengan norefedrina o sus sales, para uso humano</t>
  </si>
  <si>
    <t>Medicamentos, que contengan norefedrina o sus sales, para uso veterinario</t>
  </si>
  <si>
    <t>Sustitutos sintéticos del plasma humano</t>
  </si>
  <si>
    <t>Medicamentos, anestésicos</t>
  </si>
  <si>
    <t>Parches impregnados con nitroglicerina</t>
  </si>
  <si>
    <t>Medicamentos, para la alimentación vía parenteral</t>
  </si>
  <si>
    <t>Medicamentos, para tratamiento oncológico o VIH</t>
  </si>
  <si>
    <t>Esparadrapos y venditas</t>
  </si>
  <si>
    <t>Apósitos y demás artículos, con una capa adhesiva (los demás)</t>
  </si>
  <si>
    <t>Algodón hidrófilo</t>
  </si>
  <si>
    <t>Guatas, gasas, vendas y artículos análogos (por ejemplo, vendas</t>
  </si>
  <si>
    <t>Impregnadas de yeso u otras substancias propias para el tratamiento de fracturas</t>
  </si>
  <si>
    <t>Gasas (los demás)</t>
  </si>
  <si>
    <t>Guatas, gasas, vendas y artículos análogos (por ejemplo (los demás)</t>
  </si>
  <si>
    <t>Catguts estériles y ligaduras estériles similares, para suturas quirúrgicas (incluidos los hilos reabsorbibles estériles para cirugía u odontología)</t>
  </si>
  <si>
    <t>Adhesivos estériles para tejidos orgánicos</t>
  </si>
  <si>
    <t>Catguts estériles y ligaduras estériles similares, para suturas… (los demás)</t>
  </si>
  <si>
    <t>Reactivos para la determinación de los grupos o de los factores sanguíneos</t>
  </si>
  <si>
    <t>Preparaciones opacificantes a base de sulfato de bario</t>
  </si>
  <si>
    <t>Preparaciones opacificantes para exámenes radiológicos (los demás, preparaciones opacificantes)</t>
  </si>
  <si>
    <t>Reactivos de diagnóstico</t>
  </si>
  <si>
    <t>Cementos y demás productos de obturación dental</t>
  </si>
  <si>
    <t>Cementos para la refección de huesos</t>
  </si>
  <si>
    <t>Preparaciones químicas anticonceptivas a base de hormonas, de otros productos de la partida 29.37 o de espermicidas</t>
  </si>
  <si>
    <t xml:space="preserve">Preparaciones en forma de gel, concebidas para ser utilizadas en medicina o veterinaria como lubricante para ciertas partes del cuerpo en operaciones </t>
  </si>
  <si>
    <t>Dispositivos identificables para uso en estomas</t>
  </si>
  <si>
    <t>Desechos farmacéuticos</t>
  </si>
  <si>
    <t>3006930000</t>
  </si>
  <si>
    <t>Placebos y kits para ensayos clínicos ciegos (o doble ciego), destinados para ensayos clínicos reconocidos, presentados en forma de dosis</t>
  </si>
  <si>
    <t>Guano de aves marinas</t>
  </si>
  <si>
    <t>Abonos (los demás)</t>
  </si>
  <si>
    <t>Urea, incluso en disolución acuosa (los demás)</t>
  </si>
  <si>
    <t>Sulfato de amonio</t>
  </si>
  <si>
    <t>Sulfato de amonio (los demás)</t>
  </si>
  <si>
    <t>Nitrato de amonio, incluso en disolución acuosa, con un contenido de nitrógeno total inferior o igual a 34,5 % y densidad aparente superior a 0,85 g/m</t>
  </si>
  <si>
    <t>Con un contenido de nitrógeno total superior o igual a 34,5% y densidad aparente superior o igual a 0,65 g/ml e inferior o igual a 0,85 g/ml (grado anfo)</t>
  </si>
  <si>
    <t>Nitrato de amonio, incluso en disolución acuosa (los demás)</t>
  </si>
  <si>
    <t>Mezclas de nitrato de amonio con carbonato de calcio u otras materias inorgánicas sin poder fertilizante</t>
  </si>
  <si>
    <t>Nitrato de sodio</t>
  </si>
  <si>
    <t>Sales dobles y mezclas entre sí de nitrato de calcio y nitrato de amonio</t>
  </si>
  <si>
    <t>Mezclas de urea con nitrato de amonio en disolución acuosa o amoniacal</t>
  </si>
  <si>
    <t>Mezclas de nitrato de calcio con nitrato de magnesio</t>
  </si>
  <si>
    <t>Abonos minerales o químicos nitrogenados (los demás)</t>
  </si>
  <si>
    <t>Superfosfatos, con un contenido de pentóxido de difósforo (P2O5) superior o igual al 35 % en peso</t>
  </si>
  <si>
    <t>Superfosfatos (los demás)</t>
  </si>
  <si>
    <t>Escorias de desfosforación</t>
  </si>
  <si>
    <t>Abonos minerales o químicos fosfatados (los demás)</t>
  </si>
  <si>
    <t>Cloruro de potasio (los demás)</t>
  </si>
  <si>
    <t>Sulfato de potasio</t>
  </si>
  <si>
    <t>Sulfato de magnesio y potasio</t>
  </si>
  <si>
    <t>Carnalita, silvinita y demás sales de potasio, naturales, en bruto</t>
  </si>
  <si>
    <t>Abonos minerales o químicos potásicos (los demás)</t>
  </si>
  <si>
    <t>Productos de este Capítulo en tabletas o formas similares o en envases de un peso bruto inferior o igual a 10 kg</t>
  </si>
  <si>
    <t>Abonos minerales o químicos con los tres elementos fertilizantes: nitrógeno, fósforo y potasio</t>
  </si>
  <si>
    <t>Hidrogenoortofosfato de diamonio (fosfato diamónico)</t>
  </si>
  <si>
    <t>Dihidrogenoortofosfato de amonio (fosfato monoamónico), incluso mezclado con el hidrogenoortofosfato de diamonio (fosfato diamónico)</t>
  </si>
  <si>
    <t>Abonos minerales o químicos, con dos o tres de los elementos…, que contengan nitratos y fosfatos</t>
  </si>
  <si>
    <t>Abonos minerales o químicos, con dos o tres de los elementos… (los demás)</t>
  </si>
  <si>
    <t>Abonos minerales o químicos con los dos elementos fertilizantes: fósforo y potasio</t>
  </si>
  <si>
    <t>Nitrato sódico potásico (salitre)</t>
  </si>
  <si>
    <t>Abonos minerales o químicos, con dos o tres de los elementos… (los demás, abonos minerales o químicos con los dos elementos fertilizantes: nitrógeno y</t>
  </si>
  <si>
    <t>Extracto de quebracho</t>
  </si>
  <si>
    <t>Extracto de mimosa (acacia)</t>
  </si>
  <si>
    <t>Tanino de quebracho</t>
  </si>
  <si>
    <t>Extractos de roble o de castaño</t>
  </si>
  <si>
    <t>Extractos de mangle o de dividivi</t>
  </si>
  <si>
    <t>Productos curtientes orgánicos sintéticos</t>
  </si>
  <si>
    <t>Productos curtientes orgánicos sintéticos (los demás)</t>
  </si>
  <si>
    <t>Productos curtientes orgánicos sintéticos, de origen vegetal, de campeche</t>
  </si>
  <si>
    <t>Productos curtientes orgánicos sintéticos, de origen vegetal, clorofilas</t>
  </si>
  <si>
    <t>Indigo natural</t>
  </si>
  <si>
    <t>Productos curtientes orgánicos sintéticos, de origen vegetal, de achiote (onoto, bija)</t>
  </si>
  <si>
    <t>Productos curtientes orgánicos sintéticos, de origen vegetal, de marigold (xantófila)</t>
  </si>
  <si>
    <t>Productos curtientes orgánicos sintéticos, de origen vegetal, de maíz morado (antocianina)</t>
  </si>
  <si>
    <t>Productos curtientes orgánicos sintéticos, de origen vegetal, de cúrcuma (curcumina)</t>
  </si>
  <si>
    <t>Productos curtientes orgánicos sintéticos, de origen vegetal (los demás)</t>
  </si>
  <si>
    <t>Productos curtientes orgánicos sintéticos, de origen animal, de cochinilla</t>
  </si>
  <si>
    <t>Productos curtientes orgánicos sintéticos, de origen animal (los demás)</t>
  </si>
  <si>
    <t>Colorantes dispersos y preparaciones a base de estos colorantes</t>
  </si>
  <si>
    <t>Colorantes ácidos, incluso metalizados, y preparaciones a base de estos colorantes; colorantes para mordiente y preparaciones a base de estos colorant</t>
  </si>
  <si>
    <t>Colorantes básicos y preparaciones a base de estos colorantes</t>
  </si>
  <si>
    <t>Colorantes directos y preparaciones a base de estos colorantes</t>
  </si>
  <si>
    <t>Indigo sintético</t>
  </si>
  <si>
    <t>Colorantes a la tina o a la cuba (incluidos los utilizables… (los demás)</t>
  </si>
  <si>
    <t>Colorantes reactivos y preparaciones a base de estos colorantes</t>
  </si>
  <si>
    <t>Colorantes pigmentarios y preparaciones a base de estos colorantes</t>
  </si>
  <si>
    <t>3204180000</t>
  </si>
  <si>
    <t>Colorantes carotenoides y preparaciones a base de estos colorantes</t>
  </si>
  <si>
    <t>3204190000</t>
  </si>
  <si>
    <t>Materias colorantes orgánicas sintéticas y preparaciones a que se… (los demás, incluidas las mezclas de materias colorantes de dos o más de las subpar</t>
  </si>
  <si>
    <t>Preparaciones a base de carotenoides sintéticos</t>
  </si>
  <si>
    <t>Materias colorantes orgánicas sintéticas, aunque sean de constitución  (los demás)</t>
  </si>
  <si>
    <t>Productos orgánicos sintéticos de los tipos utilizados para el avivado fluorescente</t>
  </si>
  <si>
    <t>Materias colorantes orgánicas sintéticas, aunque sean de constitución… (los demás)</t>
  </si>
  <si>
    <t>Pigmentos y preparaciones a base de dióxido de titanio, con un contenido de dióxido de titanio superior o igual al 80 % en peso, calculado sobre mater</t>
  </si>
  <si>
    <t>Pigmentos y preparaciones a base de dióxido de titanio (los demás)</t>
  </si>
  <si>
    <t>Pigmentos y preparaciones a base de compuestos de cromo</t>
  </si>
  <si>
    <t>Ultramar y sus preparaciones</t>
  </si>
  <si>
    <t>Litopón y demás pigmentos y preparaciones a base de sulfuro de cinc</t>
  </si>
  <si>
    <t>Dispersiones concentradas de los demás pigmentos, en plástico, caucho u otros medios</t>
  </si>
  <si>
    <t>Pigmentos y preparaciones a base de compuestos de cadmio</t>
  </si>
  <si>
    <t>Pigmentos y preparaciones a base de hexacianoferratos (ferrocianuros o ferricianuros)</t>
  </si>
  <si>
    <t>3206494000</t>
  </si>
  <si>
    <t>Pigmentos y preparaciones a base de negros de origen mineral</t>
  </si>
  <si>
    <t>3206499000</t>
  </si>
  <si>
    <t>Extractos curtientes o tintóreos (los demás)</t>
  </si>
  <si>
    <t>Negros de origen mineral</t>
  </si>
  <si>
    <t>Las demás materias colorantes; preparaciones a que se refiere la Nota  (los demás)</t>
  </si>
  <si>
    <t>Productos inorgánicos de los tipos utilizados como luminóforos</t>
  </si>
  <si>
    <t>Pigmentos, opacificantes y colores preparados y preparaciones similares</t>
  </si>
  <si>
    <t>Composiciones vitrificables</t>
  </si>
  <si>
    <t>Composiciones vitrificables, engobes y preparaciones similares (los demás)</t>
  </si>
  <si>
    <t>Abrillantadores (lustres) líquidos y preparaciones similares</t>
  </si>
  <si>
    <t>Frita de vidrio</t>
  </si>
  <si>
    <t>Frita de vidrio y demás vidrios, en polvo, gránulos, copos o… (los demás)</t>
  </si>
  <si>
    <t>Pinturas y barnices a base de polímeros sintéticos o naturales…, a base de poliésteres</t>
  </si>
  <si>
    <t>Pinturas y barnices a base de polímeros sintéticos o naturales…, a base de polímeros acrílicos o vinílicos</t>
  </si>
  <si>
    <t>Pinturas y barnices a base de polímeros sintéticos o naturales… (los demás)</t>
  </si>
  <si>
    <t>Pinturas marinas anticorrosivas y antiincrustantes</t>
  </si>
  <si>
    <t>Pigmentos al agua de los tipos utilizados para el acabado del cuero</t>
  </si>
  <si>
    <t>Hojas para el marcado a fuego</t>
  </si>
  <si>
    <t>Pigmentos (incluidos el polvo y escamillas metálicos) dispersos en medios no acuosos, líquidos o en pasta, de los tipos utilizados para la fabricación</t>
  </si>
  <si>
    <t>Tintes y demás materias colorantes presentados en formas o en envases para la venta al por menor</t>
  </si>
  <si>
    <t>Pinturas al agua (témpera, acuarela)</t>
  </si>
  <si>
    <t>Colores en surtidos (los demás)</t>
  </si>
  <si>
    <t>Colores para la pintura artística, la enseñanza, la pintura de… (los demás)</t>
  </si>
  <si>
    <t>Masilla, cementos de resina y demás mástiques</t>
  </si>
  <si>
    <t>Plastes (enduidos) utilizados en pintura</t>
  </si>
  <si>
    <t>Masilla, cementos de resina y demás mástiques (los demás)</t>
  </si>
  <si>
    <t>Tintas de imprimir, negras</t>
  </si>
  <si>
    <t>Tintas de imprimir (los demás)</t>
  </si>
  <si>
    <t>Tintas de imprimir, tintas de escribir o dibujar y demás tintas…, para copiadoras hectográficas y mimeógrafos</t>
  </si>
  <si>
    <t>Tintas de imprimir, tintas de escribir o dibujar y demás tintas…, para bolígrafos</t>
  </si>
  <si>
    <t>Tintas de imprimir, tintas de escribir o dibujar y demás tintas… (los demás)</t>
  </si>
  <si>
    <t>Aceites esenciales de agrios (cítricos), de naranja</t>
  </si>
  <si>
    <t>Aceites esenciales de agrios (cítricos), de limón</t>
  </si>
  <si>
    <t>Aceites esenciales de agrios (cítricos), de lima (Citrus aurantifolia, Citrus latifolia)</t>
  </si>
  <si>
    <t>Aceites esenciales de agrios (cítricos) (los demás)</t>
  </si>
  <si>
    <t>Aceites esenciales, de menta piperita (Mentha piperita)</t>
  </si>
  <si>
    <t>Aceites esenciales, de las demás mentas</t>
  </si>
  <si>
    <t>Aceites esenciales, de anís</t>
  </si>
  <si>
    <t>Aceites esenciales, de eucalipto</t>
  </si>
  <si>
    <t>Aceites esenciales, de lavanda (espliego) o de lavandín</t>
  </si>
  <si>
    <t>Resinoides</t>
  </si>
  <si>
    <t>Oleorresinas de extracción</t>
  </si>
  <si>
    <t>Mezclas de sustancias odoríferas y mezclas (incluidas…, de los tipos utilizados en las industrias alimentarias o de bebidas, cuyo grado alcohólico vol</t>
  </si>
  <si>
    <t>Mezclas de sustancias odoríferas y mezclas (incluidas las… (los demás)</t>
  </si>
  <si>
    <t>Preparaciones para el maquillaje de los labios</t>
  </si>
  <si>
    <t>Preparaciones para el maquillaje de los ojos</t>
  </si>
  <si>
    <t>Preparaciones para manicuras o pedicuros</t>
  </si>
  <si>
    <t>Polvos, incluidos los compactos</t>
  </si>
  <si>
    <t>Preparaciones para ondulación o desrizado permanentes</t>
  </si>
  <si>
    <t>Lacas para el cabello</t>
  </si>
  <si>
    <t>Preparaciones capilares (los demás)</t>
  </si>
  <si>
    <t>Dentífricos</t>
  </si>
  <si>
    <t>Hilo utilizado para limpieza de los espacios interdentales (hilo dental)</t>
  </si>
  <si>
    <t>Preparaciones para higiene bucal o dental, incluidos los polvos y… (los demás)</t>
  </si>
  <si>
    <t>Preparaciones para afeitar o para antes o después del afeitado</t>
  </si>
  <si>
    <t>Sales perfumadas y demás preparaciones para el baño</t>
  </si>
  <si>
    <t>Disoluciones para lentes de contacto o para ojos artificiales</t>
  </si>
  <si>
    <t>Preparaciones para afeitar o para antes o después del afeitado… (los demás)</t>
  </si>
  <si>
    <t>Jabón, productos y preparaciones orgánicos tensoactivos, en barras…, en barras, panes, trozos o piezas troqueladas o moldeadas</t>
  </si>
  <si>
    <t>Jabón, productos y preparaciones orgánicos tensoactivos, en barras… (los demás)</t>
  </si>
  <si>
    <t>Jabón en otras formas</t>
  </si>
  <si>
    <t>Productos y preparaciones orgánicos tensoactivos para el lavado de la piel, líquidos o en crema, acondicionados para la venta al por menor, aunque con</t>
  </si>
  <si>
    <t>Sulfatos o sulfonatos de alcoholes grasos</t>
  </si>
  <si>
    <t>Agentes de superficie orgánicos (excepto el jabón); preparaciones tens (los demás)</t>
  </si>
  <si>
    <t>Sales de aminas grasas</t>
  </si>
  <si>
    <t>Obtenidos por condensación del óxido de etileno con mezclas de alcoholes lineales de once carbones o más</t>
  </si>
  <si>
    <t>Proteínas alquilbetaínicas o sulfobetaínicas</t>
  </si>
  <si>
    <t>3402310000</t>
  </si>
  <si>
    <t>Ácidos alquilbenceno sulfónicos lineales y sus sales</t>
  </si>
  <si>
    <t>3402391000</t>
  </si>
  <si>
    <t>3402399000</t>
  </si>
  <si>
    <t>Agentes de superficie orgánicos aniónicos, incluso acondicionados… (los demás)</t>
  </si>
  <si>
    <t>3402411000</t>
  </si>
  <si>
    <t>3402419000</t>
  </si>
  <si>
    <t>Catiónicos (los demás)</t>
  </si>
  <si>
    <t>3402421000</t>
  </si>
  <si>
    <t>3402429000</t>
  </si>
  <si>
    <t>No iónicos (los demás)</t>
  </si>
  <si>
    <t>3402491000</t>
  </si>
  <si>
    <t>3402499000</t>
  </si>
  <si>
    <t>Agentes de superficie orgánicos (los demás)</t>
  </si>
  <si>
    <t>Detergentes para la industria textil</t>
  </si>
  <si>
    <t>Preparaciones tensoactivas a base de nonyl oxibenceno sulfonato de sodio</t>
  </si>
  <si>
    <t>Preparaciones para el tratamiento de materias textiles, cueros y pieles, peletería u otras materias</t>
  </si>
  <si>
    <t>Ceras artificiales y ceras preparadas, de poli(oxietileno) (polietilenglicol)</t>
  </si>
  <si>
    <t>Ceras artificiales y ceras preparadas, de lignito modificado químicamente</t>
  </si>
  <si>
    <t>Ceras artificiales y ceras preparadas, de polietileno, artificiales</t>
  </si>
  <si>
    <t>Ceras artificiales y ceras preparadas, de polietileno, preparadas</t>
  </si>
  <si>
    <t>Ceras artificiales y ceras preparadas, artificiales</t>
  </si>
  <si>
    <t>Ceras artificiales y ceras preparadas, preparadas</t>
  </si>
  <si>
    <t>Betunes, cremas y preparaciones similares para el calzado o para cueros y pieles</t>
  </si>
  <si>
    <t>Encáusticos y preparaciones similares para la conservación de muebles de madera, parqués u otras manufacturas de madera</t>
  </si>
  <si>
    <t>Abrillantadores (lustres) y preparaciones similares para carrocerías, excepto las preparaciones para lustrar metal</t>
  </si>
  <si>
    <t>Pastas, polvos y demás preparaciones para fregar</t>
  </si>
  <si>
    <t>Betunes y cremas para el calzado, encáusticos, abrillantadores… (los demás)</t>
  </si>
  <si>
    <t>Pastas para modelar</t>
  </si>
  <si>
    <t>«Ceras para odontología» o «compuestos para impresión dental»</t>
  </si>
  <si>
    <t>Betunes y cremas para el calzado, encáusticos, abrillantadores… (los demás, preparaciones para odontología a base de yeso fraguable)</t>
  </si>
  <si>
    <t>Caseína</t>
  </si>
  <si>
    <t>Colas de caseína</t>
  </si>
  <si>
    <t>Caseína, caseinatos y demás derivados de la caseína (los demás)</t>
  </si>
  <si>
    <t>Ovoalbúmina, seca</t>
  </si>
  <si>
    <t>Ovoalbúmina (los demás)</t>
  </si>
  <si>
    <t>Lactoalbúmina, incluidos los concentrados de dos o más proteínas del lactosuero</t>
  </si>
  <si>
    <t>Albúminas (incluidos los concentrados de varias proteínas del…, albúminas</t>
  </si>
  <si>
    <t>Albuminatos y demás derivados de las albúminas</t>
  </si>
  <si>
    <t>Gelatinas y sus derivados</t>
  </si>
  <si>
    <t>Ictiocola; demás colas de origen animal</t>
  </si>
  <si>
    <t>Peptonas y sus derivados</t>
  </si>
  <si>
    <t>Albúminas (incluidos los concentrados de varias proteínas del… (los demás)</t>
  </si>
  <si>
    <t>Colas</t>
  </si>
  <si>
    <t>Adhesivos a base de polímeros de las partidas 39.01 a 39.13 o de caucho</t>
  </si>
  <si>
    <t>Colas y demás adhesivos preparados, no expresados ni comprendidos en… (los demás)</t>
  </si>
  <si>
    <t>Cuajo y sus concentrados</t>
  </si>
  <si>
    <t>Enzimas pancreáticas y sus concentrados, pancreatina</t>
  </si>
  <si>
    <t>Enzimas pancreáticas y sus concentrados (los demás)</t>
  </si>
  <si>
    <t>Enzimas; preparaciones enzimáticas no expresadas ni comprendidas en…, papaína</t>
  </si>
  <si>
    <t>Enzimas; preparaciones enzimáticas no expresadas ni comprendidas en… (los demás, enzimas y sus concentrados)</t>
  </si>
  <si>
    <t>Preparaciones enzimáticas para ablandar la carne</t>
  </si>
  <si>
    <t>Preparaciones enzimáticas para clarificar bebidas</t>
  </si>
  <si>
    <t>Enzimas; preparaciones enzimáticas no expresadas ni comprendidas en… (los demás)</t>
  </si>
  <si>
    <t>Pólvora y explosivos, a base de derivados nitrados orgánicos, dinamitas</t>
  </si>
  <si>
    <t>Pólvora y explosivos, a base de derivados nitrados orgánicos (los demás)</t>
  </si>
  <si>
    <t>A base de nitrato de amonio</t>
  </si>
  <si>
    <t>3602002010</t>
  </si>
  <si>
    <t xml:space="preserve">Pólvora y explosivos, a base de nitrato de amonio, con un contenido de nitrógeno total superior o igual a 34,5 % y densidad aparente superior o igual </t>
  </si>
  <si>
    <t>3602002090</t>
  </si>
  <si>
    <t>Pólvora y explosivos, a base de nitrato de amonio (los demás)</t>
  </si>
  <si>
    <t>Pólvora y explosivos (los demás)</t>
  </si>
  <si>
    <t>Mechas de seguridad</t>
  </si>
  <si>
    <t>Cordones detonantes</t>
  </si>
  <si>
    <t>Cebos</t>
  </si>
  <si>
    <t>Cápsulas fulminantes</t>
  </si>
  <si>
    <t>Inflamadores</t>
  </si>
  <si>
    <t>Detonadores eléctricos</t>
  </si>
  <si>
    <t>3603100000</t>
  </si>
  <si>
    <t>3603200000</t>
  </si>
  <si>
    <t>3603300000</t>
  </si>
  <si>
    <t>Cebos fulminantes</t>
  </si>
  <si>
    <t>3603400000</t>
  </si>
  <si>
    <t>3603500000</t>
  </si>
  <si>
    <t>3603600000</t>
  </si>
  <si>
    <t>Artículos para fuegos artificiales</t>
  </si>
  <si>
    <t>Artículos para fuegos artificiales, cohetes de señales o granífugos y… (los demás)</t>
  </si>
  <si>
    <t>Combustibles líquidos y gases combustibles licuados en recipientes de los tipos 3utilizados para cargar o recargar encendedores o mecheros, de capacid</t>
  </si>
  <si>
    <t>Ferrocerio y demás aleaciones pirofóricas en cualquier forma</t>
  </si>
  <si>
    <t>Ferrocerio y demás aleaciones pirofóricas en cualquier forma (los demás)</t>
  </si>
  <si>
    <t>Placas y películas planas, fotográficas, sensibilizadas, sin…, para rayos X</t>
  </si>
  <si>
    <t>Películas autorrevelables</t>
  </si>
  <si>
    <t>Placas y películas planas, fotográficas, sensibilizadas, sin… (los demás)</t>
  </si>
  <si>
    <t>Placas y películas planas, fotográficas, sensibilizadas, sin…, para fotografía en colores (policroma)</t>
  </si>
  <si>
    <t>Películas fotográficas en rollos, sensibilizadas, sin impresionar, para rayos X</t>
  </si>
  <si>
    <t>Películas fotográficas en rollos, sensibilizadas, sin impresionar, para fotografía en colores (policroma)</t>
  </si>
  <si>
    <t>Películas fotográficas en rollos, sensibilizadas, sin impresionar (los demás, con emulsión de halogenuros de plata)</t>
  </si>
  <si>
    <t>Películas fotográficas en rollos, sensibilizadas, sin impresionar (los demás)</t>
  </si>
  <si>
    <t>Películas fotográficas en rollos, sensibilizadas, sin impresionar, de anchura superior a 610 mm y longitud superior a 200 m, para fotografía en colore</t>
  </si>
  <si>
    <t>Películas fotográficas en rollos, sensibilizadas, sin impresionar, de anchura superior a 610 mm y longitud superior a 200 m, excepto para fotografía e</t>
  </si>
  <si>
    <t>Películas fotográficas en rollos, sensibilizadas, sin impresionar, de anchura superior a 610 mm y de longitud inferior o igual a 200 m</t>
  </si>
  <si>
    <t>Películas fotográficas en rollos, sensibilizadas, sin impresionar, de anchura superior a 105 mm pero inferior o igual a 610 mm</t>
  </si>
  <si>
    <t>Películas fotográficas en rollos, sensibilizadas, sin impresionar, de anchura inferior o igual a 16 mm</t>
  </si>
  <si>
    <t>Películas fotográficas en rollos, sensibilizadas, sin impresionar, de anchura superior a 16 mm pero inferior o igual a 35 mm y longitud inferior o igu</t>
  </si>
  <si>
    <t xml:space="preserve">Películas fotográficas en rollos, sensibilizadas, sin impresionar, de anchura superior a 16 mm pero inferior o igual a 35 mm y longitud superior a 30 </t>
  </si>
  <si>
    <t>Películas fotográficas en rollos, sensibilizadas, sin impresionar, de anchura superior a 35 mm</t>
  </si>
  <si>
    <t>Películas fotográficas en rollos, sensibilizadas, sin impresionar, de anchura inferior o igual a 35 mm y longitud inferior o igual a 30 m</t>
  </si>
  <si>
    <t>Películas fotográficas en rollos, sensibilizadas, sin impresionar, de anchura inferior o igual a 35 mm y longitud superior a 30 m</t>
  </si>
  <si>
    <t>Papel, cartón y textiles, fotográficos, sensibilizados, sin…, en rollos de anchura superior a 610 mm</t>
  </si>
  <si>
    <t>Papel, cartón y textiles, fotográficos, sensibilizados, sin… (los demás, para fotografía en colores (policroma))</t>
  </si>
  <si>
    <t>Papel, cartón y textiles, fotográficos, sensibilizados, sin… (los demás)</t>
  </si>
  <si>
    <t>Papel, cartón y textiles, fotográficos, sensibilizados, sin…, para la reproducción offset</t>
  </si>
  <si>
    <t>Películas cinematográficas (filmes), impresionadas y reveladas, con…, de anchura superior o igual a 35 mm</t>
  </si>
  <si>
    <t>Películas cinematográficas (filmes), impresionadas y reveladas, con… (los demás)</t>
  </si>
  <si>
    <t>Emulsiones para sensibilizar superficies</t>
  </si>
  <si>
    <t>Preparaciones químicas para uso fotográfico (los demás)</t>
  </si>
  <si>
    <t>Grafito artificial</t>
  </si>
  <si>
    <t>Grafito coloidal o semicoloidal</t>
  </si>
  <si>
    <t>Pastas carbonosas para electrodos y pastas similares para el revestimiento interior de hornos</t>
  </si>
  <si>
    <t>Grafito artificial (los demás)</t>
  </si>
  <si>
    <t>Carbón activado</t>
  </si>
  <si>
    <t>Harinas silíceas fósiles (por ejemplo: «Kieselguhr», tripolita, diatomita) activadas</t>
  </si>
  <si>
    <t>Negro de origen animal, incluido el agotado</t>
  </si>
  <si>
    <t>Carbón activado (los demás)</t>
  </si>
  <si>
    <t>Lignosulfitos, incluidos los lignosulfonatos</t>
  </si>
  <si>
    <t>Esencias de trementina, de madera de pino o de pasta celulósica al sulfato (sulfato de trementina)</t>
  </si>
  <si>
    <t>Aceite de pino</t>
  </si>
  <si>
    <t>Esencias de trementina, de madera de pino o de pasta celulósica al… (los demás)</t>
  </si>
  <si>
    <t>Colofonias y ácidos resínicos</t>
  </si>
  <si>
    <t>Sales de colofonias, de ácidos resínicos o de derivados de colofonias o de ácidos resínicos, excepto las sales de aductos de colofonias</t>
  </si>
  <si>
    <t>Gomas éster</t>
  </si>
  <si>
    <t>Esencia y aceites de colofonia</t>
  </si>
  <si>
    <t>Gomas fundidas</t>
  </si>
  <si>
    <t>Colofonias y ácidos resínicos, y sus derivados (los demás)</t>
  </si>
  <si>
    <t>DDT (ISO) (clofenotano (DCI)), acondicionado en envases con un contenido en peso neto inferior o igual a 300 g</t>
  </si>
  <si>
    <t>Insecticidas presentados en formas o envases para la venta al por menor o en artículos</t>
  </si>
  <si>
    <t>Insecticidas, raticidas y demás antirroedores, fungicidas, herbicidas (los demás)</t>
  </si>
  <si>
    <t>3808591100</t>
  </si>
  <si>
    <t>Insecticidas que contengan carbofurano, presentados en formas o en envases para la venta al por menor o en artículos</t>
  </si>
  <si>
    <t>3808591900</t>
  </si>
  <si>
    <t>Insecticidas que contengan carbofurano (los demás)</t>
  </si>
  <si>
    <t>3808599011</t>
  </si>
  <si>
    <t>Insecticidas, presentados en formas o en envases para la venta al por menor o en artículos</t>
  </si>
  <si>
    <t>3808599019</t>
  </si>
  <si>
    <t>Insecticidas (los demás)</t>
  </si>
  <si>
    <t>3808599090</t>
  </si>
  <si>
    <t>Productos mencionados en la Nota 1 de subpartida de este Capítulo (los demás)</t>
  </si>
  <si>
    <t>Productos mencionados en la Nota 2 de subpartida de este Capítulo, acondicionados en envases con un contenido en peso neto inferior o igual a 300 g</t>
  </si>
  <si>
    <t>Productos mencionados en la Nota 2 de subpartida de este Capítulo, acondicionados en envases con un contenido en peso neto superior a 300 g pero infer</t>
  </si>
  <si>
    <t>Productos mencionados en la Nota 2 de subpartida de este Capítulo (los demás)</t>
  </si>
  <si>
    <t>Insecticidas, presentados en formas o en envases para la venta al por menor o en…, que contengan bromometano (bromuro de metilo) o bromoclorometano</t>
  </si>
  <si>
    <t>Insecticidas, presentados en formas o en envases para la venta al por menor o en…, que contengan permetrina o cipermetrina o demás sustitutos sintétic</t>
  </si>
  <si>
    <t>Insecticidas, presentados en formas o en envases para la venta al por menor o en…, que contengan mirex o endrina</t>
  </si>
  <si>
    <t>Insecticidas, presentados en formas o en envases para la venta al por menor o en… (los demás)</t>
  </si>
  <si>
    <t>Insecticidas, que contengan piretro natural (piretrinas)</t>
  </si>
  <si>
    <t>Que contengan carbofurano, excepto la mezcla mencionada en la Nota 1 de subpartida de este Capitulo</t>
  </si>
  <si>
    <t>Insecticidas, que contengan dimetoato</t>
  </si>
  <si>
    <t>Insecticidas, que contengan bromometano (bromuro de metilo) o bromoclorometano</t>
  </si>
  <si>
    <t>Insecticidas, que contengan permetrina o cipermetrina o demás sustitutos sintéticos del piretro (piretroides)</t>
  </si>
  <si>
    <t>Insecticidas, que contengan mirex o endrina</t>
  </si>
  <si>
    <t>Fungicidas, presentados en formas o en envases para la venta al por menor o en…, que contengan bromometano (bromuro de metilo) o bromoclorometano</t>
  </si>
  <si>
    <t>Fungicidas, presentados en formas o en envases para la venta al por menor o en…, que contengan mancozeb, maneb, propineb o zineb</t>
  </si>
  <si>
    <t>Fungicidas, presentados en formas o en envases para la venta al por menor o en… (los demás)</t>
  </si>
  <si>
    <t>Fungicidas, que contengan compuestos de cobre</t>
  </si>
  <si>
    <t>Fungicidas, que contengan mancozeb, maneb, propineb o zineb</t>
  </si>
  <si>
    <t>Fungicidas, que contengan bromometano (bromuro de metilo) o bromoclorometano</t>
  </si>
  <si>
    <t>Fungicidas, que contengan pyrazofos</t>
  </si>
  <si>
    <t>Fungicidas (los demás)</t>
  </si>
  <si>
    <t xml:space="preserve">Herbicidas, inhibidores de germinación y reguladores…, presentados en formas o en envases para la venta al por menor o en…, que contengan bromometano </t>
  </si>
  <si>
    <t>Herbicidas, inhibidores de germinación y reguladores…, presentados en formas o en envases para la venta al por menor o en… (los demás)</t>
  </si>
  <si>
    <t>Herbicidas, inhibidores de germinación y reguladores del crecimiento…, que contengan bromometano (bromuro de metilo) o bromoclorometano</t>
  </si>
  <si>
    <t>Herbicidas, inhibidores de germinación y reguladores del crecimiento…, que contengan butaclor</t>
  </si>
  <si>
    <t>Herbicidas, inhibidores de germinación y reguladores del crecimiento… (los demás)</t>
  </si>
  <si>
    <t>Desinfectantes, presentados en formas o en envases para la venta al por menor o en…, que contengan bromometano (bromuro de metilo) o bromoclorometano</t>
  </si>
  <si>
    <t>Desinfectantes, presentados en formas o en envases para la venta al por menor o en… (los demás)</t>
  </si>
  <si>
    <t>Desinfectantes, que contengan bromometano (bromuro de metilo) o bromoclorometano</t>
  </si>
  <si>
    <t>Desinfectantes (los demás)</t>
  </si>
  <si>
    <t>Insecticidas, raticidas y demás antirroedores…, presentados en formas o en envases para la venta al por menor o en…, que contengan bromometano (bromur</t>
  </si>
  <si>
    <t>Insecticidas, raticidas y demás antirroedores…, presentados en formas o en envases para la venta al por menor o en… (los demás)</t>
  </si>
  <si>
    <t>Insecticidas, raticidas y demás antirroedores, fungicidas…, que contengan bromometano (bromuro de metilo) o bromoclorometano</t>
  </si>
  <si>
    <t>Insecticidas, raticidas y demás antirroedores, fungicidas… (los demás)</t>
  </si>
  <si>
    <t>Aprestos y productos de acabado, aceleradores de tintura o de…, a base de materias amiláceas</t>
  </si>
  <si>
    <t>Aprestos y productos de acabado, aceleradores de tintura o de…, de los tipos utilizados en la industria textil o industrias similares</t>
  </si>
  <si>
    <t>Aprestos y productos de acabado, aceleradores de tintura o de…, de los tipos utilizados en la industria del papel o industrias similares</t>
  </si>
  <si>
    <t>Aprestos y productos de acabado, aceleradores de tintura o de…, de los tipos utilizados en la industria del cuero o industrias similares</t>
  </si>
  <si>
    <t>Preparaciones para el decapado de metal</t>
  </si>
  <si>
    <t>Pastas y polvos para soldar a base de aleaciones de estaño, de plomo o de antimonio</t>
  </si>
  <si>
    <t>Preparaciones para el decapado de metal (los demás)</t>
  </si>
  <si>
    <t>Flujos y demás preparaciones auxiliares para soldar metal</t>
  </si>
  <si>
    <t>Preparaciones de los tipos utilizados para recubrir o rellenar electrodos o varillas de soldadura</t>
  </si>
  <si>
    <t>Preparaciones antidetonantes, a base de compuestos de plomo</t>
  </si>
  <si>
    <t>Preparaciones antidetonantes (los demás)</t>
  </si>
  <si>
    <t>Mejoradores de viscosidad, incluso mezclados con otros aditivos</t>
  </si>
  <si>
    <t>Detergentes y dispersantes, incluso mezclados con otros aditivos, excepto mejoradores de viscosidad</t>
  </si>
  <si>
    <t>Aditivos para aceites lubricantes, que contengan aceites de petróleo o de mineral bituminoso (los demás)</t>
  </si>
  <si>
    <t>Aditivos para aceites lubricantes (los demás)</t>
  </si>
  <si>
    <t>Aceleradores de vulcanización preparados</t>
  </si>
  <si>
    <t>Plastificantes compuestos para caucho o plástico</t>
  </si>
  <si>
    <t>Mezclas de oligómeros de 2,2,4-trimetil-1,2-dihidroquinoleína (TMQ)</t>
  </si>
  <si>
    <t>Preparaciones antioxidantes</t>
  </si>
  <si>
    <t>Preparaciones antioxidantes y demás estabilizantes compuestos para… (los demás)</t>
  </si>
  <si>
    <t>Preparaciones y cargas para aparatos extintores, que contengan bromoclorodifluorometano, bromotrifluorometano o dibromotetrafluoroetanos</t>
  </si>
  <si>
    <t>Preparaciones y cargas para aparatos extintores, que contengan hidrobromofluorocarburos del metano, del etano o del propano (HBFC)</t>
  </si>
  <si>
    <t>Preparaciones y cargas para aparatos extintores, que contengan hidroclorofluorocarburos del metano, del etano o del propano (HCFC)</t>
  </si>
  <si>
    <t>Preparaciones y cargas para aparatos extintores, que contengan bromoclorometano</t>
  </si>
  <si>
    <t>Preparaciones y cargas para aparatos extintores (los demás)</t>
  </si>
  <si>
    <t>Granadas y bombas extintoras</t>
  </si>
  <si>
    <t>Aceleradores de vulcanización preparados, que contengan clorofluorocarburos del metano, del etano o del propano (CFC), incluso si contienen hidrocloro</t>
  </si>
  <si>
    <t>Aceleradores de vulcanización preparados, que contengan hidroclorofluorocarburos del metano, del etano o del propano (HCFC), pero que no contengan clo</t>
  </si>
  <si>
    <t>Aceleradores de vulcanización preparados, que contengan tetracloruro de carbono, bromoclorometano o 1,1,1-tricloroetano (metil cloroformo)</t>
  </si>
  <si>
    <t>Catalizadores sobre soporte, con níquel o sus compuestos como sustancia activa</t>
  </si>
  <si>
    <t>Catalizadores sobre soporte, con metal precioso o sus compuestos como sustancia activa</t>
  </si>
  <si>
    <t>Catalizadores sobre soporte, con titanio o sus compuestos como sustancia activa</t>
  </si>
  <si>
    <t>Catalizadores sobre soporte (los demás)</t>
  </si>
  <si>
    <t>Dodecilbenceno</t>
  </si>
  <si>
    <t>Mezclas de alquilnaftalenos</t>
  </si>
  <si>
    <t>Iniciadores y aceleradores de reacción y preparaciones catalíticas…, tridecilbenceno</t>
  </si>
  <si>
    <t>Iniciadores y aceleradores de reacción y preparaciones catalíticas…, para el desarrollo o mantenimiento de microorganismos (incluidos los virus y orga</t>
  </si>
  <si>
    <t>Iniciadores y aceleradores de reacción y preparaciones catalíticas…, para el desarrollo o mantenimiento de células vegetales, humanas o animales</t>
  </si>
  <si>
    <t>Materiales de referencia certificados</t>
  </si>
  <si>
    <t>Reactivos de diagnóstico o de laboratorio sobre cualquier soporte y re (los demás)</t>
  </si>
  <si>
    <t>3822110000</t>
  </si>
  <si>
    <t>Reactivos de diagnóstico o de laboratorio sobre cualquier soporte y…, para la malaria (paludismo)</t>
  </si>
  <si>
    <t>3822120000</t>
  </si>
  <si>
    <t>Reactivos de diagnóstico o de laboratorio sobre cualquier soporte y…, para el Zika y demás enfermedades transmitidas por mosquitos del género Aedes</t>
  </si>
  <si>
    <t>3822130000</t>
  </si>
  <si>
    <t>Reactivos de diagnóstico o de laboratorio sobre cualquier soporte y…, para la determinación de los grupos o los factores sanguíneos</t>
  </si>
  <si>
    <t>3822190000</t>
  </si>
  <si>
    <t>Reactivos de diagnóstico o de laboratorio sobre cualquier soporte y… (los demás)</t>
  </si>
  <si>
    <t>3822900000</t>
  </si>
  <si>
    <t>Alcohol laurílico</t>
  </si>
  <si>
    <t>Alcohol cetílico</t>
  </si>
  <si>
    <t>Alcohol estearílico</t>
  </si>
  <si>
    <t>Alcoholes grasos industriales (los demás)</t>
  </si>
  <si>
    <t>Preparaciones aglutinantes para moldes o núcleos de fundición</t>
  </si>
  <si>
    <t>Carburos metálicos sin aglomerar mezclados entre sí o con aglutinantes metálicos</t>
  </si>
  <si>
    <t>Morteros y hormigones, no refractarios</t>
  </si>
  <si>
    <t>Sorbitol, excepto el de la subpartida 2905.44</t>
  </si>
  <si>
    <t>Que contengan perclorofluorocarburos</t>
  </si>
  <si>
    <t>Preparaciones aglutinantes para moldes o núcleos de fundición; product (los demás)</t>
  </si>
  <si>
    <t>Que contengan bromoclorodifluorometano, bromotrifluorometano o dibromotetrafluoroetanos</t>
  </si>
  <si>
    <t>Que contengan hidrobromofluorocarburos (HBFC)</t>
  </si>
  <si>
    <t>Que contengan hidroclorofluorocarburos (HCFC), incluso con perfluorocarburos (PFC) o hidrofluorocarburos (HFC), pero que no contengan clorofluorocarburos (CFC)</t>
  </si>
  <si>
    <t>Que contengan tetracloruro de carbono</t>
  </si>
  <si>
    <t>Que contengan 1,1,1-tricloroetano (metilcloroformo)</t>
  </si>
  <si>
    <t>Que contengan bromometano (bromuro de metilo) o bromoclorometano</t>
  </si>
  <si>
    <t>Que contengan perfluorocarburos (PFC) o hidrofluorocarburos (HFC), pero que no contengan clorofluorocarburos (CFC) o hidroclorofluorocarburos (HCFC)</t>
  </si>
  <si>
    <t>Que contengan hidrocarburos acíclicos perhalogenados únicamente con flúor y cloro</t>
  </si>
  <si>
    <t>Productos mencionados en la Nota 3 de subpartida de este Capítulo, que contengan oxirano (óxido de etileno)</t>
  </si>
  <si>
    <t>Productos mencionados en la Nota 3 de subpartida de este Capítulo, que contengan bifenilos polibromados (PBB), bifenilos policlorados (PCB) o terfenil</t>
  </si>
  <si>
    <t>Productos mencionados en la Nota 3 de subpartida de este Capítulo, que contengan fosfato de tris(2,3-dibromopropilo)</t>
  </si>
  <si>
    <t>Productos mencionados en la Nota 3 de subpartida de este Capítulo, que contengan aldrina (ISO), canfecloro (ISO) (toxafeno), clordano (ISO), clordecon</t>
  </si>
  <si>
    <t>Productos mencionados en la Nota 3 de subpartida de este Capítulo, que contengan 1,2,3,4,5,6-hexaclorociclohexano (HCH (ISO)), incluido el lindano (IS</t>
  </si>
  <si>
    <t>Productos mencionados en la Nota 3 de subpartida de este Capítulo, que contengan pentaclorobenceno (ISO) o hexaclorobenceno (ISO)</t>
  </si>
  <si>
    <t>Productos mencionados en la Nota 3 de subpartida de este Capítulo, que contengan ácido perfluorooctano sulfónico o sus sales, perfluorooctano sulfonam</t>
  </si>
  <si>
    <t>Productos mencionados en la Nota 3 de subpartida de este Capítulo, que contengan éteres tetra-, penta-, hexa-, hepta- u octabromodifenílicos</t>
  </si>
  <si>
    <t>3824890000</t>
  </si>
  <si>
    <t>Productos mencionados en la Nota 3 de subpartida de este Capítulo, que contengan parafinas cloradas de cadena corta</t>
  </si>
  <si>
    <t>3824920000</t>
  </si>
  <si>
    <t>Ésteres de poliglicol de ácido metilfosfónico</t>
  </si>
  <si>
    <t>Sulfonatos de petróleo</t>
  </si>
  <si>
    <t>Cloroparafinas, cloroparafinas</t>
  </si>
  <si>
    <t>Mezclas de polietilenglicoles de bajo peso molecular</t>
  </si>
  <si>
    <t>Preparaciones desincrustantes</t>
  </si>
  <si>
    <t>Preparaciones enológicas; preparaciones para clarificar líquidos</t>
  </si>
  <si>
    <t>Conos de fusión para control de temperaturas; cal sodada; gel de sílice coloreada; pastas a base de gelatina para usos gráficos</t>
  </si>
  <si>
    <t>Ácidos nafténicos, sus sales insolubles en agua y sus ésteres</t>
  </si>
  <si>
    <t>Preparaciones para concentración de minerales, excepto las que contengan xantatos</t>
  </si>
  <si>
    <t>Anabólicos; mezcla de sulfato de sodio y cromato de sodio</t>
  </si>
  <si>
    <t>Maneb, zineb, mancozeb</t>
  </si>
  <si>
    <t>Ferritas con aglomerantes, en polvo o gránulos</t>
  </si>
  <si>
    <t>Intercambiadores de iones</t>
  </si>
  <si>
    <t>Endurecedores compuestos</t>
  </si>
  <si>
    <t>Ácido fosfórico, sin aislar, incluso en concentración con contenido inferior o igual al 54 % en peso de P2O5</t>
  </si>
  <si>
    <t>Correctores líquidos acondicionados en envases para la venta al por menor</t>
  </si>
  <si>
    <t>Preparaciones aglutinantes para moldes o núcleos de fundición, propineb</t>
  </si>
  <si>
    <t>Preparaciones de óxido de plomo y plomo metálico (“óxido gris”; “óxido negro”) para fabricar placas para acumuladores</t>
  </si>
  <si>
    <t>Mezclas constituidas esencialmente de alquil (metil, etil, n-propil o isopropil) fosfonofluoridatos de O-alquilo (&lt; C10’ incluyendo cicloalquilos)</t>
  </si>
  <si>
    <t>Mezclas constituidas esencialmente de N,N-dialquil (metil, etil, n-propil o isopropil) fosforoamidocianidatos de O-alquilo (&lt; C10’ incluyendo cicloalq</t>
  </si>
  <si>
    <t>Mezclas constituidas esencialmente de difluoruros de alquil (metil, etil, n-propil o isopropil) fosfonilo</t>
  </si>
  <si>
    <t>Mezclas constituidas esencialmente de dihalogenuros de N,N-dialquil (metil, etil, n-propil o isopropil) fosforoamídicos</t>
  </si>
  <si>
    <t>Mezclas constituidas esencialmente de N,N-dialquil (metil, etil, n-propil o isopropil) fosforoamidatos de dialquilo (metilo, etilo, n-propilo o isopro</t>
  </si>
  <si>
    <t>Mezclas constituidas esencialmente de hidrogenoalquil (metil, etil, n-propil o isopropil) fosfonotioatos de [S-2-(dialquil (metil, etil, n-propil o is</t>
  </si>
  <si>
    <t>Mezclas constituidas esencialmente de hidrogenoalquil (metil, etil, n-propil o isopropil) fosfonitos de [O-2-(dialquil (metil, etil, n-propil o isopro</t>
  </si>
  <si>
    <t>Mezclas constituidas esencialmente de aminas N,N-dialquil (metil, etil, n-propil o isopropil) 2-cloroetilo o sus sales protonadas</t>
  </si>
  <si>
    <t>Mezclas constituidas esencialmente de N,N-dialquil (metil, etil, n-propil o isopropil) aminoetano-2-tioles o sus sales protonadas</t>
  </si>
  <si>
    <t>Mezclas constituidas esencialmente de N,N-dimetil-2-aminoetanoles o de N,N-dietil-2- aminoetanol o sus sales protonadas</t>
  </si>
  <si>
    <t>Preparaciones aglutinantes para moldes o núcleos de…, 2-aminoetanoles o sus sales protonadas (los demás)</t>
  </si>
  <si>
    <t>Preparaciones aglutinantes para moldes o núcleos de…, 2-aminoetanoles o sus sales protonadas (los demás, mezclas constituidas esencialmente de product</t>
  </si>
  <si>
    <t>Mezclas que contengan derivados perhalogenados de hidrocarburos…, que contengan hidrocarburos acíclicos perhalogenados únicamente con flúor y cloro</t>
  </si>
  <si>
    <t>Mezclas que contengan derivados perhalogenados de hidrocarburos… (los demás)</t>
  </si>
  <si>
    <t>Aceites de fusel; aceites de Dippel</t>
  </si>
  <si>
    <t>Desechos municipales</t>
  </si>
  <si>
    <t>Lodos de depuración</t>
  </si>
  <si>
    <t>Desechos clínicos</t>
  </si>
  <si>
    <t>Desechos de disolventes orgánicos, halogenados</t>
  </si>
  <si>
    <t>Desechos de disolventes orgánicos (los demás)</t>
  </si>
  <si>
    <t>Desechos de soluciones decapantes, fluidos hidráulicos, líquidos para frenos y líquidos anticongelantes</t>
  </si>
  <si>
    <t>Productos residuales de la industria química o de las industrias…, que contengan principalmente componentes orgánicos</t>
  </si>
  <si>
    <t>Productos residuales de la industria química o de las industrias… (los demás)</t>
  </si>
  <si>
    <t>3827110010</t>
  </si>
  <si>
    <t>Mezclas que contengan derivados halogenados de metano…, que contengan clorofluorocarburos (CFC), incluso con…, que contengan clorofluorocarburos (CFC)</t>
  </si>
  <si>
    <t>3827110090</t>
  </si>
  <si>
    <t>3827120000</t>
  </si>
  <si>
    <t xml:space="preserve">Mezclas que contengan derivados halogenados de metano…, que contengan clorofluorocarburos (CFC), incluso con…, que contengan hidrobromofluorocarburos </t>
  </si>
  <si>
    <t>3827130000</t>
  </si>
  <si>
    <t>Mezclas que contengan derivados halogenados de metano…, que contengan clorofluorocarburos (CFC), incluso con…, que contengan tetracloruro de carbono</t>
  </si>
  <si>
    <t>3827140000</t>
  </si>
  <si>
    <t>Mezclas que contengan derivados halogenados de metano…, que contengan clorofluorocarburos (CFC), incluso con…, que contengan 1,1,1-tricloroetano (meti</t>
  </si>
  <si>
    <t>3827200000</t>
  </si>
  <si>
    <t>Mezclas que contengan derivados halogenados de metano, etano o…, que contengan bromoclorodifluorometano (Halón-1211), bromotrifluorometano (Halón-1301</t>
  </si>
  <si>
    <t>3827310000</t>
  </si>
  <si>
    <t>Mezclas que contengan derivados halogenados de metano…, que contengan hidroclorofluorocarburos (HCFC), incluso con…, que contengan sustancias de las s</t>
  </si>
  <si>
    <t>3827320000</t>
  </si>
  <si>
    <t>Mezclas que contengan derivados halogenados de metano…, que contengan hidroclorofluorocarburos (HCFC), incluso con… (los demás, que contengan sustanci</t>
  </si>
  <si>
    <t>3827390000</t>
  </si>
  <si>
    <t>Mezclas que contengan derivados halogenados de metano…, que contengan hidroclorofluorocarburos (HCFC), incluso con… (los demás)</t>
  </si>
  <si>
    <t>3827400000</t>
  </si>
  <si>
    <t>Mezclas que contengan derivados halogenados de metano, etano o…, que contengan bromuro de metilo (bromometano) o bromoclorometano</t>
  </si>
  <si>
    <t>3827510000</t>
  </si>
  <si>
    <t>Mezclas que contengan derivados halogenados de metano…, que contengan trifluorometano (HFC-23) o perfluorocarburos (PFC)…, que contengan trifluorometa</t>
  </si>
  <si>
    <t>3827590000</t>
  </si>
  <si>
    <t>Mezclas que contengan derivados halogenados de metano…, que contengan trifluorometano (HFC-23) o perfluorocarburos (PFC)… (los demás)</t>
  </si>
  <si>
    <t>3827610000</t>
  </si>
  <si>
    <t>Mezclas que contengan derivados halogenados de metano…, que contengan los demás hidrofluorocarburos (HFC), pero que no…, con un contenido de 1,1,1-tri</t>
  </si>
  <si>
    <t>3827620000</t>
  </si>
  <si>
    <t>Mezclas que contengan derivados halogenados de metano…, que contengan los demás hidrofluorocarburos (HFC), pero que no… (los demás, no comprendidas en</t>
  </si>
  <si>
    <t>3827630000</t>
  </si>
  <si>
    <t>3827640000</t>
  </si>
  <si>
    <t>3827650000</t>
  </si>
  <si>
    <t>3827680000</t>
  </si>
  <si>
    <t>3827690000</t>
  </si>
  <si>
    <t>Mezclas que contengan derivados halogenados de metano…, que contengan los demás hidrofluorocarburos (HFC), pero que no… (los demás)</t>
  </si>
  <si>
    <t>3827900010</t>
  </si>
  <si>
    <t>Mezclas que contengan derivados halogenados de metano, etano o…, que contengan hidrocarburos acíclicos perhalogenados únicamente con flúor y cloro</t>
  </si>
  <si>
    <t>3827900020</t>
  </si>
  <si>
    <t xml:space="preserve">Mezclas que contengan derivados halogenados de metano, etano o… (los demás, que contengan derivados perhalogenados de hidrocarburos acíclicos con dos </t>
  </si>
  <si>
    <t>3827900090</t>
  </si>
  <si>
    <t>Mezclas que contengan derivados halogenados de metano, etano o… (los demás, sección VII)</t>
  </si>
  <si>
    <t>Polietileno de densidad inferior a 0,94</t>
  </si>
  <si>
    <t>Polietileno de densidad superior o igual a 0,94</t>
  </si>
  <si>
    <t>Copolímeros de etileno y acetato de vinilo</t>
  </si>
  <si>
    <t>Copolímeros de etileno y alfa-olefina de densidad inferior a 0,94</t>
  </si>
  <si>
    <t>Copolímeros de etileno con otras olefinas</t>
  </si>
  <si>
    <t>Polímeros de etileno en formas primarias (los demás)</t>
  </si>
  <si>
    <t>Polipropileno</t>
  </si>
  <si>
    <t>Poliisobutileno</t>
  </si>
  <si>
    <t>Copolímeros de propileno</t>
  </si>
  <si>
    <t>Polímeros de propileno o de otras olefinas, en formas primarias (los demás)</t>
  </si>
  <si>
    <t>Poliestireno, expandible</t>
  </si>
  <si>
    <t>Poliestireno (los demás)</t>
  </si>
  <si>
    <t>Copolímeros de estireno-acrilonitrilo (SAN)</t>
  </si>
  <si>
    <t>Copolímeros de acrilonitrilo-butadieno-estireno (ABS)</t>
  </si>
  <si>
    <t>Obtenido por polimerización en emulsión</t>
  </si>
  <si>
    <t>Obtenido por polimerización en suspensión</t>
  </si>
  <si>
    <t>Poli(cloruro de vinilo) sin mezclar con otras sustancias (los demás)</t>
  </si>
  <si>
    <t>Polímeros de cloruro de vinilo o de otras olefinas halogenadas, en…, sin plastificar</t>
  </si>
  <si>
    <t>Polímeros de cloruro de vinilo o de otras olefinas halogenadas, en…, plastificados</t>
  </si>
  <si>
    <t>Copolímeros de cloruro de vinilo y acetato de vinilo, sin mezclar con otras sustancias</t>
  </si>
  <si>
    <t>Copolímeros de cloruro de vinilo y acetato de vinilo (los demás)</t>
  </si>
  <si>
    <t>Polímeros de cloruro de vinilo o de otras olefinas halogenadas, en… (los demás, copolímeros de cloruro de vinilo)</t>
  </si>
  <si>
    <t>Polímeros de cloruro de vinilideno</t>
  </si>
  <si>
    <t>Polímeros fluorados, politetrafluoroetileno</t>
  </si>
  <si>
    <t>Polímeros fluorados (los demás)</t>
  </si>
  <si>
    <t>Polímeros de cloruro de vinilo o de otras olefinas halogenadas, en… (los demás)</t>
  </si>
  <si>
    <t>Poli(acetato de vinilo), en dispersión acuosa</t>
  </si>
  <si>
    <t>Poli(acetato de vinilo) (los demás)</t>
  </si>
  <si>
    <t>Copolímeros de acetato de vinilo, en dispersión acuosa</t>
  </si>
  <si>
    <t>Copolímeros de acetato de vinilo (los demás)</t>
  </si>
  <si>
    <t>Poli(alcohol vinílico), incluso con grupos acetato sin hidrolizar</t>
  </si>
  <si>
    <t>Polímeros de acetato de vinilo o de otros ésteres vinílicos, en…, copolímeros</t>
  </si>
  <si>
    <t>Polímeros de acetato de vinilo o de otros ésteres vinílicos, en…, polivinilbutiral</t>
  </si>
  <si>
    <t>Polímeros de acetato de vinilo o de otros ésteres vinílicos, en…, polivinilpirrolidona</t>
  </si>
  <si>
    <t>Polímeros de acetato de vinilo o de otros ésteres vinílicos, en… (los demás)</t>
  </si>
  <si>
    <t>Poli(metacrilato de metilo)</t>
  </si>
  <si>
    <t>Polímeros acrílicos en formas primarias, poliacrilonitrilo</t>
  </si>
  <si>
    <t>Poliacrilato de sodio cuya capacidad de absorción de una solución acuosa de cloruro de sodio al 1 %, sea superior o igual a 20 veces su propio peso</t>
  </si>
  <si>
    <t>Poliacrilato de sodio o de potasio (los demás)</t>
  </si>
  <si>
    <t>Poliacetales</t>
  </si>
  <si>
    <t>Polietilenglicol</t>
  </si>
  <si>
    <t>Polipropilenglicol</t>
  </si>
  <si>
    <t>Poliéteres polioles derivados del óxido de propileno</t>
  </si>
  <si>
    <t>Poliacetales, los demás poliéteres y resinas epoxi, en formas primaria (los demás)</t>
  </si>
  <si>
    <t>3907210000</t>
  </si>
  <si>
    <t>Metilfosfonato de bis(polioxietileno)l</t>
  </si>
  <si>
    <t>3907291000</t>
  </si>
  <si>
    <t>Poliacetales, los demás poliéteres y resinas epoxi, en formas…, polietilenglicol</t>
  </si>
  <si>
    <t>3907292000</t>
  </si>
  <si>
    <t>Poliacetales, los demás poliéteres y resinas epoxi, en formas…, polipropilenglicol</t>
  </si>
  <si>
    <t>3907293000</t>
  </si>
  <si>
    <t>3907299000</t>
  </si>
  <si>
    <t>Poliacetales, los demás poliéteres y resinas epoxi, en formas… (los demás)</t>
  </si>
  <si>
    <t>Resinas epoxi (los demás)</t>
  </si>
  <si>
    <t>Policarbonatos</t>
  </si>
  <si>
    <t>Resinas alcídicas</t>
  </si>
  <si>
    <t>Poli(tereftalato de etileno), con un índice de viscosidad superior o igual a 78 ml/g, con dióxido de titanio</t>
  </si>
  <si>
    <t>Poli(tereftalato de etileno), con dióxido de titanio</t>
  </si>
  <si>
    <t>Poli(tereftalato de etileno) (los demás)</t>
  </si>
  <si>
    <t>Poli(ácido láctico)</t>
  </si>
  <si>
    <t>No saturados</t>
  </si>
  <si>
    <t>Poliamida -6 (policaprolactama)</t>
  </si>
  <si>
    <t>Poliamidas -6, -11, -12, -6,6, -6,9, -6,10 o -6,12 (los demás)</t>
  </si>
  <si>
    <t>Poliamidas en formas primarias (los demás)</t>
  </si>
  <si>
    <t>Urea formaldehído para moldeo</t>
  </si>
  <si>
    <t>Resinas ureicas (los demás)</t>
  </si>
  <si>
    <t>Melamina formaldehído</t>
  </si>
  <si>
    <t>Resinas melamínicas (los demás)</t>
  </si>
  <si>
    <t>Poli(metilenfenilisocianato) (MDI en bruto, MDI polimérico)</t>
  </si>
  <si>
    <t>Resinas amínicas, resinas fenólicas y poliuretanos, en formas… (los demás)</t>
  </si>
  <si>
    <t>Resinas fenólicas</t>
  </si>
  <si>
    <t>Poliuretanos</t>
  </si>
  <si>
    <t>Dispersiones (emulsiones o suspensiones) o disoluciones</t>
  </si>
  <si>
    <t>Resinas de cumarona-indeno</t>
  </si>
  <si>
    <t>Resinas de petróleo, resinas de cumarona, resinas de indeno, resinas… (los demás)</t>
  </si>
  <si>
    <t>3911200000</t>
  </si>
  <si>
    <t>Poli(1,3-fenilen metilfosfonato)</t>
  </si>
  <si>
    <t>Resinas de petróleo, resinas de cumarona-indeno, politerpenos… (los demás)</t>
  </si>
  <si>
    <t>Acetatos de celulosa, sin plastificar</t>
  </si>
  <si>
    <t>Acetatos de celulosa, plastificados</t>
  </si>
  <si>
    <t>Colodiones y demás disoluciones y dispersiones (emulsiones o suspensiones)</t>
  </si>
  <si>
    <t>Nitratos de celulosa (incluidos los colodiones) (los demás)</t>
  </si>
  <si>
    <t>Carboximetilcelulosa y sus sales</t>
  </si>
  <si>
    <t>Éteres de celulosa, sin plastificar</t>
  </si>
  <si>
    <t>Éteres de celulosa, plastificados</t>
  </si>
  <si>
    <t>Ácido algínico, sus sales y sus ésteres</t>
  </si>
  <si>
    <t>Caucho clorado</t>
  </si>
  <si>
    <t>Polímeros naturales (por ejemplo (los demás, derivados químicos del caucho natural)</t>
  </si>
  <si>
    <t>Polímeros naturales (por ejemplo (los demás, polímeros naturales modificados)</t>
  </si>
  <si>
    <t>Desechos, desperdicios y recortes, de plástico, de polímeros de etileno</t>
  </si>
  <si>
    <t>Desechos, desperdicios y recortes, de plástico, de polímeros de estireno</t>
  </si>
  <si>
    <t>Desechos, desperdicios y recortes, de plástico, de polímeros de cloruro de vinilo</t>
  </si>
  <si>
    <t>Desechos, desperdicios y recortes, de plástico, de los demás plásticos</t>
  </si>
  <si>
    <t>Monofilamentos cuya mayor dimensión de la sección transversal sea…, de polímeros de etileno</t>
  </si>
  <si>
    <t>Monofilamentos cuya mayor dimensión de la sección transversal sea…, de polímeros de cloruro de vinilo</t>
  </si>
  <si>
    <t>Monofilamentos cuya mayor dimensión de la sección transversal sea…, de los demás plásticos</t>
  </si>
  <si>
    <t>Tripas artificiales de proteínas endurecidas o de plásticos celulósicos</t>
  </si>
  <si>
    <t>Tubos rígidos, de polímeros de etileno, para sistemas de riego por goteo, por aspersión u otros</t>
  </si>
  <si>
    <t>Tubos rígidos, de polímeros de propileno</t>
  </si>
  <si>
    <t>Tubos rígidos, de polímeros de cloruro de vinilo, para sistemas de riego por goteo, por aspersión u otros</t>
  </si>
  <si>
    <t>Tubos rígidos, de los demás plásticos, de fibra vulcanizada</t>
  </si>
  <si>
    <t>Tubos rígidos, de los demás plásticos, para sistemas de riego por goteo, por aspersión u otros</t>
  </si>
  <si>
    <t>Tubos flexibles para una presión superior o igual a 27,6 MPa</t>
  </si>
  <si>
    <t>Tripas artificiales, excepto las de la subpartida 3917.10.00</t>
  </si>
  <si>
    <t>Tubos y accesorios de tubería (por ejemplo, para sistemas de riego por goteo, por aspersión u otros</t>
  </si>
  <si>
    <t>Tubos y accesorios de tubería (por ejemplo (los demás)</t>
  </si>
  <si>
    <t>Accesorios</t>
  </si>
  <si>
    <t>Revestimientos para suelos</t>
  </si>
  <si>
    <t>Revestimientos de plástico para suelos, incluso…, de polímeros de cloruro de vinilo (los demás)</t>
  </si>
  <si>
    <t>Revestimientos de plástico para suelos, incluso…, de los demás plásticos (los demás)</t>
  </si>
  <si>
    <t>Placas, láminas, hojas, cintas, tiras y demás formas…, de polímeros de etileno, en rollos de anchura inferior o igual a 1 m</t>
  </si>
  <si>
    <t>Placas, láminas, hojas, cintas, tiras y demás formas…, de polímeros de etileno (los demás)</t>
  </si>
  <si>
    <t>Plástico y sus manufacturas, de polímeros de etileno</t>
  </si>
  <si>
    <t>Plástico y sus manufacturas, de polímeros de propileno, de polipropileno metalizada hasta de 25 micrones de espesor</t>
  </si>
  <si>
    <t>Plástico y sus manufacturas, de polímeros de propileno (los demás)</t>
  </si>
  <si>
    <t>Plástico y sus manufacturas, de polímeros de estireno, de espesor inferior o igual a 5 mm</t>
  </si>
  <si>
    <t>Plástico y sus manufacturas, de polímeros de estireno (los demás)</t>
  </si>
  <si>
    <t>Plástico y sus manufacturas, de polímeros de cloruro de vinilo, con un contenido de plastificantes superior o igual al 6 % en peso</t>
  </si>
  <si>
    <t>Plástico y sus manufacturas, de polímeros de cloruro de vinilo (los demás)</t>
  </si>
  <si>
    <t>Plástico y sus manufacturas, de polímeros acrílicos, de poli(metacrilato de metilo)</t>
  </si>
  <si>
    <t>Plástico y sus manufacturas, de polímeros acrílicos (los demás)</t>
  </si>
  <si>
    <t>Plástico y sus manufacturas, de policarbonatos, resinas alcídicas, poliésteres alílicos o demás…, de policarbonatos</t>
  </si>
  <si>
    <t>Plástico y sus manufacturas, de policarbonatos, resinas alcídicas, poliésteres alílicos o demás…, de poli(tereftalato de etileno)</t>
  </si>
  <si>
    <t>Plástico y sus manufacturas, de policarbonatos, resinas alcídicas, poliésteres alílicos o demás…, de poliésteres no saturados</t>
  </si>
  <si>
    <t>Plástico y sus manufacturas, de policarbonatos, resinas alcídicas, poliésteres alílicos o demás…, de los demás poliésteres</t>
  </si>
  <si>
    <t>Plástico y sus manufacturas, de celulosa o de sus derivados químicos, de celulosa regenerada</t>
  </si>
  <si>
    <t>Plástico y sus manufacturas, de celulosa o de sus derivados químicos, de acetato de celulosa</t>
  </si>
  <si>
    <t>Plástico y sus manufacturas, de celulosa o de sus derivados químicos, de los demás derivados de la celulosa</t>
  </si>
  <si>
    <t>Plástico y sus manufacturas, de los demás plásticos, de poli(vinilbutiral), para la fabricación de vidrios de seguridad</t>
  </si>
  <si>
    <t>Plástico y sus manufacturas, de los demás plásticos, de poli(vinilbutiral) (los demás)</t>
  </si>
  <si>
    <t>Plástico y sus manufacturas, de los demás plásticos, de poliamidas</t>
  </si>
  <si>
    <t>Plástico y sus manufacturas, de los demás plásticos, de resinas amínicas</t>
  </si>
  <si>
    <t>Plástico y sus manufacturas, de los demás plásticos, de resinas fenólicas</t>
  </si>
  <si>
    <t>Plástico y sus manufacturas, de los demás plásticos, de los demás plásticos</t>
  </si>
  <si>
    <t>Productos celulares, de polímeros de estireno</t>
  </si>
  <si>
    <t>Productos celulares, de polímeros de cloruro de vinilo</t>
  </si>
  <si>
    <t>Productos celulares, de poliuretanos</t>
  </si>
  <si>
    <t>Productos celulares, de celulosa regenerada</t>
  </si>
  <si>
    <t>Lámina constituida por una mezcla de polietileno y polipropileno, con simple soporte de tela sin tejer de polipropileno</t>
  </si>
  <si>
    <t>Productos celulares, de los demás plásticos (los demás)</t>
  </si>
  <si>
    <t>Obtenidas por estratificación con papel</t>
  </si>
  <si>
    <t>Bañeras de plástico reforzado con fibra de vidrio</t>
  </si>
  <si>
    <t>Bañeras, duchas, fregaderos y lavabos (los demás)</t>
  </si>
  <si>
    <t>Asientos y tapas de inodoros</t>
  </si>
  <si>
    <t>Bañeras, duchas, fregaderos, lavabos, bidés, inodoros y sus asientos… (los demás)</t>
  </si>
  <si>
    <t>Cajas, cajones, jaulas y artículos similares, para casetes, CD, DVD y similares</t>
  </si>
  <si>
    <t>Cajas, cajones, jaulas y artículos similares (los demás)</t>
  </si>
  <si>
    <t>Sacos (bolsas), bolsitas y cucuruchos, de polímeros de etileno</t>
  </si>
  <si>
    <t>Bolsas colectoras de sangre</t>
  </si>
  <si>
    <t>Bolsas para el envasado de soluciones parenterales</t>
  </si>
  <si>
    <t>Sacos (bolsas), bolsitas y cucuruchos, de los demás plásticos (los demás)</t>
  </si>
  <si>
    <t>Bombonas (damajuanas), botellas, frascos y artículos similares, preformas</t>
  </si>
  <si>
    <t>Bombonas (damajuanas), botellas, frascos y artículos similares, de capacidad superior o igual a 18, itros (5 gal.)</t>
  </si>
  <si>
    <t>Casetes sin cinta</t>
  </si>
  <si>
    <t>Bobinas, carretes, canillas y soportes similares (los demás)</t>
  </si>
  <si>
    <t>Tapones de silicona</t>
  </si>
  <si>
    <t>Artículos para el transporte o envasado, de plástico (los demás)</t>
  </si>
  <si>
    <t>Vajilla y demás artículos para el servicio de mesa o de cocina, biberones</t>
  </si>
  <si>
    <t>Puertas, ventanas, y sus marcos, contramarcos y umbrales</t>
  </si>
  <si>
    <t>Contraventanas, persianas (incluidas las venecianas) y artículos similares, y sus partes</t>
  </si>
  <si>
    <t>Artículos para la construcción, de plástico, no expresados ni… (los demás)</t>
  </si>
  <si>
    <t>Artículos de oficina y artículos escolares</t>
  </si>
  <si>
    <t>Prendas y complementos (accesorios), de vestir, incluidos los guantes, mitones y manoplas</t>
  </si>
  <si>
    <t>Guarniciones para muebles, carrocerías o similares</t>
  </si>
  <si>
    <t>Estatuillas y demás artículos de adorno</t>
  </si>
  <si>
    <t>Boyas y flotadores para redes de pesca</t>
  </si>
  <si>
    <t>Ballenas y sus análogos para corsés, prendas de vestir y sus complementos</t>
  </si>
  <si>
    <t>Protectores antirruidos</t>
  </si>
  <si>
    <t>Plástico y sus manufacturas, de fibra vulcanizada en formas distintas a la cuadrada o rectangular</t>
  </si>
  <si>
    <t>Látex de caucho natural, incluso prevulcanizado</t>
  </si>
  <si>
    <t>Hojas ahumadas</t>
  </si>
  <si>
    <t>Cauchos técnicamente especificados (TSNR)</t>
  </si>
  <si>
    <t>Hojas de crepé</t>
  </si>
  <si>
    <t>Caucho granulado reaglomerado</t>
  </si>
  <si>
    <t>Caucho natural en otras formas (los demás)</t>
  </si>
  <si>
    <t>Balata, gutapercha, guayule, chicle y gomas naturales análogas</t>
  </si>
  <si>
    <t>Látex, de caucho estireno-butadieno (SBR)</t>
  </si>
  <si>
    <t>Látex, de caucho estireno-butadieno carboxilado (XSBR)</t>
  </si>
  <si>
    <t>Caucho estireno-butadieno (SBR), en formas primarias</t>
  </si>
  <si>
    <t>Caucho estireno-butadieno (SBR), en placas, hojas o tiras</t>
  </si>
  <si>
    <t>Caucho estireno-butadieno carboxilado (XSBR), en formas primarias</t>
  </si>
  <si>
    <t>Caucho estireno-butadieno carboxilado (XSBR), en placas, hojas o tiras</t>
  </si>
  <si>
    <t>Caucho butadieno (BR), látex</t>
  </si>
  <si>
    <t>Caucho butadieno (BR), en formas primarias</t>
  </si>
  <si>
    <t>Caucho butadieno (BR), en placas, hojas o tiras</t>
  </si>
  <si>
    <t>Caucho isobuteno-isopreno (butilo) (IIR), látex</t>
  </si>
  <si>
    <t>Caucho isobuteno-isopreno (butilo) (IIR), en formas primarias</t>
  </si>
  <si>
    <t>Caucho isobuteno-isopreno (butilo) (IIR), en placas, hojas o tiras</t>
  </si>
  <si>
    <t>Caucho cloropreno (clorobutadieno) (CR), en formas primarias</t>
  </si>
  <si>
    <t>Caucho cloropreno (clorobutadieno) (CR), en placas, hojas o tiras</t>
  </si>
  <si>
    <t>Caucho acrilonitrilo-butadieno (NBR), látex</t>
  </si>
  <si>
    <t>Caucho acrilonitrilo-butadieno (NBR), en formas primarias</t>
  </si>
  <si>
    <t>Caucho acrilonitrilo-butadieno (NBR), en placas, hojas o tiras</t>
  </si>
  <si>
    <t>Caucho isopreno (IR), látex</t>
  </si>
  <si>
    <t>Caucho isopreno (IR), en formas primarias</t>
  </si>
  <si>
    <t>Caucho isopreno (IR), en placas, hojas o tiras</t>
  </si>
  <si>
    <t>Caucho etileno-propileno-dieno no conjugado (EPDM), látex</t>
  </si>
  <si>
    <t>Caucho etileno-propileno-dieno no conjugado (EPDM), en formas primarias</t>
  </si>
  <si>
    <t>Caucho etileno-propileno-dieno no conjugado (EPDM), en placas, hojas o tiras</t>
  </si>
  <si>
    <t>Mezclas de los productos de la partida 40.01 con los de esta partida</t>
  </si>
  <si>
    <t>Caucho sintético y caucho facticio derivado de los aceites, en formas…, látex</t>
  </si>
  <si>
    <t>Caucho facticio derivado de los aceites</t>
  </si>
  <si>
    <t>Caucho sintético y caucho facticio derivado de los…, en formas primarias (los demás)</t>
  </si>
  <si>
    <t>Caucho sintético y caucho facticio derivado de los aceites, en formas…, en placas, hojas o tiras</t>
  </si>
  <si>
    <t>Caucho con adición de negro de humo o de sílice</t>
  </si>
  <si>
    <t>Amoniacales para sellar envases</t>
  </si>
  <si>
    <t>Disoluciones (los demás)</t>
  </si>
  <si>
    <t>Bases para gomas de mascar</t>
  </si>
  <si>
    <t>Placas, hojas y tiras (los demás)</t>
  </si>
  <si>
    <t>Caucho mezclado sin vulcanizar, en formas primarias o en placas… (los demás)</t>
  </si>
  <si>
    <t>Perfiles para recauchutar</t>
  </si>
  <si>
    <t>Caucho y sus manufacturas (los demás)</t>
  </si>
  <si>
    <t>Placas, hojas y tiras, sin combinar con otras materias</t>
  </si>
  <si>
    <t>Combinadas con otras materias</t>
  </si>
  <si>
    <t>Placas, hojas, tiras, varillas y perfiles, de caucho…, de caucho celular (los demás)</t>
  </si>
  <si>
    <t>Combinadas con otras materias, de los tipos utilizados para artes gráficas</t>
  </si>
  <si>
    <t>Combinadas con otras materias (los demás)</t>
  </si>
  <si>
    <t>Placas, hojas, tiras, varillas y perfiles, de caucho…, de caucho no celular (los demás)</t>
  </si>
  <si>
    <t>Reforzados o combinados de otro modo solamente con metal, sin accesorios</t>
  </si>
  <si>
    <t>Reforzados o combinados de otro modo solamente con metal, con accesorios</t>
  </si>
  <si>
    <t>Reforzados o combinados de otro modo solamente con materia textil, sin accesorios</t>
  </si>
  <si>
    <t>Reforzados o combinados de otro modo con otras materias, sin accesorios</t>
  </si>
  <si>
    <t>Reforzados o combinados de otro modo con otras materias, con accesorios</t>
  </si>
  <si>
    <t>Reforzadas solamente con metal</t>
  </si>
  <si>
    <t>Reforzadas solamente con materia textil</t>
  </si>
  <si>
    <t>Reforzadas solamente con plástico</t>
  </si>
  <si>
    <t>Correas transportadoras (los demás)</t>
  </si>
  <si>
    <t>Correas de transmisión sin fin, estriadas, de sección trapezoidal, de circunferencia exterior superior a 60 cm pero inferior o igual a 180 cm</t>
  </si>
  <si>
    <t>Correas de transmisión sin fin, sin estriar, de sección trapezoidal, de circunferencia exterior superior a 60 cm pero inferior o igual a 180 cm</t>
  </si>
  <si>
    <t>Correas de transmisión sin fin, estriadas, de sección trapezoidal, de circunferencia exterior superior a 180 cm pero inferior o igual a 240 cm</t>
  </si>
  <si>
    <t>Correas de transmisión sin fin, sin estriar, de sección trapezoidal, de circunferencia exterior superior a 180 cm pero inferior o igual a 240 cm</t>
  </si>
  <si>
    <t>Correas de transmisión sin fin, con muescas (sincrónicas), de circunferencia exterior superior a 60 cm pero inferior o igual a 150 cm</t>
  </si>
  <si>
    <t>Correas de transmisión sin fin, con muescas (sincrónicas), de circunferencia exterior superior a 150 cm pero inferior o igual a 198 cm</t>
  </si>
  <si>
    <t>Neumáticos (llantas neumáticas) nuevos de caucho, de los tipos utilizados en automóviles de turismo (incluidos los del…, radiales</t>
  </si>
  <si>
    <t>Neumáticos (llantas neumáticas) nuevos de caucho, de los tipos utilizados en automóviles de turismo (incluidos los del… (los demás)</t>
  </si>
  <si>
    <t>Neumáticos (llantas neumáticas) nuevos de caucho, de los tipos utilizados en autobuses o camiones, radiales</t>
  </si>
  <si>
    <t>Neumáticos (llantas neumáticas) nuevos de caucho, de los tipos utilizados en autobuses o camiones (los demás)</t>
  </si>
  <si>
    <t>Neumáticos (llantas neumáticas) nuevos de caucho, de los tipos utilizados en motocicletas</t>
  </si>
  <si>
    <t>Neumáticos (llantas neumáticas) nuevos de caucho, de los tipos utilizados en bicicletas</t>
  </si>
  <si>
    <t>Neumáticos (llantas neumáticas) nuevos de caucho, de los tipos utilizados en vehículos y máquinas agrícolas o forestales</t>
  </si>
  <si>
    <t>Neumáticos (llantas neumáticas) nuevos de caucho, de los tipos utilizados en vehículos y máquinas para la construcción, minería o mantenimiento indust</t>
  </si>
  <si>
    <t>Neumáticos (llantas neumáticas) nuevos de caucho (los demás)</t>
  </si>
  <si>
    <t xml:space="preserve">Neumáticos (llantas neumáticas) recauchutados, de los tipos utilizados en automóviles de turismo (incluidos los del tipo familiar («break» o «station </t>
  </si>
  <si>
    <t>Neumáticos (llantas neumáticas) recauchutados, de los tipos utilizados en autobuses o camiones</t>
  </si>
  <si>
    <t>Neumáticos (llantas neumáticas) recauchutados, de los tipos utilizados en aeronaves</t>
  </si>
  <si>
    <t>Neumáticos (llantas neumáticas) recauchutados (los demás)</t>
  </si>
  <si>
    <t>Neumáticos (llantas neumáticas) usados</t>
  </si>
  <si>
    <t>Protectores («flaps»)</t>
  </si>
  <si>
    <t>Bandajes (llantas) macizos</t>
  </si>
  <si>
    <t>Bandajes (llantas) huecos</t>
  </si>
  <si>
    <t>Bandas de rodadura para neumáticos, para recauchutar</t>
  </si>
  <si>
    <t>Bandas de rodadura para neumáticos (los demás)</t>
  </si>
  <si>
    <t xml:space="preserve">Cámaras de caucho para neumáticos (llantas neumáticas), de los tipos utilizados en automóviles de turismo (incluidos los del tipo familiar («break» o </t>
  </si>
  <si>
    <t>Cámaras de caucho para neumáticos (llantas neumáticas), de los tipos utilizados en bicicletas</t>
  </si>
  <si>
    <t>Cámaras de caucho para neumáticos (llantas neumáticas) (los demás)</t>
  </si>
  <si>
    <t>Preservativos</t>
  </si>
  <si>
    <t>Artículos de higiene o de farmacia (comprendidas las tetinas), de… (los demás)</t>
  </si>
  <si>
    <t>Para cirugía</t>
  </si>
  <si>
    <t>4015120000</t>
  </si>
  <si>
    <t>Guantes, mitones y manoplas, de los tipos utilizados con fines médicos, quirúrgicos, odontológicos o veterinarios</t>
  </si>
  <si>
    <t>Guantes, mitones y manoplas, antirradiaciones</t>
  </si>
  <si>
    <t>Prendas de vestir, guantes, mitones y manoplas y demás complementos…, antirradiaciones</t>
  </si>
  <si>
    <t>Trajes para buzos</t>
  </si>
  <si>
    <t>Prendas de vestir, guantes, mitones y manoplas y demás complementos… (los demás)</t>
  </si>
  <si>
    <t>Caucho y sus manufacturas, de caucho celular</t>
  </si>
  <si>
    <t>Gomas de borrar</t>
  </si>
  <si>
    <t>Defensas, incluso inflables, para el atraque de los barcos</t>
  </si>
  <si>
    <t>Tanques y recipientes plegables (contenedores)</t>
  </si>
  <si>
    <t>Bolsas para máquinas vulcanizadoras y reencauchadoras de neumáticos (llantas neumáticas)</t>
  </si>
  <si>
    <t>Guardapolvos para palieres</t>
  </si>
  <si>
    <t>Parches para reparar cámaras de aire y neumáticos (llantas neumáticas)</t>
  </si>
  <si>
    <t>Mantillas para artes gráficas</t>
  </si>
  <si>
    <t>Cueros y pieles enteros, sin dividir, de peso unitario inferior o igual a 8 kg para los secos, a 10 kg para los salados secos y a 16 kg para los fresc</t>
  </si>
  <si>
    <t>Cueros y pieles enteros, de peso unitario superior a 16 kg</t>
  </si>
  <si>
    <t>Cueros y pieles en bruto, de bovino (incluido el búfalo) o de equino… (los demás, incluidos los crupones, medios crupones y faldas)</t>
  </si>
  <si>
    <t>Cueros y pieles en bruto, de ovino (frescos o salados, secos…, con lana</t>
  </si>
  <si>
    <t>Cueros y pieles en bruto, de ovino (frescos o salados…, sin lana (depilados), piquelados</t>
  </si>
  <si>
    <t>Cueros y pieles en bruto, de ovino (frescos o salados…, sin lana (depilados) (los demás)</t>
  </si>
  <si>
    <t>Pieles (excepto la peletería) y cueros, de reptil</t>
  </si>
  <si>
    <t>Pieles (excepto la peletería) y cueros, de porcino</t>
  </si>
  <si>
    <t>Pieles (excepto la peletería) y cueros (los demás)</t>
  </si>
  <si>
    <t>Cueros y pieles curtidos o «crust», de bovino…, en estado seco («crust») (los demás)</t>
  </si>
  <si>
    <t>Pieles curtidas o «crust», de ovino, depiladas, incluso divididas…, en estado húmedo (incluido el «wet-blue»)</t>
  </si>
  <si>
    <t>Pieles curtidas o «crust», de ovino, depiladas, incluso divididas…, en estado seco («crust»)</t>
  </si>
  <si>
    <t>Cueros y pieles depilados de los demás animales y…, de caprino, en estado húmedo (incluido el «wet-blue»)</t>
  </si>
  <si>
    <t>Cueros y pieles depilados de los demás animales y…, de caprino, en estado seco («crust»)</t>
  </si>
  <si>
    <t>Cueros y pieles depilados de los demás animales y…, de porcino, en estado húmedo (incluido el «wet-blue»)</t>
  </si>
  <si>
    <t>Cueros y pieles depilados de los demás animales y…, de porcino, en estado seco («crust»)</t>
  </si>
  <si>
    <t>Cueros y pieles depilados de los demás animales y pieles de animales…, de reptil</t>
  </si>
  <si>
    <t>Cueros y pieles depilados de los demás animales y pieles de animales…, en estado húmedo (incluido el «wet-blue»)</t>
  </si>
  <si>
    <t>Cueros y pieles depilados de los demás animales y pieles de animales…, en estado seco («crust»)</t>
  </si>
  <si>
    <t>Divididos con la flor</t>
  </si>
  <si>
    <t>Cueros y pieles enteros (los demás)</t>
  </si>
  <si>
    <t>Cueros preparados después del curtido o del secado y cueros y pieles… (los demás)</t>
  </si>
  <si>
    <t>Cueros preparados después del curtido o secado y cueros y pieles…, de caprino</t>
  </si>
  <si>
    <t>Cueros preparados después del curtido o secado y cueros y pieles…, de porcino</t>
  </si>
  <si>
    <t>Cueros preparados después del curtido o secado y cueros y pieles…, de reptil</t>
  </si>
  <si>
    <t>Cueros preparados después del curtido o secado y cueros y pieles… (los demás)</t>
  </si>
  <si>
    <t>Cueros y pieles agamuzados (incluido el agamuzado combinado al aceite)</t>
  </si>
  <si>
    <t>Cuero regenerado a base de cuero o fibras de cuero, en placas, hojas o tiras, incluso enrolladas</t>
  </si>
  <si>
    <t>Recortes y demás desperdicios de cuero o piel, preparados, o de cuero regenerado, no utilizables para la fabricación de manufacturas de cuero; aserrín</t>
  </si>
  <si>
    <t>Baúles, maletas (valijas) y maletines, incluidos los de aseo, y continentes similares</t>
  </si>
  <si>
    <t>Baúles, maletas (valijas) y maletines, incluidos los…, con la superficie exterior de cuero natural o cuero regenerado (los demás)</t>
  </si>
  <si>
    <t>Baúles, maletas (valijas) y maletines, incluidos los…, con la superficie exterior de plástico o materia textil (los demás)</t>
  </si>
  <si>
    <t>Baúles, maletas (valijas) y maletines, incluidos los de aseo y los… (los demás)</t>
  </si>
  <si>
    <t>Bolsos de mano (carteras), incluso con bandolera o sin asas, con la superficie exterior de cuero natural o cuero regenerado</t>
  </si>
  <si>
    <t>Bolsos de mano (carteras), incluso con bandolera o sin asas, con la superficie exterior de hojas de plástico o materia textil</t>
  </si>
  <si>
    <t>Bolsos de mano (carteras), incluso con bandolera o sin asas (los demás)</t>
  </si>
  <si>
    <t>Artículos de bolsillo o de bolso de mano (cartera), con la superficie exterior de cuero natural o cuero regenerado</t>
  </si>
  <si>
    <t>Artículos de bolsillo o de bolso de mano (cartera), con la superficie exterior de hojas de plástico o materia textil</t>
  </si>
  <si>
    <t>Artículos de bolsillo o de bolso de mano (cartera) (los demás)</t>
  </si>
  <si>
    <t>Sacos de viaje y mochilas</t>
  </si>
  <si>
    <t>Baúles, maletas (valijas), maletines, incluidos los de…, con la superficie exterior de cuero natural o cuero regenerado (los demás)</t>
  </si>
  <si>
    <t>Diseñados especialmente para la práctica del deporte</t>
  </si>
  <si>
    <t>Cintos, cinturones y bandoleras</t>
  </si>
  <si>
    <t>Prendas y complementos (accesorios), de vestir, de cuero natural o… (los demás, complementos (accesorios) de vestir)</t>
  </si>
  <si>
    <t>Artículos para usos técnicos de cuero natural o cuero regenerado</t>
  </si>
  <si>
    <t>Prendas y complementos (accesorios), de vestir, de cuero natural o… (los demás)</t>
  </si>
  <si>
    <t>Cuerdas de tripa</t>
  </si>
  <si>
    <t>Tripas para embutidos</t>
  </si>
  <si>
    <t>Peletería en bruto (incluidas las cabezas, colas, patas y demás…, de visón, enteras, incluso sin la cabeza, cola o patas</t>
  </si>
  <si>
    <t>Peletería en bruto (incluidas las cabezas, colas, patas y demás…, de cordero llamadas astracán, «Breitschwanz», «caracul», «persa» o similares, de cor</t>
  </si>
  <si>
    <t>Peletería en bruto (incluidas las cabezas, colas, patas y demás…, de zorro, enteras, incluso sin la cabeza, cola o patas</t>
  </si>
  <si>
    <t>Peletería en bruto (incluidas las cabezas, colas, patas y demás… (los demás, pieles, enteras, incluso sin la cabeza, cola o patas)</t>
  </si>
  <si>
    <t>Cabezas, colas, patas y demás trozos utilizables en peletería</t>
  </si>
  <si>
    <t>Pieles enteras, incluso sin la cabeza, cola o patas, sin ensamblar, de visón</t>
  </si>
  <si>
    <t>Pieles enteras, incluso sin la cabeza, cola o patas, sin ensamblar (los demás)</t>
  </si>
  <si>
    <t>Cabezas, colas, patas y demás trozos, desechos y recortes, sin ensamblar</t>
  </si>
  <si>
    <t>Pieles enteras y trozos y recortes de pieles, ensamblados</t>
  </si>
  <si>
    <t>Prendas y complementos (accesorios), de vestir, de alpaca</t>
  </si>
  <si>
    <t>Prendas y complementos (accesorios), de vestir (los demás)</t>
  </si>
  <si>
    <t>Prendas y complementos (accesorios), de vestir, y demás artículos de…, de alpaca</t>
  </si>
  <si>
    <t>Prendas y complementos (accesorios), de vestir, y demás artículos de… (los demás)</t>
  </si>
  <si>
    <t>Leña, de coníferas</t>
  </si>
  <si>
    <t>Distinta de la de coníferas</t>
  </si>
  <si>
    <t>Madera en plaquitas o partículas, de coníferas</t>
  </si>
  <si>
    <t>«Pellets» de madera</t>
  </si>
  <si>
    <t>4401320000</t>
  </si>
  <si>
    <t>Briquetas de madera</t>
  </si>
  <si>
    <t>Aserrín, desperdicios y desechos, de madera, aglomerados en leños… (los demás)</t>
  </si>
  <si>
    <t>Aserrin, desperdicios y desechos de madera, sin aglomerar</t>
  </si>
  <si>
    <t>4401410000</t>
  </si>
  <si>
    <t>Aserrín, desperdicios y desechos, de madera, sin aglomerar, aserrín</t>
  </si>
  <si>
    <t>4401490000</t>
  </si>
  <si>
    <t>Aserrín, desperdicios y desechos, de madera, sin aglomerar (los demás)</t>
  </si>
  <si>
    <t>Carbón vegetal (comprendido el de cáscaras o de huesos (carozos) de…, de bambú</t>
  </si>
  <si>
    <t>4402200000</t>
  </si>
  <si>
    <t>Carbón vegetal (comprendido el de cáscaras o de huesos (carozos) de…, de cáscaras o de huesos (carozos) de frutos</t>
  </si>
  <si>
    <t>Tratada con pintura, creosota u otros agentes de conservación, de coníferas</t>
  </si>
  <si>
    <t>Madera en bruto, incluso descortezada, desalburada o escuadrada, de pino (Pinus spp.), cuya menor dimensión de la sección transversal sea superior o i</t>
  </si>
  <si>
    <t>Madera en bruto, incluso descortezada, desalburada o escuadrada (los demás, de pino (Pinus spp.))</t>
  </si>
  <si>
    <t>Madera en bruto, incluso descortezada, desalburada o escuadrada, de abeto (Abies spp.) y de pícea (Picea spp.), cuya menor dimensión de la sección tra</t>
  </si>
  <si>
    <t>Madera en bruto, incluso descortezada, desalburada o escuadrada (los demás, de abeto (Abies spp.) y de pícea (Picea spp.))</t>
  </si>
  <si>
    <t>Madera en bruto, incluso descortezada, desalburada o escuadrada (los demás, cuya menor dimensión de la sección transversal sea superior o igual a 15 c</t>
  </si>
  <si>
    <t>Madera en bruto, incluso descortezada, desalburada o escuadrada (los demás)</t>
  </si>
  <si>
    <t>Dark Red Meranti, Light Red Meranti y Meranti Bakau</t>
  </si>
  <si>
    <t>4403420000</t>
  </si>
  <si>
    <t>Madera en bruto, incluso descortezada, desalburada o escuadrada, teca</t>
  </si>
  <si>
    <t>Madera en bruto, incluso descortezada, desalburada o escuadrada, de ipé (cañahuate, ébano verde, lapacho, polvillo, roble morado, tahuari negro, tajib</t>
  </si>
  <si>
    <t>Madera en bruto, incluso descortezada, desalburada o escuadrada, de encina, roble, alcornoque y demás belloteros (Quercus spp.)</t>
  </si>
  <si>
    <t>Madera en bruto, incluso descortezada, desalburada o escuadrada, de haya (Fagus spp.), cuya menor dimensión de la sección transversal sea superior o i</t>
  </si>
  <si>
    <t>Madera en bruto, incluso descortezada, desalburada o escuadrada (los demás, de haya (Fagus spp.))</t>
  </si>
  <si>
    <t xml:space="preserve">Madera en bruto, incluso descortezada, desalburada o escuadrada, de abedul (Betula spp.), cuya menor dimensión de la sección transversal sea superior </t>
  </si>
  <si>
    <t>Madera en bruto, incluso descortezada, desalburada o escuadrada (los demás, de abedul (Betula spp.))</t>
  </si>
  <si>
    <t>Madera en bruto, incluso descortezada, desalburada o escuadrada, de álamo (Populus spp.)</t>
  </si>
  <si>
    <t>Madera en bruto, incluso descortezada, desalburada o escuadrada, de eucalipto (Eucalyptus spp.)</t>
  </si>
  <si>
    <t>Flejes de madera, de coníferas</t>
  </si>
  <si>
    <t>Traviesas (durmientes) de madera para vías férreas o…, sin impregnar, de coníferas</t>
  </si>
  <si>
    <t>Traviesas (durmientes) de madera para vías férreas o similares, de coníferas</t>
  </si>
  <si>
    <t>Tablillas para fabricación de lápices</t>
  </si>
  <si>
    <t>Madera aserrada o desbastada longitudinalmente…, de coníferas, de abeto (Abies spp.) y de pícea (Picea spp.)</t>
  </si>
  <si>
    <t>4407130000</t>
  </si>
  <si>
    <t>Madera aserrada o desbastada longitudinalmente…, de coníferas, de P-P-A («S-P-F») (pícea (Picea spp.), pino (Pinus spp.) y abeto (Abies spp.))</t>
  </si>
  <si>
    <t>4407140000</t>
  </si>
  <si>
    <t>Madera aserrada o desbastada longitudinalmente…, de coníferas, de «Hem-fir» (tsuga-abeto) (hemlock occidental (tsuga del pacífico) (Tsuga heterophylla</t>
  </si>
  <si>
    <t>Mahogany (Swietenia spp.)</t>
  </si>
  <si>
    <t>4407230000</t>
  </si>
  <si>
    <t>Madera aserrada o desbastada longitudinalmente…, de maderas tropicales, teca</t>
  </si>
  <si>
    <t>White Lauan, White Meranti, White Seraya, Yellow Meranti y Alan</t>
  </si>
  <si>
    <t>Madera aserrada o desbastada longitudinalmente…, de maderas tropicales, sapelli</t>
  </si>
  <si>
    <t>Madera aserrada o desbastada longitudinalmente…, de maderas tropicales, iroko</t>
  </si>
  <si>
    <t>Madera aserrada o desbastada longitudinalmente, cortada o…, de haya (Fagus spp.)</t>
  </si>
  <si>
    <t>Madera aserrada o desbastada longitudinalmente, cortada o…, de arce (Acer spp.)</t>
  </si>
  <si>
    <t>Madera aserrada o desbastada longitudinalmente, cortada o…, de cerezo (Prunus spp.)</t>
  </si>
  <si>
    <t>Madera aserrada o desbastada longitudinalmente, cortada o…, de fresno (Fraxinus spp.)</t>
  </si>
  <si>
    <t>Madera aserrada o desbastada longitudinalmente, cortada o…, de abedul (Betula spp.)</t>
  </si>
  <si>
    <t>Madera aserrada o desbastada longitudinalmente, cortada o…, de álamo (Populus spp.)</t>
  </si>
  <si>
    <t>Hojas para chapado (incluidas las obtenidas por…, de coníferas (los demás)</t>
  </si>
  <si>
    <t>Hojas para chapado (incluidas las obtenidas por…, de maderas tropicales, de ipé (cañahuate, ébano verde, lapacho, polvillo, roble morado, tahuari negr</t>
  </si>
  <si>
    <t>Tablillas y frisos para parqués, sin ensamblar</t>
  </si>
  <si>
    <t>Madera (incluidas las tablillas y frisos para parqués…, de coníferas (los demás)</t>
  </si>
  <si>
    <t>Distinta de la de coníferas, de bambú</t>
  </si>
  <si>
    <t>Tableros de fibra de densidad media (llamados «MDF»), de espesor superior a 5 mm pero inferior o igual a 9 mm</t>
  </si>
  <si>
    <t>Tableros de fibra de densidad media (llamados «MDF»), de espesor superior a 9 mm</t>
  </si>
  <si>
    <t>Tableros de fibra de madera u otras materias leñosas, incluso…, de densidad superior a 0,5 g/cm³ pero inferior o igual a 0,8 g/cm³</t>
  </si>
  <si>
    <t>Tableros de fibra de madera u otras materias leñosas, incluso…, de densidad inferior o igual a 0,5 g/cm³</t>
  </si>
  <si>
    <t>Madera contrachapada, madera chapada y madera estratificada similar, de bambú</t>
  </si>
  <si>
    <t>Madera contrachapada, madera chapada y madera estratificada similar (los demás, que tengan, por lo menos, una hoja externa de madera distinta de la de</t>
  </si>
  <si>
    <t>4412410000</t>
  </si>
  <si>
    <t>Madera chapada estratificada (llamada «LVL»), que tenga, por lo menos, una hoja externa de maderas tropicales</t>
  </si>
  <si>
    <t>4412420000</t>
  </si>
  <si>
    <t>Madera chapada estratificada (llamada «LVL») (los demás, que tengan, por lo menos, una hoja externa de madera distinta de la de coníferas)</t>
  </si>
  <si>
    <t>4412490000</t>
  </si>
  <si>
    <t>Madera chapada estratificada (llamada «LVL») (los demás, con las dos hojas externas de madera de coníferas)</t>
  </si>
  <si>
    <t>4412510000</t>
  </si>
  <si>
    <t>Tableros denominados «blockboard», «laminboard» y «battenboard», que tengan, por lo menos, una hoja externa de maderas tropicales</t>
  </si>
  <si>
    <t>4412520000</t>
  </si>
  <si>
    <t>Tableros denominados «blockboard», «laminboard» y «battenboard» (los demás, que tengan, por lo menos, una hoja externa de madera distinta de la de con</t>
  </si>
  <si>
    <t>4412590000</t>
  </si>
  <si>
    <t>Tableros denominados «blockboard», «laminboard» y «battenboard» (los demás, con las dos hojas externas de madera de coníferas)</t>
  </si>
  <si>
    <t>4412910000</t>
  </si>
  <si>
    <t>Madera contrachapada, madera chapada y madera estratificada similar, que tengan, por lo menos, una hoja externa de maderas tropicales</t>
  </si>
  <si>
    <t>4412920000</t>
  </si>
  <si>
    <t>Tableros denominados «blockboard», «laminboard» y «battenboard»</t>
  </si>
  <si>
    <t>Madera contrachapada, madera chapada y madera estratificada similar (los demás, con las dos hojas externas de madera de coníferas)</t>
  </si>
  <si>
    <t>4414100000</t>
  </si>
  <si>
    <t>Marcos de madera para cuadros, fotografías, espejos u objetos…, de maderas tropicales</t>
  </si>
  <si>
    <t>4414900000</t>
  </si>
  <si>
    <t>Marcos de madera para cuadros, fotografías, espejos u objetos… (los demás)</t>
  </si>
  <si>
    <t>Cajones, cajas, jaulas, tambores y envases similares; carretes para cables</t>
  </si>
  <si>
    <t>Paletas, paletas caja y demás plataformas para carga; collarines para paletas</t>
  </si>
  <si>
    <t>Cajones, cajas, jaulas, tambores y envases similares, de madera (los demás)</t>
  </si>
  <si>
    <t>Ventanas, puertas vidriera, y sus marcos y contramarcos</t>
  </si>
  <si>
    <t>4418110000</t>
  </si>
  <si>
    <t>Ventanas, puertas vidriera, y sus marcos y contramarcos, de maderas tropicales</t>
  </si>
  <si>
    <t>4418190000</t>
  </si>
  <si>
    <t>Ventanas, puertas vidriera, y sus marcos y contramarcos (los demás)</t>
  </si>
  <si>
    <t>4418210000</t>
  </si>
  <si>
    <t>Puertas y sus marcos, contramarcos y umbrales, de maderas tropicales</t>
  </si>
  <si>
    <t>4418290000</t>
  </si>
  <si>
    <t>Puertas y sus marcos, contramarcos y umbrales (los demás)</t>
  </si>
  <si>
    <t>4418300000</t>
  </si>
  <si>
    <t>Postes y vigas, distintos de los productos de las subpartidas 4418.81 a 4418.89</t>
  </si>
  <si>
    <t>Encofrados para hormigón</t>
  </si>
  <si>
    <t>Tableros ensamblados para revestimiento de suelo, de bambú o que tengan, por lo menos, la capa superior de bambú</t>
  </si>
  <si>
    <t>Tableros ensamblados para revestimiento de suelo (los demás, para suelos en mosaico)</t>
  </si>
  <si>
    <t>Tableros ensamblados para revestimiento de suelo (los demás, multicapas)</t>
  </si>
  <si>
    <t>4418810000</t>
  </si>
  <si>
    <t>Madera laminada-encolada (llamada «glulam»)</t>
  </si>
  <si>
    <t>4418820000</t>
  </si>
  <si>
    <t>Madera laminada cruzada (contralaminada) (llamada «CLT» o «X-lam»)</t>
  </si>
  <si>
    <t>4418830000</t>
  </si>
  <si>
    <t>Vigas en I</t>
  </si>
  <si>
    <t>4418890000</t>
  </si>
  <si>
    <t>Productos de madera de ingeniería estructural (los demás)</t>
  </si>
  <si>
    <t>4418920000</t>
  </si>
  <si>
    <t>Tableros celulares de madera</t>
  </si>
  <si>
    <t>Artículos de mesa o de cocina, de madera, de bambú (los demás)</t>
  </si>
  <si>
    <t>4419200000</t>
  </si>
  <si>
    <t>Artículos de mesa o de cocina, de madera, de maderas tropicales</t>
  </si>
  <si>
    <t>Artículos de mesa o de cocina, de madera (los demás)</t>
  </si>
  <si>
    <t>Estatuillas y demás objetos de adorno, de madera</t>
  </si>
  <si>
    <t>4420110000</t>
  </si>
  <si>
    <t>Estatuillas y demás objetos de adorno, de maderas tropicales</t>
  </si>
  <si>
    <t>Marquetería y taracea (los demás)</t>
  </si>
  <si>
    <t>Perchas para prendas de vestir</t>
  </si>
  <si>
    <t>4421200000</t>
  </si>
  <si>
    <t>Ataúdes</t>
  </si>
  <si>
    <t>Canillas, carretes, bobinas para la hilatura o el tejido y para hilo de coser, y artículos similares, de madera torneada</t>
  </si>
  <si>
    <t>Madera, carbón vegetal y manufacturas de madera, de bambú (los demás)</t>
  </si>
  <si>
    <t>Palitos y cucharitas planas, del tipo de los utilizados para dulces y helados</t>
  </si>
  <si>
    <t>Corcho natural en bruto o simplemente preparado</t>
  </si>
  <si>
    <t>Corcho natural en bruto o simplemente preparado (los demás)</t>
  </si>
  <si>
    <t>Manufacturas de corcho natural (los demás)</t>
  </si>
  <si>
    <t>Bloques, placas, hojas y tiras; baldosas y revestimientos similares de pared, de cualquier forma; cilindros macizos, incluidos los discos</t>
  </si>
  <si>
    <t>Corcho aglomerado (incluso con aglutinante) y manufacturas de corcho…, tapones</t>
  </si>
  <si>
    <t>Juntas o empaquetaduras y arandelas</t>
  </si>
  <si>
    <t>Corcho aglomerado (incluso con aglutinante) y manufacturas de corcho… (los demás)</t>
  </si>
  <si>
    <t>Esterillas, esteras y cañizos, de materia vegetal, de bambú</t>
  </si>
  <si>
    <t>Esterillas, esteras y cañizos, de materia vegetal, de roten (ratán)</t>
  </si>
  <si>
    <t>Esterillas, esteras y cañizos, de materia vegetal (los demás)</t>
  </si>
  <si>
    <t>Trenzas y artículos similares, de materia trenzable, incluso…, de bambú</t>
  </si>
  <si>
    <t>Trenzas y artículos similares, de materia trenzable, incluso…, de roten (ratán)</t>
  </si>
  <si>
    <t>Trenzas y artículos similares, de materia trenzable, incluso…, de las demás materias vegetales</t>
  </si>
  <si>
    <t>Trenzas y artículos similares, de materia trenzable, incluso… (los demás)</t>
  </si>
  <si>
    <t>Artículos de cestería obtenidos directamente en su…, de materia vegetal, de bambú</t>
  </si>
  <si>
    <t>Artículos de cestería obtenidos directamente en su…, de materia vegetal, de roten (ratán)</t>
  </si>
  <si>
    <t>Artículos de cestería obtenidos directamente en su forma con materia… (los demás)</t>
  </si>
  <si>
    <t>Cruda, de coníferas</t>
  </si>
  <si>
    <t>Semiblanqueada o blanqueada, de coníferas</t>
  </si>
  <si>
    <t>Pasta de línter de algodón</t>
  </si>
  <si>
    <t>Pasta de fibras obtenidas de papel o cartón reciclado (desperdicios y desechos)</t>
  </si>
  <si>
    <t>Pasta de fibras obtenidas de papel o cartón reciclado (desperdicios y…, mecánicas</t>
  </si>
  <si>
    <t>Pasta de fibras obtenidas de papel o cartón reciclado (desperdicios y…, químicas</t>
  </si>
  <si>
    <t>Obtenidas por la combinación de procedimiento mecánico y químico</t>
  </si>
  <si>
    <t>Obtenidas por la combinación de procedimientos mecánico y químico</t>
  </si>
  <si>
    <t>Papel o cartón Kraft crudo o papel o cartón corrugado</t>
  </si>
  <si>
    <t>Papel o cartón para reciclar (desperdicios y desechos) (los demás, papeles o cartones obtenidos principalmente a partir de pasta química blanqueada si</t>
  </si>
  <si>
    <t>Papel o cartón obtenido principalmente a partir de pasta mecánica (por ejemplo: diarios, periódicos e impresos similares)</t>
  </si>
  <si>
    <t>Papel o cartón para reciclar (desperdicios y desechos) (los demás, incluidos los desperdicios y desechos sin clasificar)</t>
  </si>
  <si>
    <t>Papel y cartón hechos a mano (hoja a hoja)</t>
  </si>
  <si>
    <t>Papel y cartón soporte para papel o cartón fotosensibles…, en tiras o bobinas (rollos) de anchura superior a 15 cm, o en hojas cuadradas o rectangular</t>
  </si>
  <si>
    <t>Papel y cartón soporte para papel o cartón fotosensibles… (los demás)</t>
  </si>
  <si>
    <t>Papel soporte para papeles de decorar paredes</t>
  </si>
  <si>
    <t xml:space="preserve">Papel soporte para papel carbón (carbónico) en tiras o bobinas (rollos) de anchura superior a 15 cm, o en hojas cuadradas o rectangulares con un lado </t>
  </si>
  <si>
    <t>Papel y cartón, sin estucar ni recubrir, de los tipos…, de peso inferior a 40 g/m2 (los demás)</t>
  </si>
  <si>
    <t>Papeles de seguridad para billetes, de anchura superior 15 cm, excepto los de pasta obtenido por procedimiento químico- mecánico</t>
  </si>
  <si>
    <t>Papeles de seguridad para billetes (los demás)</t>
  </si>
  <si>
    <t>Papel y cartón, sin estucar ni recubrir, de los tipos…, de peso superior o igual a 40 g/m2 pero inferior o igual a 150 g/m2… (los demás, papeles de se</t>
  </si>
  <si>
    <t>Papel y cartón, sin estucar ni recubrir, de los tipos…, de peso superior o igual a 40 g/m2 pero inferior o igual a 150 g/m2… (los demás)</t>
  </si>
  <si>
    <t xml:space="preserve">Papeles de seguridad para billetes, en hojas cuadradas o rectangulares con un lado superior a 360 mm y el otro superior a 150 mm, medidos sin plegar, </t>
  </si>
  <si>
    <t>Papeles de seguridad para billetes, de pasta obtenido por procedimiento químico-mecánico</t>
  </si>
  <si>
    <t>Papel y cartón, sin estucar ni recubrir, de los tipos utilizados para… (los demás, papeles de seguridad)</t>
  </si>
  <si>
    <t xml:space="preserve">Papel de fibras obtenidas por procedimiento químico-mecánico inferior o igual al 10 % en peso del contenido total de fibras, de peso superior o igual </t>
  </si>
  <si>
    <t>Papel y cartón, sin estucar ni recubrir, de los tipos…, de peso superior a 150 g/m2, en bobinas (rollos) (los demás)</t>
  </si>
  <si>
    <t>Papel y cartón, sin estucar ni recubrir, de los tipos…, de peso superior a 150 g/m2 (los demás)</t>
  </si>
  <si>
    <t xml:space="preserve">Papel y cartón, sin estucar ni recubrir, de los tipos…, en bobinas (rollos), de peso inferior a 40 g/m2, que cumpla con las demás especificaciones de </t>
  </si>
  <si>
    <t>Papel y cartón, sin estucar ni recubrir, de los tipos…, en bobinas (rollos), con un contenido total de fibras obtenidas por procedimiento mecánico sup</t>
  </si>
  <si>
    <t>Papel y cartón, sin estucar ni recubrir, de los tipos…, en bobinas (rollos), de anchura superior a 15 cm, pero inferior o igual a 36 cm</t>
  </si>
  <si>
    <t>Papel y cartón, sin estucar ni recubrir, de los tipos…, en bobinas (rollos), con un contenido total de fibras obtenidas por procedimiento químico-mecá</t>
  </si>
  <si>
    <t>Papel soporte para papel carbón (carbónico) de anchura superior a 15 cm, excepto los de pasta obtenido por procedimiento químico-mecánico</t>
  </si>
  <si>
    <t>Papel y cartón, sin estucar ni recubrir, de los tipos…, en bobinas (rollos) (los demás)</t>
  </si>
  <si>
    <t>Papel y cartón, sin estucar ni recubrir, de los tipos…, en hojas en las que un lado sea inferior o igual a 435 mm y el otro…, con un contenido total d</t>
  </si>
  <si>
    <t xml:space="preserve">Papel soporte para papel carbón (carbónico) en hojas cuadradas o rectangulares con un lado superior a 360 mm y el otro superior a 150 mm, medidos sin </t>
  </si>
  <si>
    <t>Papel y cartón, sin estucar ni recubrir, de los tipos…, en hojas en las que un lado sea inferior o igual a 435 mm y el otro… (los demás)</t>
  </si>
  <si>
    <t>Papel y cartón, sin estucar ni recubrir, de los tipos utilizados para…, de peso inferior a 40 g/m2, que cumpla con las demás especificaciones de la No</t>
  </si>
  <si>
    <t>Papel y cartón, sin estucar ni recubrir, de los tipos utilizados para…, con un contenido total de fibras obtenidas por procedimiento mecánico superior</t>
  </si>
  <si>
    <t xml:space="preserve">Papel y cartón, sin estucar ni recubrir, de los tipos utilizados para…, con un contenido total de fibras obtenidas por procedimiento químico-mecánico </t>
  </si>
  <si>
    <t>Papel soporte para papel carbón (carbónico) en tiras de anchura superior a 150 mm, excepto los de pasta obtenido por procedimiento químico-mecánico</t>
  </si>
  <si>
    <t>Papel y cartón, sin estucar ni recubrir, de los tipos utilizados para… (los demás, papeles soporte para papel carbón)</t>
  </si>
  <si>
    <t>Guata de celulosa y napa de fibras de celulosa</t>
  </si>
  <si>
    <t>Papel y cartón para caras (cubiertas) («Kraftliner»), crudos</t>
  </si>
  <si>
    <t>Papel y cartón para caras (cubiertas) («Kraftliner») (los demás)</t>
  </si>
  <si>
    <t>Papel Kraft para sacos (bolsas), crudo</t>
  </si>
  <si>
    <t>Papel Kraft para sacos (bolsas) (los demás)</t>
  </si>
  <si>
    <t>Papel y cartón Kraft, sin estucar ni recubrir, en…, crudos, para la fabricación de lijas</t>
  </si>
  <si>
    <t>Papel y cartón Kraft, sin estucar ni recubrir, en…, crudos (los demás)</t>
  </si>
  <si>
    <t>Papel y cartón Kraft, sin estucar ni recubrir, en bobinas (rollos) o… (los demás)</t>
  </si>
  <si>
    <t>Absorbentes, de los tipos utilizados para la fabricación de laminados plásticos decorativos</t>
  </si>
  <si>
    <t>Blanqueados uniformemente en la masa y con un contenido de fibras de madera obtenidas por procedimiento químico superior al 95 % en peso del contenido</t>
  </si>
  <si>
    <t>Papel semiquímico para acanalar</t>
  </si>
  <si>
    <t>Papel paja para acanalar, de pasta obtenida por procedimiento químico-mecánico y peso superior o igual a 225 g/m2</t>
  </si>
  <si>
    <t>Papel paja para acanalar (los demás)</t>
  </si>
  <si>
    <t>Papel para acanalar, de pasta obtenida por procedimiento químico-mecánico y peso superior o igual a 225 g/m2</t>
  </si>
  <si>
    <t>Papel para acanalar (los demás)</t>
  </si>
  <si>
    <t>«Testliner» (de fibras recicladas), de peso inferior o igual a 150 g/m2</t>
  </si>
  <si>
    <t>«Testliner» (de fibras recicladas), de peso superior a 150 g/m2, de pasta obtenida por procedimiento químico-mecánico y peso superior o igual a 225 g/</t>
  </si>
  <si>
    <t>«Testliner» (de fibras recicladas), de peso superior a 150 g/m2 (los demás)</t>
  </si>
  <si>
    <t>Papel sulfito para envolver</t>
  </si>
  <si>
    <t>Elaborados con 100 % en peso de fibra de algodón o de abacá, sin encolado y exento de compuestos minerales</t>
  </si>
  <si>
    <t>Papel y cartón filtro, con un contenido de fibra de algodón superior o igual al 70 % pero inferior al 100 %, en peso</t>
  </si>
  <si>
    <t>Papel y cartón filtro (los demás)</t>
  </si>
  <si>
    <t>Papel y cartón fieltro, papel y cartón lana</t>
  </si>
  <si>
    <t>Papel y cartón, de peso inferior o igual a 150 g/m2, para aislamiento eléctrico</t>
  </si>
  <si>
    <t>Papel y cartón, multicapas (excepto los de las subpartidas 4805.12.00, 4805.19.00, 4805.24.00 o 4805.25.00)</t>
  </si>
  <si>
    <t>Papel y cartón, de peso inferior o igual a 150 g/m2, para juntas o empaquetaduras</t>
  </si>
  <si>
    <t>Papel y cartón, de peso inferior o igual a 150 g/m2, para la fabricación de lijas</t>
  </si>
  <si>
    <t>Papel y cartón, de peso inferior o igual a 150 g/m2 (los demás)</t>
  </si>
  <si>
    <t>Papel y cartón, de peso superior a 150 g/m2 pero inferior a 225 g/m2, para aislamiento eléctrico</t>
  </si>
  <si>
    <t>Papel y cartón, de peso superior a 150 g/m2 pero inferior a 225 g/m2 (los demás)</t>
  </si>
  <si>
    <t>Papel y cartón, de peso superior o igual a 225 g/m2, para aislamiento eléctrico</t>
  </si>
  <si>
    <t>Papel y cartón multicapas (excepto los de las subpartidas 4805.12.00, 4805.19.00, 4805.24.00 o 4805.25.00)</t>
  </si>
  <si>
    <t>Cartones rígidos con peso específico superior a 1</t>
  </si>
  <si>
    <t>Papel y cartón, de peso superior o igual a 225 g/m2 (los demás)</t>
  </si>
  <si>
    <t>Papel y cartón sulfurizados (pergamino vegetal)</t>
  </si>
  <si>
    <t>Papel resistente a las grasas («greaseproof»)</t>
  </si>
  <si>
    <t>Papel vegetal (papel calco)</t>
  </si>
  <si>
    <t>Papel cristal y demás papeles calandrados transparentes o traslúcidos</t>
  </si>
  <si>
    <t>Papel Kraft rizado («crepé») o plisado, incluso gofrado, estampado o perforado</t>
  </si>
  <si>
    <t>Papel y cartón corrugados (incluso revestidos por encolado), rizados… (los demás)</t>
  </si>
  <si>
    <t>Papel autocopia</t>
  </si>
  <si>
    <t>Papel carbón (carbónico), papel autocopia y demás papeles para copiar…, para clisés de mimeógrafo</t>
  </si>
  <si>
    <t>Papel carbón (carbónico), papel autocopia y demás papeles para copiar… (los demás)</t>
  </si>
  <si>
    <t>Papel y cartón de los tipos utilizados para escribir…, en bobinas (rollos), de peso inferior o igual a 150 g/m2, de peso inferior o igual a 60 g/m2</t>
  </si>
  <si>
    <t>Papel y cartón de los tipos utilizados para escribir…, en bobinas (rollos), de peso inferior o igual a 150 g/m2 (los demás)</t>
  </si>
  <si>
    <t>Papel y cartón de los tipos utilizados para escribir…, en bobinas (rollos), de peso superior a 150 g/m2</t>
  </si>
  <si>
    <t>Papel y cartón de los tipos utilizados para escribir…, en hojas en las que un lado sea inferior o igual a 435 mm y el otro…, en las que un lado sea su</t>
  </si>
  <si>
    <t>Papel y cartón de los tipos utilizados para escribir…, en hojas en las que un lado sea inferior o igual a 435 mm y el otro… (los demás)</t>
  </si>
  <si>
    <t>Papel y cartón de los tipos utilizados para escribir, imprimir u… (los demás)</t>
  </si>
  <si>
    <t>Papel estucado o cuché ligero (liviano) («L.W.C.»)</t>
  </si>
  <si>
    <t>Papel y cartón Kraft (los demás)</t>
  </si>
  <si>
    <t>Papel y cartón estucados por una o las dos caras con caolín u otras…, multicapas</t>
  </si>
  <si>
    <t>Papel y cartón estucados por una o las dos caras con caolín u otras… (los demás)</t>
  </si>
  <si>
    <t xml:space="preserve">Alquitranados en la masa, con peso específico superior a 1, incluso…, en tiras o bobinas (rollos) de anchura superior a 15 cm; o en hojas cuadradas o </t>
  </si>
  <si>
    <t>Alquitranados en la masa, con peso específico superior a 1, incluso… (los demás)</t>
  </si>
  <si>
    <t>Papel y cartón alquitranados, embetunados o asfaltados (los demás)</t>
  </si>
  <si>
    <t>Autoadhesivos, en bobinas (rollos), de anchura superior a 15 cm o en hojas en las que un lado sea superior a 36 cm y el otro sea superior a 15 cm, med</t>
  </si>
  <si>
    <t>Autoadhesivos (los demás)</t>
  </si>
  <si>
    <t>Papel y cartón engomados o adhesivos, en bobinas (rollos), de anchura superior a 15 cm o en hojas en las que un lado sea superior a 36 cm y el otro se</t>
  </si>
  <si>
    <t>Papel y cartón engomados o adhesivos (los demás)</t>
  </si>
  <si>
    <t>Blanqueados, de peso superior a 150 g/m2, con lámina intermedia de aluminio, de los tipos utilizados para…, en tiras o bobinas (rollos) de anchura sup</t>
  </si>
  <si>
    <t>Blanqueados, de peso superior a 150 g/m2, con lámina intermedia de aluminio, de los tipos utilizados para… (los demás)</t>
  </si>
  <si>
    <t>Recubierto o revestido por ambas caras, de plástico, de los tipos utilizados en la industria alimentaria, incluso impresos</t>
  </si>
  <si>
    <t>Papel y cartón recubiertos, impregnados o revestidos…, para fabricar lija al agua, en tiras o bobinas (rollos) de anchura superior a 15 cm; o en hojas</t>
  </si>
  <si>
    <t>Papel y cartón recubiertos, impregnados o revestidos…, para fabricar lija al agua (los demás)</t>
  </si>
  <si>
    <t>Papel y cartón recubiertos, impregnados o revestidos de plástico, con lámina intermedia de aluminio, de los tipos utilizados para envasar productos en</t>
  </si>
  <si>
    <t>Papel impregnado con resinas melamínicas, incluso decorado o impreso</t>
  </si>
  <si>
    <t>Papel y cartón recubiertos, impregnados o revestidos…, para aislamiento eléctrico, en tiras o bobinas (rollos) de anchura superior a 15 cm; o en hojas</t>
  </si>
  <si>
    <t>Papel y cartón recubiertos, impregnados o revestidos…, para aislamiento eléctrico (los demás)</t>
  </si>
  <si>
    <t>Papeles filtro</t>
  </si>
  <si>
    <t>Papel y cartón recubiertos, impregnados o revestidos de plástico (los demás)</t>
  </si>
  <si>
    <t>Papel y cartón recubiertos, impregnados o revestidos de cera… (los demás)</t>
  </si>
  <si>
    <t>Barnizados, con peso específico superior a 1, incluso gofrados</t>
  </si>
  <si>
    <t>Papel, cartón, guata de celulosa y napa de fibras de…, para juntas o empaquetaduras, en tiras o bobinas (rollos) de anchura superior a 15 cm; o en hoj</t>
  </si>
  <si>
    <t>Papel, cartón, guata de celulosa y napa de fibras de…, para juntas o empaquetaduras (los demás)</t>
  </si>
  <si>
    <t>Pautados, rayados o cuadriculados</t>
  </si>
  <si>
    <t>Papeles absorbentes, decorados o impresos, sin impregnar, de los…, en tiras o bobinas (rollos) de anchura superior a 15 cm; o en hojas cuadradas o rec</t>
  </si>
  <si>
    <t>Papeles absorbentes, decorados o impresos, sin impregnar, de los… (los demás)</t>
  </si>
  <si>
    <t>Papel, cartón, guata de celulosa y napa de fibras de celulosa… (los demás)</t>
  </si>
  <si>
    <t>Papel de fumar, incluso cortado al tamaño adecuado, en librillos o en…, en librillos o en tubos</t>
  </si>
  <si>
    <t>Papel de fumar, incluso cortado al tamaño adecuado, en librillos o en…, en bobinas (rollos) de anchura inferior o igual a 5 cm</t>
  </si>
  <si>
    <t>Papel de fumar, incluso cortado al tamaño adecuado, en librillos o en… (los demás)</t>
  </si>
  <si>
    <t>Papel para decorar y revestimientos similares de paredes, constituidos por papel recubierto o revestido, en la cara vista, con una capa de plástico gr</t>
  </si>
  <si>
    <t>Papel para decorar y revestimientos similares de paredes, constituidos por papel revestido en la cara vista con materia trenzable, incluso tejida en f</t>
  </si>
  <si>
    <t>Papel para decorar y revestimientos similares de paredes (los demás)</t>
  </si>
  <si>
    <t>Sobres</t>
  </si>
  <si>
    <t>Sobres carta, tarjetas postales sin ilustrar y tarjetas para correspondencia</t>
  </si>
  <si>
    <t>Cajas, bolsas y presentaciones similares de papel o cartón, con un surtido de artículos de correspondencia</t>
  </si>
  <si>
    <t>Papel higiénico</t>
  </si>
  <si>
    <t>Pañuelos, toallitas de desmaquillar y toallas</t>
  </si>
  <si>
    <t>Manteles y servilletas</t>
  </si>
  <si>
    <t>Prendas y complementos (accesorios), de vestir</t>
  </si>
  <si>
    <t>Papel del tipo utilizado para papel higiénico y papeles similares… (los demás)</t>
  </si>
  <si>
    <t>Cajas y cartonajes, plegables, de papel o cartón, sin corrugar</t>
  </si>
  <si>
    <t>Cajas, sacos (bolsas), bolsitas, cucuruchos y demás envases de papel… (los demás, sacos (bolsas); bolsitas y cucuruchos)</t>
  </si>
  <si>
    <t>Cajas, sacos (bolsas), bolsitas, cucuruchos y demás envases de papel… (los demás, envases, incluidas las fundas para discos)</t>
  </si>
  <si>
    <t>Cartonajes de oficina, tienda o similares</t>
  </si>
  <si>
    <t>Libros registro, libros de contabilidad, talonarios (de notas, pedidos o recibos), bloques memorandos, bloques de papel de cartas, agendas y artículos</t>
  </si>
  <si>
    <t>Clasificadores, encuadernaciones (excepto las cubiertas para libros), carpetas y cubiertas para documentos</t>
  </si>
  <si>
    <t>Formularios llamados «continuos»</t>
  </si>
  <si>
    <t>Formularios en paquetes o plegados («manifold»), aunque lleven papel… (los demás)</t>
  </si>
  <si>
    <t>Álbumes para muestras o para colecciones</t>
  </si>
  <si>
    <t>Formatos llamados «continuos» sin impresión</t>
  </si>
  <si>
    <t>Libros registro, libros de contabilidad, talonarios (de notas… (los demás)</t>
  </si>
  <si>
    <t>Carretes, bobinas, canillas y soportes similares, de pasta de papel…, de los tipos utilizados para el bobinado de hilados textiles</t>
  </si>
  <si>
    <t>Carretes, bobinas, canillas y soportes similares, de pasta de papel… (los demás)</t>
  </si>
  <si>
    <t>Papel y cartón filtro, sin estucar ni recubrir, en tiras o bobinas (rollos) de anchura superior a 15 cm pero inferior o igual a 36 cm</t>
  </si>
  <si>
    <t>Papel diagrama para aparatos registradores, en bobinas (rollos), hojas o discos</t>
  </si>
  <si>
    <t>Bandejas, fuentes, platos, tazas, vasos y artículos similares, de…, de bambú</t>
  </si>
  <si>
    <t>Bandejas, fuentes, platos, tazas, vasos y artículos similares, de… (los demás)</t>
  </si>
  <si>
    <t>Artículos moldeados o prensados, de pasta de papel</t>
  </si>
  <si>
    <t>Papeles para aislamiento eléctrico</t>
  </si>
  <si>
    <t>Cartones para mecanismos Jacquard y similares</t>
  </si>
  <si>
    <t>Patrones, modelos y plantillas</t>
  </si>
  <si>
    <t xml:space="preserve">Papel y cartón Kraft, de gramaje superior a 150 g/m2 pero inferior a 225 g/m2, crudos, absorbentes, del tipo de los utilizados para la fabricación de </t>
  </si>
  <si>
    <t>Papel y cartón Kraft sin estucar ni recubrir, de gramaje inferior o igual a 150 g/m2, del tipo de los utilizados para la fabricación de laminados plás</t>
  </si>
  <si>
    <t>Papel y cartón sin estucar ni recubrir, del tipo de los utilizados para juntas o empaquetaduras, en tiras o bobinas de anchura superior a 15 cm pero i</t>
  </si>
  <si>
    <t>Papel y cartón sulfurizados (pergamino vegetal), en tiras o bobinas de anchura superior a 15 cm pero inferior o igual a 36 cm</t>
  </si>
  <si>
    <t>Papel vegetal (papel calco), en tiras o bobinas de anchura superior a 15 cm pero inferior o igual a 36 cm</t>
  </si>
  <si>
    <t>Papel cristal y demás papeles calandrados, transparentes o translucidos en tiras o bobinas de anchura superior a 15 cm pero inferior o igual a 36 cm</t>
  </si>
  <si>
    <t>Papel sin estucar ni recubrir, en tiras o bobinas (rollos) de anchura superior a 15 cm pero inferior o igual a 36 cm, que no hayan sido sometidos a tr</t>
  </si>
  <si>
    <t>Cubresuelos con soporte de papel o cartón, incluso recortados</t>
  </si>
  <si>
    <t>Horóscopos, fotonovelas, tiras cómicas o historietas</t>
  </si>
  <si>
    <t>Libros, folletos e impresos similares, incluso en…, en hojas sueltas, incluso plegadas (los demás)</t>
  </si>
  <si>
    <t>Diarios y publicaciones periódicas, impresos, incluso ilustrados o…, que se publiquen cuatro veces por semana como mínimo</t>
  </si>
  <si>
    <t>Esferas</t>
  </si>
  <si>
    <t>4905200000</t>
  </si>
  <si>
    <t>Manufacturas cartográficas de todas clases, incluidos los mapas…, en forma de libros o folletos</t>
  </si>
  <si>
    <t>4905900000</t>
  </si>
  <si>
    <t>Manufacturas cartográficas de todas clases, incluidos los mapas… (los demás)</t>
  </si>
  <si>
    <t>En forma de libros o folletos</t>
  </si>
  <si>
    <t>Manufacturas cartográficas de todas clases, incluidos los mapas murale (los demás)</t>
  </si>
  <si>
    <t>Sellos (estampillas) de correos, timbres fiscales y análogos, sin obliterar, que tengan o estén destinados a tener curso legal en el país en el que su</t>
  </si>
  <si>
    <t>Billetes de banco</t>
  </si>
  <si>
    <t>Talonarios de cheques de viajero de establecimientos de crédito extranjeros</t>
  </si>
  <si>
    <t>Calcomanías vitrificables</t>
  </si>
  <si>
    <t>Calcomanías de cualquier clase, para transferencia continua sobre tejidos</t>
  </si>
  <si>
    <t>Calcomanías de cualquier clase (los demás)</t>
  </si>
  <si>
    <t>Estampas, grabados y fotografías</t>
  </si>
  <si>
    <t>Productos editoriales, de la prensa y de las demás industrias gráficas (los demás)</t>
  </si>
  <si>
    <t>Tejidos de borrilla</t>
  </si>
  <si>
    <t>Tejidos de seda o de desperdicios de seda (los demás, tejidos con un contenido de seda o de desperdicios de seda, distintos de la borrilla, superior o</t>
  </si>
  <si>
    <t>Tejidos de seda o de desperdicios de seda (los demás, tejidos)</t>
  </si>
  <si>
    <t>Lana esquilada</t>
  </si>
  <si>
    <t>Lana sucia, incluida la lavada en vivo (los demás)</t>
  </si>
  <si>
    <t>Desgrasada, sin carbonizar (los demás)</t>
  </si>
  <si>
    <t>Carbonizada</t>
  </si>
  <si>
    <t>Pelo fino, de cabra de Cachemira</t>
  </si>
  <si>
    <t>Pelo fino, de alpaca o de llama (incluido el guanaco)</t>
  </si>
  <si>
    <t>Pelo fino, de conejo o de liebre</t>
  </si>
  <si>
    <t>Pelo fino (los demás)</t>
  </si>
  <si>
    <t>Pelo ordinario</t>
  </si>
  <si>
    <t>Borras del peinado de lana o pelo fino</t>
  </si>
  <si>
    <t>Desperdicios de lana o de pelo fino u ordinario, incluidos los… (los demás, desperdicios de lana o pelo fino)</t>
  </si>
  <si>
    <t>Desperdicios de pelo ordinario</t>
  </si>
  <si>
    <t>Lana cardada</t>
  </si>
  <si>
    <t>«Lana peinada a granel»</t>
  </si>
  <si>
    <t>Enrollados en bolas («tops»)</t>
  </si>
  <si>
    <t>Lana peinada (los demás)</t>
  </si>
  <si>
    <t>Pelo fino cardado o peinado, de cabra de Cachemira</t>
  </si>
  <si>
    <t>Pelo fino cardado o peinado, de vicuña</t>
  </si>
  <si>
    <t>Pelo fino cardado o peinado (los demás)</t>
  </si>
  <si>
    <t>Pelo ordinario cardado o peinado</t>
  </si>
  <si>
    <t>Hilados de lana cardada sin acondicionar para la venta al por menor, con un contenido de lana superior o igual al 85 % en peso</t>
  </si>
  <si>
    <t>Hilados de lana cardada sin acondicionar para la venta al por menor, con un contenido de lana inferior al 85 % en peso</t>
  </si>
  <si>
    <t>Hilados de lana peinada sin acondicionar para la venta al por menor, con un contenido de lana superior o igual al 85 % en peso</t>
  </si>
  <si>
    <t>Hilados de lana peinada sin acondicionar para la venta al por menor, con un contenido de lana inferior al 85 % en peso</t>
  </si>
  <si>
    <t>Cardado</t>
  </si>
  <si>
    <t>Peinado</t>
  </si>
  <si>
    <t>Hilados de lana o pelo fino, acondicionados para la venta al por menor, con un contenido de lana o pelo fino superior o igual al 85 % en peso</t>
  </si>
  <si>
    <t>Hilados de lana o pelo fino, acondicionados para la venta al por menor (los demás)</t>
  </si>
  <si>
    <t>Hilados de lana o pelo fino, acondicionados para la venta al por…, sin acondicionar para la venta al por menor</t>
  </si>
  <si>
    <t>Hilados de lana o pelo fino, acondicionados para la venta al por… (los demás)</t>
  </si>
  <si>
    <t>Tejidos de lana cardada o pelo fino cardado, con un contenido de lana o pelo fino superior o igual…, de peso inferior o igual a 300 g/m², de lana</t>
  </si>
  <si>
    <t>Tejidos de lana cardada o pelo fino cardado, con un contenido de lana o pelo fino superior o igual…, de peso inferior o igual a 300 g/m², de vicuña</t>
  </si>
  <si>
    <t xml:space="preserve">Tejidos de lana cardada o pelo fino cardado, con un contenido de lana o pelo fino superior o igual…, de peso inferior o igual a 300 g/m², de alpaca o </t>
  </si>
  <si>
    <t>Tejidos de lana cardada o pelo fino cardado, con un contenido de lana o pelo fino superior o igual…, de peso inferior o igual a 300 g/m² (los demás)</t>
  </si>
  <si>
    <t>Tejidos de lana cardada o pelo fino cardado, con un contenido de lana o pelo fino superior o igual al 85 % en peso, de lana</t>
  </si>
  <si>
    <t>Tejidos de lana cardada o pelo fino cardado, con un contenido de lana o pelo fino superior o igual al 85 % en peso, de vicuña</t>
  </si>
  <si>
    <t xml:space="preserve">Tejidos de lana cardada o pelo fino cardado, con un contenido de lana o pelo fino superior o igual al 85 % en peso, de alpaca o de llama (incluido el </t>
  </si>
  <si>
    <t>Tejidos de lana cardada o pelo fino cardado, con un contenido de lana o pelo fino superior o igual al 85 % en peso (los demás)</t>
  </si>
  <si>
    <t>Tejidos de lana cardada o pelo fino cardado, de lana</t>
  </si>
  <si>
    <t>Tejidos de lana cardada o pelo fino cardado, de vicuña</t>
  </si>
  <si>
    <t>Tejidos de lana cardada o pelo fino cardado, de alpaca o de llama (incluido el guanaco)</t>
  </si>
  <si>
    <t>Tejidos de lana cardada o pelo fino cardado (los demás)</t>
  </si>
  <si>
    <t>Tejidos de lana peinada o pelo fino peinado, con un contenido de lana o pelo fino superior o igual…, de peso inferior o igual a 200 g/m, de lana</t>
  </si>
  <si>
    <t>Tejidos de lana peinada o pelo fino peinado, con un contenido de lana o pelo fino superior o igual…, de peso inferior o igual a 200 g/m, de vicuña</t>
  </si>
  <si>
    <t>Tejidos de lana peinada o pelo fino peinado, con un contenido de lana o pelo fino superior o igual…, de peso inferior o igual a 200 g/m, de alpaca o d</t>
  </si>
  <si>
    <t>Tejidos de lana peinada o pelo fino peinado, con un contenido de lana o pelo fino superior o igual…, de peso inferior o igual a 200 g/m (los demás)</t>
  </si>
  <si>
    <t>Tejidos de lana peinada o pelo fino peinado, con un contenido de lana o pelo fino superior o igual al 85 % en peso, de lana</t>
  </si>
  <si>
    <t>Tejidos de lana peinada o pelo fino peinado, con un contenido de lana o pelo fino superior o igual al 85 % en peso, de vicuña</t>
  </si>
  <si>
    <t xml:space="preserve">Tejidos de lana peinada o pelo fino peinado, con un contenido de lana o pelo fino superior o igual al 85 % en peso, de alpaca o de llama (incluido el </t>
  </si>
  <si>
    <t>Tejidos de lana peinada o pelo fino peinado, con un contenido de lana o pelo fino superior o igual al 85 % en peso (los demás)</t>
  </si>
  <si>
    <t>Tejidos de lana peinada o pelo fino peinado, de lana</t>
  </si>
  <si>
    <t>Tejidos de lana peinada o pelo fino peinado, de vicuña</t>
  </si>
  <si>
    <t>Tejidos de lana peinada o pelo fino peinado, de alpaca o de llama (incluido el guanaco)</t>
  </si>
  <si>
    <t>Tejidos de lana peinada o pelo fino peinado (los demás)</t>
  </si>
  <si>
    <t>Algodón, de longitud de fibra superior a 28,57 mm (1 1/8 pulgada) pero inferior o igual a 34,92 mm (1 3/8 pulgada)</t>
  </si>
  <si>
    <t>Algodón, de longitud de fibra superior a 22,22 mm (7/8 pulgada) pero inferior o igual a 28,57 mm (1 1/8 pulgada)</t>
  </si>
  <si>
    <t>Algodón, de longitud de fibra inferior o igual a 22,22 mm (7/8 pulgada)</t>
  </si>
  <si>
    <t>Desperdicios de hilados</t>
  </si>
  <si>
    <t>Desperdicios de algodón (incluidos los desperdicios de hilados y las…, hilachas</t>
  </si>
  <si>
    <t>Desperdicios de algodón (incluidos los desperdicios de hilados y las… (los demás)</t>
  </si>
  <si>
    <t>Hilo de coser de algodón, incluso acondicionado para…, sin acondicionar para la venta al por menor, con un contenido de algodón superior o igual al 85</t>
  </si>
  <si>
    <t>Hilo de coser de algodón, incluso acondicionado para…, sin acondicionar para la venta al por menor (los demás)</t>
  </si>
  <si>
    <t>Acondicionado para la venta al por menor</t>
  </si>
  <si>
    <t>Hilados sencillos de fibras sin peinar, de título superior o igual a 714,29 decitex (inferior o igual al número métrico 14)</t>
  </si>
  <si>
    <t>Hilados sencillos de fibras sin peinar, de título inferior a 714,29 decitex pero superior o igual a 232,56 decitex (superior al número métrico 14 pero</t>
  </si>
  <si>
    <t>Hilados sencillos de fibras sin peinar, de título inferior a 232,56 decitex pero superior o igual a 192,31 decitex (superior al número métrico 43 pero</t>
  </si>
  <si>
    <t>Hilados sencillos de fibras sin peinar, de título inferior a 192,31 decitex pero superior o igual a 125 decitex (superior al número métrico 52 pero in</t>
  </si>
  <si>
    <t>Hilados sencillos de fibras sin peinar, de título inferior a 125 decitex (superior al número métrico 80)</t>
  </si>
  <si>
    <t>Hilados sencillos de fibras peinadas, de título superior o igual a 714,29 decitex (inferior o igual al número métrico 14)</t>
  </si>
  <si>
    <t>Hilados sencillos de fibras peinadas, de título inferior a 714,29 decitex pero superior o igual a 232,56 decitex (superior al número métrico 14 pero i</t>
  </si>
  <si>
    <t>Hilados sencillos de fibras peinadas, de título inferior a 232,56 decitex pero superior o igual a 192,31 decitex (superior al número métrico 43 pero i</t>
  </si>
  <si>
    <t>Hilados sencillos de fibras peinadas, de título inferior a 192,31 decitex pero superior o igual a 125 decitex (superior al número métrico 52 pero infe</t>
  </si>
  <si>
    <t>Hilados sencillos de fibras peinadas, de título inferior a 125 decitex pero superior o igual a 106,38 decitex (superior al número métrico 80 pero infe</t>
  </si>
  <si>
    <t>Hilados sencillos de fibras peinadas, de título inferior a 106,38 decitex pero superior o igual a 83,33 decitex (superior al número métrico 94 pero in</t>
  </si>
  <si>
    <t>Hilados sencillos de fibras peinadas, de título inferior a 83,33 decitex (superior al número métrico 120)</t>
  </si>
  <si>
    <t>Hilados retorcidos o cableados, de fibras sin peinar, de título superior o igual a 714,29 decitex por hilo sencillo (inferior o igual al número métric</t>
  </si>
  <si>
    <t>Hilados retorcidos o cableados, de fibras sin peinar, de título inferior a 714,29 decitex pero superior o igual a 232,56 decitex, por hilo sencillo (s</t>
  </si>
  <si>
    <t>Hilados retorcidos o cableados, de fibras sin peinar, de título inferior a 232,56 decitex pero superior o igual a 192,31 decitex, por hilo sencillo (s</t>
  </si>
  <si>
    <t>Hilados retorcidos o cableados, de fibras sin peinar, de título inferior a 192,31 decitex pero superior o igual a 125 decitex, por hilo sencillo (supe</t>
  </si>
  <si>
    <t>Hilados retorcidos o cableados, de fibras sin peinar, de título inferior a 125 decitex por hilo sencillo (superior al número métrico 80 por hilo senci</t>
  </si>
  <si>
    <t xml:space="preserve">Hilados retorcidos o cableados, de fibras peinadas, de título superior o igual a 714,29 decitex por hilo sencillo (inferior o igual al número métrico </t>
  </si>
  <si>
    <t>Hilados retorcidos o cableados, de fibras peinadas, de título inferior a 714,29 decitex pero superior o igual a 232,56 decitex, por hilo sencillo (sup</t>
  </si>
  <si>
    <t>Hilados retorcidos o cableados, de fibras peinadas, de título inferior a 232,56 decitex pero superior o igual a 192,31 decitex, por hilo sencillo (sup</t>
  </si>
  <si>
    <t>Hilados retorcidos o cableados, de fibras peinadas, de título inferior a 192,31 decitex pero superior o igual a 125 decitex, por hilo sencillo (superi</t>
  </si>
  <si>
    <t>Hilados retorcidos o cableados, de fibras peinadas, de título inferior a 125 decitex pero superior o igual a 106,38 decitex, por hilo sencillo (superi</t>
  </si>
  <si>
    <t>Hilados retorcidos o cableados, de fibras peinadas, de título inferior a 106,38 decitex pero superior o igual a 83,33 decitex, por hilo sencillo (supe</t>
  </si>
  <si>
    <t>Hilados retorcidos o cableados, de fibras peinadas, de título inferior a 83,33 decitex por hilo sencillo (superior al número métrico 120 por hilo senc</t>
  </si>
  <si>
    <t>Hilados sencillos de fibras peinadas, de título inferior a 125 decitex (superior al número métrico 80)</t>
  </si>
  <si>
    <t>Hilados retorcidos o cableados, de fibras peinadas, de título inferior a 125 decitex por hilo sencillo (superior al número métrico 80 por hilo sencill</t>
  </si>
  <si>
    <t>Hilados de algodón, con un contenido de algodón superior o igual al 85 % en peso</t>
  </si>
  <si>
    <t>Tejidos de algodón con un contenido de algodón…, crudos, de ligamento tafetán, de peso inferior o igual a 100 g/m2</t>
  </si>
  <si>
    <t>Tejidos de algodón con un contenido de algodón…, crudos, de ligamento tafetán, de peso superior a 100 g/m2</t>
  </si>
  <si>
    <t>Tejidos de algodón con un contenido de algodón…, crudos, de ligamento sarga, incluido el cruzado, de curso inferior o igual a 4</t>
  </si>
  <si>
    <t>Tejidos de algodón con un contenido de algodón…, crudos (los demás, tejidos)</t>
  </si>
  <si>
    <t>Blanqueados, de ligamento tafetán, de peso inferior o igual a 100 g/m2, de peso inferior o igual a 35 g/m2</t>
  </si>
  <si>
    <t>Blanqueados, de ligamento tafetán, de peso inferior o igual a 100 g/m2 (los demás)</t>
  </si>
  <si>
    <t>Blanqueados, de ligamento tafetán, de peso superior a 100 g/m2</t>
  </si>
  <si>
    <t>Blanqueados, de ligamento sarga, incluido el cruzado, de curso inferior o igual a 4</t>
  </si>
  <si>
    <t>Blanqueados (los demás, tejidos)</t>
  </si>
  <si>
    <t>Teñidos, de ligamento tafetán, de peso inferior o igual a 100 g/m2</t>
  </si>
  <si>
    <t>Teñidos, de ligamento tafetán, de peso superior a 100 g/m2</t>
  </si>
  <si>
    <t>Teñidos, de ligamento sarga, incluido el cruzado, de curso inferior o igual a 4</t>
  </si>
  <si>
    <t>Teñidos (los demás, tejidos)</t>
  </si>
  <si>
    <t>Tejidos de algodón con un contenido de algodón…, con hilados de distintos colores, de ligamento tafetán, de peso inferior o igual a 100 g/m2</t>
  </si>
  <si>
    <t>Tejidos de algodón con un contenido de algodón…, con hilados de distintos colores, de ligamento tafetán, de peso superior a 100 g/m</t>
  </si>
  <si>
    <t xml:space="preserve">Tejidos de algodón con un contenido de algodón…, con hilados de distintos colores, de ligamento sarga, incluido el cruzado, de curso inferior o igual </t>
  </si>
  <si>
    <t>Tejidos de algodón con un contenido de algodón…, con hilados de distintos colores (los demás, tejidos)</t>
  </si>
  <si>
    <t>Estampados, de ligamento tafetán, de peso inferior o igual a 100 g/m2</t>
  </si>
  <si>
    <t>Estampados, de ligamento tafetán, de peso superior a 100 g/m2</t>
  </si>
  <si>
    <t>Estampados, de ligamento sarga, incluido el cruzado, de curso inferior o igual a 4</t>
  </si>
  <si>
    <t>Estampados (los demás)</t>
  </si>
  <si>
    <t>Tejidos de algodón con un contenido de algodón…, crudos, de ligamento tafetán</t>
  </si>
  <si>
    <t>Blanqueados, de ligamento tafetán</t>
  </si>
  <si>
    <t>Teñidos, de ligamento tafetán</t>
  </si>
  <si>
    <t>Tejidos de algodón con un contenido de algodón…, con hilados de distintos colores, de ligamento tafetán</t>
  </si>
  <si>
    <t>Tejidos de mezclilla («denim»)</t>
  </si>
  <si>
    <t>Tejidos de algodón con un contenido de algodón…, con hilados de distintos colores (los demás, tejidos de ligamento sarga, incluido el cruzado, de curs</t>
  </si>
  <si>
    <t>Estampados, de ligamento tafetán</t>
  </si>
  <si>
    <t>Estampados (los demás, tejidos)</t>
  </si>
  <si>
    <t>Blanqueados</t>
  </si>
  <si>
    <t>Algodón, de peso inferior o igual a 200 g/m2, crudos</t>
  </si>
  <si>
    <t>Algodón, de peso inferior o igual a 200 g/m2, blanqueados</t>
  </si>
  <si>
    <t>Algodón, de peso inferior o igual a 200 g/m2, teñidos</t>
  </si>
  <si>
    <t>Algodón, de peso inferior o igual a 200 g/m2, con hilados de distintos colores</t>
  </si>
  <si>
    <t>Algodón, de peso inferior o igual a 200 g/m2, estampados</t>
  </si>
  <si>
    <t>Algodón, de peso superior a 200 g/m2, crudos</t>
  </si>
  <si>
    <t>Algodón, de peso superior a 200 g/m2, blanqueados</t>
  </si>
  <si>
    <t>Algodón, de peso superior a 200 g/m2, teñidos</t>
  </si>
  <si>
    <t>Algodón, de peso superior a 200 g/m2, con hilados de distintos colores</t>
  </si>
  <si>
    <t>Algodón, de peso superior a 200 g/m2, estampados</t>
  </si>
  <si>
    <t>Lino en bruto o enriado</t>
  </si>
  <si>
    <t>Agramado o espadado</t>
  </si>
  <si>
    <t>Lino agramado, espadado, peinado o trabajado de otro modo, pero sin… (los demás)</t>
  </si>
  <si>
    <t>Estopas y desperdicios de lino</t>
  </si>
  <si>
    <t>Cáñamo en bruto o enriado</t>
  </si>
  <si>
    <t>Cáñamo (Cannabis sativa L.) en bruto o trabajado, pero sin hilar (los demás)</t>
  </si>
  <si>
    <t>Yute y demás fibras textiles del líber, en bruto o enriados</t>
  </si>
  <si>
    <t>Yute y demás fibras textiles del líber, yute</t>
  </si>
  <si>
    <t>Yute y demás fibras textiles del líber (los demás)</t>
  </si>
  <si>
    <t>Yute y demás fibras textiles del líber, de abacá, en bruto</t>
  </si>
  <si>
    <t>Yute y demás fibras textiles del líber, de abacá (los demás)</t>
  </si>
  <si>
    <t>Yute y demás fibras textiles del líber, de coco</t>
  </si>
  <si>
    <t>Yute y demás fibras textiles del líber, de sisal y demás fibras textiles del género Agave</t>
  </si>
  <si>
    <t>Sencillos</t>
  </si>
  <si>
    <t>Retorcidos o cableados, acondicionados para la venta al por menor</t>
  </si>
  <si>
    <t>Retorcidos o cableados (los demás)</t>
  </si>
  <si>
    <t>Retorcidos o cableados</t>
  </si>
  <si>
    <t>Hilados de coco</t>
  </si>
  <si>
    <t>Hilados de cáñamo</t>
  </si>
  <si>
    <t>Hilados de papel</t>
  </si>
  <si>
    <t>Hilados de las demás fibras textiles vegetales (los demás)</t>
  </si>
  <si>
    <t>Tejidos de lino, con un contenido de lino superior o igual al 85 % en peso, crudos o blanqueados</t>
  </si>
  <si>
    <t>Tejidos de lino, con un contenido de lino superior o igual al 85 % en peso (los demás)</t>
  </si>
  <si>
    <t>Tejidos de lino, con un contenido de lino inferior al 85 % en peso, crudos o blanqueados</t>
  </si>
  <si>
    <t>Tejidos de lino, con un contenido de lino inferior al 85 % en peso (los demás)</t>
  </si>
  <si>
    <t>Tejidos de yute o demás fibras textiles del líber de la partida 53.03, crudos</t>
  </si>
  <si>
    <t>Tejidos de yute o demás fibras textiles del líber de la partida 53.03 (los demás)</t>
  </si>
  <si>
    <t>Hilo de coser de filamentos sintéticos o artificiales…, de filamentos sintéticos (los demás)</t>
  </si>
  <si>
    <t>Hilo de coser de filamentos sintéticos o artificiales…, de filamentos artificiales (los demás)</t>
  </si>
  <si>
    <t>Hilados de alta tenacidad de nailon o demás poliamidas, incluso…, de aramidas</t>
  </si>
  <si>
    <t>Hilados de alta tenacidad de nailon o demás poliamidas, incluso…, de nailon 6,6</t>
  </si>
  <si>
    <t>Hilados de alta tenacidad de nailon o demás poliamidas, incluso… (los demás)</t>
  </si>
  <si>
    <t>Hilados de alta tenacidad de poliésteres, incluso texturados</t>
  </si>
  <si>
    <t>Hilados texturados, de nailon o demás poliamidas, de título inferior o igual a 50 tex por hilo sencillo</t>
  </si>
  <si>
    <t>Hilados texturados, de nailon o demás poliamidas, de título superior a 50 tex por hilo sencillo</t>
  </si>
  <si>
    <t>Hilados texturados, de poliésteres</t>
  </si>
  <si>
    <t>Hilados texturados, de polipropileno</t>
  </si>
  <si>
    <t>Hilados texturados (los demás)</t>
  </si>
  <si>
    <t>Hilados de filamentos sintéticos, de elastómeros, de poliuretano</t>
  </si>
  <si>
    <t>Hilados de filamentos sintéticos, de elastómeros (los demás)</t>
  </si>
  <si>
    <t>Hilados de filamentos sintéticos (los demás, de nailon o demás poliamidas)</t>
  </si>
  <si>
    <t>Hilados de filamentos sintéticos (los demás, de poliésteres, parcialmente orientados)</t>
  </si>
  <si>
    <t>Hilados de filamentos sintéticos (los demás, de poliésteres)</t>
  </si>
  <si>
    <t>Hilados de filamentos sintéticos (los demás, de polipropileno)</t>
  </si>
  <si>
    <t>Hilados de filamentos sintéticos, de poliuretano</t>
  </si>
  <si>
    <t>Hilados de filamentos sintéticos (los demás)</t>
  </si>
  <si>
    <t>Hilados de filamentos sintéticos, de nailon o demás poliamidas</t>
  </si>
  <si>
    <t>Hilados de filamentos sintéticos, de poliésteres</t>
  </si>
  <si>
    <t>Hilados de filamentos sintéticos, de polipropileno</t>
  </si>
  <si>
    <t>Hilados de alta tenacidad de rayón viscosa</t>
  </si>
  <si>
    <t>Hilados de filamentos artificiales, de rayón viscosa, sin torsión o con una torsión inferior o igual a 120 vueltas por metro</t>
  </si>
  <si>
    <t>Hilados de filamentos artificiales, de rayón viscosa, con una torsión superior a 120 vueltas por metro</t>
  </si>
  <si>
    <t>Hilados de filamentos artificiales, de acetato de celulosa</t>
  </si>
  <si>
    <t>Hilados de filamentos artificiales (los demás)</t>
  </si>
  <si>
    <t>Hilados de filamentos artificiales, de rayón viscosa</t>
  </si>
  <si>
    <t>Monofilamentos, de elastómeros, de poliuretano</t>
  </si>
  <si>
    <t>Monofilamentos, de elastómeros (los demás)</t>
  </si>
  <si>
    <t>Monofilamentos (los demás, de polipropileno)</t>
  </si>
  <si>
    <t>Monofilamentos, de poliuretano</t>
  </si>
  <si>
    <t>Monofilamentos (los demás)</t>
  </si>
  <si>
    <t>Monofilamentos sintéticos de título superior o igual a 67 decitex y… (los demás)</t>
  </si>
  <si>
    <t>Hilados de filamentos sintéticos</t>
  </si>
  <si>
    <t>Hilados de filamentos artificiales</t>
  </si>
  <si>
    <t>Tejidos fabricados con hilados de alta tenacidad de nailon o demás…, para la fabricación de neumáticos</t>
  </si>
  <si>
    <t>Tejidos fabricados con hilados de alta tenacidad de nailon o demás… (los demás)</t>
  </si>
  <si>
    <t>Tejidos fabricados con tiras o formas similares</t>
  </si>
  <si>
    <t>Productos citados en la Nota 9 de la Sección XI</t>
  </si>
  <si>
    <t>Tejidos de hilados de filamentos sintéticos, incluidos los tejidos…, crudos o blanqueados</t>
  </si>
  <si>
    <t>Tejidos de hilados de filamentos sintéticos, incluidos los tejidos…, teñidos</t>
  </si>
  <si>
    <t>Tejidos de hilados de filamentos sintéticos, incluidos los tejidos…, con hilados de distintos colores</t>
  </si>
  <si>
    <t>Tejidos de hilados de filamentos sintéticos, incluidos los tejidos…, estampados</t>
  </si>
  <si>
    <t>Tejidos de hilados de filamentos sintéticos, incluidos los tejidos…, con un contenido de filamentos de poliéster sin texturar superior o igual al 85 %</t>
  </si>
  <si>
    <t>Tejidos de hilados de filamentos sintéticos, incluidos los tejidos… (los demás)</t>
  </si>
  <si>
    <t>Napas tramadas para neumáticos fabricadas con hilados de alcohol polivinílico</t>
  </si>
  <si>
    <t>Tejidos de hilados de filamentos sintéticos, incluidos…, crudos o blanqueados (los demás)</t>
  </si>
  <si>
    <t>Tejidos fabricados con hilados de alta tenacidad de rayón viscosa, para la fabricación de neumáticos</t>
  </si>
  <si>
    <t>Tejidos fabricados con hilados de alta tenacidad de rayón viscosa (los demás)</t>
  </si>
  <si>
    <t>Tejidos de hilados de filamentos artificiales, incluidos los…, crudos o blanqueados</t>
  </si>
  <si>
    <t>Tejidos de hilados de filamentos artificiales, incluidos los…, teñidos</t>
  </si>
  <si>
    <t>Tejidos de hilados de filamentos artificiales, incluidos los…, con hilados de distintos colores</t>
  </si>
  <si>
    <t>Tejidos de hilados de filamentos artificiales, incluidos los…, estampados</t>
  </si>
  <si>
    <t>De nailon o demás poliamidas</t>
  </si>
  <si>
    <t>5501110000</t>
  </si>
  <si>
    <t>Cables de filamentos sintéticos, de nailon o demás poliamidas, de aramidas</t>
  </si>
  <si>
    <t>5501190000</t>
  </si>
  <si>
    <t>Cables de filamentos sintéticos, de nailon o demás poliamidas (los demás)</t>
  </si>
  <si>
    <t>Cables de filamentos sintéticos, de poliésteres</t>
  </si>
  <si>
    <t>Obtenidos por extrusión húmeda</t>
  </si>
  <si>
    <t>Acrílicos o modacrílicos (los demás)</t>
  </si>
  <si>
    <t>Cables de filamentos sintéticos, de polipropileno</t>
  </si>
  <si>
    <t>Cables de filamentos sintéticos (los demás)</t>
  </si>
  <si>
    <t>Cables de filamentos artificiales, de acetato de celulosa</t>
  </si>
  <si>
    <t>Cables de filamentos artificiales, de rayón viscosa</t>
  </si>
  <si>
    <t>Cables de filamentos artificiales (los demás)</t>
  </si>
  <si>
    <t>Fibras sintéticas discontinuas, sin cardar, peinar ni…, de nailon o demás poliamidas, de aramidas</t>
  </si>
  <si>
    <t>Fibras sintéticas discontinuas, sin cardar, peinar ni…, de nailon o demás poliamidas (los demás)</t>
  </si>
  <si>
    <t>Fibras sintéticas discontinuas, sin cardar, peinar ni transformar de…, de poliésteres</t>
  </si>
  <si>
    <t>Acrílicas o modacrílicas (los demás)</t>
  </si>
  <si>
    <t>Fibras sintéticas discontinuas, sin cardar, peinar ni transformar de…, de polipropileno</t>
  </si>
  <si>
    <t>Fibras sintéticas discontinuas, sin cardar, peinar ni transformar de…, vinílicas</t>
  </si>
  <si>
    <t>Fibras sintéticas discontinuas, sin cardar, peinar ni transformar de… (los demás)</t>
  </si>
  <si>
    <t>Fibras artificiales discontinuas, sin cardar, peinar ni transformar…, de rayón viscosa</t>
  </si>
  <si>
    <t>Fibras artificiales discontinuas, sin cardar, peinar ni transformar… (los demás)</t>
  </si>
  <si>
    <t>Desperdicios de fibras sintéticas o artificiales (incluidas las…, de fibras sintéticas</t>
  </si>
  <si>
    <t>Desperdicios de fibras sintéticas o artificiales (incluidas las…, de fibras artificiales</t>
  </si>
  <si>
    <t>Fibras sintéticas discontinuas, cardadas, peinadas o transformadas de…, de nailon o demás poliamidas</t>
  </si>
  <si>
    <t>Fibras sintéticas discontinuas, cardadas, peinadas o transformadas de…, de poliésteres</t>
  </si>
  <si>
    <t>Acrílicas o modacrílicas</t>
  </si>
  <si>
    <t>Fibras sintéticas discontinuas, cardadas, peinadas o transformadas de…, de polipropileno</t>
  </si>
  <si>
    <t>Fibras sintéticas discontinuas, cardadas, peinadas o transformadas de… (los demás)</t>
  </si>
  <si>
    <t>Hilo de coser de fibras sintéticas o artificiales…, de fibras sintéticas discontinuas, acondicionados para la venta al por menor</t>
  </si>
  <si>
    <t>Hilo de coser de fibras sintéticas o artificiales…, de fibras sintéticas discontinuas (los demás)</t>
  </si>
  <si>
    <t>Hilo de coser de fibras sintéticas o artificiales…, de fibras artificiales discontinuas, acondicionados para la venta al por menor</t>
  </si>
  <si>
    <t>Hilo de coser de fibras sintéticas o artificiales…, de fibras artificiales discontinuas (los demás)</t>
  </si>
  <si>
    <t>Hilados de fibras sintéticas discontinuas, con un contenido de fibras discontinuas de nailon o demás poliamidas…, sencillos</t>
  </si>
  <si>
    <t>Hilados de fibras sintéticas discontinuas, con un contenido de fibras discontinuas de poliéster superior o igual…, sencillos</t>
  </si>
  <si>
    <t>Hilados de fibras sintéticas discontinuas, con un contenido de fibras discontinuas acrílicas o modacrílicas…, sencillos</t>
  </si>
  <si>
    <t>Hilados de fibras sintéticas discontinuas, sencillos</t>
  </si>
  <si>
    <t>Hilados de fibras sintéticas discontinuas, mezclados exclusiva o principalmente con fibras artificiales discontinuas</t>
  </si>
  <si>
    <t>Hilados de fibras sintéticas discontinuas, mezclados exclusiva o principalmente con lana o pelo fino</t>
  </si>
  <si>
    <t>Hilados de fibras sintéticas discontinuas, mezclados exclusiva o principalmente con algodón</t>
  </si>
  <si>
    <t>Hilados de fibras sintéticas discontinuas (los demás)</t>
  </si>
  <si>
    <t>Hilados de fibras artificiales discontinuas, con un contenido de fibras artificiales discontinuas superior o igual…, sencillos</t>
  </si>
  <si>
    <t>Hilados de fibras artificiales discontinuas (los demás, hilados mezclados exclusiva o principalmente con lana o pelo fino)</t>
  </si>
  <si>
    <t>Hilados de fibras artificiales discontinuas (los demás, hilados mezclados exclusiva o principalmente con algodón)</t>
  </si>
  <si>
    <t>Hilados de fibras artificiales discontinuas (los demás, hilados)</t>
  </si>
  <si>
    <t>Hilados de fibras sintéticas o artificiales, discontinuas, de fibras sintéticas discontinuas con un contenido de estas fibras superior o igual al 85 %</t>
  </si>
  <si>
    <t>Hilados de fibras sintéticas o artificiales, discontinuas, de fibras sintéticas discontinuas con un contenido de estas fibras inferior al 85 % en peso</t>
  </si>
  <si>
    <t>Hilados de fibras sintéticas o artificiales, discontinuas, de fibras artificiales discontinuas</t>
  </si>
  <si>
    <t>Tejidos de fibras sintéticas discontinuas con un…, con un contenido de fibras discontinuas de poliéster superior o igual…, crudos o blanqueados</t>
  </si>
  <si>
    <t>Tejidos de fibras sintéticas discontinuas con un…, con un contenido de fibras discontinuas de poliéster superior o igual… (los demás)</t>
  </si>
  <si>
    <t>Tejidos de fibras sintéticas discontinuas con un…, con un contenido de fibras discontinuas acrílicas o modacrílicas…, crudos o blanqueados</t>
  </si>
  <si>
    <t>Tejidos de fibras sintéticas discontinuas con un…, con un contenido de fibras discontinuas acrílicas o modacrílicas… (los demás)</t>
  </si>
  <si>
    <t>Tejidos de fibras sintéticas discontinuas con un contenido de fibras…, crudos o blanqueados</t>
  </si>
  <si>
    <t>Tejidos de fibras sintéticas discontinuas con un contenido de fibras… (los demás)</t>
  </si>
  <si>
    <t>Tejidos de fibras sintéticas discontinuas con un…, crudos o blanqueados, de fibras discontinuas de poliéster, de ligamento tafetán</t>
  </si>
  <si>
    <t>Tejidos de fibras sintéticas discontinuas con un…, crudos o blanqueados, de fibras discontinuas de poliéster, de ligamento sarga, incluido el cruzado,</t>
  </si>
  <si>
    <t>Tejidos de fibras sintéticas discontinuas con un…, crudos o blanqueados (los demás, tejidos de fibras discontinuas de poliéster)</t>
  </si>
  <si>
    <t>Tejidos de fibras sintéticas discontinuas con un…, crudos o blanqueados (los demás, tejidos)</t>
  </si>
  <si>
    <t>Teñidos, de fibras discontinuas de poliéster, de ligamento tafetán</t>
  </si>
  <si>
    <t>Teñidos, de fibras discontinuas de poliéster, de ligamento sarga, incluido el cruzado, de curso inferior o igual a 4</t>
  </si>
  <si>
    <t>Teñidos (los demás)</t>
  </si>
  <si>
    <t>Tejidos de fibras sintéticas discontinuas con un…, con hilados de distintos colores, de fibras discontinuas de poliéster, de ligamento tafetán</t>
  </si>
  <si>
    <t>Tejidos de fibras sintéticas discontinuas con un…, con hilados de distintos colores, de fibras discontinuas de poliéster, de ligamento sarga, incluido</t>
  </si>
  <si>
    <t>Tejidos de fibras sintéticas discontinuas con un…, con hilados de distintos colores (los demás, tejidos de fibras discontinuas de poliéster)</t>
  </si>
  <si>
    <t>Tejidos de fibras sintéticas discontinuas con un…, con hilados de distintos colores (los demás)</t>
  </si>
  <si>
    <t>Estampados, de fibras discontinuas de poliéster, de ligamento tafetán</t>
  </si>
  <si>
    <t>Estampados, de fibras discontinuas de poliéster, de ligamento sarga, incluido el cruzado, de curso inferior o igual a 4</t>
  </si>
  <si>
    <t>Estampados (los demás, tejidos de fibras discontinuas de poliéster)</t>
  </si>
  <si>
    <t>Tejidos de fibras sintéticas discontinuas con un…, crudos o blanqueados, de fibras discontinuas de poliéster</t>
  </si>
  <si>
    <t>Tejidos de fibras sintéticas discontinuas con un…, crudos o blanqueados (los demás)</t>
  </si>
  <si>
    <t>Teñidos (los demás, tejidos de fibras discontinuas de poliéster)</t>
  </si>
  <si>
    <t>Tejidos de fibras sintéticas discontinuas con un…, con hilados de distintos colores (los demás, tejidos)</t>
  </si>
  <si>
    <t>Fibras sintéticas o artificiales discontinuas, de fibras discontinuas de poliéster, mezcladas exclusiva o principalmente con fibras discontinuas de ra</t>
  </si>
  <si>
    <t>Fibras sintéticas o artificiales discontinuas, de fibras discontinuas de poliéster, mezcladas exclusiva o principalmente con filamentos sintéticos o a</t>
  </si>
  <si>
    <t>Fibras sintéticas o artificiales discontinuas, de fibras discontinuas de poliéster, mezcladas exclusiva o principalmente con lana o pelo fino</t>
  </si>
  <si>
    <t>Fibras sintéticas o artificiales discontinuas, de fibras discontinuas de poliéster (los demás)</t>
  </si>
  <si>
    <t>Fibras sintéticas o artificiales discontinuas, de fibras discontinuas acrílicas o modacrílicas, mezcladas exclusiva o principalmente con filamentos si</t>
  </si>
  <si>
    <t>Fibras sintéticas o artificiales discontinuas, de fibras discontinuas acrílicas o modacrílicas, mezcladas exclusiva o principalmente con lana o pelo f</t>
  </si>
  <si>
    <t>Fibras sintéticas o artificiales discontinuas, de fibras discontinuas acrílicas o modacrílicas (los demás)</t>
  </si>
  <si>
    <t>Fibras sintéticas o artificiales discontinuas, mezclados exclusiva o principalmente con filamentos sintéticos o artificiales</t>
  </si>
  <si>
    <t>Fibras sintéticas o artificiales discontinuas (los demás)</t>
  </si>
  <si>
    <t>Tejidos de fibras artificiales discontinuas, con un contenido de fibras artificiales discontinuas superior o igual…, crudos o blanqueados</t>
  </si>
  <si>
    <t>Tejidos de fibras artificiales discontinuas, con un contenido de fibras artificiales discontinuas superior o igual…, teñidos</t>
  </si>
  <si>
    <t>Tejidos de fibras artificiales discontinuas, con un contenido de fibras artificiales discontinuas superior o igual…, con hilados de distintos colores</t>
  </si>
  <si>
    <t>Tejidos de fibras artificiales discontinuas, con un contenido de fibras artificiales discontinuas superior o igual…, estampados</t>
  </si>
  <si>
    <t>Tejidos de fibras artificiales discontinuas, con un contenido de fibras artificiales discontinuas inferior al 85 %…, crudos o blanqueados</t>
  </si>
  <si>
    <t>Tejidos de fibras artificiales discontinuas, con un contenido de fibras artificiales discontinuas inferior al 85 %…, teñidos</t>
  </si>
  <si>
    <t>Tejidos de fibras artificiales discontinuas, con un contenido de fibras artificiales discontinuas inferior al 85 %…, con hilados de distintos colores</t>
  </si>
  <si>
    <t>Tejidos de fibras artificiales discontinuas, con un contenido de fibras artificiales discontinuas inferior al 85 %…, estampados</t>
  </si>
  <si>
    <t>Tejidos de fibras artificiales discontinuas, crudos o blanqueados</t>
  </si>
  <si>
    <t>Tejidos de fibras artificiales discontinuas, teñidos</t>
  </si>
  <si>
    <t>Tejidos de fibras artificiales discontinuas, con hilados de distintos colores</t>
  </si>
  <si>
    <t>Tejidos de fibras artificiales discontinuas, estampados</t>
  </si>
  <si>
    <t>Guata de materia textil y artículos de esta guata, de algodón</t>
  </si>
  <si>
    <t>Guata de materia textil y artículos de esta guata, de fibras sintéticas o artificiales</t>
  </si>
  <si>
    <t>Guata de materia textil y artículos de esta guata (los demás)</t>
  </si>
  <si>
    <t>Tundizno, nudos y motas de materia textil</t>
  </si>
  <si>
    <t>Fieltro punzonado y productos obtenidos mediante costura por cadeneta</t>
  </si>
  <si>
    <t>Fieltro, incluso impregnado, recubierto, revestido o estratificado, de lana o pelo fino</t>
  </si>
  <si>
    <t>Fieltro, incluso impregnado, recubierto, revestido o estratificado, de las demás materias textiles</t>
  </si>
  <si>
    <t>Fieltro, incluso impregnado, recubierto, revestido o estratificado (los demás)</t>
  </si>
  <si>
    <t>Tela sin tejer, incluso impregnada, recubierta…, de filamentos sintéticos o artificiales, de peso inferior o igual a 25 g/m2</t>
  </si>
  <si>
    <t xml:space="preserve">Tela sin tejer, incluso impregnada, recubierta…, de filamentos sintéticos o artificiales, de peso superior a 25 g/m2 pero inferior o igual a 70 g/m2, </t>
  </si>
  <si>
    <t>Tela sin tejer, incluso impregnada, recubierta…, de filamentos sintéticos o artificiales, de peso superior a 25 g/m2 pero inferior o igual a 70 g/m2 (</t>
  </si>
  <si>
    <t>Tela sin tejer, incluso impregnada, recubierta…, de filamentos sintéticos o artificiales, de peso superior a 70 g/m2 pero inferior o igual a 150 g/m2</t>
  </si>
  <si>
    <t>Tela sin tejer, incluso impregnada, recubierta…, de filamentos sintéticos o artificiales, de peso superior a 150 g/m2</t>
  </si>
  <si>
    <t>Tela sin tejer, incluso impregnada, recubierta, revestida o…, de peso inferior o igual a 25 g/m2</t>
  </si>
  <si>
    <t>Tela sin tejer, incluso impregnada, recubierta, revestida o…, de peso superior a 25 g/m2 pero inferior o igual a 70 g/m2</t>
  </si>
  <si>
    <t>Tela sin tejer, incluso impregnada, recubierta, revestida o…, de peso superior a 70 g/m2 pero inferior o igual a 150 g/m2</t>
  </si>
  <si>
    <t>Tela sin tejer, incluso impregnada, recubierta, revestida o…, de peso superior a 150 g/m2</t>
  </si>
  <si>
    <t>Hilos y cuerdas de caucho revestidos de textiles</t>
  </si>
  <si>
    <t>Hilados de alta tenacidad, impregnados o recubiertos, con caucho sin vulcanizar para la fabricación de neumáticos</t>
  </si>
  <si>
    <t>Hilos y cuerdas de caucho revestidos de textiles (los demás)</t>
  </si>
  <si>
    <t>Cordeles para atar o engavillar</t>
  </si>
  <si>
    <t>Cordeles, cuerdas y cordajes, estén o no trenzados…, de sisal o demás fibras textiles del género Agave (los demás)</t>
  </si>
  <si>
    <t>Cordeles, cuerdas y cordajes, estén o no trenzados…, de polietileno o polipropileno (los demás)</t>
  </si>
  <si>
    <t>Cordeles, cuerdas y cordajes, estén o no trenzados, incluso… (los demás)</t>
  </si>
  <si>
    <t>Redes confeccionadas para la pesca</t>
  </si>
  <si>
    <t>Redes de mallas anudadas, en paño o en pieza, fabricadas con… (los demás)</t>
  </si>
  <si>
    <t>Eslingas de carga, incluso con accesorios de metal común</t>
  </si>
  <si>
    <t>Alfombras de nudo de materia textil, incluso confeccionadas, de lana o pelo fino</t>
  </si>
  <si>
    <t>Alfombras de nudo de materia textil, incluso confeccionadas, de las demás materias textiles</t>
  </si>
  <si>
    <t>Alfombras llamadas «Kelim» o «Kilim», «Schumacks» o «Soumak», «Karamanie» y alfombras similares tejidas a mano</t>
  </si>
  <si>
    <t>Revestimientos para el suelo de fibras de coco</t>
  </si>
  <si>
    <t>Alfombras y demás revestimientos para el suelo, de materia textil…, de lana o pelo fino</t>
  </si>
  <si>
    <t>Alfombras y demás revestimientos para el suelo, de materia textil…, de materia textil sintética o artificial</t>
  </si>
  <si>
    <t>Alfombras y demás revestimientos para el suelo, de materia textil…, de las demás materias textiles</t>
  </si>
  <si>
    <t>Alfombras y demás revestimientos para el suelo, de materia textil… (los demás, sin aterciopelar ni confeccionar)</t>
  </si>
  <si>
    <t>Alfombras y demás revestimientos para el suelo (incluido el césped)…, de lana o pelo fino</t>
  </si>
  <si>
    <t>5703210000</t>
  </si>
  <si>
    <t>Alfombras y demás revestimientos para el suelo…, de nailon o demás poliamidas, césped</t>
  </si>
  <si>
    <t>5703290000</t>
  </si>
  <si>
    <t>Alfombras y demás revestimientos para el suelo…, de nailon o demás poliamidas (los demás)</t>
  </si>
  <si>
    <t>De las demás materias textiles sintéticas o de materia textil artificial</t>
  </si>
  <si>
    <t>5703310000</t>
  </si>
  <si>
    <t>Alfombras y demás revestimientos para el suelo…, de las demás materias textiles sintéticas o de materias textiles…, césped</t>
  </si>
  <si>
    <t>5703390000</t>
  </si>
  <si>
    <t>Alfombras y demás revestimientos para el suelo…, de las demás materias textiles sintéticas o de materias textiles… (los demás)</t>
  </si>
  <si>
    <t>Alfombras y demás revestimientos para el suelo, de fieltro, de superficie inferior o igual a 0,3 m2</t>
  </si>
  <si>
    <t>Alfombras y demás revestimientos para el suelo, de fieltro, de superficie superior a 0,3 m2 pero inferior o igual a 1 m²</t>
  </si>
  <si>
    <t>Alfombras y demás revestimientos para el suelo, de fieltro (los demás)</t>
  </si>
  <si>
    <t>Terciopelo y felpa, de lana o pelo fino</t>
  </si>
  <si>
    <t>Terciopelo y felpa por trama, sin cortar</t>
  </si>
  <si>
    <t>Terciopelo y felpa por trama, cortados, rayados (pana rayada, «corduroy»)</t>
  </si>
  <si>
    <t>Terciopelo y felpa, de algodón (los demás, terciopelos y felpas por trama)</t>
  </si>
  <si>
    <t>Tejidos de chenilla</t>
  </si>
  <si>
    <t>Terciopelo y felpa por urdimbre, sin cortar (rizados)</t>
  </si>
  <si>
    <t>Terciopelo y felpa por urdimbre, cortados</t>
  </si>
  <si>
    <t>Terciopelo y felpa, de fibras sintéticas o artificiales (los demás, terciopelos y felpas por trama)</t>
  </si>
  <si>
    <t>Terciopelo y felpa por urdimbre</t>
  </si>
  <si>
    <t>Terciopelo y felpa, de las demás materias textiles</t>
  </si>
  <si>
    <t>5802100000</t>
  </si>
  <si>
    <t>Tejidos con bucles del tipo toalla, de algodón</t>
  </si>
  <si>
    <t>Crudos</t>
  </si>
  <si>
    <t>Tejidos con bucles del tipo toalla, excepto los productos de la partid (los demás)</t>
  </si>
  <si>
    <t>Tejidos con bucles del tipo toalla, de las demás materias textiles</t>
  </si>
  <si>
    <t>Superficies textiles con mechón insertado</t>
  </si>
  <si>
    <t>Tul, tul-bobinot y tejidos de mallas anudadas</t>
  </si>
  <si>
    <t>Encajes fabricados a máquina, de fibras sintéticas o artificiales</t>
  </si>
  <si>
    <t>Encajes fabricados a máquina, de las demás materias textiles</t>
  </si>
  <si>
    <t>Encajes hechos a mano</t>
  </si>
  <si>
    <t>Cintas de terciopelo, de felpa, de tejidos de chenilla o de tejidos con bucles del tipo toalla</t>
  </si>
  <si>
    <t>Cintas, excepto los artículos de la partida 58.07 (los demás, cintas, con un contenido de hilos de elastómeros o de hilos de caucho superior o igual a</t>
  </si>
  <si>
    <t>Cintas, excepto los artículos de la partida 58.07, de algodón</t>
  </si>
  <si>
    <t>Cintas, excepto los artículos de la partida 58.07, de fibras sintéticas o artificiales, de ancho inferior o igual a 4,1 cm</t>
  </si>
  <si>
    <t>Cintas, excepto los artículos de la partida 58.07, de fibras sintéticas o artificiales (los demás)</t>
  </si>
  <si>
    <t>Cintas, excepto los artículos de la partida 58.07, de las demás materias textiles</t>
  </si>
  <si>
    <t>Cintas sin trama, de hilados o fibras paralelizados y aglutinados</t>
  </si>
  <si>
    <t>Tejidos</t>
  </si>
  <si>
    <t>Etiquetas, escudos y artículos similares, de materia textil, en… (los demás)</t>
  </si>
  <si>
    <t>Trenzas en pieza</t>
  </si>
  <si>
    <t>Trenzas en pieza (los demás)</t>
  </si>
  <si>
    <t>Bordados químicos o aéreos y bordados con fondo recortado</t>
  </si>
  <si>
    <t>Bordados en pieza, en tiras o en aplicaciones, de algodón</t>
  </si>
  <si>
    <t>Bordados en pieza, en tiras o en aplicaciones, de fibras sintéticas o artificiales</t>
  </si>
  <si>
    <t>Bordados en pieza, en tiras o en aplicaciones, de las demás materias textiles</t>
  </si>
  <si>
    <t>Telas recubiertas de cola o materias amiláceas, de los tipos utilizados para encuadernación, cartonaje, estuchería o usos similares</t>
  </si>
  <si>
    <t>Telas recubiertas de cola o materias amiláceas, de los tipos… (los demás)</t>
  </si>
  <si>
    <t>Napas tramadas para neumáticos fabricadas con hilados…, de nailon o demás poliamidas, cauchutadas</t>
  </si>
  <si>
    <t>Napas tramadas para neumáticos fabricadas con hilados…, de nailon o demás poliamidas (los demás)</t>
  </si>
  <si>
    <t>Napas tramadas para neumáticos fabricadas con hilados…, de poliésteres, cauchutadas</t>
  </si>
  <si>
    <t>Napas tramadas para neumáticos fabricadas con hilados…, de poliésteres (los demás)</t>
  </si>
  <si>
    <t>Napas tramadas para neumáticos fabricadas con hilados de alta… (los demás)</t>
  </si>
  <si>
    <t>Telas impregnadas, recubiertas, revestidas o estratificadas con…, con poli(cloruro de vinilo)</t>
  </si>
  <si>
    <t>Telas impregnadas, recubiertas, revestidas o estratificadas con…, con poliuretano</t>
  </si>
  <si>
    <t>Telas impregnadas, recubiertas, revestidas o estratificadas con… (los demás)</t>
  </si>
  <si>
    <t>Linóleo</t>
  </si>
  <si>
    <t>Linóleo, incluso cortado (los demás)</t>
  </si>
  <si>
    <t>Cintas adhesivas de anchura inferior o igual a 20 cm</t>
  </si>
  <si>
    <t>Telas cauchutadas, de punto</t>
  </si>
  <si>
    <t>Tejidos fabricados con hilados de alta tenacidad de nailon o de otras poliamidas o de poliésteres</t>
  </si>
  <si>
    <t>Especiales para la fabricación de artículos de caucho</t>
  </si>
  <si>
    <t>Telas cauchutadas (los demás)</t>
  </si>
  <si>
    <t>Telas, fieltro y tejidos forrados de fieltro, combinados con una o varias capas de caucho, cuero u otra materia, de los tipos utilizados para la fabri</t>
  </si>
  <si>
    <t>Gasas y telas para cerner, incluso confeccionadas</t>
  </si>
  <si>
    <t>Telas y fieltros sin fin o con dispositivos de unión, de los tipos…, de peso inferior a 650 g/m2</t>
  </si>
  <si>
    <t>Telas y fieltros sin fin o con dispositivos de unión, de los tipos…, de peso superior o igual a 650 g/m2</t>
  </si>
  <si>
    <t>Telas filtrantes, tejidos gruesos y capachos de los tipos utilizados en las prensas de aceite o para usos técnicos análogos, incluidos los de cabello</t>
  </si>
  <si>
    <t>Productos y artículos textiles para usos técnicos mencionados en la… (los demás)</t>
  </si>
  <si>
    <t>Tejidos «de pelo largo»</t>
  </si>
  <si>
    <t>Tejidos con bucles, de algodón</t>
  </si>
  <si>
    <t>Tejidos con bucles, de fibras sintéticas o artificiales</t>
  </si>
  <si>
    <t>Tejidos con bucles, de las demás materias textiles</t>
  </si>
  <si>
    <t>Terciopelo, felpa (incluidos los tejidos de punto «de pelo largo») y…, de algodón</t>
  </si>
  <si>
    <t>Terciopelo, felpa (incluidos los tejidos de punto «de pelo largo») y…, de fibras sintéticas o artificiales</t>
  </si>
  <si>
    <t>Tejidos de punto de anchura inferior o igual a 30 cm, con un…, con un contenido de hilados de elastómeros superior o igual al 5 % en peso, sin hilos d</t>
  </si>
  <si>
    <t>Tejidos de punto de anchura inferior o igual a 30 cm, con un… (los demás)</t>
  </si>
  <si>
    <t>Tejidos de punto de anchura inferior o igual a 30 cm, de lana o pelo fino</t>
  </si>
  <si>
    <t>Tejidos de punto de anchura inferior o igual a 30 cm, de algodón</t>
  </si>
  <si>
    <t>Tejidos de punto de anchura inferior o igual a 30 cm, de fibras sintéticas</t>
  </si>
  <si>
    <t>Tejidos de punto de anchura inferior o igual a 30 cm, de fibras artificiales</t>
  </si>
  <si>
    <t>Tejidos de punto de anchura inferior o igual a 30 cm (los demás)</t>
  </si>
  <si>
    <t>Tejidos de punto de anchura superior a 30 cm, con un contenido de…, con un contenido de hilados de elastómeros superior o igual al 5 % en peso, sin hi</t>
  </si>
  <si>
    <t>Tejidos de punto de anchura superior a 30 cm, con un contenido de… (los demás)</t>
  </si>
  <si>
    <t>Tejidos de punto por urdimbre (incluidos los obtenidos…, de algodón, crudos o blanqueados</t>
  </si>
  <si>
    <t>Tejidos de punto por urdimbre (incluidos los obtenidos…, de algodón, teñidos</t>
  </si>
  <si>
    <t>Tejidos de punto por urdimbre (incluidos los obtenidos…, de algodón, con hilados de distintos colores</t>
  </si>
  <si>
    <t>Tejidos de punto por urdimbre (incluidos los obtenidos…, de algodón, estampados</t>
  </si>
  <si>
    <t>Tejidos mencionados en la Nota 1 de subpartida de este Capítulo</t>
  </si>
  <si>
    <t>Tejidos de punto por urdimbre (incluidos los obtenidos…, de fibras sintéticas (los demás, crudos o blanqueados)</t>
  </si>
  <si>
    <t>Tejidos de punto por urdimbre (incluidos los obtenidos…, de fibras sintéticas (los demás, teñidos)</t>
  </si>
  <si>
    <t>Tejidos de punto por urdimbre (incluidos los obtenidos…, de fibras sintéticas (los demás, con hilados de distintos colores)</t>
  </si>
  <si>
    <t>Tejidos de punto por urdimbre (incluidos los obtenidos…, de fibras sintéticas (los demás, estampados)</t>
  </si>
  <si>
    <t>Tejidos de punto por urdimbre (incluidos los obtenidos…, de fibras artificiales, crudos o blanqueados</t>
  </si>
  <si>
    <t>Tejidos de punto por urdimbre (incluidos los obtenidos…, de fibras artificiales, teñidos</t>
  </si>
  <si>
    <t>Tejidos de punto por urdimbre (incluidos los obtenidos…, de fibras artificiales, con hilados de distintos colores</t>
  </si>
  <si>
    <t>Tejidos de punto por urdimbre (incluidos los obtenidos…, de fibras artificiales, estampados</t>
  </si>
  <si>
    <t>Tejidos de punto por urdimbre (incluidos los obtenidos en telares de… (los demás)</t>
  </si>
  <si>
    <t>Tejidos de punto, de lana o pelo fino</t>
  </si>
  <si>
    <t>Tejidos de punto, de algodón, crudos o blanqueados</t>
  </si>
  <si>
    <t>Tejidos de punto, de algodón, teñidos</t>
  </si>
  <si>
    <t>Tejidos de punto, de algodón, con hilados de distintos colores</t>
  </si>
  <si>
    <t>Tejidos de punto, de algodón, estampados</t>
  </si>
  <si>
    <t>Tejidos de punto, de fibras sintéticas, crudos o blanqueados</t>
  </si>
  <si>
    <t>Tejidos de punto, de fibras sintéticas, teñidos</t>
  </si>
  <si>
    <t>Tejidos de punto, de fibras sintéticas, estampados</t>
  </si>
  <si>
    <t>Tejidos de punto, de fibras artificiales, crudos o blanqueados</t>
  </si>
  <si>
    <t>Tejidos de punto, de fibras artificiales, teñidos</t>
  </si>
  <si>
    <t>Tejidos de punto, de fibras artificiales, con hilados de distintos colores</t>
  </si>
  <si>
    <t>Tejidos de punto, de fibras artificiales, estampados</t>
  </si>
  <si>
    <t>Tejidos de punto (los demás)</t>
  </si>
  <si>
    <t>Abrigos, chaquetones, capas, anoraks, cazadoras y artículos…, de algodón</t>
  </si>
  <si>
    <t>Abrigos, chaquetones, capas, anoraks, cazadoras y…, de las demás materias textiles, de lana o pelo fino</t>
  </si>
  <si>
    <t>Abrigos, chaquetones, capas, anoraks, cazadoras y…, de las demás materias textiles (los demás)</t>
  </si>
  <si>
    <t>Abrigos, chaquetones, capas, anoraks, cazadoras y artículos…, de las demás materias textiles</t>
  </si>
  <si>
    <t>Trajes (ambos o ternos), de lana o pelo fino</t>
  </si>
  <si>
    <t>Trajes (ambos o ternos), de fibras sintéticas</t>
  </si>
  <si>
    <t>Trajes (ambos o ternos), de las demás materias textiles</t>
  </si>
  <si>
    <t>Conjuntos, de algodón</t>
  </si>
  <si>
    <t>Conjuntos, de fibras sintéticas</t>
  </si>
  <si>
    <t>Conjuntos, de las demás materias textiles, de lana o pelo fino</t>
  </si>
  <si>
    <t>Conjuntos, de las demás materias textiles (los demás)</t>
  </si>
  <si>
    <t>Chaquetas (sacos), de lana o pelo fino</t>
  </si>
  <si>
    <t>Chaquetas (sacos), de algodón</t>
  </si>
  <si>
    <t>Chaquetas (sacos), de fibras sintéticas</t>
  </si>
  <si>
    <t>Chaquetas (sacos), de las demás materias textiles</t>
  </si>
  <si>
    <t>Pantalones largos, pantalones con peto, pantalones cortos (calzones)…, de lana o pelo fino</t>
  </si>
  <si>
    <t>Pantalones largos, pantalones con peto, pantalones cortos (calzones)…, de algodón</t>
  </si>
  <si>
    <t>Pantalones largos, pantalones con peto, pantalones cortos (calzones)…, de fibras sintéticas</t>
  </si>
  <si>
    <t>Pantalones largos, pantalones con peto, pantalones cortos (calzones)…, de las demás materias textiles</t>
  </si>
  <si>
    <t>Trajes sastre, de fibras sintéticas</t>
  </si>
  <si>
    <t>Trajes sastre, de las demás materias textiles, de lana o pelo fino</t>
  </si>
  <si>
    <t>Trajes sastre, de las demás materias textiles, de algodón</t>
  </si>
  <si>
    <t>Trajes sastre, de las demás materias textiles (los demás)</t>
  </si>
  <si>
    <t>Vestidos, de lana o pelo fino</t>
  </si>
  <si>
    <t>Vestidos, de algodón</t>
  </si>
  <si>
    <t>Vestidos, de fibras sintéticas</t>
  </si>
  <si>
    <t>Vestidos, de fibras artificiales</t>
  </si>
  <si>
    <t>Vestidos, de las demás materias textiles</t>
  </si>
  <si>
    <t>Faldas y faldas pantalón, de lana o pelo fino</t>
  </si>
  <si>
    <t>Faldas y faldas pantalón, de algodón</t>
  </si>
  <si>
    <t>Faldas y faldas pantalón, de fibras sintéticas</t>
  </si>
  <si>
    <t>Faldas y faldas pantalón, de las demás materias textiles</t>
  </si>
  <si>
    <t>Camisas de punto para hombres o niños, de algodón, con abertura delantera parcial, con cuello y puño de tejido acanalado…, de tejido teñido de un solo</t>
  </si>
  <si>
    <t>Camisas de punto para hombres o niños, de algodón, con abertura delantera parcial, con cuello y puño de tejido acanalado…, de tejido con hilados de di</t>
  </si>
  <si>
    <t>Camisas de punto para hombres o niños, de algodón, con abertura delantera parcial, con cuello y puño de tejido acanalado… (los demás)</t>
  </si>
  <si>
    <t xml:space="preserve">Camisas de punto para hombres o niños, de algodón, con cuello y abertura delantera parcial, para hombres, de tejido teñido de un solo color uniforme, </t>
  </si>
  <si>
    <t xml:space="preserve">Camisas de punto para hombres o niños, de algodón, con cuello y abertura delantera parcial, para hombres, de tejido con hilados de distintos colores, </t>
  </si>
  <si>
    <t>Camisas de punto para hombres o niños, de algodón, con cuello y abertura delantera parcial, para hombres (los demás)</t>
  </si>
  <si>
    <t>Camisas de punto para hombres o niños, de algodón (los demás, para hombres)</t>
  </si>
  <si>
    <t>Camisas de punto para hombres o niños, de algodón, con abertura delantera parcial, con cuello y puño de tejido acanalado elástico</t>
  </si>
  <si>
    <t>Camisas de punto para hombres o niños, de algodón, con cuello y abertura delantera parcial</t>
  </si>
  <si>
    <t>Camisas de punto para hombres o niños, de algodón (los demás)</t>
  </si>
  <si>
    <t>Camisas de punto para hombres o niños, de fibras sintéticas o artificiales, de fibras acrílicas o modacrílicas</t>
  </si>
  <si>
    <t>Camisas de punto para hombres o niños, de fibras sintéticas o artificiales, de las demás fibras sintéticas o artificiales</t>
  </si>
  <si>
    <t>Camisas de punto para hombres o niños, de las demás materias textiles</t>
  </si>
  <si>
    <t>Camisas, blusas y blusas camiseras, de punto, para…, de algodón, con abertura delantera parcial, con cuello y puño de tejido acanalado…, de tejido teñ</t>
  </si>
  <si>
    <t>Camisas, blusas y blusas camiseras, de punto, para…, de algodón, con abertura delantera parcial, con cuello y puño de tejido acanalado…, de tejido con</t>
  </si>
  <si>
    <t>Camisas, blusas y blusas camiseras, de punto, para…, de algodón, con abertura delantera parcial, con cuello y puño de tejido acanalado… (los demás)</t>
  </si>
  <si>
    <t xml:space="preserve">Camisas, blusas y blusas camiseras, de punto, para…, de algodón, con cuello y abertura delantera parcial, de tejido teñido de un solo color uniforme, </t>
  </si>
  <si>
    <t xml:space="preserve">Camisas, blusas y blusas camiseras, de punto, para…, de algodón, con cuello y abertura delantera parcial, de tejido con hilados de distintos colores, </t>
  </si>
  <si>
    <t>Camisas, blusas y blusas camiseras, de punto, para…, de algodón, con cuello y abertura delantera parcial (los demás)</t>
  </si>
  <si>
    <t>Camisas, blusas y blusas camiseras, de punto, para…, de algodón (los demás)</t>
  </si>
  <si>
    <t>Camisas, blusas y blusas camiseras, de punto, para mujeres o niñas, de fibras sintéticas o artificiales</t>
  </si>
  <si>
    <t>Camisas, blusas y blusas camiseras, de punto, para mujeres o niñas, de las demás materias textiles</t>
  </si>
  <si>
    <t>Calzoncillos (incluidos los largos y los slips), de algodón</t>
  </si>
  <si>
    <t>Calzoncillos (incluidos los largos y los slips), de fibras sintéticas o artificiales</t>
  </si>
  <si>
    <t>Calzoncillos (incluidos los largos y los slips), de las demás materias textiles</t>
  </si>
  <si>
    <t>Camisones y pijamas, de algodón</t>
  </si>
  <si>
    <t>Camisones y pijamas, de fibras sintéticas o artificiales</t>
  </si>
  <si>
    <t>Camisones y pijamas, de las demás materias textiles</t>
  </si>
  <si>
    <t>Calzoncillos (incluidos los largos y los slips), camisones, pijamas…, de algodón</t>
  </si>
  <si>
    <t>Calzoncillos (incluidos los largos y los slips)…, de las demás materias textiles, de fibras sintéticas o artificiales</t>
  </si>
  <si>
    <t>Calzoncillos (incluidos los largos y los slips)…, de las demás materias textiles (los demás)</t>
  </si>
  <si>
    <t>Combinaciones y enaguas, de fibras sintéticas o artificiales</t>
  </si>
  <si>
    <t>Combinaciones y enaguas, de las demás materias textiles</t>
  </si>
  <si>
    <t>Bragas (bombachas, calzones) (incluso las que no llegan hasta la…, de algodón</t>
  </si>
  <si>
    <t>Bragas (bombachas, calzones) (incluso las que no llegan hasta la…, de fibras sintéticas o artificiales</t>
  </si>
  <si>
    <t>Bragas (bombachas, calzones) (incluso las que no llegan hasta la…, de las demás materias textiles</t>
  </si>
  <si>
    <t>Combinaciones, enaguas, bragas (bombachas, calzones) (incluso las que…, de algodón</t>
  </si>
  <si>
    <t>Combinaciones, enaguas, bragas (bombachas, calzones) (incluso las que…, de fibras sintéticas o artificiales</t>
  </si>
  <si>
    <t>Combinaciones, enaguas, bragas (bombachas, calzones) (incluso las que…, de las demás materias textiles</t>
  </si>
  <si>
    <t>«T-shirts» para hombres o mujeres, de tejido con hilados de distintos colores, con motivos de rayas</t>
  </si>
  <si>
    <t>«T-shirts» para niños o niñas, de tejido teñido de un solo color uniforme, incluidos los blanqueados</t>
  </si>
  <si>
    <t>«T-shirts» para niños o niñas, de tejido con hilados de distintos colores, con motivos de rayas</t>
  </si>
  <si>
    <t>«T-shirts» para niños o niñas (los demás)</t>
  </si>
  <si>
    <t>«T-shirts» y camisetas, de punto, de algodón, camisetas</t>
  </si>
  <si>
    <t>«T-shirts» y camisetas, de punto, de las demás materias textiles, de fibras acrílicas o modacrílicas</t>
  </si>
  <si>
    <t>«T-shirts» y camisetas, de punto, de las demás materias textiles (los demás)</t>
  </si>
  <si>
    <t>Suéteres (jerseys), con cuello de cisne («Sous pull», «turtle neck»)</t>
  </si>
  <si>
    <t>Suéteres (jerseys) (los demás)</t>
  </si>
  <si>
    <t>Suéteres (jerseys), pulóveres, cárdigan, chalecos y…, de lana o pelo fino, de lana, chalecos</t>
  </si>
  <si>
    <t>Suéteres (jerseys), pulóveres, cárdigan, chalecos y…, de lana o pelo fino, de lana, cárdigan</t>
  </si>
  <si>
    <t>Suéteres (jerseys), pulóveres, cárdigan, chalecos y…, de lana o pelo fino, de lana, con cuello de cisne («Sous pull», «turtle neck»)</t>
  </si>
  <si>
    <t>Suéteres (jerseys), pulóveres, cárdigan, chalecos y…, de lana o pelo fino, de lana (los demás)</t>
  </si>
  <si>
    <t>Suéteres (jerseys), pulóveres, cárdigan, chalecos y…, de lana o pelo fino, de cabra de Cachemira</t>
  </si>
  <si>
    <t>Suéteres (jerseys), pulóveres, cárdigan, chalecos y…, de lana o pelo fino, chalecos</t>
  </si>
  <si>
    <t>Suéteres (jerseys), pulóveres, cárdigan, chalecos y…, de lana o pelo fino, con cuello de cisne («Sous pull», «turtle neck»)</t>
  </si>
  <si>
    <t>Suéteres (jerseys), pulóveres, cárdigan, chalecos y…, de lana o pelo fino (los demás)</t>
  </si>
  <si>
    <t>Suéteres (jerseys), pulóveres, cárdigan, chalecos y…, de algodón, chalecos</t>
  </si>
  <si>
    <t>Suéteres (jerseys), pulóveres, cárdigan, chalecos y…, de algodón, cárdigan</t>
  </si>
  <si>
    <t>Suéteres (jerseys), pulóveres, cárdigan, chalecos y…, de algodón, con cuello de cisne («Sous pull», «turtle neck»)</t>
  </si>
  <si>
    <t>Suéteres (jerseys), pulóveres, cárdigan, chalecos y…, de algodón (los demás)</t>
  </si>
  <si>
    <t>Suéteres (jerseys), pulóveres, cárdigan, chalecos y…, de fibras sintéticas o artificiales, de fibras acrílicas o modacrílicas</t>
  </si>
  <si>
    <t>Suéteres (jerseys), pulóveres, cárdigan, chalecos y…, de fibras sintéticas o artificiales (los demás)</t>
  </si>
  <si>
    <t>Suéteres (jerseys), pulóveres, cárdigan, chalecos y artículos…, de las demás materias textiles</t>
  </si>
  <si>
    <t>Prendas y complementos (accesorios), de vestir, de punto, para bebés, de fibras sintéticas</t>
  </si>
  <si>
    <t>Prendas y complementos (accesorios), de vestir, de…, de las demás materias textiles, de lana o pelo fino</t>
  </si>
  <si>
    <t>Prendas y complementos (accesorios), de vestir, de…, de las demás materias textiles (los demás)</t>
  </si>
  <si>
    <t>Conjuntos de abrigo para entrenamiento o deporte (chandales), de algodón</t>
  </si>
  <si>
    <t>Conjuntos de abrigo para entrenamiento o deporte (chandales), de fibras sintéticas</t>
  </si>
  <si>
    <t>Conjuntos de abrigo para entrenamiento o deporte (chandales), de las demás materias textiles</t>
  </si>
  <si>
    <t>Monos (overoles) y conjuntos de esquí</t>
  </si>
  <si>
    <t>Bañadores para hombres o niños, de fibras sintéticas</t>
  </si>
  <si>
    <t>Bañadores para hombres o niños, de las demás materias textiles</t>
  </si>
  <si>
    <t>Bañadores para mujeres o niñas, de fibras sintéticas</t>
  </si>
  <si>
    <t>Bañadores para mujeres o niñas, de las demás materias textiles</t>
  </si>
  <si>
    <t>Prendas y complementos (accesorios), de vestir, de punto, de algodón</t>
  </si>
  <si>
    <t>Calzas, panty-medias, leotardos y medias, de compresión progresiva… (los demás)</t>
  </si>
  <si>
    <t>Calzas, panty-medias, leotardos, medias, calcetines y demás artículos…, de fibras sintéticas, de título superior o igual a 67 decitex por hilo sencill</t>
  </si>
  <si>
    <t>Calzas, panty-medias, leotardos, medias, calcetines y demás artículos… (los demás)</t>
  </si>
  <si>
    <t>Calzas, panty-medias, leotardos, medias, calcetines y demás artículos…, de lana o pelo fino</t>
  </si>
  <si>
    <t>Guantes, mitones y manoplas, de punto, de lana o pelo fino</t>
  </si>
  <si>
    <t>Guantes, mitones y manoplas, de punto, de algodón</t>
  </si>
  <si>
    <t>Guantes, mitones y manoplas, de punto, de fibras sintéticas</t>
  </si>
  <si>
    <t>Guantes, mitones y manoplas, de punto, de las demás materias textiles</t>
  </si>
  <si>
    <t>Chales, pañuelos de cuello, bufandas, mantillas, velos y artículos similares</t>
  </si>
  <si>
    <t>Rodilleras y tobilleras</t>
  </si>
  <si>
    <t>Corbatas y lazos similares</t>
  </si>
  <si>
    <t>Prendas y complementos (accesorios), de vestir, de punto (los demás)</t>
  </si>
  <si>
    <t>Prendas y complementos (accesorios), de vestir, de…, partes, de fibras sintéticas o artificiales</t>
  </si>
  <si>
    <t>Prendas y complementos (accesorios), de vestir, de…, partes (los demás)</t>
  </si>
  <si>
    <t>De lana o pelo fino</t>
  </si>
  <si>
    <t>De algodón</t>
  </si>
  <si>
    <t>De las demás materias textiles</t>
  </si>
  <si>
    <t>6201200000</t>
  </si>
  <si>
    <t>Abrigos, chaquetones, capas, anoraks, cazadoras y artículos…, de lana o pelo fino</t>
  </si>
  <si>
    <t>6201300000</t>
  </si>
  <si>
    <t>6201900000</t>
  </si>
  <si>
    <t>De fibras sintéticas o artificiales</t>
  </si>
  <si>
    <t>6202200000</t>
  </si>
  <si>
    <t>6202300000</t>
  </si>
  <si>
    <t>6202400000</t>
  </si>
  <si>
    <t>6202900000</t>
  </si>
  <si>
    <t>Pantalones largos y pantalones con peto</t>
  </si>
  <si>
    <t>Pantalones cortos (calzones) y shorts</t>
  </si>
  <si>
    <t>Trajes sastre, de lana o pelo fino</t>
  </si>
  <si>
    <t>Trajes sastre, de algodón</t>
  </si>
  <si>
    <t>Trajes sastre, de las demás materias textiles</t>
  </si>
  <si>
    <t>Conjuntos, de lana o pelo fino</t>
  </si>
  <si>
    <t>Conjuntos, de las demás materias textiles</t>
  </si>
  <si>
    <t>Camisas para hombres o niños, de algodón</t>
  </si>
  <si>
    <t>Camisas para hombres o niños, de fibras sintéticas o artificiales</t>
  </si>
  <si>
    <t>Camisas para hombres o niños, de las demás materias textiles, de lana o pelo fino</t>
  </si>
  <si>
    <t>Camisas para hombres o niños, de las demás materias textiles (los demás)</t>
  </si>
  <si>
    <t>Camisas, blusas y blusas camiseras, para mujeres o niñas, de seda o desperdicios de seda</t>
  </si>
  <si>
    <t>Camisas, blusas y blusas camiseras, para mujeres o niñas, de lana o pelo fino</t>
  </si>
  <si>
    <t>Camisas, blusas y blusas camiseras, para mujeres o niñas, de algodón</t>
  </si>
  <si>
    <t>Camisas, blusas y blusas camiseras, para mujeres o niñas, de fibras sintéticas o artificiales</t>
  </si>
  <si>
    <t>Camisas, blusas y blusas camiseras, para mujeres o niñas, de las demás materias textiles</t>
  </si>
  <si>
    <t>Camisetas, calzoncillos (incluidos los largos y los slips)…, de algodón</t>
  </si>
  <si>
    <t>Camisetas, calzoncillos (incluidos los largos y los…, de las demás materias textiles, de fibras sintéticas o artificiales</t>
  </si>
  <si>
    <t>Camisetas, calzoncillos (incluidos los largos y los…, de las demás materias textiles (los demás)</t>
  </si>
  <si>
    <t>Camisetas, combinaciones, enaguas, bragas (bombachas, calzones)…, de algodón</t>
  </si>
  <si>
    <t>Camisetas, combinaciones, enaguas, bragas (bombachas, calzones)…, de fibras sintéticas o artificiales</t>
  </si>
  <si>
    <t>Camisetas, combinaciones, enaguas, bragas (bombachas, calzones)…, de las demás materias textiles</t>
  </si>
  <si>
    <t>Prendas y complementos (accesorios), de vestir, para bebés, de algodón</t>
  </si>
  <si>
    <t>Prendas y complementos (accesorios), de vestir, para bebés, de fibras sintéticas</t>
  </si>
  <si>
    <t>Prendas y complementos (accesorios), de vestir, para…, de las demás materias textiles, de lana o pelo fino</t>
  </si>
  <si>
    <t>Prendas y complementos (accesorios), de vestir, para…, de las demás materias textiles (los demás)</t>
  </si>
  <si>
    <t>Prendas de vestir confeccionadas con productos de las partidas 56.02…, con productos de las partidas 56.02 o 56.03</t>
  </si>
  <si>
    <t>Prendas de vestir confeccionadas con productos de las partidas 56.02… (los demás, prendas de vestir de los tipos citados en la partida 62.01)</t>
  </si>
  <si>
    <t>Prendas de vestir confeccionadas con productos de las partidas 56.02… (los demás, prendas de vestir de los tipos citados en la partida 62.02)</t>
  </si>
  <si>
    <t>Prendas de vestir confeccionadas con productos de las partidas 56.02… (los demás, prendas de vestir para mujeres o niñas)</t>
  </si>
  <si>
    <t>Bañadores, para hombres o niños</t>
  </si>
  <si>
    <t>Bañadores, para mujeres o niñas</t>
  </si>
  <si>
    <t>Conjuntos de abrigo para entrenamiento o deporte (chandales), monos…, de algodón</t>
  </si>
  <si>
    <t>Conjuntos de abrigo para entrenamiento o deporte (chandales), monos…, de fibras sintéticas o artificiales</t>
  </si>
  <si>
    <t>Conjuntos de abrigo para entrenamiento o deporte…, de las demás materias textiles, de lana o pelo fino</t>
  </si>
  <si>
    <t>Conjuntos de abrigo para entrenamiento o deporte…, de las demás materias textiles (los demás)</t>
  </si>
  <si>
    <t>Sostenes (corpiños)</t>
  </si>
  <si>
    <t>Fajas y fajas braga (fajas bombacha)</t>
  </si>
  <si>
    <t>Fajas sostén (fajas corpiño)</t>
  </si>
  <si>
    <t>Sostenes (corpiños), fajas, corsés, tirantes (tiradores), ligas y… (los demás)</t>
  </si>
  <si>
    <t>Pañuelos de bolsillo, de algodón</t>
  </si>
  <si>
    <t>Pañuelos de bolsillo, de las demás materias textiles, de seda o desperdicios de seda</t>
  </si>
  <si>
    <t>Pañuelos de bolsillo, de las demás materias textiles (los demás)</t>
  </si>
  <si>
    <t>Chales, pañuelos de cuello, bufandas, mantillas, velos y artículos…, de seda o desperdicios de seda</t>
  </si>
  <si>
    <t>Chales, pañuelos de cuello, bufandas, mantillas, velos y artículos…, de lana o pelo fino</t>
  </si>
  <si>
    <t>Chales, pañuelos de cuello, bufandas, mantillas, velos y artículos…, de fibras sintéticas</t>
  </si>
  <si>
    <t>Chales, pañuelos de cuello, bufandas, mantillas, velos y artículos…, de fibras artificiales</t>
  </si>
  <si>
    <t>Chales, pañuelos de cuello, bufandas, mantillas, velos y artículos…, de las demás materias textiles</t>
  </si>
  <si>
    <t>Corbatas y lazos similares, de seda o desperdicios de seda</t>
  </si>
  <si>
    <t>Corbatas y lazos similares, de fibras sintéticas o artificiales</t>
  </si>
  <si>
    <t>Corbatas y lazos similares, de las demás materias textiles</t>
  </si>
  <si>
    <t>Especiales para la protección de trabajadores</t>
  </si>
  <si>
    <t>Corbatas y lazos similares. 6216.00 Guantes, mitones y manoplas (los demás)</t>
  </si>
  <si>
    <t>Complementos (accesorios) de vestir</t>
  </si>
  <si>
    <t>Prendas y complementos (accesorios), de vestir, partes</t>
  </si>
  <si>
    <t>Mantas eléctricas</t>
  </si>
  <si>
    <t>Mantas de lana o pelo fino, de lana</t>
  </si>
  <si>
    <t>Mantas de lana o pelo fino, de pelo de vicuña</t>
  </si>
  <si>
    <t>Mantas de lana o pelo fino (los demás)</t>
  </si>
  <si>
    <t>Mantas de algodón (excepto las eléctricas)</t>
  </si>
  <si>
    <t>Mantas de fibras sintéticas (excepto las eléctricas)</t>
  </si>
  <si>
    <t>Ropa de cama, de punto, de fibras sintéticas o artificiales</t>
  </si>
  <si>
    <t>Ropa de cama, de punto (los demás)</t>
  </si>
  <si>
    <t>Ropa de cama, mesa, tocador o cocina, de algodón</t>
  </si>
  <si>
    <t>Ropa de cama, mesa, tocador o cocina, de fibras sintéticas o artificiales</t>
  </si>
  <si>
    <t>Ropa de cama, mesa, tocador o cocina, de las demás materias textiles</t>
  </si>
  <si>
    <t>Ropa de mesa, de punto, de fibras sintéticas o artificiales</t>
  </si>
  <si>
    <t>Ropa de mesa, de punto (los demás)</t>
  </si>
  <si>
    <t>Ropa de cama, mesa, tocador o cocina, de las demás materias textiles, de lino</t>
  </si>
  <si>
    <t>Ropa de cama, mesa, tocador o cocina, de las demás materias textiles (los demás)</t>
  </si>
  <si>
    <t>Ropa de tocador o cocina, de tejido con bucles del tipo toalla, de algodón</t>
  </si>
  <si>
    <t>Visillos y cortinas, de punto, de fibras sintéticas</t>
  </si>
  <si>
    <t>Visillos y cortinas, de punto, de las demás materias textiles, de algodón</t>
  </si>
  <si>
    <t>Visillos y cortinas, de punto, de las demás materias textiles (los demás)</t>
  </si>
  <si>
    <t>Visillos y cortinas, de algodón</t>
  </si>
  <si>
    <t>Visillos y cortinas, de fibras sintéticas</t>
  </si>
  <si>
    <t>Visillos y cortinas, de las demás materias textiles</t>
  </si>
  <si>
    <t>Colchas, de punto</t>
  </si>
  <si>
    <t>Colchas (los demás)</t>
  </si>
  <si>
    <t>Mosquiteros para camas, especificados en la Nota 1 de subpartida de este Capítulo</t>
  </si>
  <si>
    <t>Los demás artículos textiles confeccionados, de punto</t>
  </si>
  <si>
    <t>Los demás artículos textiles confeccionados, de algodón, excepto de punto</t>
  </si>
  <si>
    <t>Los demás artículos textiles confeccionados, de fibras sintéticas, excepto de punto</t>
  </si>
  <si>
    <t>Los demás artículos textiles confeccionados, de las demás materias textiles, excepto de punto</t>
  </si>
  <si>
    <t>Sacos (bolsas) y talegas, para envasar, de yute o demás fibras textiles del líber de la partida 53.03, de yute</t>
  </si>
  <si>
    <t>Sacos (bolsas) y talegas, para envasar, de yute o demás fibras textiles del líber de la partida 53.03 (los demás)</t>
  </si>
  <si>
    <t>Continentes intermedios flexibles para productos a granel</t>
  </si>
  <si>
    <t>Sacos (bolsas) y talegas, para envasar, de materias textiles sintéticas o artificiales, de polietileno</t>
  </si>
  <si>
    <t>Sacos (bolsas) y talegas, para envasar, de materias textiles sintéticas o artificiales (los demás)</t>
  </si>
  <si>
    <t>Sacos (bolsas) y talegas, para envasar, de las demás materias textiles, de pita (cabuya, fique)</t>
  </si>
  <si>
    <t>Sacos (bolsas) y talegas, para envasar, de las demás materias textiles (los demás)</t>
  </si>
  <si>
    <t>Toldos de cualquier clase, de fibras sintéticas</t>
  </si>
  <si>
    <t>Toldos de cualquier clase, de las demás materias textiles, de algodón</t>
  </si>
  <si>
    <t>Toldos de cualquier clase, de las demás materias textiles (los demás)</t>
  </si>
  <si>
    <t>Tiendas (carpas, incluidos los pabellones («gazebos», templetes)…, de fibras sintéticas</t>
  </si>
  <si>
    <t>Velas</t>
  </si>
  <si>
    <t>Colchones neumáticos</t>
  </si>
  <si>
    <t>Toldos de cualquier clase, de algodón</t>
  </si>
  <si>
    <t>Toldos de cualquier clase, de las demás materias textiles</t>
  </si>
  <si>
    <t>Paños para fregar o lavar (bayetas, paños rejilla), franelas y artículos similares para limpieza</t>
  </si>
  <si>
    <t>Patrones de prendas de vestir</t>
  </si>
  <si>
    <t>Mascarillas de protección</t>
  </si>
  <si>
    <t>Recortes de la industria de la confección</t>
  </si>
  <si>
    <t>Clasificados (los demás)</t>
  </si>
  <si>
    <t>Trapos; cordeles, cuerdas y cordajes, de materia textil, en… (los demás)</t>
  </si>
  <si>
    <t>Calzado con puntera metálica de protección</t>
  </si>
  <si>
    <t>Calzado impermeable con suela y parte superior de caucho o plástico…, que cubran el tobillo sin cubrir la rodilla</t>
  </si>
  <si>
    <t>Calzado impermeable con suela y parte superior de caucho o plástico… (los demás)</t>
  </si>
  <si>
    <t>Calzado de esquí y calzado para la práctica de «snowboard» (tabla para nieve)</t>
  </si>
  <si>
    <t>Calzado de deporte (los demás)</t>
  </si>
  <si>
    <t>Calzado con la parte superior de tiras o bridas fijadas a la suela por tetones (espigas)</t>
  </si>
  <si>
    <t>Calzado, polainas y artículos análogos, con puntera metálica de protección</t>
  </si>
  <si>
    <t>Calzado, polainas y artículos análogos (los demás)</t>
  </si>
  <si>
    <t>Calzado con suela de cuero natural y parte superior de tiras de cuero natural que pasan por el empeine y rodean el dedo gordo</t>
  </si>
  <si>
    <t>Calzado con suela de caucho, plástico, cuero natural o regenerado y… (los demás, calzados, con puntera metálica de protección)</t>
  </si>
  <si>
    <t>Calzado con suela de caucho, plástico, cuero natural o regenerado y…, que cubran el tobillo</t>
  </si>
  <si>
    <t>Calzado con palmilla o plataforma de madera, sin plantillas ni puntera metálica de protección</t>
  </si>
  <si>
    <t>Calzado con suela de caucho, plástico, cuero natural o…, que cubran el tobillo (los demás)</t>
  </si>
  <si>
    <t>Calzado de deporte</t>
  </si>
  <si>
    <t>Calzado de tenis, baloncesto, gimnasia, entrenamiento y calzados similares</t>
  </si>
  <si>
    <t>Calzado con suela de caucho o plástico (los demás)</t>
  </si>
  <si>
    <t>Calzado con suela de cuero natural o regenerado</t>
  </si>
  <si>
    <t>Calzado, polainas y artículos análogos, con la parte superior de cuero natural o regenerado</t>
  </si>
  <si>
    <t>Calzado, polainas y artículos análogos, con la parte superior de materia textil</t>
  </si>
  <si>
    <t>Suelas y tacones (tacos), de caucho o plástico</t>
  </si>
  <si>
    <t>Partes de calzado (incluidas las partes superiores fijadas a las…, plantillas</t>
  </si>
  <si>
    <t>Partes de calzado (incluidas las partes superiores fijadas a las… (los demás)</t>
  </si>
  <si>
    <t>Sombreros, demás tocados, y sus partes, de paja toquilla o de paja mocora</t>
  </si>
  <si>
    <t>Sombreros, demás tocados, y sus partes (los demás)</t>
  </si>
  <si>
    <t>Redecillas para el cabello</t>
  </si>
  <si>
    <t>Sombreros y demás tocados de fieltro, fabricados con cascos o platos de la subpartida 6501.00.00, incluso guarnecidos</t>
  </si>
  <si>
    <t>Sombreros, demás tocados, y sus partes, de caucho o plástico</t>
  </si>
  <si>
    <t>Quitasoles toldo y artículos similares</t>
  </si>
  <si>
    <t>Paraguas, sombrillas y quitasoles (incluidos los paraguas bastón, los…, con astil o mango telescópico</t>
  </si>
  <si>
    <t>Paraguas, sombrillas y quitasoles (incluidos los paraguas bastón, los… (los demás)</t>
  </si>
  <si>
    <t>Monturas ensambladas, incluso con el astil o mango, para paraguas, sombrillas o quitasoles</t>
  </si>
  <si>
    <t>Partes, guarniciones y accesorios para los artículos de las partidas… (los demás)</t>
  </si>
  <si>
    <t>Flores, follaje y frutos, artificiales, y sus partes, de las demás materias</t>
  </si>
  <si>
    <t>Pelucas que cubran toda la cabeza</t>
  </si>
  <si>
    <t>Pelucas, barbas, cejas, pestañas, mechones y artículos…, de materias textiles sintéticas (los demás)</t>
  </si>
  <si>
    <t>Pelucas, barbas, cejas, pestañas, mechones y artículos análogos, de…, de cabello</t>
  </si>
  <si>
    <t>Pelucas, barbas, cejas, pestañas, mechones y artículos análogos, de…, de las demás materias</t>
  </si>
  <si>
    <t>Losetas, cubos, dados y artículos similares, incluso de forma distinta a la cuadrada o rectangular, en los que la superficie mayor pueda inscribirse e</t>
  </si>
  <si>
    <t>Mármol, travertinos y alabastro</t>
  </si>
  <si>
    <t>Piedras de talla o de construcción trabajadas (excluida la pizarra) y…, granito</t>
  </si>
  <si>
    <t>Piedras calizas</t>
  </si>
  <si>
    <t>Piedras de talla o de construcción trabajadas (excluida la pizarra) y… (los demás)</t>
  </si>
  <si>
    <t>Piedras de talla o de construcción trabajadas (excluida la pizarra) y… (los demás, piedras calizas)</t>
  </si>
  <si>
    <t>Piedras de talla o de construcción trabajadas (excluida la pizarra) y… (los demás, piedras)</t>
  </si>
  <si>
    <t>Muelas para moler o desfibrar</t>
  </si>
  <si>
    <t>Muelas y artículos similares, sin bastidor, para moler, desfibrar…, de diamante natural o sintético, aglomerado</t>
  </si>
  <si>
    <t>Muelas y artículos similares, sin bastidor, para moler, desfibrar…, de piedras naturales</t>
  </si>
  <si>
    <t>Piedras de afilar o pulir a mano</t>
  </si>
  <si>
    <t>Abrasivos naturales o artificiales en polvo o gránulos con soporte de…, con soporte constituido solamente por tejido de materia textil</t>
  </si>
  <si>
    <t>Lana de escoria, de roca y lanas minerales similares, incluso mezcladas entre sí, en masa, hojas o enrolladas</t>
  </si>
  <si>
    <t>Vermiculita dilatada, arcilla dilatada, espuma de escoria y productos minerales similares dilatados, incluso mezclados entre sí</t>
  </si>
  <si>
    <t>Lana de escoria, de roca y lanas minerales similares (los demás)</t>
  </si>
  <si>
    <t>Manufacturas de asfalto o de productos similares (por ejemplo, en rollos</t>
  </si>
  <si>
    <t>Manufacturas de asfalto o de productos similares (por ejemplo (los demás)</t>
  </si>
  <si>
    <t>Revestidos o reforzados exclusivamente con papel o cartón</t>
  </si>
  <si>
    <t>Placas, hojas, paneles, losetas y artículos similares, sin adornos (los demás)</t>
  </si>
  <si>
    <t>Manufacturas de yeso fraguable o de preparaciones a base de yeso… (los demás, manufacturas)</t>
  </si>
  <si>
    <t>Bloques y ladrillos para la construcción</t>
  </si>
  <si>
    <t>Tejas, losetas, losas, ladrillos y artículos similares (los demás)</t>
  </si>
  <si>
    <t>Elementos prefabricados para la construcción o ingeniería civil</t>
  </si>
  <si>
    <t>Manufacturas de cemento, hormigón o piedra artificial, incluso armadas (los demás)</t>
  </si>
  <si>
    <t>Placas onduladas</t>
  </si>
  <si>
    <t>Manufacturas de amiantocemento, celulosacemento o…, que contengan amianto (asbesto) (los demás, placas, paneles, losetas, tejas y artículos similares)</t>
  </si>
  <si>
    <t>Manufacturas de amiantocemento, celulosacemento o…, que contengan amianto (asbesto) (los demás, manufacturas)</t>
  </si>
  <si>
    <t>Manufacturas de amiantocemento, celulosacemento o…, que no contengan amianto (asbesto) (los demás, manufacturas)</t>
  </si>
  <si>
    <t>Papel, cartón y fieltro</t>
  </si>
  <si>
    <t>Crocidolita y elastómeros comprimidos, para juntas o empaquetaduras, en hojas o rollos</t>
  </si>
  <si>
    <t>Crocidolita en fibras trabajada; mezclas a base de crocidolita o a base de crocidolita y carbonato de magnesio</t>
  </si>
  <si>
    <t>Amianto (asbesto) en fibras trabajado, de crocidolita (los demás)</t>
  </si>
  <si>
    <t>Prendas y complementos (accesorios), de vestir, calzado, sombreros y demás tocados</t>
  </si>
  <si>
    <t>Amianto (asbesto) y elastómeros comprimidos, para juntas o empaquetaduras, en hojas o rollos</t>
  </si>
  <si>
    <t>Amianto en fibras trabajado; mezclas a base de amianto o a base de amianto y carbonato de magnesio</t>
  </si>
  <si>
    <t>Amianto (asbesto) en fibras trabajado, hilados</t>
  </si>
  <si>
    <t>Cuerdas y cordones, incluso trenzados</t>
  </si>
  <si>
    <t>Tejidos, incluso de punto</t>
  </si>
  <si>
    <t>Amianto (asbesto) en fibras trabajado (los demás)</t>
  </si>
  <si>
    <t>Guarniciones de fricción (por ejemplo, que contengan amianto (asbesto)</t>
  </si>
  <si>
    <t>Placas, hojas y tiras de mica aglomerada o reconstituida, incluso con soporte</t>
  </si>
  <si>
    <t>Mica trabajada y manufacturas de mica, incluida la aglomerada o… (los demás)</t>
  </si>
  <si>
    <t>Manufacturas de grafito o de otros carbonos, para usos distintos de los eléctricos</t>
  </si>
  <si>
    <t>6815110000</t>
  </si>
  <si>
    <t>Fibras de carbono</t>
  </si>
  <si>
    <t>6815120000</t>
  </si>
  <si>
    <t>Textiles de fibras de carbono</t>
  </si>
  <si>
    <t>6815130000</t>
  </si>
  <si>
    <t>Fibras de carbono (los demás, manufacturas de fibras de carbono)</t>
  </si>
  <si>
    <t>6815190000</t>
  </si>
  <si>
    <t>Fibras de carbono (los demás)</t>
  </si>
  <si>
    <t>Manufacturas de turba</t>
  </si>
  <si>
    <t>Manufacturas de piedra o demás materias minerales (incluidas las…, que contengan magnesita, magnesia en forma de periclasa, dolomita incluida la cal d</t>
  </si>
  <si>
    <t>Manufacturas de piedra o demás materias minerales (incluidas las… (los demás)</t>
  </si>
  <si>
    <t>Ladrillos, placas, baldosas y piezas cerámicas análogas de…, con un contenido de los elementos Mg (magnesio), Ca (calcio) o Cr (cromo), considerados a</t>
  </si>
  <si>
    <t>Ladrillos, placas, baldosas y piezas cerámicas…, con un contenido de alúmina (Al2O3), de sílice (SiO2) o de una mezcla…, con un contenido de sílice (S</t>
  </si>
  <si>
    <t>Ladrillos, placas, baldosas y piezas cerámicas…, con un contenido de alúmina (Al2O3), de sílice (SiO2) o de una mezcla… (los demás)</t>
  </si>
  <si>
    <t>Ladrillos, placas, baldosas y piezas cerámicas análogas de… (los demás)</t>
  </si>
  <si>
    <t>Retortas y crisoles</t>
  </si>
  <si>
    <t>Productos cerámicos, con un contenido de carbono libre, superior al 50 % en peso (los demás)</t>
  </si>
  <si>
    <t>Productos cerámicos, con un contenido de alúmina (Al2O3) o de una mezcla o combinación de… (los demás)</t>
  </si>
  <si>
    <t>Productos cerámicos (los demás)</t>
  </si>
  <si>
    <t>Ladrillos de construcción, bovedillas, cubrevigas y artículos… (los demás)</t>
  </si>
  <si>
    <t>Tejas, elementos de chimenea, conductos de humo, ornamentos… (los demás)</t>
  </si>
  <si>
    <t>Placas y baldosas, para pavimentación o revestimiento, con un coeficiente de absorción de agua inferior o igual al 0,5 % en peso</t>
  </si>
  <si>
    <t>Placas y baldosas, para pavimentación o revestimiento, con un coeficiente de absorción de agua superior al 10 % en peso</t>
  </si>
  <si>
    <t>Cubos, dados y artículos similares para mosaicos, excepto los de la subpartida 6907.40</t>
  </si>
  <si>
    <t>Piezas de acabado</t>
  </si>
  <si>
    <t>Aparatos y artículos para usos químicos o demás usos técnicos, de porcelana</t>
  </si>
  <si>
    <t>Artículos con una dureza equivalente a 9 o superior en la escala de Mohs</t>
  </si>
  <si>
    <t>Aparatos y artículos para usos químicos o demás usos técnicos (los demás)</t>
  </si>
  <si>
    <t>Aparatos y artículos, de cerámica, para usos químicos o demás usos… (los demás)</t>
  </si>
  <si>
    <t>Fregaderos (piletas de lavar), lavabos, pedestales de lavabo…, de porcelana</t>
  </si>
  <si>
    <t>Fregaderos (piletas de lavar), lavabos, pedestales de lavabo… (los demás)</t>
  </si>
  <si>
    <t>Artículos para el servicio de mesa o cocina</t>
  </si>
  <si>
    <t>Vajilla y demás artículos de uso doméstico, higiene o tocador, de… (los demás)</t>
  </si>
  <si>
    <t>Estatuillas y demás artículos para adorno, de cerámica, de porcelana</t>
  </si>
  <si>
    <t>Productos cerámicos, de porcelana</t>
  </si>
  <si>
    <t>Desperdicios y desechos</t>
  </si>
  <si>
    <t>Vidrio en masa</t>
  </si>
  <si>
    <t>Bolas</t>
  </si>
  <si>
    <t>Barras o varillas</t>
  </si>
  <si>
    <t>Tubos, de cuarzo o demás sílices fundidos</t>
  </si>
  <si>
    <t>Tubos, de otro vidrio con un coeficiente de dilatación lineal inferior o igual a 5x10-6 por Kelvin, entre 0 °C y 300 °C</t>
  </si>
  <si>
    <t>Tubos (los demás)</t>
  </si>
  <si>
    <t>Coloreadas en la masa, opacificadas, chapadas o con capa absorbente…, lisas</t>
  </si>
  <si>
    <t>Estriadas, onduladas, estampadas o similares</t>
  </si>
  <si>
    <t>Placas y hojas, sin armar, lisas</t>
  </si>
  <si>
    <t>Placas y hojas, armadas</t>
  </si>
  <si>
    <t>Perfiles</t>
  </si>
  <si>
    <t>Vidrio coloreado en la masa, opacificado, chapado o con capa…, de espesor inferior o igual a 6 mm</t>
  </si>
  <si>
    <t>Vidrio coloreado en la masa, opacificado, chapado o con capa… (los demás)</t>
  </si>
  <si>
    <t>Vidrio estirado o soplado, en hojas, incluso con capa absorbente…, de espesor inferior o igual a 6 mm</t>
  </si>
  <si>
    <t>Vidrio estirado o soplado, en hojas, incluso con capa absorbente… (los demás)</t>
  </si>
  <si>
    <t>Vidrio sin armar con capa absorbente, reflectante o antirreflectante</t>
  </si>
  <si>
    <t>Coloreados en la masa, opacificados, chapados o…, de espesor inferior o igual a 6 mm, flotado</t>
  </si>
  <si>
    <t>Coloreados en la masa, opacificados, chapados o…, de espesor inferior o igual a 6 mm (los demás)</t>
  </si>
  <si>
    <t>Coloreados en la masa, opacificados, chapados o simplemente… (los demás)</t>
  </si>
  <si>
    <t>Vidrio flotado y vidrio desbastado o pulido por una o las dos caras…, de espesor inferior o igual a 6 mm</t>
  </si>
  <si>
    <t>Vidrio flotado y vidrio desbastado o pulido por una o las dos caras… (los demás)</t>
  </si>
  <si>
    <t>Vidrio armado</t>
  </si>
  <si>
    <t>Vidrio templado, de dimensiones y formatos que permitan su empleo en automóviles, aeronaves, barcos u otros vehículos</t>
  </si>
  <si>
    <t>Vidrio templado (los demás)</t>
  </si>
  <si>
    <t>Vidrio contrachapado, de dimensiones y formatos que permitan su empleo en automóviles, aeronaves, barcos u otros vehículos</t>
  </si>
  <si>
    <t>Espejos retrovisores para vehículos</t>
  </si>
  <si>
    <t>Espejos de vidrio, enmarcados o no, incluidos los espejos retrovisores, enmarcados</t>
  </si>
  <si>
    <t>Ampollas</t>
  </si>
  <si>
    <t>Tapones, tapas y demás dispositivos de cierre</t>
  </si>
  <si>
    <t>Bombonas (damajuanas), botellas, frascos, bocales, tarros, envases…, de capacidad superior a 0,33 l pero inferior o igual a 1 l</t>
  </si>
  <si>
    <t>Bombonas (damajuanas), botellas, frascos, bocales, tarros, envases…, de capacidad superior a 0,15 l pero inferior o igual a 0,33 l</t>
  </si>
  <si>
    <t>Ampollas y envolturas tubulares, abiertas, y sus partes, de vidrio…, para alumbrado eléctrico</t>
  </si>
  <si>
    <t>Ampollas y envolturas tubulares, abiertas, y sus partes, de vidrio…, para tubos de rayos catódicos</t>
  </si>
  <si>
    <t>Ampollas y envolturas tubulares, abiertas, y sus partes, de vidrio… (los demás)</t>
  </si>
  <si>
    <t>Artículos de vitrocerámica</t>
  </si>
  <si>
    <t>Recipientes con pie para beber, de cristal al plomo</t>
  </si>
  <si>
    <t>Recipientes con pie para beber (los demás)</t>
  </si>
  <si>
    <t>Artículos de vidrio para servicio de mesa, cocina, tocador, baño…, de cristal al plomo</t>
  </si>
  <si>
    <t>Artículos de vidrio para servicio de mesa, cocina, tocador, baño… (los demás)</t>
  </si>
  <si>
    <t>Artículos para servicio de mesa (excluidos los recipientes para…, de cristal al plomo</t>
  </si>
  <si>
    <t>Artículos para servicio de mesa (excluidos los recipientes para…, de vidrio con un coeficiente de dilatación lineal inferior o igual a 5 x 10-6 por Ke</t>
  </si>
  <si>
    <t>Artículos para servicio de mesa (excluidos los recipientes para… (los demás)</t>
  </si>
  <si>
    <t>Cristales correctores para gafas (anteojos)</t>
  </si>
  <si>
    <t>Cristales para relojes y cristales análogos, cristales para gafas… (los demás)</t>
  </si>
  <si>
    <t>Cubos, dados y demás artículos similares, de vidrio, incluso con soporte, para mosaicos o decoraciones similares</t>
  </si>
  <si>
    <t>Vidrieras artísticas (vitrales, incluso de vidrios incoloros)</t>
  </si>
  <si>
    <t>Vidrio multicelular o vidrio «espuma» en bloques, paneles, placas, coquillas o formas similares</t>
  </si>
  <si>
    <t>Adoquines, baldosas, ladrillos, placas, tejas y demás artículos, de… (los demás)</t>
  </si>
  <si>
    <t>Artículos de vidrio para laboratorio, higiene o farmacia, incluso…, de cuarzo o demás sílices fundidos</t>
  </si>
  <si>
    <t>Artículos de vidrio para laboratorio, higiene o farmacia, incluso…, de otro vidrio con un coeficiente de dilatación lineal inferior o igual a 5x10-6 p</t>
  </si>
  <si>
    <t>Artículos de vidrio para laboratorio, higiene o farmacia, incluso… (los demás)</t>
  </si>
  <si>
    <t>Cuentas de vidrio, imitaciones de perlas, de piedras preciosas o semipreciosas y artículos similares de abalorio</t>
  </si>
  <si>
    <t>Microesferas de vidrio con un diámetro inferior o igual a 1 mm</t>
  </si>
  <si>
    <t>Ojo de vidrio, excepto los de la partida 90.21</t>
  </si>
  <si>
    <t>Cuentas de vidrio, imitaciones de perlas, de piedras preciosas o… (los demás)</t>
  </si>
  <si>
    <t>Hilados cortados («chopped strands»), de longitud inferior o igual a 50 mm</t>
  </si>
  <si>
    <t>Mechas, «rovings», hilados, aunque estén cortados y «mats» de estas…, «Rovings»</t>
  </si>
  <si>
    <t>7019130000</t>
  </si>
  <si>
    <t>Mechas, «rovings», hilados, aunque estén cortados y «mats» de estas… (los demás, hilados, mechas)</t>
  </si>
  <si>
    <t>7019140000</t>
  </si>
  <si>
    <t>«Mats» unidos mecánicamente</t>
  </si>
  <si>
    <t>7019150000</t>
  </si>
  <si>
    <t>«Mats» unidos químicamente</t>
  </si>
  <si>
    <t>Mechas, «rovings», hilados, aunque estén cortados y «mats» de estas… (los demás)</t>
  </si>
  <si>
    <t>«Mats»</t>
  </si>
  <si>
    <t>Velos</t>
  </si>
  <si>
    <t>Fibra de vidrio (incluida la lana de vidrio) y manufacturas de esta ma (los demás)</t>
  </si>
  <si>
    <t>Tejidos de «rovings»</t>
  </si>
  <si>
    <t>De anchura inferior o igual a 30 cm</t>
  </si>
  <si>
    <t>De anchura superior a 30 cm, de ligamento tafetán, con peso inferior a 250 g/m², de filamentos de título inferior o igual a 136 tex por hilo sencillo</t>
  </si>
  <si>
    <t>7019610000</t>
  </si>
  <si>
    <t>Tejidos planos de «rovings» de malla cerrada</t>
  </si>
  <si>
    <t>7019620000</t>
  </si>
  <si>
    <t>Telas unidas mecánicamente (los demás, telas de «rovings» de malla cerrada)</t>
  </si>
  <si>
    <t>7019630000</t>
  </si>
  <si>
    <t>Tejidos de hilados de malla cerrada, de ligamento tafetán, sin recubrir ni estratificar</t>
  </si>
  <si>
    <t>7019640000</t>
  </si>
  <si>
    <t>Tejidos de hilados de malla cerrada, de ligamento tafetán, recubiertos o estratificados</t>
  </si>
  <si>
    <t>7019650000</t>
  </si>
  <si>
    <t>Tejidos de malla abierta, de anchura inferior o igual a 30 cm</t>
  </si>
  <si>
    <t>7019660000</t>
  </si>
  <si>
    <t>Tejidos de malla abierta, de anchura superior a 30 cm</t>
  </si>
  <si>
    <t>7019690000</t>
  </si>
  <si>
    <t>Telas unidas mecánicamente (los demás)</t>
  </si>
  <si>
    <t>7019710000</t>
  </si>
  <si>
    <t>Velos (capas delgadas)</t>
  </si>
  <si>
    <t>7019720000</t>
  </si>
  <si>
    <t>Telas unidas químicamente (los demás, telas de malla cerrada)</t>
  </si>
  <si>
    <t>7019730000</t>
  </si>
  <si>
    <t>Telas unidas químicamente (los demás, telas de malla abierta)</t>
  </si>
  <si>
    <t>7019800000</t>
  </si>
  <si>
    <t>Lana de vidrio y sus manufacturas</t>
  </si>
  <si>
    <t>7019900000</t>
  </si>
  <si>
    <t>Fibra de vidrio (incluida la lana de vidrio) y manufacturas de esta… (los demás)</t>
  </si>
  <si>
    <t>Lana de vidrio a granel o en copos</t>
  </si>
  <si>
    <t>Ampollas de vidrio para termos o demás recipientes isotérmicos aislados por vacío</t>
  </si>
  <si>
    <t>Perlas finas (naturales)</t>
  </si>
  <si>
    <t>Perlas cultivadas, en bruto</t>
  </si>
  <si>
    <t>Perlas cultivadas, trabajadas</t>
  </si>
  <si>
    <t>Diamantes, incluso trabajados, sin montar ni engarzar, sin clasificar</t>
  </si>
  <si>
    <t>Diamantes, incluso trabajados, sin montar ni engarzar, industriales, en bruto o simplemente aserrados, exfoliados o desbastados</t>
  </si>
  <si>
    <t>Diamantes, incluso trabajados, sin montar ni engarzar, industriales (los demás)</t>
  </si>
  <si>
    <t>No industriales, en bruto o simplemente aserrados, exfoliados o desbastados</t>
  </si>
  <si>
    <t>No industriales (los demás)</t>
  </si>
  <si>
    <t>Piedras preciosas, en bruto o simplemente aserradas o desbastadas, esmeraldas</t>
  </si>
  <si>
    <t>Ametrino (bolivianita)</t>
  </si>
  <si>
    <t>Piedras preciosas, en bruto o simplemente aserradas o desbastadas (los demás)</t>
  </si>
  <si>
    <t>Rubíes y zafiros</t>
  </si>
  <si>
    <t>Rubíes, zafiros y esmeraldas, esmeraldas</t>
  </si>
  <si>
    <t>Trabajadas de otro modo (los demás)</t>
  </si>
  <si>
    <t>Cuarzo piezoeléctrico</t>
  </si>
  <si>
    <t>Piedras preciosas o semipreciosas, sintéticas o reconstituidas, inclus (los demás)</t>
  </si>
  <si>
    <t>7104210000</t>
  </si>
  <si>
    <t>Piedras preciosas o semipreciosas, sintéticas o reconstituidas…, diamantes</t>
  </si>
  <si>
    <t>7104290000</t>
  </si>
  <si>
    <t>Piedras preciosas o semipreciosas, sintéticas o reconstituidas… (los demás)</t>
  </si>
  <si>
    <t>7104910000</t>
  </si>
  <si>
    <t>7104990000</t>
  </si>
  <si>
    <t>Polvo de piedras preciosas o semipreciosas, naturales o sintéticas, de diamante</t>
  </si>
  <si>
    <t>Polvo de piedras preciosas o semipreciosas, naturales o sintéticas (los demás)</t>
  </si>
  <si>
    <t>Polvo</t>
  </si>
  <si>
    <t>Plata (incluida la plata dorada y la platinada) en…, en bruto, sin alear</t>
  </si>
  <si>
    <t>Plata (incluida la plata dorada y la platinada) en…, en bruto, aleada</t>
  </si>
  <si>
    <t>Plata (incluida la plata dorada y la platinada) en bruto, semilabrada…, semilabrada</t>
  </si>
  <si>
    <t>Oro (incluido el oro platinado) en bruto, semilabrado…, para uso no monetario, polvo</t>
  </si>
  <si>
    <t>Oro (incluido el oro platinado) en bruto, semilabrado…, para uso no monetario (los demás, formas en bruto)</t>
  </si>
  <si>
    <t>Oro (incluido el oro platinado) en bruto, semilabrado…, para uso no monetario (los demás, formas semilabradas)</t>
  </si>
  <si>
    <t>Oro (incluido el oro platinado) en bruto, semilabrado o en polvo, para uso monetario</t>
  </si>
  <si>
    <t>Platino, en bruto o en polvo</t>
  </si>
  <si>
    <t>Platino (los demás)</t>
  </si>
  <si>
    <t>Paladio, en bruto o en polvo</t>
  </si>
  <si>
    <t>Paladio (los demás)</t>
  </si>
  <si>
    <t>Rodio, en bruto o en polvo</t>
  </si>
  <si>
    <t>Rodio (los demás)</t>
  </si>
  <si>
    <t>Iridio, osmio y rutenio, en bruto o en polvo</t>
  </si>
  <si>
    <t>Iridio, osmio y rutenio (los demás)</t>
  </si>
  <si>
    <t>Cenizas que contengan metal precioso o compuestos de metal precioso</t>
  </si>
  <si>
    <t>Desperdicios y desechos, de metal precioso o de chapado de metal…, de oro o de chapado (plaqué) de oro, excepto las barreduras que contengan otro meta</t>
  </si>
  <si>
    <t>Desperdicios y desechos, de metal precioso o de chapado de metal…, de platino o de chapado (plaqué) de platino, excepto las barreduras que contengan o</t>
  </si>
  <si>
    <t>Desperdicios y desechos, de metal precioso o de chapado de metal… (los demás)</t>
  </si>
  <si>
    <t>Artículos de joyería y sus partes, de metal precioso o…, de metal precioso, incluso revestido o chapado de metal precioso…, de plata, incluso revestid</t>
  </si>
  <si>
    <t>Artículos de joyería y sus partes, de metal precioso o de chapado de…, de chapado de metal precioso (plaqué) sobre metal común</t>
  </si>
  <si>
    <t>Artículos de orfebrería y sus partes, de metal…, de metal precioso, incluso revestido o chapado de…, de plata, incluso revestida o chapada de otro met</t>
  </si>
  <si>
    <t>Artículos de orfebrería y sus partes, de metal…, de metal precioso, incluso revestido o chapado de metal precioso…, de los demás metales preciosos, in</t>
  </si>
  <si>
    <t>Artículos de orfebrería y sus partes, de metal precioso o de chapado…, de chapado de metal precioso (plaqué) sobre metal común</t>
  </si>
  <si>
    <t>Catalizadores de platino en forma de tela o enrejado</t>
  </si>
  <si>
    <t>Perlas finas (naturales) o cultivadas, piedras preciosas o… (los demás)</t>
  </si>
  <si>
    <t>Manufacturas de perlas finas (naturales) o cultivadas, de piedras…, de perlas finas (naturales) o cultivadas</t>
  </si>
  <si>
    <t>Manufacturas de perlas finas (naturales) o cultivadas, de piedras…, de piedras preciosas o semipreciosas (naturales, sintéticas o reconstituidas)</t>
  </si>
  <si>
    <t>Gemelos y pasadores similares</t>
  </si>
  <si>
    <t>Bisutería, de metal común, incluso plateado, dorado o platinado (los demás)</t>
  </si>
  <si>
    <t>Bisutería (los demás)</t>
  </si>
  <si>
    <t>Monedas sin curso legal, excepto las de oro</t>
  </si>
  <si>
    <t>Monedas (los demás)</t>
  </si>
  <si>
    <t>Fundición en bruto sin alear con un contenido de fósforo inferior o igual al 0,5 % en peso</t>
  </si>
  <si>
    <t>Fundición en bruto sin alear con un contenido de fósforo superior al 0,5 % en peso</t>
  </si>
  <si>
    <t>Fundición en bruto aleada; fundición especular</t>
  </si>
  <si>
    <t>Ferromanganeso, con un contenido de carbono superior al 2 % en peso</t>
  </si>
  <si>
    <t>Ferromanganeso (los demás)</t>
  </si>
  <si>
    <t>Ferrosilicio, con un contenido de silicio superior al 55 % en peso</t>
  </si>
  <si>
    <t>Ferrosilicio (los demás)</t>
  </si>
  <si>
    <t>Ferro-sílico-manganeso</t>
  </si>
  <si>
    <t>Ferrocromo, con un contenido de carbono superior al 4 % en peso</t>
  </si>
  <si>
    <t>Ferrocromo (los demás)</t>
  </si>
  <si>
    <t>Ferro-sílico-cromo</t>
  </si>
  <si>
    <t>Ferroníquel</t>
  </si>
  <si>
    <t>Ferromolibdeno</t>
  </si>
  <si>
    <t>Ferrovolframio y ferro-sílico-volframio</t>
  </si>
  <si>
    <t>Ferrotitanio y ferro-sílico-titanio</t>
  </si>
  <si>
    <t>Ferroaleaciones, ferrovanadio</t>
  </si>
  <si>
    <t>Ferroaleaciones, ferroniobio</t>
  </si>
  <si>
    <t>Ferroaleaciones (los demás)</t>
  </si>
  <si>
    <t>Productos férreos obtenidos por reducción directa de minerales de hierro</t>
  </si>
  <si>
    <t>Productos férreos obtenidos por reducción directa de minerales de… (los demás)</t>
  </si>
  <si>
    <t>Desperdicios y desechos, de fundición</t>
  </si>
  <si>
    <t>Desperdicios y desechos, de aceros aleados, de acero inoxidable</t>
  </si>
  <si>
    <t>Desperdicios y desechos, de hierro o acero estañados</t>
  </si>
  <si>
    <t>Torneaduras, virutas, esquirlas, limaduras (de amolado, aserrado, limado) y recortes de estampado o de corte, incluso en paquetes</t>
  </si>
  <si>
    <t>Lingotes de chatarra</t>
  </si>
  <si>
    <t>Granallas</t>
  </si>
  <si>
    <t>Polvo, de aceros aleados</t>
  </si>
  <si>
    <t>Polvo (los demás)</t>
  </si>
  <si>
    <t>Lingotes</t>
  </si>
  <si>
    <t>Hierro y acero sin alear, en lingotes o demás formas primarias (los demás)</t>
  </si>
  <si>
    <t>Productos intermedios de hierro o acero sin alear, con un contenido de carbono inferior al 0,25 % en peso, de sección transversal cuadrada o rectangul</t>
  </si>
  <si>
    <t>Productos intermedios de hierro o acero sin alear, con un contenido de carbono inferior al 0,25 % en peso (los demás, de sección transversal rectangul</t>
  </si>
  <si>
    <t>Productos intermedios de hierro o acero sin alear, con un contenido de carbono inferior al 0,25 % en peso (los demás)</t>
  </si>
  <si>
    <t>Productos intermedios de hierro o acero sin alear, con un contenido de carbono superior o igual al 0,25 % en peso</t>
  </si>
  <si>
    <t>Enrollados, simplemente laminados en caliente, con motivos en relieve, de espesor superior a 10 mm</t>
  </si>
  <si>
    <t>Enrollados, simplemente laminados en caliente, con motivos en relieve, de espesor superior o igual a 4,75 mm pero inferior o igual a 10 mm</t>
  </si>
  <si>
    <t>Enrollados, simplemente laminados en caliente, con motivos en relieve, de espesor superior o igual a 3 mm pero inferior a 4,75 mm</t>
  </si>
  <si>
    <t>Enrollados, simplemente laminados en caliente, con motivos en relieve, de espesor inferior a 3 mm</t>
  </si>
  <si>
    <t>Productos laminados planos de hierro o acero sin…, de espesor superior o igual a 4,75 mm, de espesor superior a 10 mm</t>
  </si>
  <si>
    <t xml:space="preserve">Productos laminados planos de hierro o acero sin…, de espesor superior o igual a 4,75 mm, de espesor superior o igual a 4,75 mm pero inferior o igual </t>
  </si>
  <si>
    <t>Productos laminados planos de hierro o acero sin alear, de anchura…, de espesor superior o igual a 3 mm pero inferior a 4,75 mm</t>
  </si>
  <si>
    <t>Productos laminados planos de hierro o acero sin alear, de anchura…, de espesor inferior a 3 mm</t>
  </si>
  <si>
    <t>Productos laminados planos de hierro o acero sin alear, de anchura…, de espesor superior a 10 mm</t>
  </si>
  <si>
    <t>Productos laminados planos de hierro o acero sin…, de espesor superior o igual a 4,75 mm pero inferior o igual a 10 mm, con un contenido de carbono su</t>
  </si>
  <si>
    <t>Productos laminados planos de hierro o acero sin…, de espesor superior o igual a 4,75 mm pero inferior o igual a 10 mm (los demás)</t>
  </si>
  <si>
    <t xml:space="preserve">Productos laminados planos de hierro o acero sin…, de espesor superior o igual a 3 mm pero inferior a 4,75 mm, con un contenido de carbono superior o </t>
  </si>
  <si>
    <t>Productos laminados planos de hierro o acero sin…, de espesor superior o igual a 3 mm pero inferior a 4,75 mm (los demás)</t>
  </si>
  <si>
    <t>Productos laminados planos de hierro o acero sin…, de espesor inferior a 3 mm, con un contenido de carbono superior o igual a 0,12 % en peso</t>
  </si>
  <si>
    <t>Productos laminados planos de hierro o acero sin…, de espesor inferior a 3 mm, de espesor inferior o igual a 1,8 mm</t>
  </si>
  <si>
    <t>Productos laminados planos de hierro o acero sin…, de espesor inferior a 3 mm (los demás)</t>
  </si>
  <si>
    <t>Productos laminados planos de hierro o acero sin…, sin enrollar, simplemente laminados en caliente, con motivos en…, de espesor superior a 10 mm</t>
  </si>
  <si>
    <t>Productos laminados planos de hierro o acero sin…, sin enrollar, simplemente laminados en caliente, con motivos en…, de espesor superior o igual a 4,7</t>
  </si>
  <si>
    <t>Productos laminados planos de hierro o acero sin…, sin enrollar, simplemente laminados en caliente, con motivos en…, de espesor superior o igual a 3 m</t>
  </si>
  <si>
    <t>Productos laminados planos de hierro o acero sin…, sin enrollar, simplemente laminados en caliente, con motivos en…, de espesor inferior a 3 mm</t>
  </si>
  <si>
    <t>Productos laminados planos de hierro o acero sin…, de espesor superior a 10 mm, de espesor superior a 12,5 mm</t>
  </si>
  <si>
    <t>Productos laminados planos de hierro o acero sin…, de espesor superior a 10 mm, de espesor superior a 10 mm pero inferior o igual a 12,5 mm</t>
  </si>
  <si>
    <t>Productos laminados planos de hierro o acero sin alear, de anchura… (los demás)</t>
  </si>
  <si>
    <t>Enrollados, simplemente laminados en frío, de espesor superior o igual a 3 mm</t>
  </si>
  <si>
    <t>Enrollados, simplemente laminados en frío, de espesor superior a 1 mm pero inferior a 3 mm</t>
  </si>
  <si>
    <t>Enrollados, simplemente laminados en frío, de espesor superior o igual a 0,5 mm pero inferior o igual a 1 mm</t>
  </si>
  <si>
    <t>Enrollados, simplemente laminados en frío, de espesor inferior a 0,5 mm, de espesor inferior a 0,5 mm pero superior o igual a 0,25 mm</t>
  </si>
  <si>
    <t>Enrollados, simplemente laminados en frío, de espesor inferior a 0,5 mm, de espesor inferior a 0,25 mm</t>
  </si>
  <si>
    <t>Productos laminados planos de hierro o acero sin…, sin enrollar, simplemente laminados en frío, de espesor superior o igual a 3 mm</t>
  </si>
  <si>
    <t>Productos laminados planos de hierro o acero sin…, sin enrollar, simplemente laminados en frío, de espesor superior a 1 mm pero inferior a 3 mm</t>
  </si>
  <si>
    <t>Productos laminados planos de hierro o acero sin…, sin enrollar, simplemente laminados en frío, de espesor superior o igual a 0,5 mm pero inferior o i</t>
  </si>
  <si>
    <t>Productos laminados planos de hierro o acero sin…, sin enrollar, simplemente laminados en frío, de espesor inferior a 0,5 mm</t>
  </si>
  <si>
    <t>Estañados, de espesor superior o igual a 0,5 mm</t>
  </si>
  <si>
    <t>Estañados, de espesor inferior a 0,5 mm</t>
  </si>
  <si>
    <t>Emplomados, incluidos los revestidos con una aleación de plomo y estaño</t>
  </si>
  <si>
    <t>Cincados electrolíticamente</t>
  </si>
  <si>
    <t>Cincados de otro modo, ondulados</t>
  </si>
  <si>
    <t>Cincados de otro modo (los demás)</t>
  </si>
  <si>
    <t>Revestidos de óxidos de cromo o de cromo y óxidos de cromo</t>
  </si>
  <si>
    <t>Revestidos de aleaciones de aluminio y cinc</t>
  </si>
  <si>
    <t>Revestidos de aluminio (los demás)</t>
  </si>
  <si>
    <t>Revestidos previamente de aleaciones de aluminio-cinc</t>
  </si>
  <si>
    <t>Pintados, barnizados o revestidos de plástico (los demás)</t>
  </si>
  <si>
    <t>Laminados en las cuatro caras o en acanaladuras cerradas, de anchura superior a 150 mm y espesor superior o igual a 4 mm, sin enrollar y sin motivos e</t>
  </si>
  <si>
    <t>Productos laminados planos de hierro o acero sin…, simplemente laminados en caliente (los demás, de espesor superior o igual a 4,75 mm)</t>
  </si>
  <si>
    <t>Productos laminados planos de hierro o acero sin…, simplemente laminados en caliente, con un contenido de carbono superior o igual a 0,6 % en peso</t>
  </si>
  <si>
    <t>Productos laminados planos de hierro o acero sin…, simplemente laminados en caliente (los demás)</t>
  </si>
  <si>
    <t>Productos laminados planos de hierro o acero sin…, simplemente laminados en frío, con un contenido de carbono inferior al 0,25 % en peso</t>
  </si>
  <si>
    <t>Productos laminados planos de hierro o acero sin…, simplemente laminados en frío (los demás)</t>
  </si>
  <si>
    <t>Estañados</t>
  </si>
  <si>
    <t>Cincados de otro modo</t>
  </si>
  <si>
    <t>Pintados, barnizados o revestidos de plástico</t>
  </si>
  <si>
    <t>Revestidos de otro modo</t>
  </si>
  <si>
    <t>Chapados</t>
  </si>
  <si>
    <t>Alambrón de hierro o acero sin alear, con muescas, cordones, surcos o relieves, producidos en el laminado</t>
  </si>
  <si>
    <t>Alambrón de hierro o acero sin alear (los demás, de acero de fácil mecanización)</t>
  </si>
  <si>
    <t>Alambrón de hierro o acero sin alear, de sección circular con diámetro inferior a 14 mm, con un contenido de cromo, níquel, cobre y molibdeno inferior</t>
  </si>
  <si>
    <t>Alambrón de hierro o acero sin alear, de sección circular con diámetro inferior a 14 mm (los demás)</t>
  </si>
  <si>
    <t>Alambrón de hierro o acero sin alear (los demás)</t>
  </si>
  <si>
    <t>Forjadas</t>
  </si>
  <si>
    <t>Barras de hierro o acero sin alear, simplemente forjadas, laminadas o…, con muescas, cordones, surcos o relieves, producidos en el laminado o sometida</t>
  </si>
  <si>
    <t>Barras de hierro o acero sin alear, simplemente forjadas, laminadas o…, de sección circular, de diámetro inferior o igual a 100 mm</t>
  </si>
  <si>
    <t>Barras de hierro o acero sin alear, simplemente forjadas, laminadas o… (los demás)</t>
  </si>
  <si>
    <t>Barras de hierro o acero sin alear, simplemente…, de sección transversal rectangular, con el lado de mayor dimensión inferior o igual a 100 mm</t>
  </si>
  <si>
    <t>Barras de hierro o acero sin alear, simplemente…, de sección transversal rectangular (los demás)</t>
  </si>
  <si>
    <t>Fundición, hierro y acero, de acero de fácil mecanización, simplemente obtenidas o acabadas en…, de sección circular, de diámetro inferior o igual a 1</t>
  </si>
  <si>
    <t>Fundición, hierro y acero, de acero de fácil mecanización, simplemente obtenidas o acabadas en… (los demás)</t>
  </si>
  <si>
    <t>Fundición, hierro y acero, de sección circular, de diámetro inferior o igual a 100 mm</t>
  </si>
  <si>
    <t>Fundición, hierro y acero (los demás)</t>
  </si>
  <si>
    <t>Perfiles en U, en I o en H, simplemente laminados o extrudidos en caliente, de altura inferior a 80 mm</t>
  </si>
  <si>
    <t>Perfiles en L</t>
  </si>
  <si>
    <t>Perfiles en T</t>
  </si>
  <si>
    <t>Perfiles en U</t>
  </si>
  <si>
    <t>Perfiles en I</t>
  </si>
  <si>
    <t>Perfiles en H</t>
  </si>
  <si>
    <t>Perfiles en L o en T, simplemente laminados o extrudidos en caliente, de altura superior o igual a 80 mm</t>
  </si>
  <si>
    <t>Perfiles de hierro o acero sin alear (los demás, perfiles, simplemente laminados o extrudidos en caliente)</t>
  </si>
  <si>
    <t>Obtenidos a partir de productos laminados planos</t>
  </si>
  <si>
    <t>Perfiles simplemente obtenidos o acabados en frío (los demás)</t>
  </si>
  <si>
    <t>Obtenidos o acabados en frío, a partir de productos laminados planos</t>
  </si>
  <si>
    <t>Perfiles de hierro o acero sin alear (los demás)</t>
  </si>
  <si>
    <t>Alambre de hierro o acero sin alear, sin revestir, incluso pulido</t>
  </si>
  <si>
    <t>Cincado</t>
  </si>
  <si>
    <t>Revestido de otro metal común</t>
  </si>
  <si>
    <t>Lingotes o demás formas primarias</t>
  </si>
  <si>
    <t>Acero inoxidable en lingotes o demás formas primarias, de sección transversal rectangular</t>
  </si>
  <si>
    <t>Acero inoxidable en lingotes o demás formas primarias (los demás)</t>
  </si>
  <si>
    <t>Productos laminados planos de acero inoxidable, de…, simplemente laminados en caliente, enrollados, de espesor superior a 10 mm</t>
  </si>
  <si>
    <t>Productos laminados planos de acero inoxidable, de…, simplemente laminados en caliente, enrollados, de espesor superior o igual a 4,75 mm pero inferio</t>
  </si>
  <si>
    <t>Productos laminados planos de acero inoxidable, de…, simplemente laminados en caliente, enrollados, de espesor superior o igual a 3 mm pero inferior a</t>
  </si>
  <si>
    <t>Productos laminados planos de acero inoxidable, de…, simplemente laminados en caliente, enrollados, de espesor inferior a 3 mm</t>
  </si>
  <si>
    <t>Productos laminados planos de acero inoxidable, de…, simplemente laminados en caliente, sin enrollar, de espesor superior a 10 mm</t>
  </si>
  <si>
    <t>Productos laminados planos de acero inoxidable, de…, simplemente laminados en caliente, sin enrollar, de espesor superior o igual a 4,75 mm pero infer</t>
  </si>
  <si>
    <t>Productos laminados planos de acero inoxidable, de…, simplemente laminados en caliente, sin enrollar, de espesor superior o igual a 3 mm pero inferior</t>
  </si>
  <si>
    <t>Productos laminados planos de acero inoxidable, de…, simplemente laminados en caliente, sin enrollar, de espesor inferior a 3 mm</t>
  </si>
  <si>
    <t>Productos laminados planos de acero inoxidable, de…, simplemente laminados en frío, de espesor superior o igual a 4,75 mm</t>
  </si>
  <si>
    <t>Productos laminados planos de acero inoxidable, de…, simplemente laminados en frío, de espesor superior o igual a 3 mm pero inferior a 4,75 mm</t>
  </si>
  <si>
    <t>Productos laminados planos de acero inoxidable, de…, simplemente laminados en frío, de espesor superior a 1 mm pero inferior a 3 mm</t>
  </si>
  <si>
    <t>Productos laminados planos de acero inoxidable, de…, simplemente laminados en frío, de espesor superior o igual a 0,5 mm pero inferior o igual a 1 mm</t>
  </si>
  <si>
    <t>Productos laminados planos de acero inoxidable, de…, simplemente laminados en frío, de espesor inferior a 0,5 mm</t>
  </si>
  <si>
    <t>Productos laminados planos de acero inoxidable, de anchura superior o… (los demás)</t>
  </si>
  <si>
    <t>Productos laminados planos de acero inoxidable, de…, simplemente laminados en caliente, de espesor superior o igual a 4,75 mm</t>
  </si>
  <si>
    <t>Productos laminados planos de acero inoxidable, de…, simplemente laminados en caliente, de espesor inferior a 4,75 mm</t>
  </si>
  <si>
    <t>Productos laminados planos de acero inoxidable, de anchura inferior a…, simplemente laminados en frío</t>
  </si>
  <si>
    <t>Productos laminados planos de acero inoxidable, de anchura inferior a… (los demás)</t>
  </si>
  <si>
    <t>Barras simplemente laminadas o extrudidas en caliente, de sección circular, con diámetro inferior o igual a 65 mm</t>
  </si>
  <si>
    <t>Barras simplemente laminadas o extrudidas en caliente, de sección circular (los demás)</t>
  </si>
  <si>
    <t>Barras simplemente laminadas o extrudidas en caliente, de sección transversal, con el lado de mayor dimensión inferior o igual a 65 mm</t>
  </si>
  <si>
    <t>Barras simplemente laminadas o extrudidas en caliente (los demás)</t>
  </si>
  <si>
    <t>Barras simplemente obtenidas o acabadas en frío, de sección circular, de diámetro inferior o igual a 65 mm</t>
  </si>
  <si>
    <t>Barras simplemente obtenidas o acabadas en frío (los demás)</t>
  </si>
  <si>
    <t>Barras y perfiles, de acero inoxidable, de sección circular, de diámetro inferior o igual a 65 mm</t>
  </si>
  <si>
    <t>Barras y perfiles, de acero inoxidable (los demás)</t>
  </si>
  <si>
    <t>Productos laminados planos de los demás aceros…, de acero al silicio llamado «magnético» (acero magnético al silicio), de grano orientado</t>
  </si>
  <si>
    <t>Productos laminados planos de los demás aceros…, de acero al silicio llamado «magnético» (acero magnético al silicio) (los demás)</t>
  </si>
  <si>
    <t>Productos laminados planos de los demás aceros aleados, de anchura… (los demás, simplemente laminados en caliente, enrollados)</t>
  </si>
  <si>
    <t>Productos laminados planos de los demás aceros aleados, de anchura… (los demás, simplemente laminados en caliente, sin enrollar)</t>
  </si>
  <si>
    <t>Productos laminados planos de los demás aceros aleados, de anchura… (los demás, simplemente laminados en frío)</t>
  </si>
  <si>
    <t>Productos laminados planos de los demás aceros aleados, de anchura… (los demás)</t>
  </si>
  <si>
    <t>Productos laminados planos de los demás aceros aleados, de anchura…, de acero rápido</t>
  </si>
  <si>
    <t>Productos laminados planos de los demás aceros aleados, de anchura…, simplemente laminados en caliente</t>
  </si>
  <si>
    <t>Productos laminados planos de los demás aceros aleados, de anchura…, simplemente laminados en frío</t>
  </si>
  <si>
    <t>Alambrón de los demás aceros aleados, de acero rápido</t>
  </si>
  <si>
    <t>Alambrón de los demás aceros aleados, de acero silicomanganeso</t>
  </si>
  <si>
    <t>Alambrón de los demás aceros aleados (los demás)</t>
  </si>
  <si>
    <t>Barras de acero rápido</t>
  </si>
  <si>
    <t>Barras de acero silicomanganeso, de sección circular, de diámetro inferior o igual a 100 mm</t>
  </si>
  <si>
    <t>Barras de acero silicomanganeso (los demás)</t>
  </si>
  <si>
    <t>Barras y perfiles, de los demás aceros aleados (los demás, barras, simplemente laminadas o extrudidas en caliente)</t>
  </si>
  <si>
    <t>Barras y perfiles, de los demás aceros aleados, de sección circular, de diámetro inferior o igual a 100 mm</t>
  </si>
  <si>
    <t>Barras y perfiles, de los demás aceros aleados (los demás)</t>
  </si>
  <si>
    <t>Barras huecas para perforación</t>
  </si>
  <si>
    <t>Alambre de los demás aceros aleados, de acero silicomanganeso</t>
  </si>
  <si>
    <t>Alambre de los demás aceros aleados (los demás)</t>
  </si>
  <si>
    <t>Tablestacas</t>
  </si>
  <si>
    <t>Carriles (rieles)</t>
  </si>
  <si>
    <t>Agujas, puntas de corazón, varillas para mando de agujas y otros elementos para cruce o cambio de vías</t>
  </si>
  <si>
    <t>Bridas y placas de asiento</t>
  </si>
  <si>
    <t>Traviesas (durmientes)</t>
  </si>
  <si>
    <t>Elementos para vías férreas, de fundición, hierro o acero (los demás)</t>
  </si>
  <si>
    <t>Tubos de los tipos utilizados en oleoductos o gasoductos, de acero inoxidable</t>
  </si>
  <si>
    <t>Tubos de los tipos utilizados en oleoductos o gasoductos (los demás)</t>
  </si>
  <si>
    <t>Tubos de perforación de acero inoxidable</t>
  </si>
  <si>
    <t>Estirados o laminados en frío</t>
  </si>
  <si>
    <t>Tubos y perfiles huecos, sin soldadura (sin costura), de hierro o… (los demás)</t>
  </si>
  <si>
    <t>Soldados longitudinalmente con arco sumergido</t>
  </si>
  <si>
    <t>Tubos de los tipos utilizados en oleoductos o gasoductos (los demás, soldados longitudinalmente)</t>
  </si>
  <si>
    <t>Tubos de entubación («casing») de los tipos utilizados para la extracción de petróleo o gas</t>
  </si>
  <si>
    <t>Soldados longitudinalmente</t>
  </si>
  <si>
    <t>Manufacturas de fundición, hierro o acero (los demás)</t>
  </si>
  <si>
    <t>Soldados, de acero inoxidable</t>
  </si>
  <si>
    <t>Tubos de entubación («casing») o de producción («tubing»), de los… (los demás)</t>
  </si>
  <si>
    <t>Manufacturas de fundición, hierro o acero, con un contenido de carbono, en peso, superior o igual a 0,6 %</t>
  </si>
  <si>
    <t>Tubos de acero de diámetro externo hasta 16 mm, de doble pared</t>
  </si>
  <si>
    <t>Tubos de acero de diámetro externo inferior o igual a 10 mm, de pared sencilla</t>
  </si>
  <si>
    <t>Manufacturas de fundición, hierro o acero (los demás, soldados, de sección circular, de acero inoxidable)</t>
  </si>
  <si>
    <t>Manufacturas de fundición, hierro o acero (los demás, soldados, de sección circular, de los demás aceros aleados)</t>
  </si>
  <si>
    <t>Manufacturas de fundición, hierro o acero, de sección cuadrada o rectangular</t>
  </si>
  <si>
    <t>Moldeados, de fundición no maleable</t>
  </si>
  <si>
    <t>Accesorios de tubería (por ejemplo, bridas</t>
  </si>
  <si>
    <t>Codos, curvas y manguitos, roscados</t>
  </si>
  <si>
    <t>Accesorios para soldar a tope</t>
  </si>
  <si>
    <t>Puentes y sus partes</t>
  </si>
  <si>
    <t>Torres y castilletes</t>
  </si>
  <si>
    <t>Puertas y ventanas y sus marcos, contramarcos y umbrales</t>
  </si>
  <si>
    <t>Material de andamiaje, encofrado, apeo o apuntalamiento</t>
  </si>
  <si>
    <t>Chapas, barras, perfiles, tubos y similares, preparados para la construcción</t>
  </si>
  <si>
    <t>Compuertas de esclusas</t>
  </si>
  <si>
    <t>Depósitos, barriles, tambores, bidones, latas o botes, cajas y…, de capacidad superior o igual a 50 l</t>
  </si>
  <si>
    <t>Latas o botes para ser cerrados por soldadura o rebordeado</t>
  </si>
  <si>
    <t>Recipientes de doble pared para el transporte y envasado del semen</t>
  </si>
  <si>
    <t>Depósitos, barriles, tambores, bidones, latas o botes…, de capacidad inferior a 50 l (los demás)</t>
  </si>
  <si>
    <t>Depósitos, barriles, tambores, bidones, latas o botes, cajas y… (los demás)</t>
  </si>
  <si>
    <t>Cables, para armadura de neumáticos</t>
  </si>
  <si>
    <t>Cables, trenzas, eslingas y artículos similares, de hierro o acero… (los demás)</t>
  </si>
  <si>
    <t>Alambre de púas</t>
  </si>
  <si>
    <t>Telas metálicas continuas o sin fin, de acero inoxidable, para máquinas</t>
  </si>
  <si>
    <t>Telas metálicas tejidas (los demás, telas metálicas tejidas, de acero inoxidable)</t>
  </si>
  <si>
    <t>Telas metálicas continuas o sin fin, para máquinas</t>
  </si>
  <si>
    <t>Redes y rejas, soldadas en los puntos de cruce, de alambre cuya mayor dimensión de la sección transversal sea superior o igual a 3 mm y con malla de s</t>
  </si>
  <si>
    <t>Telas metálicas (incluidas las continuas o sin fin), redes y rejas…, cincadas</t>
  </si>
  <si>
    <t>Revestidas de plástico</t>
  </si>
  <si>
    <t>Chapas y tiras, extendidas (desplegadas)</t>
  </si>
  <si>
    <t>Cadenas de rodillos</t>
  </si>
  <si>
    <t>Cadenas de eslabones articulados y sus partes (los demás, cadenas)</t>
  </si>
  <si>
    <t>Cadenas de eslabones articulados y sus partes, partes</t>
  </si>
  <si>
    <t>Cadenas antideslizantes</t>
  </si>
  <si>
    <t>Cadenas y sus partes, de fundición, hierro o acero (los demás, cadenas, de eslabones soldados)</t>
  </si>
  <si>
    <t>Cadenas y sus partes, de fundición, hierro o acero (los demás)</t>
  </si>
  <si>
    <t>Cadenas y sus partes, de fundición, hierro o acero (los demás, partes)</t>
  </si>
  <si>
    <t>Artículos roscados (los demás, tornillos para madera)</t>
  </si>
  <si>
    <t>Escarpias y armellas, roscadas</t>
  </si>
  <si>
    <t>Tornillos taladradores</t>
  </si>
  <si>
    <t>Pernos de anclaje expandibles, para concreto</t>
  </si>
  <si>
    <t>Artículos roscados (los demás)</t>
  </si>
  <si>
    <t>Arandelas de muelle (resorte) y las demás de seguridad</t>
  </si>
  <si>
    <t>Artículos sin rosca (los demás)</t>
  </si>
  <si>
    <t>Alfileres de gancho (imperdibles) y demás alfileres</t>
  </si>
  <si>
    <t>Agujas de coser, zurcir o bordar</t>
  </si>
  <si>
    <t>Agujas de coser, de tejer, pasacintas, agujas de ganchillo (croché)… (los demás)</t>
  </si>
  <si>
    <t>Muelles (resortes) helicoidales, para sistemas de suspensión de vehículos</t>
  </si>
  <si>
    <t>Muelles (resortes) helicoidales (los demás)</t>
  </si>
  <si>
    <t>Cocinas, de mesa</t>
  </si>
  <si>
    <t>Cocinas (los demás)</t>
  </si>
  <si>
    <t>Aparatos de cocción y calientaplatos, de combustibles gaseosos, o de gas y otros combustibles (los demás)</t>
  </si>
  <si>
    <t>Aparatos de cocción y calientaplatos, de combustibles líquidos</t>
  </si>
  <si>
    <t>Aparatos de cocción y calientaplatos, de combustibles sólidos</t>
  </si>
  <si>
    <t>Aparatos de cocción y calientaplatos (los demás)</t>
  </si>
  <si>
    <t>Estufas, calderas con hogar, cocinas (incluidas las que puedan…, de combustibles gaseosos, o de gas y otros combustibles</t>
  </si>
  <si>
    <t>Estufas, calderas con hogar, cocinas (incluidas las que puedan…, de combustibles líquidos</t>
  </si>
  <si>
    <t>Estufas, calderas con hogar, cocinas (incluidas las que puedan…, de combustibles sólidos</t>
  </si>
  <si>
    <t>Estufas, calderas con hogar, cocinas (incluidas las que puedan… (los demás)</t>
  </si>
  <si>
    <t>Quemadores de gas para calentadores de paso</t>
  </si>
  <si>
    <t>Estufas, calderas con hogar, cocinas (incluidas las…, partes (los demás)</t>
  </si>
  <si>
    <t>Radiadores y sus partes, de fundición</t>
  </si>
  <si>
    <t>Radiadores y sus partes (los demás)</t>
  </si>
  <si>
    <t>Radiadores para calefacción central, de calentamiento no eléctrico, y… (los demás)</t>
  </si>
  <si>
    <t>Lana de hierro o acero; esponjas, estropajos, guantes y artículos similares para fregar, lustrar o usos análogos</t>
  </si>
  <si>
    <t>Artículos de uso doméstico y sus partes, de fundición…, de fundición, sin esmaltar, partes</t>
  </si>
  <si>
    <t>Artículos de uso doméstico y sus partes, de fundición…, de fundición, esmaltados, artículos</t>
  </si>
  <si>
    <t>Artículos de uso doméstico y sus partes, de fundición…, de fundición, esmaltados, partes</t>
  </si>
  <si>
    <t>Artículos de uso doméstico y sus partes, de fundición…, de acero inoxidable, artículos</t>
  </si>
  <si>
    <t>Artículos de uso doméstico y sus partes, de fundición…, de acero inoxidable, partes</t>
  </si>
  <si>
    <t>Artículos de uso doméstico y sus partes, de fundición…, de hierro o acero, esmaltados, artículos</t>
  </si>
  <si>
    <t>Artículos de uso doméstico y sus partes, de fundición…, de hierro o acero, esmaltados, partes</t>
  </si>
  <si>
    <t>Artículos de uso doméstico y sus partes, de fundición, hierro o acero, artículos</t>
  </si>
  <si>
    <t>Artículos de uso doméstico y sus partes, de fundición, hierro o acero, partes</t>
  </si>
  <si>
    <t>Fregaderos (piletas de lavar) y lavabos, de acero inoxidable</t>
  </si>
  <si>
    <t>Bañeras, de fundición, incluso esmaltadas</t>
  </si>
  <si>
    <t>Bañeras (los demás)</t>
  </si>
  <si>
    <t>Artículos de higiene o tocador, y sus partes, de fundición, hierro o… (los demás, incluidas las partes)</t>
  </si>
  <si>
    <t>Manufacturas de fundición, hierro o acero, de fundición no maleable</t>
  </si>
  <si>
    <t>Bolas y artículos similares para molinos</t>
  </si>
  <si>
    <t>Forjadas o estampadas pero sin trabajar de otro modo (los demás)</t>
  </si>
  <si>
    <t>Manufacturas de alambre de hierro o acero</t>
  </si>
  <si>
    <t>Barras de sección variable</t>
  </si>
  <si>
    <t>Matas de cobre</t>
  </si>
  <si>
    <t>Cobre de cementación (cobre precipitado)</t>
  </si>
  <si>
    <t>Cobre «blister» sin refinar</t>
  </si>
  <si>
    <t>Cobre y sus manufacturas (los demás, sin refinar)</t>
  </si>
  <si>
    <t>Ánodos de cobre para refinado electrolítico</t>
  </si>
  <si>
    <t>Cátodos y secciones de cátodos</t>
  </si>
  <si>
    <t>Barras para alambrón («wire-bars»)</t>
  </si>
  <si>
    <t>Cobre refinado, tochos</t>
  </si>
  <si>
    <t>Cobre refinado (los demás)</t>
  </si>
  <si>
    <t>Aleaciones de cobre, a base de cobre-cinc (latón)</t>
  </si>
  <si>
    <t>Aleaciones de cobre, a base de cobre-estaño (bronce)</t>
  </si>
  <si>
    <t>Aleaciones de cobre, a base de cobre-níquel (cuproníquel) o de cobre-níquel-cinc (alpaca)</t>
  </si>
  <si>
    <t>Aleaciones de cobre (los demás)</t>
  </si>
  <si>
    <t>Polvo de estructura no laminar</t>
  </si>
  <si>
    <t>Polvo de estructura laminar; escamillas</t>
  </si>
  <si>
    <t>Barras y perfiles, de cobre, de cobre refinado</t>
  </si>
  <si>
    <t>Barras y perfiles, de cobre, de aleaciones de cobre, a base de cobre-cinc (latón)</t>
  </si>
  <si>
    <t>Barras y perfiles, de cobre, de aleaciones de cobre (los demás)</t>
  </si>
  <si>
    <t>Alambre de cobre, de cobre refinado, con la mayor dimensión de la sección transversal superior a 6 mm</t>
  </si>
  <si>
    <t>Alambre de cobre, de cobre refinado (los demás)</t>
  </si>
  <si>
    <t>Alambre de cobre, de aleaciones de cobre, a base de cobre-cinc (latón)</t>
  </si>
  <si>
    <t>Alambre de cobre, de aleaciones de cobre, a base de cobre-níquel (cuproníquel) o de cobre-níquel-cinc (alpaca)</t>
  </si>
  <si>
    <t>Alambre de cobre, de aleaciones de cobre (los demás)</t>
  </si>
  <si>
    <t>Chapas y tiras, de cobre, de espesor superior a 0,15 mm, de cobre refinado, enrolladas</t>
  </si>
  <si>
    <t>Chapas y tiras, de cobre, de espesor superior a 0,15 mm, de cobre refinado (los demás)</t>
  </si>
  <si>
    <t>Chapas y tiras, de cobre, de espesor superior a 0,15 mm, de aleaciones a base de cobre-cinc (latón), enrolladas</t>
  </si>
  <si>
    <t>Chapas y tiras, de cobre, de espesor superior a 0,15 mm, de aleaciones a base de cobre-cinc (latón) (los demás)</t>
  </si>
  <si>
    <t>Chapas y tiras, de cobre, de espesor superior a 0,15 mm, de aleaciones a base de cobre-estaño (bronce), enrolladas</t>
  </si>
  <si>
    <t>Chapas y tiras, de cobre, de espesor superior a 0,15 mm, de aleaciones a base de cobre-estaño (bronce) (los demás)</t>
  </si>
  <si>
    <t>Chapas y tiras, de cobre, de espesor superior a 0,15 mm, de aleaciones a base de cobre-níquel (cuproníquel) o de cobre-níquel-cinc (alpaca)</t>
  </si>
  <si>
    <t>Chapas y tiras, de cobre, de espesor superior a 0,15 mm, de las demás aleaciones de cobre</t>
  </si>
  <si>
    <t>Hojas y tiras, delgadas, de cobre (incluso impresas o…, sin soporte, de cobre refinado</t>
  </si>
  <si>
    <t>Hojas y tiras, delgadas, de cobre (incluso impresas o…, sin soporte, de aleaciones de cobre</t>
  </si>
  <si>
    <t>Hojas y tiras, delgadas, de cobre (incluso impresas o…, con soporte, de cobre refinado</t>
  </si>
  <si>
    <t>Hojas y tiras, delgadas, de cobre (incluso impresas o…, con soporte, de aleaciones de cobre</t>
  </si>
  <si>
    <t>Tubos de cobre, de cobre refinado</t>
  </si>
  <si>
    <t>Tubos de cobre, de aleaciones de cobre, a base de cobre-cinc (latón)</t>
  </si>
  <si>
    <t>Tubos de cobre, de aleaciones de cobre, a base de cobre-níquel (cuproníquel) o de cobre-níquel-cinc (alpaca)</t>
  </si>
  <si>
    <t>Tubos de cobre, de aleaciones de cobre (los demás)</t>
  </si>
  <si>
    <t>Accesorios de tubería (por ejemplo, de cobre refinado</t>
  </si>
  <si>
    <t>Accesorios de tubería (por ejemplo, de aleaciones de cobre</t>
  </si>
  <si>
    <t>Puntas y clavos, chinchetas (chinches), grapas apuntadas y artículos similares</t>
  </si>
  <si>
    <t>Arandelas (incluidas las arandelas de muelle (resorte))</t>
  </si>
  <si>
    <t>Puntas, clavos, chinchetas (chinches), grapas apuntadas y artículos… (los demás)</t>
  </si>
  <si>
    <t>Tornillos; pernos y tuercas</t>
  </si>
  <si>
    <t>Puntas, clavos, chinchetas (chinches), grapas apuntadas y artículos… (los demás, [74.16])</t>
  </si>
  <si>
    <t>Esponjas, estropajos, guantes y artículos similares para fregar, lustrar o usos análogos</t>
  </si>
  <si>
    <t>Aparatos no eléctricos de cocción o de calefacción y sus partes</t>
  </si>
  <si>
    <t>Artículos de uso doméstico y sus partes (los demás)</t>
  </si>
  <si>
    <t>Artículos de higiene o tocador, y sus partes</t>
  </si>
  <si>
    <t>Cadenas y sus partes</t>
  </si>
  <si>
    <t>7419200000</t>
  </si>
  <si>
    <t>Coladas, moldeadas, estampadas o forjadas, pero sin trabajar de otro modo</t>
  </si>
  <si>
    <t>7419801000</t>
  </si>
  <si>
    <t>Telas metálicas (incluidas las continuas o sin fin)</t>
  </si>
  <si>
    <t>7419802000</t>
  </si>
  <si>
    <t>Muelles (resortes)</t>
  </si>
  <si>
    <t>7419809000</t>
  </si>
  <si>
    <t>Cobre y sus manufacturas (los demás)</t>
  </si>
  <si>
    <t>Muelles (resortes) de cobre</t>
  </si>
  <si>
    <t>Las demás manufacturas de cobre (los demás)</t>
  </si>
  <si>
    <t>Matas de níquel</t>
  </si>
  <si>
    <t>«Sinters» de óxidos de níquel y demás productos intermedios de la metalurgia del níquel</t>
  </si>
  <si>
    <t>Níquel sin alear</t>
  </si>
  <si>
    <t>Aleaciones de níquel</t>
  </si>
  <si>
    <t>Barras y perfiles, de níquel sin alear</t>
  </si>
  <si>
    <t>Barras y perfiles, de aleaciones de níquel</t>
  </si>
  <si>
    <t>Alambre, de níquel sin alear</t>
  </si>
  <si>
    <t>Alambre, de aleaciones de níquel</t>
  </si>
  <si>
    <t>Chapas, hojas y tiras, de níquel, de níquel sin alear</t>
  </si>
  <si>
    <t>Chapas, hojas y tiras, de níquel, de aleaciones de níquel</t>
  </si>
  <si>
    <t>Tubos, de níquel sin alear</t>
  </si>
  <si>
    <t>Tubos, de aleaciones de níquel</t>
  </si>
  <si>
    <t>Telas metálicas, redes y rejas, de alambre de níquel</t>
  </si>
  <si>
    <t>Ánodos para niquelar, incluso los obtenidos por electrólisis</t>
  </si>
  <si>
    <t>Níquel y sus manufacturas (los demás)</t>
  </si>
  <si>
    <t>Aluminio sin alear</t>
  </si>
  <si>
    <t>Aleaciones de aluminio</t>
  </si>
  <si>
    <t>Barras y perfiles, de aluminio, de aluminio sin alear, barras</t>
  </si>
  <si>
    <t>Perfiles, incluso huecos</t>
  </si>
  <si>
    <t>Perfiles huecos</t>
  </si>
  <si>
    <t>Barras y perfiles, de aluminio, de aleaciones de aluminio, barras</t>
  </si>
  <si>
    <t>Barras y perfiles, de aluminio, de aleaciones de aluminio (los demás, perfiles)</t>
  </si>
  <si>
    <t>Alambre de aluminio, de aluminio sin alear, con la mayor dimensión de la sección transversal superior a 7 mm</t>
  </si>
  <si>
    <t>Alambre de aluminio, de aluminio sin alear (los demás)</t>
  </si>
  <si>
    <t>Alambre de aluminio, de aleaciones de aluminio, con la mayor dimensión de la sección transversal superior a 7 mm</t>
  </si>
  <si>
    <t>Alambre de aluminio, de aleaciones de aluminio (los demás)</t>
  </si>
  <si>
    <t>Cuadradas o rectangulares, de aluminio sin alear</t>
  </si>
  <si>
    <t>Cuadradas o rectangulares, de aleaciones de aluminio, con un contenido de magnesio superior o igual a 0,5 % en peso (duraluminio)</t>
  </si>
  <si>
    <t>Cuadradas o rectangulares, de aleaciones de aluminio (los demás)</t>
  </si>
  <si>
    <t>Discos para la fabricación de envases tubulares</t>
  </si>
  <si>
    <t>Chapas y tiras, de aluminio, de espesor superior a 0,2…, de aluminio sin alear (los demás)</t>
  </si>
  <si>
    <t>Chapas y tiras, de aluminio, de espesor superior a 0,2…, de aleaciones de aluminio, con un contenido de magnesio superior o igual a 0,5 % en peso (dur</t>
  </si>
  <si>
    <t>Chapas y tiras, de aluminio, de espesor superior a 0,2…, de aleaciones de aluminio (los demás)</t>
  </si>
  <si>
    <t>Hojas y tiras, delgadas, de aluminio (incluso impresas…, sin soporte, simplemente laminadas</t>
  </si>
  <si>
    <t>Hojas y tiras, delgadas, de aluminio (incluso impresas…, sin soporte (los demás)</t>
  </si>
  <si>
    <t>Hojas y tiras, delgadas, de aluminio (incluso impresas o fijadas…, con soporte</t>
  </si>
  <si>
    <t>Tubos de aluminio, de aluminio sin alear, con diámetro exterior inferior o igual a 9.52 mm y espesor de pared inferior a 0.9 mm</t>
  </si>
  <si>
    <t>Tubos de aluminio, de aluminio sin alear (los demás)</t>
  </si>
  <si>
    <t>Puertas y ventanas, y sus marcos, contramarcos y umbrales</t>
  </si>
  <si>
    <t>Construcciones y sus partes (por ejemplo (los demás)</t>
  </si>
  <si>
    <t>Envases tubulares flexibles</t>
  </si>
  <si>
    <t>Envases para el transporte de leche</t>
  </si>
  <si>
    <t>Envases criógenos</t>
  </si>
  <si>
    <t>Barriles, tambores y bidones</t>
  </si>
  <si>
    <t>Depósitos, barriles, tambores, bidones, botes, cajas y recipientes… (los demás)</t>
  </si>
  <si>
    <t>Cables, trenzas y similares, de aluminio, sin aislar para electricidad, con alma de acero</t>
  </si>
  <si>
    <t>Cables, trenzas y similares, de aluminio, sin aislar para electricidad (los demás)</t>
  </si>
  <si>
    <t>Ollas de presión</t>
  </si>
  <si>
    <t>Artículos de uso doméstico y sus partes (los demás, ollas, sartenes y artículos similares)</t>
  </si>
  <si>
    <t>Artículos de uso doméstico y sus partes, partes de artículos de uso doméstico</t>
  </si>
  <si>
    <t>Puntas, clavos, grapas apuntadas, tornillos, pernos, tuercas, escarpias roscadas, remaches, pasadores, chavetas, arandelas y artículos similares</t>
  </si>
  <si>
    <t>Telas metálicas, redes y rejas, de alambre de aluminio</t>
  </si>
  <si>
    <t>Plomo refinado</t>
  </si>
  <si>
    <t>Plomo en bruto, con antimonio como el otro elemento predominante en peso</t>
  </si>
  <si>
    <t>Plomo en bruto (los demás)</t>
  </si>
  <si>
    <t>Hojas y tiras, de espesor inferior o igual a 0,2 mm (sin incluir el soporte)</t>
  </si>
  <si>
    <t>Chapas, hojas y tiras (los demás)</t>
  </si>
  <si>
    <t>Polvo y escamillas</t>
  </si>
  <si>
    <t>Envases blindados para materias radiactivas</t>
  </si>
  <si>
    <t>Barras, perfiles y alambre</t>
  </si>
  <si>
    <t>Tubos y accesorios de tubería (por ejemplo: empalmes [racores], codos, manguitos)</t>
  </si>
  <si>
    <t>Chapas, hojas y tiras, de plomo (los demás)</t>
  </si>
  <si>
    <t>Cinc sin alear, con un contenido de cinc superior o igual al 99,99 % en peso</t>
  </si>
  <si>
    <t>Cinc sin alear, con un contenido de cinc inferior al 99,99 % en peso</t>
  </si>
  <si>
    <t>Aleaciones de cinc</t>
  </si>
  <si>
    <t>Polvo de condensación</t>
  </si>
  <si>
    <t>Polvo y escamillas, de cinc (los demás)</t>
  </si>
  <si>
    <t>Alambre</t>
  </si>
  <si>
    <t>Polvo y escamillas, de cinc. 7904.00 Barras, perfiles y alambre, de… (los demás)</t>
  </si>
  <si>
    <t>Polvo y escamillas, de cinc. 7904.00 Barras, perfiles…, en forma cuadrada o rectangular, de espesor inferior o igual a 0,65 mm</t>
  </si>
  <si>
    <t>Polvo y escamillas, de cinc. 7904.00 Barras, perfiles…, en forma cuadrada o rectangular, de espesor superior a 0,65 mm</t>
  </si>
  <si>
    <t>Discos cuyo diámetro no exceda de 30 mm; hexágonos cuyo lado de mayor longitud no exceda de 30 mm</t>
  </si>
  <si>
    <t>Canalones, caballetes para tejados, claraboyas y otras manufacturas para la construcción</t>
  </si>
  <si>
    <t>Estaño sin alear</t>
  </si>
  <si>
    <t>Aleaciones de estaño</t>
  </si>
  <si>
    <t>Barras y alambres de estaño aleado, para soldadura</t>
  </si>
  <si>
    <t>Estaño en bruto. 8003.00 Barras, perfiles y alambre, de estaño (los demás)</t>
  </si>
  <si>
    <t>Chapas, hojas y tiras, de espesor superior a 0,2 mm</t>
  </si>
  <si>
    <t>Hojas y tiras, delgadas (incluso impresas o fijadas sobre papel, cartón, plástico o soportes similares), de espesor inferior o igual a 0,2 mm (sin inc</t>
  </si>
  <si>
    <t>Estaño en bruto. 8003.00 Barras, perfiles y alambre, de estaño.… (los demás)</t>
  </si>
  <si>
    <t>Volframio (tungsteno) en bruto, incluidas las barras simplemente obtenidas por sinterizado</t>
  </si>
  <si>
    <t>Volframio (tungsteno) y sus manufacturas, incluidos los desperdicios…, alambre</t>
  </si>
  <si>
    <t>Volframio (tungsteno) y sus manufacturas, incluidos los desperdicios… (los demás)</t>
  </si>
  <si>
    <t>Molibdeno en bruto, incluidas las barras simplemente obtenidas por sinterizado</t>
  </si>
  <si>
    <t>Barras, excepto las simplemente obtenidas por sinterizado, perfiles, chapas, hojas y tiras</t>
  </si>
  <si>
    <t>Molibdeno y sus manufacturas, incluidos los desperdicios y desechos, alambre</t>
  </si>
  <si>
    <t>Molibdeno y sus manufacturas, incluidos los desperdicios y desechos (los demás)</t>
  </si>
  <si>
    <t>Tantalio en bruto, incluidas las barras simplemente obtenidas por sinterizado; polvo</t>
  </si>
  <si>
    <t>Tantalio y sus manufacturas, incluidos los desperdicios y desechos (los demás)</t>
  </si>
  <si>
    <t>8103910000</t>
  </si>
  <si>
    <t>Tantalio y sus manufacturas, incluidos los desperdicios y desechos, crisoles</t>
  </si>
  <si>
    <t>8103990000</t>
  </si>
  <si>
    <t>Magnesio en bruto, con un contenido de magnesio superior o igual al 99,8 % en peso</t>
  </si>
  <si>
    <t>Magnesio en bruto (los demás)</t>
  </si>
  <si>
    <t>Virutas, torneaduras y gránulos calibrados; polvo</t>
  </si>
  <si>
    <t>Magnesio y sus manufacturas, incluidos los desperdicios y desechos (los demás)</t>
  </si>
  <si>
    <t>Matas de cobalto y demás productos intermedios de la metalurgia del cobalto; cobalto en bruto; polvo</t>
  </si>
  <si>
    <t>Matas de cobalto y demás productos intermedios de la metalurgia del… (los demás)</t>
  </si>
  <si>
    <t>En agujas</t>
  </si>
  <si>
    <t>Bismuto y sus manufacturas, incluidos los desperdicios y desechos (los demás)</t>
  </si>
  <si>
    <t>8106101000</t>
  </si>
  <si>
    <t>Bismuto y sus manufacturas, incluidos los desperdicios…, con un contenido de bismuto superior al 99,99 % en peso, en agujas</t>
  </si>
  <si>
    <t>8106102000</t>
  </si>
  <si>
    <t>8106109000</t>
  </si>
  <si>
    <t>Bismuto y sus manufacturas, incluidos los desperdicios…, con un contenido de bismuto superior al 99,99 % en peso (los demás)</t>
  </si>
  <si>
    <t>8106901000</t>
  </si>
  <si>
    <t>Bismuto y sus manufacturas, incluidos los desperdicios y desechos, en agujas</t>
  </si>
  <si>
    <t>8106902000</t>
  </si>
  <si>
    <t>8106909000</t>
  </si>
  <si>
    <t>En bolas</t>
  </si>
  <si>
    <t>Titanio en bruto; polvo</t>
  </si>
  <si>
    <t>Titanio y sus manufacturas, incluidos los desperdicios y desechos (los demás)</t>
  </si>
  <si>
    <t>Circonio en bruto; polvo</t>
  </si>
  <si>
    <t>8109210000</t>
  </si>
  <si>
    <t>Circonio en bruto, con un contenido inferior a 1 parte de hafnio (celtio) por 500 partes de circonio, en peso</t>
  </si>
  <si>
    <t>8109290000</t>
  </si>
  <si>
    <t>Circonio en bruto (los demás)</t>
  </si>
  <si>
    <t>8109310000</t>
  </si>
  <si>
    <t>Desperdicios y desechos, con un contenido inferior a 1 parte de hafnio (celtio) por 500 partes de circonio, en peso</t>
  </si>
  <si>
    <t>8109390000</t>
  </si>
  <si>
    <t>Desperdicios y desechos (los demás)</t>
  </si>
  <si>
    <t>Circonio y sus manufacturas, incluidos los desperdicios y desechos (los demás)</t>
  </si>
  <si>
    <t>8109910000</t>
  </si>
  <si>
    <t>Circonio y sus manufacturas, incluidos los desperdicios y desechos, con un contenido inferior a 1 parte de hafnio (celtio) por 500 partes de circonio,</t>
  </si>
  <si>
    <t>8109990000</t>
  </si>
  <si>
    <t>Antimonio en bruto; polvo</t>
  </si>
  <si>
    <t>Antimonio y sus manufacturas, incluidos los desperdicios y desechos (los demás)</t>
  </si>
  <si>
    <t>Manganeso en bruto; polvo</t>
  </si>
  <si>
    <t>Antimonio y sus manufacturas, incluidos los desperdicios y desechos.… (los demás)</t>
  </si>
  <si>
    <t>Berilio, en bruto; polvo</t>
  </si>
  <si>
    <t>Berilio (los demás)</t>
  </si>
  <si>
    <t>Cromo, en bruto; polvo</t>
  </si>
  <si>
    <t>Cromo (los demás)</t>
  </si>
  <si>
    <t>8112310000</t>
  </si>
  <si>
    <t>Hafnio (celio), en bruto; desperdicios y desechos; polvo</t>
  </si>
  <si>
    <t>8112390000</t>
  </si>
  <si>
    <t>Hafnio (celio) (los demás)</t>
  </si>
  <si>
    <t>8112410000</t>
  </si>
  <si>
    <t>Renio, en bruto; desperdicios y desechos; polvo</t>
  </si>
  <si>
    <t>8112490000</t>
  </si>
  <si>
    <t>Renio (los demás)</t>
  </si>
  <si>
    <t>Talio, en bruto; polvo</t>
  </si>
  <si>
    <t>Talio (los demás)</t>
  </si>
  <si>
    <t>8112610000</t>
  </si>
  <si>
    <t>8112690011</t>
  </si>
  <si>
    <t>Cadmio en bruto, en bolas</t>
  </si>
  <si>
    <t>8112690019</t>
  </si>
  <si>
    <t>Cadmio en bruto (los demás)</t>
  </si>
  <si>
    <t>8112690090</t>
  </si>
  <si>
    <t>Cadmio (los demás)</t>
  </si>
  <si>
    <t>Germanio y vanadio</t>
  </si>
  <si>
    <t>Berilio, cadmio, cromo, germanio, vanadio, galio…, en bruto; desperdicios y desechos; polvo, en bruto; polvo (los demás)</t>
  </si>
  <si>
    <t>Berilio, cadmio, cromo, germanio, vanadio, galio, hafnio (celtio)… (los demás)</t>
  </si>
  <si>
    <t>Layas y palas</t>
  </si>
  <si>
    <t>Azadas, picos, binaderas, rastrillos y raederas</t>
  </si>
  <si>
    <t>Hachas, hocinos y herramientas similares con filo (los demás)</t>
  </si>
  <si>
    <t>Tijeras de podar (incluidas las de trinchar aves) para usar con una sola mano</t>
  </si>
  <si>
    <t>Tijeras de podar</t>
  </si>
  <si>
    <t>Cizallas para setos, tijeras de podar y herramientas similares, para… (los demás)</t>
  </si>
  <si>
    <t>Hoces y guadañas, cuchillos para heno o para paja</t>
  </si>
  <si>
    <t>Layas, palas, azadas, picos, binaderas, horcas de labranza… (los demás)</t>
  </si>
  <si>
    <t>Sierras de mano, serruchos</t>
  </si>
  <si>
    <t>Sierras de mano (los demás)</t>
  </si>
  <si>
    <t>Hojas de sierra de cinta</t>
  </si>
  <si>
    <t>Hojas de sierra circulares (incluidas las fresas sierra), con parte operante de acero</t>
  </si>
  <si>
    <t>Hojas de sierra circulares (incluidas las fresas sierra) (los demás, incluidas las partes)</t>
  </si>
  <si>
    <t>Cadenas cortantes</t>
  </si>
  <si>
    <t>Hojas de sierra rectas para trabajar metal</t>
  </si>
  <si>
    <t>Limas, escofinas y herramientas similares</t>
  </si>
  <si>
    <t>Cizallas para metales y herramientas similares</t>
  </si>
  <si>
    <t>Cortatubos, cortapernos, sacabocados y herramientas similares</t>
  </si>
  <si>
    <t>Herramientas de taladrar o roscar (incluidas las terrajas)</t>
  </si>
  <si>
    <t>Cepillos, formones, gubias y herramientas cortantes similares para trabajar madera</t>
  </si>
  <si>
    <t>Destornilladores (los demás)</t>
  </si>
  <si>
    <t>Herramientas de mano (incluidos los diamantes de vidriero) no…, de uso domestico</t>
  </si>
  <si>
    <t>Diamantes de vidriero</t>
  </si>
  <si>
    <t>Herramientas de mano (incluidos los diamantes de vidriero) no…, cinceles</t>
  </si>
  <si>
    <t>Buriles y puntas</t>
  </si>
  <si>
    <t>Aceiteras; jeringas para engrasar</t>
  </si>
  <si>
    <t>Herramientas especiales para joyeros y relojeros</t>
  </si>
  <si>
    <t>Herramientas para albañiles, fundidores, cementeros, yeseros, pintores (llanas, paletas, pulidores, raspadores, etc.)</t>
  </si>
  <si>
    <t>Lámparas de soldar</t>
  </si>
  <si>
    <t>Lámparas de soldar y similares (los demás)</t>
  </si>
  <si>
    <t>Tornillos de banco, prensas de carpintero y similares</t>
  </si>
  <si>
    <t>Yunques; fraguas portátiles; muelas de mano o pedal, con bastidor</t>
  </si>
  <si>
    <t>Trépanos y coronas</t>
  </si>
  <si>
    <t>Útiles de perforación o sondeo, con parte operante de cermet, brocas</t>
  </si>
  <si>
    <t>Barrenas integrales</t>
  </si>
  <si>
    <t>Útiles de perforación o sondeo, con parte operante de cermet (los demás, útiles)</t>
  </si>
  <si>
    <t>Brocas, diamantadas</t>
  </si>
  <si>
    <t>Brocas (los demás)</t>
  </si>
  <si>
    <t>Útiles de perforación o sondeo (los demás, útiles)</t>
  </si>
  <si>
    <t>Hileras de extrudir o de estirar (trefilar) metal</t>
  </si>
  <si>
    <t>Útiles de escariar o brochar</t>
  </si>
  <si>
    <t>Útiles de fresar</t>
  </si>
  <si>
    <t>Útiles de tornear</t>
  </si>
  <si>
    <t>Cuchillas y hojas cortantes, para máquinas o aparatos mecánicos, para trabajar metal</t>
  </si>
  <si>
    <t>Cuchillas y hojas cortantes, para máquinas o aparatos mecánicos, para trabajar madera</t>
  </si>
  <si>
    <t>Cuchillas y hojas cortantes, para máquinas o aparatos mecánicos, para aparatos de cocina o máquinas de la industria alimentaria</t>
  </si>
  <si>
    <t>Cuchillas y hojas cortantes, para máquinas o aparatos mecánicos, para máquinas agrícolas, hortícolas o forestales</t>
  </si>
  <si>
    <t>Cuchillas y hojas cortantes, para máquinas o aparatos mecánicos (los demás)</t>
  </si>
  <si>
    <t>Cuchillas y hojas cortantes, para máquinas o aparatos mecánicos.…, de carburos de tungsteno (volframio)</t>
  </si>
  <si>
    <t>Cuchillas y hojas cortantes, para máquinas o aparatos mecánicos.… (los demás)</t>
  </si>
  <si>
    <t>Molinillos</t>
  </si>
  <si>
    <t>Surtidos</t>
  </si>
  <si>
    <t>Cuchillos de mesa de hoja fija</t>
  </si>
  <si>
    <t>Cuchillos con hoja cortante o dentada, incluidas las navajas de… (los demás, cuchillos de hoja fija)</t>
  </si>
  <si>
    <t>Cuchillos, de podar y de injertar</t>
  </si>
  <si>
    <t>Cuchillos (los demás)</t>
  </si>
  <si>
    <t>Hojas, para cuchillos de mesa</t>
  </si>
  <si>
    <t>Mangos de metal común</t>
  </si>
  <si>
    <t>Navajas de afeitar</t>
  </si>
  <si>
    <t>Máquinas de afeitar</t>
  </si>
  <si>
    <t>Hojas para maquinillas de afeitar, incluidos los esbozos en fleje</t>
  </si>
  <si>
    <t>Navajas y máquinas de afeitar y sus hojas (incluidos los esbozos en… (los demás, partes)</t>
  </si>
  <si>
    <t>Cortapapeles, abrecartas, raspadores, sacapuntas y sus cuchillas</t>
  </si>
  <si>
    <t>Máquinas de cortar el pelo o de esquilar</t>
  </si>
  <si>
    <t>Herramientas y útiles, artículos de cuchillería y cubiertos de mesa… (los demás)</t>
  </si>
  <si>
    <t>Surtidos que contengan por lo menos un objeto plateado, dorado o platinado</t>
  </si>
  <si>
    <t>Cucharas, tenedores, cucharones, espumaderas, palas para tarta… (los demás, surtidos)</t>
  </si>
  <si>
    <t>Plateados, dorados o platinados</t>
  </si>
  <si>
    <t>Cucharas, tenedores, cucharones, espumaderas, palas para tarta… (los demás)</t>
  </si>
  <si>
    <t>Candados</t>
  </si>
  <si>
    <t>Cerraduras de los tipos utilizados en vehículos automóviles</t>
  </si>
  <si>
    <t>Cerraduras de los tipos utilizados en muebles</t>
  </si>
  <si>
    <t>Candados, cerraduras y cerrojos (de llave, combinación o eléctricos)…, para cajas de caudales</t>
  </si>
  <si>
    <t>Candados, cerraduras y cerrojos (de llave, combinación o eléctricos)… (los demás)</t>
  </si>
  <si>
    <t>Cierres y monturas cierre, con cerradura incorporada</t>
  </si>
  <si>
    <t>Candados, cerraduras y cerrojos (de llave, combinación o eléctricos)…, partes</t>
  </si>
  <si>
    <t>Llaves presentadas aisladamente</t>
  </si>
  <si>
    <t>Bisagras de cualquier clase (incluidos los pernios y demás goznes), para vehículos automóviles</t>
  </si>
  <si>
    <t>Bisagras de cualquier clase (incluidos los pernios y demás goznes) (los demás)</t>
  </si>
  <si>
    <t>Guarniciones, herrajes y artículos similares, de metal común, para… (los demás, guarniciones, herrajes y artículos similares, para vehículos automóvil</t>
  </si>
  <si>
    <t>Guarniciones, herrajes y artículos similares, de metal común, para…, para edificios</t>
  </si>
  <si>
    <t>Guarniciones, herrajes y artículos similares, de metal común, para… (los demás, para muebles)</t>
  </si>
  <si>
    <t>Guarniciones, herrajes y artículos similares, de metal común, para… (los demás)</t>
  </si>
  <si>
    <t>Colgadores, perchas, soportes y artículos similares</t>
  </si>
  <si>
    <t>Cierrapuertas automáticos</t>
  </si>
  <si>
    <t>Cajas de caudales</t>
  </si>
  <si>
    <t>Puertas blindadas y compartimientos para cámaras acorazadas</t>
  </si>
  <si>
    <t>Mecanismos para encuadernación de hojas intercambiables o para clasificadores</t>
  </si>
  <si>
    <t>Grapas en tiras</t>
  </si>
  <si>
    <t>Mecanismos para encuadernación de hojas intercambiables o para… (los demás, incluidas las partes)</t>
  </si>
  <si>
    <t>Campanas, campanillas, gongos y artículos similares</t>
  </si>
  <si>
    <t>Estatuillas y demás artículos de adorno (los demás)</t>
  </si>
  <si>
    <t>Marcos para fotografías, grabados o similares; espejos</t>
  </si>
  <si>
    <t>Tubos flexibles de metal común, incluso con sus accesorios, de hierro o acero</t>
  </si>
  <si>
    <t>Tubos flexibles de metal común, incluso con sus accesorios, de los demás metales comunes</t>
  </si>
  <si>
    <t>Anillos para ojetes (ojalillos), de hierro o acero</t>
  </si>
  <si>
    <t>Anillos para ojetes (ojalillos), de aluminio</t>
  </si>
  <si>
    <t>Anillos para ojetes (ojalillos) (los demás)</t>
  </si>
  <si>
    <t>Corchetes, ganchos y anillos para ojetes (los demás)</t>
  </si>
  <si>
    <t>Remaches tubulares o con espiga hendida</t>
  </si>
  <si>
    <t>Cierres, monturas cierre, hebillas, hebillas cierre, corchetes… (los demás, incluidas las partes)</t>
  </si>
  <si>
    <t>Tapas corona</t>
  </si>
  <si>
    <t>Tapones y tapas (incluidas las tapas corona, las tapas roscadas y los… (los demás)</t>
  </si>
  <si>
    <t>Electrodos recubiertos para soldadura de arco, de metal común</t>
  </si>
  <si>
    <t>Alambre «relleno» para soldadura de arco, de metal común</t>
  </si>
  <si>
    <t>Varillas recubiertas y alambre «relleno» para soldar al soplete, de metal común</t>
  </si>
  <si>
    <t>Alambres, varillas, tubos, placas, electrodos y artículos similares… (los demás)</t>
  </si>
  <si>
    <t>Reactores nucleares</t>
  </si>
  <si>
    <t>Máquinas y aparatos para la separación isotópica, y sus partes</t>
  </si>
  <si>
    <t>Elementos combustibles (cartuchos) sin irradiar</t>
  </si>
  <si>
    <t>Reactores nucleares, partes de reactores nucleares</t>
  </si>
  <si>
    <t>Calderas acuotubulares con una producción de vapor superior a 45 t por hora</t>
  </si>
  <si>
    <t>Calderas de vapor (los demás, calderas de vapor, incluidas las calderas mixtas)</t>
  </si>
  <si>
    <t>Calderas denominadas «de agua sobrecalentada»</t>
  </si>
  <si>
    <t>Calderas de vapor (generadores de vapor), partes</t>
  </si>
  <si>
    <t>Calderas para calefacción central, partes</t>
  </si>
  <si>
    <t>Aparatos auxiliares para las calderas de las partidas 84.02 u 84.03</t>
  </si>
  <si>
    <t>Condensadores para máquinas de vapor</t>
  </si>
  <si>
    <t>Aparatos auxiliares para las calderas de las partidas 84.02 u 84.03…, partes</t>
  </si>
  <si>
    <t>Generadores de gas pobre (gas de aire) o de gas de agua, incluso con sus depuradores; generadores de acetileno y generadores similares de gases, por v</t>
  </si>
  <si>
    <t>Generadores de gas pobre (gas de aire) o de gas de agua, incluso con…, partes</t>
  </si>
  <si>
    <t>Turbinas para la propulsión de barcos</t>
  </si>
  <si>
    <t>Turbinas de vapor, de potencia superior a 40 MW</t>
  </si>
  <si>
    <t>Turbinas de vapor, de potencia inferior o igual a 40 MW</t>
  </si>
  <si>
    <t>Turbinas de vapor, partes</t>
  </si>
  <si>
    <t>Motores para la propulsión de barcos, del tipo fueraborda</t>
  </si>
  <si>
    <t>Motores para la propulsión de barcos (los demás)</t>
  </si>
  <si>
    <t>Motores de émbolo (pistón) alternativo de los tipos utilizados para…, de cilindrada inferior o igual a 50 cm3</t>
  </si>
  <si>
    <t>Motores de émbolo (pistón) alternativo de los tipos utilizados para…, de cilindrada superior a 50 cm3 pero inferior o igual a 250 cm3</t>
  </si>
  <si>
    <t>Motores de émbolo (pistón) alternativo de los tipos utilizados para…, de cilindrada superior a 250 cm3 pero inferior o igual a 1.000 cm3</t>
  </si>
  <si>
    <t>Motores de émbolo (pistón) alternativo de los tipos utilizados para…, de cilindrada superior a 1.000 cm3</t>
  </si>
  <si>
    <t>Motores de émbolo (pistón) alternativo y motores rotativos, de… (los demás, motores)</t>
  </si>
  <si>
    <t>Motores de los tipos utilizados para la propulsión de vehículos del…, de cilindrada inferior o igual a 4000 cm3</t>
  </si>
  <si>
    <t>Motores de los tipos utilizados para la propulsión de vehículos del… (los demás)</t>
  </si>
  <si>
    <t>Motores de émbolo (pistón) de encendido por compresión (motores…, de potencia inferior o igual a 130 kW (174 HP)</t>
  </si>
  <si>
    <t>Motores de émbolo (pistón) de encendido por compresión (motores…, de potencia superior a 130 kW (174 HP)</t>
  </si>
  <si>
    <t>Bloques y culatas</t>
  </si>
  <si>
    <t>Camisas de cilindros</t>
  </si>
  <si>
    <t>Identificables como destinadas, exclusiva o principalmente, a los…, bielas</t>
  </si>
  <si>
    <t>Embolos (pistones)</t>
  </si>
  <si>
    <t>Segmentos (anillos)</t>
  </si>
  <si>
    <t>Carburadores y sus partes</t>
  </si>
  <si>
    <t>Identificables como destinadas, exclusiva o principalmente, a los…, válvulas</t>
  </si>
  <si>
    <t>Identificables como destinadas, exclusiva o principalmente, a los…, cárteres</t>
  </si>
  <si>
    <t>Equipo para la conversión del sistema de alimentación de combustible para vehículos automóviles a uso dual (gas/gasolina)</t>
  </si>
  <si>
    <t>Identificables como destinadas, exclusiva o principalmente, a los… (los demás)</t>
  </si>
  <si>
    <t>Partes identificables como destinadas, exclusiva o principalmente, a…, bielas</t>
  </si>
  <si>
    <t>Partes identificables como destinadas, exclusiva o principalmente, a…, válvulas</t>
  </si>
  <si>
    <t>Partes identificables como destinadas, exclusiva o principalmente, a…, cárteres</t>
  </si>
  <si>
    <t>Guías de válvulas</t>
  </si>
  <si>
    <t>Pasadores de piston</t>
  </si>
  <si>
    <t>Equipo para la conversión del sistema de alimentación de combustible para vehículos automóviles a uso dual (diésel/gas o semi-diésel/gas)</t>
  </si>
  <si>
    <t>Partes identificables como destinadas, exclusiva o principalmente, a… (los demás)</t>
  </si>
  <si>
    <t>Turbinas y ruedas hidráulicas, de potencia inferior o igual a 1.000 kW</t>
  </si>
  <si>
    <t>Turbinas y ruedas hidráulicas, de potencia superior a 1.000 kW pero inferior o igual a 10.000 kW</t>
  </si>
  <si>
    <t>Turbinas y ruedas hidráulicas, de potencia superior a 10.000 kW</t>
  </si>
  <si>
    <t>Turbinas hidráulicas, ruedas hidráulicas y sus reguladores, partes, incluidos los reguladores</t>
  </si>
  <si>
    <t>Turborreactores, de empuje inferior o igual a 25 kN</t>
  </si>
  <si>
    <t>Turborreactores, de empuje superior a 25 kN</t>
  </si>
  <si>
    <t>Turbopropulsores, de potencia inferior o igual a 1.100 kW</t>
  </si>
  <si>
    <t>Turbopropulsores, de potencia superior a 1.100 kW</t>
  </si>
  <si>
    <t>Turborreactores, turbopropulsores y demás turbinas de gas, de potencia inferior o igual a 5.000 kW</t>
  </si>
  <si>
    <t>Turborreactores, turbopropulsores y demás turbinas de gas, de potencia superior a 5.000 kW</t>
  </si>
  <si>
    <t>Turborreactores, turbopropulsores y demás turbinas de…, partes, de turborreactores o de turbopropulsores</t>
  </si>
  <si>
    <t>Turborreactores, turbopropulsores y demás turbinas de…, partes (los demás)</t>
  </si>
  <si>
    <t>Propulsores a reacción, excepto los turborreactores</t>
  </si>
  <si>
    <t>Motores hidráulicos, con movimiento rectilíneo (cilindros)</t>
  </si>
  <si>
    <t>Motores neumáticos, con movimiento rectilíneo (cilindros)</t>
  </si>
  <si>
    <t>Motores de viento o eólicos</t>
  </si>
  <si>
    <t>Reactores nucleares, calderas, máquinas, aparatos y artefactos… (los demás)</t>
  </si>
  <si>
    <t>Bombas para distribución de carburantes o lubricantes, de los tipos utilizados en gasolineras, estaciones de servicio o garajes</t>
  </si>
  <si>
    <t>Bombas equipadas o diseñadas para equiparlas con dispositivo medidor (los demás)</t>
  </si>
  <si>
    <t>Bombas manuales, excepto las de las subpartidas 8413.11 u 8413.19</t>
  </si>
  <si>
    <t>Bombas de carburante, aceite o refrigerante, para motores de…, para motores de aviación</t>
  </si>
  <si>
    <t>Bombas de carburante, aceite o refrigerante, para motores de… (los demás, de inyección)</t>
  </si>
  <si>
    <t>Bombas de carburante, aceite o refrigerante, para motores de…, de carburante</t>
  </si>
  <si>
    <t>Bombas de carburante, aceite o refrigerante, para motores de…, de aceite</t>
  </si>
  <si>
    <t>Bombas de carburante, aceite o refrigerante, para motores de… (los demás)</t>
  </si>
  <si>
    <t>Bombas para hormigón</t>
  </si>
  <si>
    <t>Bombas de doble tornillo helicoidal, de flujo axial</t>
  </si>
  <si>
    <t>Monocelulares (los demás)</t>
  </si>
  <si>
    <t>Multicelulares, con diámetro de salida inferior o igual a 300 mm</t>
  </si>
  <si>
    <t>Multicelulares (los demás)</t>
  </si>
  <si>
    <t>Bombas, de inyección</t>
  </si>
  <si>
    <t>Bombas (los demás)</t>
  </si>
  <si>
    <t>Elevadores de líquidos</t>
  </si>
  <si>
    <t>Bombas para líquidos, incluso con dispositivo medidor…, partes, de bombas, para distribución o venta de carburante</t>
  </si>
  <si>
    <t>Bombas para líquidos, incluso con dispositivo medidor…, partes, de bombas, de motores de aviación</t>
  </si>
  <si>
    <t>Bombas para líquidos, incluso con dispositivo medidor…, partes, de bombas, para carburante, aceite o refrigerante de los demás motores</t>
  </si>
  <si>
    <t>Bombas para líquidos, incluso con dispositivo medidor…, partes, de bombas (los demás)</t>
  </si>
  <si>
    <t>Bombas para líquidos, incluso con dispositivo medidor…, partes, de elevadores de líquidos</t>
  </si>
  <si>
    <t>Compresores de los tipos utilizados en los equipos frigoríficos, para vehículos destinados al transporte de mercancías</t>
  </si>
  <si>
    <t>Herméticos o semiherméticos, de potencia inferior o igual a 0,37 kW (1/2 HP)</t>
  </si>
  <si>
    <t>Herméticos o semiherméticos, de potencia superior a 0,37 kW (1/2 HP)</t>
  </si>
  <si>
    <t>Compresores de los tipos utilizados en los equipos frigoríficos (los demás)</t>
  </si>
  <si>
    <t>Compresores de aire montados en chasis remolcable con ruedas, de potencia inferior a 30 kW (40 HP)</t>
  </si>
  <si>
    <t>Compresores de aire montados en chasis remolcable con ruedas (los demás)</t>
  </si>
  <si>
    <t>Ventiladores de mesa, suelo, pared, cielo raso, techo o ventana, con motor eléctrico incorporado de potencia inferior o igual a 125 W</t>
  </si>
  <si>
    <t>8414700010</t>
  </si>
  <si>
    <t>Recintos de seguridad biológica herméticos a gases, con campana aspirante en la que el mayor lado horizontal sea inferior o igual a 120 cm</t>
  </si>
  <si>
    <t>8414700090</t>
  </si>
  <si>
    <t>Recintos de seguridad biológica herméticos a gases (los demás)</t>
  </si>
  <si>
    <t>Compresores para vehículos automóviles</t>
  </si>
  <si>
    <t>Máquinas y aparatos para acondicionamiento de aire que…, de los tipos diseñados para ser montados sobre una ventana, pared…, con equipo de enfriamient</t>
  </si>
  <si>
    <t>Máquinas y aparatos para acondicionamiento de aire que comprendan un…, de los tipos utilizados en vehículos automóviles para sus ocupantes</t>
  </si>
  <si>
    <t>Máquinas y aparatos para acondicionamiento de aire que…, con equipo de enfriamiento y válvula de inversión del ciclo térmico…, con equipo de enfriamie</t>
  </si>
  <si>
    <t>Máquinas y aparatos para acondicionamiento de aire que…, con equipo de enfriamiento y válvula de inversión del ciclo térmico… (los demás)</t>
  </si>
  <si>
    <t>Máquinas y aparatos para acondicionamiento de aire que comprendan un…, inferior o igual a 30.000 BTU/hora</t>
  </si>
  <si>
    <t>Máquinas y aparatos para acondicionamiento de aire que comprendan un…, superior a 30.000 BTU/hora pero inferior o igual a 240.000 BTU/hora</t>
  </si>
  <si>
    <t>Máquinas y aparatos para acondicionamiento de aire que comprendan un…, superior a 240.000 BTU/hora</t>
  </si>
  <si>
    <t>Máquinas y aparatos para acondicionamiento de aire que…, sin equipo de enfriamiento, inferior o igual a 30.000 BTU/hora</t>
  </si>
  <si>
    <t>Máquinas y aparatos para acondicionamiento de aire que…, sin equipo de enfriamiento (los demás)</t>
  </si>
  <si>
    <t>Quemadores de combustibles líquidos</t>
  </si>
  <si>
    <t>Quemadores de combustibles sólidos pulverizados</t>
  </si>
  <si>
    <t>Quemadores de gases</t>
  </si>
  <si>
    <t>Quemadores mixtos</t>
  </si>
  <si>
    <t>Alimentadores mecánicos de hogares, parrillas mecánicas, descargadores mecánicos de cenizas y demás dispositivos mecánicos auxiliares empleados en hog</t>
  </si>
  <si>
    <t>Quemadores para la alimentación de hogares, de combustibles líquidos…, partes</t>
  </si>
  <si>
    <t>Hornos para tostación, fusión u otros tratamientos térmicos de los minerales metalíferos (incluidas las piritas) o de los metales</t>
  </si>
  <si>
    <t>Hornos de túnel</t>
  </si>
  <si>
    <t>Hornos de panadería, pastelería o galletería (los demás)</t>
  </si>
  <si>
    <t>Hornos para productos cerámicos</t>
  </si>
  <si>
    <t>Hornos de laboratorio</t>
  </si>
  <si>
    <t>Hornos industriales o de laboratorio, incluidos los incineradores… (los demás)</t>
  </si>
  <si>
    <t>Hornos industriales o de laboratorio, incluidos los incineradores…, partes</t>
  </si>
  <si>
    <t>Combinaciones de refrigerador y congelador con puertas o cajones…, de capacidad inferior a 184 l</t>
  </si>
  <si>
    <t>Combinaciones de refrigerador y congelador con puertas o cajones…, de capacidad superior o igual a 184 l pero inferior a 269 l</t>
  </si>
  <si>
    <t>Combinaciones de refrigerador y congelador con puertas o cajones…, de capacidad superior o igual a 269 l pero inferior a 382 l</t>
  </si>
  <si>
    <t>Combinaciones de refrigerador y congelador con puertas o cajones… (los demás)</t>
  </si>
  <si>
    <t>Refrigeradores domésticos, de compresión, de capacidad inferior a 184 l</t>
  </si>
  <si>
    <t>Refrigeradores domésticos, de compresión, de capacidad superior o igual a 184 l pero inferior a 269 l</t>
  </si>
  <si>
    <t>Refrigeradores domésticos, de compresión, de capacidad superior o igual a 269 l pero inferior a 382 l</t>
  </si>
  <si>
    <t>Refrigeradores domésticos, de compresión (los demás)</t>
  </si>
  <si>
    <t>Refrigeradores domésticos, de absorción, eléctricos</t>
  </si>
  <si>
    <t>Refrigeradores domésticos (los demás)</t>
  </si>
  <si>
    <t>Congeladores horizontales del tipo arcón (cofre), de capacidad inferior o igual a 800 l</t>
  </si>
  <si>
    <t>Congeladores verticales del tipo armario, de capacidad inferior o igual a 900 l</t>
  </si>
  <si>
    <t>Refrigeradores, congeladores y demás material, máquinas y aparatos… (los demás, muebles (armarios, arcones (cofres), vitrinas, mostradores y similares</t>
  </si>
  <si>
    <t>Bombas de calor, excepto las máquinas y aparatos para acondicionamiento de aire de la partida 84.15</t>
  </si>
  <si>
    <t>Grupos frigoríficos, de compresión</t>
  </si>
  <si>
    <t>Grupos frigoríficos, de absorción</t>
  </si>
  <si>
    <t>Refrigeradores, congeladores y demás material, máquinas y aparatos…, para la fabricación de hielo</t>
  </si>
  <si>
    <t>Fuentes de agua</t>
  </si>
  <si>
    <t>Cámaras o túneles desarmables o de paneles, con equipo para la producción de frío</t>
  </si>
  <si>
    <t>Unidades de refrigeración para vehículos de transporte de mercancías</t>
  </si>
  <si>
    <t>Refrigeradores, congeladores y demás material, máquinas y aparatos… (los demás)</t>
  </si>
  <si>
    <t>Muebles diseñados para incorporarles un equipo para producción de frío</t>
  </si>
  <si>
    <t>Unidades de condensación</t>
  </si>
  <si>
    <t>Refrigeradores, congeladores y demás material…, partes, partes de muebles de la subpartida nacional 8418.91.00.00</t>
  </si>
  <si>
    <t>Refrigeradores, congeladores y demás material…, partes (los demás)</t>
  </si>
  <si>
    <t>Calentadores de agua de calentamiento instantáneo o de acumulación, de calentamiento instantáneo, de gas</t>
  </si>
  <si>
    <t>Calentadores de agua de calentamiento instantáneo o de acumulación, con capacidad inferior o igual a 120 l</t>
  </si>
  <si>
    <t>Calentadores de agua de calentamiento instantáneo o de acumulación (los demás)</t>
  </si>
  <si>
    <t>Esterilizadores médicos, quirúrgicos o de laboratorio</t>
  </si>
  <si>
    <t>Para productos agrícolas</t>
  </si>
  <si>
    <t>Para madera, pasta para papel, papel o cartón</t>
  </si>
  <si>
    <t>8419330000</t>
  </si>
  <si>
    <t>Aparatos de liofilización, de criodesecación y secadores de pulverización</t>
  </si>
  <si>
    <t>8419340000</t>
  </si>
  <si>
    <t>Secadores (los demás, para productos agrícolas)</t>
  </si>
  <si>
    <t>8419350000</t>
  </si>
  <si>
    <t>Secadores (los demás, para madera, pasta para papel, papel o cartón)</t>
  </si>
  <si>
    <t>Por liofilización o criodesecación</t>
  </si>
  <si>
    <t>Por pulverización</t>
  </si>
  <si>
    <t>8419393000</t>
  </si>
  <si>
    <t>Secadores, para minerales</t>
  </si>
  <si>
    <t>Para minerales</t>
  </si>
  <si>
    <t>Aparatos, dispositivos o equipos de laboratorio, aunque se calienten e (los demás)</t>
  </si>
  <si>
    <t>Aparatos de destilación o rectificación</t>
  </si>
  <si>
    <t>Intercambiadores de calor, pasteurizadores</t>
  </si>
  <si>
    <t>Intercambiadores de calor (los demás)</t>
  </si>
  <si>
    <t>Aparatos y dispositivos para licuefacción de aire u otros gases</t>
  </si>
  <si>
    <t>Aparatos, dispositivos o equipos de laboratorio, aunque se calienten…, de evaporación</t>
  </si>
  <si>
    <t>Aparatos, dispositivos o equipos de laboratorio, aunque se calienten…, de torrefacción</t>
  </si>
  <si>
    <t>Aparatos, dispositivos o equipos de laboratorio, aunque se calienten…, de esterilización</t>
  </si>
  <si>
    <t>Aparatos, dispositivos o equipos de laboratorio, aunque se calienten… (los demás)</t>
  </si>
  <si>
    <t>Aparatos, dispositivos o equipos de laboratorio…, partes, de calentadores de agua</t>
  </si>
  <si>
    <t>Calandrias y laminadores, para las industrias panadera, pastelera y galletera</t>
  </si>
  <si>
    <t>Calandrias y laminadores (los demás)</t>
  </si>
  <si>
    <t>Calandrias y laminadores, partes, cilindros</t>
  </si>
  <si>
    <t>Calandrias y laminadores, partes (los demás)</t>
  </si>
  <si>
    <t>Desnatadoras (descremadoras)</t>
  </si>
  <si>
    <t>Secadoras de ropa</t>
  </si>
  <si>
    <t>Centrifugadoras, incluidas las secadoras centrífugas, de laboratorio</t>
  </si>
  <si>
    <t>Centrifugadoras, incluidas las secadoras centrífugas, para la industria de producción de azúcar</t>
  </si>
  <si>
    <t>Centrifugadoras, incluidas las secadoras centrífugas, para la industria de papel y celulosa</t>
  </si>
  <si>
    <t>Aparatos para filtrar o depurar líquidos, para filtrar o depurar agua, domésticos</t>
  </si>
  <si>
    <t>Aparatos para filtrar o depurar líquidos, para filtrar o depurar las demás bebidas</t>
  </si>
  <si>
    <t>Filtros prensa</t>
  </si>
  <si>
    <t>Filtros magnéticos y electromagnéticos</t>
  </si>
  <si>
    <t>Filtros concebidos exclusiva o principalmente para equipar aparatos médicos de la partida 90.18</t>
  </si>
  <si>
    <t>Filtros tubulares de rejilla para pozos de extracción</t>
  </si>
  <si>
    <t>Filtros de entrada de aire para motores de encendido por chispa o compresión</t>
  </si>
  <si>
    <t>8421320000</t>
  </si>
  <si>
    <t>Convertidores catalíticos y filtros de partículas, incluso combinados, para purificar o filtrar gases de escape de motores de encendido por chispa o c</t>
  </si>
  <si>
    <t>Depuradores llamados ciclones</t>
  </si>
  <si>
    <t>Filtros electrostáticos de aire u otros gases</t>
  </si>
  <si>
    <t>Elementos filtrantes, del tipo de los utilizados en filtros para motores</t>
  </si>
  <si>
    <t>Máquinas para lavar vajilla, de tipo domestico</t>
  </si>
  <si>
    <t>Máquinas para lavar vajilla (los demás)</t>
  </si>
  <si>
    <t>Máquinas y aparatos para limpiar o secar botellas o demás recipientes</t>
  </si>
  <si>
    <t>Máquinas de llenado vertical con rendimiento inferior o igual a 40 unidades por minuto</t>
  </si>
  <si>
    <t>Máquinas y aparatos para llenar, cerrar, tapar, taponar o etiquetar… (los demás)</t>
  </si>
  <si>
    <t>Máquinas para envolver mercancías previamente acondicionadas en sus envases</t>
  </si>
  <si>
    <t>Máquinas para empaquetar al vacío</t>
  </si>
  <si>
    <t>Máquinas para empaquetar cigarillos</t>
  </si>
  <si>
    <t>Máquinas para lavar vajilla, partes</t>
  </si>
  <si>
    <t>Básculas y balanzas para pesada continua sobre transportador</t>
  </si>
  <si>
    <t>Dosificadoras de cemento, asfalto o materias similares</t>
  </si>
  <si>
    <t>Básculas y balanzas para pesada constante, incluidas las de descargar… (los demás)</t>
  </si>
  <si>
    <t>Aparatos e instrumentos de pesar, incluidas las…, con capacidad inferior o igual a 30 kg, de funciones múltiples o usos especiales</t>
  </si>
  <si>
    <t>Aparatos e instrumentos de pesar, incluidas las…, con capacidad inferior o igual a 30 kg (los demás)</t>
  </si>
  <si>
    <t>Aparatos e instrumentos de pesar, incluidas las…, con capacidad superior a 30 kg pero inferior o igual a 5.000 kg, de pesar vehículos</t>
  </si>
  <si>
    <t>Aparatos e instrumentos de pesar, incluidas las…, con capacidad superior a 30 kg pero inferior o igual a 5.000 kg, de funciones múltiples o usos espec</t>
  </si>
  <si>
    <t>Aparatos e instrumentos de pesar, incluidas las…, con capacidad superior a 30 kg pero inferior o igual a 5.000 kg (los demás)</t>
  </si>
  <si>
    <t>Aparatos e instrumentos de pesar, incluidas las básculas y balanzas…, de pesar vehículos</t>
  </si>
  <si>
    <t>Aparatos e instrumentos de pesar, incluidas las básculas y balanzas…, de funciones múltiples o usos especiales</t>
  </si>
  <si>
    <t>Pesas para toda clase de básculas o balanzas; partes de aparatos o instrumentos de pesar</t>
  </si>
  <si>
    <t>Extintores, incluso cargados</t>
  </si>
  <si>
    <t>Pulverizadores portátiles</t>
  </si>
  <si>
    <t>Aparatos portátiles de peso inferior a 20 kg</t>
  </si>
  <si>
    <t>Por goteo o aspersión</t>
  </si>
  <si>
    <t>Sistemas de riego (los demás)</t>
  </si>
  <si>
    <t>8424823000</t>
  </si>
  <si>
    <t>Aparatos portátiles</t>
  </si>
  <si>
    <t>Aparatos mecánicos (incluso manuales) para proyectar…, para agricultura u horticultura (los demás)</t>
  </si>
  <si>
    <t>Aparatos mecánicos (incluso manuales) para proyectar, dispersar o… (los demás)</t>
  </si>
  <si>
    <t>Aspersores y goteros, para sistemas de riego</t>
  </si>
  <si>
    <t>Polipastos, con motor eléctrico</t>
  </si>
  <si>
    <t>Polipastos (los demás)</t>
  </si>
  <si>
    <t>Tornos; cabrestantes, con motor eléctrico (los demás)</t>
  </si>
  <si>
    <t>Elevadores fijos para vehículos automóviles, de los tipos utilizados en talleres</t>
  </si>
  <si>
    <t>Portátiles para vehículos automóviles</t>
  </si>
  <si>
    <t>Gatos (los demás)</t>
  </si>
  <si>
    <t>Puentes (incluidas las vigas) rodantes, sobre soporte fijo</t>
  </si>
  <si>
    <t>Pórticos móviles sobre neumáticos</t>
  </si>
  <si>
    <t>Carretillas puente</t>
  </si>
  <si>
    <t>Puentes (incluidas las vigas) rodantes, pórticos, puentes grúa y… (los demás)</t>
  </si>
  <si>
    <t>Grúas de torre</t>
  </si>
  <si>
    <t>Grúas de pórtico</t>
  </si>
  <si>
    <t>Carretillas grúa</t>
  </si>
  <si>
    <t>Sobre neumáticos (los demás)</t>
  </si>
  <si>
    <t>Grúas y aparatos de elevación sobre cable aéreo (los demás)</t>
  </si>
  <si>
    <t>Diseñados para montarlos sobre vehículos de carretera</t>
  </si>
  <si>
    <t>Grúas de tijera («derricks»)</t>
  </si>
  <si>
    <t>Carretillas autopropulsadas con motor eléctrico</t>
  </si>
  <si>
    <t>Carretillas apiladoras (los demás, carretillas)</t>
  </si>
  <si>
    <t>Ascensores sin cabina ni contrapeso</t>
  </si>
  <si>
    <t>Ascensores y montacargas (los demás)</t>
  </si>
  <si>
    <t>Aparatos elevadores o transportadores, neumáticos</t>
  </si>
  <si>
    <t>Especialmente diseñados para el interior de minas u otros trabajos subterráneos</t>
  </si>
  <si>
    <t>Reactores nucleares, calderas, máquinas, aparatos y artefactos… (los demás, de cangilones)</t>
  </si>
  <si>
    <t>Reactores nucleares, calderas, máquinas, aparatos y artefactos… (los demás, de banda o correa)</t>
  </si>
  <si>
    <t>Escaleras mecánicas y pasillos móviles</t>
  </si>
  <si>
    <t>Teleféricos (incluidos las telesillas y los telesquís); mecanismos de tracción para funiculares</t>
  </si>
  <si>
    <t>8428700000</t>
  </si>
  <si>
    <t>Robots industriales</t>
  </si>
  <si>
    <t>Empujadores de vagonetas de minas, carros transbordadores, basculadores y volteadores, de vagones, de vagonetas, etc. e instalaciones similares para l</t>
  </si>
  <si>
    <t>Topadoras frontales (buldóceres) y topadoras angulares («angledozers»), de orugas</t>
  </si>
  <si>
    <t>Topadoras frontales (buldóceres) y topadoras angulares («angledozers») (los demás)</t>
  </si>
  <si>
    <t>Niveladoras</t>
  </si>
  <si>
    <t>Traíllas («scrapers»)</t>
  </si>
  <si>
    <t>Máquinas cuya superestructura pueda girar 360°</t>
  </si>
  <si>
    <t>Martinetes y máquinas para arrancar pilotes, estacas o similares</t>
  </si>
  <si>
    <t>Quitanieves</t>
  </si>
  <si>
    <t>Cortadoras y arrancadoras, de carbón o rocas, y máquinas para hacer…, autopropulsadas</t>
  </si>
  <si>
    <t>Cortadoras y arrancadoras, de carbón o rocas, y máquinas para hacer… (los demás)</t>
  </si>
  <si>
    <t>Reactores nucleares, calderas, máquinas, aparatos y artefactos…, autopropulsadas</t>
  </si>
  <si>
    <t>Reactores nucleares, calderas, máquinas, aparatos y artefactos… (los demás, máquinas y aparatos, autopropulsados)</t>
  </si>
  <si>
    <t>Rodillos apisonadores</t>
  </si>
  <si>
    <t>Máquinas y aparatos para compactar o apisonar (aplanar) (los demás)</t>
  </si>
  <si>
    <t>Partes identificables como destinadas, exclusiva o…, de máquinas o aparatos de la partida 84.25, de polipastos, tornos y cabrestantes</t>
  </si>
  <si>
    <t>Partes identificables como destinadas, exclusiva o…, de máquinas o aparatos de la partida 84.25 (los demás)</t>
  </si>
  <si>
    <t>Partes identificables como destinadas, exclusiva o principalmente, a…, de máquinas o aparatos de la partida 84.27</t>
  </si>
  <si>
    <t>Partes identificables como destinadas, exclusiva o…, de máquinas o aparatos de la partida 84.28, de ascensores, montacargas o escaleras mecánicas</t>
  </si>
  <si>
    <t>Partes identificables como destinadas, exclusiva o…, de máquinas o aparatos de la partida 84.28 (los demás)</t>
  </si>
  <si>
    <t>Cangilones, cucharas, cucharas de almeja, palas y garras o pinzas</t>
  </si>
  <si>
    <t>Hojas de topadoras frontales (buldóceres) o de topadoras angulares («angledozers»)</t>
  </si>
  <si>
    <t>Partes identificables como destinadas, exclusiva o…, de máquinas o aparatos de las partidas 84.26, 84.29 u…, de máquinas de sondeo o perforación de la</t>
  </si>
  <si>
    <t>Arados</t>
  </si>
  <si>
    <t>Gradas (rastras) de discos</t>
  </si>
  <si>
    <t>Máquinas, aparatos y artefactos agrícolas, hortícolas o silvícolas, pa (los demás)</t>
  </si>
  <si>
    <t>Cultivadores, azadas rotativas (rotocultores), escardadoras y binadoras</t>
  </si>
  <si>
    <t>8432291000</t>
  </si>
  <si>
    <t>Gradas (rastras), escarificadores, cultivadores, extirpadores, azadas… (los demás, gradas (rastras), escarificadores y extirpadores)</t>
  </si>
  <si>
    <t>8432292000</t>
  </si>
  <si>
    <t>Cultivadores, azadas rotativas (rotocultores), escardadores y binadoras</t>
  </si>
  <si>
    <t>Sembradoras, plantadoras y trasplantadoras, para siembra directa</t>
  </si>
  <si>
    <t>Sembradoras, plantadoras y trasplantadoras (los demás)</t>
  </si>
  <si>
    <t>Esparcidores de estiércol</t>
  </si>
  <si>
    <t>Distribuidores de abonos</t>
  </si>
  <si>
    <t>Máquinas, aparatos y artefactos agrícolas, hortícolas o silvícolas… (los demás, máquinas, aparatos y artefactos)</t>
  </si>
  <si>
    <t>Rejas y discos</t>
  </si>
  <si>
    <t>Máquinas, aparatos y artefactos agrícolas, hortícolas…, partes (los demás)</t>
  </si>
  <si>
    <t>Cortadoras de césped, con motor, en las que el dispositivo de corte gire en un plano…, autopropulsadas</t>
  </si>
  <si>
    <t>Cortadoras de césped, con motor, en las que el dispositivo de corte gire en un plano… (los demás)</t>
  </si>
  <si>
    <t>Cortadoras de césped, autopropulsadas</t>
  </si>
  <si>
    <t>Cortadoras de césped (los demás)</t>
  </si>
  <si>
    <t>Guadañadoras, incluidas las barras de corte para montar sobre un tractor</t>
  </si>
  <si>
    <t>Máquinas, aparatos y artefactos de cosechar o trillar, incluidas las… (los demás, máquinas y aparatos de henificar)</t>
  </si>
  <si>
    <t>Prensas para paja o forraje, incluidas las prensas recogedoras</t>
  </si>
  <si>
    <t>Máquinas, aparatos y artefactos de cosechar o trillar, incluidas las…, cosechadoras-trilladoras</t>
  </si>
  <si>
    <t>Máquinas, aparatos y artefactos de cosechar o trillar, incluidas las… (los demás, máquinas y aparatos de trillar)</t>
  </si>
  <si>
    <t>Máquinas de cosechar raíces o tubérculos</t>
  </si>
  <si>
    <t>Máquinas, aparatos y artefactos de cosechar o trillar, incluidas las…, de cosechar</t>
  </si>
  <si>
    <t>Desgranadoras de maíz</t>
  </si>
  <si>
    <t>Máquinas, aparatos y artefactos de cosechar o trillar, incluidas las… (los demás)</t>
  </si>
  <si>
    <t>Máquinas para limpieza o clasificación de huevos, frutos o demás…, de huevos</t>
  </si>
  <si>
    <t>Máquinas para limpieza o clasificación de huevos, frutos o demás… (los demás)</t>
  </si>
  <si>
    <t>Máquinas, aparatos y artefactos de cosechar o trillar…, partes, de cortadoras de césped</t>
  </si>
  <si>
    <t>Máquinas, aparatos y artefactos de cosechar o trillar…, partes (los demás)</t>
  </si>
  <si>
    <t>Máquinas de ordeñar</t>
  </si>
  <si>
    <t>Máquinas y aparatos para la industria lechera</t>
  </si>
  <si>
    <t>Máquinas de ordeñar y máquinas y aparatos para la…, partes, de ordeñadoras</t>
  </si>
  <si>
    <t>Máquinas de ordeñar y máquinas y aparatos para la…, partes (los demás)</t>
  </si>
  <si>
    <t>Máquinas y aparatos</t>
  </si>
  <si>
    <t>Prensas, estrujadoras y máquinas y aparatos análogos para la…, partes</t>
  </si>
  <si>
    <t>Máquinas y aparatos para preparar alimentos o piensos para animales</t>
  </si>
  <si>
    <t>Incubadoras y criadoras</t>
  </si>
  <si>
    <t>Comederos y bebederos automáticos</t>
  </si>
  <si>
    <t>Batería automática de puesta y recolección de huevos</t>
  </si>
  <si>
    <t>Máquinas y aparatos para la avicultura, incluidas las incubadoras y… (los demás)</t>
  </si>
  <si>
    <t>Trituradoras y mezcladoras de abonos</t>
  </si>
  <si>
    <t>Reactores nucleares, calderas, máquinas, aparatos y…, partes, de máquinas o aparatos para la avicultura</t>
  </si>
  <si>
    <t>Reactores nucleares, calderas, máquinas, aparatos y…, partes (los demás)</t>
  </si>
  <si>
    <t>Por color</t>
  </si>
  <si>
    <t>Clasificadoras de café (los demás)</t>
  </si>
  <si>
    <t>Máquinas para limpieza, clasificación o cribado de semillas, granos u… (los demás)</t>
  </si>
  <si>
    <t>Máquinas para limpieza, clasificación o cribado de…, para molienda, de cereales</t>
  </si>
  <si>
    <t>Máquinas para limpieza, clasificación o cribado de…, para molienda (los demás)</t>
  </si>
  <si>
    <t>Máquinas para limpieza, clasificación o cribado de semillas, granos u…, para tratamiento de arroz, incluso el pulido</t>
  </si>
  <si>
    <t>Para la clasificación y separación de las harinas y demás productos de la molienda</t>
  </si>
  <si>
    <t>Máquinas para limpieza, clasificación o cribado de semillas, granos u…, para pulir granos</t>
  </si>
  <si>
    <t>Máquinas para limpieza, clasificación o cribado de semillas, granos u…, partes</t>
  </si>
  <si>
    <t>Máquinas y aparatos para panadería, pastelería, galletería o la…, para panadería, pastelería o galletería</t>
  </si>
  <si>
    <t>Máquinas y aparatos para panadería, pastelería, galletería o la…, para la fabricación de pastas alimenticias</t>
  </si>
  <si>
    <t>Máquinas y aparatos para confitería, elaboración de cacao o la…, para confitería</t>
  </si>
  <si>
    <t>Máquinas y aparatos para confitería, elaboración de cacao o la…, para la elaboración del cacao o fabricación de chocolate</t>
  </si>
  <si>
    <t>Máquinas y aparatos para la industria azucarera</t>
  </si>
  <si>
    <t>Máquinas y aparatos para la industria cervecera</t>
  </si>
  <si>
    <t>Máquinas y aparatos para la preparación de carne, para procesamiento automático de aves</t>
  </si>
  <si>
    <t>Máquinas y aparatos para la preparación de carne (los demás)</t>
  </si>
  <si>
    <t>Máquinas y aparatos para la preparación de frutos u hortalizas</t>
  </si>
  <si>
    <t>Máquinas y aparatos para la preparación de pescado o de crustáceos, moluscos y demás invertebrados acuáticos</t>
  </si>
  <si>
    <t>Máquinas y aparatos, no expresados ni comprendidos en otra parte de… (los demás)</t>
  </si>
  <si>
    <t>Máquinas y aparatos, no expresados ni comprendidos en otra parte de…, partes</t>
  </si>
  <si>
    <t>Máquinas y aparatos para la fabricación de pasta de materias fibrosas celulósicas</t>
  </si>
  <si>
    <t>Máquinas y aparatos para la fabricación de papel o cartón</t>
  </si>
  <si>
    <t>Máquinas y aparatos para el acabado de papel o cartón</t>
  </si>
  <si>
    <t>Máquinas y aparatos para la fabricación de pasta de…, partes, de máquinas o aparatos para la fabricación de pasta de materias fibrosas celulósicas</t>
  </si>
  <si>
    <t>Máquinas y aparatos para la fabricación de pasta de…, partes (los demás)</t>
  </si>
  <si>
    <t>Máquinas y aparatos para encuadernación, incluidas las máquinas para…, partes</t>
  </si>
  <si>
    <t>Cortadoras</t>
  </si>
  <si>
    <t>Máquinas para la fabricación de sacos (bolsas), bolsitas o sobres</t>
  </si>
  <si>
    <t>Máquinas para la fabricación de cajas, tubos, tambores o continentes similares, excepto por moldeado</t>
  </si>
  <si>
    <t>Máquinas para moldear artículos de pasta de papel, de papel o cartón</t>
  </si>
  <si>
    <t>Reactores nucleares, calderas, máquinas, aparatos y artefactos… (los demás, máquinas y aparatos)</t>
  </si>
  <si>
    <t>Reactores nucleares, calderas, máquinas, aparatos y artefactos…, partes</t>
  </si>
  <si>
    <t>Máquinas para componer por procedimiento fotográfico</t>
  </si>
  <si>
    <t>Máquinas, aparatos y material para componer caracteres por otros procedimientos, incluso con dispositivos para fundir</t>
  </si>
  <si>
    <t>Máquinas, aparatos y material (los demás)</t>
  </si>
  <si>
    <t>Máquinas, aparatos y material, partes de estas máquinas, aparatos o material</t>
  </si>
  <si>
    <t>Caracteres (tipos) de imprenta</t>
  </si>
  <si>
    <t>Clisés, planchas, cilindros y demás elementos impresores (los demás)</t>
  </si>
  <si>
    <t>Máquinas y aparatos para imprimir, offset, alimentados con bobinas</t>
  </si>
  <si>
    <t>Máquinas y aparatos de oficina para imprimir, offset, alimentados con hojas en las que un lado sea inferior o igual a 22 cm y el otro sea inferior o i</t>
  </si>
  <si>
    <t>Máquinas y aparatos para imprimir, tipográficos, alimentados con bobinas, excepto las máquinas y aparatos flexográficos</t>
  </si>
  <si>
    <t>Máquinas y aparatos para imprimir, tipográficos, distintos de los alimentados con bobinas, excepto las máquinas y aparatos flexográficos</t>
  </si>
  <si>
    <t>Máquinas y aparatos para imprimir, flexográficos</t>
  </si>
  <si>
    <t>Máquinas y aparatos para imprimir, heliográficos (huecograbado)</t>
  </si>
  <si>
    <t>Máquinas y aparatos para imprimir mediante planchas, cilindros y…, de estampar</t>
  </si>
  <si>
    <t>Impresoras, del tipo de las utilizadas para impresión sobre discos compactos</t>
  </si>
  <si>
    <t>Impresoras (los demás)</t>
  </si>
  <si>
    <t>Máquinas y aparatos para imprimir mediante planchas, cilindros y…, telefax</t>
  </si>
  <si>
    <t>Máquinas y aparatos para imprimir mediante planchas, cilindros y… (los demás)</t>
  </si>
  <si>
    <t>Máquinas para imprimir por chorro de tinta</t>
  </si>
  <si>
    <t>Máquinas y aparatos para imprimir mediante planchas…, partes y accesorios, partes y accesorios de máquinas y aparatos para imprimir por medio de planc</t>
  </si>
  <si>
    <t>Máquinas y aparatos para imprimir mediante planchas…, partes y accesorios (los demás)</t>
  </si>
  <si>
    <t>Máquinas para la preparación de materia textil, cardas</t>
  </si>
  <si>
    <t>Máquinas para la preparación de materia textil, peinadoras</t>
  </si>
  <si>
    <t>Máquinas para la preparación de materia textil, mecheras</t>
  </si>
  <si>
    <t>Desmotadoras de algodón</t>
  </si>
  <si>
    <t>Máquinas para la preparación de materia textil (los demás)</t>
  </si>
  <si>
    <t>Máquinas para hilar materia textil</t>
  </si>
  <si>
    <t>Máquinas para doblar o retorcer materia textil</t>
  </si>
  <si>
    <t>Máquinas para bobinar (incluidas las canilleras) o devanar materia textil</t>
  </si>
  <si>
    <t>Telares, para tejidos de anchura inferior o igual a 30 cm</t>
  </si>
  <si>
    <t>Telares, para tejidos de anchura superior a 30 cm, de lanzadera, de motor</t>
  </si>
  <si>
    <t>Telares, para tejidos de anchura superior a 30 cm, de lanzadera (los demás)</t>
  </si>
  <si>
    <t>Telares, para tejidos de anchura superior a 30 cm, sin lanzadera</t>
  </si>
  <si>
    <t>Maquinas circulares de tricotar, con cilindro de diámetro inferior o igual a 165 mm</t>
  </si>
  <si>
    <t>Maquinas circulares de tricotar, con cilindro de diámetro superior a 165 mm</t>
  </si>
  <si>
    <t>Máquinas rectilíneas de tricotar, de uso doméstico</t>
  </si>
  <si>
    <t>Máquinas rectilíneas de tricotar (los demás, máquinas rectilíneas de tricotar)</t>
  </si>
  <si>
    <t>Máquinas de coser por cadeneta</t>
  </si>
  <si>
    <t>Máquinas de tricotar, de coser por cadeneta, de entorchar, de… (los demás)</t>
  </si>
  <si>
    <t>Maquinitas para lizos y mecanismos Jacquard; reductoras, perforadoras y copiadoras de cartones; máquinas para unir cartones después de perforados</t>
  </si>
  <si>
    <t>Máquinas y aparatos auxiliares para las máquinas de las partidas… (los demás)</t>
  </si>
  <si>
    <t>Máquinas y aparatos auxiliares para las máquinas de las partidas…, partes y accesorios de las máquinas de la partida 84.44 o de sus máquinas o aparato</t>
  </si>
  <si>
    <t>Guarniciones de cardas</t>
  </si>
  <si>
    <t>Máquinas y aparatos auxiliares para las máquinas de…, partes y accesorios de las máquinas de la partida…, de máquinas para la preparación de materia t</t>
  </si>
  <si>
    <t>Husos y sus aletas, anillos y cursores</t>
  </si>
  <si>
    <t>Máquinas y aparatos auxiliares para las máquinas de…, partes y accesorios de las máquinas de la partida 84.45 o de sus… (los demás)</t>
  </si>
  <si>
    <t>Peines, lizos y cuadros de lizos</t>
  </si>
  <si>
    <t>Máquinas y aparatos auxiliares para las máquinas de…, partes y accesorios de telares o de sus máquinas o aparatos auxiliares (los demás)</t>
  </si>
  <si>
    <t>Platinas, agujas y demás artículos que participen en la formación de mallas</t>
  </si>
  <si>
    <t>Máquinas y aparatos auxiliares para las máquinas de…, partes y accesorios de máquinas o aparatos de la partida 84.47 o de… (los demás)</t>
  </si>
  <si>
    <t>Máquinas y aparatos; hormas de sombrerería</t>
  </si>
  <si>
    <t>Máquinas y aparatos auxiliares para las máquinas de las partidas…, partes</t>
  </si>
  <si>
    <t>Máquinas totalmente automáticas</t>
  </si>
  <si>
    <t>Máquinas de capacidad unitaria, expresada en peso de ropa seca… (los demás, máquinas, con secadora centrífuga incorporada)</t>
  </si>
  <si>
    <t>Máquinas de capacidad unitaria, expresada en peso de ropa seca… (los demás)</t>
  </si>
  <si>
    <t>Máquinas de capacidad unitaria, expresada en peso de ropa seca, superior a 10 kg</t>
  </si>
  <si>
    <t>Máquinas para lavar ropa, incluso con dispositivo de secado, partes</t>
  </si>
  <si>
    <t>Máquinas para limpieza en seco</t>
  </si>
  <si>
    <t>Máquinas para secar, de capacidad unitaria, expresada en peso de ropa seca, inferior o igual a 10 kg</t>
  </si>
  <si>
    <t>Máquinas para secar (los demás)</t>
  </si>
  <si>
    <t>Máquinas y prensas para planchar, incluidas las prensas para fijar</t>
  </si>
  <si>
    <t>Máquinas para lavar, blanquear o teñir, para lavar</t>
  </si>
  <si>
    <t>Máquinas para lavar, blanquear o teñir (los demás)</t>
  </si>
  <si>
    <t>Máquinas para enrollar, desenrollar, plegar, cortar o dentar telas</t>
  </si>
  <si>
    <t>Máquinas y aparatos (los demás, máquinas y aparatos)</t>
  </si>
  <si>
    <t>Máquinas y aparatos, partes</t>
  </si>
  <si>
    <t>Cabezas de máquinas</t>
  </si>
  <si>
    <t>Máquinas de coser domésticas, máquinas</t>
  </si>
  <si>
    <t>Unidades automáticas</t>
  </si>
  <si>
    <t>Máquinas de coser (los demás)</t>
  </si>
  <si>
    <t>Agujas para máquinas de coser</t>
  </si>
  <si>
    <t>Muebles, basamentos y tapas o cubiertas para máquinas de coser, y sus partes</t>
  </si>
  <si>
    <t>Muebles, basamentos y tapas o cubiertas para máquinas de coser, y sus… (los demás, partes para máquinas de coser)</t>
  </si>
  <si>
    <t>Máquinas y aparatos para la preparación, curtido o trabajo de cuero o piel</t>
  </si>
  <si>
    <t>Máquinas y aparatos para la fabricación o reparación de calzado</t>
  </si>
  <si>
    <t>Máquinas y aparatos para la preparación, curtido o trabajo de cuero o… (los demás, máquinas y aparatos)</t>
  </si>
  <si>
    <t>Máquinas y aparatos para la preparación, curtido o trabajo de cuero o…, partes</t>
  </si>
  <si>
    <t>Convertidores</t>
  </si>
  <si>
    <t>Lingoteras y cucharas de colada</t>
  </si>
  <si>
    <t>Máquinas de colar (moldear)</t>
  </si>
  <si>
    <t>Convertidores, cucharas de colada, lingoteras y máquinas de colar…, partes</t>
  </si>
  <si>
    <t>Laminadores de tubos</t>
  </si>
  <si>
    <t>Laminadores para metal y sus cilindros, para laminar en caliente o combinados para laminar en caliente y en frío</t>
  </si>
  <si>
    <t>Laminadores para metal y sus cilindros, para laminar en frío</t>
  </si>
  <si>
    <t>Cilindros de laminadores</t>
  </si>
  <si>
    <t>Laminadores para metal y sus cilindros (los demás, partes)</t>
  </si>
  <si>
    <t>Máquinas herramienta que trabajen por arranque de…, que operen mediante láser u otros haces de luz o de fotones, que operen mediante láser</t>
  </si>
  <si>
    <t>Máquinas herramienta que trabajen por arranque de…, que operen mediante láser u otros haces de luz o de fotones, que operen mediante otros haces de lu</t>
  </si>
  <si>
    <t>Máquinas herramienta que trabajen por arranque de cualquier materia…, que operen por ultrasonido</t>
  </si>
  <si>
    <t>Máquinas herramienta que trabajen por arranque de cualquier materia…, que operen por electroerosión</t>
  </si>
  <si>
    <t>Máquinas herramienta que trabajen por arranque de cualquier materia…, que operen mediante chorro de plasma</t>
  </si>
  <si>
    <t>Máquinas para cortar por chorro de agua</t>
  </si>
  <si>
    <t>Máquinas herramienta que trabajen por arranque de cualquier materia… (los demás)</t>
  </si>
  <si>
    <t>Centros de mecanizado</t>
  </si>
  <si>
    <t>Máquinas de puesto fijo</t>
  </si>
  <si>
    <t>Máquinas de puestos multiples</t>
  </si>
  <si>
    <t>Paralelos universales</t>
  </si>
  <si>
    <t>Tornos horizontales, de control numérico, de revólver</t>
  </si>
  <si>
    <t>Tornos horizontales, de control numérico (los demás)</t>
  </si>
  <si>
    <t>Tornos horizontales, de revólver</t>
  </si>
  <si>
    <t>Tornos horizontales (los demás, automáticos)</t>
  </si>
  <si>
    <t>Tornos horizontales (los demás)</t>
  </si>
  <si>
    <t>Tornos (incluidos los centros de torneado) que trabajen por arranque…, de control numérico</t>
  </si>
  <si>
    <t>Tornos (incluidos los centros de torneado) que trabajen por arranque… (los demás)</t>
  </si>
  <si>
    <t>Unidades de mecanizado de correderas, de taladrar</t>
  </si>
  <si>
    <t>Unidades de mecanizado de correderas, de escariar</t>
  </si>
  <si>
    <t>Unidades de mecanizado de correderas, de fresar</t>
  </si>
  <si>
    <t>Unidades de mecanizado de correderas, de roscar (incluso aterrajar)</t>
  </si>
  <si>
    <t>Máquinas herramienta (incluidas las unidades de mecanizado de…, de control numérico</t>
  </si>
  <si>
    <t>Máquinas herramienta (incluidas las unidades de mecanizado de… (los demás)</t>
  </si>
  <si>
    <t>Máquinas de fresar de consola, de control numérico</t>
  </si>
  <si>
    <t>Máquinas de fresar de consola (los demás)</t>
  </si>
  <si>
    <t>Máquinas herramienta (incluidas las unidades de mecanizado de… (los demás, máquinas de roscar (incluso aterrajar))</t>
  </si>
  <si>
    <t>Máquinas de rectificar superficies planas, de control numérico</t>
  </si>
  <si>
    <t>Máquinas de rectificar superficies planas (los demás)</t>
  </si>
  <si>
    <t>Máquinas de rectificar sin centro, de control numérico</t>
  </si>
  <si>
    <t>Máquinas herramienta de desbarbar, afilar, amolar, rectificar, lapear… (los demás, máquinas de rectificar superficies cilíndricas, de control numérico</t>
  </si>
  <si>
    <t>Máquinas herramienta de desbarbar, afilar, amolar, rectificar, lapear… (los demás, de control numérico)</t>
  </si>
  <si>
    <t>Máquinas de afilar, de control numérico</t>
  </si>
  <si>
    <t>Máquinas de afilar (los demás)</t>
  </si>
  <si>
    <t>Máquinas de lapear (bruñir)</t>
  </si>
  <si>
    <t>Máquinas de limar o mortajar</t>
  </si>
  <si>
    <t>Máquinas de brochar</t>
  </si>
  <si>
    <t>Máquinas de tallar o acabar engranajes</t>
  </si>
  <si>
    <t>Máquinas herramienta de cepillar, limar, mortajar, brochar, tallar o… (los demás)</t>
  </si>
  <si>
    <t>Martillos pilón y máquinas de martillar</t>
  </si>
  <si>
    <t>Máquinas herramienta (incluidas las prensas) de forjar o estampar, mar (los demás)</t>
  </si>
  <si>
    <t>8462110000</t>
  </si>
  <si>
    <t>Máquinas de forjar con matriz cerrada</t>
  </si>
  <si>
    <t>8462190000</t>
  </si>
  <si>
    <t>Máquinas (incluidas las prensas), para trabajar en caliente, de… (los demás)</t>
  </si>
  <si>
    <t>De control numérico</t>
  </si>
  <si>
    <t>8462220000</t>
  </si>
  <si>
    <t>Máquinas de conformar perfiles</t>
  </si>
  <si>
    <t>8462230000</t>
  </si>
  <si>
    <t>Prensas plegadoras, de control numérico</t>
  </si>
  <si>
    <t>8462240000</t>
  </si>
  <si>
    <t>Prensas para paneles, de control numérico</t>
  </si>
  <si>
    <t>8462250000</t>
  </si>
  <si>
    <t>Máquinas de perfilar rodillos, de control numérico</t>
  </si>
  <si>
    <t>8462260000</t>
  </si>
  <si>
    <t>Máquinas (incluidas las prensas) de enrollar, curvar, plegar… (los demás, máquinas de enrollar, curvar, plegar, enderezar o aplanar, de control numéri</t>
  </si>
  <si>
    <t>8462290000</t>
  </si>
  <si>
    <t>Máquinas (incluidas las prensas) de enrollar, curvar, plegar… (los demás)</t>
  </si>
  <si>
    <t>8462320000</t>
  </si>
  <si>
    <t>Líneas de hendido y líneas de corte longitudinal</t>
  </si>
  <si>
    <t>8462330000</t>
  </si>
  <si>
    <t>Máquinas de cizallar, de control numérico</t>
  </si>
  <si>
    <t>8462390000</t>
  </si>
  <si>
    <t>Líneas de hendido, líneas de corte longitudinal y demás máquinas (los demás)</t>
  </si>
  <si>
    <t>8462420000</t>
  </si>
  <si>
    <t>Máquinas (excepto las prensas) de punzonar, entallar o mordiscar…, de control númerico</t>
  </si>
  <si>
    <t>8462490000</t>
  </si>
  <si>
    <t>Máquinas (excepto las prensas) de punzonar, entallar o mordiscar… (los demás)</t>
  </si>
  <si>
    <t>8462510000</t>
  </si>
  <si>
    <t>Máquinas para trabajar tubos, tubería, perfiles huecos, perfiles y…, de control númerico</t>
  </si>
  <si>
    <t>8462590000</t>
  </si>
  <si>
    <t>Máquinas para trabajar tubos, tubería, perfiles huecos, perfiles y… (los demás)</t>
  </si>
  <si>
    <t>8462620000</t>
  </si>
  <si>
    <t>Prensas mecánicas</t>
  </si>
  <si>
    <t>8462630000</t>
  </si>
  <si>
    <t>Prensas de metal en frío, servoprensas</t>
  </si>
  <si>
    <t>8462690000</t>
  </si>
  <si>
    <t>Prensas de metal en frío (los demás)</t>
  </si>
  <si>
    <t>8462900000</t>
  </si>
  <si>
    <t>Máquinas herramienta (incluidas las prensas) de forjar o estampar… (los demás)</t>
  </si>
  <si>
    <t>Bancos de estirar barras, tubos, perfiles, alambres o similares, de trefilar</t>
  </si>
  <si>
    <t>Bancos de estirar barras, tubos, perfiles, alambres o similares (los demás)</t>
  </si>
  <si>
    <t>Máquinas laminadoras de hacer roscas</t>
  </si>
  <si>
    <t>Máquinas para trabajar alambre</t>
  </si>
  <si>
    <t>Máquinas de amolar o pulir</t>
  </si>
  <si>
    <t>Máquinas herramienta para trabajar piedra, cerámica, hormigón… (los demás)</t>
  </si>
  <si>
    <t>Máquinas que efectúen distintas operaciones de mecanizado sin cambio de útil entre dichas operaciones</t>
  </si>
  <si>
    <t>Máquinas de aserrar, de control numérico</t>
  </si>
  <si>
    <t>Máquinas de aserrar, de cinta</t>
  </si>
  <si>
    <t>Máquinas de cepillar, de control numérico</t>
  </si>
  <si>
    <t>Máquinas de amolar, lijar o pulir, de control numérico</t>
  </si>
  <si>
    <t>Máquinas de curvar o ensamblar, de control numérico</t>
  </si>
  <si>
    <t>Máquinas de curvar o ensamblar (los demás)</t>
  </si>
  <si>
    <t>Máquinas de taladrar o mortajar, de control numérico</t>
  </si>
  <si>
    <t>Máquinas de taladrar o mortajar (los demás)</t>
  </si>
  <si>
    <t>Máquinas de hendir, rebanar o desenrollar</t>
  </si>
  <si>
    <t>Máquinas herramienta (incluidas las de clavar, grapar, encolar o…, de control numérico</t>
  </si>
  <si>
    <t>Portapiezas</t>
  </si>
  <si>
    <t>Divisores y demás dispositivos especiales para ser montados en las máquinas</t>
  </si>
  <si>
    <t>Partes y accesorios identificables como destinados, exclusiva o…, para máquinas de la partida 84.64</t>
  </si>
  <si>
    <t>Partes y accesorios identificables como destinados, exclusiva o…, para máquinas de las partidas 84.56 a 84.61</t>
  </si>
  <si>
    <t>Partes y accesorios identificables como destinados, exclusiva o…, para máquinas de las partidas 84.62 u 84.63</t>
  </si>
  <si>
    <t>Taladradoras, perforadoras y similares</t>
  </si>
  <si>
    <t>Rotativas (incluso de percusión), para poner y quitar tornillos, pernos y tuercas</t>
  </si>
  <si>
    <t>Rotativas (incluso de percusión) (los demás)</t>
  </si>
  <si>
    <t>Compactadores y apisonadoras</t>
  </si>
  <si>
    <t>Vibradoras de hormigón</t>
  </si>
  <si>
    <t>Neumáticas (los demás)</t>
  </si>
  <si>
    <t>Sierras, incluidas las tronzadoras</t>
  </si>
  <si>
    <t>Sierras o tronzadoras, de cadena</t>
  </si>
  <si>
    <t>Sierras o tronzadoras, excepto de cadena</t>
  </si>
  <si>
    <t>Herramientas neumáticas, hidráulicas o con motor…, partes, de sierras o tronzadoras, de cadena</t>
  </si>
  <si>
    <t>Herramientas neumáticas, hidráulicas o con motor…, partes, de herramientas neumáticas</t>
  </si>
  <si>
    <t>Sopletes manuales</t>
  </si>
  <si>
    <t>Máquinas y aparatos para soldar, aunque puedan cortar, para soldar, aunque puedan cortar</t>
  </si>
  <si>
    <t>Máquinas y aparatos para soldar, aunque puedan cortar (los demás)</t>
  </si>
  <si>
    <t>Máquinas y aparatos para soldar, aunque puedan cortar (los demás, máquinas y aparatos)</t>
  </si>
  <si>
    <t>Máquinas y aparatos para soldar, aunque puedan cortar, partes</t>
  </si>
  <si>
    <t>Calculadoras electrónicas que puedan funcionar sin fuente de energía eléctrica exterior y máquinas de bolsillo registradoras, reproductoras y visualiz</t>
  </si>
  <si>
    <t>Máquinas de calcular y máquinas de bolsillo registradoras…, con dispositivo de impresión incorporado</t>
  </si>
  <si>
    <t>Máquinas de calcular y máquinas de bolsillo registradoras… (los demás)</t>
  </si>
  <si>
    <t>Máquinas de calcular y máquinas de bolsillo registradoras… (los demás, máquinas de calcular)</t>
  </si>
  <si>
    <t>Cajas registradoras</t>
  </si>
  <si>
    <t>Máquinas de calcular y máquinas de bolsillo registradoras…, de franquear</t>
  </si>
  <si>
    <t>Máquinas de calcular y máquinas de bolsillo registradoras…, de expedir boletos (tiques)</t>
  </si>
  <si>
    <t xml:space="preserve">Máquinas automáticas para tratamiento o procesamiento de datos y sus…, que incluyan en la misma envoltura, al menos, una unidad central de proceso y, </t>
  </si>
  <si>
    <t>Máquinas automáticas para tratamiento o procesamiento de datos y sus… (los demás, presentadas en forma de sistemas)</t>
  </si>
  <si>
    <t>Unidades de proceso, excepto las de las subpartidas 8471.41 u 8471.49, aunque incluyan en la misma envoltura uno o dos de los tipos siguientes de unid</t>
  </si>
  <si>
    <t>Teclados, dispositivos por coordenadas x-y</t>
  </si>
  <si>
    <t>Unidades de entrada o salida, aunque incluyan unidades de memoria en… (los demás)</t>
  </si>
  <si>
    <t>Unidades de memoria</t>
  </si>
  <si>
    <t>Máquinas automáticas para tratamiento o procesamiento de datos y sus… (los demás, unidades de máquinas automáticas para tratamiento o procesamiento de</t>
  </si>
  <si>
    <t>Máquinas automáticas para tratamiento o procesamiento de datos y sus… (los demás)</t>
  </si>
  <si>
    <t>Copiadoras, incluidos los mimeógrafos</t>
  </si>
  <si>
    <t xml:space="preserve">Máquinas de clasificar, plegar, meter en sobres o colocar en fajas, correspondencia, máquinas de abrir, cerrar o precintar correspondencia y máquinas </t>
  </si>
  <si>
    <t>Máquinas de clasificar o contar monedas o billetes de banco</t>
  </si>
  <si>
    <t>Distribuidores automáticos de billetes de banco</t>
  </si>
  <si>
    <t>Aparatos para autenticar cheques</t>
  </si>
  <si>
    <t>Perforadoras o grapadoras</t>
  </si>
  <si>
    <t>Cajeros automáticos</t>
  </si>
  <si>
    <t>Partes y accesorios, partes y accesorios de máquinas de la partida 84.70, de máquinas de calcular electrónicas de las subpartidas 8470.10, 8470.21 u 8</t>
  </si>
  <si>
    <t>Partes y accesorios, partes y accesorios de máquinas de la partida 84.70 (los demás)</t>
  </si>
  <si>
    <t>Partes y accesorios, partes y accesorios de máquinas de la partida 84.72, de copiadoras</t>
  </si>
  <si>
    <t>Partes y accesorios, partes y accesorios de máquinas de la partida 84.72 (los demás)</t>
  </si>
  <si>
    <t>Partes y accesorios, partes y accesorios que puedan utilizarse indistintamente con máquinas o aparatos de varias de las partidas 84.70 a 84.72</t>
  </si>
  <si>
    <t>Cribadoras desmoldeadoras para fundición</t>
  </si>
  <si>
    <t>Cribas vibratorias</t>
  </si>
  <si>
    <t>Máquinas y aparatos de clasificar, cribar, separar o lavar (los demás)</t>
  </si>
  <si>
    <t>Quebrantadores giratorios de conos</t>
  </si>
  <si>
    <t>Trituradoras de impacto</t>
  </si>
  <si>
    <t>Molinos de anillo</t>
  </si>
  <si>
    <t>Máquinas y aparatos de quebrantar, triturar o pulverizar (los demás)</t>
  </si>
  <si>
    <t>Hormigoneras y aparatos de amasar mortero, con capacidad máxima de 3 m3</t>
  </si>
  <si>
    <t>Hormigoneras y aparatos de amasar mortero (los demás)</t>
  </si>
  <si>
    <t>Máquinas de mezclar materia mineral con asfalto</t>
  </si>
  <si>
    <t>Especiales para la industria cerámica</t>
  </si>
  <si>
    <t>Mezcladores de arena para fundición</t>
  </si>
  <si>
    <t>Máquinas y aparatos de mezclar, amasar o sobar (los demás)</t>
  </si>
  <si>
    <t>Máquinas y aparatos para aglomerar, formar o moldear pastas cerámicas</t>
  </si>
  <si>
    <t>Formadoras de moldes de arena para fundición</t>
  </si>
  <si>
    <t>Máquinas y aparatos de clasificar, cribar, separar, lavar…, para moldear elementos prefabricados de cemento u hormigón</t>
  </si>
  <si>
    <t>Máquinas y aparatos de clasificar, cribar, separar, lavar… (los demás)</t>
  </si>
  <si>
    <t>Máquinas y aparatos de clasificar, cribar, separar, lavar…, partes</t>
  </si>
  <si>
    <t>Máquinas para montar lámparas, tubos o válvulas eléctricos o electrónicos o lámparas de destello, que tengan envoltura de vidrio</t>
  </si>
  <si>
    <t>Máquinas para fabricar fibras ópticas y sus esbozos</t>
  </si>
  <si>
    <t>Máquinas para fabricar o trabajar en caliente el vidrio o sus… (los demás)</t>
  </si>
  <si>
    <t>Máquinas para montar lámparas, tubos o válvulas eléctricos o…, partes</t>
  </si>
  <si>
    <t>Máquinas automáticas para venta de bebidas, con dispositivo de calentamiento o refrigeración, incorporado</t>
  </si>
  <si>
    <t>Máquinas automáticas para venta de bebidas (los demás)</t>
  </si>
  <si>
    <t>Máquinas automáticas para la venta de productos (por ejemplo, con dispositivo de calentamiento o refrigeración, incorporado</t>
  </si>
  <si>
    <t>Máquinas automáticas para la venta de productos (por ejemplo (los demás)</t>
  </si>
  <si>
    <t>Máquinas automáticas para la venta de productos (por ejemplo, partes</t>
  </si>
  <si>
    <t>Máquinas de moldear por inyección</t>
  </si>
  <si>
    <t>Máquinas de moldear por soplado</t>
  </si>
  <si>
    <t>Máquinas de moldear en vacío y demás máquinas para termoformado</t>
  </si>
  <si>
    <t>Máquinas y aparatos para trabajar caucho o plástico o para fabricar…, de moldear o recauchutar neumáticos (llantas neumáticas) o moldear o formar cáma</t>
  </si>
  <si>
    <t>Prensas hidráulicas de moldear por compresión</t>
  </si>
  <si>
    <t>Máquinas y aparatos para trabajar caucho o plástico o para fabricar… (los demás)</t>
  </si>
  <si>
    <t>Máquinas y aparatos, para la aplicación de filtros en cigarrillos</t>
  </si>
  <si>
    <t>Máquinas y aparatos (los demás)</t>
  </si>
  <si>
    <t>Máquinas y aparatos para preparar o elaborar tabaco, no expresados ni…, partes</t>
  </si>
  <si>
    <t>Máquinas y aparatos para extracción o preparación de grasas o…, para la extracción</t>
  </si>
  <si>
    <t>Máquinas y aparatos para extracción o preparación de grasas o… (los demás)</t>
  </si>
  <si>
    <t xml:space="preserve">Prensas para fabricar tableros de partículas, fibra de madera u otras materias leñosas y demás máquinas y aparatos para el tratamiento de la madera o </t>
  </si>
  <si>
    <t>Máquinas de cordelería o cablería</t>
  </si>
  <si>
    <t>Robots industriales, no expresados ni comprendidos en otra parte</t>
  </si>
  <si>
    <t>Aparatos de evaporación para refrigerar el aire</t>
  </si>
  <si>
    <t>Pasarelas de embarque para pasajeros, de los tipos utilizados en aeropuertos</t>
  </si>
  <si>
    <t>Pasarelas de embarque para pasajeros (los demás)</t>
  </si>
  <si>
    <t>Máquinas y aparatos mecánicos con función propia, no expresados ni…, para el tratamiento del metal, incluidas las bobinadoras de hilos eléctricos</t>
  </si>
  <si>
    <t>8479830000</t>
  </si>
  <si>
    <t>Prensas isostáticas en frío</t>
  </si>
  <si>
    <t>Máquinas y aparatos mecánicos con función propia, no expresados ni…, para la industria de jabón</t>
  </si>
  <si>
    <t>Humectadores y deshumectadores (excepto los aparatos de las partidas 84.15 u 84.24)</t>
  </si>
  <si>
    <t>Engrasadores automáticos de bomba, para máquinas</t>
  </si>
  <si>
    <t>Máquinas y aparatos mecánicos con función propia, no expresados ni…, para el cuidado y conservación de oleoductos o canalizaciones similares</t>
  </si>
  <si>
    <t>Limpiaparabrisas con motor</t>
  </si>
  <si>
    <t>Cajas de fundición</t>
  </si>
  <si>
    <t>Placas de fondo para moldes</t>
  </si>
  <si>
    <t>Modelos para moldes</t>
  </si>
  <si>
    <t>Moldes para metales o carburos metálicos, para el moldeo por inyección o compresión</t>
  </si>
  <si>
    <t>Moldes para metales o carburos metálicos (los demás)</t>
  </si>
  <si>
    <t>Moldes para vidrio</t>
  </si>
  <si>
    <t>Moldes para materia mineral</t>
  </si>
  <si>
    <t>Moldes para caucho o plástico, para moldeo por inyección o compresión, de partes de maquinilla de afeitar</t>
  </si>
  <si>
    <t>Moldes para caucho o plástico, para moldeo por inyección o compresión (los demás)</t>
  </si>
  <si>
    <t>Moldes para caucho o plástico (los demás)</t>
  </si>
  <si>
    <t>Válvulas reductoras de presión, de características especiales para riego</t>
  </si>
  <si>
    <t>Válvulas para transmisiones oleohidráulicas o neumáticas, de características especiales para riego</t>
  </si>
  <si>
    <t>Válvulas de retención, de características especiales para riego</t>
  </si>
  <si>
    <t>Válvulas de alivio o seguridad, de características especiales para riego</t>
  </si>
  <si>
    <t>Canillas o grifos para uso doméstico</t>
  </si>
  <si>
    <t>Válvulas llamadas «árboles de Navidad»</t>
  </si>
  <si>
    <t>Válvulas para neumáticos</t>
  </si>
  <si>
    <t>Válvulas esféricas</t>
  </si>
  <si>
    <t>Válvulas de compuerta de diámetro nominal inferior o igual a 100 mm, para presiones superiores o iguales a 13,8 Mpa</t>
  </si>
  <si>
    <t>Válvulas de compuerta de diámetro nominal inferior o igual a 100 mm (los demás)</t>
  </si>
  <si>
    <t>Artículos de grifería y órganos similares para tuberías, calderas… (los demás, válvulas de compuerta)</t>
  </si>
  <si>
    <t>Válvulas de globo de diámetro nominal inferior o igual a 100 mm</t>
  </si>
  <si>
    <t>Válvulas dispensadoras</t>
  </si>
  <si>
    <t>Cuerpos para válvulas llamadas «árboles de Navidad»</t>
  </si>
  <si>
    <t>Rodamientos de rodillos cónicos, incluidos los ensamblajes de conos y rodillos cónicos</t>
  </si>
  <si>
    <t>Rodamientos de rodillos en forma de tonel</t>
  </si>
  <si>
    <t>Rodamientos de agujas, incluidos los ensamblajes de jaulas y rodillos de agujas</t>
  </si>
  <si>
    <t>Rodamientos de bolas, de rodillos o de agujas (los demás, rodamientos de rodillos cilíndricos, incluidos los ensamblajes de jaulas y rodillos)</t>
  </si>
  <si>
    <t>Rodamientos de bolas, de rodillos o de agujas (los demás, incluidos los rodamientos combinados)</t>
  </si>
  <si>
    <t>Rodamientos de bolas, de rodillos o de agujas, partes (los demás)</t>
  </si>
  <si>
    <t>Arboles de transmisión (incluidos los de levas y los cigüeñales) y…, de motores de aviación</t>
  </si>
  <si>
    <t>Arboles de transmisión (incluidos los de levas y los cigüeñales) y…, cigüeñales</t>
  </si>
  <si>
    <t>Árboles de levas</t>
  </si>
  <si>
    <t>Árboles flexibles</t>
  </si>
  <si>
    <t>Arboles de transmisión (incluidos los de levas y los cigüeñales) y… (los demás)</t>
  </si>
  <si>
    <t>Cajas de cojinetes con rodamientos incorporados</t>
  </si>
  <si>
    <t>Cajas de cojinetes sin rodamientos incorporados, de motores de aviación</t>
  </si>
  <si>
    <t>Cajas de cojinetes sin rodamientos incorporados (los demás)</t>
  </si>
  <si>
    <t>Engranajes y ruedas de fricción, de motores de aviación</t>
  </si>
  <si>
    <t>Reductores, multiplicadores y variadores de velocidad</t>
  </si>
  <si>
    <t>Engranajes y ruedas de fricción, excepto las ruedas dentadas y demás órganos elementales de transmisión presentados aisladamente</t>
  </si>
  <si>
    <t>Engranajes y ruedas de fricción (los demás)</t>
  </si>
  <si>
    <t>Volantes y poleas, incluidos los motones</t>
  </si>
  <si>
    <t>Embragues y órganos de acoplamiento, incluidas las juntas de…, embragues</t>
  </si>
  <si>
    <t>Embragues y órganos de acoplamiento, incluidas las juntas de… (los demás)</t>
  </si>
  <si>
    <t>Ruedas dentadas y demás órganos elementales de transmisión presentados aisladamente</t>
  </si>
  <si>
    <t>Ruedas dentadas y demás órganos elementales de transmisión…, partes</t>
  </si>
  <si>
    <t>8485100000</t>
  </si>
  <si>
    <t>Por depósito de metal</t>
  </si>
  <si>
    <t>8485200000</t>
  </si>
  <si>
    <t>Por depósito de plástico o caucho</t>
  </si>
  <si>
    <t>8485300000</t>
  </si>
  <si>
    <t>Por depósito de yeso, cemento, cerámica o vidrio</t>
  </si>
  <si>
    <t>8485800000</t>
  </si>
  <si>
    <t>Máquinas para la fabricación aditiva (los demás)</t>
  </si>
  <si>
    <t>8485900000</t>
  </si>
  <si>
    <t>Máquinas para la fabricación aditiva, partes</t>
  </si>
  <si>
    <t>Máquinas y aparatos para la fabricación de semiconductores en forma de monocristales periformes u obleas («wafers»)</t>
  </si>
  <si>
    <t>Máquinas y aparatos para la fabricación de dispositivos semiconductores o circuitos electrónicos integrados</t>
  </si>
  <si>
    <t>Máquinas y aparatos para la fabricación de dispositivos de visualización («display») de pantalla plana</t>
  </si>
  <si>
    <t>Máquinas y aparatos descritos en la Nota 11 C) de este Capítulo</t>
  </si>
  <si>
    <t>Máquinas y aparatos utilizados, exclusiva o principalmente, para la…, partes y accesorios</t>
  </si>
  <si>
    <t>Partes de máquinas o aparatos, no expresadas ni comprendidas en otra… (los demás)</t>
  </si>
  <si>
    <t>Motores para juguetes</t>
  </si>
  <si>
    <t>Motores universales</t>
  </si>
  <si>
    <t>Motores de potencia inferior o igual a 37,5 W, de corriente continua</t>
  </si>
  <si>
    <t>Motores de potencia inferior o igual a 37,5 W, de corriente alterna, monofásicos</t>
  </si>
  <si>
    <t>Motores de potencia inferior o igual a 37,5 W, de corriente alterna, polifásicos</t>
  </si>
  <si>
    <t>Motores universales de potencia superior a 37,5 W, de potencia inferior o igual a 7,5 kW, con reductores, variadores o multiplicadores de velocidad</t>
  </si>
  <si>
    <t>Motores universales de potencia superior a 37,5 W, de potencia inferior o igual a 7,5 kW (los demás)</t>
  </si>
  <si>
    <t>Motores universales de potencia superior a 37,5 W, de potencia superior a 7,5 kW, con reductores, variadores o multiplicadores de velocidad</t>
  </si>
  <si>
    <t>Motores universales de potencia superior a 37,5 W, de potencia superior a 7,5 kW (los demás)</t>
  </si>
  <si>
    <t>Motores con reductores, variadores o multiplicadores de velocidad</t>
  </si>
  <si>
    <t>Motores y generadores, eléctricos, de potencia inferior o igual a 750 W (los demás, motores)</t>
  </si>
  <si>
    <t>Generadores de corriente continua</t>
  </si>
  <si>
    <t>Motores y generadores, eléctricos, de potencia superior a 750 W pero inferior o igual a 75 kW, de potencia inferior o igual a 7,5 kW</t>
  </si>
  <si>
    <t>Motores y generadores, eléctricos, de potencia superior a 750 W pero inferior o igual a 75 kW (los demás)</t>
  </si>
  <si>
    <t>Motores y generadores, eléctricos, de potencia superior a 75 kW pero inferior o igual a 375 kW (los demás, motores)</t>
  </si>
  <si>
    <t>Motores y generadores, eléctricos, de potencia superior a 375 kW (los demás, motores)</t>
  </si>
  <si>
    <t>Motores y generadores, eléctricos, de potencia inferior o igual a 375 W, con reductores, variadores o multiplicadores de velocidad</t>
  </si>
  <si>
    <t>Motores y generadores, eléctricos, de potencia inferior o igual a 375 W (los demás)</t>
  </si>
  <si>
    <t>Motores y generadores, eléctricos, de potencia superior a 375 W pero inferior o igual a 750 W, con reductores, variadores o multiplicadores de velocid</t>
  </si>
  <si>
    <t>Motores y generadores, eléctricos, de potencia superior a 375 W pero inferior o igual a 750 W (los demás)</t>
  </si>
  <si>
    <t>Motores y generadores, eléctricos, de potencia superior a 750 W, pero inferior o igual a 7,5 kW, con reductores, variadores o multiplicadores de veloc</t>
  </si>
  <si>
    <t>Motores y generadores, eléctricos, de potencia superior a 750 W, pero inferior o igual a 7,5 kW (los demás)</t>
  </si>
  <si>
    <t>Motores y generadores, eléctricos, de potencia superior a 7,5 kW, con reductores, variadores o multiplicadores de velocidad</t>
  </si>
  <si>
    <t>Motores y generadores, eléctricos, de potencia inferior o igual a 750 W, con reductores, variadores o multiplicadores de velocidad</t>
  </si>
  <si>
    <t xml:space="preserve">Motores y generadores, eléctricos, de potencia superior a 750 W pero inferior o igual a 75 kW, de potencia superior a 18,5 kW pero inferior o igual a </t>
  </si>
  <si>
    <t>Motores y generadores, eléctricos, de potencia superior a 75 kW</t>
  </si>
  <si>
    <t>Generadores de corriente alterna (alternadores), de potencia inferior o igual a 75 kVA, de potencia inferior o igual a 18,5 kVA</t>
  </si>
  <si>
    <t>Generadores de corriente alterna (alternadores), de potencia inferior o igual a 75 kVA, de potencia superior a 18,5 kVA pero inferior o igual a 30 kVA</t>
  </si>
  <si>
    <t>Generadores de corriente alterna (alternadores), de potencia inferior o igual a 75 kVA (los demás)</t>
  </si>
  <si>
    <t>Generadores de corriente alterna (alternadores), de potencia superior a 75 kVA pero inferior o igual a 375 kVA</t>
  </si>
  <si>
    <t>Generadores de corriente alterna (alternadores), de potencia superior a 375 kVA pero inferior o igual a 750 kVA</t>
  </si>
  <si>
    <t>Generadores de corriente alterna (alternadores), de potencia superior a 750 kVA</t>
  </si>
  <si>
    <t>8501710000</t>
  </si>
  <si>
    <t>Generadores fotovoltaicos de corriente continua, de potencia inferior o igual a 50 W</t>
  </si>
  <si>
    <t>8501720000</t>
  </si>
  <si>
    <t>Generadores fotovoltaicos de corriente continua, de potencia superior a 50 W</t>
  </si>
  <si>
    <t>8501800000</t>
  </si>
  <si>
    <t>Generadores fotovoltaicos de corriente alterna</t>
  </si>
  <si>
    <t>Grupos electrógenos con motor de émbolo (pistón) de…, de potencia inferior o igual a 75 kVA, de corriente alterna</t>
  </si>
  <si>
    <t>Grupos electrógenos con motor de émbolo (pistón) de…, de potencia inferior o igual a 75 kVA (los demás)</t>
  </si>
  <si>
    <t>Grupos electrógenos con motor de émbolo (pistón) de…, de potencia superior a 75 kVA pero inferior o igual a 375 kVA, de corriente alterna</t>
  </si>
  <si>
    <t>Grupos electrógenos con motor de émbolo (pistón) de…, de potencia superior a 75 kVA pero inferior o igual a 375 kVA (los demás)</t>
  </si>
  <si>
    <t>Grupos electrógenos con motor de émbolo (pistón) de encendido por… (los demás)</t>
  </si>
  <si>
    <t>Grupos electrógenos y convertidores rotativos eléctricos, de energía eólica</t>
  </si>
  <si>
    <t>Grupos electrógenos y convertidores rotativos eléctricos, de corriente alterna</t>
  </si>
  <si>
    <t>Grupos electrógenos y convertidores rotativos eléctricos (los demás)</t>
  </si>
  <si>
    <t>Convertidores rotativos eléctricos</t>
  </si>
  <si>
    <t>Balastos (reactancias) para lámparas o tubos de descarga</t>
  </si>
  <si>
    <t xml:space="preserve">Transformadores de dieléctrico líquido, de potencia inferior o igual a 650 kVA, de potencia inferior o igual a 10 kVA, de potencia inferior o igual a </t>
  </si>
  <si>
    <t>Transformadores de dieléctrico líquido, de potencia inferior o igual a 650 kVA, de potencia inferior o igual a 10 kVA (los demás)</t>
  </si>
  <si>
    <t>Transformadores de dieléctrico líquido, de potencia inferior o igual a 650 kVA (los demás)</t>
  </si>
  <si>
    <t>Transformadores de dieléctrico líquido, de potencia superior a 650 kVA pero inferior o igual a 10.000 kVA, de potencia superior a 650 kVA pero inferio</t>
  </si>
  <si>
    <t>Transformadores de dieléctrico líquido, de potencia superior a 650 kVA pero inferior o igual a 10.000 kVA (los demás)</t>
  </si>
  <si>
    <t>Transformadores de dieléctrico líquido, de potencia superior a 10.000 kVA</t>
  </si>
  <si>
    <t>Transformadores eléctricos, convertidores eléctricos…, de potencia inferior o igual a 1 kVA, de potencia inferior o igual 0,1 kVA</t>
  </si>
  <si>
    <t>Transformadores eléctricos, convertidores eléctricos…, de potencia inferior o igual a 1 kVA (los demás)</t>
  </si>
  <si>
    <t xml:space="preserve">Transformadores eléctricos, convertidores eléctricos…, de potencia superior a 1 kVA pero inferior o igual a 16 kVA, de potencia superior a 1 kVA pero </t>
  </si>
  <si>
    <t>Transformadores eléctricos, convertidores eléctricos…, de potencia superior a 1 kVA pero inferior o igual a 16 kVA (los demás)</t>
  </si>
  <si>
    <t>Transformadores eléctricos, convertidores eléctricos estáticos (por…, de potencia superior a 16 kVA pero inferior o igual a 500 kVA</t>
  </si>
  <si>
    <t>Transformadores eléctricos, convertidores eléctricos…, de potencia superior a 500 kVA, de potencia inferior o igual a 1.600 kVA</t>
  </si>
  <si>
    <t>Transformadores eléctricos, convertidores eléctricos…, de potencia superior a 500 kVA, de potencia superior a 1.600 kVA pero inferior o igual a 10.000</t>
  </si>
  <si>
    <t>Transformadores eléctricos, convertidores eléctricos…, de potencia superior a 500 kVA, de potencia superior a 10.000 kVA</t>
  </si>
  <si>
    <t>Unidades de alimentación estabilizada («UPS»)</t>
  </si>
  <si>
    <t>Arrancadores electrónicos</t>
  </si>
  <si>
    <t>Convertidores estáticos (los demás)</t>
  </si>
  <si>
    <t>Transformadores eléctricos, convertidores eléctricos estáticos (por…, para tensión de servicio inferior o igual a 260 V y para corrientes nominales in</t>
  </si>
  <si>
    <t>Transformadores eléctricos, convertidores eléctricos estáticos (por… (los demás)</t>
  </si>
  <si>
    <t>Transformadores eléctricos, convertidores eléctricos estáticos (por…, partes</t>
  </si>
  <si>
    <t>Burletes magnéticos de caucho o plástico</t>
  </si>
  <si>
    <t>Imanes permanentes y artículos destinados a ser imantados… (los demás)</t>
  </si>
  <si>
    <t>Acoplamientos, embragues, variadores de velocidad y frenos, electromagnéticos</t>
  </si>
  <si>
    <t>Electroimanes, electroimanes</t>
  </si>
  <si>
    <t>Platos, mandriles y dispositivos similares de sujeción</t>
  </si>
  <si>
    <t>Cabezas elevadoras electromagnéticas</t>
  </si>
  <si>
    <t>Electroimanes, partes</t>
  </si>
  <si>
    <t>Alcalinas, de «botón»</t>
  </si>
  <si>
    <t>Alcalinas (los demás)</t>
  </si>
  <si>
    <t>Pilas y baterías de pilas, eléctricas, de dióxido de manganeso, cilíndricas</t>
  </si>
  <si>
    <t>Pilas y baterías de pilas, eléctricas, de dióxido de manganeso, de «botón»</t>
  </si>
  <si>
    <t>Pilas y baterías de pilas, eléctricas, de dióxido de manganeso (los demás)</t>
  </si>
  <si>
    <t>Pilas y baterías de pilas, eléctricas, de óxido de mercurio, cilíndricas</t>
  </si>
  <si>
    <t>Pilas y baterías de pilas, eléctricas, de óxido de mercurio, de «botón»</t>
  </si>
  <si>
    <t>Pilas y baterías de pilas, eléctricas, de óxido de mercurio (los demás)</t>
  </si>
  <si>
    <t>Pilas y baterías de pilas, eléctricas, de óxido de plata, cilíndricas</t>
  </si>
  <si>
    <t>Pilas y baterías de pilas, eléctricas, de óxido de plata, de «botón»</t>
  </si>
  <si>
    <t>Pilas y baterías de pilas, eléctricas, de óxido de plata (los demás)</t>
  </si>
  <si>
    <t>Pilas y baterías de pilas, eléctricas, de litio, cilíndricas</t>
  </si>
  <si>
    <t>Pilas y baterías de pilas, eléctricas, de litio, de «botón»</t>
  </si>
  <si>
    <t>Pilas y baterías de pilas, eléctricas, de litio (los demás)</t>
  </si>
  <si>
    <t>Pilas y baterías de pilas, eléctricas, de aire-cinc, cilíndricas</t>
  </si>
  <si>
    <t>Pilas y baterías de pilas, eléctricas, de aire-cinc, de «botón»</t>
  </si>
  <si>
    <t>Pilas y baterías de pilas, eléctricas, de aire-cinc (los demás)</t>
  </si>
  <si>
    <t>Pilas y baterías de pilas, eléctricas, cilíndricas</t>
  </si>
  <si>
    <t>Pilas y baterías de pilas, eléctricas, de «botón»</t>
  </si>
  <si>
    <t>Pilas y baterías de pilas, eléctricas (los demás)</t>
  </si>
  <si>
    <t>Pilas y baterías de pilas, eléctricas, partes</t>
  </si>
  <si>
    <t>Acumuladores eléctricos, incluidos sus separadores, aunque sean…, de plomo, de los tipos utilizados para arranque de motores de émbolo (pistón)</t>
  </si>
  <si>
    <t>Acumuladores eléctricos, incluidos sus separadores, aunque sean… (los demás, acumuladores de plomo)</t>
  </si>
  <si>
    <t>Acumuladores eléctricos, incluidos sus separadores, aunque sean…, de níquel-cadmio</t>
  </si>
  <si>
    <t>De níquel-hierro</t>
  </si>
  <si>
    <t>Acumuladores eléctricos, incluidos sus separadores, aunque sean…, de níquel-hidruro metálico</t>
  </si>
  <si>
    <t>Acumuladores eléctricos, incluidos sus separadores, aunque sean…, de iones de litio</t>
  </si>
  <si>
    <t>Acumuladores eléctricos, incluidos sus separadores, aunque sean cuadra (los demás)</t>
  </si>
  <si>
    <t>8507800010</t>
  </si>
  <si>
    <t>Acumuladores eléctricos, incluidos sus separadores, aunque sean…, de niquel-hierro</t>
  </si>
  <si>
    <t>8507800090</t>
  </si>
  <si>
    <t>Acumuladores eléctricos, incluidos sus separadores, aunque sean… (los demás)</t>
  </si>
  <si>
    <t>Cajas y tapas</t>
  </si>
  <si>
    <t>Acumuladores eléctricos, incluidos sus separadores…, partes, separadores</t>
  </si>
  <si>
    <t>Acumuladores eléctricos, incluidos sus separadores…, partes, placas</t>
  </si>
  <si>
    <t>Acumuladores eléctricos, incluidos sus separadores…, partes (los demás)</t>
  </si>
  <si>
    <t>Aspiradoras, con motor eléctrico incorporado, de potencia inferior o igual a 1.500 W y de capacidad del depósito o bolsa para el polvo inferior o igua</t>
  </si>
  <si>
    <t>Aspiradoras, con motor eléctrico incorporado (los demás)</t>
  </si>
  <si>
    <t>Aspiradoras (los demás, aspiradoras)</t>
  </si>
  <si>
    <t>Aspiradoras, partes</t>
  </si>
  <si>
    <t>Trituradoras y mezcladoras de alimentos, licuadoras</t>
  </si>
  <si>
    <t>Trituradoras y mezcladoras de alimentos (los demás)</t>
  </si>
  <si>
    <t>Enceradoras (lustradoras) de pisos</t>
  </si>
  <si>
    <t>Trituradoras de desperdicios de cocina</t>
  </si>
  <si>
    <t>Aparatos electromecánicos con motor eléctrico incorporado, de uso… (los demás)</t>
  </si>
  <si>
    <t>Aparatos electromecánicos con motor eléctrico incorporado, de uso…, partes</t>
  </si>
  <si>
    <t>Afeitadoras</t>
  </si>
  <si>
    <t>Máquinas de cortar el pelo o esquilar, de cortar el pelo</t>
  </si>
  <si>
    <t>Máquinas de cortar el pelo o esquilar, de esquilar</t>
  </si>
  <si>
    <t>Aparatos de depilar</t>
  </si>
  <si>
    <t>Cabezas, peines, contrapeines, hojas y cuchillas para estas máquinas</t>
  </si>
  <si>
    <t>Afeitadoras, máquinas de cortar el pelo o esquilar y…, partes (los demás)</t>
  </si>
  <si>
    <t>Bujías de encendido, de motores de aviación</t>
  </si>
  <si>
    <t>Bujías de encendido (los demás)</t>
  </si>
  <si>
    <t>Magnetos; dinamomagnetos; volantes magnéticos, de motores de aviación</t>
  </si>
  <si>
    <t>Magnetos; dinamomagnetos; volantes magnéticos (los demás)</t>
  </si>
  <si>
    <t>Distribuidores, de motores de aviación</t>
  </si>
  <si>
    <t>Distribuidores, distribuidores</t>
  </si>
  <si>
    <t>Bobinas de encendido</t>
  </si>
  <si>
    <t>Motores de arranque, aunque funcionen también como generadores, de motores de aviación</t>
  </si>
  <si>
    <t>Motores de arranque, aunque funcionen también como generadores (los demás)</t>
  </si>
  <si>
    <t>Aparatos y dispositivos eléctricos de encendido o de arranque, para…, de motores de aviación</t>
  </si>
  <si>
    <t>Aparatos y dispositivos eléctricos de encendido o de arranque, para… (los demás)</t>
  </si>
  <si>
    <t>Aparatos y dispositivos eléctricos de encendido o de…, partes, de aparatos y dispositivos de motores de aviación</t>
  </si>
  <si>
    <t>Platinos, tapas y ruptores (rotores) de distribuidores, platinos</t>
  </si>
  <si>
    <t>Platinos, tapas y ruptores (rotores) de distribuidores (los demás)</t>
  </si>
  <si>
    <t>Aparatos y dispositivos eléctricos de encendido o de…, partes, de bujías, excepto para motores de aviación</t>
  </si>
  <si>
    <t>Aparatos y dispositivos eléctricos de encendido o de…, partes (los demás)</t>
  </si>
  <si>
    <t>Aparatos de alumbrado o señalización visual de los tipos utilizados en bicicletas</t>
  </si>
  <si>
    <t>Faros de carretera (excepto faros «sellados» de la subpartida 8539.10.00)</t>
  </si>
  <si>
    <t>Aparatos de señalización acústica, bocinas</t>
  </si>
  <si>
    <t>Aparatos de señalización acústica (los demás)</t>
  </si>
  <si>
    <t>Limpiaparabrisas y eliminadores de escarcha o vaho</t>
  </si>
  <si>
    <t>Brazos y cuchillas para limpiaparabrisas de vehículos automóviles y velocípedos</t>
  </si>
  <si>
    <t>Aparatos eléctricos de alumbrado o señalización, partes (los demás)</t>
  </si>
  <si>
    <t>Lámparas eléctricas portátiles diseñadas para funcionar con su propia…, partes</t>
  </si>
  <si>
    <t>Hornos de resistencia (de calentamiento indirecto)</t>
  </si>
  <si>
    <t>8514110000</t>
  </si>
  <si>
    <t>Prensas isostáticas en caliente</t>
  </si>
  <si>
    <t>8514190000</t>
  </si>
  <si>
    <t>Hornos de resistencia (de calentamiento indirecto) (los demás)</t>
  </si>
  <si>
    <t>Hornos que funcionen por inducción o pérdidas dieléctricas</t>
  </si>
  <si>
    <t>De arco</t>
  </si>
  <si>
    <t>Hornos eléctricos industriales o de laboratorio, incluidos los que fun (los demás)</t>
  </si>
  <si>
    <t>8514310000</t>
  </si>
  <si>
    <t>Hornos de haces de electrones</t>
  </si>
  <si>
    <t>8514320000</t>
  </si>
  <si>
    <t>Hornos de plasma y hornos de arco al vacío</t>
  </si>
  <si>
    <t>8514390000</t>
  </si>
  <si>
    <t>Hornos eléctricos industriales o de laboratorio, incluidos los que… (los demás)</t>
  </si>
  <si>
    <t>Hornos eléctricos industriales o de laboratorio, incluidos los que… (los demás, aparatos para tratamiento térmico de materias por inducción o pérdidas</t>
  </si>
  <si>
    <t>Hornos eléctricos industriales o de laboratorio, incluidos los que…, partes</t>
  </si>
  <si>
    <t>Máquinas y aparatos para soldadura fuerte o para soldadura blanda (los demás)</t>
  </si>
  <si>
    <t>Total o parcialmente automáticos</t>
  </si>
  <si>
    <t>Máquinas y aparatos para soldar metal por resistencia (los demás)</t>
  </si>
  <si>
    <t>Máquinas y aparatos para soldar metal, de arco o chorro de plasma (los demás)</t>
  </si>
  <si>
    <t>Por ultrasonido</t>
  </si>
  <si>
    <t>Calentadores eléctricos de agua de calentamiento instantáneo o acumulación y calentadores eléctricos de inmersión</t>
  </si>
  <si>
    <t>Radiadores de acumulación</t>
  </si>
  <si>
    <t>Aparatos eléctricos para calefacción de espacios o suelos, estufas</t>
  </si>
  <si>
    <t>Aparatos eléctricos para calefacción de espacios o suelos (los demás)</t>
  </si>
  <si>
    <t>Secadores para el cabello</t>
  </si>
  <si>
    <t>Aparatos electrotérmicos para el cuidado del cabello o para secar las… (los demás, aparatos para el cuidado del cabello)</t>
  </si>
  <si>
    <t>Aparatos para secar las manos</t>
  </si>
  <si>
    <t>Planchas eléctricas</t>
  </si>
  <si>
    <t>Hornos de microondas</t>
  </si>
  <si>
    <t>Calentadores eléctricos de agua de calentamiento instantáneo o…, hornos</t>
  </si>
  <si>
    <t>Calentadores eléctricos de agua de calentamiento instantáneo o…, cocinas</t>
  </si>
  <si>
    <t>Hornillos, parrillas y asadores</t>
  </si>
  <si>
    <t>Aparatos para la preparación de café o té</t>
  </si>
  <si>
    <t>Tostadoras de pan</t>
  </si>
  <si>
    <t>Calentadores eléctricos de agua de calentamiento instantáneo o… (los demás)</t>
  </si>
  <si>
    <t>Calentadores eléctricos de agua de calentamiento instantáneo o…, partes</t>
  </si>
  <si>
    <t>Teléfonos de auricular inalámbrico combinado con micrófono</t>
  </si>
  <si>
    <t>Teléfonos móviles (celulares) y los de otras redes inalámbricas</t>
  </si>
  <si>
    <t>8517130000</t>
  </si>
  <si>
    <t>Teléfonos inteligentes</t>
  </si>
  <si>
    <t>8517140000</t>
  </si>
  <si>
    <t>Teléfonos, incluidos los teléfonos inteligentes y demás teléfonos… (los demás, teléfonos móviles (celulares) y los de otras redes)</t>
  </si>
  <si>
    <t>Teléfonos, incluidos los teléfonos inteligentes y demás teléfonos… (los demás)</t>
  </si>
  <si>
    <t>Estaciones base</t>
  </si>
  <si>
    <t>Aparatos de conmutación para telefonía o telegrafía, automáticos</t>
  </si>
  <si>
    <t>Aparatos de telecomunicación por corriente portadora o telecomunicación digital</t>
  </si>
  <si>
    <t>Aparatos para la recepción, conversión, emisión y transmisión o… (los demás)</t>
  </si>
  <si>
    <t>Teléfonos, incluidos los teléfonos inteligentes y demás teléfonos…, videófonos</t>
  </si>
  <si>
    <t>Aparatos emisores o receptores, de radiotelefonía o radiotelegrafía</t>
  </si>
  <si>
    <t>Partes</t>
  </si>
  <si>
    <t>8517710000</t>
  </si>
  <si>
    <t>Antenas y reflectores de antena de cualquier tipo; partes identificables para ser utilizadas con dichos artículos</t>
  </si>
  <si>
    <t>8517790000</t>
  </si>
  <si>
    <t>Teléfonos, incluidos los teléfonos inteligentes y…, partes (los demás)</t>
  </si>
  <si>
    <t>Micrófonos y sus soportes</t>
  </si>
  <si>
    <t>Un altavoz (altoparlante) montado en su caja</t>
  </si>
  <si>
    <t>Varios altavoces (altoparlantes) montados en una misma caja</t>
  </si>
  <si>
    <t>Altavoces (altoparlantes), incluso montados en sus cajas (los demás)</t>
  </si>
  <si>
    <t xml:space="preserve">Auriculares, incluidos los de casco, estén o no combinados con micrófono, y juegos o conjuntos constituidos por un micrófono y uno o varios altavoces </t>
  </si>
  <si>
    <t>Amplificadores eléctricos de audiofrecuencia</t>
  </si>
  <si>
    <t>Equipos eléctricos para amplificación de sonido</t>
  </si>
  <si>
    <t>Conos, diafragmas, yugos</t>
  </si>
  <si>
    <t>Micrófonos y sus soportes, partes (los demás)</t>
  </si>
  <si>
    <t>Aparatos activados con monedas, billetes, tarjetas, fichas o cualquier otro medio de pago</t>
  </si>
  <si>
    <t>Giradiscos, con cambiador automático de discos</t>
  </si>
  <si>
    <t>Giradiscos (los demás)</t>
  </si>
  <si>
    <t>Contestadores telefónicos</t>
  </si>
  <si>
    <t>Aparatos de grabación de sonido, que utilizan un soporte magnético, óptico o semiconductor, reproductores de casetes (tocacasetes)</t>
  </si>
  <si>
    <t>Aparatos de grabación de sonido, que utilizan un soporte magnético, óptico o semiconductor, reproductores por sistema de lectura óptica</t>
  </si>
  <si>
    <t>Aparatos de grabación de sonido, que utilizan un soporte magnético, óptico o semiconductor (los demás)</t>
  </si>
  <si>
    <t>Aparatos de grabación de sonido, tocadiscos</t>
  </si>
  <si>
    <t>Aparatos de grabación de sonido (los demás)</t>
  </si>
  <si>
    <t>Aparatos de grabación o reproducción de imagen y sonido (videos)…, de cinta magnética</t>
  </si>
  <si>
    <t>Aparatos de grabación o reproducción de imagen y sonido (videos)…, del tipo de las utilizadas para grabación en discos compactos</t>
  </si>
  <si>
    <t>Aparatos de grabación o reproducción de imagen y sonido (videos)… (los demás)</t>
  </si>
  <si>
    <t>Cápsulas fonocaptoras</t>
  </si>
  <si>
    <t>Muebles o cajas</t>
  </si>
  <si>
    <t>Puntas de zafiro o de diamante, sin montar</t>
  </si>
  <si>
    <t>Mecanismo reproductor por sistema de lectura óptica</t>
  </si>
  <si>
    <t>Mecanismo reproductor de casetes</t>
  </si>
  <si>
    <t>Partes y accesorios identificables como destinados, exclusiva o… (los demás)</t>
  </si>
  <si>
    <t>Tarjetas con banda magnética incorporada</t>
  </si>
  <si>
    <t>Discos magnéticos</t>
  </si>
  <si>
    <t>Cintas magnéticas sin grabar, de anchura inferior o igual a 4 mm</t>
  </si>
  <si>
    <t>Cintas magnéticas sin grabar, de anchura superior a 4 mm pero inferior o igual a 6,5 mm</t>
  </si>
  <si>
    <t>Cintas magnéticas sin grabar, de anchura superior a 6,5 mm</t>
  </si>
  <si>
    <t>Cintas magnéticas grabadas, de anchura inferior o igual a 4 mm (los demás)</t>
  </si>
  <si>
    <t>Cintas magnéticas grabadas, de anchura superior a 4 mm pero inferior o igual a 6,5 mm, para reproducir fenómenos distintos del sonido o imagen</t>
  </si>
  <si>
    <t>Cintas magnéticas grabadas, de anchura superior a 4 mm pero inferior o igual a 6,5 mm (los demás)</t>
  </si>
  <si>
    <t>Cintas magnéticas grabadas, de anchura superior a 6,5 mm, para reproducir fenómenos distintos del sonido o imagen</t>
  </si>
  <si>
    <t>Cintas magnéticas grabadas, de anchura superior a 6,5 mm (los demás)</t>
  </si>
  <si>
    <t>Soportes magnéticos (los demás)</t>
  </si>
  <si>
    <t>Soportes ópticos, sin grabar</t>
  </si>
  <si>
    <t>Soportes ópticos, para reproducir sonido</t>
  </si>
  <si>
    <t>Soportes ópticos, para reproducir imagen o imagen y sonido</t>
  </si>
  <si>
    <t>Soportes ópticos (los demás)</t>
  </si>
  <si>
    <t>Dispositivos de almacenamiento permanente de datos a base de semiconductores</t>
  </si>
  <si>
    <t>Tarjetas y etiquetas de activación por proximidad</t>
  </si>
  <si>
    <t>Discos («ceras» vírgenes y «flanes»), cintas, películas y demás moldes o matrices preparados</t>
  </si>
  <si>
    <t>8523802100</t>
  </si>
  <si>
    <t>Discos para tocadiscos, de enseñanza</t>
  </si>
  <si>
    <t>Sin grabar</t>
  </si>
  <si>
    <t>Grabados</t>
  </si>
  <si>
    <t>Discos para tocadiscos, sin grabar</t>
  </si>
  <si>
    <t>Discos para tocadiscos, grabados</t>
  </si>
  <si>
    <t>Discos, cintas, dispositivos de almacenamiento permanente de datos a…, para reproducir fenómenos distintos del sonido o imagen</t>
  </si>
  <si>
    <t>Discos, cintas, dispositivos de almacenamiento permanente de datos a… (los demás)</t>
  </si>
  <si>
    <t>8524110010</t>
  </si>
  <si>
    <t>Módulos de visualización («display») de pantalla…, sin controladores («drivers») ni circuitos de control, de cristal líquido, de aparatos de las parti</t>
  </si>
  <si>
    <t>8524110090</t>
  </si>
  <si>
    <t>Módulos de visualización («display») de pantalla…, sin controladores («drivers») ni circuitos de control, de cristal líquido (los demás)</t>
  </si>
  <si>
    <t>8524120010</t>
  </si>
  <si>
    <t xml:space="preserve">Módulos de visualización («display») de pantalla…, sin controladores («drivers») ni circuitos de control, de diodos emisores de luz orgánicos (OLED), </t>
  </si>
  <si>
    <t>8524120090</t>
  </si>
  <si>
    <t>Módulos de visualización («display») de pantalla…, sin controladores («drivers») ni circuitos de control, de diodos emisores de luz orgánicos (OLED) (</t>
  </si>
  <si>
    <t>8524190010</t>
  </si>
  <si>
    <t>Módulos de visualización («display») de pantalla…, sin controladores («drivers») ni circuitos de control, de aparatos de las partidas 85.08, 85.09, 85</t>
  </si>
  <si>
    <t>8524190090</t>
  </si>
  <si>
    <t>Módulos de visualización («display») de pantalla…, sin controladores («drivers») ni circuitos de control (los demás)</t>
  </si>
  <si>
    <t>8524910010</t>
  </si>
  <si>
    <t>Módulos de visualización («display») de pantalla…, de cristal líquido, de aparatos de las partidas 85.08, 85.09, 85.10, 85.16, 85.18, 90.06, 90.21, 95</t>
  </si>
  <si>
    <t>8524910090</t>
  </si>
  <si>
    <t>Módulos de visualización («display») de pantalla…, de cristal líquido (los demás)</t>
  </si>
  <si>
    <t>8524920010</t>
  </si>
  <si>
    <t>Módulos de visualización («display») de pantalla…, de diodos emisores de luz orgánicos (OLED), de aparatos de las partidas 85.08, 85.09, 85.10, 85.16,</t>
  </si>
  <si>
    <t>8524920090</t>
  </si>
  <si>
    <t>Módulos de visualización («display») de pantalla…, de diodos emisores de luz orgánicos (OLED) (los demás)</t>
  </si>
  <si>
    <t>8524990010</t>
  </si>
  <si>
    <t>Módulos de visualización («display») de pantalla plana, incluso que…, de aparatos de las partidas 85.08, 85.09, 85.10, 85.16, 85.18, 90.06, 90.21, 95.</t>
  </si>
  <si>
    <t>8524990090</t>
  </si>
  <si>
    <t>Módulos de visualización («display») de pantalla plana, incluso que… (los demás)</t>
  </si>
  <si>
    <t>Aparatos emisores, de radiodifusión</t>
  </si>
  <si>
    <t>Aparatos emisores, de televisión</t>
  </si>
  <si>
    <t>Aparatos emisores con aparato receptor incorporado, de radiodifusión</t>
  </si>
  <si>
    <t>Aparatos emisores con aparato receptor incorporado, de televisión</t>
  </si>
  <si>
    <t>Cámaras de televisión</t>
  </si>
  <si>
    <t>8525810000</t>
  </si>
  <si>
    <t>Ultrarrápidas, especificadas en la Nota 1 de subpartida de este Capítulo</t>
  </si>
  <si>
    <t>8525820000</t>
  </si>
  <si>
    <t>Cámaras de televisión, cámaras digitales y videocámaras (los demás, resistentes a radiaciones, especificadas en la Nota 2 de subpartida de este Capítu</t>
  </si>
  <si>
    <t>8525830000</t>
  </si>
  <si>
    <t>Cámaras de televisión, cámaras digitales y videocámaras (los demás, de visión nocturna, especificadas en la Nota 3 de subpartida de este Capítulo)</t>
  </si>
  <si>
    <t>8525890000</t>
  </si>
  <si>
    <t>Cámaras de televisión, cámaras digitales y videocámaras (los demás)</t>
  </si>
  <si>
    <t>Aparatos de radar</t>
  </si>
  <si>
    <t>Aparatos de radionavegación</t>
  </si>
  <si>
    <t>Aparatos de radiotelemando</t>
  </si>
  <si>
    <t>Radiocasetes de bolsillo</t>
  </si>
  <si>
    <t>Aparatos receptores de radiodifusión que puedan funcionar sin fuente… (los demás, aparatos combinados con grabador o reproductor de sonido)</t>
  </si>
  <si>
    <t>Aparatos receptores de radiodifusión que puedan funcionar sin fuente… (los demás)</t>
  </si>
  <si>
    <t>Combinados con grabador o reproductor de sonido</t>
  </si>
  <si>
    <t>Aparatos receptores de radiodifusión que solo funcionen con fuente de… (los demás)</t>
  </si>
  <si>
    <t>Aparatos receptores de radiodifusión, incluso combinados en la misma…, sin combinar con grabador o reproductor de sonido, pero combinados con reloj</t>
  </si>
  <si>
    <t>Aparatos receptores de radiodifusión, incluso combinados en la misma… (los demás)</t>
  </si>
  <si>
    <t>Aptos para ser conectados directamente y diseñados para ser utilizados con una máquina automática para tratamiento o procesamiento de datos de la part</t>
  </si>
  <si>
    <t>Monitores con tubo de rayos catódicos (los demás)</t>
  </si>
  <si>
    <t>Monitores y proyectores, que no incorporen aparato receptor de… (los demás)</t>
  </si>
  <si>
    <t>Proyectores (los demás)</t>
  </si>
  <si>
    <t>No diseñados para incorporar un dispositivo de visualización («display») o pantalla de vídeo</t>
  </si>
  <si>
    <t>Aparatos receptores de televisión, incluso con aparato receptor de… (los demás, en colores)</t>
  </si>
  <si>
    <t>Aparatos receptores de televisión, incluso con aparato receptor de… (los demás, monocromos)</t>
  </si>
  <si>
    <t>Antenas de ferrita</t>
  </si>
  <si>
    <t>Antenas parabólicas</t>
  </si>
  <si>
    <t>Antenas y reflectores de antena de cualquier tipo (los demás, ; partes)</t>
  </si>
  <si>
    <t>Tarjetas con componentes impresos o de superficie</t>
  </si>
  <si>
    <t>Partes identificables como destinadas, exclusiva o principalmente, a l (los demás)</t>
  </si>
  <si>
    <t>8529909010</t>
  </si>
  <si>
    <t xml:space="preserve">Partes identificables como destinadas, exclusiva o principalmente, a…, partes de módulos de visualización («display») de pantallas planas de aparatos </t>
  </si>
  <si>
    <t>8529909090</t>
  </si>
  <si>
    <t>Aparatos para vías férreas o similares</t>
  </si>
  <si>
    <t>Semáforos y sus cajas de control</t>
  </si>
  <si>
    <t>Aparatos eléctricos de señalización (los demás)</t>
  </si>
  <si>
    <t>Aparatos eléctricos de señalización, partes</t>
  </si>
  <si>
    <t>Avisadores eléctricos de protección contra robo o incendio y aparatos similares</t>
  </si>
  <si>
    <t>Tableros indicadores con dispositivos de cristal líquido (LCD) o diodos emisores de luz (LED), incorporados</t>
  </si>
  <si>
    <t>Condensadores fijos diseñados para redes eléctricas de 50/60 Hz, para una potencia reactiva superior o igual a 0,5 kvar (condensadores de potencia)</t>
  </si>
  <si>
    <t>Condensadores eléctricos fijos, variables o ajustables, de tantalio</t>
  </si>
  <si>
    <t>Electrolíticos de aluminio</t>
  </si>
  <si>
    <t>Condensadores eléctricos fijos, variables o ajustables, con dieléctrico de cerámica de una sola capa</t>
  </si>
  <si>
    <t>Condensadores eléctricos fijos, variables o ajustables, con dieléctrico de cerámica, multicapas</t>
  </si>
  <si>
    <t>Condensadores eléctricos fijos, variables o ajustables, con dieléctrico de papel o plástico</t>
  </si>
  <si>
    <t>Condensadores eléctricos fijos, variables o ajustables (los demás)</t>
  </si>
  <si>
    <t>Condensadores variables o ajustables</t>
  </si>
  <si>
    <t>Condensadores eléctricos fijos, variables o ajustables, partes</t>
  </si>
  <si>
    <t>Resistencias fijas de carbono, aglomeradas o de capa</t>
  </si>
  <si>
    <t>Resistencias eléctricas, de potencia inferior o igual a 20 W</t>
  </si>
  <si>
    <t>Resistencias eléctricas (los demás)</t>
  </si>
  <si>
    <t>Resistencias variables bobinadas (incluidos reóstatos…, de potencia inferior o igual a 20 W, potenciómetros</t>
  </si>
  <si>
    <t>Reóstatos para una tensión inferior o igual a 260 V e intensidad inferior o igual a 30 A</t>
  </si>
  <si>
    <t>Resistencias variables bobinadas (incluidos reóstatos y… (los demás, reóstatos)</t>
  </si>
  <si>
    <t>Resistencias variables bobinadas (incluidos reóstatos y…, potenciómetros</t>
  </si>
  <si>
    <t>Resistencias variables bobinadas (incluidos reóstatos y… (los demás)</t>
  </si>
  <si>
    <t>Resistencias eléctricas (los demás, reóstatos)</t>
  </si>
  <si>
    <t>Potenciómetros de carbón</t>
  </si>
  <si>
    <t>Resistencias eléctricas (los demás, potenciómetros)</t>
  </si>
  <si>
    <t>Resistencias eléctricas, partes</t>
  </si>
  <si>
    <t>Disyuntores, para una tensión inferior a 72,5 kV</t>
  </si>
  <si>
    <t>Disyuntores (los demás)</t>
  </si>
  <si>
    <t>Seccionadores e interruptores</t>
  </si>
  <si>
    <t>Pararrayos y limitadores de tensión</t>
  </si>
  <si>
    <t>Supresores de sobretensión transitoria («Amortiguadores de onda»)</t>
  </si>
  <si>
    <t>Aparatos para corte, seccionamiento, protección, derivación, empalme…, conmutadores</t>
  </si>
  <si>
    <t>Aparatos para corte, seccionamiento, protección, derivación, empalme… (los demás)</t>
  </si>
  <si>
    <t>Fusibles para vehículos del Capítulo 87</t>
  </si>
  <si>
    <t>Fusibles y cortacircuitos de fusible (los demás, para una tensión inferior o igual a 260 V e intensidad inferior o igual a 30 A)</t>
  </si>
  <si>
    <t>Disyuntores, para una tensión inferior o igual a 260 V e intensidad inferior o igual a 100 A</t>
  </si>
  <si>
    <t>Descargadores con electrodos en atmósfera gaseosa, para proteger líneas telefónicas</t>
  </si>
  <si>
    <t>Supresores de sobretensión transitoria («Amortiguadores de onda») (los demás)</t>
  </si>
  <si>
    <t>Relés, para una tensión superior a 60 V pero inferior o igual a 260 V e…, contactores</t>
  </si>
  <si>
    <t>Relés, para una tensión superior a 60 V pero inferior o igual a 260 V e… (los demás)</t>
  </si>
  <si>
    <t>Relés (los demás)</t>
  </si>
  <si>
    <t>Aparatos para corte, seccionamiento, protección…, para una tensión inferior o igual a 260 V e intensidad inferior o…, para vehículos del Capítulo 87</t>
  </si>
  <si>
    <t>Conectores de fibras ópticas, haces o cables de fibras ópticas</t>
  </si>
  <si>
    <t>Terminales para una tensión inferior o igual a 24 V</t>
  </si>
  <si>
    <t>Controladores lógicos programables (PLC)</t>
  </si>
  <si>
    <t>Cuadros, paneles, consolas, armarios y demás soportes equipados con…, para una tensión superior a 1.000 V</t>
  </si>
  <si>
    <t>Cuadros, paneles, consolas, armarios y demás soportes de la partida 85.37, sin sus aparatos</t>
  </si>
  <si>
    <t>Faros o unidades «sellados»</t>
  </si>
  <si>
    <t>Halógenos, de volframio (tungsteno)</t>
  </si>
  <si>
    <t>Lámparas y tubos eléctricos de incandescencia o de descarga…, tipo miniatura</t>
  </si>
  <si>
    <t>Lámparas y tubos eléctricos de incandescencia o de descarga… (los demás)</t>
  </si>
  <si>
    <t>Lámparas y tubos eléctricos de incandescencia o de descarga…, para lámparas de luz sin sombra o «escialíticas»</t>
  </si>
  <si>
    <t>Tubulares rectos</t>
  </si>
  <si>
    <t>Tubulares circulares</t>
  </si>
  <si>
    <t>Compactos integrados y no integrados (lámparas compactas fluorescentes)</t>
  </si>
  <si>
    <t>Fluorescentes, de cátodo caliente (los demás)</t>
  </si>
  <si>
    <t>Lámparas de vapor de mercurio o sodio; lámparas de halogenuro metálico</t>
  </si>
  <si>
    <t>Lámparas y tubos de descarga, para la producción de luz relámpago</t>
  </si>
  <si>
    <t>Lámparas y tubos de descarga (los demás)</t>
  </si>
  <si>
    <t>Lámparas de arco</t>
  </si>
  <si>
    <t>Lámparas y tubos de rayos ultravioletas o infrarrojos (los demás)</t>
  </si>
  <si>
    <t>Lámparas y tubos de diodos emisores de luz (LED)</t>
  </si>
  <si>
    <t>8539510010</t>
  </si>
  <si>
    <t>Módulos de diodos emisores de luz (LED), de luminarias y aparatos de alumbrado de la subpartida 9405.11, excepto para lámparas de salas de cirugía u o</t>
  </si>
  <si>
    <t>8539510090</t>
  </si>
  <si>
    <t>Módulos de diodos emisores de luz (LED) (los demás)</t>
  </si>
  <si>
    <t>8539520000</t>
  </si>
  <si>
    <t>Casquillos de rosca</t>
  </si>
  <si>
    <t>Lámparas y tubos eléctricos de incandescencia o de descarga, incluidos (los demás)</t>
  </si>
  <si>
    <t>8539909010</t>
  </si>
  <si>
    <t>Lámparas y tubos eléctricos de incandescencia o de…, partes, de módulos de diodos emisores de luz (LED) de la subpartida 8539.51.00.10</t>
  </si>
  <si>
    <t>8539909020</t>
  </si>
  <si>
    <t>Lámparas y tubos eléctricos de incandescencia o de…, partes, de los demás módulos de diodos emisores de luz (LED)</t>
  </si>
  <si>
    <t>8539909030</t>
  </si>
  <si>
    <t>Lámparas y tubos eléctricos de incandescencia o de…, partes, de lámparas y tubos de diodos emisores de luz (LED)</t>
  </si>
  <si>
    <t>8539909090</t>
  </si>
  <si>
    <t>Lámparas y tubos eléctricos de incandescencia o de…, partes (los demás)</t>
  </si>
  <si>
    <t>Tubos de rayos catódicos para aparatos receptores de televisión…, en colores</t>
  </si>
  <si>
    <t>Tubos de rayos catódicos para aparatos receptores de televisión…, monocromos</t>
  </si>
  <si>
    <t>Tubos para cámaras de televisión; tubos convertidores o intensificadores de imagen; los demás tubos de fotocátodo</t>
  </si>
  <si>
    <t>Tubos para visualizar datos gráficos monocromos; tubos para visualizar datos gráficos en colores, con pantalla fosfórica de separación de puntos infer</t>
  </si>
  <si>
    <t>Lámparas, tubos y válvulas electrónicos, de cátodo caliente, cátodo… (los demás, tubos de rayos catódicos)</t>
  </si>
  <si>
    <t>Tubos para hiperfrecuencias (por ejemplo, magnetrones</t>
  </si>
  <si>
    <t>Tubos para hiperfrecuencias (por ejemplo (los demás)</t>
  </si>
  <si>
    <t>Tubos receptores o amplificadores</t>
  </si>
  <si>
    <t>Lámparas, tubos y válvulas electrónicos, de cátodo caliente, cátodo… (los demás)</t>
  </si>
  <si>
    <t>Lámparas, tubos y válvulas electrónicos, de cátodo…, partes, de tubos de rayos catódicos</t>
  </si>
  <si>
    <t>Lámparas, tubos y válvulas electrónicos, de cátodo…, partes (los demás)</t>
  </si>
  <si>
    <t>Diodos, excepto los fotodiodos y los diodos emisores de luz (LED)</t>
  </si>
  <si>
    <t>Transistores, con una capacidad de disipación inferior a 1 W</t>
  </si>
  <si>
    <t>Transistores (los demás)</t>
  </si>
  <si>
    <t>Tiristores, diacs y triacs, excepto los dispositivos fotosensibles</t>
  </si>
  <si>
    <t>Células fotovoltaicas, aunque estén ensambladas en módulos o paneles</t>
  </si>
  <si>
    <t>Dispositivos semiconductores (por ejemplo: diodos, transistores, trans (los demás)</t>
  </si>
  <si>
    <t>8541410000</t>
  </si>
  <si>
    <t>Diodos emisores de luz (LED)</t>
  </si>
  <si>
    <t>8541420000</t>
  </si>
  <si>
    <t>Células fotovoltaicas sin ensamblar en módulos ni paneles</t>
  </si>
  <si>
    <t>8541430000</t>
  </si>
  <si>
    <t>Células fotovoltaicas ensambladas en módulos o paneles</t>
  </si>
  <si>
    <t>8541490000</t>
  </si>
  <si>
    <t>Dispositivos semiconductores fotosensibles, incluidas las células… (los demás)</t>
  </si>
  <si>
    <t>8541510010</t>
  </si>
  <si>
    <t>Transductores basados en semiconductores, de aparatos de las partidas 85.18, 90.25, 93.05, 93.06 y 95.04</t>
  </si>
  <si>
    <t>8541510090</t>
  </si>
  <si>
    <t>Transductores basados en semiconductores (los demás)</t>
  </si>
  <si>
    <t>8541590010</t>
  </si>
  <si>
    <t>Dispositivos semiconductores (por ejemplo, de aparatos de las partidas 85.18, 90.25, 93.05, 93.06 y 95.04</t>
  </si>
  <si>
    <t>8541590090</t>
  </si>
  <si>
    <t>Dispositivos semiconductores (por ejemplo (los demás)</t>
  </si>
  <si>
    <t>Cristales piezoeléctricos montados</t>
  </si>
  <si>
    <t>Dispositivos semiconductores (por ejemplo, partes</t>
  </si>
  <si>
    <t>Circuitos electrónicos integrados, memorias</t>
  </si>
  <si>
    <t>Circuitos electrónicos integrados, amplificadores</t>
  </si>
  <si>
    <t>Circuitos electrónicos integrados (los demás)</t>
  </si>
  <si>
    <t>Circuitos electrónicos integrados, partes</t>
  </si>
  <si>
    <t>Aceleradores de partículas</t>
  </si>
  <si>
    <t>Generadores de señales</t>
  </si>
  <si>
    <t>Máquinas y aparatos de galvanoplastia, electrólisis o electroforesis</t>
  </si>
  <si>
    <t>8543400000</t>
  </si>
  <si>
    <t>Cigarrillos electrónicos y dispositivos personales de vaporización eléctricos similares</t>
  </si>
  <si>
    <t>Electrificadores de cercas</t>
  </si>
  <si>
    <t>Detectores de metales</t>
  </si>
  <si>
    <t>Mando a distancia (control remoto)</t>
  </si>
  <si>
    <t>Máquinas y aparatos eléctricos con función propia, no expresados ni… (los demás)</t>
  </si>
  <si>
    <t>Máquinas y aparatos eléctricos con función propia, no expresados ni…, partes</t>
  </si>
  <si>
    <t>Alambre para bobinar, de cobre</t>
  </si>
  <si>
    <t>Alambre para bobinar (los demás)</t>
  </si>
  <si>
    <t>Juegos de cables para bujías de encendido y demás juegos de cables de los tipos utilizados en los medios de transporte</t>
  </si>
  <si>
    <t>Provistos de piezas de conexión, de telecomunicación</t>
  </si>
  <si>
    <t>Hilos, cables (incluidos los coaxiales) y demás…, de cobre, para una tensión inferior o igual a 80 V</t>
  </si>
  <si>
    <t>Hilos, cables (incluidos los coaxiales) y demás conductores aislados…, para una tensión inferior o igual a 80 V</t>
  </si>
  <si>
    <t>Cables de fibras ópticas</t>
  </si>
  <si>
    <t>Electrodos, de los tipos utilizados en hornos</t>
  </si>
  <si>
    <t>Electrodos (los demás)</t>
  </si>
  <si>
    <t>Escobillas</t>
  </si>
  <si>
    <t>Carbones para pilas</t>
  </si>
  <si>
    <t>Electrodos y escobillas de carbón, carbón para lámparas o pilas y… (los demás)</t>
  </si>
  <si>
    <t>Aisladores eléctricos de cualquier materia, de vidrio</t>
  </si>
  <si>
    <t>Aisladores eléctricos de cualquier materia, de cerámica</t>
  </si>
  <si>
    <t>Aisladores eléctricos de cualquier materia, de silicona</t>
  </si>
  <si>
    <t>Aisladores eléctricos de cualquier materia (los demás)</t>
  </si>
  <si>
    <t>Cuerpos de bujías</t>
  </si>
  <si>
    <t>Piezas aislantes de cerámica (los demás)</t>
  </si>
  <si>
    <t>Piezas aislantes de plástico</t>
  </si>
  <si>
    <t>Tubos y sus piezas de unión, de metales comunes, aislados interiormente</t>
  </si>
  <si>
    <t>Piezas aislantes totalmente de materia aislante o con simples piezas… (los demás)</t>
  </si>
  <si>
    <t>8548000000</t>
  </si>
  <si>
    <t>Piezas aislantes totalmente de materia aislante o con simples piezas…, partes eléctricas de máquinas o aparatos, no expresadas ni comprendidas en otra</t>
  </si>
  <si>
    <t>Desperdicios y desechos de pilas, baterías de pilas o acumuladores, eléctricos; pilas, baterías de pilas y acumuladores, eléctricos, inservibles</t>
  </si>
  <si>
    <t>Piezas aislantes totalmente de materia aislante o con simples piezas m (los demás)</t>
  </si>
  <si>
    <t>8549110000</t>
  </si>
  <si>
    <t>Desperdicios y desechos de acumuladores de plomo y ácido; acumuladores de plomo y ácido inservibles</t>
  </si>
  <si>
    <t>8549120000</t>
  </si>
  <si>
    <t>Desperdicios y desechos, de pilas, baterías de pilas o acumuladores… (los demás, que contengan plomo, cadmio o mercurio)</t>
  </si>
  <si>
    <t>8549130000</t>
  </si>
  <si>
    <t>Clasificados por tipo de componente químico, que no contengan plomo, cadmio o mercurio</t>
  </si>
  <si>
    <t>8549140000</t>
  </si>
  <si>
    <t>Desperdicios y desechos, de pilas, baterías de pilas o acumuladores…, sin clasificar, que no contengan plomo, cadmio o mercurio</t>
  </si>
  <si>
    <t>8549190000</t>
  </si>
  <si>
    <t>Desperdicios y desechos, de pilas, baterías de pilas o acumuladores… (los demás)</t>
  </si>
  <si>
    <t>8549210000</t>
  </si>
  <si>
    <t xml:space="preserve">Desperdicios y desechos, eléctricos y electrónicos, de los tipos utilizados principalmente para la recuperación de…, que contengan pilas, baterías de </t>
  </si>
  <si>
    <t>8549290000</t>
  </si>
  <si>
    <t>Desperdicios y desechos, eléctricos y electrónicos, de los tipos utilizados principalmente para la recuperación de… (los demás)</t>
  </si>
  <si>
    <t>8549310000</t>
  </si>
  <si>
    <t>Desperdicios y desechos, eléctricos y electrónicos, que contengan pilas, baterías de pilas, acumuladores eléctricos, interruptores de mercurio, vidrio</t>
  </si>
  <si>
    <t>8549390000</t>
  </si>
  <si>
    <t>Desperdicios y desechos, eléctricos y electrónicos (los demás)</t>
  </si>
  <si>
    <t>8549910000</t>
  </si>
  <si>
    <t>8549990000</t>
  </si>
  <si>
    <t>Locomotoras y locotractores, de fuente externa de electricidad o…, de fuente externa de electricidad</t>
  </si>
  <si>
    <t>Locomotoras y locotractores, de fuente externa de electricidad o…, de acumuladores eléctricos</t>
  </si>
  <si>
    <t>Locomotoras diésel-eléctricas</t>
  </si>
  <si>
    <t>Vehículos y material para vías férreas o similares, y sus partes (los demás)</t>
  </si>
  <si>
    <t>Automotores para vías férreas y tranvías autopropulsados, de fuente externa de electricidad</t>
  </si>
  <si>
    <t>Automotores para vías férreas y tranvías autopropulsados (los demás)</t>
  </si>
  <si>
    <t>Autopropulsados</t>
  </si>
  <si>
    <t>Vagones cisterna y similares</t>
  </si>
  <si>
    <t>Vagones de descarga automática, excepto los de la subpartida 8606.10</t>
  </si>
  <si>
    <t>Cubiertos y cerrados</t>
  </si>
  <si>
    <t>Abiertos, con pared fija de altura superior a 60 cm</t>
  </si>
  <si>
    <t>Vagones para transporte de mercancías sobre carriles (rieles) (los demás)</t>
  </si>
  <si>
    <t>Bojes y «bissels», de tracción</t>
  </si>
  <si>
    <t>Bojes, «bissels», ejes y ruedas, y sus partes (los demás, bojes y «bissels»)</t>
  </si>
  <si>
    <t>Bojes, «bissels», ejes y ruedas, y sus partes (los demás, incluidas las partes)</t>
  </si>
  <si>
    <t>Frenos de aire comprimido y sus partes</t>
  </si>
  <si>
    <t>Frenos y sus partes (los demás)</t>
  </si>
  <si>
    <t>Ganchos y demás sistemas de enganche, topes, y sus partes</t>
  </si>
  <si>
    <t>Partes de vehículos para vías férreas o similares, de locomotoras o locotractores</t>
  </si>
  <si>
    <t>Partes de vehículos para vías férreas o similares (los demás)</t>
  </si>
  <si>
    <t>Tractores de carretera para semirremolques</t>
  </si>
  <si>
    <t>8701210000</t>
  </si>
  <si>
    <t>Tractores de carretera para semirremolques, únicamente con motor de émbolo (pistón), de encendido por compresión (diésel o semi-diésel)</t>
  </si>
  <si>
    <t>8701220000</t>
  </si>
  <si>
    <t>Equipados para la propulsión con motor de émbolo (pistón), de encendido por compresión (diésel o semi-diésel) y con motor eléctrico</t>
  </si>
  <si>
    <t>8701230000</t>
  </si>
  <si>
    <t>Equipados para la propulsión con motor de émbolo (pistón), de encendido por chispa y con motor eléctrico</t>
  </si>
  <si>
    <t>8701240000</t>
  </si>
  <si>
    <t>Tractores de carretera para semirremolques, únicamente propulsados con motor eléctrico</t>
  </si>
  <si>
    <t>8701290000</t>
  </si>
  <si>
    <t>Tractores de carretera para semirremolques (los demás)</t>
  </si>
  <si>
    <t>Tractores de orugas</t>
  </si>
  <si>
    <t>Tractores, inferior o igual a 18 kW</t>
  </si>
  <si>
    <t>Tractores, superior a 18 kW pero inferior o igual a 37 kW</t>
  </si>
  <si>
    <t>Tractores, superior a 37 kW pero inferior o igual a 75 kW</t>
  </si>
  <si>
    <t>Tractores, superior a 75 kW pero inferior o igual a 130 kW</t>
  </si>
  <si>
    <t>Tractores, superior a 130 kW</t>
  </si>
  <si>
    <t xml:space="preserve">Vehículos automóviles para transporte de diez o más…, únicamente con motor de émbolo (pistón), de encendido por compresión…, para el transporte de un </t>
  </si>
  <si>
    <t>Vehículos automóviles para transporte de diez o más…, únicamente con motor de émbolo (pistón), de encendido por compresión… (los demás)</t>
  </si>
  <si>
    <t>Equipados para la propulsión con motor de émbolo (pistón), de…, para el transporte de un máximo de 16 personas, incluído el conductor</t>
  </si>
  <si>
    <t>Equipados para la propulsión con motor de émbolo (pistón), de… (los demás)</t>
  </si>
  <si>
    <t>Vehículos automóviles para transporte de diez o más…, únicamente propulsados con motor eléctrico, trolebuses</t>
  </si>
  <si>
    <t>Vehículos automóviles para transporte de diez o más…, únicamente propulsados con motor eléctrico (los demás)</t>
  </si>
  <si>
    <t>Únicamente con motor de émbolo o pistón alternativo, de encendido por chispa</t>
  </si>
  <si>
    <t>Vehículos automóviles para transporte de diez o más personas, incluido (los demás)</t>
  </si>
  <si>
    <t>8702902010</t>
  </si>
  <si>
    <t>Vehículos automóviles para transporte de diez o más…, para el transporte de un máximo de 16 personas, incluido el conductor, únicamente con motor de é</t>
  </si>
  <si>
    <t>8702902090</t>
  </si>
  <si>
    <t>Vehículos automóviles para transporte de diez o más…, para el transporte de un máximo de 16 personas, incluido el conductor (los demás)</t>
  </si>
  <si>
    <t>Vehículos automóviles para transporte de diez o más personas…, únicamente con motor de émbolo (pistón), de encendido por chispa</t>
  </si>
  <si>
    <t>Vehículos automóviles para transporte de diez o más personas… (los demás)</t>
  </si>
  <si>
    <t>Vehículos especialmente diseñados para desplazarse sobre nieve; vehículos especiales para transporte de personas en campos de golf y vehículos similar</t>
  </si>
  <si>
    <t>Automóviles de turismo y demás vehículos automóviles…, de cilindrada inferior o igual a 1.000 cm3, ensamblados</t>
  </si>
  <si>
    <t>Automóviles de turismo y demás vehículos automóviles…, de cilindrada inferior o igual a 1.000 cm3 (los demás)</t>
  </si>
  <si>
    <t>Automóviles de turismo y demás vehículos automóviles…, de cilindrada superior a 1.000 cm3 pero inferior o igual a 1.500 cm3, con tracción en las cuatr</t>
  </si>
  <si>
    <t>Coches ambulancias, celulares y mortuorios</t>
  </si>
  <si>
    <t>Automóviles de turismo y demás vehículos automóviles…, de cilindrada superior a 1.000 cm3 pero inferior o igual a 1.500 cm3 (los demás, ensamblados)</t>
  </si>
  <si>
    <t>Automóviles de turismo y demás vehículos automóviles…, de cilindrada superior a 1.000 cm3 pero inferior o igual a 1.500 cm3 (los demás)</t>
  </si>
  <si>
    <t>Automóviles de turismo y demás vehículos automóviles…, de cilindrada superior a 1.500 cm3 pero inferior o igual a 3.000 cm3, con tracción en las cuatr</t>
  </si>
  <si>
    <t>Automóviles de turismo y demás vehículos automóviles…, de cilindrada superior a 1.500 cm3 pero inferior o igual a 3.000 cm3 (los demás, ensamblados)</t>
  </si>
  <si>
    <t>Automóviles de turismo y demás vehículos automóviles…, de cilindrada superior a 1.500 cm3 pero inferior o igual a 3.000 cm3 (los demás)</t>
  </si>
  <si>
    <t>Automóviles de turismo y demás vehículos automóviles…, de cilindrada superior a 3.000 cm3, con tracción en las cuatro ruedas</t>
  </si>
  <si>
    <t>Automóviles de turismo y demás vehículos automóviles…, de cilindrada superior a 3.000 cm3 (los demás, ensamblados)</t>
  </si>
  <si>
    <t>Automóviles de turismo y demás vehículos automóviles…, de cilindrada inferior o igual a 1.500 cm3, con tracción en las cuatro ruedas</t>
  </si>
  <si>
    <t>Automóviles de turismo y demás vehículos automóviles…, de cilindrada inferior o igual a 1.500 cm3 (los demás, ensamblados)</t>
  </si>
  <si>
    <t>Automóviles de turismo y demás vehículos automóviles…, de cilindrada inferior o igual a 1.500 cm3 (los demás)</t>
  </si>
  <si>
    <t>Automóviles de turismo y demás vehículos automóviles…, de cilindrada superior a 1.500 cm3 pero inferior o igual a 2.500 cm3, con tracción en las cuatr</t>
  </si>
  <si>
    <t>Automóviles de turismo y demás vehículos automóviles…, de cilindrada superior a 1.500 cm3 pero inferior o igual a 2.500 cm3 (los demás, ensamblados)</t>
  </si>
  <si>
    <t>Automóviles de turismo y demás vehículos automóviles…, de cilindrada superior a 1.500 cm3 pero inferior o igual a 2.500 cm3 (los demás)</t>
  </si>
  <si>
    <t>Automóviles de turismo y demás vehículos automóviles…, de cilindrada superior a 2.500 cm3, con tracción en las cuatro ruedas</t>
  </si>
  <si>
    <t>Automóviles de turismo y demás vehículos automóviles…, de cilindrada superior a 2.500 cm3 (los demás, ensamblados)</t>
  </si>
  <si>
    <t>Automóviles de turismo y demás vehículos automóviles…, de cilindrada superior a 2.500 cm3 (los demás)</t>
  </si>
  <si>
    <t>Automóviles de turismo y demás vehículos automóviles diseñados…, con tracción en las cuatro ruedas</t>
  </si>
  <si>
    <t>Automóviles de turismo y demás vehículos automóviles diseñados… (los demás, ensamblados)</t>
  </si>
  <si>
    <t>Automóviles de turismo y demás vehículos automóviles diseñados… (los demás)</t>
  </si>
  <si>
    <t>Volquetes automotores diseñados para utilizarlos fuera de la red de carreteras</t>
  </si>
  <si>
    <t>Camionetas pick-up ensambladas</t>
  </si>
  <si>
    <t>Vehículos automóviles para transporte de mercancías, de peso total con carga máxima inferior o igual a 5 t (los demás)</t>
  </si>
  <si>
    <t>Vehículos automóviles para transporte de mercancías, de peso total con carga máxima superior a 5 t pero inferior o igual a…, inferior o igual a 6,2 t</t>
  </si>
  <si>
    <t>Vehículos automóviles para transporte de mercancías, de peso total con carga máxima superior a 5 t pero inferior o igual a…, superior a 6,2 t, pero in</t>
  </si>
  <si>
    <t>Vehículos automóviles para transporte de mercancías, de peso total con carga máxima superior a 5 t pero inferior o igual a…, superior a 9,3 t</t>
  </si>
  <si>
    <t>Vehículos automóviles para transporte de mercancías, de peso total con carga máxima superior a 20 t</t>
  </si>
  <si>
    <t>Vehículos automóviles para transporte de mercancías, de peso total con carga máxima superior a 5 t, inferior o igual a 6,2 t</t>
  </si>
  <si>
    <t>Vehículos automóviles para transporte de mercancías, de peso total con carga máxima superior a 5 t, superior a 6,2 t, pero inferior o igual a 9,3 t</t>
  </si>
  <si>
    <t>Vehículos automóviles para transporte de mercancías, de peso total con carga máxima superior a 5 t, superior a 9,3 t</t>
  </si>
  <si>
    <t>8704411000</t>
  </si>
  <si>
    <t xml:space="preserve">Vehículos automóviles para transporte de mercancías, de peso total con carga máxima inferior o igual a 5 t, de peso total con carga máxima inferior a </t>
  </si>
  <si>
    <t>8704419000</t>
  </si>
  <si>
    <t>8704420000</t>
  </si>
  <si>
    <t>Vehículos automóviles para transporte de mercancías, de peso total con carga máxima superior a 5 t pero inferior o igual a 20 t</t>
  </si>
  <si>
    <t>8704430000</t>
  </si>
  <si>
    <t>8704511000</t>
  </si>
  <si>
    <t>8704519000</t>
  </si>
  <si>
    <t>8704520000</t>
  </si>
  <si>
    <t>Vehículos automóviles para transporte de mercancías, de peso total con carga máxima superior a 5 t</t>
  </si>
  <si>
    <t>8704601000</t>
  </si>
  <si>
    <t>Vehículos automóviles para transporte de mercancías, de peso total con carga máxima inferior a 4,537 t</t>
  </si>
  <si>
    <t>8704609000</t>
  </si>
  <si>
    <t>Vehículos automóviles para transporte de mercancías (los demás)</t>
  </si>
  <si>
    <t>8704901000</t>
  </si>
  <si>
    <t>De peso total con carga máxima inferior a 4,537 t</t>
  </si>
  <si>
    <t>8704909000</t>
  </si>
  <si>
    <t>Camiones grúa</t>
  </si>
  <si>
    <t>Camiones automóviles para sondeo o perforación</t>
  </si>
  <si>
    <t>Camiones de bomberos</t>
  </si>
  <si>
    <t>Coches barredera</t>
  </si>
  <si>
    <t>Coches barredera, regadores y análogos para la limpieza de vías… (los demás)</t>
  </si>
  <si>
    <t>Coches radiológicos</t>
  </si>
  <si>
    <t>Vehículos automóviles para usos especiales (los demás)</t>
  </si>
  <si>
    <t>Vehículos automóviles para usos especiales, de vehículos de la partida 87.03</t>
  </si>
  <si>
    <t>Vehículos automóviles para usos especiales, de vehículos de las subpartidas 8704.21 y 8704.31, de peso total con carga máxima inferior a 4,537 t</t>
  </si>
  <si>
    <t>Vehículos automóviles para usos especiales, de vehículos de las subpartidas 8704.21 y 8704.31 (los demás)</t>
  </si>
  <si>
    <t>Vehículos automóviles para usos especiales, de vehículos de peso total con carga máxima superior a 5 t pero inferior o igual a 6,2 t</t>
  </si>
  <si>
    <t>Vehículos automóviles para usos especiales, de vehículos de peso total con carga máxima superior a 6,2 t</t>
  </si>
  <si>
    <t>Carrocerías de vehículos automóviles de las partidas 87.01 a 87.05…, de vehículos de la partida 87.02</t>
  </si>
  <si>
    <t>Carrocerías de vehículos automóviles de las partidas 87.01 a 87.05… (los demás)</t>
  </si>
  <si>
    <t>Parachoques (paragolpes, defensas) y sus partes</t>
  </si>
  <si>
    <t>8708220000</t>
  </si>
  <si>
    <t>Parabrisas, vidrios traseros (lunetas) y demás ventanillas especificados en la Nota 1 de subpartida de este Capítulo</t>
  </si>
  <si>
    <t>Techos (capotas)</t>
  </si>
  <si>
    <t>Guardafangos, cubiertas de motor, flancos, puertas, y sus partes</t>
  </si>
  <si>
    <t>Rejillas delanteras (persianas, parrillas)</t>
  </si>
  <si>
    <t>Tableros de instrumentos (salpicaderos)</t>
  </si>
  <si>
    <t>Vidrios enmarcados; vidrios, incluso enmarcados, con resistencias calentadoras o dispositivos de conexión eléctrica</t>
  </si>
  <si>
    <t>Partes y accesorios de vehículos automóviles de las partidas 87.01 a… (los demás)</t>
  </si>
  <si>
    <t>Guarniciones de frenos montadas</t>
  </si>
  <si>
    <t>Frenos y servofrenos, tambores</t>
  </si>
  <si>
    <t>Sistemas neumáticos</t>
  </si>
  <si>
    <t>Sistemas hidráulicos</t>
  </si>
  <si>
    <t>Frenos y servofrenos, servofrenos</t>
  </si>
  <si>
    <t>Frenos y servofrenos, discos</t>
  </si>
  <si>
    <t>Frenos y servofrenos (los demás, partes)</t>
  </si>
  <si>
    <t>Cajas de cambio</t>
  </si>
  <si>
    <t>Cajas de cambio y sus partes, partes</t>
  </si>
  <si>
    <t>Ejes con diferencial</t>
  </si>
  <si>
    <t>Ejes con diferencial, incluso provistos con otros órganos de…, partes</t>
  </si>
  <si>
    <t>Ejes portadores</t>
  </si>
  <si>
    <t>Ejes portadores y sus partes, partes</t>
  </si>
  <si>
    <t>Embellecedores de ruedas (tapacubos, copas, vasos) y demás accesorios</t>
  </si>
  <si>
    <t>Rótulas y sus partes</t>
  </si>
  <si>
    <t>Amortiguadores y sus partes</t>
  </si>
  <si>
    <t>Sistemas de suspensión y sus partes (incluidos los amortiguadores) (los demás)</t>
  </si>
  <si>
    <t>Silenciadores y tubos (caños) de escape; sus partes</t>
  </si>
  <si>
    <t>Embragues y sus partes, embragues</t>
  </si>
  <si>
    <t>Platos (prensas) y discos</t>
  </si>
  <si>
    <t>Embragues y sus partes, partes (los demás)</t>
  </si>
  <si>
    <t>Volantes, columnas y cajas de dirección; sus partes</t>
  </si>
  <si>
    <t>Bolsas inflables de seguridad con sistema de inflado (airbag); sus partes</t>
  </si>
  <si>
    <t>Bastidores de chasis</t>
  </si>
  <si>
    <t>Bastidores de chasis y sus partes, partes</t>
  </si>
  <si>
    <t>Transmisiones cardánicas</t>
  </si>
  <si>
    <t>Transmisiones cardánicas y sus partes, partes</t>
  </si>
  <si>
    <t>Sistemas mecánicos</t>
  </si>
  <si>
    <t>Sistemas de dirección y sus partes, terminales</t>
  </si>
  <si>
    <t>Sistemas de dirección y sus partes (los demás, partes)</t>
  </si>
  <si>
    <t>Trenes de rodamiento de oruga y sus partes</t>
  </si>
  <si>
    <t>Tanques para carburante</t>
  </si>
  <si>
    <t>Cargador y sensor de bloqueo para cinturones de seguridad</t>
  </si>
  <si>
    <t>Carretillas, eléctricas</t>
  </si>
  <si>
    <t>Carretillas (los demás)</t>
  </si>
  <si>
    <t>Carretillas automóvil sin dispositivo de elevación de los tipos…, partes</t>
  </si>
  <si>
    <t>Motocicletas (incluidos los ciclomotores) y velocípedos equipados con…, con motor de émbolo (pistón) de cilindrada inferior o igual a 50 cm3</t>
  </si>
  <si>
    <t xml:space="preserve">Motocicletas (incluidos los ciclomotores) y velocípedos equipados con…, con motor de émbolo (pistón) de cilindrada superior a 250 cm3 pero inferior o </t>
  </si>
  <si>
    <t xml:space="preserve">Motocicletas (incluidos los ciclomotores) y velocípedos equipados con…, con motor de émbolo (pistón) de cilindrada superior a 500 cm3 pero inferior o </t>
  </si>
  <si>
    <t>Motocicletas (incluidos los ciclomotores) y velocípedos equipados con…, con motor de émbolo (pistón) de cilindrada superior a 800 cm3</t>
  </si>
  <si>
    <t>Propulsados con motor eléctrico</t>
  </si>
  <si>
    <t>8711600010</t>
  </si>
  <si>
    <t>Bicicletas con Sistema de Pedaleo Asistido (SPA)</t>
  </si>
  <si>
    <t>8711600090</t>
  </si>
  <si>
    <t>Propulsados con motor eléctrico (los demás)</t>
  </si>
  <si>
    <t>Motocicletas (incluidos los ciclomotores) y velocípedos equipados con… (los demás)</t>
  </si>
  <si>
    <t>Sillones de ruedas y demás vehículos para inválidos, incluso con…, sin mecanismo de propulsión</t>
  </si>
  <si>
    <t>Sillones de ruedas y demás vehículos para inválidos, incluso con… (los demás)</t>
  </si>
  <si>
    <t>Sillines (asientos)</t>
  </si>
  <si>
    <t>Partes y accesorios de vehículos de las partidas 87.11 a 87.13, de sillones de ruedas y demás vehículos para inválidos</t>
  </si>
  <si>
    <t>Cuadros y horquillas, y sus partes</t>
  </si>
  <si>
    <t>Llantas (aros)</t>
  </si>
  <si>
    <t>Llantas y radios, radios</t>
  </si>
  <si>
    <t>Bujes sin freno y piñones libres</t>
  </si>
  <si>
    <t>Frenos, incluidos los bujes con freno, y sus partes</t>
  </si>
  <si>
    <t>Pedales y mecanismos de pedal, y sus partes</t>
  </si>
  <si>
    <t>Partes y accesorios de vehículos de las partidas 87.11 a 87.13 (los demás)</t>
  </si>
  <si>
    <t>Coches, sillas y vehículos similares</t>
  </si>
  <si>
    <t>Partes y accesorios de vehículos de las partidas 87.11 a 87.13, partes</t>
  </si>
  <si>
    <t>Remolques y semirremolques para vivienda o acampar, del tipo caravana</t>
  </si>
  <si>
    <t>Remolques y semirremolques, autocargadores o autodescargadores, para uso agrícola</t>
  </si>
  <si>
    <t>Remolques y semirremolques para cualquier vehículo, cisternas</t>
  </si>
  <si>
    <t>Remolques y semirremolques para cualquier vehículo (los demás)</t>
  </si>
  <si>
    <t>Remolques y semirremolques para cualquier vehículo (los demás, remolques y semirremolques)</t>
  </si>
  <si>
    <t>Carretillas de mano</t>
  </si>
  <si>
    <t>Remolques y semirremolques para cualquier vehículo, partes</t>
  </si>
  <si>
    <t>Planeadores y alas planeadoras</t>
  </si>
  <si>
    <t>Aeronaves, vehículos espaciales, y sus partes (los demás)</t>
  </si>
  <si>
    <t>Helicópteros, de peso en vacío inferior o igual a 2.000 kg</t>
  </si>
  <si>
    <t>Helicópteros, de peso en vacío superior a 2.000 kg</t>
  </si>
  <si>
    <t>Aviones de peso máximo de despegue inferior o igual a 5.700 kg, excepto los diseñados específicamente para uso militar</t>
  </si>
  <si>
    <t>Aviones y demás aeronaves, de peso en vacío inferior o igual a 2.000… (los demás)</t>
  </si>
  <si>
    <t>Aviones y demás aeronaves, de peso en vacío superior a 2.000 kg pero… (los demás)</t>
  </si>
  <si>
    <t>Aviones y demás aeronaves, de peso en vacío superior a 15.000 kg</t>
  </si>
  <si>
    <t>Vehículos espaciales (incluidos los satélites) y sus vehículos de lanzamiento y vehículos suborbitales</t>
  </si>
  <si>
    <t>Trenes de aterrizaje y sus partes</t>
  </si>
  <si>
    <t xml:space="preserve">Aparatos y dispositivos para lanzamiento de aeronaves y sus partes; aparatos y dispositivos para aterrizaje en portaaviones y aparatos y dispositivos </t>
  </si>
  <si>
    <t>Simuladores de combate aéreo y sus partes</t>
  </si>
  <si>
    <t>Aparatos de entrenamiento de vuelo en tierra y sus partes (los demás)</t>
  </si>
  <si>
    <t>8806100000</t>
  </si>
  <si>
    <t>Diseñadas para el transporte de pasajeros</t>
  </si>
  <si>
    <t>8806210000</t>
  </si>
  <si>
    <t>Aeronaves no tripuladas, con un peso máximo de despegue inferior o igual a 250 g</t>
  </si>
  <si>
    <t>8806220000</t>
  </si>
  <si>
    <t>Aeronaves no tripuladas, con un peso máximo de despegue superior a 250 g pero inferior o igual a 7 kg</t>
  </si>
  <si>
    <t>8806230000</t>
  </si>
  <si>
    <t>Aeronaves no tripuladas, con un peso máximo de despegue superior a 7 kg pero inferior o igual a 25 kg</t>
  </si>
  <si>
    <t>8806240000</t>
  </si>
  <si>
    <t>Aeronaves no tripuladas, con un peso máximo de despegue superior a 25 kg pero inferior o igual a 150 kg</t>
  </si>
  <si>
    <t>8806290000</t>
  </si>
  <si>
    <t>Aeronaves no tripuladas (los demás)</t>
  </si>
  <si>
    <t>8806910000</t>
  </si>
  <si>
    <t>8806920000</t>
  </si>
  <si>
    <t>8806930000</t>
  </si>
  <si>
    <t>8806940000</t>
  </si>
  <si>
    <t>8806990000</t>
  </si>
  <si>
    <t>8807200000</t>
  </si>
  <si>
    <t>8807900000</t>
  </si>
  <si>
    <t>Partes de los aparatos de las partidas 88.01, 88.02 u 88.06 (los demás)</t>
  </si>
  <si>
    <t>Transatlánticos, barcos para excursiones (de cruceros)…, de registro inferior o igual a 1.000 t, inferior o igual a 50 t</t>
  </si>
  <si>
    <t>Transatlánticos, barcos para excursiones (de cruceros)…, de registro inferior o igual a 1.000 t (los demás)</t>
  </si>
  <si>
    <t>Transatlánticos, barcos para excursiones (de cruceros) y barcos…, de registro superior a 1.000 t</t>
  </si>
  <si>
    <t>Barcos cisterna, de registro inferior o igual a 1.000 t, inferior o igual a 50 t</t>
  </si>
  <si>
    <t>Barcos cisterna, de registro inferior o igual a 1.000 t (los demás)</t>
  </si>
  <si>
    <t>Barcos cisterna, de registro superior a 1.000 t</t>
  </si>
  <si>
    <t>Barcos frigorífico, de registro inferior o igual a 1.000 t, inferior o igual a 50t</t>
  </si>
  <si>
    <t>Barcos frigorífico, de registro inferior o igual a 1.000 t (los demás)</t>
  </si>
  <si>
    <t>Barcos frigorífico, de registro superior a 1.000 t</t>
  </si>
  <si>
    <t>Transatlánticos, barcos para excursiones (de…, de registro inferior o igual a 1.000 t, inferior o igual a 50 t</t>
  </si>
  <si>
    <t>Transatlánticos, barcos para excursiones (de…, de registro inferior o igual a 1.000 t (los demás)</t>
  </si>
  <si>
    <t>Transatlánticos, barcos para excursiones (de cruceros)…, de registro superior a 1.000 t</t>
  </si>
  <si>
    <t>Embarcaciones inflables</t>
  </si>
  <si>
    <t>8903110000</t>
  </si>
  <si>
    <t>Equipadas o diseñadas para equiparlas con motor, de peso en vacío, sin motor, inferior o igual a 100 kg</t>
  </si>
  <si>
    <t>8903120000</t>
  </si>
  <si>
    <t>No diseñadas para ser utilizadas con motor y de peso en vacío inferior o igual a 100 kg</t>
  </si>
  <si>
    <t>8903190000</t>
  </si>
  <si>
    <t>Embarcaciones inflables, incluso con casco rígido (los demás)</t>
  </si>
  <si>
    <t>8903210000</t>
  </si>
  <si>
    <t>Barcos de vela, distintos de los inflables, incluso con motor auxiliar, de longitud inferior o igual a 7,5 m</t>
  </si>
  <si>
    <t>8903220000</t>
  </si>
  <si>
    <t>Barcos de vela, distintos de los inflables, incluso con motor auxiliar, de longitud superior a 7,5 m pero inferior o igual a 24 m</t>
  </si>
  <si>
    <t>8903230000</t>
  </si>
  <si>
    <t>Barcos de vela, distintos de los inflables, incluso con motor auxiliar, de longitud superior o igual a 24 m</t>
  </si>
  <si>
    <t>8903310000</t>
  </si>
  <si>
    <t>Barcos de motor, distintos de los inflables, de longitud inferior o igual a 7,5 m</t>
  </si>
  <si>
    <t>8903320000</t>
  </si>
  <si>
    <t>Barcos de motor, distintos de los inflables, de longitud superior a 7,5 m pero inferior o igual a 24 m</t>
  </si>
  <si>
    <t>8903330000</t>
  </si>
  <si>
    <t>Barcos de motor, distintos de los inflables, de longitud superior a 24 m</t>
  </si>
  <si>
    <t>Barcos de vela, incluso con motor auxiliar</t>
  </si>
  <si>
    <t>Barcos de motor, excepto los de motor fueraborda</t>
  </si>
  <si>
    <t>8903931000</t>
  </si>
  <si>
    <t>Motos náuticas</t>
  </si>
  <si>
    <t>8903939000</t>
  </si>
  <si>
    <t>Yates y demás barcos y embarcaciones de recreo o…, de longitud inferior o igual a 7,5 m (los demás)</t>
  </si>
  <si>
    <t>8903990000</t>
  </si>
  <si>
    <t>Yates y demás barcos y embarcaciones de recreo o deporte (los demás)</t>
  </si>
  <si>
    <t>Yates y demás barcos y embarcaciones de recreo o deporte; barcas (bote (los demás)</t>
  </si>
  <si>
    <t>Yates y demás barcos y embarcaciones de recreo o deporte, de registro inferior o igual a 50 t</t>
  </si>
  <si>
    <t>Dragas</t>
  </si>
  <si>
    <t>Plataformas de perforación o explotación, flotantes o sumergibles</t>
  </si>
  <si>
    <t>Barcos faro, barcos bomba, dragas, pontones grúa y demás barcos en… (los demás)</t>
  </si>
  <si>
    <t>Navíos de guerra</t>
  </si>
  <si>
    <t>Barcos y demás artefactos flotantes, de registro inferior o igual a 1.000 t</t>
  </si>
  <si>
    <t>Barcos y demás artefactos flotantes (los demás)</t>
  </si>
  <si>
    <t>Balsas inflables</t>
  </si>
  <si>
    <t>Boyas luminosas</t>
  </si>
  <si>
    <t>Fibras ópticas, haces y cables de fibras ópticas</t>
  </si>
  <si>
    <t>Hojas y placas de materia polarizante</t>
  </si>
  <si>
    <t>Lentes de contacto</t>
  </si>
  <si>
    <t>Lentes de vidrio para gafas (anteojos)</t>
  </si>
  <si>
    <t>Lentes de otras materias para gafas (anteojos)</t>
  </si>
  <si>
    <t>Fibras ópticas y haces de fibras ópticas (los demás)</t>
  </si>
  <si>
    <t>Objetivos, para cámaras, proyectores o aparatos fotográficos o cinematográficos de ampliación o reducción</t>
  </si>
  <si>
    <t>Objetivos (los demás)</t>
  </si>
  <si>
    <t>Lentes, prismas, espejos y demás elementos de óptica de cualquier… (los demás)</t>
  </si>
  <si>
    <t>Monturas (armazones), de plástico</t>
  </si>
  <si>
    <t>Monturas (armazones), de otras materias, de metal precioso o de metal común chapado (plaqué)</t>
  </si>
  <si>
    <t>Monturas (armazones), de otras materias (los demás)</t>
  </si>
  <si>
    <t>Monturas (armazones) de gafas (anteojos) o artículos similares y sus…, partes</t>
  </si>
  <si>
    <t>Gafas (anteojos) de sol</t>
  </si>
  <si>
    <t>Binoculares (incluidos los prismáticos)</t>
  </si>
  <si>
    <t>Binoculares (incluidos los prismáticos), catalejos, anteojos… (los demás, instrumentos)</t>
  </si>
  <si>
    <t>Binoculares (incluidos los prismáticos), catalejos, anteojos…, partes y accesorios (incluidas las armazones)</t>
  </si>
  <si>
    <t>Cámaras especiales para fotografía submarina o aérea, examen médico de órganos internos o para laboratorios de medicina legal o identificación judicia</t>
  </si>
  <si>
    <t>Cámaras fotográficas de autorrevelado</t>
  </si>
  <si>
    <t>Con visor de reflexión a través del objetivo, para películas en rollo de anchura inferior o igual a 35 mm</t>
  </si>
  <si>
    <t>De los tipos utilizados para registrar documentos en microfilmes, microfichas u otros microformatos</t>
  </si>
  <si>
    <t>Cámaras fotográficas; aparatos y dispositivos, incluidos las lámparas  (los demás)</t>
  </si>
  <si>
    <t>Cámaras fotográficas, para películas en rollo de anchura igual a 35 mm, de foco fijo, de los tipos utilizados para registrar documentos en microfilmes</t>
  </si>
  <si>
    <t>Cámaras fotográficas, para películas en rollo de anchura igual a 35 mm, de foco fijo (los demás)</t>
  </si>
  <si>
    <t xml:space="preserve">Cámaras fotográficas, para películas en rollo de anchura igual a 35 mm, de los tipos utilizados para registrar documentos en microfilmes, microfichas </t>
  </si>
  <si>
    <t>Cámaras fotográficas, para películas en rollo de anchura igual a 35 mm (los demás)</t>
  </si>
  <si>
    <t>Cámaras fotográficas, de foco fijo, de los tipos utilizados para registrar documentos en microfilmes, microfichas u otros microformatos</t>
  </si>
  <si>
    <t>Cámaras fotográficas, de foco fijo (los demás)</t>
  </si>
  <si>
    <t>Cámaras fotográficas, de los tipos utilizados para registrar documentos en microfilmes, microfichas u otros microformatos</t>
  </si>
  <si>
    <t>Cámaras fotográficas, de los tipos utilizados para preparar clisés o cilindros de imprenta</t>
  </si>
  <si>
    <t>Cámaras fotográficas (los demás)</t>
  </si>
  <si>
    <t>Aparatos de tubo de descarga para producir destellos (flashes electrónicos)</t>
  </si>
  <si>
    <t>Aparatos y dispositivos, incluidos lámparas y tubos, para producir… (los demás)</t>
  </si>
  <si>
    <t>Cámaras fotográficas, partes y accesorios, de cámaras fotográficas</t>
  </si>
  <si>
    <t>Cámaras fotográficas, partes y accesorios (los demás)</t>
  </si>
  <si>
    <t>Cámaras, para película cinematográfica (filme) de anchura inferior a 16 mm o para la doble - 8 mm</t>
  </si>
  <si>
    <t>Cámaras (los demás)</t>
  </si>
  <si>
    <t>Proyectores, para filmes de anchura superior o igual a 35 mm</t>
  </si>
  <si>
    <t>Cámaras y proyectores cinematográficos, incluso con…, partes y accesorios, de cámaras</t>
  </si>
  <si>
    <t>Cámaras y proyectores cinematográficos, incluso con…, partes y accesorios, de proyectores</t>
  </si>
  <si>
    <t>Proyectores de diapositivas</t>
  </si>
  <si>
    <t>Lectores de microfilmes, microfichas u otros microformatos, incluso copiadores</t>
  </si>
  <si>
    <t>Proyectores, ampliadoras o reductoras (los demás, proyectores de imagen fija)</t>
  </si>
  <si>
    <t>Ampliadoras o reductoras, fotográficas</t>
  </si>
  <si>
    <t>Proyectores de imagen fija, partes y accesorios</t>
  </si>
  <si>
    <t>Aparatos y material para revelado automático de película fotográfica, película cinematográfica (filme) o papel fotográfico en rollo o para impresión a</t>
  </si>
  <si>
    <t>Aparatos y material para laboratorios fotográficos o… (los demás, aparatos y material para laboratorios fotográficos o cinematográficos; negatoscopios</t>
  </si>
  <si>
    <t>Pantallas de proyección</t>
  </si>
  <si>
    <t>Aparatos y material para laboratorios fotográficos o…, partes y accesorios</t>
  </si>
  <si>
    <t>Microscopios estereoscópicos</t>
  </si>
  <si>
    <t>Microscopios ópticos, incluso para fotomicrografía… (los demás, microscopios para fotomicrografía, cinefotomicrografía o microproyección)</t>
  </si>
  <si>
    <t>Microscopios ópticos, incluso para fotomicrografía… (los demás, microscopios)</t>
  </si>
  <si>
    <t>Microscopios ópticos, incluso para fotomicrografía…, partes y accesorios</t>
  </si>
  <si>
    <t>Microscopios, excepto los ópticos; difractógrafos</t>
  </si>
  <si>
    <t>Microscopios, partes y accesorios</t>
  </si>
  <si>
    <t>Miras telescópicas para armas; periscopios; visores para máquinas, aparatos o instrumentos de este Capítulo o de la Sección XVI</t>
  </si>
  <si>
    <t>Láseres, excepto los diodos láser</t>
  </si>
  <si>
    <t>Láseres, excepto los diodos láser, lupas</t>
  </si>
  <si>
    <t>Láseres, excepto los diodos láser (los demás)</t>
  </si>
  <si>
    <t>Láseres, excepto los diodos láser, partes y accesorios</t>
  </si>
  <si>
    <t>Brújulas, incluidos los compases de navegación</t>
  </si>
  <si>
    <t>Instrumentos y aparatos para navegación aérea o espacial (excepto las brújulas)</t>
  </si>
  <si>
    <t>Brújulas, incluidos los compases de navegación (los demás, instrumentos y aparatos)</t>
  </si>
  <si>
    <t>Brújulas, incluidos los compases de navegación, partes y accesorios</t>
  </si>
  <si>
    <t>Telémetros</t>
  </si>
  <si>
    <t>Teodolitos y taquímetros, teodolitos</t>
  </si>
  <si>
    <t>Teodolitos y taquímetros, taquímetros</t>
  </si>
  <si>
    <t>Niveles</t>
  </si>
  <si>
    <t>Eléctricos o electrónicos</t>
  </si>
  <si>
    <t>Instrumentos y aparatos de fotogrametría (los demás)</t>
  </si>
  <si>
    <t>Instrumentos y aparatos de geodesia, topografía, agrimensura…, partes y accesorios</t>
  </si>
  <si>
    <t>Balanzas, eléctricas</t>
  </si>
  <si>
    <t>Balanzas, electrónicas</t>
  </si>
  <si>
    <t>Balanzas (los demás)</t>
  </si>
  <si>
    <t>Mesas y máquinas de dibujar, incluso automáticas</t>
  </si>
  <si>
    <t>Instrumentos de dibujo, trazado o cálculo (por ejemplo, pantógrafos</t>
  </si>
  <si>
    <t>Estuches de dibujo (cajas de matemáticas) y sus componentes presentados aisladamente</t>
  </si>
  <si>
    <t>9021101010</t>
  </si>
  <si>
    <t>Artículos de las subpartidas 7318.19, 7318.29, 8108.90 especialmente diseñados para ser utilizados, exclusivamente como implantes de uso médico, quirú</t>
  </si>
  <si>
    <t>9021101090</t>
  </si>
  <si>
    <t>Artículos y aparatos de ortopedia o para fracturas (los demás)</t>
  </si>
  <si>
    <t>9021102010</t>
  </si>
  <si>
    <t>9021102090</t>
  </si>
  <si>
    <t>Artículos y aparatos de ortopedia o para fracturas, para fracturas (los demás)</t>
  </si>
  <si>
    <t>9021290010</t>
  </si>
  <si>
    <t>9021290090</t>
  </si>
  <si>
    <t>Artículos y aparatos de prótesis dental (los demás)</t>
  </si>
  <si>
    <t>Contadores de calor de par termoeléctrico</t>
  </si>
  <si>
    <t>Eléctricos o electrónicos (los demás)</t>
  </si>
  <si>
    <t>Instrumentos y aparatos para medida o control de caudal, nivel… (los demás)</t>
  </si>
  <si>
    <t>Cromatógrafos e instrumentos de electroforesis</t>
  </si>
  <si>
    <t>Espectrómetros, espectrofotómetros y espectrógrafos que utilicen radiaciones ópticas (UV, visibles, IR)</t>
  </si>
  <si>
    <t>Instrumentos y aparatos para análisis físicos o químicos (por ejemplo (los demás, instrumentos y aparatos que utilicen radiaciones ópticas (UV, visibl</t>
  </si>
  <si>
    <t>Polarímetros, medidores de pH (peachímetros), turbidímetros, salinómetros y dilatómetros</t>
  </si>
  <si>
    <t>Detectores de humo</t>
  </si>
  <si>
    <t>9027810000</t>
  </si>
  <si>
    <t>Espectrómetros de masa</t>
  </si>
  <si>
    <t>9027891000</t>
  </si>
  <si>
    <t>9027892000</t>
  </si>
  <si>
    <t>9027899000</t>
  </si>
  <si>
    <t>Instrumentos y aparatos para análisis físicos o químicos (por ejemplo (los demás)</t>
  </si>
  <si>
    <t>Micrótomos, micrótomos</t>
  </si>
  <si>
    <t>Micrótomos, partes y accesorios Código Descripción de la Mercancia A/V</t>
  </si>
  <si>
    <t>Contadores de gas</t>
  </si>
  <si>
    <t>Contadores de agua</t>
  </si>
  <si>
    <t>Contadores de líquido (los demás)</t>
  </si>
  <si>
    <t>Contadores de electricidad, monofásicos</t>
  </si>
  <si>
    <t>Contadores de electricidad (los demás)</t>
  </si>
  <si>
    <t>Contadores de gas, líquido o electricidad, incluidos…, partes y accesorios, de contadores de electricidad</t>
  </si>
  <si>
    <t>Contadores de gas, líquido o electricidad, incluidos…, partes y accesorios (los demás)</t>
  </si>
  <si>
    <t>Cuentarrevoluciones, contadores de producción, taxímetros…, taxímetros</t>
  </si>
  <si>
    <t>Contadores de producción, electrónicos</t>
  </si>
  <si>
    <t>Cuentarrevoluciones, contadores de producción, taxímetros… (los demás)</t>
  </si>
  <si>
    <t>Velocímetros, excepto eléctricos o electrónicos</t>
  </si>
  <si>
    <t>Velocímetros y tacómetros, tacómetros</t>
  </si>
  <si>
    <t>Velocímetros y tacómetros (los demás)</t>
  </si>
  <si>
    <t>Instrumentos y aparatos de óptica, fotografía o…, partes y accesorios, de velocímetros</t>
  </si>
  <si>
    <t>Instrumentos y aparatos de óptica, fotografía o…, partes y accesorios (los demás)</t>
  </si>
  <si>
    <t>Instrumentos y aparatos para medida o detección de radiaciones ionizantes</t>
  </si>
  <si>
    <t>Osciloscopios y oscilógrafos</t>
  </si>
  <si>
    <t>Multímetros, sin dispositivo registrador</t>
  </si>
  <si>
    <t>Osciloscopios, analizadores de espectro y demás instrumentos y… (los demás, sin dispositivo registrador)</t>
  </si>
  <si>
    <t>Osciloscopios, analizadores de espectro y demás instrumentos y… (los demás, con dispositivo registrador)</t>
  </si>
  <si>
    <t>Osciloscopios, analizadores de espectro y demás instrumentos y… (los demás, instrumentos y aparatos, especialmente diseñados para técnicas de telecomu</t>
  </si>
  <si>
    <t xml:space="preserve">Osciloscopios, analizadores de espectro y demás instrumentos y…, para medida o control de obleas («wafers») o dispositivos semiconductores (incluidos </t>
  </si>
  <si>
    <t>Osciloscopios, analizadores de espectro y demás instrumentos y… (los demás)</t>
  </si>
  <si>
    <t>Osciloscopios, analizadores de espectro y demás…, partes y accesorios, de instrumentos o aparatos para la medida de magnitudes eléctricas</t>
  </si>
  <si>
    <t>Osciloscopios, analizadores de espectro y demás…, partes y accesorios (los demás)</t>
  </si>
  <si>
    <t>Máquinas para equilibrar piezas mecánicas, electrónicas</t>
  </si>
  <si>
    <t>Máquinas para equilibrar piezas mecánicas (los demás)</t>
  </si>
  <si>
    <t>Bancos de pruebas</t>
  </si>
  <si>
    <t>Instrumentos, aparatos y máquinas de medida o control, no expresados…, para control de obleas («wafers») o dispositivos semiconductores (incluidos los</t>
  </si>
  <si>
    <t>Comparadores llamados «ópticos», bancos comparadores, bancos de medida, interferómetros, comprobadores ópticos de superficies, aparatos con palpador d</t>
  </si>
  <si>
    <t>Proyectores de perfiles</t>
  </si>
  <si>
    <t>Instrumentos, aparatos y máquinas de medida o control, no expresados… (los demás)</t>
  </si>
  <si>
    <t>Aparatos para regular los motores de vehículos del Capítulo 87 (sincroscopios)</t>
  </si>
  <si>
    <t>Instrumentos, aparatos y máquinas de medida o control, no expresados…, planímetros</t>
  </si>
  <si>
    <t>Termostatos</t>
  </si>
  <si>
    <t>Manostatos (presostatos)</t>
  </si>
  <si>
    <t>Hidráulicos o neumáticos</t>
  </si>
  <si>
    <t>Reguladores de voltaje, para una tensión inferior o igual a 260 V e intensidad inferior o igual a 30 A</t>
  </si>
  <si>
    <t>Reguladores de voltaje (los demás)</t>
  </si>
  <si>
    <t>Instrumentos y aparatos para regulación o control…, partes y accesorios, de termostatos</t>
  </si>
  <si>
    <t>Instrumentos y aparatos para regulación o control…, partes y accesorios, de reguladores de voltaje</t>
  </si>
  <si>
    <t>Instrumentos y aparatos para regulación o control…, partes y accesorios (los demás)</t>
  </si>
  <si>
    <t>Relojes de pulsera, eléctricos, incluso con contador de tiempo…, con indicador mecánico solamente</t>
  </si>
  <si>
    <t>Relojes de pulsera, eléctricos, incluso con contador de tiempo… (los demás)</t>
  </si>
  <si>
    <t>Relojes de pulsera, bolsillo y similares (incluidos los contadores de…, automáticos</t>
  </si>
  <si>
    <t>Relojes de pulsera, bolsillo y similares (incluidos los contadores de… (los demás)</t>
  </si>
  <si>
    <t>Relojes de pulsera, bolsillo y similares (incluidos los contadores de…, eléctricos</t>
  </si>
  <si>
    <t>Relojes de pulsera, eléctricos, incluso con contador de tiempo…, con indicador optoelectrónico solamente</t>
  </si>
  <si>
    <t>Eléctricos</t>
  </si>
  <si>
    <t>Despertadores y demás relojes de pequeño mecanismo de relojería (los demás)</t>
  </si>
  <si>
    <t>Despertadores y demás relojes de pequeño mecanismo de relojería.…, para vehículos del Capítulo 87</t>
  </si>
  <si>
    <t>Despertadores y demás relojes de pequeño mecanismo de relojería.… (los demás)</t>
  </si>
  <si>
    <t>Despertadores, eléctricos</t>
  </si>
  <si>
    <t>Despertadores (los demás)</t>
  </si>
  <si>
    <t>Relojes de pared, eléctricos</t>
  </si>
  <si>
    <t>Relojes de pared (los demás)</t>
  </si>
  <si>
    <t>Aparatos de relojería para redes eléctricas de distribución y de unificación de la hora (maestro y secundario)</t>
  </si>
  <si>
    <t>Eléctricos (los demás)</t>
  </si>
  <si>
    <t>Aparatos de relojería y sus partes (los demás)</t>
  </si>
  <si>
    <t>Registradores de asistencia; registradores fechadores y registradores contadores</t>
  </si>
  <si>
    <t>Aparatos de control de tiempo y contadores de tiempo, con mecanismo…, parquímetros</t>
  </si>
  <si>
    <t>Aparatos de control de tiempo y contadores de tiempo, con mecanismo… (los demás)</t>
  </si>
  <si>
    <t>Eléctricos, con indicador mecánico solamente o con dispositivo que permita incorporarlo</t>
  </si>
  <si>
    <t>Eléctricos, con indicador optoelectrónico solamente</t>
  </si>
  <si>
    <t>Automáticos</t>
  </si>
  <si>
    <t>Pequeños mecanismos de relojería completos y montados (los demás)</t>
  </si>
  <si>
    <t>Mecanismos completos, sin montar o parcialmente montados («chablons»)</t>
  </si>
  <si>
    <t>Mecanismos incompletos, montados</t>
  </si>
  <si>
    <t>Mecanismos «en blanco» («ébauches»)</t>
  </si>
  <si>
    <t>Mecanismos de relojería completos, sin montar o parcialmente montados… (los demás)</t>
  </si>
  <si>
    <t>Cajas de metal precioso o chapado de metal precioso (plaqué)</t>
  </si>
  <si>
    <t>Cajas de metal común, incluso dorado o plateado</t>
  </si>
  <si>
    <t>Cajas de los relojes de las partidas 91.01 o 91.02, y sus partes (los demás, cajas)</t>
  </si>
  <si>
    <t>Cajas de los relojes de las partidas 91.01 o 91.02, y sus partes, partes</t>
  </si>
  <si>
    <t>Cajas y envolturas similares</t>
  </si>
  <si>
    <t>Cajas y envolturas similares para los demás aparatos de relojería, y…, partes</t>
  </si>
  <si>
    <t>Pulseras para reloj y sus partes, de metal precioso o chapado de metal precioso (plaqué)</t>
  </si>
  <si>
    <t>Pulseras para reloj y sus partes, de metal común, incluso dorado o plateado</t>
  </si>
  <si>
    <t>Pulseras para reloj y sus partes, de plástico</t>
  </si>
  <si>
    <t>Pulseras para reloj y sus partes, de cuero</t>
  </si>
  <si>
    <t>Pulseras para reloj y sus partes (los demás)</t>
  </si>
  <si>
    <t>Muelles (resortes), incluidas las espirales</t>
  </si>
  <si>
    <t>Esferas o cuadrantes</t>
  </si>
  <si>
    <t>Platinas y puentes</t>
  </si>
  <si>
    <t>Pianos verticales</t>
  </si>
  <si>
    <t>Pianos de cola</t>
  </si>
  <si>
    <t>Pianos, incluso automáticos (los demás)</t>
  </si>
  <si>
    <t>Instrumentos musicales, de arco</t>
  </si>
  <si>
    <t>Instrumentos musicales (los demás)</t>
  </si>
  <si>
    <t>Instrumentos llamados «metales»</t>
  </si>
  <si>
    <t>Órganos de tubos y teclado; armonios e instrumentos similares de teclado y lengüetas metálicas libres</t>
  </si>
  <si>
    <t>Acordeones e instrumentos similares</t>
  </si>
  <si>
    <t>Instrumentos musicales de viento (por ejemplo, armónicas</t>
  </si>
  <si>
    <t>Instrumentos musicales de viento (por ejemplo (los demás)</t>
  </si>
  <si>
    <t>Instrumentos de teclado, excepto los acordeones</t>
  </si>
  <si>
    <t>Instrumentos musicales en los que el sonido se produzca o tenga que… (los demás)</t>
  </si>
  <si>
    <t>Cajas de música</t>
  </si>
  <si>
    <t>Cajas de música, orquestriones, organillos, pájaros cantores, sierras… (los demás)</t>
  </si>
  <si>
    <t>Cuerdas armónicas</t>
  </si>
  <si>
    <t>Partes (por ejemplo, mecanismos de cajas de música) y accesorios (por…, partes y accesorios de pianos</t>
  </si>
  <si>
    <t>Partes (por ejemplo, mecanismos de cajas de música) y accesorios (por…, partes y accesorios de instrumentos musicales de la partida 92.02</t>
  </si>
  <si>
    <t>Partes (por ejemplo, mecanismos de cajas de música) y accesorios (por…, partes y accesorios de instrumentos musicales de la partida 92.07</t>
  </si>
  <si>
    <t>Partes (por ejemplo, mecanismos de cajas de música) y accesorios (por… (los demás)</t>
  </si>
  <si>
    <t>Piezas de artillería (por ejemplo, autopropulsadas</t>
  </si>
  <si>
    <t>Piezas de artillería (por ejemplo (los demás)</t>
  </si>
  <si>
    <t>Lanzacohetes; lanzallamas; lanzagranadas; lanzatorpedos y lanzadores similares</t>
  </si>
  <si>
    <t>Armas largas con cañón de ánima lisa, completamente automáticas</t>
  </si>
  <si>
    <t>Armas de guerra, de cerrojo</t>
  </si>
  <si>
    <t>Armas de guerra, semiautomáticas</t>
  </si>
  <si>
    <t>Armas de guerra, automáticas</t>
  </si>
  <si>
    <t>Armas de guerra (los demás)</t>
  </si>
  <si>
    <t>Armas de guerra, ametralladoras</t>
  </si>
  <si>
    <t>Pistolas automáticas</t>
  </si>
  <si>
    <t>Pistolas ametralladoras (metralletas) (los demás)</t>
  </si>
  <si>
    <t>Revólveres</t>
  </si>
  <si>
    <t>Pistolas con cañón único, semiautomáticas</t>
  </si>
  <si>
    <t>Pistolas con cañón único (los demás)</t>
  </si>
  <si>
    <t>Pistolas con cañón multiple</t>
  </si>
  <si>
    <t>Armas de avancarga</t>
  </si>
  <si>
    <t>Armas largas con cañón único de ánima lisa, de repetición (de corredera)</t>
  </si>
  <si>
    <t>Armas largas con cañón único de ánima lisa, semiautomáticas</t>
  </si>
  <si>
    <t>Armas largas con cañón único de ánima lisa (los demás)</t>
  </si>
  <si>
    <t>Armas largas con cañón múltiple de ánima lisa, incluso las combinadas</t>
  </si>
  <si>
    <t>Armas, municiones, y sus partes y accesorios (los demás)</t>
  </si>
  <si>
    <t>Armas, municiones, y sus partes y accesorios, de disparo único</t>
  </si>
  <si>
    <t>Armas, municiones, y sus partes y accesorios, semiautomáticas</t>
  </si>
  <si>
    <t>Armas, municiones, y sus partes y accesorios, de aire comprimido</t>
  </si>
  <si>
    <t>Mecanismos de disparo</t>
  </si>
  <si>
    <t>Armazones y plantillas</t>
  </si>
  <si>
    <t>Partes y accesorios de los artículos de las partidas…, de revólveres o pistolas, cañones</t>
  </si>
  <si>
    <t>Pistones, pasadores y amortiguadores de retroceso (frenos de boca)</t>
  </si>
  <si>
    <t>Cargadores y sus partes</t>
  </si>
  <si>
    <t>Silenciadores y sus partes</t>
  </si>
  <si>
    <t>Culatas, empuñaduras y platinas</t>
  </si>
  <si>
    <t>Correderas (para pistolas) y tambores (para revólveres)</t>
  </si>
  <si>
    <t>Partes y accesorios de los artículos de las partidas…, de revólveres o pistolas (los demás)</t>
  </si>
  <si>
    <t>Cañones de ánima lisa</t>
  </si>
  <si>
    <t>Cañones de ánima rayada</t>
  </si>
  <si>
    <t>Cubrellamas y sus partes</t>
  </si>
  <si>
    <t>Recámaras, cerrojos y portacerrojos</t>
  </si>
  <si>
    <t>Partes y accesorios de los artículos de las partidas…, de armas largas de la partida 93.03 (los demás)</t>
  </si>
  <si>
    <t>Partes y accesorios de los artículos de las partidas…, de armas de guerra de la partida 93.01, de ametralladoras, fusiles ametralladores y pistolas am</t>
  </si>
  <si>
    <t>Partes y accesorios de los artículos de las partidas…, de armas de guerra de la partida 93.01 (los demás)</t>
  </si>
  <si>
    <t>Partes y accesorios de los artículos de las partidas 93.01 a 93.04 (los demás)</t>
  </si>
  <si>
    <t>Cartuchos para armas largas con cañón de ánima lisa y sus partes, cartuchos</t>
  </si>
  <si>
    <t>Cartuchos para armas largas con cañón de ánima lisa y sus partes, balines</t>
  </si>
  <si>
    <t>Cartuchos para armas largas con cañón de ánima lisa y sus partes, partes</t>
  </si>
  <si>
    <t>Cartuchos para «pistolas» de remachar o usos similares, para pistolas de matarife</t>
  </si>
  <si>
    <t>Bombas, granadas, torpedos, minas, misiles, cartuchos y demás… (los demás, cartuchos)</t>
  </si>
  <si>
    <t>Bombas, granadas, torpedos, minas, misiles, cartuchos y demás…, partes</t>
  </si>
  <si>
    <t>Municiones y proyectiles, para armas de guerra</t>
  </si>
  <si>
    <t>Arpones para lanzaarpones</t>
  </si>
  <si>
    <t>Municiones y proyectiles (los demás)</t>
  </si>
  <si>
    <t>Asientos de los tipos utilizados en aeronaves</t>
  </si>
  <si>
    <t>Asientos de los tipos utilizados en vehículos automóviles</t>
  </si>
  <si>
    <t>Asientos giratorios de altura ajustable</t>
  </si>
  <si>
    <t>9401310000</t>
  </si>
  <si>
    <t>Asientos giratorios de altura ajustable, de madera</t>
  </si>
  <si>
    <t>9401390000</t>
  </si>
  <si>
    <t>Asientos giratorios de altura ajustable (los demás)</t>
  </si>
  <si>
    <t>Asientos transformables en cama, excepto el material de acampar o de jardín</t>
  </si>
  <si>
    <t>9401410000</t>
  </si>
  <si>
    <t>Asientos transformables en cama, de madera</t>
  </si>
  <si>
    <t>9401490000</t>
  </si>
  <si>
    <t>Asientos transformables en cama (los demás)</t>
  </si>
  <si>
    <t>Asientos de roten (ratán), mimbre, bambú o materias similares, de bambú</t>
  </si>
  <si>
    <t>Asientos de roten (ratán), mimbre, bambú o materias similares, de roten (ratán)</t>
  </si>
  <si>
    <t>Asientos de roten (ratán), mimbre, bambú o materias similares (los demás)</t>
  </si>
  <si>
    <t>Asientos (excepto los de la partida 94.02), incluso los…, con relleno</t>
  </si>
  <si>
    <t>Asientos (excepto los de la partida 94.02), incluso los… (los demás)</t>
  </si>
  <si>
    <t>Asientos (excepto los de la partida 94.02), incluso los… (los demás, asientos)</t>
  </si>
  <si>
    <t>Dispositivos para asientos reclinables</t>
  </si>
  <si>
    <t>Asientos (excepto los de la partida 94.02), incluso los transformables (los demás)</t>
  </si>
  <si>
    <t>9401910000</t>
  </si>
  <si>
    <t>Asientos (excepto los de la partida 94.02), incluso…, partes, de madera</t>
  </si>
  <si>
    <t>9401990000</t>
  </si>
  <si>
    <t>Asientos (excepto los de la partida 94.02), incluso…, partes (los demás)</t>
  </si>
  <si>
    <t>Sillones de dentista</t>
  </si>
  <si>
    <t>Sillones de dentista, de peluquería y sillones similares, y sus partes (los demás)</t>
  </si>
  <si>
    <t>Mesas de operaciones y sus partes</t>
  </si>
  <si>
    <t>Mobiliario para medicina, cirugía, odontología o veterinaria (por… (los demás, y sus partes)</t>
  </si>
  <si>
    <t>Muebles de metal de los tipos utilizados en oficinas</t>
  </si>
  <si>
    <t>Muebles de madera de los tipos utilizados en oficinas</t>
  </si>
  <si>
    <t>Muebles de plástico</t>
  </si>
  <si>
    <t>Muebles de otras materias, incluidos el roten (ratán), mimbre, bambú…, de bambú</t>
  </si>
  <si>
    <t>Muebles de otras materias, incluidos el roten (ratán), mimbre, bambú…, de roten (ratán)</t>
  </si>
  <si>
    <t>Muebles de otras materias, incluidos el roten (ratán), mimbre, bambú… (los demás)</t>
  </si>
  <si>
    <t>9403910000</t>
  </si>
  <si>
    <t>Muebles; mobiliario medicoquirúrgico; artículos de…, partes, de madera</t>
  </si>
  <si>
    <t>Somieres</t>
  </si>
  <si>
    <t>Colchones, de caucho o plástico celulares, recubiertos o no</t>
  </si>
  <si>
    <t>Colchones, de otras materias</t>
  </si>
  <si>
    <t>Sacos (bolsas) de dormir</t>
  </si>
  <si>
    <t>9404400000</t>
  </si>
  <si>
    <t>Cubrepiés, colchas, edredones y cobertores</t>
  </si>
  <si>
    <t>Somieres; artículos de cama y artículos similares (por ejemplo (los demás)</t>
  </si>
  <si>
    <t>Especiales para salas de cirugía u odontología (de luz sin sombra o «escialíticas»)</t>
  </si>
  <si>
    <t>Proyectores de luz</t>
  </si>
  <si>
    <t>Luminarias y aparatos de alumbrado (incluidos los proyectores) y sus p (los demás)</t>
  </si>
  <si>
    <t>9405111000</t>
  </si>
  <si>
    <t>9405112000</t>
  </si>
  <si>
    <t>9405119000</t>
  </si>
  <si>
    <t>Diseñadas para ser utilizadas únicamente con fuentes luminosas de… (los demás)</t>
  </si>
  <si>
    <t>9405191000</t>
  </si>
  <si>
    <t>9405192000</t>
  </si>
  <si>
    <t>Lámparas eléctricas de cabecera, mesa, oficina o de pie</t>
  </si>
  <si>
    <t>9405210000</t>
  </si>
  <si>
    <t>Diseñadas para ser utilizadas únicamente con fuentes luminosas de diodos emisores de luz (LED)</t>
  </si>
  <si>
    <t>9405290000</t>
  </si>
  <si>
    <t>Lámparas eléctricas de mesa, oficina, cabecera o de pie (los demás)</t>
  </si>
  <si>
    <t>Guirnaldas eléctricas de los tipos utilizados en árboles de Navidad</t>
  </si>
  <si>
    <t>9405310000</t>
  </si>
  <si>
    <t>9405390000</t>
  </si>
  <si>
    <t>Guirnaldas eléctricas de los tipos utilizados en árboles de Navidad (los demás)</t>
  </si>
  <si>
    <t>9405411100</t>
  </si>
  <si>
    <t>9405411900</t>
  </si>
  <si>
    <t>Fotovoltaicos, diseñados para ser utilizados…, de los tipos utilizados para el alumbrado de espacios o vías públicos (los demás)</t>
  </si>
  <si>
    <t>9405419000</t>
  </si>
  <si>
    <t>Fotovoltaicos, diseñados para ser utilizados únicamente con fuentes… (los demás)</t>
  </si>
  <si>
    <t>9405421100</t>
  </si>
  <si>
    <t>9405421900</t>
  </si>
  <si>
    <t>Luminarias y aparatos de alumbrado (incluidos los…, de los tipos utilizados para el alumbrado de espacios o vías públicos (los demás)</t>
  </si>
  <si>
    <t>9405429000</t>
  </si>
  <si>
    <t>Luminarias y aparatos de alumbrado (incluidos los proyectores) y sus… (los demás)</t>
  </si>
  <si>
    <t>9405491100</t>
  </si>
  <si>
    <t>9405491900</t>
  </si>
  <si>
    <t>9405499000</t>
  </si>
  <si>
    <t>Luminarias y aparatos de alumbrado, no eléctricos, de combustible líquido a presión</t>
  </si>
  <si>
    <t>Luminarias y aparatos de alumbrado, no eléctricos (los demás)</t>
  </si>
  <si>
    <t>Anuncios, letreros y placas indicadoras, luminosos y artículos similares</t>
  </si>
  <si>
    <t>9405610000</t>
  </si>
  <si>
    <t>Diseñados para ser utilizados únicamente con fuentes luminosas de diodos emisores de luz (LED)</t>
  </si>
  <si>
    <t>9405690000</t>
  </si>
  <si>
    <t>Anuncios, letreros y placas indicadoras, luminosos y artículos… (los demás)</t>
  </si>
  <si>
    <t>Luminarias y aparatos de alumbrado (incluidos los…, partes, de vidrio</t>
  </si>
  <si>
    <t>Luminarias y aparatos de alumbrado (incluidos los…, partes, de plástico</t>
  </si>
  <si>
    <t>Luminarias y aparatos de alumbrado (incluidos los…, partes (los demás)</t>
  </si>
  <si>
    <t>Construcciones prefabricadas, de madera</t>
  </si>
  <si>
    <t>9406200000</t>
  </si>
  <si>
    <t>Unidades de construcción modular, de acero</t>
  </si>
  <si>
    <t>Construcciones prefabricadas (los demás)</t>
  </si>
  <si>
    <t>Triciclos, patinetes, coches de pedal y juguetes similares con ruedas; coches y sillas de ruedas para muñecas o muñecos</t>
  </si>
  <si>
    <t>Muñecas o muñecos, incluso vestidos</t>
  </si>
  <si>
    <t>Prendas y sus complementos (accesorios), de vestir, calzado, y sombreros y demás tocados</t>
  </si>
  <si>
    <t>Muñecas o muñecos, sus partes y accesorios, partes y demás accesorios</t>
  </si>
  <si>
    <t>Modelos reducidos y modelos similares, para entretenimiento, incluso animados</t>
  </si>
  <si>
    <t>Rompecabezas de cualquier clase</t>
  </si>
  <si>
    <t>Trenes eléctricos, incluidos los carriles (rieles), señales y demás accesorios</t>
  </si>
  <si>
    <t>Juguetes, juegos y artículos para recreo o deporte, de construcción</t>
  </si>
  <si>
    <t>Juguetes, juegos y artículos para recreo o deporte, que representen animales o seres no humanos</t>
  </si>
  <si>
    <t>Instrumentos y aparatos, de música</t>
  </si>
  <si>
    <t>Juguetes, juegos y artículos para recreo o deporte, presentados en juegos o surtidos o en panoplias</t>
  </si>
  <si>
    <t>Juguetes, juegos y artículos para recreo o deporte (los demás, con motor)</t>
  </si>
  <si>
    <t>Juguetes, juegos y artículos para recreo o deporte (los demás)</t>
  </si>
  <si>
    <t>Billares de cualquier clase y sus accesorios</t>
  </si>
  <si>
    <t>Videoconsolas y máquinas de videojuego, juegos de sociedad, incluidos…, de suerte, envite y azar</t>
  </si>
  <si>
    <t>Videoconsolas y máquinas de videojuego, juegos de sociedad, incluidos… (los demás)</t>
  </si>
  <si>
    <t>Naipes</t>
  </si>
  <si>
    <t>Videoconsolas y máquinas de videojuego, excepto las de la subpartida 9504.30</t>
  </si>
  <si>
    <t>Juegos de ajedrez y de damas</t>
  </si>
  <si>
    <t>Juegos de bolos, incluso automáticos («bowlings»)</t>
  </si>
  <si>
    <t>Esquís para nieve y demás artículos para práctica del esquí de nieve, esquís</t>
  </si>
  <si>
    <t>Fijadores de esquí</t>
  </si>
  <si>
    <t>Esquís para nieve y demás artículos para práctica del esquí de nieve (los demás)</t>
  </si>
  <si>
    <t>Deslizadores de vela</t>
  </si>
  <si>
    <t>Esquís acuáticos, tablas, deslizadores de vela y demás artículos para… (los demás)</t>
  </si>
  <si>
    <t>Palos de golf («clubs») completos</t>
  </si>
  <si>
    <t>Palos de golf («clubs») y demás artículos para golf, pelotas</t>
  </si>
  <si>
    <t>Palos de golf («clubs») y demás artículos para golf (los demás)</t>
  </si>
  <si>
    <t>Raquetas de tenis, incluso sin cordaje</t>
  </si>
  <si>
    <t>Raquetas de tenis, bádminton o similares, incluso sin cordaje (los demás)</t>
  </si>
  <si>
    <t>Pelotas de tenis</t>
  </si>
  <si>
    <t>Balones y pelotas, inflables</t>
  </si>
  <si>
    <t>Balones y pelotas (los demás)</t>
  </si>
  <si>
    <t>Patines para hielo y patines de ruedas, incluido el calzado con patines fijos</t>
  </si>
  <si>
    <t>Artículos y material para cultura física, gimnasia o atletismo</t>
  </si>
  <si>
    <t>Artículos y materiales para béisbol y sóftbol, excepto las pelotas</t>
  </si>
  <si>
    <t>Artículos y material para cultura física, gimnasia, atletismo, demás… (los demás)</t>
  </si>
  <si>
    <t>Cañas de pescar</t>
  </si>
  <si>
    <t>Anzuelos, incluso montados en sedal (tanza)</t>
  </si>
  <si>
    <t>Carretes de pesca</t>
  </si>
  <si>
    <t>Cañas de pescar, anzuelos y demás artículos para la pesca con caña, para la pesca con caña</t>
  </si>
  <si>
    <t>Cañas de pescar, anzuelos y demás artículos para la pesca con caña (los demás)</t>
  </si>
  <si>
    <t>Circos y zoológicos, ambulantes</t>
  </si>
  <si>
    <t>9508210000</t>
  </si>
  <si>
    <t>Montañas rusas</t>
  </si>
  <si>
    <t>9508220000</t>
  </si>
  <si>
    <t>Carruseles, columpios y tiovivos</t>
  </si>
  <si>
    <t>9508230000</t>
  </si>
  <si>
    <t>Autos de choque</t>
  </si>
  <si>
    <t>9508240000</t>
  </si>
  <si>
    <t>Simuladores de movimiento y cines dinámicos</t>
  </si>
  <si>
    <t>9508250000</t>
  </si>
  <si>
    <t>Paseos acuáticos</t>
  </si>
  <si>
    <t>9508260000</t>
  </si>
  <si>
    <t>Atracciones de parques acuáticos</t>
  </si>
  <si>
    <t>9508290000</t>
  </si>
  <si>
    <t>Atracciones para parques de diversiones y atracciones de parques… (los demás)</t>
  </si>
  <si>
    <t>9508300000</t>
  </si>
  <si>
    <t>Atracciones de feria</t>
  </si>
  <si>
    <t>9508400000</t>
  </si>
  <si>
    <t>Teatros ambulantes</t>
  </si>
  <si>
    <t>Circos y zoológicos, ambulantes; atracciones para parques de diversion (los demás)</t>
  </si>
  <si>
    <t>Marfil trabajado y sus manufacturas</t>
  </si>
  <si>
    <t>Marfil, hueso, concha (caparazón) de tortuga, cuerno, asta, coral… (los demás)</t>
  </si>
  <si>
    <t>Cápsulas de gelatina para envasar medicamentos, alimentos y cosméticos</t>
  </si>
  <si>
    <t>Escobas y escobillas de ramitas u otra materia vegetal atada en haces, incluso con mango</t>
  </si>
  <si>
    <t>Cepillos de dientes, incluidos los cepillos para dentaduras postizas</t>
  </si>
  <si>
    <t>Pinceles y brochas para pintura artística, pinceles para escribir y…, para la pintura artística</t>
  </si>
  <si>
    <t>Pinceles y brochas para pintar, enlucir, barnizar o similares (excepto los de la subpartida 9603.30); almohadillas o muñequillas y rodillos, para pint</t>
  </si>
  <si>
    <t>Cabezas preparadas para artículos de cepillería</t>
  </si>
  <si>
    <t>Botones de presión y sus partes</t>
  </si>
  <si>
    <t>Botones, de plástico, sin forrar con materia textil</t>
  </si>
  <si>
    <t>Botones, de metal común, sin forrar con materia textil</t>
  </si>
  <si>
    <t>Botones, de tagua (marfil vegetal)</t>
  </si>
  <si>
    <t>Botones (los demás)</t>
  </si>
  <si>
    <t>Formas para botones y demás partes de botones, de plástico o de tagua (marfil vegetal)</t>
  </si>
  <si>
    <t>Formas para botones y demás partes de botones (los demás)</t>
  </si>
  <si>
    <t>Cierres de cremallera (cierres relámpago), con dientes de metal común</t>
  </si>
  <si>
    <t>Cierres de cremallera (cierres relámpago) (los demás)</t>
  </si>
  <si>
    <t>Cierres de cremallera (cierres relámpago) y sus partes, partes</t>
  </si>
  <si>
    <t>Rotuladores y marcadores con punta de fieltro u otra punta porosa</t>
  </si>
  <si>
    <t>Estilográficas y demás plumas</t>
  </si>
  <si>
    <t>Portaminas</t>
  </si>
  <si>
    <t>Juegos de artículos pertenecientes, por lo menos, a dos de las subpartidas anteriores</t>
  </si>
  <si>
    <t>Cartuchos de repuesto con su punta para bolígrafo</t>
  </si>
  <si>
    <t>Plumillas y puntos para plumillas</t>
  </si>
  <si>
    <t>Bolígrafos (los demás, artículos)</t>
  </si>
  <si>
    <t>Puntas de bolígrafo, incluso sin bola</t>
  </si>
  <si>
    <t>Bolígrafos, partes, de bolígrafos</t>
  </si>
  <si>
    <t>Bolígrafos, partes, de rotuladores y marcadores con punta de fieltro u otra punta porosa</t>
  </si>
  <si>
    <t>Bolígrafos, partes (los demás)</t>
  </si>
  <si>
    <t>Lápices</t>
  </si>
  <si>
    <t>Minas para lápices o portaminas</t>
  </si>
  <si>
    <t>Lápices, minas, pasteles, carboncillos, tizas para escribir o dibujar… (los demás)</t>
  </si>
  <si>
    <t>Tampones</t>
  </si>
  <si>
    <t>Encendedores de gas no recargables, de bolsillo</t>
  </si>
  <si>
    <t>Encendedores de gas recargables, de bolsillo</t>
  </si>
  <si>
    <t>Encendedores y mecheros, incluso mecánicos o eléctricos, y sus partes (los demás, encendedores y mecheros)</t>
  </si>
  <si>
    <t>Encendedores y mecheros, incluso mecánicos o eléctricos, y sus partes, partes</t>
  </si>
  <si>
    <t>Peines, peinetas, pasadores y artículos similares, de caucho endurecido o plástico</t>
  </si>
  <si>
    <t>Peines, peinetas, pasadores y artículos similares (los demás)</t>
  </si>
  <si>
    <t>Borlas y similares para aplicación de polvos, otros cosméticos o productos de tocador</t>
  </si>
  <si>
    <t>Pañales para bebés</t>
  </si>
  <si>
    <t>Compresas y tampones higiénicos</t>
  </si>
  <si>
    <t>Pulverizadores de tocador, sus monturas y cabezas de monturas (los demás)</t>
  </si>
  <si>
    <t>Pulverizadores de tocador, sus monturas y cabezas de monturas, de plástico</t>
  </si>
  <si>
    <t>Pulverizadores de tocador, sus monturas y cabezas de monturas, de madera</t>
  </si>
  <si>
    <t>Pulverizadores de tocador, sus monturas y cabezas de monturas, para cámaras fotográficas</t>
  </si>
  <si>
    <t>9701210000</t>
  </si>
  <si>
    <t>9701220000</t>
  </si>
  <si>
    <t>Pinturas y dibujos, hechos totalmente a mano, de más de 100 años, mosaicos</t>
  </si>
  <si>
    <t>9701290000</t>
  </si>
  <si>
    <t>Pinturas y dibujos, hechos totalmente a mano, de más de 100 años (los demás)</t>
  </si>
  <si>
    <t>Pinturas y dibujos, hechos totalmente a mano, excepto los dibujos de l (los demás)</t>
  </si>
  <si>
    <t>9701920000</t>
  </si>
  <si>
    <t>Pinturas y dibujos, hechos totalmente a mano, mosaicos</t>
  </si>
  <si>
    <t>9701990000</t>
  </si>
  <si>
    <t>Pinturas y dibujos, hechos totalmente a mano (los demás)</t>
  </si>
  <si>
    <t>9702100000</t>
  </si>
  <si>
    <t>Grabados, estampas y litografías, originales, de más de 100 años</t>
  </si>
  <si>
    <t>9702900000</t>
  </si>
  <si>
    <t>Grabados, estampas y litografías, originales (los demás)</t>
  </si>
  <si>
    <t>9703100000</t>
  </si>
  <si>
    <t>Obras originales de estatuaria o escultura, de cualquier materia, de más de 100 años</t>
  </si>
  <si>
    <t>9703900000</t>
  </si>
  <si>
    <t>Obras originales de estatuaria o escultura, de cualquier materia (los demás)</t>
  </si>
  <si>
    <t>9705100000</t>
  </si>
  <si>
    <t>Colecciones y piezas de colección que tengan un interés arqueológico, etnográfico o histórico</t>
  </si>
  <si>
    <t>9705210000</t>
  </si>
  <si>
    <t>Especímenes humanos y sus partes</t>
  </si>
  <si>
    <t>9705220000</t>
  </si>
  <si>
    <t>Especies extintas o en peligro de extinción, y sus partes</t>
  </si>
  <si>
    <t>9705310000</t>
  </si>
  <si>
    <t>Colecciones y piezas de colección que tengan un interés numismático, de más de 100 años</t>
  </si>
  <si>
    <t>9705390000</t>
  </si>
  <si>
    <t>Colecciones y piezas de colección que tengan un interés numismático (los demás)</t>
  </si>
  <si>
    <t>9706100000</t>
  </si>
  <si>
    <t>Antigüedades de más de cien años, de más de 250 años</t>
  </si>
  <si>
    <t>9706900000</t>
  </si>
  <si>
    <t>Antigüedades de más de cien años (los demás)</t>
  </si>
  <si>
    <t>9801000010</t>
  </si>
  <si>
    <t>Equipaje exonerado del pago de derecho</t>
  </si>
  <si>
    <t>9801000020</t>
  </si>
  <si>
    <t>Equipaje y menaje de casa de peruanos que fallecen fuera del Perú</t>
  </si>
  <si>
    <t>9803000010</t>
  </si>
  <si>
    <t>Muestras comerciales de valor insignificante</t>
  </si>
  <si>
    <t>9803000020</t>
  </si>
  <si>
    <t>Materiales de publicidad impresos</t>
  </si>
  <si>
    <t>9804000000</t>
  </si>
  <si>
    <t>Mercancías que cuentan con Resolución Liberatoria o Nota Protocolar, excepto vehículos automóviles</t>
  </si>
  <si>
    <t>9805000000</t>
  </si>
  <si>
    <t>Mercancías para atender las necesidades de las zonas afectadas por desastres naturales, declaradas en estado de emergencia</t>
  </si>
  <si>
    <t>9806000000</t>
  </si>
  <si>
    <t>Mercancías de ayuda humanitaria que ingresen al amparo del artículo 2º de la Ley Nº 29081</t>
  </si>
  <si>
    <t>9809000010</t>
  </si>
  <si>
    <t>Correspondencia, documentos, diarios y publicaciones periódicas, sin fines comerciales</t>
  </si>
  <si>
    <t>9809000020</t>
  </si>
  <si>
    <t>Mercancía hasta por un valor FOB de doscientos y 00/100 dólares de los Estados Unidos de América (US$ 200,00) por envío</t>
  </si>
  <si>
    <t>9809000030</t>
  </si>
  <si>
    <t xml:space="preserve">Mercancía cuyo valor FOB sea superior a doscientos y 00/100 dólares de los Estados Unidos de América (US$ 200,00) hasta un máximo de dos mil y 00/100 </t>
  </si>
  <si>
    <t>9809000040</t>
  </si>
  <si>
    <t>Medicamentos para el tratamiento de enfermedades oncológicas, VIH/SIDA y diabetes, cuyo valor FOB no exceda de diez mil y 00/100 dólares de los Estado</t>
  </si>
  <si>
    <t>9810000010</t>
  </si>
  <si>
    <t>Mercancías hasta por un valor FOB de doscientos y 00/100 dólares de los Estados Unidos de América (US $ 200,00) por envío postal</t>
  </si>
  <si>
    <t>9810000020</t>
  </si>
  <si>
    <t>Mercancías cuyo valor FOB sea superior a doscientos y 00/100 dólares de los Estados Unidos de América (US $ 200,00) hasta un máximo de dos mil y 00/10</t>
  </si>
  <si>
    <t>Cuadro Nº 16</t>
  </si>
  <si>
    <t>LORETO: ADUANA IQUITOS IMPORTACIONES</t>
  </si>
  <si>
    <t>Año</t>
  </si>
  <si>
    <t>← cambia el año y todo se recalcula</t>
  </si>
  <si>
    <t>(Miles de US dólares)</t>
  </si>
  <si>
    <t>Código de aduana</t>
  </si>
  <si>
    <t>vacío = todas las aduanas de ORIGEN (Iquitos = 226; los datos de esta copia vienen con 262)</t>
  </si>
  <si>
    <t>Total</t>
  </si>
  <si>
    <t>Valor</t>
  </si>
  <si>
    <t>FOB o CIF</t>
  </si>
  <si>
    <t>Ene.</t>
  </si>
  <si>
    <t>Feb.</t>
  </si>
  <si>
    <t>Mar.</t>
  </si>
  <si>
    <t>Abr.</t>
  </si>
  <si>
    <t>May.</t>
  </si>
  <si>
    <t>Jun.</t>
  </si>
  <si>
    <t>Jul.</t>
  </si>
  <si>
    <t>Ago.</t>
  </si>
  <si>
    <t>Set.</t>
  </si>
  <si>
    <t>Oct.</t>
  </si>
  <si>
    <t>Nov.</t>
  </si>
  <si>
    <t>Dic.</t>
  </si>
  <si>
    <t>Mes según</t>
  </si>
  <si>
    <t>FECHA = columna FECHA de ORIGEN, armada desde FENUM (AAAAMM) · FENUM = usa FENUM directo; ambos dan el mismo mes</t>
  </si>
  <si>
    <t>mes AAAAMM →</t>
  </si>
  <si>
    <t>Redondeo</t>
  </si>
  <si>
    <t>FILA</t>
  </si>
  <si>
    <t>FILA = redondea cada registro a miles antes de sumar (así salen tus cuadros actuales) · EXACTO = suma y redondea al final</t>
  </si>
  <si>
    <t>TOTAL IMPORTACIONES</t>
  </si>
  <si>
    <t>Bienes no duraderos (100)</t>
  </si>
  <si>
    <t>Bienes duraderos (200)</t>
  </si>
  <si>
    <t>Diversos (010)</t>
  </si>
  <si>
    <t>MATERIAS PRIMAS E INSUMOS</t>
  </si>
  <si>
    <t>Combustibles-lubricantes (300)</t>
  </si>
  <si>
    <t>Materias para agricultura (400)</t>
  </si>
  <si>
    <t>Materias para industria (500)</t>
  </si>
  <si>
    <t>Materiales de construcción (600)</t>
  </si>
  <si>
    <t>Bienes para la agricultura (700)</t>
  </si>
  <si>
    <t>Bienes para la industria (800)</t>
  </si>
  <si>
    <t>Equipos de transporte (900)</t>
  </si>
  <si>
    <t>CONTROLES (no copiar)</t>
  </si>
  <si>
    <t>Total ORIGEN exacto (sin redondear)</t>
  </si>
  <si>
    <t>Diferencia vs. TOTAL (redondeo)</t>
  </si>
  <si>
    <t>Cómo usar: elige el año en R2. Copia B7:N21 (Ene.–Dic. + Total) y pega como VALORES (Ctrl+Alt+V → Valores) en el cuadro del BCRP, desde la columna de Enero del año, fila 7.</t>
  </si>
  <si>
    <t>Cada registro se asigna a su mes con la columna FECHA (o FENUM, según R5); los meses sin datos quedan en 0.</t>
  </si>
  <si>
    <t>REVISIÓN DE VACÍOS EN ORIGEN</t>
  </si>
  <si>
    <t>Se actualiza sola. Si un conteo es mayor que 0, completa UNICOS o PARTIDAS con lo que aparece en la lista.</t>
  </si>
  <si>
    <t>Registros afectados ↓ (fila 5) · lista de códigos ↓ (fila 6 en adelante)</t>
  </si>
  <si>
    <t>RUC sin razón social
→ agrégalos a UNICOS (tabla EMPRESAS)</t>
  </si>
  <si>
    <t>Partidas que no existen en PARTIDAS
→ agrégalas al final de la tabla PARTIDA</t>
  </si>
  <si>
    <t>Partidas sin TIPO en PARTIDAS
(ORIGEN las clasifica por CUODE; puedes completarlas)</t>
  </si>
  <si>
    <t>Códigos de país sin nombre
→ agrégalos a UNICOS (tabla PAISES)</t>
  </si>
  <si>
    <t>Productos sin nombre común
→ agrégalos a UNICOS (tabla PROD_UNICOS)</t>
  </si>
  <si>
    <t>Ene</t>
  </si>
  <si>
    <t>SIN RAZÓN SOCIAL</t>
  </si>
  <si>
    <t>226</t>
  </si>
  <si>
    <t>20477777393</t>
  </si>
  <si>
    <t>Hélices para barcos</t>
  </si>
  <si>
    <t>Motores marinos</t>
  </si>
  <si>
    <t>Luminarias y lámparas</t>
  </si>
  <si>
    <t>Módulos prefabricados de acero</t>
  </si>
  <si>
    <t>Contenedores de carga</t>
  </si>
  <si>
    <t>Grúas y polipastos</t>
  </si>
  <si>
    <t>Perforadoras</t>
  </si>
  <si>
    <t>Soldadoras de arco eléctrico</t>
  </si>
  <si>
    <t>Partes de aire acondicionado</t>
  </si>
  <si>
    <t>Grúas sobre neumáticos</t>
  </si>
  <si>
    <t>ESTRELLA PETROLERA DEL PERU S.A.C.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</si>
</sst>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indexed="9"/>
      <name val="Arial"/>
      <family val="2"/>
    </font>
    <font>
      <sz val="10"/>
      <name val="Aptos Narrow"/>
      <family val="2"/>
    </font>
    <font>
      <sz val="1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color rgb="FF00206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u/>
      <sz val="10"/>
      <name val="Aptos Narrow"/>
      <family val="2"/>
      <scheme val="minor"/>
    </font>
    <font>
      <b/>
      <u/>
      <sz val="10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11"/>
      <color rgb="FF0000CC"/>
      <name val="Arial"/>
      <family val="2"/>
    </font>
    <font>
      <b/>
      <u/>
      <sz val="10"/>
      <color rgb="FF0000CC"/>
      <name val="Arial"/>
      <family val="2"/>
    </font>
    <font>
      <b/>
      <u/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i/>
      <sz val="8"/>
      <color rgb="FF808080"/>
      <name val="Arial"/>
      <family val="2"/>
    </font>
    <font>
      <sz val="10"/>
      <color rgb="FF0000CC"/>
      <name val="Arial"/>
      <family val="2"/>
    </font>
    <font>
      <b/>
      <sz val="10"/>
      <color rgb="FFC00000"/>
      <name val="Arial"/>
      <family val="2"/>
    </font>
    <font>
      <sz val="10"/>
      <color theme="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83">
    <xf numFmtId="0" fontId="0" fillId="0" borderId="0" xfId="0"/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14" fontId="0" fillId="0" borderId="2" xfId="0" applyNumberFormat="1" applyBorder="1" applyAlignment="1">
      <alignment horizontal="right" vertical="center"/>
    </xf>
    <xf numFmtId="14" fontId="0" fillId="0" borderId="0" xfId="0" applyNumberFormat="1" applyAlignment="1">
      <alignment vertical="center"/>
    </xf>
    <xf numFmtId="3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0" fontId="5" fillId="2" borderId="0" xfId="1" applyFont="1" applyFill="1"/>
    <xf numFmtId="0" fontId="6" fillId="3" borderId="0" xfId="1" applyFont="1" applyFill="1" applyAlignment="1">
      <alignment horizontal="center" vertical="center"/>
    </xf>
    <xf numFmtId="0" fontId="4" fillId="0" borderId="0" xfId="1"/>
    <xf numFmtId="0" fontId="1" fillId="4" borderId="0" xfId="1" applyFont="1" applyFill="1" applyAlignment="1">
      <alignment horizontal="center" vertical="center"/>
    </xf>
    <xf numFmtId="0" fontId="1" fillId="5" borderId="0" xfId="1" applyFont="1" applyFill="1" applyAlignment="1">
      <alignment horizontal="center" vertical="center"/>
    </xf>
    <xf numFmtId="1" fontId="1" fillId="0" borderId="0" xfId="1" applyNumberFormat="1" applyFont="1" applyAlignment="1">
      <alignment vertical="center"/>
    </xf>
    <xf numFmtId="0" fontId="1" fillId="0" borderId="0" xfId="1" applyFont="1" applyAlignment="1">
      <alignment horizontal="left"/>
    </xf>
    <xf numFmtId="1" fontId="4" fillId="0" borderId="0" xfId="1" applyNumberFormat="1"/>
    <xf numFmtId="0" fontId="4" fillId="5" borderId="0" xfId="1" applyFill="1"/>
    <xf numFmtId="2" fontId="4" fillId="0" borderId="0" xfId="1" applyNumberFormat="1"/>
    <xf numFmtId="0" fontId="7" fillId="0" borderId="0" xfId="1" applyFont="1" applyAlignment="1">
      <alignment horizontal="left"/>
    </xf>
    <xf numFmtId="0" fontId="5" fillId="6" borderId="4" xfId="1" applyFont="1" applyFill="1" applyBorder="1" applyAlignment="1">
      <alignment horizontal="center" vertical="center"/>
    </xf>
    <xf numFmtId="0" fontId="5" fillId="6" borderId="5" xfId="1" applyFont="1" applyFill="1" applyBorder="1" applyAlignment="1">
      <alignment horizontal="center" vertical="center"/>
    </xf>
    <xf numFmtId="0" fontId="4" fillId="4" borderId="0" xfId="1" applyFill="1"/>
    <xf numFmtId="0" fontId="4" fillId="0" borderId="2" xfId="1" applyBorder="1" applyAlignment="1">
      <alignment horizontal="right"/>
    </xf>
    <xf numFmtId="0" fontId="4" fillId="0" borderId="0" xfId="1" applyAlignment="1">
      <alignment horizontal="right"/>
    </xf>
    <xf numFmtId="0" fontId="4" fillId="0" borderId="6" xfId="1" applyBorder="1" applyAlignment="1" applyProtection="1">
      <alignment horizontal="left"/>
      <protection locked="0"/>
    </xf>
    <xf numFmtId="0" fontId="4" fillId="0" borderId="7" xfId="1" applyBorder="1" applyAlignment="1">
      <alignment horizontal="right"/>
    </xf>
    <xf numFmtId="0" fontId="8" fillId="7" borderId="0" xfId="1" applyFont="1" applyFill="1" applyAlignment="1">
      <alignment horizontal="left"/>
    </xf>
    <xf numFmtId="0" fontId="9" fillId="0" borderId="0" xfId="1" applyFont="1" applyAlignment="1">
      <alignment horizontal="right"/>
    </xf>
    <xf numFmtId="0" fontId="10" fillId="0" borderId="6" xfId="1" applyFont="1" applyBorder="1" applyAlignment="1" applyProtection="1">
      <alignment horizontal="left"/>
      <protection locked="0"/>
    </xf>
    <xf numFmtId="0" fontId="4" fillId="0" borderId="0" xfId="1" applyAlignment="1" applyProtection="1">
      <alignment horizontal="left"/>
      <protection locked="0"/>
    </xf>
    <xf numFmtId="0" fontId="10" fillId="0" borderId="6" xfId="1" applyFont="1" applyBorder="1" applyAlignment="1">
      <alignment horizontal="left"/>
    </xf>
    <xf numFmtId="0" fontId="10" fillId="0" borderId="0" xfId="1" applyFont="1" applyAlignment="1">
      <alignment horizontal="left"/>
    </xf>
    <xf numFmtId="0" fontId="4" fillId="0" borderId="8" xfId="1" applyBorder="1" applyAlignment="1">
      <alignment horizontal="right"/>
    </xf>
    <xf numFmtId="0" fontId="4" fillId="0" borderId="8" xfId="1" applyBorder="1" applyAlignment="1" applyProtection="1">
      <alignment horizontal="left"/>
      <protection locked="0"/>
    </xf>
    <xf numFmtId="0" fontId="4" fillId="0" borderId="0" xfId="1" applyAlignment="1">
      <alignment horizontal="center" vertical="center"/>
    </xf>
    <xf numFmtId="0" fontId="0" fillId="0" borderId="0" xfId="0" applyAlignment="1">
      <alignment horizontal="left"/>
    </xf>
    <xf numFmtId="3" fontId="0" fillId="0" borderId="0" xfId="0" applyNumberFormat="1"/>
    <xf numFmtId="0" fontId="11" fillId="0" borderId="0" xfId="1" applyFont="1"/>
    <xf numFmtId="0" fontId="11" fillId="0" borderId="3" xfId="1" applyFont="1" applyBorder="1" applyAlignment="1">
      <alignment horizontal="center"/>
    </xf>
    <xf numFmtId="0" fontId="11" fillId="0" borderId="0" xfId="1" applyFont="1" applyAlignment="1">
      <alignment horizontal="center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 wrapText="1"/>
    </xf>
    <xf numFmtId="0" fontId="12" fillId="0" borderId="0" xfId="0" applyFont="1"/>
    <xf numFmtId="0" fontId="13" fillId="0" borderId="0" xfId="0" applyFont="1"/>
    <xf numFmtId="3" fontId="13" fillId="0" borderId="0" xfId="0" applyNumberFormat="1" applyFont="1" applyAlignment="1">
      <alignment horizontal="right"/>
    </xf>
    <xf numFmtId="0" fontId="14" fillId="8" borderId="0" xfId="0" applyFont="1" applyFill="1"/>
    <xf numFmtId="3" fontId="14" fillId="8" borderId="0" xfId="0" applyNumberFormat="1" applyFont="1" applyFill="1" applyAlignment="1">
      <alignment horizontal="right"/>
    </xf>
    <xf numFmtId="0" fontId="16" fillId="0" borderId="0" xfId="0" applyFont="1" applyAlignment="1">
      <alignment indent="2"/>
    </xf>
    <xf numFmtId="3" fontId="16" fillId="0" borderId="0" xfId="0" applyNumberFormat="1" applyFont="1" applyAlignment="1">
      <alignment horizontal="right"/>
    </xf>
    <xf numFmtId="0" fontId="18" fillId="0" borderId="0" xfId="0" applyFont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right"/>
    </xf>
    <xf numFmtId="0" fontId="15" fillId="0" borderId="0" xfId="0" applyFont="1"/>
    <xf numFmtId="0" fontId="16" fillId="9" borderId="0" xfId="0" applyFont="1" applyFill="1" applyAlignment="1">
      <alignment horizontal="center"/>
    </xf>
    <xf numFmtId="0" fontId="16" fillId="0" borderId="0" xfId="0" applyFont="1"/>
    <xf numFmtId="3" fontId="19" fillId="0" borderId="0" xfId="0" applyNumberFormat="1" applyFont="1" applyAlignment="1">
      <alignment horizontal="center"/>
    </xf>
    <xf numFmtId="0" fontId="15" fillId="10" borderId="0" xfId="0" applyFont="1" applyFill="1" applyAlignment="1">
      <alignment vertical="center" wrapText="1"/>
    </xf>
    <xf numFmtId="0" fontId="16" fillId="0" borderId="0" xfId="0" applyFont="1" applyAlignment="1">
      <alignment horizontal="left"/>
    </xf>
    <xf numFmtId="0" fontId="15" fillId="0" borderId="0" xfId="0" applyFont="1" applyAlignment="1">
      <alignment horizontal="righ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NumberFormat="1" applyFont="1" applyFill="1" applyAlignment="1">
      <alignment horizontal="center" vertical="center"/>
    </xf>
    <xf numFmtId="3" fontId="7" fillId="0" borderId="0" xfId="0" applyNumberFormat="1" applyFont="1" applyFill="1" applyAlignment="1">
      <alignment vertical="center"/>
    </xf>
    <xf numFmtId="1" fontId="7" fillId="0" borderId="0" xfId="0" applyNumberFormat="1" applyFont="1" applyFill="1" applyAlignment="1">
      <alignment horizontal="center" vertical="center"/>
    </xf>
    <xf numFmtId="14" fontId="3" fillId="0" borderId="2" xfId="0" applyNumberFormat="1" applyFont="1" applyFill="1" applyBorder="1" applyAlignment="1">
      <alignment horizontal="right" vertical="center"/>
    </xf>
    <xf numFmtId="14" fontId="3" fillId="0" borderId="0" xfId="0" applyNumberFormat="1" applyFont="1" applyFill="1" applyAlignment="1">
      <alignment vertical="center"/>
    </xf>
    <xf numFmtId="14" fontId="3" fillId="0" borderId="0" xfId="0" applyNumberFormat="1" applyFont="1" applyFill="1" applyAlignment="1">
      <alignment horizontal="left" vertical="center"/>
    </xf>
    <xf numFmtId="14" fontId="3" fillId="0" borderId="0" xfId="0" applyNumberFormat="1" applyFont="1" applyFill="1" applyAlignment="1">
      <alignment horizontal="left"/>
    </xf>
    <xf numFmtId="3" fontId="7" fillId="0" borderId="0" xfId="0" applyNumberFormat="1" applyFont="1" applyFill="1" applyAlignment="1">
      <alignment horizontal="right" vertical="center"/>
    </xf>
    <xf numFmtId="0" fontId="7" fillId="0" borderId="0" xfId="0" applyNumberFormat="1" applyFont="1" applyFill="1" applyAlignment="1">
      <alignment horizontal="left" vertical="center"/>
    </xf>
    <xf numFmtId="1" fontId="7" fillId="0" borderId="0" xfId="0" applyNumberFormat="1" applyFont="1" applyFill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4" fillId="0" borderId="0" xfId="1" applyAlignment="1">
      <alignment wrapText="1"/>
    </xf>
    <xf numFmtId="0" fontId="7" fillId="0" borderId="0" xfId="0" applyNumberFormat="1" applyFont="1" applyAlignment="1">
      <alignment horizontal="center" vertical="center"/>
    </xf>
  </cellXfs>
  <cellStyles count="2">
    <cellStyle name="Normal" xfId="0" builtinId="0"/>
    <cellStyle name="Normal 2" xfId="1" xr:uid="{EE958896-F7D9-4F6B-819E-D297AAFB6D25}"/>
  </cellStyles>
  <dxfs count="60">
    <dxf>
      <font>
        <color rgb="FF006100"/>
      </font>
      <fill>
        <patternFill>
          <bgColor rgb="FFC6EFCE"/>
        </patternFill>
      </fill>
    </dxf>
    <dxf>
      <numFmt numFmtId="3" formatCode="#,##0"/>
      <alignment horizontal="right" vertical="center" textRotation="0" wrapText="0" indent="0" justifyLastLine="0" shrinkToFit="0" readingOrder="0"/>
    </dxf>
    <dxf>
      <font>
        <b val="0"/>
      </font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0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19" formatCode="yyyy/mm/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19" formatCode="yyyy/mm/dd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19" formatCode="yyyy/mm/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19" formatCode="yyyy/mm/dd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family val="2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family val="2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rgb="FFFF5050"/>
        </patternFill>
      </fill>
    </dxf>
  </dxfs>
  <tableStyles count="1" defaultTableStyle="TableStyleMedium2" defaultPivotStyle="PivotStyleLight16">
    <tableStyle name="Estilo de segmentación de datos 1" pivot="0" table="0" count="1" xr9:uid="{E0F57115-2CF0-4A20-AAD4-F78C74528F67}">
      <tableStyleElement type="wholeTable" dxfId="59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672352</xdr:colOff>
      <xdr:row>4</xdr:row>
      <xdr:rowOff>19111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C5F3D4D4-3B11-490B-911E-EC7037326563}"/>
            </a:ext>
          </a:extLst>
        </xdr:cNvPr>
        <xdr:cNvSpPr txBox="1"/>
      </xdr:nvSpPr>
      <xdr:spPr>
        <a:xfrm>
          <a:off x="0" y="0"/>
          <a:ext cx="10578352" cy="7811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PE" sz="4400" b="1">
              <a:solidFill>
                <a:srgbClr val="002060"/>
              </a:solidFill>
              <a:latin typeface="+mj-lt"/>
            </a:rPr>
            <a:t>IMPORTACIONES - BCRP</a:t>
          </a:r>
          <a:r>
            <a:rPr lang="es-PE" sz="4400" b="1" baseline="0">
              <a:solidFill>
                <a:srgbClr val="002060"/>
              </a:solidFill>
              <a:latin typeface="+mj-lt"/>
            </a:rPr>
            <a:t> IQUITOS</a:t>
          </a:r>
          <a:endParaRPr lang="es-PE" sz="4400" b="1">
            <a:solidFill>
              <a:srgbClr val="002060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1785316</xdr:colOff>
      <xdr:row>0</xdr:row>
      <xdr:rowOff>0</xdr:rowOff>
    </xdr:from>
    <xdr:to>
      <xdr:col>5</xdr:col>
      <xdr:colOff>32491</xdr:colOff>
      <xdr:row>9</xdr:row>
      <xdr:rowOff>85500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Meses (FECHA)">
              <a:extLst>
                <a:ext uri="{FF2B5EF4-FFF2-40B4-BE49-F238E27FC236}">
                  <a16:creationId xmlns:a16="http://schemas.microsoft.com/office/drawing/2014/main" id="{648515CC-CAF3-4917-D8DE-2E931FAFDAA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5316" y="0"/>
              <a:ext cx="1800000" cy="18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9</xdr:row>
      <xdr:rowOff>85500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Años (FECHA)">
              <a:extLst>
                <a:ext uri="{FF2B5EF4-FFF2-40B4-BE49-F238E27FC236}">
                  <a16:creationId xmlns:a16="http://schemas.microsoft.com/office/drawing/2014/main" id="{27A66912-C30F-2CAF-554A-1290170DAD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00000" cy="18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3638550</xdr:colOff>
      <xdr:row>0</xdr:row>
      <xdr:rowOff>0</xdr:rowOff>
    </xdr:from>
    <xdr:to>
      <xdr:col>0</xdr:col>
      <xdr:colOff>5467350</xdr:colOff>
      <xdr:row>9</xdr:row>
      <xdr:rowOff>85500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) 1">
              <a:extLst>
                <a:ext uri="{FF2B5EF4-FFF2-40B4-BE49-F238E27FC236}">
                  <a16:creationId xmlns:a16="http://schemas.microsoft.com/office/drawing/2014/main" id="{8C5A7DB0-4B5C-2791-4F27-F71CA5D7FB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38550" y="0"/>
              <a:ext cx="1828800" cy="18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1828800</xdr:colOff>
      <xdr:row>0</xdr:row>
      <xdr:rowOff>0</xdr:rowOff>
    </xdr:from>
    <xdr:to>
      <xdr:col>0</xdr:col>
      <xdr:colOff>3657600</xdr:colOff>
      <xdr:row>9</xdr:row>
      <xdr:rowOff>85500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) 1">
              <a:extLst>
                <a:ext uri="{FF2B5EF4-FFF2-40B4-BE49-F238E27FC236}">
                  <a16:creationId xmlns:a16="http://schemas.microsoft.com/office/drawing/2014/main" id="{7C82E4D1-3B29-243F-3A18-DABF2B8268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8800" y="0"/>
              <a:ext cx="1828800" cy="18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vina Ysuiza, Adrian Thierry Samnuel" refreshedDate="46309.477859722225" createdVersion="8" refreshedVersion="8" minRefreshableVersion="3" recordCount="105" xr:uid="{AC4424D0-7605-417E-BA67-AC7FBC23F1E8}">
  <cacheSource type="worksheet">
    <worksheetSource name="Cuadro"/>
  </cacheSource>
  <cacheFields count="24">
    <cacheField name="ADUANA" numFmtId="0">
      <sharedItems/>
    </cacheField>
    <cacheField name="RUC" numFmtId="0">
      <sharedItems/>
    </cacheField>
    <cacheField name="PARTIDA" numFmtId="0">
      <sharedItems/>
    </cacheField>
    <cacheField name="FOB" numFmtId="3">
      <sharedItems containsSemiMixedTypes="0" containsString="0" containsNumber="1" minValue="144.71600000000001" maxValue="6772684"/>
    </cacheField>
    <cacheField name="FLETE" numFmtId="3">
      <sharedItems containsSemiMixedTypes="0" containsString="0" containsNumber="1" minValue="3.556" maxValue="1532476.7930000001"/>
    </cacheField>
    <cacheField name="SEGURO" numFmtId="3">
      <sharedItems containsSemiMixedTypes="0" containsString="0" containsNumber="1" minValue="1.4470000000000001" maxValue="27090.732"/>
    </cacheField>
    <cacheField name="KILOS" numFmtId="3">
      <sharedItems containsSemiMixedTypes="0" containsString="0" containsNumber="1" minValue="3.105" maxValue="1730700"/>
    </cacheField>
    <cacheField name="COD_PAIS" numFmtId="1">
      <sharedItems containsSemiMixedTypes="0" containsString="0" containsNumber="1" containsInteger="1" minValue="105" maxValue="169"/>
    </cacheField>
    <cacheField name="CUODE" numFmtId="1">
      <sharedItems containsSemiMixedTypes="0" containsString="0" containsNumber="1" containsInteger="1" minValue="113" maxValue="910"/>
    </cacheField>
    <cacheField name="FENUM" numFmtId="1">
      <sharedItems containsSemiMixedTypes="0" containsString="0" containsNumber="1" containsInteger="1" minValue="202601" maxValue="202608"/>
    </cacheField>
    <cacheField name="CUOD" numFmtId="1">
      <sharedItems containsSemiMixedTypes="0" containsString="0" containsNumber="1" containsInteger="1" minValue="1" maxValue="3"/>
    </cacheField>
    <cacheField name="FECHA" numFmtId="14">
      <sharedItems containsSemiMixedTypes="0" containsNonDate="0" containsDate="1" containsString="0" minDate="2026-01-01T00:00:00" maxDate="2026-09-02T00:00:00" count="9">
        <d v="2026-03-01T00:00:00"/>
        <d v="2026-08-01T00:00:00"/>
        <d v="2026-06-01T00:00:00"/>
        <d v="2026-05-01T00:00:00"/>
        <d v="2026-01-01T00:00:00"/>
        <d v="2026-07-01T00:00:00" u="1"/>
        <d v="2026-02-01T00:00:00" u="1"/>
        <d v="2026-04-01T00:00:00" u="1"/>
        <d v="2026-09-01T00:00:00" u="1"/>
      </sharedItems>
      <fieldGroup par="23"/>
    </cacheField>
    <cacheField name="FOB (MILES)" numFmtId="3">
      <sharedItems containsSemiMixedTypes="0" containsString="0" containsNumber="1" minValue="0.14471600000000001" maxValue="6772.6840000000002"/>
    </cacheField>
    <cacheField name="TIPO" numFmtId="14">
      <sharedItems containsDate="1" containsMixedTypes="1" minDate="1899-12-30T00:00:00" maxDate="1899-12-31T00:00:00" count="5">
        <s v="BIENES DE CONSUMO"/>
        <s v="BIENES DE CAPITAL"/>
        <s v="MATERIAS PRIMAS"/>
        <d v="1899-12-30T00:00:00" u="1"/>
        <e v="#N/A" u="1"/>
      </sharedItems>
    </cacheField>
    <cacheField name="CATEGORÍA" numFmtId="14">
      <sharedItems count="8">
        <s v="Bienes de consumo no duradero"/>
        <s v="Bienes de consumo duraderos"/>
        <s v="Para la industria"/>
        <s v="Materias primas para la agricultura"/>
        <s v="Equipo de transporte"/>
        <s v="Materias primas para la industria"/>
        <s v="Materiales de construcción"/>
        <s v="Combustibles, lubricantes y conexos" u="1"/>
      </sharedItems>
    </cacheField>
    <cacheField name="DESC. CUODE" numFmtId="14">
      <sharedItems/>
    </cacheField>
    <cacheField name="CIF" numFmtId="3">
      <sharedItems containsSemiMixedTypes="0" containsString="0" containsNumber="1" minValue="149.71900000000002" maxValue="8332251.5249999994"/>
    </cacheField>
    <cacheField name="EMPRESA" numFmtId="0">
      <sharedItems count="435">
        <s v="INVERSIONES EN GRANOS Y PESCADO AMAZONICO E.I.R.L."/>
        <s v="TRANSPORTES EDUARDO SOCIEDAD ANONIMA CERRADA"/>
        <s v="PESCADOS DE LA SELVA E.I.R.L."/>
        <s v="INVERSIONES COMERPEZ HJC S.R.L."/>
        <s v="ARYA ALIMENTOS S.R.L."/>
        <s v="KL IMPORT EXPORT PERU SAC"/>
        <s v="CORPORACION MONTEVERDE SOCIEDAD ANONIMA CERRADA - CORPORACION MONTEVERDE S.A.C."/>
        <s v="LA CADENA DE SUPERMERCADOS E.I.R.L."/>
        <s v="INDUSTRIA DE HIELOS Y PESCADOS JD S.R.L."/>
        <s v="DISTRIBUIDORA NICO EIRL"/>
        <s v="ROOSS IMPORT E.I.R.L."/>
        <s v="SIN RAZÓN SOCIAL"/>
        <s v="R. TRADING S.A." u="1"/>
        <s v="CARGILL AMERICAS PERU S.R.L." u="1"/>
        <s v="FAST EFICITY E.I.R.L." u="1"/>
        <s v="LA SEMILLA DE ORO S.A.C." u="1"/>
        <s v="SUCDEN PERU S.A." u="1"/>
        <s v="MOLINORTE TRADING S.A.C." u="1"/>
        <s v="NESTLE PERU S A" u="1"/>
        <s v="INTEGRACION LUZ SOCIEDAD COMERCIAL DE REPONSABILIDAD LIMITADA" u="1"/>
        <s v="INVERSIONES POSEIDON DEL PERU E.I.R.L." u="1"/>
        <s v="MIMPEXGROUP PERU SOCIEDAD ANONIMA CERRADA - MIMPEXGROUP PERU S.A.C." u="1"/>
        <s v="INDUSTRIAS FIBRAFORTE S A" u="1"/>
        <s v="PACHAVILCA SUMIRE ROGER" u="1"/>
        <s v="COMPAÑIA BERFRANZ S.A.C." u="1"/>
        <s v="TIGRE PERU - TUBOS Y CONEXIONES S.A." u="1"/>
        <s v="MUNPEC S.A.C." u="1"/>
        <s v="MOLINOS ROSA BLANCA S.A.C." u="1"/>
        <s v="FULL GRANOS S.A.C." u="1"/>
        <s v="ALIMENTOS Y SERVICIOS AGROPECUARIOS SRL." u="1"/>
        <s v="MOLINERA INDUSTRIAL PERUANA S.A.C." u="1"/>
        <s v="CORPORACION ACEROS AREQUIPA S.A." u="1"/>
        <s v="ALIMENTOS Y SERVICIOS QUIMA S.A.C." u="1"/>
        <s v="GRUPO MERCANTIL G Y C ALIMENTOS DEL PERU SOCIEDAD ANONIMA CERRADA-GRUMER S.A.C." u="1"/>
        <s v="UNILEVER ANDINA PERU S.A." u="1"/>
        <s v="CORPORACION DE ALIMENTOS DEL PERU S.A.C." u="1"/>
        <s v="GRUPO RAMOS &amp; ORELLANA E.I.R.L." u="1"/>
        <s v="CENTRO DE ACOPIO &amp; ALIMENTOS EL SALVADOR E.I.R.L." u="1"/>
        <s v="IMPORT FYA Y MAS S.A.C.S" u="1"/>
        <s v="ALKOHLER E.I.R.LTDA." u="1"/>
        <s v="EMPRESAS COMERCIALES S.A. Y/O EMCOMER S.A." u="1"/>
        <s v="ALICORP SAA" u="1"/>
        <s v="AMERICAN MINERALS S.A.C." u="1"/>
        <s v="INVERSIONES JUSEMGU SM E.I.R.L." u="1"/>
        <s v="NOR ALIMENTOS S.R.LTDA." u="1"/>
        <s v="EL MOLINO LURIN  S.A.C" u="1"/>
        <s v="MAMANI ANCCO BASILIO" u="1"/>
        <s v="GRUPO FERRAND S.A.C." u="1"/>
        <s v="MAMANI SALCCA GREGORIA" u="1"/>
        <s v="SEABOARD OVERSEAS PERU S.A." u="1"/>
        <s v="GRUPO PACIFIC OIL S.A.C." u="1"/>
        <s v="BIOILS LATAM S.A.C." u="1"/>
        <s v="LORTRAD S.A.C." u="1"/>
        <s v="NAMUCHE ROMERO LIBORIO" u="1"/>
        <s v="CONDORI CARITA JOSEFA" u="1"/>
        <s v="CARPI TECH PERU S.A.C." u="1"/>
        <s v="MONASTERIO ASOCIADO CON EL GRANO S.A.C." u="1"/>
        <s v="MATSERVICE  PETROLEO  PERU  S.A.C" u="1"/>
        <s v="F Y A REPRESENTACIONES S.A.C." u="1"/>
        <s v="SUCAPUCA MAMANI BETSABE" u="1"/>
        <s v="REGION AGRONEGOCIOS IMPORT Y EXPORT S.A.C. EN LIQUIDACION" u="1"/>
        <s v="REPUESTOS FAMAC EMPRESA INDIVIDUAL DE RESPONSABILIDAD LIMITADA" u="1"/>
        <s v="CARBONERIA RETIS EMPRESA INDIVIDUAL DE RESPONSABILIDAD LIMITADA" u="1"/>
        <s v="CONSORCIO DELY S.A.C." u="1"/>
        <s v="PALMYRA DISTRIBUCIONES S.A.C." u="1"/>
        <s v="OXYMAQ S.A.C." u="1"/>
        <s v="ALIMENTOS PROCESADOS SA" u="1"/>
        <s v="ACL REPRESENTACIONES S.A.C." u="1"/>
        <s v="EPIROC PERU SOCIEDAD ANONIMA" u="1"/>
        <s v="INVERSIONES AGROPECUARIAS SAN JUAN EIRL" u="1"/>
        <s v="GRUPO CALIZ INTERNACIONAL E.I.R.L." u="1"/>
        <s v="SDI GROUP S.A.C." u="1"/>
        <s v="HALEMA S.A.C." u="1"/>
        <s v="PROMOTORA DISTRIBUIDORA DE IMPORTACION EXPORTACION SOCIEDAD COMERCIAL DE RESPONSABILIDAD LIMITADA" u="1"/>
        <s v="TRADING SEMILLA S.A.C." u="1"/>
        <s v="MAXIMILIAN INVERSIONES S.A." u="1"/>
        <s v="ADM ANDINA PERU S.R.L." u="1"/>
        <s v="GLOBAL SOLUTIONS TRADING SAC" u="1"/>
        <s v="SERRANO ROMERO VERONICA" u="1"/>
        <s v="GRUPO J Y J  INVERSIONES S.A.C." u="1"/>
        <s v="ALMACENES CORONADO EMPRESA INDIVIDUAL DE RESPONSABILIDAD LIMITADA" u="1"/>
        <s v="AGROCOMERCIO SAN CARLOS SOCIEDAD ANONIMA CERRADA" u="1"/>
        <s v="IMISER S.A.C." u="1"/>
        <s v="VARGAS QUISPE CHRISTIAN JOSE" u="1"/>
        <s v="INDUSTRIA PERUANA DE ACEITES Y GRASAS S.R.L." u="1"/>
        <s v="DAPEL PERU S.A.C." u="1"/>
        <s v="CARHUAPOMA HUAMAN MAGALY" u="1"/>
        <s v="CHOQUE ZAMATA FELIPE ANTHONY" u="1"/>
        <s v="CENCOSUD RETAIL PERU S.A." u="1"/>
        <s v="GRUPO PECUARIO SOCIEDAD ANONIMA CERRADA" u="1"/>
        <s v="CAHUANA CAHUANA ESTHER VERONICA" u="1"/>
        <s v="BALANCEADOS BROWN E.I.R.L." u="1"/>
        <s v="CARHUAPOMA HUAMAN ESTRELLA DAYANA" u="1"/>
        <s v="DXN INTERNATIONAL PERU S.A.C." u="1"/>
        <s v="INKABOR S.A.C." u="1"/>
        <s v="ALIMENTOS BALANCEADOS DEL PERU S.A.C." u="1"/>
        <s v="DUO GRANOS ALIMENTOS E.I.R.L." u="1"/>
        <s v="ICE POWER SOCIEDAD ANONIMA CERRADA - ICE POWER S.A.C." u="1"/>
        <s v="AXIONLOG PERU S.A.C." u="1"/>
        <s v="SEVIZ GRAIN INTERNATIONAL S.A.C." u="1"/>
        <s v="RIO PILCOMAYO S.A.C." u="1"/>
        <s v="ENVASADORA DE PRODUCTOS PREMIUM S.A.C." u="1"/>
        <s v="COMERCIAL INDUSTRIAL DELTA S A CIDELSA" u="1"/>
        <s v="FOOD AND FEEDS TRADING S.A.C." u="1"/>
        <s v="TERMINO MEDIO GROUP S.A.C." u="1"/>
        <s v="ASOCIACION GEOFILOSOFICA DE ESTUDIOS ANTROPOLOGICOS Y CULTURALES DEL PERU" u="1"/>
        <s v="GLOBAL CC PERU S.A.C." u="1"/>
        <s v="VASQUEZ BRIONES DILMER ILSIAS" u="1"/>
        <s v="LECHE GLORIA SOCIEDAD ANONIMA - GLORIA S.A." u="1"/>
        <s v="RIO GRANDE DISTRIBUCIONES SOCIEDAD ANONIMA CERRADA - RGD S.A.C" u="1"/>
        <s v="ELISARA INVERSIONES S.A.C." u="1"/>
        <s v="AVES DEL SUR DISTRIBUIDORA E.I.R.L." u="1"/>
        <s v="INDUSTRIA ALIMENTARIA VITTORIA S.A.C." u="1"/>
        <s v="HATUN RIOS SOCIEDAD ANONIMA CERRADA - HARIOS S.A.C." u="1"/>
        <s v="NUTRICION GONZALES S.A.C. - NUTRIGON S.A.C." u="1"/>
        <s v="CUBAS VASQUEZ WILSON ROGER" u="1"/>
        <s v="CARI COSI HERMEREGILDO" u="1"/>
        <s v="IMISER PERU S.A.C." u="1"/>
        <s v="NESTLE MARCAS PERU S.A.C." u="1"/>
        <s v="D &amp; T HEITNER EMPRESA INDIVIDUAL DE RESPONSABILIDAD LIMITADA" u="1"/>
        <s v="LORO MACHO S.A.C." u="1"/>
        <s v="LA JOYA COMERCIAL S.A.C." u="1"/>
        <s v="MFGS S.A.C." u="1"/>
        <s v="HOLDING UGARTE S.A.C" u="1"/>
        <s v="TRAMONTINA DEL PERU S.A.C." u="1"/>
        <s v="DISTRIBUIDORA IMPORTADORA R &amp; G E.I.R.L." u="1"/>
        <s v="ANAHUA OSCO WILFREDO" u="1"/>
        <s v="COPEFERT SOCIEDAD ANONIMA CERRADA" u="1"/>
        <s v="RIOS SOCIEDAD ANONIMA CERRADA" u="1"/>
        <s v="DONI  ANTONELLA  AQP E.I.R.L." u="1"/>
        <s v="EMP.COMERCIAL PERUANA EIRL.EMCOPER EIRL." u="1"/>
        <s v="IMPORTADORA Y EXPORTADORA JESUS S.A.C." u="1"/>
        <s v="MOLECOR PERU S.A.C." u="1"/>
        <s v="AGROPECUARIA YADIM EMPRESA INDIVIDUAL DE RESPONSABILIDAD LIMITADA" u="1"/>
        <s v="H FUELS DEL PERU S.A.C.-HFK S.A.C." u="1"/>
        <s v="NUTRISUMAQ S.A.C." u="1"/>
        <s v="ALSUCORP S.R.L." u="1"/>
        <s v="TRANSPORTE DE CARGA PESADA NACIONES UNIDAS S.A.C." u="1"/>
        <s v="AJINOMOTO DEL PERU S A" u="1"/>
        <s v="TRANSPORTES GRAN CHACO S.R.L." u="1"/>
        <s v="CORPORACION LA CANTUTA S.A.C." u="1"/>
        <s v="EMPRESA YURA SRL" u="1"/>
        <s v="FOSFORERA PERUANA S.A." u="1"/>
        <s v="NATIONAL FOODS PRODUCTS CORPORATION S.A.C." u="1"/>
        <s v="CORPORACIÓN RICO S.A.C." u="1"/>
        <s v="MAMANI MAMANI CRISTIAN FRANCISCO" u="1"/>
        <s v="IMPORT  Y  EXPORT   SOMBREROS   APOLLO  E.I.R.L." u="1"/>
        <s v="MINERA COLIBRI S.A.C." u="1"/>
        <s v="CAMPO ALTO CIA S.A." u="1"/>
        <s v="COMERCIALIZADORA DE GRANOS EXPRESS S.A.C." u="1"/>
        <s v="CORPORACION PAREDES LA FE EN JESUCRISTO E.I.R.L." u="1"/>
        <s v="IMPORTACION Y EXPORTACION HUGUIÑO E.I.R.L" u="1"/>
        <s v="CAMPOS MAYTA YONY ELMER" u="1"/>
        <s v="FRUTOS DEL TAWANTINSUYO S.A.C." u="1"/>
        <s v="DISPRONOR E.I.R.L." u="1"/>
        <s v="CERAMICA ARCILLA ROJA E.I.R.L." u="1"/>
        <s v="RUVIED OPERADOR Y LOGÍSTICA S.A.C." u="1"/>
        <s v="MOLINO RIVERA S.R.L" u="1"/>
        <s v="CORPORACION EL MOSHACO S.A.C." u="1"/>
        <s v="PTC S.A.C" u="1"/>
        <s v="SEMILLAS &amp; GRANOS ANDINOS S.A.C." u="1"/>
        <s v="KUNAN INVERSIONES LAS GEMELAS EMPRESA INDIVIDUAL DE RESPONSABILIDAD LIMITADA" u="1"/>
        <s v="ZUTA GOMEZ ORLANDO" u="1"/>
        <s v="ALKOFARMA E.I.R.L." u="1"/>
        <s v="AGROINDUSTRIAS ANDINAS DEL PERU E.I.R.L." u="1"/>
        <s v="PROBISUR S.R.L." u="1"/>
        <s v="AGROINDUSTRIA Y SERVICIOS S.A." u="1"/>
        <s v="IMPORT GRAN Y &amp; M S.R.L." u="1"/>
        <s v="DESPENSA PERUANA S.A." u="1"/>
        <s v="INVERSIONES CHURATA E.I.R.L." u="1"/>
        <s v="AGROCOMERCIALIZADORA FENIX DEL SUR U &amp; M SOCIEDAD ANONIMA CERRADA" u="1"/>
        <s v="EMBOTELLADORA CARAL S.A.C." u="1"/>
        <s v="GROT DEL PERU SOCIEDAD ANONIMA CERRADA - GROT PERU S.A.C." u="1"/>
        <s v="SAIDEL S.A.C." u="1"/>
        <s v="MOLICENTRO PERUVIANS S.A.C." u="1"/>
        <s v="ZENDRA IMPORT S.A.C." u="1"/>
        <s v="SOCIEDAD PRODUCTORA Y DISTRIBUIDORA PERU S.A.C." u="1"/>
        <s v="ANGELA &amp; NEGOCIOS E.I.R.L." u="1"/>
        <s v="COMERCIAL CLEME GOMEZ EMPRESA INDIVIDUAL DE RESPONSABILIDAD LIMITADA" u="1"/>
        <s v="PRODUCTOS NOBLE E.I.R.L." u="1"/>
        <s v="GRUPO LA PATRONA S.A.C." u="1"/>
        <s v="HELENTEX S.A.C." u="1"/>
        <s v="NEGOCIOS  EL  MOLINO S.A.C" u="1"/>
        <s v="MOTIVA HOGAR EMPRESA INDIVIDUAL DE RESPONSABILIDAD LIMITADA" u="1"/>
        <s v="ALIMENTOS CHANCAY S.A.C." u="1"/>
        <s v="CORPORACION LA MERCED TRUJILLO S.A.C." u="1"/>
        <s v="SHABDY IMPORTACION Y EXPORTACION SOCIEDAD COMERCIAL DE RESPONSABILIDAD LIMITADA" u="1"/>
        <s v="NUTREX ANDINA PERÚ S.A.C." u="1"/>
        <s v="AGRONEGOCIOS JACH'A QORI WARMI S.A.C." u="1"/>
        <s v="RIO MAGDALENA S.A.C." u="1"/>
        <s v="NEGOCIACIONES Y ESPECIES E.I.R.L." u="1"/>
        <s v="GRUPO CAVEMA SOCIEDAD ANONIMA CERRADA" u="1"/>
        <s v="INVERSIONES ROMEO TRIDENS S.R.L." u="1"/>
        <s v="ALICAMPO S.A.C." u="1"/>
        <s v="INTI PERU S.A.C." u="1"/>
        <s v="KALUMAGRO SOCIEDAD ANONIMA CERRADA" u="1"/>
        <s v="SUMMIT FOODS S.A.C." u="1"/>
        <s v="AGROINVERSIONES TARPUY S.A.C." u="1"/>
        <s v="ROMERO GARCIA ANA ISABEL" u="1"/>
        <s v="AGROPROCESADORA, COMERCIALIZADORA PERUANA EMPRESA INDIVIDUAL DE RESPONSABILIDAD LIMITADA-COMAGRO E.I" u="1"/>
        <s v="CHUCHULLO JILAPA LADY ELEONOR" u="1"/>
        <s v="IMPORTACIONES ALIASP S.A.C." u="1"/>
        <s v="GRUPO YOFASA S.A.C." u="1"/>
        <s v="SUMAQ AGRO TRADE S.A.C." u="1"/>
        <s v="CARBON DEL ORIENTE EMPRESA INDIVIDUAL DE RESPONSABILIDAD LIMITADA" u="1"/>
        <s v="COMERCIAL LAZO ROMO S.R.L" u="1"/>
        <s v="INTERQUIMICA INDUSTRIAL SOCIEDAD ANONIMA CERRADA" u="1"/>
        <s v="CIA IMPORTS EXPORTS CABALLERO S.A.C." u="1"/>
        <s v="AGRO ESPECIAS Y FRUTOS DEL PAIS SAC" u="1"/>
        <s v="HML IMPORT S.A.C." u="1"/>
        <s v="COMERCIALIZADORA DE CUEROS Y PIELES AMERICA S.A.C." u="1"/>
        <s v="GRANOIL PERU S.A.C" u="1"/>
        <s v="DISLUOSEL E.I.RL." u="1"/>
        <s v="LATINOAMERICANA EIR LTDA" u="1"/>
        <s v="AIR PRODUCTS PERU S.A." u="1"/>
        <s v="GEN IMPORT CARGO S.A.C." u="1"/>
        <s v="SODITEK S.A.C." u="1"/>
        <s v="OXYMAN COMERCIAL S.A.C." u="1"/>
        <s v="EL BUEN SABOR DEL ORIENTE S.A.C." u="1"/>
        <s v="FARFAN AVILA MARIA ESTEPHANY" u="1"/>
        <s v="CR TRADING GROUP E.I.R.L." u="1"/>
        <s v="REPRESENTACIONES MESAJU S.R.L." u="1"/>
        <s v="AMCOR RIGID PACKAGING DEL PERU S.A." u="1"/>
        <s v="INVERSIONES DON ANTONIO E.I.R.L." u="1"/>
        <s v="COMERCIAL WA PERU E.I.R.L." u="1"/>
        <s v="TRADING AGROSUR SSAMY SOCIEDAD ANONIMA CERRADA" u="1"/>
        <s v="INVERSIONES E.S.M.A.C. YOEL E.I.R.L." u="1"/>
        <s v="CENTRAL AGROPECUARIA EL MOLINO S.A.C." u="1"/>
        <s v="FOOD TRADING MAYORTHI S.A.C." u="1"/>
        <s v="PARI MAMANI ELIZABETH DIANA" u="1"/>
        <s v="DISTRIBUCIONES STEPHANY EMPRESA INDIVIDUAL DE RESPONSAB. LTDA." u="1"/>
        <s v="COARITA MAMANI AMALIA" u="1"/>
        <s v="ZEVALLOS CHILLITUPA JORGE LUIS" u="1"/>
        <s v="ALLPA NATURALE S.A.C." u="1"/>
        <s v="GRAN VALLE S.A.C." u="1"/>
        <s v="INDUSTRIAS ALIMENTARIAS EBEN EZER" u="1"/>
        <s v="MELKRIT E.I.R.L." u="1"/>
        <s v="WILLKAPARU BUSINESS S.A.C." u="1"/>
        <s v="IMPORTACIONES &amp; EXPORTACIONES JAFEED S.A.C." u="1"/>
        <s v="AGENCIA DE ADUANAS RAED S.A.C." u="1"/>
        <s v="PRODUCTOS EL MOLINO S.A.C." u="1"/>
        <s v="FERTILIZANTES DEL SUR SOCIEDAD ANONIMA CERRADA - FERTISUR S.A.C." u="1"/>
        <s v="TRANSPORTE DE CARGA PESADA Y LOGISTICA SERVI COSTA E.I.R.L." u="1"/>
        <s v="GERZA DISTRIBUCIONES EMPRESA INDIVIDUAL DE RESPONSABILIDAD LIMITADA - GERZA DISTRIBUCIONES E.I.R.L." u="1"/>
        <s v="VICENTE MENDOZA TERESA" u="1"/>
        <s v="CORPORACION EL MOLINO L &amp; C EMPRESA INDIVIDUAL DE RESPONSABILIDAD LIMITADA" u="1"/>
        <s v="MILNEUS S.A.C." u="1"/>
        <s v="TEXTILON PERU S.A.C." u="1"/>
        <s v="CARYPA PERU E.I.R.L." u="1"/>
        <s v="PASTOR GIRON EMMA NELLY MILAGROS" u="1"/>
        <s v="INVERSIONES GRAN VIÑA S.A.C." u="1"/>
        <s v="C&amp;M EL BUEN GUSTO JAPIE SRL" u="1"/>
        <s v="MOLINOS MAXI S.R.L." u="1"/>
        <s v="INVERSIONES GAHELA E.I.R.L." u="1"/>
        <s v="ALIEM PERU S.A.C." u="1"/>
        <s v="MANI TRECE TREINTA SOCIEDAD ANONIMA CERRADA" u="1"/>
        <s v="AGROPERU HUARI S.A.C." u="1"/>
        <s v="IMPORTACIONES ROSITACAR EMPRESA INDIVIDUAL DE RESPONSABILIDAD LIMITADA" u="1"/>
        <s v="IMPORTADORA Y EXPORTADORA LUCAS S.R.L." u="1"/>
        <s v="CORPORACION REYNELSA SOCIEDAD ANONIMA CERRADA. -  CORPORACION REYNELSA S.A.C." u="1"/>
        <s v="GRUPO ZULEMITA E.I.R.L." u="1"/>
        <s v="MEDIFARMA S A" u="1"/>
        <s v="ADIPLUS SOCIEDAD ANONIMA CERRADA - ADIPLUS S.A.C." u="1"/>
        <s v="CONDORI CASTILLO EDWIN" u="1"/>
        <s v="IMPORT Y EXPORT TORNADO PERU E.I.R.L." u="1"/>
        <s v="INTERLOOM S.A.C." u="1"/>
        <s v="GRUPO POLARS E.I.R.L." u="1"/>
        <s v="AGROINDUSTRIAS ADELISES S.A.C." u="1"/>
        <s v="COMERCIALIZADORA DE INSUMOS AGROPECUARIOS E INVERSIONES EN GENERAL YACCHI S.A.C - INYA S.A.C" u="1"/>
        <s v="QUISPE CHUQUIMIA MARLENNY" u="1"/>
        <s v="LA TOURANGELLE PERU S.A.C." u="1"/>
        <s v="REPRESENTACIONES MARTIN S.A.C" u="1"/>
        <s v="CORPORACIÓN ECO TELLEZ S.A.C." u="1"/>
        <s v="AGRO INVERSIONES ALODI MARL S.A.C." u="1"/>
        <s v="S &amp; T JOSMET INVERSIONES" u="1"/>
        <s v="JUNPOR LOGISTICS SERVICE E.I.R.L." u="1"/>
        <s v="PERUMAT CONSTRUCTOR E.I.R.L." u="1"/>
        <s v="FOSYEIKI AMAZONICO E.I.R.L." u="1"/>
        <s v="INVERSIONES NANSCU FOODS S.A.C." u="1"/>
        <s v="TEVES OSORIO CHRISTIAN ALEXIS" u="1"/>
        <s v="ALIMENTOS Y INDUSTRIAS APAZA EMPRESA INDIVIDUAL DE RESPONSABILIDAD LIMITADA" u="1"/>
        <s v="INVERSIONES CYS S.A." u="1"/>
        <s v="AGRICOLA PAMPA BAJA S.A.C." u="1"/>
        <s v="AGROVET MARKET S.A" u="1"/>
        <s v="INVERSIONES SERCOPAMPA S.A.C." u="1"/>
        <s v="MACHACA PEREYRA NELY" u="1"/>
        <s v="GRANJAS AMAZONICAS S.A.C" u="1"/>
        <s v="MEDINA ESCOBAR CONSUELO" u="1"/>
        <s v="PACHA FOODS S.A.C." u="1"/>
        <s v="NEGOSERVIS COMERCIAL E.I.R.L." u="1"/>
        <s v="INVERSIONES AMBIENTALES OILS S.A.C." u="1"/>
        <s v="PRODUCTOS ALIMENTICIOS VIDAMAS S.A.C." u="1"/>
        <s v="PERLA NEGRA A &amp; Q S.A.C." u="1"/>
        <s v="OXYPERU CRYOGENIC S.A.C." u="1"/>
        <s v="AGROINVERSIONES RIVSAL E.I.R.L." u="1"/>
        <s v="MARINA OILS S.A.C." u="1"/>
        <s v="RIVEROS CHOQUE DIRSEY YAMILET" u="1"/>
        <s v="IMPORTACIONES Y EXPORTACIONES ALTIPLANO SOCIEDAD COMERCIAL DE RESPONSABILIDAD LIMITADA" u="1"/>
        <s v="T.L.M TRANSPORTES Y SERVICIOS S.A.C." u="1"/>
        <s v="ECOPIAL PERU S.A.C" u="1"/>
        <s v="ARA IMPORT AND EXPORT E.I.R.L." u="1"/>
        <s v="VILCA CRUZ ROGELIO" u="1"/>
        <s v="NUTRIGRANOS LA ESPIGA DORADA E.I.R.L." u="1"/>
        <s v="TRANSPORTES B.R.C EXPRESS E.I.R.L." u="1"/>
        <s v="CONTRERAS VILCATOMA YOBAN" u="1"/>
        <s v="BIOLIVAS S.A.C." u="1"/>
        <s v="CHUCUYA COMPANY S.A.C." u="1"/>
        <s v="ACEITE CLARISSA S.A.C." u="1"/>
        <s v="CAMACHO WORLD FOODS SOCIEDAD ANONIMA CERRADA." u="1"/>
        <s v="BOLTZMAN S.A.C." u="1"/>
        <s v="VITANOR SECTOR I LIMA CENTRO SOCIEDAD ANONIMA CERRADA - VITANOR SECTOR I LIMA CENTRO S.A.C." u="1"/>
        <s v="KADOVA PACKINGBOX S.A.C.S." u="1"/>
        <s v="IMPORTACIONES PUKARANI E.I.R.L." u="1"/>
        <s v="AVENDAñO TRADING COMPANY SAC" u="1"/>
        <s v="ANDRITZ CHILE LIMITADA SUCURSAL DEL PERU" u="1"/>
        <s v="ANDINA DISTRIBUCIONES E.I.R.L." u="1"/>
        <s v="INCALPACA TEXTILES PERUANOS DE EXPORT SA" u="1"/>
        <s v="VARA ORBEZO MIGUEL ANGEL" u="1"/>
        <s v="MACROSOURCE PERÚ SOCIEDAD COMERCIAL DE RESPONSABILIDAD LIMITADA - MACROSOURCE PERÚ S.R.L." u="1"/>
        <s v="GRANDES NEGOCIOS INTERNACIONALES PERU S.A.C." u="1"/>
        <s v="CANTORAL ROMAN LUIS WILFREDO" u="1"/>
        <s v="PROTRADE CORP S.A.C." u="1"/>
        <s v="T &amp; M TECHNICAL SOLUTIONS S.A.C." u="1"/>
        <s v="RPM DISTRIPACK S.A.C" u="1"/>
        <s v="INVERSIONES OIGIMER EMPRESA INDIVIDUAL DE RESPONSABILIDAD LIMITADA - INVERSIONES OIGIMER E.I.R.L." u="1"/>
        <s v="MIO OLIDEN ANTHONY" u="1"/>
        <s v="CARBONERIA LA SELVA E.I.R.L." u="1"/>
        <s v="PLATAFORMA DE PRODUCTOS DEL SUR S.A.C." u="1"/>
        <s v="QUIMPAC S.A." u="1"/>
        <s v="CRUZ HUISA NELY" u="1"/>
        <s v="ESCUDERO DEL PACIFICO S.A.C." u="1"/>
        <s v="COMERCIALIZADORA LUJO Y MODA S.A.C." u="1"/>
        <s v="CAMPO ALTO TRADING S.A.C." u="1"/>
        <s v="SCORPION`CRV INVERSIONES S.A.C." u="1"/>
        <s v="SUPERHEALTHY FOOD PERU E.I.R.L." u="1"/>
        <s v="TORANZO GROUP E.I.R.L." u="1"/>
        <s v="WANG LOCK S.R.L." u="1"/>
        <s v="CORPORACION ZON S.A.C." u="1"/>
        <s v="GREEN LAND GROUP SOCIEDAD ANONIMA CERRADA - GL GROUP S.A.C." u="1"/>
        <s v="CORPORACION MADERA GENESIS E.I.R.L." u="1"/>
        <s v="INTRIAL S.A.C." u="1"/>
        <s v="PRODUCTOS VALLE NUEVO S.A.C." u="1"/>
        <s v="FABRICA DE FIELTROS DUVET S.A.C." u="1"/>
        <s v="IMPORT EXPORT COMERCIALIZADORA DIAZ SOCIEDAD ANONIMA CERRADA" u="1"/>
        <s v="ORTEGA DELGADO JOSE MIGUEL" u="1"/>
        <s v="INVERSIONES YAZMIN MILAGROS SOCIEDAD COMERCIAL DE RESPONSABILIDAD LIMITADA-INVERSIONES YAZMIL S.R.L." u="1"/>
        <s v="URBANO TOLEDO WILDER JAVIER" u="1"/>
        <s v="POWER ALIMENTOS BALANCEADOS S.A.C. - POALBA S.A.C." u="1"/>
        <s v="INVERSIONES MOLINERAS EL GRANO REAL E.I.R.L." u="1"/>
        <s v="SOCIEDAD EL CARMEN IMPORT.EXPORT. S.R.L." u="1"/>
        <s v="NEGOCIOS CHONTA E.I.R.L." u="1"/>
        <s v="AGROINDUSTRIA PALMOLIO S.A.C." u="1"/>
        <s v="INVERSIONES WANCHESTER SAC" u="1"/>
        <s v="CONSORCIO AGRICOLA MOQUEGUA S.A.C." u="1"/>
        <s v="TRADING GLOBAL WBM S.A.C." u="1"/>
        <s v="LOGISTICA DE TRANSPORTE INTERNACIONAL J &amp; L GLOBAL SUR S.R.L." u="1"/>
        <s v="L &amp; L IMPORT SOCIEDAD ANONIMA" u="1"/>
        <s v="MENDOZA MAMANI JIMENA JUDITH" u="1"/>
        <s v="IMPORTACIONES Y EXPORTACIONES CHAMBILLA E.I.R.L." u="1"/>
        <s v="QUISPE MAMANI RICARDO" u="1"/>
        <s v="C &amp; C CORPORACION SUR S.A.C." u="1"/>
        <s v="QUISPE ARI JHIMY ANDERSEN" u="1"/>
        <s v="JJ &amp; C IMEXA S.R.L." u="1"/>
        <s v="HERMANOS UNIDOS V &amp; S S.A.C." u="1"/>
        <s v="INVERSIONES Y REPRESENTACIONES PAZ AYCA E.I.R.L." u="1"/>
        <s v="HERSIL S.A.C. LABORATORIOS INDUSTRIALES FARMACEUTICOS" u="1"/>
        <s v="BOROSUR S.A.C." u="1"/>
        <s v="HUGOS INVERSIONES S.A.C." u="1"/>
        <s v="P &amp; G IMPORTACIONES Y DISTRIBUCIONES S.A.C." u="1"/>
        <s v="CORPORACION HELEO SOCIEDAD ANONIMA CERRADA" u="1"/>
        <s v="AGROINDUSTRIAS E INVERSIONES GENESIS EMPRESA INDIVIDUAL DE RESPONSABILIDAD LIMITADA" u="1"/>
        <s v="AGROPECUARIA E INDUSTRIAS FAFIO S.A." u="1"/>
        <s v="INDIGO INNOVA S.A." u="1"/>
        <s v="CARTUPAK PERU S.A.C." u="1"/>
        <s v="GROUP B FIRST S.A.C." u="1"/>
        <s v="NATUBOR S.A.C." u="1"/>
        <s v="DELL INDUSTRIAL SOCIEDAD ANONIMA CERRADA - DELL INDUSTRIAL S.A.C." u="1"/>
        <s v="WICHOS E.I.R.L." u="1"/>
        <s v="INNOVA NUTRICIONES SAN PEDRO EMPRESA INDIVIDUAL DE RESPONSABILIDAD LIMITADA" u="1"/>
        <s v="YUMI REY S.A.C." u="1"/>
        <s v="GRUPO CALLAPIÑA EMPRESA INDIVIDUAL DE RESPONSABILIDAD LIMITADA" u="1"/>
        <s v="CHURA GOMEZ MADILENY" u="1"/>
        <s v="MORALES CABRERA JUAN CARLOS" u="1"/>
        <s v="ENGINEERS IN ACTION-SUCURSAL PERU" u="1"/>
        <s v="MANNGO J &amp; K E.I.R.L" u="1"/>
        <s v="L Y O IMPORTACIONES S.A.C." u="1"/>
        <s v="CORPORACION HNOS VELETOS SOCIEDAD ANONIMA CERRADA" u="1"/>
        <s v="NEGOCIOS OLARTE S.A.C." u="1"/>
        <s v="ALBERTO CHILON S.A.C." u="1"/>
        <s v="SEGURINDUSTRIA SA" u="1"/>
        <s v="LA JOYA MINING SOCIEDAD ANONIMA CERRADA" u="1"/>
        <s v="CORPORACION CERAMICAS DEL SUR VALPI EMPRESA INDIVIDUAL DE RESPONSABILIDAD LIMITADA" u="1"/>
        <s v="MAYTA ALEMAN JESUS SIMEON" u="1"/>
        <s v="ZULCORP E.I.R.L." u="1"/>
        <s v="MAMANI MALDONADO LUCERO DINA" u="1"/>
        <s v="AGRO GEMAR E.I.R.L" u="1"/>
        <s v="INGENIERIA EMPRESARIAL PREMIUM C &amp; J E.I.R.L." u="1"/>
        <s v="EMIGROUP AGROINDUSTRIAS S.A.C." u="1"/>
        <s v="CORPORACION ECOFORESTAL E.I.R.L." u="1"/>
        <s v="INVERSIONES MINERAS DIEGO Y LUCCIANA S.A.C." u="1"/>
        <s v="PRINCIPE JARA KATHERIN CINTHYA" u="1"/>
        <s v="WORLD BOOKS E.I.R.L." u="1"/>
        <s v="QUISPE PALOMINO OLGA ASUNCION" u="1"/>
        <s v="VISUAL EDICIONES S.A.C." u="1"/>
        <s v="GRUPO HJ INVERSIONES E.I.R.L." u="1"/>
        <s v="SS &amp; JJ LOGISTICA Y TRANSPORTE INTERNACIONAL E.I.R.L." u="1"/>
        <s v="ESCUELA DE EDUCACION SUPERIOR TECNOLOGICA DE CIENCIAS APLICADAS DEL PERU SOCIEDAD ANONIMA CERRADA" u="1"/>
        <s v="MOTORES DIESEL ANDINOS S.A.- MODASA" u="1"/>
        <s v="TRANSPORTES Y DISTRIBUCIONES GAMARRA E.I.R.L." u="1"/>
        <s v="BOOZIOS LIQUORS SOCIEDAD ANONIMA CERRADA - BOOZIOS LIQUORS S.A.C." u="1"/>
        <s v="ILEVA TRADING S.A.C." u="1"/>
        <s v="INVERSIONES GROVAL S.A.C." u="1"/>
        <s v="METALES RECICLADOS S.A.C." u="1"/>
        <s v="LAURENTE MONTOYA ANDREA" u="1"/>
        <s v="BELLOTA CCOYORI MATILDE" u="1"/>
        <s v="CUSI CHAMBI EMILIO" u="1"/>
        <s v="IPESA S.A.C." u="1"/>
        <s v="GRUPO QHALIFOODS S.A.C." u="1"/>
        <s v="BADITA S.A.C." u="1"/>
        <s v="PROSEEDS EXPORT SOCIEDAD ANONIMA CERRADA" u="1"/>
        <s v="YANCATEX E.I.R.L." u="1"/>
        <s v="LEYVA GONZALES WILDER NICOLAS" u="1"/>
        <s v="NEGOCIOS E INVERSIONES DILAN EMPRESA INDIVIDUAL DE RESPONSABILIDAD LIMITADA" u="1"/>
        <s v="KALLPA SERVICOMP S.A.C." u="1"/>
        <s v="INVERSIONES J JUAN LUIS E.I.R.L." u="1"/>
        <s v="INVERSIONES NEGRITO SAC" u="1"/>
        <s v="COMPAÑIA PERUANA DE BALSA S.A.C." u="1"/>
        <s v="INDUSTRIAS CAMPO UNIDO S.A.C." u="1"/>
        <s v="INSUMOS MARITIMOS S.A.C." u="1"/>
        <s v="SINOHYDRO CORPORATION LIMITED, SUCURSAL DEL PERU" u="1"/>
        <s v="CAMEJO DIAZ JORGE LUIS" u="1"/>
        <s v="VIZCARDO DURAN ANTONIO GUILLERMO" u="1"/>
        <s v="RIOS ANGULO GELGO" u="1"/>
        <s v="MADERERA BOZOVICH S.A.C." u="1"/>
        <e v="#N/A" u="1"/>
      </sharedItems>
    </cacheField>
    <cacheField name="PRODUCTO" numFmtId="1">
      <sharedItems count="27">
        <s v="Pescado congelado"/>
        <s v="Aire acondicionado"/>
        <s v="Partes de aire acondicionado"/>
        <s v="Torta de soya"/>
        <s v="Motores marinos"/>
        <s v="Azúcar de caña"/>
        <s v="Hélices para barcos"/>
        <s v="Placas evaporadoras"/>
        <s v="Aceite de soya"/>
        <s v="Arroz"/>
        <s v="Módulos prefabricados de acero"/>
        <s v="Luminarias y lámparas"/>
        <s v="Contenedores de carga"/>
        <s v="Grúas sobre neumáticos"/>
        <s v="Perforadoras"/>
        <s v="Soldadoras de arco eléctrico"/>
        <s v="Grúas y polipastos"/>
        <s v="Partes para aires acondicionados" u="1"/>
        <s v="Motores para barcos" u="1"/>
        <s v="Hélices para barcos y sus paletas" u="1"/>
        <s v="Unidades de construcción modular, de acero" u="1"/>
        <s v="Luminarias y aparatos de alumbrado (incluidos los proyectores) y sus… (los demás)" u="1"/>
        <s v="Contenedores (incluidos los contenedores_x000a_cisterna y los contenedores depósito)_x000a_especialmente concebidos y equipados para uno_x000a_o varios medios de transporte." u="1"/>
        <s v="Sobre neumáticos (los demás)" u="1"/>
        <s v="Máquinas para perforar" u="1"/>
        <s v="Máquinas y aparatos para soldar metal, de arco o chorro de plasma (los demás)" u="1"/>
        <s v="Grúas y aparatos de elevación sobre cable aéreo (los demás)" u="1"/>
      </sharedItems>
    </cacheField>
    <cacheField name="PAIS" numFmtId="1">
      <sharedItems/>
    </cacheField>
    <cacheField name="CONTINENTE" numFmtId="1">
      <sharedItems/>
    </cacheField>
    <cacheField name="Días (FECHA)" numFmtId="0" databaseField="0">
      <fieldGroup base="11">
        <rangePr groupBy="days" startDate="2026-01-01T00:00:00" endDate="2026-08-02T00:00:00"/>
        <groupItems count="368">
          <s v="&lt;2026-01-01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t"/>
          <s v="02-Set"/>
          <s v="03-Set"/>
          <s v="04-Set"/>
          <s v="05-Set"/>
          <s v="06-Set"/>
          <s v="07-Set"/>
          <s v="08-Set"/>
          <s v="0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026-08-02"/>
        </groupItems>
      </fieldGroup>
    </cacheField>
    <cacheField name="Meses (FECHA)" numFmtId="0" databaseField="0">
      <fieldGroup base="11">
        <rangePr groupBy="months" startDate="2026-01-01T00:00:00" endDate="2026-08-02T00:00:00"/>
        <groupItems count="14">
          <s v="&lt;2026-01-01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2026-08-02"/>
        </groupItems>
      </fieldGroup>
    </cacheField>
    <cacheField name="Años (FECHA)" numFmtId="0" databaseField="0">
      <fieldGroup base="11">
        <rangePr groupBy="years" startDate="2026-01-01T00:00:00" endDate="2026-08-02T00:00:00"/>
        <groupItems count="3">
          <s v="&lt;2026-01-01"/>
          <s v="2026"/>
          <s v="&gt;2026-08-02"/>
        </groupItems>
      </fieldGroup>
    </cacheField>
  </cacheFields>
  <extLst>
    <ext xmlns:x14="http://schemas.microsoft.com/office/spreadsheetml/2009/9/main" uri="{725AE2AE-9491-48be-B2B4-4EB974FC3084}">
      <x14:pivotCacheDefinition pivotCacheId="91860728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">
  <r>
    <s v="226"/>
    <s v="20393529076"/>
    <s v="0303890000"/>
    <n v="25050"/>
    <n v="4500"/>
    <n v="375.75"/>
    <n v="15000"/>
    <n v="105"/>
    <n v="113"/>
    <n v="202603"/>
    <n v="1"/>
    <x v="0"/>
    <n v="25.05"/>
    <x v="0"/>
    <x v="0"/>
    <s v="Productos alimenticios primarios"/>
    <n v="29925.75"/>
    <x v="0"/>
    <x v="0"/>
    <s v="Brasil"/>
    <s v="AMÉRICA"/>
  </r>
  <r>
    <s v="226"/>
    <s v="20600119321"/>
    <s v="8415109000"/>
    <n v="8531.1"/>
    <n v="383.11200000000002"/>
    <n v="85.311000000000007"/>
    <n v="197.93899999999999"/>
    <n v="105"/>
    <n v="840"/>
    <n v="202608"/>
    <n v="3"/>
    <x v="1"/>
    <n v="8.5311000000000003"/>
    <x v="0"/>
    <x v="1"/>
    <s v="Máquinas y aparatos de uso doméstico"/>
    <n v="8999.5229999999992"/>
    <x v="1"/>
    <x v="1"/>
    <s v="Brasil"/>
    <s v="AMÉRICA"/>
  </r>
  <r>
    <s v="226"/>
    <s v="20609563967"/>
    <s v="0303890000"/>
    <n v="26646.47"/>
    <n v="2664.6460000000002"/>
    <n v="399.697"/>
    <n v="6860"/>
    <n v="105"/>
    <n v="113"/>
    <n v="202603"/>
    <n v="1"/>
    <x v="0"/>
    <n v="26.646470000000001"/>
    <x v="0"/>
    <x v="0"/>
    <s v="Productos alimenticios primarios"/>
    <n v="29710.813000000002"/>
    <x v="2"/>
    <x v="0"/>
    <s v="Brasil"/>
    <s v="AMÉRICA"/>
  </r>
  <r>
    <s v="226"/>
    <s v="20612351610"/>
    <s v="0303890000"/>
    <n v="27576"/>
    <n v="3446.9859999999999"/>
    <n v="413.64"/>
    <n v="11489.955"/>
    <n v="105"/>
    <n v="113"/>
    <n v="202603"/>
    <n v="1"/>
    <x v="0"/>
    <n v="27.576000000000001"/>
    <x v="0"/>
    <x v="0"/>
    <s v="Productos alimenticios primarios"/>
    <n v="31436.626"/>
    <x v="3"/>
    <x v="0"/>
    <s v="Brasil"/>
    <s v="AMÉRICA"/>
  </r>
  <r>
    <s v="226"/>
    <s v="20609563967"/>
    <s v="0303890000"/>
    <n v="2916.16"/>
    <n v="530.21"/>
    <n v="43.741999999999997"/>
    <n v="1365"/>
    <n v="105"/>
    <n v="113"/>
    <n v="202603"/>
    <n v="1"/>
    <x v="0"/>
    <n v="2.9161599999999996"/>
    <x v="0"/>
    <x v="0"/>
    <s v="Productos alimenticios primarios"/>
    <n v="3490.1120000000001"/>
    <x v="2"/>
    <x v="0"/>
    <s v="Brasil"/>
    <s v="AMÉRICA"/>
  </r>
  <r>
    <s v="226"/>
    <s v="20609563967"/>
    <s v="0303890000"/>
    <n v="1971.29"/>
    <n v="394.25900000000001"/>
    <n v="29.568999999999999"/>
    <n v="1015"/>
    <n v="105"/>
    <n v="113"/>
    <n v="202603"/>
    <n v="1"/>
    <x v="0"/>
    <n v="1.97129"/>
    <x v="0"/>
    <x v="0"/>
    <s v="Productos alimenticios primarios"/>
    <n v="2395.1179999999999"/>
    <x v="2"/>
    <x v="0"/>
    <s v="Brasil"/>
    <s v="AMÉRICA"/>
  </r>
  <r>
    <s v="226"/>
    <s v="20393529076"/>
    <s v="0303890000"/>
    <n v="3154.07"/>
    <n v="788.51499999999999"/>
    <n v="47.311"/>
    <n v="2030"/>
    <n v="105"/>
    <n v="113"/>
    <n v="202603"/>
    <n v="1"/>
    <x v="0"/>
    <n v="3.1540700000000004"/>
    <x v="0"/>
    <x v="0"/>
    <s v="Productos alimenticios primarios"/>
    <n v="3989.8960000000002"/>
    <x v="0"/>
    <x v="0"/>
    <s v="Brasil"/>
    <s v="AMÉRICA"/>
  </r>
  <r>
    <s v="226"/>
    <s v="20600119321"/>
    <s v="8415900000"/>
    <n v="509.22"/>
    <n v="22.87"/>
    <n v="5.0919999999999996"/>
    <n v="11.816000000000001"/>
    <n v="105"/>
    <n v="840"/>
    <n v="202608"/>
    <n v="3"/>
    <x v="1"/>
    <n v="0.50922000000000001"/>
    <x v="1"/>
    <x v="2"/>
    <s v="Partes y accesorios de maquinaria industrial"/>
    <n v="537.18200000000002"/>
    <x v="1"/>
    <x v="2"/>
    <s v="Brasil"/>
    <s v="AMÉRICA"/>
  </r>
  <r>
    <s v="226"/>
    <s v="20614021633"/>
    <s v="2304000000"/>
    <n v="151298.41"/>
    <n v="32497.319"/>
    <n v="2269.4760000000001"/>
    <n v="649349.38"/>
    <n v="105"/>
    <n v="412"/>
    <n v="202606"/>
    <n v="2"/>
    <x v="2"/>
    <n v="151.29840999999999"/>
    <x v="2"/>
    <x v="3"/>
    <s v="Alimentos para animales: elaborados"/>
    <n v="186065.20499999999"/>
    <x v="4"/>
    <x v="3"/>
    <s v="Brasil"/>
    <s v="AMÉRICA"/>
  </r>
  <r>
    <s v="226"/>
    <s v="20600119321"/>
    <s v="8408100000"/>
    <n v="89100"/>
    <n v="2190.6779999999999"/>
    <n v="891"/>
    <n v="1912.155"/>
    <n v="105"/>
    <n v="910"/>
    <n v="202606"/>
    <n v="3"/>
    <x v="2"/>
    <n v="89.1"/>
    <x v="1"/>
    <x v="4"/>
    <s v="Partes y accesorios de equipo de transporte"/>
    <n v="92181.678"/>
    <x v="1"/>
    <x v="4"/>
    <s v="Brasil"/>
    <s v="AMÉRICA"/>
  </r>
  <r>
    <s v="226"/>
    <s v="20609563967"/>
    <s v="0303890000"/>
    <n v="2569.48"/>
    <n v="285.49799999999999"/>
    <n v="38.542000000000002"/>
    <n v="735"/>
    <n v="105"/>
    <n v="113"/>
    <n v="202603"/>
    <n v="1"/>
    <x v="0"/>
    <n v="2.56948"/>
    <x v="0"/>
    <x v="0"/>
    <s v="Productos alimenticios primarios"/>
    <n v="2893.52"/>
    <x v="2"/>
    <x v="0"/>
    <s v="Brasil"/>
    <s v="AMÉRICA"/>
  </r>
  <r>
    <s v="226"/>
    <s v="20541214233"/>
    <s v="1701999000"/>
    <n v="135043.641"/>
    <n v="25420.973000000002"/>
    <n v="360.32900000000001"/>
    <n v="300000"/>
    <n v="105"/>
    <n v="113"/>
    <n v="202608"/>
    <n v="1"/>
    <x v="1"/>
    <n v="135.04364100000001"/>
    <x v="2"/>
    <x v="5"/>
    <s v="Productos alimenticios semielaborados"/>
    <n v="160824.943"/>
    <x v="5"/>
    <x v="5"/>
    <s v="Brasil"/>
    <s v="AMÉRICA"/>
  </r>
  <r>
    <s v="226"/>
    <s v="20609563967"/>
    <s v="0303890000"/>
    <n v="2727.73"/>
    <n v="389.67599999999999"/>
    <n v="40.915999999999997"/>
    <n v="1003.2"/>
    <n v="105"/>
    <n v="113"/>
    <n v="202603"/>
    <n v="1"/>
    <x v="0"/>
    <n v="2.7277300000000002"/>
    <x v="0"/>
    <x v="0"/>
    <s v="Productos alimenticios primarios"/>
    <n v="3158.3220000000001"/>
    <x v="2"/>
    <x v="0"/>
    <s v="Brasil"/>
    <s v="AMÉRICA"/>
  </r>
  <r>
    <s v="226"/>
    <s v="20609563967"/>
    <s v="0303890000"/>
    <n v="1631.42"/>
    <n v="326.28300000000002"/>
    <n v="24.471"/>
    <n v="840"/>
    <n v="105"/>
    <n v="113"/>
    <n v="202603"/>
    <n v="1"/>
    <x v="0"/>
    <n v="1.6314200000000001"/>
    <x v="0"/>
    <x v="0"/>
    <s v="Productos alimenticios primarios"/>
    <n v="1982.174"/>
    <x v="2"/>
    <x v="0"/>
    <s v="Brasil"/>
    <s v="AMÉRICA"/>
  </r>
  <r>
    <s v="226"/>
    <s v="20600119321"/>
    <s v="8415900000"/>
    <n v="144.71600000000001"/>
    <n v="3.556"/>
    <n v="1.4470000000000001"/>
    <n v="3.105"/>
    <n v="105"/>
    <n v="840"/>
    <n v="202606"/>
    <n v="3"/>
    <x v="2"/>
    <n v="0.14471600000000001"/>
    <x v="1"/>
    <x v="2"/>
    <s v="Partes y accesorios de maquinaria industrial"/>
    <n v="149.71900000000002"/>
    <x v="1"/>
    <x v="2"/>
    <s v="Brasil"/>
    <s v="AMÉRICA"/>
  </r>
  <r>
    <s v="226"/>
    <s v="20541214233"/>
    <s v="1701999000"/>
    <n v="329115.75900000002"/>
    <n v="59579.027000000002"/>
    <n v="878.16099999999994"/>
    <n v="700020"/>
    <n v="105"/>
    <n v="113"/>
    <n v="202608"/>
    <n v="1"/>
    <x v="1"/>
    <n v="329.11575900000003"/>
    <x v="2"/>
    <x v="5"/>
    <s v="Productos alimenticios semielaborados"/>
    <n v="389572.94700000004"/>
    <x v="5"/>
    <x v="5"/>
    <s v="Brasil"/>
    <s v="AMÉRICA"/>
  </r>
  <r>
    <s v="226"/>
    <s v="20393529076"/>
    <s v="0303890000"/>
    <n v="21602.67"/>
    <n v="3086.0970000000002"/>
    <n v="324.04000000000002"/>
    <n v="7945"/>
    <n v="105"/>
    <n v="113"/>
    <n v="202603"/>
    <n v="1"/>
    <x v="0"/>
    <n v="21.60267"/>
    <x v="0"/>
    <x v="0"/>
    <s v="Productos alimenticios primarios"/>
    <n v="25012.807000000001"/>
    <x v="0"/>
    <x v="0"/>
    <s v="Brasil"/>
    <s v="AMÉRICA"/>
  </r>
  <r>
    <s v="226"/>
    <s v="20600839897"/>
    <s v="1701999000"/>
    <n v="540150"/>
    <n v="102330.65"/>
    <n v="1188.33"/>
    <n v="1200000"/>
    <n v="105"/>
    <n v="113"/>
    <n v="202603"/>
    <n v="1"/>
    <x v="0"/>
    <n v="540.15"/>
    <x v="2"/>
    <x v="5"/>
    <s v="Productos alimenticios semielaborados"/>
    <n v="643668.98"/>
    <x v="6"/>
    <x v="5"/>
    <s v="Brasil"/>
    <s v="AMÉRICA"/>
  </r>
  <r>
    <s v="226"/>
    <s v="20528339493"/>
    <s v="1701999000"/>
    <n v="225150"/>
    <n v="42500"/>
    <n v="1013.18"/>
    <n v="500000"/>
    <n v="105"/>
    <n v="113"/>
    <n v="202605"/>
    <n v="1"/>
    <x v="3"/>
    <n v="225.15"/>
    <x v="2"/>
    <x v="5"/>
    <s v="Productos alimenticios semielaborados"/>
    <n v="268663.18"/>
    <x v="7"/>
    <x v="5"/>
    <s v="Brasil"/>
    <s v="AMÉRICA"/>
  </r>
  <r>
    <s v="226"/>
    <s v="20600119321"/>
    <s v="8408100000"/>
    <n v="95769.23"/>
    <n v="4300.7920000000004"/>
    <n v="957.69200000000001"/>
    <n v="2222.047"/>
    <n v="105"/>
    <n v="910"/>
    <n v="202608"/>
    <n v="3"/>
    <x v="1"/>
    <n v="95.769229999999993"/>
    <x v="1"/>
    <x v="4"/>
    <s v="Partes y accesorios de equipo de transporte"/>
    <n v="101027.71399999999"/>
    <x v="1"/>
    <x v="4"/>
    <s v="Brasil"/>
    <s v="AMÉRICA"/>
  </r>
  <r>
    <s v="226"/>
    <s v="20393529076"/>
    <s v="0303890000"/>
    <n v="23451.61"/>
    <n v="3126.8820000000001"/>
    <n v="351.774"/>
    <n v="8050"/>
    <n v="105"/>
    <n v="113"/>
    <n v="202603"/>
    <n v="1"/>
    <x v="0"/>
    <n v="23.451610000000002"/>
    <x v="0"/>
    <x v="0"/>
    <s v="Productos alimenticios primarios"/>
    <n v="26930.266000000003"/>
    <x v="0"/>
    <x v="0"/>
    <s v="Brasil"/>
    <s v="AMÉRICA"/>
  </r>
  <r>
    <s v="226"/>
    <s v="20600119321"/>
    <s v="8487100000"/>
    <n v="10599.447"/>
    <n v="260.60599999999999"/>
    <n v="105.994"/>
    <n v="227.47200000000001"/>
    <n v="105"/>
    <n v="533"/>
    <n v="202606"/>
    <n v="2"/>
    <x v="2"/>
    <n v="10.599447"/>
    <x v="1"/>
    <x v="4"/>
    <s v="Partes y accesorios de equipo de transporte"/>
    <n v="10966.047"/>
    <x v="1"/>
    <x v="6"/>
    <s v="Brasil"/>
    <s v="AMÉRICA"/>
  </r>
  <r>
    <s v="226"/>
    <s v="20609563967"/>
    <s v="0303890000"/>
    <n v="5519.63"/>
    <n v="788.51800000000003"/>
    <n v="82.793999999999997"/>
    <n v="2030"/>
    <n v="105"/>
    <n v="113"/>
    <n v="202603"/>
    <n v="1"/>
    <x v="0"/>
    <n v="5.5196300000000003"/>
    <x v="0"/>
    <x v="0"/>
    <s v="Productos alimenticios primarios"/>
    <n v="6390.942"/>
    <x v="2"/>
    <x v="0"/>
    <s v="Brasil"/>
    <s v="AMÉRICA"/>
  </r>
  <r>
    <s v="226"/>
    <s v="20393529076"/>
    <s v="0303890000"/>
    <n v="8700.89"/>
    <n v="2175.221"/>
    <n v="130.51300000000001"/>
    <n v="5600"/>
    <n v="105"/>
    <n v="113"/>
    <n v="202603"/>
    <n v="1"/>
    <x v="0"/>
    <n v="8.7008899999999993"/>
    <x v="0"/>
    <x v="0"/>
    <s v="Productos alimenticios primarios"/>
    <n v="11006.624"/>
    <x v="0"/>
    <x v="0"/>
    <s v="Brasil"/>
    <s v="AMÉRICA"/>
  </r>
  <r>
    <s v="226"/>
    <s v="20614021633"/>
    <s v="2304000000"/>
    <n v="54976.54"/>
    <n v="12384.721"/>
    <n v="113.252"/>
    <n v="247200"/>
    <n v="105"/>
    <n v="412"/>
    <n v="202601"/>
    <n v="2"/>
    <x v="4"/>
    <n v="54.97654"/>
    <x v="2"/>
    <x v="3"/>
    <s v="Alimentos para animales: elaborados"/>
    <n v="67474.512999999992"/>
    <x v="4"/>
    <x v="3"/>
    <s v="Brasil"/>
    <s v="AMÉRICA"/>
  </r>
  <r>
    <s v="226"/>
    <s v="20609563967"/>
    <s v="0303890000"/>
    <n v="747.73"/>
    <n v="149.547"/>
    <n v="11.215999999999999"/>
    <n v="385"/>
    <n v="105"/>
    <n v="113"/>
    <n v="202603"/>
    <n v="1"/>
    <x v="0"/>
    <n v="0.74773000000000001"/>
    <x v="0"/>
    <x v="0"/>
    <s v="Productos alimenticios primarios"/>
    <n v="908.49300000000005"/>
    <x v="2"/>
    <x v="0"/>
    <s v="Brasil"/>
    <s v="AMÉRICA"/>
  </r>
  <r>
    <s v="226"/>
    <s v="20609563967"/>
    <s v="0303890000"/>
    <n v="4703.76"/>
    <n v="587.97"/>
    <n v="70.555999999999997"/>
    <n v="1513.7"/>
    <n v="105"/>
    <n v="113"/>
    <n v="202603"/>
    <n v="1"/>
    <x v="0"/>
    <n v="4.7037599999999999"/>
    <x v="0"/>
    <x v="0"/>
    <s v="Productos alimenticios primarios"/>
    <n v="5362.2860000000001"/>
    <x v="2"/>
    <x v="0"/>
    <s v="Brasil"/>
    <s v="AMÉRICA"/>
  </r>
  <r>
    <s v="226"/>
    <s v="20610271368"/>
    <s v="0303890000"/>
    <n v="24600"/>
    <n v="4500"/>
    <n v="369"/>
    <n v="15000"/>
    <n v="105"/>
    <n v="113"/>
    <n v="202603"/>
    <n v="1"/>
    <x v="0"/>
    <n v="24.6"/>
    <x v="0"/>
    <x v="0"/>
    <s v="Productos alimenticios primarios"/>
    <n v="29469"/>
    <x v="8"/>
    <x v="0"/>
    <s v="Brasil"/>
    <s v="AMÉRICA"/>
  </r>
  <r>
    <s v="226"/>
    <s v="20393529076"/>
    <s v="0303890000"/>
    <n v="25050"/>
    <n v="4500"/>
    <n v="375.75"/>
    <n v="15000"/>
    <n v="105"/>
    <n v="113"/>
    <n v="202603"/>
    <n v="1"/>
    <x v="0"/>
    <n v="25.05"/>
    <x v="0"/>
    <x v="0"/>
    <s v="Productos alimenticios primarios"/>
    <n v="29925.75"/>
    <x v="0"/>
    <x v="0"/>
    <s v="Brasil"/>
    <s v="AMÉRICA"/>
  </r>
  <r>
    <s v="226"/>
    <s v="20609563967"/>
    <s v="0303890000"/>
    <n v="2188.8200000000002"/>
    <n v="312.68700000000001"/>
    <n v="32.832000000000001"/>
    <n v="805"/>
    <n v="105"/>
    <n v="113"/>
    <n v="202603"/>
    <n v="1"/>
    <x v="0"/>
    <n v="2.1888200000000002"/>
    <x v="0"/>
    <x v="0"/>
    <s v="Productos alimenticios primarios"/>
    <n v="2534.3389999999999"/>
    <x v="2"/>
    <x v="0"/>
    <s v="Brasil"/>
    <s v="AMÉRICA"/>
  </r>
  <r>
    <s v="226"/>
    <s v="20451373251"/>
    <s v="1701999000"/>
    <n v="237586.52799999999"/>
    <n v="42826.991999999998"/>
    <n v="562.31899999999996"/>
    <n v="500020"/>
    <n v="105"/>
    <n v="113"/>
    <n v="202603"/>
    <n v="1"/>
    <x v="0"/>
    <n v="237.58652799999999"/>
    <x v="2"/>
    <x v="5"/>
    <s v="Productos alimenticios semielaborados"/>
    <n v="280975.83900000004"/>
    <x v="9"/>
    <x v="5"/>
    <s v="Brasil"/>
    <s v="AMÉRICA"/>
  </r>
  <r>
    <s v="226"/>
    <s v="20393529076"/>
    <s v="0303890000"/>
    <n v="5220.53"/>
    <n v="652.56700000000001"/>
    <n v="78.308000000000007"/>
    <n v="1680"/>
    <n v="105"/>
    <n v="113"/>
    <n v="202603"/>
    <n v="1"/>
    <x v="0"/>
    <n v="5.2205300000000001"/>
    <x v="0"/>
    <x v="0"/>
    <s v="Productos alimenticios primarios"/>
    <n v="5951.4049999999997"/>
    <x v="0"/>
    <x v="0"/>
    <s v="Brasil"/>
    <s v="AMÉRICA"/>
  </r>
  <r>
    <s v="226"/>
    <s v="20610271368"/>
    <s v="0303890000"/>
    <n v="24096"/>
    <n v="2259"/>
    <n v="361.44"/>
    <n v="7530"/>
    <n v="105"/>
    <n v="113"/>
    <n v="202603"/>
    <n v="1"/>
    <x v="0"/>
    <n v="24.096"/>
    <x v="0"/>
    <x v="0"/>
    <s v="Productos alimenticios primarios"/>
    <n v="26716.44"/>
    <x v="8"/>
    <x v="0"/>
    <s v="Brasil"/>
    <s v="AMÉRICA"/>
  </r>
  <r>
    <s v="226"/>
    <s v="20600119321"/>
    <s v="8418991000"/>
    <n v="6529.5"/>
    <n v="293.226"/>
    <n v="65.295000000000002"/>
    <n v="151.49799999999999"/>
    <n v="105"/>
    <n v="840"/>
    <n v="202608"/>
    <n v="3"/>
    <x v="1"/>
    <n v="6.5294999999999996"/>
    <x v="1"/>
    <x v="2"/>
    <s v="Partes y accesorios de maquinaria industrial"/>
    <n v="6888.0209999999997"/>
    <x v="1"/>
    <x v="7"/>
    <s v="Brasil"/>
    <s v="AMÉRICA"/>
  </r>
  <r>
    <s v="226"/>
    <s v="20609563967"/>
    <s v="0303890000"/>
    <n v="5125.37"/>
    <n v="788.51800000000003"/>
    <n v="76.881"/>
    <n v="2030"/>
    <n v="105"/>
    <n v="113"/>
    <n v="202603"/>
    <n v="1"/>
    <x v="0"/>
    <n v="5.1253700000000002"/>
    <x v="0"/>
    <x v="0"/>
    <s v="Productos alimenticios primarios"/>
    <n v="5990.7690000000002"/>
    <x v="2"/>
    <x v="0"/>
    <s v="Brasil"/>
    <s v="AMÉRICA"/>
  </r>
  <r>
    <s v="226"/>
    <s v="20614021633"/>
    <s v="2304000000"/>
    <n v="384902.46"/>
    <n v="86681.629000000001"/>
    <n v="792.89800000000002"/>
    <n v="1730700"/>
    <n v="105"/>
    <n v="412"/>
    <n v="202601"/>
    <n v="2"/>
    <x v="4"/>
    <n v="384.90246000000002"/>
    <x v="2"/>
    <x v="3"/>
    <s v="Alimentos para animales: elaborados"/>
    <n v="472376.98700000002"/>
    <x v="4"/>
    <x v="3"/>
    <s v="Brasil"/>
    <s v="AMÉRICA"/>
  </r>
  <r>
    <s v="226"/>
    <s v="20393529076"/>
    <s v="0303890000"/>
    <n v="9720.52"/>
    <n v="1767.3679999999999"/>
    <n v="145.80799999999999"/>
    <n v="4550"/>
    <n v="105"/>
    <n v="113"/>
    <n v="202603"/>
    <n v="1"/>
    <x v="0"/>
    <n v="9.7205200000000005"/>
    <x v="0"/>
    <x v="0"/>
    <s v="Productos alimenticios primarios"/>
    <n v="11633.696"/>
    <x v="0"/>
    <x v="0"/>
    <s v="Brasil"/>
    <s v="AMÉRICA"/>
  </r>
  <r>
    <s v="226"/>
    <s v="20614021633"/>
    <s v="2304000000"/>
    <n v="256833.71"/>
    <n v="55217.711000000003"/>
    <n v="3852.5059999999999"/>
    <n v="1102290.6200000001"/>
    <n v="105"/>
    <n v="412"/>
    <n v="202606"/>
    <n v="2"/>
    <x v="2"/>
    <n v="256.83371"/>
    <x v="2"/>
    <x v="3"/>
    <s v="Alimentos para animales: elaborados"/>
    <n v="315903.92699999997"/>
    <x v="4"/>
    <x v="3"/>
    <s v="Brasil"/>
    <s v="AMÉRICA"/>
  </r>
  <r>
    <s v="226"/>
    <s v="20612351610"/>
    <s v="0303890000"/>
    <n v="38112"/>
    <n v="4764.0309999999999"/>
    <n v="571.67999999999995"/>
    <n v="15880.102999999999"/>
    <n v="105"/>
    <n v="113"/>
    <n v="202603"/>
    <n v="1"/>
    <x v="0"/>
    <n v="38.112000000000002"/>
    <x v="0"/>
    <x v="0"/>
    <s v="Productos alimenticios primarios"/>
    <n v="43447.711000000003"/>
    <x v="3"/>
    <x v="0"/>
    <s v="Brasil"/>
    <s v="AMÉRICA"/>
  </r>
  <r>
    <s v="226"/>
    <s v="20610271368"/>
    <s v="0303890000"/>
    <n v="26850"/>
    <n v="4500"/>
    <n v="402.75"/>
    <n v="15000"/>
    <n v="105"/>
    <n v="113"/>
    <n v="202603"/>
    <n v="1"/>
    <x v="0"/>
    <n v="26.85"/>
    <x v="0"/>
    <x v="0"/>
    <s v="Productos alimenticios primarios"/>
    <n v="31752.75"/>
    <x v="8"/>
    <x v="0"/>
    <s v="Brasil"/>
    <s v="AMÉRICA"/>
  </r>
  <r>
    <s v="226"/>
    <s v="20393529076"/>
    <s v="0303890000"/>
    <n v="63849.29"/>
    <n v="4560.6620000000003"/>
    <n v="957.73900000000003"/>
    <n v="11741.2"/>
    <n v="105"/>
    <n v="113"/>
    <n v="202603"/>
    <n v="1"/>
    <x v="0"/>
    <n v="63.849290000000003"/>
    <x v="0"/>
    <x v="0"/>
    <s v="Productos alimenticios primarios"/>
    <n v="69367.691000000006"/>
    <x v="0"/>
    <x v="0"/>
    <s v="Brasil"/>
    <s v="AMÉRICA"/>
  </r>
  <r>
    <s v="226"/>
    <s v="20393529076"/>
    <s v="0303890000"/>
    <n v="11664.63"/>
    <n v="1944.104"/>
    <n v="174.96899999999999"/>
    <n v="5005"/>
    <n v="105"/>
    <n v="113"/>
    <n v="202603"/>
    <n v="1"/>
    <x v="0"/>
    <n v="11.664629999999999"/>
    <x v="0"/>
    <x v="0"/>
    <s v="Productos alimenticios primarios"/>
    <n v="13783.702999999998"/>
    <x v="0"/>
    <x v="0"/>
    <s v="Brasil"/>
    <s v="AMÉRICA"/>
  </r>
  <r>
    <s v="226"/>
    <s v="20393529076"/>
    <s v="0303890000"/>
    <n v="305.89"/>
    <n v="67.975999999999999"/>
    <n v="4.5880000000000001"/>
    <n v="175"/>
    <n v="105"/>
    <n v="113"/>
    <n v="202603"/>
    <n v="1"/>
    <x v="0"/>
    <n v="0.30589"/>
    <x v="0"/>
    <x v="0"/>
    <s v="Productos alimenticios primarios"/>
    <n v="378.45400000000001"/>
    <x v="0"/>
    <x v="0"/>
    <s v="Brasil"/>
    <s v="AMÉRICA"/>
  </r>
  <r>
    <s v="226"/>
    <s v="20393529076"/>
    <s v="0303890000"/>
    <n v="6253.76"/>
    <n v="1563.442"/>
    <n v="93.805999999999997"/>
    <n v="4025"/>
    <n v="105"/>
    <n v="113"/>
    <n v="202603"/>
    <n v="1"/>
    <x v="0"/>
    <n v="6.2537600000000007"/>
    <x v="0"/>
    <x v="0"/>
    <s v="Productos alimenticios primarios"/>
    <n v="7911.0079999999998"/>
    <x v="0"/>
    <x v="0"/>
    <s v="Brasil"/>
    <s v="AMÉRICA"/>
  </r>
  <r>
    <s v="226"/>
    <s v="20393529076"/>
    <s v="0303890000"/>
    <n v="74936.39"/>
    <n v="9367.0460000000003"/>
    <n v="1124.046"/>
    <n v="24115"/>
    <n v="105"/>
    <n v="113"/>
    <n v="202603"/>
    <n v="1"/>
    <x v="0"/>
    <n v="74.936390000000003"/>
    <x v="0"/>
    <x v="0"/>
    <s v="Productos alimenticios primarios"/>
    <n v="85427.482000000004"/>
    <x v="0"/>
    <x v="0"/>
    <s v="Brasil"/>
    <s v="AMÉRICA"/>
  </r>
  <r>
    <s v="226"/>
    <s v="20393529076"/>
    <s v="0303890000"/>
    <n v="4943.1899999999996"/>
    <n v="353.08499999999998"/>
    <n v="74.147999999999996"/>
    <n v="909"/>
    <n v="105"/>
    <n v="113"/>
    <n v="202603"/>
    <n v="1"/>
    <x v="0"/>
    <n v="4.9431899999999995"/>
    <x v="0"/>
    <x v="0"/>
    <s v="Productos alimenticios primarios"/>
    <n v="5370.4229999999998"/>
    <x v="0"/>
    <x v="0"/>
    <s v="Brasil"/>
    <s v="AMÉRICA"/>
  </r>
  <r>
    <s v="226"/>
    <s v="20600119321"/>
    <s v="8408100000"/>
    <n v="89100"/>
    <n v="2190.6779999999999"/>
    <n v="891"/>
    <n v="1912.155"/>
    <n v="105"/>
    <n v="910"/>
    <n v="202606"/>
    <n v="3"/>
    <x v="2"/>
    <n v="89.1"/>
    <x v="1"/>
    <x v="4"/>
    <s v="Partes y accesorios de equipo de transporte"/>
    <n v="92181.678"/>
    <x v="1"/>
    <x v="4"/>
    <s v="Brasil"/>
    <s v="AMÉRICA"/>
  </r>
  <r>
    <s v="226"/>
    <s v="20393529076"/>
    <s v="0303890000"/>
    <n v="10740.16"/>
    <n v="1074.0160000000001"/>
    <n v="161.102"/>
    <n v="2765"/>
    <n v="105"/>
    <n v="113"/>
    <n v="202603"/>
    <n v="1"/>
    <x v="0"/>
    <n v="10.740159999999999"/>
    <x v="0"/>
    <x v="0"/>
    <s v="Productos alimenticios primarios"/>
    <n v="11975.278"/>
    <x v="0"/>
    <x v="0"/>
    <s v="Brasil"/>
    <s v="AMÉRICA"/>
  </r>
  <r>
    <s v="226"/>
    <s v="20393529076"/>
    <s v="0303890000"/>
    <n v="21191.42"/>
    <n v="2922.9540000000002"/>
    <n v="317.87099999999998"/>
    <n v="7525"/>
    <n v="105"/>
    <n v="113"/>
    <n v="202603"/>
    <n v="1"/>
    <x v="0"/>
    <n v="21.191419999999997"/>
    <x v="0"/>
    <x v="0"/>
    <s v="Productos alimenticios primarios"/>
    <n v="24432.244999999999"/>
    <x v="0"/>
    <x v="0"/>
    <s v="Brasil"/>
    <s v="AMÉRICA"/>
  </r>
  <r>
    <s v="226"/>
    <s v="20612517020"/>
    <s v="1701999000"/>
    <n v="475111.28600000002"/>
    <n v="92707.168999999994"/>
    <n v="950.22299999999996"/>
    <n v="1000020"/>
    <n v="105"/>
    <n v="113"/>
    <n v="202605"/>
    <n v="1"/>
    <x v="3"/>
    <n v="475.11128600000001"/>
    <x v="2"/>
    <x v="5"/>
    <s v="Productos alimenticios semielaborados"/>
    <n v="568768.67800000007"/>
    <x v="10"/>
    <x v="5"/>
    <s v="Brasil"/>
    <s v="AMÉRICA"/>
  </r>
  <r>
    <s v="226"/>
    <s v="20541214233"/>
    <s v="1507909000"/>
    <n v="71154.720000000001"/>
    <n v="4687.96"/>
    <n v="167.94"/>
    <n v="50107.68"/>
    <n v="105"/>
    <n v="113"/>
    <n v="202608"/>
    <n v="1"/>
    <x v="1"/>
    <n v="71.154719999999998"/>
    <x v="2"/>
    <x v="5"/>
    <s v="Productos alimenticios semielaborados"/>
    <n v="76010.62000000001"/>
    <x v="5"/>
    <x v="8"/>
    <s v="Brasil"/>
    <s v="AMÉRICA"/>
  </r>
  <r>
    <s v="226"/>
    <s v="20393529076"/>
    <s v="0303890000"/>
    <n v="101433.32"/>
    <n v="11270.37"/>
    <n v="1521.5"/>
    <n v="29015"/>
    <n v="105"/>
    <n v="113"/>
    <n v="202603"/>
    <n v="1"/>
    <x v="0"/>
    <n v="101.43332000000001"/>
    <x v="0"/>
    <x v="0"/>
    <s v="Productos alimenticios primarios"/>
    <n v="114225.19"/>
    <x v="0"/>
    <x v="0"/>
    <s v="Brasil"/>
    <s v="AMÉRICA"/>
  </r>
  <r>
    <s v="226"/>
    <s v="20451373251"/>
    <s v="1701999000"/>
    <n v="225072.97200000001"/>
    <n v="42637.697999999997"/>
    <n v="532.70100000000002"/>
    <n v="500000"/>
    <n v="105"/>
    <n v="113"/>
    <n v="202603"/>
    <n v="1"/>
    <x v="0"/>
    <n v="225.07297200000002"/>
    <x v="2"/>
    <x v="5"/>
    <s v="Productos alimenticios semielaborados"/>
    <n v="268243.37099999998"/>
    <x v="9"/>
    <x v="5"/>
    <s v="Brasil"/>
    <s v="AMÉRICA"/>
  </r>
  <r>
    <s v="226"/>
    <s v="20609563967"/>
    <s v="0303890000"/>
    <n v="20447.09"/>
    <n v="2555.8850000000002"/>
    <n v="306.70600000000002"/>
    <n v="6580"/>
    <n v="105"/>
    <n v="113"/>
    <n v="202603"/>
    <n v="1"/>
    <x v="0"/>
    <n v="20.447089999999999"/>
    <x v="0"/>
    <x v="0"/>
    <s v="Productos alimenticios primarios"/>
    <n v="23309.680999999997"/>
    <x v="2"/>
    <x v="0"/>
    <s v="Brasil"/>
    <s v="AMÉRICA"/>
  </r>
  <r>
    <s v="226"/>
    <s v="20393529076"/>
    <s v="0303890000"/>
    <n v="40064.870000000003"/>
    <n v="5723.5529999999999"/>
    <n v="600.97299999999996"/>
    <n v="14735"/>
    <n v="105"/>
    <n v="113"/>
    <n v="202603"/>
    <n v="1"/>
    <x v="0"/>
    <n v="40.064869999999999"/>
    <x v="0"/>
    <x v="0"/>
    <s v="Productos alimenticios primarios"/>
    <n v="46389.396000000001"/>
    <x v="0"/>
    <x v="0"/>
    <s v="Brasil"/>
    <s v="AMÉRICA"/>
  </r>
  <r>
    <s v="226"/>
    <s v="20609563967"/>
    <s v="0303890000"/>
    <n v="16599.66"/>
    <n v="1509.06"/>
    <n v="248.995"/>
    <n v="3885"/>
    <n v="105"/>
    <n v="113"/>
    <n v="202603"/>
    <n v="1"/>
    <x v="0"/>
    <n v="16.59966"/>
    <x v="0"/>
    <x v="0"/>
    <s v="Productos alimenticios primarios"/>
    <n v="18357.715"/>
    <x v="2"/>
    <x v="0"/>
    <s v="Brasil"/>
    <s v="AMÉRICA"/>
  </r>
  <r>
    <s v="226"/>
    <s v="20393529076"/>
    <s v="0303890000"/>
    <n v="35942.14"/>
    <n v="5750.7420000000002"/>
    <n v="539.13199999999995"/>
    <n v="14805"/>
    <n v="105"/>
    <n v="113"/>
    <n v="202603"/>
    <n v="1"/>
    <x v="0"/>
    <n v="35.942140000000002"/>
    <x v="0"/>
    <x v="0"/>
    <s v="Productos alimenticios primarios"/>
    <n v="42232.013999999996"/>
    <x v="0"/>
    <x v="0"/>
    <s v="Brasil"/>
    <s v="AMÉRICA"/>
  </r>
  <r>
    <s v="226"/>
    <s v="20600119321"/>
    <s v="8418991000"/>
    <n v="1867.4349999999999"/>
    <n v="45.914999999999999"/>
    <n v="18.673999999999999"/>
    <n v="40.076999999999998"/>
    <n v="105"/>
    <n v="840"/>
    <n v="202606"/>
    <n v="3"/>
    <x v="2"/>
    <n v="1.867435"/>
    <x v="1"/>
    <x v="2"/>
    <s v="Partes y accesorios de maquinaria industrial"/>
    <n v="1932.0239999999999"/>
    <x v="1"/>
    <x v="7"/>
    <s v="Brasil"/>
    <s v="AMÉRICA"/>
  </r>
  <r>
    <s v="226"/>
    <s v="20393529076"/>
    <s v="0303890000"/>
    <n v="4933.3999999999996"/>
    <n v="352.38600000000002"/>
    <n v="74.001000000000005"/>
    <n v="907.2"/>
    <n v="105"/>
    <n v="113"/>
    <n v="202603"/>
    <n v="1"/>
    <x v="0"/>
    <n v="4.9333999999999998"/>
    <x v="0"/>
    <x v="0"/>
    <s v="Productos alimenticios primarios"/>
    <n v="5359.7870000000003"/>
    <x v="0"/>
    <x v="0"/>
    <s v="Brasil"/>
    <s v="AMÉRICA"/>
  </r>
  <r>
    <s v="226"/>
    <s v="20600839897"/>
    <s v="1701999000"/>
    <n v="252150"/>
    <n v="51165.24"/>
    <n v="571.37"/>
    <n v="600000"/>
    <n v="105"/>
    <n v="113"/>
    <n v="202608"/>
    <n v="1"/>
    <x v="1"/>
    <n v="252.15"/>
    <x v="2"/>
    <x v="5"/>
    <s v="Productos alimenticios semielaborados"/>
    <n v="303886.61"/>
    <x v="6"/>
    <x v="5"/>
    <s v="Brasil"/>
    <s v="AMÉRICA"/>
  </r>
  <r>
    <s v="226"/>
    <s v="20612351610"/>
    <s v="0303890000"/>
    <n v="2706"/>
    <n v="368.99900000000002"/>
    <n v="40.590000000000003"/>
    <n v="1229.9949999999999"/>
    <n v="105"/>
    <n v="113"/>
    <n v="202603"/>
    <n v="1"/>
    <x v="0"/>
    <n v="2.706"/>
    <x v="0"/>
    <x v="0"/>
    <s v="Productos alimenticios primarios"/>
    <n v="3115.5889999999999"/>
    <x v="3"/>
    <x v="0"/>
    <s v="Brasil"/>
    <s v="AMÉRICA"/>
  </r>
  <r>
    <s v="226"/>
    <s v="20393529076"/>
    <s v="0303890000"/>
    <n v="3222.05"/>
    <n v="1074.0160000000001"/>
    <n v="48.331000000000003"/>
    <n v="2765"/>
    <n v="105"/>
    <n v="113"/>
    <n v="202603"/>
    <n v="1"/>
    <x v="0"/>
    <n v="3.2220500000000003"/>
    <x v="0"/>
    <x v="0"/>
    <s v="Productos alimenticios primarios"/>
    <n v="4344.3970000000008"/>
    <x v="0"/>
    <x v="0"/>
    <s v="Brasil"/>
    <s v="AMÉRICA"/>
  </r>
  <r>
    <s v="226"/>
    <s v="20393529076"/>
    <s v="0303890000"/>
    <n v="18679.72"/>
    <n v="3113.288"/>
    <n v="280.19600000000003"/>
    <n v="8015"/>
    <n v="105"/>
    <n v="113"/>
    <n v="202603"/>
    <n v="1"/>
    <x v="0"/>
    <n v="18.67972"/>
    <x v="0"/>
    <x v="0"/>
    <s v="Productos alimenticios primarios"/>
    <n v="22073.204000000002"/>
    <x v="0"/>
    <x v="0"/>
    <s v="Brasil"/>
    <s v="AMÉRICA"/>
  </r>
  <r>
    <s v="226"/>
    <s v="20612517020"/>
    <s v="1701999000"/>
    <n v="225048.21400000001"/>
    <n v="46149.031000000003"/>
    <n v="450.09699999999998"/>
    <n v="500000"/>
    <n v="105"/>
    <n v="113"/>
    <n v="202605"/>
    <n v="1"/>
    <x v="3"/>
    <n v="225.048214"/>
    <x v="2"/>
    <x v="5"/>
    <s v="Productos alimenticios semielaborados"/>
    <n v="271647.342"/>
    <x v="10"/>
    <x v="5"/>
    <s v="Brasil"/>
    <s v="AMÉRICA"/>
  </r>
  <r>
    <s v="226"/>
    <s v="20614021633"/>
    <s v="1006300000"/>
    <n v="19544.36"/>
    <n v="1600"/>
    <n v="195.44399999999999"/>
    <n v="30000"/>
    <n v="105"/>
    <n v="113"/>
    <n v="202608"/>
    <n v="1"/>
    <x v="1"/>
    <n v="19.544360000000001"/>
    <x v="0"/>
    <x v="0"/>
    <s v="Productos alimenticios elaborados"/>
    <n v="21339.804"/>
    <x v="4"/>
    <x v="9"/>
    <s v="Brasil"/>
    <s v="AMÉRICA"/>
  </r>
  <r>
    <s v="226"/>
    <s v="20609563967"/>
    <s v="0303890000"/>
    <n v="11902.54"/>
    <n v="1400.299"/>
    <n v="178.53800000000001"/>
    <n v="3605"/>
    <n v="105"/>
    <n v="113"/>
    <n v="202603"/>
    <n v="1"/>
    <x v="0"/>
    <n v="11.90254"/>
    <x v="0"/>
    <x v="0"/>
    <s v="Productos alimenticios primarios"/>
    <n v="13481.377"/>
    <x v="2"/>
    <x v="0"/>
    <s v="Brasil"/>
    <s v="AMÉRICA"/>
  </r>
  <r>
    <s v="226"/>
    <s v="20393529076"/>
    <s v="0303890000"/>
    <n v="58187.19"/>
    <n v="5818.7169999999996"/>
    <n v="872.80799999999999"/>
    <n v="14980"/>
    <n v="105"/>
    <n v="113"/>
    <n v="202603"/>
    <n v="1"/>
    <x v="0"/>
    <n v="58.187190000000001"/>
    <x v="0"/>
    <x v="0"/>
    <s v="Productos alimenticios primarios"/>
    <n v="64878.714999999997"/>
    <x v="0"/>
    <x v="0"/>
    <s v="Brasil"/>
    <s v="AMÉRICA"/>
  </r>
  <r>
    <s v="226"/>
    <s v="20541214233"/>
    <s v="1701999000"/>
    <n v="123150"/>
    <n v="25582.62"/>
    <n v="336.33"/>
    <n v="300000"/>
    <n v="105"/>
    <n v="113"/>
    <n v="202608"/>
    <n v="1"/>
    <x v="1"/>
    <n v="123.15"/>
    <x v="2"/>
    <x v="5"/>
    <s v="Productos alimenticios semielaborados"/>
    <n v="149068.94999999998"/>
    <x v="5"/>
    <x v="5"/>
    <s v="Brasil"/>
    <s v="AMÉRICA"/>
  </r>
  <r>
    <s v="226"/>
    <s v="20609563967"/>
    <s v="0303890000"/>
    <n v="1250.75"/>
    <n v="312.68799999999999"/>
    <n v="18.760999999999999"/>
    <n v="805"/>
    <n v="105"/>
    <n v="113"/>
    <n v="202603"/>
    <n v="1"/>
    <x v="0"/>
    <n v="1.25075"/>
    <x v="0"/>
    <x v="0"/>
    <s v="Productos alimenticios primarios"/>
    <n v="1582.1990000000001"/>
    <x v="2"/>
    <x v="0"/>
    <s v="Brasil"/>
    <s v="AMÉRICA"/>
  </r>
  <r>
    <s v="226"/>
    <s v="20541214233"/>
    <s v="1507909000"/>
    <n v="319107.59999999998"/>
    <n v="19125"/>
    <n v="752.71"/>
    <n v="225484.56"/>
    <n v="105"/>
    <n v="113"/>
    <n v="202605"/>
    <n v="1"/>
    <x v="3"/>
    <n v="319.10759999999999"/>
    <x v="2"/>
    <x v="5"/>
    <s v="Productos alimenticios semielaborados"/>
    <n v="338985.31"/>
    <x v="5"/>
    <x v="8"/>
    <s v="Brasil"/>
    <s v="AMÉRICA"/>
  </r>
  <r>
    <s v="226"/>
    <s v="20393529076"/>
    <s v="0303890000"/>
    <n v="7830.8"/>
    <n v="870.08900000000006"/>
    <n v="117.462"/>
    <n v="2240"/>
    <n v="105"/>
    <n v="113"/>
    <n v="202603"/>
    <n v="1"/>
    <x v="0"/>
    <n v="7.8308"/>
    <x v="0"/>
    <x v="0"/>
    <s v="Productos alimenticios primarios"/>
    <n v="8818.3510000000006"/>
    <x v="0"/>
    <x v="0"/>
    <s v="Brasil"/>
    <s v="AMÉRICA"/>
  </r>
  <r>
    <s v="226"/>
    <s v="20393529076"/>
    <s v="0303890000"/>
    <n v="12276.41"/>
    <n v="2338.364"/>
    <n v="184.14599999999999"/>
    <n v="6020"/>
    <n v="105"/>
    <n v="113"/>
    <n v="202603"/>
    <n v="1"/>
    <x v="0"/>
    <n v="12.27641"/>
    <x v="0"/>
    <x v="0"/>
    <s v="Productos alimenticios primarios"/>
    <n v="14798.92"/>
    <x v="0"/>
    <x v="0"/>
    <s v="Brasil"/>
    <s v="AMÉRICA"/>
  </r>
  <r>
    <s v="226"/>
    <s v="20393529076"/>
    <s v="0303890000"/>
    <n v="24471.25"/>
    <n v="3495.8939999999998"/>
    <n v="367.06900000000002"/>
    <n v="9000"/>
    <n v="105"/>
    <n v="113"/>
    <n v="202603"/>
    <n v="1"/>
    <x v="0"/>
    <n v="24.471250000000001"/>
    <x v="0"/>
    <x v="0"/>
    <s v="Productos alimenticios primarios"/>
    <n v="28334.213"/>
    <x v="0"/>
    <x v="0"/>
    <s v="Brasil"/>
    <s v="AMÉRICA"/>
  </r>
  <r>
    <s v="226"/>
    <s v="20609563967"/>
    <s v="0303890000"/>
    <n v="6308.14"/>
    <n v="788.51800000000003"/>
    <n v="94.622"/>
    <n v="2030"/>
    <n v="105"/>
    <n v="113"/>
    <n v="202603"/>
    <n v="1"/>
    <x v="0"/>
    <n v="6.3081400000000007"/>
    <x v="0"/>
    <x v="0"/>
    <s v="Productos alimenticios primarios"/>
    <n v="7191.2800000000007"/>
    <x v="2"/>
    <x v="0"/>
    <s v="Brasil"/>
    <s v="AMÉRICA"/>
  </r>
  <r>
    <s v="226"/>
    <s v="20612351610"/>
    <s v="0303890000"/>
    <n v="33675"/>
    <n v="4040.9839999999999"/>
    <n v="505.125"/>
    <n v="13469.947"/>
    <n v="105"/>
    <n v="113"/>
    <n v="202603"/>
    <n v="1"/>
    <x v="0"/>
    <n v="33.674999999999997"/>
    <x v="0"/>
    <x v="0"/>
    <s v="Productos alimenticios primarios"/>
    <n v="38221.108999999997"/>
    <x v="3"/>
    <x v="0"/>
    <s v="Brasil"/>
    <s v="AMÉRICA"/>
  </r>
  <r>
    <s v="226"/>
    <s v="20609563967"/>
    <s v="0303890000"/>
    <n v="16038.86"/>
    <n v="1944.104"/>
    <n v="240.583"/>
    <n v="5005"/>
    <n v="105"/>
    <n v="113"/>
    <n v="202603"/>
    <n v="1"/>
    <x v="0"/>
    <n v="16.03886"/>
    <x v="0"/>
    <x v="0"/>
    <s v="Productos alimenticios primarios"/>
    <n v="18223.546999999999"/>
    <x v="2"/>
    <x v="0"/>
    <s v="Brasil"/>
    <s v="AMÉRICA"/>
  </r>
  <r>
    <s v="226"/>
    <s v="20609563967"/>
    <s v="0303890000"/>
    <n v="2875.37"/>
    <n v="638.971"/>
    <n v="43.131"/>
    <n v="1645"/>
    <n v="105"/>
    <n v="113"/>
    <n v="202603"/>
    <n v="1"/>
    <x v="0"/>
    <n v="2.8753699999999998"/>
    <x v="0"/>
    <x v="0"/>
    <s v="Productos alimenticios primarios"/>
    <n v="3557.4719999999998"/>
    <x v="2"/>
    <x v="0"/>
    <s v="Brasil"/>
    <s v="AMÉRICA"/>
  </r>
  <r>
    <s v="226"/>
    <s v="20393529076"/>
    <s v="0303890000"/>
    <n v="1631.42"/>
    <n v="407.85399999999998"/>
    <n v="24.471"/>
    <n v="1050"/>
    <n v="105"/>
    <n v="113"/>
    <n v="202603"/>
    <n v="1"/>
    <x v="0"/>
    <n v="1.6314200000000001"/>
    <x v="0"/>
    <x v="0"/>
    <s v="Productos alimenticios primarios"/>
    <n v="2063.7449999999999"/>
    <x v="0"/>
    <x v="0"/>
    <s v="Brasil"/>
    <s v="AMÉRICA"/>
  </r>
  <r>
    <s v="226"/>
    <s v="20393529076"/>
    <s v="0303890000"/>
    <n v="305.89"/>
    <n v="122.35599999999999"/>
    <n v="4.5880000000000001"/>
    <n v="315"/>
    <n v="105"/>
    <n v="113"/>
    <n v="202603"/>
    <n v="1"/>
    <x v="0"/>
    <n v="0.30589"/>
    <x v="0"/>
    <x v="0"/>
    <s v="Productos alimenticios primarios"/>
    <n v="432.834"/>
    <x v="0"/>
    <x v="0"/>
    <s v="Brasil"/>
    <s v="AMÉRICA"/>
  </r>
  <r>
    <s v="226"/>
    <s v="20528339493"/>
    <s v="1701999000"/>
    <n v="470159.4"/>
    <n v="85000"/>
    <n v="1034.3499999999999"/>
    <n v="1000020"/>
    <n v="105"/>
    <n v="113"/>
    <n v="202608"/>
    <n v="1"/>
    <x v="1"/>
    <n v="470.15940000000001"/>
    <x v="2"/>
    <x v="5"/>
    <s v="Productos alimenticios semielaborados"/>
    <n v="556193.75"/>
    <x v="7"/>
    <x v="5"/>
    <s v="Brasil"/>
    <s v="AMÉRICA"/>
  </r>
  <r>
    <s v="226"/>
    <s v="20609563967"/>
    <s v="0303890000"/>
    <n v="7307.39"/>
    <n v="1169.181"/>
    <n v="109.611"/>
    <n v="3010"/>
    <n v="105"/>
    <n v="113"/>
    <n v="202603"/>
    <n v="1"/>
    <x v="0"/>
    <n v="7.3073900000000007"/>
    <x v="0"/>
    <x v="0"/>
    <s v="Productos alimenticios primarios"/>
    <n v="8586.1820000000007"/>
    <x v="2"/>
    <x v="0"/>
    <s v="Brasil"/>
    <s v="AMÉRICA"/>
  </r>
  <r>
    <s v="226"/>
    <s v="20609563967"/>
    <s v="0303890000"/>
    <n v="18475.79"/>
    <n v="2052.8649999999998"/>
    <n v="277.137"/>
    <n v="5285"/>
    <n v="105"/>
    <n v="113"/>
    <n v="202603"/>
    <n v="1"/>
    <x v="0"/>
    <n v="18.47579"/>
    <x v="0"/>
    <x v="0"/>
    <s v="Productos alimenticios primarios"/>
    <n v="20805.791999999998"/>
    <x v="2"/>
    <x v="0"/>
    <s v="Brasil"/>
    <s v="AMÉRICA"/>
  </r>
  <r>
    <s v="226"/>
    <s v="20528339493"/>
    <s v="1701999000"/>
    <n v="369150"/>
    <n v="76747.86"/>
    <n v="812.13"/>
    <n v="900000"/>
    <n v="105"/>
    <n v="113"/>
    <n v="202608"/>
    <n v="1"/>
    <x v="1"/>
    <n v="369.15"/>
    <x v="2"/>
    <x v="5"/>
    <s v="Productos alimenticios semielaborados"/>
    <n v="446709.99"/>
    <x v="7"/>
    <x v="5"/>
    <s v="Brasil"/>
    <s v="AMÉRICA"/>
  </r>
  <r>
    <s v="226"/>
    <s v="20614021633"/>
    <s v="2304000000"/>
    <n v="64424.5"/>
    <n v="13822.55"/>
    <n v="966.36800000000005"/>
    <n v="276140"/>
    <n v="105"/>
    <n v="412"/>
    <n v="202606"/>
    <n v="2"/>
    <x v="2"/>
    <n v="64.424499999999995"/>
    <x v="2"/>
    <x v="3"/>
    <s v="Alimentos para animales: elaborados"/>
    <n v="79213.418000000005"/>
    <x v="4"/>
    <x v="3"/>
    <s v="Brasil"/>
    <s v="AMÉRICA"/>
  </r>
  <r>
    <s v="226"/>
    <s v="20609563967"/>
    <s v="0303890000"/>
    <n v="19712.95"/>
    <n v="2719.027"/>
    <n v="295.69400000000002"/>
    <n v="7000"/>
    <n v="105"/>
    <n v="113"/>
    <n v="202603"/>
    <n v="1"/>
    <x v="0"/>
    <n v="19.712949999999999"/>
    <x v="0"/>
    <x v="0"/>
    <s v="Productos alimenticios primarios"/>
    <n v="22727.670999999998"/>
    <x v="2"/>
    <x v="0"/>
    <s v="Brasil"/>
    <s v="AMÉRICA"/>
  </r>
  <r>
    <s v="226"/>
    <s v="20600119321"/>
    <s v="8415109000"/>
    <n v="2439.8850000000002"/>
    <n v="59.988999999999997"/>
    <n v="24.399000000000001"/>
    <n v="52.362000000000002"/>
    <n v="105"/>
    <n v="840"/>
    <n v="202606"/>
    <n v="3"/>
    <x v="2"/>
    <n v="2.4398850000000003"/>
    <x v="0"/>
    <x v="1"/>
    <s v="Máquinas y aparatos de uso doméstico"/>
    <n v="2524.2730000000001"/>
    <x v="1"/>
    <x v="1"/>
    <s v="Brasil"/>
    <s v="AMÉRICA"/>
  </r>
  <r>
    <s v="226"/>
    <s v="20600119321"/>
    <s v="8487100000"/>
    <n v="10110.244000000001"/>
    <n v="248.578"/>
    <n v="101.102"/>
    <n v="216.97399999999999"/>
    <n v="105"/>
    <n v="533"/>
    <n v="202606"/>
    <n v="2"/>
    <x v="2"/>
    <n v="10.110244"/>
    <x v="1"/>
    <x v="4"/>
    <s v="Partes y accesorios de equipo de transporte"/>
    <n v="10459.924000000001"/>
    <x v="1"/>
    <x v="6"/>
    <s v="Brasil"/>
    <s v="AMÉRICA"/>
  </r>
  <r>
    <s v="226"/>
    <s v="20393529076"/>
    <s v="0303890000"/>
    <n v="4710.71"/>
    <n v="1345.9179999999999"/>
    <n v="70.661000000000001"/>
    <n v="3465"/>
    <n v="105"/>
    <n v="113"/>
    <n v="202603"/>
    <n v="1"/>
    <x v="0"/>
    <n v="4.7107099999999997"/>
    <x v="0"/>
    <x v="0"/>
    <s v="Productos alimenticios primarios"/>
    <n v="6127.2889999999998"/>
    <x v="0"/>
    <x v="0"/>
    <s v="Brasil"/>
    <s v="AMÉRICA"/>
  </r>
  <r>
    <s v="226"/>
    <s v="20393529076"/>
    <s v="0303890000"/>
    <n v="15110.99"/>
    <n v="3357.998"/>
    <n v="226.66499999999999"/>
    <n v="8645"/>
    <n v="105"/>
    <n v="113"/>
    <n v="202603"/>
    <n v="1"/>
    <x v="0"/>
    <n v="15.110989999999999"/>
    <x v="0"/>
    <x v="0"/>
    <s v="Productos alimenticios primarios"/>
    <n v="18695.653000000002"/>
    <x v="0"/>
    <x v="0"/>
    <s v="Brasil"/>
    <s v="AMÉRICA"/>
  </r>
  <r>
    <s v="226"/>
    <s v="20612517020"/>
    <s v="1701999000"/>
    <n v="75000"/>
    <n v="1393.8"/>
    <n v="150"/>
    <n v="150000"/>
    <n v="105"/>
    <n v="113"/>
    <n v="202605"/>
    <n v="1"/>
    <x v="3"/>
    <n v="75"/>
    <x v="2"/>
    <x v="5"/>
    <s v="Productos alimenticios semielaborados"/>
    <n v="76543.8"/>
    <x v="10"/>
    <x v="5"/>
    <s v="Brasil"/>
    <s v="AMÉRICA"/>
  </r>
  <r>
    <s v="226"/>
    <s v="20477777393"/>
    <s v="9406200000"/>
    <n v="10625"/>
    <n v="9513.6790000000001"/>
    <n v="42.5"/>
    <n v="1580.6220000000001"/>
    <n v="169"/>
    <n v="613"/>
    <n v="202608"/>
    <n v="3"/>
    <x v="1"/>
    <n v="10.625"/>
    <x v="1"/>
    <x v="6"/>
    <s v="Materiales de construcción elaborados"/>
    <n v="20181.179"/>
    <x v="11"/>
    <x v="10"/>
    <s v="Colombia"/>
    <s v="AMÉRICA"/>
  </r>
  <r>
    <s v="226"/>
    <s v="20477777393"/>
    <s v="9405429000"/>
    <n v="2832.43"/>
    <n v="774.36800000000005"/>
    <n v="11.33"/>
    <n v="128.655"/>
    <n v="169"/>
    <n v="613"/>
    <n v="202608"/>
    <n v="3"/>
    <x v="1"/>
    <n v="2.83243"/>
    <x v="1"/>
    <x v="6"/>
    <s v="Materiales de construcción elaborados"/>
    <n v="3618.1279999999997"/>
    <x v="11"/>
    <x v="11"/>
    <s v="Colombia"/>
    <s v="AMÉRICA"/>
  </r>
  <r>
    <s v="226"/>
    <s v="20477777393"/>
    <s v="9406200000"/>
    <n v="1232.5"/>
    <n v="8849.9339999999993"/>
    <n v="4.93"/>
    <n v="1470.346"/>
    <n v="169"/>
    <n v="613"/>
    <n v="202608"/>
    <n v="3"/>
    <x v="1"/>
    <n v="1.2324999999999999"/>
    <x v="1"/>
    <x v="6"/>
    <s v="Materiales de construcción elaborados"/>
    <n v="10087.364"/>
    <x v="11"/>
    <x v="10"/>
    <s v="Colombia"/>
    <s v="AMÉRICA"/>
  </r>
  <r>
    <s v="226"/>
    <s v="20477777393"/>
    <s v="9405429000"/>
    <n v="10030"/>
    <n v="774.36800000000005"/>
    <n v="40.119999999999997"/>
    <n v="128.655"/>
    <n v="169"/>
    <n v="613"/>
    <n v="202608"/>
    <n v="3"/>
    <x v="1"/>
    <n v="10.029999999999999"/>
    <x v="1"/>
    <x v="6"/>
    <s v="Materiales de construcción elaborados"/>
    <n v="10844.488000000001"/>
    <x v="11"/>
    <x v="11"/>
    <s v="Colombia"/>
    <s v="AMÉRICA"/>
  </r>
  <r>
    <s v="226"/>
    <s v="20477777393"/>
    <s v="8609000000"/>
    <n v="1156"/>
    <n v="9956.1740000000009"/>
    <n v="4.6239999999999997"/>
    <n v="1654.1389999999999"/>
    <n v="169"/>
    <n v="850"/>
    <n v="202608"/>
    <n v="3"/>
    <x v="1"/>
    <n v="1.1559999999999999"/>
    <x v="1"/>
    <x v="2"/>
    <s v="Otros equipos fijos"/>
    <n v="11116.798000000001"/>
    <x v="11"/>
    <x v="12"/>
    <s v="Colombia"/>
    <s v="AMÉRICA"/>
  </r>
  <r>
    <s v="226"/>
    <s v="20477777393"/>
    <s v="8426419000"/>
    <n v="21250"/>
    <n v="19359.235000000001"/>
    <n v="85"/>
    <n v="3216.3829999999998"/>
    <n v="169"/>
    <n v="840"/>
    <n v="202608"/>
    <n v="3"/>
    <x v="1"/>
    <n v="21.25"/>
    <x v="1"/>
    <x v="2"/>
    <s v="Maquinaria industrial"/>
    <n v="40694.235000000001"/>
    <x v="11"/>
    <x v="13"/>
    <s v="Colombia"/>
    <s v="AMÉRICA"/>
  </r>
  <r>
    <s v="226"/>
    <s v="20477777393"/>
    <s v="8430490000"/>
    <n v="6772684"/>
    <n v="1532476.7930000001"/>
    <n v="27090.732"/>
    <n v="254608.81200000001"/>
    <n v="169"/>
    <n v="840"/>
    <n v="202608"/>
    <n v="3"/>
    <x v="1"/>
    <n v="6772.6840000000002"/>
    <x v="1"/>
    <x v="2"/>
    <s v="Maquinaria industrial"/>
    <n v="8332251.5249999994"/>
    <x v="11"/>
    <x v="14"/>
    <s v="Colombia"/>
    <s v="AMÉRICA"/>
  </r>
  <r>
    <s v="226"/>
    <s v="20477777393"/>
    <s v="8515390000"/>
    <n v="1275"/>
    <n v="1106.24"/>
    <n v="5.0999999999999996"/>
    <n v="183.79300000000001"/>
    <n v="169"/>
    <n v="840"/>
    <n v="202608"/>
    <n v="3"/>
    <x v="1"/>
    <n v="1.2749999999999999"/>
    <x v="1"/>
    <x v="2"/>
    <s v="Maquinaria industrial"/>
    <n v="2386.3399999999997"/>
    <x v="11"/>
    <x v="15"/>
    <s v="Colombia"/>
    <s v="AMÉRICA"/>
  </r>
  <r>
    <s v="226"/>
    <s v="20477777393"/>
    <s v="9406200000"/>
    <n v="7480"/>
    <n v="9956.1740000000009"/>
    <n v="29.92"/>
    <n v="1654.1389999999999"/>
    <n v="169"/>
    <n v="613"/>
    <n v="202608"/>
    <n v="3"/>
    <x v="1"/>
    <n v="7.48"/>
    <x v="1"/>
    <x v="6"/>
    <s v="Materiales de construcción elaborados"/>
    <n v="17466.093999999997"/>
    <x v="11"/>
    <x v="10"/>
    <s v="Colombia"/>
    <s v="AMÉRICA"/>
  </r>
  <r>
    <s v="226"/>
    <s v="20477777393"/>
    <s v="9405429000"/>
    <n v="13940"/>
    <n v="774.36800000000005"/>
    <n v="55.76"/>
    <n v="128.655"/>
    <n v="169"/>
    <n v="613"/>
    <n v="202608"/>
    <n v="3"/>
    <x v="1"/>
    <n v="13.94"/>
    <x v="1"/>
    <x v="6"/>
    <s v="Materiales de construcción elaborados"/>
    <n v="14770.128000000001"/>
    <x v="11"/>
    <x v="11"/>
    <s v="Colombia"/>
    <s v="AMÉRICA"/>
  </r>
  <r>
    <s v="226"/>
    <s v="20477777393"/>
    <s v="9406200000"/>
    <n v="3825"/>
    <n v="7743.6940000000004"/>
    <n v="15.3"/>
    <n v="1286.5530000000001"/>
    <n v="169"/>
    <n v="613"/>
    <n v="202608"/>
    <n v="3"/>
    <x v="1"/>
    <n v="3.8250000000000002"/>
    <x v="1"/>
    <x v="6"/>
    <s v="Materiales de construcción elaborados"/>
    <n v="11583.993999999999"/>
    <x v="11"/>
    <x v="10"/>
    <s v="Colombia"/>
    <s v="AMÉRICA"/>
  </r>
  <r>
    <s v="226"/>
    <s v="20477777393"/>
    <s v="9406200000"/>
    <n v="3825"/>
    <n v="12168.66"/>
    <n v="15.3"/>
    <n v="2021.7260000000001"/>
    <n v="169"/>
    <n v="613"/>
    <n v="202608"/>
    <n v="3"/>
    <x v="1"/>
    <n v="3.8250000000000002"/>
    <x v="1"/>
    <x v="6"/>
    <s v="Materiales de construcción elaborados"/>
    <n v="16008.96"/>
    <x v="11"/>
    <x v="10"/>
    <s v="Colombia"/>
    <s v="AMÉRICA"/>
  </r>
  <r>
    <s v="226"/>
    <s v="20477777393"/>
    <s v="9406200000"/>
    <n v="1232.5"/>
    <n v="7743.6940000000004"/>
    <n v="4.93"/>
    <n v="1286.5530000000001"/>
    <n v="169"/>
    <n v="613"/>
    <n v="202608"/>
    <n v="3"/>
    <x v="1"/>
    <n v="1.2324999999999999"/>
    <x v="1"/>
    <x v="6"/>
    <s v="Materiales de construcción elaborados"/>
    <n v="8981.1239999999998"/>
    <x v="11"/>
    <x v="10"/>
    <s v="Colombia"/>
    <s v="AMÉRICA"/>
  </r>
  <r>
    <s v="226"/>
    <s v="20477777393"/>
    <s v="8515390000"/>
    <n v="3315"/>
    <n v="663.75099999999998"/>
    <n v="13.259"/>
    <n v="110.277"/>
    <n v="169"/>
    <n v="840"/>
    <n v="202608"/>
    <n v="3"/>
    <x v="1"/>
    <n v="3.3149999999999999"/>
    <x v="1"/>
    <x v="2"/>
    <s v="Maquinaria industrial"/>
    <n v="3992.01"/>
    <x v="11"/>
    <x v="15"/>
    <s v="Colombia"/>
    <s v="AMÉRICA"/>
  </r>
  <r>
    <s v="226"/>
    <s v="20477777393"/>
    <s v="8426490000"/>
    <n v="93548.7"/>
    <n v="17699.867999999999"/>
    <n v="374.19499999999999"/>
    <n v="2940.692"/>
    <n v="169"/>
    <n v="840"/>
    <n v="202608"/>
    <n v="3"/>
    <x v="1"/>
    <n v="93.548699999999997"/>
    <x v="1"/>
    <x v="2"/>
    <s v="Maquinaria industrial"/>
    <n v="111622.76300000001"/>
    <x v="11"/>
    <x v="16"/>
    <s v="Colombia"/>
    <s v="AMÉRIC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1BD912-02CC-4205-B61C-27F8EA90231C}" name="TablaDinámica2" cacheId="531" applyNumberFormats="0" applyBorderFormats="0" applyFontFormats="0" applyPatternFormats="0" applyAlignmentFormats="0" applyWidthHeightFormats="1" dataCaption="Valores" updatedVersion="8" minRefreshableVersion="3" useAutoFormatting="1" colGrandTotals="0" itemPrintTitles="1" mergeItem="1" createdVersion="8" indent="127" showHeaders="0" outline="1" outlineData="1" multipleFieldFilters="0" colHeaderCaption="Etiquetas de fila">
  <location ref="A11:F40" firstHeaderRow="1" firstDataRow="2" firstDataCol="1"/>
  <pivotFields count="24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3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3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3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3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items count="10">
        <item m="1" x="6"/>
        <item m="1" x="7"/>
        <item x="2"/>
        <item m="1" x="5"/>
        <item x="1"/>
        <item x="0"/>
        <item m="1" x="8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6">
        <item x="1"/>
        <item x="0"/>
        <item x="2"/>
        <item m="1" x="4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1"/>
        <item x="0"/>
        <item m="1" x="7"/>
        <item x="4"/>
        <item x="6"/>
        <item x="3"/>
        <item x="5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3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8">
        <item x="8"/>
        <item x="1"/>
        <item x="9"/>
        <item x="5"/>
        <item m="1" x="22"/>
        <item m="1" x="26"/>
        <item m="1" x="19"/>
        <item m="1" x="21"/>
        <item m="1" x="24"/>
        <item m="1" x="25"/>
        <item m="1" x="18"/>
        <item m="1" x="17"/>
        <item x="0"/>
        <item x="7"/>
        <item m="1" x="23"/>
        <item x="3"/>
        <item m="1" x="20"/>
        <item x="2"/>
        <item x="4"/>
        <item x="6"/>
        <item x="10"/>
        <item x="11"/>
        <item x="12"/>
        <item x="13"/>
        <item x="14"/>
        <item x="15"/>
        <item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5">
        <item h="1"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3"/>
    <field x="14"/>
    <field x="18"/>
  </rowFields>
  <rowItems count="28">
    <i>
      <x/>
    </i>
    <i r="1">
      <x v="3"/>
    </i>
    <i r="2">
      <x v="18"/>
    </i>
    <i r="2">
      <x v="19"/>
    </i>
    <i r="1">
      <x v="4"/>
    </i>
    <i r="2">
      <x v="20"/>
    </i>
    <i r="2">
      <x v="21"/>
    </i>
    <i r="1">
      <x v="7"/>
    </i>
    <i r="2">
      <x v="13"/>
    </i>
    <i r="2">
      <x v="17"/>
    </i>
    <i r="2">
      <x v="22"/>
    </i>
    <i r="2">
      <x v="23"/>
    </i>
    <i r="2">
      <x v="24"/>
    </i>
    <i r="2">
      <x v="25"/>
    </i>
    <i r="2">
      <x v="26"/>
    </i>
    <i>
      <x v="1"/>
    </i>
    <i r="1">
      <x/>
    </i>
    <i r="2">
      <x v="1"/>
    </i>
    <i r="1">
      <x v="1"/>
    </i>
    <i r="2">
      <x v="2"/>
    </i>
    <i r="2">
      <x v="12"/>
    </i>
    <i>
      <x v="2"/>
    </i>
    <i r="1">
      <x v="5"/>
    </i>
    <i r="2">
      <x v="15"/>
    </i>
    <i r="1">
      <x v="6"/>
    </i>
    <i r="2">
      <x/>
    </i>
    <i r="2">
      <x v="3"/>
    </i>
    <i t="grand">
      <x/>
    </i>
  </rowItems>
  <colFields count="1">
    <field x="22"/>
  </colFields>
  <colItems count="5">
    <i>
      <x v="1"/>
    </i>
    <i>
      <x v="3"/>
    </i>
    <i>
      <x v="5"/>
    </i>
    <i>
      <x v="6"/>
    </i>
    <i>
      <x v="8"/>
    </i>
  </colItems>
  <dataFields count="1">
    <dataField name="Suma de FOB (MILES)" fld="12" baseField="0" baseItem="0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195CEF-7B03-4075-A059-E1AC288C65F1}" name="TablaDinámica3" cacheId="531" applyNumberFormats="0" applyBorderFormats="0" applyFontFormats="0" applyPatternFormats="0" applyAlignmentFormats="0" applyWidthHeightFormats="1" dataCaption="Valores" updatedVersion="8" minRefreshableVersion="3" useAutoFormatting="1" itemPrintTitles="1" mergeItem="1" createdVersion="8" indent="127" showHeaders="0" outline="1" outlineData="1" multipleFieldFilters="0">
  <location ref="A11:G31" firstHeaderRow="1" firstDataRow="3" firstDataCol="1"/>
  <pivotFields count="24">
    <pivotField showAll="0"/>
    <pivotField showAll="0"/>
    <pivotField showAll="0"/>
    <pivotField numFmtId="3" showAll="0"/>
    <pivotField numFmtId="3" showAll="0"/>
    <pivotField numFmtId="3" showAll="0"/>
    <pivotField numFmtId="3" showAll="0"/>
    <pivotField numFmtId="1" showAll="0"/>
    <pivotField numFmtId="1" showAll="0"/>
    <pivotField numFmtId="1" showAll="0"/>
    <pivotField numFmtId="1" showAll="0"/>
    <pivotField numFmtId="14" showAll="0">
      <items count="10">
        <item m="1" x="6"/>
        <item m="1" x="7"/>
        <item x="2"/>
        <item m="1" x="5"/>
        <item x="1"/>
        <item x="0"/>
        <item m="1" x="8"/>
        <item x="3"/>
        <item x="4"/>
        <item t="default"/>
      </items>
    </pivotField>
    <pivotField dataField="1" numFmtId="3" showAll="0"/>
    <pivotField axis="axisRow" showAll="0">
      <items count="6">
        <item x="1"/>
        <item x="0"/>
        <item x="2"/>
        <item m="1" x="3"/>
        <item m="1" x="4"/>
        <item t="default"/>
      </items>
    </pivotField>
    <pivotField showAll="0"/>
    <pivotField showAll="0"/>
    <pivotField numFmtId="3" showAll="0"/>
    <pivotField axis="axisRow" showAll="0">
      <items count="436">
        <item x="4"/>
        <item x="6"/>
        <item x="9"/>
        <item x="8"/>
        <item x="3"/>
        <item x="0"/>
        <item x="5"/>
        <item x="7"/>
        <item x="2"/>
        <item x="10"/>
        <item x="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434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x="11"/>
        <item t="default"/>
      </items>
    </pivotField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Col" showAll="0" defaultSubtotal="0">
      <items count="3">
        <item x="1"/>
        <item x="0"/>
        <item x="2"/>
      </items>
    </pivotField>
  </pivotFields>
  <rowFields count="2">
    <field x="13"/>
    <field x="17"/>
  </rowFields>
  <rowItems count="18">
    <i>
      <x/>
    </i>
    <i r="1">
      <x v="10"/>
    </i>
    <i r="1">
      <x v="434"/>
    </i>
    <i>
      <x v="1"/>
    </i>
    <i r="1">
      <x/>
    </i>
    <i r="1">
      <x v="3"/>
    </i>
    <i r="1">
      <x v="4"/>
    </i>
    <i r="1">
      <x v="5"/>
    </i>
    <i r="1">
      <x v="8"/>
    </i>
    <i r="1">
      <x v="10"/>
    </i>
    <i>
      <x v="2"/>
    </i>
    <i r="1">
      <x/>
    </i>
    <i r="1">
      <x v="1"/>
    </i>
    <i r="1">
      <x v="2"/>
    </i>
    <i r="1">
      <x v="6"/>
    </i>
    <i r="1">
      <x v="7"/>
    </i>
    <i r="1">
      <x v="9"/>
    </i>
    <i t="grand">
      <x/>
    </i>
  </rowItems>
  <colFields count="2">
    <field x="23"/>
    <field x="22"/>
  </colFields>
  <colItems count="6">
    <i>
      <x/>
      <x v="1"/>
    </i>
    <i r="1">
      <x v="3"/>
    </i>
    <i r="1">
      <x v="5"/>
    </i>
    <i r="1">
      <x v="6"/>
    </i>
    <i r="1">
      <x v="8"/>
    </i>
    <i t="grand">
      <x/>
    </i>
  </colItems>
  <dataFields count="1">
    <dataField name="FOB $ (MILES)" fld="12" baseField="0" baseItem="0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" xr10:uid="{F4B8ECFF-3974-44C0-9A5F-A71A27FF5220}" sourceName="Meses (FECHA)">
  <pivotTables>
    <pivotTable tabId="4" name="TablaDinámica2"/>
  </pivotTables>
  <data>
    <tabular pivotCacheId="918607283">
      <items count="14">
        <i x="1" s="1"/>
        <i x="3" s="1"/>
        <i x="5" s="1"/>
        <i x="6" s="1"/>
        <i x="8" s="1"/>
        <i x="2" s="1" nd="1"/>
        <i x="4" s="1" nd="1"/>
        <i x="7" s="1" nd="1"/>
        <i x="9" nd="1"/>
        <i x="10" nd="1"/>
        <i x="11" nd="1"/>
        <i x="12" nd="1"/>
        <i x="0" nd="1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" xr10:uid="{EDDD0FC0-BBC5-4AC3-9550-EFBFC5CB9CDC}" sourceName="Años (FECHA)">
  <pivotTables>
    <pivotTable tabId="4" name="TablaDinámica2"/>
  </pivotTables>
  <data>
    <tabular pivotCacheId="918607283">
      <items count="3">
        <i x="1" s="1"/>
        <i x="0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1" xr10:uid="{C580BA68-BCF8-4C07-A9C5-5F1F7DF748F3}" sourceName="Meses (FECHA)">
  <pivotTables>
    <pivotTable tabId="6" name="TablaDinámica3"/>
  </pivotTables>
  <data>
    <tabular pivotCacheId="918607283">
      <items count="14">
        <i x="1" s="1"/>
        <i x="3" s="1"/>
        <i x="5" s="1"/>
        <i x="6" s="1"/>
        <i x="8" s="1"/>
        <i x="2" s="1" nd="1"/>
        <i x="4" s="1" nd="1"/>
        <i x="7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1" xr10:uid="{6AAA9730-6EC9-4D29-AEC2-66ADF453B028}" sourceName="Años (FECHA)">
  <pivotTables>
    <pivotTable tabId="6" name="TablaDinámica3"/>
  </pivotTables>
  <data>
    <tabular pivotCacheId="918607283">
      <items count="3">
        <i x="1" s="1"/>
        <i x="0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 (FECHA)" xr10:uid="{B6D58753-9E9D-4179-B643-99179DD44B82}" cache="SegmentaciónDeDatos_Meses__FECHA" caption="MESES" columnCount="2" style="SlicerStyleDark1" rowHeight="257175"/>
  <slicer name="Años (FECHA)" xr10:uid="{A02472AF-3DD0-4D7C-9FE5-D1A0251DBDF9}" cache="SegmentaciónDeDatos_Años__FECHA" caption="AÑOS" style="SlicerStyleDark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 (FECHA) 1" xr10:uid="{4B0DCD58-FD33-4D45-A9AB-89F3820618FF}" cache="SegmentaciónDeDatos_Meses__FECHA1" caption="Meses (FECHA)" style="SlicerStyleDark1" rowHeight="257175"/>
  <slicer name="Años (FECHA) 1" xr10:uid="{78FA7914-285F-40B1-B7FD-EEA443364A9E}" cache="SegmentaciónDeDatos_Años__FECHA1" caption="Años (FECHA)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F955F9-623D-4DD8-8F58-7392917246F5}" name="Cuadro" displayName="Cuadro" ref="A5:U110" totalsRowShown="0" headerRowDxfId="58" dataDxfId="57" totalsRowDxfId="56">
  <autoFilter ref="A5:U110" xr:uid="{53F955F9-623D-4DD8-8F58-7392917246F5}">
    <filterColumn colId="17">
      <filters>
        <filter val="SIN RAZÓN SOCIAL"/>
      </filters>
    </filterColumn>
  </autoFilter>
  <sortState xmlns:xlrd2="http://schemas.microsoft.com/office/spreadsheetml/2017/richdata2" ref="A6:U6">
    <sortCondition ref="R5:R6"/>
  </sortState>
  <tableColumns count="21">
    <tableColumn id="1" xr3:uid="{B16DE15D-6A15-4183-A902-D4E61FAA828C}" name="ADUANA" dataDxfId="55" totalsRowDxfId="54"/>
    <tableColumn id="3" xr3:uid="{23CA6C16-A984-4BBF-BC0A-22FC9B878621}" name="RUC" dataDxfId="53" totalsRowDxfId="52"/>
    <tableColumn id="5" xr3:uid="{770E873A-1DC7-4850-BE5B-D0539EB9D41E}" name="PARTIDA" dataDxfId="51" totalsRowDxfId="50"/>
    <tableColumn id="6" xr3:uid="{3B611E04-0624-4F40-99B8-55C30D59E03C}" name="FOB" dataDxfId="49" totalsRowDxfId="48"/>
    <tableColumn id="7" xr3:uid="{A5C4718B-4D61-463F-AD67-F3032655D629}" name="FLETE" dataDxfId="47" totalsRowDxfId="46"/>
    <tableColumn id="8" xr3:uid="{AA7B78E7-3C41-45FB-AD8C-1E5604787EED}" name="SEGURO" dataDxfId="45" totalsRowDxfId="44"/>
    <tableColumn id="9" xr3:uid="{B705F4E0-B0F8-4611-8566-ECED1E964644}" name="KILOS" dataDxfId="43" totalsRowDxfId="42"/>
    <tableColumn id="4" xr3:uid="{FEC87FE0-1B22-40AE-8952-582B1B70982A}" name="COD_PAIS" dataDxfId="41" totalsRowDxfId="40"/>
    <tableColumn id="10" xr3:uid="{17F4FBEB-D284-4273-A22C-8C5D594F1DB6}" name="CUODE" dataDxfId="39" totalsRowDxfId="38"/>
    <tableColumn id="2" xr3:uid="{149B24AA-440C-483F-9731-86CBB543A5B1}" name="FENUM" dataDxfId="37" totalsRowDxfId="36"/>
    <tableColumn id="11" xr3:uid="{227C20B8-4011-454E-9D5A-0E2E27E36893}" name="CUOD" dataDxfId="35" totalsRowDxfId="34"/>
    <tableColumn id="19" xr3:uid="{56C720BA-9E6E-46B3-AEC9-B89B11236100}" name="FECHA" dataDxfId="33" totalsRowDxfId="32">
      <calculatedColumnFormula>IFERROR(DATE(VALUE(LEFT(Cuadro[[#This Row],[FENUM]],4)),VALUE(RIGHT(Cuadro[[#This Row],[FENUM]],2)),1),"")</calculatedColumnFormula>
    </tableColumn>
    <tableColumn id="24" xr3:uid="{A1A520C6-261C-497E-B4EC-F53751452A56}" name="FOB (MILES)" dataDxfId="1" totalsRowDxfId="31">
      <calculatedColumnFormula>Cuadro[[#This Row],[FOB]]/1000</calculatedColumnFormula>
    </tableColumn>
    <tableColumn id="21" xr3:uid="{FF00FA1A-C994-46CD-B54B-210A2D1969A7}" name="TIPO" dataDxfId="30" totalsRowDxfId="29">
      <calculatedColumnFormula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calculatedColumnFormula>
    </tableColumn>
    <tableColumn id="23" xr3:uid="{22E6138B-FF5A-425A-BEC8-6821F29347BB}" name="CATEGORÍA" dataDxfId="28" totalsRowDxfId="27">
      <calculatedColumnFormula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calculatedColumnFormula>
    </tableColumn>
    <tableColumn id="22" xr3:uid="{C8FEA8D1-8BBC-45C2-80FF-957F81ED263B}" name="DESC. CUODE" dataDxfId="26" totalsRowDxfId="25">
      <calculatedColumnFormula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calculatedColumnFormula>
    </tableColumn>
    <tableColumn id="15" xr3:uid="{47987FAA-4DAF-4802-B9CC-C8B2D95FD2A6}" name="CIF" dataDxfId="24" totalsRowDxfId="23">
      <calculatedColumnFormula>IFERROR(--Cuadro[[#This Row],[FOB]],0)+IFERROR(--Cuadro[[#This Row],[FLETE]],0)+IFERROR(--Cuadro[[#This Row],[SEGURO]],0)</calculatedColumnFormula>
    </tableColumn>
    <tableColumn id="12" xr3:uid="{F20503BA-1096-4BEF-9009-D9D1E094B14E}" name="EMPRESA" dataDxfId="22" totalsRowDxfId="21">
      <calculatedColumnFormula>_xlfn.XLOOKUP(Cuadro[[#This Row],[RUC]],EMPRESAS[RUC],EMPRESAS[RAZÓN SOCIAL],"SIN RAZÓN SOCIAL")</calculatedColumnFormula>
    </tableColumn>
    <tableColumn id="13" xr3:uid="{FEC4A875-472C-45F2-8DBC-C7AED945F5C9}" name="PRODUCTO" dataDxfId="20" totalsRowDxfId="19">
      <calculatedColumnFormula>_xlfn.LET(_xlpm.o,_xlfn.XLOOKUP(Cuadro[[#This Row],[PARTIDA]],PARTIDA[PARTIDA_TEXTO],PARTIDA[PRODUCTO],"SIN DESCRIPCIÓN"),_xlfn.XLOOKUP(_xlpm.o,PROD_UNICOS[PRODUCTO_ORIGINAL],PROD_UNICOS[PRODUCTO_CORREGIDO],_xlpm.o))</calculatedColumnFormula>
    </tableColumn>
    <tableColumn id="14" xr3:uid="{64BD69C6-DB68-48AA-9808-124B5928E555}" name="PAIS" dataDxfId="18" totalsRowDxfId="17">
      <calculatedColumnFormula>_xlfn.XLOOKUP(Cuadro[[#This Row],[COD_PAIS]],PAISES[CÓDIGO],PAISES[PAÍS],"SIN PAÍS")</calculatedColumnFormula>
    </tableColumn>
    <tableColumn id="16" xr3:uid="{2D76F091-3C0D-40A2-861E-E96E48DA8250}" name="CONTINENTE" dataDxfId="16" totalsRowDxfId="15">
      <calculatedColumnFormula>_xlfn.XLOOKUP(Cuadro[[#This Row],[COD_PAIS]],PAISES[CÓDIGO],PAISES[CONTINENTE],"SIN PAÍS")</calculatedColumnFormula>
    </tableColumn>
  </tableColumns>
  <tableStyleInfo name="TableStyleLight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77B065-5731-44E1-88C3-40F535F655CC}" name="PAISES" displayName="PAISES" ref="A1:D274" totalsRowShown="0" headerRowDxfId="14" tableBorderDxfId="13">
  <autoFilter ref="A1:D274" xr:uid="{DC047CA8-9170-437C-BEFD-6B3CB09354AC}"/>
  <tableColumns count="4">
    <tableColumn id="1" xr3:uid="{85F818C8-C80E-440B-BFE3-34902A5DB8B7}" name="CÓDIGO" dataDxfId="12"/>
    <tableColumn id="2" xr3:uid="{25A27B79-1EB9-469C-993F-CA07CDFC00A1}" name="TEXTO" dataDxfId="11">
      <calculatedColumnFormula>TEXT(UNICOS!$A2,"000")</calculatedColumnFormula>
    </tableColumn>
    <tableColumn id="3" xr3:uid="{469B3C75-1327-4F33-9950-04EFC3D58413}" name="PAÍS" dataDxfId="10"/>
    <tableColumn id="4" xr3:uid="{0533054B-1C05-4DAF-B0E1-F4375518EAFC}" name="CONTINENTE" dataDxfId="9"/>
  </tableColumns>
  <tableStyleInfo name="TableStyleLight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45E30E-E4F7-446C-9033-2F1D06C91D63}" name="EMPRESAS" displayName="EMPRESAS" ref="H1:I241">
  <autoFilter ref="H1:I241" xr:uid="{1AAADB3D-0234-4598-82E8-BF137F07BA5A}"/>
  <tableColumns count="2">
    <tableColumn id="1" xr3:uid="{27695344-A1E9-47AF-B0AC-C7E1310D2C14}" name="RUC" totalsRowLabel="Total" dataDxfId="8"/>
    <tableColumn id="2" xr3:uid="{E7F8A819-CA69-487A-9989-A4542030870D}" name="RAZÓN SOCIAL" totalsRowFunction="count"/>
  </tableColumns>
  <tableStyleInfo name="TableStyleLight8" showFirstColumn="0" showLastColumn="0" showRowStripes="0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ROD_UNICOS" displayName="PROD_UNICOS" ref="K1:L212" totalsRowShown="0">
  <autoFilter ref="K1:L212" xr:uid="{00000000-0009-0000-0100-000005000000}"/>
  <tableColumns count="2">
    <tableColumn id="1" xr3:uid="{00000000-0010-0000-0300-000001000000}" name="PRODUCTO_ORIGINAL"/>
    <tableColumn id="2" xr3:uid="{00000000-0010-0000-0300-000002000000}" name="PRODUCTO_CORREGIDO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D16EF4-F922-448B-B95B-2DC00D81D9D2}" name="PARTIDA" displayName="PARTIDA" ref="A1:I8306" totalsRowShown="0" headerRowDxfId="7">
  <autoFilter ref="A1:I8306" xr:uid="{AAD16EF4-F922-448B-B95B-2DC00D81D9D2}"/>
  <tableColumns count="9">
    <tableColumn id="1" xr3:uid="{CFB1AE61-E31B-485A-91C5-EDCE5257D1FD}" name="PARTIDA" dataDxfId="6"/>
    <tableColumn id="3" xr3:uid="{BC1508DC-E580-4EEC-897A-761CB47B4960}" name="PARTIDA_TEXTO" dataDxfId="5">
      <calculatedColumnFormula>TEXT(PARTIDA[[#This Row],[PARTIDA]],"0000000000")</calculatedColumnFormula>
    </tableColumn>
    <tableColumn id="8" xr3:uid="{F7DA0078-FEA8-4FD3-A80A-FDB70C91B551}" name="TIPO"/>
    <tableColumn id="7" xr3:uid="{E2317BB1-5227-4B0E-9D9E-6522D5C8C279}" name="CATEGORIA"/>
    <tableColumn id="6" xr3:uid="{710D6AEE-86D1-4B27-B015-DD9ADD94AE17}" name="DESC. CUODE"/>
    <tableColumn id="2" xr3:uid="{3026B06F-1FFB-44F0-A985-10E297A11DA6}" name="PRODUCTO" dataDxfId="4"/>
    <tableColumn id="4" xr3:uid="{670E904B-9754-46A6-B897-DC52E3A91EE5}" name="NOTAS" dataDxfId="3"/>
    <tableColumn id="5" xr3:uid="{C1D97358-56E4-4ABC-8127-34CDA006E953}" name="DESCRIPCION" dataDxfId="2">
      <calculatedColumnFormula>IF(ISBLANK(PARTIDAS!$G2),PARTIDAS!$F2,CONCATENATE(PARTIDAS!$F2," (",PARTIDAS!$G2,")"))</calculatedColumnFormula>
    </tableColumn>
    <tableColumn id="9" xr3:uid="{00000000-0010-0000-0400-000009000000}" name="FUENTE"/>
  </tableColumns>
  <tableStyleInfo name="TableStyleLight8" showFirstColumn="1" showLastColumn="1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F7057-8F4B-418D-ACFD-FB151EC8FC1C}">
  <sheetPr>
    <tabColor theme="1"/>
  </sheetPr>
  <dimension ref="A5:U114"/>
  <sheetViews>
    <sheetView workbookViewId="0">
      <selection activeCell="B114" sqref="B114"/>
    </sheetView>
  </sheetViews>
  <sheetFormatPr baseColWidth="10" defaultRowHeight="15" x14ac:dyDescent="0.25"/>
  <cols>
    <col min="16" max="16" width="36.140625" bestFit="1" customWidth="1"/>
  </cols>
  <sheetData>
    <row r="5" spans="1:2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1" t="s">
        <v>7</v>
      </c>
      <c r="I5" s="1" t="s">
        <v>8</v>
      </c>
      <c r="J5" s="3" t="s">
        <v>9</v>
      </c>
      <c r="K5" s="1" t="s">
        <v>10</v>
      </c>
      <c r="L5" s="4" t="s">
        <v>11</v>
      </c>
      <c r="M5" s="5" t="s">
        <v>9110</v>
      </c>
      <c r="N5" s="5" t="s">
        <v>12</v>
      </c>
      <c r="O5" s="5" t="s">
        <v>13</v>
      </c>
      <c r="P5" s="5" t="s">
        <v>14</v>
      </c>
      <c r="Q5" s="5" t="s">
        <v>15</v>
      </c>
      <c r="R5" s="1" t="s">
        <v>16</v>
      </c>
      <c r="S5" s="1" t="s">
        <v>17</v>
      </c>
      <c r="T5" s="1" t="s">
        <v>18</v>
      </c>
      <c r="U5" s="1" t="s">
        <v>19</v>
      </c>
    </row>
    <row r="6" spans="1:21" hidden="1" x14ac:dyDescent="0.25">
      <c r="A6" s="6" t="s">
        <v>16428</v>
      </c>
      <c r="B6" s="6" t="s">
        <v>22</v>
      </c>
      <c r="C6" s="6" t="s">
        <v>23</v>
      </c>
      <c r="D6" s="7">
        <v>25050</v>
      </c>
      <c r="E6" s="7">
        <v>4500</v>
      </c>
      <c r="F6" s="7">
        <v>375.75</v>
      </c>
      <c r="G6" s="7">
        <v>15000</v>
      </c>
      <c r="H6" s="8">
        <v>105</v>
      </c>
      <c r="I6" s="8">
        <v>113</v>
      </c>
      <c r="J6" s="8">
        <v>202603</v>
      </c>
      <c r="K6" s="8">
        <v>1</v>
      </c>
      <c r="L6" s="9">
        <f>IFERROR(DATE(VALUE(LEFT(Cuadro[[#This Row],[FENUM]],4)),VALUE(RIGHT(Cuadro[[#This Row],[FENUM]],2)),1),"")</f>
        <v>46082</v>
      </c>
      <c r="M6" s="11">
        <f>Cuadro[[#This Row],[FOB]]/1000</f>
        <v>25.05</v>
      </c>
      <c r="N6" s="10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6" s="47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6" s="4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6" s="11">
        <f>IFERROR(--Cuadro[[#This Row],[FOB]],0)+IFERROR(--Cuadro[[#This Row],[FLETE]],0)+IFERROR(--Cuadro[[#This Row],[SEGURO]],0)</f>
        <v>29925.75</v>
      </c>
      <c r="R6" s="12" t="str">
        <f>_xlfn.XLOOKUP(Cuadro[[#This Row],[RUC]],EMPRESAS[RUC],EMPRESAS[RAZÓN SOCIAL],"SIN RAZÓN SOCIAL")</f>
        <v>INVERSIONES EN GRANOS Y PESCADO AMAZONICO E.I.R.L.</v>
      </c>
      <c r="S6" s="13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6" s="8" t="str">
        <f>_xlfn.XLOOKUP(Cuadro[[#This Row],[COD_PAIS]],PAISES[CÓDIGO],PAISES[PAÍS],"SIN PAÍS")</f>
        <v>Brasil</v>
      </c>
      <c r="U6" s="8" t="str">
        <f>_xlfn.XLOOKUP(Cuadro[[#This Row],[COD_PAIS]],PAISES[CÓDIGO],PAISES[CONTINENTE],"SIN PAÍS")</f>
        <v>AMÉRICA</v>
      </c>
    </row>
    <row r="7" spans="1:21" hidden="1" x14ac:dyDescent="0.25">
      <c r="A7" s="70" t="s">
        <v>16428</v>
      </c>
      <c r="B7" s="70" t="s">
        <v>20</v>
      </c>
      <c r="C7" s="70" t="s">
        <v>21</v>
      </c>
      <c r="D7" s="71">
        <v>8531.1</v>
      </c>
      <c r="E7" s="71">
        <v>383.11200000000002</v>
      </c>
      <c r="F7" s="71">
        <v>85.311000000000007</v>
      </c>
      <c r="G7" s="71">
        <v>197.93899999999999</v>
      </c>
      <c r="H7" s="72">
        <v>105</v>
      </c>
      <c r="I7" s="72">
        <v>840</v>
      </c>
      <c r="J7" s="72">
        <v>202608</v>
      </c>
      <c r="K7" s="72">
        <v>3</v>
      </c>
      <c r="L7" s="73">
        <f>IFERROR(DATE(VALUE(LEFT(Cuadro[[#This Row],[FENUM]],4)),VALUE(RIGHT(Cuadro[[#This Row],[FENUM]],2)),1),"")</f>
        <v>46235</v>
      </c>
      <c r="M7" s="11">
        <f>Cuadro[[#This Row],[FOB]]/1000</f>
        <v>8.5311000000000003</v>
      </c>
      <c r="N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duraderos</v>
      </c>
      <c r="P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Máquinas y aparatos de uso doméstico</v>
      </c>
      <c r="Q7" s="77">
        <f>IFERROR(--Cuadro[[#This Row],[FOB]],0)+IFERROR(--Cuadro[[#This Row],[FLETE]],0)+IFERROR(--Cuadro[[#This Row],[SEGURO]],0)</f>
        <v>8999.5229999999992</v>
      </c>
      <c r="R7" s="78" t="str">
        <f>_xlfn.XLOOKUP(Cuadro[[#This Row],[RUC]],EMPRESAS[RUC],EMPRESAS[RAZÓN SOCIAL],"SIN RAZÓN SOCIAL")</f>
        <v>TRANSPORTES EDUARDO SOCIEDAD ANONIMA CERRADA</v>
      </c>
      <c r="S7" s="79" t="str">
        <f>_xlfn.LET(_xlpm.o,_xlfn.XLOOKUP(Cuadro[[#This Row],[PARTIDA]],PARTIDA[PARTIDA_TEXTO],PARTIDA[PRODUCTO],"SIN DESCRIPCIÓN"),_xlfn.XLOOKUP(_xlpm.o,PROD_UNICOS[PRODUCTO_ORIGINAL],PROD_UNICOS[PRODUCTO_CORREGIDO],_xlpm.o))</f>
        <v>Aire acondicionado</v>
      </c>
      <c r="T7" s="72" t="str">
        <f>_xlfn.XLOOKUP(Cuadro[[#This Row],[COD_PAIS]],PAISES[CÓDIGO],PAISES[PAÍS],"SIN PAÍS")</f>
        <v>Brasil</v>
      </c>
      <c r="U7" s="72" t="str">
        <f>_xlfn.XLOOKUP(Cuadro[[#This Row],[COD_PAIS]],PAISES[CÓDIGO],PAISES[CONTINENTE],"SIN PAÍS")</f>
        <v>AMÉRICA</v>
      </c>
    </row>
    <row r="8" spans="1:21" hidden="1" x14ac:dyDescent="0.25">
      <c r="A8" s="70" t="s">
        <v>16428</v>
      </c>
      <c r="B8" s="70" t="s">
        <v>25</v>
      </c>
      <c r="C8" s="70" t="s">
        <v>23</v>
      </c>
      <c r="D8" s="71">
        <v>26646.47</v>
      </c>
      <c r="E8" s="71">
        <v>2664.6460000000002</v>
      </c>
      <c r="F8" s="71">
        <v>399.697</v>
      </c>
      <c r="G8" s="71">
        <v>6860</v>
      </c>
      <c r="H8" s="72">
        <v>105</v>
      </c>
      <c r="I8" s="72">
        <v>113</v>
      </c>
      <c r="J8" s="72">
        <v>202603</v>
      </c>
      <c r="K8" s="72">
        <v>1</v>
      </c>
      <c r="L8" s="73">
        <f>IFERROR(DATE(VALUE(LEFT(Cuadro[[#This Row],[FENUM]],4)),VALUE(RIGHT(Cuadro[[#This Row],[FENUM]],2)),1),"")</f>
        <v>46082</v>
      </c>
      <c r="M8" s="11">
        <f>Cuadro[[#This Row],[FOB]]/1000</f>
        <v>26.646470000000001</v>
      </c>
      <c r="N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8" s="77">
        <f>IFERROR(--Cuadro[[#This Row],[FOB]],0)+IFERROR(--Cuadro[[#This Row],[FLETE]],0)+IFERROR(--Cuadro[[#This Row],[SEGURO]],0)</f>
        <v>29710.813000000002</v>
      </c>
      <c r="R8" s="78" t="str">
        <f>_xlfn.XLOOKUP(Cuadro[[#This Row],[RUC]],EMPRESAS[RUC],EMPRESAS[RAZÓN SOCIAL],"SIN RAZÓN SOCIAL")</f>
        <v>PESCADOS DE LA SELVA E.I.R.L.</v>
      </c>
      <c r="S8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8" s="72" t="str">
        <f>_xlfn.XLOOKUP(Cuadro[[#This Row],[COD_PAIS]],PAISES[CÓDIGO],PAISES[PAÍS],"SIN PAÍS")</f>
        <v>Brasil</v>
      </c>
      <c r="U8" s="72" t="str">
        <f>_xlfn.XLOOKUP(Cuadro[[#This Row],[COD_PAIS]],PAISES[CÓDIGO],PAISES[CONTINENTE],"SIN PAÍS")</f>
        <v>AMÉRICA</v>
      </c>
    </row>
    <row r="9" spans="1:21" hidden="1" x14ac:dyDescent="0.25">
      <c r="A9" s="70" t="s">
        <v>16428</v>
      </c>
      <c r="B9" s="70" t="s">
        <v>35</v>
      </c>
      <c r="C9" s="70" t="s">
        <v>23</v>
      </c>
      <c r="D9" s="71">
        <v>27576</v>
      </c>
      <c r="E9" s="71">
        <v>3446.9859999999999</v>
      </c>
      <c r="F9" s="71">
        <v>413.64</v>
      </c>
      <c r="G9" s="71">
        <v>11489.955</v>
      </c>
      <c r="H9" s="72">
        <v>105</v>
      </c>
      <c r="I9" s="72">
        <v>113</v>
      </c>
      <c r="J9" s="72">
        <v>202603</v>
      </c>
      <c r="K9" s="72">
        <v>1</v>
      </c>
      <c r="L9" s="73">
        <f>IFERROR(DATE(VALUE(LEFT(Cuadro[[#This Row],[FENUM]],4)),VALUE(RIGHT(Cuadro[[#This Row],[FENUM]],2)),1),"")</f>
        <v>46082</v>
      </c>
      <c r="M9" s="11">
        <f>Cuadro[[#This Row],[FOB]]/1000</f>
        <v>27.576000000000001</v>
      </c>
      <c r="N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9" s="77">
        <f>IFERROR(--Cuadro[[#This Row],[FOB]],0)+IFERROR(--Cuadro[[#This Row],[FLETE]],0)+IFERROR(--Cuadro[[#This Row],[SEGURO]],0)</f>
        <v>31436.626</v>
      </c>
      <c r="R9" s="78" t="str">
        <f>_xlfn.XLOOKUP(Cuadro[[#This Row],[RUC]],EMPRESAS[RUC],EMPRESAS[RAZÓN SOCIAL],"SIN RAZÓN SOCIAL")</f>
        <v>INVERSIONES COMERPEZ HJC S.R.L.</v>
      </c>
      <c r="S9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9" s="72" t="str">
        <f>_xlfn.XLOOKUP(Cuadro[[#This Row],[COD_PAIS]],PAISES[CÓDIGO],PAISES[PAÍS],"SIN PAÍS")</f>
        <v>Brasil</v>
      </c>
      <c r="U9" s="72" t="str">
        <f>_xlfn.XLOOKUP(Cuadro[[#This Row],[COD_PAIS]],PAISES[CÓDIGO],PAISES[CONTINENTE],"SIN PAÍS")</f>
        <v>AMÉRICA</v>
      </c>
    </row>
    <row r="10" spans="1:21" hidden="1" x14ac:dyDescent="0.25">
      <c r="A10" s="70" t="s">
        <v>16428</v>
      </c>
      <c r="B10" s="70" t="s">
        <v>25</v>
      </c>
      <c r="C10" s="70" t="s">
        <v>23</v>
      </c>
      <c r="D10" s="71">
        <v>2916.16</v>
      </c>
      <c r="E10" s="71">
        <v>530.21</v>
      </c>
      <c r="F10" s="71">
        <v>43.741999999999997</v>
      </c>
      <c r="G10" s="71">
        <v>1365</v>
      </c>
      <c r="H10" s="72">
        <v>105</v>
      </c>
      <c r="I10" s="72">
        <v>113</v>
      </c>
      <c r="J10" s="72">
        <v>202603</v>
      </c>
      <c r="K10" s="72">
        <v>1</v>
      </c>
      <c r="L10" s="73">
        <f>IFERROR(DATE(VALUE(LEFT(Cuadro[[#This Row],[FENUM]],4)),VALUE(RIGHT(Cuadro[[#This Row],[FENUM]],2)),1),"")</f>
        <v>46082</v>
      </c>
      <c r="M10" s="11">
        <f>Cuadro[[#This Row],[FOB]]/1000</f>
        <v>2.9161599999999996</v>
      </c>
      <c r="N1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1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1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10" s="77">
        <f>IFERROR(--Cuadro[[#This Row],[FOB]],0)+IFERROR(--Cuadro[[#This Row],[FLETE]],0)+IFERROR(--Cuadro[[#This Row],[SEGURO]],0)</f>
        <v>3490.1120000000001</v>
      </c>
      <c r="R10" s="78" t="str">
        <f>_xlfn.XLOOKUP(Cuadro[[#This Row],[RUC]],EMPRESAS[RUC],EMPRESAS[RAZÓN SOCIAL],"SIN RAZÓN SOCIAL")</f>
        <v>PESCADOS DE LA SELVA E.I.R.L.</v>
      </c>
      <c r="S10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10" s="72" t="str">
        <f>_xlfn.XLOOKUP(Cuadro[[#This Row],[COD_PAIS]],PAISES[CÓDIGO],PAISES[PAÍS],"SIN PAÍS")</f>
        <v>Brasil</v>
      </c>
      <c r="U10" s="72" t="str">
        <f>_xlfn.XLOOKUP(Cuadro[[#This Row],[COD_PAIS]],PAISES[CÓDIGO],PAISES[CONTINENTE],"SIN PAÍS")</f>
        <v>AMÉRICA</v>
      </c>
    </row>
    <row r="11" spans="1:21" hidden="1" x14ac:dyDescent="0.25">
      <c r="A11" s="70" t="s">
        <v>16428</v>
      </c>
      <c r="B11" s="70" t="s">
        <v>25</v>
      </c>
      <c r="C11" s="70" t="s">
        <v>23</v>
      </c>
      <c r="D11" s="71">
        <v>1971.29</v>
      </c>
      <c r="E11" s="71">
        <v>394.25900000000001</v>
      </c>
      <c r="F11" s="71">
        <v>29.568999999999999</v>
      </c>
      <c r="G11" s="71">
        <v>1015</v>
      </c>
      <c r="H11" s="72">
        <v>105</v>
      </c>
      <c r="I11" s="72">
        <v>113</v>
      </c>
      <c r="J11" s="72">
        <v>202603</v>
      </c>
      <c r="K11" s="72">
        <v>1</v>
      </c>
      <c r="L11" s="73">
        <f>IFERROR(DATE(VALUE(LEFT(Cuadro[[#This Row],[FENUM]],4)),VALUE(RIGHT(Cuadro[[#This Row],[FENUM]],2)),1),"")</f>
        <v>46082</v>
      </c>
      <c r="M11" s="11">
        <f>Cuadro[[#This Row],[FOB]]/1000</f>
        <v>1.97129</v>
      </c>
      <c r="N11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11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11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11" s="77">
        <f>IFERROR(--Cuadro[[#This Row],[FOB]],0)+IFERROR(--Cuadro[[#This Row],[FLETE]],0)+IFERROR(--Cuadro[[#This Row],[SEGURO]],0)</f>
        <v>2395.1179999999999</v>
      </c>
      <c r="R11" s="78" t="str">
        <f>_xlfn.XLOOKUP(Cuadro[[#This Row],[RUC]],EMPRESAS[RUC],EMPRESAS[RAZÓN SOCIAL],"SIN RAZÓN SOCIAL")</f>
        <v>PESCADOS DE LA SELVA E.I.R.L.</v>
      </c>
      <c r="S11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11" s="72" t="str">
        <f>_xlfn.XLOOKUP(Cuadro[[#This Row],[COD_PAIS]],PAISES[CÓDIGO],PAISES[PAÍS],"SIN PAÍS")</f>
        <v>Brasil</v>
      </c>
      <c r="U11" s="72" t="str">
        <f>_xlfn.XLOOKUP(Cuadro[[#This Row],[COD_PAIS]],PAISES[CÓDIGO],PAISES[CONTINENTE],"SIN PAÍS")</f>
        <v>AMÉRICA</v>
      </c>
    </row>
    <row r="12" spans="1:21" hidden="1" x14ac:dyDescent="0.25">
      <c r="A12" s="70" t="s">
        <v>16428</v>
      </c>
      <c r="B12" s="70" t="s">
        <v>22</v>
      </c>
      <c r="C12" s="70" t="s">
        <v>23</v>
      </c>
      <c r="D12" s="71">
        <v>3154.07</v>
      </c>
      <c r="E12" s="71">
        <v>788.51499999999999</v>
      </c>
      <c r="F12" s="71">
        <v>47.311</v>
      </c>
      <c r="G12" s="71">
        <v>2030</v>
      </c>
      <c r="H12" s="72">
        <v>105</v>
      </c>
      <c r="I12" s="72">
        <v>113</v>
      </c>
      <c r="J12" s="72">
        <v>202603</v>
      </c>
      <c r="K12" s="72">
        <v>1</v>
      </c>
      <c r="L12" s="73">
        <f>IFERROR(DATE(VALUE(LEFT(Cuadro[[#This Row],[FENUM]],4)),VALUE(RIGHT(Cuadro[[#This Row],[FENUM]],2)),1),"")</f>
        <v>46082</v>
      </c>
      <c r="M12" s="11">
        <f>Cuadro[[#This Row],[FOB]]/1000</f>
        <v>3.1540700000000004</v>
      </c>
      <c r="N12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12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12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12" s="77">
        <f>IFERROR(--Cuadro[[#This Row],[FOB]],0)+IFERROR(--Cuadro[[#This Row],[FLETE]],0)+IFERROR(--Cuadro[[#This Row],[SEGURO]],0)</f>
        <v>3989.8960000000002</v>
      </c>
      <c r="R12" s="78" t="str">
        <f>_xlfn.XLOOKUP(Cuadro[[#This Row],[RUC]],EMPRESAS[RUC],EMPRESAS[RAZÓN SOCIAL],"SIN RAZÓN SOCIAL")</f>
        <v>INVERSIONES EN GRANOS Y PESCADO AMAZONICO E.I.R.L.</v>
      </c>
      <c r="S12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12" s="72" t="str">
        <f>_xlfn.XLOOKUP(Cuadro[[#This Row],[COD_PAIS]],PAISES[CÓDIGO],PAISES[PAÍS],"SIN PAÍS")</f>
        <v>Brasil</v>
      </c>
      <c r="U12" s="72" t="str">
        <f>_xlfn.XLOOKUP(Cuadro[[#This Row],[COD_PAIS]],PAISES[CÓDIGO],PAISES[CONTINENTE],"SIN PAÍS")</f>
        <v>AMÉRICA</v>
      </c>
    </row>
    <row r="13" spans="1:21" hidden="1" x14ac:dyDescent="0.25">
      <c r="A13" s="70" t="s">
        <v>16428</v>
      </c>
      <c r="B13" s="70" t="s">
        <v>20</v>
      </c>
      <c r="C13" s="70" t="s">
        <v>38</v>
      </c>
      <c r="D13" s="71">
        <v>509.22</v>
      </c>
      <c r="E13" s="71">
        <v>22.87</v>
      </c>
      <c r="F13" s="71">
        <v>5.0919999999999996</v>
      </c>
      <c r="G13" s="71">
        <v>11.816000000000001</v>
      </c>
      <c r="H13" s="72">
        <v>105</v>
      </c>
      <c r="I13" s="72">
        <v>840</v>
      </c>
      <c r="J13" s="72">
        <v>202608</v>
      </c>
      <c r="K13" s="72">
        <v>3</v>
      </c>
      <c r="L13" s="73">
        <f>IFERROR(DATE(VALUE(LEFT(Cuadro[[#This Row],[FENUM]],4)),VALUE(RIGHT(Cuadro[[#This Row],[FENUM]],2)),1),"")</f>
        <v>46235</v>
      </c>
      <c r="M13" s="11">
        <f>Cuadro[[#This Row],[FOB]]/1000</f>
        <v>0.50922000000000001</v>
      </c>
      <c r="N13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3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Para la industria</v>
      </c>
      <c r="P13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Partes y accesorios de maquinaria industrial</v>
      </c>
      <c r="Q13" s="77">
        <f>IFERROR(--Cuadro[[#This Row],[FOB]],0)+IFERROR(--Cuadro[[#This Row],[FLETE]],0)+IFERROR(--Cuadro[[#This Row],[SEGURO]],0)</f>
        <v>537.18200000000002</v>
      </c>
      <c r="R13" s="78" t="str">
        <f>_xlfn.XLOOKUP(Cuadro[[#This Row],[RUC]],EMPRESAS[RUC],EMPRESAS[RAZÓN SOCIAL],"SIN RAZÓN SOCIAL")</f>
        <v>TRANSPORTES EDUARDO SOCIEDAD ANONIMA CERRADA</v>
      </c>
      <c r="S13" s="79" t="str">
        <f>_xlfn.LET(_xlpm.o,_xlfn.XLOOKUP(Cuadro[[#This Row],[PARTIDA]],PARTIDA[PARTIDA_TEXTO],PARTIDA[PRODUCTO],"SIN DESCRIPCIÓN"),_xlfn.XLOOKUP(_xlpm.o,PROD_UNICOS[PRODUCTO_ORIGINAL],PROD_UNICOS[PRODUCTO_CORREGIDO],_xlpm.o))</f>
        <v>Partes de aire acondicionado</v>
      </c>
      <c r="T13" s="72" t="str">
        <f>_xlfn.XLOOKUP(Cuadro[[#This Row],[COD_PAIS]],PAISES[CÓDIGO],PAISES[PAÍS],"SIN PAÍS")</f>
        <v>Brasil</v>
      </c>
      <c r="U13" s="72" t="str">
        <f>_xlfn.XLOOKUP(Cuadro[[#This Row],[COD_PAIS]],PAISES[CÓDIGO],PAISES[CONTINENTE],"SIN PAÍS")</f>
        <v>AMÉRICA</v>
      </c>
    </row>
    <row r="14" spans="1:21" hidden="1" x14ac:dyDescent="0.25">
      <c r="A14" s="70" t="s">
        <v>16428</v>
      </c>
      <c r="B14" s="70" t="s">
        <v>31</v>
      </c>
      <c r="C14" s="70" t="s">
        <v>32</v>
      </c>
      <c r="D14" s="71">
        <v>151298.41</v>
      </c>
      <c r="E14" s="71">
        <v>32497.319</v>
      </c>
      <c r="F14" s="71">
        <v>2269.4760000000001</v>
      </c>
      <c r="G14" s="71">
        <v>649349.38</v>
      </c>
      <c r="H14" s="72">
        <v>105</v>
      </c>
      <c r="I14" s="72">
        <v>412</v>
      </c>
      <c r="J14" s="72">
        <v>202606</v>
      </c>
      <c r="K14" s="72">
        <v>2</v>
      </c>
      <c r="L14" s="73">
        <f>IFERROR(DATE(VALUE(LEFT(Cuadro[[#This Row],[FENUM]],4)),VALUE(RIGHT(Cuadro[[#This Row],[FENUM]],2)),1),"")</f>
        <v>46174</v>
      </c>
      <c r="M14" s="11">
        <f>Cuadro[[#This Row],[FOB]]/1000</f>
        <v>151.29840999999999</v>
      </c>
      <c r="N14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14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agricultura</v>
      </c>
      <c r="P14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Alimentos para animales: elaborados</v>
      </c>
      <c r="Q14" s="77">
        <f>IFERROR(--Cuadro[[#This Row],[FOB]],0)+IFERROR(--Cuadro[[#This Row],[FLETE]],0)+IFERROR(--Cuadro[[#This Row],[SEGURO]],0)</f>
        <v>186065.20499999999</v>
      </c>
      <c r="R14" s="78" t="str">
        <f>_xlfn.XLOOKUP(Cuadro[[#This Row],[RUC]],EMPRESAS[RUC],EMPRESAS[RAZÓN SOCIAL],"SIN RAZÓN SOCIAL")</f>
        <v>ARYA ALIMENTOS S.R.L.</v>
      </c>
      <c r="S14" s="79" t="str">
        <f>_xlfn.LET(_xlpm.o,_xlfn.XLOOKUP(Cuadro[[#This Row],[PARTIDA]],PARTIDA[PARTIDA_TEXTO],PARTIDA[PRODUCTO],"SIN DESCRIPCIÓN"),_xlfn.XLOOKUP(_xlpm.o,PROD_UNICOS[PRODUCTO_ORIGINAL],PROD_UNICOS[PRODUCTO_CORREGIDO],_xlpm.o))</f>
        <v>Torta de soya</v>
      </c>
      <c r="T14" s="72" t="str">
        <f>_xlfn.XLOOKUP(Cuadro[[#This Row],[COD_PAIS]],PAISES[CÓDIGO],PAISES[PAÍS],"SIN PAÍS")</f>
        <v>Brasil</v>
      </c>
      <c r="U14" s="72" t="str">
        <f>_xlfn.XLOOKUP(Cuadro[[#This Row],[COD_PAIS]],PAISES[CÓDIGO],PAISES[CONTINENTE],"SIN PAÍS")</f>
        <v>AMÉRICA</v>
      </c>
    </row>
    <row r="15" spans="1:21" hidden="1" x14ac:dyDescent="0.25">
      <c r="A15" s="70" t="s">
        <v>16428</v>
      </c>
      <c r="B15" s="70" t="s">
        <v>20</v>
      </c>
      <c r="C15" s="70" t="s">
        <v>30</v>
      </c>
      <c r="D15" s="71">
        <v>89100</v>
      </c>
      <c r="E15" s="71">
        <v>2190.6779999999999</v>
      </c>
      <c r="F15" s="71">
        <v>891</v>
      </c>
      <c r="G15" s="71">
        <v>1912.155</v>
      </c>
      <c r="H15" s="72">
        <v>105</v>
      </c>
      <c r="I15" s="72">
        <v>910</v>
      </c>
      <c r="J15" s="72">
        <v>202606</v>
      </c>
      <c r="K15" s="72">
        <v>3</v>
      </c>
      <c r="L15" s="73">
        <f>IFERROR(DATE(VALUE(LEFT(Cuadro[[#This Row],[FENUM]],4)),VALUE(RIGHT(Cuadro[[#This Row],[FENUM]],2)),1),"")</f>
        <v>46174</v>
      </c>
      <c r="M15" s="11">
        <f>Cuadro[[#This Row],[FOB]]/1000</f>
        <v>89.1</v>
      </c>
      <c r="N15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5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Equipo de transporte</v>
      </c>
      <c r="P15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Partes y accesorios de equipo de transporte</v>
      </c>
      <c r="Q15" s="77">
        <f>IFERROR(--Cuadro[[#This Row],[FOB]],0)+IFERROR(--Cuadro[[#This Row],[FLETE]],0)+IFERROR(--Cuadro[[#This Row],[SEGURO]],0)</f>
        <v>92181.678</v>
      </c>
      <c r="R15" s="78" t="str">
        <f>_xlfn.XLOOKUP(Cuadro[[#This Row],[RUC]],EMPRESAS[RUC],EMPRESAS[RAZÓN SOCIAL],"SIN RAZÓN SOCIAL")</f>
        <v>TRANSPORTES EDUARDO SOCIEDAD ANONIMA CERRADA</v>
      </c>
      <c r="S15" s="79" t="str">
        <f>_xlfn.LET(_xlpm.o,_xlfn.XLOOKUP(Cuadro[[#This Row],[PARTIDA]],PARTIDA[PARTIDA_TEXTO],PARTIDA[PRODUCTO],"SIN DESCRIPCIÓN"),_xlfn.XLOOKUP(_xlpm.o,PROD_UNICOS[PRODUCTO_ORIGINAL],PROD_UNICOS[PRODUCTO_CORREGIDO],_xlpm.o))</f>
        <v>Motores marinos</v>
      </c>
      <c r="T15" s="72" t="str">
        <f>_xlfn.XLOOKUP(Cuadro[[#This Row],[COD_PAIS]],PAISES[CÓDIGO],PAISES[PAÍS],"SIN PAÍS")</f>
        <v>Brasil</v>
      </c>
      <c r="U15" s="72" t="str">
        <f>_xlfn.XLOOKUP(Cuadro[[#This Row],[COD_PAIS]],PAISES[CÓDIGO],PAISES[CONTINENTE],"SIN PAÍS")</f>
        <v>AMÉRICA</v>
      </c>
    </row>
    <row r="16" spans="1:21" hidden="1" x14ac:dyDescent="0.25">
      <c r="A16" s="70" t="s">
        <v>16428</v>
      </c>
      <c r="B16" s="70" t="s">
        <v>25</v>
      </c>
      <c r="C16" s="70" t="s">
        <v>23</v>
      </c>
      <c r="D16" s="71">
        <v>2569.48</v>
      </c>
      <c r="E16" s="71">
        <v>285.49799999999999</v>
      </c>
      <c r="F16" s="71">
        <v>38.542000000000002</v>
      </c>
      <c r="G16" s="71">
        <v>735</v>
      </c>
      <c r="H16" s="72">
        <v>105</v>
      </c>
      <c r="I16" s="72">
        <v>113</v>
      </c>
      <c r="J16" s="72">
        <v>202603</v>
      </c>
      <c r="K16" s="72">
        <v>1</v>
      </c>
      <c r="L16" s="73">
        <f>IFERROR(DATE(VALUE(LEFT(Cuadro[[#This Row],[FENUM]],4)),VALUE(RIGHT(Cuadro[[#This Row],[FENUM]],2)),1),"")</f>
        <v>46082</v>
      </c>
      <c r="M16" s="11">
        <f>Cuadro[[#This Row],[FOB]]/1000</f>
        <v>2.56948</v>
      </c>
      <c r="N16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16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16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16" s="77">
        <f>IFERROR(--Cuadro[[#This Row],[FOB]],0)+IFERROR(--Cuadro[[#This Row],[FLETE]],0)+IFERROR(--Cuadro[[#This Row],[SEGURO]],0)</f>
        <v>2893.52</v>
      </c>
      <c r="R16" s="78" t="str">
        <f>_xlfn.XLOOKUP(Cuadro[[#This Row],[RUC]],EMPRESAS[RUC],EMPRESAS[RAZÓN SOCIAL],"SIN RAZÓN SOCIAL")</f>
        <v>PESCADOS DE LA SELVA E.I.R.L.</v>
      </c>
      <c r="S16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16" s="72" t="str">
        <f>_xlfn.XLOOKUP(Cuadro[[#This Row],[COD_PAIS]],PAISES[CÓDIGO],PAISES[PAÍS],"SIN PAÍS")</f>
        <v>Brasil</v>
      </c>
      <c r="U16" s="72" t="str">
        <f>_xlfn.XLOOKUP(Cuadro[[#This Row],[COD_PAIS]],PAISES[CÓDIGO],PAISES[CONTINENTE],"SIN PAÍS")</f>
        <v>AMÉRICA</v>
      </c>
    </row>
    <row r="17" spans="1:21" hidden="1" x14ac:dyDescent="0.25">
      <c r="A17" s="70" t="s">
        <v>16428</v>
      </c>
      <c r="B17" s="70" t="s">
        <v>33</v>
      </c>
      <c r="C17" s="70" t="s">
        <v>28</v>
      </c>
      <c r="D17" s="71">
        <v>135043.641</v>
      </c>
      <c r="E17" s="71">
        <v>25420.973000000002</v>
      </c>
      <c r="F17" s="71">
        <v>360.32900000000001</v>
      </c>
      <c r="G17" s="71">
        <v>300000</v>
      </c>
      <c r="H17" s="72">
        <v>105</v>
      </c>
      <c r="I17" s="72">
        <v>113</v>
      </c>
      <c r="J17" s="72">
        <v>202608</v>
      </c>
      <c r="K17" s="72">
        <v>1</v>
      </c>
      <c r="L17" s="73">
        <f>IFERROR(DATE(VALUE(LEFT(Cuadro[[#This Row],[FENUM]],4)),VALUE(RIGHT(Cuadro[[#This Row],[FENUM]],2)),1),"")</f>
        <v>46235</v>
      </c>
      <c r="M17" s="11">
        <f>Cuadro[[#This Row],[FOB]]/1000</f>
        <v>135.04364100000001</v>
      </c>
      <c r="N1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1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1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17" s="77">
        <f>IFERROR(--Cuadro[[#This Row],[FOB]],0)+IFERROR(--Cuadro[[#This Row],[FLETE]],0)+IFERROR(--Cuadro[[#This Row],[SEGURO]],0)</f>
        <v>160824.943</v>
      </c>
      <c r="R17" s="78" t="str">
        <f>_xlfn.XLOOKUP(Cuadro[[#This Row],[RUC]],EMPRESAS[RUC],EMPRESAS[RAZÓN SOCIAL],"SIN RAZÓN SOCIAL")</f>
        <v>KL IMPORT EXPORT PERU SAC</v>
      </c>
      <c r="S17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17" s="72" t="str">
        <f>_xlfn.XLOOKUP(Cuadro[[#This Row],[COD_PAIS]],PAISES[CÓDIGO],PAISES[PAÍS],"SIN PAÍS")</f>
        <v>Brasil</v>
      </c>
      <c r="U17" s="72" t="str">
        <f>_xlfn.XLOOKUP(Cuadro[[#This Row],[COD_PAIS]],PAISES[CÓDIGO],PAISES[CONTINENTE],"SIN PAÍS")</f>
        <v>AMÉRICA</v>
      </c>
    </row>
    <row r="18" spans="1:21" hidden="1" x14ac:dyDescent="0.25">
      <c r="A18" s="70" t="s">
        <v>16428</v>
      </c>
      <c r="B18" s="70" t="s">
        <v>25</v>
      </c>
      <c r="C18" s="70" t="s">
        <v>23</v>
      </c>
      <c r="D18" s="71">
        <v>2727.73</v>
      </c>
      <c r="E18" s="71">
        <v>389.67599999999999</v>
      </c>
      <c r="F18" s="71">
        <v>40.915999999999997</v>
      </c>
      <c r="G18" s="71">
        <v>1003.2</v>
      </c>
      <c r="H18" s="72">
        <v>105</v>
      </c>
      <c r="I18" s="72">
        <v>113</v>
      </c>
      <c r="J18" s="72">
        <v>202603</v>
      </c>
      <c r="K18" s="72">
        <v>1</v>
      </c>
      <c r="L18" s="73">
        <f>IFERROR(DATE(VALUE(LEFT(Cuadro[[#This Row],[FENUM]],4)),VALUE(RIGHT(Cuadro[[#This Row],[FENUM]],2)),1),"")</f>
        <v>46082</v>
      </c>
      <c r="M18" s="11">
        <f>Cuadro[[#This Row],[FOB]]/1000</f>
        <v>2.7277300000000002</v>
      </c>
      <c r="N1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1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1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18" s="77">
        <f>IFERROR(--Cuadro[[#This Row],[FOB]],0)+IFERROR(--Cuadro[[#This Row],[FLETE]],0)+IFERROR(--Cuadro[[#This Row],[SEGURO]],0)</f>
        <v>3158.3220000000001</v>
      </c>
      <c r="R18" s="78" t="str">
        <f>_xlfn.XLOOKUP(Cuadro[[#This Row],[RUC]],EMPRESAS[RUC],EMPRESAS[RAZÓN SOCIAL],"SIN RAZÓN SOCIAL")</f>
        <v>PESCADOS DE LA SELVA E.I.R.L.</v>
      </c>
      <c r="S18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18" s="72" t="str">
        <f>_xlfn.XLOOKUP(Cuadro[[#This Row],[COD_PAIS]],PAISES[CÓDIGO],PAISES[PAÍS],"SIN PAÍS")</f>
        <v>Brasil</v>
      </c>
      <c r="U18" s="72" t="str">
        <f>_xlfn.XLOOKUP(Cuadro[[#This Row],[COD_PAIS]],PAISES[CÓDIGO],PAISES[CONTINENTE],"SIN PAÍS")</f>
        <v>AMÉRICA</v>
      </c>
    </row>
    <row r="19" spans="1:21" hidden="1" x14ac:dyDescent="0.25">
      <c r="A19" s="70" t="s">
        <v>16428</v>
      </c>
      <c r="B19" s="70" t="s">
        <v>25</v>
      </c>
      <c r="C19" s="70" t="s">
        <v>23</v>
      </c>
      <c r="D19" s="71">
        <v>1631.42</v>
      </c>
      <c r="E19" s="71">
        <v>326.28300000000002</v>
      </c>
      <c r="F19" s="71">
        <v>24.471</v>
      </c>
      <c r="G19" s="71">
        <v>840</v>
      </c>
      <c r="H19" s="72">
        <v>105</v>
      </c>
      <c r="I19" s="72">
        <v>113</v>
      </c>
      <c r="J19" s="72">
        <v>202603</v>
      </c>
      <c r="K19" s="72">
        <v>1</v>
      </c>
      <c r="L19" s="73">
        <f>IFERROR(DATE(VALUE(LEFT(Cuadro[[#This Row],[FENUM]],4)),VALUE(RIGHT(Cuadro[[#This Row],[FENUM]],2)),1),"")</f>
        <v>46082</v>
      </c>
      <c r="M19" s="11">
        <f>Cuadro[[#This Row],[FOB]]/1000</f>
        <v>1.6314200000000001</v>
      </c>
      <c r="N1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1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1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19" s="77">
        <f>IFERROR(--Cuadro[[#This Row],[FOB]],0)+IFERROR(--Cuadro[[#This Row],[FLETE]],0)+IFERROR(--Cuadro[[#This Row],[SEGURO]],0)</f>
        <v>1982.174</v>
      </c>
      <c r="R19" s="78" t="str">
        <f>_xlfn.XLOOKUP(Cuadro[[#This Row],[RUC]],EMPRESAS[RUC],EMPRESAS[RAZÓN SOCIAL],"SIN RAZÓN SOCIAL")</f>
        <v>PESCADOS DE LA SELVA E.I.R.L.</v>
      </c>
      <c r="S19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19" s="72" t="str">
        <f>_xlfn.XLOOKUP(Cuadro[[#This Row],[COD_PAIS]],PAISES[CÓDIGO],PAISES[PAÍS],"SIN PAÍS")</f>
        <v>Brasil</v>
      </c>
      <c r="U19" s="72" t="str">
        <f>_xlfn.XLOOKUP(Cuadro[[#This Row],[COD_PAIS]],PAISES[CÓDIGO],PAISES[CONTINENTE],"SIN PAÍS")</f>
        <v>AMÉRICA</v>
      </c>
    </row>
    <row r="20" spans="1:21" hidden="1" x14ac:dyDescent="0.25">
      <c r="A20" s="70" t="s">
        <v>16428</v>
      </c>
      <c r="B20" s="70" t="s">
        <v>20</v>
      </c>
      <c r="C20" s="70" t="s">
        <v>38</v>
      </c>
      <c r="D20" s="71">
        <v>144.71600000000001</v>
      </c>
      <c r="E20" s="71">
        <v>3.556</v>
      </c>
      <c r="F20" s="71">
        <v>1.4470000000000001</v>
      </c>
      <c r="G20" s="71">
        <v>3.105</v>
      </c>
      <c r="H20" s="72">
        <v>105</v>
      </c>
      <c r="I20" s="72">
        <v>840</v>
      </c>
      <c r="J20" s="72">
        <v>202606</v>
      </c>
      <c r="K20" s="72">
        <v>3</v>
      </c>
      <c r="L20" s="73">
        <f>IFERROR(DATE(VALUE(LEFT(Cuadro[[#This Row],[FENUM]],4)),VALUE(RIGHT(Cuadro[[#This Row],[FENUM]],2)),1),"")</f>
        <v>46174</v>
      </c>
      <c r="M20" s="11">
        <f>Cuadro[[#This Row],[FOB]]/1000</f>
        <v>0.14471600000000001</v>
      </c>
      <c r="N2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2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Para la industria</v>
      </c>
      <c r="P2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Partes y accesorios de maquinaria industrial</v>
      </c>
      <c r="Q20" s="77">
        <f>IFERROR(--Cuadro[[#This Row],[FOB]],0)+IFERROR(--Cuadro[[#This Row],[FLETE]],0)+IFERROR(--Cuadro[[#This Row],[SEGURO]],0)</f>
        <v>149.71900000000002</v>
      </c>
      <c r="R20" s="78" t="str">
        <f>_xlfn.XLOOKUP(Cuadro[[#This Row],[RUC]],EMPRESAS[RUC],EMPRESAS[RAZÓN SOCIAL],"SIN RAZÓN SOCIAL")</f>
        <v>TRANSPORTES EDUARDO SOCIEDAD ANONIMA CERRADA</v>
      </c>
      <c r="S20" s="79" t="str">
        <f>_xlfn.LET(_xlpm.o,_xlfn.XLOOKUP(Cuadro[[#This Row],[PARTIDA]],PARTIDA[PARTIDA_TEXTO],PARTIDA[PRODUCTO],"SIN DESCRIPCIÓN"),_xlfn.XLOOKUP(_xlpm.o,PROD_UNICOS[PRODUCTO_ORIGINAL],PROD_UNICOS[PRODUCTO_CORREGIDO],_xlpm.o))</f>
        <v>Partes de aire acondicionado</v>
      </c>
      <c r="T20" s="72" t="str">
        <f>_xlfn.XLOOKUP(Cuadro[[#This Row],[COD_PAIS]],PAISES[CÓDIGO],PAISES[PAÍS],"SIN PAÍS")</f>
        <v>Brasil</v>
      </c>
      <c r="U20" s="72" t="str">
        <f>_xlfn.XLOOKUP(Cuadro[[#This Row],[COD_PAIS]],PAISES[CÓDIGO],PAISES[CONTINENTE],"SIN PAÍS")</f>
        <v>AMÉRICA</v>
      </c>
    </row>
    <row r="21" spans="1:21" hidden="1" x14ac:dyDescent="0.25">
      <c r="A21" s="70" t="s">
        <v>16428</v>
      </c>
      <c r="B21" s="70" t="s">
        <v>33</v>
      </c>
      <c r="C21" s="70" t="s">
        <v>28</v>
      </c>
      <c r="D21" s="71">
        <v>329115.75900000002</v>
      </c>
      <c r="E21" s="71">
        <v>59579.027000000002</v>
      </c>
      <c r="F21" s="71">
        <v>878.16099999999994</v>
      </c>
      <c r="G21" s="71">
        <v>700020</v>
      </c>
      <c r="H21" s="72">
        <v>105</v>
      </c>
      <c r="I21" s="72">
        <v>113</v>
      </c>
      <c r="J21" s="72">
        <v>202608</v>
      </c>
      <c r="K21" s="72">
        <v>1</v>
      </c>
      <c r="L21" s="73">
        <f>IFERROR(DATE(VALUE(LEFT(Cuadro[[#This Row],[FENUM]],4)),VALUE(RIGHT(Cuadro[[#This Row],[FENUM]],2)),1),"")</f>
        <v>46235</v>
      </c>
      <c r="M21" s="11">
        <f>Cuadro[[#This Row],[FOB]]/1000</f>
        <v>329.11575900000003</v>
      </c>
      <c r="N21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21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21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21" s="77">
        <f>IFERROR(--Cuadro[[#This Row],[FOB]],0)+IFERROR(--Cuadro[[#This Row],[FLETE]],0)+IFERROR(--Cuadro[[#This Row],[SEGURO]],0)</f>
        <v>389572.94700000004</v>
      </c>
      <c r="R21" s="78" t="str">
        <f>_xlfn.XLOOKUP(Cuadro[[#This Row],[RUC]],EMPRESAS[RUC],EMPRESAS[RAZÓN SOCIAL],"SIN RAZÓN SOCIAL")</f>
        <v>KL IMPORT EXPORT PERU SAC</v>
      </c>
      <c r="S21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21" s="72" t="str">
        <f>_xlfn.XLOOKUP(Cuadro[[#This Row],[COD_PAIS]],PAISES[CÓDIGO],PAISES[PAÍS],"SIN PAÍS")</f>
        <v>Brasil</v>
      </c>
      <c r="U21" s="72" t="str">
        <f>_xlfn.XLOOKUP(Cuadro[[#This Row],[COD_PAIS]],PAISES[CÓDIGO],PAISES[CONTINENTE],"SIN PAÍS")</f>
        <v>AMÉRICA</v>
      </c>
    </row>
    <row r="22" spans="1:21" hidden="1" x14ac:dyDescent="0.25">
      <c r="A22" s="70" t="s">
        <v>16428</v>
      </c>
      <c r="B22" s="70" t="s">
        <v>22</v>
      </c>
      <c r="C22" s="70" t="s">
        <v>23</v>
      </c>
      <c r="D22" s="71">
        <v>21602.67</v>
      </c>
      <c r="E22" s="71">
        <v>3086.0970000000002</v>
      </c>
      <c r="F22" s="71">
        <v>324.04000000000002</v>
      </c>
      <c r="G22" s="71">
        <v>7945</v>
      </c>
      <c r="H22" s="72">
        <v>105</v>
      </c>
      <c r="I22" s="72">
        <v>113</v>
      </c>
      <c r="J22" s="72">
        <v>202603</v>
      </c>
      <c r="K22" s="72">
        <v>1</v>
      </c>
      <c r="L22" s="73">
        <f>IFERROR(DATE(VALUE(LEFT(Cuadro[[#This Row],[FENUM]],4)),VALUE(RIGHT(Cuadro[[#This Row],[FENUM]],2)),1),"")</f>
        <v>46082</v>
      </c>
      <c r="M22" s="11">
        <f>Cuadro[[#This Row],[FOB]]/1000</f>
        <v>21.60267</v>
      </c>
      <c r="N22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22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22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22" s="77">
        <f>IFERROR(--Cuadro[[#This Row],[FOB]],0)+IFERROR(--Cuadro[[#This Row],[FLETE]],0)+IFERROR(--Cuadro[[#This Row],[SEGURO]],0)</f>
        <v>25012.807000000001</v>
      </c>
      <c r="R22" s="78" t="str">
        <f>_xlfn.XLOOKUP(Cuadro[[#This Row],[RUC]],EMPRESAS[RUC],EMPRESAS[RAZÓN SOCIAL],"SIN RAZÓN SOCIAL")</f>
        <v>INVERSIONES EN GRANOS Y PESCADO AMAZONICO E.I.R.L.</v>
      </c>
      <c r="S22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22" s="72" t="str">
        <f>_xlfn.XLOOKUP(Cuadro[[#This Row],[COD_PAIS]],PAISES[CÓDIGO],PAISES[PAÍS],"SIN PAÍS")</f>
        <v>Brasil</v>
      </c>
      <c r="U22" s="72" t="str">
        <f>_xlfn.XLOOKUP(Cuadro[[#This Row],[COD_PAIS]],PAISES[CÓDIGO],PAISES[CONTINENTE],"SIN PAÍS")</f>
        <v>AMÉRICA</v>
      </c>
    </row>
    <row r="23" spans="1:21" hidden="1" x14ac:dyDescent="0.25">
      <c r="A23" s="70" t="s">
        <v>16428</v>
      </c>
      <c r="B23" s="70" t="s">
        <v>37</v>
      </c>
      <c r="C23" s="70" t="s">
        <v>28</v>
      </c>
      <c r="D23" s="71">
        <v>540150</v>
      </c>
      <c r="E23" s="71">
        <v>102330.65</v>
      </c>
      <c r="F23" s="71">
        <v>1188.33</v>
      </c>
      <c r="G23" s="71">
        <v>1200000</v>
      </c>
      <c r="H23" s="72">
        <v>105</v>
      </c>
      <c r="I23" s="72">
        <v>113</v>
      </c>
      <c r="J23" s="72">
        <v>202603</v>
      </c>
      <c r="K23" s="72">
        <v>1</v>
      </c>
      <c r="L23" s="73">
        <f>IFERROR(DATE(VALUE(LEFT(Cuadro[[#This Row],[FENUM]],4)),VALUE(RIGHT(Cuadro[[#This Row],[FENUM]],2)),1),"")</f>
        <v>46082</v>
      </c>
      <c r="M23" s="11">
        <f>Cuadro[[#This Row],[FOB]]/1000</f>
        <v>540.15</v>
      </c>
      <c r="N23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23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23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23" s="77">
        <f>IFERROR(--Cuadro[[#This Row],[FOB]],0)+IFERROR(--Cuadro[[#This Row],[FLETE]],0)+IFERROR(--Cuadro[[#This Row],[SEGURO]],0)</f>
        <v>643668.98</v>
      </c>
      <c r="R23" s="78" t="str">
        <f>_xlfn.XLOOKUP(Cuadro[[#This Row],[RUC]],EMPRESAS[RUC],EMPRESAS[RAZÓN SOCIAL],"SIN RAZÓN SOCIAL")</f>
        <v>CORPORACION MONTEVERDE SOCIEDAD ANONIMA CERRADA - CORPORACION MONTEVERDE S.A.C.</v>
      </c>
      <c r="S23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23" s="72" t="str">
        <f>_xlfn.XLOOKUP(Cuadro[[#This Row],[COD_PAIS]],PAISES[CÓDIGO],PAISES[PAÍS],"SIN PAÍS")</f>
        <v>Brasil</v>
      </c>
      <c r="U23" s="72" t="str">
        <f>_xlfn.XLOOKUP(Cuadro[[#This Row],[COD_PAIS]],PAISES[CÓDIGO],PAISES[CONTINENTE],"SIN PAÍS")</f>
        <v>AMÉRICA</v>
      </c>
    </row>
    <row r="24" spans="1:21" hidden="1" x14ac:dyDescent="0.25">
      <c r="A24" s="70" t="s">
        <v>16428</v>
      </c>
      <c r="B24" s="70" t="s">
        <v>39</v>
      </c>
      <c r="C24" s="70" t="s">
        <v>28</v>
      </c>
      <c r="D24" s="71">
        <v>225150</v>
      </c>
      <c r="E24" s="71">
        <v>42500</v>
      </c>
      <c r="F24" s="71">
        <v>1013.18</v>
      </c>
      <c r="G24" s="71">
        <v>500000</v>
      </c>
      <c r="H24" s="72">
        <v>105</v>
      </c>
      <c r="I24" s="72">
        <v>113</v>
      </c>
      <c r="J24" s="72">
        <v>202605</v>
      </c>
      <c r="K24" s="72">
        <v>1</v>
      </c>
      <c r="L24" s="73">
        <f>IFERROR(DATE(VALUE(LEFT(Cuadro[[#This Row],[FENUM]],4)),VALUE(RIGHT(Cuadro[[#This Row],[FENUM]],2)),1),"")</f>
        <v>46143</v>
      </c>
      <c r="M24" s="11">
        <f>Cuadro[[#This Row],[FOB]]/1000</f>
        <v>225.15</v>
      </c>
      <c r="N24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24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24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24" s="77">
        <f>IFERROR(--Cuadro[[#This Row],[FOB]],0)+IFERROR(--Cuadro[[#This Row],[FLETE]],0)+IFERROR(--Cuadro[[#This Row],[SEGURO]],0)</f>
        <v>268663.18</v>
      </c>
      <c r="R24" s="78" t="str">
        <f>_xlfn.XLOOKUP(Cuadro[[#This Row],[RUC]],EMPRESAS[RUC],EMPRESAS[RAZÓN SOCIAL],"SIN RAZÓN SOCIAL")</f>
        <v>LA CADENA DE SUPERMERCADOS E.I.R.L.</v>
      </c>
      <c r="S24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24" s="72" t="str">
        <f>_xlfn.XLOOKUP(Cuadro[[#This Row],[COD_PAIS]],PAISES[CÓDIGO],PAISES[PAÍS],"SIN PAÍS")</f>
        <v>Brasil</v>
      </c>
      <c r="U24" s="72" t="str">
        <f>_xlfn.XLOOKUP(Cuadro[[#This Row],[COD_PAIS]],PAISES[CÓDIGO],PAISES[CONTINENTE],"SIN PAÍS")</f>
        <v>AMÉRICA</v>
      </c>
    </row>
    <row r="25" spans="1:21" hidden="1" x14ac:dyDescent="0.25">
      <c r="A25" s="70" t="s">
        <v>16428</v>
      </c>
      <c r="B25" s="70" t="s">
        <v>20</v>
      </c>
      <c r="C25" s="70" t="s">
        <v>30</v>
      </c>
      <c r="D25" s="71">
        <v>95769.23</v>
      </c>
      <c r="E25" s="71">
        <v>4300.7920000000004</v>
      </c>
      <c r="F25" s="71">
        <v>957.69200000000001</v>
      </c>
      <c r="G25" s="71">
        <v>2222.047</v>
      </c>
      <c r="H25" s="72">
        <v>105</v>
      </c>
      <c r="I25" s="72">
        <v>910</v>
      </c>
      <c r="J25" s="72">
        <v>202608</v>
      </c>
      <c r="K25" s="72">
        <v>3</v>
      </c>
      <c r="L25" s="73">
        <f>IFERROR(DATE(VALUE(LEFT(Cuadro[[#This Row],[FENUM]],4)),VALUE(RIGHT(Cuadro[[#This Row],[FENUM]],2)),1),"")</f>
        <v>46235</v>
      </c>
      <c r="M25" s="11">
        <f>Cuadro[[#This Row],[FOB]]/1000</f>
        <v>95.769229999999993</v>
      </c>
      <c r="N25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25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Equipo de transporte</v>
      </c>
      <c r="P25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Partes y accesorios de equipo de transporte</v>
      </c>
      <c r="Q25" s="77">
        <f>IFERROR(--Cuadro[[#This Row],[FOB]],0)+IFERROR(--Cuadro[[#This Row],[FLETE]],0)+IFERROR(--Cuadro[[#This Row],[SEGURO]],0)</f>
        <v>101027.71399999999</v>
      </c>
      <c r="R25" s="78" t="str">
        <f>_xlfn.XLOOKUP(Cuadro[[#This Row],[RUC]],EMPRESAS[RUC],EMPRESAS[RAZÓN SOCIAL],"SIN RAZÓN SOCIAL")</f>
        <v>TRANSPORTES EDUARDO SOCIEDAD ANONIMA CERRADA</v>
      </c>
      <c r="S25" s="79" t="str">
        <f>_xlfn.LET(_xlpm.o,_xlfn.XLOOKUP(Cuadro[[#This Row],[PARTIDA]],PARTIDA[PARTIDA_TEXTO],PARTIDA[PRODUCTO],"SIN DESCRIPCIÓN"),_xlfn.XLOOKUP(_xlpm.o,PROD_UNICOS[PRODUCTO_ORIGINAL],PROD_UNICOS[PRODUCTO_CORREGIDO],_xlpm.o))</f>
        <v>Motores marinos</v>
      </c>
      <c r="T25" s="72" t="str">
        <f>_xlfn.XLOOKUP(Cuadro[[#This Row],[COD_PAIS]],PAISES[CÓDIGO],PAISES[PAÍS],"SIN PAÍS")</f>
        <v>Brasil</v>
      </c>
      <c r="U25" s="72" t="str">
        <f>_xlfn.XLOOKUP(Cuadro[[#This Row],[COD_PAIS]],PAISES[CÓDIGO],PAISES[CONTINENTE],"SIN PAÍS")</f>
        <v>AMÉRICA</v>
      </c>
    </row>
    <row r="26" spans="1:21" hidden="1" x14ac:dyDescent="0.25">
      <c r="A26" s="70" t="s">
        <v>16428</v>
      </c>
      <c r="B26" s="70" t="s">
        <v>22</v>
      </c>
      <c r="C26" s="70" t="s">
        <v>23</v>
      </c>
      <c r="D26" s="71">
        <v>23451.61</v>
      </c>
      <c r="E26" s="71">
        <v>3126.8820000000001</v>
      </c>
      <c r="F26" s="71">
        <v>351.774</v>
      </c>
      <c r="G26" s="71">
        <v>8050</v>
      </c>
      <c r="H26" s="72">
        <v>105</v>
      </c>
      <c r="I26" s="72">
        <v>113</v>
      </c>
      <c r="J26" s="72">
        <v>202603</v>
      </c>
      <c r="K26" s="72">
        <v>1</v>
      </c>
      <c r="L26" s="73">
        <f>IFERROR(DATE(VALUE(LEFT(Cuadro[[#This Row],[FENUM]],4)),VALUE(RIGHT(Cuadro[[#This Row],[FENUM]],2)),1),"")</f>
        <v>46082</v>
      </c>
      <c r="M26" s="11">
        <f>Cuadro[[#This Row],[FOB]]/1000</f>
        <v>23.451610000000002</v>
      </c>
      <c r="N26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26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26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26" s="77">
        <f>IFERROR(--Cuadro[[#This Row],[FOB]],0)+IFERROR(--Cuadro[[#This Row],[FLETE]],0)+IFERROR(--Cuadro[[#This Row],[SEGURO]],0)</f>
        <v>26930.266000000003</v>
      </c>
      <c r="R26" s="78" t="str">
        <f>_xlfn.XLOOKUP(Cuadro[[#This Row],[RUC]],EMPRESAS[RUC],EMPRESAS[RAZÓN SOCIAL],"SIN RAZÓN SOCIAL")</f>
        <v>INVERSIONES EN GRANOS Y PESCADO AMAZONICO E.I.R.L.</v>
      </c>
      <c r="S26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26" s="72" t="str">
        <f>_xlfn.XLOOKUP(Cuadro[[#This Row],[COD_PAIS]],PAISES[CÓDIGO],PAISES[PAÍS],"SIN PAÍS")</f>
        <v>Brasil</v>
      </c>
      <c r="U26" s="72" t="str">
        <f>_xlfn.XLOOKUP(Cuadro[[#This Row],[COD_PAIS]],PAISES[CÓDIGO],PAISES[CONTINENTE],"SIN PAÍS")</f>
        <v>AMÉRICA</v>
      </c>
    </row>
    <row r="27" spans="1:21" hidden="1" x14ac:dyDescent="0.25">
      <c r="A27" s="70" t="s">
        <v>16428</v>
      </c>
      <c r="B27" s="70" t="s">
        <v>20</v>
      </c>
      <c r="C27" s="70" t="s">
        <v>24</v>
      </c>
      <c r="D27" s="71">
        <v>10599.447</v>
      </c>
      <c r="E27" s="71">
        <v>260.60599999999999</v>
      </c>
      <c r="F27" s="71">
        <v>105.994</v>
      </c>
      <c r="G27" s="71">
        <v>227.47200000000001</v>
      </c>
      <c r="H27" s="72">
        <v>105</v>
      </c>
      <c r="I27" s="72">
        <v>533</v>
      </c>
      <c r="J27" s="72">
        <v>202606</v>
      </c>
      <c r="K27" s="72">
        <v>2</v>
      </c>
      <c r="L27" s="73">
        <f>IFERROR(DATE(VALUE(LEFT(Cuadro[[#This Row],[FENUM]],4)),VALUE(RIGHT(Cuadro[[#This Row],[FENUM]],2)),1),"")</f>
        <v>46174</v>
      </c>
      <c r="M27" s="11">
        <f>Cuadro[[#This Row],[FOB]]/1000</f>
        <v>10.599447</v>
      </c>
      <c r="N2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2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Equipo de transporte</v>
      </c>
      <c r="P2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Partes y accesorios de equipo de transporte</v>
      </c>
      <c r="Q27" s="77">
        <f>IFERROR(--Cuadro[[#This Row],[FOB]],0)+IFERROR(--Cuadro[[#This Row],[FLETE]],0)+IFERROR(--Cuadro[[#This Row],[SEGURO]],0)</f>
        <v>10966.047</v>
      </c>
      <c r="R27" s="78" t="str">
        <f>_xlfn.XLOOKUP(Cuadro[[#This Row],[RUC]],EMPRESAS[RUC],EMPRESAS[RAZÓN SOCIAL],"SIN RAZÓN SOCIAL")</f>
        <v>TRANSPORTES EDUARDO SOCIEDAD ANONIMA CERRADA</v>
      </c>
      <c r="S27" s="79" t="str">
        <f>_xlfn.LET(_xlpm.o,_xlfn.XLOOKUP(Cuadro[[#This Row],[PARTIDA]],PARTIDA[PARTIDA_TEXTO],PARTIDA[PRODUCTO],"SIN DESCRIPCIÓN"),_xlfn.XLOOKUP(_xlpm.o,PROD_UNICOS[PRODUCTO_ORIGINAL],PROD_UNICOS[PRODUCTO_CORREGIDO],_xlpm.o))</f>
        <v>Hélices para barcos</v>
      </c>
      <c r="T27" s="72" t="str">
        <f>_xlfn.XLOOKUP(Cuadro[[#This Row],[COD_PAIS]],PAISES[CÓDIGO],PAISES[PAÍS],"SIN PAÍS")</f>
        <v>Brasil</v>
      </c>
      <c r="U27" s="72" t="str">
        <f>_xlfn.XLOOKUP(Cuadro[[#This Row],[COD_PAIS]],PAISES[CÓDIGO],PAISES[CONTINENTE],"SIN PAÍS")</f>
        <v>AMÉRICA</v>
      </c>
    </row>
    <row r="28" spans="1:21" hidden="1" x14ac:dyDescent="0.25">
      <c r="A28" s="70" t="s">
        <v>16428</v>
      </c>
      <c r="B28" s="70" t="s">
        <v>25</v>
      </c>
      <c r="C28" s="70" t="s">
        <v>23</v>
      </c>
      <c r="D28" s="71">
        <v>5519.63</v>
      </c>
      <c r="E28" s="71">
        <v>788.51800000000003</v>
      </c>
      <c r="F28" s="71">
        <v>82.793999999999997</v>
      </c>
      <c r="G28" s="71">
        <v>2030</v>
      </c>
      <c r="H28" s="72">
        <v>105</v>
      </c>
      <c r="I28" s="72">
        <v>113</v>
      </c>
      <c r="J28" s="72">
        <v>202603</v>
      </c>
      <c r="K28" s="72">
        <v>1</v>
      </c>
      <c r="L28" s="73">
        <f>IFERROR(DATE(VALUE(LEFT(Cuadro[[#This Row],[FENUM]],4)),VALUE(RIGHT(Cuadro[[#This Row],[FENUM]],2)),1),"")</f>
        <v>46082</v>
      </c>
      <c r="M28" s="11">
        <f>Cuadro[[#This Row],[FOB]]/1000</f>
        <v>5.5196300000000003</v>
      </c>
      <c r="N2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2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2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28" s="77">
        <f>IFERROR(--Cuadro[[#This Row],[FOB]],0)+IFERROR(--Cuadro[[#This Row],[FLETE]],0)+IFERROR(--Cuadro[[#This Row],[SEGURO]],0)</f>
        <v>6390.942</v>
      </c>
      <c r="R28" s="78" t="str">
        <f>_xlfn.XLOOKUP(Cuadro[[#This Row],[RUC]],EMPRESAS[RUC],EMPRESAS[RAZÓN SOCIAL],"SIN RAZÓN SOCIAL")</f>
        <v>PESCADOS DE LA SELVA E.I.R.L.</v>
      </c>
      <c r="S28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28" s="72" t="str">
        <f>_xlfn.XLOOKUP(Cuadro[[#This Row],[COD_PAIS]],PAISES[CÓDIGO],PAISES[PAÍS],"SIN PAÍS")</f>
        <v>Brasil</v>
      </c>
      <c r="U28" s="72" t="str">
        <f>_xlfn.XLOOKUP(Cuadro[[#This Row],[COD_PAIS]],PAISES[CÓDIGO],PAISES[CONTINENTE],"SIN PAÍS")</f>
        <v>AMÉRICA</v>
      </c>
    </row>
    <row r="29" spans="1:21" hidden="1" x14ac:dyDescent="0.25">
      <c r="A29" s="70" t="s">
        <v>16428</v>
      </c>
      <c r="B29" s="70" t="s">
        <v>22</v>
      </c>
      <c r="C29" s="70" t="s">
        <v>23</v>
      </c>
      <c r="D29" s="71">
        <v>8700.89</v>
      </c>
      <c r="E29" s="71">
        <v>2175.221</v>
      </c>
      <c r="F29" s="71">
        <v>130.51300000000001</v>
      </c>
      <c r="G29" s="71">
        <v>5600</v>
      </c>
      <c r="H29" s="72">
        <v>105</v>
      </c>
      <c r="I29" s="72">
        <v>113</v>
      </c>
      <c r="J29" s="72">
        <v>202603</v>
      </c>
      <c r="K29" s="72">
        <v>1</v>
      </c>
      <c r="L29" s="73">
        <f>IFERROR(DATE(VALUE(LEFT(Cuadro[[#This Row],[FENUM]],4)),VALUE(RIGHT(Cuadro[[#This Row],[FENUM]],2)),1),"")</f>
        <v>46082</v>
      </c>
      <c r="M29" s="11">
        <f>Cuadro[[#This Row],[FOB]]/1000</f>
        <v>8.7008899999999993</v>
      </c>
      <c r="N2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2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2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29" s="77">
        <f>IFERROR(--Cuadro[[#This Row],[FOB]],0)+IFERROR(--Cuadro[[#This Row],[FLETE]],0)+IFERROR(--Cuadro[[#This Row],[SEGURO]],0)</f>
        <v>11006.624</v>
      </c>
      <c r="R29" s="78" t="str">
        <f>_xlfn.XLOOKUP(Cuadro[[#This Row],[RUC]],EMPRESAS[RUC],EMPRESAS[RAZÓN SOCIAL],"SIN RAZÓN SOCIAL")</f>
        <v>INVERSIONES EN GRANOS Y PESCADO AMAZONICO E.I.R.L.</v>
      </c>
      <c r="S29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29" s="72" t="str">
        <f>_xlfn.XLOOKUP(Cuadro[[#This Row],[COD_PAIS]],PAISES[CÓDIGO],PAISES[PAÍS],"SIN PAÍS")</f>
        <v>Brasil</v>
      </c>
      <c r="U29" s="72" t="str">
        <f>_xlfn.XLOOKUP(Cuadro[[#This Row],[COD_PAIS]],PAISES[CÓDIGO],PAISES[CONTINENTE],"SIN PAÍS")</f>
        <v>AMÉRICA</v>
      </c>
    </row>
    <row r="30" spans="1:21" hidden="1" x14ac:dyDescent="0.25">
      <c r="A30" s="70" t="s">
        <v>16428</v>
      </c>
      <c r="B30" s="70" t="s">
        <v>31</v>
      </c>
      <c r="C30" s="70" t="s">
        <v>32</v>
      </c>
      <c r="D30" s="71">
        <v>54976.54</v>
      </c>
      <c r="E30" s="71">
        <v>12384.721</v>
      </c>
      <c r="F30" s="71">
        <v>113.252</v>
      </c>
      <c r="G30" s="71">
        <v>247200</v>
      </c>
      <c r="H30" s="72">
        <v>105</v>
      </c>
      <c r="I30" s="72">
        <v>412</v>
      </c>
      <c r="J30" s="72">
        <v>202601</v>
      </c>
      <c r="K30" s="72">
        <v>2</v>
      </c>
      <c r="L30" s="73">
        <f>IFERROR(DATE(VALUE(LEFT(Cuadro[[#This Row],[FENUM]],4)),VALUE(RIGHT(Cuadro[[#This Row],[FENUM]],2)),1),"")</f>
        <v>46023</v>
      </c>
      <c r="M30" s="11">
        <f>Cuadro[[#This Row],[FOB]]/1000</f>
        <v>54.97654</v>
      </c>
      <c r="N3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3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agricultura</v>
      </c>
      <c r="P3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Alimentos para animales: elaborados</v>
      </c>
      <c r="Q30" s="77">
        <f>IFERROR(--Cuadro[[#This Row],[FOB]],0)+IFERROR(--Cuadro[[#This Row],[FLETE]],0)+IFERROR(--Cuadro[[#This Row],[SEGURO]],0)</f>
        <v>67474.512999999992</v>
      </c>
      <c r="R30" s="78" t="str">
        <f>_xlfn.XLOOKUP(Cuadro[[#This Row],[RUC]],EMPRESAS[RUC],EMPRESAS[RAZÓN SOCIAL],"SIN RAZÓN SOCIAL")</f>
        <v>ARYA ALIMENTOS S.R.L.</v>
      </c>
      <c r="S30" s="79" t="str">
        <f>_xlfn.LET(_xlpm.o,_xlfn.XLOOKUP(Cuadro[[#This Row],[PARTIDA]],PARTIDA[PARTIDA_TEXTO],PARTIDA[PRODUCTO],"SIN DESCRIPCIÓN"),_xlfn.XLOOKUP(_xlpm.o,PROD_UNICOS[PRODUCTO_ORIGINAL],PROD_UNICOS[PRODUCTO_CORREGIDO],_xlpm.o))</f>
        <v>Torta de soya</v>
      </c>
      <c r="T30" s="72" t="str">
        <f>_xlfn.XLOOKUP(Cuadro[[#This Row],[COD_PAIS]],PAISES[CÓDIGO],PAISES[PAÍS],"SIN PAÍS")</f>
        <v>Brasil</v>
      </c>
      <c r="U30" s="72" t="str">
        <f>_xlfn.XLOOKUP(Cuadro[[#This Row],[COD_PAIS]],PAISES[CÓDIGO],PAISES[CONTINENTE],"SIN PAÍS")</f>
        <v>AMÉRICA</v>
      </c>
    </row>
    <row r="31" spans="1:21" hidden="1" x14ac:dyDescent="0.25">
      <c r="A31" s="70" t="s">
        <v>16428</v>
      </c>
      <c r="B31" s="70" t="s">
        <v>25</v>
      </c>
      <c r="C31" s="70" t="s">
        <v>23</v>
      </c>
      <c r="D31" s="71">
        <v>747.73</v>
      </c>
      <c r="E31" s="71">
        <v>149.547</v>
      </c>
      <c r="F31" s="71">
        <v>11.215999999999999</v>
      </c>
      <c r="G31" s="71">
        <v>385</v>
      </c>
      <c r="H31" s="72">
        <v>105</v>
      </c>
      <c r="I31" s="72">
        <v>113</v>
      </c>
      <c r="J31" s="72">
        <v>202603</v>
      </c>
      <c r="K31" s="72">
        <v>1</v>
      </c>
      <c r="L31" s="73">
        <f>IFERROR(DATE(VALUE(LEFT(Cuadro[[#This Row],[FENUM]],4)),VALUE(RIGHT(Cuadro[[#This Row],[FENUM]],2)),1),"")</f>
        <v>46082</v>
      </c>
      <c r="M31" s="11">
        <f>Cuadro[[#This Row],[FOB]]/1000</f>
        <v>0.74773000000000001</v>
      </c>
      <c r="N31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31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31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31" s="77">
        <f>IFERROR(--Cuadro[[#This Row],[FOB]],0)+IFERROR(--Cuadro[[#This Row],[FLETE]],0)+IFERROR(--Cuadro[[#This Row],[SEGURO]],0)</f>
        <v>908.49300000000005</v>
      </c>
      <c r="R31" s="78" t="str">
        <f>_xlfn.XLOOKUP(Cuadro[[#This Row],[RUC]],EMPRESAS[RUC],EMPRESAS[RAZÓN SOCIAL],"SIN RAZÓN SOCIAL")</f>
        <v>PESCADOS DE LA SELVA E.I.R.L.</v>
      </c>
      <c r="S31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31" s="72" t="str">
        <f>_xlfn.XLOOKUP(Cuadro[[#This Row],[COD_PAIS]],PAISES[CÓDIGO],PAISES[PAÍS],"SIN PAÍS")</f>
        <v>Brasil</v>
      </c>
      <c r="U31" s="72" t="str">
        <f>_xlfn.XLOOKUP(Cuadro[[#This Row],[COD_PAIS]],PAISES[CÓDIGO],PAISES[CONTINENTE],"SIN PAÍS")</f>
        <v>AMÉRICA</v>
      </c>
    </row>
    <row r="32" spans="1:21" hidden="1" x14ac:dyDescent="0.25">
      <c r="A32" s="70" t="s">
        <v>16428</v>
      </c>
      <c r="B32" s="70" t="s">
        <v>25</v>
      </c>
      <c r="C32" s="70" t="s">
        <v>23</v>
      </c>
      <c r="D32" s="71">
        <v>4703.76</v>
      </c>
      <c r="E32" s="71">
        <v>587.97</v>
      </c>
      <c r="F32" s="71">
        <v>70.555999999999997</v>
      </c>
      <c r="G32" s="71">
        <v>1513.7</v>
      </c>
      <c r="H32" s="72">
        <v>105</v>
      </c>
      <c r="I32" s="72">
        <v>113</v>
      </c>
      <c r="J32" s="72">
        <v>202603</v>
      </c>
      <c r="K32" s="72">
        <v>1</v>
      </c>
      <c r="L32" s="73">
        <f>IFERROR(DATE(VALUE(LEFT(Cuadro[[#This Row],[FENUM]],4)),VALUE(RIGHT(Cuadro[[#This Row],[FENUM]],2)),1),"")</f>
        <v>46082</v>
      </c>
      <c r="M32" s="11">
        <f>Cuadro[[#This Row],[FOB]]/1000</f>
        <v>4.7037599999999999</v>
      </c>
      <c r="N32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32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32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32" s="77">
        <f>IFERROR(--Cuadro[[#This Row],[FOB]],0)+IFERROR(--Cuadro[[#This Row],[FLETE]],0)+IFERROR(--Cuadro[[#This Row],[SEGURO]],0)</f>
        <v>5362.2860000000001</v>
      </c>
      <c r="R32" s="78" t="str">
        <f>_xlfn.XLOOKUP(Cuadro[[#This Row],[RUC]],EMPRESAS[RUC],EMPRESAS[RAZÓN SOCIAL],"SIN RAZÓN SOCIAL")</f>
        <v>PESCADOS DE LA SELVA E.I.R.L.</v>
      </c>
      <c r="S32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32" s="72" t="str">
        <f>_xlfn.XLOOKUP(Cuadro[[#This Row],[COD_PAIS]],PAISES[CÓDIGO],PAISES[PAÍS],"SIN PAÍS")</f>
        <v>Brasil</v>
      </c>
      <c r="U32" s="72" t="str">
        <f>_xlfn.XLOOKUP(Cuadro[[#This Row],[COD_PAIS]],PAISES[CÓDIGO],PAISES[CONTINENTE],"SIN PAÍS")</f>
        <v>AMÉRICA</v>
      </c>
    </row>
    <row r="33" spans="1:21" hidden="1" x14ac:dyDescent="0.25">
      <c r="A33" s="70" t="s">
        <v>16428</v>
      </c>
      <c r="B33" s="70" t="s">
        <v>26</v>
      </c>
      <c r="C33" s="70" t="s">
        <v>23</v>
      </c>
      <c r="D33" s="71">
        <v>24600</v>
      </c>
      <c r="E33" s="71">
        <v>4500</v>
      </c>
      <c r="F33" s="71">
        <v>369</v>
      </c>
      <c r="G33" s="71">
        <v>15000</v>
      </c>
      <c r="H33" s="72">
        <v>105</v>
      </c>
      <c r="I33" s="72">
        <v>113</v>
      </c>
      <c r="J33" s="72">
        <v>202603</v>
      </c>
      <c r="K33" s="72">
        <v>1</v>
      </c>
      <c r="L33" s="73">
        <f>IFERROR(DATE(VALUE(LEFT(Cuadro[[#This Row],[FENUM]],4)),VALUE(RIGHT(Cuadro[[#This Row],[FENUM]],2)),1),"")</f>
        <v>46082</v>
      </c>
      <c r="M33" s="11">
        <f>Cuadro[[#This Row],[FOB]]/1000</f>
        <v>24.6</v>
      </c>
      <c r="N33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33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33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33" s="77">
        <f>IFERROR(--Cuadro[[#This Row],[FOB]],0)+IFERROR(--Cuadro[[#This Row],[FLETE]],0)+IFERROR(--Cuadro[[#This Row],[SEGURO]],0)</f>
        <v>29469</v>
      </c>
      <c r="R33" s="78" t="str">
        <f>_xlfn.XLOOKUP(Cuadro[[#This Row],[RUC]],EMPRESAS[RUC],EMPRESAS[RAZÓN SOCIAL],"SIN RAZÓN SOCIAL")</f>
        <v>INDUSTRIA DE HIELOS Y PESCADOS JD S.R.L.</v>
      </c>
      <c r="S33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33" s="72" t="str">
        <f>_xlfn.XLOOKUP(Cuadro[[#This Row],[COD_PAIS]],PAISES[CÓDIGO],PAISES[PAÍS],"SIN PAÍS")</f>
        <v>Brasil</v>
      </c>
      <c r="U33" s="72" t="str">
        <f>_xlfn.XLOOKUP(Cuadro[[#This Row],[COD_PAIS]],PAISES[CÓDIGO],PAISES[CONTINENTE],"SIN PAÍS")</f>
        <v>AMÉRICA</v>
      </c>
    </row>
    <row r="34" spans="1:21" hidden="1" x14ac:dyDescent="0.25">
      <c r="A34" s="70" t="s">
        <v>16428</v>
      </c>
      <c r="B34" s="70" t="s">
        <v>22</v>
      </c>
      <c r="C34" s="70" t="s">
        <v>23</v>
      </c>
      <c r="D34" s="71">
        <v>25050</v>
      </c>
      <c r="E34" s="71">
        <v>4500</v>
      </c>
      <c r="F34" s="71">
        <v>375.75</v>
      </c>
      <c r="G34" s="71">
        <v>15000</v>
      </c>
      <c r="H34" s="72">
        <v>105</v>
      </c>
      <c r="I34" s="72">
        <v>113</v>
      </c>
      <c r="J34" s="72">
        <v>202603</v>
      </c>
      <c r="K34" s="72">
        <v>1</v>
      </c>
      <c r="L34" s="73">
        <f>IFERROR(DATE(VALUE(LEFT(Cuadro[[#This Row],[FENUM]],4)),VALUE(RIGHT(Cuadro[[#This Row],[FENUM]],2)),1),"")</f>
        <v>46082</v>
      </c>
      <c r="M34" s="11">
        <f>Cuadro[[#This Row],[FOB]]/1000</f>
        <v>25.05</v>
      </c>
      <c r="N34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34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34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34" s="77">
        <f>IFERROR(--Cuadro[[#This Row],[FOB]],0)+IFERROR(--Cuadro[[#This Row],[FLETE]],0)+IFERROR(--Cuadro[[#This Row],[SEGURO]],0)</f>
        <v>29925.75</v>
      </c>
      <c r="R34" s="78" t="str">
        <f>_xlfn.XLOOKUP(Cuadro[[#This Row],[RUC]],EMPRESAS[RUC],EMPRESAS[RAZÓN SOCIAL],"SIN RAZÓN SOCIAL")</f>
        <v>INVERSIONES EN GRANOS Y PESCADO AMAZONICO E.I.R.L.</v>
      </c>
      <c r="S34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34" s="72" t="str">
        <f>_xlfn.XLOOKUP(Cuadro[[#This Row],[COD_PAIS]],PAISES[CÓDIGO],PAISES[PAÍS],"SIN PAÍS")</f>
        <v>Brasil</v>
      </c>
      <c r="U34" s="72" t="str">
        <f>_xlfn.XLOOKUP(Cuadro[[#This Row],[COD_PAIS]],PAISES[CÓDIGO],PAISES[CONTINENTE],"SIN PAÍS")</f>
        <v>AMÉRICA</v>
      </c>
    </row>
    <row r="35" spans="1:21" hidden="1" x14ac:dyDescent="0.25">
      <c r="A35" s="70" t="s">
        <v>16428</v>
      </c>
      <c r="B35" s="70" t="s">
        <v>25</v>
      </c>
      <c r="C35" s="70" t="s">
        <v>23</v>
      </c>
      <c r="D35" s="71">
        <v>2188.8200000000002</v>
      </c>
      <c r="E35" s="71">
        <v>312.68700000000001</v>
      </c>
      <c r="F35" s="71">
        <v>32.832000000000001</v>
      </c>
      <c r="G35" s="71">
        <v>805</v>
      </c>
      <c r="H35" s="72">
        <v>105</v>
      </c>
      <c r="I35" s="72">
        <v>113</v>
      </c>
      <c r="J35" s="72">
        <v>202603</v>
      </c>
      <c r="K35" s="72">
        <v>1</v>
      </c>
      <c r="L35" s="73">
        <f>IFERROR(DATE(VALUE(LEFT(Cuadro[[#This Row],[FENUM]],4)),VALUE(RIGHT(Cuadro[[#This Row],[FENUM]],2)),1),"")</f>
        <v>46082</v>
      </c>
      <c r="M35" s="11">
        <f>Cuadro[[#This Row],[FOB]]/1000</f>
        <v>2.1888200000000002</v>
      </c>
      <c r="N35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35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35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35" s="77">
        <f>IFERROR(--Cuadro[[#This Row],[FOB]],0)+IFERROR(--Cuadro[[#This Row],[FLETE]],0)+IFERROR(--Cuadro[[#This Row],[SEGURO]],0)</f>
        <v>2534.3389999999999</v>
      </c>
      <c r="R35" s="78" t="str">
        <f>_xlfn.XLOOKUP(Cuadro[[#This Row],[RUC]],EMPRESAS[RUC],EMPRESAS[RAZÓN SOCIAL],"SIN RAZÓN SOCIAL")</f>
        <v>PESCADOS DE LA SELVA E.I.R.L.</v>
      </c>
      <c r="S35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35" s="72" t="str">
        <f>_xlfn.XLOOKUP(Cuadro[[#This Row],[COD_PAIS]],PAISES[CÓDIGO],PAISES[PAÍS],"SIN PAÍS")</f>
        <v>Brasil</v>
      </c>
      <c r="U35" s="72" t="str">
        <f>_xlfn.XLOOKUP(Cuadro[[#This Row],[COD_PAIS]],PAISES[CÓDIGO],PAISES[CONTINENTE],"SIN PAÍS")</f>
        <v>AMÉRICA</v>
      </c>
    </row>
    <row r="36" spans="1:21" hidden="1" x14ac:dyDescent="0.25">
      <c r="A36" s="70" t="s">
        <v>16428</v>
      </c>
      <c r="B36" s="70" t="s">
        <v>27</v>
      </c>
      <c r="C36" s="70" t="s">
        <v>28</v>
      </c>
      <c r="D36" s="71">
        <v>237586.52799999999</v>
      </c>
      <c r="E36" s="71">
        <v>42826.991999999998</v>
      </c>
      <c r="F36" s="71">
        <v>562.31899999999996</v>
      </c>
      <c r="G36" s="71">
        <v>500020</v>
      </c>
      <c r="H36" s="72">
        <v>105</v>
      </c>
      <c r="I36" s="72">
        <v>113</v>
      </c>
      <c r="J36" s="72">
        <v>202603</v>
      </c>
      <c r="K36" s="72">
        <v>1</v>
      </c>
      <c r="L36" s="73">
        <f>IFERROR(DATE(VALUE(LEFT(Cuadro[[#This Row],[FENUM]],4)),VALUE(RIGHT(Cuadro[[#This Row],[FENUM]],2)),1),"")</f>
        <v>46082</v>
      </c>
      <c r="M36" s="11">
        <f>Cuadro[[#This Row],[FOB]]/1000</f>
        <v>237.58652799999999</v>
      </c>
      <c r="N36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36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36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36" s="77">
        <f>IFERROR(--Cuadro[[#This Row],[FOB]],0)+IFERROR(--Cuadro[[#This Row],[FLETE]],0)+IFERROR(--Cuadro[[#This Row],[SEGURO]],0)</f>
        <v>280975.83900000004</v>
      </c>
      <c r="R36" s="78" t="str">
        <f>_xlfn.XLOOKUP(Cuadro[[#This Row],[RUC]],EMPRESAS[RUC],EMPRESAS[RAZÓN SOCIAL],"SIN RAZÓN SOCIAL")</f>
        <v>DISTRIBUIDORA NICO EIRL</v>
      </c>
      <c r="S36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36" s="72" t="str">
        <f>_xlfn.XLOOKUP(Cuadro[[#This Row],[COD_PAIS]],PAISES[CÓDIGO],PAISES[PAÍS],"SIN PAÍS")</f>
        <v>Brasil</v>
      </c>
      <c r="U36" s="72" t="str">
        <f>_xlfn.XLOOKUP(Cuadro[[#This Row],[COD_PAIS]],PAISES[CÓDIGO],PAISES[CONTINENTE],"SIN PAÍS")</f>
        <v>AMÉRICA</v>
      </c>
    </row>
    <row r="37" spans="1:21" hidden="1" x14ac:dyDescent="0.25">
      <c r="A37" s="70" t="s">
        <v>16428</v>
      </c>
      <c r="B37" s="70" t="s">
        <v>22</v>
      </c>
      <c r="C37" s="70" t="s">
        <v>23</v>
      </c>
      <c r="D37" s="71">
        <v>5220.53</v>
      </c>
      <c r="E37" s="71">
        <v>652.56700000000001</v>
      </c>
      <c r="F37" s="71">
        <v>78.308000000000007</v>
      </c>
      <c r="G37" s="71">
        <v>1680</v>
      </c>
      <c r="H37" s="72">
        <v>105</v>
      </c>
      <c r="I37" s="72">
        <v>113</v>
      </c>
      <c r="J37" s="72">
        <v>202603</v>
      </c>
      <c r="K37" s="72">
        <v>1</v>
      </c>
      <c r="L37" s="73">
        <f>IFERROR(DATE(VALUE(LEFT(Cuadro[[#This Row],[FENUM]],4)),VALUE(RIGHT(Cuadro[[#This Row],[FENUM]],2)),1),"")</f>
        <v>46082</v>
      </c>
      <c r="M37" s="11">
        <f>Cuadro[[#This Row],[FOB]]/1000</f>
        <v>5.2205300000000001</v>
      </c>
      <c r="N3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3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3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37" s="77">
        <f>IFERROR(--Cuadro[[#This Row],[FOB]],0)+IFERROR(--Cuadro[[#This Row],[FLETE]],0)+IFERROR(--Cuadro[[#This Row],[SEGURO]],0)</f>
        <v>5951.4049999999997</v>
      </c>
      <c r="R37" s="78" t="str">
        <f>_xlfn.XLOOKUP(Cuadro[[#This Row],[RUC]],EMPRESAS[RUC],EMPRESAS[RAZÓN SOCIAL],"SIN RAZÓN SOCIAL")</f>
        <v>INVERSIONES EN GRANOS Y PESCADO AMAZONICO E.I.R.L.</v>
      </c>
      <c r="S37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37" s="72" t="str">
        <f>_xlfn.XLOOKUP(Cuadro[[#This Row],[COD_PAIS]],PAISES[CÓDIGO],PAISES[PAÍS],"SIN PAÍS")</f>
        <v>Brasil</v>
      </c>
      <c r="U37" s="72" t="str">
        <f>_xlfn.XLOOKUP(Cuadro[[#This Row],[COD_PAIS]],PAISES[CÓDIGO],PAISES[CONTINENTE],"SIN PAÍS")</f>
        <v>AMÉRICA</v>
      </c>
    </row>
    <row r="38" spans="1:21" hidden="1" x14ac:dyDescent="0.25">
      <c r="A38" s="70" t="s">
        <v>16428</v>
      </c>
      <c r="B38" s="70" t="s">
        <v>26</v>
      </c>
      <c r="C38" s="70" t="s">
        <v>23</v>
      </c>
      <c r="D38" s="71">
        <v>24096</v>
      </c>
      <c r="E38" s="71">
        <v>2259</v>
      </c>
      <c r="F38" s="71">
        <v>361.44</v>
      </c>
      <c r="G38" s="71">
        <v>7530</v>
      </c>
      <c r="H38" s="72">
        <v>105</v>
      </c>
      <c r="I38" s="72">
        <v>113</v>
      </c>
      <c r="J38" s="72">
        <v>202603</v>
      </c>
      <c r="K38" s="72">
        <v>1</v>
      </c>
      <c r="L38" s="73">
        <f>IFERROR(DATE(VALUE(LEFT(Cuadro[[#This Row],[FENUM]],4)),VALUE(RIGHT(Cuadro[[#This Row],[FENUM]],2)),1),"")</f>
        <v>46082</v>
      </c>
      <c r="M38" s="11">
        <f>Cuadro[[#This Row],[FOB]]/1000</f>
        <v>24.096</v>
      </c>
      <c r="N3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3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3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38" s="77">
        <f>IFERROR(--Cuadro[[#This Row],[FOB]],0)+IFERROR(--Cuadro[[#This Row],[FLETE]],0)+IFERROR(--Cuadro[[#This Row],[SEGURO]],0)</f>
        <v>26716.44</v>
      </c>
      <c r="R38" s="78" t="str">
        <f>_xlfn.XLOOKUP(Cuadro[[#This Row],[RUC]],EMPRESAS[RUC],EMPRESAS[RAZÓN SOCIAL],"SIN RAZÓN SOCIAL")</f>
        <v>INDUSTRIA DE HIELOS Y PESCADOS JD S.R.L.</v>
      </c>
      <c r="S38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38" s="72" t="str">
        <f>_xlfn.XLOOKUP(Cuadro[[#This Row],[COD_PAIS]],PAISES[CÓDIGO],PAISES[PAÍS],"SIN PAÍS")</f>
        <v>Brasil</v>
      </c>
      <c r="U38" s="72" t="str">
        <f>_xlfn.XLOOKUP(Cuadro[[#This Row],[COD_PAIS]],PAISES[CÓDIGO],PAISES[CONTINENTE],"SIN PAÍS")</f>
        <v>AMÉRICA</v>
      </c>
    </row>
    <row r="39" spans="1:21" hidden="1" x14ac:dyDescent="0.25">
      <c r="A39" s="70" t="s">
        <v>16428</v>
      </c>
      <c r="B39" s="70" t="s">
        <v>20</v>
      </c>
      <c r="C39" s="70" t="s">
        <v>29</v>
      </c>
      <c r="D39" s="71">
        <v>6529.5</v>
      </c>
      <c r="E39" s="71">
        <v>293.226</v>
      </c>
      <c r="F39" s="71">
        <v>65.295000000000002</v>
      </c>
      <c r="G39" s="71">
        <v>151.49799999999999</v>
      </c>
      <c r="H39" s="72">
        <v>105</v>
      </c>
      <c r="I39" s="72">
        <v>840</v>
      </c>
      <c r="J39" s="72">
        <v>202608</v>
      </c>
      <c r="K39" s="72">
        <v>3</v>
      </c>
      <c r="L39" s="73">
        <f>IFERROR(DATE(VALUE(LEFT(Cuadro[[#This Row],[FENUM]],4)),VALUE(RIGHT(Cuadro[[#This Row],[FENUM]],2)),1),"")</f>
        <v>46235</v>
      </c>
      <c r="M39" s="11">
        <f>Cuadro[[#This Row],[FOB]]/1000</f>
        <v>6.5294999999999996</v>
      </c>
      <c r="N3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3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Para la industria</v>
      </c>
      <c r="P3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Partes y accesorios de maquinaria industrial</v>
      </c>
      <c r="Q39" s="77">
        <f>IFERROR(--Cuadro[[#This Row],[FOB]],0)+IFERROR(--Cuadro[[#This Row],[FLETE]],0)+IFERROR(--Cuadro[[#This Row],[SEGURO]],0)</f>
        <v>6888.0209999999997</v>
      </c>
      <c r="R39" s="78" t="str">
        <f>_xlfn.XLOOKUP(Cuadro[[#This Row],[RUC]],EMPRESAS[RUC],EMPRESAS[RAZÓN SOCIAL],"SIN RAZÓN SOCIAL")</f>
        <v>TRANSPORTES EDUARDO SOCIEDAD ANONIMA CERRADA</v>
      </c>
      <c r="S39" s="79" t="str">
        <f>_xlfn.LET(_xlpm.o,_xlfn.XLOOKUP(Cuadro[[#This Row],[PARTIDA]],PARTIDA[PARTIDA_TEXTO],PARTIDA[PRODUCTO],"SIN DESCRIPCIÓN"),_xlfn.XLOOKUP(_xlpm.o,PROD_UNICOS[PRODUCTO_ORIGINAL],PROD_UNICOS[PRODUCTO_CORREGIDO],_xlpm.o))</f>
        <v>Placas evaporadoras</v>
      </c>
      <c r="T39" s="72" t="str">
        <f>_xlfn.XLOOKUP(Cuadro[[#This Row],[COD_PAIS]],PAISES[CÓDIGO],PAISES[PAÍS],"SIN PAÍS")</f>
        <v>Brasil</v>
      </c>
      <c r="U39" s="72" t="str">
        <f>_xlfn.XLOOKUP(Cuadro[[#This Row],[COD_PAIS]],PAISES[CÓDIGO],PAISES[CONTINENTE],"SIN PAÍS")</f>
        <v>AMÉRICA</v>
      </c>
    </row>
    <row r="40" spans="1:21" hidden="1" x14ac:dyDescent="0.25">
      <c r="A40" s="70" t="s">
        <v>16428</v>
      </c>
      <c r="B40" s="70" t="s">
        <v>25</v>
      </c>
      <c r="C40" s="70" t="s">
        <v>23</v>
      </c>
      <c r="D40" s="71">
        <v>5125.37</v>
      </c>
      <c r="E40" s="71">
        <v>788.51800000000003</v>
      </c>
      <c r="F40" s="71">
        <v>76.881</v>
      </c>
      <c r="G40" s="71">
        <v>2030</v>
      </c>
      <c r="H40" s="72">
        <v>105</v>
      </c>
      <c r="I40" s="72">
        <v>113</v>
      </c>
      <c r="J40" s="72">
        <v>202603</v>
      </c>
      <c r="K40" s="72">
        <v>1</v>
      </c>
      <c r="L40" s="73">
        <f>IFERROR(DATE(VALUE(LEFT(Cuadro[[#This Row],[FENUM]],4)),VALUE(RIGHT(Cuadro[[#This Row],[FENUM]],2)),1),"")</f>
        <v>46082</v>
      </c>
      <c r="M40" s="11">
        <f>Cuadro[[#This Row],[FOB]]/1000</f>
        <v>5.1253700000000002</v>
      </c>
      <c r="N4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4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4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40" s="77">
        <f>IFERROR(--Cuadro[[#This Row],[FOB]],0)+IFERROR(--Cuadro[[#This Row],[FLETE]],0)+IFERROR(--Cuadro[[#This Row],[SEGURO]],0)</f>
        <v>5990.7690000000002</v>
      </c>
      <c r="R40" s="78" t="str">
        <f>_xlfn.XLOOKUP(Cuadro[[#This Row],[RUC]],EMPRESAS[RUC],EMPRESAS[RAZÓN SOCIAL],"SIN RAZÓN SOCIAL")</f>
        <v>PESCADOS DE LA SELVA E.I.R.L.</v>
      </c>
      <c r="S40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40" s="72" t="str">
        <f>_xlfn.XLOOKUP(Cuadro[[#This Row],[COD_PAIS]],PAISES[CÓDIGO],PAISES[PAÍS],"SIN PAÍS")</f>
        <v>Brasil</v>
      </c>
      <c r="U40" s="72" t="str">
        <f>_xlfn.XLOOKUP(Cuadro[[#This Row],[COD_PAIS]],PAISES[CÓDIGO],PAISES[CONTINENTE],"SIN PAÍS")</f>
        <v>AMÉRICA</v>
      </c>
    </row>
    <row r="41" spans="1:21" hidden="1" x14ac:dyDescent="0.25">
      <c r="A41" s="70" t="s">
        <v>16428</v>
      </c>
      <c r="B41" s="70" t="s">
        <v>31</v>
      </c>
      <c r="C41" s="70" t="s">
        <v>32</v>
      </c>
      <c r="D41" s="71">
        <v>384902.46</v>
      </c>
      <c r="E41" s="71">
        <v>86681.629000000001</v>
      </c>
      <c r="F41" s="71">
        <v>792.89800000000002</v>
      </c>
      <c r="G41" s="71">
        <v>1730700</v>
      </c>
      <c r="H41" s="72">
        <v>105</v>
      </c>
      <c r="I41" s="72">
        <v>412</v>
      </c>
      <c r="J41" s="72">
        <v>202601</v>
      </c>
      <c r="K41" s="72">
        <v>2</v>
      </c>
      <c r="L41" s="73">
        <f>IFERROR(DATE(VALUE(LEFT(Cuadro[[#This Row],[FENUM]],4)),VALUE(RIGHT(Cuadro[[#This Row],[FENUM]],2)),1),"")</f>
        <v>46023</v>
      </c>
      <c r="M41" s="11">
        <f>Cuadro[[#This Row],[FOB]]/1000</f>
        <v>384.90246000000002</v>
      </c>
      <c r="N41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41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agricultura</v>
      </c>
      <c r="P41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Alimentos para animales: elaborados</v>
      </c>
      <c r="Q41" s="77">
        <f>IFERROR(--Cuadro[[#This Row],[FOB]],0)+IFERROR(--Cuadro[[#This Row],[FLETE]],0)+IFERROR(--Cuadro[[#This Row],[SEGURO]],0)</f>
        <v>472376.98700000002</v>
      </c>
      <c r="R41" s="78" t="str">
        <f>_xlfn.XLOOKUP(Cuadro[[#This Row],[RUC]],EMPRESAS[RUC],EMPRESAS[RAZÓN SOCIAL],"SIN RAZÓN SOCIAL")</f>
        <v>ARYA ALIMENTOS S.R.L.</v>
      </c>
      <c r="S41" s="79" t="str">
        <f>_xlfn.LET(_xlpm.o,_xlfn.XLOOKUP(Cuadro[[#This Row],[PARTIDA]],PARTIDA[PARTIDA_TEXTO],PARTIDA[PRODUCTO],"SIN DESCRIPCIÓN"),_xlfn.XLOOKUP(_xlpm.o,PROD_UNICOS[PRODUCTO_ORIGINAL],PROD_UNICOS[PRODUCTO_CORREGIDO],_xlpm.o))</f>
        <v>Torta de soya</v>
      </c>
      <c r="T41" s="72" t="str">
        <f>_xlfn.XLOOKUP(Cuadro[[#This Row],[COD_PAIS]],PAISES[CÓDIGO],PAISES[PAÍS],"SIN PAÍS")</f>
        <v>Brasil</v>
      </c>
      <c r="U41" s="72" t="str">
        <f>_xlfn.XLOOKUP(Cuadro[[#This Row],[COD_PAIS]],PAISES[CÓDIGO],PAISES[CONTINENTE],"SIN PAÍS")</f>
        <v>AMÉRICA</v>
      </c>
    </row>
    <row r="42" spans="1:21" hidden="1" x14ac:dyDescent="0.25">
      <c r="A42" s="70" t="s">
        <v>16428</v>
      </c>
      <c r="B42" s="70" t="s">
        <v>22</v>
      </c>
      <c r="C42" s="70" t="s">
        <v>23</v>
      </c>
      <c r="D42" s="71">
        <v>9720.52</v>
      </c>
      <c r="E42" s="71">
        <v>1767.3679999999999</v>
      </c>
      <c r="F42" s="71">
        <v>145.80799999999999</v>
      </c>
      <c r="G42" s="71">
        <v>4550</v>
      </c>
      <c r="H42" s="72">
        <v>105</v>
      </c>
      <c r="I42" s="72">
        <v>113</v>
      </c>
      <c r="J42" s="72">
        <v>202603</v>
      </c>
      <c r="K42" s="72">
        <v>1</v>
      </c>
      <c r="L42" s="73">
        <f>IFERROR(DATE(VALUE(LEFT(Cuadro[[#This Row],[FENUM]],4)),VALUE(RIGHT(Cuadro[[#This Row],[FENUM]],2)),1),"")</f>
        <v>46082</v>
      </c>
      <c r="M42" s="11">
        <f>Cuadro[[#This Row],[FOB]]/1000</f>
        <v>9.7205200000000005</v>
      </c>
      <c r="N42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42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42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42" s="77">
        <f>IFERROR(--Cuadro[[#This Row],[FOB]],0)+IFERROR(--Cuadro[[#This Row],[FLETE]],0)+IFERROR(--Cuadro[[#This Row],[SEGURO]],0)</f>
        <v>11633.696</v>
      </c>
      <c r="R42" s="78" t="str">
        <f>_xlfn.XLOOKUP(Cuadro[[#This Row],[RUC]],EMPRESAS[RUC],EMPRESAS[RAZÓN SOCIAL],"SIN RAZÓN SOCIAL")</f>
        <v>INVERSIONES EN GRANOS Y PESCADO AMAZONICO E.I.R.L.</v>
      </c>
      <c r="S42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42" s="72" t="str">
        <f>_xlfn.XLOOKUP(Cuadro[[#This Row],[COD_PAIS]],PAISES[CÓDIGO],PAISES[PAÍS],"SIN PAÍS")</f>
        <v>Brasil</v>
      </c>
      <c r="U42" s="72" t="str">
        <f>_xlfn.XLOOKUP(Cuadro[[#This Row],[COD_PAIS]],PAISES[CÓDIGO],PAISES[CONTINENTE],"SIN PAÍS")</f>
        <v>AMÉRICA</v>
      </c>
    </row>
    <row r="43" spans="1:21" hidden="1" x14ac:dyDescent="0.25">
      <c r="A43" s="70" t="s">
        <v>16428</v>
      </c>
      <c r="B43" s="70" t="s">
        <v>31</v>
      </c>
      <c r="C43" s="70" t="s">
        <v>32</v>
      </c>
      <c r="D43" s="71">
        <v>256833.71</v>
      </c>
      <c r="E43" s="71">
        <v>55217.711000000003</v>
      </c>
      <c r="F43" s="71">
        <v>3852.5059999999999</v>
      </c>
      <c r="G43" s="71">
        <v>1102290.6200000001</v>
      </c>
      <c r="H43" s="72">
        <v>105</v>
      </c>
      <c r="I43" s="72">
        <v>412</v>
      </c>
      <c r="J43" s="72">
        <v>202606</v>
      </c>
      <c r="K43" s="72">
        <v>2</v>
      </c>
      <c r="L43" s="73">
        <f>IFERROR(DATE(VALUE(LEFT(Cuadro[[#This Row],[FENUM]],4)),VALUE(RIGHT(Cuadro[[#This Row],[FENUM]],2)),1),"")</f>
        <v>46174</v>
      </c>
      <c r="M43" s="11">
        <f>Cuadro[[#This Row],[FOB]]/1000</f>
        <v>256.83371</v>
      </c>
      <c r="N43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43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agricultura</v>
      </c>
      <c r="P43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Alimentos para animales: elaborados</v>
      </c>
      <c r="Q43" s="77">
        <f>IFERROR(--Cuadro[[#This Row],[FOB]],0)+IFERROR(--Cuadro[[#This Row],[FLETE]],0)+IFERROR(--Cuadro[[#This Row],[SEGURO]],0)</f>
        <v>315903.92699999997</v>
      </c>
      <c r="R43" s="78" t="str">
        <f>_xlfn.XLOOKUP(Cuadro[[#This Row],[RUC]],EMPRESAS[RUC],EMPRESAS[RAZÓN SOCIAL],"SIN RAZÓN SOCIAL")</f>
        <v>ARYA ALIMENTOS S.R.L.</v>
      </c>
      <c r="S43" s="79" t="str">
        <f>_xlfn.LET(_xlpm.o,_xlfn.XLOOKUP(Cuadro[[#This Row],[PARTIDA]],PARTIDA[PARTIDA_TEXTO],PARTIDA[PRODUCTO],"SIN DESCRIPCIÓN"),_xlfn.XLOOKUP(_xlpm.o,PROD_UNICOS[PRODUCTO_ORIGINAL],PROD_UNICOS[PRODUCTO_CORREGIDO],_xlpm.o))</f>
        <v>Torta de soya</v>
      </c>
      <c r="T43" s="72" t="str">
        <f>_xlfn.XLOOKUP(Cuadro[[#This Row],[COD_PAIS]],PAISES[CÓDIGO],PAISES[PAÍS],"SIN PAÍS")</f>
        <v>Brasil</v>
      </c>
      <c r="U43" s="72" t="str">
        <f>_xlfn.XLOOKUP(Cuadro[[#This Row],[COD_PAIS]],PAISES[CÓDIGO],PAISES[CONTINENTE],"SIN PAÍS")</f>
        <v>AMÉRICA</v>
      </c>
    </row>
    <row r="44" spans="1:21" hidden="1" x14ac:dyDescent="0.25">
      <c r="A44" s="70" t="s">
        <v>16428</v>
      </c>
      <c r="B44" s="70" t="s">
        <v>35</v>
      </c>
      <c r="C44" s="70" t="s">
        <v>23</v>
      </c>
      <c r="D44" s="71">
        <v>38112</v>
      </c>
      <c r="E44" s="71">
        <v>4764.0309999999999</v>
      </c>
      <c r="F44" s="71">
        <v>571.67999999999995</v>
      </c>
      <c r="G44" s="71">
        <v>15880.102999999999</v>
      </c>
      <c r="H44" s="72">
        <v>105</v>
      </c>
      <c r="I44" s="72">
        <v>113</v>
      </c>
      <c r="J44" s="72">
        <v>202603</v>
      </c>
      <c r="K44" s="72">
        <v>1</v>
      </c>
      <c r="L44" s="73">
        <f>IFERROR(DATE(VALUE(LEFT(Cuadro[[#This Row],[FENUM]],4)),VALUE(RIGHT(Cuadro[[#This Row],[FENUM]],2)),1),"")</f>
        <v>46082</v>
      </c>
      <c r="M44" s="11">
        <f>Cuadro[[#This Row],[FOB]]/1000</f>
        <v>38.112000000000002</v>
      </c>
      <c r="N44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44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44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44" s="77">
        <f>IFERROR(--Cuadro[[#This Row],[FOB]],0)+IFERROR(--Cuadro[[#This Row],[FLETE]],0)+IFERROR(--Cuadro[[#This Row],[SEGURO]],0)</f>
        <v>43447.711000000003</v>
      </c>
      <c r="R44" s="78" t="str">
        <f>_xlfn.XLOOKUP(Cuadro[[#This Row],[RUC]],EMPRESAS[RUC],EMPRESAS[RAZÓN SOCIAL],"SIN RAZÓN SOCIAL")</f>
        <v>INVERSIONES COMERPEZ HJC S.R.L.</v>
      </c>
      <c r="S44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44" s="72" t="str">
        <f>_xlfn.XLOOKUP(Cuadro[[#This Row],[COD_PAIS]],PAISES[CÓDIGO],PAISES[PAÍS],"SIN PAÍS")</f>
        <v>Brasil</v>
      </c>
      <c r="U44" s="72" t="str">
        <f>_xlfn.XLOOKUP(Cuadro[[#This Row],[COD_PAIS]],PAISES[CÓDIGO],PAISES[CONTINENTE],"SIN PAÍS")</f>
        <v>AMÉRICA</v>
      </c>
    </row>
    <row r="45" spans="1:21" hidden="1" x14ac:dyDescent="0.25">
      <c r="A45" s="70" t="s">
        <v>16428</v>
      </c>
      <c r="B45" s="70" t="s">
        <v>26</v>
      </c>
      <c r="C45" s="70" t="s">
        <v>23</v>
      </c>
      <c r="D45" s="71">
        <v>26850</v>
      </c>
      <c r="E45" s="71">
        <v>4500</v>
      </c>
      <c r="F45" s="71">
        <v>402.75</v>
      </c>
      <c r="G45" s="71">
        <v>15000</v>
      </c>
      <c r="H45" s="72">
        <v>105</v>
      </c>
      <c r="I45" s="72">
        <v>113</v>
      </c>
      <c r="J45" s="72">
        <v>202603</v>
      </c>
      <c r="K45" s="72">
        <v>1</v>
      </c>
      <c r="L45" s="73">
        <f>IFERROR(DATE(VALUE(LEFT(Cuadro[[#This Row],[FENUM]],4)),VALUE(RIGHT(Cuadro[[#This Row],[FENUM]],2)),1),"")</f>
        <v>46082</v>
      </c>
      <c r="M45" s="11">
        <f>Cuadro[[#This Row],[FOB]]/1000</f>
        <v>26.85</v>
      </c>
      <c r="N45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45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45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45" s="77">
        <f>IFERROR(--Cuadro[[#This Row],[FOB]],0)+IFERROR(--Cuadro[[#This Row],[FLETE]],0)+IFERROR(--Cuadro[[#This Row],[SEGURO]],0)</f>
        <v>31752.75</v>
      </c>
      <c r="R45" s="78" t="str">
        <f>_xlfn.XLOOKUP(Cuadro[[#This Row],[RUC]],EMPRESAS[RUC],EMPRESAS[RAZÓN SOCIAL],"SIN RAZÓN SOCIAL")</f>
        <v>INDUSTRIA DE HIELOS Y PESCADOS JD S.R.L.</v>
      </c>
      <c r="S45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45" s="72" t="str">
        <f>_xlfn.XLOOKUP(Cuadro[[#This Row],[COD_PAIS]],PAISES[CÓDIGO],PAISES[PAÍS],"SIN PAÍS")</f>
        <v>Brasil</v>
      </c>
      <c r="U45" s="72" t="str">
        <f>_xlfn.XLOOKUP(Cuadro[[#This Row],[COD_PAIS]],PAISES[CÓDIGO],PAISES[CONTINENTE],"SIN PAÍS")</f>
        <v>AMÉRICA</v>
      </c>
    </row>
    <row r="46" spans="1:21" hidden="1" x14ac:dyDescent="0.25">
      <c r="A46" s="70" t="s">
        <v>16428</v>
      </c>
      <c r="B46" s="70" t="s">
        <v>22</v>
      </c>
      <c r="C46" s="70" t="s">
        <v>23</v>
      </c>
      <c r="D46" s="71">
        <v>63849.29</v>
      </c>
      <c r="E46" s="71">
        <v>4560.6620000000003</v>
      </c>
      <c r="F46" s="71">
        <v>957.73900000000003</v>
      </c>
      <c r="G46" s="71">
        <v>11741.2</v>
      </c>
      <c r="H46" s="72">
        <v>105</v>
      </c>
      <c r="I46" s="72">
        <v>113</v>
      </c>
      <c r="J46" s="72">
        <v>202603</v>
      </c>
      <c r="K46" s="72">
        <v>1</v>
      </c>
      <c r="L46" s="73">
        <f>IFERROR(DATE(VALUE(LEFT(Cuadro[[#This Row],[FENUM]],4)),VALUE(RIGHT(Cuadro[[#This Row],[FENUM]],2)),1),"")</f>
        <v>46082</v>
      </c>
      <c r="M46" s="11">
        <f>Cuadro[[#This Row],[FOB]]/1000</f>
        <v>63.849290000000003</v>
      </c>
      <c r="N46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46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46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46" s="77">
        <f>IFERROR(--Cuadro[[#This Row],[FOB]],0)+IFERROR(--Cuadro[[#This Row],[FLETE]],0)+IFERROR(--Cuadro[[#This Row],[SEGURO]],0)</f>
        <v>69367.691000000006</v>
      </c>
      <c r="R46" s="78" t="str">
        <f>_xlfn.XLOOKUP(Cuadro[[#This Row],[RUC]],EMPRESAS[RUC],EMPRESAS[RAZÓN SOCIAL],"SIN RAZÓN SOCIAL")</f>
        <v>INVERSIONES EN GRANOS Y PESCADO AMAZONICO E.I.R.L.</v>
      </c>
      <c r="S46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46" s="72" t="str">
        <f>_xlfn.XLOOKUP(Cuadro[[#This Row],[COD_PAIS]],PAISES[CÓDIGO],PAISES[PAÍS],"SIN PAÍS")</f>
        <v>Brasil</v>
      </c>
      <c r="U46" s="72" t="str">
        <f>_xlfn.XLOOKUP(Cuadro[[#This Row],[COD_PAIS]],PAISES[CÓDIGO],PAISES[CONTINENTE],"SIN PAÍS")</f>
        <v>AMÉRICA</v>
      </c>
    </row>
    <row r="47" spans="1:21" hidden="1" x14ac:dyDescent="0.25">
      <c r="A47" s="70" t="s">
        <v>16428</v>
      </c>
      <c r="B47" s="70" t="s">
        <v>22</v>
      </c>
      <c r="C47" s="70" t="s">
        <v>23</v>
      </c>
      <c r="D47" s="71">
        <v>11664.63</v>
      </c>
      <c r="E47" s="71">
        <v>1944.104</v>
      </c>
      <c r="F47" s="71">
        <v>174.96899999999999</v>
      </c>
      <c r="G47" s="71">
        <v>5005</v>
      </c>
      <c r="H47" s="72">
        <v>105</v>
      </c>
      <c r="I47" s="72">
        <v>113</v>
      </c>
      <c r="J47" s="72">
        <v>202603</v>
      </c>
      <c r="K47" s="72">
        <v>1</v>
      </c>
      <c r="L47" s="73">
        <f>IFERROR(DATE(VALUE(LEFT(Cuadro[[#This Row],[FENUM]],4)),VALUE(RIGHT(Cuadro[[#This Row],[FENUM]],2)),1),"")</f>
        <v>46082</v>
      </c>
      <c r="M47" s="11">
        <f>Cuadro[[#This Row],[FOB]]/1000</f>
        <v>11.664629999999999</v>
      </c>
      <c r="N4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4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4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47" s="77">
        <f>IFERROR(--Cuadro[[#This Row],[FOB]],0)+IFERROR(--Cuadro[[#This Row],[FLETE]],0)+IFERROR(--Cuadro[[#This Row],[SEGURO]],0)</f>
        <v>13783.702999999998</v>
      </c>
      <c r="R47" s="78" t="str">
        <f>_xlfn.XLOOKUP(Cuadro[[#This Row],[RUC]],EMPRESAS[RUC],EMPRESAS[RAZÓN SOCIAL],"SIN RAZÓN SOCIAL")</f>
        <v>INVERSIONES EN GRANOS Y PESCADO AMAZONICO E.I.R.L.</v>
      </c>
      <c r="S47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47" s="72" t="str">
        <f>_xlfn.XLOOKUP(Cuadro[[#This Row],[COD_PAIS]],PAISES[CÓDIGO],PAISES[PAÍS],"SIN PAÍS")</f>
        <v>Brasil</v>
      </c>
      <c r="U47" s="72" t="str">
        <f>_xlfn.XLOOKUP(Cuadro[[#This Row],[COD_PAIS]],PAISES[CÓDIGO],PAISES[CONTINENTE],"SIN PAÍS")</f>
        <v>AMÉRICA</v>
      </c>
    </row>
    <row r="48" spans="1:21" hidden="1" x14ac:dyDescent="0.25">
      <c r="A48" s="70" t="s">
        <v>16428</v>
      </c>
      <c r="B48" s="70" t="s">
        <v>22</v>
      </c>
      <c r="C48" s="70" t="s">
        <v>23</v>
      </c>
      <c r="D48" s="71">
        <v>305.89</v>
      </c>
      <c r="E48" s="71">
        <v>67.975999999999999</v>
      </c>
      <c r="F48" s="71">
        <v>4.5880000000000001</v>
      </c>
      <c r="G48" s="71">
        <v>175</v>
      </c>
      <c r="H48" s="72">
        <v>105</v>
      </c>
      <c r="I48" s="72">
        <v>113</v>
      </c>
      <c r="J48" s="72">
        <v>202603</v>
      </c>
      <c r="K48" s="72">
        <v>1</v>
      </c>
      <c r="L48" s="73">
        <f>IFERROR(DATE(VALUE(LEFT(Cuadro[[#This Row],[FENUM]],4)),VALUE(RIGHT(Cuadro[[#This Row],[FENUM]],2)),1),"")</f>
        <v>46082</v>
      </c>
      <c r="M48" s="11">
        <f>Cuadro[[#This Row],[FOB]]/1000</f>
        <v>0.30589</v>
      </c>
      <c r="N4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4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4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48" s="77">
        <f>IFERROR(--Cuadro[[#This Row],[FOB]],0)+IFERROR(--Cuadro[[#This Row],[FLETE]],0)+IFERROR(--Cuadro[[#This Row],[SEGURO]],0)</f>
        <v>378.45400000000001</v>
      </c>
      <c r="R48" s="78" t="str">
        <f>_xlfn.XLOOKUP(Cuadro[[#This Row],[RUC]],EMPRESAS[RUC],EMPRESAS[RAZÓN SOCIAL],"SIN RAZÓN SOCIAL")</f>
        <v>INVERSIONES EN GRANOS Y PESCADO AMAZONICO E.I.R.L.</v>
      </c>
      <c r="S48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48" s="72" t="str">
        <f>_xlfn.XLOOKUP(Cuadro[[#This Row],[COD_PAIS]],PAISES[CÓDIGO],PAISES[PAÍS],"SIN PAÍS")</f>
        <v>Brasil</v>
      </c>
      <c r="U48" s="72" t="str">
        <f>_xlfn.XLOOKUP(Cuadro[[#This Row],[COD_PAIS]],PAISES[CÓDIGO],PAISES[CONTINENTE],"SIN PAÍS")</f>
        <v>AMÉRICA</v>
      </c>
    </row>
    <row r="49" spans="1:21" hidden="1" x14ac:dyDescent="0.25">
      <c r="A49" s="70" t="s">
        <v>16428</v>
      </c>
      <c r="B49" s="70" t="s">
        <v>22</v>
      </c>
      <c r="C49" s="70" t="s">
        <v>23</v>
      </c>
      <c r="D49" s="71">
        <v>6253.76</v>
      </c>
      <c r="E49" s="71">
        <v>1563.442</v>
      </c>
      <c r="F49" s="71">
        <v>93.805999999999997</v>
      </c>
      <c r="G49" s="71">
        <v>4025</v>
      </c>
      <c r="H49" s="72">
        <v>105</v>
      </c>
      <c r="I49" s="72">
        <v>113</v>
      </c>
      <c r="J49" s="72">
        <v>202603</v>
      </c>
      <c r="K49" s="72">
        <v>1</v>
      </c>
      <c r="L49" s="73">
        <f>IFERROR(DATE(VALUE(LEFT(Cuadro[[#This Row],[FENUM]],4)),VALUE(RIGHT(Cuadro[[#This Row],[FENUM]],2)),1),"")</f>
        <v>46082</v>
      </c>
      <c r="M49" s="11">
        <f>Cuadro[[#This Row],[FOB]]/1000</f>
        <v>6.2537600000000007</v>
      </c>
      <c r="N4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4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4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49" s="77">
        <f>IFERROR(--Cuadro[[#This Row],[FOB]],0)+IFERROR(--Cuadro[[#This Row],[FLETE]],0)+IFERROR(--Cuadro[[#This Row],[SEGURO]],0)</f>
        <v>7911.0079999999998</v>
      </c>
      <c r="R49" s="78" t="str">
        <f>_xlfn.XLOOKUP(Cuadro[[#This Row],[RUC]],EMPRESAS[RUC],EMPRESAS[RAZÓN SOCIAL],"SIN RAZÓN SOCIAL")</f>
        <v>INVERSIONES EN GRANOS Y PESCADO AMAZONICO E.I.R.L.</v>
      </c>
      <c r="S49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49" s="72" t="str">
        <f>_xlfn.XLOOKUP(Cuadro[[#This Row],[COD_PAIS]],PAISES[CÓDIGO],PAISES[PAÍS],"SIN PAÍS")</f>
        <v>Brasil</v>
      </c>
      <c r="U49" s="72" t="str">
        <f>_xlfn.XLOOKUP(Cuadro[[#This Row],[COD_PAIS]],PAISES[CÓDIGO],PAISES[CONTINENTE],"SIN PAÍS")</f>
        <v>AMÉRICA</v>
      </c>
    </row>
    <row r="50" spans="1:21" hidden="1" x14ac:dyDescent="0.25">
      <c r="A50" s="70" t="s">
        <v>16428</v>
      </c>
      <c r="B50" s="70" t="s">
        <v>22</v>
      </c>
      <c r="C50" s="70" t="s">
        <v>23</v>
      </c>
      <c r="D50" s="71">
        <v>74936.39</v>
      </c>
      <c r="E50" s="71">
        <v>9367.0460000000003</v>
      </c>
      <c r="F50" s="71">
        <v>1124.046</v>
      </c>
      <c r="G50" s="71">
        <v>24115</v>
      </c>
      <c r="H50" s="72">
        <v>105</v>
      </c>
      <c r="I50" s="72">
        <v>113</v>
      </c>
      <c r="J50" s="72">
        <v>202603</v>
      </c>
      <c r="K50" s="72">
        <v>1</v>
      </c>
      <c r="L50" s="73">
        <f>IFERROR(DATE(VALUE(LEFT(Cuadro[[#This Row],[FENUM]],4)),VALUE(RIGHT(Cuadro[[#This Row],[FENUM]],2)),1),"")</f>
        <v>46082</v>
      </c>
      <c r="M50" s="11">
        <f>Cuadro[[#This Row],[FOB]]/1000</f>
        <v>74.936390000000003</v>
      </c>
      <c r="N5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5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5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50" s="77">
        <f>IFERROR(--Cuadro[[#This Row],[FOB]],0)+IFERROR(--Cuadro[[#This Row],[FLETE]],0)+IFERROR(--Cuadro[[#This Row],[SEGURO]],0)</f>
        <v>85427.482000000004</v>
      </c>
      <c r="R50" s="78" t="str">
        <f>_xlfn.XLOOKUP(Cuadro[[#This Row],[RUC]],EMPRESAS[RUC],EMPRESAS[RAZÓN SOCIAL],"SIN RAZÓN SOCIAL")</f>
        <v>INVERSIONES EN GRANOS Y PESCADO AMAZONICO E.I.R.L.</v>
      </c>
      <c r="S50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50" s="72" t="str">
        <f>_xlfn.XLOOKUP(Cuadro[[#This Row],[COD_PAIS]],PAISES[CÓDIGO],PAISES[PAÍS],"SIN PAÍS")</f>
        <v>Brasil</v>
      </c>
      <c r="U50" s="72" t="str">
        <f>_xlfn.XLOOKUP(Cuadro[[#This Row],[COD_PAIS]],PAISES[CÓDIGO],PAISES[CONTINENTE],"SIN PAÍS")</f>
        <v>AMÉRICA</v>
      </c>
    </row>
    <row r="51" spans="1:21" hidden="1" x14ac:dyDescent="0.25">
      <c r="A51" s="70" t="s">
        <v>16428</v>
      </c>
      <c r="B51" s="70" t="s">
        <v>22</v>
      </c>
      <c r="C51" s="70" t="s">
        <v>23</v>
      </c>
      <c r="D51" s="71">
        <v>4943.1899999999996</v>
      </c>
      <c r="E51" s="71">
        <v>353.08499999999998</v>
      </c>
      <c r="F51" s="71">
        <v>74.147999999999996</v>
      </c>
      <c r="G51" s="71">
        <v>909</v>
      </c>
      <c r="H51" s="72">
        <v>105</v>
      </c>
      <c r="I51" s="72">
        <v>113</v>
      </c>
      <c r="J51" s="72">
        <v>202603</v>
      </c>
      <c r="K51" s="72">
        <v>1</v>
      </c>
      <c r="L51" s="73">
        <f>IFERROR(DATE(VALUE(LEFT(Cuadro[[#This Row],[FENUM]],4)),VALUE(RIGHT(Cuadro[[#This Row],[FENUM]],2)),1),"")</f>
        <v>46082</v>
      </c>
      <c r="M51" s="11">
        <f>Cuadro[[#This Row],[FOB]]/1000</f>
        <v>4.9431899999999995</v>
      </c>
      <c r="N51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51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51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51" s="77">
        <f>IFERROR(--Cuadro[[#This Row],[FOB]],0)+IFERROR(--Cuadro[[#This Row],[FLETE]],0)+IFERROR(--Cuadro[[#This Row],[SEGURO]],0)</f>
        <v>5370.4229999999998</v>
      </c>
      <c r="R51" s="78" t="str">
        <f>_xlfn.XLOOKUP(Cuadro[[#This Row],[RUC]],EMPRESAS[RUC],EMPRESAS[RAZÓN SOCIAL],"SIN RAZÓN SOCIAL")</f>
        <v>INVERSIONES EN GRANOS Y PESCADO AMAZONICO E.I.R.L.</v>
      </c>
      <c r="S51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51" s="72" t="str">
        <f>_xlfn.XLOOKUP(Cuadro[[#This Row],[COD_PAIS]],PAISES[CÓDIGO],PAISES[PAÍS],"SIN PAÍS")</f>
        <v>Brasil</v>
      </c>
      <c r="U51" s="72" t="str">
        <f>_xlfn.XLOOKUP(Cuadro[[#This Row],[COD_PAIS]],PAISES[CÓDIGO],PAISES[CONTINENTE],"SIN PAÍS")</f>
        <v>AMÉRICA</v>
      </c>
    </row>
    <row r="52" spans="1:21" hidden="1" x14ac:dyDescent="0.25">
      <c r="A52" s="70" t="s">
        <v>16428</v>
      </c>
      <c r="B52" s="70" t="s">
        <v>20</v>
      </c>
      <c r="C52" s="70" t="s">
        <v>30</v>
      </c>
      <c r="D52" s="71">
        <v>89100</v>
      </c>
      <c r="E52" s="71">
        <v>2190.6779999999999</v>
      </c>
      <c r="F52" s="71">
        <v>891</v>
      </c>
      <c r="G52" s="71">
        <v>1912.155</v>
      </c>
      <c r="H52" s="72">
        <v>105</v>
      </c>
      <c r="I52" s="72">
        <v>910</v>
      </c>
      <c r="J52" s="72">
        <v>202606</v>
      </c>
      <c r="K52" s="72">
        <v>3</v>
      </c>
      <c r="L52" s="73">
        <f>IFERROR(DATE(VALUE(LEFT(Cuadro[[#This Row],[FENUM]],4)),VALUE(RIGHT(Cuadro[[#This Row],[FENUM]],2)),1),"")</f>
        <v>46174</v>
      </c>
      <c r="M52" s="11">
        <f>Cuadro[[#This Row],[FOB]]/1000</f>
        <v>89.1</v>
      </c>
      <c r="N52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52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Equipo de transporte</v>
      </c>
      <c r="P52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Partes y accesorios de equipo de transporte</v>
      </c>
      <c r="Q52" s="77">
        <f>IFERROR(--Cuadro[[#This Row],[FOB]],0)+IFERROR(--Cuadro[[#This Row],[FLETE]],0)+IFERROR(--Cuadro[[#This Row],[SEGURO]],0)</f>
        <v>92181.678</v>
      </c>
      <c r="R52" s="78" t="str">
        <f>_xlfn.XLOOKUP(Cuadro[[#This Row],[RUC]],EMPRESAS[RUC],EMPRESAS[RAZÓN SOCIAL],"SIN RAZÓN SOCIAL")</f>
        <v>TRANSPORTES EDUARDO SOCIEDAD ANONIMA CERRADA</v>
      </c>
      <c r="S52" s="79" t="str">
        <f>_xlfn.LET(_xlpm.o,_xlfn.XLOOKUP(Cuadro[[#This Row],[PARTIDA]],PARTIDA[PARTIDA_TEXTO],PARTIDA[PRODUCTO],"SIN DESCRIPCIÓN"),_xlfn.XLOOKUP(_xlpm.o,PROD_UNICOS[PRODUCTO_ORIGINAL],PROD_UNICOS[PRODUCTO_CORREGIDO],_xlpm.o))</f>
        <v>Motores marinos</v>
      </c>
      <c r="T52" s="72" t="str">
        <f>_xlfn.XLOOKUP(Cuadro[[#This Row],[COD_PAIS]],PAISES[CÓDIGO],PAISES[PAÍS],"SIN PAÍS")</f>
        <v>Brasil</v>
      </c>
      <c r="U52" s="72" t="str">
        <f>_xlfn.XLOOKUP(Cuadro[[#This Row],[COD_PAIS]],PAISES[CÓDIGO],PAISES[CONTINENTE],"SIN PAÍS")</f>
        <v>AMÉRICA</v>
      </c>
    </row>
    <row r="53" spans="1:21" hidden="1" x14ac:dyDescent="0.25">
      <c r="A53" s="70" t="s">
        <v>16428</v>
      </c>
      <c r="B53" s="70" t="s">
        <v>22</v>
      </c>
      <c r="C53" s="70" t="s">
        <v>23</v>
      </c>
      <c r="D53" s="71">
        <v>10740.16</v>
      </c>
      <c r="E53" s="71">
        <v>1074.0160000000001</v>
      </c>
      <c r="F53" s="71">
        <v>161.102</v>
      </c>
      <c r="G53" s="71">
        <v>2765</v>
      </c>
      <c r="H53" s="72">
        <v>105</v>
      </c>
      <c r="I53" s="72">
        <v>113</v>
      </c>
      <c r="J53" s="72">
        <v>202603</v>
      </c>
      <c r="K53" s="72">
        <v>1</v>
      </c>
      <c r="L53" s="73">
        <f>IFERROR(DATE(VALUE(LEFT(Cuadro[[#This Row],[FENUM]],4)),VALUE(RIGHT(Cuadro[[#This Row],[FENUM]],2)),1),"")</f>
        <v>46082</v>
      </c>
      <c r="M53" s="11">
        <f>Cuadro[[#This Row],[FOB]]/1000</f>
        <v>10.740159999999999</v>
      </c>
      <c r="N53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53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53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53" s="77">
        <f>IFERROR(--Cuadro[[#This Row],[FOB]],0)+IFERROR(--Cuadro[[#This Row],[FLETE]],0)+IFERROR(--Cuadro[[#This Row],[SEGURO]],0)</f>
        <v>11975.278</v>
      </c>
      <c r="R53" s="78" t="str">
        <f>_xlfn.XLOOKUP(Cuadro[[#This Row],[RUC]],EMPRESAS[RUC],EMPRESAS[RAZÓN SOCIAL],"SIN RAZÓN SOCIAL")</f>
        <v>INVERSIONES EN GRANOS Y PESCADO AMAZONICO E.I.R.L.</v>
      </c>
      <c r="S53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53" s="72" t="str">
        <f>_xlfn.XLOOKUP(Cuadro[[#This Row],[COD_PAIS]],PAISES[CÓDIGO],PAISES[PAÍS],"SIN PAÍS")</f>
        <v>Brasil</v>
      </c>
      <c r="U53" s="72" t="str">
        <f>_xlfn.XLOOKUP(Cuadro[[#This Row],[COD_PAIS]],PAISES[CÓDIGO],PAISES[CONTINENTE],"SIN PAÍS")</f>
        <v>AMÉRICA</v>
      </c>
    </row>
    <row r="54" spans="1:21" hidden="1" x14ac:dyDescent="0.25">
      <c r="A54" s="70" t="s">
        <v>16428</v>
      </c>
      <c r="B54" s="70" t="s">
        <v>22</v>
      </c>
      <c r="C54" s="70" t="s">
        <v>23</v>
      </c>
      <c r="D54" s="71">
        <v>21191.42</v>
      </c>
      <c r="E54" s="71">
        <v>2922.9540000000002</v>
      </c>
      <c r="F54" s="71">
        <v>317.87099999999998</v>
      </c>
      <c r="G54" s="71">
        <v>7525</v>
      </c>
      <c r="H54" s="72">
        <v>105</v>
      </c>
      <c r="I54" s="72">
        <v>113</v>
      </c>
      <c r="J54" s="72">
        <v>202603</v>
      </c>
      <c r="K54" s="72">
        <v>1</v>
      </c>
      <c r="L54" s="73">
        <f>IFERROR(DATE(VALUE(LEFT(Cuadro[[#This Row],[FENUM]],4)),VALUE(RIGHT(Cuadro[[#This Row],[FENUM]],2)),1),"")</f>
        <v>46082</v>
      </c>
      <c r="M54" s="11">
        <f>Cuadro[[#This Row],[FOB]]/1000</f>
        <v>21.191419999999997</v>
      </c>
      <c r="N54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54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54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54" s="77">
        <f>IFERROR(--Cuadro[[#This Row],[FOB]],0)+IFERROR(--Cuadro[[#This Row],[FLETE]],0)+IFERROR(--Cuadro[[#This Row],[SEGURO]],0)</f>
        <v>24432.244999999999</v>
      </c>
      <c r="R54" s="78" t="str">
        <f>_xlfn.XLOOKUP(Cuadro[[#This Row],[RUC]],EMPRESAS[RUC],EMPRESAS[RAZÓN SOCIAL],"SIN RAZÓN SOCIAL")</f>
        <v>INVERSIONES EN GRANOS Y PESCADO AMAZONICO E.I.R.L.</v>
      </c>
      <c r="S54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54" s="72" t="str">
        <f>_xlfn.XLOOKUP(Cuadro[[#This Row],[COD_PAIS]],PAISES[CÓDIGO],PAISES[PAÍS],"SIN PAÍS")</f>
        <v>Brasil</v>
      </c>
      <c r="U54" s="72" t="str">
        <f>_xlfn.XLOOKUP(Cuadro[[#This Row],[COD_PAIS]],PAISES[CÓDIGO],PAISES[CONTINENTE],"SIN PAÍS")</f>
        <v>AMÉRICA</v>
      </c>
    </row>
    <row r="55" spans="1:21" hidden="1" x14ac:dyDescent="0.25">
      <c r="A55" s="70" t="s">
        <v>16428</v>
      </c>
      <c r="B55" s="70" t="s">
        <v>36</v>
      </c>
      <c r="C55" s="70" t="s">
        <v>28</v>
      </c>
      <c r="D55" s="71">
        <v>475111.28600000002</v>
      </c>
      <c r="E55" s="71">
        <v>92707.168999999994</v>
      </c>
      <c r="F55" s="71">
        <v>950.22299999999996</v>
      </c>
      <c r="G55" s="71">
        <v>1000020</v>
      </c>
      <c r="H55" s="72">
        <v>105</v>
      </c>
      <c r="I55" s="72">
        <v>113</v>
      </c>
      <c r="J55" s="72">
        <v>202605</v>
      </c>
      <c r="K55" s="72">
        <v>1</v>
      </c>
      <c r="L55" s="73">
        <f>IFERROR(DATE(VALUE(LEFT(Cuadro[[#This Row],[FENUM]],4)),VALUE(RIGHT(Cuadro[[#This Row],[FENUM]],2)),1),"")</f>
        <v>46143</v>
      </c>
      <c r="M55" s="11">
        <f>Cuadro[[#This Row],[FOB]]/1000</f>
        <v>475.11128600000001</v>
      </c>
      <c r="N55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55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55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55" s="77">
        <f>IFERROR(--Cuadro[[#This Row],[FOB]],0)+IFERROR(--Cuadro[[#This Row],[FLETE]],0)+IFERROR(--Cuadro[[#This Row],[SEGURO]],0)</f>
        <v>568768.67800000007</v>
      </c>
      <c r="R55" s="78" t="str">
        <f>_xlfn.XLOOKUP(Cuadro[[#This Row],[RUC]],EMPRESAS[RUC],EMPRESAS[RAZÓN SOCIAL],"SIN RAZÓN SOCIAL")</f>
        <v>ROOSS IMPORT E.I.R.L.</v>
      </c>
      <c r="S55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55" s="72" t="str">
        <f>_xlfn.XLOOKUP(Cuadro[[#This Row],[COD_PAIS]],PAISES[CÓDIGO],PAISES[PAÍS],"SIN PAÍS")</f>
        <v>Brasil</v>
      </c>
      <c r="U55" s="72" t="str">
        <f>_xlfn.XLOOKUP(Cuadro[[#This Row],[COD_PAIS]],PAISES[CÓDIGO],PAISES[CONTINENTE],"SIN PAÍS")</f>
        <v>AMÉRICA</v>
      </c>
    </row>
    <row r="56" spans="1:21" hidden="1" x14ac:dyDescent="0.25">
      <c r="A56" s="70" t="s">
        <v>16428</v>
      </c>
      <c r="B56" s="70" t="s">
        <v>33</v>
      </c>
      <c r="C56" s="70" t="s">
        <v>34</v>
      </c>
      <c r="D56" s="71">
        <v>71154.720000000001</v>
      </c>
      <c r="E56" s="71">
        <v>4687.96</v>
      </c>
      <c r="F56" s="71">
        <v>167.94</v>
      </c>
      <c r="G56" s="71">
        <v>50107.68</v>
      </c>
      <c r="H56" s="72">
        <v>105</v>
      </c>
      <c r="I56" s="72">
        <v>113</v>
      </c>
      <c r="J56" s="72">
        <v>202608</v>
      </c>
      <c r="K56" s="72">
        <v>1</v>
      </c>
      <c r="L56" s="73">
        <f>IFERROR(DATE(VALUE(LEFT(Cuadro[[#This Row],[FENUM]],4)),VALUE(RIGHT(Cuadro[[#This Row],[FENUM]],2)),1),"")</f>
        <v>46235</v>
      </c>
      <c r="M56" s="11">
        <f>Cuadro[[#This Row],[FOB]]/1000</f>
        <v>71.154719999999998</v>
      </c>
      <c r="N56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56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56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56" s="77">
        <f>IFERROR(--Cuadro[[#This Row],[FOB]],0)+IFERROR(--Cuadro[[#This Row],[FLETE]],0)+IFERROR(--Cuadro[[#This Row],[SEGURO]],0)</f>
        <v>76010.62000000001</v>
      </c>
      <c r="R56" s="78" t="str">
        <f>_xlfn.XLOOKUP(Cuadro[[#This Row],[RUC]],EMPRESAS[RUC],EMPRESAS[RAZÓN SOCIAL],"SIN RAZÓN SOCIAL")</f>
        <v>KL IMPORT EXPORT PERU SAC</v>
      </c>
      <c r="S56" s="79" t="str">
        <f>_xlfn.LET(_xlpm.o,_xlfn.XLOOKUP(Cuadro[[#This Row],[PARTIDA]],PARTIDA[PARTIDA_TEXTO],PARTIDA[PRODUCTO],"SIN DESCRIPCIÓN"),_xlfn.XLOOKUP(_xlpm.o,PROD_UNICOS[PRODUCTO_ORIGINAL],PROD_UNICOS[PRODUCTO_CORREGIDO],_xlpm.o))</f>
        <v>Aceite de soya</v>
      </c>
      <c r="T56" s="72" t="str">
        <f>_xlfn.XLOOKUP(Cuadro[[#This Row],[COD_PAIS]],PAISES[CÓDIGO],PAISES[PAÍS],"SIN PAÍS")</f>
        <v>Brasil</v>
      </c>
      <c r="U56" s="72" t="str">
        <f>_xlfn.XLOOKUP(Cuadro[[#This Row],[COD_PAIS]],PAISES[CÓDIGO],PAISES[CONTINENTE],"SIN PAÍS")</f>
        <v>AMÉRICA</v>
      </c>
    </row>
    <row r="57" spans="1:21" hidden="1" x14ac:dyDescent="0.25">
      <c r="A57" s="70" t="s">
        <v>16428</v>
      </c>
      <c r="B57" s="70" t="s">
        <v>22</v>
      </c>
      <c r="C57" s="70" t="s">
        <v>23</v>
      </c>
      <c r="D57" s="71">
        <v>101433.32</v>
      </c>
      <c r="E57" s="71">
        <v>11270.37</v>
      </c>
      <c r="F57" s="71">
        <v>1521.5</v>
      </c>
      <c r="G57" s="71">
        <v>29015</v>
      </c>
      <c r="H57" s="72">
        <v>105</v>
      </c>
      <c r="I57" s="72">
        <v>113</v>
      </c>
      <c r="J57" s="72">
        <v>202603</v>
      </c>
      <c r="K57" s="72">
        <v>1</v>
      </c>
      <c r="L57" s="73">
        <f>IFERROR(DATE(VALUE(LEFT(Cuadro[[#This Row],[FENUM]],4)),VALUE(RIGHT(Cuadro[[#This Row],[FENUM]],2)),1),"")</f>
        <v>46082</v>
      </c>
      <c r="M57" s="11">
        <f>Cuadro[[#This Row],[FOB]]/1000</f>
        <v>101.43332000000001</v>
      </c>
      <c r="N5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5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5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57" s="77">
        <f>IFERROR(--Cuadro[[#This Row],[FOB]],0)+IFERROR(--Cuadro[[#This Row],[FLETE]],0)+IFERROR(--Cuadro[[#This Row],[SEGURO]],0)</f>
        <v>114225.19</v>
      </c>
      <c r="R57" s="78" t="str">
        <f>_xlfn.XLOOKUP(Cuadro[[#This Row],[RUC]],EMPRESAS[RUC],EMPRESAS[RAZÓN SOCIAL],"SIN RAZÓN SOCIAL")</f>
        <v>INVERSIONES EN GRANOS Y PESCADO AMAZONICO E.I.R.L.</v>
      </c>
      <c r="S57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57" s="72" t="str">
        <f>_xlfn.XLOOKUP(Cuadro[[#This Row],[COD_PAIS]],PAISES[CÓDIGO],PAISES[PAÍS],"SIN PAÍS")</f>
        <v>Brasil</v>
      </c>
      <c r="U57" s="72" t="str">
        <f>_xlfn.XLOOKUP(Cuadro[[#This Row],[COD_PAIS]],PAISES[CÓDIGO],PAISES[CONTINENTE],"SIN PAÍS")</f>
        <v>AMÉRICA</v>
      </c>
    </row>
    <row r="58" spans="1:21" hidden="1" x14ac:dyDescent="0.25">
      <c r="A58" s="70" t="s">
        <v>16428</v>
      </c>
      <c r="B58" s="70" t="s">
        <v>27</v>
      </c>
      <c r="C58" s="70" t="s">
        <v>28</v>
      </c>
      <c r="D58" s="71">
        <v>225072.97200000001</v>
      </c>
      <c r="E58" s="71">
        <v>42637.697999999997</v>
      </c>
      <c r="F58" s="71">
        <v>532.70100000000002</v>
      </c>
      <c r="G58" s="71">
        <v>500000</v>
      </c>
      <c r="H58" s="72">
        <v>105</v>
      </c>
      <c r="I58" s="72">
        <v>113</v>
      </c>
      <c r="J58" s="72">
        <v>202603</v>
      </c>
      <c r="K58" s="72">
        <v>1</v>
      </c>
      <c r="L58" s="73">
        <f>IFERROR(DATE(VALUE(LEFT(Cuadro[[#This Row],[FENUM]],4)),VALUE(RIGHT(Cuadro[[#This Row],[FENUM]],2)),1),"")</f>
        <v>46082</v>
      </c>
      <c r="M58" s="11">
        <f>Cuadro[[#This Row],[FOB]]/1000</f>
        <v>225.07297200000002</v>
      </c>
      <c r="N5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5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5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58" s="77">
        <f>IFERROR(--Cuadro[[#This Row],[FOB]],0)+IFERROR(--Cuadro[[#This Row],[FLETE]],0)+IFERROR(--Cuadro[[#This Row],[SEGURO]],0)</f>
        <v>268243.37099999998</v>
      </c>
      <c r="R58" s="78" t="str">
        <f>_xlfn.XLOOKUP(Cuadro[[#This Row],[RUC]],EMPRESAS[RUC],EMPRESAS[RAZÓN SOCIAL],"SIN RAZÓN SOCIAL")</f>
        <v>DISTRIBUIDORA NICO EIRL</v>
      </c>
      <c r="S58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58" s="72" t="str">
        <f>_xlfn.XLOOKUP(Cuadro[[#This Row],[COD_PAIS]],PAISES[CÓDIGO],PAISES[PAÍS],"SIN PAÍS")</f>
        <v>Brasil</v>
      </c>
      <c r="U58" s="72" t="str">
        <f>_xlfn.XLOOKUP(Cuadro[[#This Row],[COD_PAIS]],PAISES[CÓDIGO],PAISES[CONTINENTE],"SIN PAÍS")</f>
        <v>AMÉRICA</v>
      </c>
    </row>
    <row r="59" spans="1:21" hidden="1" x14ac:dyDescent="0.25">
      <c r="A59" s="70" t="s">
        <v>16428</v>
      </c>
      <c r="B59" s="70" t="s">
        <v>25</v>
      </c>
      <c r="C59" s="70" t="s">
        <v>23</v>
      </c>
      <c r="D59" s="71">
        <v>20447.09</v>
      </c>
      <c r="E59" s="71">
        <v>2555.8850000000002</v>
      </c>
      <c r="F59" s="71">
        <v>306.70600000000002</v>
      </c>
      <c r="G59" s="71">
        <v>6580</v>
      </c>
      <c r="H59" s="72">
        <v>105</v>
      </c>
      <c r="I59" s="72">
        <v>113</v>
      </c>
      <c r="J59" s="72">
        <v>202603</v>
      </c>
      <c r="K59" s="72">
        <v>1</v>
      </c>
      <c r="L59" s="73">
        <f>IFERROR(DATE(VALUE(LEFT(Cuadro[[#This Row],[FENUM]],4)),VALUE(RIGHT(Cuadro[[#This Row],[FENUM]],2)),1),"")</f>
        <v>46082</v>
      </c>
      <c r="M59" s="11">
        <f>Cuadro[[#This Row],[FOB]]/1000</f>
        <v>20.447089999999999</v>
      </c>
      <c r="N5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5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5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59" s="77">
        <f>IFERROR(--Cuadro[[#This Row],[FOB]],0)+IFERROR(--Cuadro[[#This Row],[FLETE]],0)+IFERROR(--Cuadro[[#This Row],[SEGURO]],0)</f>
        <v>23309.680999999997</v>
      </c>
      <c r="R59" s="78" t="str">
        <f>_xlfn.XLOOKUP(Cuadro[[#This Row],[RUC]],EMPRESAS[RUC],EMPRESAS[RAZÓN SOCIAL],"SIN RAZÓN SOCIAL")</f>
        <v>PESCADOS DE LA SELVA E.I.R.L.</v>
      </c>
      <c r="S59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59" s="72" t="str">
        <f>_xlfn.XLOOKUP(Cuadro[[#This Row],[COD_PAIS]],PAISES[CÓDIGO],PAISES[PAÍS],"SIN PAÍS")</f>
        <v>Brasil</v>
      </c>
      <c r="U59" s="72" t="str">
        <f>_xlfn.XLOOKUP(Cuadro[[#This Row],[COD_PAIS]],PAISES[CÓDIGO],PAISES[CONTINENTE],"SIN PAÍS")</f>
        <v>AMÉRICA</v>
      </c>
    </row>
    <row r="60" spans="1:21" hidden="1" x14ac:dyDescent="0.25">
      <c r="A60" s="70" t="s">
        <v>16428</v>
      </c>
      <c r="B60" s="70" t="s">
        <v>22</v>
      </c>
      <c r="C60" s="70" t="s">
        <v>23</v>
      </c>
      <c r="D60" s="71">
        <v>40064.870000000003</v>
      </c>
      <c r="E60" s="71">
        <v>5723.5529999999999</v>
      </c>
      <c r="F60" s="71">
        <v>600.97299999999996</v>
      </c>
      <c r="G60" s="71">
        <v>14735</v>
      </c>
      <c r="H60" s="72">
        <v>105</v>
      </c>
      <c r="I60" s="72">
        <v>113</v>
      </c>
      <c r="J60" s="72">
        <v>202603</v>
      </c>
      <c r="K60" s="72">
        <v>1</v>
      </c>
      <c r="L60" s="73">
        <f>IFERROR(DATE(VALUE(LEFT(Cuadro[[#This Row],[FENUM]],4)),VALUE(RIGHT(Cuadro[[#This Row],[FENUM]],2)),1),"")</f>
        <v>46082</v>
      </c>
      <c r="M60" s="11">
        <f>Cuadro[[#This Row],[FOB]]/1000</f>
        <v>40.064869999999999</v>
      </c>
      <c r="N6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6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6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60" s="77">
        <f>IFERROR(--Cuadro[[#This Row],[FOB]],0)+IFERROR(--Cuadro[[#This Row],[FLETE]],0)+IFERROR(--Cuadro[[#This Row],[SEGURO]],0)</f>
        <v>46389.396000000001</v>
      </c>
      <c r="R60" s="78" t="str">
        <f>_xlfn.XLOOKUP(Cuadro[[#This Row],[RUC]],EMPRESAS[RUC],EMPRESAS[RAZÓN SOCIAL],"SIN RAZÓN SOCIAL")</f>
        <v>INVERSIONES EN GRANOS Y PESCADO AMAZONICO E.I.R.L.</v>
      </c>
      <c r="S60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60" s="72" t="str">
        <f>_xlfn.XLOOKUP(Cuadro[[#This Row],[COD_PAIS]],PAISES[CÓDIGO],PAISES[PAÍS],"SIN PAÍS")</f>
        <v>Brasil</v>
      </c>
      <c r="U60" s="72" t="str">
        <f>_xlfn.XLOOKUP(Cuadro[[#This Row],[COD_PAIS]],PAISES[CÓDIGO],PAISES[CONTINENTE],"SIN PAÍS")</f>
        <v>AMÉRICA</v>
      </c>
    </row>
    <row r="61" spans="1:21" hidden="1" x14ac:dyDescent="0.25">
      <c r="A61" s="70" t="s">
        <v>16428</v>
      </c>
      <c r="B61" s="70" t="s">
        <v>25</v>
      </c>
      <c r="C61" s="70" t="s">
        <v>23</v>
      </c>
      <c r="D61" s="71">
        <v>16599.66</v>
      </c>
      <c r="E61" s="71">
        <v>1509.06</v>
      </c>
      <c r="F61" s="71">
        <v>248.995</v>
      </c>
      <c r="G61" s="71">
        <v>3885</v>
      </c>
      <c r="H61" s="72">
        <v>105</v>
      </c>
      <c r="I61" s="72">
        <v>113</v>
      </c>
      <c r="J61" s="72">
        <v>202603</v>
      </c>
      <c r="K61" s="72">
        <v>1</v>
      </c>
      <c r="L61" s="73">
        <f>IFERROR(DATE(VALUE(LEFT(Cuadro[[#This Row],[FENUM]],4)),VALUE(RIGHT(Cuadro[[#This Row],[FENUM]],2)),1),"")</f>
        <v>46082</v>
      </c>
      <c r="M61" s="11">
        <f>Cuadro[[#This Row],[FOB]]/1000</f>
        <v>16.59966</v>
      </c>
      <c r="N61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61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61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61" s="77">
        <f>IFERROR(--Cuadro[[#This Row],[FOB]],0)+IFERROR(--Cuadro[[#This Row],[FLETE]],0)+IFERROR(--Cuadro[[#This Row],[SEGURO]],0)</f>
        <v>18357.715</v>
      </c>
      <c r="R61" s="78" t="str">
        <f>_xlfn.XLOOKUP(Cuadro[[#This Row],[RUC]],EMPRESAS[RUC],EMPRESAS[RAZÓN SOCIAL],"SIN RAZÓN SOCIAL")</f>
        <v>PESCADOS DE LA SELVA E.I.R.L.</v>
      </c>
      <c r="S61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61" s="72" t="str">
        <f>_xlfn.XLOOKUP(Cuadro[[#This Row],[COD_PAIS]],PAISES[CÓDIGO],PAISES[PAÍS],"SIN PAÍS")</f>
        <v>Brasil</v>
      </c>
      <c r="U61" s="72" t="str">
        <f>_xlfn.XLOOKUP(Cuadro[[#This Row],[COD_PAIS]],PAISES[CÓDIGO],PAISES[CONTINENTE],"SIN PAÍS")</f>
        <v>AMÉRICA</v>
      </c>
    </row>
    <row r="62" spans="1:21" hidden="1" x14ac:dyDescent="0.25">
      <c r="A62" s="70" t="s">
        <v>16428</v>
      </c>
      <c r="B62" s="70" t="s">
        <v>22</v>
      </c>
      <c r="C62" s="70" t="s">
        <v>23</v>
      </c>
      <c r="D62" s="71">
        <v>35942.14</v>
      </c>
      <c r="E62" s="71">
        <v>5750.7420000000002</v>
      </c>
      <c r="F62" s="71">
        <v>539.13199999999995</v>
      </c>
      <c r="G62" s="71">
        <v>14805</v>
      </c>
      <c r="H62" s="72">
        <v>105</v>
      </c>
      <c r="I62" s="72">
        <v>113</v>
      </c>
      <c r="J62" s="72">
        <v>202603</v>
      </c>
      <c r="K62" s="72">
        <v>1</v>
      </c>
      <c r="L62" s="73">
        <f>IFERROR(DATE(VALUE(LEFT(Cuadro[[#This Row],[FENUM]],4)),VALUE(RIGHT(Cuadro[[#This Row],[FENUM]],2)),1),"")</f>
        <v>46082</v>
      </c>
      <c r="M62" s="11">
        <f>Cuadro[[#This Row],[FOB]]/1000</f>
        <v>35.942140000000002</v>
      </c>
      <c r="N62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62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62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62" s="77">
        <f>IFERROR(--Cuadro[[#This Row],[FOB]],0)+IFERROR(--Cuadro[[#This Row],[FLETE]],0)+IFERROR(--Cuadro[[#This Row],[SEGURO]],0)</f>
        <v>42232.013999999996</v>
      </c>
      <c r="R62" s="78" t="str">
        <f>_xlfn.XLOOKUP(Cuadro[[#This Row],[RUC]],EMPRESAS[RUC],EMPRESAS[RAZÓN SOCIAL],"SIN RAZÓN SOCIAL")</f>
        <v>INVERSIONES EN GRANOS Y PESCADO AMAZONICO E.I.R.L.</v>
      </c>
      <c r="S62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62" s="72" t="str">
        <f>_xlfn.XLOOKUP(Cuadro[[#This Row],[COD_PAIS]],PAISES[CÓDIGO],PAISES[PAÍS],"SIN PAÍS")</f>
        <v>Brasil</v>
      </c>
      <c r="U62" s="72" t="str">
        <f>_xlfn.XLOOKUP(Cuadro[[#This Row],[COD_PAIS]],PAISES[CÓDIGO],PAISES[CONTINENTE],"SIN PAÍS")</f>
        <v>AMÉRICA</v>
      </c>
    </row>
    <row r="63" spans="1:21" hidden="1" x14ac:dyDescent="0.25">
      <c r="A63" s="70" t="s">
        <v>16428</v>
      </c>
      <c r="B63" s="70" t="s">
        <v>20</v>
      </c>
      <c r="C63" s="70" t="s">
        <v>29</v>
      </c>
      <c r="D63" s="71">
        <v>1867.4349999999999</v>
      </c>
      <c r="E63" s="71">
        <v>45.914999999999999</v>
      </c>
      <c r="F63" s="71">
        <v>18.673999999999999</v>
      </c>
      <c r="G63" s="71">
        <v>40.076999999999998</v>
      </c>
      <c r="H63" s="72">
        <v>105</v>
      </c>
      <c r="I63" s="72">
        <v>840</v>
      </c>
      <c r="J63" s="72">
        <v>202606</v>
      </c>
      <c r="K63" s="72">
        <v>3</v>
      </c>
      <c r="L63" s="73">
        <f>IFERROR(DATE(VALUE(LEFT(Cuadro[[#This Row],[FENUM]],4)),VALUE(RIGHT(Cuadro[[#This Row],[FENUM]],2)),1),"")</f>
        <v>46174</v>
      </c>
      <c r="M63" s="11">
        <f>Cuadro[[#This Row],[FOB]]/1000</f>
        <v>1.867435</v>
      </c>
      <c r="N63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63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Para la industria</v>
      </c>
      <c r="P63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Partes y accesorios de maquinaria industrial</v>
      </c>
      <c r="Q63" s="77">
        <f>IFERROR(--Cuadro[[#This Row],[FOB]],0)+IFERROR(--Cuadro[[#This Row],[FLETE]],0)+IFERROR(--Cuadro[[#This Row],[SEGURO]],0)</f>
        <v>1932.0239999999999</v>
      </c>
      <c r="R63" s="78" t="str">
        <f>_xlfn.XLOOKUP(Cuadro[[#This Row],[RUC]],EMPRESAS[RUC],EMPRESAS[RAZÓN SOCIAL],"SIN RAZÓN SOCIAL")</f>
        <v>TRANSPORTES EDUARDO SOCIEDAD ANONIMA CERRADA</v>
      </c>
      <c r="S63" s="79" t="str">
        <f>_xlfn.LET(_xlpm.o,_xlfn.XLOOKUP(Cuadro[[#This Row],[PARTIDA]],PARTIDA[PARTIDA_TEXTO],PARTIDA[PRODUCTO],"SIN DESCRIPCIÓN"),_xlfn.XLOOKUP(_xlpm.o,PROD_UNICOS[PRODUCTO_ORIGINAL],PROD_UNICOS[PRODUCTO_CORREGIDO],_xlpm.o))</f>
        <v>Placas evaporadoras</v>
      </c>
      <c r="T63" s="72" t="str">
        <f>_xlfn.XLOOKUP(Cuadro[[#This Row],[COD_PAIS]],PAISES[CÓDIGO],PAISES[PAÍS],"SIN PAÍS")</f>
        <v>Brasil</v>
      </c>
      <c r="U63" s="72" t="str">
        <f>_xlfn.XLOOKUP(Cuadro[[#This Row],[COD_PAIS]],PAISES[CÓDIGO],PAISES[CONTINENTE],"SIN PAÍS")</f>
        <v>AMÉRICA</v>
      </c>
    </row>
    <row r="64" spans="1:21" hidden="1" x14ac:dyDescent="0.25">
      <c r="A64" s="70" t="s">
        <v>16428</v>
      </c>
      <c r="B64" s="70" t="s">
        <v>22</v>
      </c>
      <c r="C64" s="70" t="s">
        <v>23</v>
      </c>
      <c r="D64" s="71">
        <v>4933.3999999999996</v>
      </c>
      <c r="E64" s="71">
        <v>352.38600000000002</v>
      </c>
      <c r="F64" s="71">
        <v>74.001000000000005</v>
      </c>
      <c r="G64" s="71">
        <v>907.2</v>
      </c>
      <c r="H64" s="72">
        <v>105</v>
      </c>
      <c r="I64" s="72">
        <v>113</v>
      </c>
      <c r="J64" s="72">
        <v>202603</v>
      </c>
      <c r="K64" s="72">
        <v>1</v>
      </c>
      <c r="L64" s="73">
        <f>IFERROR(DATE(VALUE(LEFT(Cuadro[[#This Row],[FENUM]],4)),VALUE(RIGHT(Cuadro[[#This Row],[FENUM]],2)),1),"")</f>
        <v>46082</v>
      </c>
      <c r="M64" s="11">
        <f>Cuadro[[#This Row],[FOB]]/1000</f>
        <v>4.9333999999999998</v>
      </c>
      <c r="N64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64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64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64" s="77">
        <f>IFERROR(--Cuadro[[#This Row],[FOB]],0)+IFERROR(--Cuadro[[#This Row],[FLETE]],0)+IFERROR(--Cuadro[[#This Row],[SEGURO]],0)</f>
        <v>5359.7870000000003</v>
      </c>
      <c r="R64" s="78" t="str">
        <f>_xlfn.XLOOKUP(Cuadro[[#This Row],[RUC]],EMPRESAS[RUC],EMPRESAS[RAZÓN SOCIAL],"SIN RAZÓN SOCIAL")</f>
        <v>INVERSIONES EN GRANOS Y PESCADO AMAZONICO E.I.R.L.</v>
      </c>
      <c r="S64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64" s="72" t="str">
        <f>_xlfn.XLOOKUP(Cuadro[[#This Row],[COD_PAIS]],PAISES[CÓDIGO],PAISES[PAÍS],"SIN PAÍS")</f>
        <v>Brasil</v>
      </c>
      <c r="U64" s="72" t="str">
        <f>_xlfn.XLOOKUP(Cuadro[[#This Row],[COD_PAIS]],PAISES[CÓDIGO],PAISES[CONTINENTE],"SIN PAÍS")</f>
        <v>AMÉRICA</v>
      </c>
    </row>
    <row r="65" spans="1:21" hidden="1" x14ac:dyDescent="0.25">
      <c r="A65" s="70" t="s">
        <v>16428</v>
      </c>
      <c r="B65" s="70" t="s">
        <v>37</v>
      </c>
      <c r="C65" s="70" t="s">
        <v>28</v>
      </c>
      <c r="D65" s="71">
        <v>252150</v>
      </c>
      <c r="E65" s="71">
        <v>51165.24</v>
      </c>
      <c r="F65" s="71">
        <v>571.37</v>
      </c>
      <c r="G65" s="71">
        <v>600000</v>
      </c>
      <c r="H65" s="72">
        <v>105</v>
      </c>
      <c r="I65" s="72">
        <v>113</v>
      </c>
      <c r="J65" s="72">
        <v>202608</v>
      </c>
      <c r="K65" s="72">
        <v>1</v>
      </c>
      <c r="L65" s="73">
        <f>IFERROR(DATE(VALUE(LEFT(Cuadro[[#This Row],[FENUM]],4)),VALUE(RIGHT(Cuadro[[#This Row],[FENUM]],2)),1),"")</f>
        <v>46235</v>
      </c>
      <c r="M65" s="11">
        <f>Cuadro[[#This Row],[FOB]]/1000</f>
        <v>252.15</v>
      </c>
      <c r="N65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65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65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65" s="77">
        <f>IFERROR(--Cuadro[[#This Row],[FOB]],0)+IFERROR(--Cuadro[[#This Row],[FLETE]],0)+IFERROR(--Cuadro[[#This Row],[SEGURO]],0)</f>
        <v>303886.61</v>
      </c>
      <c r="R65" s="78" t="str">
        <f>_xlfn.XLOOKUP(Cuadro[[#This Row],[RUC]],EMPRESAS[RUC],EMPRESAS[RAZÓN SOCIAL],"SIN RAZÓN SOCIAL")</f>
        <v>CORPORACION MONTEVERDE SOCIEDAD ANONIMA CERRADA - CORPORACION MONTEVERDE S.A.C.</v>
      </c>
      <c r="S65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65" s="72" t="str">
        <f>_xlfn.XLOOKUP(Cuadro[[#This Row],[COD_PAIS]],PAISES[CÓDIGO],PAISES[PAÍS],"SIN PAÍS")</f>
        <v>Brasil</v>
      </c>
      <c r="U65" s="72" t="str">
        <f>_xlfn.XLOOKUP(Cuadro[[#This Row],[COD_PAIS]],PAISES[CÓDIGO],PAISES[CONTINENTE],"SIN PAÍS")</f>
        <v>AMÉRICA</v>
      </c>
    </row>
    <row r="66" spans="1:21" hidden="1" x14ac:dyDescent="0.25">
      <c r="A66" s="70" t="s">
        <v>16428</v>
      </c>
      <c r="B66" s="70" t="s">
        <v>35</v>
      </c>
      <c r="C66" s="70" t="s">
        <v>23</v>
      </c>
      <c r="D66" s="71">
        <v>2706</v>
      </c>
      <c r="E66" s="71">
        <v>368.99900000000002</v>
      </c>
      <c r="F66" s="71">
        <v>40.590000000000003</v>
      </c>
      <c r="G66" s="71">
        <v>1229.9949999999999</v>
      </c>
      <c r="H66" s="72">
        <v>105</v>
      </c>
      <c r="I66" s="72">
        <v>113</v>
      </c>
      <c r="J66" s="72">
        <v>202603</v>
      </c>
      <c r="K66" s="72">
        <v>1</v>
      </c>
      <c r="L66" s="73">
        <f>IFERROR(DATE(VALUE(LEFT(Cuadro[[#This Row],[FENUM]],4)),VALUE(RIGHT(Cuadro[[#This Row],[FENUM]],2)),1),"")</f>
        <v>46082</v>
      </c>
      <c r="M66" s="11">
        <f>Cuadro[[#This Row],[FOB]]/1000</f>
        <v>2.706</v>
      </c>
      <c r="N66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66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66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66" s="77">
        <f>IFERROR(--Cuadro[[#This Row],[FOB]],0)+IFERROR(--Cuadro[[#This Row],[FLETE]],0)+IFERROR(--Cuadro[[#This Row],[SEGURO]],0)</f>
        <v>3115.5889999999999</v>
      </c>
      <c r="R66" s="78" t="str">
        <f>_xlfn.XLOOKUP(Cuadro[[#This Row],[RUC]],EMPRESAS[RUC],EMPRESAS[RAZÓN SOCIAL],"SIN RAZÓN SOCIAL")</f>
        <v>INVERSIONES COMERPEZ HJC S.R.L.</v>
      </c>
      <c r="S66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66" s="72" t="str">
        <f>_xlfn.XLOOKUP(Cuadro[[#This Row],[COD_PAIS]],PAISES[CÓDIGO],PAISES[PAÍS],"SIN PAÍS")</f>
        <v>Brasil</v>
      </c>
      <c r="U66" s="72" t="str">
        <f>_xlfn.XLOOKUP(Cuadro[[#This Row],[COD_PAIS]],PAISES[CÓDIGO],PAISES[CONTINENTE],"SIN PAÍS")</f>
        <v>AMÉRICA</v>
      </c>
    </row>
    <row r="67" spans="1:21" hidden="1" x14ac:dyDescent="0.25">
      <c r="A67" s="70" t="s">
        <v>16428</v>
      </c>
      <c r="B67" s="70" t="s">
        <v>22</v>
      </c>
      <c r="C67" s="70" t="s">
        <v>23</v>
      </c>
      <c r="D67" s="71">
        <v>3222.05</v>
      </c>
      <c r="E67" s="71">
        <v>1074.0160000000001</v>
      </c>
      <c r="F67" s="71">
        <v>48.331000000000003</v>
      </c>
      <c r="G67" s="71">
        <v>2765</v>
      </c>
      <c r="H67" s="72">
        <v>105</v>
      </c>
      <c r="I67" s="72">
        <v>113</v>
      </c>
      <c r="J67" s="72">
        <v>202603</v>
      </c>
      <c r="K67" s="72">
        <v>1</v>
      </c>
      <c r="L67" s="73">
        <f>IFERROR(DATE(VALUE(LEFT(Cuadro[[#This Row],[FENUM]],4)),VALUE(RIGHT(Cuadro[[#This Row],[FENUM]],2)),1),"")</f>
        <v>46082</v>
      </c>
      <c r="M67" s="11">
        <f>Cuadro[[#This Row],[FOB]]/1000</f>
        <v>3.2220500000000003</v>
      </c>
      <c r="N6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6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6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67" s="77">
        <f>IFERROR(--Cuadro[[#This Row],[FOB]],0)+IFERROR(--Cuadro[[#This Row],[FLETE]],0)+IFERROR(--Cuadro[[#This Row],[SEGURO]],0)</f>
        <v>4344.3970000000008</v>
      </c>
      <c r="R67" s="78" t="str">
        <f>_xlfn.XLOOKUP(Cuadro[[#This Row],[RUC]],EMPRESAS[RUC],EMPRESAS[RAZÓN SOCIAL],"SIN RAZÓN SOCIAL")</f>
        <v>INVERSIONES EN GRANOS Y PESCADO AMAZONICO E.I.R.L.</v>
      </c>
      <c r="S67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67" s="72" t="str">
        <f>_xlfn.XLOOKUP(Cuadro[[#This Row],[COD_PAIS]],PAISES[CÓDIGO],PAISES[PAÍS],"SIN PAÍS")</f>
        <v>Brasil</v>
      </c>
      <c r="U67" s="72" t="str">
        <f>_xlfn.XLOOKUP(Cuadro[[#This Row],[COD_PAIS]],PAISES[CÓDIGO],PAISES[CONTINENTE],"SIN PAÍS")</f>
        <v>AMÉRICA</v>
      </c>
    </row>
    <row r="68" spans="1:21" hidden="1" x14ac:dyDescent="0.25">
      <c r="A68" s="70" t="s">
        <v>16428</v>
      </c>
      <c r="B68" s="70" t="s">
        <v>22</v>
      </c>
      <c r="C68" s="70" t="s">
        <v>23</v>
      </c>
      <c r="D68" s="71">
        <v>18679.72</v>
      </c>
      <c r="E68" s="71">
        <v>3113.288</v>
      </c>
      <c r="F68" s="71">
        <v>280.19600000000003</v>
      </c>
      <c r="G68" s="71">
        <v>8015</v>
      </c>
      <c r="H68" s="72">
        <v>105</v>
      </c>
      <c r="I68" s="72">
        <v>113</v>
      </c>
      <c r="J68" s="72">
        <v>202603</v>
      </c>
      <c r="K68" s="72">
        <v>1</v>
      </c>
      <c r="L68" s="73">
        <f>IFERROR(DATE(VALUE(LEFT(Cuadro[[#This Row],[FENUM]],4)),VALUE(RIGHT(Cuadro[[#This Row],[FENUM]],2)),1),"")</f>
        <v>46082</v>
      </c>
      <c r="M68" s="11">
        <f>Cuadro[[#This Row],[FOB]]/1000</f>
        <v>18.67972</v>
      </c>
      <c r="N6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6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6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68" s="77">
        <f>IFERROR(--Cuadro[[#This Row],[FOB]],0)+IFERROR(--Cuadro[[#This Row],[FLETE]],0)+IFERROR(--Cuadro[[#This Row],[SEGURO]],0)</f>
        <v>22073.204000000002</v>
      </c>
      <c r="R68" s="78" t="str">
        <f>_xlfn.XLOOKUP(Cuadro[[#This Row],[RUC]],EMPRESAS[RUC],EMPRESAS[RAZÓN SOCIAL],"SIN RAZÓN SOCIAL")</f>
        <v>INVERSIONES EN GRANOS Y PESCADO AMAZONICO E.I.R.L.</v>
      </c>
      <c r="S68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68" s="72" t="str">
        <f>_xlfn.XLOOKUP(Cuadro[[#This Row],[COD_PAIS]],PAISES[CÓDIGO],PAISES[PAÍS],"SIN PAÍS")</f>
        <v>Brasil</v>
      </c>
      <c r="U68" s="72" t="str">
        <f>_xlfn.XLOOKUP(Cuadro[[#This Row],[COD_PAIS]],PAISES[CÓDIGO],PAISES[CONTINENTE],"SIN PAÍS")</f>
        <v>AMÉRICA</v>
      </c>
    </row>
    <row r="69" spans="1:21" hidden="1" x14ac:dyDescent="0.25">
      <c r="A69" s="70" t="s">
        <v>16428</v>
      </c>
      <c r="B69" s="70" t="s">
        <v>36</v>
      </c>
      <c r="C69" s="70" t="s">
        <v>28</v>
      </c>
      <c r="D69" s="71">
        <v>225048.21400000001</v>
      </c>
      <c r="E69" s="71">
        <v>46149.031000000003</v>
      </c>
      <c r="F69" s="71">
        <v>450.09699999999998</v>
      </c>
      <c r="G69" s="71">
        <v>500000</v>
      </c>
      <c r="H69" s="72">
        <v>105</v>
      </c>
      <c r="I69" s="72">
        <v>113</v>
      </c>
      <c r="J69" s="72">
        <v>202605</v>
      </c>
      <c r="K69" s="72">
        <v>1</v>
      </c>
      <c r="L69" s="73">
        <f>IFERROR(DATE(VALUE(LEFT(Cuadro[[#This Row],[FENUM]],4)),VALUE(RIGHT(Cuadro[[#This Row],[FENUM]],2)),1),"")</f>
        <v>46143</v>
      </c>
      <c r="M69" s="11">
        <f>Cuadro[[#This Row],[FOB]]/1000</f>
        <v>225.048214</v>
      </c>
      <c r="N6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6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6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69" s="77">
        <f>IFERROR(--Cuadro[[#This Row],[FOB]],0)+IFERROR(--Cuadro[[#This Row],[FLETE]],0)+IFERROR(--Cuadro[[#This Row],[SEGURO]],0)</f>
        <v>271647.342</v>
      </c>
      <c r="R69" s="78" t="str">
        <f>_xlfn.XLOOKUP(Cuadro[[#This Row],[RUC]],EMPRESAS[RUC],EMPRESAS[RAZÓN SOCIAL],"SIN RAZÓN SOCIAL")</f>
        <v>ROOSS IMPORT E.I.R.L.</v>
      </c>
      <c r="S69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69" s="72" t="str">
        <f>_xlfn.XLOOKUP(Cuadro[[#This Row],[COD_PAIS]],PAISES[CÓDIGO],PAISES[PAÍS],"SIN PAÍS")</f>
        <v>Brasil</v>
      </c>
      <c r="U69" s="72" t="str">
        <f>_xlfn.XLOOKUP(Cuadro[[#This Row],[COD_PAIS]],PAISES[CÓDIGO],PAISES[CONTINENTE],"SIN PAÍS")</f>
        <v>AMÉRICA</v>
      </c>
    </row>
    <row r="70" spans="1:21" hidden="1" x14ac:dyDescent="0.25">
      <c r="A70" s="70" t="s">
        <v>16428</v>
      </c>
      <c r="B70" s="70" t="s">
        <v>31</v>
      </c>
      <c r="C70" s="70" t="s">
        <v>1650</v>
      </c>
      <c r="D70" s="71">
        <v>19544.36</v>
      </c>
      <c r="E70" s="71">
        <v>1600</v>
      </c>
      <c r="F70" s="71">
        <v>195.44399999999999</v>
      </c>
      <c r="G70" s="71">
        <v>30000</v>
      </c>
      <c r="H70" s="72">
        <v>105</v>
      </c>
      <c r="I70" s="72">
        <v>113</v>
      </c>
      <c r="J70" s="72">
        <v>202608</v>
      </c>
      <c r="K70" s="72">
        <v>1</v>
      </c>
      <c r="L70" s="73">
        <f>IFERROR(DATE(VALUE(LEFT(Cuadro[[#This Row],[FENUM]],4)),VALUE(RIGHT(Cuadro[[#This Row],[FENUM]],2)),1),"")</f>
        <v>46235</v>
      </c>
      <c r="M70" s="11">
        <f>Cuadro[[#This Row],[FOB]]/1000</f>
        <v>19.544360000000001</v>
      </c>
      <c r="N7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7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7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elaborados</v>
      </c>
      <c r="Q70" s="77">
        <f>IFERROR(--Cuadro[[#This Row],[FOB]],0)+IFERROR(--Cuadro[[#This Row],[FLETE]],0)+IFERROR(--Cuadro[[#This Row],[SEGURO]],0)</f>
        <v>21339.804</v>
      </c>
      <c r="R70" s="78" t="str">
        <f>_xlfn.XLOOKUP(Cuadro[[#This Row],[RUC]],EMPRESAS[RUC],EMPRESAS[RAZÓN SOCIAL],"SIN RAZÓN SOCIAL")</f>
        <v>ARYA ALIMENTOS S.R.L.</v>
      </c>
      <c r="S70" s="79" t="str">
        <f>_xlfn.LET(_xlpm.o,_xlfn.XLOOKUP(Cuadro[[#This Row],[PARTIDA]],PARTIDA[PARTIDA_TEXTO],PARTIDA[PRODUCTO],"SIN DESCRIPCIÓN"),_xlfn.XLOOKUP(_xlpm.o,PROD_UNICOS[PRODUCTO_ORIGINAL],PROD_UNICOS[PRODUCTO_CORREGIDO],_xlpm.o))</f>
        <v>Arroz</v>
      </c>
      <c r="T70" s="72" t="str">
        <f>_xlfn.XLOOKUP(Cuadro[[#This Row],[COD_PAIS]],PAISES[CÓDIGO],PAISES[PAÍS],"SIN PAÍS")</f>
        <v>Brasil</v>
      </c>
      <c r="U70" s="72" t="str">
        <f>_xlfn.XLOOKUP(Cuadro[[#This Row],[COD_PAIS]],PAISES[CÓDIGO],PAISES[CONTINENTE],"SIN PAÍS")</f>
        <v>AMÉRICA</v>
      </c>
    </row>
    <row r="71" spans="1:21" hidden="1" x14ac:dyDescent="0.25">
      <c r="A71" s="70" t="s">
        <v>16428</v>
      </c>
      <c r="B71" s="70" t="s">
        <v>25</v>
      </c>
      <c r="C71" s="70" t="s">
        <v>23</v>
      </c>
      <c r="D71" s="71">
        <v>11902.54</v>
      </c>
      <c r="E71" s="71">
        <v>1400.299</v>
      </c>
      <c r="F71" s="71">
        <v>178.53800000000001</v>
      </c>
      <c r="G71" s="71">
        <v>3605</v>
      </c>
      <c r="H71" s="72">
        <v>105</v>
      </c>
      <c r="I71" s="72">
        <v>113</v>
      </c>
      <c r="J71" s="72">
        <v>202603</v>
      </c>
      <c r="K71" s="72">
        <v>1</v>
      </c>
      <c r="L71" s="73">
        <f>IFERROR(DATE(VALUE(LEFT(Cuadro[[#This Row],[FENUM]],4)),VALUE(RIGHT(Cuadro[[#This Row],[FENUM]],2)),1),"")</f>
        <v>46082</v>
      </c>
      <c r="M71" s="11">
        <f>Cuadro[[#This Row],[FOB]]/1000</f>
        <v>11.90254</v>
      </c>
      <c r="N71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71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71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71" s="77">
        <f>IFERROR(--Cuadro[[#This Row],[FOB]],0)+IFERROR(--Cuadro[[#This Row],[FLETE]],0)+IFERROR(--Cuadro[[#This Row],[SEGURO]],0)</f>
        <v>13481.377</v>
      </c>
      <c r="R71" s="78" t="str">
        <f>_xlfn.XLOOKUP(Cuadro[[#This Row],[RUC]],EMPRESAS[RUC],EMPRESAS[RAZÓN SOCIAL],"SIN RAZÓN SOCIAL")</f>
        <v>PESCADOS DE LA SELVA E.I.R.L.</v>
      </c>
      <c r="S71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71" s="72" t="str">
        <f>_xlfn.XLOOKUP(Cuadro[[#This Row],[COD_PAIS]],PAISES[CÓDIGO],PAISES[PAÍS],"SIN PAÍS")</f>
        <v>Brasil</v>
      </c>
      <c r="U71" s="72" t="str">
        <f>_xlfn.XLOOKUP(Cuadro[[#This Row],[COD_PAIS]],PAISES[CÓDIGO],PAISES[CONTINENTE],"SIN PAÍS")</f>
        <v>AMÉRICA</v>
      </c>
    </row>
    <row r="72" spans="1:21" hidden="1" x14ac:dyDescent="0.25">
      <c r="A72" s="70" t="s">
        <v>16428</v>
      </c>
      <c r="B72" s="70" t="s">
        <v>22</v>
      </c>
      <c r="C72" s="70" t="s">
        <v>23</v>
      </c>
      <c r="D72" s="71">
        <v>58187.19</v>
      </c>
      <c r="E72" s="71">
        <v>5818.7169999999996</v>
      </c>
      <c r="F72" s="71">
        <v>872.80799999999999</v>
      </c>
      <c r="G72" s="71">
        <v>14980</v>
      </c>
      <c r="H72" s="72">
        <v>105</v>
      </c>
      <c r="I72" s="72">
        <v>113</v>
      </c>
      <c r="J72" s="72">
        <v>202603</v>
      </c>
      <c r="K72" s="72">
        <v>1</v>
      </c>
      <c r="L72" s="73">
        <f>IFERROR(DATE(VALUE(LEFT(Cuadro[[#This Row],[FENUM]],4)),VALUE(RIGHT(Cuadro[[#This Row],[FENUM]],2)),1),"")</f>
        <v>46082</v>
      </c>
      <c r="M72" s="11">
        <f>Cuadro[[#This Row],[FOB]]/1000</f>
        <v>58.187190000000001</v>
      </c>
      <c r="N72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72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72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72" s="77">
        <f>IFERROR(--Cuadro[[#This Row],[FOB]],0)+IFERROR(--Cuadro[[#This Row],[FLETE]],0)+IFERROR(--Cuadro[[#This Row],[SEGURO]],0)</f>
        <v>64878.714999999997</v>
      </c>
      <c r="R72" s="78" t="str">
        <f>_xlfn.XLOOKUP(Cuadro[[#This Row],[RUC]],EMPRESAS[RUC],EMPRESAS[RAZÓN SOCIAL],"SIN RAZÓN SOCIAL")</f>
        <v>INVERSIONES EN GRANOS Y PESCADO AMAZONICO E.I.R.L.</v>
      </c>
      <c r="S72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72" s="72" t="str">
        <f>_xlfn.XLOOKUP(Cuadro[[#This Row],[COD_PAIS]],PAISES[CÓDIGO],PAISES[PAÍS],"SIN PAÍS")</f>
        <v>Brasil</v>
      </c>
      <c r="U72" s="72" t="str">
        <f>_xlfn.XLOOKUP(Cuadro[[#This Row],[COD_PAIS]],PAISES[CÓDIGO],PAISES[CONTINENTE],"SIN PAÍS")</f>
        <v>AMÉRICA</v>
      </c>
    </row>
    <row r="73" spans="1:21" hidden="1" x14ac:dyDescent="0.25">
      <c r="A73" s="70" t="s">
        <v>16428</v>
      </c>
      <c r="B73" s="70" t="s">
        <v>33</v>
      </c>
      <c r="C73" s="70" t="s">
        <v>28</v>
      </c>
      <c r="D73" s="71">
        <v>123150</v>
      </c>
      <c r="E73" s="71">
        <v>25582.62</v>
      </c>
      <c r="F73" s="71">
        <v>336.33</v>
      </c>
      <c r="G73" s="71">
        <v>300000</v>
      </c>
      <c r="H73" s="72">
        <v>105</v>
      </c>
      <c r="I73" s="72">
        <v>113</v>
      </c>
      <c r="J73" s="72">
        <v>202608</v>
      </c>
      <c r="K73" s="72">
        <v>1</v>
      </c>
      <c r="L73" s="73">
        <f>IFERROR(DATE(VALUE(LEFT(Cuadro[[#This Row],[FENUM]],4)),VALUE(RIGHT(Cuadro[[#This Row],[FENUM]],2)),1),"")</f>
        <v>46235</v>
      </c>
      <c r="M73" s="11">
        <f>Cuadro[[#This Row],[FOB]]/1000</f>
        <v>123.15</v>
      </c>
      <c r="N73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73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73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73" s="77">
        <f>IFERROR(--Cuadro[[#This Row],[FOB]],0)+IFERROR(--Cuadro[[#This Row],[FLETE]],0)+IFERROR(--Cuadro[[#This Row],[SEGURO]],0)</f>
        <v>149068.94999999998</v>
      </c>
      <c r="R73" s="78" t="str">
        <f>_xlfn.XLOOKUP(Cuadro[[#This Row],[RUC]],EMPRESAS[RUC],EMPRESAS[RAZÓN SOCIAL],"SIN RAZÓN SOCIAL")</f>
        <v>KL IMPORT EXPORT PERU SAC</v>
      </c>
      <c r="S73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73" s="72" t="str">
        <f>_xlfn.XLOOKUP(Cuadro[[#This Row],[COD_PAIS]],PAISES[CÓDIGO],PAISES[PAÍS],"SIN PAÍS")</f>
        <v>Brasil</v>
      </c>
      <c r="U73" s="72" t="str">
        <f>_xlfn.XLOOKUP(Cuadro[[#This Row],[COD_PAIS]],PAISES[CÓDIGO],PAISES[CONTINENTE],"SIN PAÍS")</f>
        <v>AMÉRICA</v>
      </c>
    </row>
    <row r="74" spans="1:21" hidden="1" x14ac:dyDescent="0.25">
      <c r="A74" s="70" t="s">
        <v>16428</v>
      </c>
      <c r="B74" s="70" t="s">
        <v>25</v>
      </c>
      <c r="C74" s="70" t="s">
        <v>23</v>
      </c>
      <c r="D74" s="71">
        <v>1250.75</v>
      </c>
      <c r="E74" s="71">
        <v>312.68799999999999</v>
      </c>
      <c r="F74" s="71">
        <v>18.760999999999999</v>
      </c>
      <c r="G74" s="71">
        <v>805</v>
      </c>
      <c r="H74" s="72">
        <v>105</v>
      </c>
      <c r="I74" s="72">
        <v>113</v>
      </c>
      <c r="J74" s="72">
        <v>202603</v>
      </c>
      <c r="K74" s="72">
        <v>1</v>
      </c>
      <c r="L74" s="73">
        <f>IFERROR(DATE(VALUE(LEFT(Cuadro[[#This Row],[FENUM]],4)),VALUE(RIGHT(Cuadro[[#This Row],[FENUM]],2)),1),"")</f>
        <v>46082</v>
      </c>
      <c r="M74" s="11">
        <f>Cuadro[[#This Row],[FOB]]/1000</f>
        <v>1.25075</v>
      </c>
      <c r="N74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74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74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74" s="77">
        <f>IFERROR(--Cuadro[[#This Row],[FOB]],0)+IFERROR(--Cuadro[[#This Row],[FLETE]],0)+IFERROR(--Cuadro[[#This Row],[SEGURO]],0)</f>
        <v>1582.1990000000001</v>
      </c>
      <c r="R74" s="78" t="str">
        <f>_xlfn.XLOOKUP(Cuadro[[#This Row],[RUC]],EMPRESAS[RUC],EMPRESAS[RAZÓN SOCIAL],"SIN RAZÓN SOCIAL")</f>
        <v>PESCADOS DE LA SELVA E.I.R.L.</v>
      </c>
      <c r="S74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74" s="72" t="str">
        <f>_xlfn.XLOOKUP(Cuadro[[#This Row],[COD_PAIS]],PAISES[CÓDIGO],PAISES[PAÍS],"SIN PAÍS")</f>
        <v>Brasil</v>
      </c>
      <c r="U74" s="72" t="str">
        <f>_xlfn.XLOOKUP(Cuadro[[#This Row],[COD_PAIS]],PAISES[CÓDIGO],PAISES[CONTINENTE],"SIN PAÍS")</f>
        <v>AMÉRICA</v>
      </c>
    </row>
    <row r="75" spans="1:21" hidden="1" x14ac:dyDescent="0.25">
      <c r="A75" s="70" t="s">
        <v>16428</v>
      </c>
      <c r="B75" s="70" t="s">
        <v>33</v>
      </c>
      <c r="C75" s="70" t="s">
        <v>34</v>
      </c>
      <c r="D75" s="71">
        <v>319107.59999999998</v>
      </c>
      <c r="E75" s="71">
        <v>19125</v>
      </c>
      <c r="F75" s="71">
        <v>752.71</v>
      </c>
      <c r="G75" s="71">
        <v>225484.56</v>
      </c>
      <c r="H75" s="72">
        <v>105</v>
      </c>
      <c r="I75" s="72">
        <v>113</v>
      </c>
      <c r="J75" s="72">
        <v>202605</v>
      </c>
      <c r="K75" s="72">
        <v>1</v>
      </c>
      <c r="L75" s="73">
        <f>IFERROR(DATE(VALUE(LEFT(Cuadro[[#This Row],[FENUM]],4)),VALUE(RIGHT(Cuadro[[#This Row],[FENUM]],2)),1),"")</f>
        <v>46143</v>
      </c>
      <c r="M75" s="11">
        <f>Cuadro[[#This Row],[FOB]]/1000</f>
        <v>319.10759999999999</v>
      </c>
      <c r="N75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75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75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75" s="77">
        <f>IFERROR(--Cuadro[[#This Row],[FOB]],0)+IFERROR(--Cuadro[[#This Row],[FLETE]],0)+IFERROR(--Cuadro[[#This Row],[SEGURO]],0)</f>
        <v>338985.31</v>
      </c>
      <c r="R75" s="78" t="str">
        <f>_xlfn.XLOOKUP(Cuadro[[#This Row],[RUC]],EMPRESAS[RUC],EMPRESAS[RAZÓN SOCIAL],"SIN RAZÓN SOCIAL")</f>
        <v>KL IMPORT EXPORT PERU SAC</v>
      </c>
      <c r="S75" s="79" t="str">
        <f>_xlfn.LET(_xlpm.o,_xlfn.XLOOKUP(Cuadro[[#This Row],[PARTIDA]],PARTIDA[PARTIDA_TEXTO],PARTIDA[PRODUCTO],"SIN DESCRIPCIÓN"),_xlfn.XLOOKUP(_xlpm.o,PROD_UNICOS[PRODUCTO_ORIGINAL],PROD_UNICOS[PRODUCTO_CORREGIDO],_xlpm.o))</f>
        <v>Aceite de soya</v>
      </c>
      <c r="T75" s="72" t="str">
        <f>_xlfn.XLOOKUP(Cuadro[[#This Row],[COD_PAIS]],PAISES[CÓDIGO],PAISES[PAÍS],"SIN PAÍS")</f>
        <v>Brasil</v>
      </c>
      <c r="U75" s="72" t="str">
        <f>_xlfn.XLOOKUP(Cuadro[[#This Row],[COD_PAIS]],PAISES[CÓDIGO],PAISES[CONTINENTE],"SIN PAÍS")</f>
        <v>AMÉRICA</v>
      </c>
    </row>
    <row r="76" spans="1:21" hidden="1" x14ac:dyDescent="0.25">
      <c r="A76" s="70" t="s">
        <v>16428</v>
      </c>
      <c r="B76" s="70" t="s">
        <v>22</v>
      </c>
      <c r="C76" s="70" t="s">
        <v>23</v>
      </c>
      <c r="D76" s="71">
        <v>7830.8</v>
      </c>
      <c r="E76" s="71">
        <v>870.08900000000006</v>
      </c>
      <c r="F76" s="71">
        <v>117.462</v>
      </c>
      <c r="G76" s="71">
        <v>2240</v>
      </c>
      <c r="H76" s="72">
        <v>105</v>
      </c>
      <c r="I76" s="72">
        <v>113</v>
      </c>
      <c r="J76" s="72">
        <v>202603</v>
      </c>
      <c r="K76" s="72">
        <v>1</v>
      </c>
      <c r="L76" s="73">
        <f>IFERROR(DATE(VALUE(LEFT(Cuadro[[#This Row],[FENUM]],4)),VALUE(RIGHT(Cuadro[[#This Row],[FENUM]],2)),1),"")</f>
        <v>46082</v>
      </c>
      <c r="M76" s="11">
        <f>Cuadro[[#This Row],[FOB]]/1000</f>
        <v>7.8308</v>
      </c>
      <c r="N76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76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76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76" s="77">
        <f>IFERROR(--Cuadro[[#This Row],[FOB]],0)+IFERROR(--Cuadro[[#This Row],[FLETE]],0)+IFERROR(--Cuadro[[#This Row],[SEGURO]],0)</f>
        <v>8818.3510000000006</v>
      </c>
      <c r="R76" s="78" t="str">
        <f>_xlfn.XLOOKUP(Cuadro[[#This Row],[RUC]],EMPRESAS[RUC],EMPRESAS[RAZÓN SOCIAL],"SIN RAZÓN SOCIAL")</f>
        <v>INVERSIONES EN GRANOS Y PESCADO AMAZONICO E.I.R.L.</v>
      </c>
      <c r="S76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76" s="72" t="str">
        <f>_xlfn.XLOOKUP(Cuadro[[#This Row],[COD_PAIS]],PAISES[CÓDIGO],PAISES[PAÍS],"SIN PAÍS")</f>
        <v>Brasil</v>
      </c>
      <c r="U76" s="72" t="str">
        <f>_xlfn.XLOOKUP(Cuadro[[#This Row],[COD_PAIS]],PAISES[CÓDIGO],PAISES[CONTINENTE],"SIN PAÍS")</f>
        <v>AMÉRICA</v>
      </c>
    </row>
    <row r="77" spans="1:21" hidden="1" x14ac:dyDescent="0.25">
      <c r="A77" s="70" t="s">
        <v>16428</v>
      </c>
      <c r="B77" s="70" t="s">
        <v>22</v>
      </c>
      <c r="C77" s="70" t="s">
        <v>23</v>
      </c>
      <c r="D77" s="71">
        <v>12276.41</v>
      </c>
      <c r="E77" s="71">
        <v>2338.364</v>
      </c>
      <c r="F77" s="71">
        <v>184.14599999999999</v>
      </c>
      <c r="G77" s="71">
        <v>6020</v>
      </c>
      <c r="H77" s="72">
        <v>105</v>
      </c>
      <c r="I77" s="72">
        <v>113</v>
      </c>
      <c r="J77" s="72">
        <v>202603</v>
      </c>
      <c r="K77" s="72">
        <v>1</v>
      </c>
      <c r="L77" s="73">
        <f>IFERROR(DATE(VALUE(LEFT(Cuadro[[#This Row],[FENUM]],4)),VALUE(RIGHT(Cuadro[[#This Row],[FENUM]],2)),1),"")</f>
        <v>46082</v>
      </c>
      <c r="M77" s="11">
        <f>Cuadro[[#This Row],[FOB]]/1000</f>
        <v>12.27641</v>
      </c>
      <c r="N7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7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7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77" s="77">
        <f>IFERROR(--Cuadro[[#This Row],[FOB]],0)+IFERROR(--Cuadro[[#This Row],[FLETE]],0)+IFERROR(--Cuadro[[#This Row],[SEGURO]],0)</f>
        <v>14798.92</v>
      </c>
      <c r="R77" s="78" t="str">
        <f>_xlfn.XLOOKUP(Cuadro[[#This Row],[RUC]],EMPRESAS[RUC],EMPRESAS[RAZÓN SOCIAL],"SIN RAZÓN SOCIAL")</f>
        <v>INVERSIONES EN GRANOS Y PESCADO AMAZONICO E.I.R.L.</v>
      </c>
      <c r="S77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77" s="72" t="str">
        <f>_xlfn.XLOOKUP(Cuadro[[#This Row],[COD_PAIS]],PAISES[CÓDIGO],PAISES[PAÍS],"SIN PAÍS")</f>
        <v>Brasil</v>
      </c>
      <c r="U77" s="72" t="str">
        <f>_xlfn.XLOOKUP(Cuadro[[#This Row],[COD_PAIS]],PAISES[CÓDIGO],PAISES[CONTINENTE],"SIN PAÍS")</f>
        <v>AMÉRICA</v>
      </c>
    </row>
    <row r="78" spans="1:21" hidden="1" x14ac:dyDescent="0.25">
      <c r="A78" s="70" t="s">
        <v>16428</v>
      </c>
      <c r="B78" s="70" t="s">
        <v>22</v>
      </c>
      <c r="C78" s="70" t="s">
        <v>23</v>
      </c>
      <c r="D78" s="71">
        <v>24471.25</v>
      </c>
      <c r="E78" s="71">
        <v>3495.8939999999998</v>
      </c>
      <c r="F78" s="71">
        <v>367.06900000000002</v>
      </c>
      <c r="G78" s="71">
        <v>9000</v>
      </c>
      <c r="H78" s="72">
        <v>105</v>
      </c>
      <c r="I78" s="72">
        <v>113</v>
      </c>
      <c r="J78" s="72">
        <v>202603</v>
      </c>
      <c r="K78" s="72">
        <v>1</v>
      </c>
      <c r="L78" s="73">
        <f>IFERROR(DATE(VALUE(LEFT(Cuadro[[#This Row],[FENUM]],4)),VALUE(RIGHT(Cuadro[[#This Row],[FENUM]],2)),1),"")</f>
        <v>46082</v>
      </c>
      <c r="M78" s="11">
        <f>Cuadro[[#This Row],[FOB]]/1000</f>
        <v>24.471250000000001</v>
      </c>
      <c r="N7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7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7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78" s="77">
        <f>IFERROR(--Cuadro[[#This Row],[FOB]],0)+IFERROR(--Cuadro[[#This Row],[FLETE]],0)+IFERROR(--Cuadro[[#This Row],[SEGURO]],0)</f>
        <v>28334.213</v>
      </c>
      <c r="R78" s="78" t="str">
        <f>_xlfn.XLOOKUP(Cuadro[[#This Row],[RUC]],EMPRESAS[RUC],EMPRESAS[RAZÓN SOCIAL],"SIN RAZÓN SOCIAL")</f>
        <v>INVERSIONES EN GRANOS Y PESCADO AMAZONICO E.I.R.L.</v>
      </c>
      <c r="S78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78" s="72" t="str">
        <f>_xlfn.XLOOKUP(Cuadro[[#This Row],[COD_PAIS]],PAISES[CÓDIGO],PAISES[PAÍS],"SIN PAÍS")</f>
        <v>Brasil</v>
      </c>
      <c r="U78" s="72" t="str">
        <f>_xlfn.XLOOKUP(Cuadro[[#This Row],[COD_PAIS]],PAISES[CÓDIGO],PAISES[CONTINENTE],"SIN PAÍS")</f>
        <v>AMÉRICA</v>
      </c>
    </row>
    <row r="79" spans="1:21" hidden="1" x14ac:dyDescent="0.25">
      <c r="A79" s="70" t="s">
        <v>16428</v>
      </c>
      <c r="B79" s="70" t="s">
        <v>25</v>
      </c>
      <c r="C79" s="70" t="s">
        <v>23</v>
      </c>
      <c r="D79" s="71">
        <v>6308.14</v>
      </c>
      <c r="E79" s="71">
        <v>788.51800000000003</v>
      </c>
      <c r="F79" s="71">
        <v>94.622</v>
      </c>
      <c r="G79" s="71">
        <v>2030</v>
      </c>
      <c r="H79" s="72">
        <v>105</v>
      </c>
      <c r="I79" s="72">
        <v>113</v>
      </c>
      <c r="J79" s="72">
        <v>202603</v>
      </c>
      <c r="K79" s="72">
        <v>1</v>
      </c>
      <c r="L79" s="73">
        <f>IFERROR(DATE(VALUE(LEFT(Cuadro[[#This Row],[FENUM]],4)),VALUE(RIGHT(Cuadro[[#This Row],[FENUM]],2)),1),"")</f>
        <v>46082</v>
      </c>
      <c r="M79" s="11">
        <f>Cuadro[[#This Row],[FOB]]/1000</f>
        <v>6.3081400000000007</v>
      </c>
      <c r="N7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7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7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79" s="77">
        <f>IFERROR(--Cuadro[[#This Row],[FOB]],0)+IFERROR(--Cuadro[[#This Row],[FLETE]],0)+IFERROR(--Cuadro[[#This Row],[SEGURO]],0)</f>
        <v>7191.2800000000007</v>
      </c>
      <c r="R79" s="78" t="str">
        <f>_xlfn.XLOOKUP(Cuadro[[#This Row],[RUC]],EMPRESAS[RUC],EMPRESAS[RAZÓN SOCIAL],"SIN RAZÓN SOCIAL")</f>
        <v>PESCADOS DE LA SELVA E.I.R.L.</v>
      </c>
      <c r="S79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79" s="72" t="str">
        <f>_xlfn.XLOOKUP(Cuadro[[#This Row],[COD_PAIS]],PAISES[CÓDIGO],PAISES[PAÍS],"SIN PAÍS")</f>
        <v>Brasil</v>
      </c>
      <c r="U79" s="72" t="str">
        <f>_xlfn.XLOOKUP(Cuadro[[#This Row],[COD_PAIS]],PAISES[CÓDIGO],PAISES[CONTINENTE],"SIN PAÍS")</f>
        <v>AMÉRICA</v>
      </c>
    </row>
    <row r="80" spans="1:21" hidden="1" x14ac:dyDescent="0.25">
      <c r="A80" s="70" t="s">
        <v>16428</v>
      </c>
      <c r="B80" s="70" t="s">
        <v>35</v>
      </c>
      <c r="C80" s="70" t="s">
        <v>23</v>
      </c>
      <c r="D80" s="71">
        <v>33675</v>
      </c>
      <c r="E80" s="71">
        <v>4040.9839999999999</v>
      </c>
      <c r="F80" s="71">
        <v>505.125</v>
      </c>
      <c r="G80" s="71">
        <v>13469.947</v>
      </c>
      <c r="H80" s="72">
        <v>105</v>
      </c>
      <c r="I80" s="72">
        <v>113</v>
      </c>
      <c r="J80" s="72">
        <v>202603</v>
      </c>
      <c r="K80" s="72">
        <v>1</v>
      </c>
      <c r="L80" s="73">
        <f>IFERROR(DATE(VALUE(LEFT(Cuadro[[#This Row],[FENUM]],4)),VALUE(RIGHT(Cuadro[[#This Row],[FENUM]],2)),1),"")</f>
        <v>46082</v>
      </c>
      <c r="M80" s="11">
        <f>Cuadro[[#This Row],[FOB]]/1000</f>
        <v>33.674999999999997</v>
      </c>
      <c r="N8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8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8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80" s="77">
        <f>IFERROR(--Cuadro[[#This Row],[FOB]],0)+IFERROR(--Cuadro[[#This Row],[FLETE]],0)+IFERROR(--Cuadro[[#This Row],[SEGURO]],0)</f>
        <v>38221.108999999997</v>
      </c>
      <c r="R80" s="78" t="str">
        <f>_xlfn.XLOOKUP(Cuadro[[#This Row],[RUC]],EMPRESAS[RUC],EMPRESAS[RAZÓN SOCIAL],"SIN RAZÓN SOCIAL")</f>
        <v>INVERSIONES COMERPEZ HJC S.R.L.</v>
      </c>
      <c r="S80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80" s="72" t="str">
        <f>_xlfn.XLOOKUP(Cuadro[[#This Row],[COD_PAIS]],PAISES[CÓDIGO],PAISES[PAÍS],"SIN PAÍS")</f>
        <v>Brasil</v>
      </c>
      <c r="U80" s="72" t="str">
        <f>_xlfn.XLOOKUP(Cuadro[[#This Row],[COD_PAIS]],PAISES[CÓDIGO],PAISES[CONTINENTE],"SIN PAÍS")</f>
        <v>AMÉRICA</v>
      </c>
    </row>
    <row r="81" spans="1:21" hidden="1" x14ac:dyDescent="0.25">
      <c r="A81" s="70" t="s">
        <v>16428</v>
      </c>
      <c r="B81" s="70" t="s">
        <v>25</v>
      </c>
      <c r="C81" s="70" t="s">
        <v>23</v>
      </c>
      <c r="D81" s="71">
        <v>16038.86</v>
      </c>
      <c r="E81" s="71">
        <v>1944.104</v>
      </c>
      <c r="F81" s="71">
        <v>240.583</v>
      </c>
      <c r="G81" s="71">
        <v>5005</v>
      </c>
      <c r="H81" s="72">
        <v>105</v>
      </c>
      <c r="I81" s="72">
        <v>113</v>
      </c>
      <c r="J81" s="72">
        <v>202603</v>
      </c>
      <c r="K81" s="72">
        <v>1</v>
      </c>
      <c r="L81" s="73">
        <f>IFERROR(DATE(VALUE(LEFT(Cuadro[[#This Row],[FENUM]],4)),VALUE(RIGHT(Cuadro[[#This Row],[FENUM]],2)),1),"")</f>
        <v>46082</v>
      </c>
      <c r="M81" s="11">
        <f>Cuadro[[#This Row],[FOB]]/1000</f>
        <v>16.03886</v>
      </c>
      <c r="N81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81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81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81" s="77">
        <f>IFERROR(--Cuadro[[#This Row],[FOB]],0)+IFERROR(--Cuadro[[#This Row],[FLETE]],0)+IFERROR(--Cuadro[[#This Row],[SEGURO]],0)</f>
        <v>18223.546999999999</v>
      </c>
      <c r="R81" s="78" t="str">
        <f>_xlfn.XLOOKUP(Cuadro[[#This Row],[RUC]],EMPRESAS[RUC],EMPRESAS[RAZÓN SOCIAL],"SIN RAZÓN SOCIAL")</f>
        <v>PESCADOS DE LA SELVA E.I.R.L.</v>
      </c>
      <c r="S81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81" s="72" t="str">
        <f>_xlfn.XLOOKUP(Cuadro[[#This Row],[COD_PAIS]],PAISES[CÓDIGO],PAISES[PAÍS],"SIN PAÍS")</f>
        <v>Brasil</v>
      </c>
      <c r="U81" s="72" t="str">
        <f>_xlfn.XLOOKUP(Cuadro[[#This Row],[COD_PAIS]],PAISES[CÓDIGO],PAISES[CONTINENTE],"SIN PAÍS")</f>
        <v>AMÉRICA</v>
      </c>
    </row>
    <row r="82" spans="1:21" hidden="1" x14ac:dyDescent="0.25">
      <c r="A82" s="70" t="s">
        <v>16428</v>
      </c>
      <c r="B82" s="70" t="s">
        <v>25</v>
      </c>
      <c r="C82" s="70" t="s">
        <v>23</v>
      </c>
      <c r="D82" s="71">
        <v>2875.37</v>
      </c>
      <c r="E82" s="71">
        <v>638.971</v>
      </c>
      <c r="F82" s="71">
        <v>43.131</v>
      </c>
      <c r="G82" s="71">
        <v>1645</v>
      </c>
      <c r="H82" s="72">
        <v>105</v>
      </c>
      <c r="I82" s="72">
        <v>113</v>
      </c>
      <c r="J82" s="72">
        <v>202603</v>
      </c>
      <c r="K82" s="72">
        <v>1</v>
      </c>
      <c r="L82" s="73">
        <f>IFERROR(DATE(VALUE(LEFT(Cuadro[[#This Row],[FENUM]],4)),VALUE(RIGHT(Cuadro[[#This Row],[FENUM]],2)),1),"")</f>
        <v>46082</v>
      </c>
      <c r="M82" s="11">
        <f>Cuadro[[#This Row],[FOB]]/1000</f>
        <v>2.8753699999999998</v>
      </c>
      <c r="N82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82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82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82" s="77">
        <f>IFERROR(--Cuadro[[#This Row],[FOB]],0)+IFERROR(--Cuadro[[#This Row],[FLETE]],0)+IFERROR(--Cuadro[[#This Row],[SEGURO]],0)</f>
        <v>3557.4719999999998</v>
      </c>
      <c r="R82" s="78" t="str">
        <f>_xlfn.XLOOKUP(Cuadro[[#This Row],[RUC]],EMPRESAS[RUC],EMPRESAS[RAZÓN SOCIAL],"SIN RAZÓN SOCIAL")</f>
        <v>PESCADOS DE LA SELVA E.I.R.L.</v>
      </c>
      <c r="S82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82" s="72" t="str">
        <f>_xlfn.XLOOKUP(Cuadro[[#This Row],[COD_PAIS]],PAISES[CÓDIGO],PAISES[PAÍS],"SIN PAÍS")</f>
        <v>Brasil</v>
      </c>
      <c r="U82" s="72" t="str">
        <f>_xlfn.XLOOKUP(Cuadro[[#This Row],[COD_PAIS]],PAISES[CÓDIGO],PAISES[CONTINENTE],"SIN PAÍS")</f>
        <v>AMÉRICA</v>
      </c>
    </row>
    <row r="83" spans="1:21" hidden="1" x14ac:dyDescent="0.25">
      <c r="A83" s="70" t="s">
        <v>16428</v>
      </c>
      <c r="B83" s="70" t="s">
        <v>22</v>
      </c>
      <c r="C83" s="70" t="s">
        <v>23</v>
      </c>
      <c r="D83" s="71">
        <v>1631.42</v>
      </c>
      <c r="E83" s="71">
        <v>407.85399999999998</v>
      </c>
      <c r="F83" s="71">
        <v>24.471</v>
      </c>
      <c r="G83" s="71">
        <v>1050</v>
      </c>
      <c r="H83" s="72">
        <v>105</v>
      </c>
      <c r="I83" s="72">
        <v>113</v>
      </c>
      <c r="J83" s="72">
        <v>202603</v>
      </c>
      <c r="K83" s="72">
        <v>1</v>
      </c>
      <c r="L83" s="73">
        <f>IFERROR(DATE(VALUE(LEFT(Cuadro[[#This Row],[FENUM]],4)),VALUE(RIGHT(Cuadro[[#This Row],[FENUM]],2)),1),"")</f>
        <v>46082</v>
      </c>
      <c r="M83" s="11">
        <f>Cuadro[[#This Row],[FOB]]/1000</f>
        <v>1.6314200000000001</v>
      </c>
      <c r="N83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83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83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83" s="77">
        <f>IFERROR(--Cuadro[[#This Row],[FOB]],0)+IFERROR(--Cuadro[[#This Row],[FLETE]],0)+IFERROR(--Cuadro[[#This Row],[SEGURO]],0)</f>
        <v>2063.7449999999999</v>
      </c>
      <c r="R83" s="78" t="str">
        <f>_xlfn.XLOOKUP(Cuadro[[#This Row],[RUC]],EMPRESAS[RUC],EMPRESAS[RAZÓN SOCIAL],"SIN RAZÓN SOCIAL")</f>
        <v>INVERSIONES EN GRANOS Y PESCADO AMAZONICO E.I.R.L.</v>
      </c>
      <c r="S83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83" s="72" t="str">
        <f>_xlfn.XLOOKUP(Cuadro[[#This Row],[COD_PAIS]],PAISES[CÓDIGO],PAISES[PAÍS],"SIN PAÍS")</f>
        <v>Brasil</v>
      </c>
      <c r="U83" s="72" t="str">
        <f>_xlfn.XLOOKUP(Cuadro[[#This Row],[COD_PAIS]],PAISES[CÓDIGO],PAISES[CONTINENTE],"SIN PAÍS")</f>
        <v>AMÉRICA</v>
      </c>
    </row>
    <row r="84" spans="1:21" hidden="1" x14ac:dyDescent="0.25">
      <c r="A84" s="70" t="s">
        <v>16428</v>
      </c>
      <c r="B84" s="70" t="s">
        <v>22</v>
      </c>
      <c r="C84" s="70" t="s">
        <v>23</v>
      </c>
      <c r="D84" s="71">
        <v>305.89</v>
      </c>
      <c r="E84" s="71">
        <v>122.35599999999999</v>
      </c>
      <c r="F84" s="71">
        <v>4.5880000000000001</v>
      </c>
      <c r="G84" s="71">
        <v>315</v>
      </c>
      <c r="H84" s="72">
        <v>105</v>
      </c>
      <c r="I84" s="72">
        <v>113</v>
      </c>
      <c r="J84" s="72">
        <v>202603</v>
      </c>
      <c r="K84" s="72">
        <v>1</v>
      </c>
      <c r="L84" s="73">
        <f>IFERROR(DATE(VALUE(LEFT(Cuadro[[#This Row],[FENUM]],4)),VALUE(RIGHT(Cuadro[[#This Row],[FENUM]],2)),1),"")</f>
        <v>46082</v>
      </c>
      <c r="M84" s="11">
        <f>Cuadro[[#This Row],[FOB]]/1000</f>
        <v>0.30589</v>
      </c>
      <c r="N84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84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84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84" s="77">
        <f>IFERROR(--Cuadro[[#This Row],[FOB]],0)+IFERROR(--Cuadro[[#This Row],[FLETE]],0)+IFERROR(--Cuadro[[#This Row],[SEGURO]],0)</f>
        <v>432.834</v>
      </c>
      <c r="R84" s="78" t="str">
        <f>_xlfn.XLOOKUP(Cuadro[[#This Row],[RUC]],EMPRESAS[RUC],EMPRESAS[RAZÓN SOCIAL],"SIN RAZÓN SOCIAL")</f>
        <v>INVERSIONES EN GRANOS Y PESCADO AMAZONICO E.I.R.L.</v>
      </c>
      <c r="S84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84" s="72" t="str">
        <f>_xlfn.XLOOKUP(Cuadro[[#This Row],[COD_PAIS]],PAISES[CÓDIGO],PAISES[PAÍS],"SIN PAÍS")</f>
        <v>Brasil</v>
      </c>
      <c r="U84" s="72" t="str">
        <f>_xlfn.XLOOKUP(Cuadro[[#This Row],[COD_PAIS]],PAISES[CÓDIGO],PAISES[CONTINENTE],"SIN PAÍS")</f>
        <v>AMÉRICA</v>
      </c>
    </row>
    <row r="85" spans="1:21" hidden="1" x14ac:dyDescent="0.25">
      <c r="A85" s="70" t="s">
        <v>16428</v>
      </c>
      <c r="B85" s="70" t="s">
        <v>39</v>
      </c>
      <c r="C85" s="70" t="s">
        <v>28</v>
      </c>
      <c r="D85" s="71">
        <v>470159.4</v>
      </c>
      <c r="E85" s="71">
        <v>85000</v>
      </c>
      <c r="F85" s="71">
        <v>1034.3499999999999</v>
      </c>
      <c r="G85" s="71">
        <v>1000020</v>
      </c>
      <c r="H85" s="72">
        <v>105</v>
      </c>
      <c r="I85" s="72">
        <v>113</v>
      </c>
      <c r="J85" s="72">
        <v>202608</v>
      </c>
      <c r="K85" s="72">
        <v>1</v>
      </c>
      <c r="L85" s="73">
        <f>IFERROR(DATE(VALUE(LEFT(Cuadro[[#This Row],[FENUM]],4)),VALUE(RIGHT(Cuadro[[#This Row],[FENUM]],2)),1),"")</f>
        <v>46235</v>
      </c>
      <c r="M85" s="11">
        <f>Cuadro[[#This Row],[FOB]]/1000</f>
        <v>470.15940000000001</v>
      </c>
      <c r="N85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85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85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85" s="77">
        <f>IFERROR(--Cuadro[[#This Row],[FOB]],0)+IFERROR(--Cuadro[[#This Row],[FLETE]],0)+IFERROR(--Cuadro[[#This Row],[SEGURO]],0)</f>
        <v>556193.75</v>
      </c>
      <c r="R85" s="78" t="str">
        <f>_xlfn.XLOOKUP(Cuadro[[#This Row],[RUC]],EMPRESAS[RUC],EMPRESAS[RAZÓN SOCIAL],"SIN RAZÓN SOCIAL")</f>
        <v>LA CADENA DE SUPERMERCADOS E.I.R.L.</v>
      </c>
      <c r="S85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85" s="72" t="str">
        <f>_xlfn.XLOOKUP(Cuadro[[#This Row],[COD_PAIS]],PAISES[CÓDIGO],PAISES[PAÍS],"SIN PAÍS")</f>
        <v>Brasil</v>
      </c>
      <c r="U85" s="72" t="str">
        <f>_xlfn.XLOOKUP(Cuadro[[#This Row],[COD_PAIS]],PAISES[CÓDIGO],PAISES[CONTINENTE],"SIN PAÍS")</f>
        <v>AMÉRICA</v>
      </c>
    </row>
    <row r="86" spans="1:21" hidden="1" x14ac:dyDescent="0.25">
      <c r="A86" s="70" t="s">
        <v>16428</v>
      </c>
      <c r="B86" s="70" t="s">
        <v>25</v>
      </c>
      <c r="C86" s="70" t="s">
        <v>23</v>
      </c>
      <c r="D86" s="71">
        <v>7307.39</v>
      </c>
      <c r="E86" s="71">
        <v>1169.181</v>
      </c>
      <c r="F86" s="71">
        <v>109.611</v>
      </c>
      <c r="G86" s="71">
        <v>3010</v>
      </c>
      <c r="H86" s="72">
        <v>105</v>
      </c>
      <c r="I86" s="72">
        <v>113</v>
      </c>
      <c r="J86" s="72">
        <v>202603</v>
      </c>
      <c r="K86" s="72">
        <v>1</v>
      </c>
      <c r="L86" s="73">
        <f>IFERROR(DATE(VALUE(LEFT(Cuadro[[#This Row],[FENUM]],4)),VALUE(RIGHT(Cuadro[[#This Row],[FENUM]],2)),1),"")</f>
        <v>46082</v>
      </c>
      <c r="M86" s="11">
        <f>Cuadro[[#This Row],[FOB]]/1000</f>
        <v>7.3073900000000007</v>
      </c>
      <c r="N86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86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86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86" s="77">
        <f>IFERROR(--Cuadro[[#This Row],[FOB]],0)+IFERROR(--Cuadro[[#This Row],[FLETE]],0)+IFERROR(--Cuadro[[#This Row],[SEGURO]],0)</f>
        <v>8586.1820000000007</v>
      </c>
      <c r="R86" s="78" t="str">
        <f>_xlfn.XLOOKUP(Cuadro[[#This Row],[RUC]],EMPRESAS[RUC],EMPRESAS[RAZÓN SOCIAL],"SIN RAZÓN SOCIAL")</f>
        <v>PESCADOS DE LA SELVA E.I.R.L.</v>
      </c>
      <c r="S86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86" s="72" t="str">
        <f>_xlfn.XLOOKUP(Cuadro[[#This Row],[COD_PAIS]],PAISES[CÓDIGO],PAISES[PAÍS],"SIN PAÍS")</f>
        <v>Brasil</v>
      </c>
      <c r="U86" s="72" t="str">
        <f>_xlfn.XLOOKUP(Cuadro[[#This Row],[COD_PAIS]],PAISES[CÓDIGO],PAISES[CONTINENTE],"SIN PAÍS")</f>
        <v>AMÉRICA</v>
      </c>
    </row>
    <row r="87" spans="1:21" hidden="1" x14ac:dyDescent="0.25">
      <c r="A87" s="70" t="s">
        <v>16428</v>
      </c>
      <c r="B87" s="70" t="s">
        <v>25</v>
      </c>
      <c r="C87" s="70" t="s">
        <v>23</v>
      </c>
      <c r="D87" s="71">
        <v>18475.79</v>
      </c>
      <c r="E87" s="71">
        <v>2052.8649999999998</v>
      </c>
      <c r="F87" s="71">
        <v>277.137</v>
      </c>
      <c r="G87" s="71">
        <v>5285</v>
      </c>
      <c r="H87" s="72">
        <v>105</v>
      </c>
      <c r="I87" s="72">
        <v>113</v>
      </c>
      <c r="J87" s="72">
        <v>202603</v>
      </c>
      <c r="K87" s="72">
        <v>1</v>
      </c>
      <c r="L87" s="73">
        <f>IFERROR(DATE(VALUE(LEFT(Cuadro[[#This Row],[FENUM]],4)),VALUE(RIGHT(Cuadro[[#This Row],[FENUM]],2)),1),"")</f>
        <v>46082</v>
      </c>
      <c r="M87" s="11">
        <f>Cuadro[[#This Row],[FOB]]/1000</f>
        <v>18.47579</v>
      </c>
      <c r="N8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8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8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87" s="77">
        <f>IFERROR(--Cuadro[[#This Row],[FOB]],0)+IFERROR(--Cuadro[[#This Row],[FLETE]],0)+IFERROR(--Cuadro[[#This Row],[SEGURO]],0)</f>
        <v>20805.791999999998</v>
      </c>
      <c r="R87" s="78" t="str">
        <f>_xlfn.XLOOKUP(Cuadro[[#This Row],[RUC]],EMPRESAS[RUC],EMPRESAS[RAZÓN SOCIAL],"SIN RAZÓN SOCIAL")</f>
        <v>PESCADOS DE LA SELVA E.I.R.L.</v>
      </c>
      <c r="S87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87" s="72" t="str">
        <f>_xlfn.XLOOKUP(Cuadro[[#This Row],[COD_PAIS]],PAISES[CÓDIGO],PAISES[PAÍS],"SIN PAÍS")</f>
        <v>Brasil</v>
      </c>
      <c r="U87" s="72" t="str">
        <f>_xlfn.XLOOKUP(Cuadro[[#This Row],[COD_PAIS]],PAISES[CÓDIGO],PAISES[CONTINENTE],"SIN PAÍS")</f>
        <v>AMÉRICA</v>
      </c>
    </row>
    <row r="88" spans="1:21" hidden="1" x14ac:dyDescent="0.25">
      <c r="A88" s="70" t="s">
        <v>16428</v>
      </c>
      <c r="B88" s="70" t="s">
        <v>39</v>
      </c>
      <c r="C88" s="70" t="s">
        <v>28</v>
      </c>
      <c r="D88" s="71">
        <v>369150</v>
      </c>
      <c r="E88" s="71">
        <v>76747.86</v>
      </c>
      <c r="F88" s="71">
        <v>812.13</v>
      </c>
      <c r="G88" s="71">
        <v>900000</v>
      </c>
      <c r="H88" s="72">
        <v>105</v>
      </c>
      <c r="I88" s="72">
        <v>113</v>
      </c>
      <c r="J88" s="72">
        <v>202608</v>
      </c>
      <c r="K88" s="72">
        <v>1</v>
      </c>
      <c r="L88" s="73">
        <f>IFERROR(DATE(VALUE(LEFT(Cuadro[[#This Row],[FENUM]],4)),VALUE(RIGHT(Cuadro[[#This Row],[FENUM]],2)),1),"")</f>
        <v>46235</v>
      </c>
      <c r="M88" s="11">
        <f>Cuadro[[#This Row],[FOB]]/1000</f>
        <v>369.15</v>
      </c>
      <c r="N8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8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8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88" s="77">
        <f>IFERROR(--Cuadro[[#This Row],[FOB]],0)+IFERROR(--Cuadro[[#This Row],[FLETE]],0)+IFERROR(--Cuadro[[#This Row],[SEGURO]],0)</f>
        <v>446709.99</v>
      </c>
      <c r="R88" s="78" t="str">
        <f>_xlfn.XLOOKUP(Cuadro[[#This Row],[RUC]],EMPRESAS[RUC],EMPRESAS[RAZÓN SOCIAL],"SIN RAZÓN SOCIAL")</f>
        <v>LA CADENA DE SUPERMERCADOS E.I.R.L.</v>
      </c>
      <c r="S88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88" s="72" t="str">
        <f>_xlfn.XLOOKUP(Cuadro[[#This Row],[COD_PAIS]],PAISES[CÓDIGO],PAISES[PAÍS],"SIN PAÍS")</f>
        <v>Brasil</v>
      </c>
      <c r="U88" s="72" t="str">
        <f>_xlfn.XLOOKUP(Cuadro[[#This Row],[COD_PAIS]],PAISES[CÓDIGO],PAISES[CONTINENTE],"SIN PAÍS")</f>
        <v>AMÉRICA</v>
      </c>
    </row>
    <row r="89" spans="1:21" hidden="1" x14ac:dyDescent="0.25">
      <c r="A89" s="70" t="s">
        <v>16428</v>
      </c>
      <c r="B89" s="70" t="s">
        <v>31</v>
      </c>
      <c r="C89" s="70" t="s">
        <v>32</v>
      </c>
      <c r="D89" s="71">
        <v>64424.5</v>
      </c>
      <c r="E89" s="71">
        <v>13822.55</v>
      </c>
      <c r="F89" s="71">
        <v>966.36800000000005</v>
      </c>
      <c r="G89" s="71">
        <v>276140</v>
      </c>
      <c r="H89" s="72">
        <v>105</v>
      </c>
      <c r="I89" s="72">
        <v>412</v>
      </c>
      <c r="J89" s="72">
        <v>202606</v>
      </c>
      <c r="K89" s="72">
        <v>2</v>
      </c>
      <c r="L89" s="73">
        <f>IFERROR(DATE(VALUE(LEFT(Cuadro[[#This Row],[FENUM]],4)),VALUE(RIGHT(Cuadro[[#This Row],[FENUM]],2)),1),"")</f>
        <v>46174</v>
      </c>
      <c r="M89" s="11">
        <f>Cuadro[[#This Row],[FOB]]/1000</f>
        <v>64.424499999999995</v>
      </c>
      <c r="N8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8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agricultura</v>
      </c>
      <c r="P8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Alimentos para animales: elaborados</v>
      </c>
      <c r="Q89" s="77">
        <f>IFERROR(--Cuadro[[#This Row],[FOB]],0)+IFERROR(--Cuadro[[#This Row],[FLETE]],0)+IFERROR(--Cuadro[[#This Row],[SEGURO]],0)</f>
        <v>79213.418000000005</v>
      </c>
      <c r="R89" s="78" t="str">
        <f>_xlfn.XLOOKUP(Cuadro[[#This Row],[RUC]],EMPRESAS[RUC],EMPRESAS[RAZÓN SOCIAL],"SIN RAZÓN SOCIAL")</f>
        <v>ARYA ALIMENTOS S.R.L.</v>
      </c>
      <c r="S89" s="79" t="str">
        <f>_xlfn.LET(_xlpm.o,_xlfn.XLOOKUP(Cuadro[[#This Row],[PARTIDA]],PARTIDA[PARTIDA_TEXTO],PARTIDA[PRODUCTO],"SIN DESCRIPCIÓN"),_xlfn.XLOOKUP(_xlpm.o,PROD_UNICOS[PRODUCTO_ORIGINAL],PROD_UNICOS[PRODUCTO_CORREGIDO],_xlpm.o))</f>
        <v>Torta de soya</v>
      </c>
      <c r="T89" s="72" t="str">
        <f>_xlfn.XLOOKUP(Cuadro[[#This Row],[COD_PAIS]],PAISES[CÓDIGO],PAISES[PAÍS],"SIN PAÍS")</f>
        <v>Brasil</v>
      </c>
      <c r="U89" s="72" t="str">
        <f>_xlfn.XLOOKUP(Cuadro[[#This Row],[COD_PAIS]],PAISES[CÓDIGO],PAISES[CONTINENTE],"SIN PAÍS")</f>
        <v>AMÉRICA</v>
      </c>
    </row>
    <row r="90" spans="1:21" hidden="1" x14ac:dyDescent="0.25">
      <c r="A90" s="70" t="s">
        <v>16428</v>
      </c>
      <c r="B90" s="70" t="s">
        <v>25</v>
      </c>
      <c r="C90" s="70" t="s">
        <v>23</v>
      </c>
      <c r="D90" s="71">
        <v>19712.95</v>
      </c>
      <c r="E90" s="71">
        <v>2719.027</v>
      </c>
      <c r="F90" s="71">
        <v>295.69400000000002</v>
      </c>
      <c r="G90" s="71">
        <v>7000</v>
      </c>
      <c r="H90" s="72">
        <v>105</v>
      </c>
      <c r="I90" s="72">
        <v>113</v>
      </c>
      <c r="J90" s="72">
        <v>202603</v>
      </c>
      <c r="K90" s="72">
        <v>1</v>
      </c>
      <c r="L90" s="73">
        <f>IFERROR(DATE(VALUE(LEFT(Cuadro[[#This Row],[FENUM]],4)),VALUE(RIGHT(Cuadro[[#This Row],[FENUM]],2)),1),"")</f>
        <v>46082</v>
      </c>
      <c r="M90" s="11">
        <f>Cuadro[[#This Row],[FOB]]/1000</f>
        <v>19.712949999999999</v>
      </c>
      <c r="N9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9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9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90" s="77">
        <f>IFERROR(--Cuadro[[#This Row],[FOB]],0)+IFERROR(--Cuadro[[#This Row],[FLETE]],0)+IFERROR(--Cuadro[[#This Row],[SEGURO]],0)</f>
        <v>22727.670999999998</v>
      </c>
      <c r="R90" s="78" t="str">
        <f>_xlfn.XLOOKUP(Cuadro[[#This Row],[RUC]],EMPRESAS[RUC],EMPRESAS[RAZÓN SOCIAL],"SIN RAZÓN SOCIAL")</f>
        <v>PESCADOS DE LA SELVA E.I.R.L.</v>
      </c>
      <c r="S90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90" s="72" t="str">
        <f>_xlfn.XLOOKUP(Cuadro[[#This Row],[COD_PAIS]],PAISES[CÓDIGO],PAISES[PAÍS],"SIN PAÍS")</f>
        <v>Brasil</v>
      </c>
      <c r="U90" s="72" t="str">
        <f>_xlfn.XLOOKUP(Cuadro[[#This Row],[COD_PAIS]],PAISES[CÓDIGO],PAISES[CONTINENTE],"SIN PAÍS")</f>
        <v>AMÉRICA</v>
      </c>
    </row>
    <row r="91" spans="1:21" hidden="1" x14ac:dyDescent="0.25">
      <c r="A91" s="70" t="s">
        <v>16428</v>
      </c>
      <c r="B91" s="70" t="s">
        <v>20</v>
      </c>
      <c r="C91" s="70" t="s">
        <v>21</v>
      </c>
      <c r="D91" s="71">
        <v>2439.8850000000002</v>
      </c>
      <c r="E91" s="71">
        <v>59.988999999999997</v>
      </c>
      <c r="F91" s="71">
        <v>24.399000000000001</v>
      </c>
      <c r="G91" s="71">
        <v>52.362000000000002</v>
      </c>
      <c r="H91" s="72">
        <v>105</v>
      </c>
      <c r="I91" s="72">
        <v>840</v>
      </c>
      <c r="J91" s="72">
        <v>202606</v>
      </c>
      <c r="K91" s="72">
        <v>3</v>
      </c>
      <c r="L91" s="73">
        <f>IFERROR(DATE(VALUE(LEFT(Cuadro[[#This Row],[FENUM]],4)),VALUE(RIGHT(Cuadro[[#This Row],[FENUM]],2)),1),"")</f>
        <v>46174</v>
      </c>
      <c r="M91" s="11">
        <f>Cuadro[[#This Row],[FOB]]/1000</f>
        <v>2.4398850000000003</v>
      </c>
      <c r="N91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91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duraderos</v>
      </c>
      <c r="P91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Máquinas y aparatos de uso doméstico</v>
      </c>
      <c r="Q91" s="77">
        <f>IFERROR(--Cuadro[[#This Row],[FOB]],0)+IFERROR(--Cuadro[[#This Row],[FLETE]],0)+IFERROR(--Cuadro[[#This Row],[SEGURO]],0)</f>
        <v>2524.2730000000001</v>
      </c>
      <c r="R91" s="78" t="str">
        <f>_xlfn.XLOOKUP(Cuadro[[#This Row],[RUC]],EMPRESAS[RUC],EMPRESAS[RAZÓN SOCIAL],"SIN RAZÓN SOCIAL")</f>
        <v>TRANSPORTES EDUARDO SOCIEDAD ANONIMA CERRADA</v>
      </c>
      <c r="S91" s="79" t="str">
        <f>_xlfn.LET(_xlpm.o,_xlfn.XLOOKUP(Cuadro[[#This Row],[PARTIDA]],PARTIDA[PARTIDA_TEXTO],PARTIDA[PRODUCTO],"SIN DESCRIPCIÓN"),_xlfn.XLOOKUP(_xlpm.o,PROD_UNICOS[PRODUCTO_ORIGINAL],PROD_UNICOS[PRODUCTO_CORREGIDO],_xlpm.o))</f>
        <v>Aire acondicionado</v>
      </c>
      <c r="T91" s="72" t="str">
        <f>_xlfn.XLOOKUP(Cuadro[[#This Row],[COD_PAIS]],PAISES[CÓDIGO],PAISES[PAÍS],"SIN PAÍS")</f>
        <v>Brasil</v>
      </c>
      <c r="U91" s="72" t="str">
        <f>_xlfn.XLOOKUP(Cuadro[[#This Row],[COD_PAIS]],PAISES[CÓDIGO],PAISES[CONTINENTE],"SIN PAÍS")</f>
        <v>AMÉRICA</v>
      </c>
    </row>
    <row r="92" spans="1:21" hidden="1" x14ac:dyDescent="0.25">
      <c r="A92" s="70" t="s">
        <v>16428</v>
      </c>
      <c r="B92" s="70" t="s">
        <v>20</v>
      </c>
      <c r="C92" s="70" t="s">
        <v>24</v>
      </c>
      <c r="D92" s="71">
        <v>10110.244000000001</v>
      </c>
      <c r="E92" s="71">
        <v>248.578</v>
      </c>
      <c r="F92" s="71">
        <v>101.102</v>
      </c>
      <c r="G92" s="71">
        <v>216.97399999999999</v>
      </c>
      <c r="H92" s="72">
        <v>105</v>
      </c>
      <c r="I92" s="72">
        <v>533</v>
      </c>
      <c r="J92" s="72">
        <v>202606</v>
      </c>
      <c r="K92" s="72">
        <v>2</v>
      </c>
      <c r="L92" s="73">
        <f>IFERROR(DATE(VALUE(LEFT(Cuadro[[#This Row],[FENUM]],4)),VALUE(RIGHT(Cuadro[[#This Row],[FENUM]],2)),1),"")</f>
        <v>46174</v>
      </c>
      <c r="M92" s="11">
        <f>Cuadro[[#This Row],[FOB]]/1000</f>
        <v>10.110244</v>
      </c>
      <c r="N92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92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Equipo de transporte</v>
      </c>
      <c r="P92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Partes y accesorios de equipo de transporte</v>
      </c>
      <c r="Q92" s="77">
        <f>IFERROR(--Cuadro[[#This Row],[FOB]],0)+IFERROR(--Cuadro[[#This Row],[FLETE]],0)+IFERROR(--Cuadro[[#This Row],[SEGURO]],0)</f>
        <v>10459.924000000001</v>
      </c>
      <c r="R92" s="78" t="str">
        <f>_xlfn.XLOOKUP(Cuadro[[#This Row],[RUC]],EMPRESAS[RUC],EMPRESAS[RAZÓN SOCIAL],"SIN RAZÓN SOCIAL")</f>
        <v>TRANSPORTES EDUARDO SOCIEDAD ANONIMA CERRADA</v>
      </c>
      <c r="S92" s="79" t="str">
        <f>_xlfn.LET(_xlpm.o,_xlfn.XLOOKUP(Cuadro[[#This Row],[PARTIDA]],PARTIDA[PARTIDA_TEXTO],PARTIDA[PRODUCTO],"SIN DESCRIPCIÓN"),_xlfn.XLOOKUP(_xlpm.o,PROD_UNICOS[PRODUCTO_ORIGINAL],PROD_UNICOS[PRODUCTO_CORREGIDO],_xlpm.o))</f>
        <v>Hélices para barcos</v>
      </c>
      <c r="T92" s="72" t="str">
        <f>_xlfn.XLOOKUP(Cuadro[[#This Row],[COD_PAIS]],PAISES[CÓDIGO],PAISES[PAÍS],"SIN PAÍS")</f>
        <v>Brasil</v>
      </c>
      <c r="U92" s="72" t="str">
        <f>_xlfn.XLOOKUP(Cuadro[[#This Row],[COD_PAIS]],PAISES[CÓDIGO],PAISES[CONTINENTE],"SIN PAÍS")</f>
        <v>AMÉRICA</v>
      </c>
    </row>
    <row r="93" spans="1:21" hidden="1" x14ac:dyDescent="0.25">
      <c r="A93" s="70" t="s">
        <v>16428</v>
      </c>
      <c r="B93" s="70" t="s">
        <v>22</v>
      </c>
      <c r="C93" s="70" t="s">
        <v>23</v>
      </c>
      <c r="D93" s="71">
        <v>4710.71</v>
      </c>
      <c r="E93" s="71">
        <v>1345.9179999999999</v>
      </c>
      <c r="F93" s="71">
        <v>70.661000000000001</v>
      </c>
      <c r="G93" s="71">
        <v>3465</v>
      </c>
      <c r="H93" s="72">
        <v>105</v>
      </c>
      <c r="I93" s="72">
        <v>113</v>
      </c>
      <c r="J93" s="72">
        <v>202603</v>
      </c>
      <c r="K93" s="72">
        <v>1</v>
      </c>
      <c r="L93" s="73">
        <f>IFERROR(DATE(VALUE(LEFT(Cuadro[[#This Row],[FENUM]],4)),VALUE(RIGHT(Cuadro[[#This Row],[FENUM]],2)),1),"")</f>
        <v>46082</v>
      </c>
      <c r="M93" s="11">
        <f>Cuadro[[#This Row],[FOB]]/1000</f>
        <v>4.7107099999999997</v>
      </c>
      <c r="N93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93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93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93" s="77">
        <f>IFERROR(--Cuadro[[#This Row],[FOB]],0)+IFERROR(--Cuadro[[#This Row],[FLETE]],0)+IFERROR(--Cuadro[[#This Row],[SEGURO]],0)</f>
        <v>6127.2889999999998</v>
      </c>
      <c r="R93" s="78" t="str">
        <f>_xlfn.XLOOKUP(Cuadro[[#This Row],[RUC]],EMPRESAS[RUC],EMPRESAS[RAZÓN SOCIAL],"SIN RAZÓN SOCIAL")</f>
        <v>INVERSIONES EN GRANOS Y PESCADO AMAZONICO E.I.R.L.</v>
      </c>
      <c r="S93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93" s="72" t="str">
        <f>_xlfn.XLOOKUP(Cuadro[[#This Row],[COD_PAIS]],PAISES[CÓDIGO],PAISES[PAÍS],"SIN PAÍS")</f>
        <v>Brasil</v>
      </c>
      <c r="U93" s="72" t="str">
        <f>_xlfn.XLOOKUP(Cuadro[[#This Row],[COD_PAIS]],PAISES[CÓDIGO],PAISES[CONTINENTE],"SIN PAÍS")</f>
        <v>AMÉRICA</v>
      </c>
    </row>
    <row r="94" spans="1:21" hidden="1" x14ac:dyDescent="0.25">
      <c r="A94" s="70" t="s">
        <v>16428</v>
      </c>
      <c r="B94" s="70" t="s">
        <v>22</v>
      </c>
      <c r="C94" s="70" t="s">
        <v>23</v>
      </c>
      <c r="D94" s="71">
        <v>15110.99</v>
      </c>
      <c r="E94" s="71">
        <v>3357.998</v>
      </c>
      <c r="F94" s="71">
        <v>226.66499999999999</v>
      </c>
      <c r="G94" s="71">
        <v>8645</v>
      </c>
      <c r="H94" s="72">
        <v>105</v>
      </c>
      <c r="I94" s="72">
        <v>113</v>
      </c>
      <c r="J94" s="72">
        <v>202603</v>
      </c>
      <c r="K94" s="72">
        <v>1</v>
      </c>
      <c r="L94" s="73">
        <f>IFERROR(DATE(VALUE(LEFT(Cuadro[[#This Row],[FENUM]],4)),VALUE(RIGHT(Cuadro[[#This Row],[FENUM]],2)),1),"")</f>
        <v>46082</v>
      </c>
      <c r="M94" s="11">
        <f>Cuadro[[#This Row],[FOB]]/1000</f>
        <v>15.110989999999999</v>
      </c>
      <c r="N94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CONSUMO</v>
      </c>
      <c r="O94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Bienes de consumo no duradero</v>
      </c>
      <c r="P94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primarios</v>
      </c>
      <c r="Q94" s="77">
        <f>IFERROR(--Cuadro[[#This Row],[FOB]],0)+IFERROR(--Cuadro[[#This Row],[FLETE]],0)+IFERROR(--Cuadro[[#This Row],[SEGURO]],0)</f>
        <v>18695.653000000002</v>
      </c>
      <c r="R94" s="78" t="str">
        <f>_xlfn.XLOOKUP(Cuadro[[#This Row],[RUC]],EMPRESAS[RUC],EMPRESAS[RAZÓN SOCIAL],"SIN RAZÓN SOCIAL")</f>
        <v>INVERSIONES EN GRANOS Y PESCADO AMAZONICO E.I.R.L.</v>
      </c>
      <c r="S94" s="79" t="str">
        <f>_xlfn.LET(_xlpm.o,_xlfn.XLOOKUP(Cuadro[[#This Row],[PARTIDA]],PARTIDA[PARTIDA_TEXTO],PARTIDA[PRODUCTO],"SIN DESCRIPCIÓN"),_xlfn.XLOOKUP(_xlpm.o,PROD_UNICOS[PRODUCTO_ORIGINAL],PROD_UNICOS[PRODUCTO_CORREGIDO],_xlpm.o))</f>
        <v>Pescado congelado</v>
      </c>
      <c r="T94" s="72" t="str">
        <f>_xlfn.XLOOKUP(Cuadro[[#This Row],[COD_PAIS]],PAISES[CÓDIGO],PAISES[PAÍS],"SIN PAÍS")</f>
        <v>Brasil</v>
      </c>
      <c r="U94" s="72" t="str">
        <f>_xlfn.XLOOKUP(Cuadro[[#This Row],[COD_PAIS]],PAISES[CÓDIGO],PAISES[CONTINENTE],"SIN PAÍS")</f>
        <v>AMÉRICA</v>
      </c>
    </row>
    <row r="95" spans="1:21" hidden="1" x14ac:dyDescent="0.25">
      <c r="A95" s="70" t="s">
        <v>16428</v>
      </c>
      <c r="B95" s="70" t="s">
        <v>36</v>
      </c>
      <c r="C95" s="70" t="s">
        <v>28</v>
      </c>
      <c r="D95" s="71">
        <v>75000</v>
      </c>
      <c r="E95" s="71">
        <v>1393.8</v>
      </c>
      <c r="F95" s="71">
        <v>150</v>
      </c>
      <c r="G95" s="71">
        <v>150000</v>
      </c>
      <c r="H95" s="72">
        <v>105</v>
      </c>
      <c r="I95" s="72">
        <v>113</v>
      </c>
      <c r="J95" s="72">
        <v>202605</v>
      </c>
      <c r="K95" s="72">
        <v>1</v>
      </c>
      <c r="L95" s="73">
        <f>IFERROR(DATE(VALUE(LEFT(Cuadro[[#This Row],[FENUM]],4)),VALUE(RIGHT(Cuadro[[#This Row],[FENUM]],2)),1),"")</f>
        <v>46143</v>
      </c>
      <c r="M95" s="11">
        <f>Cuadro[[#This Row],[FOB]]/1000</f>
        <v>75</v>
      </c>
      <c r="N95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MATERIAS PRIMAS</v>
      </c>
      <c r="O95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Materias primas para la industria</v>
      </c>
      <c r="P95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Productos alimenticios semielaborados</v>
      </c>
      <c r="Q95" s="77">
        <f>IFERROR(--Cuadro[[#This Row],[FOB]],0)+IFERROR(--Cuadro[[#This Row],[FLETE]],0)+IFERROR(--Cuadro[[#This Row],[SEGURO]],0)</f>
        <v>76543.8</v>
      </c>
      <c r="R95" s="78" t="str">
        <f>_xlfn.XLOOKUP(Cuadro[[#This Row],[RUC]],EMPRESAS[RUC],EMPRESAS[RAZÓN SOCIAL],"SIN RAZÓN SOCIAL")</f>
        <v>ROOSS IMPORT E.I.R.L.</v>
      </c>
      <c r="S95" s="79" t="str">
        <f>_xlfn.LET(_xlpm.o,_xlfn.XLOOKUP(Cuadro[[#This Row],[PARTIDA]],PARTIDA[PARTIDA_TEXTO],PARTIDA[PRODUCTO],"SIN DESCRIPCIÓN"),_xlfn.XLOOKUP(_xlpm.o,PROD_UNICOS[PRODUCTO_ORIGINAL],PROD_UNICOS[PRODUCTO_CORREGIDO],_xlpm.o))</f>
        <v>Azúcar de caña</v>
      </c>
      <c r="T95" s="72" t="str">
        <f>_xlfn.XLOOKUP(Cuadro[[#This Row],[COD_PAIS]],PAISES[CÓDIGO],PAISES[PAÍS],"SIN PAÍS")</f>
        <v>Brasil</v>
      </c>
      <c r="U95" s="72" t="str">
        <f>_xlfn.XLOOKUP(Cuadro[[#This Row],[COD_PAIS]],PAISES[CÓDIGO],PAISES[CONTINENTE],"SIN PAÍS")</f>
        <v>AMÉRICA</v>
      </c>
    </row>
    <row r="96" spans="1:21" x14ac:dyDescent="0.25">
      <c r="A96" s="70" t="s">
        <v>16428</v>
      </c>
      <c r="B96" s="70" t="s">
        <v>16429</v>
      </c>
      <c r="C96" s="70" t="s">
        <v>16204</v>
      </c>
      <c r="D96" s="71">
        <v>10625</v>
      </c>
      <c r="E96" s="71">
        <v>9513.6790000000001</v>
      </c>
      <c r="F96" s="71">
        <v>42.5</v>
      </c>
      <c r="G96" s="71">
        <v>1580.6220000000001</v>
      </c>
      <c r="H96" s="72">
        <v>169</v>
      </c>
      <c r="I96" s="72">
        <v>613</v>
      </c>
      <c r="J96" s="72">
        <v>202608</v>
      </c>
      <c r="K96" s="72">
        <v>3</v>
      </c>
      <c r="L96" s="73">
        <f>IFERROR(DATE(VALUE(LEFT(Cuadro[[#This Row],[FENUM]],4)),VALUE(RIGHT(Cuadro[[#This Row],[FENUM]],2)),1),"")</f>
        <v>46235</v>
      </c>
      <c r="M96" s="11">
        <f>Cuadro[[#This Row],[FOB]]/1000</f>
        <v>10.625</v>
      </c>
      <c r="N96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96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Materiales de construcción</v>
      </c>
      <c r="P96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Materiales de construcción elaborados</v>
      </c>
      <c r="Q96" s="77">
        <f>IFERROR(--Cuadro[[#This Row],[FOB]],0)+IFERROR(--Cuadro[[#This Row],[FLETE]],0)+IFERROR(--Cuadro[[#This Row],[SEGURO]],0)</f>
        <v>20181.179</v>
      </c>
      <c r="R96" s="78" t="str">
        <f>_xlfn.XLOOKUP(Cuadro[[#This Row],[RUC]],EMPRESAS[RUC],EMPRESAS[RAZÓN SOCIAL],"SIN RAZÓN SOCIAL")</f>
        <v>SIN RAZÓN SOCIAL</v>
      </c>
      <c r="S96" s="79" t="str">
        <f>_xlfn.LET(_xlpm.o,_xlfn.XLOOKUP(Cuadro[[#This Row],[PARTIDA]],PARTIDA[PARTIDA_TEXTO],PARTIDA[PRODUCTO],"SIN DESCRIPCIÓN"),_xlfn.XLOOKUP(_xlpm.o,PROD_UNICOS[PRODUCTO_ORIGINAL],PROD_UNICOS[PRODUCTO_CORREGIDO],_xlpm.o))</f>
        <v>Módulos prefabricados de acero</v>
      </c>
      <c r="T96" s="72" t="str">
        <f>_xlfn.XLOOKUP(Cuadro[[#This Row],[COD_PAIS]],PAISES[CÓDIGO],PAISES[PAÍS],"SIN PAÍS")</f>
        <v>Colombia</v>
      </c>
      <c r="U96" s="72" t="str">
        <f>_xlfn.XLOOKUP(Cuadro[[#This Row],[COD_PAIS]],PAISES[CÓDIGO],PAISES[CONTINENTE],"SIN PAÍS")</f>
        <v>AMÉRICA</v>
      </c>
    </row>
    <row r="97" spans="1:21" x14ac:dyDescent="0.25">
      <c r="A97" s="70" t="s">
        <v>16428</v>
      </c>
      <c r="B97" s="70" t="s">
        <v>16429</v>
      </c>
      <c r="C97" s="70" t="s">
        <v>16188</v>
      </c>
      <c r="D97" s="71">
        <v>2832.43</v>
      </c>
      <c r="E97" s="71">
        <v>774.36800000000005</v>
      </c>
      <c r="F97" s="71">
        <v>11.33</v>
      </c>
      <c r="G97" s="71">
        <v>128.655</v>
      </c>
      <c r="H97" s="72">
        <v>169</v>
      </c>
      <c r="I97" s="72">
        <v>613</v>
      </c>
      <c r="J97" s="72">
        <v>202608</v>
      </c>
      <c r="K97" s="72">
        <v>3</v>
      </c>
      <c r="L97" s="73">
        <f>IFERROR(DATE(VALUE(LEFT(Cuadro[[#This Row],[FENUM]],4)),VALUE(RIGHT(Cuadro[[#This Row],[FENUM]],2)),1),"")</f>
        <v>46235</v>
      </c>
      <c r="M97" s="11">
        <f>Cuadro[[#This Row],[FOB]]/1000</f>
        <v>2.83243</v>
      </c>
      <c r="N9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9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Materiales de construcción</v>
      </c>
      <c r="P9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Materiales de construcción elaborados</v>
      </c>
      <c r="Q97" s="77">
        <f>IFERROR(--Cuadro[[#This Row],[FOB]],0)+IFERROR(--Cuadro[[#This Row],[FLETE]],0)+IFERROR(--Cuadro[[#This Row],[SEGURO]],0)</f>
        <v>3618.1279999999997</v>
      </c>
      <c r="R97" s="78" t="str">
        <f>_xlfn.XLOOKUP(Cuadro[[#This Row],[RUC]],EMPRESAS[RUC],EMPRESAS[RAZÓN SOCIAL],"SIN RAZÓN SOCIAL")</f>
        <v>SIN RAZÓN SOCIAL</v>
      </c>
      <c r="S97" s="79" t="str">
        <f>_xlfn.LET(_xlpm.o,_xlfn.XLOOKUP(Cuadro[[#This Row],[PARTIDA]],PARTIDA[PARTIDA_TEXTO],PARTIDA[PRODUCTO],"SIN DESCRIPCIÓN"),_xlfn.XLOOKUP(_xlpm.o,PROD_UNICOS[PRODUCTO_ORIGINAL],PROD_UNICOS[PRODUCTO_CORREGIDO],_xlpm.o))</f>
        <v>Luminarias y lámparas</v>
      </c>
      <c r="T97" s="72" t="str">
        <f>_xlfn.XLOOKUP(Cuadro[[#This Row],[COD_PAIS]],PAISES[CÓDIGO],PAISES[PAÍS],"SIN PAÍS")</f>
        <v>Colombia</v>
      </c>
      <c r="U97" s="72" t="str">
        <f>_xlfn.XLOOKUP(Cuadro[[#This Row],[COD_PAIS]],PAISES[CÓDIGO],PAISES[CONTINENTE],"SIN PAÍS")</f>
        <v>AMÉRICA</v>
      </c>
    </row>
    <row r="98" spans="1:21" x14ac:dyDescent="0.25">
      <c r="A98" s="70" t="s">
        <v>16428</v>
      </c>
      <c r="B98" s="70" t="s">
        <v>16429</v>
      </c>
      <c r="C98" s="70" t="s">
        <v>16204</v>
      </c>
      <c r="D98" s="71">
        <v>1232.5</v>
      </c>
      <c r="E98" s="71">
        <v>8849.9339999999993</v>
      </c>
      <c r="F98" s="71">
        <v>4.93</v>
      </c>
      <c r="G98" s="71">
        <v>1470.346</v>
      </c>
      <c r="H98" s="72">
        <v>169</v>
      </c>
      <c r="I98" s="72">
        <v>613</v>
      </c>
      <c r="J98" s="72">
        <v>202608</v>
      </c>
      <c r="K98" s="72">
        <v>3</v>
      </c>
      <c r="L98" s="73">
        <f>IFERROR(DATE(VALUE(LEFT(Cuadro[[#This Row],[FENUM]],4)),VALUE(RIGHT(Cuadro[[#This Row],[FENUM]],2)),1),"")</f>
        <v>46235</v>
      </c>
      <c r="M98" s="11">
        <f>Cuadro[[#This Row],[FOB]]/1000</f>
        <v>1.2324999999999999</v>
      </c>
      <c r="N9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9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Materiales de construcción</v>
      </c>
      <c r="P9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Materiales de construcción elaborados</v>
      </c>
      <c r="Q98" s="77">
        <f>IFERROR(--Cuadro[[#This Row],[FOB]],0)+IFERROR(--Cuadro[[#This Row],[FLETE]],0)+IFERROR(--Cuadro[[#This Row],[SEGURO]],0)</f>
        <v>10087.364</v>
      </c>
      <c r="R98" s="78" t="str">
        <f>_xlfn.XLOOKUP(Cuadro[[#This Row],[RUC]],EMPRESAS[RUC],EMPRESAS[RAZÓN SOCIAL],"SIN RAZÓN SOCIAL")</f>
        <v>SIN RAZÓN SOCIAL</v>
      </c>
      <c r="S98" s="79" t="str">
        <f>_xlfn.LET(_xlpm.o,_xlfn.XLOOKUP(Cuadro[[#This Row],[PARTIDA]],PARTIDA[PARTIDA_TEXTO],PARTIDA[PRODUCTO],"SIN DESCRIPCIÓN"),_xlfn.XLOOKUP(_xlpm.o,PROD_UNICOS[PRODUCTO_ORIGINAL],PROD_UNICOS[PRODUCTO_CORREGIDO],_xlpm.o))</f>
        <v>Módulos prefabricados de acero</v>
      </c>
      <c r="T98" s="72" t="str">
        <f>_xlfn.XLOOKUP(Cuadro[[#This Row],[COD_PAIS]],PAISES[CÓDIGO],PAISES[PAÍS],"SIN PAÍS")</f>
        <v>Colombia</v>
      </c>
      <c r="U98" s="72" t="str">
        <f>_xlfn.XLOOKUP(Cuadro[[#This Row],[COD_PAIS]],PAISES[CÓDIGO],PAISES[CONTINENTE],"SIN PAÍS")</f>
        <v>AMÉRICA</v>
      </c>
    </row>
    <row r="99" spans="1:21" x14ac:dyDescent="0.25">
      <c r="A99" s="70" t="s">
        <v>16428</v>
      </c>
      <c r="B99" s="70" t="s">
        <v>16429</v>
      </c>
      <c r="C99" s="70" t="s">
        <v>16188</v>
      </c>
      <c r="D99" s="71">
        <v>10030</v>
      </c>
      <c r="E99" s="71">
        <v>774.36800000000005</v>
      </c>
      <c r="F99" s="71">
        <v>40.119999999999997</v>
      </c>
      <c r="G99" s="71">
        <v>128.655</v>
      </c>
      <c r="H99" s="72">
        <v>169</v>
      </c>
      <c r="I99" s="72">
        <v>613</v>
      </c>
      <c r="J99" s="72">
        <v>202608</v>
      </c>
      <c r="K99" s="72">
        <v>3</v>
      </c>
      <c r="L99" s="73">
        <f>IFERROR(DATE(VALUE(LEFT(Cuadro[[#This Row],[FENUM]],4)),VALUE(RIGHT(Cuadro[[#This Row],[FENUM]],2)),1),"")</f>
        <v>46235</v>
      </c>
      <c r="M99" s="11">
        <f>Cuadro[[#This Row],[FOB]]/1000</f>
        <v>10.029999999999999</v>
      </c>
      <c r="N9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9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Materiales de construcción</v>
      </c>
      <c r="P9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Materiales de construcción elaborados</v>
      </c>
      <c r="Q99" s="77">
        <f>IFERROR(--Cuadro[[#This Row],[FOB]],0)+IFERROR(--Cuadro[[#This Row],[FLETE]],0)+IFERROR(--Cuadro[[#This Row],[SEGURO]],0)</f>
        <v>10844.488000000001</v>
      </c>
      <c r="R99" s="78" t="str">
        <f>_xlfn.XLOOKUP(Cuadro[[#This Row],[RUC]],EMPRESAS[RUC],EMPRESAS[RAZÓN SOCIAL],"SIN RAZÓN SOCIAL")</f>
        <v>SIN RAZÓN SOCIAL</v>
      </c>
      <c r="S99" s="79" t="str">
        <f>_xlfn.LET(_xlpm.o,_xlfn.XLOOKUP(Cuadro[[#This Row],[PARTIDA]],PARTIDA[PARTIDA_TEXTO],PARTIDA[PRODUCTO],"SIN DESCRIPCIÓN"),_xlfn.XLOOKUP(_xlpm.o,PROD_UNICOS[PRODUCTO_ORIGINAL],PROD_UNICOS[PRODUCTO_CORREGIDO],_xlpm.o))</f>
        <v>Luminarias y lámparas</v>
      </c>
      <c r="T99" s="72" t="str">
        <f>_xlfn.XLOOKUP(Cuadro[[#This Row],[COD_PAIS]],PAISES[CÓDIGO],PAISES[PAÍS],"SIN PAÍS")</f>
        <v>Colombia</v>
      </c>
      <c r="U99" s="72" t="str">
        <f>_xlfn.XLOOKUP(Cuadro[[#This Row],[COD_PAIS]],PAISES[CÓDIGO],PAISES[CONTINENTE],"SIN PAÍS")</f>
        <v>AMÉRICA</v>
      </c>
    </row>
    <row r="100" spans="1:21" x14ac:dyDescent="0.25">
      <c r="A100" s="70" t="s">
        <v>16428</v>
      </c>
      <c r="B100" s="70" t="s">
        <v>16429</v>
      </c>
      <c r="C100" s="70" t="s">
        <v>8292</v>
      </c>
      <c r="D100" s="71">
        <v>1156</v>
      </c>
      <c r="E100" s="71">
        <v>9956.1740000000009</v>
      </c>
      <c r="F100" s="71">
        <v>4.6239999999999997</v>
      </c>
      <c r="G100" s="71">
        <v>1654.1389999999999</v>
      </c>
      <c r="H100" s="72">
        <v>169</v>
      </c>
      <c r="I100" s="72">
        <v>850</v>
      </c>
      <c r="J100" s="72">
        <v>202608</v>
      </c>
      <c r="K100" s="72">
        <v>3</v>
      </c>
      <c r="L100" s="73">
        <f>IFERROR(DATE(VALUE(LEFT(Cuadro[[#This Row],[FENUM]],4)),VALUE(RIGHT(Cuadro[[#This Row],[FENUM]],2)),1),"")</f>
        <v>46235</v>
      </c>
      <c r="M100" s="11">
        <f>Cuadro[[#This Row],[FOB]]/1000</f>
        <v>1.1559999999999999</v>
      </c>
      <c r="N10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0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Para la industria</v>
      </c>
      <c r="P10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Otros equipos fijos</v>
      </c>
      <c r="Q100" s="77">
        <f>IFERROR(--Cuadro[[#This Row],[FOB]],0)+IFERROR(--Cuadro[[#This Row],[FLETE]],0)+IFERROR(--Cuadro[[#This Row],[SEGURO]],0)</f>
        <v>11116.798000000001</v>
      </c>
      <c r="R100" s="78" t="str">
        <f>_xlfn.XLOOKUP(Cuadro[[#This Row],[RUC]],EMPRESAS[RUC],EMPRESAS[RAZÓN SOCIAL],"SIN RAZÓN SOCIAL")</f>
        <v>SIN RAZÓN SOCIAL</v>
      </c>
      <c r="S100" s="79" t="str">
        <f>_xlfn.LET(_xlpm.o,_xlfn.XLOOKUP(Cuadro[[#This Row],[PARTIDA]],PARTIDA[PARTIDA_TEXTO],PARTIDA[PRODUCTO],"SIN DESCRIPCIÓN"),_xlfn.XLOOKUP(_xlpm.o,PROD_UNICOS[PRODUCTO_ORIGINAL],PROD_UNICOS[PRODUCTO_CORREGIDO],_xlpm.o))</f>
        <v>Contenedores de carga</v>
      </c>
      <c r="T100" s="72" t="str">
        <f>_xlfn.XLOOKUP(Cuadro[[#This Row],[COD_PAIS]],PAISES[CÓDIGO],PAISES[PAÍS],"SIN PAÍS")</f>
        <v>Colombia</v>
      </c>
      <c r="U100" s="72" t="str">
        <f>_xlfn.XLOOKUP(Cuadro[[#This Row],[COD_PAIS]],PAISES[CÓDIGO],PAISES[CONTINENTE],"SIN PAÍS")</f>
        <v>AMÉRICA</v>
      </c>
    </row>
    <row r="101" spans="1:21" x14ac:dyDescent="0.25">
      <c r="A101" s="70" t="s">
        <v>16428</v>
      </c>
      <c r="B101" s="70" t="s">
        <v>16429</v>
      </c>
      <c r="C101" s="70" t="s">
        <v>7301</v>
      </c>
      <c r="D101" s="71">
        <v>21250</v>
      </c>
      <c r="E101" s="71">
        <v>19359.235000000001</v>
      </c>
      <c r="F101" s="71">
        <v>85</v>
      </c>
      <c r="G101" s="71">
        <v>3216.3829999999998</v>
      </c>
      <c r="H101" s="72">
        <v>169</v>
      </c>
      <c r="I101" s="72">
        <v>840</v>
      </c>
      <c r="J101" s="72">
        <v>202608</v>
      </c>
      <c r="K101" s="72">
        <v>3</v>
      </c>
      <c r="L101" s="73">
        <f>IFERROR(DATE(VALUE(LEFT(Cuadro[[#This Row],[FENUM]],4)),VALUE(RIGHT(Cuadro[[#This Row],[FENUM]],2)),1),"")</f>
        <v>46235</v>
      </c>
      <c r="M101" s="11">
        <f>Cuadro[[#This Row],[FOB]]/1000</f>
        <v>21.25</v>
      </c>
      <c r="N101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01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Para la industria</v>
      </c>
      <c r="P101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Maquinaria industrial</v>
      </c>
      <c r="Q101" s="77">
        <f>IFERROR(--Cuadro[[#This Row],[FOB]],0)+IFERROR(--Cuadro[[#This Row],[FLETE]],0)+IFERROR(--Cuadro[[#This Row],[SEGURO]],0)</f>
        <v>40694.235000000001</v>
      </c>
      <c r="R101" s="78" t="str">
        <f>_xlfn.XLOOKUP(Cuadro[[#This Row],[RUC]],EMPRESAS[RUC],EMPRESAS[RAZÓN SOCIAL],"SIN RAZÓN SOCIAL")</f>
        <v>SIN RAZÓN SOCIAL</v>
      </c>
      <c r="S101" s="79" t="str">
        <f>_xlfn.LET(_xlpm.o,_xlfn.XLOOKUP(Cuadro[[#This Row],[PARTIDA]],PARTIDA[PARTIDA_TEXTO],PARTIDA[PRODUCTO],"SIN DESCRIPCIÓN"),_xlfn.XLOOKUP(_xlpm.o,PROD_UNICOS[PRODUCTO_ORIGINAL],PROD_UNICOS[PRODUCTO_CORREGIDO],_xlpm.o))</f>
        <v>Grúas sobre neumáticos</v>
      </c>
      <c r="T101" s="72" t="str">
        <f>_xlfn.XLOOKUP(Cuadro[[#This Row],[COD_PAIS]],PAISES[CÓDIGO],PAISES[PAÍS],"SIN PAÍS")</f>
        <v>Colombia</v>
      </c>
      <c r="U101" s="72" t="str">
        <f>_xlfn.XLOOKUP(Cuadro[[#This Row],[COD_PAIS]],PAISES[CÓDIGO],PAISES[CONTINENTE],"SIN PAÍS")</f>
        <v>AMÉRICA</v>
      </c>
    </row>
    <row r="102" spans="1:21" x14ac:dyDescent="0.25">
      <c r="A102" s="70" t="s">
        <v>16428</v>
      </c>
      <c r="B102" s="70" t="s">
        <v>16429</v>
      </c>
      <c r="C102" s="70" t="s">
        <v>7336</v>
      </c>
      <c r="D102" s="71">
        <v>6772684</v>
      </c>
      <c r="E102" s="71">
        <v>1532476.7930000001</v>
      </c>
      <c r="F102" s="71">
        <v>27090.732</v>
      </c>
      <c r="G102" s="71">
        <v>254608.81200000001</v>
      </c>
      <c r="H102" s="72">
        <v>169</v>
      </c>
      <c r="I102" s="72">
        <v>840</v>
      </c>
      <c r="J102" s="72">
        <v>202608</v>
      </c>
      <c r="K102" s="72">
        <v>3</v>
      </c>
      <c r="L102" s="73">
        <f>IFERROR(DATE(VALUE(LEFT(Cuadro[[#This Row],[FENUM]],4)),VALUE(RIGHT(Cuadro[[#This Row],[FENUM]],2)),1),"")</f>
        <v>46235</v>
      </c>
      <c r="M102" s="11">
        <f>Cuadro[[#This Row],[FOB]]/1000</f>
        <v>6772.6840000000002</v>
      </c>
      <c r="N102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02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Para la industria</v>
      </c>
      <c r="P102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Maquinaria industrial</v>
      </c>
      <c r="Q102" s="77">
        <f>IFERROR(--Cuadro[[#This Row],[FOB]],0)+IFERROR(--Cuadro[[#This Row],[FLETE]],0)+IFERROR(--Cuadro[[#This Row],[SEGURO]],0)</f>
        <v>8332251.5249999994</v>
      </c>
      <c r="R102" s="78" t="str">
        <f>_xlfn.XLOOKUP(Cuadro[[#This Row],[RUC]],EMPRESAS[RUC],EMPRESAS[RAZÓN SOCIAL],"SIN RAZÓN SOCIAL")</f>
        <v>SIN RAZÓN SOCIAL</v>
      </c>
      <c r="S102" s="79" t="str">
        <f>_xlfn.LET(_xlpm.o,_xlfn.XLOOKUP(Cuadro[[#This Row],[PARTIDA]],PARTIDA[PARTIDA_TEXTO],PARTIDA[PRODUCTO],"SIN DESCRIPCIÓN"),_xlfn.XLOOKUP(_xlpm.o,PROD_UNICOS[PRODUCTO_ORIGINAL],PROD_UNICOS[PRODUCTO_CORREGIDO],_xlpm.o))</f>
        <v>Perforadoras</v>
      </c>
      <c r="T102" s="72" t="str">
        <f>_xlfn.XLOOKUP(Cuadro[[#This Row],[COD_PAIS]],PAISES[CÓDIGO],PAISES[PAÍS],"SIN PAÍS")</f>
        <v>Colombia</v>
      </c>
      <c r="U102" s="72" t="str">
        <f>_xlfn.XLOOKUP(Cuadro[[#This Row],[COD_PAIS]],PAISES[CÓDIGO],PAISES[CONTINENTE],"SIN PAÍS")</f>
        <v>AMÉRICA</v>
      </c>
    </row>
    <row r="103" spans="1:21" x14ac:dyDescent="0.25">
      <c r="A103" s="70" t="s">
        <v>16428</v>
      </c>
      <c r="B103" s="70" t="s">
        <v>16429</v>
      </c>
      <c r="C103" s="70" t="s">
        <v>7993</v>
      </c>
      <c r="D103" s="71">
        <v>1275</v>
      </c>
      <c r="E103" s="71">
        <v>1106.24</v>
      </c>
      <c r="F103" s="71">
        <v>5.0999999999999996</v>
      </c>
      <c r="G103" s="71">
        <v>183.79300000000001</v>
      </c>
      <c r="H103" s="72">
        <v>169</v>
      </c>
      <c r="I103" s="72">
        <v>840</v>
      </c>
      <c r="J103" s="72">
        <v>202608</v>
      </c>
      <c r="K103" s="72">
        <v>3</v>
      </c>
      <c r="L103" s="73">
        <f>IFERROR(DATE(VALUE(LEFT(Cuadro[[#This Row],[FENUM]],4)),VALUE(RIGHT(Cuadro[[#This Row],[FENUM]],2)),1),"")</f>
        <v>46235</v>
      </c>
      <c r="M103" s="11">
        <f>Cuadro[[#This Row],[FOB]]/1000</f>
        <v>1.2749999999999999</v>
      </c>
      <c r="N103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03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Para la industria</v>
      </c>
      <c r="P103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Maquinaria industrial</v>
      </c>
      <c r="Q103" s="77">
        <f>IFERROR(--Cuadro[[#This Row],[FOB]],0)+IFERROR(--Cuadro[[#This Row],[FLETE]],0)+IFERROR(--Cuadro[[#This Row],[SEGURO]],0)</f>
        <v>2386.3399999999997</v>
      </c>
      <c r="R103" s="78" t="str">
        <f>_xlfn.XLOOKUP(Cuadro[[#This Row],[RUC]],EMPRESAS[RUC],EMPRESAS[RAZÓN SOCIAL],"SIN RAZÓN SOCIAL")</f>
        <v>SIN RAZÓN SOCIAL</v>
      </c>
      <c r="S103" s="79" t="str">
        <f>_xlfn.LET(_xlpm.o,_xlfn.XLOOKUP(Cuadro[[#This Row],[PARTIDA]],PARTIDA[PARTIDA_TEXTO],PARTIDA[PRODUCTO],"SIN DESCRIPCIÓN"),_xlfn.XLOOKUP(_xlpm.o,PROD_UNICOS[PRODUCTO_ORIGINAL],PROD_UNICOS[PRODUCTO_CORREGIDO],_xlpm.o))</f>
        <v>Soldadoras de arco eléctrico</v>
      </c>
      <c r="T103" s="72" t="str">
        <f>_xlfn.XLOOKUP(Cuadro[[#This Row],[COD_PAIS]],PAISES[CÓDIGO],PAISES[PAÍS],"SIN PAÍS")</f>
        <v>Colombia</v>
      </c>
      <c r="U103" s="72" t="str">
        <f>_xlfn.XLOOKUP(Cuadro[[#This Row],[COD_PAIS]],PAISES[CÓDIGO],PAISES[CONTINENTE],"SIN PAÍS")</f>
        <v>AMÉRICA</v>
      </c>
    </row>
    <row r="104" spans="1:21" x14ac:dyDescent="0.25">
      <c r="A104" s="70" t="s">
        <v>16428</v>
      </c>
      <c r="B104" s="70" t="s">
        <v>16429</v>
      </c>
      <c r="C104" s="70" t="s">
        <v>16204</v>
      </c>
      <c r="D104" s="71">
        <v>7480</v>
      </c>
      <c r="E104" s="71">
        <v>9956.1740000000009</v>
      </c>
      <c r="F104" s="71">
        <v>29.92</v>
      </c>
      <c r="G104" s="71">
        <v>1654.1389999999999</v>
      </c>
      <c r="H104" s="72">
        <v>169</v>
      </c>
      <c r="I104" s="72">
        <v>613</v>
      </c>
      <c r="J104" s="72">
        <v>202608</v>
      </c>
      <c r="K104" s="72">
        <v>3</v>
      </c>
      <c r="L104" s="73">
        <f>IFERROR(DATE(VALUE(LEFT(Cuadro[[#This Row],[FENUM]],4)),VALUE(RIGHT(Cuadro[[#This Row],[FENUM]],2)),1),"")</f>
        <v>46235</v>
      </c>
      <c r="M104" s="11">
        <f>Cuadro[[#This Row],[FOB]]/1000</f>
        <v>7.48</v>
      </c>
      <c r="N104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04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Materiales de construcción</v>
      </c>
      <c r="P104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Materiales de construcción elaborados</v>
      </c>
      <c r="Q104" s="77">
        <f>IFERROR(--Cuadro[[#This Row],[FOB]],0)+IFERROR(--Cuadro[[#This Row],[FLETE]],0)+IFERROR(--Cuadro[[#This Row],[SEGURO]],0)</f>
        <v>17466.093999999997</v>
      </c>
      <c r="R104" s="78" t="str">
        <f>_xlfn.XLOOKUP(Cuadro[[#This Row],[RUC]],EMPRESAS[RUC],EMPRESAS[RAZÓN SOCIAL],"SIN RAZÓN SOCIAL")</f>
        <v>SIN RAZÓN SOCIAL</v>
      </c>
      <c r="S104" s="79" t="str">
        <f>_xlfn.LET(_xlpm.o,_xlfn.XLOOKUP(Cuadro[[#This Row],[PARTIDA]],PARTIDA[PARTIDA_TEXTO],PARTIDA[PRODUCTO],"SIN DESCRIPCIÓN"),_xlfn.XLOOKUP(_xlpm.o,PROD_UNICOS[PRODUCTO_ORIGINAL],PROD_UNICOS[PRODUCTO_CORREGIDO],_xlpm.o))</f>
        <v>Módulos prefabricados de acero</v>
      </c>
      <c r="T104" s="72" t="str">
        <f>_xlfn.XLOOKUP(Cuadro[[#This Row],[COD_PAIS]],PAISES[CÓDIGO],PAISES[PAÍS],"SIN PAÍS")</f>
        <v>Colombia</v>
      </c>
      <c r="U104" s="72" t="str">
        <f>_xlfn.XLOOKUP(Cuadro[[#This Row],[COD_PAIS]],PAISES[CÓDIGO],PAISES[CONTINENTE],"SIN PAÍS")</f>
        <v>AMÉRICA</v>
      </c>
    </row>
    <row r="105" spans="1:21" x14ac:dyDescent="0.25">
      <c r="A105" s="70" t="s">
        <v>16428</v>
      </c>
      <c r="B105" s="70" t="s">
        <v>16429</v>
      </c>
      <c r="C105" s="70" t="s">
        <v>16188</v>
      </c>
      <c r="D105" s="71">
        <v>13940</v>
      </c>
      <c r="E105" s="71">
        <v>774.36800000000005</v>
      </c>
      <c r="F105" s="71">
        <v>55.76</v>
      </c>
      <c r="G105" s="71">
        <v>128.655</v>
      </c>
      <c r="H105" s="72">
        <v>169</v>
      </c>
      <c r="I105" s="72">
        <v>613</v>
      </c>
      <c r="J105" s="72">
        <v>202608</v>
      </c>
      <c r="K105" s="72">
        <v>3</v>
      </c>
      <c r="L105" s="73">
        <f>IFERROR(DATE(VALUE(LEFT(Cuadro[[#This Row],[FENUM]],4)),VALUE(RIGHT(Cuadro[[#This Row],[FENUM]],2)),1),"")</f>
        <v>46235</v>
      </c>
      <c r="M105" s="11">
        <f>Cuadro[[#This Row],[FOB]]/1000</f>
        <v>13.94</v>
      </c>
      <c r="N105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05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Materiales de construcción</v>
      </c>
      <c r="P105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Materiales de construcción elaborados</v>
      </c>
      <c r="Q105" s="77">
        <f>IFERROR(--Cuadro[[#This Row],[FOB]],0)+IFERROR(--Cuadro[[#This Row],[FLETE]],0)+IFERROR(--Cuadro[[#This Row],[SEGURO]],0)</f>
        <v>14770.128000000001</v>
      </c>
      <c r="R105" s="78" t="str">
        <f>_xlfn.XLOOKUP(Cuadro[[#This Row],[RUC]],EMPRESAS[RUC],EMPRESAS[RAZÓN SOCIAL],"SIN RAZÓN SOCIAL")</f>
        <v>SIN RAZÓN SOCIAL</v>
      </c>
      <c r="S105" s="79" t="str">
        <f>_xlfn.LET(_xlpm.o,_xlfn.XLOOKUP(Cuadro[[#This Row],[PARTIDA]],PARTIDA[PARTIDA_TEXTO],PARTIDA[PRODUCTO],"SIN DESCRIPCIÓN"),_xlfn.XLOOKUP(_xlpm.o,PROD_UNICOS[PRODUCTO_ORIGINAL],PROD_UNICOS[PRODUCTO_CORREGIDO],_xlpm.o))</f>
        <v>Luminarias y lámparas</v>
      </c>
      <c r="T105" s="72" t="str">
        <f>_xlfn.XLOOKUP(Cuadro[[#This Row],[COD_PAIS]],PAISES[CÓDIGO],PAISES[PAÍS],"SIN PAÍS")</f>
        <v>Colombia</v>
      </c>
      <c r="U105" s="72" t="str">
        <f>_xlfn.XLOOKUP(Cuadro[[#This Row],[COD_PAIS]],PAISES[CÓDIGO],PAISES[CONTINENTE],"SIN PAÍS")</f>
        <v>AMÉRICA</v>
      </c>
    </row>
    <row r="106" spans="1:21" x14ac:dyDescent="0.25">
      <c r="A106" s="70" t="s">
        <v>16428</v>
      </c>
      <c r="B106" s="70" t="s">
        <v>16429</v>
      </c>
      <c r="C106" s="70" t="s">
        <v>16204</v>
      </c>
      <c r="D106" s="71">
        <v>3825</v>
      </c>
      <c r="E106" s="71">
        <v>7743.6940000000004</v>
      </c>
      <c r="F106" s="71">
        <v>15.3</v>
      </c>
      <c r="G106" s="71">
        <v>1286.5530000000001</v>
      </c>
      <c r="H106" s="72">
        <v>169</v>
      </c>
      <c r="I106" s="72">
        <v>613</v>
      </c>
      <c r="J106" s="72">
        <v>202608</v>
      </c>
      <c r="K106" s="72">
        <v>3</v>
      </c>
      <c r="L106" s="73">
        <f>IFERROR(DATE(VALUE(LEFT(Cuadro[[#This Row],[FENUM]],4)),VALUE(RIGHT(Cuadro[[#This Row],[FENUM]],2)),1),"")</f>
        <v>46235</v>
      </c>
      <c r="M106" s="11">
        <f>Cuadro[[#This Row],[FOB]]/1000</f>
        <v>3.8250000000000002</v>
      </c>
      <c r="N106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06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Materiales de construcción</v>
      </c>
      <c r="P106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Materiales de construcción elaborados</v>
      </c>
      <c r="Q106" s="77">
        <f>IFERROR(--Cuadro[[#This Row],[FOB]],0)+IFERROR(--Cuadro[[#This Row],[FLETE]],0)+IFERROR(--Cuadro[[#This Row],[SEGURO]],0)</f>
        <v>11583.993999999999</v>
      </c>
      <c r="R106" s="78" t="str">
        <f>_xlfn.XLOOKUP(Cuadro[[#This Row],[RUC]],EMPRESAS[RUC],EMPRESAS[RAZÓN SOCIAL],"SIN RAZÓN SOCIAL")</f>
        <v>SIN RAZÓN SOCIAL</v>
      </c>
      <c r="S106" s="79" t="str">
        <f>_xlfn.LET(_xlpm.o,_xlfn.XLOOKUP(Cuadro[[#This Row],[PARTIDA]],PARTIDA[PARTIDA_TEXTO],PARTIDA[PRODUCTO],"SIN DESCRIPCIÓN"),_xlfn.XLOOKUP(_xlpm.o,PROD_UNICOS[PRODUCTO_ORIGINAL],PROD_UNICOS[PRODUCTO_CORREGIDO],_xlpm.o))</f>
        <v>Módulos prefabricados de acero</v>
      </c>
      <c r="T106" s="72" t="str">
        <f>_xlfn.XLOOKUP(Cuadro[[#This Row],[COD_PAIS]],PAISES[CÓDIGO],PAISES[PAÍS],"SIN PAÍS")</f>
        <v>Colombia</v>
      </c>
      <c r="U106" s="72" t="str">
        <f>_xlfn.XLOOKUP(Cuadro[[#This Row],[COD_PAIS]],PAISES[CÓDIGO],PAISES[CONTINENTE],"SIN PAÍS")</f>
        <v>AMÉRICA</v>
      </c>
    </row>
    <row r="107" spans="1:21" x14ac:dyDescent="0.25">
      <c r="A107" s="70" t="s">
        <v>16428</v>
      </c>
      <c r="B107" s="70" t="s">
        <v>16429</v>
      </c>
      <c r="C107" s="70" t="s">
        <v>16204</v>
      </c>
      <c r="D107" s="71">
        <v>3825</v>
      </c>
      <c r="E107" s="71">
        <v>12168.66</v>
      </c>
      <c r="F107" s="71">
        <v>15.3</v>
      </c>
      <c r="G107" s="71">
        <v>2021.7260000000001</v>
      </c>
      <c r="H107" s="72">
        <v>169</v>
      </c>
      <c r="I107" s="72">
        <v>613</v>
      </c>
      <c r="J107" s="72">
        <v>202608</v>
      </c>
      <c r="K107" s="72">
        <v>3</v>
      </c>
      <c r="L107" s="73">
        <f>IFERROR(DATE(VALUE(LEFT(Cuadro[[#This Row],[FENUM]],4)),VALUE(RIGHT(Cuadro[[#This Row],[FENUM]],2)),1),"")</f>
        <v>46235</v>
      </c>
      <c r="M107" s="11">
        <f>Cuadro[[#This Row],[FOB]]/1000</f>
        <v>3.8250000000000002</v>
      </c>
      <c r="N107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07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Materiales de construcción</v>
      </c>
      <c r="P107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Materiales de construcción elaborados</v>
      </c>
      <c r="Q107" s="77">
        <f>IFERROR(--Cuadro[[#This Row],[FOB]],0)+IFERROR(--Cuadro[[#This Row],[FLETE]],0)+IFERROR(--Cuadro[[#This Row],[SEGURO]],0)</f>
        <v>16008.96</v>
      </c>
      <c r="R107" s="78" t="str">
        <f>_xlfn.XLOOKUP(Cuadro[[#This Row],[RUC]],EMPRESAS[RUC],EMPRESAS[RAZÓN SOCIAL],"SIN RAZÓN SOCIAL")</f>
        <v>SIN RAZÓN SOCIAL</v>
      </c>
      <c r="S107" s="79" t="str">
        <f>_xlfn.LET(_xlpm.o,_xlfn.XLOOKUP(Cuadro[[#This Row],[PARTIDA]],PARTIDA[PARTIDA_TEXTO],PARTIDA[PRODUCTO],"SIN DESCRIPCIÓN"),_xlfn.XLOOKUP(_xlpm.o,PROD_UNICOS[PRODUCTO_ORIGINAL],PROD_UNICOS[PRODUCTO_CORREGIDO],_xlpm.o))</f>
        <v>Módulos prefabricados de acero</v>
      </c>
      <c r="T107" s="72" t="str">
        <f>_xlfn.XLOOKUP(Cuadro[[#This Row],[COD_PAIS]],PAISES[CÓDIGO],PAISES[PAÍS],"SIN PAÍS")</f>
        <v>Colombia</v>
      </c>
      <c r="U107" s="72" t="str">
        <f>_xlfn.XLOOKUP(Cuadro[[#This Row],[COD_PAIS]],PAISES[CÓDIGO],PAISES[CONTINENTE],"SIN PAÍS")</f>
        <v>AMÉRICA</v>
      </c>
    </row>
    <row r="108" spans="1:21" x14ac:dyDescent="0.25">
      <c r="A108" s="70" t="s">
        <v>16428</v>
      </c>
      <c r="B108" s="70" t="s">
        <v>16429</v>
      </c>
      <c r="C108" s="70" t="s">
        <v>16204</v>
      </c>
      <c r="D108" s="71">
        <v>1232.5</v>
      </c>
      <c r="E108" s="71">
        <v>7743.6940000000004</v>
      </c>
      <c r="F108" s="71">
        <v>4.93</v>
      </c>
      <c r="G108" s="71">
        <v>1286.5530000000001</v>
      </c>
      <c r="H108" s="72">
        <v>169</v>
      </c>
      <c r="I108" s="72">
        <v>613</v>
      </c>
      <c r="J108" s="72">
        <v>202608</v>
      </c>
      <c r="K108" s="72">
        <v>3</v>
      </c>
      <c r="L108" s="73">
        <f>IFERROR(DATE(VALUE(LEFT(Cuadro[[#This Row],[FENUM]],4)),VALUE(RIGHT(Cuadro[[#This Row],[FENUM]],2)),1),"")</f>
        <v>46235</v>
      </c>
      <c r="M108" s="11">
        <f>Cuadro[[#This Row],[FOB]]/1000</f>
        <v>1.2324999999999999</v>
      </c>
      <c r="N108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08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Materiales de construcción</v>
      </c>
      <c r="P108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Materiales de construcción elaborados</v>
      </c>
      <c r="Q108" s="77">
        <f>IFERROR(--Cuadro[[#This Row],[FOB]],0)+IFERROR(--Cuadro[[#This Row],[FLETE]],0)+IFERROR(--Cuadro[[#This Row],[SEGURO]],0)</f>
        <v>8981.1239999999998</v>
      </c>
      <c r="R108" s="78" t="str">
        <f>_xlfn.XLOOKUP(Cuadro[[#This Row],[RUC]],EMPRESAS[RUC],EMPRESAS[RAZÓN SOCIAL],"SIN RAZÓN SOCIAL")</f>
        <v>SIN RAZÓN SOCIAL</v>
      </c>
      <c r="S108" s="79" t="str">
        <f>_xlfn.LET(_xlpm.o,_xlfn.XLOOKUP(Cuadro[[#This Row],[PARTIDA]],PARTIDA[PARTIDA_TEXTO],PARTIDA[PRODUCTO],"SIN DESCRIPCIÓN"),_xlfn.XLOOKUP(_xlpm.o,PROD_UNICOS[PRODUCTO_ORIGINAL],PROD_UNICOS[PRODUCTO_CORREGIDO],_xlpm.o))</f>
        <v>Módulos prefabricados de acero</v>
      </c>
      <c r="T108" s="72" t="str">
        <f>_xlfn.XLOOKUP(Cuadro[[#This Row],[COD_PAIS]],PAISES[CÓDIGO],PAISES[PAÍS],"SIN PAÍS")</f>
        <v>Colombia</v>
      </c>
      <c r="U108" s="72" t="str">
        <f>_xlfn.XLOOKUP(Cuadro[[#This Row],[COD_PAIS]],PAISES[CÓDIGO],PAISES[CONTINENTE],"SIN PAÍS")</f>
        <v>AMÉRICA</v>
      </c>
    </row>
    <row r="109" spans="1:21" x14ac:dyDescent="0.25">
      <c r="A109" s="70" t="s">
        <v>16428</v>
      </c>
      <c r="B109" s="70" t="s">
        <v>16429</v>
      </c>
      <c r="C109" s="70" t="s">
        <v>7993</v>
      </c>
      <c r="D109" s="71">
        <v>3315</v>
      </c>
      <c r="E109" s="71">
        <v>663.75099999999998</v>
      </c>
      <c r="F109" s="71">
        <v>13.259</v>
      </c>
      <c r="G109" s="71">
        <v>110.277</v>
      </c>
      <c r="H109" s="72">
        <v>169</v>
      </c>
      <c r="I109" s="72">
        <v>840</v>
      </c>
      <c r="J109" s="72">
        <v>202608</v>
      </c>
      <c r="K109" s="72">
        <v>3</v>
      </c>
      <c r="L109" s="73">
        <f>IFERROR(DATE(VALUE(LEFT(Cuadro[[#This Row],[FENUM]],4)),VALUE(RIGHT(Cuadro[[#This Row],[FENUM]],2)),1),"")</f>
        <v>46235</v>
      </c>
      <c r="M109" s="11">
        <f>Cuadro[[#This Row],[FOB]]/1000</f>
        <v>3.3149999999999999</v>
      </c>
      <c r="N109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09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Para la industria</v>
      </c>
      <c r="P109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Maquinaria industrial</v>
      </c>
      <c r="Q109" s="77">
        <f>IFERROR(--Cuadro[[#This Row],[FOB]],0)+IFERROR(--Cuadro[[#This Row],[FLETE]],0)+IFERROR(--Cuadro[[#This Row],[SEGURO]],0)</f>
        <v>3992.01</v>
      </c>
      <c r="R109" s="78" t="str">
        <f>_xlfn.XLOOKUP(Cuadro[[#This Row],[RUC]],EMPRESAS[RUC],EMPRESAS[RAZÓN SOCIAL],"SIN RAZÓN SOCIAL")</f>
        <v>SIN RAZÓN SOCIAL</v>
      </c>
      <c r="S109" s="79" t="str">
        <f>_xlfn.LET(_xlpm.o,_xlfn.XLOOKUP(Cuadro[[#This Row],[PARTIDA]],PARTIDA[PARTIDA_TEXTO],PARTIDA[PRODUCTO],"SIN DESCRIPCIÓN"),_xlfn.XLOOKUP(_xlpm.o,PROD_UNICOS[PRODUCTO_ORIGINAL],PROD_UNICOS[PRODUCTO_CORREGIDO],_xlpm.o))</f>
        <v>Soldadoras de arco eléctrico</v>
      </c>
      <c r="T109" s="72" t="str">
        <f>_xlfn.XLOOKUP(Cuadro[[#This Row],[COD_PAIS]],PAISES[CÓDIGO],PAISES[PAÍS],"SIN PAÍS")</f>
        <v>Colombia</v>
      </c>
      <c r="U109" s="72" t="str">
        <f>_xlfn.XLOOKUP(Cuadro[[#This Row],[COD_PAIS]],PAISES[CÓDIGO],PAISES[CONTINENTE],"SIN PAÍS")</f>
        <v>AMÉRICA</v>
      </c>
    </row>
    <row r="110" spans="1:21" x14ac:dyDescent="0.25">
      <c r="A110" s="70" t="s">
        <v>16428</v>
      </c>
      <c r="B110" s="70" t="s">
        <v>16429</v>
      </c>
      <c r="C110" s="70" t="s">
        <v>7302</v>
      </c>
      <c r="D110" s="71">
        <v>93548.7</v>
      </c>
      <c r="E110" s="71">
        <v>17699.867999999999</v>
      </c>
      <c r="F110" s="71">
        <v>374.19499999999999</v>
      </c>
      <c r="G110" s="71">
        <v>2940.692</v>
      </c>
      <c r="H110" s="72">
        <v>169</v>
      </c>
      <c r="I110" s="72">
        <v>840</v>
      </c>
      <c r="J110" s="72">
        <v>202608</v>
      </c>
      <c r="K110" s="72">
        <v>3</v>
      </c>
      <c r="L110" s="73">
        <f>IFERROR(DATE(VALUE(LEFT(Cuadro[[#This Row],[FENUM]],4)),VALUE(RIGHT(Cuadro[[#This Row],[FENUM]],2)),1),"")</f>
        <v>46235</v>
      </c>
      <c r="M110" s="11">
        <f>Cuadro[[#This Row],[FOB]]/1000</f>
        <v>93.548699999999997</v>
      </c>
      <c r="N110" s="74" t="str">
        <f>_xlfn.LET(_xlpm.s,IFERROR(T(_xlfn.XLOOKUP(Cuadro[[#This Row],[PARTIDA]],PARTIDA[PARTIDA_TEXTO],PARTIDA[FUENTE])),""),_xlpm.p,IFERROR(T(_xlfn.XLOOKUP(Cuadro[[#This Row],[PARTIDA]],PARTIDA[PARTIDA_TEXTO],PARTIDA[TIPO])),""),_xlpm.c,IFERROR(T(_xlfn.XLOOKUP(--Cuadro[[#This Row],[CUODE]],PARTIDAS!$M$2:$M$80,PARTIDAS!$N$2:$N$80)),""),IF(AND(LEFT(_xlpm.s,6)="MANUAL",_xlpm.p&lt;&gt;""),_xlpm.p,IF(_xlpm.c&lt;&gt;"",_xlpm.c,IF(_xlpm.p&lt;&gt;"",_xlpm.p,"SIN CUODE"))))</f>
        <v>BIENES DE CAPITAL</v>
      </c>
      <c r="O110" s="75" t="str">
        <f>_xlfn.LET(_xlpm.s,IFERROR(T(_xlfn.XLOOKUP(Cuadro[[#This Row],[PARTIDA]],PARTIDA[PARTIDA_TEXTO],PARTIDA[FUENTE])),""),_xlpm.p,IFERROR(T(_xlfn.XLOOKUP(Cuadro[[#This Row],[PARTIDA]],PARTIDA[PARTIDA_TEXTO],PARTIDA[CATEGORIA])),""),_xlpm.c,IFERROR(T(_xlfn.XLOOKUP(--Cuadro[[#This Row],[CUODE]],PARTIDAS!$M$2:$M$80,PARTIDAS!$O$2:$O$80)),""),IF(AND(LEFT(_xlpm.s,6)="MANUAL",_xlpm.p&lt;&gt;""),_xlpm.p,IF(_xlpm.c&lt;&gt;"",_xlpm.c,IF(_xlpm.p&lt;&gt;"",_xlpm.p,"SIN CUODE"))))</f>
        <v>Para la industria</v>
      </c>
      <c r="P110" s="76" t="str">
        <f>_xlfn.LET(_xlpm.s,IFERROR(T(_xlfn.XLOOKUP(Cuadro[[#This Row],[PARTIDA]],PARTIDA[PARTIDA_TEXTO],PARTIDA[FUENTE])),""),_xlpm.p,IFERROR(T(_xlfn.XLOOKUP(Cuadro[[#This Row],[PARTIDA]],PARTIDA[PARTIDA_TEXTO],PARTIDA[DESC. CUODE])),""),_xlpm.c,IFERROR(T(_xlfn.XLOOKUP(--Cuadro[[#This Row],[CUODE]],PARTIDAS!$M$2:$M$80,PARTIDAS!$P$2:$P$80)),""),IF(AND(LEFT(_xlpm.s,6)="MANUAL",_xlpm.p&lt;&gt;""),_xlpm.p,IF(_xlpm.c&lt;&gt;"",_xlpm.c,IF(_xlpm.p&lt;&gt;"",_xlpm.p,"SIN CUODE"))))</f>
        <v>Maquinaria industrial</v>
      </c>
      <c r="Q110" s="77">
        <f>IFERROR(--Cuadro[[#This Row],[FOB]],0)+IFERROR(--Cuadro[[#This Row],[FLETE]],0)+IFERROR(--Cuadro[[#This Row],[SEGURO]],0)</f>
        <v>111622.76300000001</v>
      </c>
      <c r="R110" s="78" t="str">
        <f>_xlfn.XLOOKUP(Cuadro[[#This Row],[RUC]],EMPRESAS[RUC],EMPRESAS[RAZÓN SOCIAL],"SIN RAZÓN SOCIAL")</f>
        <v>SIN RAZÓN SOCIAL</v>
      </c>
      <c r="S110" s="79" t="str">
        <f>_xlfn.LET(_xlpm.o,_xlfn.XLOOKUP(Cuadro[[#This Row],[PARTIDA]],PARTIDA[PARTIDA_TEXTO],PARTIDA[PRODUCTO],"SIN DESCRIPCIÓN"),_xlfn.XLOOKUP(_xlpm.o,PROD_UNICOS[PRODUCTO_ORIGINAL],PROD_UNICOS[PRODUCTO_CORREGIDO],_xlpm.o))</f>
        <v>Grúas y polipastos</v>
      </c>
      <c r="T110" s="72" t="str">
        <f>_xlfn.XLOOKUP(Cuadro[[#This Row],[COD_PAIS]],PAISES[CÓDIGO],PAISES[PAÍS],"SIN PAÍS")</f>
        <v>Colombia</v>
      </c>
      <c r="U110" s="72" t="str">
        <f>_xlfn.XLOOKUP(Cuadro[[#This Row],[COD_PAIS]],PAISES[CÓDIGO],PAISES[CONTINENTE],"SIN PAÍS")</f>
        <v>AMÉRICA</v>
      </c>
    </row>
    <row r="114" spans="2:2" x14ac:dyDescent="0.25">
      <c r="B114" s="82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2FCDC-083C-4EE9-8A63-4699F9CC541E}">
  <sheetPr>
    <tabColor rgb="FF0070C0"/>
  </sheetPr>
  <dimension ref="A1:H40"/>
  <sheetViews>
    <sheetView topLeftCell="A13" workbookViewId="0">
      <selection activeCell="O10" sqref="O9:P10"/>
    </sheetView>
  </sheetViews>
  <sheetFormatPr baseColWidth="10" defaultRowHeight="15" x14ac:dyDescent="0.25"/>
  <cols>
    <col min="1" max="1" width="34" bestFit="1" customWidth="1"/>
    <col min="2" max="2" width="4.42578125" bestFit="1" customWidth="1"/>
    <col min="3" max="4" width="5.42578125" bestFit="1" customWidth="1"/>
    <col min="5" max="5" width="4" bestFit="1" customWidth="1"/>
    <col min="6" max="6" width="5.42578125" bestFit="1" customWidth="1"/>
    <col min="7" max="9" width="6.42578125" bestFit="1" customWidth="1"/>
    <col min="10" max="10" width="9.85546875" bestFit="1" customWidth="1"/>
    <col min="11" max="11" width="12.5703125" bestFit="1" customWidth="1"/>
  </cols>
  <sheetData>
    <row r="1" spans="1:8" x14ac:dyDescent="0.25">
      <c r="H1" t="s">
        <v>9114</v>
      </c>
    </row>
    <row r="6" spans="1:8" x14ac:dyDescent="0.25">
      <c r="B6" t="s">
        <v>9112</v>
      </c>
    </row>
    <row r="11" spans="1:8" x14ac:dyDescent="0.25">
      <c r="A11" s="49" t="s">
        <v>9111</v>
      </c>
      <c r="B11" s="48"/>
      <c r="C11" s="48"/>
      <c r="D11" s="48"/>
      <c r="E11" s="48"/>
      <c r="F11" s="48"/>
    </row>
    <row r="12" spans="1:8" x14ac:dyDescent="0.25">
      <c r="A12" s="48"/>
      <c r="B12" s="50" t="s">
        <v>16426</v>
      </c>
      <c r="C12" s="50" t="s">
        <v>9121</v>
      </c>
      <c r="D12" s="50" t="s">
        <v>9122</v>
      </c>
      <c r="E12" s="50" t="s">
        <v>9109</v>
      </c>
      <c r="F12" s="50" t="s">
        <v>9123</v>
      </c>
    </row>
    <row r="13" spans="1:8" x14ac:dyDescent="0.25">
      <c r="A13" s="41" t="s">
        <v>860</v>
      </c>
      <c r="B13" s="42"/>
      <c r="C13" s="42"/>
      <c r="D13" s="42"/>
      <c r="E13" s="42">
        <v>200.92184199999997</v>
      </c>
      <c r="F13" s="42">
        <v>7051.0590800000009</v>
      </c>
    </row>
    <row r="14" spans="1:8" x14ac:dyDescent="0.25">
      <c r="A14" s="41" t="s">
        <v>881</v>
      </c>
      <c r="B14" s="42"/>
      <c r="C14" s="42"/>
      <c r="D14" s="42"/>
      <c r="E14" s="42">
        <v>198.90969099999998</v>
      </c>
      <c r="F14" s="42">
        <v>95.769229999999993</v>
      </c>
    </row>
    <row r="15" spans="1:8" x14ac:dyDescent="0.25">
      <c r="A15" s="41" t="s">
        <v>16431</v>
      </c>
      <c r="B15" s="42"/>
      <c r="C15" s="42"/>
      <c r="D15" s="42"/>
      <c r="E15" s="42">
        <v>178.2</v>
      </c>
      <c r="F15" s="42">
        <v>95.769229999999993</v>
      </c>
    </row>
    <row r="16" spans="1:8" x14ac:dyDescent="0.25">
      <c r="A16" s="41" t="s">
        <v>16430</v>
      </c>
      <c r="B16" s="42"/>
      <c r="C16" s="42"/>
      <c r="D16" s="42"/>
      <c r="E16" s="42">
        <v>20.709690999999999</v>
      </c>
      <c r="F16" s="42"/>
    </row>
    <row r="17" spans="1:6" x14ac:dyDescent="0.25">
      <c r="A17" s="41" t="s">
        <v>861</v>
      </c>
      <c r="B17" s="42"/>
      <c r="C17" s="42"/>
      <c r="D17" s="42"/>
      <c r="E17" s="42"/>
      <c r="F17" s="42">
        <v>55.02243</v>
      </c>
    </row>
    <row r="18" spans="1:6" x14ac:dyDescent="0.25">
      <c r="A18" s="41" t="s">
        <v>16433</v>
      </c>
      <c r="B18" s="42"/>
      <c r="C18" s="42"/>
      <c r="D18" s="42"/>
      <c r="E18" s="42"/>
      <c r="F18" s="42">
        <v>28.22</v>
      </c>
    </row>
    <row r="19" spans="1:6" x14ac:dyDescent="0.25">
      <c r="A19" s="41" t="s">
        <v>16432</v>
      </c>
      <c r="B19" s="42"/>
      <c r="C19" s="42"/>
      <c r="D19" s="42"/>
      <c r="E19" s="42"/>
      <c r="F19" s="42">
        <v>26.802430000000001</v>
      </c>
    </row>
    <row r="20" spans="1:6" x14ac:dyDescent="0.25">
      <c r="A20" s="41" t="s">
        <v>873</v>
      </c>
      <c r="B20" s="42"/>
      <c r="C20" s="42"/>
      <c r="D20" s="42"/>
      <c r="E20" s="42">
        <v>2.0121509999999998</v>
      </c>
      <c r="F20" s="42">
        <v>6900.267420000001</v>
      </c>
    </row>
    <row r="21" spans="1:6" x14ac:dyDescent="0.25">
      <c r="A21" s="41" t="s">
        <v>7189</v>
      </c>
      <c r="B21" s="42"/>
      <c r="C21" s="42"/>
      <c r="D21" s="42"/>
      <c r="E21" s="42">
        <v>1.867435</v>
      </c>
      <c r="F21" s="42">
        <v>6.5294999999999996</v>
      </c>
    </row>
    <row r="22" spans="1:6" x14ac:dyDescent="0.25">
      <c r="A22" s="41" t="s">
        <v>16438</v>
      </c>
      <c r="B22" s="42"/>
      <c r="C22" s="42"/>
      <c r="D22" s="42"/>
      <c r="E22" s="42">
        <v>0.14471600000000001</v>
      </c>
      <c r="F22" s="42">
        <v>0.50922000000000001</v>
      </c>
    </row>
    <row r="23" spans="1:6" x14ac:dyDescent="0.25">
      <c r="A23" s="41" t="s">
        <v>16434</v>
      </c>
      <c r="B23" s="42"/>
      <c r="C23" s="42"/>
      <c r="D23" s="42"/>
      <c r="E23" s="42"/>
      <c r="F23" s="42">
        <v>1.1559999999999999</v>
      </c>
    </row>
    <row r="24" spans="1:6" x14ac:dyDescent="0.25">
      <c r="A24" s="41" t="s">
        <v>16439</v>
      </c>
      <c r="B24" s="42"/>
      <c r="C24" s="42"/>
      <c r="D24" s="42"/>
      <c r="E24" s="42"/>
      <c r="F24" s="42">
        <v>21.25</v>
      </c>
    </row>
    <row r="25" spans="1:6" x14ac:dyDescent="0.25">
      <c r="A25" s="41" t="s">
        <v>16436</v>
      </c>
      <c r="B25" s="42"/>
      <c r="C25" s="42"/>
      <c r="D25" s="42"/>
      <c r="E25" s="42"/>
      <c r="F25" s="42">
        <v>6772.6840000000002</v>
      </c>
    </row>
    <row r="26" spans="1:6" x14ac:dyDescent="0.25">
      <c r="A26" s="41" t="s">
        <v>16437</v>
      </c>
      <c r="B26" s="42"/>
      <c r="C26" s="42"/>
      <c r="D26" s="42"/>
      <c r="E26" s="42"/>
      <c r="F26" s="42">
        <v>4.59</v>
      </c>
    </row>
    <row r="27" spans="1:6" x14ac:dyDescent="0.25">
      <c r="A27" s="41" t="s">
        <v>16435</v>
      </c>
      <c r="B27" s="42"/>
      <c r="C27" s="42"/>
      <c r="D27" s="42"/>
      <c r="E27" s="42"/>
      <c r="F27" s="42">
        <v>93.548699999999997</v>
      </c>
    </row>
    <row r="28" spans="1:6" x14ac:dyDescent="0.25">
      <c r="A28" s="41" t="s">
        <v>786</v>
      </c>
      <c r="B28" s="42"/>
      <c r="C28" s="42">
        <v>999.91657999999995</v>
      </c>
      <c r="D28" s="42"/>
      <c r="E28" s="42">
        <v>2.4398850000000003</v>
      </c>
      <c r="F28" s="42">
        <v>28.07546</v>
      </c>
    </row>
    <row r="29" spans="1:6" x14ac:dyDescent="0.25">
      <c r="A29" s="41" t="s">
        <v>799</v>
      </c>
      <c r="B29" s="42"/>
      <c r="C29" s="42"/>
      <c r="D29" s="42"/>
      <c r="E29" s="42">
        <v>2.4398850000000003</v>
      </c>
      <c r="F29" s="42">
        <v>8.5311000000000003</v>
      </c>
    </row>
    <row r="30" spans="1:6" x14ac:dyDescent="0.25">
      <c r="A30" s="41" t="s">
        <v>7144</v>
      </c>
      <c r="B30" s="42"/>
      <c r="C30" s="42"/>
      <c r="D30" s="42"/>
      <c r="E30" s="42">
        <v>2.4398850000000003</v>
      </c>
      <c r="F30" s="42">
        <v>8.5311000000000003</v>
      </c>
    </row>
    <row r="31" spans="1:6" x14ac:dyDescent="0.25">
      <c r="A31" s="41" t="s">
        <v>787</v>
      </c>
      <c r="B31" s="42"/>
      <c r="C31" s="42">
        <v>999.91657999999995</v>
      </c>
      <c r="D31" s="42"/>
      <c r="E31" s="42"/>
      <c r="F31" s="42">
        <v>19.544360000000001</v>
      </c>
    </row>
    <row r="32" spans="1:6" x14ac:dyDescent="0.25">
      <c r="A32" s="41" t="s">
        <v>1651</v>
      </c>
      <c r="B32" s="42"/>
      <c r="C32" s="42"/>
      <c r="D32" s="42"/>
      <c r="E32" s="42"/>
      <c r="F32" s="42">
        <v>19.544360000000001</v>
      </c>
    </row>
    <row r="33" spans="1:6" x14ac:dyDescent="0.25">
      <c r="A33" s="41" t="s">
        <v>980</v>
      </c>
      <c r="B33" s="42"/>
      <c r="C33" s="42">
        <v>999.91657999999995</v>
      </c>
      <c r="D33" s="42"/>
      <c r="E33" s="42"/>
      <c r="F33" s="42"/>
    </row>
    <row r="34" spans="1:6" x14ac:dyDescent="0.25">
      <c r="A34" s="41" t="s">
        <v>815</v>
      </c>
      <c r="B34" s="42">
        <v>439.87900000000002</v>
      </c>
      <c r="C34" s="42">
        <v>1002.8095</v>
      </c>
      <c r="D34" s="42">
        <v>1319.4171000000001</v>
      </c>
      <c r="E34" s="42">
        <v>472.55661999999995</v>
      </c>
      <c r="F34" s="42">
        <v>1749.9235199999998</v>
      </c>
    </row>
    <row r="35" spans="1:6" x14ac:dyDescent="0.25">
      <c r="A35" s="41" t="s">
        <v>825</v>
      </c>
      <c r="B35" s="42">
        <v>439.87900000000002</v>
      </c>
      <c r="C35" s="42"/>
      <c r="D35" s="42"/>
      <c r="E35" s="42">
        <v>472.55661999999995</v>
      </c>
      <c r="F35" s="42"/>
    </row>
    <row r="36" spans="1:6" x14ac:dyDescent="0.25">
      <c r="A36" s="41" t="s">
        <v>9396</v>
      </c>
      <c r="B36" s="42">
        <v>439.87900000000002</v>
      </c>
      <c r="C36" s="42"/>
      <c r="D36" s="42"/>
      <c r="E36" s="42">
        <v>472.55661999999995</v>
      </c>
      <c r="F36" s="42"/>
    </row>
    <row r="37" spans="1:6" x14ac:dyDescent="0.25">
      <c r="A37" s="41" t="s">
        <v>835</v>
      </c>
      <c r="B37" s="42"/>
      <c r="C37" s="42">
        <v>1002.8095</v>
      </c>
      <c r="D37" s="42">
        <v>1319.4171000000001</v>
      </c>
      <c r="E37" s="42"/>
      <c r="F37" s="42">
        <v>1749.9235199999998</v>
      </c>
    </row>
    <row r="38" spans="1:6" x14ac:dyDescent="0.25">
      <c r="A38" s="41" t="s">
        <v>1871</v>
      </c>
      <c r="B38" s="42"/>
      <c r="C38" s="42"/>
      <c r="D38" s="42">
        <v>319.10759999999999</v>
      </c>
      <c r="E38" s="42"/>
      <c r="F38" s="42">
        <v>71.154719999999998</v>
      </c>
    </row>
    <row r="39" spans="1:6" x14ac:dyDescent="0.25">
      <c r="A39" s="41" t="s">
        <v>1991</v>
      </c>
      <c r="B39" s="42"/>
      <c r="C39" s="42">
        <v>1002.8095</v>
      </c>
      <c r="D39" s="42">
        <v>1000.3095000000001</v>
      </c>
      <c r="E39" s="42"/>
      <c r="F39" s="42">
        <v>1678.7687999999998</v>
      </c>
    </row>
    <row r="40" spans="1:6" x14ac:dyDescent="0.25">
      <c r="A40" s="41" t="s">
        <v>9108</v>
      </c>
      <c r="B40" s="42">
        <v>439.87900000000002</v>
      </c>
      <c r="C40" s="42">
        <v>2002.7260799999999</v>
      </c>
      <c r="D40" s="42">
        <v>1319.4171000000001</v>
      </c>
      <c r="E40" s="42">
        <v>675.91834699999993</v>
      </c>
      <c r="F40" s="42">
        <v>8829.0580600000012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31B9-A124-4DE4-BB4F-756AD93FE3AB}">
  <dimension ref="A11:G31"/>
  <sheetViews>
    <sheetView workbookViewId="0"/>
  </sheetViews>
  <sheetFormatPr baseColWidth="10" defaultRowHeight="15" x14ac:dyDescent="0.25"/>
  <cols>
    <col min="1" max="1" width="90" bestFit="1" customWidth="1"/>
    <col min="2" max="2" width="6.85546875" bestFit="1" customWidth="1"/>
    <col min="3" max="4" width="5.42578125" bestFit="1" customWidth="1"/>
    <col min="5" max="5" width="4" bestFit="1" customWidth="1"/>
    <col min="6" max="6" width="5.42578125" bestFit="1" customWidth="1"/>
    <col min="7" max="7" width="12.5703125" bestFit="1" customWidth="1"/>
    <col min="8" max="9" width="6.42578125" bestFit="1" customWidth="1"/>
    <col min="10" max="10" width="12.5703125" bestFit="1" customWidth="1"/>
  </cols>
  <sheetData>
    <row r="11" spans="1:7" x14ac:dyDescent="0.25">
      <c r="A11" s="49" t="s">
        <v>9115</v>
      </c>
      <c r="B11" s="48"/>
      <c r="C11" s="48"/>
      <c r="D11" s="48"/>
      <c r="E11" s="48"/>
      <c r="F11" s="48"/>
      <c r="G11" s="48"/>
    </row>
    <row r="12" spans="1:7" x14ac:dyDescent="0.25">
      <c r="A12" s="48"/>
      <c r="B12" s="68" t="s">
        <v>9113</v>
      </c>
      <c r="C12" s="69"/>
      <c r="D12" s="69"/>
      <c r="E12" s="69"/>
      <c r="F12" s="69"/>
      <c r="G12" s="68" t="s">
        <v>9108</v>
      </c>
    </row>
    <row r="13" spans="1:7" x14ac:dyDescent="0.25">
      <c r="A13" s="48"/>
      <c r="B13" s="50" t="s">
        <v>16426</v>
      </c>
      <c r="C13" s="50" t="s">
        <v>9121</v>
      </c>
      <c r="D13" s="50" t="s">
        <v>9122</v>
      </c>
      <c r="E13" s="50" t="s">
        <v>9109</v>
      </c>
      <c r="F13" s="50" t="s">
        <v>9123</v>
      </c>
      <c r="G13" s="69"/>
    </row>
    <row r="14" spans="1:7" x14ac:dyDescent="0.25">
      <c r="A14" s="41" t="s">
        <v>860</v>
      </c>
      <c r="B14" s="42"/>
      <c r="C14" s="42"/>
      <c r="D14" s="42"/>
      <c r="E14" s="42">
        <v>200.921842</v>
      </c>
      <c r="F14" s="42">
        <v>7051.0590799999991</v>
      </c>
      <c r="G14" s="42">
        <v>7251.9809219999988</v>
      </c>
    </row>
    <row r="15" spans="1:7" x14ac:dyDescent="0.25">
      <c r="A15" s="41" t="s">
        <v>741</v>
      </c>
      <c r="B15" s="42"/>
      <c r="C15" s="42"/>
      <c r="D15" s="42"/>
      <c r="E15" s="42">
        <v>200.921842</v>
      </c>
      <c r="F15" s="42">
        <v>102.80794999999999</v>
      </c>
      <c r="G15" s="42">
        <v>303.72979199999997</v>
      </c>
    </row>
    <row r="16" spans="1:7" x14ac:dyDescent="0.25">
      <c r="A16" s="41" t="s">
        <v>16427</v>
      </c>
      <c r="B16" s="42"/>
      <c r="C16" s="42"/>
      <c r="D16" s="42"/>
      <c r="E16" s="42"/>
      <c r="F16" s="42">
        <v>6948.2511299999987</v>
      </c>
      <c r="G16" s="42">
        <v>6948.2511299999987</v>
      </c>
    </row>
    <row r="17" spans="1:7" x14ac:dyDescent="0.25">
      <c r="A17" s="41" t="s">
        <v>786</v>
      </c>
      <c r="B17" s="42"/>
      <c r="C17" s="42">
        <v>999.91657999999995</v>
      </c>
      <c r="D17" s="42"/>
      <c r="E17" s="42">
        <v>2.4398850000000003</v>
      </c>
      <c r="F17" s="42">
        <v>28.07546</v>
      </c>
      <c r="G17" s="42">
        <v>1030.4319249999999</v>
      </c>
    </row>
    <row r="18" spans="1:7" x14ac:dyDescent="0.25">
      <c r="A18" s="41" t="s">
        <v>735</v>
      </c>
      <c r="B18" s="42"/>
      <c r="C18" s="42"/>
      <c r="D18" s="42"/>
      <c r="E18" s="42"/>
      <c r="F18" s="42">
        <v>19.544360000000001</v>
      </c>
      <c r="G18" s="42">
        <v>19.544360000000001</v>
      </c>
    </row>
    <row r="19" spans="1:7" x14ac:dyDescent="0.25">
      <c r="A19" s="41" t="s">
        <v>723</v>
      </c>
      <c r="B19" s="42"/>
      <c r="C19" s="42">
        <v>75.545999999999992</v>
      </c>
      <c r="D19" s="42"/>
      <c r="E19" s="42"/>
      <c r="F19" s="42"/>
      <c r="G19" s="42">
        <v>75.545999999999992</v>
      </c>
    </row>
    <row r="20" spans="1:7" x14ac:dyDescent="0.25">
      <c r="A20" s="41" t="s">
        <v>725</v>
      </c>
      <c r="B20" s="42"/>
      <c r="C20" s="42">
        <v>102.069</v>
      </c>
      <c r="D20" s="42"/>
      <c r="E20" s="42"/>
      <c r="F20" s="42"/>
      <c r="G20" s="42">
        <v>102.069</v>
      </c>
    </row>
    <row r="21" spans="1:7" x14ac:dyDescent="0.25">
      <c r="A21" s="41" t="s">
        <v>473</v>
      </c>
      <c r="B21" s="42"/>
      <c r="C21" s="42">
        <v>644.63517999999999</v>
      </c>
      <c r="D21" s="42"/>
      <c r="E21" s="42"/>
      <c r="F21" s="42"/>
      <c r="G21" s="42">
        <v>644.63517999999999</v>
      </c>
    </row>
    <row r="22" spans="1:7" x14ac:dyDescent="0.25">
      <c r="A22" s="41" t="s">
        <v>721</v>
      </c>
      <c r="B22" s="42"/>
      <c r="C22" s="42">
        <v>177.66639999999998</v>
      </c>
      <c r="D22" s="42"/>
      <c r="E22" s="42"/>
      <c r="F22" s="42"/>
      <c r="G22" s="42">
        <v>177.66639999999998</v>
      </c>
    </row>
    <row r="23" spans="1:7" x14ac:dyDescent="0.25">
      <c r="A23" s="41" t="s">
        <v>741</v>
      </c>
      <c r="B23" s="42"/>
      <c r="C23" s="42"/>
      <c r="D23" s="42"/>
      <c r="E23" s="42">
        <v>2.4398850000000003</v>
      </c>
      <c r="F23" s="42">
        <v>8.5311000000000003</v>
      </c>
      <c r="G23" s="42">
        <v>10.970985000000001</v>
      </c>
    </row>
    <row r="24" spans="1:7" x14ac:dyDescent="0.25">
      <c r="A24" s="41" t="s">
        <v>815</v>
      </c>
      <c r="B24" s="42">
        <v>439.87900000000002</v>
      </c>
      <c r="C24" s="42">
        <v>1002.8095</v>
      </c>
      <c r="D24" s="42">
        <v>1319.4171000000001</v>
      </c>
      <c r="E24" s="42">
        <v>472.55661999999995</v>
      </c>
      <c r="F24" s="42">
        <v>1749.9235199999998</v>
      </c>
      <c r="G24" s="42">
        <v>4984.5857399999995</v>
      </c>
    </row>
    <row r="25" spans="1:7" x14ac:dyDescent="0.25">
      <c r="A25" s="41" t="s">
        <v>735</v>
      </c>
      <c r="B25" s="42">
        <v>439.87900000000002</v>
      </c>
      <c r="C25" s="42"/>
      <c r="D25" s="42"/>
      <c r="E25" s="42">
        <v>472.55661999999995</v>
      </c>
      <c r="F25" s="42"/>
      <c r="G25" s="42">
        <v>912.43561999999997</v>
      </c>
    </row>
    <row r="26" spans="1:7" x14ac:dyDescent="0.25">
      <c r="A26" s="41" t="s">
        <v>737</v>
      </c>
      <c r="B26" s="42"/>
      <c r="C26" s="42">
        <v>540.15</v>
      </c>
      <c r="D26" s="42"/>
      <c r="E26" s="42"/>
      <c r="F26" s="42">
        <v>252.15</v>
      </c>
      <c r="G26" s="42">
        <v>792.3</v>
      </c>
    </row>
    <row r="27" spans="1:7" x14ac:dyDescent="0.25">
      <c r="A27" s="41" t="s">
        <v>529</v>
      </c>
      <c r="B27" s="42"/>
      <c r="C27" s="42">
        <v>462.65949999999998</v>
      </c>
      <c r="D27" s="42"/>
      <c r="E27" s="42"/>
      <c r="F27" s="42"/>
      <c r="G27" s="42">
        <v>462.65949999999998</v>
      </c>
    </row>
    <row r="28" spans="1:7" x14ac:dyDescent="0.25">
      <c r="A28" s="41" t="s">
        <v>703</v>
      </c>
      <c r="B28" s="42"/>
      <c r="C28" s="42"/>
      <c r="D28" s="42">
        <v>319.10759999999999</v>
      </c>
      <c r="E28" s="42"/>
      <c r="F28" s="42">
        <v>658.46411999999998</v>
      </c>
      <c r="G28" s="42">
        <v>977.57171999999991</v>
      </c>
    </row>
    <row r="29" spans="1:7" x14ac:dyDescent="0.25">
      <c r="A29" s="41" t="s">
        <v>727</v>
      </c>
      <c r="B29" s="42"/>
      <c r="C29" s="42"/>
      <c r="D29" s="42">
        <v>225.15</v>
      </c>
      <c r="E29" s="42"/>
      <c r="F29" s="42">
        <v>839.30939999999998</v>
      </c>
      <c r="G29" s="42">
        <v>1064.4594</v>
      </c>
    </row>
    <row r="30" spans="1:7" x14ac:dyDescent="0.25">
      <c r="A30" s="41" t="s">
        <v>739</v>
      </c>
      <c r="B30" s="42"/>
      <c r="C30" s="42"/>
      <c r="D30" s="42">
        <v>775.15949999999998</v>
      </c>
      <c r="E30" s="42"/>
      <c r="F30" s="42"/>
      <c r="G30" s="42">
        <v>775.15949999999998</v>
      </c>
    </row>
    <row r="31" spans="1:7" x14ac:dyDescent="0.25">
      <c r="A31" s="41" t="s">
        <v>9108</v>
      </c>
      <c r="B31" s="42">
        <v>439.87900000000002</v>
      </c>
      <c r="C31" s="42">
        <v>2002.7260799999999</v>
      </c>
      <c r="D31" s="42">
        <v>1319.4171000000001</v>
      </c>
      <c r="E31" s="42">
        <v>675.91834699999993</v>
      </c>
      <c r="F31" s="42">
        <v>8829.0580599999976</v>
      </c>
      <c r="G31" s="42">
        <v>13266.998586999998</v>
      </c>
    </row>
  </sheetData>
  <mergeCells count="2">
    <mergeCell ref="B12:F12"/>
    <mergeCell ref="G12:G1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3ECE0-F871-44EC-B64C-967000D164B3}">
  <sheetPr codeName="Hoja1">
    <tabColor theme="1"/>
  </sheetPr>
  <dimension ref="A1:L274"/>
  <sheetViews>
    <sheetView topLeftCell="A239" workbookViewId="0">
      <selection activeCell="I247" sqref="I247"/>
    </sheetView>
  </sheetViews>
  <sheetFormatPr baseColWidth="10" defaultColWidth="15.7109375" defaultRowHeight="13.9" customHeight="1" x14ac:dyDescent="0.25"/>
  <cols>
    <col min="1" max="1" width="9.85546875" style="16" bestFit="1" customWidth="1"/>
    <col min="2" max="2" width="8.28515625" style="16" bestFit="1" customWidth="1"/>
    <col min="3" max="3" width="43" style="16" bestFit="1" customWidth="1"/>
    <col min="4" max="4" width="13.42578125" style="16" bestFit="1" customWidth="1"/>
    <col min="5" max="7" width="15.7109375" style="16" customWidth="1"/>
    <col min="8" max="8" width="12" style="16" bestFit="1" customWidth="1"/>
    <col min="9" max="9" width="62.5703125" style="16" bestFit="1" customWidth="1"/>
    <col min="10" max="256" width="15.7109375" style="16"/>
    <col min="257" max="257" width="9.85546875" style="16" bestFit="1" customWidth="1"/>
    <col min="258" max="258" width="8.28515625" style="16" bestFit="1" customWidth="1"/>
    <col min="259" max="259" width="43" style="16" bestFit="1" customWidth="1"/>
    <col min="260" max="260" width="13.42578125" style="16" bestFit="1" customWidth="1"/>
    <col min="261" max="263" width="15.7109375" style="16"/>
    <col min="264" max="264" width="12" style="16" bestFit="1" customWidth="1"/>
    <col min="265" max="265" width="62.5703125" style="16" bestFit="1" customWidth="1"/>
    <col min="266" max="512" width="15.7109375" style="16"/>
    <col min="513" max="513" width="9.85546875" style="16" bestFit="1" customWidth="1"/>
    <col min="514" max="514" width="8.28515625" style="16" bestFit="1" customWidth="1"/>
    <col min="515" max="515" width="43" style="16" bestFit="1" customWidth="1"/>
    <col min="516" max="516" width="13.42578125" style="16" bestFit="1" customWidth="1"/>
    <col min="517" max="519" width="15.7109375" style="16"/>
    <col min="520" max="520" width="12" style="16" bestFit="1" customWidth="1"/>
    <col min="521" max="521" width="62.5703125" style="16" bestFit="1" customWidth="1"/>
    <col min="522" max="768" width="15.7109375" style="16"/>
    <col min="769" max="769" width="9.85546875" style="16" bestFit="1" customWidth="1"/>
    <col min="770" max="770" width="8.28515625" style="16" bestFit="1" customWidth="1"/>
    <col min="771" max="771" width="43" style="16" bestFit="1" customWidth="1"/>
    <col min="772" max="772" width="13.42578125" style="16" bestFit="1" customWidth="1"/>
    <col min="773" max="775" width="15.7109375" style="16"/>
    <col min="776" max="776" width="12" style="16" bestFit="1" customWidth="1"/>
    <col min="777" max="777" width="62.5703125" style="16" bestFit="1" customWidth="1"/>
    <col min="778" max="1024" width="15.7109375" style="16"/>
    <col min="1025" max="1025" width="9.85546875" style="16" bestFit="1" customWidth="1"/>
    <col min="1026" max="1026" width="8.28515625" style="16" bestFit="1" customWidth="1"/>
    <col min="1027" max="1027" width="43" style="16" bestFit="1" customWidth="1"/>
    <col min="1028" max="1028" width="13.42578125" style="16" bestFit="1" customWidth="1"/>
    <col min="1029" max="1031" width="15.7109375" style="16"/>
    <col min="1032" max="1032" width="12" style="16" bestFit="1" customWidth="1"/>
    <col min="1033" max="1033" width="62.5703125" style="16" bestFit="1" customWidth="1"/>
    <col min="1034" max="1280" width="15.7109375" style="16"/>
    <col min="1281" max="1281" width="9.85546875" style="16" bestFit="1" customWidth="1"/>
    <col min="1282" max="1282" width="8.28515625" style="16" bestFit="1" customWidth="1"/>
    <col min="1283" max="1283" width="43" style="16" bestFit="1" customWidth="1"/>
    <col min="1284" max="1284" width="13.42578125" style="16" bestFit="1" customWidth="1"/>
    <col min="1285" max="1287" width="15.7109375" style="16"/>
    <col min="1288" max="1288" width="12" style="16" bestFit="1" customWidth="1"/>
    <col min="1289" max="1289" width="62.5703125" style="16" bestFit="1" customWidth="1"/>
    <col min="1290" max="1536" width="15.7109375" style="16"/>
    <col min="1537" max="1537" width="9.85546875" style="16" bestFit="1" customWidth="1"/>
    <col min="1538" max="1538" width="8.28515625" style="16" bestFit="1" customWidth="1"/>
    <col min="1539" max="1539" width="43" style="16" bestFit="1" customWidth="1"/>
    <col min="1540" max="1540" width="13.42578125" style="16" bestFit="1" customWidth="1"/>
    <col min="1541" max="1543" width="15.7109375" style="16"/>
    <col min="1544" max="1544" width="12" style="16" bestFit="1" customWidth="1"/>
    <col min="1545" max="1545" width="62.5703125" style="16" bestFit="1" customWidth="1"/>
    <col min="1546" max="1792" width="15.7109375" style="16"/>
    <col min="1793" max="1793" width="9.85546875" style="16" bestFit="1" customWidth="1"/>
    <col min="1794" max="1794" width="8.28515625" style="16" bestFit="1" customWidth="1"/>
    <col min="1795" max="1795" width="43" style="16" bestFit="1" customWidth="1"/>
    <col min="1796" max="1796" width="13.42578125" style="16" bestFit="1" customWidth="1"/>
    <col min="1797" max="1799" width="15.7109375" style="16"/>
    <col min="1800" max="1800" width="12" style="16" bestFit="1" customWidth="1"/>
    <col min="1801" max="1801" width="62.5703125" style="16" bestFit="1" customWidth="1"/>
    <col min="1802" max="2048" width="15.7109375" style="16"/>
    <col min="2049" max="2049" width="9.85546875" style="16" bestFit="1" customWidth="1"/>
    <col min="2050" max="2050" width="8.28515625" style="16" bestFit="1" customWidth="1"/>
    <col min="2051" max="2051" width="43" style="16" bestFit="1" customWidth="1"/>
    <col min="2052" max="2052" width="13.42578125" style="16" bestFit="1" customWidth="1"/>
    <col min="2053" max="2055" width="15.7109375" style="16"/>
    <col min="2056" max="2056" width="12" style="16" bestFit="1" customWidth="1"/>
    <col min="2057" max="2057" width="62.5703125" style="16" bestFit="1" customWidth="1"/>
    <col min="2058" max="2304" width="15.7109375" style="16"/>
    <col min="2305" max="2305" width="9.85546875" style="16" bestFit="1" customWidth="1"/>
    <col min="2306" max="2306" width="8.28515625" style="16" bestFit="1" customWidth="1"/>
    <col min="2307" max="2307" width="43" style="16" bestFit="1" customWidth="1"/>
    <col min="2308" max="2308" width="13.42578125" style="16" bestFit="1" customWidth="1"/>
    <col min="2309" max="2311" width="15.7109375" style="16"/>
    <col min="2312" max="2312" width="12" style="16" bestFit="1" customWidth="1"/>
    <col min="2313" max="2313" width="62.5703125" style="16" bestFit="1" customWidth="1"/>
    <col min="2314" max="2560" width="15.7109375" style="16"/>
    <col min="2561" max="2561" width="9.85546875" style="16" bestFit="1" customWidth="1"/>
    <col min="2562" max="2562" width="8.28515625" style="16" bestFit="1" customWidth="1"/>
    <col min="2563" max="2563" width="43" style="16" bestFit="1" customWidth="1"/>
    <col min="2564" max="2564" width="13.42578125" style="16" bestFit="1" customWidth="1"/>
    <col min="2565" max="2567" width="15.7109375" style="16"/>
    <col min="2568" max="2568" width="12" style="16" bestFit="1" customWidth="1"/>
    <col min="2569" max="2569" width="62.5703125" style="16" bestFit="1" customWidth="1"/>
    <col min="2570" max="2816" width="15.7109375" style="16"/>
    <col min="2817" max="2817" width="9.85546875" style="16" bestFit="1" customWidth="1"/>
    <col min="2818" max="2818" width="8.28515625" style="16" bestFit="1" customWidth="1"/>
    <col min="2819" max="2819" width="43" style="16" bestFit="1" customWidth="1"/>
    <col min="2820" max="2820" width="13.42578125" style="16" bestFit="1" customWidth="1"/>
    <col min="2821" max="2823" width="15.7109375" style="16"/>
    <col min="2824" max="2824" width="12" style="16" bestFit="1" customWidth="1"/>
    <col min="2825" max="2825" width="62.5703125" style="16" bestFit="1" customWidth="1"/>
    <col min="2826" max="3072" width="15.7109375" style="16"/>
    <col min="3073" max="3073" width="9.85546875" style="16" bestFit="1" customWidth="1"/>
    <col min="3074" max="3074" width="8.28515625" style="16" bestFit="1" customWidth="1"/>
    <col min="3075" max="3075" width="43" style="16" bestFit="1" customWidth="1"/>
    <col min="3076" max="3076" width="13.42578125" style="16" bestFit="1" customWidth="1"/>
    <col min="3077" max="3079" width="15.7109375" style="16"/>
    <col min="3080" max="3080" width="12" style="16" bestFit="1" customWidth="1"/>
    <col min="3081" max="3081" width="62.5703125" style="16" bestFit="1" customWidth="1"/>
    <col min="3082" max="3328" width="15.7109375" style="16"/>
    <col min="3329" max="3329" width="9.85546875" style="16" bestFit="1" customWidth="1"/>
    <col min="3330" max="3330" width="8.28515625" style="16" bestFit="1" customWidth="1"/>
    <col min="3331" max="3331" width="43" style="16" bestFit="1" customWidth="1"/>
    <col min="3332" max="3332" width="13.42578125" style="16" bestFit="1" customWidth="1"/>
    <col min="3333" max="3335" width="15.7109375" style="16"/>
    <col min="3336" max="3336" width="12" style="16" bestFit="1" customWidth="1"/>
    <col min="3337" max="3337" width="62.5703125" style="16" bestFit="1" customWidth="1"/>
    <col min="3338" max="3584" width="15.7109375" style="16"/>
    <col min="3585" max="3585" width="9.85546875" style="16" bestFit="1" customWidth="1"/>
    <col min="3586" max="3586" width="8.28515625" style="16" bestFit="1" customWidth="1"/>
    <col min="3587" max="3587" width="43" style="16" bestFit="1" customWidth="1"/>
    <col min="3588" max="3588" width="13.42578125" style="16" bestFit="1" customWidth="1"/>
    <col min="3589" max="3591" width="15.7109375" style="16"/>
    <col min="3592" max="3592" width="12" style="16" bestFit="1" customWidth="1"/>
    <col min="3593" max="3593" width="62.5703125" style="16" bestFit="1" customWidth="1"/>
    <col min="3594" max="3840" width="15.7109375" style="16"/>
    <col min="3841" max="3841" width="9.85546875" style="16" bestFit="1" customWidth="1"/>
    <col min="3842" max="3842" width="8.28515625" style="16" bestFit="1" customWidth="1"/>
    <col min="3843" max="3843" width="43" style="16" bestFit="1" customWidth="1"/>
    <col min="3844" max="3844" width="13.42578125" style="16" bestFit="1" customWidth="1"/>
    <col min="3845" max="3847" width="15.7109375" style="16"/>
    <col min="3848" max="3848" width="12" style="16" bestFit="1" customWidth="1"/>
    <col min="3849" max="3849" width="62.5703125" style="16" bestFit="1" customWidth="1"/>
    <col min="3850" max="4096" width="15.7109375" style="16"/>
    <col min="4097" max="4097" width="9.85546875" style="16" bestFit="1" customWidth="1"/>
    <col min="4098" max="4098" width="8.28515625" style="16" bestFit="1" customWidth="1"/>
    <col min="4099" max="4099" width="43" style="16" bestFit="1" customWidth="1"/>
    <col min="4100" max="4100" width="13.42578125" style="16" bestFit="1" customWidth="1"/>
    <col min="4101" max="4103" width="15.7109375" style="16"/>
    <col min="4104" max="4104" width="12" style="16" bestFit="1" customWidth="1"/>
    <col min="4105" max="4105" width="62.5703125" style="16" bestFit="1" customWidth="1"/>
    <col min="4106" max="4352" width="15.7109375" style="16"/>
    <col min="4353" max="4353" width="9.85546875" style="16" bestFit="1" customWidth="1"/>
    <col min="4354" max="4354" width="8.28515625" style="16" bestFit="1" customWidth="1"/>
    <col min="4355" max="4355" width="43" style="16" bestFit="1" customWidth="1"/>
    <col min="4356" max="4356" width="13.42578125" style="16" bestFit="1" customWidth="1"/>
    <col min="4357" max="4359" width="15.7109375" style="16"/>
    <col min="4360" max="4360" width="12" style="16" bestFit="1" customWidth="1"/>
    <col min="4361" max="4361" width="62.5703125" style="16" bestFit="1" customWidth="1"/>
    <col min="4362" max="4608" width="15.7109375" style="16"/>
    <col min="4609" max="4609" width="9.85546875" style="16" bestFit="1" customWidth="1"/>
    <col min="4610" max="4610" width="8.28515625" style="16" bestFit="1" customWidth="1"/>
    <col min="4611" max="4611" width="43" style="16" bestFit="1" customWidth="1"/>
    <col min="4612" max="4612" width="13.42578125" style="16" bestFit="1" customWidth="1"/>
    <col min="4613" max="4615" width="15.7109375" style="16"/>
    <col min="4616" max="4616" width="12" style="16" bestFit="1" customWidth="1"/>
    <col min="4617" max="4617" width="62.5703125" style="16" bestFit="1" customWidth="1"/>
    <col min="4618" max="4864" width="15.7109375" style="16"/>
    <col min="4865" max="4865" width="9.85546875" style="16" bestFit="1" customWidth="1"/>
    <col min="4866" max="4866" width="8.28515625" style="16" bestFit="1" customWidth="1"/>
    <col min="4867" max="4867" width="43" style="16" bestFit="1" customWidth="1"/>
    <col min="4868" max="4868" width="13.42578125" style="16" bestFit="1" customWidth="1"/>
    <col min="4869" max="4871" width="15.7109375" style="16"/>
    <col min="4872" max="4872" width="12" style="16" bestFit="1" customWidth="1"/>
    <col min="4873" max="4873" width="62.5703125" style="16" bestFit="1" customWidth="1"/>
    <col min="4874" max="5120" width="15.7109375" style="16"/>
    <col min="5121" max="5121" width="9.85546875" style="16" bestFit="1" customWidth="1"/>
    <col min="5122" max="5122" width="8.28515625" style="16" bestFit="1" customWidth="1"/>
    <col min="5123" max="5123" width="43" style="16" bestFit="1" customWidth="1"/>
    <col min="5124" max="5124" width="13.42578125" style="16" bestFit="1" customWidth="1"/>
    <col min="5125" max="5127" width="15.7109375" style="16"/>
    <col min="5128" max="5128" width="12" style="16" bestFit="1" customWidth="1"/>
    <col min="5129" max="5129" width="62.5703125" style="16" bestFit="1" customWidth="1"/>
    <col min="5130" max="5376" width="15.7109375" style="16"/>
    <col min="5377" max="5377" width="9.85546875" style="16" bestFit="1" customWidth="1"/>
    <col min="5378" max="5378" width="8.28515625" style="16" bestFit="1" customWidth="1"/>
    <col min="5379" max="5379" width="43" style="16" bestFit="1" customWidth="1"/>
    <col min="5380" max="5380" width="13.42578125" style="16" bestFit="1" customWidth="1"/>
    <col min="5381" max="5383" width="15.7109375" style="16"/>
    <col min="5384" max="5384" width="12" style="16" bestFit="1" customWidth="1"/>
    <col min="5385" max="5385" width="62.5703125" style="16" bestFit="1" customWidth="1"/>
    <col min="5386" max="5632" width="15.7109375" style="16"/>
    <col min="5633" max="5633" width="9.85546875" style="16" bestFit="1" customWidth="1"/>
    <col min="5634" max="5634" width="8.28515625" style="16" bestFit="1" customWidth="1"/>
    <col min="5635" max="5635" width="43" style="16" bestFit="1" customWidth="1"/>
    <col min="5636" max="5636" width="13.42578125" style="16" bestFit="1" customWidth="1"/>
    <col min="5637" max="5639" width="15.7109375" style="16"/>
    <col min="5640" max="5640" width="12" style="16" bestFit="1" customWidth="1"/>
    <col min="5641" max="5641" width="62.5703125" style="16" bestFit="1" customWidth="1"/>
    <col min="5642" max="5888" width="15.7109375" style="16"/>
    <col min="5889" max="5889" width="9.85546875" style="16" bestFit="1" customWidth="1"/>
    <col min="5890" max="5890" width="8.28515625" style="16" bestFit="1" customWidth="1"/>
    <col min="5891" max="5891" width="43" style="16" bestFit="1" customWidth="1"/>
    <col min="5892" max="5892" width="13.42578125" style="16" bestFit="1" customWidth="1"/>
    <col min="5893" max="5895" width="15.7109375" style="16"/>
    <col min="5896" max="5896" width="12" style="16" bestFit="1" customWidth="1"/>
    <col min="5897" max="5897" width="62.5703125" style="16" bestFit="1" customWidth="1"/>
    <col min="5898" max="6144" width="15.7109375" style="16"/>
    <col min="6145" max="6145" width="9.85546875" style="16" bestFit="1" customWidth="1"/>
    <col min="6146" max="6146" width="8.28515625" style="16" bestFit="1" customWidth="1"/>
    <col min="6147" max="6147" width="43" style="16" bestFit="1" customWidth="1"/>
    <col min="6148" max="6148" width="13.42578125" style="16" bestFit="1" customWidth="1"/>
    <col min="6149" max="6151" width="15.7109375" style="16"/>
    <col min="6152" max="6152" width="12" style="16" bestFit="1" customWidth="1"/>
    <col min="6153" max="6153" width="62.5703125" style="16" bestFit="1" customWidth="1"/>
    <col min="6154" max="6400" width="15.7109375" style="16"/>
    <col min="6401" max="6401" width="9.85546875" style="16" bestFit="1" customWidth="1"/>
    <col min="6402" max="6402" width="8.28515625" style="16" bestFit="1" customWidth="1"/>
    <col min="6403" max="6403" width="43" style="16" bestFit="1" customWidth="1"/>
    <col min="6404" max="6404" width="13.42578125" style="16" bestFit="1" customWidth="1"/>
    <col min="6405" max="6407" width="15.7109375" style="16"/>
    <col min="6408" max="6408" width="12" style="16" bestFit="1" customWidth="1"/>
    <col min="6409" max="6409" width="62.5703125" style="16" bestFit="1" customWidth="1"/>
    <col min="6410" max="6656" width="15.7109375" style="16"/>
    <col min="6657" max="6657" width="9.85546875" style="16" bestFit="1" customWidth="1"/>
    <col min="6658" max="6658" width="8.28515625" style="16" bestFit="1" customWidth="1"/>
    <col min="6659" max="6659" width="43" style="16" bestFit="1" customWidth="1"/>
    <col min="6660" max="6660" width="13.42578125" style="16" bestFit="1" customWidth="1"/>
    <col min="6661" max="6663" width="15.7109375" style="16"/>
    <col min="6664" max="6664" width="12" style="16" bestFit="1" customWidth="1"/>
    <col min="6665" max="6665" width="62.5703125" style="16" bestFit="1" customWidth="1"/>
    <col min="6666" max="6912" width="15.7109375" style="16"/>
    <col min="6913" max="6913" width="9.85546875" style="16" bestFit="1" customWidth="1"/>
    <col min="6914" max="6914" width="8.28515625" style="16" bestFit="1" customWidth="1"/>
    <col min="6915" max="6915" width="43" style="16" bestFit="1" customWidth="1"/>
    <col min="6916" max="6916" width="13.42578125" style="16" bestFit="1" customWidth="1"/>
    <col min="6917" max="6919" width="15.7109375" style="16"/>
    <col min="6920" max="6920" width="12" style="16" bestFit="1" customWidth="1"/>
    <col min="6921" max="6921" width="62.5703125" style="16" bestFit="1" customWidth="1"/>
    <col min="6922" max="7168" width="15.7109375" style="16"/>
    <col min="7169" max="7169" width="9.85546875" style="16" bestFit="1" customWidth="1"/>
    <col min="7170" max="7170" width="8.28515625" style="16" bestFit="1" customWidth="1"/>
    <col min="7171" max="7171" width="43" style="16" bestFit="1" customWidth="1"/>
    <col min="7172" max="7172" width="13.42578125" style="16" bestFit="1" customWidth="1"/>
    <col min="7173" max="7175" width="15.7109375" style="16"/>
    <col min="7176" max="7176" width="12" style="16" bestFit="1" customWidth="1"/>
    <col min="7177" max="7177" width="62.5703125" style="16" bestFit="1" customWidth="1"/>
    <col min="7178" max="7424" width="15.7109375" style="16"/>
    <col min="7425" max="7425" width="9.85546875" style="16" bestFit="1" customWidth="1"/>
    <col min="7426" max="7426" width="8.28515625" style="16" bestFit="1" customWidth="1"/>
    <col min="7427" max="7427" width="43" style="16" bestFit="1" customWidth="1"/>
    <col min="7428" max="7428" width="13.42578125" style="16" bestFit="1" customWidth="1"/>
    <col min="7429" max="7431" width="15.7109375" style="16"/>
    <col min="7432" max="7432" width="12" style="16" bestFit="1" customWidth="1"/>
    <col min="7433" max="7433" width="62.5703125" style="16" bestFit="1" customWidth="1"/>
    <col min="7434" max="7680" width="15.7109375" style="16"/>
    <col min="7681" max="7681" width="9.85546875" style="16" bestFit="1" customWidth="1"/>
    <col min="7682" max="7682" width="8.28515625" style="16" bestFit="1" customWidth="1"/>
    <col min="7683" max="7683" width="43" style="16" bestFit="1" customWidth="1"/>
    <col min="7684" max="7684" width="13.42578125" style="16" bestFit="1" customWidth="1"/>
    <col min="7685" max="7687" width="15.7109375" style="16"/>
    <col min="7688" max="7688" width="12" style="16" bestFit="1" customWidth="1"/>
    <col min="7689" max="7689" width="62.5703125" style="16" bestFit="1" customWidth="1"/>
    <col min="7690" max="7936" width="15.7109375" style="16"/>
    <col min="7937" max="7937" width="9.85546875" style="16" bestFit="1" customWidth="1"/>
    <col min="7938" max="7938" width="8.28515625" style="16" bestFit="1" customWidth="1"/>
    <col min="7939" max="7939" width="43" style="16" bestFit="1" customWidth="1"/>
    <col min="7940" max="7940" width="13.42578125" style="16" bestFit="1" customWidth="1"/>
    <col min="7941" max="7943" width="15.7109375" style="16"/>
    <col min="7944" max="7944" width="12" style="16" bestFit="1" customWidth="1"/>
    <col min="7945" max="7945" width="62.5703125" style="16" bestFit="1" customWidth="1"/>
    <col min="7946" max="8192" width="15.7109375" style="16"/>
    <col min="8193" max="8193" width="9.85546875" style="16" bestFit="1" customWidth="1"/>
    <col min="8194" max="8194" width="8.28515625" style="16" bestFit="1" customWidth="1"/>
    <col min="8195" max="8195" width="43" style="16" bestFit="1" customWidth="1"/>
    <col min="8196" max="8196" width="13.42578125" style="16" bestFit="1" customWidth="1"/>
    <col min="8197" max="8199" width="15.7109375" style="16"/>
    <col min="8200" max="8200" width="12" style="16" bestFit="1" customWidth="1"/>
    <col min="8201" max="8201" width="62.5703125" style="16" bestFit="1" customWidth="1"/>
    <col min="8202" max="8448" width="15.7109375" style="16"/>
    <col min="8449" max="8449" width="9.85546875" style="16" bestFit="1" customWidth="1"/>
    <col min="8450" max="8450" width="8.28515625" style="16" bestFit="1" customWidth="1"/>
    <col min="8451" max="8451" width="43" style="16" bestFit="1" customWidth="1"/>
    <col min="8452" max="8452" width="13.42578125" style="16" bestFit="1" customWidth="1"/>
    <col min="8453" max="8455" width="15.7109375" style="16"/>
    <col min="8456" max="8456" width="12" style="16" bestFit="1" customWidth="1"/>
    <col min="8457" max="8457" width="62.5703125" style="16" bestFit="1" customWidth="1"/>
    <col min="8458" max="8704" width="15.7109375" style="16"/>
    <col min="8705" max="8705" width="9.85546875" style="16" bestFit="1" customWidth="1"/>
    <col min="8706" max="8706" width="8.28515625" style="16" bestFit="1" customWidth="1"/>
    <col min="8707" max="8707" width="43" style="16" bestFit="1" customWidth="1"/>
    <col min="8708" max="8708" width="13.42578125" style="16" bestFit="1" customWidth="1"/>
    <col min="8709" max="8711" width="15.7109375" style="16"/>
    <col min="8712" max="8712" width="12" style="16" bestFit="1" customWidth="1"/>
    <col min="8713" max="8713" width="62.5703125" style="16" bestFit="1" customWidth="1"/>
    <col min="8714" max="8960" width="15.7109375" style="16"/>
    <col min="8961" max="8961" width="9.85546875" style="16" bestFit="1" customWidth="1"/>
    <col min="8962" max="8962" width="8.28515625" style="16" bestFit="1" customWidth="1"/>
    <col min="8963" max="8963" width="43" style="16" bestFit="1" customWidth="1"/>
    <col min="8964" max="8964" width="13.42578125" style="16" bestFit="1" customWidth="1"/>
    <col min="8965" max="8967" width="15.7109375" style="16"/>
    <col min="8968" max="8968" width="12" style="16" bestFit="1" customWidth="1"/>
    <col min="8969" max="8969" width="62.5703125" style="16" bestFit="1" customWidth="1"/>
    <col min="8970" max="9216" width="15.7109375" style="16"/>
    <col min="9217" max="9217" width="9.85546875" style="16" bestFit="1" customWidth="1"/>
    <col min="9218" max="9218" width="8.28515625" style="16" bestFit="1" customWidth="1"/>
    <col min="9219" max="9219" width="43" style="16" bestFit="1" customWidth="1"/>
    <col min="9220" max="9220" width="13.42578125" style="16" bestFit="1" customWidth="1"/>
    <col min="9221" max="9223" width="15.7109375" style="16"/>
    <col min="9224" max="9224" width="12" style="16" bestFit="1" customWidth="1"/>
    <col min="9225" max="9225" width="62.5703125" style="16" bestFit="1" customWidth="1"/>
    <col min="9226" max="9472" width="15.7109375" style="16"/>
    <col min="9473" max="9473" width="9.85546875" style="16" bestFit="1" customWidth="1"/>
    <col min="9474" max="9474" width="8.28515625" style="16" bestFit="1" customWidth="1"/>
    <col min="9475" max="9475" width="43" style="16" bestFit="1" customWidth="1"/>
    <col min="9476" max="9476" width="13.42578125" style="16" bestFit="1" customWidth="1"/>
    <col min="9477" max="9479" width="15.7109375" style="16"/>
    <col min="9480" max="9480" width="12" style="16" bestFit="1" customWidth="1"/>
    <col min="9481" max="9481" width="62.5703125" style="16" bestFit="1" customWidth="1"/>
    <col min="9482" max="9728" width="15.7109375" style="16"/>
    <col min="9729" max="9729" width="9.85546875" style="16" bestFit="1" customWidth="1"/>
    <col min="9730" max="9730" width="8.28515625" style="16" bestFit="1" customWidth="1"/>
    <col min="9731" max="9731" width="43" style="16" bestFit="1" customWidth="1"/>
    <col min="9732" max="9732" width="13.42578125" style="16" bestFit="1" customWidth="1"/>
    <col min="9733" max="9735" width="15.7109375" style="16"/>
    <col min="9736" max="9736" width="12" style="16" bestFit="1" customWidth="1"/>
    <col min="9737" max="9737" width="62.5703125" style="16" bestFit="1" customWidth="1"/>
    <col min="9738" max="9984" width="15.7109375" style="16"/>
    <col min="9985" max="9985" width="9.85546875" style="16" bestFit="1" customWidth="1"/>
    <col min="9986" max="9986" width="8.28515625" style="16" bestFit="1" customWidth="1"/>
    <col min="9987" max="9987" width="43" style="16" bestFit="1" customWidth="1"/>
    <col min="9988" max="9988" width="13.42578125" style="16" bestFit="1" customWidth="1"/>
    <col min="9989" max="9991" width="15.7109375" style="16"/>
    <col min="9992" max="9992" width="12" style="16" bestFit="1" customWidth="1"/>
    <col min="9993" max="9993" width="62.5703125" style="16" bestFit="1" customWidth="1"/>
    <col min="9994" max="10240" width="15.7109375" style="16"/>
    <col min="10241" max="10241" width="9.85546875" style="16" bestFit="1" customWidth="1"/>
    <col min="10242" max="10242" width="8.28515625" style="16" bestFit="1" customWidth="1"/>
    <col min="10243" max="10243" width="43" style="16" bestFit="1" customWidth="1"/>
    <col min="10244" max="10244" width="13.42578125" style="16" bestFit="1" customWidth="1"/>
    <col min="10245" max="10247" width="15.7109375" style="16"/>
    <col min="10248" max="10248" width="12" style="16" bestFit="1" customWidth="1"/>
    <col min="10249" max="10249" width="62.5703125" style="16" bestFit="1" customWidth="1"/>
    <col min="10250" max="10496" width="15.7109375" style="16"/>
    <col min="10497" max="10497" width="9.85546875" style="16" bestFit="1" customWidth="1"/>
    <col min="10498" max="10498" width="8.28515625" style="16" bestFit="1" customWidth="1"/>
    <col min="10499" max="10499" width="43" style="16" bestFit="1" customWidth="1"/>
    <col min="10500" max="10500" width="13.42578125" style="16" bestFit="1" customWidth="1"/>
    <col min="10501" max="10503" width="15.7109375" style="16"/>
    <col min="10504" max="10504" width="12" style="16" bestFit="1" customWidth="1"/>
    <col min="10505" max="10505" width="62.5703125" style="16" bestFit="1" customWidth="1"/>
    <col min="10506" max="10752" width="15.7109375" style="16"/>
    <col min="10753" max="10753" width="9.85546875" style="16" bestFit="1" customWidth="1"/>
    <col min="10754" max="10754" width="8.28515625" style="16" bestFit="1" customWidth="1"/>
    <col min="10755" max="10755" width="43" style="16" bestFit="1" customWidth="1"/>
    <col min="10756" max="10756" width="13.42578125" style="16" bestFit="1" customWidth="1"/>
    <col min="10757" max="10759" width="15.7109375" style="16"/>
    <col min="10760" max="10760" width="12" style="16" bestFit="1" customWidth="1"/>
    <col min="10761" max="10761" width="62.5703125" style="16" bestFit="1" customWidth="1"/>
    <col min="10762" max="11008" width="15.7109375" style="16"/>
    <col min="11009" max="11009" width="9.85546875" style="16" bestFit="1" customWidth="1"/>
    <col min="11010" max="11010" width="8.28515625" style="16" bestFit="1" customWidth="1"/>
    <col min="11011" max="11011" width="43" style="16" bestFit="1" customWidth="1"/>
    <col min="11012" max="11012" width="13.42578125" style="16" bestFit="1" customWidth="1"/>
    <col min="11013" max="11015" width="15.7109375" style="16"/>
    <col min="11016" max="11016" width="12" style="16" bestFit="1" customWidth="1"/>
    <col min="11017" max="11017" width="62.5703125" style="16" bestFit="1" customWidth="1"/>
    <col min="11018" max="11264" width="15.7109375" style="16"/>
    <col min="11265" max="11265" width="9.85546875" style="16" bestFit="1" customWidth="1"/>
    <col min="11266" max="11266" width="8.28515625" style="16" bestFit="1" customWidth="1"/>
    <col min="11267" max="11267" width="43" style="16" bestFit="1" customWidth="1"/>
    <col min="11268" max="11268" width="13.42578125" style="16" bestFit="1" customWidth="1"/>
    <col min="11269" max="11271" width="15.7109375" style="16"/>
    <col min="11272" max="11272" width="12" style="16" bestFit="1" customWidth="1"/>
    <col min="11273" max="11273" width="62.5703125" style="16" bestFit="1" customWidth="1"/>
    <col min="11274" max="11520" width="15.7109375" style="16"/>
    <col min="11521" max="11521" width="9.85546875" style="16" bestFit="1" customWidth="1"/>
    <col min="11522" max="11522" width="8.28515625" style="16" bestFit="1" customWidth="1"/>
    <col min="11523" max="11523" width="43" style="16" bestFit="1" customWidth="1"/>
    <col min="11524" max="11524" width="13.42578125" style="16" bestFit="1" customWidth="1"/>
    <col min="11525" max="11527" width="15.7109375" style="16"/>
    <col min="11528" max="11528" width="12" style="16" bestFit="1" customWidth="1"/>
    <col min="11529" max="11529" width="62.5703125" style="16" bestFit="1" customWidth="1"/>
    <col min="11530" max="11776" width="15.7109375" style="16"/>
    <col min="11777" max="11777" width="9.85546875" style="16" bestFit="1" customWidth="1"/>
    <col min="11778" max="11778" width="8.28515625" style="16" bestFit="1" customWidth="1"/>
    <col min="11779" max="11779" width="43" style="16" bestFit="1" customWidth="1"/>
    <col min="11780" max="11780" width="13.42578125" style="16" bestFit="1" customWidth="1"/>
    <col min="11781" max="11783" width="15.7109375" style="16"/>
    <col min="11784" max="11784" width="12" style="16" bestFit="1" customWidth="1"/>
    <col min="11785" max="11785" width="62.5703125" style="16" bestFit="1" customWidth="1"/>
    <col min="11786" max="12032" width="15.7109375" style="16"/>
    <col min="12033" max="12033" width="9.85546875" style="16" bestFit="1" customWidth="1"/>
    <col min="12034" max="12034" width="8.28515625" style="16" bestFit="1" customWidth="1"/>
    <col min="12035" max="12035" width="43" style="16" bestFit="1" customWidth="1"/>
    <col min="12036" max="12036" width="13.42578125" style="16" bestFit="1" customWidth="1"/>
    <col min="12037" max="12039" width="15.7109375" style="16"/>
    <col min="12040" max="12040" width="12" style="16" bestFit="1" customWidth="1"/>
    <col min="12041" max="12041" width="62.5703125" style="16" bestFit="1" customWidth="1"/>
    <col min="12042" max="12288" width="15.7109375" style="16"/>
    <col min="12289" max="12289" width="9.85546875" style="16" bestFit="1" customWidth="1"/>
    <col min="12290" max="12290" width="8.28515625" style="16" bestFit="1" customWidth="1"/>
    <col min="12291" max="12291" width="43" style="16" bestFit="1" customWidth="1"/>
    <col min="12292" max="12292" width="13.42578125" style="16" bestFit="1" customWidth="1"/>
    <col min="12293" max="12295" width="15.7109375" style="16"/>
    <col min="12296" max="12296" width="12" style="16" bestFit="1" customWidth="1"/>
    <col min="12297" max="12297" width="62.5703125" style="16" bestFit="1" customWidth="1"/>
    <col min="12298" max="12544" width="15.7109375" style="16"/>
    <col min="12545" max="12545" width="9.85546875" style="16" bestFit="1" customWidth="1"/>
    <col min="12546" max="12546" width="8.28515625" style="16" bestFit="1" customWidth="1"/>
    <col min="12547" max="12547" width="43" style="16" bestFit="1" customWidth="1"/>
    <col min="12548" max="12548" width="13.42578125" style="16" bestFit="1" customWidth="1"/>
    <col min="12549" max="12551" width="15.7109375" style="16"/>
    <col min="12552" max="12552" width="12" style="16" bestFit="1" customWidth="1"/>
    <col min="12553" max="12553" width="62.5703125" style="16" bestFit="1" customWidth="1"/>
    <col min="12554" max="12800" width="15.7109375" style="16"/>
    <col min="12801" max="12801" width="9.85546875" style="16" bestFit="1" customWidth="1"/>
    <col min="12802" max="12802" width="8.28515625" style="16" bestFit="1" customWidth="1"/>
    <col min="12803" max="12803" width="43" style="16" bestFit="1" customWidth="1"/>
    <col min="12804" max="12804" width="13.42578125" style="16" bestFit="1" customWidth="1"/>
    <col min="12805" max="12807" width="15.7109375" style="16"/>
    <col min="12808" max="12808" width="12" style="16" bestFit="1" customWidth="1"/>
    <col min="12809" max="12809" width="62.5703125" style="16" bestFit="1" customWidth="1"/>
    <col min="12810" max="13056" width="15.7109375" style="16"/>
    <col min="13057" max="13057" width="9.85546875" style="16" bestFit="1" customWidth="1"/>
    <col min="13058" max="13058" width="8.28515625" style="16" bestFit="1" customWidth="1"/>
    <col min="13059" max="13059" width="43" style="16" bestFit="1" customWidth="1"/>
    <col min="13060" max="13060" width="13.42578125" style="16" bestFit="1" customWidth="1"/>
    <col min="13061" max="13063" width="15.7109375" style="16"/>
    <col min="13064" max="13064" width="12" style="16" bestFit="1" customWidth="1"/>
    <col min="13065" max="13065" width="62.5703125" style="16" bestFit="1" customWidth="1"/>
    <col min="13066" max="13312" width="15.7109375" style="16"/>
    <col min="13313" max="13313" width="9.85546875" style="16" bestFit="1" customWidth="1"/>
    <col min="13314" max="13314" width="8.28515625" style="16" bestFit="1" customWidth="1"/>
    <col min="13315" max="13315" width="43" style="16" bestFit="1" customWidth="1"/>
    <col min="13316" max="13316" width="13.42578125" style="16" bestFit="1" customWidth="1"/>
    <col min="13317" max="13319" width="15.7109375" style="16"/>
    <col min="13320" max="13320" width="12" style="16" bestFit="1" customWidth="1"/>
    <col min="13321" max="13321" width="62.5703125" style="16" bestFit="1" customWidth="1"/>
    <col min="13322" max="13568" width="15.7109375" style="16"/>
    <col min="13569" max="13569" width="9.85546875" style="16" bestFit="1" customWidth="1"/>
    <col min="13570" max="13570" width="8.28515625" style="16" bestFit="1" customWidth="1"/>
    <col min="13571" max="13571" width="43" style="16" bestFit="1" customWidth="1"/>
    <col min="13572" max="13572" width="13.42578125" style="16" bestFit="1" customWidth="1"/>
    <col min="13573" max="13575" width="15.7109375" style="16"/>
    <col min="13576" max="13576" width="12" style="16" bestFit="1" customWidth="1"/>
    <col min="13577" max="13577" width="62.5703125" style="16" bestFit="1" customWidth="1"/>
    <col min="13578" max="13824" width="15.7109375" style="16"/>
    <col min="13825" max="13825" width="9.85546875" style="16" bestFit="1" customWidth="1"/>
    <col min="13826" max="13826" width="8.28515625" style="16" bestFit="1" customWidth="1"/>
    <col min="13827" max="13827" width="43" style="16" bestFit="1" customWidth="1"/>
    <col min="13828" max="13828" width="13.42578125" style="16" bestFit="1" customWidth="1"/>
    <col min="13829" max="13831" width="15.7109375" style="16"/>
    <col min="13832" max="13832" width="12" style="16" bestFit="1" customWidth="1"/>
    <col min="13833" max="13833" width="62.5703125" style="16" bestFit="1" customWidth="1"/>
    <col min="13834" max="14080" width="15.7109375" style="16"/>
    <col min="14081" max="14081" width="9.85546875" style="16" bestFit="1" customWidth="1"/>
    <col min="14082" max="14082" width="8.28515625" style="16" bestFit="1" customWidth="1"/>
    <col min="14083" max="14083" width="43" style="16" bestFit="1" customWidth="1"/>
    <col min="14084" max="14084" width="13.42578125" style="16" bestFit="1" customWidth="1"/>
    <col min="14085" max="14087" width="15.7109375" style="16"/>
    <col min="14088" max="14088" width="12" style="16" bestFit="1" customWidth="1"/>
    <col min="14089" max="14089" width="62.5703125" style="16" bestFit="1" customWidth="1"/>
    <col min="14090" max="14336" width="15.7109375" style="16"/>
    <col min="14337" max="14337" width="9.85546875" style="16" bestFit="1" customWidth="1"/>
    <col min="14338" max="14338" width="8.28515625" style="16" bestFit="1" customWidth="1"/>
    <col min="14339" max="14339" width="43" style="16" bestFit="1" customWidth="1"/>
    <col min="14340" max="14340" width="13.42578125" style="16" bestFit="1" customWidth="1"/>
    <col min="14341" max="14343" width="15.7109375" style="16"/>
    <col min="14344" max="14344" width="12" style="16" bestFit="1" customWidth="1"/>
    <col min="14345" max="14345" width="62.5703125" style="16" bestFit="1" customWidth="1"/>
    <col min="14346" max="14592" width="15.7109375" style="16"/>
    <col min="14593" max="14593" width="9.85546875" style="16" bestFit="1" customWidth="1"/>
    <col min="14594" max="14594" width="8.28515625" style="16" bestFit="1" customWidth="1"/>
    <col min="14595" max="14595" width="43" style="16" bestFit="1" customWidth="1"/>
    <col min="14596" max="14596" width="13.42578125" style="16" bestFit="1" customWidth="1"/>
    <col min="14597" max="14599" width="15.7109375" style="16"/>
    <col min="14600" max="14600" width="12" style="16" bestFit="1" customWidth="1"/>
    <col min="14601" max="14601" width="62.5703125" style="16" bestFit="1" customWidth="1"/>
    <col min="14602" max="14848" width="15.7109375" style="16"/>
    <col min="14849" max="14849" width="9.85546875" style="16" bestFit="1" customWidth="1"/>
    <col min="14850" max="14850" width="8.28515625" style="16" bestFit="1" customWidth="1"/>
    <col min="14851" max="14851" width="43" style="16" bestFit="1" customWidth="1"/>
    <col min="14852" max="14852" width="13.42578125" style="16" bestFit="1" customWidth="1"/>
    <col min="14853" max="14855" width="15.7109375" style="16"/>
    <col min="14856" max="14856" width="12" style="16" bestFit="1" customWidth="1"/>
    <col min="14857" max="14857" width="62.5703125" style="16" bestFit="1" customWidth="1"/>
    <col min="14858" max="15104" width="15.7109375" style="16"/>
    <col min="15105" max="15105" width="9.85546875" style="16" bestFit="1" customWidth="1"/>
    <col min="15106" max="15106" width="8.28515625" style="16" bestFit="1" customWidth="1"/>
    <col min="15107" max="15107" width="43" style="16" bestFit="1" customWidth="1"/>
    <col min="15108" max="15108" width="13.42578125" style="16" bestFit="1" customWidth="1"/>
    <col min="15109" max="15111" width="15.7109375" style="16"/>
    <col min="15112" max="15112" width="12" style="16" bestFit="1" customWidth="1"/>
    <col min="15113" max="15113" width="62.5703125" style="16" bestFit="1" customWidth="1"/>
    <col min="15114" max="15360" width="15.7109375" style="16"/>
    <col min="15361" max="15361" width="9.85546875" style="16" bestFit="1" customWidth="1"/>
    <col min="15362" max="15362" width="8.28515625" style="16" bestFit="1" customWidth="1"/>
    <col min="15363" max="15363" width="43" style="16" bestFit="1" customWidth="1"/>
    <col min="15364" max="15364" width="13.42578125" style="16" bestFit="1" customWidth="1"/>
    <col min="15365" max="15367" width="15.7109375" style="16"/>
    <col min="15368" max="15368" width="12" style="16" bestFit="1" customWidth="1"/>
    <col min="15369" max="15369" width="62.5703125" style="16" bestFit="1" customWidth="1"/>
    <col min="15370" max="15616" width="15.7109375" style="16"/>
    <col min="15617" max="15617" width="9.85546875" style="16" bestFit="1" customWidth="1"/>
    <col min="15618" max="15618" width="8.28515625" style="16" bestFit="1" customWidth="1"/>
    <col min="15619" max="15619" width="43" style="16" bestFit="1" customWidth="1"/>
    <col min="15620" max="15620" width="13.42578125" style="16" bestFit="1" customWidth="1"/>
    <col min="15621" max="15623" width="15.7109375" style="16"/>
    <col min="15624" max="15624" width="12" style="16" bestFit="1" customWidth="1"/>
    <col min="15625" max="15625" width="62.5703125" style="16" bestFit="1" customWidth="1"/>
    <col min="15626" max="15872" width="15.7109375" style="16"/>
    <col min="15873" max="15873" width="9.85546875" style="16" bestFit="1" customWidth="1"/>
    <col min="15874" max="15874" width="8.28515625" style="16" bestFit="1" customWidth="1"/>
    <col min="15875" max="15875" width="43" style="16" bestFit="1" customWidth="1"/>
    <col min="15876" max="15876" width="13.42578125" style="16" bestFit="1" customWidth="1"/>
    <col min="15877" max="15879" width="15.7109375" style="16"/>
    <col min="15880" max="15880" width="12" style="16" bestFit="1" customWidth="1"/>
    <col min="15881" max="15881" width="62.5703125" style="16" bestFit="1" customWidth="1"/>
    <col min="15882" max="16128" width="15.7109375" style="16"/>
    <col min="16129" max="16129" width="9.85546875" style="16" bestFit="1" customWidth="1"/>
    <col min="16130" max="16130" width="8.28515625" style="16" bestFit="1" customWidth="1"/>
    <col min="16131" max="16131" width="43" style="16" bestFit="1" customWidth="1"/>
    <col min="16132" max="16132" width="13.42578125" style="16" bestFit="1" customWidth="1"/>
    <col min="16133" max="16135" width="15.7109375" style="16"/>
    <col min="16136" max="16136" width="12" style="16" bestFit="1" customWidth="1"/>
    <col min="16137" max="16137" width="62.5703125" style="16" bestFit="1" customWidth="1"/>
    <col min="16138" max="16384" width="15.7109375" style="16"/>
  </cols>
  <sheetData>
    <row r="1" spans="1:12" ht="15" customHeight="1" x14ac:dyDescent="0.25">
      <c r="A1" s="14" t="s">
        <v>40</v>
      </c>
      <c r="B1" s="14" t="s">
        <v>41</v>
      </c>
      <c r="C1" s="14" t="s">
        <v>42</v>
      </c>
      <c r="D1" s="14" t="s">
        <v>19</v>
      </c>
      <c r="E1" s="15"/>
      <c r="F1" s="15"/>
      <c r="G1" s="15"/>
      <c r="H1" s="43" t="s">
        <v>1</v>
      </c>
      <c r="I1" s="43" t="s">
        <v>43</v>
      </c>
      <c r="K1" s="80" t="s">
        <v>9124</v>
      </c>
      <c r="L1" s="80" t="s">
        <v>9125</v>
      </c>
    </row>
    <row r="2" spans="1:12" ht="15" customHeight="1" x14ac:dyDescent="0.25">
      <c r="A2" s="17">
        <v>1</v>
      </c>
      <c r="B2" s="18" t="str">
        <f>TEXT(UNICOS!$A2,"000")</f>
        <v>001</v>
      </c>
      <c r="C2" s="19" t="s">
        <v>44</v>
      </c>
      <c r="D2" s="20" t="s">
        <v>45</v>
      </c>
      <c r="E2" s="21"/>
      <c r="F2" s="21"/>
      <c r="G2" s="21"/>
      <c r="H2" s="22" t="s">
        <v>46</v>
      </c>
      <c r="I2" s="16" t="s">
        <v>47</v>
      </c>
      <c r="K2" t="s">
        <v>9126</v>
      </c>
      <c r="L2" t="s">
        <v>9127</v>
      </c>
    </row>
    <row r="3" spans="1:12" ht="15" customHeight="1" x14ac:dyDescent="0.25">
      <c r="A3" s="17">
        <v>2</v>
      </c>
      <c r="B3" s="18" t="str">
        <f>TEXT(UNICOS!$A3,"000")</f>
        <v>002</v>
      </c>
      <c r="C3" s="19" t="s">
        <v>48</v>
      </c>
      <c r="D3" s="20" t="s">
        <v>49</v>
      </c>
      <c r="E3" s="21"/>
      <c r="F3" s="21"/>
      <c r="G3" s="21"/>
      <c r="H3" s="22" t="s">
        <v>50</v>
      </c>
      <c r="I3" s="16" t="s">
        <v>51</v>
      </c>
      <c r="K3" t="s">
        <v>9128</v>
      </c>
      <c r="L3" t="s">
        <v>9129</v>
      </c>
    </row>
    <row r="4" spans="1:12" ht="15" customHeight="1" x14ac:dyDescent="0.25">
      <c r="A4" s="17">
        <v>3</v>
      </c>
      <c r="B4" s="18" t="str">
        <f>TEXT(UNICOS!$A4,"000")</f>
        <v>003</v>
      </c>
      <c r="C4" s="19" t="s">
        <v>52</v>
      </c>
      <c r="D4" s="20" t="s">
        <v>53</v>
      </c>
      <c r="E4" s="21"/>
      <c r="F4" s="21"/>
      <c r="G4" s="21"/>
      <c r="H4" s="22" t="s">
        <v>54</v>
      </c>
      <c r="I4" s="16" t="s">
        <v>55</v>
      </c>
      <c r="K4" t="s">
        <v>9130</v>
      </c>
      <c r="L4" t="s">
        <v>9131</v>
      </c>
    </row>
    <row r="5" spans="1:12" ht="15" customHeight="1" x14ac:dyDescent="0.25">
      <c r="A5" s="17">
        <v>4</v>
      </c>
      <c r="B5" s="18" t="str">
        <f>TEXT(UNICOS!$A5,"000")</f>
        <v>004</v>
      </c>
      <c r="C5" s="19" t="s">
        <v>56</v>
      </c>
      <c r="D5" s="20" t="s">
        <v>57</v>
      </c>
      <c r="E5" s="21"/>
      <c r="F5" s="21"/>
      <c r="G5" s="21"/>
      <c r="H5" s="22" t="s">
        <v>58</v>
      </c>
      <c r="I5" s="16" t="s">
        <v>59</v>
      </c>
      <c r="K5" t="s">
        <v>1871</v>
      </c>
      <c r="L5" t="s">
        <v>1871</v>
      </c>
    </row>
    <row r="6" spans="1:12" ht="15" customHeight="1" x14ac:dyDescent="0.25">
      <c r="A6" s="17">
        <v>5</v>
      </c>
      <c r="B6" s="18" t="str">
        <f>TEXT(UNICOS!$A6,"000")</f>
        <v>005</v>
      </c>
      <c r="C6" s="19" t="s">
        <v>60</v>
      </c>
      <c r="D6" s="20" t="s">
        <v>45</v>
      </c>
      <c r="E6" s="21"/>
      <c r="F6" s="21"/>
      <c r="G6" s="21"/>
      <c r="H6" s="22" t="s">
        <v>61</v>
      </c>
      <c r="I6" s="16" t="s">
        <v>62</v>
      </c>
      <c r="K6" t="s">
        <v>9132</v>
      </c>
      <c r="L6" t="s">
        <v>9133</v>
      </c>
    </row>
    <row r="7" spans="1:12" ht="15" customHeight="1" x14ac:dyDescent="0.25">
      <c r="A7" s="17">
        <v>6</v>
      </c>
      <c r="B7" s="18" t="str">
        <f>TEXT(UNICOS!$A7,"000")</f>
        <v>006</v>
      </c>
      <c r="C7" s="19" t="s">
        <v>63</v>
      </c>
      <c r="D7" s="20" t="s">
        <v>45</v>
      </c>
      <c r="E7" s="21"/>
      <c r="F7" s="21"/>
      <c r="G7" s="21"/>
      <c r="H7" s="22" t="s">
        <v>64</v>
      </c>
      <c r="I7" s="16" t="s">
        <v>65</v>
      </c>
      <c r="K7" t="s">
        <v>9134</v>
      </c>
      <c r="L7" t="s">
        <v>9135</v>
      </c>
    </row>
    <row r="8" spans="1:12" ht="15" customHeight="1" x14ac:dyDescent="0.25">
      <c r="A8" s="17">
        <v>7</v>
      </c>
      <c r="B8" s="18" t="str">
        <f>TEXT(UNICOS!$A8,"000")</f>
        <v>007</v>
      </c>
      <c r="C8" s="19" t="s">
        <v>66</v>
      </c>
      <c r="D8" s="20" t="s">
        <v>49</v>
      </c>
      <c r="E8" s="21"/>
      <c r="F8" s="21"/>
      <c r="G8" s="21"/>
      <c r="H8" s="22" t="s">
        <v>67</v>
      </c>
      <c r="I8" s="16" t="s">
        <v>68</v>
      </c>
      <c r="K8" t="s">
        <v>9136</v>
      </c>
      <c r="L8" t="s">
        <v>9137</v>
      </c>
    </row>
    <row r="9" spans="1:12" ht="15" customHeight="1" x14ac:dyDescent="0.25">
      <c r="A9" s="17">
        <v>8</v>
      </c>
      <c r="B9" s="18" t="str">
        <f>TEXT(UNICOS!$A9,"000")</f>
        <v>008</v>
      </c>
      <c r="C9" s="19" t="s">
        <v>69</v>
      </c>
      <c r="D9" s="20" t="s">
        <v>45</v>
      </c>
      <c r="E9" s="21"/>
      <c r="F9" s="21"/>
      <c r="G9" s="21"/>
      <c r="H9" s="22" t="s">
        <v>70</v>
      </c>
      <c r="I9" s="16" t="s">
        <v>71</v>
      </c>
      <c r="K9" t="s">
        <v>3267</v>
      </c>
      <c r="L9" t="s">
        <v>3267</v>
      </c>
    </row>
    <row r="10" spans="1:12" ht="15" customHeight="1" x14ac:dyDescent="0.25">
      <c r="A10" s="17">
        <v>9</v>
      </c>
      <c r="B10" s="18" t="str">
        <f>TEXT(UNICOS!$A10,"000")</f>
        <v>009</v>
      </c>
      <c r="C10" s="19" t="s">
        <v>72</v>
      </c>
      <c r="D10" s="20" t="s">
        <v>57</v>
      </c>
      <c r="E10" s="21"/>
      <c r="F10" s="21"/>
      <c r="G10" s="21"/>
      <c r="H10" s="22" t="s">
        <v>73</v>
      </c>
      <c r="I10" s="16" t="s">
        <v>74</v>
      </c>
      <c r="K10" t="s">
        <v>9138</v>
      </c>
      <c r="L10" t="s">
        <v>9139</v>
      </c>
    </row>
    <row r="11" spans="1:12" ht="15" customHeight="1" x14ac:dyDescent="0.25">
      <c r="A11" s="17">
        <v>10</v>
      </c>
      <c r="B11" s="18" t="str">
        <f>TEXT(UNICOS!$A11,"000")</f>
        <v>010</v>
      </c>
      <c r="C11" s="19" t="s">
        <v>75</v>
      </c>
      <c r="D11" s="20" t="s">
        <v>53</v>
      </c>
      <c r="E11" s="21"/>
      <c r="F11" s="21"/>
      <c r="G11" s="21"/>
      <c r="H11" s="22" t="s">
        <v>76</v>
      </c>
      <c r="I11" s="16" t="s">
        <v>77</v>
      </c>
      <c r="K11" t="s">
        <v>9140</v>
      </c>
      <c r="L11" t="s">
        <v>9141</v>
      </c>
    </row>
    <row r="12" spans="1:12" ht="15" customHeight="1" x14ac:dyDescent="0.25">
      <c r="A12" s="17">
        <v>11</v>
      </c>
      <c r="B12" s="18" t="str">
        <f>TEXT(UNICOS!$A12,"000")</f>
        <v>011</v>
      </c>
      <c r="C12" s="19" t="s">
        <v>78</v>
      </c>
      <c r="D12" s="20" t="s">
        <v>79</v>
      </c>
      <c r="E12" s="21"/>
      <c r="F12" s="21"/>
      <c r="G12" s="21"/>
      <c r="H12" s="22" t="s">
        <v>80</v>
      </c>
      <c r="I12" s="16" t="s">
        <v>81</v>
      </c>
      <c r="K12" t="s">
        <v>9142</v>
      </c>
      <c r="L12" t="s">
        <v>9143</v>
      </c>
    </row>
    <row r="13" spans="1:12" ht="15" customHeight="1" x14ac:dyDescent="0.25">
      <c r="A13" s="17">
        <v>13</v>
      </c>
      <c r="B13" s="18" t="str">
        <f>TEXT(UNICOS!$A13,"000")</f>
        <v>013</v>
      </c>
      <c r="C13" s="19" t="s">
        <v>82</v>
      </c>
      <c r="D13" s="20" t="s">
        <v>83</v>
      </c>
      <c r="E13" s="21"/>
      <c r="F13" s="21"/>
      <c r="G13" s="21"/>
      <c r="H13" s="22" t="s">
        <v>84</v>
      </c>
      <c r="I13" s="16" t="s">
        <v>85</v>
      </c>
      <c r="K13" t="s">
        <v>9144</v>
      </c>
      <c r="L13" t="s">
        <v>9145</v>
      </c>
    </row>
    <row r="14" spans="1:12" ht="15" customHeight="1" x14ac:dyDescent="0.25">
      <c r="A14" s="17">
        <v>17</v>
      </c>
      <c r="B14" s="18" t="str">
        <f>TEXT(UNICOS!$A14,"000")</f>
        <v>017</v>
      </c>
      <c r="C14" s="19" t="s">
        <v>86</v>
      </c>
      <c r="D14" s="20" t="s">
        <v>57</v>
      </c>
      <c r="E14" s="21"/>
      <c r="F14" s="21"/>
      <c r="G14" s="21"/>
      <c r="H14" s="22" t="s">
        <v>87</v>
      </c>
      <c r="I14" s="16" t="s">
        <v>88</v>
      </c>
      <c r="K14" t="s">
        <v>9146</v>
      </c>
      <c r="L14" t="s">
        <v>9147</v>
      </c>
    </row>
    <row r="15" spans="1:12" ht="15" customHeight="1" x14ac:dyDescent="0.25">
      <c r="A15" s="17">
        <v>19</v>
      </c>
      <c r="B15" s="18" t="str">
        <f>TEXT(UNICOS!$A15,"000")</f>
        <v>019</v>
      </c>
      <c r="C15" s="19" t="s">
        <v>89</v>
      </c>
      <c r="D15" s="20" t="s">
        <v>57</v>
      </c>
      <c r="E15" s="21"/>
      <c r="F15" s="21"/>
      <c r="G15" s="21"/>
      <c r="H15" s="22" t="s">
        <v>90</v>
      </c>
      <c r="I15" s="16" t="s">
        <v>91</v>
      </c>
      <c r="K15" t="s">
        <v>9148</v>
      </c>
      <c r="L15" t="s">
        <v>9149</v>
      </c>
    </row>
    <row r="16" spans="1:12" ht="15" customHeight="1" x14ac:dyDescent="0.25">
      <c r="A16" s="17">
        <v>23</v>
      </c>
      <c r="B16" s="18" t="str">
        <f>TEXT(UNICOS!$A16,"000")</f>
        <v>023</v>
      </c>
      <c r="C16" s="19" t="s">
        <v>92</v>
      </c>
      <c r="D16" s="20" t="s">
        <v>57</v>
      </c>
      <c r="E16" s="21"/>
      <c r="F16" s="21"/>
      <c r="G16" s="21"/>
      <c r="H16" s="22" t="s">
        <v>93</v>
      </c>
      <c r="I16" s="16" t="s">
        <v>94</v>
      </c>
      <c r="K16" t="s">
        <v>7972</v>
      </c>
      <c r="L16" t="s">
        <v>9150</v>
      </c>
    </row>
    <row r="17" spans="1:12" ht="15" customHeight="1" x14ac:dyDescent="0.25">
      <c r="A17" s="17">
        <v>26</v>
      </c>
      <c r="B17" s="18" t="str">
        <f>TEXT(UNICOS!$A17,"000")</f>
        <v>026</v>
      </c>
      <c r="C17" s="19" t="s">
        <v>95</v>
      </c>
      <c r="D17" s="20" t="s">
        <v>83</v>
      </c>
      <c r="E17" s="21"/>
      <c r="F17" s="21"/>
      <c r="G17" s="21"/>
      <c r="H17" s="22" t="s">
        <v>96</v>
      </c>
      <c r="I17" s="16" t="s">
        <v>97</v>
      </c>
      <c r="K17" t="s">
        <v>9151</v>
      </c>
      <c r="L17" t="s">
        <v>9152</v>
      </c>
    </row>
    <row r="18" spans="1:12" ht="15" customHeight="1" x14ac:dyDescent="0.25">
      <c r="A18" s="17">
        <v>27</v>
      </c>
      <c r="B18" s="18" t="str">
        <f>TEXT(UNICOS!$A18,"000")</f>
        <v>027</v>
      </c>
      <c r="C18" s="19" t="s">
        <v>98</v>
      </c>
      <c r="D18" s="20" t="s">
        <v>53</v>
      </c>
      <c r="E18" s="21"/>
      <c r="F18" s="21"/>
      <c r="G18" s="21"/>
      <c r="H18" s="22" t="s">
        <v>99</v>
      </c>
      <c r="I18" s="16" t="s">
        <v>100</v>
      </c>
      <c r="K18" t="s">
        <v>9153</v>
      </c>
      <c r="L18" t="s">
        <v>9154</v>
      </c>
    </row>
    <row r="19" spans="1:12" ht="15" customHeight="1" x14ac:dyDescent="0.25">
      <c r="A19" s="17">
        <v>28</v>
      </c>
      <c r="B19" s="18" t="str">
        <f>TEXT(UNICOS!$A19,"000")</f>
        <v>028</v>
      </c>
      <c r="C19" s="19" t="s">
        <v>101</v>
      </c>
      <c r="D19" s="20" t="s">
        <v>49</v>
      </c>
      <c r="E19" s="21"/>
      <c r="F19" s="21"/>
      <c r="G19" s="21"/>
      <c r="H19" s="22" t="s">
        <v>102</v>
      </c>
      <c r="I19" s="16" t="s">
        <v>103</v>
      </c>
      <c r="K19" t="s">
        <v>9155</v>
      </c>
      <c r="L19" t="s">
        <v>9156</v>
      </c>
    </row>
    <row r="20" spans="1:12" ht="15" customHeight="1" x14ac:dyDescent="0.25">
      <c r="A20" s="17">
        <v>29</v>
      </c>
      <c r="B20" s="18" t="str">
        <f>TEXT(UNICOS!$A20,"000")</f>
        <v>029</v>
      </c>
      <c r="C20" s="19" t="s">
        <v>104</v>
      </c>
      <c r="D20" s="20" t="s">
        <v>57</v>
      </c>
      <c r="E20" s="21"/>
      <c r="F20" s="21"/>
      <c r="G20" s="21"/>
      <c r="H20" s="22" t="s">
        <v>105</v>
      </c>
      <c r="I20" s="16" t="s">
        <v>106</v>
      </c>
      <c r="K20" t="s">
        <v>1991</v>
      </c>
      <c r="L20" t="s">
        <v>1991</v>
      </c>
    </row>
    <row r="21" spans="1:12" ht="15" customHeight="1" x14ac:dyDescent="0.25">
      <c r="A21" s="17">
        <v>31</v>
      </c>
      <c r="B21" s="18" t="str">
        <f>TEXT(UNICOS!$A21,"000")</f>
        <v>031</v>
      </c>
      <c r="C21" s="19" t="s">
        <v>107</v>
      </c>
      <c r="D21" s="20" t="s">
        <v>49</v>
      </c>
      <c r="E21" s="21"/>
      <c r="F21" s="21"/>
      <c r="G21" s="21"/>
      <c r="H21" s="22" t="s">
        <v>108</v>
      </c>
      <c r="I21" s="16" t="s">
        <v>109</v>
      </c>
      <c r="K21" t="s">
        <v>9157</v>
      </c>
      <c r="L21" t="s">
        <v>9158</v>
      </c>
    </row>
    <row r="22" spans="1:12" ht="15" customHeight="1" x14ac:dyDescent="0.25">
      <c r="A22" s="17">
        <v>37</v>
      </c>
      <c r="B22" s="18" t="str">
        <f>TEXT(UNICOS!$A22,"000")</f>
        <v>037</v>
      </c>
      <c r="C22" s="19" t="s">
        <v>110</v>
      </c>
      <c r="D22" s="20" t="s">
        <v>57</v>
      </c>
      <c r="E22" s="21"/>
      <c r="F22" s="21"/>
      <c r="G22" s="21"/>
      <c r="H22" s="22" t="s">
        <v>111</v>
      </c>
      <c r="I22" s="16" t="s">
        <v>112</v>
      </c>
      <c r="K22" t="s">
        <v>9159</v>
      </c>
      <c r="L22" t="s">
        <v>9159</v>
      </c>
    </row>
    <row r="23" spans="1:12" ht="15" customHeight="1" x14ac:dyDescent="0.25">
      <c r="A23" s="17">
        <v>40</v>
      </c>
      <c r="B23" s="18" t="str">
        <f>TEXT(UNICOS!$A23,"000")</f>
        <v>040</v>
      </c>
      <c r="C23" s="19" t="s">
        <v>113</v>
      </c>
      <c r="D23" s="20" t="s">
        <v>49</v>
      </c>
      <c r="E23" s="21"/>
      <c r="F23" s="21"/>
      <c r="G23" s="21"/>
      <c r="H23" s="22" t="s">
        <v>114</v>
      </c>
      <c r="I23" s="16" t="s">
        <v>115</v>
      </c>
      <c r="K23" t="s">
        <v>9160</v>
      </c>
      <c r="L23" t="s">
        <v>9161</v>
      </c>
    </row>
    <row r="24" spans="1:12" ht="15" customHeight="1" x14ac:dyDescent="0.25">
      <c r="A24" s="17">
        <v>41</v>
      </c>
      <c r="B24" s="18" t="str">
        <f>TEXT(UNICOS!$A24,"000")</f>
        <v>041</v>
      </c>
      <c r="C24" s="19" t="s">
        <v>116</v>
      </c>
      <c r="D24" s="20" t="s">
        <v>53</v>
      </c>
      <c r="E24" s="21"/>
      <c r="F24" s="21"/>
      <c r="G24" s="21"/>
      <c r="H24" s="22" t="s">
        <v>117</v>
      </c>
      <c r="I24" s="16" t="s">
        <v>118</v>
      </c>
      <c r="K24" t="s">
        <v>9162</v>
      </c>
      <c r="L24" t="s">
        <v>9163</v>
      </c>
    </row>
    <row r="25" spans="1:12" ht="15" customHeight="1" x14ac:dyDescent="0.25">
      <c r="A25" s="17">
        <v>43</v>
      </c>
      <c r="B25" s="18" t="str">
        <f>TEXT(UNICOS!$A25,"000")</f>
        <v>043</v>
      </c>
      <c r="C25" s="19" t="s">
        <v>119</v>
      </c>
      <c r="D25" s="20" t="s">
        <v>53</v>
      </c>
      <c r="E25" s="21"/>
      <c r="F25" s="21"/>
      <c r="G25" s="21"/>
      <c r="H25" s="22" t="s">
        <v>120</v>
      </c>
      <c r="I25" s="16" t="s">
        <v>121</v>
      </c>
      <c r="K25" t="s">
        <v>9164</v>
      </c>
      <c r="L25" t="s">
        <v>9165</v>
      </c>
    </row>
    <row r="26" spans="1:12" ht="15" customHeight="1" x14ac:dyDescent="0.25">
      <c r="A26" s="17">
        <v>47</v>
      </c>
      <c r="B26" s="18" t="str">
        <f>TEXT(UNICOS!$A26,"000")</f>
        <v>047</v>
      </c>
      <c r="C26" s="19" t="s">
        <v>122</v>
      </c>
      <c r="D26" s="20" t="s">
        <v>53</v>
      </c>
      <c r="E26" s="21"/>
      <c r="F26" s="21"/>
      <c r="G26" s="21"/>
      <c r="H26" s="22" t="s">
        <v>123</v>
      </c>
      <c r="I26" s="16" t="s">
        <v>124</v>
      </c>
      <c r="K26" t="s">
        <v>9166</v>
      </c>
      <c r="L26" t="s">
        <v>9167</v>
      </c>
    </row>
    <row r="27" spans="1:12" ht="15" customHeight="1" x14ac:dyDescent="0.25">
      <c r="A27" s="17">
        <v>53</v>
      </c>
      <c r="B27" s="18" t="str">
        <f>TEXT(UNICOS!$A27,"000")</f>
        <v>053</v>
      </c>
      <c r="C27" s="19" t="s">
        <v>125</v>
      </c>
      <c r="D27" s="20" t="s">
        <v>83</v>
      </c>
      <c r="E27" s="21"/>
      <c r="F27" s="21"/>
      <c r="G27" s="21"/>
      <c r="H27" s="22" t="s">
        <v>126</v>
      </c>
      <c r="I27" s="16" t="s">
        <v>127</v>
      </c>
      <c r="K27" t="s">
        <v>8239</v>
      </c>
      <c r="L27" t="s">
        <v>9168</v>
      </c>
    </row>
    <row r="28" spans="1:12" ht="15" customHeight="1" x14ac:dyDescent="0.25">
      <c r="A28" s="17">
        <v>59</v>
      </c>
      <c r="B28" s="18" t="str">
        <f>TEXT(UNICOS!$A28,"000")</f>
        <v>059</v>
      </c>
      <c r="C28" s="19" t="s">
        <v>128</v>
      </c>
      <c r="D28" s="20" t="s">
        <v>49</v>
      </c>
      <c r="E28" s="21"/>
      <c r="F28" s="21"/>
      <c r="G28" s="21"/>
      <c r="H28" s="22" t="s">
        <v>129</v>
      </c>
      <c r="I28" s="16" t="s">
        <v>130</v>
      </c>
      <c r="K28" t="s">
        <v>6552</v>
      </c>
      <c r="L28" t="s">
        <v>9169</v>
      </c>
    </row>
    <row r="29" spans="1:12" ht="15" customHeight="1" x14ac:dyDescent="0.25">
      <c r="A29" s="17">
        <v>63</v>
      </c>
      <c r="B29" s="18" t="str">
        <f>TEXT(UNICOS!$A29,"000")</f>
        <v>063</v>
      </c>
      <c r="C29" s="19" t="s">
        <v>131</v>
      </c>
      <c r="D29" s="20" t="s">
        <v>53</v>
      </c>
      <c r="E29" s="21"/>
      <c r="F29" s="21"/>
      <c r="G29" s="21"/>
      <c r="H29" s="22" t="s">
        <v>132</v>
      </c>
      <c r="I29" s="16" t="s">
        <v>133</v>
      </c>
      <c r="K29" t="s">
        <v>9170</v>
      </c>
      <c r="L29" t="s">
        <v>9171</v>
      </c>
    </row>
    <row r="30" spans="1:12" ht="15" customHeight="1" x14ac:dyDescent="0.25">
      <c r="A30" s="17">
        <v>69</v>
      </c>
      <c r="B30" s="18" t="str">
        <f>TEXT(UNICOS!$A30,"000")</f>
        <v>069</v>
      </c>
      <c r="C30" s="19" t="s">
        <v>134</v>
      </c>
      <c r="D30" s="20" t="s">
        <v>135</v>
      </c>
      <c r="E30" s="21"/>
      <c r="F30" s="21"/>
      <c r="G30" s="21"/>
      <c r="H30" s="22" t="s">
        <v>136</v>
      </c>
      <c r="I30" s="16" t="s">
        <v>137</v>
      </c>
      <c r="K30" t="s">
        <v>4916</v>
      </c>
      <c r="L30" t="s">
        <v>9172</v>
      </c>
    </row>
    <row r="31" spans="1:12" ht="15" customHeight="1" x14ac:dyDescent="0.25">
      <c r="A31" s="17">
        <v>72</v>
      </c>
      <c r="B31" s="18" t="str">
        <f>TEXT(UNICOS!$A31,"000")</f>
        <v>072</v>
      </c>
      <c r="C31" s="19" t="s">
        <v>138</v>
      </c>
      <c r="D31" s="20" t="s">
        <v>57</v>
      </c>
      <c r="E31" s="21"/>
      <c r="F31" s="21"/>
      <c r="G31" s="21"/>
      <c r="H31" s="22" t="s">
        <v>139</v>
      </c>
      <c r="I31" s="16" t="s">
        <v>140</v>
      </c>
      <c r="K31" t="s">
        <v>9173</v>
      </c>
      <c r="L31" t="s">
        <v>9173</v>
      </c>
    </row>
    <row r="32" spans="1:12" ht="15" customHeight="1" x14ac:dyDescent="0.25">
      <c r="A32" s="17">
        <v>74</v>
      </c>
      <c r="B32" s="18" t="str">
        <f>TEXT(UNICOS!$A32,"000")</f>
        <v>074</v>
      </c>
      <c r="C32" s="19" t="s">
        <v>141</v>
      </c>
      <c r="D32" s="20" t="s">
        <v>83</v>
      </c>
      <c r="E32" s="21"/>
      <c r="F32" s="21"/>
      <c r="G32" s="21"/>
      <c r="H32" s="22" t="s">
        <v>142</v>
      </c>
      <c r="I32" s="16" t="s">
        <v>143</v>
      </c>
      <c r="K32" t="s">
        <v>9174</v>
      </c>
      <c r="L32" t="s">
        <v>9175</v>
      </c>
    </row>
    <row r="33" spans="1:12" ht="15" customHeight="1" x14ac:dyDescent="0.25">
      <c r="A33" s="17">
        <v>77</v>
      </c>
      <c r="B33" s="18" t="str">
        <f>TEXT(UNICOS!$A33,"000")</f>
        <v>077</v>
      </c>
      <c r="C33" s="19" t="s">
        <v>144</v>
      </c>
      <c r="D33" s="20" t="s">
        <v>53</v>
      </c>
      <c r="E33" s="21"/>
      <c r="F33" s="21"/>
      <c r="G33" s="21"/>
      <c r="H33" s="22" t="s">
        <v>145</v>
      </c>
      <c r="I33" s="16" t="s">
        <v>146</v>
      </c>
      <c r="K33" t="s">
        <v>9176</v>
      </c>
      <c r="L33" t="s">
        <v>9177</v>
      </c>
    </row>
    <row r="34" spans="1:12" ht="15" customHeight="1" x14ac:dyDescent="0.25">
      <c r="A34" s="17">
        <v>80</v>
      </c>
      <c r="B34" s="18" t="str">
        <f>TEXT(UNICOS!$A34,"000")</f>
        <v>080</v>
      </c>
      <c r="C34" s="19" t="s">
        <v>147</v>
      </c>
      <c r="D34" s="20" t="s">
        <v>83</v>
      </c>
      <c r="E34" s="21"/>
      <c r="F34" s="21"/>
      <c r="G34" s="21"/>
      <c r="H34" s="22" t="s">
        <v>148</v>
      </c>
      <c r="I34" s="16" t="s">
        <v>149</v>
      </c>
      <c r="K34" t="s">
        <v>9178</v>
      </c>
      <c r="L34" t="s">
        <v>9179</v>
      </c>
    </row>
    <row r="35" spans="1:12" ht="15" customHeight="1" x14ac:dyDescent="0.25">
      <c r="A35" s="17">
        <v>81</v>
      </c>
      <c r="B35" s="18" t="str">
        <f>TEXT(UNICOS!$A35,"000")</f>
        <v>081</v>
      </c>
      <c r="C35" s="19" t="s">
        <v>150</v>
      </c>
      <c r="D35" s="20" t="s">
        <v>83</v>
      </c>
      <c r="E35" s="21"/>
      <c r="F35" s="21"/>
      <c r="G35" s="21"/>
      <c r="H35" s="22" t="s">
        <v>151</v>
      </c>
      <c r="I35" s="16" t="s">
        <v>152</v>
      </c>
      <c r="K35" t="s">
        <v>9180</v>
      </c>
      <c r="L35" t="s">
        <v>9181</v>
      </c>
    </row>
    <row r="36" spans="1:12" ht="15" customHeight="1" x14ac:dyDescent="0.25">
      <c r="A36" s="17">
        <v>83</v>
      </c>
      <c r="B36" s="18" t="str">
        <f>TEXT(UNICOS!$A36,"000")</f>
        <v>083</v>
      </c>
      <c r="C36" s="19" t="s">
        <v>153</v>
      </c>
      <c r="D36" s="20" t="s">
        <v>53</v>
      </c>
      <c r="E36" s="21"/>
      <c r="F36" s="21"/>
      <c r="G36" s="21"/>
      <c r="H36" s="22" t="s">
        <v>154</v>
      </c>
      <c r="I36" s="16" t="s">
        <v>155</v>
      </c>
      <c r="K36" t="s">
        <v>9182</v>
      </c>
      <c r="L36" t="s">
        <v>9183</v>
      </c>
    </row>
    <row r="37" spans="1:12" ht="15" customHeight="1" x14ac:dyDescent="0.25">
      <c r="A37" s="17">
        <v>87</v>
      </c>
      <c r="B37" s="18" t="str">
        <f>TEXT(UNICOS!$A37,"000")</f>
        <v>087</v>
      </c>
      <c r="C37" s="19" t="s">
        <v>156</v>
      </c>
      <c r="D37" s="20" t="s">
        <v>57</v>
      </c>
      <c r="E37" s="21"/>
      <c r="F37" s="21"/>
      <c r="G37" s="21"/>
      <c r="H37" s="22" t="s">
        <v>157</v>
      </c>
      <c r="I37" s="16" t="s">
        <v>158</v>
      </c>
      <c r="K37" t="s">
        <v>9184</v>
      </c>
      <c r="L37" t="s">
        <v>9185</v>
      </c>
    </row>
    <row r="38" spans="1:12" ht="15" customHeight="1" x14ac:dyDescent="0.25">
      <c r="A38" s="17">
        <v>88</v>
      </c>
      <c r="B38" s="18" t="str">
        <f>TEXT(UNICOS!$A38,"000")</f>
        <v>088</v>
      </c>
      <c r="C38" s="19" t="s">
        <v>159</v>
      </c>
      <c r="D38" s="20" t="s">
        <v>53</v>
      </c>
      <c r="E38" s="21"/>
      <c r="F38" s="21"/>
      <c r="G38" s="21"/>
      <c r="H38" s="22" t="s">
        <v>160</v>
      </c>
      <c r="I38" s="16" t="s">
        <v>161</v>
      </c>
      <c r="K38" t="s">
        <v>9186</v>
      </c>
      <c r="L38" t="s">
        <v>9186</v>
      </c>
    </row>
    <row r="39" spans="1:12" ht="15" customHeight="1" x14ac:dyDescent="0.25">
      <c r="A39" s="17">
        <v>90</v>
      </c>
      <c r="B39" s="18" t="str">
        <f>TEXT(UNICOS!$A39,"000")</f>
        <v>090</v>
      </c>
      <c r="C39" s="19" t="s">
        <v>162</v>
      </c>
      <c r="D39" s="20" t="s">
        <v>53</v>
      </c>
      <c r="E39" s="21"/>
      <c r="F39" s="21"/>
      <c r="G39" s="21"/>
      <c r="H39" s="22" t="s">
        <v>163</v>
      </c>
      <c r="I39" s="16" t="s">
        <v>164</v>
      </c>
      <c r="K39" t="s">
        <v>9187</v>
      </c>
      <c r="L39" t="s">
        <v>9188</v>
      </c>
    </row>
    <row r="40" spans="1:12" ht="15" customHeight="1" x14ac:dyDescent="0.25">
      <c r="A40" s="17">
        <v>91</v>
      </c>
      <c r="B40" s="18" t="str">
        <f>TEXT(UNICOS!$A40,"000")</f>
        <v>091</v>
      </c>
      <c r="C40" s="19" t="s">
        <v>165</v>
      </c>
      <c r="D40" s="20" t="s">
        <v>57</v>
      </c>
      <c r="E40" s="21"/>
      <c r="F40" s="21"/>
      <c r="G40" s="21"/>
      <c r="H40" s="22" t="s">
        <v>166</v>
      </c>
      <c r="I40" s="16" t="s">
        <v>167</v>
      </c>
      <c r="K40" t="s">
        <v>4568</v>
      </c>
      <c r="L40" t="s">
        <v>4568</v>
      </c>
    </row>
    <row r="41" spans="1:12" ht="15" customHeight="1" x14ac:dyDescent="0.25">
      <c r="A41" s="17">
        <v>93</v>
      </c>
      <c r="B41" s="18" t="str">
        <f>TEXT(UNICOS!$A41,"000")</f>
        <v>093</v>
      </c>
      <c r="C41" s="19" t="s">
        <v>168</v>
      </c>
      <c r="D41" s="20" t="s">
        <v>83</v>
      </c>
      <c r="E41" s="21"/>
      <c r="F41" s="21"/>
      <c r="G41" s="21"/>
      <c r="H41" s="22" t="s">
        <v>169</v>
      </c>
      <c r="I41" s="16" t="s">
        <v>170</v>
      </c>
      <c r="K41" t="s">
        <v>9189</v>
      </c>
      <c r="L41" t="s">
        <v>9190</v>
      </c>
    </row>
    <row r="42" spans="1:12" ht="15" customHeight="1" x14ac:dyDescent="0.25">
      <c r="A42" s="17">
        <v>97</v>
      </c>
      <c r="B42" s="18" t="str">
        <f>TEXT(UNICOS!$A42,"000")</f>
        <v>097</v>
      </c>
      <c r="C42" s="19" t="s">
        <v>171</v>
      </c>
      <c r="D42" s="20" t="s">
        <v>53</v>
      </c>
      <c r="E42" s="21"/>
      <c r="F42" s="21"/>
      <c r="G42" s="21"/>
      <c r="H42" s="22" t="s">
        <v>172</v>
      </c>
      <c r="I42" s="16" t="s">
        <v>173</v>
      </c>
      <c r="K42" t="s">
        <v>9191</v>
      </c>
      <c r="L42" t="s">
        <v>9192</v>
      </c>
    </row>
    <row r="43" spans="1:12" ht="15" customHeight="1" x14ac:dyDescent="0.25">
      <c r="A43" s="17">
        <v>101</v>
      </c>
      <c r="B43" s="18" t="str">
        <f>TEXT(UNICOS!$A43,"000")</f>
        <v>101</v>
      </c>
      <c r="C43" s="19" t="s">
        <v>174</v>
      </c>
      <c r="D43" s="20" t="s">
        <v>49</v>
      </c>
      <c r="E43" s="21"/>
      <c r="F43" s="21"/>
      <c r="G43" s="21"/>
      <c r="H43" s="22" t="s">
        <v>175</v>
      </c>
      <c r="I43" s="16" t="s">
        <v>176</v>
      </c>
      <c r="K43" t="s">
        <v>9193</v>
      </c>
      <c r="L43" t="s">
        <v>9194</v>
      </c>
    </row>
    <row r="44" spans="1:12" ht="15" customHeight="1" x14ac:dyDescent="0.25">
      <c r="A44" s="17">
        <v>105</v>
      </c>
      <c r="B44" s="18" t="str">
        <f>TEXT(UNICOS!$A44,"000")</f>
        <v>105</v>
      </c>
      <c r="C44" s="19" t="s">
        <v>177</v>
      </c>
      <c r="D44" s="20" t="s">
        <v>53</v>
      </c>
      <c r="E44" s="23"/>
      <c r="F44" s="23"/>
      <c r="G44" s="23"/>
      <c r="H44" s="22" t="s">
        <v>175</v>
      </c>
      <c r="I44" s="16" t="s">
        <v>178</v>
      </c>
      <c r="K44" t="s">
        <v>6009</v>
      </c>
      <c r="L44" t="s">
        <v>6009</v>
      </c>
    </row>
    <row r="45" spans="1:12" ht="15" customHeight="1" x14ac:dyDescent="0.25">
      <c r="A45" s="17">
        <v>108</v>
      </c>
      <c r="B45" s="18" t="str">
        <f>TEXT(UNICOS!$A45,"000")</f>
        <v>108</v>
      </c>
      <c r="C45" s="19" t="s">
        <v>179</v>
      </c>
      <c r="D45" s="20" t="s">
        <v>83</v>
      </c>
      <c r="E45" s="23"/>
      <c r="F45" s="23"/>
      <c r="G45" s="23"/>
      <c r="H45" s="22" t="s">
        <v>180</v>
      </c>
      <c r="I45" s="16" t="s">
        <v>181</v>
      </c>
      <c r="K45" t="s">
        <v>9195</v>
      </c>
      <c r="L45" t="s">
        <v>9196</v>
      </c>
    </row>
    <row r="46" spans="1:12" ht="15" customHeight="1" x14ac:dyDescent="0.25">
      <c r="A46" s="17">
        <v>111</v>
      </c>
      <c r="B46" s="18" t="str">
        <f>TEXT(UNICOS!$A46,"000")</f>
        <v>111</v>
      </c>
      <c r="C46" s="19" t="s">
        <v>182</v>
      </c>
      <c r="D46" s="20" t="s">
        <v>57</v>
      </c>
      <c r="E46" s="23"/>
      <c r="F46" s="23"/>
      <c r="G46" s="23"/>
      <c r="H46" s="22" t="s">
        <v>183</v>
      </c>
      <c r="I46" s="16" t="s">
        <v>184</v>
      </c>
      <c r="K46" t="s">
        <v>1638</v>
      </c>
      <c r="L46" t="s">
        <v>9197</v>
      </c>
    </row>
    <row r="47" spans="1:12" ht="15" customHeight="1" x14ac:dyDescent="0.25">
      <c r="A47" s="17">
        <v>115</v>
      </c>
      <c r="B47" s="18" t="str">
        <f>TEXT(UNICOS!$A47,"000")</f>
        <v>115</v>
      </c>
      <c r="C47" s="19" t="s">
        <v>185</v>
      </c>
      <c r="D47" s="20" t="s">
        <v>49</v>
      </c>
      <c r="E47" s="23"/>
      <c r="F47" s="23"/>
      <c r="G47" s="23"/>
      <c r="H47" s="22" t="s">
        <v>186</v>
      </c>
      <c r="I47" s="16" t="s">
        <v>187</v>
      </c>
      <c r="K47" t="s">
        <v>9198</v>
      </c>
      <c r="L47" t="s">
        <v>9199</v>
      </c>
    </row>
    <row r="48" spans="1:12" ht="15" customHeight="1" x14ac:dyDescent="0.25">
      <c r="A48" s="17">
        <v>119</v>
      </c>
      <c r="B48" s="18" t="str">
        <f>TEXT(UNICOS!$A48,"000")</f>
        <v>119</v>
      </c>
      <c r="C48" s="19" t="s">
        <v>188</v>
      </c>
      <c r="D48" s="20" t="s">
        <v>83</v>
      </c>
      <c r="E48" s="23"/>
      <c r="F48" s="23"/>
      <c r="G48" s="23"/>
      <c r="H48" s="22" t="s">
        <v>189</v>
      </c>
      <c r="I48" s="16" t="s">
        <v>190</v>
      </c>
      <c r="K48" t="s">
        <v>9200</v>
      </c>
      <c r="L48" t="s">
        <v>9201</v>
      </c>
    </row>
    <row r="49" spans="1:12" ht="15" customHeight="1" x14ac:dyDescent="0.25">
      <c r="A49" s="17">
        <v>127</v>
      </c>
      <c r="B49" s="18" t="str">
        <f>TEXT(UNICOS!$A49,"000")</f>
        <v>127</v>
      </c>
      <c r="C49" s="19" t="s">
        <v>191</v>
      </c>
      <c r="D49" s="20" t="s">
        <v>49</v>
      </c>
      <c r="E49" s="23"/>
      <c r="F49" s="23"/>
      <c r="G49" s="23"/>
      <c r="H49" s="22" t="s">
        <v>192</v>
      </c>
      <c r="I49" s="16" t="s">
        <v>193</v>
      </c>
      <c r="K49" t="s">
        <v>9202</v>
      </c>
      <c r="L49" t="s">
        <v>9202</v>
      </c>
    </row>
    <row r="50" spans="1:12" ht="15" customHeight="1" x14ac:dyDescent="0.25">
      <c r="A50" s="17">
        <v>137</v>
      </c>
      <c r="B50" s="18" t="str">
        <f>TEXT(UNICOS!$A50,"000")</f>
        <v>137</v>
      </c>
      <c r="C50" s="19" t="s">
        <v>194</v>
      </c>
      <c r="D50" s="20" t="s">
        <v>53</v>
      </c>
      <c r="E50" s="23"/>
      <c r="F50" s="23"/>
      <c r="G50" s="23"/>
      <c r="H50" s="22" t="s">
        <v>195</v>
      </c>
      <c r="I50" s="16" t="s">
        <v>196</v>
      </c>
      <c r="K50" t="s">
        <v>9203</v>
      </c>
      <c r="L50" t="s">
        <v>9204</v>
      </c>
    </row>
    <row r="51" spans="1:12" ht="15" customHeight="1" x14ac:dyDescent="0.25">
      <c r="A51" s="17">
        <v>141</v>
      </c>
      <c r="B51" s="18" t="str">
        <f>TEXT(UNICOS!$A51,"000")</f>
        <v>141</v>
      </c>
      <c r="C51" s="19" t="s">
        <v>197</v>
      </c>
      <c r="D51" s="20" t="s">
        <v>83</v>
      </c>
      <c r="E51" s="23"/>
      <c r="F51" s="23"/>
      <c r="G51" s="23"/>
      <c r="H51" s="22" t="s">
        <v>195</v>
      </c>
      <c r="I51" s="16" t="s">
        <v>196</v>
      </c>
      <c r="K51" t="s">
        <v>9205</v>
      </c>
      <c r="L51" t="s">
        <v>9206</v>
      </c>
    </row>
    <row r="52" spans="1:12" ht="15" customHeight="1" x14ac:dyDescent="0.25">
      <c r="A52" s="17">
        <v>145</v>
      </c>
      <c r="B52" s="18" t="str">
        <f>TEXT(UNICOS!$A52,"000")</f>
        <v>145</v>
      </c>
      <c r="C52" s="19" t="s">
        <v>198</v>
      </c>
      <c r="D52" s="20" t="s">
        <v>49</v>
      </c>
      <c r="E52" s="23"/>
      <c r="F52" s="23"/>
      <c r="G52" s="23"/>
      <c r="H52" s="22" t="s">
        <v>199</v>
      </c>
      <c r="I52" s="16" t="s">
        <v>200</v>
      </c>
      <c r="K52" t="s">
        <v>9207</v>
      </c>
      <c r="L52" t="s">
        <v>9208</v>
      </c>
    </row>
    <row r="53" spans="1:12" ht="15" customHeight="1" x14ac:dyDescent="0.25">
      <c r="A53" s="17">
        <v>147</v>
      </c>
      <c r="B53" s="18" t="str">
        <f>TEXT(UNICOS!$A53,"000")</f>
        <v>147</v>
      </c>
      <c r="C53" s="19" t="s">
        <v>201</v>
      </c>
      <c r="D53" s="20" t="s">
        <v>57</v>
      </c>
      <c r="E53" s="23"/>
      <c r="F53" s="23"/>
      <c r="G53" s="23"/>
      <c r="H53" s="22" t="s">
        <v>202</v>
      </c>
      <c r="I53" s="16" t="s">
        <v>203</v>
      </c>
      <c r="K53" t="s">
        <v>9209</v>
      </c>
      <c r="L53" t="s">
        <v>9210</v>
      </c>
    </row>
    <row r="54" spans="1:12" ht="15" customHeight="1" x14ac:dyDescent="0.25">
      <c r="A54" s="17">
        <v>149</v>
      </c>
      <c r="B54" s="18" t="str">
        <f>TEXT(UNICOS!$A54,"000")</f>
        <v>149</v>
      </c>
      <c r="C54" s="19" t="s">
        <v>204</v>
      </c>
      <c r="D54" s="20" t="s">
        <v>53</v>
      </c>
      <c r="H54" s="22" t="s">
        <v>205</v>
      </c>
      <c r="I54" s="16" t="s">
        <v>206</v>
      </c>
      <c r="K54" t="s">
        <v>7126</v>
      </c>
      <c r="L54" t="s">
        <v>7126</v>
      </c>
    </row>
    <row r="55" spans="1:12" ht="15" customHeight="1" x14ac:dyDescent="0.25">
      <c r="A55" s="17">
        <v>155</v>
      </c>
      <c r="B55" s="18" t="str">
        <f>TEXT(UNICOS!$A55,"000")</f>
        <v>155</v>
      </c>
      <c r="C55" s="19" t="s">
        <v>207</v>
      </c>
      <c r="D55" s="20" t="s">
        <v>57</v>
      </c>
      <c r="H55" s="22" t="s">
        <v>208</v>
      </c>
      <c r="I55" s="16" t="s">
        <v>209</v>
      </c>
      <c r="K55" t="s">
        <v>2124</v>
      </c>
      <c r="L55" t="s">
        <v>2124</v>
      </c>
    </row>
    <row r="56" spans="1:12" ht="15" customHeight="1" x14ac:dyDescent="0.25">
      <c r="A56" s="17">
        <v>157</v>
      </c>
      <c r="B56" s="18" t="str">
        <f>TEXT(UNICOS!$A56,"000")</f>
        <v>157</v>
      </c>
      <c r="C56" s="19" t="s">
        <v>210</v>
      </c>
      <c r="D56" s="20" t="s">
        <v>135</v>
      </c>
      <c r="H56" s="22" t="s">
        <v>211</v>
      </c>
      <c r="I56" s="16" t="s">
        <v>212</v>
      </c>
      <c r="K56" t="s">
        <v>9211</v>
      </c>
      <c r="L56" t="s">
        <v>9212</v>
      </c>
    </row>
    <row r="57" spans="1:12" ht="15" customHeight="1" x14ac:dyDescent="0.25">
      <c r="A57" s="17">
        <v>159</v>
      </c>
      <c r="B57" s="18" t="str">
        <f>TEXT(UNICOS!$A57,"000")</f>
        <v>159</v>
      </c>
      <c r="C57" s="19" t="s">
        <v>213</v>
      </c>
      <c r="D57" s="20" t="s">
        <v>57</v>
      </c>
      <c r="H57" s="22" t="s">
        <v>214</v>
      </c>
      <c r="I57" s="16" t="s">
        <v>215</v>
      </c>
      <c r="K57" t="s">
        <v>9213</v>
      </c>
      <c r="L57" t="s">
        <v>9214</v>
      </c>
    </row>
    <row r="58" spans="1:12" ht="15" customHeight="1" x14ac:dyDescent="0.25">
      <c r="A58" s="17">
        <v>165</v>
      </c>
      <c r="B58" s="18" t="str">
        <f>TEXT(UNICOS!$A58,"000")</f>
        <v>165</v>
      </c>
      <c r="C58" s="19" t="s">
        <v>216</v>
      </c>
      <c r="D58" s="20" t="s">
        <v>135</v>
      </c>
      <c r="H58" s="22" t="s">
        <v>214</v>
      </c>
      <c r="I58" s="16" t="s">
        <v>215</v>
      </c>
      <c r="K58" t="s">
        <v>9215</v>
      </c>
      <c r="L58" t="s">
        <v>9216</v>
      </c>
    </row>
    <row r="59" spans="1:12" ht="15" customHeight="1" x14ac:dyDescent="0.25">
      <c r="A59" s="17">
        <v>169</v>
      </c>
      <c r="B59" s="18" t="str">
        <f>TEXT(UNICOS!$A59,"000")</f>
        <v>169</v>
      </c>
      <c r="C59" s="19" t="s">
        <v>217</v>
      </c>
      <c r="D59" s="20" t="s">
        <v>53</v>
      </c>
      <c r="H59" s="22" t="s">
        <v>218</v>
      </c>
      <c r="I59" s="16" t="s">
        <v>219</v>
      </c>
      <c r="K59" t="s">
        <v>9217</v>
      </c>
      <c r="L59" t="s">
        <v>9218</v>
      </c>
    </row>
    <row r="60" spans="1:12" ht="15" customHeight="1" x14ac:dyDescent="0.25">
      <c r="A60" s="17">
        <v>173</v>
      </c>
      <c r="B60" s="18" t="str">
        <f>TEXT(UNICOS!$A60,"000")</f>
        <v>173</v>
      </c>
      <c r="C60" s="19" t="s">
        <v>220</v>
      </c>
      <c r="D60" s="20" t="s">
        <v>49</v>
      </c>
      <c r="H60" s="22" t="s">
        <v>221</v>
      </c>
      <c r="I60" s="16" t="s">
        <v>222</v>
      </c>
      <c r="K60" t="s">
        <v>1927</v>
      </c>
      <c r="L60" t="s">
        <v>1927</v>
      </c>
    </row>
    <row r="61" spans="1:12" ht="15" customHeight="1" x14ac:dyDescent="0.25">
      <c r="A61" s="17">
        <v>177</v>
      </c>
      <c r="B61" s="18" t="str">
        <f>TEXT(UNICOS!$A61,"000")</f>
        <v>177</v>
      </c>
      <c r="C61" s="19" t="s">
        <v>223</v>
      </c>
      <c r="D61" s="20" t="s">
        <v>49</v>
      </c>
      <c r="H61" s="22" t="s">
        <v>224</v>
      </c>
      <c r="I61" s="16" t="s">
        <v>225</v>
      </c>
      <c r="K61" t="s">
        <v>9219</v>
      </c>
      <c r="L61" t="s">
        <v>9220</v>
      </c>
    </row>
    <row r="62" spans="1:12" ht="15" customHeight="1" x14ac:dyDescent="0.25">
      <c r="A62" s="17">
        <v>183</v>
      </c>
      <c r="B62" s="18" t="str">
        <f>TEXT(UNICOS!$A62,"000")</f>
        <v>183</v>
      </c>
      <c r="C62" s="19" t="s">
        <v>226</v>
      </c>
      <c r="D62" s="20" t="s">
        <v>135</v>
      </c>
      <c r="H62" s="22" t="s">
        <v>227</v>
      </c>
      <c r="I62" s="16" t="s">
        <v>228</v>
      </c>
      <c r="K62" t="s">
        <v>9221</v>
      </c>
      <c r="L62" t="s">
        <v>9222</v>
      </c>
    </row>
    <row r="63" spans="1:12" ht="15" customHeight="1" x14ac:dyDescent="0.25">
      <c r="A63" s="17">
        <v>187</v>
      </c>
      <c r="B63" s="18" t="str">
        <f>TEXT(UNICOS!$A63,"000")</f>
        <v>187</v>
      </c>
      <c r="C63" s="19" t="s">
        <v>229</v>
      </c>
      <c r="D63" s="20" t="s">
        <v>83</v>
      </c>
      <c r="H63" s="22" t="s">
        <v>227</v>
      </c>
      <c r="I63" s="16" t="s">
        <v>228</v>
      </c>
      <c r="K63" t="s">
        <v>3820</v>
      </c>
      <c r="L63" t="s">
        <v>3820</v>
      </c>
    </row>
    <row r="64" spans="1:12" ht="15" customHeight="1" x14ac:dyDescent="0.25">
      <c r="A64" s="17">
        <v>190</v>
      </c>
      <c r="B64" s="18" t="str">
        <f>TEXT(UNICOS!$A64,"000")</f>
        <v>190</v>
      </c>
      <c r="C64" s="19" t="s">
        <v>230</v>
      </c>
      <c r="D64" s="20" t="s">
        <v>83</v>
      </c>
      <c r="H64" s="22" t="s">
        <v>231</v>
      </c>
      <c r="I64" s="16" t="s">
        <v>232</v>
      </c>
      <c r="K64" t="s">
        <v>9223</v>
      </c>
      <c r="L64" t="s">
        <v>9224</v>
      </c>
    </row>
    <row r="65" spans="1:12" ht="15" customHeight="1" x14ac:dyDescent="0.25">
      <c r="A65" s="17">
        <v>193</v>
      </c>
      <c r="B65" s="18" t="str">
        <f>TEXT(UNICOS!$A65,"000")</f>
        <v>193</v>
      </c>
      <c r="C65" s="19" t="s">
        <v>48</v>
      </c>
      <c r="D65" s="20" t="s">
        <v>49</v>
      </c>
      <c r="H65" s="22" t="s">
        <v>233</v>
      </c>
      <c r="I65" s="16" t="s">
        <v>234</v>
      </c>
      <c r="K65" t="s">
        <v>9225</v>
      </c>
      <c r="L65" t="s">
        <v>9226</v>
      </c>
    </row>
    <row r="66" spans="1:12" ht="15" customHeight="1" x14ac:dyDescent="0.25">
      <c r="A66" s="17">
        <v>196</v>
      </c>
      <c r="B66" s="18" t="str">
        <f>TEXT(UNICOS!$A66,"000")</f>
        <v>196</v>
      </c>
      <c r="C66" s="19" t="s">
        <v>235</v>
      </c>
      <c r="D66" s="20" t="s">
        <v>53</v>
      </c>
      <c r="H66" s="22" t="s">
        <v>236</v>
      </c>
      <c r="I66" s="16" t="s">
        <v>237</v>
      </c>
      <c r="K66" t="s">
        <v>4965</v>
      </c>
      <c r="L66" t="s">
        <v>9227</v>
      </c>
    </row>
    <row r="67" spans="1:12" ht="15" customHeight="1" x14ac:dyDescent="0.25">
      <c r="A67" s="17">
        <v>198</v>
      </c>
      <c r="B67" s="18" t="str">
        <f>TEXT(UNICOS!$A67,"000")</f>
        <v>198</v>
      </c>
      <c r="C67" s="19" t="s">
        <v>238</v>
      </c>
      <c r="D67" s="20" t="s">
        <v>57</v>
      </c>
      <c r="H67" s="22" t="s">
        <v>239</v>
      </c>
      <c r="I67" s="16" t="s">
        <v>240</v>
      </c>
      <c r="K67" t="s">
        <v>9228</v>
      </c>
      <c r="L67" t="s">
        <v>9229</v>
      </c>
    </row>
    <row r="68" spans="1:12" ht="15" customHeight="1" x14ac:dyDescent="0.25">
      <c r="A68" s="17">
        <v>199</v>
      </c>
      <c r="B68" s="18" t="str">
        <f>TEXT(UNICOS!$A68,"000")</f>
        <v>199</v>
      </c>
      <c r="C68" s="19" t="s">
        <v>241</v>
      </c>
      <c r="D68" s="20" t="s">
        <v>53</v>
      </c>
      <c r="H68" s="22" t="s">
        <v>242</v>
      </c>
      <c r="I68" s="16" t="s">
        <v>243</v>
      </c>
      <c r="K68" t="s">
        <v>9230</v>
      </c>
      <c r="L68" t="s">
        <v>9230</v>
      </c>
    </row>
    <row r="69" spans="1:12" ht="15" customHeight="1" x14ac:dyDescent="0.25">
      <c r="A69" s="17">
        <v>203</v>
      </c>
      <c r="B69" s="18" t="str">
        <f>TEXT(UNICOS!$A69,"000")</f>
        <v>203</v>
      </c>
      <c r="C69" s="19" t="s">
        <v>244</v>
      </c>
      <c r="D69" s="20" t="s">
        <v>49</v>
      </c>
      <c r="H69" s="22" t="s">
        <v>242</v>
      </c>
      <c r="I69" s="16" t="s">
        <v>243</v>
      </c>
      <c r="K69" t="s">
        <v>9231</v>
      </c>
      <c r="L69" t="s">
        <v>9232</v>
      </c>
    </row>
    <row r="70" spans="1:12" ht="15" customHeight="1" x14ac:dyDescent="0.25">
      <c r="A70" s="17">
        <v>207</v>
      </c>
      <c r="B70" s="18" t="str">
        <f>TEXT(UNICOS!$A70,"000")</f>
        <v>207</v>
      </c>
      <c r="C70" s="19" t="s">
        <v>245</v>
      </c>
      <c r="D70" s="20" t="s">
        <v>57</v>
      </c>
      <c r="H70" s="22" t="s">
        <v>246</v>
      </c>
      <c r="I70" s="16" t="s">
        <v>247</v>
      </c>
      <c r="K70" t="s">
        <v>9233</v>
      </c>
      <c r="L70" t="s">
        <v>9233</v>
      </c>
    </row>
    <row r="71" spans="1:12" ht="15" customHeight="1" x14ac:dyDescent="0.25">
      <c r="A71" s="17">
        <v>211</v>
      </c>
      <c r="B71" s="18" t="str">
        <f>TEXT(UNICOS!$A71,"000")</f>
        <v>211</v>
      </c>
      <c r="C71" s="19" t="s">
        <v>248</v>
      </c>
      <c r="D71" s="20" t="s">
        <v>53</v>
      </c>
      <c r="H71" s="22" t="s">
        <v>249</v>
      </c>
      <c r="I71" s="16" t="s">
        <v>250</v>
      </c>
      <c r="K71" t="s">
        <v>7227</v>
      </c>
      <c r="L71" t="s">
        <v>7227</v>
      </c>
    </row>
    <row r="72" spans="1:12" ht="15" customHeight="1" x14ac:dyDescent="0.25">
      <c r="A72" s="17">
        <v>215</v>
      </c>
      <c r="B72" s="18" t="str">
        <f>TEXT(UNICOS!$A72,"000")</f>
        <v>215</v>
      </c>
      <c r="C72" s="19" t="s">
        <v>251</v>
      </c>
      <c r="D72" s="20" t="s">
        <v>83</v>
      </c>
      <c r="H72" s="22" t="s">
        <v>252</v>
      </c>
      <c r="I72" s="16" t="s">
        <v>253</v>
      </c>
      <c r="K72" t="s">
        <v>1368</v>
      </c>
      <c r="L72" t="s">
        <v>1368</v>
      </c>
    </row>
    <row r="73" spans="1:12" ht="15" customHeight="1" x14ac:dyDescent="0.25">
      <c r="A73" s="17">
        <v>218</v>
      </c>
      <c r="B73" s="18" t="str">
        <f>TEXT(UNICOS!$A73,"000")</f>
        <v>218</v>
      </c>
      <c r="C73" s="19" t="s">
        <v>254</v>
      </c>
      <c r="D73" s="20" t="s">
        <v>83</v>
      </c>
      <c r="H73" s="22" t="s">
        <v>255</v>
      </c>
      <c r="I73" s="16" t="s">
        <v>256</v>
      </c>
      <c r="K73" t="s">
        <v>9234</v>
      </c>
      <c r="L73" t="s">
        <v>9235</v>
      </c>
    </row>
    <row r="74" spans="1:12" ht="15" customHeight="1" x14ac:dyDescent="0.25">
      <c r="A74" s="17">
        <v>221</v>
      </c>
      <c r="B74" s="18" t="str">
        <f>TEXT(UNICOS!$A74,"000")</f>
        <v>221</v>
      </c>
      <c r="C74" s="19" t="s">
        <v>257</v>
      </c>
      <c r="D74" s="20" t="s">
        <v>57</v>
      </c>
      <c r="H74" s="22" t="s">
        <v>258</v>
      </c>
      <c r="I74" s="16" t="s">
        <v>259</v>
      </c>
      <c r="K74" t="s">
        <v>9236</v>
      </c>
      <c r="L74" t="s">
        <v>9237</v>
      </c>
    </row>
    <row r="75" spans="1:12" ht="15" customHeight="1" x14ac:dyDescent="0.25">
      <c r="A75" s="17">
        <v>229</v>
      </c>
      <c r="B75" s="18" t="str">
        <f>TEXT(UNICOS!$A75,"000")</f>
        <v>229</v>
      </c>
      <c r="C75" s="19" t="s">
        <v>260</v>
      </c>
      <c r="D75" s="20" t="s">
        <v>49</v>
      </c>
      <c r="H75" s="22" t="s">
        <v>261</v>
      </c>
      <c r="I75" s="16" t="s">
        <v>262</v>
      </c>
      <c r="K75" t="s">
        <v>9238</v>
      </c>
      <c r="L75" t="s">
        <v>9238</v>
      </c>
    </row>
    <row r="76" spans="1:12" ht="15" customHeight="1" x14ac:dyDescent="0.25">
      <c r="A76" s="17">
        <v>232</v>
      </c>
      <c r="B76" s="18" t="str">
        <f>TEXT(UNICOS!$A76,"000")</f>
        <v>232</v>
      </c>
      <c r="C76" s="19" t="s">
        <v>263</v>
      </c>
      <c r="D76" s="20" t="s">
        <v>57</v>
      </c>
      <c r="H76" s="22" t="s">
        <v>264</v>
      </c>
      <c r="I76" s="16" t="s">
        <v>265</v>
      </c>
      <c r="K76" t="s">
        <v>2017</v>
      </c>
      <c r="L76" t="s">
        <v>2017</v>
      </c>
    </row>
    <row r="77" spans="1:12" ht="15" customHeight="1" x14ac:dyDescent="0.25">
      <c r="A77" s="17">
        <v>235</v>
      </c>
      <c r="B77" s="18" t="str">
        <f>TEXT(UNICOS!$A77,"000")</f>
        <v>235</v>
      </c>
      <c r="C77" s="19" t="s">
        <v>266</v>
      </c>
      <c r="D77" s="20" t="s">
        <v>53</v>
      </c>
      <c r="H77" s="22" t="s">
        <v>267</v>
      </c>
      <c r="I77" s="16" t="s">
        <v>268</v>
      </c>
      <c r="K77" t="s">
        <v>9239</v>
      </c>
      <c r="L77" t="s">
        <v>9240</v>
      </c>
    </row>
    <row r="78" spans="1:12" ht="15" customHeight="1" x14ac:dyDescent="0.25">
      <c r="A78" s="17">
        <v>239</v>
      </c>
      <c r="B78" s="18" t="str">
        <f>TEXT(UNICOS!$A78,"000")</f>
        <v>239</v>
      </c>
      <c r="C78" s="19" t="s">
        <v>269</v>
      </c>
      <c r="D78" s="20" t="s">
        <v>53</v>
      </c>
      <c r="H78" s="22" t="s">
        <v>270</v>
      </c>
      <c r="I78" s="16" t="s">
        <v>271</v>
      </c>
      <c r="K78" t="s">
        <v>9241</v>
      </c>
      <c r="L78" t="s">
        <v>9242</v>
      </c>
    </row>
    <row r="79" spans="1:12" ht="15" customHeight="1" x14ac:dyDescent="0.25">
      <c r="A79" s="17">
        <v>240</v>
      </c>
      <c r="B79" s="18" t="str">
        <f>TEXT(UNICOS!$A79,"000")</f>
        <v>240</v>
      </c>
      <c r="C79" s="19" t="s">
        <v>272</v>
      </c>
      <c r="D79" s="20" t="s">
        <v>49</v>
      </c>
      <c r="H79" s="22" t="s">
        <v>273</v>
      </c>
      <c r="I79" s="16" t="s">
        <v>274</v>
      </c>
      <c r="K79" t="s">
        <v>9243</v>
      </c>
      <c r="L79" t="s">
        <v>9244</v>
      </c>
    </row>
    <row r="80" spans="1:12" ht="15" customHeight="1" x14ac:dyDescent="0.25">
      <c r="A80" s="17">
        <v>242</v>
      </c>
      <c r="B80" s="18" t="str">
        <f>TEXT(UNICOS!$A80,"000")</f>
        <v>242</v>
      </c>
      <c r="C80" s="19" t="s">
        <v>275</v>
      </c>
      <c r="D80" s="20" t="s">
        <v>53</v>
      </c>
      <c r="H80" s="22" t="s">
        <v>276</v>
      </c>
      <c r="I80" s="16" t="s">
        <v>277</v>
      </c>
      <c r="K80" t="s">
        <v>9245</v>
      </c>
      <c r="L80" t="s">
        <v>9246</v>
      </c>
    </row>
    <row r="81" spans="1:12" ht="15" customHeight="1" x14ac:dyDescent="0.25">
      <c r="A81" s="17">
        <v>243</v>
      </c>
      <c r="B81" s="18" t="str">
        <f>TEXT(UNICOS!$A81,"000")</f>
        <v>243</v>
      </c>
      <c r="C81" s="19" t="s">
        <v>278</v>
      </c>
      <c r="D81" s="20" t="s">
        <v>49</v>
      </c>
      <c r="H81" s="22" t="s">
        <v>279</v>
      </c>
      <c r="I81" s="16" t="s">
        <v>280</v>
      </c>
      <c r="K81" t="s">
        <v>9247</v>
      </c>
      <c r="L81" t="s">
        <v>9248</v>
      </c>
    </row>
    <row r="82" spans="1:12" ht="15" customHeight="1" x14ac:dyDescent="0.25">
      <c r="A82" s="17">
        <v>244</v>
      </c>
      <c r="B82" s="18" t="str">
        <f>TEXT(UNICOS!$A82,"000")</f>
        <v>244</v>
      </c>
      <c r="C82" s="19" t="s">
        <v>281</v>
      </c>
      <c r="D82" s="20" t="s">
        <v>83</v>
      </c>
      <c r="H82" s="22" t="s">
        <v>282</v>
      </c>
      <c r="I82" s="16" t="s">
        <v>283</v>
      </c>
      <c r="K82" t="s">
        <v>9249</v>
      </c>
      <c r="L82" t="s">
        <v>9250</v>
      </c>
    </row>
    <row r="83" spans="1:12" ht="15" customHeight="1" x14ac:dyDescent="0.25">
      <c r="A83" s="17">
        <v>245</v>
      </c>
      <c r="B83" s="18" t="str">
        <f>TEXT(UNICOS!$A83,"000")</f>
        <v>245</v>
      </c>
      <c r="C83" s="19" t="s">
        <v>284</v>
      </c>
      <c r="D83" s="20" t="s">
        <v>57</v>
      </c>
      <c r="H83" s="22" t="s">
        <v>285</v>
      </c>
      <c r="I83" s="16" t="s">
        <v>286</v>
      </c>
      <c r="K83" t="s">
        <v>1751</v>
      </c>
      <c r="L83" t="s">
        <v>9251</v>
      </c>
    </row>
    <row r="84" spans="1:12" ht="15" customHeight="1" x14ac:dyDescent="0.25">
      <c r="A84" s="17">
        <v>246</v>
      </c>
      <c r="B84" s="18" t="str">
        <f>TEXT(UNICOS!$A84,"000")</f>
        <v>246</v>
      </c>
      <c r="C84" s="19" t="s">
        <v>287</v>
      </c>
      <c r="D84" s="20" t="s">
        <v>57</v>
      </c>
      <c r="H84" s="22" t="s">
        <v>288</v>
      </c>
      <c r="I84" s="16" t="s">
        <v>289</v>
      </c>
      <c r="K84" t="s">
        <v>9252</v>
      </c>
      <c r="L84" t="s">
        <v>9253</v>
      </c>
    </row>
    <row r="85" spans="1:12" ht="15" customHeight="1" x14ac:dyDescent="0.25">
      <c r="A85" s="17">
        <v>247</v>
      </c>
      <c r="B85" s="18" t="str">
        <f>TEXT(UNICOS!$A85,"000")</f>
        <v>247</v>
      </c>
      <c r="C85" s="19" t="s">
        <v>290</v>
      </c>
      <c r="D85" s="20" t="s">
        <v>57</v>
      </c>
      <c r="H85" s="22" t="s">
        <v>291</v>
      </c>
      <c r="I85" s="16" t="s">
        <v>292</v>
      </c>
      <c r="K85" t="s">
        <v>876</v>
      </c>
      <c r="L85" t="s">
        <v>876</v>
      </c>
    </row>
    <row r="86" spans="1:12" ht="15" customHeight="1" x14ac:dyDescent="0.25">
      <c r="A86" s="17">
        <v>249</v>
      </c>
      <c r="B86" s="18" t="str">
        <f>TEXT(UNICOS!$A86,"000")</f>
        <v>249</v>
      </c>
      <c r="C86" s="19" t="s">
        <v>293</v>
      </c>
      <c r="D86" s="20" t="s">
        <v>53</v>
      </c>
      <c r="H86" s="22" t="s">
        <v>294</v>
      </c>
      <c r="I86" s="16" t="s">
        <v>295</v>
      </c>
      <c r="K86" t="s">
        <v>9254</v>
      </c>
      <c r="L86" t="s">
        <v>9255</v>
      </c>
    </row>
    <row r="87" spans="1:12" ht="15" customHeight="1" x14ac:dyDescent="0.25">
      <c r="A87" s="17">
        <v>251</v>
      </c>
      <c r="B87" s="18" t="str">
        <f>TEXT(UNICOS!$A87,"000")</f>
        <v>251</v>
      </c>
      <c r="C87" s="19" t="s">
        <v>296</v>
      </c>
      <c r="D87" s="20" t="s">
        <v>57</v>
      </c>
      <c r="H87" s="22" t="s">
        <v>297</v>
      </c>
      <c r="I87" s="16" t="s">
        <v>298</v>
      </c>
      <c r="K87" t="s">
        <v>9256</v>
      </c>
      <c r="L87" t="s">
        <v>9257</v>
      </c>
    </row>
    <row r="88" spans="1:12" ht="15" customHeight="1" x14ac:dyDescent="0.25">
      <c r="A88" s="17">
        <v>253</v>
      </c>
      <c r="B88" s="18" t="str">
        <f>TEXT(UNICOS!$A88,"000")</f>
        <v>253</v>
      </c>
      <c r="C88" s="19" t="s">
        <v>299</v>
      </c>
      <c r="D88" s="20" t="s">
        <v>49</v>
      </c>
      <c r="H88" s="22" t="s">
        <v>300</v>
      </c>
      <c r="I88" s="16" t="s">
        <v>301</v>
      </c>
      <c r="K88" t="s">
        <v>9258</v>
      </c>
      <c r="L88" t="s">
        <v>9259</v>
      </c>
    </row>
    <row r="89" spans="1:12" ht="15" customHeight="1" x14ac:dyDescent="0.25">
      <c r="A89" s="17">
        <v>259</v>
      </c>
      <c r="B89" s="18" t="str">
        <f>TEXT(UNICOS!$A89,"000")</f>
        <v>259</v>
      </c>
      <c r="C89" s="19" t="s">
        <v>302</v>
      </c>
      <c r="D89" s="20" t="s">
        <v>57</v>
      </c>
      <c r="H89" s="22" t="s">
        <v>303</v>
      </c>
      <c r="I89" s="16" t="s">
        <v>304</v>
      </c>
      <c r="K89" t="s">
        <v>9260</v>
      </c>
      <c r="L89" t="s">
        <v>9261</v>
      </c>
    </row>
    <row r="90" spans="1:12" ht="15" customHeight="1" x14ac:dyDescent="0.25">
      <c r="A90" s="17">
        <v>267</v>
      </c>
      <c r="B90" s="18" t="str">
        <f>TEXT(UNICOS!$A90,"000")</f>
        <v>267</v>
      </c>
      <c r="C90" s="19" t="s">
        <v>305</v>
      </c>
      <c r="D90" s="20" t="s">
        <v>83</v>
      </c>
      <c r="H90" s="22" t="s">
        <v>306</v>
      </c>
      <c r="I90" s="16" t="s">
        <v>307</v>
      </c>
      <c r="K90" t="s">
        <v>9262</v>
      </c>
      <c r="L90" t="s">
        <v>9263</v>
      </c>
    </row>
    <row r="91" spans="1:12" ht="15" customHeight="1" x14ac:dyDescent="0.25">
      <c r="A91" s="17">
        <v>271</v>
      </c>
      <c r="B91" s="18" t="str">
        <f>TEXT(UNICOS!$A91,"000")</f>
        <v>271</v>
      </c>
      <c r="C91" s="19" t="s">
        <v>308</v>
      </c>
      <c r="D91" s="20" t="s">
        <v>57</v>
      </c>
      <c r="H91" s="22" t="s">
        <v>309</v>
      </c>
      <c r="I91" s="16" t="s">
        <v>310</v>
      </c>
      <c r="K91" t="s">
        <v>9264</v>
      </c>
      <c r="L91" t="s">
        <v>9265</v>
      </c>
    </row>
    <row r="92" spans="1:12" ht="15" customHeight="1" x14ac:dyDescent="0.25">
      <c r="A92" s="17">
        <v>275</v>
      </c>
      <c r="B92" s="18" t="str">
        <f>TEXT(UNICOS!$A92,"000")</f>
        <v>275</v>
      </c>
      <c r="C92" s="19" t="s">
        <v>311</v>
      </c>
      <c r="D92" s="20" t="s">
        <v>57</v>
      </c>
      <c r="H92" s="22" t="s">
        <v>312</v>
      </c>
      <c r="I92" s="16" t="s">
        <v>313</v>
      </c>
      <c r="K92" t="s">
        <v>9266</v>
      </c>
      <c r="L92" t="s">
        <v>9267</v>
      </c>
    </row>
    <row r="93" spans="1:12" ht="15" customHeight="1" x14ac:dyDescent="0.25">
      <c r="A93" s="17">
        <v>281</v>
      </c>
      <c r="B93" s="18" t="str">
        <f>TEXT(UNICOS!$A93,"000")</f>
        <v>281</v>
      </c>
      <c r="C93" s="19" t="s">
        <v>314</v>
      </c>
      <c r="D93" s="20" t="s">
        <v>49</v>
      </c>
      <c r="H93" s="22" t="s">
        <v>315</v>
      </c>
      <c r="I93" s="16" t="s">
        <v>316</v>
      </c>
      <c r="K93" t="s">
        <v>7810</v>
      </c>
      <c r="L93" t="s">
        <v>9268</v>
      </c>
    </row>
    <row r="94" spans="1:12" ht="15" customHeight="1" x14ac:dyDescent="0.25">
      <c r="A94" s="17">
        <v>285</v>
      </c>
      <c r="B94" s="18" t="str">
        <f>TEXT(UNICOS!$A94,"000")</f>
        <v>285</v>
      </c>
      <c r="C94" s="19" t="s">
        <v>317</v>
      </c>
      <c r="D94" s="20" t="s">
        <v>49</v>
      </c>
      <c r="H94" s="22" t="s">
        <v>318</v>
      </c>
      <c r="I94" s="16" t="s">
        <v>319</v>
      </c>
      <c r="K94" t="s">
        <v>9269</v>
      </c>
      <c r="L94" t="s">
        <v>9270</v>
      </c>
    </row>
    <row r="95" spans="1:12" ht="15" customHeight="1" x14ac:dyDescent="0.25">
      <c r="A95" s="17">
        <v>286</v>
      </c>
      <c r="B95" s="18" t="str">
        <f>TEXT(UNICOS!$A95,"000")</f>
        <v>286</v>
      </c>
      <c r="C95" s="19" t="s">
        <v>320</v>
      </c>
      <c r="D95" s="20" t="s">
        <v>83</v>
      </c>
      <c r="H95" s="22" t="s">
        <v>321</v>
      </c>
      <c r="I95" s="16" t="s">
        <v>322</v>
      </c>
      <c r="K95" t="s">
        <v>3828</v>
      </c>
      <c r="L95" t="s">
        <v>3828</v>
      </c>
    </row>
    <row r="96" spans="1:12" ht="15" customHeight="1" x14ac:dyDescent="0.25">
      <c r="A96" s="17">
        <v>287</v>
      </c>
      <c r="B96" s="18" t="str">
        <f>TEXT(UNICOS!$A96,"000")</f>
        <v>287</v>
      </c>
      <c r="C96" s="19" t="s">
        <v>323</v>
      </c>
      <c r="D96" s="20" t="s">
        <v>83</v>
      </c>
      <c r="H96" s="22" t="s">
        <v>324</v>
      </c>
      <c r="I96" s="16" t="s">
        <v>325</v>
      </c>
      <c r="K96" t="s">
        <v>9271</v>
      </c>
      <c r="L96" t="s">
        <v>9272</v>
      </c>
    </row>
    <row r="97" spans="1:12" ht="15" customHeight="1" x14ac:dyDescent="0.25">
      <c r="A97" s="17">
        <v>289</v>
      </c>
      <c r="B97" s="18" t="str">
        <f>TEXT(UNICOS!$A97,"000")</f>
        <v>289</v>
      </c>
      <c r="C97" s="19" t="s">
        <v>326</v>
      </c>
      <c r="D97" s="20" t="s">
        <v>49</v>
      </c>
      <c r="H97" s="22" t="s">
        <v>327</v>
      </c>
      <c r="I97" s="16" t="s">
        <v>328</v>
      </c>
      <c r="K97" t="s">
        <v>9273</v>
      </c>
      <c r="L97" t="s">
        <v>9274</v>
      </c>
    </row>
    <row r="98" spans="1:12" ht="15" customHeight="1" x14ac:dyDescent="0.25">
      <c r="A98" s="17">
        <v>293</v>
      </c>
      <c r="B98" s="18" t="str">
        <f>TEXT(UNICOS!$A98,"000")</f>
        <v>293</v>
      </c>
      <c r="C98" s="19" t="s">
        <v>329</v>
      </c>
      <c r="D98" s="20" t="s">
        <v>57</v>
      </c>
      <c r="H98" s="22" t="s">
        <v>330</v>
      </c>
      <c r="I98" s="16" t="s">
        <v>331</v>
      </c>
      <c r="K98" t="s">
        <v>9275</v>
      </c>
      <c r="L98" t="s">
        <v>9276</v>
      </c>
    </row>
    <row r="99" spans="1:12" ht="15" customHeight="1" x14ac:dyDescent="0.25">
      <c r="A99" s="17">
        <v>297</v>
      </c>
      <c r="B99" s="18" t="str">
        <f>TEXT(UNICOS!$A99,"000")</f>
        <v>297</v>
      </c>
      <c r="C99" s="19" t="s">
        <v>332</v>
      </c>
      <c r="D99" s="20" t="s">
        <v>53</v>
      </c>
      <c r="H99" s="22" t="s">
        <v>333</v>
      </c>
      <c r="I99" s="16" t="s">
        <v>334</v>
      </c>
      <c r="K99" t="s">
        <v>4961</v>
      </c>
      <c r="L99" t="s">
        <v>9277</v>
      </c>
    </row>
    <row r="100" spans="1:12" ht="15" customHeight="1" x14ac:dyDescent="0.25">
      <c r="A100" s="17">
        <v>301</v>
      </c>
      <c r="B100" s="18" t="str">
        <f>TEXT(UNICOS!$A100,"000")</f>
        <v>301</v>
      </c>
      <c r="C100" s="19" t="s">
        <v>335</v>
      </c>
      <c r="D100" s="20" t="s">
        <v>57</v>
      </c>
      <c r="H100" s="22" t="s">
        <v>336</v>
      </c>
      <c r="I100" s="16" t="s">
        <v>337</v>
      </c>
      <c r="K100" t="s">
        <v>9278</v>
      </c>
      <c r="L100" t="s">
        <v>9279</v>
      </c>
    </row>
    <row r="101" spans="1:12" ht="15" customHeight="1" x14ac:dyDescent="0.25">
      <c r="A101" s="17">
        <v>305</v>
      </c>
      <c r="B101" s="18" t="str">
        <f>TEXT(UNICOS!$A101,"000")</f>
        <v>305</v>
      </c>
      <c r="C101" s="19" t="s">
        <v>338</v>
      </c>
      <c r="D101" s="20" t="s">
        <v>53</v>
      </c>
      <c r="H101" s="22" t="s">
        <v>339</v>
      </c>
      <c r="I101" s="16" t="s">
        <v>340</v>
      </c>
      <c r="K101" t="s">
        <v>9280</v>
      </c>
      <c r="L101" t="s">
        <v>9281</v>
      </c>
    </row>
    <row r="102" spans="1:12" ht="15" customHeight="1" x14ac:dyDescent="0.25">
      <c r="A102" s="17">
        <v>309</v>
      </c>
      <c r="B102" s="18" t="str">
        <f>TEXT(UNICOS!$A102,"000")</f>
        <v>309</v>
      </c>
      <c r="C102" s="19" t="s">
        <v>341</v>
      </c>
      <c r="D102" s="20" t="s">
        <v>53</v>
      </c>
      <c r="H102" s="22" t="s">
        <v>342</v>
      </c>
      <c r="I102" s="16" t="s">
        <v>343</v>
      </c>
      <c r="K102" t="s">
        <v>4580</v>
      </c>
      <c r="L102" t="s">
        <v>4580</v>
      </c>
    </row>
    <row r="103" spans="1:12" ht="15" customHeight="1" x14ac:dyDescent="0.25">
      <c r="A103" s="17">
        <v>313</v>
      </c>
      <c r="B103" s="18" t="str">
        <f>TEXT(UNICOS!$A103,"000")</f>
        <v>313</v>
      </c>
      <c r="C103" s="19" t="s">
        <v>344</v>
      </c>
      <c r="D103" s="20" t="s">
        <v>135</v>
      </c>
      <c r="H103" s="22" t="s">
        <v>345</v>
      </c>
      <c r="I103" s="16" t="s">
        <v>346</v>
      </c>
      <c r="K103" t="s">
        <v>4403</v>
      </c>
      <c r="L103" t="s">
        <v>9282</v>
      </c>
    </row>
    <row r="104" spans="1:12" ht="15" customHeight="1" x14ac:dyDescent="0.25">
      <c r="A104" s="17">
        <v>317</v>
      </c>
      <c r="B104" s="18" t="str">
        <f>TEXT(UNICOS!$A104,"000")</f>
        <v>317</v>
      </c>
      <c r="C104" s="19" t="s">
        <v>347</v>
      </c>
      <c r="D104" s="20" t="s">
        <v>53</v>
      </c>
      <c r="H104" s="22" t="s">
        <v>348</v>
      </c>
      <c r="I104" s="16" t="s">
        <v>349</v>
      </c>
      <c r="K104" t="s">
        <v>1259</v>
      </c>
      <c r="L104" t="s">
        <v>9283</v>
      </c>
    </row>
    <row r="105" spans="1:12" ht="15" customHeight="1" x14ac:dyDescent="0.25">
      <c r="A105" s="17">
        <v>325</v>
      </c>
      <c r="B105" s="18" t="str">
        <f>TEXT(UNICOS!$A105,"000")</f>
        <v>325</v>
      </c>
      <c r="C105" s="19" t="s">
        <v>350</v>
      </c>
      <c r="D105" s="20" t="s">
        <v>53</v>
      </c>
      <c r="H105" s="22" t="s">
        <v>351</v>
      </c>
      <c r="I105" s="16" t="s">
        <v>352</v>
      </c>
      <c r="K105" t="s">
        <v>9284</v>
      </c>
      <c r="L105" t="s">
        <v>9285</v>
      </c>
    </row>
    <row r="106" spans="1:12" ht="15" customHeight="1" x14ac:dyDescent="0.25">
      <c r="A106" s="17">
        <v>327</v>
      </c>
      <c r="B106" s="18" t="str">
        <f>TEXT(UNICOS!$A106,"000")</f>
        <v>327</v>
      </c>
      <c r="C106" s="19" t="s">
        <v>353</v>
      </c>
      <c r="D106" s="20" t="s">
        <v>57</v>
      </c>
      <c r="H106" s="22" t="s">
        <v>354</v>
      </c>
      <c r="I106" s="16" t="s">
        <v>355</v>
      </c>
      <c r="K106" t="s">
        <v>6660</v>
      </c>
      <c r="L106" t="s">
        <v>9286</v>
      </c>
    </row>
    <row r="107" spans="1:12" ht="15" customHeight="1" x14ac:dyDescent="0.25">
      <c r="A107" s="17">
        <v>329</v>
      </c>
      <c r="B107" s="18" t="str">
        <f>TEXT(UNICOS!$A107,"000")</f>
        <v>329</v>
      </c>
      <c r="C107" s="19" t="s">
        <v>356</v>
      </c>
      <c r="D107" s="20" t="s">
        <v>49</v>
      </c>
      <c r="H107" s="22" t="s">
        <v>357</v>
      </c>
      <c r="I107" s="16" t="s">
        <v>358</v>
      </c>
      <c r="K107" t="s">
        <v>4505</v>
      </c>
      <c r="L107" t="s">
        <v>9287</v>
      </c>
    </row>
    <row r="108" spans="1:12" ht="15" customHeight="1" x14ac:dyDescent="0.25">
      <c r="A108" s="17">
        <v>331</v>
      </c>
      <c r="B108" s="18" t="str">
        <f>TEXT(UNICOS!$A108,"000")</f>
        <v>331</v>
      </c>
      <c r="C108" s="19" t="s">
        <v>359</v>
      </c>
      <c r="D108" s="20" t="s">
        <v>49</v>
      </c>
      <c r="H108" s="22" t="s">
        <v>360</v>
      </c>
      <c r="I108" s="16" t="s">
        <v>361</v>
      </c>
      <c r="K108" t="s">
        <v>6541</v>
      </c>
      <c r="L108" t="s">
        <v>6541</v>
      </c>
    </row>
    <row r="109" spans="1:12" ht="15" customHeight="1" x14ac:dyDescent="0.25">
      <c r="A109" s="17">
        <v>334</v>
      </c>
      <c r="B109" s="18" t="str">
        <f>TEXT(UNICOS!$A109,"000")</f>
        <v>334</v>
      </c>
      <c r="C109" s="19" t="s">
        <v>362</v>
      </c>
      <c r="D109" s="20" t="s">
        <v>49</v>
      </c>
      <c r="H109" s="22" t="s">
        <v>363</v>
      </c>
      <c r="I109" s="16" t="s">
        <v>364</v>
      </c>
      <c r="K109" t="s">
        <v>6057</v>
      </c>
      <c r="L109" t="s">
        <v>9288</v>
      </c>
    </row>
    <row r="110" spans="1:12" ht="15" customHeight="1" x14ac:dyDescent="0.25">
      <c r="A110" s="17">
        <v>337</v>
      </c>
      <c r="B110" s="18" t="str">
        <f>TEXT(UNICOS!$A110,"000")</f>
        <v>337</v>
      </c>
      <c r="C110" s="19" t="s">
        <v>365</v>
      </c>
      <c r="D110" s="20" t="s">
        <v>53</v>
      </c>
      <c r="H110" s="22" t="s">
        <v>366</v>
      </c>
      <c r="I110" s="16" t="s">
        <v>367</v>
      </c>
      <c r="K110" t="s">
        <v>9289</v>
      </c>
      <c r="L110" t="s">
        <v>9290</v>
      </c>
    </row>
    <row r="111" spans="1:12" ht="15" customHeight="1" x14ac:dyDescent="0.25">
      <c r="A111" s="17">
        <v>341</v>
      </c>
      <c r="B111" s="18" t="str">
        <f>TEXT(UNICOS!$A111,"000")</f>
        <v>341</v>
      </c>
      <c r="C111" s="19" t="s">
        <v>368</v>
      </c>
      <c r="D111" s="20" t="s">
        <v>53</v>
      </c>
      <c r="H111" s="22" t="s">
        <v>369</v>
      </c>
      <c r="I111" s="16" t="s">
        <v>370</v>
      </c>
      <c r="K111" t="s">
        <v>9291</v>
      </c>
      <c r="L111" t="s">
        <v>9292</v>
      </c>
    </row>
    <row r="112" spans="1:12" ht="15" customHeight="1" x14ac:dyDescent="0.25">
      <c r="A112" s="17">
        <v>345</v>
      </c>
      <c r="B112" s="18" t="str">
        <f>TEXT(UNICOS!$A112,"000")</f>
        <v>345</v>
      </c>
      <c r="C112" s="19" t="s">
        <v>371</v>
      </c>
      <c r="D112" s="20" t="s">
        <v>53</v>
      </c>
      <c r="H112" s="22" t="s">
        <v>372</v>
      </c>
      <c r="I112" s="16" t="s">
        <v>373</v>
      </c>
      <c r="K112" t="s">
        <v>3810</v>
      </c>
      <c r="L112" t="s">
        <v>3810</v>
      </c>
    </row>
    <row r="113" spans="1:12" ht="15" customHeight="1" x14ac:dyDescent="0.25">
      <c r="A113" s="17">
        <v>348</v>
      </c>
      <c r="B113" s="18" t="str">
        <f>TEXT(UNICOS!$A113,"000")</f>
        <v>348</v>
      </c>
      <c r="C113" s="19" t="s">
        <v>374</v>
      </c>
      <c r="D113" s="20" t="s">
        <v>53</v>
      </c>
      <c r="H113" s="22" t="s">
        <v>375</v>
      </c>
      <c r="I113" s="16" t="s">
        <v>376</v>
      </c>
      <c r="K113" t="s">
        <v>1914</v>
      </c>
      <c r="L113" t="s">
        <v>1914</v>
      </c>
    </row>
    <row r="114" spans="1:12" ht="15" customHeight="1" x14ac:dyDescent="0.25">
      <c r="A114" s="17">
        <v>351</v>
      </c>
      <c r="B114" s="18" t="str">
        <f>TEXT(UNICOS!$A114,"000")</f>
        <v>351</v>
      </c>
      <c r="C114" s="19" t="s">
        <v>377</v>
      </c>
      <c r="D114" s="20" t="s">
        <v>83</v>
      </c>
      <c r="H114" s="22" t="s">
        <v>378</v>
      </c>
      <c r="I114" s="16" t="s">
        <v>379</v>
      </c>
      <c r="K114" t="s">
        <v>1315</v>
      </c>
      <c r="L114" t="s">
        <v>1315</v>
      </c>
    </row>
    <row r="115" spans="1:12" ht="15" customHeight="1" x14ac:dyDescent="0.25">
      <c r="A115" s="17">
        <v>355</v>
      </c>
      <c r="B115" s="18" t="str">
        <f>TEXT(UNICOS!$A115,"000")</f>
        <v>355</v>
      </c>
      <c r="C115" s="19" t="s">
        <v>380</v>
      </c>
      <c r="D115" s="20" t="s">
        <v>57</v>
      </c>
      <c r="H115" s="22" t="s">
        <v>381</v>
      </c>
      <c r="I115" s="16" t="s">
        <v>382</v>
      </c>
      <c r="K115" t="s">
        <v>6901</v>
      </c>
      <c r="L115" t="s">
        <v>6901</v>
      </c>
    </row>
    <row r="116" spans="1:12" ht="15" customHeight="1" x14ac:dyDescent="0.25">
      <c r="A116" s="17">
        <v>361</v>
      </c>
      <c r="B116" s="18" t="str">
        <f>TEXT(UNICOS!$A116,"000")</f>
        <v>361</v>
      </c>
      <c r="C116" s="19" t="s">
        <v>383</v>
      </c>
      <c r="D116" s="20" t="s">
        <v>83</v>
      </c>
      <c r="H116" s="22" t="s">
        <v>384</v>
      </c>
      <c r="I116" s="16" t="s">
        <v>385</v>
      </c>
      <c r="K116" t="s">
        <v>2168</v>
      </c>
      <c r="L116" t="s">
        <v>2168</v>
      </c>
    </row>
    <row r="117" spans="1:12" ht="15" customHeight="1" x14ac:dyDescent="0.25">
      <c r="A117" s="17">
        <v>365</v>
      </c>
      <c r="B117" s="18" t="str">
        <f>TEXT(UNICOS!$A117,"000")</f>
        <v>365</v>
      </c>
      <c r="C117" s="19" t="s">
        <v>386</v>
      </c>
      <c r="D117" s="20" t="s">
        <v>83</v>
      </c>
      <c r="H117" s="22" t="s">
        <v>387</v>
      </c>
      <c r="I117" s="16" t="s">
        <v>388</v>
      </c>
      <c r="K117" t="s">
        <v>9293</v>
      </c>
      <c r="L117" t="s">
        <v>9294</v>
      </c>
    </row>
    <row r="118" spans="1:12" ht="15" customHeight="1" x14ac:dyDescent="0.25">
      <c r="A118" s="17">
        <v>369</v>
      </c>
      <c r="B118" s="18" t="str">
        <f>TEXT(UNICOS!$A118,"000")</f>
        <v>369</v>
      </c>
      <c r="C118" s="19" t="s">
        <v>389</v>
      </c>
      <c r="D118" s="20" t="s">
        <v>83</v>
      </c>
      <c r="H118" s="22" t="s">
        <v>390</v>
      </c>
      <c r="I118" s="16" t="s">
        <v>391</v>
      </c>
      <c r="K118" t="s">
        <v>9295</v>
      </c>
      <c r="L118" t="s">
        <v>9296</v>
      </c>
    </row>
    <row r="119" spans="1:12" ht="15" customHeight="1" x14ac:dyDescent="0.25">
      <c r="A119" s="17">
        <v>372</v>
      </c>
      <c r="B119" s="18" t="str">
        <f>TEXT(UNICOS!$A119,"000")</f>
        <v>372</v>
      </c>
      <c r="C119" s="19" t="s">
        <v>392</v>
      </c>
      <c r="D119" s="20" t="s">
        <v>83</v>
      </c>
      <c r="H119" s="22" t="s">
        <v>390</v>
      </c>
      <c r="I119" s="16" t="s">
        <v>391</v>
      </c>
      <c r="K119" t="s">
        <v>9297</v>
      </c>
      <c r="L119" t="s">
        <v>9298</v>
      </c>
    </row>
    <row r="120" spans="1:12" ht="15" customHeight="1" x14ac:dyDescent="0.25">
      <c r="A120" s="17">
        <v>375</v>
      </c>
      <c r="B120" s="18" t="str">
        <f>TEXT(UNICOS!$A120,"000")</f>
        <v>375</v>
      </c>
      <c r="C120" s="19" t="s">
        <v>393</v>
      </c>
      <c r="D120" s="20" t="s">
        <v>57</v>
      </c>
      <c r="H120" s="22" t="s">
        <v>394</v>
      </c>
      <c r="I120" s="16" t="s">
        <v>395</v>
      </c>
      <c r="K120" t="s">
        <v>2421</v>
      </c>
      <c r="L120" t="s">
        <v>9299</v>
      </c>
    </row>
    <row r="121" spans="1:12" ht="15" customHeight="1" x14ac:dyDescent="0.25">
      <c r="A121" s="17">
        <v>377</v>
      </c>
      <c r="B121" s="18" t="str">
        <f>TEXT(UNICOS!$A121,"000")</f>
        <v>377</v>
      </c>
      <c r="C121" s="19" t="s">
        <v>396</v>
      </c>
      <c r="D121" s="20" t="s">
        <v>57</v>
      </c>
      <c r="H121" s="22" t="s">
        <v>397</v>
      </c>
      <c r="I121" s="16" t="s">
        <v>398</v>
      </c>
      <c r="K121" t="s">
        <v>9300</v>
      </c>
      <c r="L121" t="s">
        <v>9301</v>
      </c>
    </row>
    <row r="122" spans="1:12" ht="15" customHeight="1" x14ac:dyDescent="0.25">
      <c r="A122" s="17">
        <v>378</v>
      </c>
      <c r="B122" s="18" t="str">
        <f>TEXT(UNICOS!$A122,"000")</f>
        <v>378</v>
      </c>
      <c r="C122" s="19" t="s">
        <v>399</v>
      </c>
      <c r="D122" s="20" t="s">
        <v>57</v>
      </c>
      <c r="H122" s="22" t="s">
        <v>400</v>
      </c>
      <c r="I122" s="16" t="s">
        <v>401</v>
      </c>
      <c r="K122" t="s">
        <v>9302</v>
      </c>
      <c r="L122" t="s">
        <v>9303</v>
      </c>
    </row>
    <row r="123" spans="1:12" ht="15" customHeight="1" x14ac:dyDescent="0.25">
      <c r="A123" s="17">
        <v>379</v>
      </c>
      <c r="B123" s="18" t="str">
        <f>TEXT(UNICOS!$A123,"000")</f>
        <v>379</v>
      </c>
      <c r="C123" s="19" t="s">
        <v>402</v>
      </c>
      <c r="D123" s="20" t="s">
        <v>57</v>
      </c>
      <c r="H123" s="22" t="s">
        <v>403</v>
      </c>
      <c r="I123" s="16" t="s">
        <v>404</v>
      </c>
      <c r="K123" t="s">
        <v>9304</v>
      </c>
      <c r="L123" t="s">
        <v>9305</v>
      </c>
    </row>
    <row r="124" spans="1:12" ht="15" customHeight="1" x14ac:dyDescent="0.25">
      <c r="A124" s="17">
        <v>380</v>
      </c>
      <c r="B124" s="18" t="str">
        <f>TEXT(UNICOS!$A124,"000")</f>
        <v>380</v>
      </c>
      <c r="C124" s="19" t="s">
        <v>405</v>
      </c>
      <c r="D124" s="20" t="s">
        <v>49</v>
      </c>
      <c r="H124" s="22" t="s">
        <v>406</v>
      </c>
      <c r="I124" s="16" t="s">
        <v>407</v>
      </c>
      <c r="K124" t="s">
        <v>9306</v>
      </c>
      <c r="L124" t="s">
        <v>9307</v>
      </c>
    </row>
    <row r="125" spans="1:12" ht="15" customHeight="1" x14ac:dyDescent="0.25">
      <c r="A125" s="17">
        <v>381</v>
      </c>
      <c r="B125" s="18" t="str">
        <f>TEXT(UNICOS!$A125,"000")</f>
        <v>381</v>
      </c>
      <c r="C125" s="19" t="s">
        <v>408</v>
      </c>
      <c r="D125" s="20" t="s">
        <v>135</v>
      </c>
      <c r="H125" s="22" t="s">
        <v>409</v>
      </c>
      <c r="I125" s="16" t="s">
        <v>410</v>
      </c>
      <c r="K125" t="s">
        <v>9308</v>
      </c>
      <c r="L125" t="s">
        <v>9309</v>
      </c>
    </row>
    <row r="126" spans="1:12" ht="15" customHeight="1" x14ac:dyDescent="0.25">
      <c r="A126" s="17">
        <v>382</v>
      </c>
      <c r="B126" s="18" t="str">
        <f>TEXT(UNICOS!$A126,"000")</f>
        <v>382</v>
      </c>
      <c r="C126" s="19" t="s">
        <v>411</v>
      </c>
      <c r="D126" s="20" t="s">
        <v>83</v>
      </c>
      <c r="H126" s="22" t="s">
        <v>412</v>
      </c>
      <c r="I126" s="16" t="s">
        <v>413</v>
      </c>
      <c r="K126" t="s">
        <v>9310</v>
      </c>
      <c r="L126" t="s">
        <v>9311</v>
      </c>
    </row>
    <row r="127" spans="1:12" ht="15" customHeight="1" x14ac:dyDescent="0.25">
      <c r="A127" s="17">
        <v>383</v>
      </c>
      <c r="B127" s="18" t="str">
        <f>TEXT(UNICOS!$A127,"000")</f>
        <v>383</v>
      </c>
      <c r="C127" s="19" t="s">
        <v>414</v>
      </c>
      <c r="D127" s="20" t="s">
        <v>83</v>
      </c>
      <c r="H127" s="22" t="s">
        <v>415</v>
      </c>
      <c r="I127" s="16" t="s">
        <v>416</v>
      </c>
      <c r="K127" t="s">
        <v>9312</v>
      </c>
      <c r="L127" t="s">
        <v>9313</v>
      </c>
    </row>
    <row r="128" spans="1:12" ht="15" customHeight="1" x14ac:dyDescent="0.25">
      <c r="A128" s="17">
        <v>386</v>
      </c>
      <c r="B128" s="18" t="str">
        <f>TEXT(UNICOS!$A128,"000")</f>
        <v>386</v>
      </c>
      <c r="C128" s="19" t="s">
        <v>417</v>
      </c>
      <c r="D128" s="20" t="s">
        <v>57</v>
      </c>
      <c r="H128" s="22" t="s">
        <v>418</v>
      </c>
      <c r="I128" s="16" t="s">
        <v>419</v>
      </c>
      <c r="K128" t="s">
        <v>9314</v>
      </c>
      <c r="L128" t="s">
        <v>9315</v>
      </c>
    </row>
    <row r="129" spans="1:12" ht="15" customHeight="1" x14ac:dyDescent="0.25">
      <c r="A129" s="17">
        <v>391</v>
      </c>
      <c r="B129" s="18" t="str">
        <f>TEXT(UNICOS!$A129,"000")</f>
        <v>391</v>
      </c>
      <c r="C129" s="19" t="s">
        <v>420</v>
      </c>
      <c r="D129" s="20" t="s">
        <v>53</v>
      </c>
      <c r="H129" s="22" t="s">
        <v>421</v>
      </c>
      <c r="I129" s="16" t="s">
        <v>422</v>
      </c>
      <c r="K129" t="s">
        <v>9316</v>
      </c>
      <c r="L129" t="s">
        <v>9317</v>
      </c>
    </row>
    <row r="130" spans="1:12" ht="15" customHeight="1" x14ac:dyDescent="0.25">
      <c r="A130" s="17">
        <v>395</v>
      </c>
      <c r="B130" s="18" t="str">
        <f>TEXT(UNICOS!$A130,"000")</f>
        <v>395</v>
      </c>
      <c r="C130" s="19" t="s">
        <v>423</v>
      </c>
      <c r="D130" s="20" t="s">
        <v>135</v>
      </c>
      <c r="H130" s="22" t="s">
        <v>424</v>
      </c>
      <c r="I130" s="16" t="s">
        <v>425</v>
      </c>
      <c r="K130" t="s">
        <v>9318</v>
      </c>
      <c r="L130" t="s">
        <v>9319</v>
      </c>
    </row>
    <row r="131" spans="1:12" ht="15" customHeight="1" x14ac:dyDescent="0.25">
      <c r="A131" s="17">
        <v>399</v>
      </c>
      <c r="B131" s="18" t="str">
        <f>TEXT(UNICOS!$A131,"000")</f>
        <v>399</v>
      </c>
      <c r="C131" s="19" t="s">
        <v>426</v>
      </c>
      <c r="D131" s="20" t="s">
        <v>83</v>
      </c>
      <c r="H131" s="22" t="s">
        <v>427</v>
      </c>
      <c r="I131" s="16" t="s">
        <v>428</v>
      </c>
      <c r="K131" t="s">
        <v>9320</v>
      </c>
      <c r="L131" t="s">
        <v>9321</v>
      </c>
    </row>
    <row r="132" spans="1:12" ht="15" customHeight="1" x14ac:dyDescent="0.25">
      <c r="A132" s="17">
        <v>401</v>
      </c>
      <c r="B132" s="18" t="str">
        <f>TEXT(UNICOS!$A132,"000")</f>
        <v>401</v>
      </c>
      <c r="C132" s="19" t="s">
        <v>429</v>
      </c>
      <c r="D132" s="20" t="s">
        <v>57</v>
      </c>
      <c r="H132" s="22" t="s">
        <v>430</v>
      </c>
      <c r="I132" s="16" t="s">
        <v>431</v>
      </c>
      <c r="K132" t="s">
        <v>9322</v>
      </c>
      <c r="L132" t="s">
        <v>9323</v>
      </c>
    </row>
    <row r="133" spans="1:12" ht="15" customHeight="1" x14ac:dyDescent="0.25">
      <c r="A133" s="17">
        <v>403</v>
      </c>
      <c r="B133" s="18" t="str">
        <f>TEXT(UNICOS!$A133,"000")</f>
        <v>403</v>
      </c>
      <c r="C133" s="19" t="s">
        <v>432</v>
      </c>
      <c r="D133" s="20" t="s">
        <v>83</v>
      </c>
      <c r="H133" s="22" t="s">
        <v>433</v>
      </c>
      <c r="I133" s="16" t="s">
        <v>434</v>
      </c>
      <c r="K133" t="s">
        <v>9324</v>
      </c>
      <c r="L133" t="s">
        <v>9325</v>
      </c>
    </row>
    <row r="134" spans="1:12" ht="15" customHeight="1" x14ac:dyDescent="0.25">
      <c r="A134" s="17">
        <v>406</v>
      </c>
      <c r="B134" s="18" t="str">
        <f>TEXT(UNICOS!$A134,"000")</f>
        <v>406</v>
      </c>
      <c r="C134" s="19" t="s">
        <v>435</v>
      </c>
      <c r="D134" s="20" t="s">
        <v>83</v>
      </c>
      <c r="H134" s="22" t="s">
        <v>436</v>
      </c>
      <c r="I134" s="16" t="s">
        <v>437</v>
      </c>
      <c r="K134" t="s">
        <v>9326</v>
      </c>
      <c r="L134" t="s">
        <v>9327</v>
      </c>
    </row>
    <row r="135" spans="1:12" ht="15" customHeight="1" x14ac:dyDescent="0.25">
      <c r="A135" s="17">
        <v>410</v>
      </c>
      <c r="B135" s="18" t="str">
        <f>TEXT(UNICOS!$A135,"000")</f>
        <v>410</v>
      </c>
      <c r="C135" s="19" t="s">
        <v>438</v>
      </c>
      <c r="D135" s="20" t="s">
        <v>49</v>
      </c>
      <c r="H135" s="22" t="s">
        <v>439</v>
      </c>
      <c r="I135" s="16" t="s">
        <v>440</v>
      </c>
      <c r="K135" t="s">
        <v>1452</v>
      </c>
      <c r="L135" t="s">
        <v>9328</v>
      </c>
    </row>
    <row r="136" spans="1:12" ht="15" customHeight="1" x14ac:dyDescent="0.25">
      <c r="A136" s="17">
        <v>411</v>
      </c>
      <c r="B136" s="18" t="str">
        <f>TEXT(UNICOS!$A136,"000")</f>
        <v>411</v>
      </c>
      <c r="C136" s="19" t="s">
        <v>441</v>
      </c>
      <c r="D136" s="20" t="s">
        <v>135</v>
      </c>
      <c r="H136" s="22" t="s">
        <v>442</v>
      </c>
      <c r="I136" s="16" t="s">
        <v>443</v>
      </c>
      <c r="K136" t="s">
        <v>9329</v>
      </c>
      <c r="L136" t="s">
        <v>9329</v>
      </c>
    </row>
    <row r="137" spans="1:12" ht="15" customHeight="1" x14ac:dyDescent="0.25">
      <c r="A137" s="17">
        <v>412</v>
      </c>
      <c r="B137" s="18" t="str">
        <f>TEXT(UNICOS!$A137,"000")</f>
        <v>412</v>
      </c>
      <c r="C137" s="19" t="s">
        <v>444</v>
      </c>
      <c r="D137" s="20" t="s">
        <v>83</v>
      </c>
      <c r="H137" s="22" t="s">
        <v>445</v>
      </c>
      <c r="I137" s="16" t="s">
        <v>446</v>
      </c>
      <c r="K137" t="s">
        <v>9330</v>
      </c>
      <c r="L137" t="s">
        <v>9331</v>
      </c>
    </row>
    <row r="138" spans="1:12" ht="15" customHeight="1" x14ac:dyDescent="0.25">
      <c r="A138" s="17">
        <v>413</v>
      </c>
      <c r="B138" s="18" t="str">
        <f>TEXT(UNICOS!$A138,"000")</f>
        <v>413</v>
      </c>
      <c r="C138" s="19" t="s">
        <v>447</v>
      </c>
      <c r="D138" s="20" t="s">
        <v>83</v>
      </c>
      <c r="H138" s="22" t="s">
        <v>448</v>
      </c>
      <c r="I138" s="16" t="s">
        <v>449</v>
      </c>
      <c r="K138" t="s">
        <v>9332</v>
      </c>
      <c r="L138" t="s">
        <v>9333</v>
      </c>
    </row>
    <row r="139" spans="1:12" ht="15" customHeight="1" x14ac:dyDescent="0.25">
      <c r="A139" s="17">
        <v>418</v>
      </c>
      <c r="B139" s="18" t="str">
        <f>TEXT(UNICOS!$A139,"000")</f>
        <v>418</v>
      </c>
      <c r="C139" s="19" t="s">
        <v>450</v>
      </c>
      <c r="D139" s="20" t="s">
        <v>79</v>
      </c>
      <c r="H139" s="22" t="s">
        <v>451</v>
      </c>
      <c r="I139" s="16" t="s">
        <v>452</v>
      </c>
      <c r="K139" t="s">
        <v>9334</v>
      </c>
      <c r="L139" t="s">
        <v>9335</v>
      </c>
    </row>
    <row r="140" spans="1:12" ht="15" customHeight="1" x14ac:dyDescent="0.25">
      <c r="A140" s="17">
        <v>420</v>
      </c>
      <c r="B140" s="18" t="str">
        <f>TEXT(UNICOS!$A140,"000")</f>
        <v>420</v>
      </c>
      <c r="C140" s="19" t="s">
        <v>453</v>
      </c>
      <c r="D140" s="20" t="s">
        <v>83</v>
      </c>
      <c r="H140" s="22" t="s">
        <v>454</v>
      </c>
      <c r="I140" s="16" t="s">
        <v>455</v>
      </c>
      <c r="K140" t="s">
        <v>9336</v>
      </c>
      <c r="L140" t="s">
        <v>9337</v>
      </c>
    </row>
    <row r="141" spans="1:12" ht="15" customHeight="1" x14ac:dyDescent="0.25">
      <c r="A141" s="17">
        <v>426</v>
      </c>
      <c r="B141" s="18" t="str">
        <f>TEXT(UNICOS!$A141,"000")</f>
        <v>426</v>
      </c>
      <c r="C141" s="19" t="s">
        <v>456</v>
      </c>
      <c r="D141" s="20" t="s">
        <v>49</v>
      </c>
      <c r="H141" s="22" t="s">
        <v>457</v>
      </c>
      <c r="I141" s="16" t="s">
        <v>458</v>
      </c>
      <c r="K141" t="s">
        <v>7097</v>
      </c>
      <c r="L141" t="s">
        <v>7097</v>
      </c>
    </row>
    <row r="142" spans="1:12" ht="15" customHeight="1" x14ac:dyDescent="0.25">
      <c r="A142" s="17">
        <v>429</v>
      </c>
      <c r="B142" s="18" t="str">
        <f>TEXT(UNICOS!$A142,"000")</f>
        <v>429</v>
      </c>
      <c r="C142" s="19" t="s">
        <v>459</v>
      </c>
      <c r="D142" s="20" t="s">
        <v>57</v>
      </c>
      <c r="H142" s="22" t="s">
        <v>460</v>
      </c>
      <c r="I142" s="16" t="s">
        <v>461</v>
      </c>
      <c r="K142" t="s">
        <v>9338</v>
      </c>
      <c r="L142" t="s">
        <v>9339</v>
      </c>
    </row>
    <row r="143" spans="1:12" ht="15" customHeight="1" x14ac:dyDescent="0.25">
      <c r="A143" s="17">
        <v>431</v>
      </c>
      <c r="B143" s="18" t="str">
        <f>TEXT(UNICOS!$A143,"000")</f>
        <v>431</v>
      </c>
      <c r="C143" s="19" t="s">
        <v>462</v>
      </c>
      <c r="D143" s="20" t="s">
        <v>83</v>
      </c>
      <c r="H143" s="22" t="s">
        <v>460</v>
      </c>
      <c r="I143" s="16" t="s">
        <v>461</v>
      </c>
      <c r="K143" t="s">
        <v>9340</v>
      </c>
      <c r="L143" t="s">
        <v>9341</v>
      </c>
    </row>
    <row r="144" spans="1:12" ht="15" customHeight="1" x14ac:dyDescent="0.25">
      <c r="A144" s="17">
        <v>434</v>
      </c>
      <c r="B144" s="18" t="str">
        <f>TEXT(UNICOS!$A144,"000")</f>
        <v>434</v>
      </c>
      <c r="C144" s="19" t="s">
        <v>463</v>
      </c>
      <c r="D144" s="20" t="s">
        <v>49</v>
      </c>
      <c r="H144" s="22" t="s">
        <v>464</v>
      </c>
      <c r="I144" s="16" t="s">
        <v>465</v>
      </c>
      <c r="K144" t="s">
        <v>7270</v>
      </c>
      <c r="L144" t="s">
        <v>9342</v>
      </c>
    </row>
    <row r="145" spans="1:12" ht="15" customHeight="1" x14ac:dyDescent="0.25">
      <c r="A145" s="17">
        <v>438</v>
      </c>
      <c r="B145" s="18" t="str">
        <f>TEXT(UNICOS!$A145,"000")</f>
        <v>438</v>
      </c>
      <c r="C145" s="19" t="s">
        <v>466</v>
      </c>
      <c r="D145" s="20" t="s">
        <v>49</v>
      </c>
      <c r="H145" s="22" t="s">
        <v>467</v>
      </c>
      <c r="I145" s="16" t="s">
        <v>468</v>
      </c>
      <c r="K145" t="s">
        <v>9343</v>
      </c>
      <c r="L145" t="s">
        <v>9344</v>
      </c>
    </row>
    <row r="146" spans="1:12" ht="15" customHeight="1" x14ac:dyDescent="0.25">
      <c r="A146" s="17">
        <v>440</v>
      </c>
      <c r="B146" s="18" t="str">
        <f>TEXT(UNICOS!$A146,"000")</f>
        <v>440</v>
      </c>
      <c r="C146" s="19" t="s">
        <v>469</v>
      </c>
      <c r="D146" s="20" t="s">
        <v>57</v>
      </c>
      <c r="H146" s="22" t="s">
        <v>470</v>
      </c>
      <c r="I146" s="16" t="s">
        <v>471</v>
      </c>
      <c r="K146" t="s">
        <v>1737</v>
      </c>
      <c r="L146" t="s">
        <v>9345</v>
      </c>
    </row>
    <row r="147" spans="1:12" ht="15" customHeight="1" x14ac:dyDescent="0.25">
      <c r="A147" s="17">
        <v>443</v>
      </c>
      <c r="B147" s="18" t="str">
        <f>TEXT(UNICOS!$A147,"000")</f>
        <v>443</v>
      </c>
      <c r="C147" s="19" t="s">
        <v>472</v>
      </c>
      <c r="D147" s="20" t="s">
        <v>57</v>
      </c>
      <c r="H147" s="22" t="s">
        <v>22</v>
      </c>
      <c r="I147" s="16" t="s">
        <v>473</v>
      </c>
      <c r="K147" t="s">
        <v>9346</v>
      </c>
      <c r="L147" t="s">
        <v>9347</v>
      </c>
    </row>
    <row r="148" spans="1:12" ht="15" customHeight="1" x14ac:dyDescent="0.25">
      <c r="A148" s="17">
        <v>445</v>
      </c>
      <c r="B148" s="18" t="str">
        <f>TEXT(UNICOS!$A148,"000")</f>
        <v>445</v>
      </c>
      <c r="C148" s="19" t="s">
        <v>474</v>
      </c>
      <c r="D148" s="20" t="s">
        <v>57</v>
      </c>
      <c r="H148" s="22" t="s">
        <v>475</v>
      </c>
      <c r="I148" s="16" t="s">
        <v>476</v>
      </c>
      <c r="K148" t="s">
        <v>9348</v>
      </c>
      <c r="L148" t="s">
        <v>9349</v>
      </c>
    </row>
    <row r="149" spans="1:12" ht="15" customHeight="1" x14ac:dyDescent="0.25">
      <c r="A149" s="17">
        <v>447</v>
      </c>
      <c r="B149" s="18" t="str">
        <f>TEXT(UNICOS!$A149,"000")</f>
        <v>447</v>
      </c>
      <c r="C149" s="19" t="s">
        <v>477</v>
      </c>
      <c r="D149" s="20" t="s">
        <v>83</v>
      </c>
      <c r="H149" s="22" t="s">
        <v>478</v>
      </c>
      <c r="I149" s="16" t="s">
        <v>479</v>
      </c>
      <c r="K149" t="s">
        <v>9350</v>
      </c>
      <c r="L149" t="s">
        <v>9351</v>
      </c>
    </row>
    <row r="150" spans="1:12" ht="15" customHeight="1" x14ac:dyDescent="0.25">
      <c r="A150" s="17">
        <v>448</v>
      </c>
      <c r="B150" s="18" t="str">
        <f>TEXT(UNICOS!$A150,"000")</f>
        <v>448</v>
      </c>
      <c r="C150" s="19" t="s">
        <v>480</v>
      </c>
      <c r="D150" s="20" t="s">
        <v>57</v>
      </c>
      <c r="H150" s="22" t="s">
        <v>481</v>
      </c>
      <c r="I150" s="16" t="s">
        <v>482</v>
      </c>
      <c r="K150" t="s">
        <v>9352</v>
      </c>
      <c r="L150" t="s">
        <v>9353</v>
      </c>
    </row>
    <row r="151" spans="1:12" ht="15" customHeight="1" x14ac:dyDescent="0.25">
      <c r="A151" s="17">
        <v>450</v>
      </c>
      <c r="B151" s="18" t="str">
        <f>TEXT(UNICOS!$A151,"000")</f>
        <v>450</v>
      </c>
      <c r="C151" s="19" t="s">
        <v>483</v>
      </c>
      <c r="D151" s="20" t="s">
        <v>49</v>
      </c>
      <c r="H151" s="22" t="s">
        <v>484</v>
      </c>
      <c r="I151" s="16" t="s">
        <v>485</v>
      </c>
      <c r="K151" t="s">
        <v>5666</v>
      </c>
      <c r="L151" t="s">
        <v>9354</v>
      </c>
    </row>
    <row r="152" spans="1:12" ht="15" customHeight="1" x14ac:dyDescent="0.25">
      <c r="A152" s="17">
        <v>453</v>
      </c>
      <c r="B152" s="18" t="str">
        <f>TEXT(UNICOS!$A152,"000")</f>
        <v>453</v>
      </c>
      <c r="C152" s="19" t="s">
        <v>486</v>
      </c>
      <c r="D152" s="20" t="s">
        <v>49</v>
      </c>
      <c r="H152" s="22" t="s">
        <v>487</v>
      </c>
      <c r="I152" s="16" t="s">
        <v>488</v>
      </c>
      <c r="K152" t="s">
        <v>9355</v>
      </c>
      <c r="L152" t="s">
        <v>9356</v>
      </c>
    </row>
    <row r="153" spans="1:12" ht="15" customHeight="1" x14ac:dyDescent="0.25">
      <c r="A153" s="17">
        <v>455</v>
      </c>
      <c r="B153" s="18" t="str">
        <f>TEXT(UNICOS!$A153,"000")</f>
        <v>455</v>
      </c>
      <c r="C153" s="19" t="s">
        <v>489</v>
      </c>
      <c r="D153" s="20" t="s">
        <v>83</v>
      </c>
      <c r="H153" s="22" t="s">
        <v>490</v>
      </c>
      <c r="I153" s="16" t="s">
        <v>491</v>
      </c>
      <c r="K153" t="s">
        <v>9357</v>
      </c>
      <c r="L153" t="s">
        <v>9358</v>
      </c>
    </row>
    <row r="154" spans="1:12" ht="15" customHeight="1" x14ac:dyDescent="0.25">
      <c r="A154" s="17">
        <v>458</v>
      </c>
      <c r="B154" s="18" t="str">
        <f>TEXT(UNICOS!$A154,"000")</f>
        <v>458</v>
      </c>
      <c r="C154" s="19" t="s">
        <v>492</v>
      </c>
      <c r="D154" s="20" t="s">
        <v>49</v>
      </c>
      <c r="H154" s="22" t="s">
        <v>493</v>
      </c>
      <c r="I154" s="16" t="s">
        <v>494</v>
      </c>
      <c r="K154" t="s">
        <v>9359</v>
      </c>
      <c r="L154" t="s">
        <v>9360</v>
      </c>
    </row>
    <row r="155" spans="1:12" ht="15" customHeight="1" x14ac:dyDescent="0.25">
      <c r="A155" s="17">
        <v>461</v>
      </c>
      <c r="B155" s="18" t="str">
        <f>TEXT(UNICOS!$A155,"000")</f>
        <v>461</v>
      </c>
      <c r="C155" s="19" t="s">
        <v>495</v>
      </c>
      <c r="D155" s="20" t="s">
        <v>83</v>
      </c>
      <c r="H155" s="22" t="s">
        <v>496</v>
      </c>
      <c r="I155" s="16" t="s">
        <v>497</v>
      </c>
      <c r="K155" t="s">
        <v>9361</v>
      </c>
      <c r="L155" t="s">
        <v>9362</v>
      </c>
    </row>
    <row r="156" spans="1:12" ht="15" customHeight="1" x14ac:dyDescent="0.25">
      <c r="A156" s="17">
        <v>464</v>
      </c>
      <c r="B156" s="18" t="str">
        <f>TEXT(UNICOS!$A156,"000")</f>
        <v>464</v>
      </c>
      <c r="C156" s="19" t="s">
        <v>498</v>
      </c>
      <c r="D156" s="20" t="s">
        <v>49</v>
      </c>
      <c r="H156" s="22" t="s">
        <v>499</v>
      </c>
      <c r="I156" s="16" t="s">
        <v>500</v>
      </c>
      <c r="K156" t="s">
        <v>9363</v>
      </c>
      <c r="L156" t="s">
        <v>9364</v>
      </c>
    </row>
    <row r="157" spans="1:12" ht="15" customHeight="1" x14ac:dyDescent="0.25">
      <c r="A157" s="17">
        <v>467</v>
      </c>
      <c r="B157" s="18" t="str">
        <f>TEXT(UNICOS!$A157,"000")</f>
        <v>467</v>
      </c>
      <c r="C157" s="19" t="s">
        <v>501</v>
      </c>
      <c r="D157" s="20" t="s">
        <v>57</v>
      </c>
      <c r="H157" s="22" t="s">
        <v>502</v>
      </c>
      <c r="I157" s="16" t="s">
        <v>503</v>
      </c>
      <c r="K157" t="s">
        <v>9365</v>
      </c>
      <c r="L157" t="s">
        <v>9366</v>
      </c>
    </row>
    <row r="158" spans="1:12" ht="15" customHeight="1" x14ac:dyDescent="0.25">
      <c r="A158" s="17">
        <v>469</v>
      </c>
      <c r="B158" s="18" t="str">
        <f>TEXT(UNICOS!$A158,"000")</f>
        <v>469</v>
      </c>
      <c r="C158" s="19" t="s">
        <v>504</v>
      </c>
      <c r="D158" s="20" t="s">
        <v>135</v>
      </c>
      <c r="H158" s="22" t="s">
        <v>505</v>
      </c>
      <c r="I158" s="16" t="s">
        <v>506</v>
      </c>
      <c r="K158" t="s">
        <v>3845</v>
      </c>
      <c r="L158" t="s">
        <v>9367</v>
      </c>
    </row>
    <row r="159" spans="1:12" ht="15" customHeight="1" x14ac:dyDescent="0.25">
      <c r="A159" s="17">
        <v>472</v>
      </c>
      <c r="B159" s="18" t="str">
        <f>TEXT(UNICOS!$A159,"000")</f>
        <v>472</v>
      </c>
      <c r="C159" s="19" t="s">
        <v>507</v>
      </c>
      <c r="D159" s="20" t="s">
        <v>135</v>
      </c>
      <c r="H159" s="22" t="s">
        <v>508</v>
      </c>
      <c r="I159" s="16" t="s">
        <v>509</v>
      </c>
      <c r="K159" t="s">
        <v>4339</v>
      </c>
      <c r="L159" t="s">
        <v>9368</v>
      </c>
    </row>
    <row r="160" spans="1:12" ht="15" customHeight="1" x14ac:dyDescent="0.25">
      <c r="A160" s="17">
        <v>474</v>
      </c>
      <c r="B160" s="18" t="str">
        <f>TEXT(UNICOS!$A160,"000")</f>
        <v>474</v>
      </c>
      <c r="C160" s="19" t="s">
        <v>510</v>
      </c>
      <c r="D160" s="20" t="s">
        <v>49</v>
      </c>
      <c r="H160" s="22" t="s">
        <v>511</v>
      </c>
      <c r="I160" s="16" t="s">
        <v>512</v>
      </c>
      <c r="K160" t="s">
        <v>5140</v>
      </c>
      <c r="L160" t="s">
        <v>9369</v>
      </c>
    </row>
    <row r="161" spans="1:12" ht="15" customHeight="1" x14ac:dyDescent="0.25">
      <c r="A161" s="17">
        <v>477</v>
      </c>
      <c r="B161" s="18" t="str">
        <f>TEXT(UNICOS!$A161,"000")</f>
        <v>477</v>
      </c>
      <c r="C161" s="19" t="s">
        <v>513</v>
      </c>
      <c r="D161" s="20" t="s">
        <v>53</v>
      </c>
      <c r="H161" s="22" t="s">
        <v>514</v>
      </c>
      <c r="I161" s="16" t="s">
        <v>515</v>
      </c>
      <c r="K161" t="s">
        <v>1553</v>
      </c>
      <c r="L161" t="s">
        <v>1553</v>
      </c>
    </row>
    <row r="162" spans="1:12" ht="15" customHeight="1" x14ac:dyDescent="0.25">
      <c r="A162" s="17">
        <v>485</v>
      </c>
      <c r="B162" s="18" t="str">
        <f>TEXT(UNICOS!$A162,"000")</f>
        <v>485</v>
      </c>
      <c r="C162" s="19" t="s">
        <v>516</v>
      </c>
      <c r="D162" s="20" t="s">
        <v>49</v>
      </c>
      <c r="H162" s="22" t="s">
        <v>517</v>
      </c>
      <c r="I162" s="16" t="s">
        <v>518</v>
      </c>
      <c r="K162" t="s">
        <v>9370</v>
      </c>
      <c r="L162" t="s">
        <v>9371</v>
      </c>
    </row>
    <row r="163" spans="1:12" ht="15" customHeight="1" x14ac:dyDescent="0.25">
      <c r="A163" s="17">
        <v>488</v>
      </c>
      <c r="B163" s="18" t="str">
        <f>TEXT(UNICOS!$A163,"000")</f>
        <v>488</v>
      </c>
      <c r="C163" s="19" t="s">
        <v>519</v>
      </c>
      <c r="D163" s="20" t="s">
        <v>49</v>
      </c>
      <c r="H163" s="22" t="s">
        <v>520</v>
      </c>
      <c r="I163" s="16" t="s">
        <v>521</v>
      </c>
      <c r="K163" t="s">
        <v>9372</v>
      </c>
      <c r="L163" t="s">
        <v>9373</v>
      </c>
    </row>
    <row r="164" spans="1:12" ht="15" customHeight="1" x14ac:dyDescent="0.25">
      <c r="A164" s="17">
        <v>493</v>
      </c>
      <c r="B164" s="18" t="str">
        <f>TEXT(UNICOS!$A164,"000")</f>
        <v>493</v>
      </c>
      <c r="C164" s="19" t="s">
        <v>522</v>
      </c>
      <c r="D164" s="20" t="s">
        <v>53</v>
      </c>
      <c r="H164" s="22" t="s">
        <v>523</v>
      </c>
      <c r="I164" s="16" t="s">
        <v>524</v>
      </c>
      <c r="K164" t="s">
        <v>9374</v>
      </c>
      <c r="L164" t="s">
        <v>9375</v>
      </c>
    </row>
    <row r="165" spans="1:12" ht="15" customHeight="1" x14ac:dyDescent="0.25">
      <c r="A165" s="17">
        <v>494</v>
      </c>
      <c r="B165" s="18" t="str">
        <f>TEXT(UNICOS!$A165,"000")</f>
        <v>494</v>
      </c>
      <c r="C165" s="19" t="s">
        <v>525</v>
      </c>
      <c r="D165" s="20" t="s">
        <v>135</v>
      </c>
      <c r="H165" s="22" t="s">
        <v>526</v>
      </c>
      <c r="I165" s="16" t="s">
        <v>527</v>
      </c>
      <c r="K165" t="s">
        <v>9376</v>
      </c>
      <c r="L165" t="s">
        <v>9377</v>
      </c>
    </row>
    <row r="166" spans="1:12" ht="15" customHeight="1" x14ac:dyDescent="0.25">
      <c r="A166" s="17">
        <v>495</v>
      </c>
      <c r="B166" s="18" t="str">
        <f>TEXT(UNICOS!$A166,"000")</f>
        <v>495</v>
      </c>
      <c r="C166" s="19" t="s">
        <v>528</v>
      </c>
      <c r="D166" s="20" t="s">
        <v>135</v>
      </c>
      <c r="H166" s="22" t="s">
        <v>27</v>
      </c>
      <c r="I166" s="16" t="s">
        <v>529</v>
      </c>
      <c r="K166" t="s">
        <v>9378</v>
      </c>
      <c r="L166" t="s">
        <v>9379</v>
      </c>
    </row>
    <row r="167" spans="1:12" ht="15" customHeight="1" x14ac:dyDescent="0.25">
      <c r="A167" s="17">
        <v>496</v>
      </c>
      <c r="B167" s="18" t="str">
        <f>TEXT(UNICOS!$A167,"000")</f>
        <v>496</v>
      </c>
      <c r="C167" s="19" t="s">
        <v>530</v>
      </c>
      <c r="D167" s="20" t="s">
        <v>57</v>
      </c>
      <c r="H167" s="22" t="s">
        <v>531</v>
      </c>
      <c r="I167" s="16" t="s">
        <v>532</v>
      </c>
      <c r="K167" t="s">
        <v>9380</v>
      </c>
      <c r="L167" t="s">
        <v>9381</v>
      </c>
    </row>
    <row r="168" spans="1:12" ht="15" customHeight="1" x14ac:dyDescent="0.25">
      <c r="A168" s="17">
        <v>497</v>
      </c>
      <c r="B168" s="18" t="str">
        <f>TEXT(UNICOS!$A168,"000")</f>
        <v>497</v>
      </c>
      <c r="C168" s="19" t="s">
        <v>533</v>
      </c>
      <c r="D168" s="20" t="s">
        <v>83</v>
      </c>
      <c r="H168" s="22" t="s">
        <v>534</v>
      </c>
      <c r="I168" s="16" t="s">
        <v>535</v>
      </c>
      <c r="K168" t="s">
        <v>9382</v>
      </c>
      <c r="L168" t="s">
        <v>9383</v>
      </c>
    </row>
    <row r="169" spans="1:12" ht="15" customHeight="1" x14ac:dyDescent="0.25">
      <c r="A169" s="17">
        <v>498</v>
      </c>
      <c r="B169" s="18" t="str">
        <f>TEXT(UNICOS!$A169,"000")</f>
        <v>498</v>
      </c>
      <c r="C169" s="19" t="s">
        <v>536</v>
      </c>
      <c r="D169" s="20" t="s">
        <v>57</v>
      </c>
      <c r="H169" s="22" t="s">
        <v>537</v>
      </c>
      <c r="I169" s="16" t="s">
        <v>538</v>
      </c>
      <c r="K169" t="s">
        <v>1749</v>
      </c>
      <c r="L169" t="s">
        <v>9384</v>
      </c>
    </row>
    <row r="170" spans="1:12" ht="15" customHeight="1" x14ac:dyDescent="0.25">
      <c r="A170" s="17">
        <v>501</v>
      </c>
      <c r="B170" s="18" t="str">
        <f>TEXT(UNICOS!$A170,"000")</f>
        <v>501</v>
      </c>
      <c r="C170" s="19" t="s">
        <v>539</v>
      </c>
      <c r="D170" s="20" t="s">
        <v>53</v>
      </c>
      <c r="H170" s="22" t="s">
        <v>540</v>
      </c>
      <c r="I170" s="16" t="s">
        <v>541</v>
      </c>
      <c r="K170" t="s">
        <v>9385</v>
      </c>
      <c r="L170" t="s">
        <v>6013</v>
      </c>
    </row>
    <row r="171" spans="1:12" ht="15" customHeight="1" x14ac:dyDescent="0.25">
      <c r="A171" s="17">
        <v>505</v>
      </c>
      <c r="B171" s="18" t="str">
        <f>TEXT(UNICOS!$A171,"000")</f>
        <v>505</v>
      </c>
      <c r="C171" s="19" t="s">
        <v>542</v>
      </c>
      <c r="D171" s="20" t="s">
        <v>49</v>
      </c>
      <c r="H171" s="22" t="s">
        <v>543</v>
      </c>
      <c r="I171" s="16" t="s">
        <v>544</v>
      </c>
      <c r="K171" t="s">
        <v>9386</v>
      </c>
      <c r="L171" t="s">
        <v>9387</v>
      </c>
    </row>
    <row r="172" spans="1:12" ht="15" customHeight="1" x14ac:dyDescent="0.25">
      <c r="A172" s="17">
        <v>507</v>
      </c>
      <c r="B172" s="18" t="str">
        <f>TEXT(UNICOS!$A172,"000")</f>
        <v>507</v>
      </c>
      <c r="C172" s="19" t="s">
        <v>545</v>
      </c>
      <c r="D172" s="20" t="s">
        <v>49</v>
      </c>
      <c r="H172" s="22" t="s">
        <v>546</v>
      </c>
      <c r="I172" s="16" t="s">
        <v>547</v>
      </c>
      <c r="K172" t="s">
        <v>4643</v>
      </c>
      <c r="L172" t="s">
        <v>9388</v>
      </c>
    </row>
    <row r="173" spans="1:12" ht="15" customHeight="1" x14ac:dyDescent="0.25">
      <c r="A173" s="17">
        <v>508</v>
      </c>
      <c r="B173" s="18" t="str">
        <f>TEXT(UNICOS!$A173,"000")</f>
        <v>508</v>
      </c>
      <c r="C173" s="19" t="s">
        <v>548</v>
      </c>
      <c r="D173" s="20" t="s">
        <v>135</v>
      </c>
      <c r="H173" s="22" t="s">
        <v>549</v>
      </c>
      <c r="I173" s="16" t="s">
        <v>550</v>
      </c>
      <c r="K173" t="s">
        <v>7634</v>
      </c>
      <c r="L173" t="s">
        <v>7634</v>
      </c>
    </row>
    <row r="174" spans="1:12" ht="15" customHeight="1" x14ac:dyDescent="0.25">
      <c r="A174" s="17">
        <v>511</v>
      </c>
      <c r="B174" s="18" t="str">
        <f>TEXT(UNICOS!$A174,"000")</f>
        <v>511</v>
      </c>
      <c r="C174" s="19" t="s">
        <v>551</v>
      </c>
      <c r="D174" s="20" t="s">
        <v>135</v>
      </c>
      <c r="H174" s="22" t="s">
        <v>552</v>
      </c>
      <c r="I174" s="16" t="s">
        <v>553</v>
      </c>
      <c r="K174" t="s">
        <v>9389</v>
      </c>
      <c r="L174" t="s">
        <v>9389</v>
      </c>
    </row>
    <row r="175" spans="1:12" ht="15" customHeight="1" x14ac:dyDescent="0.25">
      <c r="A175" s="17">
        <v>517</v>
      </c>
      <c r="B175" s="18" t="str">
        <f>TEXT(UNICOS!$A175,"000")</f>
        <v>517</v>
      </c>
      <c r="C175" s="19" t="s">
        <v>554</v>
      </c>
      <c r="D175" s="20" t="s">
        <v>83</v>
      </c>
      <c r="H175" s="22" t="s">
        <v>555</v>
      </c>
      <c r="I175" s="16" t="s">
        <v>556</v>
      </c>
      <c r="K175" t="s">
        <v>9390</v>
      </c>
      <c r="L175" t="s">
        <v>9391</v>
      </c>
    </row>
    <row r="176" spans="1:12" ht="15" customHeight="1" x14ac:dyDescent="0.25">
      <c r="A176" s="17">
        <v>521</v>
      </c>
      <c r="B176" s="18" t="str">
        <f>TEXT(UNICOS!$A176,"000")</f>
        <v>521</v>
      </c>
      <c r="C176" s="19" t="s">
        <v>557</v>
      </c>
      <c r="D176" s="20" t="s">
        <v>53</v>
      </c>
      <c r="H176" s="22" t="s">
        <v>558</v>
      </c>
      <c r="I176" s="16" t="s">
        <v>559</v>
      </c>
      <c r="K176" t="s">
        <v>9392</v>
      </c>
      <c r="L176" t="s">
        <v>9393</v>
      </c>
    </row>
    <row r="177" spans="1:12" ht="15" customHeight="1" x14ac:dyDescent="0.25">
      <c r="A177" s="17">
        <v>525</v>
      </c>
      <c r="B177" s="18" t="str">
        <f>TEXT(UNICOS!$A177,"000")</f>
        <v>525</v>
      </c>
      <c r="C177" s="19" t="s">
        <v>560</v>
      </c>
      <c r="D177" s="20" t="s">
        <v>49</v>
      </c>
      <c r="H177" s="22" t="s">
        <v>561</v>
      </c>
      <c r="I177" s="16" t="s">
        <v>562</v>
      </c>
      <c r="K177" t="s">
        <v>9394</v>
      </c>
      <c r="L177" t="s">
        <v>9395</v>
      </c>
    </row>
    <row r="178" spans="1:12" ht="15" customHeight="1" x14ac:dyDescent="0.25">
      <c r="A178" s="17">
        <v>528</v>
      </c>
      <c r="B178" s="18" t="str">
        <f>TEXT(UNICOS!$A178,"000")</f>
        <v>528</v>
      </c>
      <c r="C178" s="19" t="s">
        <v>563</v>
      </c>
      <c r="D178" s="20" t="s">
        <v>49</v>
      </c>
      <c r="H178" s="22" t="s">
        <v>564</v>
      </c>
      <c r="I178" s="16" t="s">
        <v>565</v>
      </c>
      <c r="K178" t="s">
        <v>2259</v>
      </c>
      <c r="L178" t="s">
        <v>9396</v>
      </c>
    </row>
    <row r="179" spans="1:12" ht="15" customHeight="1" x14ac:dyDescent="0.25">
      <c r="A179" s="17">
        <v>531</v>
      </c>
      <c r="B179" s="18" t="str">
        <f>TEXT(UNICOS!$A179,"000")</f>
        <v>531</v>
      </c>
      <c r="C179" s="19" t="s">
        <v>566</v>
      </c>
      <c r="D179" s="20" t="s">
        <v>135</v>
      </c>
      <c r="H179" s="22" t="s">
        <v>567</v>
      </c>
      <c r="I179" s="16" t="s">
        <v>568</v>
      </c>
      <c r="K179" t="s">
        <v>9397</v>
      </c>
      <c r="L179" t="s">
        <v>9398</v>
      </c>
    </row>
    <row r="180" spans="1:12" ht="15" customHeight="1" x14ac:dyDescent="0.25">
      <c r="A180" s="17">
        <v>535</v>
      </c>
      <c r="B180" s="18" t="str">
        <f>TEXT(UNICOS!$A180,"000")</f>
        <v>535</v>
      </c>
      <c r="C180" s="19" t="s">
        <v>569</v>
      </c>
      <c r="D180" s="20" t="s">
        <v>135</v>
      </c>
      <c r="H180" s="22" t="s">
        <v>570</v>
      </c>
      <c r="I180" s="16" t="s">
        <v>571</v>
      </c>
      <c r="K180" t="s">
        <v>4655</v>
      </c>
      <c r="L180" t="s">
        <v>4655</v>
      </c>
    </row>
    <row r="181" spans="1:12" ht="15" customHeight="1" x14ac:dyDescent="0.25">
      <c r="A181" s="17">
        <v>538</v>
      </c>
      <c r="B181" s="18" t="str">
        <f>TEXT(UNICOS!$A181,"000")</f>
        <v>538</v>
      </c>
      <c r="C181" s="19" t="s">
        <v>572</v>
      </c>
      <c r="D181" s="20" t="s">
        <v>57</v>
      </c>
      <c r="H181" s="22" t="s">
        <v>573</v>
      </c>
      <c r="I181" s="16" t="s">
        <v>574</v>
      </c>
      <c r="K181" t="s">
        <v>9399</v>
      </c>
      <c r="L181" t="s">
        <v>9400</v>
      </c>
    </row>
    <row r="182" spans="1:12" ht="15" customHeight="1" x14ac:dyDescent="0.25">
      <c r="A182" s="17">
        <v>542</v>
      </c>
      <c r="B182" s="18" t="str">
        <f>TEXT(UNICOS!$A182,"000")</f>
        <v>542</v>
      </c>
      <c r="C182" s="19" t="s">
        <v>575</v>
      </c>
      <c r="D182" s="20" t="s">
        <v>135</v>
      </c>
      <c r="H182" s="22" t="s">
        <v>576</v>
      </c>
      <c r="I182" s="16" t="s">
        <v>577</v>
      </c>
      <c r="K182" t="s">
        <v>9401</v>
      </c>
      <c r="L182" t="s">
        <v>9402</v>
      </c>
    </row>
    <row r="183" spans="1:12" ht="15" customHeight="1" x14ac:dyDescent="0.25">
      <c r="A183" s="17">
        <v>545</v>
      </c>
      <c r="B183" s="18" t="str">
        <f>TEXT(UNICOS!$A183,"000")</f>
        <v>545</v>
      </c>
      <c r="C183" s="19" t="s">
        <v>578</v>
      </c>
      <c r="D183" s="20" t="s">
        <v>135</v>
      </c>
      <c r="H183" s="22" t="s">
        <v>579</v>
      </c>
      <c r="I183" s="16" t="s">
        <v>580</v>
      </c>
      <c r="K183" t="s">
        <v>9403</v>
      </c>
      <c r="L183" t="s">
        <v>9404</v>
      </c>
    </row>
    <row r="184" spans="1:12" ht="15" customHeight="1" x14ac:dyDescent="0.25">
      <c r="A184" s="17">
        <v>548</v>
      </c>
      <c r="B184" s="18" t="str">
        <f>TEXT(UNICOS!$A184,"000")</f>
        <v>548</v>
      </c>
      <c r="C184" s="19" t="s">
        <v>581</v>
      </c>
      <c r="D184" s="20" t="s">
        <v>135</v>
      </c>
      <c r="H184" s="22" t="s">
        <v>582</v>
      </c>
      <c r="I184" s="16" t="s">
        <v>583</v>
      </c>
      <c r="K184" t="s">
        <v>9405</v>
      </c>
      <c r="L184" t="s">
        <v>9406</v>
      </c>
    </row>
    <row r="185" spans="1:12" ht="15" customHeight="1" x14ac:dyDescent="0.25">
      <c r="A185" s="17">
        <v>551</v>
      </c>
      <c r="B185" s="18" t="str">
        <f>TEXT(UNICOS!$A185,"000")</f>
        <v>551</v>
      </c>
      <c r="C185" s="19" t="s">
        <v>584</v>
      </c>
      <c r="D185" s="20" t="s">
        <v>135</v>
      </c>
      <c r="H185" s="22" t="s">
        <v>585</v>
      </c>
      <c r="I185" s="16" t="s">
        <v>586</v>
      </c>
      <c r="K185" t="s">
        <v>9407</v>
      </c>
      <c r="L185" t="s">
        <v>9408</v>
      </c>
    </row>
    <row r="186" spans="1:12" ht="15" customHeight="1" x14ac:dyDescent="0.25">
      <c r="A186" s="17">
        <v>556</v>
      </c>
      <c r="B186" s="18" t="str">
        <f>TEXT(UNICOS!$A186,"000")</f>
        <v>556</v>
      </c>
      <c r="C186" s="19" t="s">
        <v>587</v>
      </c>
      <c r="D186" s="20" t="s">
        <v>83</v>
      </c>
      <c r="H186" s="22" t="s">
        <v>588</v>
      </c>
      <c r="I186" s="16" t="s">
        <v>589</v>
      </c>
      <c r="K186" t="s">
        <v>7751</v>
      </c>
      <c r="L186" t="s">
        <v>9409</v>
      </c>
    </row>
    <row r="187" spans="1:12" ht="15" customHeight="1" x14ac:dyDescent="0.25">
      <c r="A187" s="17">
        <v>566</v>
      </c>
      <c r="B187" s="18" t="str">
        <f>TEXT(UNICOS!$A187,"000")</f>
        <v>566</v>
      </c>
      <c r="C187" s="19" t="s">
        <v>590</v>
      </c>
      <c r="D187" s="20" t="s">
        <v>135</v>
      </c>
      <c r="H187" s="22" t="s">
        <v>591</v>
      </c>
      <c r="I187" s="16" t="s">
        <v>592</v>
      </c>
      <c r="K187" t="s">
        <v>9410</v>
      </c>
      <c r="L187" t="s">
        <v>9411</v>
      </c>
    </row>
    <row r="188" spans="1:12" ht="15" customHeight="1" x14ac:dyDescent="0.25">
      <c r="A188" s="17">
        <v>573</v>
      </c>
      <c r="B188" s="18" t="str">
        <f>TEXT(UNICOS!$A188,"000")</f>
        <v>573</v>
      </c>
      <c r="C188" s="19" t="s">
        <v>593</v>
      </c>
      <c r="D188" s="20" t="s">
        <v>57</v>
      </c>
      <c r="H188" s="22" t="s">
        <v>594</v>
      </c>
      <c r="I188" s="16" t="s">
        <v>595</v>
      </c>
      <c r="K188" t="s">
        <v>9412</v>
      </c>
      <c r="L188" t="s">
        <v>9413</v>
      </c>
    </row>
    <row r="189" spans="1:12" ht="15" customHeight="1" x14ac:dyDescent="0.25">
      <c r="A189" s="17">
        <v>576</v>
      </c>
      <c r="B189" s="18" t="str">
        <f>TEXT(UNICOS!$A189,"000")</f>
        <v>576</v>
      </c>
      <c r="C189" s="19" t="s">
        <v>596</v>
      </c>
      <c r="D189" s="20" t="s">
        <v>83</v>
      </c>
      <c r="H189" s="22" t="s">
        <v>597</v>
      </c>
      <c r="I189" s="16" t="s">
        <v>598</v>
      </c>
      <c r="K189" t="s">
        <v>9414</v>
      </c>
      <c r="L189" t="s">
        <v>9414</v>
      </c>
    </row>
    <row r="190" spans="1:12" ht="15" customHeight="1" x14ac:dyDescent="0.25">
      <c r="A190" s="17">
        <v>578</v>
      </c>
      <c r="B190" s="18" t="str">
        <f>TEXT(UNICOS!$A190,"000")</f>
        <v>578</v>
      </c>
      <c r="C190" s="19" t="s">
        <v>599</v>
      </c>
      <c r="D190" s="20" t="s">
        <v>135</v>
      </c>
      <c r="H190" s="22" t="s">
        <v>600</v>
      </c>
      <c r="I190" s="16" t="s">
        <v>601</v>
      </c>
      <c r="K190" t="s">
        <v>9415</v>
      </c>
      <c r="L190" t="s">
        <v>9416</v>
      </c>
    </row>
    <row r="191" spans="1:12" ht="15" customHeight="1" x14ac:dyDescent="0.25">
      <c r="A191" s="17">
        <v>579</v>
      </c>
      <c r="B191" s="18" t="str">
        <f>TEXT(UNICOS!$A191,"000")</f>
        <v>579</v>
      </c>
      <c r="C191" s="19" t="s">
        <v>602</v>
      </c>
      <c r="D191" s="20" t="s">
        <v>83</v>
      </c>
      <c r="H191" s="22" t="s">
        <v>603</v>
      </c>
      <c r="I191" s="16" t="s">
        <v>604</v>
      </c>
      <c r="K191" t="s">
        <v>4066</v>
      </c>
      <c r="L191" t="s">
        <v>4066</v>
      </c>
    </row>
    <row r="192" spans="1:12" ht="15" customHeight="1" x14ac:dyDescent="0.25">
      <c r="A192" s="17">
        <v>580</v>
      </c>
      <c r="B192" s="18" t="str">
        <f>TEXT(UNICOS!$A192,"000")</f>
        <v>580</v>
      </c>
      <c r="C192" s="19" t="s">
        <v>605</v>
      </c>
      <c r="D192" s="20" t="s">
        <v>53</v>
      </c>
      <c r="H192" s="22" t="s">
        <v>606</v>
      </c>
      <c r="I192" s="16" t="s">
        <v>607</v>
      </c>
      <c r="K192" t="s">
        <v>9417</v>
      </c>
      <c r="L192" t="s">
        <v>9418</v>
      </c>
    </row>
    <row r="193" spans="1:12" ht="15" customHeight="1" x14ac:dyDescent="0.25">
      <c r="A193" s="17">
        <v>586</v>
      </c>
      <c r="B193" s="18" t="str">
        <f>TEXT(UNICOS!$A193,"000")</f>
        <v>586</v>
      </c>
      <c r="C193" s="19" t="s">
        <v>608</v>
      </c>
      <c r="D193" s="20" t="s">
        <v>53</v>
      </c>
      <c r="H193" s="22" t="s">
        <v>609</v>
      </c>
      <c r="I193" s="16" t="s">
        <v>610</v>
      </c>
      <c r="K193" t="s">
        <v>9419</v>
      </c>
      <c r="L193" t="s">
        <v>9420</v>
      </c>
    </row>
    <row r="194" spans="1:12" ht="15" customHeight="1" x14ac:dyDescent="0.25">
      <c r="A194" s="17">
        <v>589</v>
      </c>
      <c r="B194" s="18" t="str">
        <f>TEXT(UNICOS!$A194,"000")</f>
        <v>589</v>
      </c>
      <c r="C194" s="19" t="s">
        <v>611</v>
      </c>
      <c r="D194" s="20" t="s">
        <v>53</v>
      </c>
      <c r="H194" s="22" t="s">
        <v>612</v>
      </c>
      <c r="I194" s="16" t="s">
        <v>613</v>
      </c>
      <c r="K194" t="s">
        <v>9421</v>
      </c>
      <c r="L194" t="s">
        <v>9422</v>
      </c>
    </row>
    <row r="195" spans="1:12" ht="15" customHeight="1" x14ac:dyDescent="0.25">
      <c r="A195" s="17">
        <v>593</v>
      </c>
      <c r="B195" s="18" t="str">
        <f>TEXT(UNICOS!$A195,"000")</f>
        <v>593</v>
      </c>
      <c r="C195" s="19" t="s">
        <v>614</v>
      </c>
      <c r="D195" s="20" t="s">
        <v>135</v>
      </c>
      <c r="H195" s="22" t="s">
        <v>615</v>
      </c>
      <c r="I195" s="16" t="s">
        <v>616</v>
      </c>
      <c r="K195" t="s">
        <v>9423</v>
      </c>
      <c r="L195" t="s">
        <v>9424</v>
      </c>
    </row>
    <row r="196" spans="1:12" ht="15" customHeight="1" x14ac:dyDescent="0.25">
      <c r="A196" s="17">
        <v>599</v>
      </c>
      <c r="B196" s="18" t="str">
        <f>TEXT(UNICOS!$A196,"000")</f>
        <v>599</v>
      </c>
      <c r="C196" s="19" t="s">
        <v>617</v>
      </c>
      <c r="D196" s="20" t="s">
        <v>135</v>
      </c>
      <c r="H196" s="22" t="s">
        <v>618</v>
      </c>
      <c r="I196" s="16" t="s">
        <v>619</v>
      </c>
      <c r="K196" s="16" t="s">
        <v>7808</v>
      </c>
      <c r="L196" s="16" t="s">
        <v>16430</v>
      </c>
    </row>
    <row r="197" spans="1:12" ht="15" customHeight="1" x14ac:dyDescent="0.25">
      <c r="A197" s="17">
        <v>603</v>
      </c>
      <c r="B197" s="18" t="str">
        <f>TEXT(UNICOS!$A197,"000")</f>
        <v>603</v>
      </c>
      <c r="C197" s="19" t="s">
        <v>620</v>
      </c>
      <c r="D197" s="20" t="s">
        <v>57</v>
      </c>
      <c r="H197" s="22" t="s">
        <v>621</v>
      </c>
      <c r="I197" s="16" t="s">
        <v>622</v>
      </c>
      <c r="K197" s="16" t="s">
        <v>7045</v>
      </c>
      <c r="L197" s="16" t="s">
        <v>16431</v>
      </c>
    </row>
    <row r="198" spans="1:12" ht="15" customHeight="1" x14ac:dyDescent="0.25">
      <c r="A198" s="17">
        <v>607</v>
      </c>
      <c r="B198" s="18" t="str">
        <f>TEXT(UNICOS!$A198,"000")</f>
        <v>607</v>
      </c>
      <c r="C198" s="19" t="s">
        <v>623</v>
      </c>
      <c r="D198" s="20" t="s">
        <v>57</v>
      </c>
      <c r="H198" s="22" t="s">
        <v>624</v>
      </c>
      <c r="I198" s="16" t="s">
        <v>625</v>
      </c>
      <c r="K198" s="16" t="s">
        <v>16189</v>
      </c>
      <c r="L198" s="16" t="s">
        <v>16432</v>
      </c>
    </row>
    <row r="199" spans="1:12" ht="15" customHeight="1" x14ac:dyDescent="0.25">
      <c r="A199" s="17">
        <v>611</v>
      </c>
      <c r="B199" s="18" t="str">
        <f>TEXT(UNICOS!$A199,"000")</f>
        <v>611</v>
      </c>
      <c r="C199" s="19" t="s">
        <v>626</v>
      </c>
      <c r="D199" s="20" t="s">
        <v>53</v>
      </c>
      <c r="H199" s="22" t="s">
        <v>627</v>
      </c>
      <c r="I199" s="16" t="s">
        <v>628</v>
      </c>
      <c r="K199" s="16" t="s">
        <v>16205</v>
      </c>
      <c r="L199" s="16" t="s">
        <v>16433</v>
      </c>
    </row>
    <row r="200" spans="1:12" ht="15" customHeight="1" x14ac:dyDescent="0.25">
      <c r="A200" s="17">
        <v>618</v>
      </c>
      <c r="B200" s="18" t="str">
        <f>TEXT(UNICOS!$A200,"000")</f>
        <v>618</v>
      </c>
      <c r="C200" s="19" t="s">
        <v>629</v>
      </c>
      <c r="D200" s="20" t="s">
        <v>83</v>
      </c>
      <c r="H200" s="22" t="s">
        <v>630</v>
      </c>
      <c r="I200" s="16" t="s">
        <v>631</v>
      </c>
      <c r="K200" s="81" t="s">
        <v>8293</v>
      </c>
      <c r="L200" s="16" t="s">
        <v>16434</v>
      </c>
    </row>
    <row r="201" spans="1:12" ht="15" customHeight="1" x14ac:dyDescent="0.25">
      <c r="A201" s="17">
        <v>628</v>
      </c>
      <c r="B201" s="18" t="str">
        <f>TEXT(UNICOS!$A201,"000")</f>
        <v>628</v>
      </c>
      <c r="C201" s="19" t="s">
        <v>632</v>
      </c>
      <c r="D201" s="20" t="s">
        <v>57</v>
      </c>
      <c r="H201" s="22" t="s">
        <v>633</v>
      </c>
      <c r="I201" s="16" t="s">
        <v>634</v>
      </c>
      <c r="K201" s="16" t="s">
        <v>14636</v>
      </c>
      <c r="L201" s="16" t="s">
        <v>16435</v>
      </c>
    </row>
    <row r="202" spans="1:12" ht="15" customHeight="1" x14ac:dyDescent="0.25">
      <c r="A202" s="17">
        <v>629</v>
      </c>
      <c r="B202" s="18" t="str">
        <f>TEXT(UNICOS!$A202,"000")</f>
        <v>629</v>
      </c>
      <c r="C202" s="19" t="s">
        <v>635</v>
      </c>
      <c r="D202" s="20" t="s">
        <v>57</v>
      </c>
      <c r="H202" s="22" t="s">
        <v>636</v>
      </c>
      <c r="I202" s="16" t="s">
        <v>637</v>
      </c>
      <c r="K202" s="16" t="s">
        <v>7337</v>
      </c>
      <c r="L202" s="16" t="s">
        <v>16436</v>
      </c>
    </row>
    <row r="203" spans="1:12" ht="15" customHeight="1" x14ac:dyDescent="0.25">
      <c r="A203" s="17">
        <v>633</v>
      </c>
      <c r="B203" s="18" t="str">
        <f>TEXT(UNICOS!$A203,"000")</f>
        <v>633</v>
      </c>
      <c r="C203" s="19" t="s">
        <v>638</v>
      </c>
      <c r="D203" s="20" t="s">
        <v>639</v>
      </c>
      <c r="H203" s="22" t="s">
        <v>640</v>
      </c>
      <c r="I203" s="16" t="s">
        <v>641</v>
      </c>
      <c r="K203" s="16" t="s">
        <v>15267</v>
      </c>
      <c r="L203" s="16" t="s">
        <v>16437</v>
      </c>
    </row>
    <row r="204" spans="1:12" ht="15" customHeight="1" x14ac:dyDescent="0.25">
      <c r="A204" s="17">
        <v>640</v>
      </c>
      <c r="B204" s="18" t="str">
        <f>TEXT(UNICOS!$A204,"000")</f>
        <v>640</v>
      </c>
      <c r="C204" s="19" t="s">
        <v>642</v>
      </c>
      <c r="D204" s="20" t="s">
        <v>49</v>
      </c>
      <c r="H204" s="22" t="s">
        <v>643</v>
      </c>
      <c r="I204" s="16" t="s">
        <v>644</v>
      </c>
      <c r="K204" s="16" t="s">
        <v>7153</v>
      </c>
      <c r="L204" s="16" t="s">
        <v>16438</v>
      </c>
    </row>
    <row r="205" spans="1:12" ht="15" customHeight="1" x14ac:dyDescent="0.25">
      <c r="A205" s="17">
        <v>644</v>
      </c>
      <c r="B205" s="18" t="str">
        <f>TEXT(UNICOS!$A205,"000")</f>
        <v>644</v>
      </c>
      <c r="C205" s="19" t="s">
        <v>645</v>
      </c>
      <c r="D205" s="20" t="s">
        <v>57</v>
      </c>
      <c r="H205" s="22" t="s">
        <v>646</v>
      </c>
      <c r="I205" s="16" t="s">
        <v>647</v>
      </c>
      <c r="K205" s="16" t="s">
        <v>7189</v>
      </c>
      <c r="L205" s="16" t="s">
        <v>7189</v>
      </c>
    </row>
    <row r="206" spans="1:12" ht="15" customHeight="1" x14ac:dyDescent="0.25">
      <c r="A206" s="17">
        <v>645</v>
      </c>
      <c r="B206" s="18" t="str">
        <f>TEXT(UNICOS!$A206,"000")</f>
        <v>645</v>
      </c>
      <c r="C206" s="19" t="s">
        <v>648</v>
      </c>
      <c r="D206" s="20" t="s">
        <v>49</v>
      </c>
      <c r="H206" s="22" t="s">
        <v>649</v>
      </c>
      <c r="I206" s="16" t="s">
        <v>650</v>
      </c>
      <c r="K206" s="16" t="s">
        <v>14635</v>
      </c>
      <c r="L206" s="16" t="s">
        <v>16439</v>
      </c>
    </row>
    <row r="207" spans="1:12" ht="15" customHeight="1" x14ac:dyDescent="0.25">
      <c r="A207" s="17">
        <v>646</v>
      </c>
      <c r="B207" s="18" t="str">
        <f>TEXT(UNICOS!$A207,"000")</f>
        <v>646</v>
      </c>
      <c r="C207" s="19" t="s">
        <v>651</v>
      </c>
      <c r="D207" s="20" t="s">
        <v>49</v>
      </c>
      <c r="H207" s="22" t="s">
        <v>652</v>
      </c>
      <c r="I207" s="16" t="s">
        <v>653</v>
      </c>
      <c r="K207" s="16" t="s">
        <v>7144</v>
      </c>
      <c r="L207" s="16" t="s">
        <v>7144</v>
      </c>
    </row>
    <row r="208" spans="1:12" ht="15" customHeight="1" x14ac:dyDescent="0.25">
      <c r="A208" s="17">
        <v>647</v>
      </c>
      <c r="B208" s="18" t="str">
        <f>TEXT(UNICOS!$A208,"000")</f>
        <v>647</v>
      </c>
      <c r="C208" s="19" t="s">
        <v>654</v>
      </c>
      <c r="D208" s="20" t="s">
        <v>53</v>
      </c>
      <c r="H208" s="22" t="s">
        <v>655</v>
      </c>
      <c r="I208" s="16" t="s">
        <v>656</v>
      </c>
      <c r="K208" s="16" t="s">
        <v>1651</v>
      </c>
      <c r="L208" s="16" t="s">
        <v>1651</v>
      </c>
    </row>
    <row r="209" spans="1:12" ht="15" customHeight="1" x14ac:dyDescent="0.25">
      <c r="A209" s="17">
        <v>660</v>
      </c>
      <c r="B209" s="18" t="str">
        <f>TEXT(UNICOS!$A209,"000")</f>
        <v>660</v>
      </c>
      <c r="C209" s="19" t="s">
        <v>657</v>
      </c>
      <c r="D209" s="20" t="s">
        <v>49</v>
      </c>
      <c r="H209" s="22" t="s">
        <v>658</v>
      </c>
      <c r="I209" s="16" t="s">
        <v>659</v>
      </c>
      <c r="K209" s="16" t="s">
        <v>980</v>
      </c>
      <c r="L209" s="16" t="s">
        <v>980</v>
      </c>
    </row>
    <row r="210" spans="1:12" ht="15" customHeight="1" x14ac:dyDescent="0.25">
      <c r="A210" s="17">
        <v>665</v>
      </c>
      <c r="B210" s="18" t="str">
        <f>TEXT(UNICOS!$A210,"000")</f>
        <v>665</v>
      </c>
      <c r="C210" s="19" t="s">
        <v>660</v>
      </c>
      <c r="D210" s="20" t="s">
        <v>49</v>
      </c>
      <c r="H210" s="22" t="s">
        <v>661</v>
      </c>
      <c r="I210" s="16" t="s">
        <v>662</v>
      </c>
      <c r="K210" s="16" t="s">
        <v>9396</v>
      </c>
      <c r="L210" s="16" t="s">
        <v>9396</v>
      </c>
    </row>
    <row r="211" spans="1:12" ht="15" customHeight="1" x14ac:dyDescent="0.25">
      <c r="A211" s="17">
        <v>670</v>
      </c>
      <c r="B211" s="18" t="str">
        <f>TEXT(UNICOS!$A211,"000")</f>
        <v>670</v>
      </c>
      <c r="C211" s="19" t="s">
        <v>663</v>
      </c>
      <c r="D211" s="20" t="s">
        <v>57</v>
      </c>
      <c r="H211" s="22" t="s">
        <v>664</v>
      </c>
      <c r="I211" s="16" t="s">
        <v>665</v>
      </c>
      <c r="K211" s="16" t="s">
        <v>1871</v>
      </c>
      <c r="L211" s="16" t="s">
        <v>1871</v>
      </c>
    </row>
    <row r="212" spans="1:12" ht="15" customHeight="1" x14ac:dyDescent="0.25">
      <c r="A212" s="17">
        <v>675</v>
      </c>
      <c r="B212" s="18" t="str">
        <f>TEXT(UNICOS!$A212,"000")</f>
        <v>675</v>
      </c>
      <c r="C212" s="19" t="s">
        <v>666</v>
      </c>
      <c r="D212" s="20" t="s">
        <v>49</v>
      </c>
      <c r="H212" s="22" t="s">
        <v>667</v>
      </c>
      <c r="I212" s="16" t="s">
        <v>668</v>
      </c>
      <c r="K212" s="16" t="s">
        <v>1991</v>
      </c>
      <c r="L212" s="16" t="s">
        <v>1991</v>
      </c>
    </row>
    <row r="213" spans="1:12" ht="15" customHeight="1" x14ac:dyDescent="0.25">
      <c r="A213" s="17">
        <v>676</v>
      </c>
      <c r="B213" s="18" t="str">
        <f>TEXT(UNICOS!$A213,"000")</f>
        <v>676</v>
      </c>
      <c r="C213" s="19" t="s">
        <v>669</v>
      </c>
      <c r="D213" s="20" t="s">
        <v>57</v>
      </c>
      <c r="H213" s="22" t="s">
        <v>670</v>
      </c>
      <c r="I213" s="16" t="s">
        <v>671</v>
      </c>
    </row>
    <row r="214" spans="1:12" ht="15" customHeight="1" x14ac:dyDescent="0.25">
      <c r="A214" s="17">
        <v>677</v>
      </c>
      <c r="B214" s="18" t="str">
        <f>TEXT(UNICOS!$A214,"000")</f>
        <v>677</v>
      </c>
      <c r="C214" s="19" t="s">
        <v>672</v>
      </c>
      <c r="D214" s="20" t="s">
        <v>135</v>
      </c>
      <c r="H214" s="22" t="s">
        <v>673</v>
      </c>
      <c r="I214" s="16" t="s">
        <v>674</v>
      </c>
    </row>
    <row r="215" spans="1:12" ht="15" customHeight="1" x14ac:dyDescent="0.25">
      <c r="A215" s="17">
        <v>685</v>
      </c>
      <c r="B215" s="18" t="str">
        <f>TEXT(UNICOS!$A215,"000")</f>
        <v>685</v>
      </c>
      <c r="C215" s="19" t="s">
        <v>675</v>
      </c>
      <c r="D215" s="20" t="s">
        <v>49</v>
      </c>
      <c r="H215" s="22" t="s">
        <v>676</v>
      </c>
      <c r="I215" s="16" t="s">
        <v>677</v>
      </c>
    </row>
    <row r="216" spans="1:12" ht="15" customHeight="1" x14ac:dyDescent="0.25">
      <c r="A216" s="17">
        <v>687</v>
      </c>
      <c r="B216" s="18" t="str">
        <f>TEXT(UNICOS!$A216,"000")</f>
        <v>687</v>
      </c>
      <c r="C216" s="19" t="s">
        <v>678</v>
      </c>
      <c r="D216" s="20" t="s">
        <v>135</v>
      </c>
      <c r="H216" s="22" t="s">
        <v>679</v>
      </c>
      <c r="I216" s="16" t="s">
        <v>680</v>
      </c>
    </row>
    <row r="217" spans="1:12" ht="15" customHeight="1" x14ac:dyDescent="0.25">
      <c r="A217" s="17">
        <v>690</v>
      </c>
      <c r="B217" s="18" t="str">
        <f>TEXT(UNICOS!$A217,"000")</f>
        <v>690</v>
      </c>
      <c r="C217" s="19" t="s">
        <v>681</v>
      </c>
      <c r="D217" s="20" t="s">
        <v>135</v>
      </c>
      <c r="H217" s="22" t="s">
        <v>682</v>
      </c>
      <c r="I217" s="16" t="s">
        <v>683</v>
      </c>
    </row>
    <row r="218" spans="1:12" ht="15" customHeight="1" x14ac:dyDescent="0.25">
      <c r="A218" s="17">
        <v>695</v>
      </c>
      <c r="B218" s="18" t="str">
        <f>TEXT(UNICOS!$A218,"000")</f>
        <v>695</v>
      </c>
      <c r="C218" s="19" t="s">
        <v>684</v>
      </c>
      <c r="D218" s="20" t="s">
        <v>53</v>
      </c>
      <c r="H218" s="22" t="s">
        <v>685</v>
      </c>
      <c r="I218" s="16" t="s">
        <v>686</v>
      </c>
    </row>
    <row r="219" spans="1:12" ht="15" customHeight="1" x14ac:dyDescent="0.25">
      <c r="A219" s="17">
        <v>697</v>
      </c>
      <c r="B219" s="18" t="str">
        <f>TEXT(UNICOS!$A219,"000")</f>
        <v>697</v>
      </c>
      <c r="C219" s="19" t="s">
        <v>687</v>
      </c>
      <c r="D219" s="20" t="s">
        <v>57</v>
      </c>
      <c r="H219" s="22" t="s">
        <v>688</v>
      </c>
      <c r="I219" s="16" t="s">
        <v>689</v>
      </c>
    </row>
    <row r="220" spans="1:12" ht="15" customHeight="1" x14ac:dyDescent="0.25">
      <c r="A220" s="17">
        <v>700</v>
      </c>
      <c r="B220" s="18" t="str">
        <f>TEXT(UNICOS!$A220,"000")</f>
        <v>700</v>
      </c>
      <c r="C220" s="19" t="s">
        <v>690</v>
      </c>
      <c r="D220" s="20" t="s">
        <v>53</v>
      </c>
      <c r="H220" s="22" t="s">
        <v>691</v>
      </c>
      <c r="I220" s="16" t="s">
        <v>692</v>
      </c>
    </row>
    <row r="221" spans="1:12" ht="15" customHeight="1" x14ac:dyDescent="0.25">
      <c r="A221" s="17">
        <v>705</v>
      </c>
      <c r="B221" s="18" t="str">
        <f>TEXT(UNICOS!$A221,"000")</f>
        <v>705</v>
      </c>
      <c r="C221" s="19" t="s">
        <v>693</v>
      </c>
      <c r="D221" s="20" t="s">
        <v>53</v>
      </c>
      <c r="H221" s="22" t="s">
        <v>694</v>
      </c>
      <c r="I221" s="16" t="s">
        <v>695</v>
      </c>
    </row>
    <row r="222" spans="1:12" ht="15" customHeight="1" x14ac:dyDescent="0.25">
      <c r="A222" s="17">
        <v>710</v>
      </c>
      <c r="B222" s="18" t="str">
        <f>TEXT(UNICOS!$A222,"000")</f>
        <v>710</v>
      </c>
      <c r="C222" s="19" t="s">
        <v>696</v>
      </c>
      <c r="D222" s="20" t="s">
        <v>49</v>
      </c>
      <c r="H222" s="22" t="s">
        <v>697</v>
      </c>
      <c r="I222" s="16" t="s">
        <v>698</v>
      </c>
    </row>
    <row r="223" spans="1:12" ht="15" customHeight="1" x14ac:dyDescent="0.25">
      <c r="A223" s="17">
        <v>715</v>
      </c>
      <c r="B223" s="18" t="str">
        <f>TEXT(UNICOS!$A223,"000")</f>
        <v>715</v>
      </c>
      <c r="C223" s="19" t="s">
        <v>699</v>
      </c>
      <c r="D223" s="20" t="s">
        <v>53</v>
      </c>
      <c r="H223" s="22" t="s">
        <v>700</v>
      </c>
      <c r="I223" s="16" t="s">
        <v>701</v>
      </c>
    </row>
    <row r="224" spans="1:12" ht="15" customHeight="1" x14ac:dyDescent="0.25">
      <c r="A224" s="17">
        <v>720</v>
      </c>
      <c r="B224" s="18" t="str">
        <f>TEXT(UNICOS!$A224,"000")</f>
        <v>720</v>
      </c>
      <c r="C224" s="19" t="s">
        <v>702</v>
      </c>
      <c r="D224" s="20" t="s">
        <v>49</v>
      </c>
      <c r="H224" s="22" t="s">
        <v>33</v>
      </c>
      <c r="I224" s="16" t="s">
        <v>703</v>
      </c>
    </row>
    <row r="225" spans="1:9" ht="15" customHeight="1" x14ac:dyDescent="0.25">
      <c r="A225" s="17">
        <v>728</v>
      </c>
      <c r="B225" s="18" t="str">
        <f>TEXT(UNICOS!$A225,"000")</f>
        <v>728</v>
      </c>
      <c r="C225" s="19" t="s">
        <v>704</v>
      </c>
      <c r="D225" s="20" t="s">
        <v>49</v>
      </c>
      <c r="H225" s="22" t="s">
        <v>705</v>
      </c>
      <c r="I225" s="16" t="s">
        <v>706</v>
      </c>
    </row>
    <row r="226" spans="1:9" ht="15" customHeight="1" x14ac:dyDescent="0.25">
      <c r="A226" s="17">
        <v>731</v>
      </c>
      <c r="B226" s="18" t="str">
        <f>TEXT(UNICOS!$A226,"000")</f>
        <v>731</v>
      </c>
      <c r="C226" s="19" t="s">
        <v>707</v>
      </c>
      <c r="D226" s="20" t="s">
        <v>49</v>
      </c>
      <c r="H226" s="22" t="s">
        <v>708</v>
      </c>
      <c r="I226" s="16" t="s">
        <v>709</v>
      </c>
    </row>
    <row r="227" spans="1:9" ht="15" customHeight="1" x14ac:dyDescent="0.25">
      <c r="A227" s="17">
        <v>735</v>
      </c>
      <c r="B227" s="18" t="str">
        <f>TEXT(UNICOS!$A227,"000")</f>
        <v>735</v>
      </c>
      <c r="C227" s="19" t="s">
        <v>710</v>
      </c>
      <c r="D227" s="20" t="s">
        <v>49</v>
      </c>
      <c r="H227" s="22" t="s">
        <v>711</v>
      </c>
      <c r="I227" s="16" t="s">
        <v>712</v>
      </c>
    </row>
    <row r="228" spans="1:9" ht="15" customHeight="1" x14ac:dyDescent="0.25">
      <c r="A228" s="17">
        <v>741</v>
      </c>
      <c r="B228" s="18" t="str">
        <f>TEXT(UNICOS!$A228,"000")</f>
        <v>741</v>
      </c>
      <c r="C228" s="19" t="s">
        <v>713</v>
      </c>
      <c r="D228" s="20" t="s">
        <v>83</v>
      </c>
      <c r="H228" s="22" t="s">
        <v>711</v>
      </c>
      <c r="I228" s="16" t="s">
        <v>712</v>
      </c>
    </row>
    <row r="229" spans="1:9" ht="15" customHeight="1" x14ac:dyDescent="0.25">
      <c r="A229" s="17">
        <v>744</v>
      </c>
      <c r="B229" s="18" t="str">
        <f>TEXT(UNICOS!$A229,"000")</f>
        <v>744</v>
      </c>
      <c r="C229" s="19" t="s">
        <v>714</v>
      </c>
      <c r="D229" s="20" t="s">
        <v>83</v>
      </c>
      <c r="H229" s="22" t="s">
        <v>715</v>
      </c>
      <c r="I229" s="16" t="s">
        <v>716</v>
      </c>
    </row>
    <row r="230" spans="1:9" ht="15" customHeight="1" x14ac:dyDescent="0.25">
      <c r="A230" s="17">
        <v>748</v>
      </c>
      <c r="B230" s="18" t="str">
        <f>TEXT(UNICOS!$A230,"000")</f>
        <v>748</v>
      </c>
      <c r="C230" s="19" t="s">
        <v>717</v>
      </c>
      <c r="D230" s="20" t="s">
        <v>49</v>
      </c>
      <c r="H230" s="22" t="s">
        <v>718</v>
      </c>
      <c r="I230" s="16" t="s">
        <v>719</v>
      </c>
    </row>
    <row r="231" spans="1:9" ht="15" customHeight="1" x14ac:dyDescent="0.25">
      <c r="A231" s="17">
        <v>750</v>
      </c>
      <c r="B231" s="18" t="str">
        <f>TEXT(UNICOS!$A231,"000")</f>
        <v>750</v>
      </c>
      <c r="C231" s="19" t="s">
        <v>720</v>
      </c>
      <c r="D231" s="20" t="s">
        <v>83</v>
      </c>
      <c r="H231" s="22" t="s">
        <v>25</v>
      </c>
      <c r="I231" s="16" t="s">
        <v>721</v>
      </c>
    </row>
    <row r="232" spans="1:9" ht="15" customHeight="1" x14ac:dyDescent="0.25">
      <c r="A232" s="17">
        <v>756</v>
      </c>
      <c r="B232" s="18" t="str">
        <f>TEXT(UNICOS!$A232,"000")</f>
        <v>756</v>
      </c>
      <c r="C232" s="19" t="s">
        <v>722</v>
      </c>
      <c r="D232" s="20" t="s">
        <v>49</v>
      </c>
      <c r="H232" s="22" t="s">
        <v>26</v>
      </c>
      <c r="I232" s="16" t="s">
        <v>723</v>
      </c>
    </row>
    <row r="233" spans="1:9" ht="15" customHeight="1" x14ac:dyDescent="0.25">
      <c r="A233" s="17">
        <v>759</v>
      </c>
      <c r="B233" s="18" t="str">
        <f>TEXT(UNICOS!$A233,"000")</f>
        <v>759</v>
      </c>
      <c r="C233" s="19" t="s">
        <v>724</v>
      </c>
      <c r="D233" s="20" t="s">
        <v>49</v>
      </c>
      <c r="H233" s="22" t="s">
        <v>35</v>
      </c>
      <c r="I233" s="16" t="s">
        <v>725</v>
      </c>
    </row>
    <row r="234" spans="1:9" ht="15" customHeight="1" x14ac:dyDescent="0.25">
      <c r="A234" s="17">
        <v>764</v>
      </c>
      <c r="B234" s="18" t="str">
        <f>TEXT(UNICOS!$A234,"000")</f>
        <v>764</v>
      </c>
      <c r="C234" s="19" t="s">
        <v>726</v>
      </c>
      <c r="D234" s="20" t="s">
        <v>57</v>
      </c>
      <c r="H234" s="22" t="s">
        <v>39</v>
      </c>
      <c r="I234" s="16" t="s">
        <v>727</v>
      </c>
    </row>
    <row r="235" spans="1:9" ht="15" customHeight="1" x14ac:dyDescent="0.25">
      <c r="A235" s="17">
        <v>767</v>
      </c>
      <c r="B235" s="18" t="str">
        <f>TEXT(UNICOS!$A235,"000")</f>
        <v>767</v>
      </c>
      <c r="C235" s="19" t="s">
        <v>728</v>
      </c>
      <c r="D235" s="20" t="s">
        <v>57</v>
      </c>
      <c r="H235" s="22" t="s">
        <v>729</v>
      </c>
      <c r="I235" s="16" t="s">
        <v>730</v>
      </c>
    </row>
    <row r="236" spans="1:9" ht="15" customHeight="1" x14ac:dyDescent="0.25">
      <c r="A236" s="17">
        <v>770</v>
      </c>
      <c r="B236" s="18" t="str">
        <f>TEXT(UNICOS!$A236,"000")</f>
        <v>770</v>
      </c>
      <c r="C236" s="19" t="s">
        <v>731</v>
      </c>
      <c r="D236" s="20" t="s">
        <v>53</v>
      </c>
      <c r="H236" s="22" t="s">
        <v>732</v>
      </c>
      <c r="I236" s="16" t="s">
        <v>733</v>
      </c>
    </row>
    <row r="237" spans="1:9" ht="15" customHeight="1" x14ac:dyDescent="0.25">
      <c r="A237" s="17">
        <v>773</v>
      </c>
      <c r="B237" s="18" t="str">
        <f>TEXT(UNICOS!$A237,"000")</f>
        <v>773</v>
      </c>
      <c r="C237" s="19" t="s">
        <v>734</v>
      </c>
      <c r="D237" s="20" t="s">
        <v>49</v>
      </c>
      <c r="H237" s="22" t="s">
        <v>31</v>
      </c>
      <c r="I237" s="16" t="s">
        <v>735</v>
      </c>
    </row>
    <row r="238" spans="1:9" ht="15" customHeight="1" x14ac:dyDescent="0.25">
      <c r="A238" s="17">
        <v>774</v>
      </c>
      <c r="B238" s="18" t="str">
        <f>TEXT(UNICOS!$A238,"000")</f>
        <v>774</v>
      </c>
      <c r="C238" s="19" t="s">
        <v>736</v>
      </c>
      <c r="D238" s="20" t="s">
        <v>83</v>
      </c>
      <c r="H238" s="22" t="s">
        <v>37</v>
      </c>
      <c r="I238" s="16" t="s">
        <v>737</v>
      </c>
    </row>
    <row r="239" spans="1:9" ht="15" customHeight="1" x14ac:dyDescent="0.25">
      <c r="A239" s="17">
        <v>776</v>
      </c>
      <c r="B239" s="18" t="str">
        <f>TEXT(UNICOS!$A239,"000")</f>
        <v>776</v>
      </c>
      <c r="C239" s="19" t="s">
        <v>738</v>
      </c>
      <c r="D239" s="20" t="s">
        <v>83</v>
      </c>
      <c r="H239" s="22" t="s">
        <v>36</v>
      </c>
      <c r="I239" s="16" t="s">
        <v>739</v>
      </c>
    </row>
    <row r="240" spans="1:9" ht="15" customHeight="1" x14ac:dyDescent="0.25">
      <c r="A240" s="17">
        <v>780</v>
      </c>
      <c r="B240" s="18" t="str">
        <f>TEXT(UNICOS!$A240,"000")</f>
        <v>780</v>
      </c>
      <c r="C240" s="19" t="s">
        <v>740</v>
      </c>
      <c r="D240" s="20" t="s">
        <v>49</v>
      </c>
      <c r="H240" s="22" t="s">
        <v>20</v>
      </c>
      <c r="I240" s="16" t="s">
        <v>741</v>
      </c>
    </row>
    <row r="241" spans="1:9" ht="15" customHeight="1" x14ac:dyDescent="0.25">
      <c r="A241" s="17">
        <v>783</v>
      </c>
      <c r="B241" s="18" t="str">
        <f>TEXT(UNICOS!$A241,"000")</f>
        <v>783</v>
      </c>
      <c r="C241" s="19" t="s">
        <v>742</v>
      </c>
      <c r="D241" s="20" t="s">
        <v>49</v>
      </c>
      <c r="H241" s="22">
        <v>20477777393</v>
      </c>
      <c r="I241" s="16" t="s">
        <v>16440</v>
      </c>
    </row>
    <row r="242" spans="1:9" ht="15" customHeight="1" x14ac:dyDescent="0.25">
      <c r="A242" s="17">
        <v>786</v>
      </c>
      <c r="B242" s="18" t="str">
        <f>TEXT(UNICOS!$A242,"000")</f>
        <v>786</v>
      </c>
      <c r="C242" s="19" t="s">
        <v>743</v>
      </c>
      <c r="D242" s="24" t="s">
        <v>45</v>
      </c>
    </row>
    <row r="243" spans="1:9" ht="15" customHeight="1" x14ac:dyDescent="0.25">
      <c r="A243" s="17">
        <v>787</v>
      </c>
      <c r="B243" s="18" t="str">
        <f>TEXT(UNICOS!$A243,"000")</f>
        <v>787</v>
      </c>
      <c r="C243" s="19" t="s">
        <v>744</v>
      </c>
      <c r="D243" s="24" t="s">
        <v>83</v>
      </c>
    </row>
    <row r="244" spans="1:9" ht="15" customHeight="1" x14ac:dyDescent="0.25">
      <c r="A244" s="17">
        <v>788</v>
      </c>
      <c r="B244" s="18" t="str">
        <f>TEXT(UNICOS!$A244,"000")</f>
        <v>788</v>
      </c>
      <c r="C244" s="19" t="s">
        <v>745</v>
      </c>
      <c r="D244" s="24" t="s">
        <v>83</v>
      </c>
    </row>
    <row r="245" spans="1:9" ht="15" customHeight="1" x14ac:dyDescent="0.25">
      <c r="A245" s="17">
        <v>800</v>
      </c>
      <c r="B245" s="18" t="str">
        <f>TEXT(UNICOS!$A245,"000")</f>
        <v>800</v>
      </c>
      <c r="C245" s="19" t="s">
        <v>746</v>
      </c>
      <c r="D245" s="24" t="s">
        <v>49</v>
      </c>
    </row>
    <row r="246" spans="1:9" ht="15" customHeight="1" x14ac:dyDescent="0.25">
      <c r="A246" s="17">
        <v>805</v>
      </c>
      <c r="B246" s="18" t="str">
        <f>TEXT(UNICOS!$A246,"000")</f>
        <v>805</v>
      </c>
      <c r="C246" s="19" t="s">
        <v>747</v>
      </c>
      <c r="D246" s="24" t="s">
        <v>135</v>
      </c>
    </row>
    <row r="247" spans="1:9" ht="15" customHeight="1" x14ac:dyDescent="0.25">
      <c r="A247" s="17">
        <v>810</v>
      </c>
      <c r="B247" s="18" t="str">
        <f>TEXT(UNICOS!$A247,"000")</f>
        <v>810</v>
      </c>
      <c r="C247" s="19" t="s">
        <v>748</v>
      </c>
      <c r="D247" s="24" t="s">
        <v>135</v>
      </c>
    </row>
    <row r="248" spans="1:9" ht="15" customHeight="1" x14ac:dyDescent="0.25">
      <c r="A248" s="17">
        <v>815</v>
      </c>
      <c r="B248" s="18" t="str">
        <f>TEXT(UNICOS!$A248,"000")</f>
        <v>815</v>
      </c>
      <c r="C248" s="19" t="s">
        <v>749</v>
      </c>
      <c r="D248" s="24" t="s">
        <v>53</v>
      </c>
    </row>
    <row r="249" spans="1:9" ht="15" customHeight="1" x14ac:dyDescent="0.25">
      <c r="A249" s="17">
        <v>816</v>
      </c>
      <c r="B249" s="18" t="str">
        <f>TEXT(UNICOS!$A249,"000")</f>
        <v>816</v>
      </c>
      <c r="C249" s="19" t="s">
        <v>750</v>
      </c>
      <c r="D249" s="24" t="s">
        <v>49</v>
      </c>
    </row>
    <row r="250" spans="1:9" ht="15" customHeight="1" x14ac:dyDescent="0.25">
      <c r="A250" s="17">
        <v>820</v>
      </c>
      <c r="B250" s="18" t="str">
        <f>TEXT(UNICOS!$A250,"000")</f>
        <v>820</v>
      </c>
      <c r="C250" s="19" t="s">
        <v>751</v>
      </c>
      <c r="D250" s="24" t="s">
        <v>49</v>
      </c>
    </row>
    <row r="251" spans="1:9" ht="15" customHeight="1" x14ac:dyDescent="0.25">
      <c r="A251" s="17">
        <v>823</v>
      </c>
      <c r="B251" s="18" t="str">
        <f>TEXT(UNICOS!$A251,"000")</f>
        <v>823</v>
      </c>
      <c r="C251" s="19" t="s">
        <v>752</v>
      </c>
      <c r="D251" s="24" t="s">
        <v>53</v>
      </c>
    </row>
    <row r="252" spans="1:9" ht="15" customHeight="1" x14ac:dyDescent="0.25">
      <c r="A252" s="17">
        <v>825</v>
      </c>
      <c r="B252" s="18" t="str">
        <f>TEXT(UNICOS!$A252,"000")</f>
        <v>825</v>
      </c>
      <c r="C252" s="19" t="s">
        <v>753</v>
      </c>
      <c r="D252" s="24" t="s">
        <v>83</v>
      </c>
    </row>
    <row r="253" spans="1:9" ht="15" customHeight="1" x14ac:dyDescent="0.25">
      <c r="A253" s="17">
        <v>827</v>
      </c>
      <c r="B253" s="18" t="str">
        <f>TEXT(UNICOS!$A253,"000")</f>
        <v>827</v>
      </c>
      <c r="C253" s="19" t="s">
        <v>754</v>
      </c>
      <c r="D253" s="24" t="s">
        <v>83</v>
      </c>
    </row>
    <row r="254" spans="1:9" ht="15" customHeight="1" x14ac:dyDescent="0.25">
      <c r="A254" s="17">
        <v>828</v>
      </c>
      <c r="B254" s="18" t="str">
        <f>TEXT(UNICOS!$A254,"000")</f>
        <v>828</v>
      </c>
      <c r="C254" s="19" t="s">
        <v>755</v>
      </c>
      <c r="D254" s="24" t="s">
        <v>135</v>
      </c>
    </row>
    <row r="255" spans="1:9" ht="15" customHeight="1" x14ac:dyDescent="0.25">
      <c r="A255" s="17">
        <v>830</v>
      </c>
      <c r="B255" s="18" t="str">
        <f>TEXT(UNICOS!$A255,"000")</f>
        <v>830</v>
      </c>
      <c r="C255" s="19" t="s">
        <v>756</v>
      </c>
      <c r="D255" s="24" t="s">
        <v>57</v>
      </c>
    </row>
    <row r="256" spans="1:9" ht="15" customHeight="1" x14ac:dyDescent="0.25">
      <c r="A256" s="17">
        <v>833</v>
      </c>
      <c r="B256" s="18" t="str">
        <f>TEXT(UNICOS!$A256,"000")</f>
        <v>833</v>
      </c>
      <c r="C256" s="19" t="s">
        <v>757</v>
      </c>
      <c r="D256" s="24" t="s">
        <v>49</v>
      </c>
    </row>
    <row r="257" spans="1:4" ht="15" customHeight="1" x14ac:dyDescent="0.25">
      <c r="A257" s="17">
        <v>840</v>
      </c>
      <c r="B257" s="18" t="str">
        <f>TEXT(UNICOS!$A257,"000")</f>
        <v>840</v>
      </c>
      <c r="C257" s="19" t="s">
        <v>758</v>
      </c>
      <c r="D257" s="24" t="s">
        <v>639</v>
      </c>
    </row>
    <row r="258" spans="1:4" ht="15" customHeight="1" x14ac:dyDescent="0.25">
      <c r="A258" s="17">
        <v>845</v>
      </c>
      <c r="B258" s="18" t="str">
        <f>TEXT(UNICOS!$A258,"000")</f>
        <v>845</v>
      </c>
      <c r="C258" s="19" t="s">
        <v>759</v>
      </c>
      <c r="D258" s="24" t="s">
        <v>53</v>
      </c>
    </row>
    <row r="259" spans="1:4" ht="15" customHeight="1" x14ac:dyDescent="0.25">
      <c r="A259" s="17">
        <v>847</v>
      </c>
      <c r="B259" s="18" t="str">
        <f>TEXT(UNICOS!$A259,"000")</f>
        <v>847</v>
      </c>
      <c r="C259" s="19" t="s">
        <v>760</v>
      </c>
      <c r="D259" s="24" t="s">
        <v>83</v>
      </c>
    </row>
    <row r="260" spans="1:4" ht="15" customHeight="1" x14ac:dyDescent="0.25">
      <c r="A260" s="17">
        <v>850</v>
      </c>
      <c r="B260" s="18" t="str">
        <f>TEXT(UNICOS!$A260,"000")</f>
        <v>850</v>
      </c>
      <c r="C260" s="19" t="s">
        <v>761</v>
      </c>
      <c r="D260" s="24" t="s">
        <v>53</v>
      </c>
    </row>
    <row r="261" spans="1:4" ht="15" customHeight="1" x14ac:dyDescent="0.25">
      <c r="A261" s="17">
        <v>855</v>
      </c>
      <c r="B261" s="18" t="str">
        <f>TEXT(UNICOS!$A261,"000")</f>
        <v>855</v>
      </c>
      <c r="C261" s="19" t="s">
        <v>762</v>
      </c>
      <c r="D261" s="24" t="s">
        <v>83</v>
      </c>
    </row>
    <row r="262" spans="1:4" ht="15" customHeight="1" x14ac:dyDescent="0.25">
      <c r="A262" s="17">
        <v>858</v>
      </c>
      <c r="B262" s="18" t="str">
        <f>TEXT(UNICOS!$A262,"000")</f>
        <v>858</v>
      </c>
      <c r="C262" s="19" t="s">
        <v>763</v>
      </c>
      <c r="D262" s="24" t="s">
        <v>83</v>
      </c>
    </row>
    <row r="263" spans="1:4" ht="15" customHeight="1" x14ac:dyDescent="0.25">
      <c r="A263" s="17">
        <v>863</v>
      </c>
      <c r="B263" s="18" t="str">
        <f>TEXT(UNICOS!$A263,"000")</f>
        <v>863</v>
      </c>
      <c r="C263" s="19" t="s">
        <v>764</v>
      </c>
      <c r="D263" s="24" t="s">
        <v>53</v>
      </c>
    </row>
    <row r="264" spans="1:4" ht="15" customHeight="1" x14ac:dyDescent="0.25">
      <c r="A264" s="17">
        <v>866</v>
      </c>
      <c r="B264" s="18" t="str">
        <f>TEXT(UNICOS!$A264,"000")</f>
        <v>866</v>
      </c>
      <c r="C264" s="19" t="s">
        <v>765</v>
      </c>
      <c r="D264" s="24" t="s">
        <v>53</v>
      </c>
    </row>
    <row r="265" spans="1:4" ht="15" customHeight="1" x14ac:dyDescent="0.25">
      <c r="A265" s="17">
        <v>870</v>
      </c>
      <c r="B265" s="18" t="str">
        <f>TEXT(UNICOS!$A265,"000")</f>
        <v>870</v>
      </c>
      <c r="C265" s="19" t="s">
        <v>766</v>
      </c>
      <c r="D265" s="24" t="s">
        <v>135</v>
      </c>
    </row>
    <row r="266" spans="1:4" ht="15" customHeight="1" x14ac:dyDescent="0.25">
      <c r="A266" s="17">
        <v>873</v>
      </c>
      <c r="B266" s="18" t="str">
        <f>TEXT(UNICOS!$A266,"000")</f>
        <v>873</v>
      </c>
      <c r="C266" s="19" t="s">
        <v>767</v>
      </c>
      <c r="D266" s="24" t="s">
        <v>135</v>
      </c>
    </row>
    <row r="267" spans="1:4" ht="15" customHeight="1" x14ac:dyDescent="0.25">
      <c r="A267" s="17">
        <v>875</v>
      </c>
      <c r="B267" s="18" t="str">
        <f>TEXT(UNICOS!$A267,"000")</f>
        <v>875</v>
      </c>
      <c r="C267" s="19" t="s">
        <v>768</v>
      </c>
      <c r="D267" s="24" t="s">
        <v>135</v>
      </c>
    </row>
    <row r="268" spans="1:4" ht="15" customHeight="1" x14ac:dyDescent="0.25">
      <c r="A268" s="17">
        <v>880</v>
      </c>
      <c r="B268" s="18" t="str">
        <f>TEXT(UNICOS!$A268,"000")</f>
        <v>880</v>
      </c>
      <c r="C268" s="19" t="s">
        <v>769</v>
      </c>
      <c r="D268" s="24" t="s">
        <v>83</v>
      </c>
    </row>
    <row r="269" spans="1:4" ht="15" customHeight="1" x14ac:dyDescent="0.25">
      <c r="A269" s="17">
        <v>885</v>
      </c>
      <c r="B269" s="18" t="str">
        <f>TEXT(UNICOS!$A269,"000")</f>
        <v>885</v>
      </c>
      <c r="C269" s="19" t="s">
        <v>770</v>
      </c>
      <c r="D269" s="24" t="s">
        <v>57</v>
      </c>
    </row>
    <row r="270" spans="1:4" ht="15" customHeight="1" x14ac:dyDescent="0.25">
      <c r="A270" s="17">
        <v>888</v>
      </c>
      <c r="B270" s="18" t="str">
        <f>TEXT(UNICOS!$A270,"000")</f>
        <v>888</v>
      </c>
      <c r="C270" s="19" t="s">
        <v>771</v>
      </c>
      <c r="D270" s="24" t="s">
        <v>49</v>
      </c>
    </row>
    <row r="271" spans="1:4" ht="15" customHeight="1" x14ac:dyDescent="0.25">
      <c r="A271" s="17">
        <v>890</v>
      </c>
      <c r="B271" s="18" t="str">
        <f>TEXT(UNICOS!$A271,"000")</f>
        <v>890</v>
      </c>
      <c r="C271" s="19" t="s">
        <v>772</v>
      </c>
      <c r="D271" s="24" t="s">
        <v>49</v>
      </c>
    </row>
    <row r="272" spans="1:4" ht="15" customHeight="1" x14ac:dyDescent="0.25">
      <c r="A272" s="17">
        <v>895</v>
      </c>
      <c r="B272" s="18" t="str">
        <f>TEXT(UNICOS!$A272,"000")</f>
        <v>895</v>
      </c>
      <c r="C272" s="19" t="s">
        <v>773</v>
      </c>
      <c r="D272" s="24" t="s">
        <v>53</v>
      </c>
    </row>
    <row r="273" spans="1:4" ht="15" customHeight="1" x14ac:dyDescent="0.25">
      <c r="A273" s="17">
        <v>896</v>
      </c>
      <c r="B273" s="18" t="str">
        <f>TEXT(UNICOS!$A273,"000")</f>
        <v>896</v>
      </c>
      <c r="C273" s="19" t="s">
        <v>774</v>
      </c>
      <c r="D273" s="24" t="s">
        <v>57</v>
      </c>
    </row>
    <row r="274" spans="1:4" ht="15" customHeight="1" x14ac:dyDescent="0.25">
      <c r="A274" s="17">
        <v>897</v>
      </c>
      <c r="B274" s="18" t="str">
        <f>TEXT(UNICOS!$A274,"000")</f>
        <v>897</v>
      </c>
      <c r="C274" s="19" t="s">
        <v>775</v>
      </c>
      <c r="D274" s="24" t="s">
        <v>83</v>
      </c>
    </row>
  </sheetData>
  <pageMargins left="0.75" right="0.75" top="1" bottom="1" header="0" footer="0"/>
  <pageSetup paperSize="9" orientation="portrait" r:id="rId1"/>
  <headerFooter alignWithMargins="0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FF965-9E90-46B7-B00B-CB594F943B3C}">
  <sheetPr>
    <tabColor theme="1"/>
  </sheetPr>
  <dimension ref="A1:U8306"/>
  <sheetViews>
    <sheetView topLeftCell="D1" workbookViewId="0"/>
  </sheetViews>
  <sheetFormatPr baseColWidth="10" defaultRowHeight="13.5" x14ac:dyDescent="0.25"/>
  <cols>
    <col min="1" max="1" width="12" style="16" bestFit="1" customWidth="1"/>
    <col min="2" max="5" width="12" style="16" customWidth="1"/>
    <col min="6" max="6" width="37.7109375" style="16" customWidth="1"/>
    <col min="7" max="7" width="36.42578125" style="16" customWidth="1"/>
    <col min="8" max="8" width="20.140625" style="16" customWidth="1"/>
    <col min="9" max="10" width="11.42578125" style="16"/>
    <col min="11" max="11" width="15" style="16" bestFit="1" customWidth="1"/>
    <col min="12" max="12" width="17.85546875" style="16" bestFit="1" customWidth="1"/>
    <col min="13" max="256" width="11.42578125" style="16"/>
    <col min="257" max="257" width="12" style="16" bestFit="1" customWidth="1"/>
    <col min="258" max="261" width="12" style="16" customWidth="1"/>
    <col min="262" max="262" width="37.7109375" style="16" customWidth="1"/>
    <col min="263" max="263" width="36.42578125" style="16" customWidth="1"/>
    <col min="264" max="264" width="20.140625" style="16" customWidth="1"/>
    <col min="265" max="266" width="11.42578125" style="16"/>
    <col min="267" max="267" width="15" style="16" bestFit="1" customWidth="1"/>
    <col min="268" max="268" width="17.85546875" style="16" bestFit="1" customWidth="1"/>
    <col min="269" max="512" width="11.42578125" style="16"/>
    <col min="513" max="513" width="12" style="16" bestFit="1" customWidth="1"/>
    <col min="514" max="517" width="12" style="16" customWidth="1"/>
    <col min="518" max="518" width="37.7109375" style="16" customWidth="1"/>
    <col min="519" max="519" width="36.42578125" style="16" customWidth="1"/>
    <col min="520" max="520" width="20.140625" style="16" customWidth="1"/>
    <col min="521" max="522" width="11.42578125" style="16"/>
    <col min="523" max="523" width="15" style="16" bestFit="1" customWidth="1"/>
    <col min="524" max="524" width="17.85546875" style="16" bestFit="1" customWidth="1"/>
    <col min="525" max="768" width="11.42578125" style="16"/>
    <col min="769" max="769" width="12" style="16" bestFit="1" customWidth="1"/>
    <col min="770" max="773" width="12" style="16" customWidth="1"/>
    <col min="774" max="774" width="37.7109375" style="16" customWidth="1"/>
    <col min="775" max="775" width="36.42578125" style="16" customWidth="1"/>
    <col min="776" max="776" width="20.140625" style="16" customWidth="1"/>
    <col min="777" max="778" width="11.42578125" style="16"/>
    <col min="779" max="779" width="15" style="16" bestFit="1" customWidth="1"/>
    <col min="780" max="780" width="17.85546875" style="16" bestFit="1" customWidth="1"/>
    <col min="781" max="1024" width="11.42578125" style="16"/>
    <col min="1025" max="1025" width="12" style="16" bestFit="1" customWidth="1"/>
    <col min="1026" max="1029" width="12" style="16" customWidth="1"/>
    <col min="1030" max="1030" width="37.7109375" style="16" customWidth="1"/>
    <col min="1031" max="1031" width="36.42578125" style="16" customWidth="1"/>
    <col min="1032" max="1032" width="20.140625" style="16" customWidth="1"/>
    <col min="1033" max="1034" width="11.42578125" style="16"/>
    <col min="1035" max="1035" width="15" style="16" bestFit="1" customWidth="1"/>
    <col min="1036" max="1036" width="17.85546875" style="16" bestFit="1" customWidth="1"/>
    <col min="1037" max="1280" width="11.42578125" style="16"/>
    <col min="1281" max="1281" width="12" style="16" bestFit="1" customWidth="1"/>
    <col min="1282" max="1285" width="12" style="16" customWidth="1"/>
    <col min="1286" max="1286" width="37.7109375" style="16" customWidth="1"/>
    <col min="1287" max="1287" width="36.42578125" style="16" customWidth="1"/>
    <col min="1288" max="1288" width="20.140625" style="16" customWidth="1"/>
    <col min="1289" max="1290" width="11.42578125" style="16"/>
    <col min="1291" max="1291" width="15" style="16" bestFit="1" customWidth="1"/>
    <col min="1292" max="1292" width="17.85546875" style="16" bestFit="1" customWidth="1"/>
    <col min="1293" max="1536" width="11.42578125" style="16"/>
    <col min="1537" max="1537" width="12" style="16" bestFit="1" customWidth="1"/>
    <col min="1538" max="1541" width="12" style="16" customWidth="1"/>
    <col min="1542" max="1542" width="37.7109375" style="16" customWidth="1"/>
    <col min="1543" max="1543" width="36.42578125" style="16" customWidth="1"/>
    <col min="1544" max="1544" width="20.140625" style="16" customWidth="1"/>
    <col min="1545" max="1546" width="11.42578125" style="16"/>
    <col min="1547" max="1547" width="15" style="16" bestFit="1" customWidth="1"/>
    <col min="1548" max="1548" width="17.85546875" style="16" bestFit="1" customWidth="1"/>
    <col min="1549" max="1792" width="11.42578125" style="16"/>
    <col min="1793" max="1793" width="12" style="16" bestFit="1" customWidth="1"/>
    <col min="1794" max="1797" width="12" style="16" customWidth="1"/>
    <col min="1798" max="1798" width="37.7109375" style="16" customWidth="1"/>
    <col min="1799" max="1799" width="36.42578125" style="16" customWidth="1"/>
    <col min="1800" max="1800" width="20.140625" style="16" customWidth="1"/>
    <col min="1801" max="1802" width="11.42578125" style="16"/>
    <col min="1803" max="1803" width="15" style="16" bestFit="1" customWidth="1"/>
    <col min="1804" max="1804" width="17.85546875" style="16" bestFit="1" customWidth="1"/>
    <col min="1805" max="2048" width="11.42578125" style="16"/>
    <col min="2049" max="2049" width="12" style="16" bestFit="1" customWidth="1"/>
    <col min="2050" max="2053" width="12" style="16" customWidth="1"/>
    <col min="2054" max="2054" width="37.7109375" style="16" customWidth="1"/>
    <col min="2055" max="2055" width="36.42578125" style="16" customWidth="1"/>
    <col min="2056" max="2056" width="20.140625" style="16" customWidth="1"/>
    <col min="2057" max="2058" width="11.42578125" style="16"/>
    <col min="2059" max="2059" width="15" style="16" bestFit="1" customWidth="1"/>
    <col min="2060" max="2060" width="17.85546875" style="16" bestFit="1" customWidth="1"/>
    <col min="2061" max="2304" width="11.42578125" style="16"/>
    <col min="2305" max="2305" width="12" style="16" bestFit="1" customWidth="1"/>
    <col min="2306" max="2309" width="12" style="16" customWidth="1"/>
    <col min="2310" max="2310" width="37.7109375" style="16" customWidth="1"/>
    <col min="2311" max="2311" width="36.42578125" style="16" customWidth="1"/>
    <col min="2312" max="2312" width="20.140625" style="16" customWidth="1"/>
    <col min="2313" max="2314" width="11.42578125" style="16"/>
    <col min="2315" max="2315" width="15" style="16" bestFit="1" customWidth="1"/>
    <col min="2316" max="2316" width="17.85546875" style="16" bestFit="1" customWidth="1"/>
    <col min="2317" max="2560" width="11.42578125" style="16"/>
    <col min="2561" max="2561" width="12" style="16" bestFit="1" customWidth="1"/>
    <col min="2562" max="2565" width="12" style="16" customWidth="1"/>
    <col min="2566" max="2566" width="37.7109375" style="16" customWidth="1"/>
    <col min="2567" max="2567" width="36.42578125" style="16" customWidth="1"/>
    <col min="2568" max="2568" width="20.140625" style="16" customWidth="1"/>
    <col min="2569" max="2570" width="11.42578125" style="16"/>
    <col min="2571" max="2571" width="15" style="16" bestFit="1" customWidth="1"/>
    <col min="2572" max="2572" width="17.85546875" style="16" bestFit="1" customWidth="1"/>
    <col min="2573" max="2816" width="11.42578125" style="16"/>
    <col min="2817" max="2817" width="12" style="16" bestFit="1" customWidth="1"/>
    <col min="2818" max="2821" width="12" style="16" customWidth="1"/>
    <col min="2822" max="2822" width="37.7109375" style="16" customWidth="1"/>
    <col min="2823" max="2823" width="36.42578125" style="16" customWidth="1"/>
    <col min="2824" max="2824" width="20.140625" style="16" customWidth="1"/>
    <col min="2825" max="2826" width="11.42578125" style="16"/>
    <col min="2827" max="2827" width="15" style="16" bestFit="1" customWidth="1"/>
    <col min="2828" max="2828" width="17.85546875" style="16" bestFit="1" customWidth="1"/>
    <col min="2829" max="3072" width="11.42578125" style="16"/>
    <col min="3073" max="3073" width="12" style="16" bestFit="1" customWidth="1"/>
    <col min="3074" max="3077" width="12" style="16" customWidth="1"/>
    <col min="3078" max="3078" width="37.7109375" style="16" customWidth="1"/>
    <col min="3079" max="3079" width="36.42578125" style="16" customWidth="1"/>
    <col min="3080" max="3080" width="20.140625" style="16" customWidth="1"/>
    <col min="3081" max="3082" width="11.42578125" style="16"/>
    <col min="3083" max="3083" width="15" style="16" bestFit="1" customWidth="1"/>
    <col min="3084" max="3084" width="17.85546875" style="16" bestFit="1" customWidth="1"/>
    <col min="3085" max="3328" width="11.42578125" style="16"/>
    <col min="3329" max="3329" width="12" style="16" bestFit="1" customWidth="1"/>
    <col min="3330" max="3333" width="12" style="16" customWidth="1"/>
    <col min="3334" max="3334" width="37.7109375" style="16" customWidth="1"/>
    <col min="3335" max="3335" width="36.42578125" style="16" customWidth="1"/>
    <col min="3336" max="3336" width="20.140625" style="16" customWidth="1"/>
    <col min="3337" max="3338" width="11.42578125" style="16"/>
    <col min="3339" max="3339" width="15" style="16" bestFit="1" customWidth="1"/>
    <col min="3340" max="3340" width="17.85546875" style="16" bestFit="1" customWidth="1"/>
    <col min="3341" max="3584" width="11.42578125" style="16"/>
    <col min="3585" max="3585" width="12" style="16" bestFit="1" customWidth="1"/>
    <col min="3586" max="3589" width="12" style="16" customWidth="1"/>
    <col min="3590" max="3590" width="37.7109375" style="16" customWidth="1"/>
    <col min="3591" max="3591" width="36.42578125" style="16" customWidth="1"/>
    <col min="3592" max="3592" width="20.140625" style="16" customWidth="1"/>
    <col min="3593" max="3594" width="11.42578125" style="16"/>
    <col min="3595" max="3595" width="15" style="16" bestFit="1" customWidth="1"/>
    <col min="3596" max="3596" width="17.85546875" style="16" bestFit="1" customWidth="1"/>
    <col min="3597" max="3840" width="11.42578125" style="16"/>
    <col min="3841" max="3841" width="12" style="16" bestFit="1" customWidth="1"/>
    <col min="3842" max="3845" width="12" style="16" customWidth="1"/>
    <col min="3846" max="3846" width="37.7109375" style="16" customWidth="1"/>
    <col min="3847" max="3847" width="36.42578125" style="16" customWidth="1"/>
    <col min="3848" max="3848" width="20.140625" style="16" customWidth="1"/>
    <col min="3849" max="3850" width="11.42578125" style="16"/>
    <col min="3851" max="3851" width="15" style="16" bestFit="1" customWidth="1"/>
    <col min="3852" max="3852" width="17.85546875" style="16" bestFit="1" customWidth="1"/>
    <col min="3853" max="4096" width="11.42578125" style="16"/>
    <col min="4097" max="4097" width="12" style="16" bestFit="1" customWidth="1"/>
    <col min="4098" max="4101" width="12" style="16" customWidth="1"/>
    <col min="4102" max="4102" width="37.7109375" style="16" customWidth="1"/>
    <col min="4103" max="4103" width="36.42578125" style="16" customWidth="1"/>
    <col min="4104" max="4104" width="20.140625" style="16" customWidth="1"/>
    <col min="4105" max="4106" width="11.42578125" style="16"/>
    <col min="4107" max="4107" width="15" style="16" bestFit="1" customWidth="1"/>
    <col min="4108" max="4108" width="17.85546875" style="16" bestFit="1" customWidth="1"/>
    <col min="4109" max="4352" width="11.42578125" style="16"/>
    <col min="4353" max="4353" width="12" style="16" bestFit="1" customWidth="1"/>
    <col min="4354" max="4357" width="12" style="16" customWidth="1"/>
    <col min="4358" max="4358" width="37.7109375" style="16" customWidth="1"/>
    <col min="4359" max="4359" width="36.42578125" style="16" customWidth="1"/>
    <col min="4360" max="4360" width="20.140625" style="16" customWidth="1"/>
    <col min="4361" max="4362" width="11.42578125" style="16"/>
    <col min="4363" max="4363" width="15" style="16" bestFit="1" customWidth="1"/>
    <col min="4364" max="4364" width="17.85546875" style="16" bestFit="1" customWidth="1"/>
    <col min="4365" max="4608" width="11.42578125" style="16"/>
    <col min="4609" max="4609" width="12" style="16" bestFit="1" customWidth="1"/>
    <col min="4610" max="4613" width="12" style="16" customWidth="1"/>
    <col min="4614" max="4614" width="37.7109375" style="16" customWidth="1"/>
    <col min="4615" max="4615" width="36.42578125" style="16" customWidth="1"/>
    <col min="4616" max="4616" width="20.140625" style="16" customWidth="1"/>
    <col min="4617" max="4618" width="11.42578125" style="16"/>
    <col min="4619" max="4619" width="15" style="16" bestFit="1" customWidth="1"/>
    <col min="4620" max="4620" width="17.85546875" style="16" bestFit="1" customWidth="1"/>
    <col min="4621" max="4864" width="11.42578125" style="16"/>
    <col min="4865" max="4865" width="12" style="16" bestFit="1" customWidth="1"/>
    <col min="4866" max="4869" width="12" style="16" customWidth="1"/>
    <col min="4870" max="4870" width="37.7109375" style="16" customWidth="1"/>
    <col min="4871" max="4871" width="36.42578125" style="16" customWidth="1"/>
    <col min="4872" max="4872" width="20.140625" style="16" customWidth="1"/>
    <col min="4873" max="4874" width="11.42578125" style="16"/>
    <col min="4875" max="4875" width="15" style="16" bestFit="1" customWidth="1"/>
    <col min="4876" max="4876" width="17.85546875" style="16" bestFit="1" customWidth="1"/>
    <col min="4877" max="5120" width="11.42578125" style="16"/>
    <col min="5121" max="5121" width="12" style="16" bestFit="1" customWidth="1"/>
    <col min="5122" max="5125" width="12" style="16" customWidth="1"/>
    <col min="5126" max="5126" width="37.7109375" style="16" customWidth="1"/>
    <col min="5127" max="5127" width="36.42578125" style="16" customWidth="1"/>
    <col min="5128" max="5128" width="20.140625" style="16" customWidth="1"/>
    <col min="5129" max="5130" width="11.42578125" style="16"/>
    <col min="5131" max="5131" width="15" style="16" bestFit="1" customWidth="1"/>
    <col min="5132" max="5132" width="17.85546875" style="16" bestFit="1" customWidth="1"/>
    <col min="5133" max="5376" width="11.42578125" style="16"/>
    <col min="5377" max="5377" width="12" style="16" bestFit="1" customWidth="1"/>
    <col min="5378" max="5381" width="12" style="16" customWidth="1"/>
    <col min="5382" max="5382" width="37.7109375" style="16" customWidth="1"/>
    <col min="5383" max="5383" width="36.42578125" style="16" customWidth="1"/>
    <col min="5384" max="5384" width="20.140625" style="16" customWidth="1"/>
    <col min="5385" max="5386" width="11.42578125" style="16"/>
    <col min="5387" max="5387" width="15" style="16" bestFit="1" customWidth="1"/>
    <col min="5388" max="5388" width="17.85546875" style="16" bestFit="1" customWidth="1"/>
    <col min="5389" max="5632" width="11.42578125" style="16"/>
    <col min="5633" max="5633" width="12" style="16" bestFit="1" customWidth="1"/>
    <col min="5634" max="5637" width="12" style="16" customWidth="1"/>
    <col min="5638" max="5638" width="37.7109375" style="16" customWidth="1"/>
    <col min="5639" max="5639" width="36.42578125" style="16" customWidth="1"/>
    <col min="5640" max="5640" width="20.140625" style="16" customWidth="1"/>
    <col min="5641" max="5642" width="11.42578125" style="16"/>
    <col min="5643" max="5643" width="15" style="16" bestFit="1" customWidth="1"/>
    <col min="5644" max="5644" width="17.85546875" style="16" bestFit="1" customWidth="1"/>
    <col min="5645" max="5888" width="11.42578125" style="16"/>
    <col min="5889" max="5889" width="12" style="16" bestFit="1" customWidth="1"/>
    <col min="5890" max="5893" width="12" style="16" customWidth="1"/>
    <col min="5894" max="5894" width="37.7109375" style="16" customWidth="1"/>
    <col min="5895" max="5895" width="36.42578125" style="16" customWidth="1"/>
    <col min="5896" max="5896" width="20.140625" style="16" customWidth="1"/>
    <col min="5897" max="5898" width="11.42578125" style="16"/>
    <col min="5899" max="5899" width="15" style="16" bestFit="1" customWidth="1"/>
    <col min="5900" max="5900" width="17.85546875" style="16" bestFit="1" customWidth="1"/>
    <col min="5901" max="6144" width="11.42578125" style="16"/>
    <col min="6145" max="6145" width="12" style="16" bestFit="1" customWidth="1"/>
    <col min="6146" max="6149" width="12" style="16" customWidth="1"/>
    <col min="6150" max="6150" width="37.7109375" style="16" customWidth="1"/>
    <col min="6151" max="6151" width="36.42578125" style="16" customWidth="1"/>
    <col min="6152" max="6152" width="20.140625" style="16" customWidth="1"/>
    <col min="6153" max="6154" width="11.42578125" style="16"/>
    <col min="6155" max="6155" width="15" style="16" bestFit="1" customWidth="1"/>
    <col min="6156" max="6156" width="17.85546875" style="16" bestFit="1" customWidth="1"/>
    <col min="6157" max="6400" width="11.42578125" style="16"/>
    <col min="6401" max="6401" width="12" style="16" bestFit="1" customWidth="1"/>
    <col min="6402" max="6405" width="12" style="16" customWidth="1"/>
    <col min="6406" max="6406" width="37.7109375" style="16" customWidth="1"/>
    <col min="6407" max="6407" width="36.42578125" style="16" customWidth="1"/>
    <col min="6408" max="6408" width="20.140625" style="16" customWidth="1"/>
    <col min="6409" max="6410" width="11.42578125" style="16"/>
    <col min="6411" max="6411" width="15" style="16" bestFit="1" customWidth="1"/>
    <col min="6412" max="6412" width="17.85546875" style="16" bestFit="1" customWidth="1"/>
    <col min="6413" max="6656" width="11.42578125" style="16"/>
    <col min="6657" max="6657" width="12" style="16" bestFit="1" customWidth="1"/>
    <col min="6658" max="6661" width="12" style="16" customWidth="1"/>
    <col min="6662" max="6662" width="37.7109375" style="16" customWidth="1"/>
    <col min="6663" max="6663" width="36.42578125" style="16" customWidth="1"/>
    <col min="6664" max="6664" width="20.140625" style="16" customWidth="1"/>
    <col min="6665" max="6666" width="11.42578125" style="16"/>
    <col min="6667" max="6667" width="15" style="16" bestFit="1" customWidth="1"/>
    <col min="6668" max="6668" width="17.85546875" style="16" bestFit="1" customWidth="1"/>
    <col min="6669" max="6912" width="11.42578125" style="16"/>
    <col min="6913" max="6913" width="12" style="16" bestFit="1" customWidth="1"/>
    <col min="6914" max="6917" width="12" style="16" customWidth="1"/>
    <col min="6918" max="6918" width="37.7109375" style="16" customWidth="1"/>
    <col min="6919" max="6919" width="36.42578125" style="16" customWidth="1"/>
    <col min="6920" max="6920" width="20.140625" style="16" customWidth="1"/>
    <col min="6921" max="6922" width="11.42578125" style="16"/>
    <col min="6923" max="6923" width="15" style="16" bestFit="1" customWidth="1"/>
    <col min="6924" max="6924" width="17.85546875" style="16" bestFit="1" customWidth="1"/>
    <col min="6925" max="7168" width="11.42578125" style="16"/>
    <col min="7169" max="7169" width="12" style="16" bestFit="1" customWidth="1"/>
    <col min="7170" max="7173" width="12" style="16" customWidth="1"/>
    <col min="7174" max="7174" width="37.7109375" style="16" customWidth="1"/>
    <col min="7175" max="7175" width="36.42578125" style="16" customWidth="1"/>
    <col min="7176" max="7176" width="20.140625" style="16" customWidth="1"/>
    <col min="7177" max="7178" width="11.42578125" style="16"/>
    <col min="7179" max="7179" width="15" style="16" bestFit="1" customWidth="1"/>
    <col min="7180" max="7180" width="17.85546875" style="16" bestFit="1" customWidth="1"/>
    <col min="7181" max="7424" width="11.42578125" style="16"/>
    <col min="7425" max="7425" width="12" style="16" bestFit="1" customWidth="1"/>
    <col min="7426" max="7429" width="12" style="16" customWidth="1"/>
    <col min="7430" max="7430" width="37.7109375" style="16" customWidth="1"/>
    <col min="7431" max="7431" width="36.42578125" style="16" customWidth="1"/>
    <col min="7432" max="7432" width="20.140625" style="16" customWidth="1"/>
    <col min="7433" max="7434" width="11.42578125" style="16"/>
    <col min="7435" max="7435" width="15" style="16" bestFit="1" customWidth="1"/>
    <col min="7436" max="7436" width="17.85546875" style="16" bestFit="1" customWidth="1"/>
    <col min="7437" max="7680" width="11.42578125" style="16"/>
    <col min="7681" max="7681" width="12" style="16" bestFit="1" customWidth="1"/>
    <col min="7682" max="7685" width="12" style="16" customWidth="1"/>
    <col min="7686" max="7686" width="37.7109375" style="16" customWidth="1"/>
    <col min="7687" max="7687" width="36.42578125" style="16" customWidth="1"/>
    <col min="7688" max="7688" width="20.140625" style="16" customWidth="1"/>
    <col min="7689" max="7690" width="11.42578125" style="16"/>
    <col min="7691" max="7691" width="15" style="16" bestFit="1" customWidth="1"/>
    <col min="7692" max="7692" width="17.85546875" style="16" bestFit="1" customWidth="1"/>
    <col min="7693" max="7936" width="11.42578125" style="16"/>
    <col min="7937" max="7937" width="12" style="16" bestFit="1" customWidth="1"/>
    <col min="7938" max="7941" width="12" style="16" customWidth="1"/>
    <col min="7942" max="7942" width="37.7109375" style="16" customWidth="1"/>
    <col min="7943" max="7943" width="36.42578125" style="16" customWidth="1"/>
    <col min="7944" max="7944" width="20.140625" style="16" customWidth="1"/>
    <col min="7945" max="7946" width="11.42578125" style="16"/>
    <col min="7947" max="7947" width="15" style="16" bestFit="1" customWidth="1"/>
    <col min="7948" max="7948" width="17.85546875" style="16" bestFit="1" customWidth="1"/>
    <col min="7949" max="8192" width="11.42578125" style="16"/>
    <col min="8193" max="8193" width="12" style="16" bestFit="1" customWidth="1"/>
    <col min="8194" max="8197" width="12" style="16" customWidth="1"/>
    <col min="8198" max="8198" width="37.7109375" style="16" customWidth="1"/>
    <col min="8199" max="8199" width="36.42578125" style="16" customWidth="1"/>
    <col min="8200" max="8200" width="20.140625" style="16" customWidth="1"/>
    <col min="8201" max="8202" width="11.42578125" style="16"/>
    <col min="8203" max="8203" width="15" style="16" bestFit="1" customWidth="1"/>
    <col min="8204" max="8204" width="17.85546875" style="16" bestFit="1" customWidth="1"/>
    <col min="8205" max="8448" width="11.42578125" style="16"/>
    <col min="8449" max="8449" width="12" style="16" bestFit="1" customWidth="1"/>
    <col min="8450" max="8453" width="12" style="16" customWidth="1"/>
    <col min="8454" max="8454" width="37.7109375" style="16" customWidth="1"/>
    <col min="8455" max="8455" width="36.42578125" style="16" customWidth="1"/>
    <col min="8456" max="8456" width="20.140625" style="16" customWidth="1"/>
    <col min="8457" max="8458" width="11.42578125" style="16"/>
    <col min="8459" max="8459" width="15" style="16" bestFit="1" customWidth="1"/>
    <col min="8460" max="8460" width="17.85546875" style="16" bestFit="1" customWidth="1"/>
    <col min="8461" max="8704" width="11.42578125" style="16"/>
    <col min="8705" max="8705" width="12" style="16" bestFit="1" customWidth="1"/>
    <col min="8706" max="8709" width="12" style="16" customWidth="1"/>
    <col min="8710" max="8710" width="37.7109375" style="16" customWidth="1"/>
    <col min="8711" max="8711" width="36.42578125" style="16" customWidth="1"/>
    <col min="8712" max="8712" width="20.140625" style="16" customWidth="1"/>
    <col min="8713" max="8714" width="11.42578125" style="16"/>
    <col min="8715" max="8715" width="15" style="16" bestFit="1" customWidth="1"/>
    <col min="8716" max="8716" width="17.85546875" style="16" bestFit="1" customWidth="1"/>
    <col min="8717" max="8960" width="11.42578125" style="16"/>
    <col min="8961" max="8961" width="12" style="16" bestFit="1" customWidth="1"/>
    <col min="8962" max="8965" width="12" style="16" customWidth="1"/>
    <col min="8966" max="8966" width="37.7109375" style="16" customWidth="1"/>
    <col min="8967" max="8967" width="36.42578125" style="16" customWidth="1"/>
    <col min="8968" max="8968" width="20.140625" style="16" customWidth="1"/>
    <col min="8969" max="8970" width="11.42578125" style="16"/>
    <col min="8971" max="8971" width="15" style="16" bestFit="1" customWidth="1"/>
    <col min="8972" max="8972" width="17.85546875" style="16" bestFit="1" customWidth="1"/>
    <col min="8973" max="9216" width="11.42578125" style="16"/>
    <col min="9217" max="9217" width="12" style="16" bestFit="1" customWidth="1"/>
    <col min="9218" max="9221" width="12" style="16" customWidth="1"/>
    <col min="9222" max="9222" width="37.7109375" style="16" customWidth="1"/>
    <col min="9223" max="9223" width="36.42578125" style="16" customWidth="1"/>
    <col min="9224" max="9224" width="20.140625" style="16" customWidth="1"/>
    <col min="9225" max="9226" width="11.42578125" style="16"/>
    <col min="9227" max="9227" width="15" style="16" bestFit="1" customWidth="1"/>
    <col min="9228" max="9228" width="17.85546875" style="16" bestFit="1" customWidth="1"/>
    <col min="9229" max="9472" width="11.42578125" style="16"/>
    <col min="9473" max="9473" width="12" style="16" bestFit="1" customWidth="1"/>
    <col min="9474" max="9477" width="12" style="16" customWidth="1"/>
    <col min="9478" max="9478" width="37.7109375" style="16" customWidth="1"/>
    <col min="9479" max="9479" width="36.42578125" style="16" customWidth="1"/>
    <col min="9480" max="9480" width="20.140625" style="16" customWidth="1"/>
    <col min="9481" max="9482" width="11.42578125" style="16"/>
    <col min="9483" max="9483" width="15" style="16" bestFit="1" customWidth="1"/>
    <col min="9484" max="9484" width="17.85546875" style="16" bestFit="1" customWidth="1"/>
    <col min="9485" max="9728" width="11.42578125" style="16"/>
    <col min="9729" max="9729" width="12" style="16" bestFit="1" customWidth="1"/>
    <col min="9730" max="9733" width="12" style="16" customWidth="1"/>
    <col min="9734" max="9734" width="37.7109375" style="16" customWidth="1"/>
    <col min="9735" max="9735" width="36.42578125" style="16" customWidth="1"/>
    <col min="9736" max="9736" width="20.140625" style="16" customWidth="1"/>
    <col min="9737" max="9738" width="11.42578125" style="16"/>
    <col min="9739" max="9739" width="15" style="16" bestFit="1" customWidth="1"/>
    <col min="9740" max="9740" width="17.85546875" style="16" bestFit="1" customWidth="1"/>
    <col min="9741" max="9984" width="11.42578125" style="16"/>
    <col min="9985" max="9985" width="12" style="16" bestFit="1" customWidth="1"/>
    <col min="9986" max="9989" width="12" style="16" customWidth="1"/>
    <col min="9990" max="9990" width="37.7109375" style="16" customWidth="1"/>
    <col min="9991" max="9991" width="36.42578125" style="16" customWidth="1"/>
    <col min="9992" max="9992" width="20.140625" style="16" customWidth="1"/>
    <col min="9993" max="9994" width="11.42578125" style="16"/>
    <col min="9995" max="9995" width="15" style="16" bestFit="1" customWidth="1"/>
    <col min="9996" max="9996" width="17.85546875" style="16" bestFit="1" customWidth="1"/>
    <col min="9997" max="10240" width="11.42578125" style="16"/>
    <col min="10241" max="10241" width="12" style="16" bestFit="1" customWidth="1"/>
    <col min="10242" max="10245" width="12" style="16" customWidth="1"/>
    <col min="10246" max="10246" width="37.7109375" style="16" customWidth="1"/>
    <col min="10247" max="10247" width="36.42578125" style="16" customWidth="1"/>
    <col min="10248" max="10248" width="20.140625" style="16" customWidth="1"/>
    <col min="10249" max="10250" width="11.42578125" style="16"/>
    <col min="10251" max="10251" width="15" style="16" bestFit="1" customWidth="1"/>
    <col min="10252" max="10252" width="17.85546875" style="16" bestFit="1" customWidth="1"/>
    <col min="10253" max="10496" width="11.42578125" style="16"/>
    <col min="10497" max="10497" width="12" style="16" bestFit="1" customWidth="1"/>
    <col min="10498" max="10501" width="12" style="16" customWidth="1"/>
    <col min="10502" max="10502" width="37.7109375" style="16" customWidth="1"/>
    <col min="10503" max="10503" width="36.42578125" style="16" customWidth="1"/>
    <col min="10504" max="10504" width="20.140625" style="16" customWidth="1"/>
    <col min="10505" max="10506" width="11.42578125" style="16"/>
    <col min="10507" max="10507" width="15" style="16" bestFit="1" customWidth="1"/>
    <col min="10508" max="10508" width="17.85546875" style="16" bestFit="1" customWidth="1"/>
    <col min="10509" max="10752" width="11.42578125" style="16"/>
    <col min="10753" max="10753" width="12" style="16" bestFit="1" customWidth="1"/>
    <col min="10754" max="10757" width="12" style="16" customWidth="1"/>
    <col min="10758" max="10758" width="37.7109375" style="16" customWidth="1"/>
    <col min="10759" max="10759" width="36.42578125" style="16" customWidth="1"/>
    <col min="10760" max="10760" width="20.140625" style="16" customWidth="1"/>
    <col min="10761" max="10762" width="11.42578125" style="16"/>
    <col min="10763" max="10763" width="15" style="16" bestFit="1" customWidth="1"/>
    <col min="10764" max="10764" width="17.85546875" style="16" bestFit="1" customWidth="1"/>
    <col min="10765" max="11008" width="11.42578125" style="16"/>
    <col min="11009" max="11009" width="12" style="16" bestFit="1" customWidth="1"/>
    <col min="11010" max="11013" width="12" style="16" customWidth="1"/>
    <col min="11014" max="11014" width="37.7109375" style="16" customWidth="1"/>
    <col min="11015" max="11015" width="36.42578125" style="16" customWidth="1"/>
    <col min="11016" max="11016" width="20.140625" style="16" customWidth="1"/>
    <col min="11017" max="11018" width="11.42578125" style="16"/>
    <col min="11019" max="11019" width="15" style="16" bestFit="1" customWidth="1"/>
    <col min="11020" max="11020" width="17.85546875" style="16" bestFit="1" customWidth="1"/>
    <col min="11021" max="11264" width="11.42578125" style="16"/>
    <col min="11265" max="11265" width="12" style="16" bestFit="1" customWidth="1"/>
    <col min="11266" max="11269" width="12" style="16" customWidth="1"/>
    <col min="11270" max="11270" width="37.7109375" style="16" customWidth="1"/>
    <col min="11271" max="11271" width="36.42578125" style="16" customWidth="1"/>
    <col min="11272" max="11272" width="20.140625" style="16" customWidth="1"/>
    <col min="11273" max="11274" width="11.42578125" style="16"/>
    <col min="11275" max="11275" width="15" style="16" bestFit="1" customWidth="1"/>
    <col min="11276" max="11276" width="17.85546875" style="16" bestFit="1" customWidth="1"/>
    <col min="11277" max="11520" width="11.42578125" style="16"/>
    <col min="11521" max="11521" width="12" style="16" bestFit="1" customWidth="1"/>
    <col min="11522" max="11525" width="12" style="16" customWidth="1"/>
    <col min="11526" max="11526" width="37.7109375" style="16" customWidth="1"/>
    <col min="11527" max="11527" width="36.42578125" style="16" customWidth="1"/>
    <col min="11528" max="11528" width="20.140625" style="16" customWidth="1"/>
    <col min="11529" max="11530" width="11.42578125" style="16"/>
    <col min="11531" max="11531" width="15" style="16" bestFit="1" customWidth="1"/>
    <col min="11532" max="11532" width="17.85546875" style="16" bestFit="1" customWidth="1"/>
    <col min="11533" max="11776" width="11.42578125" style="16"/>
    <col min="11777" max="11777" width="12" style="16" bestFit="1" customWidth="1"/>
    <col min="11778" max="11781" width="12" style="16" customWidth="1"/>
    <col min="11782" max="11782" width="37.7109375" style="16" customWidth="1"/>
    <col min="11783" max="11783" width="36.42578125" style="16" customWidth="1"/>
    <col min="11784" max="11784" width="20.140625" style="16" customWidth="1"/>
    <col min="11785" max="11786" width="11.42578125" style="16"/>
    <col min="11787" max="11787" width="15" style="16" bestFit="1" customWidth="1"/>
    <col min="11788" max="11788" width="17.85546875" style="16" bestFit="1" customWidth="1"/>
    <col min="11789" max="12032" width="11.42578125" style="16"/>
    <col min="12033" max="12033" width="12" style="16" bestFit="1" customWidth="1"/>
    <col min="12034" max="12037" width="12" style="16" customWidth="1"/>
    <col min="12038" max="12038" width="37.7109375" style="16" customWidth="1"/>
    <col min="12039" max="12039" width="36.42578125" style="16" customWidth="1"/>
    <col min="12040" max="12040" width="20.140625" style="16" customWidth="1"/>
    <col min="12041" max="12042" width="11.42578125" style="16"/>
    <col min="12043" max="12043" width="15" style="16" bestFit="1" customWidth="1"/>
    <col min="12044" max="12044" width="17.85546875" style="16" bestFit="1" customWidth="1"/>
    <col min="12045" max="12288" width="11.42578125" style="16"/>
    <col min="12289" max="12289" width="12" style="16" bestFit="1" customWidth="1"/>
    <col min="12290" max="12293" width="12" style="16" customWidth="1"/>
    <col min="12294" max="12294" width="37.7109375" style="16" customWidth="1"/>
    <col min="12295" max="12295" width="36.42578125" style="16" customWidth="1"/>
    <col min="12296" max="12296" width="20.140625" style="16" customWidth="1"/>
    <col min="12297" max="12298" width="11.42578125" style="16"/>
    <col min="12299" max="12299" width="15" style="16" bestFit="1" customWidth="1"/>
    <col min="12300" max="12300" width="17.85546875" style="16" bestFit="1" customWidth="1"/>
    <col min="12301" max="12544" width="11.42578125" style="16"/>
    <col min="12545" max="12545" width="12" style="16" bestFit="1" customWidth="1"/>
    <col min="12546" max="12549" width="12" style="16" customWidth="1"/>
    <col min="12550" max="12550" width="37.7109375" style="16" customWidth="1"/>
    <col min="12551" max="12551" width="36.42578125" style="16" customWidth="1"/>
    <col min="12552" max="12552" width="20.140625" style="16" customWidth="1"/>
    <col min="12553" max="12554" width="11.42578125" style="16"/>
    <col min="12555" max="12555" width="15" style="16" bestFit="1" customWidth="1"/>
    <col min="12556" max="12556" width="17.85546875" style="16" bestFit="1" customWidth="1"/>
    <col min="12557" max="12800" width="11.42578125" style="16"/>
    <col min="12801" max="12801" width="12" style="16" bestFit="1" customWidth="1"/>
    <col min="12802" max="12805" width="12" style="16" customWidth="1"/>
    <col min="12806" max="12806" width="37.7109375" style="16" customWidth="1"/>
    <col min="12807" max="12807" width="36.42578125" style="16" customWidth="1"/>
    <col min="12808" max="12808" width="20.140625" style="16" customWidth="1"/>
    <col min="12809" max="12810" width="11.42578125" style="16"/>
    <col min="12811" max="12811" width="15" style="16" bestFit="1" customWidth="1"/>
    <col min="12812" max="12812" width="17.85546875" style="16" bestFit="1" customWidth="1"/>
    <col min="12813" max="13056" width="11.42578125" style="16"/>
    <col min="13057" max="13057" width="12" style="16" bestFit="1" customWidth="1"/>
    <col min="13058" max="13061" width="12" style="16" customWidth="1"/>
    <col min="13062" max="13062" width="37.7109375" style="16" customWidth="1"/>
    <col min="13063" max="13063" width="36.42578125" style="16" customWidth="1"/>
    <col min="13064" max="13064" width="20.140625" style="16" customWidth="1"/>
    <col min="13065" max="13066" width="11.42578125" style="16"/>
    <col min="13067" max="13067" width="15" style="16" bestFit="1" customWidth="1"/>
    <col min="13068" max="13068" width="17.85546875" style="16" bestFit="1" customWidth="1"/>
    <col min="13069" max="13312" width="11.42578125" style="16"/>
    <col min="13313" max="13313" width="12" style="16" bestFit="1" customWidth="1"/>
    <col min="13314" max="13317" width="12" style="16" customWidth="1"/>
    <col min="13318" max="13318" width="37.7109375" style="16" customWidth="1"/>
    <col min="13319" max="13319" width="36.42578125" style="16" customWidth="1"/>
    <col min="13320" max="13320" width="20.140625" style="16" customWidth="1"/>
    <col min="13321" max="13322" width="11.42578125" style="16"/>
    <col min="13323" max="13323" width="15" style="16" bestFit="1" customWidth="1"/>
    <col min="13324" max="13324" width="17.85546875" style="16" bestFit="1" customWidth="1"/>
    <col min="13325" max="13568" width="11.42578125" style="16"/>
    <col min="13569" max="13569" width="12" style="16" bestFit="1" customWidth="1"/>
    <col min="13570" max="13573" width="12" style="16" customWidth="1"/>
    <col min="13574" max="13574" width="37.7109375" style="16" customWidth="1"/>
    <col min="13575" max="13575" width="36.42578125" style="16" customWidth="1"/>
    <col min="13576" max="13576" width="20.140625" style="16" customWidth="1"/>
    <col min="13577" max="13578" width="11.42578125" style="16"/>
    <col min="13579" max="13579" width="15" style="16" bestFit="1" customWidth="1"/>
    <col min="13580" max="13580" width="17.85546875" style="16" bestFit="1" customWidth="1"/>
    <col min="13581" max="13824" width="11.42578125" style="16"/>
    <col min="13825" max="13825" width="12" style="16" bestFit="1" customWidth="1"/>
    <col min="13826" max="13829" width="12" style="16" customWidth="1"/>
    <col min="13830" max="13830" width="37.7109375" style="16" customWidth="1"/>
    <col min="13831" max="13831" width="36.42578125" style="16" customWidth="1"/>
    <col min="13832" max="13832" width="20.140625" style="16" customWidth="1"/>
    <col min="13833" max="13834" width="11.42578125" style="16"/>
    <col min="13835" max="13835" width="15" style="16" bestFit="1" customWidth="1"/>
    <col min="13836" max="13836" width="17.85546875" style="16" bestFit="1" customWidth="1"/>
    <col min="13837" max="14080" width="11.42578125" style="16"/>
    <col min="14081" max="14081" width="12" style="16" bestFit="1" customWidth="1"/>
    <col min="14082" max="14085" width="12" style="16" customWidth="1"/>
    <col min="14086" max="14086" width="37.7109375" style="16" customWidth="1"/>
    <col min="14087" max="14087" width="36.42578125" style="16" customWidth="1"/>
    <col min="14088" max="14088" width="20.140625" style="16" customWidth="1"/>
    <col min="14089" max="14090" width="11.42578125" style="16"/>
    <col min="14091" max="14091" width="15" style="16" bestFit="1" customWidth="1"/>
    <col min="14092" max="14092" width="17.85546875" style="16" bestFit="1" customWidth="1"/>
    <col min="14093" max="14336" width="11.42578125" style="16"/>
    <col min="14337" max="14337" width="12" style="16" bestFit="1" customWidth="1"/>
    <col min="14338" max="14341" width="12" style="16" customWidth="1"/>
    <col min="14342" max="14342" width="37.7109375" style="16" customWidth="1"/>
    <col min="14343" max="14343" width="36.42578125" style="16" customWidth="1"/>
    <col min="14344" max="14344" width="20.140625" style="16" customWidth="1"/>
    <col min="14345" max="14346" width="11.42578125" style="16"/>
    <col min="14347" max="14347" width="15" style="16" bestFit="1" customWidth="1"/>
    <col min="14348" max="14348" width="17.85546875" style="16" bestFit="1" customWidth="1"/>
    <col min="14349" max="14592" width="11.42578125" style="16"/>
    <col min="14593" max="14593" width="12" style="16" bestFit="1" customWidth="1"/>
    <col min="14594" max="14597" width="12" style="16" customWidth="1"/>
    <col min="14598" max="14598" width="37.7109375" style="16" customWidth="1"/>
    <col min="14599" max="14599" width="36.42578125" style="16" customWidth="1"/>
    <col min="14600" max="14600" width="20.140625" style="16" customWidth="1"/>
    <col min="14601" max="14602" width="11.42578125" style="16"/>
    <col min="14603" max="14603" width="15" style="16" bestFit="1" customWidth="1"/>
    <col min="14604" max="14604" width="17.85546875" style="16" bestFit="1" customWidth="1"/>
    <col min="14605" max="14848" width="11.42578125" style="16"/>
    <col min="14849" max="14849" width="12" style="16" bestFit="1" customWidth="1"/>
    <col min="14850" max="14853" width="12" style="16" customWidth="1"/>
    <col min="14854" max="14854" width="37.7109375" style="16" customWidth="1"/>
    <col min="14855" max="14855" width="36.42578125" style="16" customWidth="1"/>
    <col min="14856" max="14856" width="20.140625" style="16" customWidth="1"/>
    <col min="14857" max="14858" width="11.42578125" style="16"/>
    <col min="14859" max="14859" width="15" style="16" bestFit="1" customWidth="1"/>
    <col min="14860" max="14860" width="17.85546875" style="16" bestFit="1" customWidth="1"/>
    <col min="14861" max="15104" width="11.42578125" style="16"/>
    <col min="15105" max="15105" width="12" style="16" bestFit="1" customWidth="1"/>
    <col min="15106" max="15109" width="12" style="16" customWidth="1"/>
    <col min="15110" max="15110" width="37.7109375" style="16" customWidth="1"/>
    <col min="15111" max="15111" width="36.42578125" style="16" customWidth="1"/>
    <col min="15112" max="15112" width="20.140625" style="16" customWidth="1"/>
    <col min="15113" max="15114" width="11.42578125" style="16"/>
    <col min="15115" max="15115" width="15" style="16" bestFit="1" customWidth="1"/>
    <col min="15116" max="15116" width="17.85546875" style="16" bestFit="1" customWidth="1"/>
    <col min="15117" max="15360" width="11.42578125" style="16"/>
    <col min="15361" max="15361" width="12" style="16" bestFit="1" customWidth="1"/>
    <col min="15362" max="15365" width="12" style="16" customWidth="1"/>
    <col min="15366" max="15366" width="37.7109375" style="16" customWidth="1"/>
    <col min="15367" max="15367" width="36.42578125" style="16" customWidth="1"/>
    <col min="15368" max="15368" width="20.140625" style="16" customWidth="1"/>
    <col min="15369" max="15370" width="11.42578125" style="16"/>
    <col min="15371" max="15371" width="15" style="16" bestFit="1" customWidth="1"/>
    <col min="15372" max="15372" width="17.85546875" style="16" bestFit="1" customWidth="1"/>
    <col min="15373" max="15616" width="11.42578125" style="16"/>
    <col min="15617" max="15617" width="12" style="16" bestFit="1" customWidth="1"/>
    <col min="15618" max="15621" width="12" style="16" customWidth="1"/>
    <col min="15622" max="15622" width="37.7109375" style="16" customWidth="1"/>
    <col min="15623" max="15623" width="36.42578125" style="16" customWidth="1"/>
    <col min="15624" max="15624" width="20.140625" style="16" customWidth="1"/>
    <col min="15625" max="15626" width="11.42578125" style="16"/>
    <col min="15627" max="15627" width="15" style="16" bestFit="1" customWidth="1"/>
    <col min="15628" max="15628" width="17.85546875" style="16" bestFit="1" customWidth="1"/>
    <col min="15629" max="15872" width="11.42578125" style="16"/>
    <col min="15873" max="15873" width="12" style="16" bestFit="1" customWidth="1"/>
    <col min="15874" max="15877" width="12" style="16" customWidth="1"/>
    <col min="15878" max="15878" width="37.7109375" style="16" customWidth="1"/>
    <col min="15879" max="15879" width="36.42578125" style="16" customWidth="1"/>
    <col min="15880" max="15880" width="20.140625" style="16" customWidth="1"/>
    <col min="15881" max="15882" width="11.42578125" style="16"/>
    <col min="15883" max="15883" width="15" style="16" bestFit="1" customWidth="1"/>
    <col min="15884" max="15884" width="17.85546875" style="16" bestFit="1" customWidth="1"/>
    <col min="15885" max="16128" width="11.42578125" style="16"/>
    <col min="16129" max="16129" width="12" style="16" bestFit="1" customWidth="1"/>
    <col min="16130" max="16133" width="12" style="16" customWidth="1"/>
    <col min="16134" max="16134" width="37.7109375" style="16" customWidth="1"/>
    <col min="16135" max="16135" width="36.42578125" style="16" customWidth="1"/>
    <col min="16136" max="16136" width="20.140625" style="16" customWidth="1"/>
    <col min="16137" max="16138" width="11.42578125" style="16"/>
    <col min="16139" max="16139" width="15" style="16" bestFit="1" customWidth="1"/>
    <col min="16140" max="16140" width="17.85546875" style="16" bestFit="1" customWidth="1"/>
    <col min="16141" max="16384" width="11.42578125" style="16"/>
  </cols>
  <sheetData>
    <row r="1" spans="1:21" x14ac:dyDescent="0.25">
      <c r="A1" s="43" t="s">
        <v>2</v>
      </c>
      <c r="B1" s="44" t="s">
        <v>776</v>
      </c>
      <c r="C1" s="45" t="s">
        <v>12</v>
      </c>
      <c r="D1" s="45" t="s">
        <v>777</v>
      </c>
      <c r="E1" s="45" t="s">
        <v>14</v>
      </c>
      <c r="F1" s="43" t="s">
        <v>17</v>
      </c>
      <c r="G1" s="43" t="s">
        <v>778</v>
      </c>
      <c r="H1" s="43" t="s">
        <v>779</v>
      </c>
      <c r="I1" s="6" t="s">
        <v>9425</v>
      </c>
      <c r="K1" s="25" t="s">
        <v>780</v>
      </c>
      <c r="L1" s="25" t="s">
        <v>781</v>
      </c>
      <c r="M1" s="25" t="s">
        <v>782</v>
      </c>
      <c r="N1" s="25" t="s">
        <v>12</v>
      </c>
      <c r="O1" s="25" t="s">
        <v>13</v>
      </c>
      <c r="P1" s="25" t="s">
        <v>14</v>
      </c>
      <c r="T1" s="25" t="s">
        <v>782</v>
      </c>
      <c r="U1" s="26" t="s">
        <v>783</v>
      </c>
    </row>
    <row r="2" spans="1:21" x14ac:dyDescent="0.25">
      <c r="A2" s="16" t="s">
        <v>784</v>
      </c>
      <c r="B2" s="16" t="str">
        <f>TEXT(PARTIDA[[#This Row],[PARTIDA]],"0000000000")</f>
        <v>0101210000</v>
      </c>
      <c r="C2" s="16" t="s">
        <v>860</v>
      </c>
      <c r="D2" s="16" t="s">
        <v>865</v>
      </c>
      <c r="E2" s="16" t="s">
        <v>869</v>
      </c>
      <c r="F2" s="27" t="s">
        <v>9426</v>
      </c>
      <c r="G2" s="27"/>
      <c r="H2" s="16" t="str">
        <f>IF(ISBLANK(PARTIDAS!$G2),PARTIDAS!$F2,CONCATENATE(PARTIDAS!$F2," (",PARTIDAS!$G2,")"))</f>
        <v>Caballos, reproductores de raza pura</v>
      </c>
      <c r="I2" s="16" t="s">
        <v>9427</v>
      </c>
      <c r="K2" s="28" t="s">
        <v>785</v>
      </c>
      <c r="L2" s="29">
        <v>100</v>
      </c>
      <c r="M2" s="29">
        <v>111</v>
      </c>
      <c r="N2" s="16" t="s">
        <v>786</v>
      </c>
      <c r="O2" s="16" t="s">
        <v>787</v>
      </c>
      <c r="P2" s="30" t="s">
        <v>788</v>
      </c>
      <c r="T2" s="31" t="s">
        <v>785</v>
      </c>
      <c r="U2" s="32" t="s">
        <v>786</v>
      </c>
    </row>
    <row r="3" spans="1:21" x14ac:dyDescent="0.25">
      <c r="A3" s="16" t="s">
        <v>789</v>
      </c>
      <c r="B3" s="16" t="str">
        <f>TEXT(PARTIDA[[#This Row],[PARTIDA]],"0000000000")</f>
        <v>0101291000</v>
      </c>
      <c r="C3" s="16" t="s">
        <v>786</v>
      </c>
      <c r="D3" s="16" t="s">
        <v>787</v>
      </c>
      <c r="E3" s="16" t="s">
        <v>788</v>
      </c>
      <c r="F3" s="27" t="s">
        <v>9428</v>
      </c>
      <c r="G3" s="27"/>
      <c r="H3" s="16" t="str">
        <f>IF(ISBLANK(PARTIDAS!$G3),PARTIDAS!$F3,CONCATENATE(PARTIDAS!$F3," (",PARTIDAS!$G3,")"))</f>
        <v>Caballos, para carrera</v>
      </c>
      <c r="I3" s="16" t="s">
        <v>9427</v>
      </c>
      <c r="K3" s="28" t="s">
        <v>785</v>
      </c>
      <c r="L3" s="29">
        <v>100</v>
      </c>
      <c r="M3" s="29">
        <v>113</v>
      </c>
      <c r="N3" s="16" t="s">
        <v>786</v>
      </c>
      <c r="O3" s="16" t="s">
        <v>787</v>
      </c>
      <c r="P3" s="30" t="s">
        <v>9429</v>
      </c>
      <c r="T3" s="33">
        <v>100</v>
      </c>
      <c r="U3" s="34" t="s">
        <v>787</v>
      </c>
    </row>
    <row r="4" spans="1:21" x14ac:dyDescent="0.25">
      <c r="A4" s="16" t="s">
        <v>790</v>
      </c>
      <c r="B4" s="16" t="str">
        <f>TEXT(PARTIDA[[#This Row],[PARTIDA]],"0000000000")</f>
        <v>0101299000</v>
      </c>
      <c r="C4" s="16" t="s">
        <v>786</v>
      </c>
      <c r="D4" s="16" t="s">
        <v>787</v>
      </c>
      <c r="E4" s="16" t="s">
        <v>788</v>
      </c>
      <c r="F4" s="27" t="s">
        <v>9430</v>
      </c>
      <c r="G4" s="27"/>
      <c r="H4" s="16" t="str">
        <f>IF(ISBLANK(PARTIDAS!$G4),PARTIDAS!$F4,CONCATENATE(PARTIDAS!$F4," (",PARTIDAS!$G4,")"))</f>
        <v>Caballos (los demás)</v>
      </c>
      <c r="I4" s="16" t="s">
        <v>9427</v>
      </c>
      <c r="K4" s="28" t="s">
        <v>785</v>
      </c>
      <c r="L4" s="29">
        <v>100</v>
      </c>
      <c r="M4" s="29">
        <v>120</v>
      </c>
      <c r="N4" s="16" t="s">
        <v>786</v>
      </c>
      <c r="O4" s="16" t="s">
        <v>787</v>
      </c>
      <c r="P4" s="30" t="s">
        <v>791</v>
      </c>
      <c r="T4" s="29">
        <v>111</v>
      </c>
      <c r="U4" s="30" t="s">
        <v>788</v>
      </c>
    </row>
    <row r="5" spans="1:21" x14ac:dyDescent="0.25">
      <c r="A5" s="16" t="s">
        <v>792</v>
      </c>
      <c r="B5" s="16" t="str">
        <f>TEXT(PARTIDA[[#This Row],[PARTIDA]],"0000000000")</f>
        <v>0101300000</v>
      </c>
      <c r="C5" s="16" t="s">
        <v>786</v>
      </c>
      <c r="D5" s="16" t="s">
        <v>787</v>
      </c>
      <c r="E5" s="16" t="s">
        <v>788</v>
      </c>
      <c r="F5" s="27" t="s">
        <v>9431</v>
      </c>
      <c r="G5" s="27"/>
      <c r="H5" s="16" t="str">
        <f>IF(ISBLANK(PARTIDAS!$G5),PARTIDAS!$F5,CONCATENATE(PARTIDAS!$F5," (",PARTIDAS!$G5,")"))</f>
        <v>Asnos</v>
      </c>
      <c r="I5" s="16" t="s">
        <v>9427</v>
      </c>
      <c r="K5" s="28" t="s">
        <v>785</v>
      </c>
      <c r="L5" s="29">
        <v>100</v>
      </c>
      <c r="M5" s="29">
        <v>130</v>
      </c>
      <c r="N5" s="16" t="s">
        <v>786</v>
      </c>
      <c r="O5" s="16" t="s">
        <v>787</v>
      </c>
      <c r="P5" s="30" t="s">
        <v>793</v>
      </c>
      <c r="T5" s="29">
        <v>113</v>
      </c>
      <c r="U5" s="30" t="s">
        <v>9429</v>
      </c>
    </row>
    <row r="6" spans="1:21" x14ac:dyDescent="0.25">
      <c r="A6" s="16" t="s">
        <v>794</v>
      </c>
      <c r="B6" s="16" t="str">
        <f>TEXT(PARTIDA[[#This Row],[PARTIDA]],"0000000000")</f>
        <v>0101900000</v>
      </c>
      <c r="C6" s="16" t="s">
        <v>786</v>
      </c>
      <c r="D6" s="16" t="s">
        <v>787</v>
      </c>
      <c r="E6" s="16" t="s">
        <v>788</v>
      </c>
      <c r="F6" s="27" t="s">
        <v>9432</v>
      </c>
      <c r="G6" s="27"/>
      <c r="H6" s="16" t="str">
        <f>IF(ISBLANK(PARTIDAS!$G6),PARTIDAS!$F6,CONCATENATE(PARTIDAS!$F6," (",PARTIDAS!$G6,")"))</f>
        <v>Caballos, asnos, mulos y burdéganos, vivos (los demás)</v>
      </c>
      <c r="I6" s="16" t="s">
        <v>9427</v>
      </c>
      <c r="K6" s="28" t="s">
        <v>785</v>
      </c>
      <c r="L6" s="29">
        <v>100</v>
      </c>
      <c r="M6" s="29">
        <v>140</v>
      </c>
      <c r="N6" s="16" t="s">
        <v>786</v>
      </c>
      <c r="O6" s="16" t="s">
        <v>787</v>
      </c>
      <c r="P6" s="30" t="s">
        <v>9433</v>
      </c>
      <c r="T6" s="29">
        <v>120</v>
      </c>
      <c r="U6" s="35" t="s">
        <v>791</v>
      </c>
    </row>
    <row r="7" spans="1:21" x14ac:dyDescent="0.25">
      <c r="A7" s="16" t="s">
        <v>795</v>
      </c>
      <c r="B7" s="16" t="str">
        <f>TEXT(PARTIDA[[#This Row],[PARTIDA]],"0000000000")</f>
        <v>0102210000</v>
      </c>
      <c r="C7" s="16" t="s">
        <v>860</v>
      </c>
      <c r="D7" s="16" t="s">
        <v>865</v>
      </c>
      <c r="E7" s="16" t="s">
        <v>869</v>
      </c>
      <c r="F7" s="27" t="s">
        <v>9434</v>
      </c>
      <c r="G7" s="27"/>
      <c r="H7" s="16" t="str">
        <f>IF(ISBLANK(PARTIDAS!$G7),PARTIDAS!$F7,CONCATENATE(PARTIDAS!$F7," (",PARTIDAS!$G7,")"))</f>
        <v>Bovinos domésticos, reproductores de raza pura</v>
      </c>
      <c r="I7" s="16" t="s">
        <v>9427</v>
      </c>
      <c r="K7" s="28" t="s">
        <v>785</v>
      </c>
      <c r="L7" s="29">
        <v>100</v>
      </c>
      <c r="M7" s="29">
        <v>150</v>
      </c>
      <c r="N7" s="16" t="s">
        <v>786</v>
      </c>
      <c r="O7" s="16" t="s">
        <v>787</v>
      </c>
      <c r="P7" s="30" t="s">
        <v>9435</v>
      </c>
      <c r="T7" s="29">
        <v>130</v>
      </c>
      <c r="U7" s="35" t="s">
        <v>793</v>
      </c>
    </row>
    <row r="8" spans="1:21" x14ac:dyDescent="0.25">
      <c r="A8" s="16" t="s">
        <v>796</v>
      </c>
      <c r="B8" s="16" t="str">
        <f>TEXT(PARTIDA[[#This Row],[PARTIDA]],"0000000000")</f>
        <v>0102291000</v>
      </c>
      <c r="C8" s="16" t="s">
        <v>786</v>
      </c>
      <c r="D8" s="16" t="s">
        <v>787</v>
      </c>
      <c r="E8" s="16" t="s">
        <v>788</v>
      </c>
      <c r="F8" s="27" t="s">
        <v>9436</v>
      </c>
      <c r="G8" s="27"/>
      <c r="H8" s="16" t="str">
        <f>IF(ISBLANK(PARTIDAS!$G8),PARTIDAS!$F8,CONCATENATE(PARTIDAS!$F8," (",PARTIDAS!$G8,")"))</f>
        <v>Bovinos domésticos, para lidia</v>
      </c>
      <c r="I8" s="16" t="s">
        <v>9427</v>
      </c>
      <c r="K8" s="28" t="s">
        <v>785</v>
      </c>
      <c r="L8" s="29">
        <v>100</v>
      </c>
      <c r="M8" s="29">
        <v>190</v>
      </c>
      <c r="N8" s="16" t="s">
        <v>786</v>
      </c>
      <c r="O8" s="16" t="s">
        <v>787</v>
      </c>
      <c r="P8" s="30" t="s">
        <v>797</v>
      </c>
      <c r="T8" s="29">
        <v>140</v>
      </c>
      <c r="U8" s="30" t="s">
        <v>9433</v>
      </c>
    </row>
    <row r="9" spans="1:21" x14ac:dyDescent="0.25">
      <c r="A9" s="16" t="s">
        <v>798</v>
      </c>
      <c r="B9" s="16" t="str">
        <f>TEXT(PARTIDA[[#This Row],[PARTIDA]],"0000000000")</f>
        <v>0102299000</v>
      </c>
      <c r="C9" s="16" t="s">
        <v>786</v>
      </c>
      <c r="D9" s="16" t="s">
        <v>787</v>
      </c>
      <c r="E9" s="16" t="s">
        <v>788</v>
      </c>
      <c r="F9" s="27" t="s">
        <v>9437</v>
      </c>
      <c r="G9" s="27"/>
      <c r="H9" s="16" t="str">
        <f>IF(ISBLANK(PARTIDAS!$G9),PARTIDAS!$F9,CONCATENATE(PARTIDAS!$F9," (",PARTIDAS!$G9,")"))</f>
        <v>Bovinos domésticos (los demás)</v>
      </c>
      <c r="I9" s="16" t="s">
        <v>9427</v>
      </c>
      <c r="K9" s="28" t="s">
        <v>785</v>
      </c>
      <c r="L9" s="29">
        <v>200</v>
      </c>
      <c r="M9" s="33">
        <v>200</v>
      </c>
      <c r="N9" s="16" t="s">
        <v>786</v>
      </c>
      <c r="O9" s="16" t="s">
        <v>799</v>
      </c>
      <c r="P9" s="30" t="s">
        <v>799</v>
      </c>
      <c r="T9" s="29">
        <v>150</v>
      </c>
      <c r="U9" s="30" t="s">
        <v>9435</v>
      </c>
    </row>
    <row r="10" spans="1:21" x14ac:dyDescent="0.25">
      <c r="A10" s="16" t="s">
        <v>800</v>
      </c>
      <c r="B10" s="16" t="str">
        <f>TEXT(PARTIDA[[#This Row],[PARTIDA]],"0000000000")</f>
        <v>0102310000</v>
      </c>
      <c r="C10" s="16" t="s">
        <v>860</v>
      </c>
      <c r="D10" s="16" t="s">
        <v>865</v>
      </c>
      <c r="E10" s="16" t="s">
        <v>869</v>
      </c>
      <c r="F10" s="27" t="s">
        <v>9438</v>
      </c>
      <c r="G10" s="27"/>
      <c r="H10" s="16" t="str">
        <f>IF(ISBLANK(PARTIDAS!$G10),PARTIDAS!$F10,CONCATENATE(PARTIDAS!$F10," (",PARTIDAS!$G10,")"))</f>
        <v>Búfalos, reproductores de raza pura</v>
      </c>
      <c r="I10" s="16" t="s">
        <v>9427</v>
      </c>
      <c r="K10" s="28" t="s">
        <v>785</v>
      </c>
      <c r="L10" s="29">
        <v>200</v>
      </c>
      <c r="M10" s="29">
        <v>210</v>
      </c>
      <c r="N10" s="16" t="s">
        <v>786</v>
      </c>
      <c r="O10" s="16" t="s">
        <v>799</v>
      </c>
      <c r="P10" s="30" t="s">
        <v>801</v>
      </c>
      <c r="T10" s="29">
        <v>190</v>
      </c>
      <c r="U10" s="30" t="s">
        <v>797</v>
      </c>
    </row>
    <row r="11" spans="1:21" x14ac:dyDescent="0.25">
      <c r="A11" s="16" t="s">
        <v>802</v>
      </c>
      <c r="B11" s="16" t="str">
        <f>TEXT(PARTIDA[[#This Row],[PARTIDA]],"0000000000")</f>
        <v>0102390000</v>
      </c>
      <c r="C11" s="16" t="s">
        <v>786</v>
      </c>
      <c r="D11" s="16" t="s">
        <v>787</v>
      </c>
      <c r="E11" s="16" t="s">
        <v>788</v>
      </c>
      <c r="F11" s="27" t="s">
        <v>9439</v>
      </c>
      <c r="G11" s="27"/>
      <c r="H11" s="16" t="str">
        <f>IF(ISBLANK(PARTIDAS!$G11),PARTIDAS!$F11,CONCATENATE(PARTIDAS!$F11," (",PARTIDAS!$G11,")"))</f>
        <v>Búfalos (los demás)</v>
      </c>
      <c r="I11" s="16" t="s">
        <v>9427</v>
      </c>
      <c r="K11" s="28" t="s">
        <v>785</v>
      </c>
      <c r="L11" s="29">
        <v>200</v>
      </c>
      <c r="M11" s="29">
        <v>220</v>
      </c>
      <c r="N11" s="16" t="s">
        <v>786</v>
      </c>
      <c r="O11" s="16" t="s">
        <v>799</v>
      </c>
      <c r="P11" s="30" t="s">
        <v>9440</v>
      </c>
      <c r="T11" s="33">
        <v>200</v>
      </c>
      <c r="U11" s="36" t="s">
        <v>799</v>
      </c>
    </row>
    <row r="12" spans="1:21" x14ac:dyDescent="0.25">
      <c r="A12" s="16" t="s">
        <v>803</v>
      </c>
      <c r="B12" s="16" t="str">
        <f>TEXT(PARTIDA[[#This Row],[PARTIDA]],"0000000000")</f>
        <v>0102900000</v>
      </c>
      <c r="C12" s="16" t="s">
        <v>786</v>
      </c>
      <c r="D12" s="16" t="s">
        <v>787</v>
      </c>
      <c r="E12" s="16" t="s">
        <v>788</v>
      </c>
      <c r="F12" s="27" t="s">
        <v>9441</v>
      </c>
      <c r="G12" s="27"/>
      <c r="H12" s="16" t="str">
        <f>IF(ISBLANK(PARTIDAS!$G12),PARTIDAS!$F12,CONCATENATE(PARTIDAS!$F12," (",PARTIDAS!$G12,")"))</f>
        <v>Animales vivos de la especie bovina (los demás)</v>
      </c>
      <c r="I12" s="16" t="s">
        <v>9427</v>
      </c>
      <c r="K12" s="28" t="s">
        <v>785</v>
      </c>
      <c r="L12" s="29">
        <v>200</v>
      </c>
      <c r="M12" s="29">
        <v>230</v>
      </c>
      <c r="N12" s="16" t="s">
        <v>786</v>
      </c>
      <c r="O12" s="16" t="s">
        <v>799</v>
      </c>
      <c r="P12" s="30" t="s">
        <v>804</v>
      </c>
      <c r="T12" s="29">
        <v>210</v>
      </c>
      <c r="U12" s="35" t="s">
        <v>801</v>
      </c>
    </row>
    <row r="13" spans="1:21" x14ac:dyDescent="0.25">
      <c r="A13" s="16" t="s">
        <v>805</v>
      </c>
      <c r="B13" s="16" t="str">
        <f>TEXT(PARTIDA[[#This Row],[PARTIDA]],"0000000000")</f>
        <v>0103100000</v>
      </c>
      <c r="C13" s="16" t="s">
        <v>860</v>
      </c>
      <c r="D13" s="16" t="s">
        <v>865</v>
      </c>
      <c r="E13" s="16" t="s">
        <v>869</v>
      </c>
      <c r="F13" s="27" t="s">
        <v>9442</v>
      </c>
      <c r="G13" s="27"/>
      <c r="H13" s="16" t="str">
        <f>IF(ISBLANK(PARTIDAS!$G13),PARTIDAS!$F13,CONCATENATE(PARTIDAS!$F13," (",PARTIDAS!$G13,")"))</f>
        <v>Animales vivos de la especie porcina, reproductores de raza pura</v>
      </c>
      <c r="I13" s="16" t="s">
        <v>9427</v>
      </c>
      <c r="K13" s="28" t="s">
        <v>785</v>
      </c>
      <c r="L13" s="29">
        <v>200</v>
      </c>
      <c r="M13" s="29">
        <v>240</v>
      </c>
      <c r="N13" s="16" t="s">
        <v>786</v>
      </c>
      <c r="O13" s="16" t="s">
        <v>799</v>
      </c>
      <c r="P13" s="30" t="s">
        <v>806</v>
      </c>
      <c r="T13" s="29">
        <v>220</v>
      </c>
      <c r="U13" s="30" t="s">
        <v>9440</v>
      </c>
    </row>
    <row r="14" spans="1:21" x14ac:dyDescent="0.25">
      <c r="A14" s="16" t="s">
        <v>807</v>
      </c>
      <c r="B14" s="16" t="str">
        <f>TEXT(PARTIDA[[#This Row],[PARTIDA]],"0000000000")</f>
        <v>0103910000</v>
      </c>
      <c r="C14" s="16" t="s">
        <v>786</v>
      </c>
      <c r="D14" s="16" t="s">
        <v>787</v>
      </c>
      <c r="E14" s="16" t="s">
        <v>788</v>
      </c>
      <c r="F14" s="27" t="s">
        <v>9443</v>
      </c>
      <c r="G14" s="27"/>
      <c r="H14" s="16" t="str">
        <f>IF(ISBLANK(PARTIDAS!$G14),PARTIDAS!$F14,CONCATENATE(PARTIDAS!$F14," (",PARTIDAS!$G14,")"))</f>
        <v>Animales vivos de la especie porcina, de peso inferior a 50 kg</v>
      </c>
      <c r="I14" s="16" t="s">
        <v>9427</v>
      </c>
      <c r="K14" s="28" t="s">
        <v>785</v>
      </c>
      <c r="L14" s="29">
        <v>200</v>
      </c>
      <c r="M14" s="29">
        <v>250</v>
      </c>
      <c r="N14" s="16" t="s">
        <v>786</v>
      </c>
      <c r="O14" s="16" t="s">
        <v>799</v>
      </c>
      <c r="P14" s="30" t="s">
        <v>808</v>
      </c>
      <c r="T14" s="29">
        <v>230</v>
      </c>
      <c r="U14" s="30" t="s">
        <v>804</v>
      </c>
    </row>
    <row r="15" spans="1:21" x14ac:dyDescent="0.25">
      <c r="A15" s="16" t="s">
        <v>809</v>
      </c>
      <c r="B15" s="16" t="str">
        <f>TEXT(PARTIDA[[#This Row],[PARTIDA]],"0000000000")</f>
        <v>0103920000</v>
      </c>
      <c r="C15" s="16" t="s">
        <v>786</v>
      </c>
      <c r="D15" s="16" t="s">
        <v>787</v>
      </c>
      <c r="E15" s="16" t="s">
        <v>788</v>
      </c>
      <c r="F15" s="27" t="s">
        <v>9444</v>
      </c>
      <c r="G15" s="27"/>
      <c r="H15" s="16" t="str">
        <f>IF(ISBLANK(PARTIDAS!$G15),PARTIDAS!$F15,CONCATENATE(PARTIDAS!$F15," (",PARTIDAS!$G15,")"))</f>
        <v>Animales vivos de la especie porcina, de peso superior o igual a 50 kg</v>
      </c>
      <c r="I15" s="16" t="s">
        <v>9427</v>
      </c>
      <c r="K15" s="28" t="s">
        <v>785</v>
      </c>
      <c r="L15" s="29">
        <v>200</v>
      </c>
      <c r="M15" s="29">
        <v>290</v>
      </c>
      <c r="N15" s="16" t="s">
        <v>786</v>
      </c>
      <c r="O15" s="16" t="s">
        <v>799</v>
      </c>
      <c r="P15" s="30" t="s">
        <v>810</v>
      </c>
      <c r="T15" s="29">
        <v>240</v>
      </c>
      <c r="U15" s="30" t="s">
        <v>806</v>
      </c>
    </row>
    <row r="16" spans="1:21" x14ac:dyDescent="0.25">
      <c r="A16" s="16" t="s">
        <v>811</v>
      </c>
      <c r="B16" s="16" t="str">
        <f>TEXT(PARTIDA[[#This Row],[PARTIDA]],"0000000000")</f>
        <v>0104101000</v>
      </c>
      <c r="C16" s="16" t="s">
        <v>860</v>
      </c>
      <c r="D16" s="16" t="s">
        <v>865</v>
      </c>
      <c r="E16" s="16" t="s">
        <v>869</v>
      </c>
      <c r="F16" s="27" t="s">
        <v>9445</v>
      </c>
      <c r="G16" s="27"/>
      <c r="H16" s="16" t="str">
        <f>IF(ISBLANK(PARTIDAS!$G16),PARTIDAS!$F16,CONCATENATE(PARTIDAS!$F16," (",PARTIDAS!$G16,")"))</f>
        <v>Animales vivos de las especies ovina o caprina, de la especie ovina, reproductores de raza pura</v>
      </c>
      <c r="I16" s="16" t="s">
        <v>9427</v>
      </c>
      <c r="K16" s="28" t="s">
        <v>785</v>
      </c>
      <c r="L16" s="29">
        <v>100</v>
      </c>
      <c r="M16" s="33">
        <v>10</v>
      </c>
      <c r="N16" s="16" t="s">
        <v>786</v>
      </c>
      <c r="O16" s="16" t="s">
        <v>812</v>
      </c>
      <c r="P16" s="30" t="s">
        <v>812</v>
      </c>
      <c r="T16" s="29">
        <v>250</v>
      </c>
      <c r="U16" s="30" t="s">
        <v>808</v>
      </c>
    </row>
    <row r="17" spans="1:21" x14ac:dyDescent="0.25">
      <c r="A17" s="16" t="s">
        <v>813</v>
      </c>
      <c r="B17" s="16" t="str">
        <f>TEXT(PARTIDA[[#This Row],[PARTIDA]],"0000000000")</f>
        <v>0104109000</v>
      </c>
      <c r="C17" s="16" t="s">
        <v>786</v>
      </c>
      <c r="D17" s="16" t="s">
        <v>787</v>
      </c>
      <c r="E17" s="16" t="s">
        <v>788</v>
      </c>
      <c r="F17" s="27" t="s">
        <v>9446</v>
      </c>
      <c r="G17" s="27"/>
      <c r="H17" s="16" t="str">
        <f>IF(ISBLANK(PARTIDAS!$G17),PARTIDAS!$F17,CONCATENATE(PARTIDAS!$F17," (",PARTIDAS!$G17,")"))</f>
        <v>Animales vivos de las especies ovina o caprina, de la especie ovina (los demás)</v>
      </c>
      <c r="I17" s="16" t="s">
        <v>9427</v>
      </c>
      <c r="K17" s="28" t="s">
        <v>814</v>
      </c>
      <c r="L17" s="29">
        <v>300</v>
      </c>
      <c r="M17" s="29">
        <v>312</v>
      </c>
      <c r="N17" s="16" t="s">
        <v>815</v>
      </c>
      <c r="O17" s="16" t="s">
        <v>816</v>
      </c>
      <c r="P17" s="30" t="s">
        <v>817</v>
      </c>
      <c r="T17" s="29">
        <v>290</v>
      </c>
      <c r="U17" s="35" t="s">
        <v>810</v>
      </c>
    </row>
    <row r="18" spans="1:21" x14ac:dyDescent="0.25">
      <c r="A18" s="16" t="s">
        <v>818</v>
      </c>
      <c r="B18" s="16" t="str">
        <f>TEXT(PARTIDA[[#This Row],[PARTIDA]],"0000000000")</f>
        <v>0104201000</v>
      </c>
      <c r="C18" s="16" t="s">
        <v>860</v>
      </c>
      <c r="D18" s="16" t="s">
        <v>865</v>
      </c>
      <c r="E18" s="16" t="s">
        <v>869</v>
      </c>
      <c r="F18" s="27" t="s">
        <v>9447</v>
      </c>
      <c r="G18" s="27"/>
      <c r="H18" s="16" t="str">
        <f>IF(ISBLANK(PARTIDAS!$G18),PARTIDAS!$F18,CONCATENATE(PARTIDAS!$F18," (",PARTIDAS!$G18,")"))</f>
        <v>Animales vivos de las especies ovina o caprina, de la especie caprina, reproductores de raza pura</v>
      </c>
      <c r="I18" s="16" t="s">
        <v>9427</v>
      </c>
      <c r="K18" s="28" t="s">
        <v>814</v>
      </c>
      <c r="L18" s="29">
        <v>300</v>
      </c>
      <c r="M18" s="29">
        <v>313</v>
      </c>
      <c r="N18" s="16" t="s">
        <v>815</v>
      </c>
      <c r="O18" s="16" t="s">
        <v>816</v>
      </c>
      <c r="P18" s="30" t="s">
        <v>819</v>
      </c>
      <c r="T18" s="33">
        <v>10</v>
      </c>
      <c r="U18" s="36" t="s">
        <v>812</v>
      </c>
    </row>
    <row r="19" spans="1:21" x14ac:dyDescent="0.25">
      <c r="A19" s="16" t="s">
        <v>820</v>
      </c>
      <c r="B19" s="16" t="str">
        <f>TEXT(PARTIDA[[#This Row],[PARTIDA]],"0000000000")</f>
        <v>0104209000</v>
      </c>
      <c r="C19" s="16" t="s">
        <v>786</v>
      </c>
      <c r="D19" s="16" t="s">
        <v>787</v>
      </c>
      <c r="E19" s="16" t="s">
        <v>788</v>
      </c>
      <c r="F19" s="27" t="s">
        <v>9448</v>
      </c>
      <c r="G19" s="27"/>
      <c r="H19" s="16" t="str">
        <f>IF(ISBLANK(PARTIDAS!$G19),PARTIDAS!$F19,CONCATENATE(PARTIDAS!$F19," (",PARTIDAS!$G19,")"))</f>
        <v>Animales vivos de las especies ovina o caprina, de la especie caprina (los demás)</v>
      </c>
      <c r="I19" s="16" t="s">
        <v>9427</v>
      </c>
      <c r="K19" s="28" t="s">
        <v>814</v>
      </c>
      <c r="L19" s="29">
        <v>300</v>
      </c>
      <c r="M19" s="29">
        <v>320</v>
      </c>
      <c r="N19" s="16" t="s">
        <v>815</v>
      </c>
      <c r="O19" s="16" t="s">
        <v>816</v>
      </c>
      <c r="P19" s="30" t="s">
        <v>821</v>
      </c>
      <c r="T19" s="29" t="s">
        <v>814</v>
      </c>
      <c r="U19" s="32" t="s">
        <v>815</v>
      </c>
    </row>
    <row r="20" spans="1:21" x14ac:dyDescent="0.25">
      <c r="A20" s="16" t="s">
        <v>822</v>
      </c>
      <c r="B20" s="16" t="str">
        <f>TEXT(PARTIDA[[#This Row],[PARTIDA]],"0000000000")</f>
        <v>0105110000</v>
      </c>
      <c r="C20" s="16" t="s">
        <v>786</v>
      </c>
      <c r="D20" s="16" t="s">
        <v>787</v>
      </c>
      <c r="E20" s="16" t="s">
        <v>788</v>
      </c>
      <c r="F20" s="27" t="s">
        <v>9449</v>
      </c>
      <c r="G20" s="27"/>
      <c r="H20" s="16" t="str">
        <f>IF(ISBLANK(PARTIDAS!$G20),PARTIDAS!$F20,CONCATENATE(PARTIDAS!$F20," (",PARTIDAS!$G20,")"))</f>
        <v>Aves de la especie Gallus domesticus</v>
      </c>
      <c r="I20" s="16" t="s">
        <v>9427</v>
      </c>
      <c r="K20" s="28" t="s">
        <v>814</v>
      </c>
      <c r="L20" s="29">
        <v>300</v>
      </c>
      <c r="M20" s="29">
        <v>330</v>
      </c>
      <c r="N20" s="16" t="s">
        <v>815</v>
      </c>
      <c r="O20" s="16" t="s">
        <v>816</v>
      </c>
      <c r="P20" s="30" t="s">
        <v>823</v>
      </c>
      <c r="T20" s="33">
        <v>300</v>
      </c>
      <c r="U20" s="36" t="s">
        <v>816</v>
      </c>
    </row>
    <row r="21" spans="1:21" x14ac:dyDescent="0.25">
      <c r="A21" s="16" t="s">
        <v>824</v>
      </c>
      <c r="B21" s="16" t="str">
        <f>TEXT(PARTIDA[[#This Row],[PARTIDA]],"0000000000")</f>
        <v>0105120000</v>
      </c>
      <c r="C21" s="16" t="s">
        <v>786</v>
      </c>
      <c r="D21" s="16" t="s">
        <v>787</v>
      </c>
      <c r="E21" s="16" t="s">
        <v>788</v>
      </c>
      <c r="F21" s="27" t="s">
        <v>9450</v>
      </c>
      <c r="G21" s="27"/>
      <c r="H21" s="16" t="str">
        <f>IF(ISBLANK(PARTIDAS!$G21),PARTIDAS!$F21,CONCATENATE(PARTIDAS!$F21," (",PARTIDAS!$G21,")"))</f>
        <v>Pavos (gallipavos)</v>
      </c>
      <c r="I21" s="16" t="s">
        <v>9427</v>
      </c>
      <c r="K21" s="28" t="s">
        <v>814</v>
      </c>
      <c r="L21" s="29">
        <v>400</v>
      </c>
      <c r="M21" s="29">
        <v>411</v>
      </c>
      <c r="N21" s="16" t="s">
        <v>815</v>
      </c>
      <c r="O21" s="16" t="s">
        <v>825</v>
      </c>
      <c r="P21" s="30" t="s">
        <v>826</v>
      </c>
      <c r="T21" s="29">
        <v>311</v>
      </c>
      <c r="U21" s="35" t="s">
        <v>827</v>
      </c>
    </row>
    <row r="22" spans="1:21" x14ac:dyDescent="0.25">
      <c r="A22" s="16" t="s">
        <v>828</v>
      </c>
      <c r="B22" s="16" t="str">
        <f>TEXT(PARTIDA[[#This Row],[PARTIDA]],"0000000000")</f>
        <v>0105130000</v>
      </c>
      <c r="C22" s="16" t="s">
        <v>786</v>
      </c>
      <c r="D22" s="16" t="s">
        <v>787</v>
      </c>
      <c r="E22" s="16" t="s">
        <v>788</v>
      </c>
      <c r="F22" s="27" t="s">
        <v>9451</v>
      </c>
      <c r="G22" s="27"/>
      <c r="H22" s="16" t="str">
        <f>IF(ISBLANK(PARTIDAS!$G22),PARTIDAS!$F22,CONCATENATE(PARTIDAS!$F22," (",PARTIDAS!$G22,")"))</f>
        <v>Gallos, gallinas, patos, gansos, pavos (gallipavos) y…, de peso inferior o igual a 185 g, patos</v>
      </c>
      <c r="I22" s="16" t="s">
        <v>9427</v>
      </c>
      <c r="K22" s="28" t="s">
        <v>814</v>
      </c>
      <c r="L22" s="29">
        <v>400</v>
      </c>
      <c r="M22" s="29">
        <v>412</v>
      </c>
      <c r="N22" s="16" t="s">
        <v>815</v>
      </c>
      <c r="O22" s="16" t="s">
        <v>825</v>
      </c>
      <c r="P22" s="30" t="s">
        <v>829</v>
      </c>
      <c r="T22" s="29">
        <v>312</v>
      </c>
      <c r="U22" s="30" t="s">
        <v>817</v>
      </c>
    </row>
    <row r="23" spans="1:21" x14ac:dyDescent="0.25">
      <c r="A23" s="16" t="s">
        <v>830</v>
      </c>
      <c r="B23" s="16" t="str">
        <f>TEXT(PARTIDA[[#This Row],[PARTIDA]],"0000000000")</f>
        <v>0105140000</v>
      </c>
      <c r="C23" s="16" t="s">
        <v>786</v>
      </c>
      <c r="D23" s="16" t="s">
        <v>787</v>
      </c>
      <c r="E23" s="16" t="s">
        <v>788</v>
      </c>
      <c r="F23" s="27" t="s">
        <v>9452</v>
      </c>
      <c r="G23" s="27"/>
      <c r="H23" s="16" t="str">
        <f>IF(ISBLANK(PARTIDAS!$G23),PARTIDAS!$F23,CONCATENATE(PARTIDAS!$F23," (",PARTIDAS!$G23,")"))</f>
        <v>Gallos, gallinas, patos, gansos, pavos (gallipavos) y…, de peso inferior o igual a 185 g, gansos</v>
      </c>
      <c r="I23" s="16" t="s">
        <v>9427</v>
      </c>
      <c r="K23" s="28" t="s">
        <v>814</v>
      </c>
      <c r="L23" s="29">
        <v>400</v>
      </c>
      <c r="M23" s="29">
        <v>413</v>
      </c>
      <c r="N23" s="16" t="s">
        <v>815</v>
      </c>
      <c r="O23" s="16" t="s">
        <v>825</v>
      </c>
      <c r="P23" s="30" t="s">
        <v>831</v>
      </c>
      <c r="T23" s="29">
        <v>313</v>
      </c>
      <c r="U23" s="35" t="s">
        <v>819</v>
      </c>
    </row>
    <row r="24" spans="1:21" x14ac:dyDescent="0.25">
      <c r="A24" s="16" t="s">
        <v>832</v>
      </c>
      <c r="B24" s="16" t="str">
        <f>TEXT(PARTIDA[[#This Row],[PARTIDA]],"0000000000")</f>
        <v>0105150000</v>
      </c>
      <c r="C24" s="16" t="s">
        <v>786</v>
      </c>
      <c r="D24" s="16" t="s">
        <v>787</v>
      </c>
      <c r="E24" s="16" t="s">
        <v>788</v>
      </c>
      <c r="F24" s="27" t="s">
        <v>9453</v>
      </c>
      <c r="G24" s="27"/>
      <c r="H24" s="16" t="str">
        <f>IF(ISBLANK(PARTIDAS!$G24),PARTIDAS!$F24,CONCATENATE(PARTIDAS!$F24," (",PARTIDAS!$G24,")"))</f>
        <v>Gallos, gallinas, patos, gansos, pavos (gallipavos) y…, de peso inferior o igual a 185 g, pintadas</v>
      </c>
      <c r="I24" s="16" t="s">
        <v>9427</v>
      </c>
      <c r="K24" s="28" t="s">
        <v>814</v>
      </c>
      <c r="L24" s="29">
        <v>400</v>
      </c>
      <c r="M24" s="29">
        <v>421</v>
      </c>
      <c r="N24" s="16" t="s">
        <v>815</v>
      </c>
      <c r="O24" s="16" t="s">
        <v>825</v>
      </c>
      <c r="P24" s="30" t="s">
        <v>9454</v>
      </c>
      <c r="T24" s="29">
        <v>320</v>
      </c>
      <c r="U24" s="35" t="s">
        <v>821</v>
      </c>
    </row>
    <row r="25" spans="1:21" x14ac:dyDescent="0.25">
      <c r="A25" s="16" t="s">
        <v>833</v>
      </c>
      <c r="B25" s="16" t="str">
        <f>TEXT(PARTIDA[[#This Row],[PARTIDA]],"0000000000")</f>
        <v>0105940000</v>
      </c>
      <c r="C25" s="16" t="s">
        <v>786</v>
      </c>
      <c r="D25" s="16" t="s">
        <v>787</v>
      </c>
      <c r="E25" s="16" t="s">
        <v>788</v>
      </c>
      <c r="F25" s="27" t="s">
        <v>9449</v>
      </c>
      <c r="G25" s="27"/>
      <c r="H25" s="16" t="str">
        <f>IF(ISBLANK(PARTIDAS!$G25),PARTIDAS!$F25,CONCATENATE(PARTIDAS!$F25," (",PARTIDAS!$G25,")"))</f>
        <v>Aves de la especie Gallus domesticus</v>
      </c>
      <c r="I25" s="16" t="s">
        <v>9427</v>
      </c>
      <c r="K25" s="28" t="s">
        <v>814</v>
      </c>
      <c r="L25" s="29">
        <v>400</v>
      </c>
      <c r="M25" s="29">
        <v>423</v>
      </c>
      <c r="N25" s="16" t="s">
        <v>815</v>
      </c>
      <c r="O25" s="16" t="s">
        <v>825</v>
      </c>
      <c r="P25" s="30" t="s">
        <v>9455</v>
      </c>
      <c r="T25" s="29">
        <v>330</v>
      </c>
      <c r="U25" s="35" t="s">
        <v>823</v>
      </c>
    </row>
    <row r="26" spans="1:21" x14ac:dyDescent="0.25">
      <c r="A26" s="16" t="s">
        <v>834</v>
      </c>
      <c r="B26" s="16" t="str">
        <f>TEXT(PARTIDA[[#This Row],[PARTIDA]],"0000000000")</f>
        <v>0105990000</v>
      </c>
      <c r="C26" s="16" t="s">
        <v>786</v>
      </c>
      <c r="D26" s="16" t="s">
        <v>787</v>
      </c>
      <c r="E26" s="16" t="s">
        <v>788</v>
      </c>
      <c r="F26" s="27" t="s">
        <v>9456</v>
      </c>
      <c r="G26" s="27"/>
      <c r="H26" s="16" t="str">
        <f>IF(ISBLANK(PARTIDAS!$G26),PARTIDAS!$F26,CONCATENATE(PARTIDAS!$F26," (",PARTIDAS!$G26,")"))</f>
        <v>Gallos, gallinas, patos, gansos, pavos (gallipavos) y pintadas, de… (los demás)</v>
      </c>
      <c r="I26" s="16" t="s">
        <v>9427</v>
      </c>
      <c r="K26" s="28" t="s">
        <v>814</v>
      </c>
      <c r="L26" s="29">
        <v>500</v>
      </c>
      <c r="M26" s="29">
        <v>511</v>
      </c>
      <c r="N26" s="16" t="s">
        <v>815</v>
      </c>
      <c r="O26" s="16" t="s">
        <v>835</v>
      </c>
      <c r="P26" s="30" t="s">
        <v>788</v>
      </c>
      <c r="T26" s="33">
        <v>400</v>
      </c>
      <c r="U26" s="36" t="s">
        <v>825</v>
      </c>
    </row>
    <row r="27" spans="1:21" x14ac:dyDescent="0.25">
      <c r="A27" s="16" t="s">
        <v>836</v>
      </c>
      <c r="B27" s="16" t="str">
        <f>TEXT(PARTIDA[[#This Row],[PARTIDA]],"0000000000")</f>
        <v>0106110000</v>
      </c>
      <c r="C27" s="16" t="s">
        <v>786</v>
      </c>
      <c r="D27" s="16" t="s">
        <v>787</v>
      </c>
      <c r="E27" s="16" t="s">
        <v>788</v>
      </c>
      <c r="F27" s="27" t="s">
        <v>837</v>
      </c>
      <c r="G27" s="27"/>
      <c r="H27" s="16" t="str">
        <f>IF(ISBLANK(PARTIDAS!$G27),PARTIDAS!$F27,CONCATENATE(PARTIDAS!$F27," (",PARTIDAS!$G27,")"))</f>
        <v>Monos</v>
      </c>
      <c r="I27" s="16" t="s">
        <v>9427</v>
      </c>
      <c r="K27" s="28" t="s">
        <v>814</v>
      </c>
      <c r="L27" s="29">
        <v>500</v>
      </c>
      <c r="M27" s="29">
        <v>512</v>
      </c>
      <c r="N27" s="16" t="s">
        <v>815</v>
      </c>
      <c r="O27" s="16" t="s">
        <v>835</v>
      </c>
      <c r="P27" s="30" t="s">
        <v>1870</v>
      </c>
      <c r="T27" s="29">
        <v>411</v>
      </c>
      <c r="U27" s="30" t="s">
        <v>826</v>
      </c>
    </row>
    <row r="28" spans="1:21" x14ac:dyDescent="0.25">
      <c r="A28" s="16" t="s">
        <v>838</v>
      </c>
      <c r="B28" s="16" t="str">
        <f>TEXT(PARTIDA[[#This Row],[PARTIDA]],"0000000000")</f>
        <v>0106120000</v>
      </c>
      <c r="C28" s="16" t="s">
        <v>786</v>
      </c>
      <c r="D28" s="16" t="s">
        <v>787</v>
      </c>
      <c r="E28" s="16" t="s">
        <v>788</v>
      </c>
      <c r="F28" s="27" t="s">
        <v>839</v>
      </c>
      <c r="G28" s="27"/>
      <c r="H28" s="16" t="str">
        <f>IF(ISBLANK(PARTIDAS!$G28),PARTIDAS!$F28,CONCATENATE(PARTIDAS!$F28," (",PARTIDAS!$G28,")"))</f>
        <v>Ballenas, delfines y marsopas</v>
      </c>
      <c r="I28" s="16" t="s">
        <v>9427</v>
      </c>
      <c r="K28" s="28" t="s">
        <v>814</v>
      </c>
      <c r="L28" s="29">
        <v>500</v>
      </c>
      <c r="M28" s="29">
        <v>521</v>
      </c>
      <c r="N28" s="16" t="s">
        <v>815</v>
      </c>
      <c r="O28" s="16" t="s">
        <v>835</v>
      </c>
      <c r="P28" s="30" t="s">
        <v>840</v>
      </c>
      <c r="T28" s="29">
        <v>412</v>
      </c>
      <c r="U28" s="30" t="s">
        <v>829</v>
      </c>
    </row>
    <row r="29" spans="1:21" x14ac:dyDescent="0.25">
      <c r="A29" s="16" t="s">
        <v>841</v>
      </c>
      <c r="B29" s="16" t="str">
        <f>TEXT(PARTIDA[[#This Row],[PARTIDA]],"0000000000")</f>
        <v>0106131100</v>
      </c>
      <c r="C29" s="16" t="s">
        <v>786</v>
      </c>
      <c r="D29" s="16" t="s">
        <v>787</v>
      </c>
      <c r="E29" s="16" t="s">
        <v>788</v>
      </c>
      <c r="F29" s="27" t="s">
        <v>9457</v>
      </c>
      <c r="G29" s="27"/>
      <c r="H29" s="16" t="str">
        <f>IF(ISBLANK(PARTIDAS!$G29),PARTIDAS!$F29,CONCATENATE(PARTIDAS!$F29," (",PARTIDAS!$G29,")"))</f>
        <v>Llamas (Lama glama), incluidos los guanacos</v>
      </c>
      <c r="I29" s="16" t="s">
        <v>9427</v>
      </c>
      <c r="K29" s="28" t="s">
        <v>814</v>
      </c>
      <c r="L29" s="29">
        <v>500</v>
      </c>
      <c r="M29" s="29">
        <v>522</v>
      </c>
      <c r="N29" s="16" t="s">
        <v>815</v>
      </c>
      <c r="O29" s="16" t="s">
        <v>835</v>
      </c>
      <c r="P29" s="30" t="s">
        <v>842</v>
      </c>
      <c r="T29" s="29">
        <v>413</v>
      </c>
      <c r="U29" s="30" t="s">
        <v>831</v>
      </c>
    </row>
    <row r="30" spans="1:21" x14ac:dyDescent="0.25">
      <c r="A30" s="16" t="s">
        <v>843</v>
      </c>
      <c r="B30" s="16" t="str">
        <f>TEXT(PARTIDA[[#This Row],[PARTIDA]],"0000000000")</f>
        <v>0106131200</v>
      </c>
      <c r="C30" s="16" t="s">
        <v>786</v>
      </c>
      <c r="D30" s="16" t="s">
        <v>787</v>
      </c>
      <c r="E30" s="16" t="s">
        <v>788</v>
      </c>
      <c r="F30" s="27" t="s">
        <v>9458</v>
      </c>
      <c r="G30" s="27"/>
      <c r="H30" s="16" t="str">
        <f>IF(ISBLANK(PARTIDAS!$G30),PARTIDAS!$F30,CONCATENATE(PARTIDAS!$F30," (",PARTIDAS!$G30,")"))</f>
        <v>Alpacas (Lama pacus)</v>
      </c>
      <c r="I30" s="16" t="s">
        <v>9427</v>
      </c>
      <c r="K30" s="28" t="s">
        <v>814</v>
      </c>
      <c r="L30" s="29">
        <v>500</v>
      </c>
      <c r="M30" s="29">
        <v>523</v>
      </c>
      <c r="N30" s="16" t="s">
        <v>815</v>
      </c>
      <c r="O30" s="16" t="s">
        <v>835</v>
      </c>
      <c r="P30" s="30" t="s">
        <v>844</v>
      </c>
      <c r="T30" s="29">
        <v>421</v>
      </c>
      <c r="U30" s="30" t="s">
        <v>9454</v>
      </c>
    </row>
    <row r="31" spans="1:21" x14ac:dyDescent="0.25">
      <c r="A31" s="16" t="s">
        <v>845</v>
      </c>
      <c r="B31" s="16" t="str">
        <f>TEXT(PARTIDA[[#This Row],[PARTIDA]],"0000000000")</f>
        <v>0106131900</v>
      </c>
      <c r="C31" s="16" t="s">
        <v>786</v>
      </c>
      <c r="D31" s="16" t="s">
        <v>787</v>
      </c>
      <c r="E31" s="16" t="s">
        <v>788</v>
      </c>
      <c r="F31" s="27" t="s">
        <v>9459</v>
      </c>
      <c r="G31" s="27"/>
      <c r="H31" s="16" t="str">
        <f>IF(ISBLANK(PARTIDAS!$G31),PARTIDAS!$F31,CONCATENATE(PARTIDAS!$F31," (",PARTIDAS!$G31,")"))</f>
        <v>Camélidos sudamericanos (los demás)</v>
      </c>
      <c r="I31" s="16" t="s">
        <v>9427</v>
      </c>
      <c r="K31" s="28" t="s">
        <v>814</v>
      </c>
      <c r="L31" s="29">
        <v>500</v>
      </c>
      <c r="M31" s="29">
        <v>524</v>
      </c>
      <c r="N31" s="16" t="s">
        <v>815</v>
      </c>
      <c r="O31" s="16" t="s">
        <v>835</v>
      </c>
      <c r="P31" s="30" t="s">
        <v>846</v>
      </c>
      <c r="T31" s="29">
        <v>423</v>
      </c>
      <c r="U31" s="30" t="s">
        <v>9455</v>
      </c>
    </row>
    <row r="32" spans="1:21" x14ac:dyDescent="0.25">
      <c r="A32" s="16" t="s">
        <v>847</v>
      </c>
      <c r="B32" s="16" t="str">
        <f>TEXT(PARTIDA[[#This Row],[PARTIDA]],"0000000000")</f>
        <v>0106139000</v>
      </c>
      <c r="C32" s="16" t="s">
        <v>786</v>
      </c>
      <c r="D32" s="16" t="s">
        <v>787</v>
      </c>
      <c r="E32" s="16" t="s">
        <v>788</v>
      </c>
      <c r="F32" s="27" t="s">
        <v>9460</v>
      </c>
      <c r="G32" s="27"/>
      <c r="H32" s="16" t="str">
        <f>IF(ISBLANK(PARTIDAS!$G32),PARTIDAS!$F32,CONCATENATE(PARTIDAS!$F32," (",PARTIDAS!$G32,")"))</f>
        <v>Camellos y demás camélidos (Camelidae) (los demás)</v>
      </c>
      <c r="I32" s="16" t="s">
        <v>9427</v>
      </c>
      <c r="K32" s="28" t="s">
        <v>814</v>
      </c>
      <c r="L32" s="29">
        <v>500</v>
      </c>
      <c r="M32" s="29">
        <v>531</v>
      </c>
      <c r="N32" s="16" t="s">
        <v>815</v>
      </c>
      <c r="O32" s="16" t="s">
        <v>835</v>
      </c>
      <c r="P32" s="30" t="s">
        <v>848</v>
      </c>
      <c r="T32" s="33">
        <v>500</v>
      </c>
      <c r="U32" s="36" t="s">
        <v>835</v>
      </c>
    </row>
    <row r="33" spans="1:21" x14ac:dyDescent="0.25">
      <c r="A33" s="16" t="s">
        <v>849</v>
      </c>
      <c r="B33" s="16" t="str">
        <f>TEXT(PARTIDA[[#This Row],[PARTIDA]],"0000000000")</f>
        <v>0106140000</v>
      </c>
      <c r="C33" s="16" t="s">
        <v>786</v>
      </c>
      <c r="D33" s="16" t="s">
        <v>787</v>
      </c>
      <c r="E33" s="16" t="s">
        <v>788</v>
      </c>
      <c r="F33" s="27" t="s">
        <v>9461</v>
      </c>
      <c r="G33" s="27"/>
      <c r="H33" s="16" t="str">
        <f>IF(ISBLANK(PARTIDAS!$G33),PARTIDAS!$F33,CONCATENATE(PARTIDAS!$F33," (",PARTIDAS!$G33,")"))</f>
        <v>Conejos y liebres</v>
      </c>
      <c r="I33" s="16" t="s">
        <v>9427</v>
      </c>
      <c r="K33" s="28" t="s">
        <v>814</v>
      </c>
      <c r="L33" s="29">
        <v>500</v>
      </c>
      <c r="M33" s="29">
        <v>532</v>
      </c>
      <c r="N33" s="16" t="s">
        <v>815</v>
      </c>
      <c r="O33" s="16" t="s">
        <v>835</v>
      </c>
      <c r="P33" s="30" t="s">
        <v>9462</v>
      </c>
      <c r="T33" s="29">
        <v>511</v>
      </c>
      <c r="U33" s="30" t="s">
        <v>788</v>
      </c>
    </row>
    <row r="34" spans="1:21" x14ac:dyDescent="0.25">
      <c r="A34" s="16" t="s">
        <v>850</v>
      </c>
      <c r="B34" s="16" t="str">
        <f>TEXT(PARTIDA[[#This Row],[PARTIDA]],"0000000000")</f>
        <v>0106190000</v>
      </c>
      <c r="C34" s="16" t="s">
        <v>786</v>
      </c>
      <c r="D34" s="16" t="s">
        <v>787</v>
      </c>
      <c r="E34" s="16" t="s">
        <v>788</v>
      </c>
      <c r="F34" s="27" t="s">
        <v>851</v>
      </c>
      <c r="G34" s="27" t="s">
        <v>852</v>
      </c>
      <c r="H34" s="16" t="str">
        <f>IF(ISBLANK(PARTIDAS!$G34),PARTIDAS!$F34,CONCATENATE(PARTIDAS!$F34," (",PARTIDAS!$G34,")"))</f>
        <v>Mamíferos (Especificar)</v>
      </c>
      <c r="I34" s="16" t="s">
        <v>9427</v>
      </c>
      <c r="K34" s="28" t="s">
        <v>814</v>
      </c>
      <c r="L34" s="29">
        <v>500</v>
      </c>
      <c r="M34" s="29">
        <v>533</v>
      </c>
      <c r="N34" s="16" t="s">
        <v>815</v>
      </c>
      <c r="O34" s="16" t="s">
        <v>835</v>
      </c>
      <c r="P34" s="30" t="s">
        <v>9463</v>
      </c>
      <c r="T34" s="29">
        <v>512</v>
      </c>
      <c r="U34" s="30" t="s">
        <v>1870</v>
      </c>
    </row>
    <row r="35" spans="1:21" x14ac:dyDescent="0.25">
      <c r="A35" s="16" t="s">
        <v>853</v>
      </c>
      <c r="B35" s="16" t="str">
        <f>TEXT(PARTIDA[[#This Row],[PARTIDA]],"0000000000")</f>
        <v>0106200000</v>
      </c>
      <c r="C35" s="16" t="s">
        <v>786</v>
      </c>
      <c r="D35" s="16" t="s">
        <v>787</v>
      </c>
      <c r="E35" s="16" t="s">
        <v>788</v>
      </c>
      <c r="F35" s="27" t="s">
        <v>854</v>
      </c>
      <c r="G35" s="27" t="s">
        <v>852</v>
      </c>
      <c r="H35" s="16" t="str">
        <f>IF(ISBLANK(PARTIDAS!$G35),PARTIDAS!$F35,CONCATENATE(PARTIDAS!$F35," (",PARTIDAS!$G35,")"))</f>
        <v>Tortugas y reptiles (Especificar)</v>
      </c>
      <c r="I35" s="16" t="s">
        <v>9427</v>
      </c>
      <c r="K35" s="28" t="s">
        <v>814</v>
      </c>
      <c r="L35" s="29">
        <v>500</v>
      </c>
      <c r="M35" s="29">
        <v>534</v>
      </c>
      <c r="N35" s="16" t="s">
        <v>815</v>
      </c>
      <c r="O35" s="16" t="s">
        <v>835</v>
      </c>
      <c r="P35" s="30" t="s">
        <v>855</v>
      </c>
      <c r="T35" s="29">
        <v>521</v>
      </c>
      <c r="U35" s="30" t="s">
        <v>840</v>
      </c>
    </row>
    <row r="36" spans="1:21" x14ac:dyDescent="0.25">
      <c r="A36" s="16" t="s">
        <v>856</v>
      </c>
      <c r="B36" s="16" t="str">
        <f>TEXT(PARTIDA[[#This Row],[PARTIDA]],"0000000000")</f>
        <v>0106310000</v>
      </c>
      <c r="C36" s="16" t="s">
        <v>786</v>
      </c>
      <c r="D36" s="16" t="s">
        <v>787</v>
      </c>
      <c r="E36" s="16" t="s">
        <v>788</v>
      </c>
      <c r="F36" s="27" t="s">
        <v>9464</v>
      </c>
      <c r="G36" s="27"/>
      <c r="H36" s="16" t="str">
        <f>IF(ISBLANK(PARTIDAS!$G36),PARTIDAS!$F36,CONCATENATE(PARTIDAS!$F36," (",PARTIDAS!$G36,")"))</f>
        <v>Aves de rapiña</v>
      </c>
      <c r="I36" s="16" t="s">
        <v>9427</v>
      </c>
      <c r="K36" s="28" t="s">
        <v>814</v>
      </c>
      <c r="L36" s="29">
        <v>500</v>
      </c>
      <c r="M36" s="29">
        <v>552</v>
      </c>
      <c r="N36" s="16" t="s">
        <v>815</v>
      </c>
      <c r="O36" s="16" t="s">
        <v>835</v>
      </c>
      <c r="P36" s="30" t="s">
        <v>9465</v>
      </c>
      <c r="T36" s="29">
        <v>522</v>
      </c>
      <c r="U36" s="30" t="s">
        <v>842</v>
      </c>
    </row>
    <row r="37" spans="1:21" x14ac:dyDescent="0.25">
      <c r="A37" s="16" t="s">
        <v>857</v>
      </c>
      <c r="B37" s="16" t="str">
        <f>TEXT(PARTIDA[[#This Row],[PARTIDA]],"0000000000")</f>
        <v>0106320000</v>
      </c>
      <c r="C37" s="16" t="s">
        <v>786</v>
      </c>
      <c r="D37" s="16" t="s">
        <v>787</v>
      </c>
      <c r="E37" s="16" t="s">
        <v>788</v>
      </c>
      <c r="F37" s="27" t="s">
        <v>9466</v>
      </c>
      <c r="G37" s="27"/>
      <c r="H37" s="16" t="str">
        <f>IF(ISBLANK(PARTIDAS!$G37),PARTIDAS!$F37,CONCATENATE(PARTIDAS!$F37," (",PARTIDAS!$G37,")"))</f>
        <v>Psitaciformes (incluidos los loros, guacamayos, cacatúas y demás papagayos)</v>
      </c>
      <c r="I37" s="16" t="s">
        <v>9427</v>
      </c>
      <c r="K37" s="28" t="s">
        <v>814</v>
      </c>
      <c r="L37" s="29">
        <v>500</v>
      </c>
      <c r="M37" s="29">
        <v>553</v>
      </c>
      <c r="N37" s="16" t="s">
        <v>815</v>
      </c>
      <c r="O37" s="16" t="s">
        <v>835</v>
      </c>
      <c r="P37" s="30" t="s">
        <v>9467</v>
      </c>
      <c r="T37" s="29">
        <v>523</v>
      </c>
      <c r="U37" s="30" t="s">
        <v>844</v>
      </c>
    </row>
    <row r="38" spans="1:21" x14ac:dyDescent="0.25">
      <c r="A38" s="16" t="s">
        <v>858</v>
      </c>
      <c r="B38" s="16" t="str">
        <f>TEXT(PARTIDA[[#This Row],[PARTIDA]],"0000000000")</f>
        <v>0106330000</v>
      </c>
      <c r="C38" s="16" t="s">
        <v>786</v>
      </c>
      <c r="D38" s="16" t="s">
        <v>787</v>
      </c>
      <c r="E38" s="16" t="s">
        <v>788</v>
      </c>
      <c r="F38" s="27" t="s">
        <v>9468</v>
      </c>
      <c r="G38" s="27"/>
      <c r="H38" s="16" t="str">
        <f>IF(ISBLANK(PARTIDAS!$G38),PARTIDAS!$F38,CONCATENATE(PARTIDAS!$F38," (",PARTIDAS!$G38,")"))</f>
        <v>Avestruces; emúes (Dromaius novaehollandiae)</v>
      </c>
      <c r="I38" s="16" t="s">
        <v>9427</v>
      </c>
      <c r="K38" s="28" t="s">
        <v>859</v>
      </c>
      <c r="L38" s="29">
        <v>600</v>
      </c>
      <c r="M38" s="29">
        <v>611</v>
      </c>
      <c r="N38" s="16" t="s">
        <v>860</v>
      </c>
      <c r="O38" s="16" t="s">
        <v>861</v>
      </c>
      <c r="P38" s="30" t="s">
        <v>9469</v>
      </c>
      <c r="T38" s="29">
        <v>524</v>
      </c>
      <c r="U38" s="30" t="s">
        <v>846</v>
      </c>
    </row>
    <row r="39" spans="1:21" x14ac:dyDescent="0.25">
      <c r="A39" s="16" t="s">
        <v>862</v>
      </c>
      <c r="B39" s="16" t="str">
        <f>TEXT(PARTIDA[[#This Row],[PARTIDA]],"0000000000")</f>
        <v>0106390000</v>
      </c>
      <c r="C39" s="16" t="s">
        <v>786</v>
      </c>
      <c r="D39" s="16" t="s">
        <v>787</v>
      </c>
      <c r="E39" s="16" t="s">
        <v>788</v>
      </c>
      <c r="F39" s="27" t="s">
        <v>9470</v>
      </c>
      <c r="G39" s="27"/>
      <c r="H39" s="16" t="str">
        <f>IF(ISBLANK(PARTIDAS!$G39),PARTIDAS!$F39,CONCATENATE(PARTIDAS!$F39," (",PARTIDAS!$G39,")"))</f>
        <v>Aves (los demás)</v>
      </c>
      <c r="I39" s="16" t="s">
        <v>9427</v>
      </c>
      <c r="K39" s="28" t="s">
        <v>859</v>
      </c>
      <c r="L39" s="29">
        <v>600</v>
      </c>
      <c r="M39" s="29">
        <v>612</v>
      </c>
      <c r="N39" s="16" t="s">
        <v>860</v>
      </c>
      <c r="O39" s="16" t="s">
        <v>861</v>
      </c>
      <c r="P39" s="30" t="s">
        <v>9471</v>
      </c>
      <c r="T39" s="29">
        <v>531</v>
      </c>
      <c r="U39" s="30" t="s">
        <v>848</v>
      </c>
    </row>
    <row r="40" spans="1:21" x14ac:dyDescent="0.25">
      <c r="A40" s="16" t="s">
        <v>863</v>
      </c>
      <c r="B40" s="16" t="str">
        <f>TEXT(PARTIDA[[#This Row],[PARTIDA]],"0000000000")</f>
        <v>0106410000</v>
      </c>
      <c r="C40" s="16" t="s">
        <v>786</v>
      </c>
      <c r="D40" s="16" t="s">
        <v>787</v>
      </c>
      <c r="E40" s="16" t="s">
        <v>788</v>
      </c>
      <c r="F40" s="27" t="s">
        <v>9472</v>
      </c>
      <c r="G40" s="27"/>
      <c r="H40" s="16" t="str">
        <f>IF(ISBLANK(PARTIDAS!$G40),PARTIDAS!$F40,CONCATENATE(PARTIDAS!$F40," (",PARTIDAS!$G40,")"))</f>
        <v>Insectos, abejas</v>
      </c>
      <c r="I40" s="16" t="s">
        <v>9427</v>
      </c>
      <c r="K40" s="28" t="s">
        <v>859</v>
      </c>
      <c r="L40" s="29">
        <v>600</v>
      </c>
      <c r="M40" s="29">
        <v>613</v>
      </c>
      <c r="N40" s="16" t="s">
        <v>860</v>
      </c>
      <c r="O40" s="16" t="s">
        <v>861</v>
      </c>
      <c r="P40" s="30" t="s">
        <v>9473</v>
      </c>
      <c r="T40" s="29">
        <v>532</v>
      </c>
      <c r="U40" s="30" t="s">
        <v>9462</v>
      </c>
    </row>
    <row r="41" spans="1:21" x14ac:dyDescent="0.25">
      <c r="A41" s="16" t="s">
        <v>864</v>
      </c>
      <c r="B41" s="16" t="str">
        <f>TEXT(PARTIDA[[#This Row],[PARTIDA]],"0000000000")</f>
        <v>0106490000</v>
      </c>
      <c r="C41" s="16" t="s">
        <v>786</v>
      </c>
      <c r="D41" s="16" t="s">
        <v>787</v>
      </c>
      <c r="E41" s="16" t="s">
        <v>788</v>
      </c>
      <c r="F41" s="27" t="s">
        <v>9474</v>
      </c>
      <c r="G41" s="27"/>
      <c r="H41" s="16" t="str">
        <f>IF(ISBLANK(PARTIDAS!$G41),PARTIDAS!$F41,CONCATENATE(PARTIDAS!$F41," (",PARTIDAS!$G41,")"))</f>
        <v>Insectos (los demás)</v>
      </c>
      <c r="I41" s="16" t="s">
        <v>9427</v>
      </c>
      <c r="K41" s="28" t="s">
        <v>859</v>
      </c>
      <c r="L41" s="29">
        <v>700</v>
      </c>
      <c r="M41" s="29">
        <v>710</v>
      </c>
      <c r="N41" s="16" t="s">
        <v>860</v>
      </c>
      <c r="O41" s="16" t="s">
        <v>865</v>
      </c>
      <c r="P41" s="30" t="s">
        <v>866</v>
      </c>
      <c r="T41" s="29">
        <v>533</v>
      </c>
      <c r="U41" s="30" t="s">
        <v>9463</v>
      </c>
    </row>
    <row r="42" spans="1:21" x14ac:dyDescent="0.25">
      <c r="A42" s="16" t="s">
        <v>867</v>
      </c>
      <c r="B42" s="16" t="str">
        <f>TEXT(PARTIDA[[#This Row],[PARTIDA]],"0000000000")</f>
        <v>0106900000</v>
      </c>
      <c r="C42" s="16" t="s">
        <v>786</v>
      </c>
      <c r="D42" s="16" t="s">
        <v>787</v>
      </c>
      <c r="E42" s="16" t="s">
        <v>788</v>
      </c>
      <c r="F42" s="27" t="s">
        <v>868</v>
      </c>
      <c r="G42" s="27" t="s">
        <v>852</v>
      </c>
      <c r="H42" s="16" t="str">
        <f>IF(ISBLANK(PARTIDAS!$G42),PARTIDAS!$F42,CONCATENATE(PARTIDAS!$F42," (",PARTIDAS!$G42,")"))</f>
        <v>Ranas, anfibios y reptiles (Especificar)</v>
      </c>
      <c r="I42" s="16" t="s">
        <v>9427</v>
      </c>
      <c r="K42" s="28" t="s">
        <v>859</v>
      </c>
      <c r="L42" s="29">
        <v>700</v>
      </c>
      <c r="M42" s="29">
        <v>720</v>
      </c>
      <c r="N42" s="16" t="s">
        <v>860</v>
      </c>
      <c r="O42" s="16" t="s">
        <v>865</v>
      </c>
      <c r="P42" s="30" t="s">
        <v>869</v>
      </c>
      <c r="T42" s="29">
        <v>534</v>
      </c>
      <c r="U42" s="30" t="s">
        <v>855</v>
      </c>
    </row>
    <row r="43" spans="1:21" x14ac:dyDescent="0.25">
      <c r="A43" s="16" t="s">
        <v>870</v>
      </c>
      <c r="B43" s="16" t="str">
        <f>TEXT(PARTIDA[[#This Row],[PARTIDA]],"0000000000")</f>
        <v>0201100000</v>
      </c>
      <c r="C43" s="16" t="s">
        <v>786</v>
      </c>
      <c r="D43" s="16" t="s">
        <v>787</v>
      </c>
      <c r="E43" s="16" t="s">
        <v>788</v>
      </c>
      <c r="F43" s="27" t="s">
        <v>9475</v>
      </c>
      <c r="G43" s="27"/>
      <c r="H43" s="16" t="str">
        <f>IF(ISBLANK(PARTIDAS!$G43),PARTIDAS!$F43,CONCATENATE(PARTIDAS!$F43," (",PARTIDAS!$G43,")"))</f>
        <v>Carne de animales de la especie bovina, fresca o refrigerada, en canales o medias canales</v>
      </c>
      <c r="I43" s="16" t="s">
        <v>9427</v>
      </c>
      <c r="K43" s="28" t="s">
        <v>859</v>
      </c>
      <c r="L43" s="29">
        <v>700</v>
      </c>
      <c r="M43" s="29">
        <v>730</v>
      </c>
      <c r="N43" s="16" t="s">
        <v>860</v>
      </c>
      <c r="O43" s="16" t="s">
        <v>865</v>
      </c>
      <c r="P43" s="30" t="s">
        <v>871</v>
      </c>
      <c r="T43" s="29">
        <v>552</v>
      </c>
      <c r="U43" s="30" t="s">
        <v>9465</v>
      </c>
    </row>
    <row r="44" spans="1:21" x14ac:dyDescent="0.25">
      <c r="A44" s="16" t="s">
        <v>872</v>
      </c>
      <c r="B44" s="16" t="str">
        <f>TEXT(PARTIDA[[#This Row],[PARTIDA]],"0000000000")</f>
        <v>0201200000</v>
      </c>
      <c r="C44" s="16" t="s">
        <v>786</v>
      </c>
      <c r="D44" s="16" t="s">
        <v>787</v>
      </c>
      <c r="E44" s="16" t="s">
        <v>788</v>
      </c>
      <c r="F44" s="27" t="s">
        <v>9476</v>
      </c>
      <c r="G44" s="27"/>
      <c r="H44" s="16" t="str">
        <f>IF(ISBLANK(PARTIDAS!$G44),PARTIDAS!$F44,CONCATENATE(PARTIDAS!$F44," (",PARTIDAS!$G44,")"))</f>
        <v>Carne de animales de la especie bovina, fresca o refrigerada (los demás, cortes (trozos) sin deshuesar)</v>
      </c>
      <c r="I44" s="16" t="s">
        <v>9427</v>
      </c>
      <c r="K44" s="28" t="s">
        <v>859</v>
      </c>
      <c r="L44" s="29">
        <v>800</v>
      </c>
      <c r="M44" s="29">
        <v>810</v>
      </c>
      <c r="N44" s="16" t="s">
        <v>860</v>
      </c>
      <c r="O44" s="16" t="s">
        <v>873</v>
      </c>
      <c r="P44" s="30" t="s">
        <v>874</v>
      </c>
      <c r="T44" s="29">
        <v>553</v>
      </c>
      <c r="U44" s="30" t="s">
        <v>9467</v>
      </c>
    </row>
    <row r="45" spans="1:21" x14ac:dyDescent="0.25">
      <c r="A45" s="16" t="s">
        <v>875</v>
      </c>
      <c r="B45" s="16" t="str">
        <f>TEXT(PARTIDA[[#This Row],[PARTIDA]],"0000000000")</f>
        <v>0201300010</v>
      </c>
      <c r="C45" s="16" t="s">
        <v>786</v>
      </c>
      <c r="D45" s="16" t="s">
        <v>787</v>
      </c>
      <c r="E45" s="16" t="s">
        <v>788</v>
      </c>
      <c r="F45" s="27" t="s">
        <v>9211</v>
      </c>
      <c r="G45" s="27"/>
      <c r="H45" s="16" t="str">
        <f>IF(ISBLANK(PARTIDAS!$G45),PARTIDAS!$F45,CONCATENATE(PARTIDAS!$F45," (",PARTIDAS!$G45,")"))</f>
        <v>Cortes finos</v>
      </c>
      <c r="I45" s="16" t="s">
        <v>9427</v>
      </c>
      <c r="K45" s="28" t="s">
        <v>859</v>
      </c>
      <c r="L45" s="29">
        <v>800</v>
      </c>
      <c r="M45" s="29">
        <v>820</v>
      </c>
      <c r="N45" s="16" t="s">
        <v>860</v>
      </c>
      <c r="O45" s="16" t="s">
        <v>873</v>
      </c>
      <c r="P45" s="30" t="s">
        <v>876</v>
      </c>
      <c r="T45" s="29" t="s">
        <v>859</v>
      </c>
      <c r="U45" s="32" t="s">
        <v>860</v>
      </c>
    </row>
    <row r="46" spans="1:21" x14ac:dyDescent="0.25">
      <c r="A46" s="16" t="s">
        <v>877</v>
      </c>
      <c r="B46" s="16" t="str">
        <f>TEXT(PARTIDA[[#This Row],[PARTIDA]],"0000000000")</f>
        <v>0201300090</v>
      </c>
      <c r="C46" s="16" t="s">
        <v>786</v>
      </c>
      <c r="D46" s="16" t="s">
        <v>787</v>
      </c>
      <c r="E46" s="16" t="s">
        <v>9429</v>
      </c>
      <c r="F46" s="27" t="s">
        <v>9221</v>
      </c>
      <c r="G46" s="27"/>
      <c r="H46" s="16" t="str">
        <f>IF(ISBLANK(PARTIDAS!$G46),PARTIDAS!$F46,CONCATENATE(PARTIDAS!$F46," (",PARTIDAS!$G46,")"))</f>
        <v>Deshuesada (los demás)</v>
      </c>
      <c r="I46" s="16" t="s">
        <v>9477</v>
      </c>
      <c r="K46" s="28" t="s">
        <v>859</v>
      </c>
      <c r="L46" s="29">
        <v>800</v>
      </c>
      <c r="M46" s="29">
        <v>830</v>
      </c>
      <c r="N46" s="16" t="s">
        <v>860</v>
      </c>
      <c r="O46" s="16" t="s">
        <v>873</v>
      </c>
      <c r="P46" s="30" t="s">
        <v>9478</v>
      </c>
      <c r="T46" s="33">
        <v>600</v>
      </c>
      <c r="U46" s="36" t="s">
        <v>861</v>
      </c>
    </row>
    <row r="47" spans="1:21" x14ac:dyDescent="0.25">
      <c r="A47" s="16" t="s">
        <v>878</v>
      </c>
      <c r="B47" s="16" t="str">
        <f>TEXT(PARTIDA[[#This Row],[PARTIDA]],"0000000000")</f>
        <v>0202100000</v>
      </c>
      <c r="C47" s="16" t="s">
        <v>786</v>
      </c>
      <c r="D47" s="16" t="s">
        <v>787</v>
      </c>
      <c r="E47" s="16" t="s">
        <v>788</v>
      </c>
      <c r="F47" s="27" t="s">
        <v>9479</v>
      </c>
      <c r="G47" s="27"/>
      <c r="H47" s="16" t="str">
        <f>IF(ISBLANK(PARTIDAS!$G47),PARTIDAS!$F47,CONCATENATE(PARTIDAS!$F47," (",PARTIDAS!$G47,")"))</f>
        <v>Carne de animales de la especie bovina, congelada, en canales o medias canales</v>
      </c>
      <c r="I47" s="16" t="s">
        <v>9427</v>
      </c>
      <c r="K47" s="28" t="s">
        <v>859</v>
      </c>
      <c r="L47" s="29">
        <v>800</v>
      </c>
      <c r="M47" s="29">
        <v>840</v>
      </c>
      <c r="N47" s="16" t="s">
        <v>860</v>
      </c>
      <c r="O47" s="16" t="s">
        <v>873</v>
      </c>
      <c r="P47" s="30" t="s">
        <v>9480</v>
      </c>
      <c r="T47" s="29">
        <v>611</v>
      </c>
      <c r="U47" s="30" t="s">
        <v>9469</v>
      </c>
    </row>
    <row r="48" spans="1:21" x14ac:dyDescent="0.25">
      <c r="A48" s="16" t="s">
        <v>879</v>
      </c>
      <c r="B48" s="16" t="str">
        <f>TEXT(PARTIDA[[#This Row],[PARTIDA]],"0000000000")</f>
        <v>0202200000</v>
      </c>
      <c r="C48" s="16" t="s">
        <v>786</v>
      </c>
      <c r="D48" s="16" t="s">
        <v>787</v>
      </c>
      <c r="E48" s="16" t="s">
        <v>788</v>
      </c>
      <c r="F48" s="27" t="s">
        <v>9481</v>
      </c>
      <c r="G48" s="27"/>
      <c r="H48" s="16" t="str">
        <f>IF(ISBLANK(PARTIDAS!$G48),PARTIDAS!$F48,CONCATENATE(PARTIDAS!$F48," (",PARTIDAS!$G48,")"))</f>
        <v>Carne de animales de la especie bovina, congelada (los demás, cortes (trozos) sin deshuesar)</v>
      </c>
      <c r="I48" s="16" t="s">
        <v>9427</v>
      </c>
      <c r="K48" s="28" t="s">
        <v>859</v>
      </c>
      <c r="L48" s="29">
        <v>800</v>
      </c>
      <c r="M48" s="29">
        <v>850</v>
      </c>
      <c r="N48" s="16" t="s">
        <v>860</v>
      </c>
      <c r="O48" s="16" t="s">
        <v>873</v>
      </c>
      <c r="P48" s="30" t="s">
        <v>9482</v>
      </c>
      <c r="T48" s="29">
        <v>612</v>
      </c>
      <c r="U48" s="30" t="s">
        <v>9471</v>
      </c>
    </row>
    <row r="49" spans="1:21" x14ac:dyDescent="0.25">
      <c r="A49" s="16" t="s">
        <v>880</v>
      </c>
      <c r="B49" s="16" t="str">
        <f>TEXT(PARTIDA[[#This Row],[PARTIDA]],"0000000000")</f>
        <v>0202300010</v>
      </c>
      <c r="C49" s="16" t="s">
        <v>786</v>
      </c>
      <c r="D49" s="16" t="s">
        <v>787</v>
      </c>
      <c r="E49" s="16" t="s">
        <v>9429</v>
      </c>
      <c r="F49" s="27" t="s">
        <v>9211</v>
      </c>
      <c r="G49" s="27"/>
      <c r="H49" s="16" t="str">
        <f>IF(ISBLANK(PARTIDAS!$G49),PARTIDAS!$F49,CONCATENATE(PARTIDAS!$F49," (",PARTIDAS!$G49,")"))</f>
        <v>Cortes finos</v>
      </c>
      <c r="I49" s="16" t="s">
        <v>9477</v>
      </c>
      <c r="K49" s="28" t="s">
        <v>859</v>
      </c>
      <c r="L49" s="29">
        <v>900</v>
      </c>
      <c r="M49" s="29">
        <v>910</v>
      </c>
      <c r="N49" s="16" t="s">
        <v>860</v>
      </c>
      <c r="O49" s="16" t="s">
        <v>881</v>
      </c>
      <c r="P49" s="30" t="s">
        <v>9483</v>
      </c>
      <c r="T49" s="29">
        <v>613</v>
      </c>
      <c r="U49" s="30" t="s">
        <v>9473</v>
      </c>
    </row>
    <row r="50" spans="1:21" x14ac:dyDescent="0.25">
      <c r="A50" s="16" t="s">
        <v>882</v>
      </c>
      <c r="B50" s="16" t="str">
        <f>TEXT(PARTIDA[[#This Row],[PARTIDA]],"0000000000")</f>
        <v>0202300090</v>
      </c>
      <c r="C50" s="16" t="s">
        <v>786</v>
      </c>
      <c r="D50" s="16" t="s">
        <v>787</v>
      </c>
      <c r="E50" s="16" t="s">
        <v>9429</v>
      </c>
      <c r="F50" s="27" t="s">
        <v>9221</v>
      </c>
      <c r="G50" s="27"/>
      <c r="H50" s="16" t="str">
        <f>IF(ISBLANK(PARTIDAS!$G50),PARTIDAS!$F50,CONCATENATE(PARTIDAS!$F50," (",PARTIDAS!$G50,")"))</f>
        <v>Deshuesada (los demás)</v>
      </c>
      <c r="I50" s="16" t="s">
        <v>9477</v>
      </c>
      <c r="K50" s="28" t="s">
        <v>859</v>
      </c>
      <c r="L50" s="29">
        <v>900</v>
      </c>
      <c r="M50" s="29">
        <v>920</v>
      </c>
      <c r="N50" s="16" t="s">
        <v>860</v>
      </c>
      <c r="O50" s="16" t="s">
        <v>881</v>
      </c>
      <c r="P50" s="30" t="s">
        <v>9484</v>
      </c>
      <c r="T50" s="33">
        <v>700</v>
      </c>
      <c r="U50" s="37" t="s">
        <v>865</v>
      </c>
    </row>
    <row r="51" spans="1:21" x14ac:dyDescent="0.25">
      <c r="A51" s="16" t="s">
        <v>883</v>
      </c>
      <c r="B51" s="16" t="str">
        <f>TEXT(PARTIDA[[#This Row],[PARTIDA]],"0000000000")</f>
        <v>0203110000</v>
      </c>
      <c r="C51" s="16" t="s">
        <v>786</v>
      </c>
      <c r="D51" s="16" t="s">
        <v>787</v>
      </c>
      <c r="E51" s="16" t="s">
        <v>788</v>
      </c>
      <c r="F51" s="27" t="s">
        <v>9485</v>
      </c>
      <c r="G51" s="27"/>
      <c r="H51" s="16" t="str">
        <f>IF(ISBLANK(PARTIDAS!$G51),PARTIDAS!$F51,CONCATENATE(PARTIDAS!$F51," (",PARTIDAS!$G51,")"))</f>
        <v>Fresca o refrigerada, en canales o medias canales</v>
      </c>
      <c r="I51" s="16" t="s">
        <v>9427</v>
      </c>
      <c r="K51" s="28" t="s">
        <v>859</v>
      </c>
      <c r="L51" s="29">
        <v>900</v>
      </c>
      <c r="M51" s="29">
        <v>930</v>
      </c>
      <c r="N51" s="16" t="s">
        <v>860</v>
      </c>
      <c r="O51" s="16" t="s">
        <v>881</v>
      </c>
      <c r="P51" s="35" t="s">
        <v>884</v>
      </c>
      <c r="T51" s="29">
        <v>710</v>
      </c>
      <c r="U51" s="35" t="s">
        <v>866</v>
      </c>
    </row>
    <row r="52" spans="1:21" x14ac:dyDescent="0.25">
      <c r="A52" s="16" t="s">
        <v>885</v>
      </c>
      <c r="B52" s="16" t="str">
        <f>TEXT(PARTIDA[[#This Row],[PARTIDA]],"0000000000")</f>
        <v>0203120000</v>
      </c>
      <c r="C52" s="16" t="s">
        <v>786</v>
      </c>
      <c r="D52" s="16" t="s">
        <v>787</v>
      </c>
      <c r="E52" s="16" t="s">
        <v>788</v>
      </c>
      <c r="F52" s="27" t="s">
        <v>9486</v>
      </c>
      <c r="G52" s="27"/>
      <c r="H52" s="16" t="str">
        <f>IF(ISBLANK(PARTIDAS!$G52),PARTIDAS!$F52,CONCATENATE(PARTIDAS!$F52," (",PARTIDAS!$G52,")"))</f>
        <v>Piernas, paletas, y sus trozos, sin deshuesar</v>
      </c>
      <c r="I52" s="16" t="s">
        <v>9427</v>
      </c>
      <c r="K52" s="28" t="s">
        <v>814</v>
      </c>
      <c r="L52" s="29">
        <v>300</v>
      </c>
      <c r="M52" s="29">
        <v>311</v>
      </c>
      <c r="N52" s="16" t="s">
        <v>815</v>
      </c>
      <c r="O52" s="16" t="s">
        <v>816</v>
      </c>
      <c r="P52" s="30" t="s">
        <v>827</v>
      </c>
      <c r="T52" s="29">
        <v>720</v>
      </c>
      <c r="U52" s="30" t="s">
        <v>869</v>
      </c>
    </row>
    <row r="53" spans="1:21" x14ac:dyDescent="0.25">
      <c r="A53" s="16" t="s">
        <v>886</v>
      </c>
      <c r="B53" s="16" t="str">
        <f>TEXT(PARTIDA[[#This Row],[PARTIDA]],"0000000000")</f>
        <v>0203191000</v>
      </c>
      <c r="C53" s="16" t="s">
        <v>786</v>
      </c>
      <c r="D53" s="16" t="s">
        <v>787</v>
      </c>
      <c r="E53" s="16" t="s">
        <v>788</v>
      </c>
      <c r="F53" s="27" t="s">
        <v>9487</v>
      </c>
      <c r="G53" s="27"/>
      <c r="H53" s="16" t="str">
        <f>IF(ISBLANK(PARTIDAS!$G53),PARTIDAS!$F53,CONCATENATE(PARTIDAS!$F53," (",PARTIDAS!$G53,")"))</f>
        <v>Carne deshuesada</v>
      </c>
      <c r="I53" s="16" t="s">
        <v>9427</v>
      </c>
      <c r="T53" s="29">
        <v>730</v>
      </c>
      <c r="U53" s="30" t="s">
        <v>871</v>
      </c>
    </row>
    <row r="54" spans="1:21" x14ac:dyDescent="0.25">
      <c r="A54" s="16" t="s">
        <v>887</v>
      </c>
      <c r="B54" s="16" t="str">
        <f>TEXT(PARTIDA[[#This Row],[PARTIDA]],"0000000000")</f>
        <v>0203192000</v>
      </c>
      <c r="C54" s="16" t="s">
        <v>786</v>
      </c>
      <c r="D54" s="16" t="s">
        <v>787</v>
      </c>
      <c r="E54" s="16" t="s">
        <v>788</v>
      </c>
      <c r="F54" s="27" t="s">
        <v>9488</v>
      </c>
      <c r="G54" s="27"/>
      <c r="H54" s="16" t="str">
        <f>IF(ISBLANK(PARTIDAS!$G54),PARTIDAS!$F54,CONCATENATE(PARTIDAS!$F54," (",PARTIDAS!$G54,")"))</f>
        <v>Chuletas, costillas</v>
      </c>
      <c r="I54" s="16" t="s">
        <v>9427</v>
      </c>
      <c r="T54" s="33">
        <v>800</v>
      </c>
      <c r="U54" s="37" t="s">
        <v>873</v>
      </c>
    </row>
    <row r="55" spans="1:21" x14ac:dyDescent="0.25">
      <c r="A55" s="16" t="s">
        <v>888</v>
      </c>
      <c r="B55" s="16" t="str">
        <f>TEXT(PARTIDA[[#This Row],[PARTIDA]],"0000000000")</f>
        <v>0203193000</v>
      </c>
      <c r="C55" s="16" t="s">
        <v>786</v>
      </c>
      <c r="D55" s="16" t="s">
        <v>787</v>
      </c>
      <c r="E55" s="16" t="s">
        <v>788</v>
      </c>
      <c r="F55" s="27" t="s">
        <v>9489</v>
      </c>
      <c r="G55" s="27"/>
      <c r="H55" s="16" t="str">
        <f>IF(ISBLANK(PARTIDAS!$G55),PARTIDAS!$F55,CONCATENATE(PARTIDAS!$F55," (",PARTIDAS!$G55,")"))</f>
        <v>Tocino con partes magras</v>
      </c>
      <c r="I55" s="16" t="s">
        <v>9427</v>
      </c>
      <c r="T55" s="29">
        <v>810</v>
      </c>
      <c r="U55" s="30" t="s">
        <v>874</v>
      </c>
    </row>
    <row r="56" spans="1:21" x14ac:dyDescent="0.25">
      <c r="A56" s="16" t="s">
        <v>889</v>
      </c>
      <c r="B56" s="16" t="str">
        <f>TEXT(PARTIDA[[#This Row],[PARTIDA]],"0000000000")</f>
        <v>0203199000</v>
      </c>
      <c r="C56" s="16" t="s">
        <v>786</v>
      </c>
      <c r="D56" s="16" t="s">
        <v>787</v>
      </c>
      <c r="E56" s="16" t="s">
        <v>788</v>
      </c>
      <c r="F56" s="27" t="s">
        <v>9490</v>
      </c>
      <c r="G56" s="27"/>
      <c r="H56" s="16" t="str">
        <f>IF(ISBLANK(PARTIDAS!$G56),PARTIDAS!$F56,CONCATENATE(PARTIDAS!$F56," (",PARTIDAS!$G56,")"))</f>
        <v>Fresca o refrigerada (los demás)</v>
      </c>
      <c r="I56" s="16" t="s">
        <v>9427</v>
      </c>
      <c r="T56" s="29">
        <v>820</v>
      </c>
      <c r="U56" s="30" t="s">
        <v>876</v>
      </c>
    </row>
    <row r="57" spans="1:21" x14ac:dyDescent="0.25">
      <c r="A57" s="16" t="s">
        <v>890</v>
      </c>
      <c r="B57" s="16" t="str">
        <f>TEXT(PARTIDA[[#This Row],[PARTIDA]],"0000000000")</f>
        <v>0203210000</v>
      </c>
      <c r="C57" s="16" t="s">
        <v>786</v>
      </c>
      <c r="D57" s="16" t="s">
        <v>787</v>
      </c>
      <c r="E57" s="16" t="s">
        <v>788</v>
      </c>
      <c r="F57" s="27" t="s">
        <v>9491</v>
      </c>
      <c r="G57" s="27"/>
      <c r="H57" s="16" t="str">
        <f>IF(ISBLANK(PARTIDAS!$G57),PARTIDAS!$F57,CONCATENATE(PARTIDAS!$F57," (",PARTIDAS!$G57,")"))</f>
        <v>Congelada, en canales o medias canales</v>
      </c>
      <c r="I57" s="16" t="s">
        <v>9427</v>
      </c>
      <c r="T57" s="29">
        <v>830</v>
      </c>
      <c r="U57" s="30" t="s">
        <v>9478</v>
      </c>
    </row>
    <row r="58" spans="1:21" x14ac:dyDescent="0.25">
      <c r="A58" s="16" t="s">
        <v>891</v>
      </c>
      <c r="B58" s="16" t="str">
        <f>TEXT(PARTIDA[[#This Row],[PARTIDA]],"0000000000")</f>
        <v>0203220000</v>
      </c>
      <c r="C58" s="16" t="s">
        <v>786</v>
      </c>
      <c r="D58" s="16" t="s">
        <v>787</v>
      </c>
      <c r="E58" s="16" t="s">
        <v>788</v>
      </c>
      <c r="F58" s="27" t="s">
        <v>9486</v>
      </c>
      <c r="G58" s="27"/>
      <c r="H58" s="16" t="str">
        <f>IF(ISBLANK(PARTIDAS!$G58),PARTIDAS!$F58,CONCATENATE(PARTIDAS!$F58," (",PARTIDAS!$G58,")"))</f>
        <v>Piernas, paletas, y sus trozos, sin deshuesar</v>
      </c>
      <c r="I58" s="16" t="s">
        <v>9427</v>
      </c>
      <c r="T58" s="29">
        <v>840</v>
      </c>
      <c r="U58" s="30" t="s">
        <v>9480</v>
      </c>
    </row>
    <row r="59" spans="1:21" x14ac:dyDescent="0.25">
      <c r="A59" s="16" t="s">
        <v>892</v>
      </c>
      <c r="B59" s="16" t="str">
        <f>TEXT(PARTIDA[[#This Row],[PARTIDA]],"0000000000")</f>
        <v>0203291000</v>
      </c>
      <c r="C59" s="16" t="s">
        <v>786</v>
      </c>
      <c r="D59" s="16" t="s">
        <v>787</v>
      </c>
      <c r="E59" s="16" t="s">
        <v>788</v>
      </c>
      <c r="F59" s="27" t="s">
        <v>9487</v>
      </c>
      <c r="G59" s="27"/>
      <c r="H59" s="16" t="str">
        <f>IF(ISBLANK(PARTIDAS!$G59),PARTIDAS!$F59,CONCATENATE(PARTIDAS!$F59," (",PARTIDAS!$G59,")"))</f>
        <v>Carne deshuesada</v>
      </c>
      <c r="I59" s="16" t="s">
        <v>9427</v>
      </c>
      <c r="T59" s="29">
        <v>850</v>
      </c>
      <c r="U59" s="30" t="s">
        <v>9482</v>
      </c>
    </row>
    <row r="60" spans="1:21" x14ac:dyDescent="0.25">
      <c r="A60" s="16" t="s">
        <v>893</v>
      </c>
      <c r="B60" s="16" t="str">
        <f>TEXT(PARTIDA[[#This Row],[PARTIDA]],"0000000000")</f>
        <v>0203292000</v>
      </c>
      <c r="C60" s="16" t="s">
        <v>786</v>
      </c>
      <c r="D60" s="16" t="s">
        <v>787</v>
      </c>
      <c r="E60" s="16" t="s">
        <v>788</v>
      </c>
      <c r="F60" s="27" t="s">
        <v>9488</v>
      </c>
      <c r="G60" s="27"/>
      <c r="H60" s="16" t="str">
        <f>IF(ISBLANK(PARTIDAS!$G60),PARTIDAS!$F60,CONCATENATE(PARTIDAS!$F60," (",PARTIDAS!$G60,")"))</f>
        <v>Chuletas, costillas</v>
      </c>
      <c r="I60" s="16" t="s">
        <v>9427</v>
      </c>
      <c r="T60" s="33">
        <v>900</v>
      </c>
      <c r="U60" s="37" t="s">
        <v>881</v>
      </c>
    </row>
    <row r="61" spans="1:21" x14ac:dyDescent="0.25">
      <c r="A61" s="16" t="s">
        <v>894</v>
      </c>
      <c r="B61" s="16" t="str">
        <f>TEXT(PARTIDA[[#This Row],[PARTIDA]],"0000000000")</f>
        <v>0203293000</v>
      </c>
      <c r="C61" s="16" t="s">
        <v>786</v>
      </c>
      <c r="D61" s="16" t="s">
        <v>787</v>
      </c>
      <c r="E61" s="16" t="s">
        <v>788</v>
      </c>
      <c r="F61" s="27" t="s">
        <v>9489</v>
      </c>
      <c r="G61" s="27"/>
      <c r="H61" s="16" t="str">
        <f>IF(ISBLANK(PARTIDAS!$G61),PARTIDAS!$F61,CONCATENATE(PARTIDAS!$F61," (",PARTIDAS!$G61,")"))</f>
        <v>Tocino con partes magras</v>
      </c>
      <c r="I61" s="16" t="s">
        <v>9427</v>
      </c>
      <c r="T61" s="29">
        <v>910</v>
      </c>
      <c r="U61" s="30" t="s">
        <v>9483</v>
      </c>
    </row>
    <row r="62" spans="1:21" x14ac:dyDescent="0.25">
      <c r="A62" s="16" t="s">
        <v>895</v>
      </c>
      <c r="B62" s="16" t="str">
        <f>TEXT(PARTIDA[[#This Row],[PARTIDA]],"0000000000")</f>
        <v>0203299000</v>
      </c>
      <c r="C62" s="16" t="s">
        <v>786</v>
      </c>
      <c r="D62" s="16" t="s">
        <v>787</v>
      </c>
      <c r="E62" s="16" t="s">
        <v>788</v>
      </c>
      <c r="F62" s="27" t="s">
        <v>9492</v>
      </c>
      <c r="G62" s="27"/>
      <c r="H62" s="16" t="str">
        <f>IF(ISBLANK(PARTIDAS!$G62),PARTIDAS!$F62,CONCATENATE(PARTIDAS!$F62," (",PARTIDAS!$G62,")"))</f>
        <v>Congelada (los demás)</v>
      </c>
      <c r="I62" s="16" t="s">
        <v>9427</v>
      </c>
      <c r="T62" s="29">
        <v>920</v>
      </c>
      <c r="U62" s="30" t="s">
        <v>9484</v>
      </c>
    </row>
    <row r="63" spans="1:21" x14ac:dyDescent="0.25">
      <c r="A63" s="16" t="s">
        <v>896</v>
      </c>
      <c r="B63" s="16" t="str">
        <f>TEXT(PARTIDA[[#This Row],[PARTIDA]],"0000000000")</f>
        <v>0204100000</v>
      </c>
      <c r="C63" s="16" t="s">
        <v>786</v>
      </c>
      <c r="D63" s="16" t="s">
        <v>787</v>
      </c>
      <c r="E63" s="16" t="s">
        <v>788</v>
      </c>
      <c r="F63" s="27" t="s">
        <v>9493</v>
      </c>
      <c r="G63" s="27"/>
      <c r="H63" s="16" t="str">
        <f>IF(ISBLANK(PARTIDAS!$G63),PARTIDAS!$F63,CONCATENATE(PARTIDAS!$F63," (",PARTIDAS!$G63,")"))</f>
        <v>Canales o medias canales de cordero, frescas o refrigeradas</v>
      </c>
      <c r="I63" s="16" t="s">
        <v>9427</v>
      </c>
      <c r="T63" s="38">
        <v>930</v>
      </c>
      <c r="U63" s="39" t="s">
        <v>884</v>
      </c>
    </row>
    <row r="64" spans="1:21" x14ac:dyDescent="0.25">
      <c r="A64" s="16" t="s">
        <v>897</v>
      </c>
      <c r="B64" s="16" t="str">
        <f>TEXT(PARTIDA[[#This Row],[PARTIDA]],"0000000000")</f>
        <v>0204210000</v>
      </c>
      <c r="C64" s="16" t="s">
        <v>786</v>
      </c>
      <c r="D64" s="16" t="s">
        <v>787</v>
      </c>
      <c r="E64" s="16" t="s">
        <v>788</v>
      </c>
      <c r="F64" s="27" t="s">
        <v>9494</v>
      </c>
      <c r="G64" s="27"/>
      <c r="H64" s="16" t="str">
        <f>IF(ISBLANK(PARTIDAS!$G64),PARTIDAS!$F64,CONCATENATE(PARTIDAS!$F64," (",PARTIDAS!$G64,")"))</f>
        <v>Carne de animales de las especies ovina o caprina, fresca…, en canales o medias canales</v>
      </c>
      <c r="I64" s="16" t="s">
        <v>9427</v>
      </c>
    </row>
    <row r="65" spans="1:9" x14ac:dyDescent="0.25">
      <c r="A65" s="16" t="s">
        <v>898</v>
      </c>
      <c r="B65" s="16" t="str">
        <f>TEXT(PARTIDA[[#This Row],[PARTIDA]],"0000000000")</f>
        <v>0204220000</v>
      </c>
      <c r="C65" s="16" t="s">
        <v>786</v>
      </c>
      <c r="D65" s="16" t="s">
        <v>787</v>
      </c>
      <c r="E65" s="16" t="s">
        <v>788</v>
      </c>
      <c r="F65" s="27" t="s">
        <v>9495</v>
      </c>
      <c r="G65" s="27"/>
      <c r="H65" s="16" t="str">
        <f>IF(ISBLANK(PARTIDAS!$G65),PARTIDAS!$F65,CONCATENATE(PARTIDAS!$F65," (",PARTIDAS!$G65,")"))</f>
        <v>Carne de animales de las especies ovina o caprina, fresca… (los demás, cortes (trozos) sin deshuesar)</v>
      </c>
      <c r="I65" s="16" t="s">
        <v>9427</v>
      </c>
    </row>
    <row r="66" spans="1:9" x14ac:dyDescent="0.25">
      <c r="A66" s="16" t="s">
        <v>899</v>
      </c>
      <c r="B66" s="16" t="str">
        <f>TEXT(PARTIDA[[#This Row],[PARTIDA]],"0000000000")</f>
        <v>0204230000</v>
      </c>
      <c r="C66" s="16" t="s">
        <v>786</v>
      </c>
      <c r="D66" s="16" t="s">
        <v>787</v>
      </c>
      <c r="E66" s="16" t="s">
        <v>788</v>
      </c>
      <c r="F66" s="27" t="s">
        <v>9496</v>
      </c>
      <c r="G66" s="27"/>
      <c r="H66" s="16" t="str">
        <f>IF(ISBLANK(PARTIDAS!$G66),PARTIDAS!$F66,CONCATENATE(PARTIDAS!$F66," (",PARTIDAS!$G66,")"))</f>
        <v>Carne de animales de las especies ovina o caprina, fresca…, deshuesadas</v>
      </c>
      <c r="I66" s="16" t="s">
        <v>9427</v>
      </c>
    </row>
    <row r="67" spans="1:9" x14ac:dyDescent="0.25">
      <c r="A67" s="16" t="s">
        <v>900</v>
      </c>
      <c r="B67" s="16" t="str">
        <f>TEXT(PARTIDA[[#This Row],[PARTIDA]],"0000000000")</f>
        <v>0204300000</v>
      </c>
      <c r="C67" s="16" t="s">
        <v>786</v>
      </c>
      <c r="D67" s="16" t="s">
        <v>787</v>
      </c>
      <c r="E67" s="16" t="s">
        <v>788</v>
      </c>
      <c r="F67" s="27" t="s">
        <v>9497</v>
      </c>
      <c r="G67" s="27"/>
      <c r="H67" s="16" t="str">
        <f>IF(ISBLANK(PARTIDAS!$G67),PARTIDAS!$F67,CONCATENATE(PARTIDAS!$F67," (",PARTIDAS!$G67,")"))</f>
        <v>Canales o medias canales de cordero, congeladas</v>
      </c>
      <c r="I67" s="16" t="s">
        <v>9427</v>
      </c>
    </row>
    <row r="68" spans="1:9" x14ac:dyDescent="0.25">
      <c r="A68" s="16" t="s">
        <v>901</v>
      </c>
      <c r="B68" s="16" t="str">
        <f>TEXT(PARTIDA[[#This Row],[PARTIDA]],"0000000000")</f>
        <v>0204410000</v>
      </c>
      <c r="C68" s="16" t="s">
        <v>786</v>
      </c>
      <c r="D68" s="16" t="s">
        <v>787</v>
      </c>
      <c r="E68" s="16" t="s">
        <v>788</v>
      </c>
      <c r="F68" s="27" t="s">
        <v>9494</v>
      </c>
      <c r="G68" s="27"/>
      <c r="H68" s="16" t="str">
        <f>IF(ISBLANK(PARTIDAS!$G68),PARTIDAS!$F68,CONCATENATE(PARTIDAS!$F68," (",PARTIDAS!$G68,")"))</f>
        <v>Carne de animales de las especies ovina o caprina, fresca…, en canales o medias canales</v>
      </c>
      <c r="I68" s="16" t="s">
        <v>9427</v>
      </c>
    </row>
    <row r="69" spans="1:9" x14ac:dyDescent="0.25">
      <c r="A69" s="16" t="s">
        <v>902</v>
      </c>
      <c r="B69" s="16" t="str">
        <f>TEXT(PARTIDA[[#This Row],[PARTIDA]],"0000000000")</f>
        <v>0204420000</v>
      </c>
      <c r="C69" s="16" t="s">
        <v>786</v>
      </c>
      <c r="D69" s="16" t="s">
        <v>787</v>
      </c>
      <c r="E69" s="16" t="s">
        <v>788</v>
      </c>
      <c r="F69" s="27" t="s">
        <v>9495</v>
      </c>
      <c r="G69" s="27"/>
      <c r="H69" s="16" t="str">
        <f>IF(ISBLANK(PARTIDAS!$G69),PARTIDAS!$F69,CONCATENATE(PARTIDAS!$F69," (",PARTIDAS!$G69,")"))</f>
        <v>Carne de animales de las especies ovina o caprina, fresca… (los demás, cortes (trozos) sin deshuesar)</v>
      </c>
      <c r="I69" s="16" t="s">
        <v>9427</v>
      </c>
    </row>
    <row r="70" spans="1:9" x14ac:dyDescent="0.25">
      <c r="A70" s="16" t="s">
        <v>903</v>
      </c>
      <c r="B70" s="16" t="str">
        <f>TEXT(PARTIDA[[#This Row],[PARTIDA]],"0000000000")</f>
        <v>0204430000</v>
      </c>
      <c r="C70" s="16" t="s">
        <v>786</v>
      </c>
      <c r="D70" s="16" t="s">
        <v>787</v>
      </c>
      <c r="E70" s="16" t="s">
        <v>788</v>
      </c>
      <c r="F70" s="27" t="s">
        <v>9496</v>
      </c>
      <c r="G70" s="27"/>
      <c r="H70" s="16" t="str">
        <f>IF(ISBLANK(PARTIDAS!$G70),PARTIDAS!$F70,CONCATENATE(PARTIDAS!$F70," (",PARTIDAS!$G70,")"))</f>
        <v>Carne de animales de las especies ovina o caprina, fresca…, deshuesadas</v>
      </c>
      <c r="I70" s="16" t="s">
        <v>9427</v>
      </c>
    </row>
    <row r="71" spans="1:9" x14ac:dyDescent="0.25">
      <c r="A71" s="16" t="s">
        <v>904</v>
      </c>
      <c r="B71" s="16" t="str">
        <f>TEXT(PARTIDA[[#This Row],[PARTIDA]],"0000000000")</f>
        <v>0204500000</v>
      </c>
      <c r="C71" s="16" t="s">
        <v>786</v>
      </c>
      <c r="D71" s="16" t="s">
        <v>787</v>
      </c>
      <c r="E71" s="16" t="s">
        <v>788</v>
      </c>
      <c r="F71" s="27" t="s">
        <v>9498</v>
      </c>
      <c r="G71" s="27"/>
      <c r="H71" s="16" t="str">
        <f>IF(ISBLANK(PARTIDAS!$G71),PARTIDAS!$F71,CONCATENATE(PARTIDAS!$F71," (",PARTIDAS!$G71,")"))</f>
        <v>Carne de animales de la especie caprina</v>
      </c>
      <c r="I71" s="16" t="s">
        <v>9427</v>
      </c>
    </row>
    <row r="72" spans="1:9" x14ac:dyDescent="0.25">
      <c r="A72" s="16" t="s">
        <v>905</v>
      </c>
      <c r="B72" s="16" t="str">
        <f>TEXT(PARTIDA[[#This Row],[PARTIDA]],"0000000000")</f>
        <v>0205000000</v>
      </c>
      <c r="C72" s="16" t="s">
        <v>786</v>
      </c>
      <c r="D72" s="16" t="s">
        <v>787</v>
      </c>
      <c r="E72" s="16" t="s">
        <v>788</v>
      </c>
      <c r="F72" s="27" t="s">
        <v>906</v>
      </c>
      <c r="G72" s="27"/>
      <c r="H72" s="16" t="str">
        <f>IF(ISBLANK(PARTIDAS!$G72),PARTIDAS!$F72,CONCATENATE(PARTIDAS!$F72," (",PARTIDAS!$G72,")"))</f>
        <v>Carne de animales de las especies caballar, asnal
o mular, fresca, refrigerada o congelada.</v>
      </c>
      <c r="I72" s="16" t="s">
        <v>9427</v>
      </c>
    </row>
    <row r="73" spans="1:9" x14ac:dyDescent="0.25">
      <c r="A73" s="16" t="s">
        <v>907</v>
      </c>
      <c r="B73" s="16" t="str">
        <f>TEXT(PARTIDA[[#This Row],[PARTIDA]],"0000000000")</f>
        <v>0206100000</v>
      </c>
      <c r="C73" s="16" t="s">
        <v>786</v>
      </c>
      <c r="D73" s="16" t="s">
        <v>787</v>
      </c>
      <c r="E73" s="16" t="s">
        <v>788</v>
      </c>
      <c r="F73" s="27" t="s">
        <v>9499</v>
      </c>
      <c r="G73" s="27"/>
      <c r="H73" s="16" t="str">
        <f>IF(ISBLANK(PARTIDAS!$G73),PARTIDAS!$F73,CONCATENATE(PARTIDAS!$F73," (",PARTIDAS!$G73,")"))</f>
        <v>Despojos comestibles de animales de las especies bovina, porcina…, de la especie bovina, frescos o refrigerados</v>
      </c>
      <c r="I73" s="16" t="s">
        <v>9427</v>
      </c>
    </row>
    <row r="74" spans="1:9" x14ac:dyDescent="0.25">
      <c r="A74" s="16" t="s">
        <v>908</v>
      </c>
      <c r="B74" s="16" t="str">
        <f>TEXT(PARTIDA[[#This Row],[PARTIDA]],"0000000000")</f>
        <v>0206210000</v>
      </c>
      <c r="C74" s="16" t="s">
        <v>786</v>
      </c>
      <c r="D74" s="16" t="s">
        <v>787</v>
      </c>
      <c r="E74" s="16" t="s">
        <v>788</v>
      </c>
      <c r="F74" s="27" t="s">
        <v>9500</v>
      </c>
      <c r="G74" s="27"/>
      <c r="H74" s="16" t="str">
        <f>IF(ISBLANK(PARTIDAS!$G74),PARTIDAS!$F74,CONCATENATE(PARTIDAS!$F74," (",PARTIDAS!$G74,")"))</f>
        <v>Despojos comestibles de animales de las especies…, de la especie bovina, congelados, lenguas</v>
      </c>
      <c r="I74" s="16" t="s">
        <v>9427</v>
      </c>
    </row>
    <row r="75" spans="1:9" x14ac:dyDescent="0.25">
      <c r="A75" s="16" t="s">
        <v>909</v>
      </c>
      <c r="B75" s="16" t="str">
        <f>TEXT(PARTIDA[[#This Row],[PARTIDA]],"0000000000")</f>
        <v>0206220000</v>
      </c>
      <c r="C75" s="16" t="s">
        <v>786</v>
      </c>
      <c r="D75" s="16" t="s">
        <v>787</v>
      </c>
      <c r="E75" s="16" t="s">
        <v>788</v>
      </c>
      <c r="F75" s="27" t="s">
        <v>9501</v>
      </c>
      <c r="G75" s="27"/>
      <c r="H75" s="16" t="str">
        <f>IF(ISBLANK(PARTIDAS!$G75),PARTIDAS!$F75,CONCATENATE(PARTIDAS!$F75," (",PARTIDAS!$G75,")"))</f>
        <v>Despojos comestibles de animales de las especies…, de la especie bovina, congelados, hígados</v>
      </c>
      <c r="I75" s="16" t="s">
        <v>9427</v>
      </c>
    </row>
    <row r="76" spans="1:9" x14ac:dyDescent="0.25">
      <c r="A76" s="16" t="s">
        <v>910</v>
      </c>
      <c r="B76" s="16" t="str">
        <f>TEXT(PARTIDA[[#This Row],[PARTIDA]],"0000000000")</f>
        <v>0206290000</v>
      </c>
      <c r="C76" s="16" t="s">
        <v>786</v>
      </c>
      <c r="D76" s="16" t="s">
        <v>787</v>
      </c>
      <c r="E76" s="16" t="s">
        <v>788</v>
      </c>
      <c r="F76" s="27" t="s">
        <v>9502</v>
      </c>
      <c r="G76" s="27"/>
      <c r="H76" s="16" t="str">
        <f>IF(ISBLANK(PARTIDAS!$G76),PARTIDAS!$F76,CONCATENATE(PARTIDAS!$F76," (",PARTIDAS!$G76,")"))</f>
        <v>Despojos comestibles de animales de las especies…, de la especie bovina, congelados (los demás)</v>
      </c>
      <c r="I76" s="16" t="s">
        <v>9427</v>
      </c>
    </row>
    <row r="77" spans="1:9" x14ac:dyDescent="0.25">
      <c r="A77" s="16" t="s">
        <v>911</v>
      </c>
      <c r="B77" s="16" t="str">
        <f>TEXT(PARTIDA[[#This Row],[PARTIDA]],"0000000000")</f>
        <v>0206300000</v>
      </c>
      <c r="C77" s="16" t="s">
        <v>786</v>
      </c>
      <c r="D77" s="16" t="s">
        <v>787</v>
      </c>
      <c r="E77" s="16" t="s">
        <v>788</v>
      </c>
      <c r="F77" s="27" t="s">
        <v>9503</v>
      </c>
      <c r="G77" s="27"/>
      <c r="H77" s="16" t="str">
        <f>IF(ISBLANK(PARTIDAS!$G77),PARTIDAS!$F77,CONCATENATE(PARTIDAS!$F77," (",PARTIDAS!$G77,")"))</f>
        <v>Despojos comestibles de animales de las especies bovina, porcina…, de la especie porcina, frescos o refrigerados</v>
      </c>
      <c r="I77" s="16" t="s">
        <v>9427</v>
      </c>
    </row>
    <row r="78" spans="1:9" x14ac:dyDescent="0.25">
      <c r="A78" s="16" t="s">
        <v>912</v>
      </c>
      <c r="B78" s="16" t="str">
        <f>TEXT(PARTIDA[[#This Row],[PARTIDA]],"0000000000")</f>
        <v>0206410000</v>
      </c>
      <c r="C78" s="16" t="s">
        <v>786</v>
      </c>
      <c r="D78" s="16" t="s">
        <v>787</v>
      </c>
      <c r="E78" s="16" t="s">
        <v>788</v>
      </c>
      <c r="F78" s="27" t="s">
        <v>9504</v>
      </c>
      <c r="G78" s="27"/>
      <c r="H78" s="16" t="str">
        <f>IF(ISBLANK(PARTIDAS!$G78),PARTIDAS!$F78,CONCATENATE(PARTIDAS!$F78," (",PARTIDAS!$G78,")"))</f>
        <v>Despojos comestibles de animales de las especies…, de la especie porcina, congelados, hígados</v>
      </c>
      <c r="I78" s="16" t="s">
        <v>9427</v>
      </c>
    </row>
    <row r="79" spans="1:9" x14ac:dyDescent="0.25">
      <c r="A79" s="16" t="s">
        <v>913</v>
      </c>
      <c r="B79" s="16" t="str">
        <f>TEXT(PARTIDA[[#This Row],[PARTIDA]],"0000000000")</f>
        <v>0206491000</v>
      </c>
      <c r="C79" s="16" t="s">
        <v>786</v>
      </c>
      <c r="D79" s="16" t="s">
        <v>787</v>
      </c>
      <c r="E79" s="16" t="s">
        <v>788</v>
      </c>
      <c r="F79" s="27" t="s">
        <v>9505</v>
      </c>
      <c r="G79" s="27"/>
      <c r="H79" s="16" t="str">
        <f>IF(ISBLANK(PARTIDAS!$G79),PARTIDAS!$F79,CONCATENATE(PARTIDAS!$F79," (",PARTIDAS!$G79,")"))</f>
        <v>Piel comestible (cuero, pellejo)</v>
      </c>
      <c r="I79" s="16" t="s">
        <v>9427</v>
      </c>
    </row>
    <row r="80" spans="1:9" x14ac:dyDescent="0.25">
      <c r="A80" s="16" t="s">
        <v>914</v>
      </c>
      <c r="B80" s="16" t="str">
        <f>TEXT(PARTIDA[[#This Row],[PARTIDA]],"0000000000")</f>
        <v>0206499000</v>
      </c>
      <c r="C80" s="16" t="s">
        <v>786</v>
      </c>
      <c r="D80" s="16" t="s">
        <v>787</v>
      </c>
      <c r="E80" s="16" t="s">
        <v>788</v>
      </c>
      <c r="F80" s="27" t="s">
        <v>9506</v>
      </c>
      <c r="G80" s="27"/>
      <c r="H80" s="16" t="str">
        <f>IF(ISBLANK(PARTIDAS!$G80),PARTIDAS!$F80,CONCATENATE(PARTIDAS!$F80," (",PARTIDAS!$G80,")"))</f>
        <v>Despojos comestibles de animales de las especies…, de la especie porcina, congelados (los demás)</v>
      </c>
      <c r="I80" s="16" t="s">
        <v>9427</v>
      </c>
    </row>
    <row r="81" spans="1:9" x14ac:dyDescent="0.25">
      <c r="A81" s="16" t="s">
        <v>915</v>
      </c>
      <c r="B81" s="16" t="str">
        <f>TEXT(PARTIDA[[#This Row],[PARTIDA]],"0000000000")</f>
        <v>0206800000</v>
      </c>
      <c r="C81" s="16" t="s">
        <v>786</v>
      </c>
      <c r="D81" s="16" t="s">
        <v>787</v>
      </c>
      <c r="E81" s="16" t="s">
        <v>788</v>
      </c>
      <c r="F81" s="27" t="s">
        <v>9507</v>
      </c>
      <c r="G81" s="27"/>
      <c r="H81" s="16" t="str">
        <f>IF(ISBLANK(PARTIDAS!$G81),PARTIDAS!$F81,CONCATENATE(PARTIDAS!$F81," (",PARTIDAS!$G81,")"))</f>
        <v>Despojos comestibles de animales de las especies bovina, porcina… (los demás, frescos o refrigerados)</v>
      </c>
      <c r="I81" s="16" t="s">
        <v>9427</v>
      </c>
    </row>
    <row r="82" spans="1:9" x14ac:dyDescent="0.25">
      <c r="A82" s="16" t="s">
        <v>916</v>
      </c>
      <c r="B82" s="16" t="str">
        <f>TEXT(PARTIDA[[#This Row],[PARTIDA]],"0000000000")</f>
        <v>0206900000</v>
      </c>
      <c r="C82" s="16" t="s">
        <v>786</v>
      </c>
      <c r="D82" s="16" t="s">
        <v>787</v>
      </c>
      <c r="E82" s="16" t="s">
        <v>788</v>
      </c>
      <c r="F82" s="27" t="s">
        <v>9508</v>
      </c>
      <c r="G82" s="27"/>
      <c r="H82" s="16" t="str">
        <f>IF(ISBLANK(PARTIDAS!$G82),PARTIDAS!$F82,CONCATENATE(PARTIDAS!$F82," (",PARTIDAS!$G82,")"))</f>
        <v>Despojos comestibles de animales de las especies bovina, porcina… (los demás, congelados)</v>
      </c>
      <c r="I82" s="16" t="s">
        <v>9427</v>
      </c>
    </row>
    <row r="83" spans="1:9" x14ac:dyDescent="0.25">
      <c r="A83" s="16" t="s">
        <v>917</v>
      </c>
      <c r="B83" s="16" t="str">
        <f>TEXT(PARTIDA[[#This Row],[PARTIDA]],"0000000000")</f>
        <v>0207110000</v>
      </c>
      <c r="C83" s="16" t="s">
        <v>786</v>
      </c>
      <c r="D83" s="16" t="s">
        <v>787</v>
      </c>
      <c r="E83" s="16" t="s">
        <v>788</v>
      </c>
      <c r="F83" s="27" t="s">
        <v>9509</v>
      </c>
      <c r="G83" s="27"/>
      <c r="H83" s="16" t="str">
        <f>IF(ISBLANK(PARTIDAS!$G83),PARTIDAS!$F83,CONCATENATE(PARTIDAS!$F83," (",PARTIDAS!$G83,")"))</f>
        <v>Carne y despojos comestibles, de aves de la partida…, de aves de la especie Gallus domesticus, sin trocear, frescos o refrigerados</v>
      </c>
      <c r="I83" s="16" t="s">
        <v>9427</v>
      </c>
    </row>
    <row r="84" spans="1:9" x14ac:dyDescent="0.25">
      <c r="A84" s="16" t="s">
        <v>918</v>
      </c>
      <c r="B84" s="16" t="str">
        <f>TEXT(PARTIDA[[#This Row],[PARTIDA]],"0000000000")</f>
        <v>0207120000</v>
      </c>
      <c r="C84" s="16" t="s">
        <v>786</v>
      </c>
      <c r="D84" s="16" t="s">
        <v>787</v>
      </c>
      <c r="E84" s="16" t="s">
        <v>9429</v>
      </c>
      <c r="F84" s="27" t="s">
        <v>9191</v>
      </c>
      <c r="G84" s="27"/>
      <c r="H84" s="16" t="str">
        <f>IF(ISBLANK(PARTIDAS!$G84),PARTIDAS!$F84,CONCATENATE(PARTIDAS!$F84," (",PARTIDAS!$G84,")"))</f>
        <v>Carne y despojos comestibles, de aves de la partida…, de aves de la especie Gallus domesticus, sin trocear, congelados</v>
      </c>
      <c r="I84" s="16" t="s">
        <v>9477</v>
      </c>
    </row>
    <row r="85" spans="1:9" x14ac:dyDescent="0.25">
      <c r="A85" s="16" t="s">
        <v>919</v>
      </c>
      <c r="B85" s="16" t="str">
        <f>TEXT(PARTIDA[[#This Row],[PARTIDA]],"0000000000")</f>
        <v>0207130011</v>
      </c>
      <c r="C85" s="16" t="s">
        <v>786</v>
      </c>
      <c r="D85" s="16" t="s">
        <v>787</v>
      </c>
      <c r="E85" s="16" t="s">
        <v>788</v>
      </c>
      <c r="F85" s="27" t="s">
        <v>9510</v>
      </c>
      <c r="G85" s="27"/>
      <c r="H85" s="16" t="str">
        <f>IF(ISBLANK(PARTIDAS!$G85),PARTIDAS!$F85,CONCATENATE(PARTIDAS!$F85," (",PARTIDAS!$G85,")"))</f>
        <v>Cuartos traseros, sin deshuesar</v>
      </c>
      <c r="I85" s="16" t="s">
        <v>9427</v>
      </c>
    </row>
    <row r="86" spans="1:9" x14ac:dyDescent="0.25">
      <c r="A86" s="16" t="s">
        <v>920</v>
      </c>
      <c r="B86" s="16" t="str">
        <f>TEXT(PARTIDA[[#This Row],[PARTIDA]],"0000000000")</f>
        <v>0207130012</v>
      </c>
      <c r="C86" s="16" t="s">
        <v>786</v>
      </c>
      <c r="D86" s="16" t="s">
        <v>787</v>
      </c>
      <c r="E86" s="16" t="s">
        <v>788</v>
      </c>
      <c r="F86" s="27" t="s">
        <v>9511</v>
      </c>
      <c r="G86" s="27"/>
      <c r="H86" s="16" t="str">
        <f>IF(ISBLANK(PARTIDAS!$G86),PARTIDAS!$F86,CONCATENATE(PARTIDAS!$F86," (",PARTIDAS!$G86,")"))</f>
        <v>Cuartos traseros, deshuesado</v>
      </c>
      <c r="I86" s="16" t="s">
        <v>9427</v>
      </c>
    </row>
    <row r="87" spans="1:9" x14ac:dyDescent="0.25">
      <c r="A87" s="16" t="s">
        <v>921</v>
      </c>
      <c r="B87" s="16" t="str">
        <f>TEXT(PARTIDA[[#This Row],[PARTIDA]],"0000000000")</f>
        <v>0207130090</v>
      </c>
      <c r="C87" s="16" t="s">
        <v>786</v>
      </c>
      <c r="D87" s="16" t="s">
        <v>787</v>
      </c>
      <c r="E87" s="16" t="s">
        <v>788</v>
      </c>
      <c r="F87" s="27" t="s">
        <v>9512</v>
      </c>
      <c r="G87" s="27"/>
      <c r="H87" s="16" t="str">
        <f>IF(ISBLANK(PARTIDAS!$G87),PARTIDAS!$F87,CONCATENATE(PARTIDAS!$F87," (",PARTIDAS!$G87,")"))</f>
        <v>Carne y despojos comestibles, de aves de la partida…, de aves de la especie Gallus domesticus, trozos y despojos, frescos o refrigerados (los demás)</v>
      </c>
      <c r="I87" s="16" t="s">
        <v>9427</v>
      </c>
    </row>
    <row r="88" spans="1:9" x14ac:dyDescent="0.25">
      <c r="A88" s="16" t="s">
        <v>922</v>
      </c>
      <c r="B88" s="16" t="str">
        <f>TEXT(PARTIDA[[#This Row],[PARTIDA]],"0000000000")</f>
        <v>0207140010</v>
      </c>
      <c r="C88" s="16" t="s">
        <v>786</v>
      </c>
      <c r="D88" s="16" t="s">
        <v>787</v>
      </c>
      <c r="E88" s="16" t="s">
        <v>788</v>
      </c>
      <c r="F88" s="27" t="s">
        <v>9513</v>
      </c>
      <c r="G88" s="27"/>
      <c r="H88" s="16" t="str">
        <f>IF(ISBLANK(PARTIDAS!$G88),PARTIDAS!$F88,CONCATENATE(PARTIDAS!$F88," (",PARTIDAS!$G88,")"))</f>
        <v>Carne mecánicamente deshuesada</v>
      </c>
      <c r="I88" s="16" t="s">
        <v>9427</v>
      </c>
    </row>
    <row r="89" spans="1:9" x14ac:dyDescent="0.25">
      <c r="A89" s="16" t="s">
        <v>923</v>
      </c>
      <c r="B89" s="16" t="str">
        <f>TEXT(PARTIDA[[#This Row],[PARTIDA]],"0000000000")</f>
        <v>0207140021</v>
      </c>
      <c r="C89" s="16" t="s">
        <v>786</v>
      </c>
      <c r="D89" s="16" t="s">
        <v>787</v>
      </c>
      <c r="E89" s="16" t="s">
        <v>788</v>
      </c>
      <c r="F89" s="27" t="s">
        <v>9510</v>
      </c>
      <c r="G89" s="27"/>
      <c r="H89" s="16" t="str">
        <f>IF(ISBLANK(PARTIDAS!$G89),PARTIDAS!$F89,CONCATENATE(PARTIDAS!$F89," (",PARTIDAS!$G89,")"))</f>
        <v>Cuartos traseros, sin deshuesar</v>
      </c>
      <c r="I89" s="16" t="s">
        <v>9427</v>
      </c>
    </row>
    <row r="90" spans="1:9" x14ac:dyDescent="0.25">
      <c r="A90" s="16" t="s">
        <v>924</v>
      </c>
      <c r="B90" s="16" t="str">
        <f>TEXT(PARTIDA[[#This Row],[PARTIDA]],"0000000000")</f>
        <v>0207140022</v>
      </c>
      <c r="C90" s="16" t="s">
        <v>786</v>
      </c>
      <c r="D90" s="16" t="s">
        <v>787</v>
      </c>
      <c r="E90" s="16" t="s">
        <v>788</v>
      </c>
      <c r="F90" s="27" t="s">
        <v>9511</v>
      </c>
      <c r="G90" s="27"/>
      <c r="H90" s="16" t="str">
        <f>IF(ISBLANK(PARTIDAS!$G90),PARTIDAS!$F90,CONCATENATE(PARTIDAS!$F90," (",PARTIDAS!$G90,")"))</f>
        <v>Cuartos traseros, deshuesado</v>
      </c>
      <c r="I90" s="16" t="s">
        <v>9427</v>
      </c>
    </row>
    <row r="91" spans="1:9" x14ac:dyDescent="0.25">
      <c r="A91" s="16" t="s">
        <v>925</v>
      </c>
      <c r="B91" s="16" t="str">
        <f>TEXT(PARTIDA[[#This Row],[PARTIDA]],"0000000000")</f>
        <v>0207140090</v>
      </c>
      <c r="C91" s="16" t="s">
        <v>786</v>
      </c>
      <c r="D91" s="16" t="s">
        <v>787</v>
      </c>
      <c r="E91" s="16" t="s">
        <v>9429</v>
      </c>
      <c r="F91" s="27" t="s">
        <v>9193</v>
      </c>
      <c r="G91" s="27"/>
      <c r="H91" s="16" t="str">
        <f>IF(ISBLANK(PARTIDAS!$G91),PARTIDAS!$F91,CONCATENATE(PARTIDAS!$F91," (",PARTIDAS!$G91,")"))</f>
        <v>Carne y despojos comestibles, de aves de la partida…, de aves de la especie Gallus domesticus, trozos y despojos, congelados (los demás)</v>
      </c>
      <c r="I91" s="16" t="s">
        <v>9477</v>
      </c>
    </row>
    <row r="92" spans="1:9" x14ac:dyDescent="0.25">
      <c r="A92" s="16" t="s">
        <v>926</v>
      </c>
      <c r="B92" s="16" t="str">
        <f>TEXT(PARTIDA[[#This Row],[PARTIDA]],"0000000000")</f>
        <v>0207240000</v>
      </c>
      <c r="C92" s="16" t="s">
        <v>786</v>
      </c>
      <c r="D92" s="16" t="s">
        <v>787</v>
      </c>
      <c r="E92" s="16" t="s">
        <v>788</v>
      </c>
      <c r="F92" s="27" t="s">
        <v>9514</v>
      </c>
      <c r="G92" s="27"/>
      <c r="H92" s="16" t="str">
        <f>IF(ISBLANK(PARTIDAS!$G92),PARTIDAS!$F92,CONCATENATE(PARTIDAS!$F92," (",PARTIDAS!$G92,")"))</f>
        <v>Carne y despojos comestibles, de aves de la partida…, de pavo (gallipavo), sin trocear, frescos o refrigerados</v>
      </c>
      <c r="I92" s="16" t="s">
        <v>9427</v>
      </c>
    </row>
    <row r="93" spans="1:9" x14ac:dyDescent="0.25">
      <c r="A93" s="16" t="s">
        <v>927</v>
      </c>
      <c r="B93" s="16" t="str">
        <f>TEXT(PARTIDA[[#This Row],[PARTIDA]],"0000000000")</f>
        <v>0207250000</v>
      </c>
      <c r="C93" s="16" t="s">
        <v>786</v>
      </c>
      <c r="D93" s="16" t="s">
        <v>787</v>
      </c>
      <c r="E93" s="16" t="s">
        <v>788</v>
      </c>
      <c r="F93" s="27" t="s">
        <v>9515</v>
      </c>
      <c r="G93" s="27"/>
      <c r="H93" s="16" t="str">
        <f>IF(ISBLANK(PARTIDAS!$G93),PARTIDAS!$F93,CONCATENATE(PARTIDAS!$F93," (",PARTIDAS!$G93,")"))</f>
        <v>Carne y despojos comestibles, de aves de la partida…, de pavo (gallipavo), sin trocear, congelados</v>
      </c>
      <c r="I93" s="16" t="s">
        <v>9427</v>
      </c>
    </row>
    <row r="94" spans="1:9" x14ac:dyDescent="0.25">
      <c r="A94" s="16" t="s">
        <v>928</v>
      </c>
      <c r="B94" s="16" t="str">
        <f>TEXT(PARTIDA[[#This Row],[PARTIDA]],"0000000000")</f>
        <v>0207260000</v>
      </c>
      <c r="C94" s="16" t="s">
        <v>786</v>
      </c>
      <c r="D94" s="16" t="s">
        <v>787</v>
      </c>
      <c r="E94" s="16" t="s">
        <v>788</v>
      </c>
      <c r="F94" s="27" t="s">
        <v>9516</v>
      </c>
      <c r="G94" s="27"/>
      <c r="H94" s="16" t="str">
        <f>IF(ISBLANK(PARTIDAS!$G94),PARTIDAS!$F94,CONCATENATE(PARTIDAS!$F94," (",PARTIDAS!$G94,")"))</f>
        <v>Carne y despojos comestibles, de aves de la partida…, de pavo (gallipavo), trozos y despojos, frescos o refrigerados</v>
      </c>
      <c r="I94" s="16" t="s">
        <v>9427</v>
      </c>
    </row>
    <row r="95" spans="1:9" x14ac:dyDescent="0.25">
      <c r="A95" s="16" t="s">
        <v>929</v>
      </c>
      <c r="B95" s="16" t="str">
        <f>TEXT(PARTIDA[[#This Row],[PARTIDA]],"0000000000")</f>
        <v>0207270000</v>
      </c>
      <c r="C95" s="16" t="s">
        <v>786</v>
      </c>
      <c r="D95" s="16" t="s">
        <v>787</v>
      </c>
      <c r="E95" s="16" t="s">
        <v>788</v>
      </c>
      <c r="F95" s="27" t="s">
        <v>9517</v>
      </c>
      <c r="G95" s="27"/>
      <c r="H95" s="16" t="str">
        <f>IF(ISBLANK(PARTIDAS!$G95),PARTIDAS!$F95,CONCATENATE(PARTIDAS!$F95," (",PARTIDAS!$G95,")"))</f>
        <v>Carne y despojos comestibles, de aves de la partida…, de pavo (gallipavo), trozos y despojos, congelados</v>
      </c>
      <c r="I95" s="16" t="s">
        <v>9427</v>
      </c>
    </row>
    <row r="96" spans="1:9" x14ac:dyDescent="0.25">
      <c r="A96" s="16" t="s">
        <v>930</v>
      </c>
      <c r="B96" s="16" t="str">
        <f>TEXT(PARTIDA[[#This Row],[PARTIDA]],"0000000000")</f>
        <v>0207410000</v>
      </c>
      <c r="C96" s="16" t="s">
        <v>786</v>
      </c>
      <c r="D96" s="16" t="s">
        <v>787</v>
      </c>
      <c r="E96" s="16" t="s">
        <v>788</v>
      </c>
      <c r="F96" s="27" t="s">
        <v>9518</v>
      </c>
      <c r="G96" s="27"/>
      <c r="H96" s="16" t="str">
        <f>IF(ISBLANK(PARTIDAS!$G96),PARTIDAS!$F96,CONCATENATE(PARTIDAS!$F96," (",PARTIDAS!$G96,")"))</f>
        <v>Carne y despojos comestibles, de aves de la partida…, de pato, sin trocear, frescos o refrigerados</v>
      </c>
      <c r="I96" s="16" t="s">
        <v>9427</v>
      </c>
    </row>
    <row r="97" spans="1:9" x14ac:dyDescent="0.25">
      <c r="A97" s="16" t="s">
        <v>931</v>
      </c>
      <c r="B97" s="16" t="str">
        <f>TEXT(PARTIDA[[#This Row],[PARTIDA]],"0000000000")</f>
        <v>0207420000</v>
      </c>
      <c r="C97" s="16" t="s">
        <v>786</v>
      </c>
      <c r="D97" s="16" t="s">
        <v>787</v>
      </c>
      <c r="E97" s="16" t="s">
        <v>788</v>
      </c>
      <c r="F97" s="27" t="s">
        <v>9519</v>
      </c>
      <c r="G97" s="27"/>
      <c r="H97" s="16" t="str">
        <f>IF(ISBLANK(PARTIDAS!$G97),PARTIDAS!$F97,CONCATENATE(PARTIDAS!$F97," (",PARTIDAS!$G97,")"))</f>
        <v>Carne y despojos comestibles, de aves de la partida…, de pato, sin trocear, congelados</v>
      </c>
      <c r="I97" s="16" t="s">
        <v>9427</v>
      </c>
    </row>
    <row r="98" spans="1:9" x14ac:dyDescent="0.25">
      <c r="A98" s="16" t="s">
        <v>932</v>
      </c>
      <c r="B98" s="16" t="str">
        <f>TEXT(PARTIDA[[#This Row],[PARTIDA]],"0000000000")</f>
        <v>0207430000</v>
      </c>
      <c r="C98" s="16" t="s">
        <v>786</v>
      </c>
      <c r="D98" s="16" t="s">
        <v>787</v>
      </c>
      <c r="E98" s="16" t="s">
        <v>788</v>
      </c>
      <c r="F98" s="27" t="s">
        <v>9520</v>
      </c>
      <c r="G98" s="27"/>
      <c r="H98" s="16" t="str">
        <f>IF(ISBLANK(PARTIDAS!$G98),PARTIDAS!$F98,CONCATENATE(PARTIDAS!$F98," (",PARTIDAS!$G98,")"))</f>
        <v>Hígados grasos, frescos o refrigerados</v>
      </c>
      <c r="I98" s="16" t="s">
        <v>9427</v>
      </c>
    </row>
    <row r="99" spans="1:9" x14ac:dyDescent="0.25">
      <c r="A99" s="16" t="s">
        <v>933</v>
      </c>
      <c r="B99" s="16" t="str">
        <f>TEXT(PARTIDA[[#This Row],[PARTIDA]],"0000000000")</f>
        <v>0207440000</v>
      </c>
      <c r="C99" s="16" t="s">
        <v>786</v>
      </c>
      <c r="D99" s="16" t="s">
        <v>787</v>
      </c>
      <c r="E99" s="16" t="s">
        <v>788</v>
      </c>
      <c r="F99" s="27" t="s">
        <v>9521</v>
      </c>
      <c r="G99" s="27"/>
      <c r="H99" s="16" t="str">
        <f>IF(ISBLANK(PARTIDAS!$G99),PARTIDAS!$F99,CONCATENATE(PARTIDAS!$F99," (",PARTIDAS!$G99,")"))</f>
        <v>Carne y despojos comestibles, de aves de la partida…, de pato (los demás, frescos o refrigerados)</v>
      </c>
      <c r="I99" s="16" t="s">
        <v>9427</v>
      </c>
    </row>
    <row r="100" spans="1:9" x14ac:dyDescent="0.25">
      <c r="A100" s="16" t="s">
        <v>934</v>
      </c>
      <c r="B100" s="16" t="str">
        <f>TEXT(PARTIDA[[#This Row],[PARTIDA]],"0000000000")</f>
        <v>0207450000</v>
      </c>
      <c r="C100" s="16" t="s">
        <v>786</v>
      </c>
      <c r="D100" s="16" t="s">
        <v>787</v>
      </c>
      <c r="E100" s="16" t="s">
        <v>788</v>
      </c>
      <c r="F100" s="27" t="s">
        <v>9522</v>
      </c>
      <c r="G100" s="27"/>
      <c r="H100" s="16" t="str">
        <f>IF(ISBLANK(PARTIDAS!$G100),PARTIDAS!$F100,CONCATENATE(PARTIDAS!$F100," (",PARTIDAS!$G100,")"))</f>
        <v>Carne y despojos comestibles, de aves de la partida…, de pato (los demás, congelados)</v>
      </c>
      <c r="I100" s="16" t="s">
        <v>9427</v>
      </c>
    </row>
    <row r="101" spans="1:9" x14ac:dyDescent="0.25">
      <c r="A101" s="16" t="s">
        <v>935</v>
      </c>
      <c r="B101" s="16" t="str">
        <f>TEXT(PARTIDA[[#This Row],[PARTIDA]],"0000000000")</f>
        <v>0207510000</v>
      </c>
      <c r="C101" s="16" t="s">
        <v>786</v>
      </c>
      <c r="D101" s="16" t="s">
        <v>787</v>
      </c>
      <c r="E101" s="16" t="s">
        <v>788</v>
      </c>
      <c r="F101" s="27" t="s">
        <v>9523</v>
      </c>
      <c r="G101" s="27"/>
      <c r="H101" s="16" t="str">
        <f>IF(ISBLANK(PARTIDAS!$G101),PARTIDAS!$F101,CONCATENATE(PARTIDAS!$F101," (",PARTIDAS!$G101,")"))</f>
        <v>Carne y despojos comestibles, de aves de la partida…, de ganso, sin trocear, frescos o refrigerados</v>
      </c>
      <c r="I101" s="16" t="s">
        <v>9427</v>
      </c>
    </row>
    <row r="102" spans="1:9" x14ac:dyDescent="0.25">
      <c r="A102" s="16" t="s">
        <v>936</v>
      </c>
      <c r="B102" s="16" t="str">
        <f>TEXT(PARTIDA[[#This Row],[PARTIDA]],"0000000000")</f>
        <v>0207520000</v>
      </c>
      <c r="C102" s="16" t="s">
        <v>786</v>
      </c>
      <c r="D102" s="16" t="s">
        <v>787</v>
      </c>
      <c r="E102" s="16" t="s">
        <v>788</v>
      </c>
      <c r="F102" s="27" t="s">
        <v>9524</v>
      </c>
      <c r="G102" s="27"/>
      <c r="H102" s="16" t="str">
        <f>IF(ISBLANK(PARTIDAS!$G102),PARTIDAS!$F102,CONCATENATE(PARTIDAS!$F102," (",PARTIDAS!$G102,")"))</f>
        <v>Carne y despojos comestibles, de aves de la partida…, de ganso, sin trocear, congelados</v>
      </c>
      <c r="I102" s="16" t="s">
        <v>9427</v>
      </c>
    </row>
    <row r="103" spans="1:9" x14ac:dyDescent="0.25">
      <c r="A103" s="16" t="s">
        <v>937</v>
      </c>
      <c r="B103" s="16" t="str">
        <f>TEXT(PARTIDA[[#This Row],[PARTIDA]],"0000000000")</f>
        <v>0207530000</v>
      </c>
      <c r="C103" s="16" t="s">
        <v>786</v>
      </c>
      <c r="D103" s="16" t="s">
        <v>787</v>
      </c>
      <c r="E103" s="16" t="s">
        <v>788</v>
      </c>
      <c r="F103" s="27" t="s">
        <v>9520</v>
      </c>
      <c r="G103" s="27"/>
      <c r="H103" s="16" t="str">
        <f>IF(ISBLANK(PARTIDAS!$G103),PARTIDAS!$F103,CONCATENATE(PARTIDAS!$F103," (",PARTIDAS!$G103,")"))</f>
        <v>Hígados grasos, frescos o refrigerados</v>
      </c>
      <c r="I103" s="16" t="s">
        <v>9427</v>
      </c>
    </row>
    <row r="104" spans="1:9" x14ac:dyDescent="0.25">
      <c r="A104" s="16" t="s">
        <v>938</v>
      </c>
      <c r="B104" s="16" t="str">
        <f>TEXT(PARTIDA[[#This Row],[PARTIDA]],"0000000000")</f>
        <v>0207540000</v>
      </c>
      <c r="C104" s="16" t="s">
        <v>786</v>
      </c>
      <c r="D104" s="16" t="s">
        <v>787</v>
      </c>
      <c r="E104" s="16" t="s">
        <v>788</v>
      </c>
      <c r="F104" s="27" t="s">
        <v>9525</v>
      </c>
      <c r="G104" s="27"/>
      <c r="H104" s="16" t="str">
        <f>IF(ISBLANK(PARTIDAS!$G104),PARTIDAS!$F104,CONCATENATE(PARTIDAS!$F104," (",PARTIDAS!$G104,")"))</f>
        <v>Carne y despojos comestibles, de aves de la partida…, de ganso (los demás, frescos o refrigerados)</v>
      </c>
      <c r="I104" s="16" t="s">
        <v>9427</v>
      </c>
    </row>
    <row r="105" spans="1:9" x14ac:dyDescent="0.25">
      <c r="A105" s="16" t="s">
        <v>939</v>
      </c>
      <c r="B105" s="16" t="str">
        <f>TEXT(PARTIDA[[#This Row],[PARTIDA]],"0000000000")</f>
        <v>0207550000</v>
      </c>
      <c r="C105" s="16" t="s">
        <v>786</v>
      </c>
      <c r="D105" s="16" t="s">
        <v>787</v>
      </c>
      <c r="E105" s="16" t="s">
        <v>788</v>
      </c>
      <c r="F105" s="27" t="s">
        <v>9526</v>
      </c>
      <c r="G105" s="27"/>
      <c r="H105" s="16" t="str">
        <f>IF(ISBLANK(PARTIDAS!$G105),PARTIDAS!$F105,CONCATENATE(PARTIDAS!$F105," (",PARTIDAS!$G105,")"))</f>
        <v>Carne y despojos comestibles, de aves de la partida…, de ganso (los demás, congelados)</v>
      </c>
      <c r="I105" s="16" t="s">
        <v>9427</v>
      </c>
    </row>
    <row r="106" spans="1:9" x14ac:dyDescent="0.25">
      <c r="A106" s="16" t="s">
        <v>940</v>
      </c>
      <c r="B106" s="16" t="str">
        <f>TEXT(PARTIDA[[#This Row],[PARTIDA]],"0000000000")</f>
        <v>0207600000</v>
      </c>
      <c r="C106" s="16" t="s">
        <v>786</v>
      </c>
      <c r="D106" s="16" t="s">
        <v>787</v>
      </c>
      <c r="E106" s="16" t="s">
        <v>788</v>
      </c>
      <c r="F106" s="27" t="s">
        <v>9527</v>
      </c>
      <c r="G106" s="27"/>
      <c r="H106" s="16" t="str">
        <f>IF(ISBLANK(PARTIDAS!$G106),PARTIDAS!$F106,CONCATENATE(PARTIDAS!$F106," (",PARTIDAS!$G106,")"))</f>
        <v>Carne y despojos comestibles, de aves de la partida 01.05, frescos…, de pintada</v>
      </c>
      <c r="I106" s="16" t="s">
        <v>9427</v>
      </c>
    </row>
    <row r="107" spans="1:9" x14ac:dyDescent="0.25">
      <c r="A107" s="16" t="s">
        <v>941</v>
      </c>
      <c r="B107" s="16" t="str">
        <f>TEXT(PARTIDA[[#This Row],[PARTIDA]],"0000000000")</f>
        <v>0208100000</v>
      </c>
      <c r="C107" s="16" t="s">
        <v>786</v>
      </c>
      <c r="D107" s="16" t="s">
        <v>787</v>
      </c>
      <c r="E107" s="16" t="s">
        <v>788</v>
      </c>
      <c r="F107" s="27" t="s">
        <v>9528</v>
      </c>
      <c r="G107" s="27"/>
      <c r="H107" s="16" t="str">
        <f>IF(ISBLANK(PARTIDAS!$G107),PARTIDAS!$F107,CONCATENATE(PARTIDAS!$F107," (",PARTIDAS!$G107,")"))</f>
        <v>Carne y despojos comestibles, de conejo o liebre</v>
      </c>
      <c r="I107" s="16" t="s">
        <v>9427</v>
      </c>
    </row>
    <row r="108" spans="1:9" x14ac:dyDescent="0.25">
      <c r="A108" s="16" t="s">
        <v>942</v>
      </c>
      <c r="B108" s="16" t="str">
        <f>TEXT(PARTIDA[[#This Row],[PARTIDA]],"0000000000")</f>
        <v>0208300000</v>
      </c>
      <c r="C108" s="16" t="s">
        <v>786</v>
      </c>
      <c r="D108" s="16" t="s">
        <v>787</v>
      </c>
      <c r="E108" s="16" t="s">
        <v>788</v>
      </c>
      <c r="F108" s="27" t="s">
        <v>9529</v>
      </c>
      <c r="G108" s="27"/>
      <c r="H108" s="16" t="str">
        <f>IF(ISBLANK(PARTIDAS!$G108),PARTIDAS!$F108,CONCATENATE(PARTIDAS!$F108," (",PARTIDAS!$G108,")"))</f>
        <v>Carne y despojos comestibles, de primates</v>
      </c>
      <c r="I108" s="16" t="s">
        <v>9427</v>
      </c>
    </row>
    <row r="109" spans="1:9" x14ac:dyDescent="0.25">
      <c r="A109" s="16" t="s">
        <v>943</v>
      </c>
      <c r="B109" s="16" t="str">
        <f>TEXT(PARTIDA[[#This Row],[PARTIDA]],"0000000000")</f>
        <v>0208400000</v>
      </c>
      <c r="C109" s="16" t="s">
        <v>786</v>
      </c>
      <c r="D109" s="16" t="s">
        <v>787</v>
      </c>
      <c r="E109" s="16" t="s">
        <v>788</v>
      </c>
      <c r="F109" s="27" t="s">
        <v>9530</v>
      </c>
      <c r="G109" s="27"/>
      <c r="H109" s="16" t="str">
        <f>IF(ISBLANK(PARTIDAS!$G109),PARTIDAS!$F109,CONCATENATE(PARTIDAS!$F109," (",PARTIDAS!$G109,")"))</f>
        <v>Carne y despojos comestibles, de ballenas, delfines y marsopas (mamíferos del orden Cetacea); de manatíes y dugones o dugongos (mamíferos del orden Si</v>
      </c>
      <c r="I109" s="16" t="s">
        <v>9427</v>
      </c>
    </row>
    <row r="110" spans="1:9" x14ac:dyDescent="0.25">
      <c r="A110" s="16" t="s">
        <v>944</v>
      </c>
      <c r="B110" s="16" t="str">
        <f>TEXT(PARTIDA[[#This Row],[PARTIDA]],"0000000000")</f>
        <v>0208500000</v>
      </c>
      <c r="C110" s="16" t="s">
        <v>786</v>
      </c>
      <c r="D110" s="16" t="s">
        <v>787</v>
      </c>
      <c r="E110" s="16" t="s">
        <v>788</v>
      </c>
      <c r="F110" s="27" t="s">
        <v>9531</v>
      </c>
      <c r="G110" s="27"/>
      <c r="H110" s="16" t="str">
        <f>IF(ISBLANK(PARTIDAS!$G110),PARTIDAS!$F110,CONCATENATE(PARTIDAS!$F110," (",PARTIDAS!$G110,")"))</f>
        <v>Carne y despojos comestibles, de reptiles (incluidas las serpientes y tortugas de mar)</v>
      </c>
      <c r="I110" s="16" t="s">
        <v>9427</v>
      </c>
    </row>
    <row r="111" spans="1:9" x14ac:dyDescent="0.25">
      <c r="A111" s="16" t="s">
        <v>945</v>
      </c>
      <c r="B111" s="16" t="str">
        <f>TEXT(PARTIDA[[#This Row],[PARTIDA]],"0000000000")</f>
        <v>0208600000</v>
      </c>
      <c r="C111" s="16" t="s">
        <v>786</v>
      </c>
      <c r="D111" s="16" t="s">
        <v>787</v>
      </c>
      <c r="E111" s="16" t="s">
        <v>788</v>
      </c>
      <c r="F111" s="27" t="s">
        <v>9532</v>
      </c>
      <c r="G111" s="27"/>
      <c r="H111" s="16" t="str">
        <f>IF(ISBLANK(PARTIDAS!$G111),PARTIDAS!$F111,CONCATENATE(PARTIDAS!$F111," (",PARTIDAS!$G111,")"))</f>
        <v>Carne y despojos comestibles, de camellos y demás camélidos (Camelidae)</v>
      </c>
      <c r="I111" s="16" t="s">
        <v>9427</v>
      </c>
    </row>
    <row r="112" spans="1:9" x14ac:dyDescent="0.25">
      <c r="A112" s="16" t="s">
        <v>946</v>
      </c>
      <c r="B112" s="16" t="str">
        <f>TEXT(PARTIDA[[#This Row],[PARTIDA]],"0000000000")</f>
        <v>0208900000</v>
      </c>
      <c r="C112" s="16" t="s">
        <v>786</v>
      </c>
      <c r="D112" s="16" t="s">
        <v>787</v>
      </c>
      <c r="E112" s="16" t="s">
        <v>788</v>
      </c>
      <c r="F112" s="27" t="s">
        <v>9533</v>
      </c>
      <c r="G112" s="27"/>
      <c r="H112" s="16" t="str">
        <f>IF(ISBLANK(PARTIDAS!$G112),PARTIDAS!$F112,CONCATENATE(PARTIDAS!$F112," (",PARTIDAS!$G112,")"))</f>
        <v>Carne y despojos comestibles (los demás)</v>
      </c>
      <c r="I112" s="16" t="s">
        <v>9427</v>
      </c>
    </row>
    <row r="113" spans="1:9" x14ac:dyDescent="0.25">
      <c r="A113" s="16" t="s">
        <v>947</v>
      </c>
      <c r="B113" s="16" t="str">
        <f>TEXT(PARTIDA[[#This Row],[PARTIDA]],"0000000000")</f>
        <v>0209101000</v>
      </c>
      <c r="C113" s="16" t="s">
        <v>786</v>
      </c>
      <c r="D113" s="16" t="s">
        <v>787</v>
      </c>
      <c r="E113" s="16" t="s">
        <v>788</v>
      </c>
      <c r="F113" s="27" t="s">
        <v>9534</v>
      </c>
      <c r="G113" s="27"/>
      <c r="H113" s="16" t="str">
        <f>IF(ISBLANK(PARTIDAS!$G113),PARTIDAS!$F113,CONCATENATE(PARTIDAS!$F113," (",PARTIDAS!$G113,")"))</f>
        <v>Tocino sin partes magras</v>
      </c>
      <c r="I113" s="16" t="s">
        <v>9427</v>
      </c>
    </row>
    <row r="114" spans="1:9" x14ac:dyDescent="0.25">
      <c r="A114" s="16" t="s">
        <v>948</v>
      </c>
      <c r="B114" s="16" t="str">
        <f>TEXT(PARTIDA[[#This Row],[PARTIDA]],"0000000000")</f>
        <v>0209109000</v>
      </c>
      <c r="C114" s="16" t="s">
        <v>786</v>
      </c>
      <c r="D114" s="16" t="s">
        <v>787</v>
      </c>
      <c r="E114" s="16" t="s">
        <v>788</v>
      </c>
      <c r="F114" s="27" t="s">
        <v>9535</v>
      </c>
      <c r="G114" s="27"/>
      <c r="H114" s="16" t="str">
        <f>IF(ISBLANK(PARTIDAS!$G114),PARTIDAS!$F114,CONCATENATE(PARTIDAS!$F114," (",PARTIDAS!$G114,")"))</f>
        <v>Tocino sin partes magras y grasa de cerdo o de ave sin…, de cerdo (los demás)</v>
      </c>
      <c r="I114" s="16" t="s">
        <v>9427</v>
      </c>
    </row>
    <row r="115" spans="1:9" x14ac:dyDescent="0.25">
      <c r="A115" s="16" t="s">
        <v>949</v>
      </c>
      <c r="B115" s="16" t="str">
        <f>TEXT(PARTIDA[[#This Row],[PARTIDA]],"0000000000")</f>
        <v>0209900000</v>
      </c>
      <c r="C115" s="16" t="s">
        <v>786</v>
      </c>
      <c r="D115" s="16" t="s">
        <v>787</v>
      </c>
      <c r="E115" s="16" t="s">
        <v>788</v>
      </c>
      <c r="F115" s="27" t="s">
        <v>9536</v>
      </c>
      <c r="G115" s="27"/>
      <c r="H115" s="16" t="str">
        <f>IF(ISBLANK(PARTIDAS!$G115),PARTIDAS!$F115,CONCATENATE(PARTIDAS!$F115," (",PARTIDAS!$G115,")"))</f>
        <v>Tocino sin partes magras y grasa de cerdo o de ave sin fundir ni… (los demás)</v>
      </c>
      <c r="I115" s="16" t="s">
        <v>9427</v>
      </c>
    </row>
    <row r="116" spans="1:9" x14ac:dyDescent="0.25">
      <c r="A116" s="16" t="s">
        <v>950</v>
      </c>
      <c r="B116" s="16" t="str">
        <f>TEXT(PARTIDA[[#This Row],[PARTIDA]],"0000000000")</f>
        <v>0210110000</v>
      </c>
      <c r="C116" s="16" t="s">
        <v>786</v>
      </c>
      <c r="D116" s="16" t="s">
        <v>787</v>
      </c>
      <c r="E116" s="16" t="s">
        <v>788</v>
      </c>
      <c r="F116" s="27" t="s">
        <v>9537</v>
      </c>
      <c r="G116" s="27"/>
      <c r="H116" s="16" t="str">
        <f>IF(ISBLANK(PARTIDAS!$G116),PARTIDAS!$F116,CONCATENATE(PARTIDAS!$F116," (",PARTIDAS!$G116,")"))</f>
        <v>Jamones, paletas, y sus trozos, sin deshuesar</v>
      </c>
      <c r="I116" s="16" t="s">
        <v>9427</v>
      </c>
    </row>
    <row r="117" spans="1:9" x14ac:dyDescent="0.25">
      <c r="A117" s="16" t="s">
        <v>951</v>
      </c>
      <c r="B117" s="16" t="str">
        <f>TEXT(PARTIDA[[#This Row],[PARTIDA]],"0000000000")</f>
        <v>0210120000</v>
      </c>
      <c r="C117" s="16" t="s">
        <v>786</v>
      </c>
      <c r="D117" s="16" t="s">
        <v>787</v>
      </c>
      <c r="E117" s="16" t="s">
        <v>788</v>
      </c>
      <c r="F117" s="27" t="s">
        <v>9538</v>
      </c>
      <c r="G117" s="27"/>
      <c r="H117" s="16" t="str">
        <f>IF(ISBLANK(PARTIDAS!$G117),PARTIDAS!$F117,CONCATENATE(PARTIDAS!$F117," (",PARTIDAS!$G117,")"))</f>
        <v>Tocino entreverado de panza (panceta) y sus trozos</v>
      </c>
      <c r="I117" s="16" t="s">
        <v>9427</v>
      </c>
    </row>
    <row r="118" spans="1:9" x14ac:dyDescent="0.25">
      <c r="A118" s="16" t="s">
        <v>952</v>
      </c>
      <c r="B118" s="16" t="str">
        <f>TEXT(PARTIDA[[#This Row],[PARTIDA]],"0000000000")</f>
        <v>0210190000</v>
      </c>
      <c r="C118" s="16" t="s">
        <v>786</v>
      </c>
      <c r="D118" s="16" t="s">
        <v>787</v>
      </c>
      <c r="E118" s="16" t="s">
        <v>788</v>
      </c>
      <c r="F118" s="27" t="s">
        <v>9539</v>
      </c>
      <c r="G118" s="27"/>
      <c r="H118" s="16" t="str">
        <f>IF(ISBLANK(PARTIDAS!$G118),PARTIDAS!$F118,CONCATENATE(PARTIDAS!$F118," (",PARTIDAS!$G118,")"))</f>
        <v>Carne de la especie porcina (los demás)</v>
      </c>
      <c r="I118" s="16" t="s">
        <v>9427</v>
      </c>
    </row>
    <row r="119" spans="1:9" x14ac:dyDescent="0.25">
      <c r="A119" s="16" t="s">
        <v>953</v>
      </c>
      <c r="B119" s="16" t="str">
        <f>TEXT(PARTIDA[[#This Row],[PARTIDA]],"0000000000")</f>
        <v>0210200000</v>
      </c>
      <c r="C119" s="16" t="s">
        <v>786</v>
      </c>
      <c r="D119" s="16" t="s">
        <v>787</v>
      </c>
      <c r="E119" s="16" t="s">
        <v>788</v>
      </c>
      <c r="F119" s="27" t="s">
        <v>9540</v>
      </c>
      <c r="G119" s="27"/>
      <c r="H119" s="16" t="str">
        <f>IF(ISBLANK(PARTIDAS!$G119),PARTIDAS!$F119,CONCATENATE(PARTIDAS!$F119," (",PARTIDAS!$G119,")"))</f>
        <v>Carne de la especie bovina</v>
      </c>
      <c r="I119" s="16" t="s">
        <v>9427</v>
      </c>
    </row>
    <row r="120" spans="1:9" x14ac:dyDescent="0.25">
      <c r="A120" s="16" t="s">
        <v>954</v>
      </c>
      <c r="B120" s="16" t="str">
        <f>TEXT(PARTIDA[[#This Row],[PARTIDA]],"0000000000")</f>
        <v>0210910000</v>
      </c>
      <c r="C120" s="16" t="s">
        <v>786</v>
      </c>
      <c r="D120" s="16" t="s">
        <v>787</v>
      </c>
      <c r="E120" s="16" t="s">
        <v>788</v>
      </c>
      <c r="F120" s="27" t="s">
        <v>9541</v>
      </c>
      <c r="G120" s="27"/>
      <c r="H120" s="16" t="str">
        <f>IF(ISBLANK(PARTIDAS!$G120),PARTIDAS!$F120,CONCATENATE(PARTIDAS!$F120," (",PARTIDAS!$G120,")"))</f>
        <v>Carne y despojos comestibles, salados o en salmuera, secos o ahumados, de primates</v>
      </c>
      <c r="I120" s="16" t="s">
        <v>9427</v>
      </c>
    </row>
    <row r="121" spans="1:9" x14ac:dyDescent="0.25">
      <c r="A121" s="16" t="s">
        <v>955</v>
      </c>
      <c r="B121" s="16" t="str">
        <f>TEXT(PARTIDA[[#This Row],[PARTIDA]],"0000000000")</f>
        <v>0210920010</v>
      </c>
      <c r="C121" s="16" t="s">
        <v>786</v>
      </c>
      <c r="D121" s="16" t="s">
        <v>787</v>
      </c>
      <c r="E121" s="16" t="s">
        <v>788</v>
      </c>
      <c r="F121" s="27" t="s">
        <v>9542</v>
      </c>
      <c r="G121" s="27"/>
      <c r="H121" s="16" t="str">
        <f>IF(ISBLANK(PARTIDAS!$G121),PARTIDAS!$F121,CONCATENATE(PARTIDAS!$F121," (",PARTIDAS!$G121,")"))</f>
        <v>Carne y despojos comestibles, salados o en salmuera…, de ballenas, delfines y marsopas (mamíferos del orden Cetacea), de ballenas, delfines y marsopas</v>
      </c>
      <c r="I121" s="16" t="s">
        <v>9427</v>
      </c>
    </row>
    <row r="122" spans="1:9" x14ac:dyDescent="0.25">
      <c r="A122" s="16" t="s">
        <v>956</v>
      </c>
      <c r="B122" s="16" t="str">
        <f>TEXT(PARTIDA[[#This Row],[PARTIDA]],"0000000000")</f>
        <v>0210920090</v>
      </c>
      <c r="C122" s="16" t="s">
        <v>786</v>
      </c>
      <c r="D122" s="16" t="s">
        <v>787</v>
      </c>
      <c r="E122" s="16" t="s">
        <v>788</v>
      </c>
      <c r="F122" s="27" t="s">
        <v>9543</v>
      </c>
      <c r="G122" s="27"/>
      <c r="H122" s="16" t="str">
        <f>IF(ISBLANK(PARTIDAS!$G122),PARTIDAS!$F122,CONCATENATE(PARTIDAS!$F122," (",PARTIDAS!$G122,")"))</f>
        <v>Carne y despojos comestibles, salados o en salmuera…, de ballenas, delfines y marsopas (mamíferos del orden Cetacea) (los demás)</v>
      </c>
      <c r="I122" s="16" t="s">
        <v>9427</v>
      </c>
    </row>
    <row r="123" spans="1:9" x14ac:dyDescent="0.25">
      <c r="A123" s="16" t="s">
        <v>957</v>
      </c>
      <c r="B123" s="16" t="str">
        <f>TEXT(PARTIDA[[#This Row],[PARTIDA]],"0000000000")</f>
        <v>0210930000</v>
      </c>
      <c r="C123" s="16" t="s">
        <v>786</v>
      </c>
      <c r="D123" s="16" t="s">
        <v>787</v>
      </c>
      <c r="E123" s="16" t="s">
        <v>788</v>
      </c>
      <c r="F123" s="27" t="s">
        <v>9544</v>
      </c>
      <c r="G123" s="27"/>
      <c r="H123" s="16" t="str">
        <f>IF(ISBLANK(PARTIDAS!$G123),PARTIDAS!$F123,CONCATENATE(PARTIDAS!$F123," (",PARTIDAS!$G123,")"))</f>
        <v>Carne y despojos comestibles, salados o en salmuera, secos o ahumados, de reptiles (incluidas las serpientes y tortugas de mar)</v>
      </c>
      <c r="I123" s="16" t="s">
        <v>9427</v>
      </c>
    </row>
    <row r="124" spans="1:9" x14ac:dyDescent="0.25">
      <c r="A124" s="16" t="s">
        <v>958</v>
      </c>
      <c r="B124" s="16" t="str">
        <f>TEXT(PARTIDA[[#This Row],[PARTIDA]],"0000000000")</f>
        <v>0210991000</v>
      </c>
      <c r="C124" s="16" t="s">
        <v>786</v>
      </c>
      <c r="D124" s="16" t="s">
        <v>787</v>
      </c>
      <c r="E124" s="16" t="s">
        <v>788</v>
      </c>
      <c r="F124" s="27" t="s">
        <v>9545</v>
      </c>
      <c r="G124" s="27"/>
      <c r="H124" s="16" t="str">
        <f>IF(ISBLANK(PARTIDAS!$G124),PARTIDAS!$F124,CONCATENATE(PARTIDAS!$F124," (",PARTIDAS!$G124,")"))</f>
        <v>Harina y polvo comestibles, de carne o de despojos</v>
      </c>
      <c r="I124" s="16" t="s">
        <v>9427</v>
      </c>
    </row>
    <row r="125" spans="1:9" x14ac:dyDescent="0.25">
      <c r="A125" s="16" t="s">
        <v>959</v>
      </c>
      <c r="B125" s="16" t="str">
        <f>TEXT(PARTIDA[[#This Row],[PARTIDA]],"0000000000")</f>
        <v>0210999000</v>
      </c>
      <c r="C125" s="16" t="s">
        <v>786</v>
      </c>
      <c r="D125" s="16" t="s">
        <v>787</v>
      </c>
      <c r="E125" s="16" t="s">
        <v>788</v>
      </c>
      <c r="F125" s="27" t="s">
        <v>9546</v>
      </c>
      <c r="G125" s="27"/>
      <c r="H125" s="16" t="str">
        <f>IF(ISBLANK(PARTIDAS!$G125),PARTIDAS!$F125,CONCATENATE(PARTIDAS!$F125," (",PARTIDAS!$G125,")"))</f>
        <v>Carne y despojos comestibles, salados o en salmuera, secos o ahumados (los demás)</v>
      </c>
      <c r="I125" s="16" t="s">
        <v>9427</v>
      </c>
    </row>
    <row r="126" spans="1:9" x14ac:dyDescent="0.25">
      <c r="A126" s="16" t="s">
        <v>960</v>
      </c>
      <c r="B126" s="16" t="str">
        <f>TEXT(PARTIDA[[#This Row],[PARTIDA]],"0000000000")</f>
        <v>0301110000</v>
      </c>
      <c r="C126" s="16" t="s">
        <v>786</v>
      </c>
      <c r="D126" s="16" t="s">
        <v>787</v>
      </c>
      <c r="E126" s="16" t="s">
        <v>797</v>
      </c>
      <c r="F126" s="27" t="s">
        <v>961</v>
      </c>
      <c r="G126" s="27"/>
      <c r="H126" s="16" t="str">
        <f>IF(ISBLANK(PARTIDAS!$G126),PARTIDAS!$F126,CONCATENATE(PARTIDAS!$F126," (",PARTIDAS!$G126,")"))</f>
        <v>Peces ornamentales</v>
      </c>
      <c r="I126" s="16" t="s">
        <v>9427</v>
      </c>
    </row>
    <row r="127" spans="1:9" x14ac:dyDescent="0.25">
      <c r="A127" s="16" t="s">
        <v>962</v>
      </c>
      <c r="B127" s="16" t="str">
        <f>TEXT(PARTIDA[[#This Row],[PARTIDA]],"0000000000")</f>
        <v>0301190000</v>
      </c>
      <c r="C127" s="16" t="s">
        <v>786</v>
      </c>
      <c r="D127" s="16" t="s">
        <v>787</v>
      </c>
      <c r="E127" s="16" t="s">
        <v>797</v>
      </c>
      <c r="F127" s="27" t="s">
        <v>961</v>
      </c>
      <c r="G127" s="27"/>
      <c r="H127" s="16" t="str">
        <f>IF(ISBLANK(PARTIDAS!$G127),PARTIDAS!$F127,CONCATENATE(PARTIDAS!$F127," (",PARTIDAS!$G127,")"))</f>
        <v>Peces ornamentales</v>
      </c>
      <c r="I127" s="16" t="s">
        <v>9427</v>
      </c>
    </row>
    <row r="128" spans="1:9" x14ac:dyDescent="0.25">
      <c r="A128" s="16" t="s">
        <v>963</v>
      </c>
      <c r="B128" s="16" t="str">
        <f>TEXT(PARTIDA[[#This Row],[PARTIDA]],"0000000000")</f>
        <v>0301911000</v>
      </c>
      <c r="C128" s="16" t="s">
        <v>815</v>
      </c>
      <c r="D128" s="16" t="s">
        <v>825</v>
      </c>
      <c r="E128" s="16" t="s">
        <v>9454</v>
      </c>
      <c r="F128" s="27" t="s">
        <v>9547</v>
      </c>
      <c r="G128" s="27"/>
      <c r="H128" s="16" t="str">
        <f>IF(ISBLANK(PARTIDAS!$G128),PARTIDAS!$F128,CONCATENATE(PARTIDAS!$F128," (",PARTIDAS!$G128,")"))</f>
        <v>Truchas (Salmo trutta, Oncorhynchus mykiss, Oncorhynchus clarki…, para reproducción o cría industrial</v>
      </c>
      <c r="I128" s="16" t="s">
        <v>9427</v>
      </c>
    </row>
    <row r="129" spans="1:9" x14ac:dyDescent="0.25">
      <c r="A129" s="16" t="s">
        <v>964</v>
      </c>
      <c r="B129" s="16" t="str">
        <f>TEXT(PARTIDA[[#This Row],[PARTIDA]],"0000000000")</f>
        <v>0301919000</v>
      </c>
      <c r="C129" s="16" t="s">
        <v>786</v>
      </c>
      <c r="D129" s="16" t="s">
        <v>787</v>
      </c>
      <c r="E129" s="16" t="s">
        <v>788</v>
      </c>
      <c r="F129" s="27" t="s">
        <v>9548</v>
      </c>
      <c r="G129" s="27"/>
      <c r="H129" s="16" t="str">
        <f>IF(ISBLANK(PARTIDAS!$G129),PARTIDAS!$F129,CONCATENATE(PARTIDAS!$F129," (",PARTIDAS!$G129,")"))</f>
        <v>Truchas (Salmo trutta, Oncorhynchus mykiss, Oncorhynchus clarki… (los demás)</v>
      </c>
      <c r="I129" s="16" t="s">
        <v>9427</v>
      </c>
    </row>
    <row r="130" spans="1:9" x14ac:dyDescent="0.25">
      <c r="A130" s="16" t="s">
        <v>965</v>
      </c>
      <c r="B130" s="16" t="str">
        <f>TEXT(PARTIDA[[#This Row],[PARTIDA]],"0000000000")</f>
        <v>0301920000</v>
      </c>
      <c r="C130" s="16" t="s">
        <v>786</v>
      </c>
      <c r="D130" s="16" t="s">
        <v>787</v>
      </c>
      <c r="E130" s="16" t="s">
        <v>788</v>
      </c>
      <c r="F130" s="27" t="s">
        <v>966</v>
      </c>
      <c r="G130" s="27"/>
      <c r="H130" s="16" t="str">
        <f>IF(ISBLANK(PARTIDAS!$G130),PARTIDAS!$F130,CONCATENATE(PARTIDAS!$F130," (",PARTIDAS!$G130,")"))</f>
        <v>Anguilas</v>
      </c>
      <c r="I130" s="16" t="s">
        <v>9427</v>
      </c>
    </row>
    <row r="131" spans="1:9" x14ac:dyDescent="0.25">
      <c r="A131" s="16" t="s">
        <v>967</v>
      </c>
      <c r="B131" s="16" t="str">
        <f>TEXT(PARTIDA[[#This Row],[PARTIDA]],"0000000000")</f>
        <v>0301930000</v>
      </c>
      <c r="C131" s="16" t="s">
        <v>786</v>
      </c>
      <c r="D131" s="16" t="s">
        <v>787</v>
      </c>
      <c r="E131" s="16" t="s">
        <v>788</v>
      </c>
      <c r="F131" s="27" t="s">
        <v>9549</v>
      </c>
      <c r="G131" s="27"/>
      <c r="H131" s="16" t="str">
        <f>IF(ISBLANK(PARTIDAS!$G131),PARTIDAS!$F131,CONCATENATE(PARTIDAS!$F131," (",PARTIDAS!$G131,")"))</f>
        <v>Carpas (Cyprinus spp., Carassius spp., Ctenopharyngodon idellus, Hypophthalmichthys spp., Cirrhinus spp., Mylopharyngodon piceus, Catla catla, Labeo s</v>
      </c>
      <c r="I131" s="16" t="s">
        <v>9427</v>
      </c>
    </row>
    <row r="132" spans="1:9" x14ac:dyDescent="0.25">
      <c r="A132" s="16" t="s">
        <v>968</v>
      </c>
      <c r="B132" s="16" t="str">
        <f>TEXT(PARTIDA[[#This Row],[PARTIDA]],"0000000000")</f>
        <v>0301940010</v>
      </c>
      <c r="C132" s="16" t="s">
        <v>786</v>
      </c>
      <c r="D132" s="16" t="s">
        <v>787</v>
      </c>
      <c r="E132" s="16" t="s">
        <v>788</v>
      </c>
      <c r="F132" s="27" t="s">
        <v>9550</v>
      </c>
      <c r="G132" s="27"/>
      <c r="H132" s="16" t="str">
        <f>IF(ISBLANK(PARTIDAS!$G132),PARTIDAS!$F132,CONCATENATE(PARTIDAS!$F132," (",PARTIDAS!$G132,")"))</f>
        <v>Atunes (Thunnus thynnus)</v>
      </c>
      <c r="I132" s="16" t="s">
        <v>9427</v>
      </c>
    </row>
    <row r="133" spans="1:9" x14ac:dyDescent="0.25">
      <c r="A133" s="16" t="s">
        <v>969</v>
      </c>
      <c r="B133" s="16" t="str">
        <f>TEXT(PARTIDA[[#This Row],[PARTIDA]],"0000000000")</f>
        <v>0301940091</v>
      </c>
      <c r="C133" s="16" t="s">
        <v>815</v>
      </c>
      <c r="D133" s="16" t="s">
        <v>825</v>
      </c>
      <c r="E133" s="16" t="s">
        <v>9454</v>
      </c>
      <c r="F133" s="27" t="s">
        <v>9551</v>
      </c>
      <c r="G133" s="27"/>
      <c r="H133" s="16" t="str">
        <f>IF(ISBLANK(PARTIDAS!$G133),PARTIDAS!$F133,CONCATENATE(PARTIDAS!$F133," (",PARTIDAS!$G133,")"))</f>
        <v>Atunes comunes o de aleta azul, del Atlántico y del Pacífico (Thunnus…, para reproducción o cría industrial</v>
      </c>
      <c r="I133" s="16" t="s">
        <v>9427</v>
      </c>
    </row>
    <row r="134" spans="1:9" x14ac:dyDescent="0.25">
      <c r="A134" s="16" t="s">
        <v>970</v>
      </c>
      <c r="B134" s="16" t="str">
        <f>TEXT(PARTIDA[[#This Row],[PARTIDA]],"0000000000")</f>
        <v>0301940099</v>
      </c>
      <c r="C134" s="16" t="s">
        <v>786</v>
      </c>
      <c r="D134" s="16" t="s">
        <v>787</v>
      </c>
      <c r="E134" s="16" t="s">
        <v>788</v>
      </c>
      <c r="F134" s="27" t="s">
        <v>9552</v>
      </c>
      <c r="G134" s="27"/>
      <c r="H134" s="16" t="str">
        <f>IF(ISBLANK(PARTIDAS!$G134),PARTIDAS!$F134,CONCATENATE(PARTIDAS!$F134," (",PARTIDAS!$G134,")"))</f>
        <v>Atunes comunes o de aleta azul, del Atlántico y del Pacífico (Thunnus… (los demás)</v>
      </c>
      <c r="I134" s="16" t="s">
        <v>9427</v>
      </c>
    </row>
    <row r="135" spans="1:9" x14ac:dyDescent="0.25">
      <c r="A135" s="16" t="s">
        <v>971</v>
      </c>
      <c r="B135" s="16" t="str">
        <f>TEXT(PARTIDA[[#This Row],[PARTIDA]],"0000000000")</f>
        <v>0301950000</v>
      </c>
      <c r="C135" s="16" t="s">
        <v>786</v>
      </c>
      <c r="D135" s="16" t="s">
        <v>787</v>
      </c>
      <c r="E135" s="16" t="s">
        <v>788</v>
      </c>
      <c r="F135" s="27" t="s">
        <v>9553</v>
      </c>
      <c r="G135" s="27"/>
      <c r="H135" s="16" t="str">
        <f>IF(ISBLANK(PARTIDAS!$G135),PARTIDAS!$F135,CONCATENATE(PARTIDAS!$F135," (",PARTIDAS!$G135,")"))</f>
        <v>Atunes del sur (Thunnus maccoyii)</v>
      </c>
      <c r="I135" s="16" t="s">
        <v>9427</v>
      </c>
    </row>
    <row r="136" spans="1:9" x14ac:dyDescent="0.25">
      <c r="A136" s="16" t="s">
        <v>972</v>
      </c>
      <c r="B136" s="16" t="str">
        <f>TEXT(PARTIDA[[#This Row],[PARTIDA]],"0000000000")</f>
        <v>0301991100</v>
      </c>
      <c r="C136" s="16" t="s">
        <v>815</v>
      </c>
      <c r="D136" s="16" t="s">
        <v>825</v>
      </c>
      <c r="E136" s="16" t="s">
        <v>9454</v>
      </c>
      <c r="F136" s="27" t="s">
        <v>9554</v>
      </c>
      <c r="G136" s="27"/>
      <c r="H136" s="16" t="str">
        <f>IF(ISBLANK(PARTIDAS!$G136),PARTIDAS!$F136,CONCATENATE(PARTIDAS!$F136," (",PARTIDAS!$G136,")"))</f>
        <v>Peces vivos, para reproducción o cría industrial, tilapia</v>
      </c>
      <c r="I136" s="16" t="s">
        <v>9427</v>
      </c>
    </row>
    <row r="137" spans="1:9" x14ac:dyDescent="0.25">
      <c r="A137" s="16" t="s">
        <v>973</v>
      </c>
      <c r="B137" s="16" t="str">
        <f>TEXT(PARTIDA[[#This Row],[PARTIDA]],"0000000000")</f>
        <v>0301991900</v>
      </c>
      <c r="C137" s="16" t="s">
        <v>815</v>
      </c>
      <c r="D137" s="16" t="s">
        <v>825</v>
      </c>
      <c r="E137" s="16" t="s">
        <v>9454</v>
      </c>
      <c r="F137" s="27" t="s">
        <v>974</v>
      </c>
      <c r="G137" s="27"/>
      <c r="H137" s="16" t="str">
        <f>IF(ISBLANK(PARTIDAS!$G137),PARTIDAS!$F137,CONCATENATE(PARTIDAS!$F137," (",PARTIDAS!$G137,")"))</f>
        <v>Alevinos de paiche</v>
      </c>
      <c r="I137" s="16" t="s">
        <v>9427</v>
      </c>
    </row>
    <row r="138" spans="1:9" x14ac:dyDescent="0.25">
      <c r="A138" s="16" t="s">
        <v>975</v>
      </c>
      <c r="B138" s="16" t="str">
        <f>TEXT(PARTIDA[[#This Row],[PARTIDA]],"0000000000")</f>
        <v>0301999000</v>
      </c>
      <c r="C138" s="16" t="s">
        <v>786</v>
      </c>
      <c r="D138" s="16" t="s">
        <v>787</v>
      </c>
      <c r="E138" s="16" t="s">
        <v>788</v>
      </c>
      <c r="F138" s="27" t="s">
        <v>9555</v>
      </c>
      <c r="G138" s="27"/>
      <c r="H138" s="16" t="str">
        <f>IF(ISBLANK(PARTIDAS!$G138),PARTIDAS!$F138,CONCATENATE(PARTIDAS!$F138," (",PARTIDAS!$G138,")"))</f>
        <v>Peces vivos (los demás)</v>
      </c>
      <c r="I138" s="16" t="s">
        <v>9427</v>
      </c>
    </row>
    <row r="139" spans="1:9" x14ac:dyDescent="0.25">
      <c r="A139" s="16" t="s">
        <v>976</v>
      </c>
      <c r="B139" s="16" t="str">
        <f>TEXT(PARTIDA[[#This Row],[PARTIDA]],"0000000000")</f>
        <v>0302110000</v>
      </c>
      <c r="C139" s="16" t="s">
        <v>786</v>
      </c>
      <c r="D139" s="16" t="s">
        <v>787</v>
      </c>
      <c r="E139" s="16" t="s">
        <v>788</v>
      </c>
      <c r="F139" s="27" t="s">
        <v>9556</v>
      </c>
      <c r="G139" s="27"/>
      <c r="H139" s="16" t="str">
        <f>IF(ISBLANK(PARTIDAS!$G139),PARTIDAS!$F139,CONCATENATE(PARTIDAS!$F139," (",PARTIDAS!$G139,")"))</f>
        <v>Truchas (Salmo trutta, Oncorhynchus mykiss, Oncorhynchus clarki, Oncorhynchus aguabonita, Oncorhynchus gilae, Oncorhynchus apache y Oncorhynchus chrys</v>
      </c>
      <c r="I139" s="16" t="s">
        <v>9427</v>
      </c>
    </row>
    <row r="140" spans="1:9" x14ac:dyDescent="0.25">
      <c r="A140" s="16" t="s">
        <v>977</v>
      </c>
      <c r="B140" s="16" t="str">
        <f>TEXT(PARTIDA[[#This Row],[PARTIDA]],"0000000000")</f>
        <v>0302130000</v>
      </c>
      <c r="C140" s="16" t="s">
        <v>786</v>
      </c>
      <c r="D140" s="16" t="s">
        <v>787</v>
      </c>
      <c r="E140" s="16" t="s">
        <v>788</v>
      </c>
      <c r="F140" s="27" t="s">
        <v>9557</v>
      </c>
      <c r="G140" s="27"/>
      <c r="H140" s="16" t="str">
        <f>IF(ISBLANK(PARTIDAS!$G140),PARTIDAS!$F140,CONCATENATE(PARTIDAS!$F140," (",PARTIDAS!$G140,")"))</f>
        <v>Salmones del Pacífico (Oncorhynchus nerka, Oncorhynchus gorbuscha, Oncorhynchus keta, Oncorhynchus tschawytscha, Oncorhynchus kisutch, Oncorhynchus ma</v>
      </c>
      <c r="I140" s="16" t="s">
        <v>9427</v>
      </c>
    </row>
    <row r="141" spans="1:9" x14ac:dyDescent="0.25">
      <c r="A141" s="16" t="s">
        <v>978</v>
      </c>
      <c r="B141" s="16" t="str">
        <f>TEXT(PARTIDA[[#This Row],[PARTIDA]],"0000000000")</f>
        <v>0302140000</v>
      </c>
      <c r="C141" s="16" t="s">
        <v>786</v>
      </c>
      <c r="D141" s="16" t="s">
        <v>787</v>
      </c>
      <c r="E141" s="16" t="s">
        <v>788</v>
      </c>
      <c r="F141" s="27" t="s">
        <v>9558</v>
      </c>
      <c r="G141" s="27"/>
      <c r="H141" s="16" t="str">
        <f>IF(ISBLANK(PARTIDAS!$G141),PARTIDAS!$F141,CONCATENATE(PARTIDAS!$F141," (",PARTIDAS!$G141,")"))</f>
        <v>Salmones del Atlántico (Salmo salar) y salmones del Danubio (Hucho hucho)</v>
      </c>
      <c r="I141" s="16" t="s">
        <v>9427</v>
      </c>
    </row>
    <row r="142" spans="1:9" x14ac:dyDescent="0.25">
      <c r="A142" s="16" t="s">
        <v>979</v>
      </c>
      <c r="B142" s="16" t="str">
        <f>TEXT(PARTIDA[[#This Row],[PARTIDA]],"0000000000")</f>
        <v>0302190000</v>
      </c>
      <c r="C142" s="16" t="s">
        <v>786</v>
      </c>
      <c r="D142" s="16" t="s">
        <v>787</v>
      </c>
      <c r="E142" s="16" t="s">
        <v>788</v>
      </c>
      <c r="F142" s="27" t="s">
        <v>980</v>
      </c>
      <c r="G142" s="27"/>
      <c r="H142" s="16" t="str">
        <f>IF(ISBLANK(PARTIDAS!$G142),PARTIDAS!$F142,CONCATENATE(PARTIDAS!$F142," (",PARTIDAS!$G142,")"))</f>
        <v>Pescado congelado</v>
      </c>
      <c r="I142" s="16" t="s">
        <v>9559</v>
      </c>
    </row>
    <row r="143" spans="1:9" x14ac:dyDescent="0.25">
      <c r="A143" s="16" t="s">
        <v>981</v>
      </c>
      <c r="B143" s="16" t="str">
        <f>TEXT(PARTIDA[[#This Row],[PARTIDA]],"0000000000")</f>
        <v>0302210000</v>
      </c>
      <c r="C143" s="16" t="s">
        <v>786</v>
      </c>
      <c r="D143" s="16" t="s">
        <v>787</v>
      </c>
      <c r="E143" s="16" t="s">
        <v>788</v>
      </c>
      <c r="F143" s="27" t="s">
        <v>9560</v>
      </c>
      <c r="G143" s="27"/>
      <c r="H143" s="16" t="str">
        <f>IF(ISBLANK(PARTIDAS!$G143),PARTIDAS!$F143,CONCATENATE(PARTIDAS!$F143," (",PARTIDAS!$G143,")"))</f>
        <v>Fletanes («halibut») (Reinhardtius hippoglossoides, Hippoglossus hippoglossus, Hippoglossus stenolepis)</v>
      </c>
      <c r="I143" s="16" t="s">
        <v>9559</v>
      </c>
    </row>
    <row r="144" spans="1:9" x14ac:dyDescent="0.25">
      <c r="A144" s="16" t="s">
        <v>982</v>
      </c>
      <c r="B144" s="16" t="str">
        <f>TEXT(PARTIDA[[#This Row],[PARTIDA]],"0000000000")</f>
        <v>0302220000</v>
      </c>
      <c r="C144" s="16" t="s">
        <v>786</v>
      </c>
      <c r="D144" s="16" t="s">
        <v>787</v>
      </c>
      <c r="E144" s="16" t="s">
        <v>788</v>
      </c>
      <c r="F144" s="27" t="s">
        <v>9561</v>
      </c>
      <c r="G144" s="27"/>
      <c r="H144" s="16" t="str">
        <f>IF(ISBLANK(PARTIDAS!$G144),PARTIDAS!$F144,CONCATENATE(PARTIDAS!$F144," (",PARTIDAS!$G144,")"))</f>
        <v>Sollas (Pleuronectes platessa)</v>
      </c>
      <c r="I144" s="16" t="s">
        <v>9559</v>
      </c>
    </row>
    <row r="145" spans="1:9" x14ac:dyDescent="0.25">
      <c r="A145" s="16" t="s">
        <v>983</v>
      </c>
      <c r="B145" s="16" t="str">
        <f>TEXT(PARTIDA[[#This Row],[PARTIDA]],"0000000000")</f>
        <v>0302230000</v>
      </c>
      <c r="C145" s="16" t="s">
        <v>786</v>
      </c>
      <c r="D145" s="16" t="s">
        <v>787</v>
      </c>
      <c r="E145" s="16" t="s">
        <v>788</v>
      </c>
      <c r="F145" s="27" t="s">
        <v>9562</v>
      </c>
      <c r="G145" s="27"/>
      <c r="H145" s="16" t="str">
        <f>IF(ISBLANK(PARTIDAS!$G145),PARTIDAS!$F145,CONCATENATE(PARTIDAS!$F145," (",PARTIDAS!$G145,")"))</f>
        <v>Lenguados (Solea spp.)</v>
      </c>
      <c r="I145" s="16" t="s">
        <v>9559</v>
      </c>
    </row>
    <row r="146" spans="1:9" x14ac:dyDescent="0.25">
      <c r="A146" s="16" t="s">
        <v>984</v>
      </c>
      <c r="B146" s="16" t="str">
        <f>TEXT(PARTIDA[[#This Row],[PARTIDA]],"0000000000")</f>
        <v>0302240000</v>
      </c>
      <c r="C146" s="16" t="s">
        <v>786</v>
      </c>
      <c r="D146" s="16" t="s">
        <v>787</v>
      </c>
      <c r="E146" s="16" t="s">
        <v>788</v>
      </c>
      <c r="F146" s="27" t="s">
        <v>9563</v>
      </c>
      <c r="G146" s="27"/>
      <c r="H146" s="16" t="str">
        <f>IF(ISBLANK(PARTIDAS!$G146),PARTIDAS!$F146,CONCATENATE(PARTIDAS!$F146," (",PARTIDAS!$G146,")"))</f>
        <v>Rodaballos («turbots») (Psetta maxima)</v>
      </c>
      <c r="I146" s="16" t="s">
        <v>9559</v>
      </c>
    </row>
    <row r="147" spans="1:9" x14ac:dyDescent="0.25">
      <c r="A147" s="16" t="s">
        <v>985</v>
      </c>
      <c r="B147" s="16" t="str">
        <f>TEXT(PARTIDA[[#This Row],[PARTIDA]],"0000000000")</f>
        <v>0302290000</v>
      </c>
      <c r="C147" s="16" t="s">
        <v>786</v>
      </c>
      <c r="D147" s="16" t="s">
        <v>787</v>
      </c>
      <c r="E147" s="16" t="s">
        <v>788</v>
      </c>
      <c r="F147" s="27" t="s">
        <v>9564</v>
      </c>
      <c r="G147" s="27"/>
      <c r="H147" s="16" t="str">
        <f>IF(ISBLANK(PARTIDAS!$G147),PARTIDAS!$F147,CONCATENATE(PARTIDAS!$F147," (",PARTIDAS!$G147,")"))</f>
        <v>Pescados planos (Pleuronectidae, Bothidae, Cynoglossidae, Soleidae… (los demás)</v>
      </c>
      <c r="I147" s="16" t="s">
        <v>9559</v>
      </c>
    </row>
    <row r="148" spans="1:9" x14ac:dyDescent="0.25">
      <c r="A148" s="16" t="s">
        <v>986</v>
      </c>
      <c r="B148" s="16" t="str">
        <f>TEXT(PARTIDA[[#This Row],[PARTIDA]],"0000000000")</f>
        <v>0302310000</v>
      </c>
      <c r="C148" s="16" t="s">
        <v>786</v>
      </c>
      <c r="D148" s="16" t="s">
        <v>787</v>
      </c>
      <c r="E148" s="16" t="s">
        <v>788</v>
      </c>
      <c r="F148" s="27" t="s">
        <v>9565</v>
      </c>
      <c r="G148" s="27"/>
      <c r="H148" s="16" t="str">
        <f>IF(ISBLANK(PARTIDAS!$G148),PARTIDAS!$F148,CONCATENATE(PARTIDAS!$F148," (",PARTIDAS!$G148,")"))</f>
        <v>Albacoras o atunes blancos (Thunnus alalunga)</v>
      </c>
      <c r="I148" s="16" t="s">
        <v>9559</v>
      </c>
    </row>
    <row r="149" spans="1:9" x14ac:dyDescent="0.25">
      <c r="A149" s="16" t="s">
        <v>987</v>
      </c>
      <c r="B149" s="16" t="str">
        <f>TEXT(PARTIDA[[#This Row],[PARTIDA]],"0000000000")</f>
        <v>0302320000</v>
      </c>
      <c r="C149" s="16" t="s">
        <v>786</v>
      </c>
      <c r="D149" s="16" t="s">
        <v>787</v>
      </c>
      <c r="E149" s="16" t="s">
        <v>788</v>
      </c>
      <c r="F149" s="27" t="s">
        <v>9566</v>
      </c>
      <c r="G149" s="27"/>
      <c r="H149" s="16" t="str">
        <f>IF(ISBLANK(PARTIDAS!$G149),PARTIDAS!$F149,CONCATENATE(PARTIDAS!$F149," (",PARTIDAS!$G149,")"))</f>
        <v>Atunes de aleta amarilla (rabiles) (Thunnus albacares)</v>
      </c>
      <c r="I149" s="16" t="s">
        <v>9559</v>
      </c>
    </row>
    <row r="150" spans="1:9" x14ac:dyDescent="0.25">
      <c r="A150" s="16" t="s">
        <v>988</v>
      </c>
      <c r="B150" s="16" t="str">
        <f>TEXT(PARTIDA[[#This Row],[PARTIDA]],"0000000000")</f>
        <v>0302330000</v>
      </c>
      <c r="C150" s="16" t="s">
        <v>786</v>
      </c>
      <c r="D150" s="16" t="s">
        <v>787</v>
      </c>
      <c r="E150" s="16" t="s">
        <v>788</v>
      </c>
      <c r="F150" s="27" t="s">
        <v>9567</v>
      </c>
      <c r="G150" s="27"/>
      <c r="H150" s="16" t="str">
        <f>IF(ISBLANK(PARTIDAS!$G150),PARTIDAS!$F150,CONCATENATE(PARTIDAS!$F150," (",PARTIDAS!$G150,")"))</f>
        <v>Listados (bonitos de vientre rayado) (Katsuwonus pelamis)</v>
      </c>
      <c r="I150" s="16" t="s">
        <v>9559</v>
      </c>
    </row>
    <row r="151" spans="1:9" x14ac:dyDescent="0.25">
      <c r="A151" s="16" t="s">
        <v>989</v>
      </c>
      <c r="B151" s="16" t="str">
        <f>TEXT(PARTIDA[[#This Row],[PARTIDA]],"0000000000")</f>
        <v>0302340000</v>
      </c>
      <c r="C151" s="16" t="s">
        <v>786</v>
      </c>
      <c r="D151" s="16" t="s">
        <v>787</v>
      </c>
      <c r="E151" s="16" t="s">
        <v>788</v>
      </c>
      <c r="F151" s="27" t="s">
        <v>9568</v>
      </c>
      <c r="G151" s="27"/>
      <c r="H151" s="16" t="str">
        <f>IF(ISBLANK(PARTIDAS!$G151),PARTIDAS!$F151,CONCATENATE(PARTIDAS!$F151," (",PARTIDAS!$G151,")"))</f>
        <v>Patudos o atunes ojo grande (Thunnus obesus)</v>
      </c>
      <c r="I151" s="16" t="s">
        <v>9559</v>
      </c>
    </row>
    <row r="152" spans="1:9" x14ac:dyDescent="0.25">
      <c r="A152" s="16" t="s">
        <v>990</v>
      </c>
      <c r="B152" s="16" t="str">
        <f>TEXT(PARTIDA[[#This Row],[PARTIDA]],"0000000000")</f>
        <v>0302350000</v>
      </c>
      <c r="C152" s="16" t="s">
        <v>786</v>
      </c>
      <c r="D152" s="16" t="s">
        <v>787</v>
      </c>
      <c r="E152" s="16" t="s">
        <v>788</v>
      </c>
      <c r="F152" s="27" t="s">
        <v>9569</v>
      </c>
      <c r="G152" s="27"/>
      <c r="H152" s="16" t="str">
        <f>IF(ISBLANK(PARTIDAS!$G152),PARTIDAS!$F152,CONCATENATE(PARTIDAS!$F152," (",PARTIDAS!$G152,")"))</f>
        <v>Atunes comunes o de aleta azul, del Atlántico y del Pacífico (Thunnus thynnus, Thunnus orientalis)</v>
      </c>
      <c r="I152" s="16" t="s">
        <v>9559</v>
      </c>
    </row>
    <row r="153" spans="1:9" x14ac:dyDescent="0.25">
      <c r="A153" s="16" t="s">
        <v>991</v>
      </c>
      <c r="B153" s="16" t="str">
        <f>TEXT(PARTIDA[[#This Row],[PARTIDA]],"0000000000")</f>
        <v>0302360000</v>
      </c>
      <c r="C153" s="16" t="s">
        <v>786</v>
      </c>
      <c r="D153" s="16" t="s">
        <v>787</v>
      </c>
      <c r="E153" s="16" t="s">
        <v>788</v>
      </c>
      <c r="F153" s="27" t="s">
        <v>9553</v>
      </c>
      <c r="G153" s="27"/>
      <c r="H153" s="16" t="str">
        <f>IF(ISBLANK(PARTIDAS!$G153),PARTIDAS!$F153,CONCATENATE(PARTIDAS!$F153," (",PARTIDAS!$G153,")"))</f>
        <v>Atunes del sur (Thunnus maccoyii)</v>
      </c>
      <c r="I153" s="16" t="s">
        <v>9559</v>
      </c>
    </row>
    <row r="154" spans="1:9" x14ac:dyDescent="0.25">
      <c r="A154" s="16" t="s">
        <v>992</v>
      </c>
      <c r="B154" s="16" t="str">
        <f>TEXT(PARTIDA[[#This Row],[PARTIDA]],"0000000000")</f>
        <v>0302390000</v>
      </c>
      <c r="C154" s="16" t="s">
        <v>786</v>
      </c>
      <c r="D154" s="16" t="s">
        <v>787</v>
      </c>
      <c r="E154" s="16" t="s">
        <v>788</v>
      </c>
      <c r="F154" s="27" t="s">
        <v>9570</v>
      </c>
      <c r="G154" s="27"/>
      <c r="H154" s="16" t="str">
        <f>IF(ISBLANK(PARTIDAS!$G154),PARTIDAS!$F154,CONCATENATE(PARTIDAS!$F154," (",PARTIDAS!$G154,")"))</f>
        <v>Atunes (del género Thunnus), listados (bonitos de vientre rayado)… (los demás)</v>
      </c>
      <c r="I154" s="16" t="s">
        <v>9559</v>
      </c>
    </row>
    <row r="155" spans="1:9" x14ac:dyDescent="0.25">
      <c r="A155" s="16" t="s">
        <v>993</v>
      </c>
      <c r="B155" s="16" t="str">
        <f>TEXT(PARTIDA[[#This Row],[PARTIDA]],"0000000000")</f>
        <v>0302410000</v>
      </c>
      <c r="C155" s="16" t="s">
        <v>786</v>
      </c>
      <c r="D155" s="16" t="s">
        <v>787</v>
      </c>
      <c r="E155" s="16" t="s">
        <v>788</v>
      </c>
      <c r="F155" s="27" t="s">
        <v>9571</v>
      </c>
      <c r="G155" s="27"/>
      <c r="H155" s="16" t="str">
        <f>IF(ISBLANK(PARTIDAS!$G155),PARTIDAS!$F155,CONCATENATE(PARTIDAS!$F155," (",PARTIDAS!$G155,")"))</f>
        <v>Arenques (Clupea harengus, Clupea pallasii)</v>
      </c>
      <c r="I155" s="16" t="s">
        <v>9559</v>
      </c>
    </row>
    <row r="156" spans="1:9" x14ac:dyDescent="0.25">
      <c r="A156" s="16" t="s">
        <v>994</v>
      </c>
      <c r="B156" s="16" t="str">
        <f>TEXT(PARTIDA[[#This Row],[PARTIDA]],"0000000000")</f>
        <v>0302420000</v>
      </c>
      <c r="C156" s="16" t="s">
        <v>786</v>
      </c>
      <c r="D156" s="16" t="s">
        <v>787</v>
      </c>
      <c r="E156" s="16" t="s">
        <v>788</v>
      </c>
      <c r="F156" s="27" t="s">
        <v>995</v>
      </c>
      <c r="G156" s="27"/>
      <c r="H156" s="16" t="str">
        <f>IF(ISBLANK(PARTIDAS!$G156),PARTIDAS!$F156,CONCATENATE(PARTIDAS!$F156," (",PARTIDAS!$G156,")"))</f>
        <v>Pescado congelado (Anchoas)</v>
      </c>
      <c r="I156" s="16" t="s">
        <v>9559</v>
      </c>
    </row>
    <row r="157" spans="1:9" x14ac:dyDescent="0.25">
      <c r="A157" s="16" t="s">
        <v>996</v>
      </c>
      <c r="B157" s="16" t="str">
        <f>TEXT(PARTIDA[[#This Row],[PARTIDA]],"0000000000")</f>
        <v>0302430000</v>
      </c>
      <c r="C157" s="16" t="s">
        <v>786</v>
      </c>
      <c r="D157" s="16" t="s">
        <v>787</v>
      </c>
      <c r="E157" s="16" t="s">
        <v>788</v>
      </c>
      <c r="F157" s="27" t="s">
        <v>9572</v>
      </c>
      <c r="G157" s="27"/>
      <c r="H157" s="16" t="str">
        <f>IF(ISBLANK(PARTIDAS!$G157),PARTIDAS!$F157,CONCATENATE(PARTIDAS!$F157," (",PARTIDAS!$G157,")"))</f>
        <v>Sardinas (Sardina pilchardus, Sardinops spp.), sardinelas (Sardinella spp.) y espadines (Sprattus sprattus)</v>
      </c>
      <c r="I157" s="16" t="s">
        <v>9559</v>
      </c>
    </row>
    <row r="158" spans="1:9" x14ac:dyDescent="0.25">
      <c r="A158" s="16" t="s">
        <v>997</v>
      </c>
      <c r="B158" s="16" t="str">
        <f>TEXT(PARTIDA[[#This Row],[PARTIDA]],"0000000000")</f>
        <v>0302440000</v>
      </c>
      <c r="C158" s="16" t="s">
        <v>786</v>
      </c>
      <c r="D158" s="16" t="s">
        <v>787</v>
      </c>
      <c r="E158" s="16" t="s">
        <v>788</v>
      </c>
      <c r="F158" s="27" t="s">
        <v>9573</v>
      </c>
      <c r="G158" s="27"/>
      <c r="H158" s="16" t="str">
        <f>IF(ISBLANK(PARTIDAS!$G158),PARTIDAS!$F158,CONCATENATE(PARTIDAS!$F158," (",PARTIDAS!$G158,")"))</f>
        <v>Caballas (Scomber scombrus, Scomber australasicus, Scomber japonicus)</v>
      </c>
      <c r="I158" s="16" t="s">
        <v>9559</v>
      </c>
    </row>
    <row r="159" spans="1:9" x14ac:dyDescent="0.25">
      <c r="A159" s="16" t="s">
        <v>998</v>
      </c>
      <c r="B159" s="16" t="str">
        <f>TEXT(PARTIDA[[#This Row],[PARTIDA]],"0000000000")</f>
        <v>0302450000</v>
      </c>
      <c r="C159" s="16" t="s">
        <v>786</v>
      </c>
      <c r="D159" s="16" t="s">
        <v>787</v>
      </c>
      <c r="E159" s="16" t="s">
        <v>788</v>
      </c>
      <c r="F159" s="27" t="s">
        <v>9574</v>
      </c>
      <c r="G159" s="27"/>
      <c r="H159" s="16" t="str">
        <f>IF(ISBLANK(PARTIDAS!$G159),PARTIDAS!$F159,CONCATENATE(PARTIDAS!$F159," (",PARTIDAS!$G159,")"))</f>
        <v>Jureles (Trachurus spp.)</v>
      </c>
      <c r="I159" s="16" t="s">
        <v>9559</v>
      </c>
    </row>
    <row r="160" spans="1:9" x14ac:dyDescent="0.25">
      <c r="A160" s="16" t="s">
        <v>999</v>
      </c>
      <c r="B160" s="16" t="str">
        <f>TEXT(PARTIDA[[#This Row],[PARTIDA]],"0000000000")</f>
        <v>0302460000</v>
      </c>
      <c r="C160" s="16" t="s">
        <v>786</v>
      </c>
      <c r="D160" s="16" t="s">
        <v>787</v>
      </c>
      <c r="E160" s="16" t="s">
        <v>788</v>
      </c>
      <c r="F160" s="27" t="s">
        <v>9575</v>
      </c>
      <c r="G160" s="27"/>
      <c r="H160" s="16" t="str">
        <f>IF(ISBLANK(PARTIDAS!$G160),PARTIDAS!$F160,CONCATENATE(PARTIDAS!$F160," (",PARTIDAS!$G160,")"))</f>
        <v>Cobias (Rachycentron canadum)</v>
      </c>
      <c r="I160" s="16" t="s">
        <v>9559</v>
      </c>
    </row>
    <row r="161" spans="1:9" x14ac:dyDescent="0.25">
      <c r="A161" s="16" t="s">
        <v>1000</v>
      </c>
      <c r="B161" s="16" t="str">
        <f>TEXT(PARTIDA[[#This Row],[PARTIDA]],"0000000000")</f>
        <v>0302470000</v>
      </c>
      <c r="C161" s="16" t="s">
        <v>786</v>
      </c>
      <c r="D161" s="16" t="s">
        <v>787</v>
      </c>
      <c r="E161" s="16" t="s">
        <v>788</v>
      </c>
      <c r="F161" s="27" t="s">
        <v>1001</v>
      </c>
      <c r="G161" s="27"/>
      <c r="H161" s="16" t="str">
        <f>IF(ISBLANK(PARTIDAS!$G161),PARTIDAS!$F161,CONCATENATE(PARTIDAS!$F161," (",PARTIDAS!$G161,")"))</f>
        <v>Peces espada</v>
      </c>
      <c r="I161" s="16" t="s">
        <v>9559</v>
      </c>
    </row>
    <row r="162" spans="1:9" x14ac:dyDescent="0.25">
      <c r="A162" s="16" t="s">
        <v>1002</v>
      </c>
      <c r="B162" s="16" t="str">
        <f>TEXT(PARTIDA[[#This Row],[PARTIDA]],"0000000000")</f>
        <v>0302490000</v>
      </c>
      <c r="C162" s="16" t="s">
        <v>786</v>
      </c>
      <c r="D162" s="16" t="s">
        <v>787</v>
      </c>
      <c r="E162" s="16" t="s">
        <v>788</v>
      </c>
      <c r="F162" s="27" t="s">
        <v>9576</v>
      </c>
      <c r="G162" s="27"/>
      <c r="H162" s="16" t="str">
        <f>IF(ISBLANK(PARTIDAS!$G162),PARTIDAS!$F162,CONCATENATE(PARTIDAS!$F162," (",PARTIDAS!$G162,")"))</f>
        <v>Arenques (Clupea harengus, Clupea pallasii), anchoas (Engraulis… (los demás)</v>
      </c>
      <c r="I162" s="16" t="s">
        <v>9559</v>
      </c>
    </row>
    <row r="163" spans="1:9" x14ac:dyDescent="0.25">
      <c r="A163" s="16" t="s">
        <v>1003</v>
      </c>
      <c r="B163" s="16" t="str">
        <f>TEXT(PARTIDA[[#This Row],[PARTIDA]],"0000000000")</f>
        <v>0302510000</v>
      </c>
      <c r="C163" s="16" t="s">
        <v>786</v>
      </c>
      <c r="D163" s="16" t="s">
        <v>787</v>
      </c>
      <c r="E163" s="16" t="s">
        <v>788</v>
      </c>
      <c r="F163" s="27" t="s">
        <v>9577</v>
      </c>
      <c r="G163" s="27"/>
      <c r="H163" s="16" t="str">
        <f>IF(ISBLANK(PARTIDAS!$G163),PARTIDAS!$F163,CONCATENATE(PARTIDAS!$F163," (",PARTIDAS!$G163,")"))</f>
        <v>Bacalaos (Gadus morhua, Gadus ogac, Gadus macrocephalus)</v>
      </c>
      <c r="I163" s="16" t="s">
        <v>9559</v>
      </c>
    </row>
    <row r="164" spans="1:9" x14ac:dyDescent="0.25">
      <c r="A164" s="16" t="s">
        <v>1004</v>
      </c>
      <c r="B164" s="16" t="str">
        <f>TEXT(PARTIDA[[#This Row],[PARTIDA]],"0000000000")</f>
        <v>0302520000</v>
      </c>
      <c r="C164" s="16" t="s">
        <v>786</v>
      </c>
      <c r="D164" s="16" t="s">
        <v>787</v>
      </c>
      <c r="E164" s="16" t="s">
        <v>788</v>
      </c>
      <c r="F164" s="27" t="s">
        <v>9578</v>
      </c>
      <c r="G164" s="27"/>
      <c r="H164" s="16" t="str">
        <f>IF(ISBLANK(PARTIDAS!$G164),PARTIDAS!$F164,CONCATENATE(PARTIDAS!$F164," (",PARTIDAS!$G164,")"))</f>
        <v>Eglefinos (Melanogrammus aeglefinus)</v>
      </c>
      <c r="I164" s="16" t="s">
        <v>9559</v>
      </c>
    </row>
    <row r="165" spans="1:9" x14ac:dyDescent="0.25">
      <c r="A165" s="16" t="s">
        <v>1005</v>
      </c>
      <c r="B165" s="16" t="str">
        <f>TEXT(PARTIDA[[#This Row],[PARTIDA]],"0000000000")</f>
        <v>0302530000</v>
      </c>
      <c r="C165" s="16" t="s">
        <v>786</v>
      </c>
      <c r="D165" s="16" t="s">
        <v>787</v>
      </c>
      <c r="E165" s="16" t="s">
        <v>788</v>
      </c>
      <c r="F165" s="27" t="s">
        <v>9579</v>
      </c>
      <c r="G165" s="27"/>
      <c r="H165" s="16" t="str">
        <f>IF(ISBLANK(PARTIDAS!$G165),PARTIDAS!$F165,CONCATENATE(PARTIDAS!$F165," (",PARTIDAS!$G165,")"))</f>
        <v>Carboneros (Pollachius virens)</v>
      </c>
      <c r="I165" s="16" t="s">
        <v>9559</v>
      </c>
    </row>
    <row r="166" spans="1:9" x14ac:dyDescent="0.25">
      <c r="A166" s="16" t="s">
        <v>1006</v>
      </c>
      <c r="B166" s="16" t="str">
        <f>TEXT(PARTIDA[[#This Row],[PARTIDA]],"0000000000")</f>
        <v>0302540000</v>
      </c>
      <c r="C166" s="16" t="s">
        <v>786</v>
      </c>
      <c r="D166" s="16" t="s">
        <v>787</v>
      </c>
      <c r="E166" s="16" t="s">
        <v>788</v>
      </c>
      <c r="F166" s="27" t="s">
        <v>9580</v>
      </c>
      <c r="G166" s="27"/>
      <c r="H166" s="16" t="str">
        <f>IF(ISBLANK(PARTIDAS!$G166),PARTIDAS!$F166,CONCATENATE(PARTIDAS!$F166," (",PARTIDAS!$G166,")"))</f>
        <v>Merluzas (Merluccius spp., Urophycis spp.)</v>
      </c>
      <c r="I166" s="16" t="s">
        <v>9559</v>
      </c>
    </row>
    <row r="167" spans="1:9" x14ac:dyDescent="0.25">
      <c r="A167" s="16" t="s">
        <v>1007</v>
      </c>
      <c r="B167" s="16" t="str">
        <f>TEXT(PARTIDA[[#This Row],[PARTIDA]],"0000000000")</f>
        <v>0302550000</v>
      </c>
      <c r="C167" s="16" t="s">
        <v>786</v>
      </c>
      <c r="D167" s="16" t="s">
        <v>787</v>
      </c>
      <c r="E167" s="16" t="s">
        <v>788</v>
      </c>
      <c r="F167" s="27" t="s">
        <v>9581</v>
      </c>
      <c r="G167" s="27"/>
      <c r="H167" s="16" t="str">
        <f>IF(ISBLANK(PARTIDAS!$G167),PARTIDAS!$F167,CONCATENATE(PARTIDAS!$F167," (",PARTIDAS!$G167,")"))</f>
        <v>Abadejos de Alaska (Theragra chalcogramma)</v>
      </c>
      <c r="I167" s="16" t="s">
        <v>9559</v>
      </c>
    </row>
    <row r="168" spans="1:9" x14ac:dyDescent="0.25">
      <c r="A168" s="16" t="s">
        <v>1008</v>
      </c>
      <c r="B168" s="16" t="str">
        <f>TEXT(PARTIDA[[#This Row],[PARTIDA]],"0000000000")</f>
        <v>0302560000</v>
      </c>
      <c r="C168" s="16" t="s">
        <v>786</v>
      </c>
      <c r="D168" s="16" t="s">
        <v>787</v>
      </c>
      <c r="E168" s="16" t="s">
        <v>788</v>
      </c>
      <c r="F168" s="27" t="s">
        <v>9582</v>
      </c>
      <c r="G168" s="27"/>
      <c r="H168" s="16" t="str">
        <f>IF(ISBLANK(PARTIDAS!$G168),PARTIDAS!$F168,CONCATENATE(PARTIDAS!$F168," (",PARTIDAS!$G168,")"))</f>
        <v>Bacaladillas (Micromesistius poutassou, Micromesistius australis)</v>
      </c>
      <c r="I168" s="16" t="s">
        <v>9559</v>
      </c>
    </row>
    <row r="169" spans="1:9" x14ac:dyDescent="0.25">
      <c r="A169" s="16" t="s">
        <v>1009</v>
      </c>
      <c r="B169" s="16" t="str">
        <f>TEXT(PARTIDA[[#This Row],[PARTIDA]],"0000000000")</f>
        <v>0302590000</v>
      </c>
      <c r="C169" s="16" t="s">
        <v>786</v>
      </c>
      <c r="D169" s="16" t="s">
        <v>787</v>
      </c>
      <c r="E169" s="16" t="s">
        <v>788</v>
      </c>
      <c r="F169" s="27" t="s">
        <v>961</v>
      </c>
      <c r="G169" s="27"/>
      <c r="H169" s="16" t="str">
        <f>IF(ISBLANK(PARTIDAS!$G169),PARTIDAS!$F169,CONCATENATE(PARTIDAS!$F169," (",PARTIDAS!$G169,")"))</f>
        <v>Peces ornamentales</v>
      </c>
      <c r="I169" s="16" t="s">
        <v>9559</v>
      </c>
    </row>
    <row r="170" spans="1:9" x14ac:dyDescent="0.25">
      <c r="A170" s="16" t="s">
        <v>1010</v>
      </c>
      <c r="B170" s="16" t="str">
        <f>TEXT(PARTIDA[[#This Row],[PARTIDA]],"0000000000")</f>
        <v>0302710000</v>
      </c>
      <c r="C170" s="16" t="s">
        <v>786</v>
      </c>
      <c r="D170" s="16" t="s">
        <v>787</v>
      </c>
      <c r="E170" s="16" t="s">
        <v>788</v>
      </c>
      <c r="F170" s="27" t="s">
        <v>9583</v>
      </c>
      <c r="G170" s="27"/>
      <c r="H170" s="16" t="str">
        <f>IF(ISBLANK(PARTIDAS!$G170),PARTIDAS!$F170,CONCATENATE(PARTIDAS!$F170," (",PARTIDAS!$G170,")"))</f>
        <v>Tilapias (Oreochromis spp.)</v>
      </c>
      <c r="I170" s="16" t="s">
        <v>9559</v>
      </c>
    </row>
    <row r="171" spans="1:9" x14ac:dyDescent="0.25">
      <c r="A171" s="16" t="s">
        <v>1011</v>
      </c>
      <c r="B171" s="16" t="str">
        <f>TEXT(PARTIDA[[#This Row],[PARTIDA]],"0000000000")</f>
        <v>0302720000</v>
      </c>
      <c r="C171" s="16" t="s">
        <v>786</v>
      </c>
      <c r="D171" s="16" t="s">
        <v>787</v>
      </c>
      <c r="E171" s="16" t="s">
        <v>788</v>
      </c>
      <c r="F171" s="27" t="s">
        <v>1012</v>
      </c>
      <c r="G171" s="27"/>
      <c r="H171" s="16" t="str">
        <f>IF(ISBLANK(PARTIDAS!$G171),PARTIDAS!$F171,CONCATENATE(PARTIDAS!$F171," (",PARTIDAS!$G171,")"))</f>
        <v>Bagres o peces gato</v>
      </c>
      <c r="I171" s="16" t="s">
        <v>9559</v>
      </c>
    </row>
    <row r="172" spans="1:9" x14ac:dyDescent="0.25">
      <c r="A172" s="16" t="s">
        <v>1013</v>
      </c>
      <c r="B172" s="16" t="str">
        <f>TEXT(PARTIDA[[#This Row],[PARTIDA]],"0000000000")</f>
        <v>0302730000</v>
      </c>
      <c r="C172" s="16" t="s">
        <v>786</v>
      </c>
      <c r="D172" s="16" t="s">
        <v>787</v>
      </c>
      <c r="E172" s="16" t="s">
        <v>788</v>
      </c>
      <c r="F172" s="27" t="s">
        <v>9549</v>
      </c>
      <c r="G172" s="27"/>
      <c r="H172" s="16" t="str">
        <f>IF(ISBLANK(PARTIDAS!$G172),PARTIDAS!$F172,CONCATENATE(PARTIDAS!$F172," (",PARTIDAS!$G172,")"))</f>
        <v>Carpas (Cyprinus spp., Carassius spp., Ctenopharyngodon idellus, Hypophthalmichthys spp., Cirrhinus spp., Mylopharyngodon piceus, Catla catla, Labeo s</v>
      </c>
      <c r="I172" s="16" t="s">
        <v>9559</v>
      </c>
    </row>
    <row r="173" spans="1:9" x14ac:dyDescent="0.25">
      <c r="A173" s="16" t="s">
        <v>1014</v>
      </c>
      <c r="B173" s="16" t="str">
        <f>TEXT(PARTIDA[[#This Row],[PARTIDA]],"0000000000")</f>
        <v>0302740000</v>
      </c>
      <c r="C173" s="16" t="s">
        <v>786</v>
      </c>
      <c r="D173" s="16" t="s">
        <v>787</v>
      </c>
      <c r="E173" s="16" t="s">
        <v>788</v>
      </c>
      <c r="F173" s="27" t="s">
        <v>9584</v>
      </c>
      <c r="G173" s="27"/>
      <c r="H173" s="16" t="str">
        <f>IF(ISBLANK(PARTIDAS!$G173),PARTIDAS!$F173,CONCATENATE(PARTIDAS!$F173," (",PARTIDAS!$G173,")"))</f>
        <v>Anguilas (Anguilla spp.)</v>
      </c>
      <c r="I173" s="16" t="s">
        <v>9559</v>
      </c>
    </row>
    <row r="174" spans="1:9" x14ac:dyDescent="0.25">
      <c r="A174" s="16" t="s">
        <v>1015</v>
      </c>
      <c r="B174" s="16" t="str">
        <f>TEXT(PARTIDA[[#This Row],[PARTIDA]],"0000000000")</f>
        <v>0302790000</v>
      </c>
      <c r="C174" s="16" t="s">
        <v>786</v>
      </c>
      <c r="D174" s="16" t="s">
        <v>787</v>
      </c>
      <c r="E174" s="16" t="s">
        <v>788</v>
      </c>
      <c r="F174" s="27" t="s">
        <v>9585</v>
      </c>
      <c r="G174" s="27"/>
      <c r="H174" s="16" t="str">
        <f>IF(ISBLANK(PARTIDAS!$G174),PARTIDAS!$F174,CONCATENATE(PARTIDAS!$F174," (",PARTIDAS!$G174,")"))</f>
        <v>Tilapias (Oreochromis spp.), bagres o peces gato (Pangasius spp.… (los demás)</v>
      </c>
      <c r="I174" s="16" t="s">
        <v>9559</v>
      </c>
    </row>
    <row r="175" spans="1:9" x14ac:dyDescent="0.25">
      <c r="A175" s="16" t="s">
        <v>1016</v>
      </c>
      <c r="B175" s="16" t="str">
        <f>TEXT(PARTIDA[[#This Row],[PARTIDA]],"0000000000")</f>
        <v>0302810000</v>
      </c>
      <c r="C175" s="16" t="s">
        <v>786</v>
      </c>
      <c r="D175" s="16" t="s">
        <v>787</v>
      </c>
      <c r="E175" s="16" t="s">
        <v>788</v>
      </c>
      <c r="F175" s="27" t="s">
        <v>9586</v>
      </c>
      <c r="G175" s="27"/>
      <c r="H175" s="16" t="str">
        <f>IF(ISBLANK(PARTIDAS!$G175),PARTIDAS!$F175,CONCATENATE(PARTIDAS!$F175," (",PARTIDAS!$G175,")"))</f>
        <v>Cazones y demás escualos</v>
      </c>
      <c r="I175" s="16" t="s">
        <v>9559</v>
      </c>
    </row>
    <row r="176" spans="1:9" x14ac:dyDescent="0.25">
      <c r="A176" s="16" t="s">
        <v>1017</v>
      </c>
      <c r="B176" s="16" t="str">
        <f>TEXT(PARTIDA[[#This Row],[PARTIDA]],"0000000000")</f>
        <v>0302820000</v>
      </c>
      <c r="C176" s="16" t="s">
        <v>786</v>
      </c>
      <c r="D176" s="16" t="s">
        <v>787</v>
      </c>
      <c r="E176" s="16" t="s">
        <v>788</v>
      </c>
      <c r="F176" s="27" t="s">
        <v>9587</v>
      </c>
      <c r="G176" s="27"/>
      <c r="H176" s="16" t="str">
        <f>IF(ISBLANK(PARTIDAS!$G176),PARTIDAS!$F176,CONCATENATE(PARTIDAS!$F176," (",PARTIDAS!$G176,")"))</f>
        <v>Rayas (Rajidae)</v>
      </c>
      <c r="I176" s="16" t="s">
        <v>9559</v>
      </c>
    </row>
    <row r="177" spans="1:9" x14ac:dyDescent="0.25">
      <c r="A177" s="16" t="s">
        <v>1018</v>
      </c>
      <c r="B177" s="16" t="str">
        <f>TEXT(PARTIDA[[#This Row],[PARTIDA]],"0000000000")</f>
        <v>0302830000</v>
      </c>
      <c r="C177" s="16" t="s">
        <v>786</v>
      </c>
      <c r="D177" s="16" t="s">
        <v>787</v>
      </c>
      <c r="E177" s="16" t="s">
        <v>788</v>
      </c>
      <c r="F177" s="27" t="s">
        <v>9588</v>
      </c>
      <c r="G177" s="27"/>
      <c r="H177" s="16" t="str">
        <f>IF(ISBLANK(PARTIDAS!$G177),PARTIDAS!$F177,CONCATENATE(PARTIDAS!$F177," (",PARTIDAS!$G177,")"))</f>
        <v>Austromerluzas antárticas y austromerluzas negras (merluzas negras, bacalaos de profundidad, nototenias negras) (Dissostichus spp.)</v>
      </c>
      <c r="I177" s="16" t="s">
        <v>9559</v>
      </c>
    </row>
    <row r="178" spans="1:9" x14ac:dyDescent="0.25">
      <c r="A178" s="16" t="s">
        <v>1019</v>
      </c>
      <c r="B178" s="16" t="str">
        <f>TEXT(PARTIDA[[#This Row],[PARTIDA]],"0000000000")</f>
        <v>0302840000</v>
      </c>
      <c r="C178" s="16" t="s">
        <v>786</v>
      </c>
      <c r="D178" s="16" t="s">
        <v>787</v>
      </c>
      <c r="E178" s="16" t="s">
        <v>788</v>
      </c>
      <c r="F178" s="27" t="s">
        <v>9589</v>
      </c>
      <c r="G178" s="27"/>
      <c r="H178" s="16" t="str">
        <f>IF(ISBLANK(PARTIDAS!$G178),PARTIDAS!$F178,CONCATENATE(PARTIDAS!$F178," (",PARTIDAS!$G178,")"))</f>
        <v>Róbalos (Dicentrarchus spp.)</v>
      </c>
      <c r="I178" s="16" t="s">
        <v>9559</v>
      </c>
    </row>
    <row r="179" spans="1:9" x14ac:dyDescent="0.25">
      <c r="A179" s="16" t="s">
        <v>1020</v>
      </c>
      <c r="B179" s="16" t="str">
        <f>TEXT(PARTIDA[[#This Row],[PARTIDA]],"0000000000")</f>
        <v>0302850000</v>
      </c>
      <c r="C179" s="16" t="s">
        <v>786</v>
      </c>
      <c r="D179" s="16" t="s">
        <v>787</v>
      </c>
      <c r="E179" s="16" t="s">
        <v>788</v>
      </c>
      <c r="F179" s="27" t="s">
        <v>9590</v>
      </c>
      <c r="G179" s="27"/>
      <c r="H179" s="16" t="str">
        <f>IF(ISBLANK(PARTIDAS!$G179),PARTIDAS!$F179,CONCATENATE(PARTIDAS!$F179," (",PARTIDAS!$G179,")"))</f>
        <v>Sargos (Doradas, Espáridos) (Sparidae)</v>
      </c>
      <c r="I179" s="16" t="s">
        <v>9559</v>
      </c>
    </row>
    <row r="180" spans="1:9" x14ac:dyDescent="0.25">
      <c r="A180" s="16" t="s">
        <v>1021</v>
      </c>
      <c r="B180" s="16" t="str">
        <f>TEXT(PARTIDA[[#This Row],[PARTIDA]],"0000000000")</f>
        <v>0302890000</v>
      </c>
      <c r="C180" s="16" t="s">
        <v>786</v>
      </c>
      <c r="D180" s="16" t="s">
        <v>787</v>
      </c>
      <c r="E180" s="16" t="s">
        <v>788</v>
      </c>
      <c r="F180" s="27" t="s">
        <v>9591</v>
      </c>
      <c r="G180" s="27"/>
      <c r="H180" s="16" t="str">
        <f>IF(ISBLANK(PARTIDAS!$G180),PARTIDAS!$F180,CONCATENATE(PARTIDAS!$F180," (",PARTIDAS!$G180,")"))</f>
        <v>Pescado fresco o refrigerado (los demás)</v>
      </c>
      <c r="I180" s="16" t="s">
        <v>9559</v>
      </c>
    </row>
    <row r="181" spans="1:9" x14ac:dyDescent="0.25">
      <c r="A181" s="16" t="s">
        <v>1022</v>
      </c>
      <c r="B181" s="16" t="str">
        <f>TEXT(PARTIDA[[#This Row],[PARTIDA]],"0000000000")</f>
        <v>0302910000</v>
      </c>
      <c r="C181" s="16" t="s">
        <v>786</v>
      </c>
      <c r="D181" s="16" t="s">
        <v>787</v>
      </c>
      <c r="E181" s="16" t="s">
        <v>788</v>
      </c>
      <c r="F181" s="27" t="s">
        <v>9592</v>
      </c>
      <c r="G181" s="27"/>
      <c r="H181" s="16" t="str">
        <f>IF(ISBLANK(PARTIDAS!$G181),PARTIDAS!$F181,CONCATENATE(PARTIDAS!$F181," (",PARTIDAS!$G181,")"))</f>
        <v>Hígados, huevas y lechas</v>
      </c>
      <c r="I181" s="16" t="s">
        <v>9559</v>
      </c>
    </row>
    <row r="182" spans="1:9" x14ac:dyDescent="0.25">
      <c r="A182" s="16" t="s">
        <v>1023</v>
      </c>
      <c r="B182" s="16" t="str">
        <f>TEXT(PARTIDA[[#This Row],[PARTIDA]],"0000000000")</f>
        <v>0302920000</v>
      </c>
      <c r="C182" s="16" t="s">
        <v>786</v>
      </c>
      <c r="D182" s="16" t="s">
        <v>787</v>
      </c>
      <c r="E182" s="16" t="s">
        <v>788</v>
      </c>
      <c r="F182" s="27" t="s">
        <v>9593</v>
      </c>
      <c r="G182" s="27"/>
      <c r="H182" s="16" t="str">
        <f>IF(ISBLANK(PARTIDAS!$G182),PARTIDAS!$F182,CONCATENATE(PARTIDAS!$F182," (",PARTIDAS!$G182,")"))</f>
        <v>Aletas de tiburón</v>
      </c>
      <c r="I182" s="16" t="s">
        <v>9559</v>
      </c>
    </row>
    <row r="183" spans="1:9" x14ac:dyDescent="0.25">
      <c r="A183" s="16" t="s">
        <v>1024</v>
      </c>
      <c r="B183" s="16" t="str">
        <f>TEXT(PARTIDA[[#This Row],[PARTIDA]],"0000000000")</f>
        <v>0302990000</v>
      </c>
      <c r="C183" s="16" t="s">
        <v>786</v>
      </c>
      <c r="D183" s="16" t="s">
        <v>787</v>
      </c>
      <c r="E183" s="16" t="s">
        <v>788</v>
      </c>
      <c r="F183" s="27" t="s">
        <v>9594</v>
      </c>
      <c r="G183" s="27"/>
      <c r="H183" s="16" t="str">
        <f>IF(ISBLANK(PARTIDAS!$G183),PARTIDAS!$F183,CONCATENATE(PARTIDAS!$F183," (",PARTIDAS!$G183,")"))</f>
        <v>Hígados, huevas, lechas, aletas, cabezas, colas, vejigas natatorias y… (los demás)</v>
      </c>
      <c r="I183" s="16" t="s">
        <v>9559</v>
      </c>
    </row>
    <row r="184" spans="1:9" x14ac:dyDescent="0.25">
      <c r="A184" s="16" t="s">
        <v>1025</v>
      </c>
      <c r="B184" s="16" t="str">
        <f>TEXT(PARTIDA[[#This Row],[PARTIDA]],"0000000000")</f>
        <v>0303110000</v>
      </c>
      <c r="C184" s="16" t="s">
        <v>786</v>
      </c>
      <c r="D184" s="16" t="s">
        <v>787</v>
      </c>
      <c r="E184" s="16" t="s">
        <v>788</v>
      </c>
      <c r="F184" s="27" t="s">
        <v>9595</v>
      </c>
      <c r="G184" s="27"/>
      <c r="H184" s="16" t="str">
        <f>IF(ISBLANK(PARTIDAS!$G184),PARTIDAS!$F184,CONCATENATE(PARTIDAS!$F184," (",PARTIDAS!$G184,")"))</f>
        <v>Salmones rojos (Oncorhynchus nerka)</v>
      </c>
      <c r="I184" s="16" t="s">
        <v>9559</v>
      </c>
    </row>
    <row r="185" spans="1:9" x14ac:dyDescent="0.25">
      <c r="A185" s="16" t="s">
        <v>1026</v>
      </c>
      <c r="B185" s="16" t="str">
        <f>TEXT(PARTIDA[[#This Row],[PARTIDA]],"0000000000")</f>
        <v>0303120000</v>
      </c>
      <c r="C185" s="16" t="s">
        <v>786</v>
      </c>
      <c r="D185" s="16" t="s">
        <v>787</v>
      </c>
      <c r="E185" s="16" t="s">
        <v>788</v>
      </c>
      <c r="F185" s="27" t="s">
        <v>9596</v>
      </c>
      <c r="G185" s="27"/>
      <c r="H185" s="16" t="str">
        <f>IF(ISBLANK(PARTIDAS!$G185),PARTIDAS!$F185,CONCATENATE(PARTIDAS!$F185," (",PARTIDAS!$G185,")"))</f>
        <v>Salmónidos (los demás, salmones del Pacífico (Oncorhynchus gorbuscha, Oncorhynchus keta, Oncorhynchus tschawytscha, Oncorhynchus kisutch, Oncorhynchus</v>
      </c>
      <c r="I185" s="16" t="s">
        <v>9559</v>
      </c>
    </row>
    <row r="186" spans="1:9" x14ac:dyDescent="0.25">
      <c r="A186" s="16" t="s">
        <v>1027</v>
      </c>
      <c r="B186" s="16" t="str">
        <f>TEXT(PARTIDA[[#This Row],[PARTIDA]],"0000000000")</f>
        <v>0303130000</v>
      </c>
      <c r="C186" s="16" t="s">
        <v>786</v>
      </c>
      <c r="D186" s="16" t="s">
        <v>787</v>
      </c>
      <c r="E186" s="16" t="s">
        <v>788</v>
      </c>
      <c r="F186" s="27" t="s">
        <v>9558</v>
      </c>
      <c r="G186" s="27"/>
      <c r="H186" s="16" t="str">
        <f>IF(ISBLANK(PARTIDAS!$G186),PARTIDAS!$F186,CONCATENATE(PARTIDAS!$F186," (",PARTIDAS!$G186,")"))</f>
        <v>Salmones del Atlántico (Salmo salar) y salmones del Danubio (Hucho hucho)</v>
      </c>
      <c r="I186" s="16" t="s">
        <v>9559</v>
      </c>
    </row>
    <row r="187" spans="1:9" x14ac:dyDescent="0.25">
      <c r="A187" s="16" t="s">
        <v>1028</v>
      </c>
      <c r="B187" s="16" t="str">
        <f>TEXT(PARTIDA[[#This Row],[PARTIDA]],"0000000000")</f>
        <v>0303140000</v>
      </c>
      <c r="C187" s="16" t="s">
        <v>786</v>
      </c>
      <c r="D187" s="16" t="s">
        <v>787</v>
      </c>
      <c r="E187" s="16" t="s">
        <v>788</v>
      </c>
      <c r="F187" s="27" t="s">
        <v>9556</v>
      </c>
      <c r="G187" s="27"/>
      <c r="H187" s="16" t="str">
        <f>IF(ISBLANK(PARTIDAS!$G187),PARTIDAS!$F187,CONCATENATE(PARTIDAS!$F187," (",PARTIDAS!$G187,")"))</f>
        <v>Truchas (Salmo trutta, Oncorhynchus mykiss, Oncorhynchus clarki, Oncorhynchus aguabonita, Oncorhynchus gilae, Oncorhynchus apache y Oncorhynchus chrys</v>
      </c>
      <c r="I187" s="16" t="s">
        <v>9559</v>
      </c>
    </row>
    <row r="188" spans="1:9" x14ac:dyDescent="0.25">
      <c r="A188" s="16" t="s">
        <v>1029</v>
      </c>
      <c r="B188" s="16" t="str">
        <f>TEXT(PARTIDA[[#This Row],[PARTIDA]],"0000000000")</f>
        <v>0303190000</v>
      </c>
      <c r="C188" s="16" t="s">
        <v>786</v>
      </c>
      <c r="D188" s="16" t="s">
        <v>787</v>
      </c>
      <c r="E188" s="16" t="s">
        <v>788</v>
      </c>
      <c r="F188" s="27" t="s">
        <v>980</v>
      </c>
      <c r="G188" s="27"/>
      <c r="H188" s="16" t="str">
        <f>IF(ISBLANK(PARTIDAS!$G188),PARTIDAS!$F188,CONCATENATE(PARTIDAS!$F188," (",PARTIDAS!$G188,")"))</f>
        <v>Pescado congelado</v>
      </c>
      <c r="I188" s="16" t="s">
        <v>9559</v>
      </c>
    </row>
    <row r="189" spans="1:9" x14ac:dyDescent="0.25">
      <c r="A189" s="16" t="s">
        <v>1030</v>
      </c>
      <c r="B189" s="16" t="str">
        <f>TEXT(PARTIDA[[#This Row],[PARTIDA]],"0000000000")</f>
        <v>0303230000</v>
      </c>
      <c r="C189" s="16" t="s">
        <v>786</v>
      </c>
      <c r="D189" s="16" t="s">
        <v>787</v>
      </c>
      <c r="E189" s="16" t="s">
        <v>788</v>
      </c>
      <c r="F189" s="27" t="s">
        <v>9583</v>
      </c>
      <c r="G189" s="27"/>
      <c r="H189" s="16" t="str">
        <f>IF(ISBLANK(PARTIDAS!$G189),PARTIDAS!$F189,CONCATENATE(PARTIDAS!$F189," (",PARTIDAS!$G189,")"))</f>
        <v>Tilapias (Oreochromis spp.)</v>
      </c>
      <c r="I189" s="16" t="s">
        <v>9559</v>
      </c>
    </row>
    <row r="190" spans="1:9" x14ac:dyDescent="0.25">
      <c r="A190" s="16" t="s">
        <v>1031</v>
      </c>
      <c r="B190" s="16" t="str">
        <f>TEXT(PARTIDA[[#This Row],[PARTIDA]],"0000000000")</f>
        <v>0303240000</v>
      </c>
      <c r="C190" s="16" t="s">
        <v>786</v>
      </c>
      <c r="D190" s="16" t="s">
        <v>787</v>
      </c>
      <c r="E190" s="16" t="s">
        <v>788</v>
      </c>
      <c r="F190" s="27" t="s">
        <v>1012</v>
      </c>
      <c r="G190" s="27"/>
      <c r="H190" s="16" t="str">
        <f>IF(ISBLANK(PARTIDAS!$G190),PARTIDAS!$F190,CONCATENATE(PARTIDAS!$F190," (",PARTIDAS!$G190,")"))</f>
        <v>Bagres o peces gato</v>
      </c>
      <c r="I190" s="16" t="s">
        <v>9559</v>
      </c>
    </row>
    <row r="191" spans="1:9" x14ac:dyDescent="0.25">
      <c r="A191" s="16" t="s">
        <v>1032</v>
      </c>
      <c r="B191" s="16" t="str">
        <f>TEXT(PARTIDA[[#This Row],[PARTIDA]],"0000000000")</f>
        <v>0303250000</v>
      </c>
      <c r="C191" s="16" t="s">
        <v>786</v>
      </c>
      <c r="D191" s="16" t="s">
        <v>787</v>
      </c>
      <c r="E191" s="16" t="s">
        <v>788</v>
      </c>
      <c r="F191" s="27" t="s">
        <v>9549</v>
      </c>
      <c r="G191" s="27"/>
      <c r="H191" s="16" t="str">
        <f>IF(ISBLANK(PARTIDAS!$G191),PARTIDAS!$F191,CONCATENATE(PARTIDAS!$F191," (",PARTIDAS!$G191,")"))</f>
        <v>Carpas (Cyprinus spp., Carassius spp., Ctenopharyngodon idellus, Hypophthalmichthys spp., Cirrhinus spp., Mylopharyngodon piceus, Catla catla, Labeo s</v>
      </c>
      <c r="I191" s="16" t="s">
        <v>9559</v>
      </c>
    </row>
    <row r="192" spans="1:9" x14ac:dyDescent="0.25">
      <c r="A192" s="16" t="s">
        <v>1033</v>
      </c>
      <c r="B192" s="16" t="str">
        <f>TEXT(PARTIDA[[#This Row],[PARTIDA]],"0000000000")</f>
        <v>0303260000</v>
      </c>
      <c r="C192" s="16" t="s">
        <v>786</v>
      </c>
      <c r="D192" s="16" t="s">
        <v>787</v>
      </c>
      <c r="E192" s="16" t="s">
        <v>788</v>
      </c>
      <c r="F192" s="27" t="s">
        <v>966</v>
      </c>
      <c r="G192" s="27"/>
      <c r="H192" s="16" t="str">
        <f>IF(ISBLANK(PARTIDAS!$G192),PARTIDAS!$F192,CONCATENATE(PARTIDAS!$F192," (",PARTIDAS!$G192,")"))</f>
        <v>Anguilas</v>
      </c>
      <c r="I192" s="16" t="s">
        <v>9559</v>
      </c>
    </row>
    <row r="193" spans="1:9" x14ac:dyDescent="0.25">
      <c r="A193" s="16" t="s">
        <v>1034</v>
      </c>
      <c r="B193" s="16" t="str">
        <f>TEXT(PARTIDA[[#This Row],[PARTIDA]],"0000000000")</f>
        <v>0303290000</v>
      </c>
      <c r="C193" s="16" t="s">
        <v>786</v>
      </c>
      <c r="D193" s="16" t="s">
        <v>787</v>
      </c>
      <c r="E193" s="16" t="s">
        <v>788</v>
      </c>
      <c r="F193" s="27" t="s">
        <v>9585</v>
      </c>
      <c r="G193" s="27"/>
      <c r="H193" s="16" t="str">
        <f>IF(ISBLANK(PARTIDAS!$G193),PARTIDAS!$F193,CONCATENATE(PARTIDAS!$F193," (",PARTIDAS!$G193,")"))</f>
        <v>Tilapias (Oreochromis spp.), bagres o peces gato (Pangasius spp.… (los demás)</v>
      </c>
      <c r="I193" s="16" t="s">
        <v>9559</v>
      </c>
    </row>
    <row r="194" spans="1:9" x14ac:dyDescent="0.25">
      <c r="A194" s="16" t="s">
        <v>1035</v>
      </c>
      <c r="B194" s="16" t="str">
        <f>TEXT(PARTIDA[[#This Row],[PARTIDA]],"0000000000")</f>
        <v>0303310000</v>
      </c>
      <c r="C194" s="16" t="s">
        <v>786</v>
      </c>
      <c r="D194" s="16" t="s">
        <v>787</v>
      </c>
      <c r="E194" s="16" t="s">
        <v>788</v>
      </c>
      <c r="F194" s="27" t="s">
        <v>9560</v>
      </c>
      <c r="G194" s="27"/>
      <c r="H194" s="16" t="str">
        <f>IF(ISBLANK(PARTIDAS!$G194),PARTIDAS!$F194,CONCATENATE(PARTIDAS!$F194," (",PARTIDAS!$G194,")"))</f>
        <v>Fletanes («halibut») (Reinhardtius hippoglossoides, Hippoglossus hippoglossus, Hippoglossus stenolepis)</v>
      </c>
      <c r="I194" s="16" t="s">
        <v>9559</v>
      </c>
    </row>
    <row r="195" spans="1:9" x14ac:dyDescent="0.25">
      <c r="A195" s="16" t="s">
        <v>1036</v>
      </c>
      <c r="B195" s="16" t="str">
        <f>TEXT(PARTIDA[[#This Row],[PARTIDA]],"0000000000")</f>
        <v>0303320000</v>
      </c>
      <c r="C195" s="16" t="s">
        <v>786</v>
      </c>
      <c r="D195" s="16" t="s">
        <v>787</v>
      </c>
      <c r="E195" s="16" t="s">
        <v>788</v>
      </c>
      <c r="F195" s="27" t="s">
        <v>9561</v>
      </c>
      <c r="G195" s="27"/>
      <c r="H195" s="16" t="str">
        <f>IF(ISBLANK(PARTIDAS!$G195),PARTIDAS!$F195,CONCATENATE(PARTIDAS!$F195," (",PARTIDAS!$G195,")"))</f>
        <v>Sollas (Pleuronectes platessa)</v>
      </c>
      <c r="I195" s="16" t="s">
        <v>9559</v>
      </c>
    </row>
    <row r="196" spans="1:9" x14ac:dyDescent="0.25">
      <c r="A196" s="16" t="s">
        <v>1037</v>
      </c>
      <c r="B196" s="16" t="str">
        <f>TEXT(PARTIDA[[#This Row],[PARTIDA]],"0000000000")</f>
        <v>0303330000</v>
      </c>
      <c r="C196" s="16" t="s">
        <v>786</v>
      </c>
      <c r="D196" s="16" t="s">
        <v>787</v>
      </c>
      <c r="E196" s="16" t="s">
        <v>788</v>
      </c>
      <c r="F196" s="27" t="s">
        <v>9562</v>
      </c>
      <c r="G196" s="27"/>
      <c r="H196" s="16" t="str">
        <f>IF(ISBLANK(PARTIDAS!$G196),PARTIDAS!$F196,CONCATENATE(PARTIDAS!$F196," (",PARTIDAS!$G196,")"))</f>
        <v>Lenguados (Solea spp.)</v>
      </c>
      <c r="I196" s="16" t="s">
        <v>9559</v>
      </c>
    </row>
    <row r="197" spans="1:9" x14ac:dyDescent="0.25">
      <c r="A197" s="16" t="s">
        <v>1038</v>
      </c>
      <c r="B197" s="16" t="str">
        <f>TEXT(PARTIDA[[#This Row],[PARTIDA]],"0000000000")</f>
        <v>0303340000</v>
      </c>
      <c r="C197" s="16" t="s">
        <v>786</v>
      </c>
      <c r="D197" s="16" t="s">
        <v>787</v>
      </c>
      <c r="E197" s="16" t="s">
        <v>788</v>
      </c>
      <c r="F197" s="27" t="s">
        <v>9563</v>
      </c>
      <c r="G197" s="27"/>
      <c r="H197" s="16" t="str">
        <f>IF(ISBLANK(PARTIDAS!$G197),PARTIDAS!$F197,CONCATENATE(PARTIDAS!$F197," (",PARTIDAS!$G197,")"))</f>
        <v>Rodaballos («turbots») (Psetta maxima)</v>
      </c>
      <c r="I197" s="16" t="s">
        <v>9559</v>
      </c>
    </row>
    <row r="198" spans="1:9" x14ac:dyDescent="0.25">
      <c r="A198" s="16" t="s">
        <v>1039</v>
      </c>
      <c r="B198" s="16" t="str">
        <f>TEXT(PARTIDA[[#This Row],[PARTIDA]],"0000000000")</f>
        <v>0303390000</v>
      </c>
      <c r="C198" s="16" t="s">
        <v>786</v>
      </c>
      <c r="D198" s="16" t="s">
        <v>787</v>
      </c>
      <c r="E198" s="16" t="s">
        <v>788</v>
      </c>
      <c r="F198" s="27" t="s">
        <v>9564</v>
      </c>
      <c r="G198" s="27"/>
      <c r="H198" s="16" t="str">
        <f>IF(ISBLANK(PARTIDAS!$G198),PARTIDAS!$F198,CONCATENATE(PARTIDAS!$F198," (",PARTIDAS!$G198,")"))</f>
        <v>Pescados planos (Pleuronectidae, Bothidae, Cynoglossidae, Soleidae… (los demás)</v>
      </c>
      <c r="I198" s="16" t="s">
        <v>9559</v>
      </c>
    </row>
    <row r="199" spans="1:9" x14ac:dyDescent="0.25">
      <c r="A199" s="16" t="s">
        <v>1040</v>
      </c>
      <c r="B199" s="16" t="str">
        <f>TEXT(PARTIDA[[#This Row],[PARTIDA]],"0000000000")</f>
        <v>0303410000</v>
      </c>
      <c r="C199" s="16" t="s">
        <v>786</v>
      </c>
      <c r="D199" s="16" t="s">
        <v>787</v>
      </c>
      <c r="E199" s="16" t="s">
        <v>788</v>
      </c>
      <c r="F199" s="27" t="s">
        <v>9565</v>
      </c>
      <c r="G199" s="27"/>
      <c r="H199" s="16" t="str">
        <f>IF(ISBLANK(PARTIDAS!$G199),PARTIDAS!$F199,CONCATENATE(PARTIDAS!$F199," (",PARTIDAS!$G199,")"))</f>
        <v>Albacoras o atunes blancos (Thunnus alalunga)</v>
      </c>
      <c r="I199" s="16" t="s">
        <v>9559</v>
      </c>
    </row>
    <row r="200" spans="1:9" x14ac:dyDescent="0.25">
      <c r="A200" s="16" t="s">
        <v>1041</v>
      </c>
      <c r="B200" s="16" t="str">
        <f>TEXT(PARTIDA[[#This Row],[PARTIDA]],"0000000000")</f>
        <v>0303420000</v>
      </c>
      <c r="C200" s="16" t="s">
        <v>786</v>
      </c>
      <c r="D200" s="16" t="s">
        <v>787</v>
      </c>
      <c r="E200" s="16" t="s">
        <v>788</v>
      </c>
      <c r="F200" s="27" t="s">
        <v>9566</v>
      </c>
      <c r="G200" s="27"/>
      <c r="H200" s="16" t="str">
        <f>IF(ISBLANK(PARTIDAS!$G200),PARTIDAS!$F200,CONCATENATE(PARTIDAS!$F200," (",PARTIDAS!$G200,")"))</f>
        <v>Atunes de aleta amarilla (rabiles) (Thunnus albacares)</v>
      </c>
      <c r="I200" s="16" t="s">
        <v>9559</v>
      </c>
    </row>
    <row r="201" spans="1:9" x14ac:dyDescent="0.25">
      <c r="A201" s="16" t="s">
        <v>1042</v>
      </c>
      <c r="B201" s="16" t="str">
        <f>TEXT(PARTIDA[[#This Row],[PARTIDA]],"0000000000")</f>
        <v>0303430000</v>
      </c>
      <c r="C201" s="16" t="s">
        <v>786</v>
      </c>
      <c r="D201" s="16" t="s">
        <v>787</v>
      </c>
      <c r="E201" s="16" t="s">
        <v>788</v>
      </c>
      <c r="F201" s="27" t="s">
        <v>9567</v>
      </c>
      <c r="G201" s="27"/>
      <c r="H201" s="16" t="str">
        <f>IF(ISBLANK(PARTIDAS!$G201),PARTIDAS!$F201,CONCATENATE(PARTIDAS!$F201," (",PARTIDAS!$G201,")"))</f>
        <v>Listados (bonitos de vientre rayado) (Katsuwonus pelamis)</v>
      </c>
      <c r="I201" s="16" t="s">
        <v>9559</v>
      </c>
    </row>
    <row r="202" spans="1:9" x14ac:dyDescent="0.25">
      <c r="A202" s="16" t="s">
        <v>1043</v>
      </c>
      <c r="B202" s="16" t="str">
        <f>TEXT(PARTIDA[[#This Row],[PARTIDA]],"0000000000")</f>
        <v>0303440000</v>
      </c>
      <c r="C202" s="16" t="s">
        <v>786</v>
      </c>
      <c r="D202" s="16" t="s">
        <v>787</v>
      </c>
      <c r="E202" s="16" t="s">
        <v>788</v>
      </c>
      <c r="F202" s="27" t="s">
        <v>9568</v>
      </c>
      <c r="G202" s="27"/>
      <c r="H202" s="16" t="str">
        <f>IF(ISBLANK(PARTIDAS!$G202),PARTIDAS!$F202,CONCATENATE(PARTIDAS!$F202," (",PARTIDAS!$G202,")"))</f>
        <v>Patudos o atunes ojo grande (Thunnus obesus)</v>
      </c>
      <c r="I202" s="16" t="s">
        <v>9559</v>
      </c>
    </row>
    <row r="203" spans="1:9" x14ac:dyDescent="0.25">
      <c r="A203" s="16" t="s">
        <v>1044</v>
      </c>
      <c r="B203" s="16" t="str">
        <f>TEXT(PARTIDA[[#This Row],[PARTIDA]],"0000000000")</f>
        <v>0303450000</v>
      </c>
      <c r="C203" s="16" t="s">
        <v>786</v>
      </c>
      <c r="D203" s="16" t="s">
        <v>787</v>
      </c>
      <c r="E203" s="16" t="s">
        <v>788</v>
      </c>
      <c r="F203" s="27" t="s">
        <v>9569</v>
      </c>
      <c r="G203" s="27"/>
      <c r="H203" s="16" t="str">
        <f>IF(ISBLANK(PARTIDAS!$G203),PARTIDAS!$F203,CONCATENATE(PARTIDAS!$F203," (",PARTIDAS!$G203,")"))</f>
        <v>Atunes comunes o de aleta azul, del Atlántico y del Pacífico (Thunnus thynnus, Thunnus orientalis)</v>
      </c>
      <c r="I203" s="16" t="s">
        <v>9559</v>
      </c>
    </row>
    <row r="204" spans="1:9" x14ac:dyDescent="0.25">
      <c r="A204" s="16" t="s">
        <v>1045</v>
      </c>
      <c r="B204" s="16" t="str">
        <f>TEXT(PARTIDA[[#This Row],[PARTIDA]],"0000000000")</f>
        <v>0303460000</v>
      </c>
      <c r="C204" s="16" t="s">
        <v>786</v>
      </c>
      <c r="D204" s="16" t="s">
        <v>787</v>
      </c>
      <c r="E204" s="16" t="s">
        <v>788</v>
      </c>
      <c r="F204" s="27" t="s">
        <v>9553</v>
      </c>
      <c r="G204" s="27"/>
      <c r="H204" s="16" t="str">
        <f>IF(ISBLANK(PARTIDAS!$G204),PARTIDAS!$F204,CONCATENATE(PARTIDAS!$F204," (",PARTIDAS!$G204,")"))</f>
        <v>Atunes del sur (Thunnus maccoyii)</v>
      </c>
      <c r="I204" s="16" t="s">
        <v>9559</v>
      </c>
    </row>
    <row r="205" spans="1:9" x14ac:dyDescent="0.25">
      <c r="A205" s="16" t="s">
        <v>1046</v>
      </c>
      <c r="B205" s="16" t="str">
        <f>TEXT(PARTIDA[[#This Row],[PARTIDA]],"0000000000")</f>
        <v>0303490000</v>
      </c>
      <c r="C205" s="16" t="s">
        <v>786</v>
      </c>
      <c r="D205" s="16" t="s">
        <v>787</v>
      </c>
      <c r="E205" s="16" t="s">
        <v>788</v>
      </c>
      <c r="F205" s="27" t="s">
        <v>9570</v>
      </c>
      <c r="G205" s="27"/>
      <c r="H205" s="16" t="str">
        <f>IF(ISBLANK(PARTIDAS!$G205),PARTIDAS!$F205,CONCATENATE(PARTIDAS!$F205," (",PARTIDAS!$G205,")"))</f>
        <v>Atunes (del género Thunnus), listados (bonitos de vientre rayado)… (los demás)</v>
      </c>
      <c r="I205" s="16" t="s">
        <v>9559</v>
      </c>
    </row>
    <row r="206" spans="1:9" x14ac:dyDescent="0.25">
      <c r="A206" s="16" t="s">
        <v>1047</v>
      </c>
      <c r="B206" s="16" t="str">
        <f>TEXT(PARTIDA[[#This Row],[PARTIDA]],"0000000000")</f>
        <v>0303510000</v>
      </c>
      <c r="C206" s="16" t="s">
        <v>786</v>
      </c>
      <c r="D206" s="16" t="s">
        <v>787</v>
      </c>
      <c r="E206" s="16" t="s">
        <v>788</v>
      </c>
      <c r="F206" s="27" t="s">
        <v>9571</v>
      </c>
      <c r="G206" s="27"/>
      <c r="H206" s="16" t="str">
        <f>IF(ISBLANK(PARTIDAS!$G206),PARTIDAS!$F206,CONCATENATE(PARTIDAS!$F206," (",PARTIDAS!$G206,")"))</f>
        <v>Arenques (Clupea harengus, Clupea pallasii)</v>
      </c>
      <c r="I206" s="16" t="s">
        <v>9559</v>
      </c>
    </row>
    <row r="207" spans="1:9" x14ac:dyDescent="0.25">
      <c r="A207" s="16" t="s">
        <v>1048</v>
      </c>
      <c r="B207" s="16" t="str">
        <f>TEXT(PARTIDA[[#This Row],[PARTIDA]],"0000000000")</f>
        <v>0303530010</v>
      </c>
      <c r="C207" s="16" t="s">
        <v>786</v>
      </c>
      <c r="D207" s="16" t="s">
        <v>787</v>
      </c>
      <c r="E207" s="16" t="s">
        <v>788</v>
      </c>
      <c r="F207" s="27" t="s">
        <v>9597</v>
      </c>
      <c r="G207" s="27"/>
      <c r="H207" s="16" t="str">
        <f>IF(ISBLANK(PARTIDAS!$G207),PARTIDAS!$F207,CONCATENATE(PARTIDAS!$F207," (",PARTIDAS!$G207,")"))</f>
        <v>Sardinas (Sardina pilchardus, Sardinops spp.), sardinelas (Sardinella…, sin cabeza, sin vísceras</v>
      </c>
      <c r="I207" s="16" t="s">
        <v>9559</v>
      </c>
    </row>
    <row r="208" spans="1:9" x14ac:dyDescent="0.25">
      <c r="A208" s="16" t="s">
        <v>1049</v>
      </c>
      <c r="B208" s="16" t="str">
        <f>TEXT(PARTIDA[[#This Row],[PARTIDA]],"0000000000")</f>
        <v>0303530090</v>
      </c>
      <c r="C208" s="16" t="s">
        <v>786</v>
      </c>
      <c r="D208" s="16" t="s">
        <v>787</v>
      </c>
      <c r="E208" s="16" t="s">
        <v>788</v>
      </c>
      <c r="F208" s="27" t="s">
        <v>9598</v>
      </c>
      <c r="G208" s="27"/>
      <c r="H208" s="16" t="str">
        <f>IF(ISBLANK(PARTIDAS!$G208),PARTIDAS!$F208,CONCATENATE(PARTIDAS!$F208," (",PARTIDAS!$G208,")"))</f>
        <v>Sardinas (Sardina pilchardus, Sardinops spp.), sardinelas (Sardinella… (los demás)</v>
      </c>
      <c r="I208" s="16" t="s">
        <v>9559</v>
      </c>
    </row>
    <row r="209" spans="1:9" x14ac:dyDescent="0.25">
      <c r="A209" s="16" t="s">
        <v>1050</v>
      </c>
      <c r="B209" s="16" t="str">
        <f>TEXT(PARTIDA[[#This Row],[PARTIDA]],"0000000000")</f>
        <v>0303540000</v>
      </c>
      <c r="C209" s="16" t="s">
        <v>786</v>
      </c>
      <c r="D209" s="16" t="s">
        <v>787</v>
      </c>
      <c r="E209" s="16" t="s">
        <v>788</v>
      </c>
      <c r="F209" s="27" t="s">
        <v>9573</v>
      </c>
      <c r="G209" s="27"/>
      <c r="H209" s="16" t="str">
        <f>IF(ISBLANK(PARTIDAS!$G209),PARTIDAS!$F209,CONCATENATE(PARTIDAS!$F209," (",PARTIDAS!$G209,")"))</f>
        <v>Caballas (Scomber scombrus, Scomber australasicus, Scomber japonicus)</v>
      </c>
      <c r="I209" s="16" t="s">
        <v>9559</v>
      </c>
    </row>
    <row r="210" spans="1:9" x14ac:dyDescent="0.25">
      <c r="A210" s="16" t="s">
        <v>1051</v>
      </c>
      <c r="B210" s="16" t="str">
        <f>TEXT(PARTIDA[[#This Row],[PARTIDA]],"0000000000")</f>
        <v>0303550000</v>
      </c>
      <c r="C210" s="16" t="s">
        <v>786</v>
      </c>
      <c r="D210" s="16" t="s">
        <v>787</v>
      </c>
      <c r="E210" s="16" t="s">
        <v>788</v>
      </c>
      <c r="F210" s="27" t="s">
        <v>9574</v>
      </c>
      <c r="G210" s="27"/>
      <c r="H210" s="16" t="str">
        <f>IF(ISBLANK(PARTIDAS!$G210),PARTIDAS!$F210,CONCATENATE(PARTIDAS!$F210," (",PARTIDAS!$G210,")"))</f>
        <v>Jureles (Trachurus spp.)</v>
      </c>
      <c r="I210" s="16" t="s">
        <v>9559</v>
      </c>
    </row>
    <row r="211" spans="1:9" x14ac:dyDescent="0.25">
      <c r="A211" s="16" t="s">
        <v>1052</v>
      </c>
      <c r="B211" s="16" t="str">
        <f>TEXT(PARTIDA[[#This Row],[PARTIDA]],"0000000000")</f>
        <v>0303560000</v>
      </c>
      <c r="C211" s="16" t="s">
        <v>786</v>
      </c>
      <c r="D211" s="16" t="s">
        <v>787</v>
      </c>
      <c r="E211" s="16" t="s">
        <v>788</v>
      </c>
      <c r="F211" s="27" t="s">
        <v>9575</v>
      </c>
      <c r="G211" s="27"/>
      <c r="H211" s="16" t="str">
        <f>IF(ISBLANK(PARTIDAS!$G211),PARTIDAS!$F211,CONCATENATE(PARTIDAS!$F211," (",PARTIDAS!$G211,")"))</f>
        <v>Cobias (Rachycentron canadum)</v>
      </c>
      <c r="I211" s="16" t="s">
        <v>9559</v>
      </c>
    </row>
    <row r="212" spans="1:9" x14ac:dyDescent="0.25">
      <c r="A212" s="16" t="s">
        <v>1053</v>
      </c>
      <c r="B212" s="16" t="str">
        <f>TEXT(PARTIDA[[#This Row],[PARTIDA]],"0000000000")</f>
        <v>0303570000</v>
      </c>
      <c r="C212" s="16" t="s">
        <v>786</v>
      </c>
      <c r="D212" s="16" t="s">
        <v>787</v>
      </c>
      <c r="E212" s="16" t="s">
        <v>788</v>
      </c>
      <c r="F212" s="27" t="s">
        <v>1001</v>
      </c>
      <c r="G212" s="27"/>
      <c r="H212" s="16" t="str">
        <f>IF(ISBLANK(PARTIDAS!$G212),PARTIDAS!$F212,CONCATENATE(PARTIDAS!$F212," (",PARTIDAS!$G212,")"))</f>
        <v>Peces espada</v>
      </c>
      <c r="I212" s="16" t="s">
        <v>9559</v>
      </c>
    </row>
    <row r="213" spans="1:9" x14ac:dyDescent="0.25">
      <c r="A213" s="16" t="s">
        <v>1054</v>
      </c>
      <c r="B213" s="16" t="str">
        <f>TEXT(PARTIDA[[#This Row],[PARTIDA]],"0000000000")</f>
        <v>0303590000</v>
      </c>
      <c r="C213" s="16" t="s">
        <v>786</v>
      </c>
      <c r="D213" s="16" t="s">
        <v>787</v>
      </c>
      <c r="E213" s="16" t="s">
        <v>788</v>
      </c>
      <c r="F213" s="27" t="s">
        <v>9576</v>
      </c>
      <c r="G213" s="27"/>
      <c r="H213" s="16" t="str">
        <f>IF(ISBLANK(PARTIDAS!$G213),PARTIDAS!$F213,CONCATENATE(PARTIDAS!$F213," (",PARTIDAS!$G213,")"))</f>
        <v>Arenques (Clupea harengus, Clupea pallasii), anchoas (Engraulis… (los demás)</v>
      </c>
      <c r="I213" s="16" t="s">
        <v>9559</v>
      </c>
    </row>
    <row r="214" spans="1:9" x14ac:dyDescent="0.25">
      <c r="A214" s="16" t="s">
        <v>1055</v>
      </c>
      <c r="B214" s="16" t="str">
        <f>TEXT(PARTIDA[[#This Row],[PARTIDA]],"0000000000")</f>
        <v>0303630000</v>
      </c>
      <c r="C214" s="16" t="s">
        <v>786</v>
      </c>
      <c r="D214" s="16" t="s">
        <v>787</v>
      </c>
      <c r="E214" s="16" t="s">
        <v>788</v>
      </c>
      <c r="F214" s="27" t="s">
        <v>9577</v>
      </c>
      <c r="G214" s="27"/>
      <c r="H214" s="16" t="str">
        <f>IF(ISBLANK(PARTIDAS!$G214),PARTIDAS!$F214,CONCATENATE(PARTIDAS!$F214," (",PARTIDAS!$G214,")"))</f>
        <v>Bacalaos (Gadus morhua, Gadus ogac, Gadus macrocephalus)</v>
      </c>
      <c r="I214" s="16" t="s">
        <v>9559</v>
      </c>
    </row>
    <row r="215" spans="1:9" x14ac:dyDescent="0.25">
      <c r="A215" s="16" t="s">
        <v>1056</v>
      </c>
      <c r="B215" s="16" t="str">
        <f>TEXT(PARTIDA[[#This Row],[PARTIDA]],"0000000000")</f>
        <v>0303640000</v>
      </c>
      <c r="C215" s="16" t="s">
        <v>786</v>
      </c>
      <c r="D215" s="16" t="s">
        <v>787</v>
      </c>
      <c r="E215" s="16" t="s">
        <v>788</v>
      </c>
      <c r="F215" s="27" t="s">
        <v>9578</v>
      </c>
      <c r="G215" s="27"/>
      <c r="H215" s="16" t="str">
        <f>IF(ISBLANK(PARTIDAS!$G215),PARTIDAS!$F215,CONCATENATE(PARTIDAS!$F215," (",PARTIDAS!$G215,")"))</f>
        <v>Eglefinos (Melanogrammus aeglefinus)</v>
      </c>
      <c r="I215" s="16" t="s">
        <v>9559</v>
      </c>
    </row>
    <row r="216" spans="1:9" x14ac:dyDescent="0.25">
      <c r="A216" s="16" t="s">
        <v>1057</v>
      </c>
      <c r="B216" s="16" t="str">
        <f>TEXT(PARTIDA[[#This Row],[PARTIDA]],"0000000000")</f>
        <v>0303650000</v>
      </c>
      <c r="C216" s="16" t="s">
        <v>786</v>
      </c>
      <c r="D216" s="16" t="s">
        <v>787</v>
      </c>
      <c r="E216" s="16" t="s">
        <v>788</v>
      </c>
      <c r="F216" s="27" t="s">
        <v>9579</v>
      </c>
      <c r="G216" s="27"/>
      <c r="H216" s="16" t="str">
        <f>IF(ISBLANK(PARTIDAS!$G216),PARTIDAS!$F216,CONCATENATE(PARTIDAS!$F216," (",PARTIDAS!$G216,")"))</f>
        <v>Carboneros (Pollachius virens)</v>
      </c>
      <c r="I216" s="16" t="s">
        <v>9559</v>
      </c>
    </row>
    <row r="217" spans="1:9" x14ac:dyDescent="0.25">
      <c r="A217" s="16" t="s">
        <v>1058</v>
      </c>
      <c r="B217" s="16" t="str">
        <f>TEXT(PARTIDA[[#This Row],[PARTIDA]],"0000000000")</f>
        <v>0303660000</v>
      </c>
      <c r="C217" s="16" t="s">
        <v>786</v>
      </c>
      <c r="D217" s="16" t="s">
        <v>787</v>
      </c>
      <c r="E217" s="16" t="s">
        <v>788</v>
      </c>
      <c r="F217" s="27" t="s">
        <v>9580</v>
      </c>
      <c r="G217" s="27"/>
      <c r="H217" s="16" t="str">
        <f>IF(ISBLANK(PARTIDAS!$G217),PARTIDAS!$F217,CONCATENATE(PARTIDAS!$F217," (",PARTIDAS!$G217,")"))</f>
        <v>Merluzas (Merluccius spp., Urophycis spp.)</v>
      </c>
      <c r="I217" s="16" t="s">
        <v>9559</v>
      </c>
    </row>
    <row r="218" spans="1:9" x14ac:dyDescent="0.25">
      <c r="A218" s="16" t="s">
        <v>1059</v>
      </c>
      <c r="B218" s="16" t="str">
        <f>TEXT(PARTIDA[[#This Row],[PARTIDA]],"0000000000")</f>
        <v>0303670000</v>
      </c>
      <c r="C218" s="16" t="s">
        <v>786</v>
      </c>
      <c r="D218" s="16" t="s">
        <v>787</v>
      </c>
      <c r="E218" s="16" t="s">
        <v>788</v>
      </c>
      <c r="F218" s="27" t="s">
        <v>9581</v>
      </c>
      <c r="G218" s="27"/>
      <c r="H218" s="16" t="str">
        <f>IF(ISBLANK(PARTIDAS!$G218),PARTIDAS!$F218,CONCATENATE(PARTIDAS!$F218," (",PARTIDAS!$G218,")"))</f>
        <v>Abadejos de Alaska (Theragra chalcogramma)</v>
      </c>
      <c r="I218" s="16" t="s">
        <v>9559</v>
      </c>
    </row>
    <row r="219" spans="1:9" x14ac:dyDescent="0.25">
      <c r="A219" s="16" t="s">
        <v>1060</v>
      </c>
      <c r="B219" s="16" t="str">
        <f>TEXT(PARTIDA[[#This Row],[PARTIDA]],"0000000000")</f>
        <v>0303680000</v>
      </c>
      <c r="C219" s="16" t="s">
        <v>786</v>
      </c>
      <c r="D219" s="16" t="s">
        <v>787</v>
      </c>
      <c r="E219" s="16" t="s">
        <v>788</v>
      </c>
      <c r="F219" s="27" t="s">
        <v>9582</v>
      </c>
      <c r="G219" s="27"/>
      <c r="H219" s="16" t="str">
        <f>IF(ISBLANK(PARTIDAS!$G219),PARTIDAS!$F219,CONCATENATE(PARTIDAS!$F219," (",PARTIDAS!$G219,")"))</f>
        <v>Bacaladillas (Micromesistius poutassou, Micromesistius australis)</v>
      </c>
      <c r="I219" s="16" t="s">
        <v>9559</v>
      </c>
    </row>
    <row r="220" spans="1:9" x14ac:dyDescent="0.25">
      <c r="A220" s="16" t="s">
        <v>1061</v>
      </c>
      <c r="B220" s="16" t="str">
        <f>TEXT(PARTIDA[[#This Row],[PARTIDA]],"0000000000")</f>
        <v>0303690000</v>
      </c>
      <c r="C220" s="16" t="s">
        <v>786</v>
      </c>
      <c r="D220" s="16" t="s">
        <v>787</v>
      </c>
      <c r="E220" s="16" t="s">
        <v>788</v>
      </c>
      <c r="F220" s="27" t="s">
        <v>9599</v>
      </c>
      <c r="G220" s="27"/>
      <c r="H220" s="16" t="str">
        <f>IF(ISBLANK(PARTIDAS!$G220),PARTIDAS!$F220,CONCATENATE(PARTIDAS!$F220," (",PARTIDAS!$G220,")"))</f>
        <v>Pescados de las familias Bregmacerotidae, Euclichthyidae, Gadidae… (los demás)</v>
      </c>
      <c r="I220" s="16" t="s">
        <v>9559</v>
      </c>
    </row>
    <row r="221" spans="1:9" x14ac:dyDescent="0.25">
      <c r="A221" s="16" t="s">
        <v>1062</v>
      </c>
      <c r="B221" s="16" t="str">
        <f>TEXT(PARTIDA[[#This Row],[PARTIDA]],"0000000000")</f>
        <v>0303810000</v>
      </c>
      <c r="C221" s="16" t="s">
        <v>786</v>
      </c>
      <c r="D221" s="16" t="s">
        <v>787</v>
      </c>
      <c r="E221" s="16" t="s">
        <v>788</v>
      </c>
      <c r="F221" s="27" t="s">
        <v>9586</v>
      </c>
      <c r="G221" s="27"/>
      <c r="H221" s="16" t="str">
        <f>IF(ISBLANK(PARTIDAS!$G221),PARTIDAS!$F221,CONCATENATE(PARTIDAS!$F221," (",PARTIDAS!$G221,")"))</f>
        <v>Cazones y demás escualos</v>
      </c>
      <c r="I221" s="16" t="s">
        <v>9559</v>
      </c>
    </row>
    <row r="222" spans="1:9" x14ac:dyDescent="0.25">
      <c r="A222" s="16" t="s">
        <v>1063</v>
      </c>
      <c r="B222" s="16" t="str">
        <f>TEXT(PARTIDA[[#This Row],[PARTIDA]],"0000000000")</f>
        <v>0303820000</v>
      </c>
      <c r="C222" s="16" t="s">
        <v>786</v>
      </c>
      <c r="D222" s="16" t="s">
        <v>787</v>
      </c>
      <c r="E222" s="16" t="s">
        <v>788</v>
      </c>
      <c r="F222" s="27" t="s">
        <v>9587</v>
      </c>
      <c r="G222" s="27"/>
      <c r="H222" s="16" t="str">
        <f>IF(ISBLANK(PARTIDAS!$G222),PARTIDAS!$F222,CONCATENATE(PARTIDAS!$F222," (",PARTIDAS!$G222,")"))</f>
        <v>Rayas (Rajidae)</v>
      </c>
      <c r="I222" s="16" t="s">
        <v>9559</v>
      </c>
    </row>
    <row r="223" spans="1:9" x14ac:dyDescent="0.25">
      <c r="A223" s="16" t="s">
        <v>1064</v>
      </c>
      <c r="B223" s="16" t="str">
        <f>TEXT(PARTIDA[[#This Row],[PARTIDA]],"0000000000")</f>
        <v>0303830000</v>
      </c>
      <c r="C223" s="16" t="s">
        <v>786</v>
      </c>
      <c r="D223" s="16" t="s">
        <v>787</v>
      </c>
      <c r="E223" s="16" t="s">
        <v>788</v>
      </c>
      <c r="F223" s="27" t="s">
        <v>9588</v>
      </c>
      <c r="G223" s="27"/>
      <c r="H223" s="16" t="str">
        <f>IF(ISBLANK(PARTIDAS!$G223),PARTIDAS!$F223,CONCATENATE(PARTIDAS!$F223," (",PARTIDAS!$G223,")"))</f>
        <v>Austromerluzas antárticas y austromerluzas negras (merluzas negras, bacalaos de profundidad, nototenias negras) (Dissostichus spp.)</v>
      </c>
      <c r="I223" s="16" t="s">
        <v>9559</v>
      </c>
    </row>
    <row r="224" spans="1:9" x14ac:dyDescent="0.25">
      <c r="A224" s="16" t="s">
        <v>1065</v>
      </c>
      <c r="B224" s="16" t="str">
        <f>TEXT(PARTIDA[[#This Row],[PARTIDA]],"0000000000")</f>
        <v>0303840000</v>
      </c>
      <c r="C224" s="16" t="s">
        <v>786</v>
      </c>
      <c r="D224" s="16" t="s">
        <v>787</v>
      </c>
      <c r="E224" s="16" t="s">
        <v>788</v>
      </c>
      <c r="F224" s="27" t="s">
        <v>9589</v>
      </c>
      <c r="G224" s="27"/>
      <c r="H224" s="16" t="str">
        <f>IF(ISBLANK(PARTIDAS!$G224),PARTIDAS!$F224,CONCATENATE(PARTIDAS!$F224," (",PARTIDAS!$G224,")"))</f>
        <v>Róbalos (Dicentrarchus spp.)</v>
      </c>
      <c r="I224" s="16" t="s">
        <v>9559</v>
      </c>
    </row>
    <row r="225" spans="1:9" x14ac:dyDescent="0.25">
      <c r="A225" s="16" t="s">
        <v>23</v>
      </c>
      <c r="B225" s="16" t="str">
        <f>TEXT(PARTIDA[[#This Row],[PARTIDA]],"0000000000")</f>
        <v>0303890000</v>
      </c>
      <c r="C225" s="16" t="s">
        <v>786</v>
      </c>
      <c r="D225" s="16" t="s">
        <v>787</v>
      </c>
      <c r="E225" s="16" t="s">
        <v>788</v>
      </c>
      <c r="F225" s="27" t="s">
        <v>980</v>
      </c>
      <c r="G225" s="27"/>
      <c r="H225" s="16" t="str">
        <f>IF(ISBLANK(PARTIDAS!$G225),PARTIDAS!$F225,CONCATENATE(PARTIDAS!$F225," (",PARTIDAS!$G225,")"))</f>
        <v>Pescado congelado</v>
      </c>
      <c r="I225" s="16" t="s">
        <v>9559</v>
      </c>
    </row>
    <row r="226" spans="1:9" x14ac:dyDescent="0.25">
      <c r="A226" s="16" t="s">
        <v>1066</v>
      </c>
      <c r="B226" s="16" t="str">
        <f>TEXT(PARTIDA[[#This Row],[PARTIDA]],"0000000000")</f>
        <v>0303910000</v>
      </c>
      <c r="C226" s="16" t="s">
        <v>786</v>
      </c>
      <c r="D226" s="16" t="s">
        <v>787</v>
      </c>
      <c r="E226" s="16" t="s">
        <v>788</v>
      </c>
      <c r="F226" s="27" t="s">
        <v>9592</v>
      </c>
      <c r="G226" s="27"/>
      <c r="H226" s="16" t="str">
        <f>IF(ISBLANK(PARTIDAS!$G226),PARTIDAS!$F226,CONCATENATE(PARTIDAS!$F226," (",PARTIDAS!$G226,")"))</f>
        <v>Hígados, huevas y lechas</v>
      </c>
      <c r="I226" s="16" t="s">
        <v>9559</v>
      </c>
    </row>
    <row r="227" spans="1:9" x14ac:dyDescent="0.25">
      <c r="A227" s="16" t="s">
        <v>1067</v>
      </c>
      <c r="B227" s="16" t="str">
        <f>TEXT(PARTIDA[[#This Row],[PARTIDA]],"0000000000")</f>
        <v>0303920000</v>
      </c>
      <c r="C227" s="16" t="s">
        <v>786</v>
      </c>
      <c r="D227" s="16" t="s">
        <v>787</v>
      </c>
      <c r="E227" s="16" t="s">
        <v>788</v>
      </c>
      <c r="F227" s="27" t="s">
        <v>9593</v>
      </c>
      <c r="G227" s="27"/>
      <c r="H227" s="16" t="str">
        <f>IF(ISBLANK(PARTIDAS!$G227),PARTIDAS!$F227,CONCATENATE(PARTIDAS!$F227," (",PARTIDAS!$G227,")"))</f>
        <v>Aletas de tiburón</v>
      </c>
      <c r="I227" s="16" t="s">
        <v>9559</v>
      </c>
    </row>
    <row r="228" spans="1:9" x14ac:dyDescent="0.25">
      <c r="A228" s="16" t="s">
        <v>1068</v>
      </c>
      <c r="B228" s="16" t="str">
        <f>TEXT(PARTIDA[[#This Row],[PARTIDA]],"0000000000")</f>
        <v>0303990000</v>
      </c>
      <c r="C228" s="16" t="s">
        <v>786</v>
      </c>
      <c r="D228" s="16" t="s">
        <v>787</v>
      </c>
      <c r="E228" s="16" t="s">
        <v>788</v>
      </c>
      <c r="F228" s="27" t="s">
        <v>9600</v>
      </c>
      <c r="G228" s="27"/>
      <c r="H228" s="16" t="str">
        <f>IF(ISBLANK(PARTIDAS!$G228),PARTIDAS!$F228,CONCATENATE(PARTIDAS!$F228," (",PARTIDAS!$G228,")"))</f>
        <v>Hígados, huevas y lechas, aletas, cabezas, colas, vejigas natatorias… (los demás)</v>
      </c>
      <c r="I228" s="16" t="s">
        <v>9559</v>
      </c>
    </row>
    <row r="229" spans="1:9" x14ac:dyDescent="0.25">
      <c r="A229" s="16" t="s">
        <v>1069</v>
      </c>
      <c r="B229" s="16" t="str">
        <f>TEXT(PARTIDA[[#This Row],[PARTIDA]],"0000000000")</f>
        <v>0304310000</v>
      </c>
      <c r="C229" s="16" t="s">
        <v>786</v>
      </c>
      <c r="D229" s="16" t="s">
        <v>787</v>
      </c>
      <c r="E229" s="16" t="s">
        <v>788</v>
      </c>
      <c r="F229" s="27" t="s">
        <v>9583</v>
      </c>
      <c r="G229" s="27"/>
      <c r="H229" s="16" t="str">
        <f>IF(ISBLANK(PARTIDAS!$G229),PARTIDAS!$F229,CONCATENATE(PARTIDAS!$F229," (",PARTIDAS!$G229,")"))</f>
        <v>Tilapias (Oreochromis spp.)</v>
      </c>
      <c r="I229" s="16" t="s">
        <v>9559</v>
      </c>
    </row>
    <row r="230" spans="1:9" x14ac:dyDescent="0.25">
      <c r="A230" s="16" t="s">
        <v>1070</v>
      </c>
      <c r="B230" s="16" t="str">
        <f>TEXT(PARTIDA[[#This Row],[PARTIDA]],"0000000000")</f>
        <v>0304320000</v>
      </c>
      <c r="C230" s="16" t="s">
        <v>786</v>
      </c>
      <c r="D230" s="16" t="s">
        <v>787</v>
      </c>
      <c r="E230" s="16" t="s">
        <v>788</v>
      </c>
      <c r="F230" s="27" t="s">
        <v>1012</v>
      </c>
      <c r="G230" s="27"/>
      <c r="H230" s="16" t="str">
        <f>IF(ISBLANK(PARTIDAS!$G230),PARTIDAS!$F230,CONCATENATE(PARTIDAS!$F230," (",PARTIDAS!$G230,")"))</f>
        <v>Bagres o peces gato</v>
      </c>
      <c r="I230" s="16" t="s">
        <v>9559</v>
      </c>
    </row>
    <row r="231" spans="1:9" x14ac:dyDescent="0.25">
      <c r="A231" s="16" t="s">
        <v>1071</v>
      </c>
      <c r="B231" s="16" t="str">
        <f>TEXT(PARTIDA[[#This Row],[PARTIDA]],"0000000000")</f>
        <v>0304330000</v>
      </c>
      <c r="C231" s="16" t="s">
        <v>786</v>
      </c>
      <c r="D231" s="16" t="s">
        <v>787</v>
      </c>
      <c r="E231" s="16" t="s">
        <v>788</v>
      </c>
      <c r="F231" s="27" t="s">
        <v>9601</v>
      </c>
      <c r="G231" s="27"/>
      <c r="H231" s="16" t="str">
        <f>IF(ISBLANK(PARTIDAS!$G231),PARTIDAS!$F231,CONCATENATE(PARTIDAS!$F231," (",PARTIDAS!$G231,")"))</f>
        <v>Percas del Nilo (Lates niloticus)</v>
      </c>
      <c r="I231" s="16" t="s">
        <v>9559</v>
      </c>
    </row>
    <row r="232" spans="1:9" x14ac:dyDescent="0.25">
      <c r="A232" s="16" t="s">
        <v>1072</v>
      </c>
      <c r="B232" s="16" t="str">
        <f>TEXT(PARTIDA[[#This Row],[PARTIDA]],"0000000000")</f>
        <v>0304390000</v>
      </c>
      <c r="C232" s="16" t="s">
        <v>786</v>
      </c>
      <c r="D232" s="16" t="s">
        <v>787</v>
      </c>
      <c r="E232" s="16" t="s">
        <v>788</v>
      </c>
      <c r="F232" s="27" t="s">
        <v>9602</v>
      </c>
      <c r="G232" s="27"/>
      <c r="H232" s="16" t="str">
        <f>IF(ISBLANK(PARTIDAS!$G232),PARTIDAS!$F232,CONCATENATE(PARTIDAS!$F232," (",PARTIDAS!$G232,")"))</f>
        <v>Filetes y demás carne de pescado (incluso picada)…, filetes frescos o refrigerados de tilapias (Oreochromis spp.), bagres… (los demás)</v>
      </c>
      <c r="I232" s="16" t="s">
        <v>9559</v>
      </c>
    </row>
    <row r="233" spans="1:9" x14ac:dyDescent="0.25">
      <c r="A233" s="16" t="s">
        <v>1073</v>
      </c>
      <c r="B233" s="16" t="str">
        <f>TEXT(PARTIDA[[#This Row],[PARTIDA]],"0000000000")</f>
        <v>0304410000</v>
      </c>
      <c r="C233" s="16" t="s">
        <v>786</v>
      </c>
      <c r="D233" s="16" t="s">
        <v>787</v>
      </c>
      <c r="E233" s="16" t="s">
        <v>788</v>
      </c>
      <c r="F233" s="27" t="s">
        <v>9603</v>
      </c>
      <c r="G233" s="27"/>
      <c r="H233" s="16" t="str">
        <f>IF(ISBLANK(PARTIDAS!$G233),PARTIDAS!$F233,CONCATENATE(PARTIDAS!$F233," (",PARTIDAS!$G233,")"))</f>
        <v>Salmones del pacífico (Oncorhynchus nerka, Oncorhynchus gorbuscha, Oncorhynchus keta, Oncorhynchus tschawytscha, Oncorhynchus kisutch, Oncorhynchus ma</v>
      </c>
      <c r="I233" s="16" t="s">
        <v>9559</v>
      </c>
    </row>
    <row r="234" spans="1:9" x14ac:dyDescent="0.25">
      <c r="A234" s="16" t="s">
        <v>1074</v>
      </c>
      <c r="B234" s="16" t="str">
        <f>TEXT(PARTIDA[[#This Row],[PARTIDA]],"0000000000")</f>
        <v>0304420000</v>
      </c>
      <c r="C234" s="16" t="s">
        <v>786</v>
      </c>
      <c r="D234" s="16" t="s">
        <v>787</v>
      </c>
      <c r="E234" s="16" t="s">
        <v>788</v>
      </c>
      <c r="F234" s="27" t="s">
        <v>9556</v>
      </c>
      <c r="G234" s="27"/>
      <c r="H234" s="16" t="str">
        <f>IF(ISBLANK(PARTIDAS!$G234),PARTIDAS!$F234,CONCATENATE(PARTIDAS!$F234," (",PARTIDAS!$G234,")"))</f>
        <v>Truchas (Salmo trutta, Oncorhynchus mykiss, Oncorhynchus clarki, Oncorhynchus aguabonita, Oncorhynchus gilae, Oncorhynchus apache y Oncorhynchus chrys</v>
      </c>
      <c r="I234" s="16" t="s">
        <v>9559</v>
      </c>
    </row>
    <row r="235" spans="1:9" x14ac:dyDescent="0.25">
      <c r="A235" s="16" t="s">
        <v>1075</v>
      </c>
      <c r="B235" s="16" t="str">
        <f>TEXT(PARTIDA[[#This Row],[PARTIDA]],"0000000000")</f>
        <v>0304430000</v>
      </c>
      <c r="C235" s="16" t="s">
        <v>786</v>
      </c>
      <c r="D235" s="16" t="s">
        <v>787</v>
      </c>
      <c r="E235" s="16" t="s">
        <v>788</v>
      </c>
      <c r="F235" s="27" t="s">
        <v>9604</v>
      </c>
      <c r="G235" s="27"/>
      <c r="H235" s="16" t="str">
        <f>IF(ISBLANK(PARTIDAS!$G235),PARTIDAS!$F235,CONCATENATE(PARTIDAS!$F235," (",PARTIDAS!$G235,")"))</f>
        <v>Pescados planos (Pleuronectidae, Bothidae, Cynoglossidae, Soleidae, Scophthalmidae y Citharidae)</v>
      </c>
      <c r="I235" s="16" t="s">
        <v>9559</v>
      </c>
    </row>
    <row r="236" spans="1:9" x14ac:dyDescent="0.25">
      <c r="A236" s="16" t="s">
        <v>1076</v>
      </c>
      <c r="B236" s="16" t="str">
        <f>TEXT(PARTIDA[[#This Row],[PARTIDA]],"0000000000")</f>
        <v>0304440000</v>
      </c>
      <c r="C236" s="16" t="s">
        <v>786</v>
      </c>
      <c r="D236" s="16" t="s">
        <v>787</v>
      </c>
      <c r="E236" s="16" t="s">
        <v>788</v>
      </c>
      <c r="F236" s="27" t="s">
        <v>9605</v>
      </c>
      <c r="G236" s="27"/>
      <c r="H236" s="16" t="str">
        <f>IF(ISBLANK(PARTIDAS!$G236),PARTIDAS!$F236,CONCATENATE(PARTIDAS!$F236," (",PARTIDAS!$G236,")"))</f>
        <v>Pescados de las familias Bregmacerotidae, Euclichthyidae, Gadidae, Macrouridae, Melanonidae, Merlucciidae, Moridae y Muraenolepididae</v>
      </c>
      <c r="I236" s="16" t="s">
        <v>9559</v>
      </c>
    </row>
    <row r="237" spans="1:9" x14ac:dyDescent="0.25">
      <c r="A237" s="16" t="s">
        <v>1077</v>
      </c>
      <c r="B237" s="16" t="str">
        <f>TEXT(PARTIDA[[#This Row],[PARTIDA]],"0000000000")</f>
        <v>0304450000</v>
      </c>
      <c r="C237" s="16" t="s">
        <v>786</v>
      </c>
      <c r="D237" s="16" t="s">
        <v>787</v>
      </c>
      <c r="E237" s="16" t="s">
        <v>788</v>
      </c>
      <c r="F237" s="27" t="s">
        <v>1001</v>
      </c>
      <c r="G237" s="27"/>
      <c r="H237" s="16" t="str">
        <f>IF(ISBLANK(PARTIDAS!$G237),PARTIDAS!$F237,CONCATENATE(PARTIDAS!$F237," (",PARTIDAS!$G237,")"))</f>
        <v>Peces espada</v>
      </c>
      <c r="I237" s="16" t="s">
        <v>9559</v>
      </c>
    </row>
    <row r="238" spans="1:9" x14ac:dyDescent="0.25">
      <c r="A238" s="16" t="s">
        <v>1078</v>
      </c>
      <c r="B238" s="16" t="str">
        <f>TEXT(PARTIDA[[#This Row],[PARTIDA]],"0000000000")</f>
        <v>0304460000</v>
      </c>
      <c r="C238" s="16" t="s">
        <v>786</v>
      </c>
      <c r="D238" s="16" t="s">
        <v>787</v>
      </c>
      <c r="E238" s="16" t="s">
        <v>788</v>
      </c>
      <c r="F238" s="27" t="s">
        <v>9588</v>
      </c>
      <c r="G238" s="27"/>
      <c r="H238" s="16" t="str">
        <f>IF(ISBLANK(PARTIDAS!$G238),PARTIDAS!$F238,CONCATENATE(PARTIDAS!$F238," (",PARTIDAS!$G238,")"))</f>
        <v>Austromerluzas antárticas y austromerluzas negras (merluzas negras, bacalaos de profundidad, nototenias negras) (Dissostichus spp.)</v>
      </c>
      <c r="I238" s="16" t="s">
        <v>9559</v>
      </c>
    </row>
    <row r="239" spans="1:9" x14ac:dyDescent="0.25">
      <c r="A239" s="16" t="s">
        <v>1079</v>
      </c>
      <c r="B239" s="16" t="str">
        <f>TEXT(PARTIDA[[#This Row],[PARTIDA]],"0000000000")</f>
        <v>0304470000</v>
      </c>
      <c r="C239" s="16" t="s">
        <v>786</v>
      </c>
      <c r="D239" s="16" t="s">
        <v>787</v>
      </c>
      <c r="E239" s="16" t="s">
        <v>788</v>
      </c>
      <c r="F239" s="27" t="s">
        <v>9586</v>
      </c>
      <c r="G239" s="27"/>
      <c r="H239" s="16" t="str">
        <f>IF(ISBLANK(PARTIDAS!$G239),PARTIDAS!$F239,CONCATENATE(PARTIDAS!$F239," (",PARTIDAS!$G239,")"))</f>
        <v>Cazones y demás escualos</v>
      </c>
      <c r="I239" s="16" t="s">
        <v>9559</v>
      </c>
    </row>
    <row r="240" spans="1:9" x14ac:dyDescent="0.25">
      <c r="A240" s="16" t="s">
        <v>1080</v>
      </c>
      <c r="B240" s="16" t="str">
        <f>TEXT(PARTIDA[[#This Row],[PARTIDA]],"0000000000")</f>
        <v>0304480000</v>
      </c>
      <c r="C240" s="16" t="s">
        <v>786</v>
      </c>
      <c r="D240" s="16" t="s">
        <v>787</v>
      </c>
      <c r="E240" s="16" t="s">
        <v>788</v>
      </c>
      <c r="F240" s="27" t="s">
        <v>9587</v>
      </c>
      <c r="G240" s="27"/>
      <c r="H240" s="16" t="str">
        <f>IF(ISBLANK(PARTIDAS!$G240),PARTIDAS!$F240,CONCATENATE(PARTIDAS!$F240," (",PARTIDAS!$G240,")"))</f>
        <v>Rayas (Rajidae)</v>
      </c>
      <c r="I240" s="16" t="s">
        <v>9559</v>
      </c>
    </row>
    <row r="241" spans="1:9" x14ac:dyDescent="0.25">
      <c r="A241" s="16" t="s">
        <v>1081</v>
      </c>
      <c r="B241" s="16" t="str">
        <f>TEXT(PARTIDA[[#This Row],[PARTIDA]],"0000000000")</f>
        <v>0304490000</v>
      </c>
      <c r="C241" s="16" t="s">
        <v>786</v>
      </c>
      <c r="D241" s="16" t="s">
        <v>787</v>
      </c>
      <c r="E241" s="16" t="s">
        <v>788</v>
      </c>
      <c r="F241" s="27" t="s">
        <v>9606</v>
      </c>
      <c r="G241" s="27"/>
      <c r="H241" s="16" t="str">
        <f>IF(ISBLANK(PARTIDAS!$G241),PARTIDAS!$F241,CONCATENATE(PARTIDAS!$F241," (",PARTIDAS!$G241,")"))</f>
        <v>Filetes y demás carne de pescado (incluso picada)…, filetes de los demás pescados, frescos o refrigerados (los demás)</v>
      </c>
      <c r="I241" s="16" t="s">
        <v>9559</v>
      </c>
    </row>
    <row r="242" spans="1:9" x14ac:dyDescent="0.25">
      <c r="A242" s="16" t="s">
        <v>1082</v>
      </c>
      <c r="B242" s="16" t="str">
        <f>TEXT(PARTIDA[[#This Row],[PARTIDA]],"0000000000")</f>
        <v>0304510000</v>
      </c>
      <c r="C242" s="16" t="s">
        <v>786</v>
      </c>
      <c r="D242" s="16" t="s">
        <v>787</v>
      </c>
      <c r="E242" s="16" t="s">
        <v>788</v>
      </c>
      <c r="F242" s="27" t="s">
        <v>1083</v>
      </c>
      <c r="G242" s="27"/>
      <c r="H242" s="16" t="str">
        <f>IF(ISBLANK(PARTIDAS!$G242),PARTIDAS!$F242,CONCATENATE(PARTIDAS!$F242," (",PARTIDAS!$G242,")"))</f>
        <v>Tilapias</v>
      </c>
      <c r="I242" s="16" t="s">
        <v>9559</v>
      </c>
    </row>
    <row r="243" spans="1:9" x14ac:dyDescent="0.25">
      <c r="A243" s="16" t="s">
        <v>1084</v>
      </c>
      <c r="B243" s="16" t="str">
        <f>TEXT(PARTIDA[[#This Row],[PARTIDA]],"0000000000")</f>
        <v>0304520000</v>
      </c>
      <c r="C243" s="16" t="s">
        <v>786</v>
      </c>
      <c r="D243" s="16" t="s">
        <v>787</v>
      </c>
      <c r="E243" s="16" t="s">
        <v>788</v>
      </c>
      <c r="F243" s="27" t="s">
        <v>9607</v>
      </c>
      <c r="G243" s="27"/>
      <c r="H243" s="16" t="str">
        <f>IF(ISBLANK(PARTIDAS!$G243),PARTIDAS!$F243,CONCATENATE(PARTIDAS!$F243," (",PARTIDAS!$G243,")"))</f>
        <v>Filetes y demás carne de pescado (incluso picada), frescos…, salmónidos</v>
      </c>
      <c r="I243" s="16" t="s">
        <v>9559</v>
      </c>
    </row>
    <row r="244" spans="1:9" x14ac:dyDescent="0.25">
      <c r="A244" s="16" t="s">
        <v>1085</v>
      </c>
      <c r="B244" s="16" t="str">
        <f>TEXT(PARTIDA[[#This Row],[PARTIDA]],"0000000000")</f>
        <v>0304530000</v>
      </c>
      <c r="C244" s="16" t="s">
        <v>786</v>
      </c>
      <c r="D244" s="16" t="s">
        <v>787</v>
      </c>
      <c r="E244" s="16" t="s">
        <v>788</v>
      </c>
      <c r="F244" s="27" t="s">
        <v>9605</v>
      </c>
      <c r="G244" s="27"/>
      <c r="H244" s="16" t="str">
        <f>IF(ISBLANK(PARTIDAS!$G244),PARTIDAS!$F244,CONCATENATE(PARTIDAS!$F244," (",PARTIDAS!$G244,")"))</f>
        <v>Pescados de las familias Bregmacerotidae, Euclichthyidae, Gadidae, Macrouridae, Melanonidae, Merlucciidae, Moridae y Muraenolepididae</v>
      </c>
      <c r="I244" s="16" t="s">
        <v>9559</v>
      </c>
    </row>
    <row r="245" spans="1:9" x14ac:dyDescent="0.25">
      <c r="A245" s="16" t="s">
        <v>1086</v>
      </c>
      <c r="B245" s="16" t="str">
        <f>TEXT(PARTIDA[[#This Row],[PARTIDA]],"0000000000")</f>
        <v>0304540000</v>
      </c>
      <c r="C245" s="16" t="s">
        <v>786</v>
      </c>
      <c r="D245" s="16" t="s">
        <v>787</v>
      </c>
      <c r="E245" s="16" t="s">
        <v>788</v>
      </c>
      <c r="F245" s="27" t="s">
        <v>1001</v>
      </c>
      <c r="G245" s="27"/>
      <c r="H245" s="16" t="str">
        <f>IF(ISBLANK(PARTIDAS!$G245),PARTIDAS!$F245,CONCATENATE(PARTIDAS!$F245," (",PARTIDAS!$G245,")"))</f>
        <v>Peces espada</v>
      </c>
      <c r="I245" s="16" t="s">
        <v>9559</v>
      </c>
    </row>
    <row r="246" spans="1:9" x14ac:dyDescent="0.25">
      <c r="A246" s="16" t="s">
        <v>1087</v>
      </c>
      <c r="B246" s="16" t="str">
        <f>TEXT(PARTIDA[[#This Row],[PARTIDA]],"0000000000")</f>
        <v>0304550000</v>
      </c>
      <c r="C246" s="16" t="s">
        <v>786</v>
      </c>
      <c r="D246" s="16" t="s">
        <v>787</v>
      </c>
      <c r="E246" s="16" t="s">
        <v>788</v>
      </c>
      <c r="F246" s="27" t="s">
        <v>9588</v>
      </c>
      <c r="G246" s="27"/>
      <c r="H246" s="16" t="str">
        <f>IF(ISBLANK(PARTIDAS!$G246),PARTIDAS!$F246,CONCATENATE(PARTIDAS!$F246," (",PARTIDAS!$G246,")"))</f>
        <v>Austromerluzas antárticas y austromerluzas negras (merluzas negras, bacalaos de profundidad, nototenias negras) (Dissostichus spp.)</v>
      </c>
      <c r="I246" s="16" t="s">
        <v>9559</v>
      </c>
    </row>
    <row r="247" spans="1:9" x14ac:dyDescent="0.25">
      <c r="A247" s="16" t="s">
        <v>1088</v>
      </c>
      <c r="B247" s="16" t="str">
        <f>TEXT(PARTIDA[[#This Row],[PARTIDA]],"0000000000")</f>
        <v>0304560000</v>
      </c>
      <c r="C247" s="16" t="s">
        <v>786</v>
      </c>
      <c r="D247" s="16" t="s">
        <v>787</v>
      </c>
      <c r="E247" s="16" t="s">
        <v>788</v>
      </c>
      <c r="F247" s="27" t="s">
        <v>9586</v>
      </c>
      <c r="G247" s="27"/>
      <c r="H247" s="16" t="str">
        <f>IF(ISBLANK(PARTIDAS!$G247),PARTIDAS!$F247,CONCATENATE(PARTIDAS!$F247," (",PARTIDAS!$G247,")"))</f>
        <v>Cazones y demás escualos</v>
      </c>
      <c r="I247" s="16" t="s">
        <v>9559</v>
      </c>
    </row>
    <row r="248" spans="1:9" x14ac:dyDescent="0.25">
      <c r="A248" s="16" t="s">
        <v>1089</v>
      </c>
      <c r="B248" s="16" t="str">
        <f>TEXT(PARTIDA[[#This Row],[PARTIDA]],"0000000000")</f>
        <v>0304570000</v>
      </c>
      <c r="C248" s="16" t="s">
        <v>786</v>
      </c>
      <c r="D248" s="16" t="s">
        <v>787</v>
      </c>
      <c r="E248" s="16" t="s">
        <v>788</v>
      </c>
      <c r="F248" s="27" t="s">
        <v>9587</v>
      </c>
      <c r="G248" s="27"/>
      <c r="H248" s="16" t="str">
        <f>IF(ISBLANK(PARTIDAS!$G248),PARTIDAS!$F248,CONCATENATE(PARTIDAS!$F248," (",PARTIDAS!$G248,")"))</f>
        <v>Rayas (Rajidae)</v>
      </c>
      <c r="I248" s="16" t="s">
        <v>9559</v>
      </c>
    </row>
    <row r="249" spans="1:9" x14ac:dyDescent="0.25">
      <c r="A249" s="16" t="s">
        <v>1090</v>
      </c>
      <c r="B249" s="16" t="str">
        <f>TEXT(PARTIDA[[#This Row],[PARTIDA]],"0000000000")</f>
        <v>0304590000</v>
      </c>
      <c r="C249" s="16" t="s">
        <v>786</v>
      </c>
      <c r="D249" s="16" t="s">
        <v>787</v>
      </c>
      <c r="E249" s="16" t="s">
        <v>788</v>
      </c>
      <c r="F249" s="27" t="s">
        <v>9608</v>
      </c>
      <c r="G249" s="27"/>
      <c r="H249" s="16" t="str">
        <f>IF(ISBLANK(PARTIDAS!$G249),PARTIDAS!$F249,CONCATENATE(PARTIDAS!$F249," (",PARTIDAS!$G249,")"))</f>
        <v>Filetes y demás carne de pescado (incluso picada), frescos… (los demás)</v>
      </c>
      <c r="I249" s="16" t="s">
        <v>9559</v>
      </c>
    </row>
    <row r="250" spans="1:9" x14ac:dyDescent="0.25">
      <c r="A250" s="16" t="s">
        <v>1091</v>
      </c>
      <c r="B250" s="16" t="str">
        <f>TEXT(PARTIDA[[#This Row],[PARTIDA]],"0000000000")</f>
        <v>0304610000</v>
      </c>
      <c r="C250" s="16" t="s">
        <v>786</v>
      </c>
      <c r="D250" s="16" t="s">
        <v>787</v>
      </c>
      <c r="E250" s="16" t="s">
        <v>788</v>
      </c>
      <c r="F250" s="27" t="s">
        <v>9583</v>
      </c>
      <c r="G250" s="27"/>
      <c r="H250" s="16" t="str">
        <f>IF(ISBLANK(PARTIDAS!$G250),PARTIDAS!$F250,CONCATENATE(PARTIDAS!$F250," (",PARTIDAS!$G250,")"))</f>
        <v>Tilapias (Oreochromis spp.)</v>
      </c>
      <c r="I250" s="16" t="s">
        <v>9559</v>
      </c>
    </row>
    <row r="251" spans="1:9" x14ac:dyDescent="0.25">
      <c r="A251" s="16" t="s">
        <v>1092</v>
      </c>
      <c r="B251" s="16" t="str">
        <f>TEXT(PARTIDA[[#This Row],[PARTIDA]],"0000000000")</f>
        <v>0304620000</v>
      </c>
      <c r="C251" s="16" t="s">
        <v>786</v>
      </c>
      <c r="D251" s="16" t="s">
        <v>787</v>
      </c>
      <c r="E251" s="16" t="s">
        <v>788</v>
      </c>
      <c r="F251" s="27" t="s">
        <v>1012</v>
      </c>
      <c r="G251" s="27"/>
      <c r="H251" s="16" t="str">
        <f>IF(ISBLANK(PARTIDAS!$G251),PARTIDAS!$F251,CONCATENATE(PARTIDAS!$F251," (",PARTIDAS!$G251,")"))</f>
        <v>Bagres o peces gato</v>
      </c>
      <c r="I251" s="16" t="s">
        <v>9559</v>
      </c>
    </row>
    <row r="252" spans="1:9" x14ac:dyDescent="0.25">
      <c r="A252" s="16" t="s">
        <v>1093</v>
      </c>
      <c r="B252" s="16" t="str">
        <f>TEXT(PARTIDA[[#This Row],[PARTIDA]],"0000000000")</f>
        <v>0304630000</v>
      </c>
      <c r="C252" s="16" t="s">
        <v>786</v>
      </c>
      <c r="D252" s="16" t="s">
        <v>787</v>
      </c>
      <c r="E252" s="16" t="s">
        <v>788</v>
      </c>
      <c r="F252" s="27" t="s">
        <v>9601</v>
      </c>
      <c r="G252" s="27"/>
      <c r="H252" s="16" t="str">
        <f>IF(ISBLANK(PARTIDAS!$G252),PARTIDAS!$F252,CONCATENATE(PARTIDAS!$F252," (",PARTIDAS!$G252,")"))</f>
        <v>Percas del Nilo (Lates niloticus)</v>
      </c>
      <c r="I252" s="16" t="s">
        <v>9559</v>
      </c>
    </row>
    <row r="253" spans="1:9" x14ac:dyDescent="0.25">
      <c r="A253" s="16" t="s">
        <v>1094</v>
      </c>
      <c r="B253" s="16" t="str">
        <f>TEXT(PARTIDA[[#This Row],[PARTIDA]],"0000000000")</f>
        <v>0304690000</v>
      </c>
      <c r="C253" s="16" t="s">
        <v>786</v>
      </c>
      <c r="D253" s="16" t="s">
        <v>787</v>
      </c>
      <c r="E253" s="16" t="s">
        <v>788</v>
      </c>
      <c r="F253" s="27" t="s">
        <v>9609</v>
      </c>
      <c r="G253" s="27"/>
      <c r="H253" s="16" t="str">
        <f>IF(ISBLANK(PARTIDAS!$G253),PARTIDAS!$F253,CONCATENATE(PARTIDAS!$F253," (",PARTIDAS!$G253,")"))</f>
        <v>Filetes y demás carne de pescado (incluso picada)…, filetes congelados de tilapias (Oreochromis spp.), bagres o peces… (los demás)</v>
      </c>
      <c r="I253" s="16" t="s">
        <v>9559</v>
      </c>
    </row>
    <row r="254" spans="1:9" x14ac:dyDescent="0.25">
      <c r="A254" s="16" t="s">
        <v>1095</v>
      </c>
      <c r="B254" s="16" t="str">
        <f>TEXT(PARTIDA[[#This Row],[PARTIDA]],"0000000000")</f>
        <v>0304710000</v>
      </c>
      <c r="C254" s="16" t="s">
        <v>786</v>
      </c>
      <c r="D254" s="16" t="s">
        <v>787</v>
      </c>
      <c r="E254" s="16" t="s">
        <v>788</v>
      </c>
      <c r="F254" s="27" t="s">
        <v>9577</v>
      </c>
      <c r="G254" s="27"/>
      <c r="H254" s="16" t="str">
        <f>IF(ISBLANK(PARTIDAS!$G254),PARTIDAS!$F254,CONCATENATE(PARTIDAS!$F254," (",PARTIDAS!$G254,")"))</f>
        <v>Bacalaos (Gadus morhua, Gadus ogac, Gadus macrocephalus)</v>
      </c>
      <c r="I254" s="16" t="s">
        <v>9559</v>
      </c>
    </row>
    <row r="255" spans="1:9" x14ac:dyDescent="0.25">
      <c r="A255" s="16" t="s">
        <v>1096</v>
      </c>
      <c r="B255" s="16" t="str">
        <f>TEXT(PARTIDA[[#This Row],[PARTIDA]],"0000000000")</f>
        <v>0304720000</v>
      </c>
      <c r="C255" s="16" t="s">
        <v>786</v>
      </c>
      <c r="D255" s="16" t="s">
        <v>787</v>
      </c>
      <c r="E255" s="16" t="s">
        <v>788</v>
      </c>
      <c r="F255" s="27" t="s">
        <v>9578</v>
      </c>
      <c r="G255" s="27"/>
      <c r="H255" s="16" t="str">
        <f>IF(ISBLANK(PARTIDAS!$G255),PARTIDAS!$F255,CONCATENATE(PARTIDAS!$F255," (",PARTIDAS!$G255,")"))</f>
        <v>Eglefinos (Melanogrammus aeglefinus)</v>
      </c>
      <c r="I255" s="16" t="s">
        <v>9559</v>
      </c>
    </row>
    <row r="256" spans="1:9" x14ac:dyDescent="0.25">
      <c r="A256" s="16" t="s">
        <v>1097</v>
      </c>
      <c r="B256" s="16" t="str">
        <f>TEXT(PARTIDA[[#This Row],[PARTIDA]],"0000000000")</f>
        <v>0304730000</v>
      </c>
      <c r="C256" s="16" t="s">
        <v>786</v>
      </c>
      <c r="D256" s="16" t="s">
        <v>787</v>
      </c>
      <c r="E256" s="16" t="s">
        <v>788</v>
      </c>
      <c r="F256" s="27" t="s">
        <v>9579</v>
      </c>
      <c r="G256" s="27"/>
      <c r="H256" s="16" t="str">
        <f>IF(ISBLANK(PARTIDAS!$G256),PARTIDAS!$F256,CONCATENATE(PARTIDAS!$F256," (",PARTIDAS!$G256,")"))</f>
        <v>Carboneros (Pollachius virens)</v>
      </c>
      <c r="I256" s="16" t="s">
        <v>9559</v>
      </c>
    </row>
    <row r="257" spans="1:9" x14ac:dyDescent="0.25">
      <c r="A257" s="16" t="s">
        <v>1098</v>
      </c>
      <c r="B257" s="16" t="str">
        <f>TEXT(PARTIDA[[#This Row],[PARTIDA]],"0000000000")</f>
        <v>0304740010</v>
      </c>
      <c r="C257" s="16" t="s">
        <v>786</v>
      </c>
      <c r="D257" s="16" t="s">
        <v>787</v>
      </c>
      <c r="E257" s="16" t="s">
        <v>788</v>
      </c>
      <c r="F257" s="27" t="s">
        <v>9610</v>
      </c>
      <c r="G257" s="27"/>
      <c r="H257" s="16" t="str">
        <f>IF(ISBLANK(PARTIDAS!$G257),PARTIDAS!$F257,CONCATENATE(PARTIDAS!$F257," (",PARTIDAS!$G257,")"))</f>
        <v>Merluzas (Merluccius spp., Urophycis spp.), en bloques, sin piel, con espinas</v>
      </c>
      <c r="I257" s="16" t="s">
        <v>9559</v>
      </c>
    </row>
    <row r="258" spans="1:9" x14ac:dyDescent="0.25">
      <c r="A258" s="16" t="s">
        <v>1099</v>
      </c>
      <c r="B258" s="16" t="str">
        <f>TEXT(PARTIDA[[#This Row],[PARTIDA]],"0000000000")</f>
        <v>0304740020</v>
      </c>
      <c r="C258" s="16" t="s">
        <v>786</v>
      </c>
      <c r="D258" s="16" t="s">
        <v>787</v>
      </c>
      <c r="E258" s="16" t="s">
        <v>788</v>
      </c>
      <c r="F258" s="27" t="s">
        <v>9611</v>
      </c>
      <c r="G258" s="27"/>
      <c r="H258" s="16" t="str">
        <f>IF(ISBLANK(PARTIDAS!$G258),PARTIDAS!$F258,CONCATENATE(PARTIDAS!$F258," (",PARTIDAS!$G258,")"))</f>
        <v>Merluzas (Merluccius spp., Urophycis spp.), en bloques, sin piel, sin espinas</v>
      </c>
      <c r="I258" s="16" t="s">
        <v>9559</v>
      </c>
    </row>
    <row r="259" spans="1:9" x14ac:dyDescent="0.25">
      <c r="A259" s="16" t="s">
        <v>1100</v>
      </c>
      <c r="B259" s="16" t="str">
        <f>TEXT(PARTIDA[[#This Row],[PARTIDA]],"0000000000")</f>
        <v>0304740030</v>
      </c>
      <c r="C259" s="16" t="s">
        <v>786</v>
      </c>
      <c r="D259" s="16" t="s">
        <v>787</v>
      </c>
      <c r="E259" s="16" t="s">
        <v>788</v>
      </c>
      <c r="F259" s="27" t="s">
        <v>9612</v>
      </c>
      <c r="G259" s="27"/>
      <c r="H259" s="16" t="str">
        <f>IF(ISBLANK(PARTIDAS!$G259),PARTIDAS!$F259,CONCATENATE(PARTIDAS!$F259," (",PARTIDAS!$G259,")"))</f>
        <v>Merluzas (Merluccius spp., Urophycis spp.), en bloques, picado</v>
      </c>
      <c r="I259" s="16" t="s">
        <v>9559</v>
      </c>
    </row>
    <row r="260" spans="1:9" x14ac:dyDescent="0.25">
      <c r="A260" s="16" t="s">
        <v>1101</v>
      </c>
      <c r="B260" s="16" t="str">
        <f>TEXT(PARTIDA[[#This Row],[PARTIDA]],"0000000000")</f>
        <v>0304740040</v>
      </c>
      <c r="C260" s="16" t="s">
        <v>786</v>
      </c>
      <c r="D260" s="16" t="s">
        <v>787</v>
      </c>
      <c r="E260" s="16" t="s">
        <v>788</v>
      </c>
      <c r="F260" s="27" t="s">
        <v>9613</v>
      </c>
      <c r="G260" s="27"/>
      <c r="H260" s="16" t="str">
        <f>IF(ISBLANK(PARTIDAS!$G260),PARTIDAS!$F260,CONCATENATE(PARTIDAS!$F260," (",PARTIDAS!$G260,")"))</f>
        <v>Porciones (“tabletas”), sin piel, con espinas</v>
      </c>
      <c r="I260" s="16" t="s">
        <v>9559</v>
      </c>
    </row>
    <row r="261" spans="1:9" x14ac:dyDescent="0.25">
      <c r="A261" s="16" t="s">
        <v>1102</v>
      </c>
      <c r="B261" s="16" t="str">
        <f>TEXT(PARTIDA[[#This Row],[PARTIDA]],"0000000000")</f>
        <v>0304740050</v>
      </c>
      <c r="C261" s="16" t="s">
        <v>786</v>
      </c>
      <c r="D261" s="16" t="s">
        <v>787</v>
      </c>
      <c r="E261" s="16" t="s">
        <v>788</v>
      </c>
      <c r="F261" s="27" t="s">
        <v>9614</v>
      </c>
      <c r="G261" s="27"/>
      <c r="H261" s="16" t="str">
        <f>IF(ISBLANK(PARTIDAS!$G261),PARTIDAS!$F261,CONCATENATE(PARTIDAS!$F261," (",PARTIDAS!$G261,")"))</f>
        <v>Interfoliados, sin piel, con espinas</v>
      </c>
      <c r="I261" s="16" t="s">
        <v>9559</v>
      </c>
    </row>
    <row r="262" spans="1:9" x14ac:dyDescent="0.25">
      <c r="A262" s="16" t="s">
        <v>1103</v>
      </c>
      <c r="B262" s="16" t="str">
        <f>TEXT(PARTIDA[[#This Row],[PARTIDA]],"0000000000")</f>
        <v>0304740060</v>
      </c>
      <c r="C262" s="16" t="s">
        <v>786</v>
      </c>
      <c r="D262" s="16" t="s">
        <v>787</v>
      </c>
      <c r="E262" s="16" t="s">
        <v>788</v>
      </c>
      <c r="F262" s="27" t="s">
        <v>9615</v>
      </c>
      <c r="G262" s="27"/>
      <c r="H262" s="16" t="str">
        <f>IF(ISBLANK(PARTIDAS!$G262),PARTIDAS!$F262,CONCATENATE(PARTIDAS!$F262," (",PARTIDAS!$G262,")"))</f>
        <v>Interfoliados, sin piel, sin espinas</v>
      </c>
      <c r="I262" s="16" t="s">
        <v>9559</v>
      </c>
    </row>
    <row r="263" spans="1:9" x14ac:dyDescent="0.25">
      <c r="A263" s="16" t="s">
        <v>1104</v>
      </c>
      <c r="B263" s="16" t="str">
        <f>TEXT(PARTIDA[[#This Row],[PARTIDA]],"0000000000")</f>
        <v>0304740090</v>
      </c>
      <c r="C263" s="16" t="s">
        <v>786</v>
      </c>
      <c r="D263" s="16" t="s">
        <v>787</v>
      </c>
      <c r="E263" s="16" t="s">
        <v>788</v>
      </c>
      <c r="F263" s="27" t="s">
        <v>9616</v>
      </c>
      <c r="G263" s="27"/>
      <c r="H263" s="16" t="str">
        <f>IF(ISBLANK(PARTIDAS!$G263),PARTIDAS!$F263,CONCATENATE(PARTIDAS!$F263," (",PARTIDAS!$G263,")"))</f>
        <v>Merluzas (Merluccius spp., Urophycis spp.) (los demás)</v>
      </c>
      <c r="I263" s="16" t="s">
        <v>9559</v>
      </c>
    </row>
    <row r="264" spans="1:9" x14ac:dyDescent="0.25">
      <c r="A264" s="16" t="s">
        <v>1105</v>
      </c>
      <c r="B264" s="16" t="str">
        <f>TEXT(PARTIDA[[#This Row],[PARTIDA]],"0000000000")</f>
        <v>0304750000</v>
      </c>
      <c r="C264" s="16" t="s">
        <v>786</v>
      </c>
      <c r="D264" s="16" t="s">
        <v>787</v>
      </c>
      <c r="E264" s="16" t="s">
        <v>788</v>
      </c>
      <c r="F264" s="27" t="s">
        <v>9581</v>
      </c>
      <c r="G264" s="27"/>
      <c r="H264" s="16" t="str">
        <f>IF(ISBLANK(PARTIDAS!$G264),PARTIDAS!$F264,CONCATENATE(PARTIDAS!$F264," (",PARTIDAS!$G264,")"))</f>
        <v>Abadejos de Alaska (Theragra chalcogramma)</v>
      </c>
      <c r="I264" s="16" t="s">
        <v>9559</v>
      </c>
    </row>
    <row r="265" spans="1:9" x14ac:dyDescent="0.25">
      <c r="A265" s="16" t="s">
        <v>1106</v>
      </c>
      <c r="B265" s="16" t="str">
        <f>TEXT(PARTIDA[[#This Row],[PARTIDA]],"0000000000")</f>
        <v>0304790000</v>
      </c>
      <c r="C265" s="16" t="s">
        <v>786</v>
      </c>
      <c r="D265" s="16" t="s">
        <v>787</v>
      </c>
      <c r="E265" s="16" t="s">
        <v>788</v>
      </c>
      <c r="F265" s="27" t="s">
        <v>9617</v>
      </c>
      <c r="G265" s="27"/>
      <c r="H265" s="16" t="str">
        <f>IF(ISBLANK(PARTIDAS!$G265),PARTIDAS!$F265,CONCATENATE(PARTIDAS!$F265," (",PARTIDAS!$G265,")"))</f>
        <v>Filetes y demás carne de pescado (incluso picada)…, filetes congelados de pescados de las familias Bregmacerotidae… (los demás)</v>
      </c>
      <c r="I265" s="16" t="s">
        <v>9559</v>
      </c>
    </row>
    <row r="266" spans="1:9" x14ac:dyDescent="0.25">
      <c r="A266" s="16" t="s">
        <v>1107</v>
      </c>
      <c r="B266" s="16" t="str">
        <f>TEXT(PARTIDA[[#This Row],[PARTIDA]],"0000000000")</f>
        <v>0304810000</v>
      </c>
      <c r="C266" s="16" t="s">
        <v>786</v>
      </c>
      <c r="D266" s="16" t="s">
        <v>787</v>
      </c>
      <c r="E266" s="16" t="s">
        <v>788</v>
      </c>
      <c r="F266" s="27" t="s">
        <v>9557</v>
      </c>
      <c r="G266" s="27"/>
      <c r="H266" s="16" t="str">
        <f>IF(ISBLANK(PARTIDAS!$G266),PARTIDAS!$F266,CONCATENATE(PARTIDAS!$F266," (",PARTIDAS!$G266,")"))</f>
        <v>Salmones del Pacífico (Oncorhynchus nerka, Oncorhynchus gorbuscha, Oncorhynchus keta, Oncorhynchus tschawytscha, Oncorhynchus kisutch, Oncorhynchus ma</v>
      </c>
      <c r="I266" s="16" t="s">
        <v>9559</v>
      </c>
    </row>
    <row r="267" spans="1:9" x14ac:dyDescent="0.25">
      <c r="A267" s="16" t="s">
        <v>1108</v>
      </c>
      <c r="B267" s="16" t="str">
        <f>TEXT(PARTIDA[[#This Row],[PARTIDA]],"0000000000")</f>
        <v>0304820000</v>
      </c>
      <c r="C267" s="16" t="s">
        <v>786</v>
      </c>
      <c r="D267" s="16" t="s">
        <v>787</v>
      </c>
      <c r="E267" s="16" t="s">
        <v>788</v>
      </c>
      <c r="F267" s="27" t="s">
        <v>9556</v>
      </c>
      <c r="G267" s="27"/>
      <c r="H267" s="16" t="str">
        <f>IF(ISBLANK(PARTIDAS!$G267),PARTIDAS!$F267,CONCATENATE(PARTIDAS!$F267," (",PARTIDAS!$G267,")"))</f>
        <v>Truchas (Salmo trutta, Oncorhynchus mykiss, Oncorhynchus clarki, Oncorhynchus aguabonita, Oncorhynchus gilae, Oncorhynchus apache y Oncorhynchus chrys</v>
      </c>
      <c r="I267" s="16" t="s">
        <v>9559</v>
      </c>
    </row>
    <row r="268" spans="1:9" x14ac:dyDescent="0.25">
      <c r="A268" s="16" t="s">
        <v>1109</v>
      </c>
      <c r="B268" s="16" t="str">
        <f>TEXT(PARTIDA[[#This Row],[PARTIDA]],"0000000000")</f>
        <v>0304830000</v>
      </c>
      <c r="C268" s="16" t="s">
        <v>786</v>
      </c>
      <c r="D268" s="16" t="s">
        <v>787</v>
      </c>
      <c r="E268" s="16" t="s">
        <v>788</v>
      </c>
      <c r="F268" s="27" t="s">
        <v>9604</v>
      </c>
      <c r="G268" s="27"/>
      <c r="H268" s="16" t="str">
        <f>IF(ISBLANK(PARTIDAS!$G268),PARTIDAS!$F268,CONCATENATE(PARTIDAS!$F268," (",PARTIDAS!$G268,")"))</f>
        <v>Pescados planos (Pleuronectidae, Bothidae, Cynoglossidae, Soleidae, Scophthalmidae y Citharidae)</v>
      </c>
      <c r="I268" s="16" t="s">
        <v>9559</v>
      </c>
    </row>
    <row r="269" spans="1:9" x14ac:dyDescent="0.25">
      <c r="A269" s="16" t="s">
        <v>1110</v>
      </c>
      <c r="B269" s="16" t="str">
        <f>TEXT(PARTIDA[[#This Row],[PARTIDA]],"0000000000")</f>
        <v>0304840000</v>
      </c>
      <c r="C269" s="16" t="s">
        <v>786</v>
      </c>
      <c r="D269" s="16" t="s">
        <v>787</v>
      </c>
      <c r="E269" s="16" t="s">
        <v>788</v>
      </c>
      <c r="F269" s="27" t="s">
        <v>1001</v>
      </c>
      <c r="G269" s="27"/>
      <c r="H269" s="16" t="str">
        <f>IF(ISBLANK(PARTIDAS!$G269),PARTIDAS!$F269,CONCATENATE(PARTIDAS!$F269," (",PARTIDAS!$G269,")"))</f>
        <v>Peces espada</v>
      </c>
      <c r="I269" s="16" t="s">
        <v>9559</v>
      </c>
    </row>
    <row r="270" spans="1:9" x14ac:dyDescent="0.25">
      <c r="A270" s="16" t="s">
        <v>1111</v>
      </c>
      <c r="B270" s="16" t="str">
        <f>TEXT(PARTIDA[[#This Row],[PARTIDA]],"0000000000")</f>
        <v>0304850000</v>
      </c>
      <c r="C270" s="16" t="s">
        <v>786</v>
      </c>
      <c r="D270" s="16" t="s">
        <v>787</v>
      </c>
      <c r="E270" s="16" t="s">
        <v>788</v>
      </c>
      <c r="F270" s="27" t="s">
        <v>9588</v>
      </c>
      <c r="G270" s="27"/>
      <c r="H270" s="16" t="str">
        <f>IF(ISBLANK(PARTIDAS!$G270),PARTIDAS!$F270,CONCATENATE(PARTIDAS!$F270," (",PARTIDAS!$G270,")"))</f>
        <v>Austromerluzas antárticas y austromerluzas negras (merluzas negras, bacalaos de profundidad, nototenias negras) (Dissostichus spp.)</v>
      </c>
      <c r="I270" s="16" t="s">
        <v>9559</v>
      </c>
    </row>
    <row r="271" spans="1:9" x14ac:dyDescent="0.25">
      <c r="A271" s="16" t="s">
        <v>1112</v>
      </c>
      <c r="B271" s="16" t="str">
        <f>TEXT(PARTIDA[[#This Row],[PARTIDA]],"0000000000")</f>
        <v>0304860000</v>
      </c>
      <c r="C271" s="16" t="s">
        <v>786</v>
      </c>
      <c r="D271" s="16" t="s">
        <v>787</v>
      </c>
      <c r="E271" s="16" t="s">
        <v>788</v>
      </c>
      <c r="F271" s="27" t="s">
        <v>9571</v>
      </c>
      <c r="G271" s="27"/>
      <c r="H271" s="16" t="str">
        <f>IF(ISBLANK(PARTIDAS!$G271),PARTIDAS!$F271,CONCATENATE(PARTIDAS!$F271," (",PARTIDAS!$G271,")"))</f>
        <v>Arenques (Clupea harengus, Clupea pallasii)</v>
      </c>
      <c r="I271" s="16" t="s">
        <v>9559</v>
      </c>
    </row>
    <row r="272" spans="1:9" x14ac:dyDescent="0.25">
      <c r="A272" s="16" t="s">
        <v>1113</v>
      </c>
      <c r="B272" s="16" t="str">
        <f>TEXT(PARTIDA[[#This Row],[PARTIDA]],"0000000000")</f>
        <v>0304870000</v>
      </c>
      <c r="C272" s="16" t="s">
        <v>786</v>
      </c>
      <c r="D272" s="16" t="s">
        <v>787</v>
      </c>
      <c r="E272" s="16" t="s">
        <v>788</v>
      </c>
      <c r="F272" s="27" t="s">
        <v>9618</v>
      </c>
      <c r="G272" s="27"/>
      <c r="H272" s="16" t="str">
        <f>IF(ISBLANK(PARTIDAS!$G272),PARTIDAS!$F272,CONCATENATE(PARTIDAS!$F272," (",PARTIDAS!$G272,")"))</f>
        <v>Atunes (del género Thunnus), listados (bonitos de vientre rayado) (Katsuwonus pelamis)</v>
      </c>
      <c r="I272" s="16" t="s">
        <v>9559</v>
      </c>
    </row>
    <row r="273" spans="1:9" x14ac:dyDescent="0.25">
      <c r="A273" s="16" t="s">
        <v>1114</v>
      </c>
      <c r="B273" s="16" t="str">
        <f>TEXT(PARTIDA[[#This Row],[PARTIDA]],"0000000000")</f>
        <v>0304880000</v>
      </c>
      <c r="C273" s="16" t="s">
        <v>786</v>
      </c>
      <c r="D273" s="16" t="s">
        <v>787</v>
      </c>
      <c r="E273" s="16" t="s">
        <v>788</v>
      </c>
      <c r="F273" s="27" t="s">
        <v>9619</v>
      </c>
      <c r="G273" s="27"/>
      <c r="H273" s="16" t="str">
        <f>IF(ISBLANK(PARTIDAS!$G273),PARTIDAS!$F273,CONCATENATE(PARTIDAS!$F273," (",PARTIDAS!$G273,")"))</f>
        <v>Cazones, demás escualos y rayas (Rajidae)</v>
      </c>
      <c r="I273" s="16" t="s">
        <v>9559</v>
      </c>
    </row>
    <row r="274" spans="1:9" x14ac:dyDescent="0.25">
      <c r="A274" s="16" t="s">
        <v>1115</v>
      </c>
      <c r="B274" s="16" t="str">
        <f>TEXT(PARTIDA[[#This Row],[PARTIDA]],"0000000000")</f>
        <v>0304890000</v>
      </c>
      <c r="C274" s="16" t="s">
        <v>786</v>
      </c>
      <c r="D274" s="16" t="s">
        <v>787</v>
      </c>
      <c r="E274" s="16" t="s">
        <v>788</v>
      </c>
      <c r="F274" s="27" t="s">
        <v>1116</v>
      </c>
      <c r="G274" s="27" t="s">
        <v>852</v>
      </c>
      <c r="H274" s="16" t="str">
        <f>IF(ISBLANK(PARTIDAS!$G274),PARTIDAS!$F274,CONCATENATE(PARTIDAS!$F274," (",PARTIDAS!$G274,")"))</f>
        <v>Filete de pescado (Especificar)</v>
      </c>
      <c r="I274" s="16" t="s">
        <v>9559</v>
      </c>
    </row>
    <row r="275" spans="1:9" x14ac:dyDescent="0.25">
      <c r="A275" s="16" t="s">
        <v>1117</v>
      </c>
      <c r="B275" s="16" t="str">
        <f>TEXT(PARTIDA[[#This Row],[PARTIDA]],"0000000000")</f>
        <v>0304910000</v>
      </c>
      <c r="C275" s="16" t="s">
        <v>786</v>
      </c>
      <c r="D275" s="16" t="s">
        <v>787</v>
      </c>
      <c r="E275" s="16" t="s">
        <v>788</v>
      </c>
      <c r="F275" s="27" t="s">
        <v>1001</v>
      </c>
      <c r="G275" s="27"/>
      <c r="H275" s="16" t="str">
        <f>IF(ISBLANK(PARTIDAS!$G275),PARTIDAS!$F275,CONCATENATE(PARTIDAS!$F275," (",PARTIDAS!$G275,")"))</f>
        <v>Peces espada</v>
      </c>
      <c r="I275" s="16" t="s">
        <v>9559</v>
      </c>
    </row>
    <row r="276" spans="1:9" x14ac:dyDescent="0.25">
      <c r="A276" s="16" t="s">
        <v>1118</v>
      </c>
      <c r="B276" s="16" t="str">
        <f>TEXT(PARTIDA[[#This Row],[PARTIDA]],"0000000000")</f>
        <v>0304920000</v>
      </c>
      <c r="C276" s="16" t="s">
        <v>786</v>
      </c>
      <c r="D276" s="16" t="s">
        <v>787</v>
      </c>
      <c r="E276" s="16" t="s">
        <v>788</v>
      </c>
      <c r="F276" s="27" t="s">
        <v>9588</v>
      </c>
      <c r="G276" s="27"/>
      <c r="H276" s="16" t="str">
        <f>IF(ISBLANK(PARTIDAS!$G276),PARTIDAS!$F276,CONCATENATE(PARTIDAS!$F276," (",PARTIDAS!$G276,")"))</f>
        <v>Austromerluzas antárticas y austromerluzas negras (merluzas negras, bacalaos de profundidad, nototenias negras) (Dissostichus spp.)</v>
      </c>
      <c r="I276" s="16" t="s">
        <v>9559</v>
      </c>
    </row>
    <row r="277" spans="1:9" x14ac:dyDescent="0.25">
      <c r="A277" s="16" t="s">
        <v>1119</v>
      </c>
      <c r="B277" s="16" t="str">
        <f>TEXT(PARTIDA[[#This Row],[PARTIDA]],"0000000000")</f>
        <v>0304930000</v>
      </c>
      <c r="C277" s="16" t="s">
        <v>786</v>
      </c>
      <c r="D277" s="16" t="s">
        <v>787</v>
      </c>
      <c r="E277" s="16" t="s">
        <v>788</v>
      </c>
      <c r="F277" s="27" t="s">
        <v>961</v>
      </c>
      <c r="G277" s="27"/>
      <c r="H277" s="16" t="str">
        <f>IF(ISBLANK(PARTIDAS!$G277),PARTIDAS!$F277,CONCATENATE(PARTIDAS!$F277," (",PARTIDAS!$G277,")"))</f>
        <v>Peces ornamentales</v>
      </c>
      <c r="I277" s="16" t="s">
        <v>9559</v>
      </c>
    </row>
    <row r="278" spans="1:9" x14ac:dyDescent="0.25">
      <c r="A278" s="16" t="s">
        <v>1120</v>
      </c>
      <c r="B278" s="16" t="str">
        <f>TEXT(PARTIDA[[#This Row],[PARTIDA]],"0000000000")</f>
        <v>0304940000</v>
      </c>
      <c r="C278" s="16" t="s">
        <v>786</v>
      </c>
      <c r="D278" s="16" t="s">
        <v>787</v>
      </c>
      <c r="E278" s="16" t="s">
        <v>788</v>
      </c>
      <c r="F278" s="27" t="s">
        <v>9581</v>
      </c>
      <c r="G278" s="27"/>
      <c r="H278" s="16" t="str">
        <f>IF(ISBLANK(PARTIDAS!$G278),PARTIDAS!$F278,CONCATENATE(PARTIDAS!$F278," (",PARTIDAS!$G278,")"))</f>
        <v>Abadejos de Alaska (Theragra chalcogramma)</v>
      </c>
      <c r="I278" s="16" t="s">
        <v>9559</v>
      </c>
    </row>
    <row r="279" spans="1:9" x14ac:dyDescent="0.25">
      <c r="A279" s="16" t="s">
        <v>1121</v>
      </c>
      <c r="B279" s="16" t="str">
        <f>TEXT(PARTIDA[[#This Row],[PARTIDA]],"0000000000")</f>
        <v>0304950000</v>
      </c>
      <c r="C279" s="16" t="s">
        <v>786</v>
      </c>
      <c r="D279" s="16" t="s">
        <v>787</v>
      </c>
      <c r="E279" s="16" t="s">
        <v>788</v>
      </c>
      <c r="F279" s="27" t="s">
        <v>9620</v>
      </c>
      <c r="G279" s="27"/>
      <c r="H279" s="16" t="str">
        <f>IF(ISBLANK(PARTIDAS!$G279),PARTIDAS!$F279,CONCATENATE(PARTIDAS!$F279," (",PARTIDAS!$G279,")"))</f>
        <v>Pescados de las familias Bregmacerotidae, Euclichthyidae, Gadidae, Macrouridae, Melanonidae, Merlucciidae, Moridae y Muraenolepididae, excepto los aba</v>
      </c>
      <c r="I279" s="16" t="s">
        <v>9559</v>
      </c>
    </row>
    <row r="280" spans="1:9" x14ac:dyDescent="0.25">
      <c r="A280" s="16" t="s">
        <v>1122</v>
      </c>
      <c r="B280" s="16" t="str">
        <f>TEXT(PARTIDA[[#This Row],[PARTIDA]],"0000000000")</f>
        <v>0304960000</v>
      </c>
      <c r="C280" s="16" t="s">
        <v>786</v>
      </c>
      <c r="D280" s="16" t="s">
        <v>787</v>
      </c>
      <c r="E280" s="16" t="s">
        <v>788</v>
      </c>
      <c r="F280" s="27" t="s">
        <v>9586</v>
      </c>
      <c r="G280" s="27"/>
      <c r="H280" s="16" t="str">
        <f>IF(ISBLANK(PARTIDAS!$G280),PARTIDAS!$F280,CONCATENATE(PARTIDAS!$F280," (",PARTIDAS!$G280,")"))</f>
        <v>Cazones y demás escualos</v>
      </c>
      <c r="I280" s="16" t="s">
        <v>9559</v>
      </c>
    </row>
    <row r="281" spans="1:9" x14ac:dyDescent="0.25">
      <c r="A281" s="16" t="s">
        <v>1123</v>
      </c>
      <c r="B281" s="16" t="str">
        <f>TEXT(PARTIDA[[#This Row],[PARTIDA]],"0000000000")</f>
        <v>0304970000</v>
      </c>
      <c r="C281" s="16" t="s">
        <v>786</v>
      </c>
      <c r="D281" s="16" t="s">
        <v>787</v>
      </c>
      <c r="E281" s="16" t="s">
        <v>788</v>
      </c>
      <c r="F281" s="27" t="s">
        <v>9587</v>
      </c>
      <c r="G281" s="27"/>
      <c r="H281" s="16" t="str">
        <f>IF(ISBLANK(PARTIDAS!$G281),PARTIDAS!$F281,CONCATENATE(PARTIDAS!$F281," (",PARTIDAS!$G281,")"))</f>
        <v>Rayas (Rajidae)</v>
      </c>
      <c r="I281" s="16" t="s">
        <v>9559</v>
      </c>
    </row>
    <row r="282" spans="1:9" x14ac:dyDescent="0.25">
      <c r="A282" s="16" t="s">
        <v>1124</v>
      </c>
      <c r="B282" s="16" t="str">
        <f>TEXT(PARTIDA[[#This Row],[PARTIDA]],"0000000000")</f>
        <v>0304990000</v>
      </c>
      <c r="C282" s="16" t="s">
        <v>786</v>
      </c>
      <c r="D282" s="16" t="s">
        <v>787</v>
      </c>
      <c r="E282" s="16" t="s">
        <v>788</v>
      </c>
      <c r="F282" s="27" t="s">
        <v>1125</v>
      </c>
      <c r="G282" s="27"/>
      <c r="H282" s="16" t="str">
        <f>IF(ISBLANK(PARTIDAS!$G282),PARTIDAS!$F282,CONCATENATE(PARTIDAS!$F282," (",PARTIDAS!$G282,")"))</f>
        <v>Filete de paiche</v>
      </c>
      <c r="I282" s="16" t="s">
        <v>9559</v>
      </c>
    </row>
    <row r="283" spans="1:9" x14ac:dyDescent="0.25">
      <c r="A283" s="16" t="s">
        <v>1126</v>
      </c>
      <c r="B283" s="16" t="str">
        <f>TEXT(PARTIDA[[#This Row],[PARTIDA]],"0000000000")</f>
        <v>0305100000</v>
      </c>
      <c r="C283" s="16" t="s">
        <v>786</v>
      </c>
      <c r="D283" s="16" t="s">
        <v>787</v>
      </c>
      <c r="E283" s="16" t="s">
        <v>788</v>
      </c>
      <c r="F283" s="27" t="s">
        <v>9621</v>
      </c>
      <c r="G283" s="27"/>
      <c r="H283" s="16" t="str">
        <f>IF(ISBLANK(PARTIDAS!$G283),PARTIDAS!$F283,CONCATENATE(PARTIDAS!$F283," (",PARTIDAS!$G283,")"))</f>
        <v>Harina, polvo y «pellets» de pescado, aptos para la alimentación humana</v>
      </c>
      <c r="I283" s="16" t="s">
        <v>9622</v>
      </c>
    </row>
    <row r="284" spans="1:9" x14ac:dyDescent="0.25">
      <c r="A284" s="16" t="s">
        <v>1127</v>
      </c>
      <c r="B284" s="16" t="str">
        <f>TEXT(PARTIDA[[#This Row],[PARTIDA]],"0000000000")</f>
        <v>0305200000</v>
      </c>
      <c r="C284" s="16" t="s">
        <v>786</v>
      </c>
      <c r="D284" s="16" t="s">
        <v>787</v>
      </c>
      <c r="E284" s="16" t="s">
        <v>788</v>
      </c>
      <c r="F284" s="27" t="s">
        <v>9623</v>
      </c>
      <c r="G284" s="27"/>
      <c r="H284" s="16" t="str">
        <f>IF(ISBLANK(PARTIDAS!$G284),PARTIDAS!$F284,CONCATENATE(PARTIDAS!$F284," (",PARTIDAS!$G284,")"))</f>
        <v>Hígados, huevas y lechas, de pescado, secos, ahumados, salados o en salmuera</v>
      </c>
      <c r="I284" s="16" t="s">
        <v>9559</v>
      </c>
    </row>
    <row r="285" spans="1:9" x14ac:dyDescent="0.25">
      <c r="A285" s="16" t="s">
        <v>1128</v>
      </c>
      <c r="B285" s="16" t="str">
        <f>TEXT(PARTIDA[[#This Row],[PARTIDA]],"0000000000")</f>
        <v>0305310000</v>
      </c>
      <c r="C285" s="16" t="s">
        <v>786</v>
      </c>
      <c r="D285" s="16" t="s">
        <v>787</v>
      </c>
      <c r="E285" s="16" t="s">
        <v>788</v>
      </c>
      <c r="F285" s="27" t="s">
        <v>1083</v>
      </c>
      <c r="G285" s="27"/>
      <c r="H285" s="16" t="str">
        <f>IF(ISBLANK(PARTIDAS!$G285),PARTIDAS!$F285,CONCATENATE(PARTIDAS!$F285," (",PARTIDAS!$G285,")"))</f>
        <v>Tilapias</v>
      </c>
      <c r="I285" s="16" t="s">
        <v>9559</v>
      </c>
    </row>
    <row r="286" spans="1:9" x14ac:dyDescent="0.25">
      <c r="A286" s="16" t="s">
        <v>1129</v>
      </c>
      <c r="B286" s="16" t="str">
        <f>TEXT(PARTIDA[[#This Row],[PARTIDA]],"0000000000")</f>
        <v>0305320000</v>
      </c>
      <c r="C286" s="16" t="s">
        <v>786</v>
      </c>
      <c r="D286" s="16" t="s">
        <v>787</v>
      </c>
      <c r="E286" s="16" t="s">
        <v>788</v>
      </c>
      <c r="F286" s="27" t="s">
        <v>9605</v>
      </c>
      <c r="G286" s="27"/>
      <c r="H286" s="16" t="str">
        <f>IF(ISBLANK(PARTIDAS!$G286),PARTIDAS!$F286,CONCATENATE(PARTIDAS!$F286," (",PARTIDAS!$G286,")"))</f>
        <v>Pescados de las familias Bregmacerotidae, Euclichthyidae, Gadidae, Macrouridae, Melanonidae, Merlucciidae, Moridae y Muraenolepididae</v>
      </c>
      <c r="I286" s="16" t="s">
        <v>9559</v>
      </c>
    </row>
    <row r="287" spans="1:9" x14ac:dyDescent="0.25">
      <c r="A287" s="16" t="s">
        <v>1130</v>
      </c>
      <c r="B287" s="16" t="str">
        <f>TEXT(PARTIDA[[#This Row],[PARTIDA]],"0000000000")</f>
        <v>0305391000</v>
      </c>
      <c r="C287" s="16" t="s">
        <v>786</v>
      </c>
      <c r="D287" s="16" t="s">
        <v>787</v>
      </c>
      <c r="E287" s="16" t="s">
        <v>788</v>
      </c>
      <c r="F287" s="27" t="s">
        <v>9624</v>
      </c>
      <c r="G287" s="27"/>
      <c r="H287" s="16" t="str">
        <f>IF(ISBLANK(PARTIDAS!$G287),PARTIDAS!$F287,CONCATENATE(PARTIDAS!$F287," (",PARTIDAS!$G287,")"))</f>
        <v>Pescado seco, salado o en salmuera, filetes de pescado, secos, salados o en salmuera, sin ahumar, de bacalaos (Gadus morhua, Gadus ogac, Gadus macroce</v>
      </c>
      <c r="I287" s="16" t="s">
        <v>9559</v>
      </c>
    </row>
    <row r="288" spans="1:9" x14ac:dyDescent="0.25">
      <c r="A288" s="16" t="s">
        <v>1131</v>
      </c>
      <c r="B288" s="16" t="str">
        <f>TEXT(PARTIDA[[#This Row],[PARTIDA]],"0000000000")</f>
        <v>0305399000</v>
      </c>
      <c r="C288" s="16" t="s">
        <v>786</v>
      </c>
      <c r="D288" s="16" t="s">
        <v>787</v>
      </c>
      <c r="E288" s="16" t="s">
        <v>788</v>
      </c>
      <c r="F288" s="27" t="s">
        <v>9625</v>
      </c>
      <c r="G288" s="27"/>
      <c r="H288" s="16" t="str">
        <f>IF(ISBLANK(PARTIDAS!$G288),PARTIDAS!$F288,CONCATENATE(PARTIDAS!$F288," (",PARTIDAS!$G288,")"))</f>
        <v>Pescado seco, salado o en salmuera, filetes de pescado, secos, salados o en salmuera, sin ahumar (los demás)</v>
      </c>
      <c r="I288" s="16" t="s">
        <v>9559</v>
      </c>
    </row>
    <row r="289" spans="1:9" x14ac:dyDescent="0.25">
      <c r="A289" s="16" t="s">
        <v>1132</v>
      </c>
      <c r="B289" s="16" t="str">
        <f>TEXT(PARTIDA[[#This Row],[PARTIDA]],"0000000000")</f>
        <v>0305410000</v>
      </c>
      <c r="C289" s="16" t="s">
        <v>786</v>
      </c>
      <c r="D289" s="16" t="s">
        <v>787</v>
      </c>
      <c r="E289" s="16" t="s">
        <v>788</v>
      </c>
      <c r="F289" s="27" t="s">
        <v>9557</v>
      </c>
      <c r="G289" s="27"/>
      <c r="H289" s="16" t="str">
        <f>IF(ISBLANK(PARTIDAS!$G289),PARTIDAS!$F289,CONCATENATE(PARTIDAS!$F289," (",PARTIDAS!$G289,")"))</f>
        <v>Salmones del Pacífico (Oncorhynchus nerka, Oncorhynchus gorbuscha, Oncorhynchus keta, Oncorhynchus tschawytscha, Oncorhynchus kisutch, Oncorhynchus ma</v>
      </c>
      <c r="I289" s="16" t="s">
        <v>9559</v>
      </c>
    </row>
    <row r="290" spans="1:9" x14ac:dyDescent="0.25">
      <c r="A290" s="16" t="s">
        <v>1133</v>
      </c>
      <c r="B290" s="16" t="str">
        <f>TEXT(PARTIDA[[#This Row],[PARTIDA]],"0000000000")</f>
        <v>0305420000</v>
      </c>
      <c r="C290" s="16" t="s">
        <v>786</v>
      </c>
      <c r="D290" s="16" t="s">
        <v>787</v>
      </c>
      <c r="E290" s="16" t="s">
        <v>788</v>
      </c>
      <c r="F290" s="27" t="s">
        <v>9571</v>
      </c>
      <c r="G290" s="27"/>
      <c r="H290" s="16" t="str">
        <f>IF(ISBLANK(PARTIDAS!$G290),PARTIDAS!$F290,CONCATENATE(PARTIDAS!$F290," (",PARTIDAS!$G290,")"))</f>
        <v>Arenques (Clupea harengus, Clupea pallasii)</v>
      </c>
      <c r="I290" s="16" t="s">
        <v>9559</v>
      </c>
    </row>
    <row r="291" spans="1:9" x14ac:dyDescent="0.25">
      <c r="A291" s="16" t="s">
        <v>1134</v>
      </c>
      <c r="B291" s="16" t="str">
        <f>TEXT(PARTIDA[[#This Row],[PARTIDA]],"0000000000")</f>
        <v>0305430000</v>
      </c>
      <c r="C291" s="16" t="s">
        <v>786</v>
      </c>
      <c r="D291" s="16" t="s">
        <v>787</v>
      </c>
      <c r="E291" s="16" t="s">
        <v>788</v>
      </c>
      <c r="F291" s="27" t="s">
        <v>9556</v>
      </c>
      <c r="G291" s="27"/>
      <c r="H291" s="16" t="str">
        <f>IF(ISBLANK(PARTIDAS!$G291),PARTIDAS!$F291,CONCATENATE(PARTIDAS!$F291," (",PARTIDAS!$G291,")"))</f>
        <v>Truchas (Salmo trutta, Oncorhynchus mykiss, Oncorhynchus clarki, Oncorhynchus aguabonita, Oncorhynchus gilae, Oncorhynchus apache y Oncorhynchus chrys</v>
      </c>
      <c r="I291" s="16" t="s">
        <v>9559</v>
      </c>
    </row>
    <row r="292" spans="1:9" x14ac:dyDescent="0.25">
      <c r="A292" s="16" t="s">
        <v>1135</v>
      </c>
      <c r="B292" s="16" t="str">
        <f>TEXT(PARTIDA[[#This Row],[PARTIDA]],"0000000000")</f>
        <v>0305440000</v>
      </c>
      <c r="C292" s="16" t="s">
        <v>786</v>
      </c>
      <c r="D292" s="16" t="s">
        <v>787</v>
      </c>
      <c r="E292" s="16" t="s">
        <v>788</v>
      </c>
      <c r="F292" s="27" t="s">
        <v>1083</v>
      </c>
      <c r="G292" s="27"/>
      <c r="H292" s="16" t="str">
        <f>IF(ISBLANK(PARTIDAS!$G292),PARTIDAS!$F292,CONCATENATE(PARTIDAS!$F292," (",PARTIDAS!$G292,")"))</f>
        <v>Tilapias</v>
      </c>
      <c r="I292" s="16" t="s">
        <v>9559</v>
      </c>
    </row>
    <row r="293" spans="1:9" x14ac:dyDescent="0.25">
      <c r="A293" s="16" t="s">
        <v>1136</v>
      </c>
      <c r="B293" s="16" t="str">
        <f>TEXT(PARTIDA[[#This Row],[PARTIDA]],"0000000000")</f>
        <v>0305490000</v>
      </c>
      <c r="C293" s="16" t="s">
        <v>786</v>
      </c>
      <c r="D293" s="16" t="s">
        <v>787</v>
      </c>
      <c r="E293" s="16" t="s">
        <v>788</v>
      </c>
      <c r="F293" s="27" t="s">
        <v>9626</v>
      </c>
      <c r="G293" s="27"/>
      <c r="H293" s="16" t="str">
        <f>IF(ISBLANK(PARTIDAS!$G293),PARTIDAS!$F293,CONCATENATE(PARTIDAS!$F293," (",PARTIDAS!$G293,")"))</f>
        <v>Pescados ahumados, incluidos los filetes (los demás)</v>
      </c>
      <c r="I293" s="16" t="s">
        <v>9559</v>
      </c>
    </row>
    <row r="294" spans="1:9" x14ac:dyDescent="0.25">
      <c r="A294" s="16" t="s">
        <v>1137</v>
      </c>
      <c r="B294" s="16" t="str">
        <f>TEXT(PARTIDA[[#This Row],[PARTIDA]],"0000000000")</f>
        <v>0305510000</v>
      </c>
      <c r="C294" s="16" t="s">
        <v>786</v>
      </c>
      <c r="D294" s="16" t="s">
        <v>787</v>
      </c>
      <c r="E294" s="16" t="s">
        <v>788</v>
      </c>
      <c r="F294" s="27" t="s">
        <v>9577</v>
      </c>
      <c r="G294" s="27"/>
      <c r="H294" s="16" t="str">
        <f>IF(ISBLANK(PARTIDAS!$G294),PARTIDAS!$F294,CONCATENATE(PARTIDAS!$F294," (",PARTIDAS!$G294,")"))</f>
        <v>Bacalaos (Gadus morhua, Gadus ogac, Gadus macrocephalus)</v>
      </c>
      <c r="I294" s="16" t="s">
        <v>9559</v>
      </c>
    </row>
    <row r="295" spans="1:9" x14ac:dyDescent="0.25">
      <c r="A295" s="16" t="s">
        <v>1138</v>
      </c>
      <c r="B295" s="16" t="str">
        <f>TEXT(PARTIDA[[#This Row],[PARTIDA]],"0000000000")</f>
        <v>0305520000</v>
      </c>
      <c r="C295" s="16" t="s">
        <v>786</v>
      </c>
      <c r="D295" s="16" t="s">
        <v>787</v>
      </c>
      <c r="E295" s="16" t="s">
        <v>788</v>
      </c>
      <c r="F295" s="27" t="s">
        <v>1083</v>
      </c>
      <c r="G295" s="27"/>
      <c r="H295" s="16" t="str">
        <f>IF(ISBLANK(PARTIDAS!$G295),PARTIDAS!$F295,CONCATENATE(PARTIDAS!$F295," (",PARTIDAS!$G295,")"))</f>
        <v>Tilapias</v>
      </c>
      <c r="I295" s="16" t="s">
        <v>9559</v>
      </c>
    </row>
    <row r="296" spans="1:9" x14ac:dyDescent="0.25">
      <c r="A296" s="16" t="s">
        <v>1139</v>
      </c>
      <c r="B296" s="16" t="str">
        <f>TEXT(PARTIDA[[#This Row],[PARTIDA]],"0000000000")</f>
        <v>0305531000</v>
      </c>
      <c r="C296" s="16" t="s">
        <v>786</v>
      </c>
      <c r="D296" s="16" t="s">
        <v>787</v>
      </c>
      <c r="E296" s="16" t="s">
        <v>788</v>
      </c>
      <c r="F296" s="27" t="s">
        <v>9580</v>
      </c>
      <c r="G296" s="27"/>
      <c r="H296" s="16" t="str">
        <f>IF(ISBLANK(PARTIDAS!$G296),PARTIDAS!$F296,CONCATENATE(PARTIDAS!$F296," (",PARTIDAS!$G296,")"))</f>
        <v>Merluzas (Merluccius spp., Urophycis spp.)</v>
      </c>
      <c r="I296" s="16" t="s">
        <v>9559</v>
      </c>
    </row>
    <row r="297" spans="1:9" x14ac:dyDescent="0.25">
      <c r="A297" s="16" t="s">
        <v>1140</v>
      </c>
      <c r="B297" s="16" t="str">
        <f>TEXT(PARTIDA[[#This Row],[PARTIDA]],"0000000000")</f>
        <v>0305539000</v>
      </c>
      <c r="C297" s="16" t="s">
        <v>786</v>
      </c>
      <c r="D297" s="16" t="s">
        <v>787</v>
      </c>
      <c r="E297" s="16" t="s">
        <v>788</v>
      </c>
      <c r="F297" s="27" t="s">
        <v>9599</v>
      </c>
      <c r="G297" s="27"/>
      <c r="H297" s="16" t="str">
        <f>IF(ISBLANK(PARTIDAS!$G297),PARTIDAS!$F297,CONCATENATE(PARTIDAS!$F297," (",PARTIDAS!$G297,")"))</f>
        <v>Pescados de las familias Bregmacerotidae, Euclichthyidae, Gadidae… (los demás)</v>
      </c>
      <c r="I297" s="16" t="s">
        <v>9559</v>
      </c>
    </row>
    <row r="298" spans="1:9" x14ac:dyDescent="0.25">
      <c r="A298" s="16" t="s">
        <v>1141</v>
      </c>
      <c r="B298" s="16" t="str">
        <f>TEXT(PARTIDA[[#This Row],[PARTIDA]],"0000000000")</f>
        <v>0305540000</v>
      </c>
      <c r="C298" s="16" t="s">
        <v>786</v>
      </c>
      <c r="D298" s="16" t="s">
        <v>787</v>
      </c>
      <c r="E298" s="16" t="s">
        <v>788</v>
      </c>
      <c r="F298" s="27" t="s">
        <v>1083</v>
      </c>
      <c r="G298" s="27"/>
      <c r="H298" s="16" t="str">
        <f>IF(ISBLANK(PARTIDAS!$G298),PARTIDAS!$F298,CONCATENATE(PARTIDAS!$F298," (",PARTIDAS!$G298,")"))</f>
        <v>Tilapias</v>
      </c>
      <c r="I298" s="16" t="s">
        <v>9559</v>
      </c>
    </row>
    <row r="299" spans="1:9" x14ac:dyDescent="0.25">
      <c r="A299" s="16" t="s">
        <v>1142</v>
      </c>
      <c r="B299" s="16" t="str">
        <f>TEXT(PARTIDA[[#This Row],[PARTIDA]],"0000000000")</f>
        <v>0305590000</v>
      </c>
      <c r="C299" s="16" t="s">
        <v>786</v>
      </c>
      <c r="D299" s="16" t="s">
        <v>787</v>
      </c>
      <c r="E299" s="16" t="s">
        <v>788</v>
      </c>
      <c r="F299" s="27" t="s">
        <v>9627</v>
      </c>
      <c r="G299" s="27"/>
      <c r="H299" s="16" t="str">
        <f>IF(ISBLANK(PARTIDAS!$G299),PARTIDAS!$F299,CONCATENATE(PARTIDAS!$F299," (",PARTIDAS!$G299,")"))</f>
        <v>Pescado seco, incluso salado, sin ahumar (los demás)</v>
      </c>
      <c r="I299" s="16" t="s">
        <v>9559</v>
      </c>
    </row>
    <row r="300" spans="1:9" x14ac:dyDescent="0.25">
      <c r="A300" s="16" t="s">
        <v>1143</v>
      </c>
      <c r="B300" s="16" t="str">
        <f>TEXT(PARTIDA[[#This Row],[PARTIDA]],"0000000000")</f>
        <v>0305610000</v>
      </c>
      <c r="C300" s="16" t="s">
        <v>786</v>
      </c>
      <c r="D300" s="16" t="s">
        <v>787</v>
      </c>
      <c r="E300" s="16" t="s">
        <v>788</v>
      </c>
      <c r="F300" s="27" t="s">
        <v>9571</v>
      </c>
      <c r="G300" s="27"/>
      <c r="H300" s="16" t="str">
        <f>IF(ISBLANK(PARTIDAS!$G300),PARTIDAS!$F300,CONCATENATE(PARTIDAS!$F300," (",PARTIDAS!$G300,")"))</f>
        <v>Arenques (Clupea harengus, Clupea pallasii)</v>
      </c>
      <c r="I300" s="16" t="s">
        <v>9559</v>
      </c>
    </row>
    <row r="301" spans="1:9" x14ac:dyDescent="0.25">
      <c r="A301" s="16" t="s">
        <v>1144</v>
      </c>
      <c r="B301" s="16" t="str">
        <f>TEXT(PARTIDA[[#This Row],[PARTIDA]],"0000000000")</f>
        <v>0305620000</v>
      </c>
      <c r="C301" s="16" t="s">
        <v>786</v>
      </c>
      <c r="D301" s="16" t="s">
        <v>787</v>
      </c>
      <c r="E301" s="16" t="s">
        <v>788</v>
      </c>
      <c r="F301" s="27" t="s">
        <v>9577</v>
      </c>
      <c r="G301" s="27"/>
      <c r="H301" s="16" t="str">
        <f>IF(ISBLANK(PARTIDAS!$G301),PARTIDAS!$F301,CONCATENATE(PARTIDAS!$F301," (",PARTIDAS!$G301,")"))</f>
        <v>Bacalaos (Gadus morhua, Gadus ogac, Gadus macrocephalus)</v>
      </c>
      <c r="I301" s="16" t="s">
        <v>9559</v>
      </c>
    </row>
    <row r="302" spans="1:9" x14ac:dyDescent="0.25">
      <c r="A302" s="16" t="s">
        <v>1145</v>
      </c>
      <c r="B302" s="16" t="str">
        <f>TEXT(PARTIDA[[#This Row],[PARTIDA]],"0000000000")</f>
        <v>0305630000</v>
      </c>
      <c r="C302" s="16" t="s">
        <v>786</v>
      </c>
      <c r="D302" s="16" t="s">
        <v>787</v>
      </c>
      <c r="E302" s="16" t="s">
        <v>788</v>
      </c>
      <c r="F302" s="27" t="s">
        <v>995</v>
      </c>
      <c r="G302" s="27"/>
      <c r="H302" s="16" t="str">
        <f>IF(ISBLANK(PARTIDAS!$G302),PARTIDAS!$F302,CONCATENATE(PARTIDAS!$F302," (",PARTIDAS!$G302,")"))</f>
        <v>Pescado congelado (Anchoas)</v>
      </c>
      <c r="I302" s="16" t="s">
        <v>9559</v>
      </c>
    </row>
    <row r="303" spans="1:9" x14ac:dyDescent="0.25">
      <c r="A303" s="16" t="s">
        <v>1146</v>
      </c>
      <c r="B303" s="16" t="str">
        <f>TEXT(PARTIDA[[#This Row],[PARTIDA]],"0000000000")</f>
        <v>0305640000</v>
      </c>
      <c r="C303" s="16" t="s">
        <v>786</v>
      </c>
      <c r="D303" s="16" t="s">
        <v>787</v>
      </c>
      <c r="E303" s="16" t="s">
        <v>9429</v>
      </c>
      <c r="F303" s="27" t="s">
        <v>1083</v>
      </c>
      <c r="G303" s="27"/>
      <c r="H303" s="16" t="str">
        <f>IF(ISBLANK(PARTIDAS!$G303),PARTIDAS!$F303,CONCATENATE(PARTIDAS!$F303," (",PARTIDAS!$G303,")"))</f>
        <v>Tilapias</v>
      </c>
      <c r="I303" s="16" t="s">
        <v>9427</v>
      </c>
    </row>
    <row r="304" spans="1:9" x14ac:dyDescent="0.25">
      <c r="A304" s="16" t="s">
        <v>1147</v>
      </c>
      <c r="B304" s="16" t="str">
        <f>TEXT(PARTIDA[[#This Row],[PARTIDA]],"0000000000")</f>
        <v>0305690000</v>
      </c>
      <c r="C304" s="16" t="s">
        <v>786</v>
      </c>
      <c r="D304" s="16" t="s">
        <v>787</v>
      </c>
      <c r="E304" s="16" t="s">
        <v>9429</v>
      </c>
      <c r="F304" s="27" t="s">
        <v>9628</v>
      </c>
      <c r="G304" s="27"/>
      <c r="H304" s="16" t="str">
        <f>IF(ISBLANK(PARTIDAS!$G304),PARTIDAS!$F304,CONCATENATE(PARTIDAS!$F304," (",PARTIDAS!$G304,")"))</f>
        <v>Pescado salado sin secar ni ahumar y pescado en salmuera (los demás)</v>
      </c>
      <c r="I304" s="16" t="s">
        <v>9427</v>
      </c>
    </row>
    <row r="305" spans="1:9" x14ac:dyDescent="0.25">
      <c r="A305" s="16" t="s">
        <v>1148</v>
      </c>
      <c r="B305" s="16" t="str">
        <f>TEXT(PARTIDA[[#This Row],[PARTIDA]],"0000000000")</f>
        <v>0305710000</v>
      </c>
      <c r="C305" s="16" t="s">
        <v>786</v>
      </c>
      <c r="D305" s="16" t="s">
        <v>787</v>
      </c>
      <c r="E305" s="16" t="s">
        <v>9429</v>
      </c>
      <c r="F305" s="27" t="s">
        <v>9593</v>
      </c>
      <c r="G305" s="27"/>
      <c r="H305" s="16" t="str">
        <f>IF(ISBLANK(PARTIDAS!$G305),PARTIDAS!$F305,CONCATENATE(PARTIDAS!$F305," (",PARTIDAS!$G305,")"))</f>
        <v>Aletas de tiburón</v>
      </c>
      <c r="I305" s="16" t="s">
        <v>9427</v>
      </c>
    </row>
    <row r="306" spans="1:9" x14ac:dyDescent="0.25">
      <c r="A306" s="16" t="s">
        <v>1149</v>
      </c>
      <c r="B306" s="16" t="str">
        <f>TEXT(PARTIDA[[#This Row],[PARTIDA]],"0000000000")</f>
        <v>0305720000</v>
      </c>
      <c r="C306" s="16" t="s">
        <v>786</v>
      </c>
      <c r="D306" s="16" t="s">
        <v>787</v>
      </c>
      <c r="E306" s="16" t="s">
        <v>9429</v>
      </c>
      <c r="F306" s="27" t="s">
        <v>9629</v>
      </c>
      <c r="G306" s="27"/>
      <c r="H306" s="16" t="str">
        <f>IF(ISBLANK(PARTIDAS!$G306),PARTIDAS!$F306,CONCATENATE(PARTIDAS!$F306," (",PARTIDAS!$G306,")"))</f>
        <v>Cabezas, colas y vejigas natatorias, de pescado</v>
      </c>
      <c r="I306" s="16" t="s">
        <v>9427</v>
      </c>
    </row>
    <row r="307" spans="1:9" x14ac:dyDescent="0.25">
      <c r="A307" s="16" t="s">
        <v>1150</v>
      </c>
      <c r="B307" s="16" t="str">
        <f>TEXT(PARTIDA[[#This Row],[PARTIDA]],"0000000000")</f>
        <v>0305790000</v>
      </c>
      <c r="C307" s="16" t="s">
        <v>786</v>
      </c>
      <c r="D307" s="16" t="s">
        <v>787</v>
      </c>
      <c r="E307" s="16" t="s">
        <v>9429</v>
      </c>
      <c r="F307" s="27" t="s">
        <v>9630</v>
      </c>
      <c r="G307" s="27"/>
      <c r="H307" s="16" t="str">
        <f>IF(ISBLANK(PARTIDAS!$G307),PARTIDAS!$F307,CONCATENATE(PARTIDAS!$F307," (",PARTIDAS!$G307,")"))</f>
        <v>Aletas, cabezas, colas, vejigas natatorias y demás despojos… (los demás)</v>
      </c>
      <c r="I307" s="16" t="s">
        <v>9427</v>
      </c>
    </row>
    <row r="308" spans="1:9" x14ac:dyDescent="0.25">
      <c r="A308" s="16" t="s">
        <v>1151</v>
      </c>
      <c r="B308" s="16" t="str">
        <f>TEXT(PARTIDA[[#This Row],[PARTIDA]],"0000000000")</f>
        <v>0306110000</v>
      </c>
      <c r="C308" s="16" t="s">
        <v>786</v>
      </c>
      <c r="D308" s="16" t="s">
        <v>787</v>
      </c>
      <c r="E308" s="16" t="s">
        <v>788</v>
      </c>
      <c r="F308" s="27" t="s">
        <v>9631</v>
      </c>
      <c r="G308" s="27"/>
      <c r="H308" s="16" t="str">
        <f>IF(ISBLANK(PARTIDAS!$G308),PARTIDAS!$F308,CONCATENATE(PARTIDAS!$F308," (",PARTIDAS!$G308,")"))</f>
        <v>Langostas (Palinurus spp., Panulirus spp., Jasus spp.)</v>
      </c>
      <c r="I308" s="16" t="s">
        <v>9427</v>
      </c>
    </row>
    <row r="309" spans="1:9" x14ac:dyDescent="0.25">
      <c r="A309" s="16" t="s">
        <v>1152</v>
      </c>
      <c r="B309" s="16" t="str">
        <f>TEXT(PARTIDA[[#This Row],[PARTIDA]],"0000000000")</f>
        <v>0306120000</v>
      </c>
      <c r="C309" s="16" t="s">
        <v>786</v>
      </c>
      <c r="D309" s="16" t="s">
        <v>787</v>
      </c>
      <c r="E309" s="16" t="s">
        <v>788</v>
      </c>
      <c r="F309" s="27" t="s">
        <v>9632</v>
      </c>
      <c r="G309" s="27"/>
      <c r="H309" s="16" t="str">
        <f>IF(ISBLANK(PARTIDAS!$G309),PARTIDAS!$F309,CONCATENATE(PARTIDAS!$F309," (",PARTIDAS!$G309,")"))</f>
        <v>Bogavantes (Homarus spp.)</v>
      </c>
      <c r="I309" s="16" t="s">
        <v>9427</v>
      </c>
    </row>
    <row r="310" spans="1:9" x14ac:dyDescent="0.25">
      <c r="A310" s="16" t="s">
        <v>1153</v>
      </c>
      <c r="B310" s="16" t="str">
        <f>TEXT(PARTIDA[[#This Row],[PARTIDA]],"0000000000")</f>
        <v>0306140000</v>
      </c>
      <c r="C310" s="16" t="s">
        <v>786</v>
      </c>
      <c r="D310" s="16" t="s">
        <v>787</v>
      </c>
      <c r="E310" s="16" t="s">
        <v>788</v>
      </c>
      <c r="F310" s="27" t="s">
        <v>1154</v>
      </c>
      <c r="G310" s="27"/>
      <c r="H310" s="16" t="str">
        <f>IF(ISBLANK(PARTIDAS!$G310),PARTIDAS!$F310,CONCATENATE(PARTIDAS!$F310," (",PARTIDAS!$G310,")"))</f>
        <v>Cangrejos</v>
      </c>
      <c r="I310" s="16" t="s">
        <v>9427</v>
      </c>
    </row>
    <row r="311" spans="1:9" x14ac:dyDescent="0.25">
      <c r="A311" s="16" t="s">
        <v>1155</v>
      </c>
      <c r="B311" s="16" t="str">
        <f>TEXT(PARTIDA[[#This Row],[PARTIDA]],"0000000000")</f>
        <v>0306150000</v>
      </c>
      <c r="C311" s="16" t="s">
        <v>786</v>
      </c>
      <c r="D311" s="16" t="s">
        <v>787</v>
      </c>
      <c r="E311" s="16" t="s">
        <v>788</v>
      </c>
      <c r="F311" s="27" t="s">
        <v>9633</v>
      </c>
      <c r="G311" s="27"/>
      <c r="H311" s="16" t="str">
        <f>IF(ISBLANK(PARTIDAS!$G311),PARTIDAS!$F311,CONCATENATE(PARTIDAS!$F311," (",PARTIDAS!$G311,")"))</f>
        <v>Cigalas (Nephrops norvegicus)</v>
      </c>
      <c r="I311" s="16" t="s">
        <v>9427</v>
      </c>
    </row>
    <row r="312" spans="1:9" x14ac:dyDescent="0.25">
      <c r="A312" s="16" t="s">
        <v>1156</v>
      </c>
      <c r="B312" s="16" t="str">
        <f>TEXT(PARTIDA[[#This Row],[PARTIDA]],"0000000000")</f>
        <v>0306160000</v>
      </c>
      <c r="C312" s="16" t="s">
        <v>786</v>
      </c>
      <c r="D312" s="16" t="s">
        <v>787</v>
      </c>
      <c r="E312" s="16" t="s">
        <v>788</v>
      </c>
      <c r="F312" s="27" t="s">
        <v>1157</v>
      </c>
      <c r="G312" s="27"/>
      <c r="H312" s="16" t="str">
        <f>IF(ISBLANK(PARTIDAS!$G312),PARTIDAS!$F312,CONCATENATE(PARTIDAS!$F312," (",PARTIDAS!$G312,")"))</f>
        <v>Camarones</v>
      </c>
      <c r="I312" s="16" t="s">
        <v>9427</v>
      </c>
    </row>
    <row r="313" spans="1:9" x14ac:dyDescent="0.25">
      <c r="A313" s="16" t="s">
        <v>1158</v>
      </c>
      <c r="B313" s="16" t="str">
        <f>TEXT(PARTIDA[[#This Row],[PARTIDA]],"0000000000")</f>
        <v>0306171100</v>
      </c>
      <c r="C313" s="16" t="s">
        <v>786</v>
      </c>
      <c r="D313" s="16" t="s">
        <v>787</v>
      </c>
      <c r="E313" s="16" t="s">
        <v>788</v>
      </c>
      <c r="F313" s="27" t="s">
        <v>9634</v>
      </c>
      <c r="G313" s="27"/>
      <c r="H313" s="16" t="str">
        <f>IF(ISBLANK(PARTIDAS!$G313),PARTIDAS!$F313,CONCATENATE(PARTIDAS!$F313," (",PARTIDAS!$G313,")"))</f>
        <v>Langostinos (Géneros de la familia Penaeidae), enteros</v>
      </c>
      <c r="I313" s="16" t="s">
        <v>9427</v>
      </c>
    </row>
    <row r="314" spans="1:9" x14ac:dyDescent="0.25">
      <c r="A314" s="16" t="s">
        <v>1159</v>
      </c>
      <c r="B314" s="16" t="str">
        <f>TEXT(PARTIDA[[#This Row],[PARTIDA]],"0000000000")</f>
        <v>0306171200</v>
      </c>
      <c r="C314" s="16" t="s">
        <v>786</v>
      </c>
      <c r="D314" s="16" t="s">
        <v>787</v>
      </c>
      <c r="E314" s="16" t="s">
        <v>788</v>
      </c>
      <c r="F314" s="27" t="s">
        <v>9635</v>
      </c>
      <c r="G314" s="27"/>
      <c r="H314" s="16" t="str">
        <f>IF(ISBLANK(PARTIDAS!$G314),PARTIDAS!$F314,CONCATENATE(PARTIDAS!$F314," (",PARTIDAS!$G314,")"))</f>
        <v>Colas sin caparazón</v>
      </c>
      <c r="I314" s="16" t="s">
        <v>9427</v>
      </c>
    </row>
    <row r="315" spans="1:9" x14ac:dyDescent="0.25">
      <c r="A315" s="16" t="s">
        <v>1160</v>
      </c>
      <c r="B315" s="16" t="str">
        <f>TEXT(PARTIDA[[#This Row],[PARTIDA]],"0000000000")</f>
        <v>0306171300</v>
      </c>
      <c r="C315" s="16" t="s">
        <v>786</v>
      </c>
      <c r="D315" s="16" t="s">
        <v>787</v>
      </c>
      <c r="E315" s="16" t="s">
        <v>788</v>
      </c>
      <c r="F315" s="27" t="s">
        <v>9636</v>
      </c>
      <c r="G315" s="27"/>
      <c r="H315" s="16" t="str">
        <f>IF(ISBLANK(PARTIDAS!$G315),PARTIDAS!$F315,CONCATENATE(PARTIDAS!$F315," (",PARTIDAS!$G315,")"))</f>
        <v>Colas con caparazón, sin cocer en agua o vapor</v>
      </c>
      <c r="I315" s="16" t="s">
        <v>9427</v>
      </c>
    </row>
    <row r="316" spans="1:9" x14ac:dyDescent="0.25">
      <c r="A316" s="16" t="s">
        <v>1161</v>
      </c>
      <c r="B316" s="16" t="str">
        <f>TEXT(PARTIDA[[#This Row],[PARTIDA]],"0000000000")</f>
        <v>0306171400</v>
      </c>
      <c r="C316" s="16" t="s">
        <v>786</v>
      </c>
      <c r="D316" s="16" t="s">
        <v>787</v>
      </c>
      <c r="E316" s="16" t="s">
        <v>788</v>
      </c>
      <c r="F316" s="27" t="s">
        <v>9637</v>
      </c>
      <c r="G316" s="27"/>
      <c r="H316" s="16" t="str">
        <f>IF(ISBLANK(PARTIDAS!$G316),PARTIDAS!$F316,CONCATENATE(PARTIDAS!$F316," (",PARTIDAS!$G316,")"))</f>
        <v>Colas con caparazón, cocidos en agua o vapor</v>
      </c>
      <c r="I316" s="16" t="s">
        <v>9427</v>
      </c>
    </row>
    <row r="317" spans="1:9" x14ac:dyDescent="0.25">
      <c r="A317" s="16" t="s">
        <v>1162</v>
      </c>
      <c r="B317" s="16" t="str">
        <f>TEXT(PARTIDA[[#This Row],[PARTIDA]],"0000000000")</f>
        <v>0306171900</v>
      </c>
      <c r="C317" s="16" t="s">
        <v>786</v>
      </c>
      <c r="D317" s="16" t="s">
        <v>787</v>
      </c>
      <c r="E317" s="16" t="s">
        <v>788</v>
      </c>
      <c r="F317" s="27" t="s">
        <v>9638</v>
      </c>
      <c r="G317" s="27"/>
      <c r="H317" s="16" t="str">
        <f>IF(ISBLANK(PARTIDAS!$G317),PARTIDAS!$F317,CONCATENATE(PARTIDAS!$F317," (",PARTIDAS!$G317,")"))</f>
        <v>Langostinos (Géneros de la familia Penaeidae) (los demás)</v>
      </c>
      <c r="I317" s="16" t="s">
        <v>9427</v>
      </c>
    </row>
    <row r="318" spans="1:9" x14ac:dyDescent="0.25">
      <c r="A318" s="16" t="s">
        <v>1163</v>
      </c>
      <c r="B318" s="16" t="str">
        <f>TEXT(PARTIDA[[#This Row],[PARTIDA]],"0000000000")</f>
        <v>0306179100</v>
      </c>
      <c r="C318" s="16" t="s">
        <v>786</v>
      </c>
      <c r="D318" s="16" t="s">
        <v>787</v>
      </c>
      <c r="E318" s="16" t="s">
        <v>788</v>
      </c>
      <c r="F318" s="27" t="s">
        <v>1157</v>
      </c>
      <c r="G318" s="27"/>
      <c r="H318" s="16" t="str">
        <f>IF(ISBLANK(PARTIDAS!$G318),PARTIDAS!$F318,CONCATENATE(PARTIDAS!$F318," (",PARTIDAS!$G318,")"))</f>
        <v>Camarones</v>
      </c>
      <c r="I318" s="16" t="s">
        <v>9427</v>
      </c>
    </row>
    <row r="319" spans="1:9" x14ac:dyDescent="0.25">
      <c r="A319" s="16" t="s">
        <v>1164</v>
      </c>
      <c r="B319" s="16" t="str">
        <f>TEXT(PARTIDA[[#This Row],[PARTIDA]],"0000000000")</f>
        <v>0306179900</v>
      </c>
      <c r="C319" s="16" t="s">
        <v>786</v>
      </c>
      <c r="D319" s="16" t="s">
        <v>787</v>
      </c>
      <c r="E319" s="16" t="s">
        <v>788</v>
      </c>
      <c r="F319" s="27" t="s">
        <v>9639</v>
      </c>
      <c r="G319" s="27"/>
      <c r="H319" s="16" t="str">
        <f>IF(ISBLANK(PARTIDAS!$G319),PARTIDAS!$F319,CONCATENATE(PARTIDAS!$F319," (",PARTIDAS!$G319,")"))</f>
        <v>Crustáceos, incluso pelados, vivos, frescos…, congelados (los demás)</v>
      </c>
      <c r="I319" s="16" t="s">
        <v>9427</v>
      </c>
    </row>
    <row r="320" spans="1:9" x14ac:dyDescent="0.25">
      <c r="A320" s="16" t="s">
        <v>1165</v>
      </c>
      <c r="B320" s="16" t="str">
        <f>TEXT(PARTIDA[[#This Row],[PARTIDA]],"0000000000")</f>
        <v>0306190000</v>
      </c>
      <c r="C320" s="16" t="s">
        <v>786</v>
      </c>
      <c r="D320" s="16" t="s">
        <v>787</v>
      </c>
      <c r="E320" s="16" t="s">
        <v>788</v>
      </c>
      <c r="F320" s="27" t="s">
        <v>9639</v>
      </c>
      <c r="G320" s="27"/>
      <c r="H320" s="16" t="str">
        <f>IF(ISBLANK(PARTIDAS!$G320),PARTIDAS!$F320,CONCATENATE(PARTIDAS!$F320," (",PARTIDAS!$G320,")"))</f>
        <v>Crustáceos, incluso pelados, vivos, frescos…, congelados (los demás)</v>
      </c>
      <c r="I320" s="16" t="s">
        <v>9427</v>
      </c>
    </row>
    <row r="321" spans="1:9" x14ac:dyDescent="0.25">
      <c r="A321" s="16" t="s">
        <v>1166</v>
      </c>
      <c r="B321" s="16" t="str">
        <f>TEXT(PARTIDA[[#This Row],[PARTIDA]],"0000000000")</f>
        <v>0306310000</v>
      </c>
      <c r="C321" s="16" t="s">
        <v>786</v>
      </c>
      <c r="D321" s="16" t="s">
        <v>787</v>
      </c>
      <c r="E321" s="16" t="s">
        <v>788</v>
      </c>
      <c r="F321" s="27" t="s">
        <v>9631</v>
      </c>
      <c r="G321" s="27"/>
      <c r="H321" s="16" t="str">
        <f>IF(ISBLANK(PARTIDAS!$G321),PARTIDAS!$F321,CONCATENATE(PARTIDAS!$F321," (",PARTIDAS!$G321,")"))</f>
        <v>Langostas (Palinurus spp., Panulirus spp., Jasus spp.)</v>
      </c>
      <c r="I321" s="16" t="s">
        <v>9427</v>
      </c>
    </row>
    <row r="322" spans="1:9" x14ac:dyDescent="0.25">
      <c r="A322" s="16" t="s">
        <v>1167</v>
      </c>
      <c r="B322" s="16" t="str">
        <f>TEXT(PARTIDA[[#This Row],[PARTIDA]],"0000000000")</f>
        <v>0306320000</v>
      </c>
      <c r="C322" s="16" t="s">
        <v>786</v>
      </c>
      <c r="D322" s="16" t="s">
        <v>787</v>
      </c>
      <c r="E322" s="16" t="s">
        <v>788</v>
      </c>
      <c r="F322" s="27" t="s">
        <v>9632</v>
      </c>
      <c r="G322" s="27"/>
      <c r="H322" s="16" t="str">
        <f>IF(ISBLANK(PARTIDAS!$G322),PARTIDAS!$F322,CONCATENATE(PARTIDAS!$F322," (",PARTIDAS!$G322,")"))</f>
        <v>Bogavantes (Homarus spp.)</v>
      </c>
      <c r="I322" s="16" t="s">
        <v>9427</v>
      </c>
    </row>
    <row r="323" spans="1:9" x14ac:dyDescent="0.25">
      <c r="A323" s="16" t="s">
        <v>1168</v>
      </c>
      <c r="B323" s="16" t="str">
        <f>TEXT(PARTIDA[[#This Row],[PARTIDA]],"0000000000")</f>
        <v>0306330000</v>
      </c>
      <c r="C323" s="16" t="s">
        <v>786</v>
      </c>
      <c r="D323" s="16" t="s">
        <v>787</v>
      </c>
      <c r="E323" s="16" t="s">
        <v>788</v>
      </c>
      <c r="F323" s="27" t="s">
        <v>1154</v>
      </c>
      <c r="G323" s="27"/>
      <c r="H323" s="16" t="str">
        <f>IF(ISBLANK(PARTIDAS!$G323),PARTIDAS!$F323,CONCATENATE(PARTIDAS!$F323," (",PARTIDAS!$G323,")"))</f>
        <v>Cangrejos</v>
      </c>
      <c r="I323" s="16" t="s">
        <v>9427</v>
      </c>
    </row>
    <row r="324" spans="1:9" x14ac:dyDescent="0.25">
      <c r="A324" s="16" t="s">
        <v>1169</v>
      </c>
      <c r="B324" s="16" t="str">
        <f>TEXT(PARTIDA[[#This Row],[PARTIDA]],"0000000000")</f>
        <v>0306340000</v>
      </c>
      <c r="C324" s="16" t="s">
        <v>786</v>
      </c>
      <c r="D324" s="16" t="s">
        <v>787</v>
      </c>
      <c r="E324" s="16" t="s">
        <v>788</v>
      </c>
      <c r="F324" s="27" t="s">
        <v>9633</v>
      </c>
      <c r="G324" s="27"/>
      <c r="H324" s="16" t="str">
        <f>IF(ISBLANK(PARTIDAS!$G324),PARTIDAS!$F324,CONCATENATE(PARTIDAS!$F324," (",PARTIDAS!$G324,")"))</f>
        <v>Cigalas (Nephrops norvegicus)</v>
      </c>
      <c r="I324" s="16" t="s">
        <v>9427</v>
      </c>
    </row>
    <row r="325" spans="1:9" x14ac:dyDescent="0.25">
      <c r="A325" s="16" t="s">
        <v>1170</v>
      </c>
      <c r="B325" s="16" t="str">
        <f>TEXT(PARTIDA[[#This Row],[PARTIDA]],"0000000000")</f>
        <v>0306350000</v>
      </c>
      <c r="C325" s="16" t="s">
        <v>786</v>
      </c>
      <c r="D325" s="16" t="s">
        <v>787</v>
      </c>
      <c r="E325" s="16" t="s">
        <v>788</v>
      </c>
      <c r="F325" s="27" t="s">
        <v>1157</v>
      </c>
      <c r="G325" s="27"/>
      <c r="H325" s="16" t="str">
        <f>IF(ISBLANK(PARTIDAS!$G325),PARTIDAS!$F325,CONCATENATE(PARTIDAS!$F325," (",PARTIDAS!$G325,")"))</f>
        <v>Camarones</v>
      </c>
      <c r="I325" s="16" t="s">
        <v>9427</v>
      </c>
    </row>
    <row r="326" spans="1:9" x14ac:dyDescent="0.25">
      <c r="A326" s="16" t="s">
        <v>1171</v>
      </c>
      <c r="B326" s="16" t="str">
        <f>TEXT(PARTIDA[[#This Row],[PARTIDA]],"0000000000")</f>
        <v>0306361100</v>
      </c>
      <c r="C326" s="16" t="s">
        <v>786</v>
      </c>
      <c r="D326" s="16" t="s">
        <v>787</v>
      </c>
      <c r="E326" s="16" t="s">
        <v>788</v>
      </c>
      <c r="F326" s="27" t="s">
        <v>9640</v>
      </c>
      <c r="G326" s="27"/>
      <c r="H326" s="16" t="str">
        <f>IF(ISBLANK(PARTIDAS!$G326),PARTIDAS!$F326,CONCATENATE(PARTIDAS!$F326," (",PARTIDAS!$G326,")"))</f>
        <v>Langostinos (Géneros de la familia Penaeidae), para reproducción o cría industrial</v>
      </c>
      <c r="I326" s="16" t="s">
        <v>9427</v>
      </c>
    </row>
    <row r="327" spans="1:9" x14ac:dyDescent="0.25">
      <c r="A327" s="16" t="s">
        <v>1172</v>
      </c>
      <c r="B327" s="16" t="str">
        <f>TEXT(PARTIDA[[#This Row],[PARTIDA]],"0000000000")</f>
        <v>0306361910</v>
      </c>
      <c r="C327" s="16" t="s">
        <v>786</v>
      </c>
      <c r="D327" s="16" t="s">
        <v>787</v>
      </c>
      <c r="E327" s="16" t="s">
        <v>788</v>
      </c>
      <c r="F327" s="27" t="s">
        <v>9641</v>
      </c>
      <c r="G327" s="27"/>
      <c r="H327" s="16" t="str">
        <f>IF(ISBLANK(PARTIDAS!$G327),PARTIDAS!$F327,CONCATENATE(PARTIDAS!$F327," (",PARTIDAS!$G327,")"))</f>
        <v>Langostinos (Géneros de la familia Penaeidae), frescos o refrigerados</v>
      </c>
      <c r="I327" s="16" t="s">
        <v>9427</v>
      </c>
    </row>
    <row r="328" spans="1:9" x14ac:dyDescent="0.25">
      <c r="A328" s="16" t="s">
        <v>1173</v>
      </c>
      <c r="B328" s="16" t="str">
        <f>TEXT(PARTIDA[[#This Row],[PARTIDA]],"0000000000")</f>
        <v>0306361990</v>
      </c>
      <c r="C328" s="16" t="s">
        <v>786</v>
      </c>
      <c r="D328" s="16" t="s">
        <v>787</v>
      </c>
      <c r="E328" s="16" t="s">
        <v>788</v>
      </c>
      <c r="F328" s="27" t="s">
        <v>9638</v>
      </c>
      <c r="G328" s="27"/>
      <c r="H328" s="16" t="str">
        <f>IF(ISBLANK(PARTIDAS!$G328),PARTIDAS!$F328,CONCATENATE(PARTIDAS!$F328," (",PARTIDAS!$G328,")"))</f>
        <v>Langostinos (Géneros de la familia Penaeidae) (los demás)</v>
      </c>
      <c r="I328" s="16" t="s">
        <v>9427</v>
      </c>
    </row>
    <row r="329" spans="1:9" x14ac:dyDescent="0.25">
      <c r="A329" s="16" t="s">
        <v>1174</v>
      </c>
      <c r="B329" s="16" t="str">
        <f>TEXT(PARTIDA[[#This Row],[PARTIDA]],"0000000000")</f>
        <v>0306369100</v>
      </c>
      <c r="C329" s="16" t="s">
        <v>786</v>
      </c>
      <c r="D329" s="16" t="s">
        <v>787</v>
      </c>
      <c r="E329" s="16" t="s">
        <v>788</v>
      </c>
      <c r="F329" s="27" t="s">
        <v>1157</v>
      </c>
      <c r="G329" s="27"/>
      <c r="H329" s="16" t="str">
        <f>IF(ISBLANK(PARTIDAS!$G329),PARTIDAS!$F329,CONCATENATE(PARTIDAS!$F329," (",PARTIDAS!$G329,")"))</f>
        <v>Camarones</v>
      </c>
      <c r="I329" s="16" t="s">
        <v>9427</v>
      </c>
    </row>
    <row r="330" spans="1:9" x14ac:dyDescent="0.25">
      <c r="A330" s="16" t="s">
        <v>1175</v>
      </c>
      <c r="B330" s="16" t="str">
        <f>TEXT(PARTIDA[[#This Row],[PARTIDA]],"0000000000")</f>
        <v>0306369200</v>
      </c>
      <c r="C330" s="16" t="s">
        <v>786</v>
      </c>
      <c r="D330" s="16" t="s">
        <v>787</v>
      </c>
      <c r="E330" s="16" t="s">
        <v>788</v>
      </c>
      <c r="F330" s="27" t="s">
        <v>1157</v>
      </c>
      <c r="G330" s="27"/>
      <c r="H330" s="16" t="str">
        <f>IF(ISBLANK(PARTIDAS!$G330),PARTIDAS!$F330,CONCATENATE(PARTIDAS!$F330," (",PARTIDAS!$G330,")"))</f>
        <v>Camarones</v>
      </c>
      <c r="I330" s="16" t="s">
        <v>9427</v>
      </c>
    </row>
    <row r="331" spans="1:9" x14ac:dyDescent="0.25">
      <c r="A331" s="16" t="s">
        <v>1176</v>
      </c>
      <c r="B331" s="16" t="str">
        <f>TEXT(PARTIDA[[#This Row],[PARTIDA]],"0000000000")</f>
        <v>0306369900</v>
      </c>
      <c r="C331" s="16" t="s">
        <v>786</v>
      </c>
      <c r="D331" s="16" t="s">
        <v>787</v>
      </c>
      <c r="E331" s="16" t="s">
        <v>788</v>
      </c>
      <c r="F331" s="27" t="s">
        <v>9642</v>
      </c>
      <c r="G331" s="27"/>
      <c r="H331" s="16" t="str">
        <f>IF(ISBLANK(PARTIDAS!$G331),PARTIDAS!$F331,CONCATENATE(PARTIDAS!$F331," (",PARTIDAS!$G331,")"))</f>
        <v>Crustáceos, incluso pelados, vivos, frescos…, vivos, frescos o refrigerados (los demás)</v>
      </c>
      <c r="I331" s="16" t="s">
        <v>9427</v>
      </c>
    </row>
    <row r="332" spans="1:9" x14ac:dyDescent="0.25">
      <c r="A332" s="16" t="s">
        <v>1177</v>
      </c>
      <c r="B332" s="16" t="str">
        <f>TEXT(PARTIDA[[#This Row],[PARTIDA]],"0000000000")</f>
        <v>0306390000</v>
      </c>
      <c r="C332" s="16" t="s">
        <v>786</v>
      </c>
      <c r="D332" s="16" t="s">
        <v>787</v>
      </c>
      <c r="E332" s="16" t="s">
        <v>788</v>
      </c>
      <c r="F332" s="27" t="s">
        <v>9642</v>
      </c>
      <c r="G332" s="27"/>
      <c r="H332" s="16" t="str">
        <f>IF(ISBLANK(PARTIDAS!$G332),PARTIDAS!$F332,CONCATENATE(PARTIDAS!$F332," (",PARTIDAS!$G332,")"))</f>
        <v>Crustáceos, incluso pelados, vivos, frescos…, vivos, frescos o refrigerados (los demás)</v>
      </c>
      <c r="I332" s="16" t="s">
        <v>9427</v>
      </c>
    </row>
    <row r="333" spans="1:9" x14ac:dyDescent="0.25">
      <c r="A333" s="16" t="s">
        <v>1178</v>
      </c>
      <c r="B333" s="16" t="str">
        <f>TEXT(PARTIDA[[#This Row],[PARTIDA]],"0000000000")</f>
        <v>0306910000</v>
      </c>
      <c r="C333" s="16" t="s">
        <v>786</v>
      </c>
      <c r="D333" s="16" t="s">
        <v>787</v>
      </c>
      <c r="E333" s="16" t="s">
        <v>788</v>
      </c>
      <c r="F333" s="27" t="s">
        <v>9631</v>
      </c>
      <c r="G333" s="27"/>
      <c r="H333" s="16" t="str">
        <f>IF(ISBLANK(PARTIDAS!$G333),PARTIDAS!$F333,CONCATENATE(PARTIDAS!$F333," (",PARTIDAS!$G333,")"))</f>
        <v>Langostas (Palinurus spp., Panulirus spp., Jasus spp.)</v>
      </c>
      <c r="I333" s="16" t="s">
        <v>9427</v>
      </c>
    </row>
    <row r="334" spans="1:9" x14ac:dyDescent="0.25">
      <c r="A334" s="16" t="s">
        <v>1179</v>
      </c>
      <c r="B334" s="16" t="str">
        <f>TEXT(PARTIDA[[#This Row],[PARTIDA]],"0000000000")</f>
        <v>0306920000</v>
      </c>
      <c r="C334" s="16" t="s">
        <v>786</v>
      </c>
      <c r="D334" s="16" t="s">
        <v>787</v>
      </c>
      <c r="E334" s="16" t="s">
        <v>788</v>
      </c>
      <c r="F334" s="27" t="s">
        <v>9632</v>
      </c>
      <c r="G334" s="27"/>
      <c r="H334" s="16" t="str">
        <f>IF(ISBLANK(PARTIDAS!$G334),PARTIDAS!$F334,CONCATENATE(PARTIDAS!$F334," (",PARTIDAS!$G334,")"))</f>
        <v>Bogavantes (Homarus spp.)</v>
      </c>
      <c r="I334" s="16" t="s">
        <v>9427</v>
      </c>
    </row>
    <row r="335" spans="1:9" x14ac:dyDescent="0.25">
      <c r="A335" s="16" t="s">
        <v>1180</v>
      </c>
      <c r="B335" s="16" t="str">
        <f>TEXT(PARTIDA[[#This Row],[PARTIDA]],"0000000000")</f>
        <v>0306930000</v>
      </c>
      <c r="C335" s="16" t="s">
        <v>786</v>
      </c>
      <c r="D335" s="16" t="s">
        <v>787</v>
      </c>
      <c r="E335" s="16" t="s">
        <v>788</v>
      </c>
      <c r="F335" s="27" t="s">
        <v>9643</v>
      </c>
      <c r="G335" s="27"/>
      <c r="H335" s="16" t="str">
        <f>IF(ISBLANK(PARTIDAS!$G335),PARTIDAS!$F335,CONCATENATE(PARTIDAS!$F335," (",PARTIDAS!$G335,")"))</f>
        <v>Cangrejos (excepto macruros)</v>
      </c>
      <c r="I335" s="16" t="s">
        <v>9427</v>
      </c>
    </row>
    <row r="336" spans="1:9" x14ac:dyDescent="0.25">
      <c r="A336" s="16" t="s">
        <v>1181</v>
      </c>
      <c r="B336" s="16" t="str">
        <f>TEXT(PARTIDA[[#This Row],[PARTIDA]],"0000000000")</f>
        <v>0306940000</v>
      </c>
      <c r="C336" s="16" t="s">
        <v>786</v>
      </c>
      <c r="D336" s="16" t="s">
        <v>787</v>
      </c>
      <c r="E336" s="16" t="s">
        <v>788</v>
      </c>
      <c r="F336" s="27" t="s">
        <v>9633</v>
      </c>
      <c r="G336" s="27"/>
      <c r="H336" s="16" t="str">
        <f>IF(ISBLANK(PARTIDAS!$G336),PARTIDAS!$F336,CONCATENATE(PARTIDAS!$F336," (",PARTIDAS!$G336,")"))</f>
        <v>Cigalas (Nephrops norvegicus)</v>
      </c>
      <c r="I336" s="16" t="s">
        <v>9427</v>
      </c>
    </row>
    <row r="337" spans="1:9" x14ac:dyDescent="0.25">
      <c r="A337" s="16" t="s">
        <v>1182</v>
      </c>
      <c r="B337" s="16" t="str">
        <f>TEXT(PARTIDA[[#This Row],[PARTIDA]],"0000000000")</f>
        <v>0306951000</v>
      </c>
      <c r="C337" s="16" t="s">
        <v>786</v>
      </c>
      <c r="D337" s="16" t="s">
        <v>787</v>
      </c>
      <c r="E337" s="16" t="s">
        <v>788</v>
      </c>
      <c r="F337" s="27" t="s">
        <v>1157</v>
      </c>
      <c r="G337" s="27"/>
      <c r="H337" s="16" t="str">
        <f>IF(ISBLANK(PARTIDAS!$G337),PARTIDAS!$F337,CONCATENATE(PARTIDAS!$F337," (",PARTIDAS!$G337,")"))</f>
        <v>Camarones</v>
      </c>
      <c r="I337" s="16" t="s">
        <v>9427</v>
      </c>
    </row>
    <row r="338" spans="1:9" x14ac:dyDescent="0.25">
      <c r="A338" s="16" t="s">
        <v>1183</v>
      </c>
      <c r="B338" s="16" t="str">
        <f>TEXT(PARTIDA[[#This Row],[PARTIDA]],"0000000000")</f>
        <v>0306959000</v>
      </c>
      <c r="C338" s="16" t="s">
        <v>786</v>
      </c>
      <c r="D338" s="16" t="s">
        <v>787</v>
      </c>
      <c r="E338" s="16" t="s">
        <v>788</v>
      </c>
      <c r="F338" s="27" t="s">
        <v>9644</v>
      </c>
      <c r="G338" s="27"/>
      <c r="H338" s="16" t="str">
        <f>IF(ISBLANK(PARTIDAS!$G338),PARTIDAS!$F338,CONCATENATE(PARTIDAS!$F338," (",PARTIDAS!$G338,")"))</f>
        <v>Camarones, langostinos y demás decápodos Natantia (los demás)</v>
      </c>
      <c r="I338" s="16" t="s">
        <v>9427</v>
      </c>
    </row>
    <row r="339" spans="1:9" x14ac:dyDescent="0.25">
      <c r="A339" s="16" t="s">
        <v>9645</v>
      </c>
      <c r="B339" s="16" t="str">
        <f>TEXT(PARTIDA[[#This Row],[PARTIDA]],"0000000000")</f>
        <v>0306990000</v>
      </c>
      <c r="C339" s="16" t="s">
        <v>786</v>
      </c>
      <c r="D339" s="16" t="s">
        <v>787</v>
      </c>
      <c r="E339" s="16" t="s">
        <v>788</v>
      </c>
      <c r="F339" s="27" t="s">
        <v>9646</v>
      </c>
      <c r="G339" s="27"/>
      <c r="H339" s="16" t="str">
        <f>IF(ISBLANK(PARTIDAS!$G339),PARTIDAS!$F339,CONCATENATE(PARTIDAS!$F339," (",PARTIDAS!$G339,")"))</f>
        <v>Crustáceos, incluso pelados, vivos, frescos, refrigerados… (los demás)</v>
      </c>
      <c r="I339" s="16" t="s">
        <v>9427</v>
      </c>
    </row>
    <row r="340" spans="1:9" x14ac:dyDescent="0.25">
      <c r="A340" s="16" t="s">
        <v>1184</v>
      </c>
      <c r="B340" s="16" t="str">
        <f>TEXT(PARTIDA[[#This Row],[PARTIDA]],"0000000000")</f>
        <v>0306991000</v>
      </c>
      <c r="C340" s="16" t="s">
        <v>786</v>
      </c>
      <c r="D340" s="16" t="s">
        <v>787</v>
      </c>
      <c r="E340" s="16" t="s">
        <v>788</v>
      </c>
      <c r="F340" s="27" t="s">
        <v>9647</v>
      </c>
      <c r="G340" s="27"/>
      <c r="H340" s="16" t="str">
        <f>IF(ISBLANK(PARTIDAS!$G340),PARTIDAS!$F340,CONCATENATE(PARTIDAS!$F340," (",PARTIDAS!$G340,")"))</f>
        <v>Harina, polvo y «pellets»</v>
      </c>
      <c r="I340" s="16" t="s">
        <v>9648</v>
      </c>
    </row>
    <row r="341" spans="1:9" x14ac:dyDescent="0.25">
      <c r="A341" s="16" t="s">
        <v>1185</v>
      </c>
      <c r="B341" s="16" t="str">
        <f>TEXT(PARTIDA[[#This Row],[PARTIDA]],"0000000000")</f>
        <v>0306999000</v>
      </c>
      <c r="C341" s="16" t="s">
        <v>786</v>
      </c>
      <c r="D341" s="16" t="s">
        <v>787</v>
      </c>
      <c r="E341" s="16" t="s">
        <v>788</v>
      </c>
      <c r="F341" s="27" t="s">
        <v>9649</v>
      </c>
      <c r="G341" s="27"/>
      <c r="H341" s="16" t="str">
        <f>IF(ISBLANK(PARTIDAS!$G341),PARTIDAS!$F341,CONCATENATE(PARTIDAS!$F341," (",PARTIDAS!$G341,")"))</f>
        <v>Crustáceos, incluso pelados, vivos, frescos, refrigerados, congelados (los demás)</v>
      </c>
      <c r="I341" s="16" t="s">
        <v>9648</v>
      </c>
    </row>
    <row r="342" spans="1:9" x14ac:dyDescent="0.25">
      <c r="A342" s="16" t="s">
        <v>1186</v>
      </c>
      <c r="B342" s="16" t="str">
        <f>TEXT(PARTIDA[[#This Row],[PARTIDA]],"0000000000")</f>
        <v>0307110000</v>
      </c>
      <c r="C342" s="16" t="s">
        <v>786</v>
      </c>
      <c r="D342" s="16" t="s">
        <v>787</v>
      </c>
      <c r="E342" s="16" t="s">
        <v>788</v>
      </c>
      <c r="F342" s="27" t="s">
        <v>9650</v>
      </c>
      <c r="G342" s="27"/>
      <c r="H342" s="16" t="str">
        <f>IF(ISBLANK(PARTIDAS!$G342),PARTIDAS!$F342,CONCATENATE(PARTIDAS!$F342," (",PARTIDAS!$G342,")"))</f>
        <v>Ostras, vivas, frescas o refrigeradas</v>
      </c>
      <c r="I342" s="16" t="s">
        <v>9427</v>
      </c>
    </row>
    <row r="343" spans="1:9" x14ac:dyDescent="0.25">
      <c r="A343" s="16" t="s">
        <v>1187</v>
      </c>
      <c r="B343" s="16" t="str">
        <f>TEXT(PARTIDA[[#This Row],[PARTIDA]],"0000000000")</f>
        <v>0307120000</v>
      </c>
      <c r="C343" s="16" t="s">
        <v>786</v>
      </c>
      <c r="D343" s="16" t="s">
        <v>787</v>
      </c>
      <c r="E343" s="16" t="s">
        <v>788</v>
      </c>
      <c r="F343" s="27" t="s">
        <v>9651</v>
      </c>
      <c r="G343" s="27"/>
      <c r="H343" s="16" t="str">
        <f>IF(ISBLANK(PARTIDAS!$G343),PARTIDAS!$F343,CONCATENATE(PARTIDAS!$F343," (",PARTIDAS!$G343,")"))</f>
        <v>Ostras, congeladas</v>
      </c>
      <c r="I343" s="16" t="s">
        <v>9427</v>
      </c>
    </row>
    <row r="344" spans="1:9" x14ac:dyDescent="0.25">
      <c r="A344" s="16" t="s">
        <v>1188</v>
      </c>
      <c r="B344" s="16" t="str">
        <f>TEXT(PARTIDA[[#This Row],[PARTIDA]],"0000000000")</f>
        <v>0307190000</v>
      </c>
      <c r="C344" s="16" t="s">
        <v>786</v>
      </c>
      <c r="D344" s="16" t="s">
        <v>787</v>
      </c>
      <c r="E344" s="16" t="s">
        <v>788</v>
      </c>
      <c r="F344" s="27" t="s">
        <v>9652</v>
      </c>
      <c r="G344" s="27"/>
      <c r="H344" s="16" t="str">
        <f>IF(ISBLANK(PARTIDAS!$G344),PARTIDAS!$F344,CONCATENATE(PARTIDAS!$F344," (",PARTIDAS!$G344,")"))</f>
        <v>Ostras (los demás)</v>
      </c>
      <c r="I344" s="16" t="s">
        <v>9427</v>
      </c>
    </row>
    <row r="345" spans="1:9" x14ac:dyDescent="0.25">
      <c r="A345" s="16" t="s">
        <v>1189</v>
      </c>
      <c r="B345" s="16" t="str">
        <f>TEXT(PARTIDA[[#This Row],[PARTIDA]],"0000000000")</f>
        <v>0307211000</v>
      </c>
      <c r="C345" s="16" t="s">
        <v>786</v>
      </c>
      <c r="D345" s="16" t="s">
        <v>787</v>
      </c>
      <c r="E345" s="16" t="s">
        <v>788</v>
      </c>
      <c r="F345" s="27" t="s">
        <v>9653</v>
      </c>
      <c r="G345" s="27"/>
      <c r="H345" s="16" t="str">
        <f>IF(ISBLANK(PARTIDAS!$G345),PARTIDAS!$F345,CONCATENATE(PARTIDAS!$F345," (",PARTIDAS!$G345,")"))</f>
        <v>Vieiras (conchas de abanico) (Pecten jacobaeus)</v>
      </c>
      <c r="I345" s="16" t="s">
        <v>9427</v>
      </c>
    </row>
    <row r="346" spans="1:9" x14ac:dyDescent="0.25">
      <c r="A346" s="16" t="s">
        <v>1190</v>
      </c>
      <c r="B346" s="16" t="str">
        <f>TEXT(PARTIDA[[#This Row],[PARTIDA]],"0000000000")</f>
        <v>0307219000</v>
      </c>
      <c r="C346" s="16" t="s">
        <v>786</v>
      </c>
      <c r="D346" s="16" t="s">
        <v>787</v>
      </c>
      <c r="E346" s="16" t="s">
        <v>788</v>
      </c>
      <c r="F346" s="27" t="s">
        <v>9654</v>
      </c>
      <c r="G346" s="27"/>
      <c r="H346" s="16" t="str">
        <f>IF(ISBLANK(PARTIDAS!$G346),PARTIDAS!$F346,CONCATENATE(PARTIDAS!$F346," (",PARTIDAS!$G346,")"))</f>
        <v>Vieiras, volandeiras y demás moluscos de la familia…, vivos, frescos o refrigerados (los demás)</v>
      </c>
      <c r="I346" s="16" t="s">
        <v>9427</v>
      </c>
    </row>
    <row r="347" spans="1:9" x14ac:dyDescent="0.25">
      <c r="A347" s="16" t="s">
        <v>1191</v>
      </c>
      <c r="B347" s="16" t="str">
        <f>TEXT(PARTIDA[[#This Row],[PARTIDA]],"0000000000")</f>
        <v>0307221000</v>
      </c>
      <c r="C347" s="16" t="s">
        <v>786</v>
      </c>
      <c r="D347" s="16" t="s">
        <v>787</v>
      </c>
      <c r="E347" s="16" t="s">
        <v>788</v>
      </c>
      <c r="F347" s="27" t="s">
        <v>9655</v>
      </c>
      <c r="G347" s="27"/>
      <c r="H347" s="16" t="str">
        <f>IF(ISBLANK(PARTIDAS!$G347),PARTIDAS!$F347,CONCATENATE(PARTIDAS!$F347," (",PARTIDAS!$G347,")"))</f>
        <v>Vieiras (conchas de abanico) (Pecten Jacobaeus)</v>
      </c>
      <c r="I347" s="16" t="s">
        <v>9427</v>
      </c>
    </row>
    <row r="348" spans="1:9" x14ac:dyDescent="0.25">
      <c r="A348" s="16" t="s">
        <v>1192</v>
      </c>
      <c r="B348" s="16" t="str">
        <f>TEXT(PARTIDA[[#This Row],[PARTIDA]],"0000000000")</f>
        <v>0307229000</v>
      </c>
      <c r="C348" s="16" t="s">
        <v>786</v>
      </c>
      <c r="D348" s="16" t="s">
        <v>787</v>
      </c>
      <c r="E348" s="16" t="s">
        <v>788</v>
      </c>
      <c r="F348" s="27" t="s">
        <v>9656</v>
      </c>
      <c r="G348" s="27"/>
      <c r="H348" s="16" t="str">
        <f>IF(ISBLANK(PARTIDAS!$G348),PARTIDAS!$F348,CONCATENATE(PARTIDAS!$F348," (",PARTIDAS!$G348,")"))</f>
        <v>Vieiras, volandeiras y demás moluscos de la familia…, congelados (los demás)</v>
      </c>
      <c r="I348" s="16" t="s">
        <v>9427</v>
      </c>
    </row>
    <row r="349" spans="1:9" x14ac:dyDescent="0.25">
      <c r="A349" s="16" t="s">
        <v>1193</v>
      </c>
      <c r="B349" s="16" t="str">
        <f>TEXT(PARTIDA[[#This Row],[PARTIDA]],"0000000000")</f>
        <v>0307291000</v>
      </c>
      <c r="C349" s="16" t="s">
        <v>786</v>
      </c>
      <c r="D349" s="16" t="s">
        <v>787</v>
      </c>
      <c r="E349" s="16" t="s">
        <v>788</v>
      </c>
      <c r="F349" s="27" t="s">
        <v>9655</v>
      </c>
      <c r="G349" s="27"/>
      <c r="H349" s="16" t="str">
        <f>IF(ISBLANK(PARTIDAS!$G349),PARTIDAS!$F349,CONCATENATE(PARTIDAS!$F349," (",PARTIDAS!$G349,")"))</f>
        <v>Vieiras (conchas de abanico) (Pecten Jacobaeus)</v>
      </c>
      <c r="I349" s="16" t="s">
        <v>9427</v>
      </c>
    </row>
    <row r="350" spans="1:9" x14ac:dyDescent="0.25">
      <c r="A350" s="16" t="s">
        <v>1194</v>
      </c>
      <c r="B350" s="16" t="str">
        <f>TEXT(PARTIDA[[#This Row],[PARTIDA]],"0000000000")</f>
        <v>0307299000</v>
      </c>
      <c r="C350" s="16" t="s">
        <v>786</v>
      </c>
      <c r="D350" s="16" t="s">
        <v>787</v>
      </c>
      <c r="E350" s="16" t="s">
        <v>788</v>
      </c>
      <c r="F350" s="27" t="s">
        <v>9657</v>
      </c>
      <c r="G350" s="27"/>
      <c r="H350" s="16" t="str">
        <f>IF(ISBLANK(PARTIDAS!$G350),PARTIDAS!$F350,CONCATENATE(PARTIDAS!$F350," (",PARTIDAS!$G350,")"))</f>
        <v>Vieiras, volandeiras y demás moluscos de la familia Pectinidae (los demás)</v>
      </c>
      <c r="I350" s="16" t="s">
        <v>9427</v>
      </c>
    </row>
    <row r="351" spans="1:9" x14ac:dyDescent="0.25">
      <c r="A351" s="16" t="s">
        <v>1195</v>
      </c>
      <c r="B351" s="16" t="str">
        <f>TEXT(PARTIDA[[#This Row],[PARTIDA]],"0000000000")</f>
        <v>0307310000</v>
      </c>
      <c r="C351" s="16" t="s">
        <v>786</v>
      </c>
      <c r="D351" s="16" t="s">
        <v>787</v>
      </c>
      <c r="E351" s="16" t="s">
        <v>788</v>
      </c>
      <c r="F351" s="27" t="s">
        <v>9658</v>
      </c>
      <c r="G351" s="27"/>
      <c r="H351" s="16" t="str">
        <f>IF(ISBLANK(PARTIDAS!$G351),PARTIDAS!$F351,CONCATENATE(PARTIDAS!$F351," (",PARTIDAS!$G351,")"))</f>
        <v>Mejillones (Mytilus spp., Perna spp.), vivos, frescos o refrigerados</v>
      </c>
      <c r="I351" s="16" t="s">
        <v>9427</v>
      </c>
    </row>
    <row r="352" spans="1:9" x14ac:dyDescent="0.25">
      <c r="A352" s="16" t="s">
        <v>1196</v>
      </c>
      <c r="B352" s="16" t="str">
        <f>TEXT(PARTIDA[[#This Row],[PARTIDA]],"0000000000")</f>
        <v>0307320000</v>
      </c>
      <c r="C352" s="16" t="s">
        <v>786</v>
      </c>
      <c r="D352" s="16" t="s">
        <v>787</v>
      </c>
      <c r="E352" s="16" t="s">
        <v>788</v>
      </c>
      <c r="F352" s="27" t="s">
        <v>9659</v>
      </c>
      <c r="G352" s="27"/>
      <c r="H352" s="16" t="str">
        <f>IF(ISBLANK(PARTIDAS!$G352),PARTIDAS!$F352,CONCATENATE(PARTIDAS!$F352," (",PARTIDAS!$G352,")"))</f>
        <v>Mejillones (Mytilus spp., Perna spp.), congelados</v>
      </c>
      <c r="I352" s="16" t="s">
        <v>9427</v>
      </c>
    </row>
    <row r="353" spans="1:9" x14ac:dyDescent="0.25">
      <c r="A353" s="16" t="s">
        <v>1197</v>
      </c>
      <c r="B353" s="16" t="str">
        <f>TEXT(PARTIDA[[#This Row],[PARTIDA]],"0000000000")</f>
        <v>0307390000</v>
      </c>
      <c r="C353" s="16" t="s">
        <v>786</v>
      </c>
      <c r="D353" s="16" t="s">
        <v>787</v>
      </c>
      <c r="E353" s="16" t="s">
        <v>788</v>
      </c>
      <c r="F353" s="27" t="s">
        <v>9660</v>
      </c>
      <c r="G353" s="27"/>
      <c r="H353" s="16" t="str">
        <f>IF(ISBLANK(PARTIDAS!$G353),PARTIDAS!$F353,CONCATENATE(PARTIDAS!$F353," (",PARTIDAS!$G353,")"))</f>
        <v>Mejillones (Mytilus spp., Perna spp.) (los demás)</v>
      </c>
      <c r="I353" s="16" t="s">
        <v>9427</v>
      </c>
    </row>
    <row r="354" spans="1:9" x14ac:dyDescent="0.25">
      <c r="A354" s="16" t="s">
        <v>1198</v>
      </c>
      <c r="B354" s="16" t="str">
        <f>TEXT(PARTIDA[[#This Row],[PARTIDA]],"0000000000")</f>
        <v>0307420000</v>
      </c>
      <c r="C354" s="16" t="s">
        <v>786</v>
      </c>
      <c r="D354" s="16" t="s">
        <v>787</v>
      </c>
      <c r="E354" s="16" t="s">
        <v>788</v>
      </c>
      <c r="F354" s="27" t="s">
        <v>9661</v>
      </c>
      <c r="G354" s="27"/>
      <c r="H354" s="16" t="str">
        <f>IF(ISBLANK(PARTIDAS!$G354),PARTIDAS!$F354,CONCATENATE(PARTIDAS!$F354," (",PARTIDAS!$G354,")"))</f>
        <v>Jibias (sepias) y globitos, vivos, frescos o refrigerados</v>
      </c>
      <c r="I354" s="16" t="s">
        <v>9427</v>
      </c>
    </row>
    <row r="355" spans="1:9" x14ac:dyDescent="0.25">
      <c r="A355" s="16" t="s">
        <v>1199</v>
      </c>
      <c r="B355" s="16" t="str">
        <f>TEXT(PARTIDA[[#This Row],[PARTIDA]],"0000000000")</f>
        <v>0307430000</v>
      </c>
      <c r="C355" s="16" t="s">
        <v>786</v>
      </c>
      <c r="D355" s="16" t="s">
        <v>787</v>
      </c>
      <c r="E355" s="16" t="s">
        <v>788</v>
      </c>
      <c r="F355" s="27" t="s">
        <v>9662</v>
      </c>
      <c r="G355" s="27"/>
      <c r="H355" s="16" t="str">
        <f>IF(ISBLANK(PARTIDAS!$G355),PARTIDAS!$F355,CONCATENATE(PARTIDAS!$F355," (",PARTIDAS!$G355,")"))</f>
        <v>Jibias (sepias) y globitos, congelados</v>
      </c>
      <c r="I355" s="16" t="s">
        <v>9427</v>
      </c>
    </row>
    <row r="356" spans="1:9" x14ac:dyDescent="0.25">
      <c r="A356" s="16" t="s">
        <v>1200</v>
      </c>
      <c r="B356" s="16" t="str">
        <f>TEXT(PARTIDA[[#This Row],[PARTIDA]],"0000000000")</f>
        <v>0307490000</v>
      </c>
      <c r="C356" s="16" t="s">
        <v>786</v>
      </c>
      <c r="D356" s="16" t="s">
        <v>787</v>
      </c>
      <c r="E356" s="16" t="s">
        <v>788</v>
      </c>
      <c r="F356" s="27" t="s">
        <v>9663</v>
      </c>
      <c r="G356" s="27"/>
      <c r="H356" s="16" t="str">
        <f>IF(ISBLANK(PARTIDAS!$G356),PARTIDAS!$F356,CONCATENATE(PARTIDAS!$F356," (",PARTIDAS!$G356,")"))</f>
        <v>Jibias (sepias) y globitos (los demás)</v>
      </c>
      <c r="I356" s="16" t="s">
        <v>9427</v>
      </c>
    </row>
    <row r="357" spans="1:9" x14ac:dyDescent="0.25">
      <c r="A357" s="16" t="s">
        <v>1201</v>
      </c>
      <c r="B357" s="16" t="str">
        <f>TEXT(PARTIDA[[#This Row],[PARTIDA]],"0000000000")</f>
        <v>0307510000</v>
      </c>
      <c r="C357" s="16" t="s">
        <v>786</v>
      </c>
      <c r="D357" s="16" t="s">
        <v>787</v>
      </c>
      <c r="E357" s="16" t="s">
        <v>788</v>
      </c>
      <c r="F357" s="27" t="s">
        <v>9664</v>
      </c>
      <c r="G357" s="27"/>
      <c r="H357" s="16" t="str">
        <f>IF(ISBLANK(PARTIDAS!$G357),PARTIDAS!$F357,CONCATENATE(PARTIDAS!$F357," (",PARTIDAS!$G357,")"))</f>
        <v>Pulpos (Octopus spp.), vivos, frescos o refrigerados</v>
      </c>
      <c r="I357" s="16" t="s">
        <v>9427</v>
      </c>
    </row>
    <row r="358" spans="1:9" x14ac:dyDescent="0.25">
      <c r="A358" s="16" t="s">
        <v>1202</v>
      </c>
      <c r="B358" s="16" t="str">
        <f>TEXT(PARTIDA[[#This Row],[PARTIDA]],"0000000000")</f>
        <v>0307520000</v>
      </c>
      <c r="C358" s="16" t="s">
        <v>786</v>
      </c>
      <c r="D358" s="16" t="s">
        <v>787</v>
      </c>
      <c r="E358" s="16" t="s">
        <v>788</v>
      </c>
      <c r="F358" s="27" t="s">
        <v>9665</v>
      </c>
      <c r="G358" s="27"/>
      <c r="H358" s="16" t="str">
        <f>IF(ISBLANK(PARTIDAS!$G358),PARTIDAS!$F358,CONCATENATE(PARTIDAS!$F358," (",PARTIDAS!$G358,")"))</f>
        <v>Pulpos (Octopus spp.), congelados</v>
      </c>
      <c r="I358" s="16" t="s">
        <v>9427</v>
      </c>
    </row>
    <row r="359" spans="1:9" x14ac:dyDescent="0.25">
      <c r="A359" s="16" t="s">
        <v>1203</v>
      </c>
      <c r="B359" s="16" t="str">
        <f>TEXT(PARTIDA[[#This Row],[PARTIDA]],"0000000000")</f>
        <v>0307590000</v>
      </c>
      <c r="C359" s="16" t="s">
        <v>786</v>
      </c>
      <c r="D359" s="16" t="s">
        <v>787</v>
      </c>
      <c r="E359" s="16" t="s">
        <v>788</v>
      </c>
      <c r="F359" s="27" t="s">
        <v>9666</v>
      </c>
      <c r="G359" s="27"/>
      <c r="H359" s="16" t="str">
        <f>IF(ISBLANK(PARTIDAS!$G359),PARTIDAS!$F359,CONCATENATE(PARTIDAS!$F359," (",PARTIDAS!$G359,")"))</f>
        <v>Pulpos (Octopus spp.) (los demás)</v>
      </c>
      <c r="I359" s="16" t="s">
        <v>9427</v>
      </c>
    </row>
    <row r="360" spans="1:9" x14ac:dyDescent="0.25">
      <c r="A360" s="16" t="s">
        <v>1204</v>
      </c>
      <c r="B360" s="16" t="str">
        <f>TEXT(PARTIDA[[#This Row],[PARTIDA]],"0000000000")</f>
        <v>0307600000</v>
      </c>
      <c r="C360" s="16" t="s">
        <v>786</v>
      </c>
      <c r="D360" s="16" t="s">
        <v>787</v>
      </c>
      <c r="E360" s="16" t="s">
        <v>788</v>
      </c>
      <c r="F360" s="27" t="s">
        <v>9667</v>
      </c>
      <c r="G360" s="27"/>
      <c r="H360" s="16" t="str">
        <f>IF(ISBLANK(PARTIDAS!$G360),PARTIDAS!$F360,CONCATENATE(PARTIDAS!$F360," (",PARTIDAS!$G360,")"))</f>
        <v>Caracoles, excepto los de mar</v>
      </c>
      <c r="I360" s="16" t="s">
        <v>9427</v>
      </c>
    </row>
    <row r="361" spans="1:9" x14ac:dyDescent="0.25">
      <c r="A361" s="16" t="s">
        <v>1205</v>
      </c>
      <c r="B361" s="16" t="str">
        <f>TEXT(PARTIDA[[#This Row],[PARTIDA]],"0000000000")</f>
        <v>0307710000</v>
      </c>
      <c r="C361" s="16" t="s">
        <v>786</v>
      </c>
      <c r="D361" s="16" t="s">
        <v>787</v>
      </c>
      <c r="E361" s="16" t="s">
        <v>788</v>
      </c>
      <c r="F361" s="27" t="s">
        <v>9668</v>
      </c>
      <c r="G361" s="27"/>
      <c r="H361" s="16" t="str">
        <f>IF(ISBLANK(PARTIDAS!$G361),PARTIDAS!$F361,CONCATENATE(PARTIDAS!$F361," (",PARTIDAS!$G361,")"))</f>
        <v>Almejas, berberechos y arcas (familias Arcidae, Arcticidae…, vivos, frescos o refrigerados</v>
      </c>
      <c r="I361" s="16" t="s">
        <v>9427</v>
      </c>
    </row>
    <row r="362" spans="1:9" x14ac:dyDescent="0.25">
      <c r="A362" s="16" t="s">
        <v>1206</v>
      </c>
      <c r="B362" s="16" t="str">
        <f>TEXT(PARTIDA[[#This Row],[PARTIDA]],"0000000000")</f>
        <v>0307720000</v>
      </c>
      <c r="C362" s="16" t="s">
        <v>786</v>
      </c>
      <c r="D362" s="16" t="s">
        <v>787</v>
      </c>
      <c r="E362" s="16" t="s">
        <v>788</v>
      </c>
      <c r="F362" s="27" t="s">
        <v>9669</v>
      </c>
      <c r="G362" s="27"/>
      <c r="H362" s="16" t="str">
        <f>IF(ISBLANK(PARTIDAS!$G362),PARTIDAS!$F362,CONCATENATE(PARTIDAS!$F362," (",PARTIDAS!$G362,")"))</f>
        <v>Almejas, berberechos y arcas (familias Arcidae, Arcticidae…, congelados</v>
      </c>
      <c r="I362" s="16" t="s">
        <v>9427</v>
      </c>
    </row>
    <row r="363" spans="1:9" x14ac:dyDescent="0.25">
      <c r="A363" s="16" t="s">
        <v>1207</v>
      </c>
      <c r="B363" s="16" t="str">
        <f>TEXT(PARTIDA[[#This Row],[PARTIDA]],"0000000000")</f>
        <v>0307790000</v>
      </c>
      <c r="C363" s="16" t="s">
        <v>786</v>
      </c>
      <c r="D363" s="16" t="s">
        <v>787</v>
      </c>
      <c r="E363" s="16" t="s">
        <v>788</v>
      </c>
      <c r="F363" s="27" t="s">
        <v>9670</v>
      </c>
      <c r="G363" s="27"/>
      <c r="H363" s="16" t="str">
        <f>IF(ISBLANK(PARTIDAS!$G363),PARTIDAS!$F363,CONCATENATE(PARTIDAS!$F363," (",PARTIDAS!$G363,")"))</f>
        <v>Almejas, berberechos y arcas (familias Arcidae, Arcticidae… (los demás)</v>
      </c>
      <c r="I363" s="16" t="s">
        <v>9427</v>
      </c>
    </row>
    <row r="364" spans="1:9" x14ac:dyDescent="0.25">
      <c r="A364" s="16" t="s">
        <v>1208</v>
      </c>
      <c r="B364" s="16" t="str">
        <f>TEXT(PARTIDA[[#This Row],[PARTIDA]],"0000000000")</f>
        <v>0307810000</v>
      </c>
      <c r="C364" s="16" t="s">
        <v>786</v>
      </c>
      <c r="D364" s="16" t="s">
        <v>787</v>
      </c>
      <c r="E364" s="16" t="s">
        <v>788</v>
      </c>
      <c r="F364" s="27" t="s">
        <v>9671</v>
      </c>
      <c r="G364" s="27"/>
      <c r="H364" s="16" t="str">
        <f>IF(ISBLANK(PARTIDAS!$G364),PARTIDAS!$F364,CONCATENATE(PARTIDAS!$F364," (",PARTIDAS!$G364,")"))</f>
        <v>Abulones u orejas de mar (Haliotis spp.), vivos, frescos o refrigerados</v>
      </c>
      <c r="I364" s="16" t="s">
        <v>9427</v>
      </c>
    </row>
    <row r="365" spans="1:9" x14ac:dyDescent="0.25">
      <c r="A365" s="16" t="s">
        <v>1209</v>
      </c>
      <c r="B365" s="16" t="str">
        <f>TEXT(PARTIDA[[#This Row],[PARTIDA]],"0000000000")</f>
        <v>0307820000</v>
      </c>
      <c r="C365" s="16" t="s">
        <v>786</v>
      </c>
      <c r="D365" s="16" t="s">
        <v>787</v>
      </c>
      <c r="E365" s="16" t="s">
        <v>788</v>
      </c>
      <c r="F365" s="27" t="s">
        <v>9672</v>
      </c>
      <c r="G365" s="27"/>
      <c r="H365" s="16" t="str">
        <f>IF(ISBLANK(PARTIDAS!$G365),PARTIDAS!$F365,CONCATENATE(PARTIDAS!$F365," (",PARTIDAS!$G365,")"))</f>
        <v>Cobos (caracoles de mar) (Strombus spp.), vivos, frescos o refrigerados</v>
      </c>
      <c r="I365" s="16" t="s">
        <v>9427</v>
      </c>
    </row>
    <row r="366" spans="1:9" x14ac:dyDescent="0.25">
      <c r="A366" s="16" t="s">
        <v>1210</v>
      </c>
      <c r="B366" s="16" t="str">
        <f>TEXT(PARTIDA[[#This Row],[PARTIDA]],"0000000000")</f>
        <v>0307830000</v>
      </c>
      <c r="C366" s="16" t="s">
        <v>786</v>
      </c>
      <c r="D366" s="16" t="s">
        <v>787</v>
      </c>
      <c r="E366" s="16" t="s">
        <v>788</v>
      </c>
      <c r="F366" s="27" t="s">
        <v>9673</v>
      </c>
      <c r="G366" s="27"/>
      <c r="H366" s="16" t="str">
        <f>IF(ISBLANK(PARTIDAS!$G366),PARTIDAS!$F366,CONCATENATE(PARTIDAS!$F366," (",PARTIDAS!$G366,")"))</f>
        <v>Abulones u orejas de mar (Haliotis spp.), congelados</v>
      </c>
      <c r="I366" s="16" t="s">
        <v>9427</v>
      </c>
    </row>
    <row r="367" spans="1:9" x14ac:dyDescent="0.25">
      <c r="A367" s="16" t="s">
        <v>1211</v>
      </c>
      <c r="B367" s="16" t="str">
        <f>TEXT(PARTIDA[[#This Row],[PARTIDA]],"0000000000")</f>
        <v>0307840000</v>
      </c>
      <c r="C367" s="16" t="s">
        <v>786</v>
      </c>
      <c r="D367" s="16" t="s">
        <v>787</v>
      </c>
      <c r="E367" s="16" t="s">
        <v>788</v>
      </c>
      <c r="F367" s="27" t="s">
        <v>1212</v>
      </c>
      <c r="G367" s="27"/>
      <c r="H367" s="16" t="str">
        <f>IF(ISBLANK(PARTIDAS!$G367),PARTIDAS!$F367,CONCATENATE(PARTIDAS!$F367," (",PARTIDAS!$G367,")"))</f>
        <v>congelados</v>
      </c>
      <c r="I367" s="16" t="s">
        <v>9427</v>
      </c>
    </row>
    <row r="368" spans="1:9" x14ac:dyDescent="0.25">
      <c r="A368" s="16" t="s">
        <v>1213</v>
      </c>
      <c r="B368" s="16" t="str">
        <f>TEXT(PARTIDA[[#This Row],[PARTIDA]],"0000000000")</f>
        <v>0307870000</v>
      </c>
      <c r="C368" s="16" t="s">
        <v>786</v>
      </c>
      <c r="D368" s="16" t="s">
        <v>787</v>
      </c>
      <c r="E368" s="16" t="s">
        <v>788</v>
      </c>
      <c r="F368" s="27" t="s">
        <v>9674</v>
      </c>
      <c r="G368" s="27"/>
      <c r="H368" s="16" t="str">
        <f>IF(ISBLANK(PARTIDAS!$G368),PARTIDAS!$F368,CONCATENATE(PARTIDAS!$F368," (",PARTIDAS!$G368,")"))</f>
        <v>Abulones u orejas de mar (Haliotis spp.) y cobos (caracoles de mar)… (los demás, abulones u orejas de mar (Haliotis spp.))</v>
      </c>
      <c r="I368" s="16" t="s">
        <v>9427</v>
      </c>
    </row>
    <row r="369" spans="1:9" x14ac:dyDescent="0.25">
      <c r="A369" s="16" t="s">
        <v>1214</v>
      </c>
      <c r="B369" s="16" t="str">
        <f>TEXT(PARTIDA[[#This Row],[PARTIDA]],"0000000000")</f>
        <v>0307880000</v>
      </c>
      <c r="C369" s="16" t="s">
        <v>786</v>
      </c>
      <c r="D369" s="16" t="s">
        <v>787</v>
      </c>
      <c r="E369" s="16" t="s">
        <v>788</v>
      </c>
      <c r="F369" s="27" t="s">
        <v>9675</v>
      </c>
      <c r="G369" s="27"/>
      <c r="H369" s="16" t="str">
        <f>IF(ISBLANK(PARTIDAS!$G369),PARTIDAS!$F369,CONCATENATE(PARTIDAS!$F369," (",PARTIDAS!$G369,")"))</f>
        <v>Abulones u orejas de mar (Haliotis spp.) y cobos (caracoles de mar)… (los demás, cobos (caracoles de mar) (Strombus spp.))</v>
      </c>
      <c r="I369" s="16" t="s">
        <v>9427</v>
      </c>
    </row>
    <row r="370" spans="1:9" x14ac:dyDescent="0.25">
      <c r="A370" s="16" t="s">
        <v>1215</v>
      </c>
      <c r="B370" s="16" t="str">
        <f>TEXT(PARTIDA[[#This Row],[PARTIDA]],"0000000000")</f>
        <v>0307910000</v>
      </c>
      <c r="C370" s="16" t="s">
        <v>786</v>
      </c>
      <c r="D370" s="16" t="s">
        <v>787</v>
      </c>
      <c r="E370" s="16" t="s">
        <v>788</v>
      </c>
      <c r="F370" s="27" t="s">
        <v>9676</v>
      </c>
      <c r="G370" s="27"/>
      <c r="H370" s="16" t="str">
        <f>IF(ISBLANK(PARTIDAS!$G370),PARTIDAS!$F370,CONCATENATE(PARTIDAS!$F370," (",PARTIDAS!$G370,")"))</f>
        <v>Moluscos, incluso separados de sus valvas, vivos, frescos…, vivos, frescos o refrigerados</v>
      </c>
      <c r="I370" s="16" t="s">
        <v>9427</v>
      </c>
    </row>
    <row r="371" spans="1:9" x14ac:dyDescent="0.25">
      <c r="A371" s="16" t="s">
        <v>1216</v>
      </c>
      <c r="B371" s="16" t="str">
        <f>TEXT(PARTIDA[[#This Row],[PARTIDA]],"0000000000")</f>
        <v>0307921000</v>
      </c>
      <c r="C371" s="16" t="s">
        <v>786</v>
      </c>
      <c r="D371" s="16" t="s">
        <v>787</v>
      </c>
      <c r="E371" s="16" t="s">
        <v>788</v>
      </c>
      <c r="F371" s="27" t="s">
        <v>9677</v>
      </c>
      <c r="G371" s="27"/>
      <c r="H371" s="16" t="str">
        <f>IF(ISBLANK(PARTIDAS!$G371),PARTIDAS!$F371,CONCATENATE(PARTIDAS!$F371," (",PARTIDAS!$G371,")"))</f>
        <v>Locos (chanque, caracoles de mar) (Concholepas concholepas)</v>
      </c>
      <c r="I371" s="16" t="s">
        <v>9427</v>
      </c>
    </row>
    <row r="372" spans="1:9" x14ac:dyDescent="0.25">
      <c r="A372" s="16" t="s">
        <v>1217</v>
      </c>
      <c r="B372" s="16" t="str">
        <f>TEXT(PARTIDA[[#This Row],[PARTIDA]],"0000000000")</f>
        <v>0307922000</v>
      </c>
      <c r="C372" s="16" t="s">
        <v>786</v>
      </c>
      <c r="D372" s="16" t="s">
        <v>787</v>
      </c>
      <c r="E372" s="16" t="s">
        <v>788</v>
      </c>
      <c r="F372" s="27" t="s">
        <v>9678</v>
      </c>
      <c r="G372" s="27"/>
      <c r="H372" s="16" t="str">
        <f>IF(ISBLANK(PARTIDAS!$G372),PARTIDAS!$F372,CONCATENATE(PARTIDAS!$F372," (",PARTIDAS!$G372,")"))</f>
        <v>Moluscos, incluso separados de sus valvas, vivos…, congelados, lapas</v>
      </c>
      <c r="I372" s="16" t="s">
        <v>9427</v>
      </c>
    </row>
    <row r="373" spans="1:9" x14ac:dyDescent="0.25">
      <c r="A373" s="16" t="s">
        <v>1218</v>
      </c>
      <c r="B373" s="16" t="str">
        <f>TEXT(PARTIDA[[#This Row],[PARTIDA]],"0000000000")</f>
        <v>0307929010</v>
      </c>
      <c r="C373" s="16" t="s">
        <v>786</v>
      </c>
      <c r="D373" s="16" t="s">
        <v>787</v>
      </c>
      <c r="E373" s="16" t="s">
        <v>788</v>
      </c>
      <c r="F373" s="27" t="s">
        <v>9679</v>
      </c>
      <c r="G373" s="27"/>
      <c r="H373" s="16" t="str">
        <f>IF(ISBLANK(PARTIDAS!$G373),PARTIDAS!$F373,CONCATENATE(PARTIDAS!$F373," (",PARTIDAS!$G373,")"))</f>
        <v>Moluscos, incluso separados de sus valvas, vivos…, congelados, machas</v>
      </c>
      <c r="I373" s="16" t="s">
        <v>9427</v>
      </c>
    </row>
    <row r="374" spans="1:9" x14ac:dyDescent="0.25">
      <c r="A374" s="16" t="s">
        <v>1219</v>
      </c>
      <c r="B374" s="16" t="str">
        <f>TEXT(PARTIDA[[#This Row],[PARTIDA]],"0000000000")</f>
        <v>0307929090</v>
      </c>
      <c r="C374" s="16" t="s">
        <v>786</v>
      </c>
      <c r="D374" s="16" t="s">
        <v>787</v>
      </c>
      <c r="E374" s="16" t="s">
        <v>788</v>
      </c>
      <c r="F374" s="27" t="s">
        <v>9680</v>
      </c>
      <c r="G374" s="27"/>
      <c r="H374" s="16" t="str">
        <f>IF(ISBLANK(PARTIDAS!$G374),PARTIDAS!$F374,CONCATENATE(PARTIDAS!$F374," (",PARTIDAS!$G374,")"))</f>
        <v>Moluscos, incluso separados de sus valvas, vivos…, congelados (los demás)</v>
      </c>
      <c r="I374" s="16" t="s">
        <v>9427</v>
      </c>
    </row>
    <row r="375" spans="1:9" x14ac:dyDescent="0.25">
      <c r="A375" s="16" t="s">
        <v>1220</v>
      </c>
      <c r="B375" s="16" t="str">
        <f>TEXT(PARTIDA[[#This Row],[PARTIDA]],"0000000000")</f>
        <v>0307992000</v>
      </c>
      <c r="C375" s="16" t="s">
        <v>786</v>
      </c>
      <c r="D375" s="16" t="s">
        <v>787</v>
      </c>
      <c r="E375" s="16" t="s">
        <v>788</v>
      </c>
      <c r="F375" s="27" t="s">
        <v>9677</v>
      </c>
      <c r="G375" s="27"/>
      <c r="H375" s="16" t="str">
        <f>IF(ISBLANK(PARTIDAS!$G375),PARTIDAS!$F375,CONCATENATE(PARTIDAS!$F375," (",PARTIDAS!$G375,")"))</f>
        <v>Locos (chanque, caracoles de mar) (Concholepas concholepas)</v>
      </c>
      <c r="I375" s="16" t="s">
        <v>9427</v>
      </c>
    </row>
    <row r="376" spans="1:9" x14ac:dyDescent="0.25">
      <c r="A376" s="16" t="s">
        <v>1221</v>
      </c>
      <c r="B376" s="16" t="str">
        <f>TEXT(PARTIDA[[#This Row],[PARTIDA]],"0000000000")</f>
        <v>0307995000</v>
      </c>
      <c r="C376" s="16" t="s">
        <v>786</v>
      </c>
      <c r="D376" s="16" t="s">
        <v>787</v>
      </c>
      <c r="E376" s="16" t="s">
        <v>788</v>
      </c>
      <c r="F376" s="27" t="s">
        <v>9681</v>
      </c>
      <c r="G376" s="27"/>
      <c r="H376" s="16" t="str">
        <f>IF(ISBLANK(PARTIDAS!$G376),PARTIDAS!$F376,CONCATENATE(PARTIDAS!$F376," (",PARTIDAS!$G376,")"))</f>
        <v>Moluscos, incluso separados de sus valvas, vivos, frescos…, lapas</v>
      </c>
      <c r="I376" s="16" t="s">
        <v>9427</v>
      </c>
    </row>
    <row r="377" spans="1:9" x14ac:dyDescent="0.25">
      <c r="A377" s="16" t="s">
        <v>1222</v>
      </c>
      <c r="B377" s="16" t="str">
        <f>TEXT(PARTIDA[[#This Row],[PARTIDA]],"0000000000")</f>
        <v>0307999010</v>
      </c>
      <c r="C377" s="16" t="s">
        <v>786</v>
      </c>
      <c r="D377" s="16" t="s">
        <v>787</v>
      </c>
      <c r="E377" s="16" t="s">
        <v>788</v>
      </c>
      <c r="F377" s="27" t="s">
        <v>9682</v>
      </c>
      <c r="G377" s="27"/>
      <c r="H377" s="16" t="str">
        <f>IF(ISBLANK(PARTIDAS!$G377),PARTIDAS!$F377,CONCATENATE(PARTIDAS!$F377," (",PARTIDAS!$G377,")"))</f>
        <v>Moluscos, incluso separados de sus valvas, vivos, frescos…, machas</v>
      </c>
      <c r="I377" s="16" t="s">
        <v>9427</v>
      </c>
    </row>
    <row r="378" spans="1:9" x14ac:dyDescent="0.25">
      <c r="A378" s="16" t="s">
        <v>1223</v>
      </c>
      <c r="B378" s="16" t="str">
        <f>TEXT(PARTIDA[[#This Row],[PARTIDA]],"0000000000")</f>
        <v>0307999090</v>
      </c>
      <c r="C378" s="16" t="s">
        <v>786</v>
      </c>
      <c r="D378" s="16" t="s">
        <v>787</v>
      </c>
      <c r="E378" s="16" t="s">
        <v>788</v>
      </c>
      <c r="F378" s="27" t="s">
        <v>9683</v>
      </c>
      <c r="G378" s="27"/>
      <c r="H378" s="16" t="str">
        <f>IF(ISBLANK(PARTIDAS!$G378),PARTIDAS!$F378,CONCATENATE(PARTIDAS!$F378," (",PARTIDAS!$G378,")"))</f>
        <v>Moluscos, incluso separados de sus valvas, vivos, frescos… (los demás)</v>
      </c>
      <c r="I378" s="16" t="s">
        <v>9427</v>
      </c>
    </row>
    <row r="379" spans="1:9" x14ac:dyDescent="0.25">
      <c r="A379" s="16" t="s">
        <v>1224</v>
      </c>
      <c r="B379" s="16" t="str">
        <f>TEXT(PARTIDA[[#This Row],[PARTIDA]],"0000000000")</f>
        <v>0308110000</v>
      </c>
      <c r="C379" s="16" t="s">
        <v>786</v>
      </c>
      <c r="D379" s="16" t="s">
        <v>787</v>
      </c>
      <c r="E379" s="16" t="s">
        <v>788</v>
      </c>
      <c r="F379" s="27" t="s">
        <v>9684</v>
      </c>
      <c r="G379" s="27"/>
      <c r="H379" s="16" t="str">
        <f>IF(ISBLANK(PARTIDAS!$G379),PARTIDAS!$F379,CONCATENATE(PARTIDAS!$F379," (",PARTIDAS!$G379,")"))</f>
        <v>Pepinos de mar (Stichopus japonicus, Holothuroidea), vivos, frescos o refrigerados</v>
      </c>
      <c r="I379" s="16" t="s">
        <v>9427</v>
      </c>
    </row>
    <row r="380" spans="1:9" x14ac:dyDescent="0.25">
      <c r="A380" s="16" t="s">
        <v>1225</v>
      </c>
      <c r="B380" s="16" t="str">
        <f>TEXT(PARTIDA[[#This Row],[PARTIDA]],"0000000000")</f>
        <v>0308120000</v>
      </c>
      <c r="C380" s="16" t="s">
        <v>786</v>
      </c>
      <c r="D380" s="16" t="s">
        <v>787</v>
      </c>
      <c r="E380" s="16" t="s">
        <v>788</v>
      </c>
      <c r="F380" s="27" t="s">
        <v>9685</v>
      </c>
      <c r="G380" s="27"/>
      <c r="H380" s="16" t="str">
        <f>IF(ISBLANK(PARTIDAS!$G380),PARTIDAS!$F380,CONCATENATE(PARTIDAS!$F380," (",PARTIDAS!$G380,")"))</f>
        <v>Pepinos de mar (Stichopus japonicus, Holothuroidea), congelados</v>
      </c>
      <c r="I380" s="16" t="s">
        <v>9427</v>
      </c>
    </row>
    <row r="381" spans="1:9" x14ac:dyDescent="0.25">
      <c r="A381" s="16" t="s">
        <v>1226</v>
      </c>
      <c r="B381" s="16" t="str">
        <f>TEXT(PARTIDA[[#This Row],[PARTIDA]],"0000000000")</f>
        <v>0308190000</v>
      </c>
      <c r="C381" s="16" t="s">
        <v>786</v>
      </c>
      <c r="D381" s="16" t="s">
        <v>787</v>
      </c>
      <c r="E381" s="16" t="s">
        <v>788</v>
      </c>
      <c r="F381" s="27" t="s">
        <v>9686</v>
      </c>
      <c r="G381" s="27"/>
      <c r="H381" s="16" t="str">
        <f>IF(ISBLANK(PARTIDAS!$G381),PARTIDAS!$F381,CONCATENATE(PARTIDAS!$F381," (",PARTIDAS!$G381,")"))</f>
        <v>Pepinos de mar (Stichopus japonicus, Holothuroidea) (los demás)</v>
      </c>
      <c r="I381" s="16" t="s">
        <v>9427</v>
      </c>
    </row>
    <row r="382" spans="1:9" x14ac:dyDescent="0.25">
      <c r="A382" s="16" t="s">
        <v>1227</v>
      </c>
      <c r="B382" s="16" t="str">
        <f>TEXT(PARTIDA[[#This Row],[PARTIDA]],"0000000000")</f>
        <v>0308210000</v>
      </c>
      <c r="C382" s="16" t="s">
        <v>786</v>
      </c>
      <c r="D382" s="16" t="s">
        <v>787</v>
      </c>
      <c r="E382" s="16" t="s">
        <v>788</v>
      </c>
      <c r="F382" s="27" t="s">
        <v>9687</v>
      </c>
      <c r="G382" s="27"/>
      <c r="H382" s="16" t="str">
        <f>IF(ISBLANK(PARTIDAS!$G382),PARTIDAS!$F382,CONCATENATE(PARTIDAS!$F382," (",PARTIDAS!$G382,")"))</f>
        <v>Erizos de mar (Strongylocentrotus spp., Paracentrotus lividus…, vivos, frescos o refrigerados</v>
      </c>
      <c r="I382" s="16" t="s">
        <v>9427</v>
      </c>
    </row>
    <row r="383" spans="1:9" x14ac:dyDescent="0.25">
      <c r="A383" s="16" t="s">
        <v>1228</v>
      </c>
      <c r="B383" s="16" t="str">
        <f>TEXT(PARTIDA[[#This Row],[PARTIDA]],"0000000000")</f>
        <v>0308220000</v>
      </c>
      <c r="C383" s="16" t="s">
        <v>786</v>
      </c>
      <c r="D383" s="16" t="s">
        <v>787</v>
      </c>
      <c r="E383" s="16" t="s">
        <v>788</v>
      </c>
      <c r="F383" s="27" t="s">
        <v>9688</v>
      </c>
      <c r="G383" s="27"/>
      <c r="H383" s="16" t="str">
        <f>IF(ISBLANK(PARTIDAS!$G383),PARTIDAS!$F383,CONCATENATE(PARTIDAS!$F383," (",PARTIDAS!$G383,")"))</f>
        <v>Erizos de mar (Strongylocentrotus spp., Paracentrotus lividus…, congelados</v>
      </c>
      <c r="I383" s="16" t="s">
        <v>9427</v>
      </c>
    </row>
    <row r="384" spans="1:9" x14ac:dyDescent="0.25">
      <c r="A384" s="16" t="s">
        <v>1229</v>
      </c>
      <c r="B384" s="16" t="str">
        <f>TEXT(PARTIDA[[#This Row],[PARTIDA]],"0000000000")</f>
        <v>0308290000</v>
      </c>
      <c r="C384" s="16" t="s">
        <v>786</v>
      </c>
      <c r="D384" s="16" t="s">
        <v>787</v>
      </c>
      <c r="E384" s="16" t="s">
        <v>788</v>
      </c>
      <c r="F384" s="27" t="s">
        <v>9689</v>
      </c>
      <c r="G384" s="27"/>
      <c r="H384" s="16" t="str">
        <f>IF(ISBLANK(PARTIDAS!$G384),PARTIDAS!$F384,CONCATENATE(PARTIDAS!$F384," (",PARTIDAS!$G384,")"))</f>
        <v>Erizos de mar (Strongylocentrotus spp., Paracentrotus lividus… (los demás)</v>
      </c>
      <c r="I384" s="16" t="s">
        <v>9427</v>
      </c>
    </row>
    <row r="385" spans="1:9" x14ac:dyDescent="0.25">
      <c r="A385" s="16" t="s">
        <v>1230</v>
      </c>
      <c r="B385" s="16" t="str">
        <f>TEXT(PARTIDA[[#This Row],[PARTIDA]],"0000000000")</f>
        <v>0308300000</v>
      </c>
      <c r="C385" s="16" t="s">
        <v>786</v>
      </c>
      <c r="D385" s="16" t="s">
        <v>787</v>
      </c>
      <c r="E385" s="16" t="s">
        <v>788</v>
      </c>
      <c r="F385" s="27" t="s">
        <v>9690</v>
      </c>
      <c r="G385" s="27"/>
      <c r="H385" s="16" t="str">
        <f>IF(ISBLANK(PARTIDAS!$G385),PARTIDAS!$F385,CONCATENATE(PARTIDAS!$F385," (",PARTIDAS!$G385,")"))</f>
        <v>Medusas (Rhopilema spp.)</v>
      </c>
      <c r="I385" s="16" t="s">
        <v>9427</v>
      </c>
    </row>
    <row r="386" spans="1:9" x14ac:dyDescent="0.25">
      <c r="A386" s="16" t="s">
        <v>1231</v>
      </c>
      <c r="B386" s="16" t="str">
        <f>TEXT(PARTIDA[[#This Row],[PARTIDA]],"0000000000")</f>
        <v>0308900000</v>
      </c>
      <c r="C386" s="16" t="s">
        <v>786</v>
      </c>
      <c r="D386" s="16" t="s">
        <v>787</v>
      </c>
      <c r="E386" s="16" t="s">
        <v>788</v>
      </c>
      <c r="F386" s="27" t="s">
        <v>9691</v>
      </c>
      <c r="G386" s="27"/>
      <c r="H386" s="16" t="str">
        <f>IF(ISBLANK(PARTIDAS!$G386),PARTIDAS!$F386,CONCATENATE(PARTIDAS!$F386," (",PARTIDAS!$G386,")"))</f>
        <v>Invertebrados acuáticos (los demás)</v>
      </c>
      <c r="I386" s="16" t="s">
        <v>9427</v>
      </c>
    </row>
    <row r="387" spans="1:9" x14ac:dyDescent="0.25">
      <c r="A387" s="16" t="s">
        <v>9692</v>
      </c>
      <c r="B387" s="16" t="str">
        <f>TEXT(PARTIDA[[#This Row],[PARTIDA]],"0000000000")</f>
        <v>0309100000</v>
      </c>
      <c r="C387" s="16" t="s">
        <v>786</v>
      </c>
      <c r="D387" s="16" t="s">
        <v>787</v>
      </c>
      <c r="E387" s="16" t="s">
        <v>788</v>
      </c>
      <c r="F387" s="27" t="s">
        <v>9693</v>
      </c>
      <c r="G387" s="27"/>
      <c r="H387" s="16" t="str">
        <f>IF(ISBLANK(PARTIDAS!$G387),PARTIDAS!$F387,CONCATENATE(PARTIDAS!$F387," (",PARTIDAS!$G387,")"))</f>
        <v>Harina, polvo y «pellets» de pescado, crustáceos, moluscos y demás…, de pescado</v>
      </c>
      <c r="I387" s="16" t="s">
        <v>9427</v>
      </c>
    </row>
    <row r="388" spans="1:9" x14ac:dyDescent="0.25">
      <c r="A388" s="16" t="s">
        <v>9694</v>
      </c>
      <c r="B388" s="16" t="str">
        <f>TEXT(PARTIDA[[#This Row],[PARTIDA]],"0000000000")</f>
        <v>0309901000</v>
      </c>
      <c r="C388" s="16" t="s">
        <v>786</v>
      </c>
      <c r="D388" s="16" t="s">
        <v>787</v>
      </c>
      <c r="E388" s="16" t="s">
        <v>788</v>
      </c>
      <c r="F388" s="27" t="s">
        <v>9695</v>
      </c>
      <c r="G388" s="27"/>
      <c r="H388" s="16" t="str">
        <f>IF(ISBLANK(PARTIDAS!$G388),PARTIDAS!$F388,CONCATENATE(PARTIDAS!$F388," (",PARTIDAS!$G388,")"))</f>
        <v>Harina, polvo y «pellets» de pescado, crustáceos, moluscos y demás…, de crustáceos</v>
      </c>
      <c r="I388" s="16" t="s">
        <v>9427</v>
      </c>
    </row>
    <row r="389" spans="1:9" x14ac:dyDescent="0.25">
      <c r="A389" s="16" t="s">
        <v>9696</v>
      </c>
      <c r="B389" s="16" t="str">
        <f>TEXT(PARTIDA[[#This Row],[PARTIDA]],"0000000000")</f>
        <v>0309909000</v>
      </c>
      <c r="C389" s="16" t="s">
        <v>786</v>
      </c>
      <c r="D389" s="16" t="s">
        <v>787</v>
      </c>
      <c r="E389" s="16" t="s">
        <v>788</v>
      </c>
      <c r="F389" s="27" t="s">
        <v>9697</v>
      </c>
      <c r="G389" s="27"/>
      <c r="H389" s="16" t="str">
        <f>IF(ISBLANK(PARTIDAS!$G389),PARTIDAS!$F389,CONCATENATE(PARTIDAS!$F389," (",PARTIDAS!$G389,")"))</f>
        <v>Harina, polvo y «pellets» de pescado, crustáceos, moluscos y demás… (los demás)</v>
      </c>
      <c r="I389" s="16" t="s">
        <v>9427</v>
      </c>
    </row>
    <row r="390" spans="1:9" x14ac:dyDescent="0.25">
      <c r="A390" s="16" t="s">
        <v>1232</v>
      </c>
      <c r="B390" s="16" t="str">
        <f>TEXT(PARTIDA[[#This Row],[PARTIDA]],"0000000000")</f>
        <v>0401100000</v>
      </c>
      <c r="C390" s="16" t="s">
        <v>786</v>
      </c>
      <c r="D390" s="16" t="s">
        <v>787</v>
      </c>
      <c r="E390" s="16" t="s">
        <v>788</v>
      </c>
      <c r="F390" s="27" t="s">
        <v>9698</v>
      </c>
      <c r="G390" s="27"/>
      <c r="H390" s="16" t="str">
        <f>IF(ISBLANK(PARTIDAS!$G390),PARTIDAS!$F390,CONCATENATE(PARTIDAS!$F390," (",PARTIDAS!$G390,")"))</f>
        <v>Leche y nata (crema), sin concentrar, sin adición de azúcar ni otro…, con un contenido de materias grasas inferior o igual al 1 % en peso</v>
      </c>
      <c r="I390" s="16" t="s">
        <v>9427</v>
      </c>
    </row>
    <row r="391" spans="1:9" x14ac:dyDescent="0.25">
      <c r="A391" s="16" t="s">
        <v>1233</v>
      </c>
      <c r="B391" s="16" t="str">
        <f>TEXT(PARTIDA[[#This Row],[PARTIDA]],"0000000000")</f>
        <v>0401200000</v>
      </c>
      <c r="C391" s="16" t="s">
        <v>786</v>
      </c>
      <c r="D391" s="16" t="s">
        <v>787</v>
      </c>
      <c r="E391" s="16" t="s">
        <v>788</v>
      </c>
      <c r="F391" s="27" t="s">
        <v>9699</v>
      </c>
      <c r="G391" s="27"/>
      <c r="H391" s="16" t="str">
        <f>IF(ISBLANK(PARTIDAS!$G391),PARTIDAS!$F391,CONCATENATE(PARTIDAS!$F391," (",PARTIDAS!$G391,")"))</f>
        <v>Leche y nata (crema), sin concentrar, sin adición de azúcar ni otro…, con un contenido de materias grasas superior al 1 % pero inferior o igual al 6 %</v>
      </c>
      <c r="I391" s="16" t="s">
        <v>9427</v>
      </c>
    </row>
    <row r="392" spans="1:9" x14ac:dyDescent="0.25">
      <c r="A392" s="16" t="s">
        <v>1234</v>
      </c>
      <c r="B392" s="16" t="str">
        <f>TEXT(PARTIDA[[#This Row],[PARTIDA]],"0000000000")</f>
        <v>0401400000</v>
      </c>
      <c r="C392" s="16" t="s">
        <v>786</v>
      </c>
      <c r="D392" s="16" t="s">
        <v>787</v>
      </c>
      <c r="E392" s="16" t="s">
        <v>788</v>
      </c>
      <c r="F392" s="27" t="s">
        <v>9700</v>
      </c>
      <c r="G392" s="27"/>
      <c r="H392" s="16" t="str">
        <f>IF(ISBLANK(PARTIDAS!$G392),PARTIDAS!$F392,CONCATENATE(PARTIDAS!$F392," (",PARTIDAS!$G392,")"))</f>
        <v xml:space="preserve">Leche y nata (crema), sin concentrar, sin adición de azúcar ni otro…, con un contenido de materias grasas superior al 6 % pero inferior o igual al 10 </v>
      </c>
      <c r="I392" s="16" t="s">
        <v>9427</v>
      </c>
    </row>
    <row r="393" spans="1:9" x14ac:dyDescent="0.25">
      <c r="A393" s="16" t="s">
        <v>1235</v>
      </c>
      <c r="B393" s="16" t="str">
        <f>TEXT(PARTIDA[[#This Row],[PARTIDA]],"0000000000")</f>
        <v>0401500000</v>
      </c>
      <c r="C393" s="16" t="s">
        <v>786</v>
      </c>
      <c r="D393" s="16" t="s">
        <v>787</v>
      </c>
      <c r="E393" s="16" t="s">
        <v>788</v>
      </c>
      <c r="F393" s="27" t="s">
        <v>9701</v>
      </c>
      <c r="G393" s="27"/>
      <c r="H393" s="16" t="str">
        <f>IF(ISBLANK(PARTIDAS!$G393),PARTIDAS!$F393,CONCATENATE(PARTIDAS!$F393," (",PARTIDAS!$G393,")"))</f>
        <v>Leche y nata (crema), sin concentrar, sin adición de azúcar ni otro…, con un contenido de materias grasas superior al 10 % en peso</v>
      </c>
      <c r="I393" s="16" t="s">
        <v>9427</v>
      </c>
    </row>
    <row r="394" spans="1:9" x14ac:dyDescent="0.25">
      <c r="A394" s="16" t="s">
        <v>1236</v>
      </c>
      <c r="B394" s="16" t="str">
        <f>TEXT(PARTIDA[[#This Row],[PARTIDA]],"0000000000")</f>
        <v>0402101000</v>
      </c>
      <c r="C394" s="16" t="s">
        <v>786</v>
      </c>
      <c r="D394" s="16" t="s">
        <v>787</v>
      </c>
      <c r="E394" s="16" t="s">
        <v>9429</v>
      </c>
      <c r="F394" s="27" t="s">
        <v>9702</v>
      </c>
      <c r="G394" s="27"/>
      <c r="H394" s="16" t="str">
        <f>IF(ISBLANK(PARTIDAS!$G394),PARTIDAS!$F394,CONCATENATE(PARTIDAS!$F394," (",PARTIDAS!$G394,")"))</f>
        <v>Leche y nata (crema), concentradas o con adición de…, en polvo, gránulos o demás formas sólidas, con un contenido de…, en envases de contenido neto in</v>
      </c>
      <c r="I394" s="16" t="s">
        <v>9427</v>
      </c>
    </row>
    <row r="395" spans="1:9" x14ac:dyDescent="0.25">
      <c r="A395" s="16" t="s">
        <v>1237</v>
      </c>
      <c r="B395" s="16" t="str">
        <f>TEXT(PARTIDA[[#This Row],[PARTIDA]],"0000000000")</f>
        <v>0402109000</v>
      </c>
      <c r="C395" s="16" t="s">
        <v>786</v>
      </c>
      <c r="D395" s="16" t="s">
        <v>787</v>
      </c>
      <c r="E395" s="16" t="s">
        <v>9429</v>
      </c>
      <c r="F395" s="27" t="s">
        <v>9703</v>
      </c>
      <c r="G395" s="27"/>
      <c r="H395" s="16" t="str">
        <f>IF(ISBLANK(PARTIDAS!$G395),PARTIDAS!$F395,CONCATENATE(PARTIDAS!$F395," (",PARTIDAS!$G395,")"))</f>
        <v>Leche y nata (crema), concentradas o con adición de…, en polvo, gránulos o demás formas sólidas, con un contenido de… (los demás)</v>
      </c>
      <c r="I395" s="16" t="s">
        <v>9427</v>
      </c>
    </row>
    <row r="396" spans="1:9" x14ac:dyDescent="0.25">
      <c r="A396" s="16" t="s">
        <v>1238</v>
      </c>
      <c r="B396" s="16" t="str">
        <f>TEXT(PARTIDA[[#This Row],[PARTIDA]],"0000000000")</f>
        <v>0402211100</v>
      </c>
      <c r="C396" s="16" t="s">
        <v>786</v>
      </c>
      <c r="D396" s="16" t="s">
        <v>787</v>
      </c>
      <c r="E396" s="16" t="s">
        <v>9429</v>
      </c>
      <c r="F396" s="27" t="s">
        <v>9275</v>
      </c>
      <c r="G396" s="27"/>
      <c r="H396" s="16" t="str">
        <f>IF(ISBLANK(PARTIDAS!$G396),PARTIDAS!$F396,CONCATENATE(PARTIDAS!$F396," (",PARTIDAS!$G396,")"))</f>
        <v>Leche y nata (crema), concentradas o con adición de…, en polvo, gránulos o demás formas sólidas, con un…, sin adición de azúcar ni otro edulcorante, c</v>
      </c>
      <c r="I396" s="16" t="s">
        <v>9477</v>
      </c>
    </row>
    <row r="397" spans="1:9" x14ac:dyDescent="0.25">
      <c r="A397" s="16" t="s">
        <v>1239</v>
      </c>
      <c r="B397" s="16" t="str">
        <f>TEXT(PARTIDA[[#This Row],[PARTIDA]],"0000000000")</f>
        <v>0402211900</v>
      </c>
      <c r="C397" s="16" t="s">
        <v>786</v>
      </c>
      <c r="D397" s="16" t="s">
        <v>787</v>
      </c>
      <c r="E397" s="16" t="s">
        <v>9429</v>
      </c>
      <c r="F397" s="27" t="s">
        <v>9275</v>
      </c>
      <c r="G397" s="27"/>
      <c r="H397" s="16" t="str">
        <f>IF(ISBLANK(PARTIDAS!$G397),PARTIDAS!$F397,CONCATENATE(PARTIDAS!$F397," (",PARTIDAS!$G397,")"))</f>
        <v>Leche y nata (crema), concentradas o con adición de…, en polvo, gránulos o demás formas sólidas, con un…, sin adición de azúcar ni otro edulcorante, c</v>
      </c>
      <c r="I397" s="16" t="s">
        <v>9477</v>
      </c>
    </row>
    <row r="398" spans="1:9" x14ac:dyDescent="0.25">
      <c r="A398" s="16" t="s">
        <v>1240</v>
      </c>
      <c r="B398" s="16" t="str">
        <f>TEXT(PARTIDA[[#This Row],[PARTIDA]],"0000000000")</f>
        <v>0402219100</v>
      </c>
      <c r="C398" s="16" t="s">
        <v>786</v>
      </c>
      <c r="D398" s="16" t="s">
        <v>787</v>
      </c>
      <c r="E398" s="16" t="s">
        <v>9429</v>
      </c>
      <c r="F398" s="27" t="s">
        <v>9704</v>
      </c>
      <c r="G398" s="27"/>
      <c r="H398" s="16" t="str">
        <f>IF(ISBLANK(PARTIDAS!$G398),PARTIDAS!$F398,CONCATENATE(PARTIDAS!$F398," (",PARTIDAS!$G398,")"))</f>
        <v>Leche y nata (crema), concentradas o con adición de…, en polvo, gránulos o demás formas sólidas, con un…, sin adición de azúcar ni otro edulcorante, e</v>
      </c>
      <c r="I398" s="16" t="s">
        <v>9427</v>
      </c>
    </row>
    <row r="399" spans="1:9" x14ac:dyDescent="0.25">
      <c r="A399" s="16" t="s">
        <v>1241</v>
      </c>
      <c r="B399" s="16" t="str">
        <f>TEXT(PARTIDA[[#This Row],[PARTIDA]],"0000000000")</f>
        <v>0402219900</v>
      </c>
      <c r="C399" s="16" t="s">
        <v>786</v>
      </c>
      <c r="D399" s="16" t="s">
        <v>787</v>
      </c>
      <c r="E399" s="16" t="s">
        <v>9429</v>
      </c>
      <c r="F399" s="27" t="s">
        <v>9705</v>
      </c>
      <c r="G399" s="27"/>
      <c r="H399" s="16" t="str">
        <f>IF(ISBLANK(PARTIDAS!$G399),PARTIDAS!$F399,CONCATENATE(PARTIDAS!$F399," (",PARTIDAS!$G399,")"))</f>
        <v>Leche y nata (crema), concentradas o con adición de…, en polvo, gránulos o demás formas sólidas, con un…, sin adición de azúcar ni otro edulcorante (l</v>
      </c>
      <c r="I399" s="16" t="s">
        <v>9427</v>
      </c>
    </row>
    <row r="400" spans="1:9" x14ac:dyDescent="0.25">
      <c r="A400" s="16" t="s">
        <v>1242</v>
      </c>
      <c r="B400" s="16" t="str">
        <f>TEXT(PARTIDA[[#This Row],[PARTIDA]],"0000000000")</f>
        <v>0402291100</v>
      </c>
      <c r="C400" s="16" t="s">
        <v>786</v>
      </c>
      <c r="D400" s="16" t="s">
        <v>787</v>
      </c>
      <c r="E400" s="16" t="s">
        <v>9429</v>
      </c>
      <c r="F400" s="27" t="s">
        <v>9706</v>
      </c>
      <c r="G400" s="27"/>
      <c r="H400" s="16" t="str">
        <f>IF(ISBLANK(PARTIDAS!$G400),PARTIDAS!$F400,CONCATENATE(PARTIDAS!$F400," (",PARTIDAS!$G400,")"))</f>
        <v>Leche y nata (crema), concentradas o con adición de…, en polvo, gránulos o demás formas sólidas, con un…, con un contenido de materias grasas superior</v>
      </c>
      <c r="I400" s="16" t="s">
        <v>9427</v>
      </c>
    </row>
    <row r="401" spans="1:9" x14ac:dyDescent="0.25">
      <c r="A401" s="16" t="s">
        <v>1243</v>
      </c>
      <c r="B401" s="16" t="str">
        <f>TEXT(PARTIDA[[#This Row],[PARTIDA]],"0000000000")</f>
        <v>0402291900</v>
      </c>
      <c r="C401" s="16" t="s">
        <v>786</v>
      </c>
      <c r="D401" s="16" t="s">
        <v>787</v>
      </c>
      <c r="E401" s="16" t="s">
        <v>9429</v>
      </c>
      <c r="F401" s="27" t="s">
        <v>9706</v>
      </c>
      <c r="G401" s="27"/>
      <c r="H401" s="16" t="str">
        <f>IF(ISBLANK(PARTIDAS!$G401),PARTIDAS!$F401,CONCATENATE(PARTIDAS!$F401," (",PARTIDAS!$G401,")"))</f>
        <v>Leche y nata (crema), concentradas o con adición de…, en polvo, gránulos o demás formas sólidas, con un…, con un contenido de materias grasas superior</v>
      </c>
      <c r="I401" s="16" t="s">
        <v>9427</v>
      </c>
    </row>
    <row r="402" spans="1:9" x14ac:dyDescent="0.25">
      <c r="A402" s="16" t="s">
        <v>1244</v>
      </c>
      <c r="B402" s="16" t="str">
        <f>TEXT(PARTIDA[[#This Row],[PARTIDA]],"0000000000")</f>
        <v>0402299100</v>
      </c>
      <c r="C402" s="16" t="s">
        <v>786</v>
      </c>
      <c r="D402" s="16" t="s">
        <v>787</v>
      </c>
      <c r="E402" s="16" t="s">
        <v>9429</v>
      </c>
      <c r="F402" s="27" t="s">
        <v>9702</v>
      </c>
      <c r="G402" s="27"/>
      <c r="H402" s="16" t="str">
        <f>IF(ISBLANK(PARTIDAS!$G402),PARTIDAS!$F402,CONCATENATE(PARTIDAS!$F402," (",PARTIDAS!$G402,")"))</f>
        <v>Leche y nata (crema), concentradas o con adición de…, en polvo, gránulos o demás formas sólidas, con un contenido de…, en envases de contenido neto in</v>
      </c>
      <c r="I402" s="16" t="s">
        <v>9427</v>
      </c>
    </row>
    <row r="403" spans="1:9" x14ac:dyDescent="0.25">
      <c r="A403" s="16" t="s">
        <v>1245</v>
      </c>
      <c r="B403" s="16" t="str">
        <f>TEXT(PARTIDA[[#This Row],[PARTIDA]],"0000000000")</f>
        <v>0402299900</v>
      </c>
      <c r="C403" s="16" t="s">
        <v>786</v>
      </c>
      <c r="D403" s="16" t="s">
        <v>787</v>
      </c>
      <c r="E403" s="16" t="s">
        <v>9429</v>
      </c>
      <c r="F403" s="27" t="s">
        <v>9703</v>
      </c>
      <c r="G403" s="27"/>
      <c r="H403" s="16" t="str">
        <f>IF(ISBLANK(PARTIDAS!$G403),PARTIDAS!$F403,CONCATENATE(PARTIDAS!$F403," (",PARTIDAS!$G403,")"))</f>
        <v>Leche y nata (crema), concentradas o con adición de…, en polvo, gránulos o demás formas sólidas, con un contenido de… (los demás)</v>
      </c>
      <c r="I403" s="16" t="s">
        <v>9427</v>
      </c>
    </row>
    <row r="404" spans="1:9" x14ac:dyDescent="0.25">
      <c r="A404" s="16" t="s">
        <v>1246</v>
      </c>
      <c r="B404" s="16" t="str">
        <f>TEXT(PARTIDA[[#This Row],[PARTIDA]],"0000000000")</f>
        <v>0402911000</v>
      </c>
      <c r="C404" s="16" t="s">
        <v>786</v>
      </c>
      <c r="D404" s="16" t="s">
        <v>787</v>
      </c>
      <c r="E404" s="16" t="s">
        <v>9429</v>
      </c>
      <c r="F404" s="27" t="s">
        <v>9707</v>
      </c>
      <c r="G404" s="27"/>
      <c r="H404" s="16" t="str">
        <f>IF(ISBLANK(PARTIDAS!$G404),PARTIDAS!$F404,CONCATENATE(PARTIDAS!$F404," (",PARTIDAS!$G404,")"))</f>
        <v>Leche evaporada</v>
      </c>
      <c r="I404" s="16" t="s">
        <v>9427</v>
      </c>
    </row>
    <row r="405" spans="1:9" x14ac:dyDescent="0.25">
      <c r="A405" s="16" t="s">
        <v>1247</v>
      </c>
      <c r="B405" s="16" t="str">
        <f>TEXT(PARTIDA[[#This Row],[PARTIDA]],"0000000000")</f>
        <v>0402919000</v>
      </c>
      <c r="C405" s="16" t="s">
        <v>786</v>
      </c>
      <c r="D405" s="16" t="s">
        <v>787</v>
      </c>
      <c r="E405" s="16" t="s">
        <v>9429</v>
      </c>
      <c r="F405" s="27" t="s">
        <v>9708</v>
      </c>
      <c r="G405" s="27"/>
      <c r="H405" s="16" t="str">
        <f>IF(ISBLANK(PARTIDAS!$G405),PARTIDAS!$F405,CONCATENATE(PARTIDAS!$F405," (",PARTIDAS!$G405,")"))</f>
        <v>Leche y nata (crema), concentradas o con adición de…, sin adición de azúcar ni otro edulcorante (los demás)</v>
      </c>
      <c r="I405" s="16" t="s">
        <v>9427</v>
      </c>
    </row>
    <row r="406" spans="1:9" x14ac:dyDescent="0.25">
      <c r="A406" s="16" t="s">
        <v>1248</v>
      </c>
      <c r="B406" s="16" t="str">
        <f>TEXT(PARTIDA[[#This Row],[PARTIDA]],"0000000000")</f>
        <v>0402991000</v>
      </c>
      <c r="C406" s="16" t="s">
        <v>786</v>
      </c>
      <c r="D406" s="16" t="s">
        <v>787</v>
      </c>
      <c r="E406" s="16" t="s">
        <v>9429</v>
      </c>
      <c r="F406" s="27" t="s">
        <v>9709</v>
      </c>
      <c r="G406" s="27"/>
      <c r="H406" s="16" t="str">
        <f>IF(ISBLANK(PARTIDAS!$G406),PARTIDAS!$F406,CONCATENATE(PARTIDAS!$F406," (",PARTIDAS!$G406,")"))</f>
        <v>Leche condensada</v>
      </c>
      <c r="I406" s="16" t="s">
        <v>9427</v>
      </c>
    </row>
    <row r="407" spans="1:9" x14ac:dyDescent="0.25">
      <c r="A407" s="16" t="s">
        <v>1249</v>
      </c>
      <c r="B407" s="16" t="str">
        <f>TEXT(PARTIDA[[#This Row],[PARTIDA]],"0000000000")</f>
        <v>0402999000</v>
      </c>
      <c r="C407" s="16" t="s">
        <v>786</v>
      </c>
      <c r="D407" s="16" t="s">
        <v>787</v>
      </c>
      <c r="E407" s="16" t="s">
        <v>9429</v>
      </c>
      <c r="F407" s="27" t="s">
        <v>9710</v>
      </c>
      <c r="G407" s="27"/>
      <c r="H407" s="16" t="str">
        <f>IF(ISBLANK(PARTIDAS!$G407),PARTIDAS!$F407,CONCATENATE(PARTIDAS!$F407," (",PARTIDAS!$G407,")"))</f>
        <v>Leche y nata (crema), concentradas o con adición de azúcar u otro… (los demás)</v>
      </c>
      <c r="I407" s="16" t="s">
        <v>9427</v>
      </c>
    </row>
    <row r="408" spans="1:9" x14ac:dyDescent="0.25">
      <c r="A408" s="16" t="s">
        <v>1250</v>
      </c>
      <c r="B408" s="16" t="str">
        <f>TEXT(PARTIDA[[#This Row],[PARTIDA]],"0000000000")</f>
        <v>0403100020</v>
      </c>
      <c r="C408" s="16" t="s">
        <v>786</v>
      </c>
      <c r="D408" s="16" t="s">
        <v>787</v>
      </c>
      <c r="E408" s="16" t="s">
        <v>9429</v>
      </c>
      <c r="F408" s="27" t="s">
        <v>9711</v>
      </c>
      <c r="G408" s="27"/>
      <c r="H408" s="16" t="str">
        <f>IF(ISBLANK(PARTIDAS!$G408),PARTIDAS!$F408,CONCATENATE(PARTIDAS!$F408," (",PARTIDAS!$G408,")"))</f>
        <v>Aromatizados o con frutas u otros frutos o cacao, incluso con adición de azúcar y otro edulcorante</v>
      </c>
      <c r="I408" s="16" t="s">
        <v>9648</v>
      </c>
    </row>
    <row r="409" spans="1:9" x14ac:dyDescent="0.25">
      <c r="A409" s="16" t="s">
        <v>1251</v>
      </c>
      <c r="B409" s="16" t="str">
        <f>TEXT(PARTIDA[[#This Row],[PARTIDA]],"0000000000")</f>
        <v>0403100090</v>
      </c>
      <c r="C409" s="16" t="s">
        <v>786</v>
      </c>
      <c r="D409" s="16" t="s">
        <v>787</v>
      </c>
      <c r="E409" s="16" t="s">
        <v>9429</v>
      </c>
      <c r="F409" s="27" t="s">
        <v>9712</v>
      </c>
      <c r="G409" s="27"/>
      <c r="H409" s="16" t="str">
        <f>IF(ISBLANK(PARTIDAS!$G409),PARTIDAS!$F409,CONCATENATE(PARTIDAS!$F409," (",PARTIDAS!$G409,")"))</f>
        <v>Yogur; suero de mantequilla (de manteca), leche y nata (crema) cuajada (los demás)</v>
      </c>
      <c r="I409" s="16" t="s">
        <v>9648</v>
      </c>
    </row>
    <row r="410" spans="1:9" x14ac:dyDescent="0.25">
      <c r="A410" s="16" t="s">
        <v>9713</v>
      </c>
      <c r="B410" s="16" t="str">
        <f>TEXT(PARTIDA[[#This Row],[PARTIDA]],"0000000000")</f>
        <v>0403200010</v>
      </c>
      <c r="C410" s="16" t="s">
        <v>786</v>
      </c>
      <c r="D410" s="16" t="s">
        <v>787</v>
      </c>
      <c r="E410" s="16" t="s">
        <v>9429</v>
      </c>
      <c r="F410" s="27" t="s">
        <v>9714</v>
      </c>
      <c r="G410" s="27"/>
      <c r="H410" s="16" t="str">
        <f>IF(ISBLANK(PARTIDAS!$G410),PARTIDAS!$F410,CONCATENATE(PARTIDAS!$F410," (",PARTIDAS!$G410,")"))</f>
        <v>Aromatizados o con frutas u otros frutos o cacao, incluso con adición de azúcar u otro edulcorante</v>
      </c>
      <c r="I410" s="16" t="s">
        <v>9427</v>
      </c>
    </row>
    <row r="411" spans="1:9" x14ac:dyDescent="0.25">
      <c r="A411" s="16" t="s">
        <v>9715</v>
      </c>
      <c r="B411" s="16" t="str">
        <f>TEXT(PARTIDA[[#This Row],[PARTIDA]],"0000000000")</f>
        <v>0403200090</v>
      </c>
      <c r="C411" s="16" t="s">
        <v>786</v>
      </c>
      <c r="D411" s="16" t="s">
        <v>787</v>
      </c>
      <c r="E411" s="16" t="s">
        <v>9429</v>
      </c>
      <c r="F411" s="27" t="s">
        <v>9716</v>
      </c>
      <c r="G411" s="27"/>
      <c r="H411" s="16" t="str">
        <f>IF(ISBLANK(PARTIDAS!$G411),PARTIDAS!$F411,CONCATENATE(PARTIDAS!$F411," (",PARTIDAS!$G411,")"))</f>
        <v>Yogur (los demás)</v>
      </c>
      <c r="I411" s="16" t="s">
        <v>9427</v>
      </c>
    </row>
    <row r="412" spans="1:9" x14ac:dyDescent="0.25">
      <c r="A412" s="16" t="s">
        <v>1252</v>
      </c>
      <c r="B412" s="16" t="str">
        <f>TEXT(PARTIDA[[#This Row],[PARTIDA]],"0000000000")</f>
        <v>0403901000</v>
      </c>
      <c r="C412" s="16" t="s">
        <v>786</v>
      </c>
      <c r="D412" s="16" t="s">
        <v>787</v>
      </c>
      <c r="E412" s="16" t="s">
        <v>9429</v>
      </c>
      <c r="F412" s="27" t="s">
        <v>9717</v>
      </c>
      <c r="G412" s="27"/>
      <c r="H412" s="16" t="str">
        <f>IF(ISBLANK(PARTIDAS!$G412),PARTIDAS!$F412,CONCATENATE(PARTIDAS!$F412," (",PARTIDAS!$G412,")"))</f>
        <v>Suero de mantequilla</v>
      </c>
      <c r="I412" s="16" t="s">
        <v>9427</v>
      </c>
    </row>
    <row r="413" spans="1:9" x14ac:dyDescent="0.25">
      <c r="A413" s="16" t="s">
        <v>1253</v>
      </c>
      <c r="B413" s="16" t="str">
        <f>TEXT(PARTIDA[[#This Row],[PARTIDA]],"0000000000")</f>
        <v>0403909010</v>
      </c>
      <c r="C413" s="16" t="s">
        <v>786</v>
      </c>
      <c r="D413" s="16" t="s">
        <v>787</v>
      </c>
      <c r="E413" s="16" t="s">
        <v>9429</v>
      </c>
      <c r="F413" s="27" t="s">
        <v>9714</v>
      </c>
      <c r="G413" s="27"/>
      <c r="H413" s="16" t="str">
        <f>IF(ISBLANK(PARTIDAS!$G413),PARTIDAS!$F413,CONCATENATE(PARTIDAS!$F413," (",PARTIDAS!$G413,")"))</f>
        <v>Aromatizados o con frutas u otros frutos o cacao, incluso con adición de azúcar u otro edulcorante</v>
      </c>
      <c r="I413" s="16" t="s">
        <v>9427</v>
      </c>
    </row>
    <row r="414" spans="1:9" x14ac:dyDescent="0.25">
      <c r="A414" s="16" t="s">
        <v>1254</v>
      </c>
      <c r="B414" s="16" t="str">
        <f>TEXT(PARTIDA[[#This Row],[PARTIDA]],"0000000000")</f>
        <v>0403909090</v>
      </c>
      <c r="C414" s="16" t="s">
        <v>786</v>
      </c>
      <c r="D414" s="16" t="s">
        <v>787</v>
      </c>
      <c r="E414" s="16" t="s">
        <v>9429</v>
      </c>
      <c r="F414" s="27" t="s">
        <v>9718</v>
      </c>
      <c r="G414" s="27"/>
      <c r="H414" s="16" t="str">
        <f>IF(ISBLANK(PARTIDAS!$G414),PARTIDAS!$F414,CONCATENATE(PARTIDAS!$F414," (",PARTIDAS!$G414,")"))</f>
        <v>Yogur; suero de mantequilla (de manteca), leche y nata (crema)… (los demás)</v>
      </c>
      <c r="I414" s="16" t="s">
        <v>9427</v>
      </c>
    </row>
    <row r="415" spans="1:9" x14ac:dyDescent="0.25">
      <c r="A415" s="16" t="s">
        <v>1255</v>
      </c>
      <c r="B415" s="16" t="str">
        <f>TEXT(PARTIDA[[#This Row],[PARTIDA]],"0000000000")</f>
        <v>0404101000</v>
      </c>
      <c r="C415" s="16" t="s">
        <v>786</v>
      </c>
      <c r="D415" s="16" t="s">
        <v>787</v>
      </c>
      <c r="E415" s="16" t="s">
        <v>9429</v>
      </c>
      <c r="F415" s="27" t="s">
        <v>9719</v>
      </c>
      <c r="G415" s="27"/>
      <c r="H415" s="16" t="str">
        <f>IF(ISBLANK(PARTIDAS!$G415),PARTIDAS!$F415,CONCATENATE(PARTIDAS!$F415," (",PARTIDAS!$G415,")"))</f>
        <v>Lactosuero parcial o totalmente desmineralizado</v>
      </c>
      <c r="I415" s="16" t="s">
        <v>9427</v>
      </c>
    </row>
    <row r="416" spans="1:9" x14ac:dyDescent="0.25">
      <c r="A416" s="16" t="s">
        <v>1256</v>
      </c>
      <c r="B416" s="16" t="str">
        <f>TEXT(PARTIDA[[#This Row],[PARTIDA]],"0000000000")</f>
        <v>0404109000</v>
      </c>
      <c r="C416" s="16" t="s">
        <v>786</v>
      </c>
      <c r="D416" s="16" t="s">
        <v>787</v>
      </c>
      <c r="E416" s="16" t="s">
        <v>9429</v>
      </c>
      <c r="F416" s="27" t="s">
        <v>9720</v>
      </c>
      <c r="G416" s="27"/>
      <c r="H416" s="16" t="str">
        <f>IF(ISBLANK(PARTIDAS!$G416),PARTIDAS!$F416,CONCATENATE(PARTIDAS!$F416," (",PARTIDAS!$G416,")"))</f>
        <v>Lactosuero, aunque esté modificado, incluso concentrado o con adición… (los demás)</v>
      </c>
      <c r="I416" s="16" t="s">
        <v>9427</v>
      </c>
    </row>
    <row r="417" spans="1:9" x14ac:dyDescent="0.25">
      <c r="A417" s="16" t="s">
        <v>1257</v>
      </c>
      <c r="B417" s="16" t="str">
        <f>TEXT(PARTIDA[[#This Row],[PARTIDA]],"0000000000")</f>
        <v>0404900000</v>
      </c>
      <c r="C417" s="16" t="s">
        <v>786</v>
      </c>
      <c r="D417" s="16" t="s">
        <v>787</v>
      </c>
      <c r="E417" s="16" t="s">
        <v>9429</v>
      </c>
      <c r="F417" s="27" t="s">
        <v>9721</v>
      </c>
      <c r="G417" s="27"/>
      <c r="H417" s="16" t="str">
        <f>IF(ISBLANK(PARTIDAS!$G417),PARTIDAS!$F417,CONCATENATE(PARTIDAS!$F417," (",PARTIDAS!$G417,")"))</f>
        <v>Lactosuero, incluso concentrado o con adición de azúcar u otro… (los demás)</v>
      </c>
      <c r="I417" s="16" t="s">
        <v>9427</v>
      </c>
    </row>
    <row r="418" spans="1:9" x14ac:dyDescent="0.25">
      <c r="A418" s="16" t="s">
        <v>1258</v>
      </c>
      <c r="B418" s="16" t="str">
        <f>TEXT(PARTIDA[[#This Row],[PARTIDA]],"0000000000")</f>
        <v>0405100000</v>
      </c>
      <c r="C418" s="16" t="s">
        <v>786</v>
      </c>
      <c r="D418" s="16" t="s">
        <v>787</v>
      </c>
      <c r="E418" s="16" t="s">
        <v>9429</v>
      </c>
      <c r="F418" s="27" t="s">
        <v>1259</v>
      </c>
      <c r="G418" s="27"/>
      <c r="H418" s="16" t="str">
        <f>IF(ISBLANK(PARTIDAS!$G418),PARTIDAS!$F418,CONCATENATE(PARTIDAS!$F418," (",PARTIDAS!$G418,")"))</f>
        <v>Mantequilla (manteca)</v>
      </c>
      <c r="I418" s="16" t="s">
        <v>9477</v>
      </c>
    </row>
    <row r="419" spans="1:9" x14ac:dyDescent="0.25">
      <c r="A419" s="16" t="s">
        <v>1260</v>
      </c>
      <c r="B419" s="16" t="str">
        <f>TEXT(PARTIDA[[#This Row],[PARTIDA]],"0000000000")</f>
        <v>0405200000</v>
      </c>
      <c r="C419" s="16" t="s">
        <v>786</v>
      </c>
      <c r="D419" s="16" t="s">
        <v>787</v>
      </c>
      <c r="E419" s="16" t="s">
        <v>9429</v>
      </c>
      <c r="F419" s="27" t="s">
        <v>9722</v>
      </c>
      <c r="G419" s="27"/>
      <c r="H419" s="16" t="str">
        <f>IF(ISBLANK(PARTIDAS!$G419),PARTIDAS!$F419,CONCATENATE(PARTIDAS!$F419," (",PARTIDAS!$G419,")"))</f>
        <v>Pastas lácteas para untar</v>
      </c>
      <c r="I419" s="16" t="s">
        <v>9427</v>
      </c>
    </row>
    <row r="420" spans="1:9" x14ac:dyDescent="0.25">
      <c r="A420" s="16" t="s">
        <v>1261</v>
      </c>
      <c r="B420" s="16" t="str">
        <f>TEXT(PARTIDA[[#This Row],[PARTIDA]],"0000000000")</f>
        <v>0405902000</v>
      </c>
      <c r="C420" s="16" t="s">
        <v>786</v>
      </c>
      <c r="D420" s="16" t="s">
        <v>787</v>
      </c>
      <c r="E420" s="16" t="s">
        <v>9429</v>
      </c>
      <c r="F420" s="27" t="s">
        <v>9723</v>
      </c>
      <c r="G420" s="27"/>
      <c r="H420" s="16" t="str">
        <f>IF(ISBLANK(PARTIDAS!$G420),PARTIDAS!$F420,CONCATENATE(PARTIDAS!$F420," (",PARTIDAS!$G420,")"))</f>
        <v>Grasa láctea anhidra («butteroil»)</v>
      </c>
      <c r="I420" s="16" t="s">
        <v>9427</v>
      </c>
    </row>
    <row r="421" spans="1:9" x14ac:dyDescent="0.25">
      <c r="A421" s="16" t="s">
        <v>1262</v>
      </c>
      <c r="B421" s="16" t="str">
        <f>TEXT(PARTIDA[[#This Row],[PARTIDA]],"0000000000")</f>
        <v>0405909000</v>
      </c>
      <c r="C421" s="16" t="s">
        <v>786</v>
      </c>
      <c r="D421" s="16" t="s">
        <v>787</v>
      </c>
      <c r="E421" s="16" t="s">
        <v>9429</v>
      </c>
      <c r="F421" s="27" t="s">
        <v>9724</v>
      </c>
      <c r="G421" s="27"/>
      <c r="H421" s="16" t="str">
        <f>IF(ISBLANK(PARTIDAS!$G421),PARTIDAS!$F421,CONCATENATE(PARTIDAS!$F421," (",PARTIDAS!$G421,")"))</f>
        <v>Mantequilla (manteca) y demás materias grasas de la leche (los demás)</v>
      </c>
      <c r="I421" s="16" t="s">
        <v>9427</v>
      </c>
    </row>
    <row r="422" spans="1:9" x14ac:dyDescent="0.25">
      <c r="A422" s="16" t="s">
        <v>1263</v>
      </c>
      <c r="B422" s="16" t="str">
        <f>TEXT(PARTIDA[[#This Row],[PARTIDA]],"0000000000")</f>
        <v>0406100000</v>
      </c>
      <c r="C422" s="16" t="s">
        <v>786</v>
      </c>
      <c r="D422" s="16" t="s">
        <v>787</v>
      </c>
      <c r="E422" s="16" t="s">
        <v>9429</v>
      </c>
      <c r="F422" s="27" t="s">
        <v>1264</v>
      </c>
      <c r="G422" s="27"/>
      <c r="H422" s="16" t="str">
        <f>IF(ISBLANK(PARTIDAS!$G422),PARTIDAS!$F422,CONCATENATE(PARTIDAS!$F422," (",PARTIDAS!$G422,")"))</f>
        <v>Quesos</v>
      </c>
      <c r="I422" s="16" t="s">
        <v>9427</v>
      </c>
    </row>
    <row r="423" spans="1:9" x14ac:dyDescent="0.25">
      <c r="A423" s="16" t="s">
        <v>1265</v>
      </c>
      <c r="B423" s="16" t="str">
        <f>TEXT(PARTIDA[[#This Row],[PARTIDA]],"0000000000")</f>
        <v>0406200000</v>
      </c>
      <c r="C423" s="16" t="s">
        <v>786</v>
      </c>
      <c r="D423" s="16" t="s">
        <v>787</v>
      </c>
      <c r="E423" s="16" t="s">
        <v>9429</v>
      </c>
      <c r="F423" s="27" t="s">
        <v>1264</v>
      </c>
      <c r="G423" s="27"/>
      <c r="H423" s="16" t="str">
        <f>IF(ISBLANK(PARTIDAS!$G423),PARTIDAS!$F423,CONCATENATE(PARTIDAS!$F423," (",PARTIDAS!$G423,")"))</f>
        <v>Quesos</v>
      </c>
      <c r="I423" s="16" t="s">
        <v>9427</v>
      </c>
    </row>
    <row r="424" spans="1:9" x14ac:dyDescent="0.25">
      <c r="A424" s="16" t="s">
        <v>1266</v>
      </c>
      <c r="B424" s="16" t="str">
        <f>TEXT(PARTIDA[[#This Row],[PARTIDA]],"0000000000")</f>
        <v>0406300000</v>
      </c>
      <c r="C424" s="16" t="s">
        <v>786</v>
      </c>
      <c r="D424" s="16" t="s">
        <v>787</v>
      </c>
      <c r="E424" s="16" t="s">
        <v>9429</v>
      </c>
      <c r="F424" s="27" t="s">
        <v>1264</v>
      </c>
      <c r="G424" s="27"/>
      <c r="H424" s="16" t="str">
        <f>IF(ISBLANK(PARTIDAS!$G424),PARTIDAS!$F424,CONCATENATE(PARTIDAS!$F424," (",PARTIDAS!$G424,")"))</f>
        <v>Quesos</v>
      </c>
      <c r="I424" s="16" t="s">
        <v>9427</v>
      </c>
    </row>
    <row r="425" spans="1:9" x14ac:dyDescent="0.25">
      <c r="A425" s="16" t="s">
        <v>1267</v>
      </c>
      <c r="B425" s="16" t="str">
        <f>TEXT(PARTIDA[[#This Row],[PARTIDA]],"0000000000")</f>
        <v>0406400000</v>
      </c>
      <c r="C425" s="16" t="s">
        <v>786</v>
      </c>
      <c r="D425" s="16" t="s">
        <v>787</v>
      </c>
      <c r="E425" s="16" t="s">
        <v>9429</v>
      </c>
      <c r="F425" s="27" t="s">
        <v>1264</v>
      </c>
      <c r="G425" s="27"/>
      <c r="H425" s="16" t="str">
        <f>IF(ISBLANK(PARTIDAS!$G425),PARTIDAS!$F425,CONCATENATE(PARTIDAS!$F425," (",PARTIDAS!$G425,")"))</f>
        <v>Quesos</v>
      </c>
      <c r="I425" s="16" t="s">
        <v>9427</v>
      </c>
    </row>
    <row r="426" spans="1:9" x14ac:dyDescent="0.25">
      <c r="A426" s="16" t="s">
        <v>1268</v>
      </c>
      <c r="B426" s="16" t="str">
        <f>TEXT(PARTIDA[[#This Row],[PARTIDA]],"0000000000")</f>
        <v>0406904000</v>
      </c>
      <c r="C426" s="16" t="s">
        <v>786</v>
      </c>
      <c r="D426" s="16" t="s">
        <v>787</v>
      </c>
      <c r="E426" s="16" t="s">
        <v>9429</v>
      </c>
      <c r="F426" s="27" t="s">
        <v>9725</v>
      </c>
      <c r="G426" s="27"/>
      <c r="H426" s="16" t="str">
        <f>IF(ISBLANK(PARTIDAS!$G426),PARTIDAS!$F426,CONCATENATE(PARTIDAS!$F426," (",PARTIDAS!$G426,")"))</f>
        <v>Quesos y requesón, con un contenido de humedad inferior al 50 % en peso, calculado sobre una base totalmente desgrasada</v>
      </c>
      <c r="I426" s="16" t="s">
        <v>9427</v>
      </c>
    </row>
    <row r="427" spans="1:9" x14ac:dyDescent="0.25">
      <c r="A427" s="16" t="s">
        <v>1269</v>
      </c>
      <c r="B427" s="16" t="str">
        <f>TEXT(PARTIDA[[#This Row],[PARTIDA]],"0000000000")</f>
        <v>0406905000</v>
      </c>
      <c r="C427" s="16" t="s">
        <v>786</v>
      </c>
      <c r="D427" s="16" t="s">
        <v>787</v>
      </c>
      <c r="E427" s="16" t="s">
        <v>9429</v>
      </c>
      <c r="F427" s="27" t="s">
        <v>9726</v>
      </c>
      <c r="G427" s="27"/>
      <c r="H427" s="16" t="str">
        <f>IF(ISBLANK(PARTIDAS!$G427),PARTIDAS!$F427,CONCATENATE(PARTIDAS!$F427," (",PARTIDAS!$G427,")"))</f>
        <v>Quesos y requesón, con un contenido de humedad superior o igual al 50 % pero inferior al 56 %, en peso, calculado sobre una base totalmente desgrasada</v>
      </c>
      <c r="I427" s="16" t="s">
        <v>9427</v>
      </c>
    </row>
    <row r="428" spans="1:9" x14ac:dyDescent="0.25">
      <c r="A428" s="16" t="s">
        <v>1270</v>
      </c>
      <c r="B428" s="16" t="str">
        <f>TEXT(PARTIDA[[#This Row],[PARTIDA]],"0000000000")</f>
        <v>0406906000</v>
      </c>
      <c r="C428" s="16" t="s">
        <v>786</v>
      </c>
      <c r="D428" s="16" t="s">
        <v>787</v>
      </c>
      <c r="E428" s="16" t="s">
        <v>9429</v>
      </c>
      <c r="F428" s="27" t="s">
        <v>9727</v>
      </c>
      <c r="G428" s="27"/>
      <c r="H428" s="16" t="str">
        <f>IF(ISBLANK(PARTIDAS!$G428),PARTIDAS!$F428,CONCATENATE(PARTIDAS!$F428," (",PARTIDAS!$G428,")"))</f>
        <v>Quesos y requesón, con un contenido de humedad superior o igual al 56 % pero inferior al 69 %, en peso, calculado sobre una base totalmente desgrasada</v>
      </c>
      <c r="I428" s="16" t="s">
        <v>9427</v>
      </c>
    </row>
    <row r="429" spans="1:9" x14ac:dyDescent="0.25">
      <c r="A429" s="16" t="s">
        <v>1271</v>
      </c>
      <c r="B429" s="16" t="str">
        <f>TEXT(PARTIDA[[#This Row],[PARTIDA]],"0000000000")</f>
        <v>0406909000</v>
      </c>
      <c r="C429" s="16" t="s">
        <v>786</v>
      </c>
      <c r="D429" s="16" t="s">
        <v>787</v>
      </c>
      <c r="E429" s="16" t="s">
        <v>9429</v>
      </c>
      <c r="F429" s="27" t="s">
        <v>9728</v>
      </c>
      <c r="G429" s="27"/>
      <c r="H429" s="16" t="str">
        <f>IF(ISBLANK(PARTIDAS!$G429),PARTIDAS!$F429,CONCATENATE(PARTIDAS!$F429," (",PARTIDAS!$G429,")"))</f>
        <v>Quesos y requesón (los demás)</v>
      </c>
      <c r="I429" s="16" t="s">
        <v>9427</v>
      </c>
    </row>
    <row r="430" spans="1:9" x14ac:dyDescent="0.25">
      <c r="A430" s="16" t="s">
        <v>1272</v>
      </c>
      <c r="B430" s="16" t="str">
        <f>TEXT(PARTIDA[[#This Row],[PARTIDA]],"0000000000")</f>
        <v>0407110000</v>
      </c>
      <c r="C430" s="16" t="s">
        <v>815</v>
      </c>
      <c r="D430" s="16" t="s">
        <v>825</v>
      </c>
      <c r="E430" s="16" t="s">
        <v>9454</v>
      </c>
      <c r="F430" s="27" t="s">
        <v>9729</v>
      </c>
      <c r="G430" s="27"/>
      <c r="H430" s="16" t="str">
        <f>IF(ISBLANK(PARTIDAS!$G430),PARTIDAS!$F430,CONCATENATE(PARTIDAS!$F430," (",PARTIDAS!$G430,")"))</f>
        <v>Huevos fecundados para incubación, de gallina de la especie Gallus domesticus</v>
      </c>
      <c r="I430" s="16" t="s">
        <v>9427</v>
      </c>
    </row>
    <row r="431" spans="1:9" x14ac:dyDescent="0.25">
      <c r="A431" s="16" t="s">
        <v>1273</v>
      </c>
      <c r="B431" s="16" t="str">
        <f>TEXT(PARTIDA[[#This Row],[PARTIDA]],"0000000000")</f>
        <v>0407190000</v>
      </c>
      <c r="C431" s="16" t="s">
        <v>815</v>
      </c>
      <c r="D431" s="16" t="s">
        <v>825</v>
      </c>
      <c r="E431" s="16" t="s">
        <v>9454</v>
      </c>
      <c r="F431" s="27" t="s">
        <v>9730</v>
      </c>
      <c r="G431" s="27"/>
      <c r="H431" s="16" t="str">
        <f>IF(ISBLANK(PARTIDAS!$G431),PARTIDAS!$F431,CONCATENATE(PARTIDAS!$F431," (",PARTIDAS!$G431,")"))</f>
        <v>Huevos fecundados para incubación (los demás)</v>
      </c>
      <c r="I431" s="16" t="s">
        <v>9427</v>
      </c>
    </row>
    <row r="432" spans="1:9" x14ac:dyDescent="0.25">
      <c r="A432" s="16" t="s">
        <v>1274</v>
      </c>
      <c r="B432" s="16" t="str">
        <f>TEXT(PARTIDA[[#This Row],[PARTIDA]],"0000000000")</f>
        <v>0407211000</v>
      </c>
      <c r="C432" s="16" t="s">
        <v>786</v>
      </c>
      <c r="D432" s="16" t="s">
        <v>787</v>
      </c>
      <c r="E432" s="16" t="s">
        <v>788</v>
      </c>
      <c r="F432" s="27" t="s">
        <v>9731</v>
      </c>
      <c r="G432" s="27"/>
      <c r="H432" s="16" t="str">
        <f>IF(ISBLANK(PARTIDAS!$G432),PARTIDAS!$F432,CONCATENATE(PARTIDAS!$F432," (",PARTIDAS!$G432,")"))</f>
        <v>Huevos de ave con cáscara (cascarón), frescos…, de gallina de la especie Gallus domesticus, para la producción de vacunas (libres de patógenos específ</v>
      </c>
      <c r="I432" s="16" t="s">
        <v>9427</v>
      </c>
    </row>
    <row r="433" spans="1:9" x14ac:dyDescent="0.25">
      <c r="A433" s="16" t="s">
        <v>1275</v>
      </c>
      <c r="B433" s="16" t="str">
        <f>TEXT(PARTIDA[[#This Row],[PARTIDA]],"0000000000")</f>
        <v>0407219000</v>
      </c>
      <c r="C433" s="16" t="s">
        <v>786</v>
      </c>
      <c r="D433" s="16" t="s">
        <v>787</v>
      </c>
      <c r="E433" s="16" t="s">
        <v>788</v>
      </c>
      <c r="F433" s="27" t="s">
        <v>9732</v>
      </c>
      <c r="G433" s="27"/>
      <c r="H433" s="16" t="str">
        <f>IF(ISBLANK(PARTIDAS!$G433),PARTIDAS!$F433,CONCATENATE(PARTIDAS!$F433," (",PARTIDAS!$G433,")"))</f>
        <v>Huevos de ave con cáscara (cascarón), frescos…, de gallina de la especie Gallus domesticus (los demás)</v>
      </c>
      <c r="I433" s="16" t="s">
        <v>9427</v>
      </c>
    </row>
    <row r="434" spans="1:9" x14ac:dyDescent="0.25">
      <c r="A434" s="16" t="s">
        <v>1276</v>
      </c>
      <c r="B434" s="16" t="str">
        <f>TEXT(PARTIDA[[#This Row],[PARTIDA]],"0000000000")</f>
        <v>0407291000</v>
      </c>
      <c r="C434" s="16" t="s">
        <v>786</v>
      </c>
      <c r="D434" s="16" t="s">
        <v>787</v>
      </c>
      <c r="E434" s="16" t="s">
        <v>788</v>
      </c>
      <c r="F434" s="27" t="s">
        <v>9733</v>
      </c>
      <c r="G434" s="27"/>
      <c r="H434" s="16" t="str">
        <f>IF(ISBLANK(PARTIDAS!$G434),PARTIDAS!$F434,CONCATENATE(PARTIDAS!$F434," (",PARTIDAS!$G434,")"))</f>
        <v>Huevos de ave con cáscara (cascarón), frescos, conservados o cocidos, para la producción de vacunas (libres de patógenos específicos)</v>
      </c>
      <c r="I434" s="16" t="s">
        <v>9427</v>
      </c>
    </row>
    <row r="435" spans="1:9" x14ac:dyDescent="0.25">
      <c r="A435" s="16" t="s">
        <v>1277</v>
      </c>
      <c r="B435" s="16" t="str">
        <f>TEXT(PARTIDA[[#This Row],[PARTIDA]],"0000000000")</f>
        <v>0407299000</v>
      </c>
      <c r="C435" s="16" t="s">
        <v>786</v>
      </c>
      <c r="D435" s="16" t="s">
        <v>787</v>
      </c>
      <c r="E435" s="16" t="s">
        <v>788</v>
      </c>
      <c r="F435" s="27" t="s">
        <v>9734</v>
      </c>
      <c r="G435" s="27"/>
      <c r="H435" s="16" t="str">
        <f>IF(ISBLANK(PARTIDAS!$G435),PARTIDAS!$F435,CONCATENATE(PARTIDAS!$F435," (",PARTIDAS!$G435,")"))</f>
        <v>Huevos de ave con cáscara (cascarón), frescos, conservados o cocidos (los demás)</v>
      </c>
      <c r="I435" s="16" t="s">
        <v>9427</v>
      </c>
    </row>
    <row r="436" spans="1:9" x14ac:dyDescent="0.25">
      <c r="A436" s="16" t="s">
        <v>1278</v>
      </c>
      <c r="B436" s="16" t="str">
        <f>TEXT(PARTIDA[[#This Row],[PARTIDA]],"0000000000")</f>
        <v>0407900000</v>
      </c>
      <c r="C436" s="16" t="s">
        <v>786</v>
      </c>
      <c r="D436" s="16" t="s">
        <v>787</v>
      </c>
      <c r="E436" s="16" t="s">
        <v>788</v>
      </c>
      <c r="F436" s="27" t="s">
        <v>9734</v>
      </c>
      <c r="G436" s="27"/>
      <c r="H436" s="16" t="str">
        <f>IF(ISBLANK(PARTIDAS!$G436),PARTIDAS!$F436,CONCATENATE(PARTIDAS!$F436," (",PARTIDAS!$G436,")"))</f>
        <v>Huevos de ave con cáscara (cascarón), frescos, conservados o cocidos (los demás)</v>
      </c>
      <c r="I436" s="16" t="s">
        <v>9427</v>
      </c>
    </row>
    <row r="437" spans="1:9" x14ac:dyDescent="0.25">
      <c r="A437" s="16" t="s">
        <v>1279</v>
      </c>
      <c r="B437" s="16" t="str">
        <f>TEXT(PARTIDA[[#This Row],[PARTIDA]],"0000000000")</f>
        <v>0408110000</v>
      </c>
      <c r="C437" s="16" t="s">
        <v>786</v>
      </c>
      <c r="D437" s="16" t="s">
        <v>787</v>
      </c>
      <c r="E437" s="16" t="s">
        <v>9429</v>
      </c>
      <c r="F437" s="27" t="s">
        <v>9410</v>
      </c>
      <c r="G437" s="27"/>
      <c r="H437" s="16" t="str">
        <f>IF(ISBLANK(PARTIDAS!$G437),PARTIDAS!$F437,CONCATENATE(PARTIDAS!$F437," (",PARTIDAS!$G437,")"))</f>
        <v>Yemas de huevo, secas</v>
      </c>
      <c r="I437" s="16" t="s">
        <v>9477</v>
      </c>
    </row>
    <row r="438" spans="1:9" x14ac:dyDescent="0.25">
      <c r="A438" s="16" t="s">
        <v>1280</v>
      </c>
      <c r="B438" s="16" t="str">
        <f>TEXT(PARTIDA[[#This Row],[PARTIDA]],"0000000000")</f>
        <v>0408190000</v>
      </c>
      <c r="C438" s="16" t="s">
        <v>786</v>
      </c>
      <c r="D438" s="16" t="s">
        <v>787</v>
      </c>
      <c r="E438" s="16" t="s">
        <v>788</v>
      </c>
      <c r="F438" s="27" t="s">
        <v>9735</v>
      </c>
      <c r="G438" s="27"/>
      <c r="H438" s="16" t="str">
        <f>IF(ISBLANK(PARTIDAS!$G438),PARTIDAS!$F438,CONCATENATE(PARTIDAS!$F438," (",PARTIDAS!$G438,")"))</f>
        <v>Yemas de huevo (los demás)</v>
      </c>
      <c r="I438" s="16" t="s">
        <v>9427</v>
      </c>
    </row>
    <row r="439" spans="1:9" x14ac:dyDescent="0.25">
      <c r="A439" s="16" t="s">
        <v>1281</v>
      </c>
      <c r="B439" s="16" t="str">
        <f>TEXT(PARTIDA[[#This Row],[PARTIDA]],"0000000000")</f>
        <v>0408910000</v>
      </c>
      <c r="C439" s="16" t="s">
        <v>786</v>
      </c>
      <c r="D439" s="16" t="s">
        <v>787</v>
      </c>
      <c r="E439" s="16" t="s">
        <v>9429</v>
      </c>
      <c r="F439" s="27" t="s">
        <v>9262</v>
      </c>
      <c r="G439" s="27"/>
      <c r="H439" s="16" t="str">
        <f>IF(ISBLANK(PARTIDAS!$G439),PARTIDAS!$F439,CONCATENATE(PARTIDAS!$F439," (",PARTIDAS!$G439,")"))</f>
        <v>Huevos de ave sin cáscara (cascarón) y yemas de huevo, frescos…, secos</v>
      </c>
      <c r="I439" s="16" t="s">
        <v>9477</v>
      </c>
    </row>
    <row r="440" spans="1:9" x14ac:dyDescent="0.25">
      <c r="A440" s="16" t="s">
        <v>1282</v>
      </c>
      <c r="B440" s="16" t="str">
        <f>TEXT(PARTIDA[[#This Row],[PARTIDA]],"0000000000")</f>
        <v>0408990000</v>
      </c>
      <c r="C440" s="16" t="s">
        <v>786</v>
      </c>
      <c r="D440" s="16" t="s">
        <v>787</v>
      </c>
      <c r="E440" s="16" t="s">
        <v>788</v>
      </c>
      <c r="F440" s="27" t="s">
        <v>9736</v>
      </c>
      <c r="G440" s="27"/>
      <c r="H440" s="16" t="str">
        <f>IF(ISBLANK(PARTIDAS!$G440),PARTIDAS!$F440,CONCATENATE(PARTIDAS!$F440," (",PARTIDAS!$G440,")"))</f>
        <v>Huevos de ave sin cáscara (cascarón) y yemas de huevo, frescos… (los demás)</v>
      </c>
      <c r="I440" s="16" t="s">
        <v>9427</v>
      </c>
    </row>
    <row r="441" spans="1:9" x14ac:dyDescent="0.25">
      <c r="A441" s="16" t="s">
        <v>1283</v>
      </c>
      <c r="B441" s="16" t="str">
        <f>TEXT(PARTIDA[[#This Row],[PARTIDA]],"0000000000")</f>
        <v>0409001000</v>
      </c>
      <c r="C441" s="16" t="s">
        <v>786</v>
      </c>
      <c r="D441" s="16" t="s">
        <v>787</v>
      </c>
      <c r="E441" s="16" t="s">
        <v>788</v>
      </c>
      <c r="F441" s="27" t="s">
        <v>1284</v>
      </c>
      <c r="G441" s="27"/>
      <c r="H441" s="16" t="str">
        <f>IF(ISBLANK(PARTIDAS!$G441),PARTIDAS!$F441,CONCATENATE(PARTIDAS!$F441," (",PARTIDAS!$G441,")"))</f>
        <v>Miel natural</v>
      </c>
      <c r="I441" s="16" t="s">
        <v>9427</v>
      </c>
    </row>
    <row r="442" spans="1:9" x14ac:dyDescent="0.25">
      <c r="A442" s="16" t="s">
        <v>1285</v>
      </c>
      <c r="B442" s="16" t="str">
        <f>TEXT(PARTIDA[[#This Row],[PARTIDA]],"0000000000")</f>
        <v>0409009000</v>
      </c>
      <c r="C442" s="16" t="s">
        <v>786</v>
      </c>
      <c r="D442" s="16" t="s">
        <v>787</v>
      </c>
      <c r="E442" s="16" t="s">
        <v>788</v>
      </c>
      <c r="F442" s="27" t="s">
        <v>9736</v>
      </c>
      <c r="G442" s="27"/>
      <c r="H442" s="16" t="str">
        <f>IF(ISBLANK(PARTIDAS!$G442),PARTIDAS!$F442,CONCATENATE(PARTIDAS!$F442," (",PARTIDAS!$G442,")"))</f>
        <v>Huevos de ave sin cáscara (cascarón) y yemas de huevo, frescos… (los demás)</v>
      </c>
      <c r="I442" s="16" t="s">
        <v>9427</v>
      </c>
    </row>
    <row r="443" spans="1:9" x14ac:dyDescent="0.25">
      <c r="A443" s="16" t="s">
        <v>1286</v>
      </c>
      <c r="B443" s="16" t="str">
        <f>TEXT(PARTIDA[[#This Row],[PARTIDA]],"0000000000")</f>
        <v>0410000000</v>
      </c>
      <c r="C443" s="16" t="s">
        <v>786</v>
      </c>
      <c r="D443" s="16" t="s">
        <v>787</v>
      </c>
      <c r="E443" s="16" t="s">
        <v>9429</v>
      </c>
      <c r="F443" s="27" t="s">
        <v>1287</v>
      </c>
      <c r="G443" s="27"/>
      <c r="H443" s="16" t="str">
        <f>IF(ISBLANK(PARTIDAS!$G443),PARTIDAS!$F443,CONCATENATE(PARTIDAS!$F443," (",PARTIDAS!$G443,")"))</f>
        <v>Productos comestibles de origen animal no
expresados ni comprendidos en otra parte.</v>
      </c>
      <c r="I443" s="16" t="s">
        <v>9648</v>
      </c>
    </row>
    <row r="444" spans="1:9" x14ac:dyDescent="0.25">
      <c r="A444" s="16" t="s">
        <v>9737</v>
      </c>
      <c r="B444" s="16" t="str">
        <f>TEXT(PARTIDA[[#This Row],[PARTIDA]],"0000000000")</f>
        <v>0410100010</v>
      </c>
      <c r="C444" s="16" t="s">
        <v>786</v>
      </c>
      <c r="D444" s="16" t="s">
        <v>787</v>
      </c>
      <c r="E444" s="16" t="s">
        <v>9429</v>
      </c>
      <c r="F444" s="27" t="s">
        <v>9738</v>
      </c>
      <c r="G444" s="27"/>
      <c r="H444" s="16" t="str">
        <f>IF(ISBLANK(PARTIDAS!$G444),PARTIDAS!$F444,CONCATENATE(PARTIDAS!$F444," (",PARTIDAS!$G444,")"))</f>
        <v>Harina y polvo</v>
      </c>
      <c r="I444" s="16" t="s">
        <v>9427</v>
      </c>
    </row>
    <row r="445" spans="1:9" x14ac:dyDescent="0.25">
      <c r="A445" s="16" t="s">
        <v>9739</v>
      </c>
      <c r="B445" s="16" t="str">
        <f>TEXT(PARTIDA[[#This Row],[PARTIDA]],"0000000000")</f>
        <v>0410100020</v>
      </c>
      <c r="C445" s="16" t="s">
        <v>786</v>
      </c>
      <c r="D445" s="16" t="s">
        <v>787</v>
      </c>
      <c r="E445" s="16" t="s">
        <v>9429</v>
      </c>
      <c r="F445" s="27" t="s">
        <v>9740</v>
      </c>
      <c r="G445" s="27"/>
      <c r="H445" s="16" t="str">
        <f>IF(ISBLANK(PARTIDAS!$G445),PARTIDAS!$F445,CONCATENATE(PARTIDAS!$F445," (",PARTIDAS!$G445,")"))</f>
        <v>Insectos, enteros o en trozos, secos, ahumados, salados o en salmuera</v>
      </c>
      <c r="I445" s="16" t="s">
        <v>9427</v>
      </c>
    </row>
    <row r="446" spans="1:9" x14ac:dyDescent="0.25">
      <c r="A446" s="16" t="s">
        <v>9741</v>
      </c>
      <c r="B446" s="16" t="str">
        <f>TEXT(PARTIDA[[#This Row],[PARTIDA]],"0000000000")</f>
        <v>0410100090</v>
      </c>
      <c r="C446" s="16" t="s">
        <v>786</v>
      </c>
      <c r="D446" s="16" t="s">
        <v>787</v>
      </c>
      <c r="E446" s="16" t="s">
        <v>9429</v>
      </c>
      <c r="F446" s="27" t="s">
        <v>9474</v>
      </c>
      <c r="G446" s="27"/>
      <c r="H446" s="16" t="str">
        <f>IF(ISBLANK(PARTIDAS!$G446),PARTIDAS!$F446,CONCATENATE(PARTIDAS!$F446," (",PARTIDAS!$G446,")"))</f>
        <v>Insectos (los demás)</v>
      </c>
      <c r="I446" s="16" t="s">
        <v>9427</v>
      </c>
    </row>
    <row r="447" spans="1:9" x14ac:dyDescent="0.25">
      <c r="A447" s="16" t="s">
        <v>9742</v>
      </c>
      <c r="B447" s="16" t="str">
        <f>TEXT(PARTIDA[[#This Row],[PARTIDA]],"0000000000")</f>
        <v>0410900000</v>
      </c>
      <c r="C447" s="16" t="s">
        <v>786</v>
      </c>
      <c r="D447" s="16" t="s">
        <v>787</v>
      </c>
      <c r="E447" s="16" t="s">
        <v>9429</v>
      </c>
      <c r="F447" s="27" t="s">
        <v>9743</v>
      </c>
      <c r="G447" s="27"/>
      <c r="H447" s="16" t="str">
        <f>IF(ISBLANK(PARTIDAS!$G447),PARTIDAS!$F447,CONCATENATE(PARTIDAS!$F447," (",PARTIDAS!$G447,")"))</f>
        <v>Insectos y demás productos comestibles de origen animal, no… (los demás)</v>
      </c>
      <c r="I447" s="16" t="s">
        <v>9427</v>
      </c>
    </row>
    <row r="448" spans="1:9" x14ac:dyDescent="0.25">
      <c r="A448" s="16" t="s">
        <v>1288</v>
      </c>
      <c r="B448" s="16" t="str">
        <f>TEXT(PARTIDA[[#This Row],[PARTIDA]],"0000000000")</f>
        <v>0501000000</v>
      </c>
      <c r="C448" s="16" t="s">
        <v>815</v>
      </c>
      <c r="D448" s="16" t="s">
        <v>835</v>
      </c>
      <c r="E448" s="16" t="s">
        <v>840</v>
      </c>
      <c r="F448" s="27" t="s">
        <v>1289</v>
      </c>
      <c r="G448" s="27"/>
      <c r="H448" s="16" t="str">
        <f>IF(ISBLANK(PARTIDAS!$G448),PARTIDAS!$F448,CONCATENATE(PARTIDAS!$F448," (",PARTIDAS!$G448,")"))</f>
        <v>Cabello en bruto, incluso lavado o desgrasado;
desperdicios de cabello.</v>
      </c>
      <c r="I448" s="16" t="s">
        <v>9427</v>
      </c>
    </row>
    <row r="449" spans="1:9" x14ac:dyDescent="0.25">
      <c r="A449" s="16" t="s">
        <v>1290</v>
      </c>
      <c r="B449" s="16" t="str">
        <f>TEXT(PARTIDA[[#This Row],[PARTIDA]],"0000000000")</f>
        <v>0502100000</v>
      </c>
      <c r="C449" s="16" t="s">
        <v>815</v>
      </c>
      <c r="D449" s="16" t="s">
        <v>835</v>
      </c>
      <c r="E449" s="16" t="s">
        <v>840</v>
      </c>
      <c r="F449" s="27" t="s">
        <v>9744</v>
      </c>
      <c r="G449" s="27"/>
      <c r="H449" s="16" t="str">
        <f>IF(ISBLANK(PARTIDAS!$G449),PARTIDAS!$F449,CONCATENATE(PARTIDAS!$F449," (",PARTIDAS!$G449,")"))</f>
        <v>Cerdas de cerdo o de jabalí y sus desperdicios</v>
      </c>
      <c r="I449" s="16" t="s">
        <v>9427</v>
      </c>
    </row>
    <row r="450" spans="1:9" x14ac:dyDescent="0.25">
      <c r="A450" s="16" t="s">
        <v>1291</v>
      </c>
      <c r="B450" s="16" t="str">
        <f>TEXT(PARTIDA[[#This Row],[PARTIDA]],"0000000000")</f>
        <v>0502900000</v>
      </c>
      <c r="C450" s="16" t="s">
        <v>815</v>
      </c>
      <c r="D450" s="16" t="s">
        <v>835</v>
      </c>
      <c r="E450" s="16" t="s">
        <v>840</v>
      </c>
      <c r="F450" s="27" t="s">
        <v>9745</v>
      </c>
      <c r="G450" s="27"/>
      <c r="H450" s="16" t="str">
        <f>IF(ISBLANK(PARTIDAS!$G450),PARTIDAS!$F450,CONCATENATE(PARTIDAS!$F450," (",PARTIDAS!$G450,")"))</f>
        <v>Cerdas de cerdo o de jabalí (los demás)</v>
      </c>
      <c r="I450" s="16" t="s">
        <v>9427</v>
      </c>
    </row>
    <row r="451" spans="1:9" x14ac:dyDescent="0.25">
      <c r="A451" s="16" t="s">
        <v>1292</v>
      </c>
      <c r="B451" s="16" t="str">
        <f>TEXT(PARTIDA[[#This Row],[PARTIDA]],"0000000000")</f>
        <v>0504001000</v>
      </c>
      <c r="C451" s="16" t="s">
        <v>815</v>
      </c>
      <c r="D451" s="16" t="s">
        <v>835</v>
      </c>
      <c r="E451" s="16" t="s">
        <v>840</v>
      </c>
      <c r="F451" s="27" t="s">
        <v>9746</v>
      </c>
      <c r="G451" s="27"/>
      <c r="H451" s="16" t="str">
        <f>IF(ISBLANK(PARTIDAS!$G451),PARTIDAS!$F451,CONCATENATE(PARTIDAS!$F451," (",PARTIDAS!$G451,")"))</f>
        <v>Estómagos</v>
      </c>
      <c r="I451" s="16" t="s">
        <v>9427</v>
      </c>
    </row>
    <row r="452" spans="1:9" x14ac:dyDescent="0.25">
      <c r="A452" s="16" t="s">
        <v>1293</v>
      </c>
      <c r="B452" s="16" t="str">
        <f>TEXT(PARTIDA[[#This Row],[PARTIDA]],"0000000000")</f>
        <v>0504002000</v>
      </c>
      <c r="C452" s="16" t="s">
        <v>815</v>
      </c>
      <c r="D452" s="16" t="s">
        <v>835</v>
      </c>
      <c r="E452" s="16" t="s">
        <v>840</v>
      </c>
      <c r="F452" s="27" t="s">
        <v>9747</v>
      </c>
      <c r="G452" s="27"/>
      <c r="H452" s="16" t="str">
        <f>IF(ISBLANK(PARTIDAS!$G452),PARTIDAS!$F452,CONCATENATE(PARTIDAS!$F452," (",PARTIDAS!$G452,")"))</f>
        <v>Tripas</v>
      </c>
      <c r="I452" s="16" t="s">
        <v>9427</v>
      </c>
    </row>
    <row r="453" spans="1:9" x14ac:dyDescent="0.25">
      <c r="A453" s="16" t="s">
        <v>1294</v>
      </c>
      <c r="B453" s="16" t="str">
        <f>TEXT(PARTIDA[[#This Row],[PARTIDA]],"0000000000")</f>
        <v>0504003000</v>
      </c>
      <c r="C453" s="16" t="s">
        <v>815</v>
      </c>
      <c r="D453" s="16" t="s">
        <v>835</v>
      </c>
      <c r="E453" s="16" t="s">
        <v>840</v>
      </c>
      <c r="F453" s="27" t="s">
        <v>9748</v>
      </c>
      <c r="G453" s="27"/>
      <c r="H453" s="16" t="str">
        <f>IF(ISBLANK(PARTIDAS!$G453),PARTIDAS!$F453,CONCATENATE(PARTIDAS!$F453," (",PARTIDAS!$G453,")"))</f>
        <v>Vejigas</v>
      </c>
      <c r="I453" s="16" t="s">
        <v>9427</v>
      </c>
    </row>
    <row r="454" spans="1:9" x14ac:dyDescent="0.25">
      <c r="A454" s="16" t="s">
        <v>1295</v>
      </c>
      <c r="B454" s="16" t="str">
        <f>TEXT(PARTIDA[[#This Row],[PARTIDA]],"0000000000")</f>
        <v>0505100000</v>
      </c>
      <c r="C454" s="16" t="s">
        <v>815</v>
      </c>
      <c r="D454" s="16" t="s">
        <v>835</v>
      </c>
      <c r="E454" s="16" t="s">
        <v>840</v>
      </c>
      <c r="F454" s="27" t="s">
        <v>9749</v>
      </c>
      <c r="G454" s="27"/>
      <c r="H454" s="16" t="str">
        <f>IF(ISBLANK(PARTIDAS!$G454),PARTIDAS!$F454,CONCATENATE(PARTIDAS!$F454," (",PARTIDAS!$G454,")"))</f>
        <v>Plumas de las utilizadas para relleno; plumón</v>
      </c>
      <c r="I454" s="16" t="s">
        <v>9427</v>
      </c>
    </row>
    <row r="455" spans="1:9" x14ac:dyDescent="0.25">
      <c r="A455" s="16" t="s">
        <v>1296</v>
      </c>
      <c r="B455" s="16" t="str">
        <f>TEXT(PARTIDA[[#This Row],[PARTIDA]],"0000000000")</f>
        <v>0505900000</v>
      </c>
      <c r="C455" s="16" t="s">
        <v>815</v>
      </c>
      <c r="D455" s="16" t="s">
        <v>835</v>
      </c>
      <c r="E455" s="16" t="s">
        <v>840</v>
      </c>
      <c r="F455" s="27" t="s">
        <v>9750</v>
      </c>
      <c r="G455" s="27"/>
      <c r="H455" s="16" t="str">
        <f>IF(ISBLANK(PARTIDAS!$G455),PARTIDAS!$F455,CONCATENATE(PARTIDAS!$F455," (",PARTIDAS!$G455,")"))</f>
        <v>Pieles y demás partes de ave, con sus plumas o plumón, plumas y… (los demás)</v>
      </c>
      <c r="I455" s="16" t="s">
        <v>9427</v>
      </c>
    </row>
    <row r="456" spans="1:9" x14ac:dyDescent="0.25">
      <c r="A456" s="16" t="s">
        <v>1297</v>
      </c>
      <c r="B456" s="16" t="str">
        <f>TEXT(PARTIDA[[#This Row],[PARTIDA]],"0000000000")</f>
        <v>0506100000</v>
      </c>
      <c r="C456" s="16" t="s">
        <v>815</v>
      </c>
      <c r="D456" s="16" t="s">
        <v>835</v>
      </c>
      <c r="E456" s="16" t="s">
        <v>840</v>
      </c>
      <c r="F456" s="27" t="s">
        <v>9751</v>
      </c>
      <c r="G456" s="27"/>
      <c r="H456" s="16" t="str">
        <f>IF(ISBLANK(PARTIDAS!$G456),PARTIDAS!$F456,CONCATENATE(PARTIDAS!$F456," (",PARTIDAS!$G456,")"))</f>
        <v>Oseína y huesos acidulados</v>
      </c>
      <c r="I456" s="16" t="s">
        <v>9427</v>
      </c>
    </row>
    <row r="457" spans="1:9" x14ac:dyDescent="0.25">
      <c r="A457" s="16" t="s">
        <v>1298</v>
      </c>
      <c r="B457" s="16" t="str">
        <f>TEXT(PARTIDA[[#This Row],[PARTIDA]],"0000000000")</f>
        <v>0506900000</v>
      </c>
      <c r="C457" s="16" t="s">
        <v>815</v>
      </c>
      <c r="D457" s="16" t="s">
        <v>835</v>
      </c>
      <c r="E457" s="16" t="s">
        <v>840</v>
      </c>
      <c r="F457" s="27" t="s">
        <v>9752</v>
      </c>
      <c r="G457" s="27"/>
      <c r="H457" s="16" t="str">
        <f>IF(ISBLANK(PARTIDAS!$G457),PARTIDAS!$F457,CONCATENATE(PARTIDAS!$F457," (",PARTIDAS!$G457,")"))</f>
        <v>Huesos y núcleos córneos, en bruto, desgrasados, simplemente… (los demás)</v>
      </c>
      <c r="I457" s="16" t="s">
        <v>9427</v>
      </c>
    </row>
    <row r="458" spans="1:9" x14ac:dyDescent="0.25">
      <c r="A458" s="16" t="s">
        <v>1299</v>
      </c>
      <c r="B458" s="16" t="str">
        <f>TEXT(PARTIDA[[#This Row],[PARTIDA]],"0000000000")</f>
        <v>0507100000</v>
      </c>
      <c r="C458" s="16" t="s">
        <v>815</v>
      </c>
      <c r="D458" s="16" t="s">
        <v>835</v>
      </c>
      <c r="E458" s="16" t="s">
        <v>840</v>
      </c>
      <c r="F458" s="27" t="s">
        <v>9753</v>
      </c>
      <c r="G458" s="27"/>
      <c r="H458" s="16" t="str">
        <f>IF(ISBLANK(PARTIDAS!$G458),PARTIDAS!$F458,CONCATENATE(PARTIDAS!$F458," (",PARTIDAS!$G458,")"))</f>
        <v>Marfil; polvo y desperdicios de marfil</v>
      </c>
      <c r="I458" s="16" t="s">
        <v>9427</v>
      </c>
    </row>
    <row r="459" spans="1:9" x14ac:dyDescent="0.25">
      <c r="A459" s="16" t="s">
        <v>1300</v>
      </c>
      <c r="B459" s="16" t="str">
        <f>TEXT(PARTIDA[[#This Row],[PARTIDA]],"0000000000")</f>
        <v>0507900000</v>
      </c>
      <c r="C459" s="16" t="s">
        <v>815</v>
      </c>
      <c r="D459" s="16" t="s">
        <v>835</v>
      </c>
      <c r="E459" s="16" t="s">
        <v>840</v>
      </c>
      <c r="F459" s="27" t="s">
        <v>9754</v>
      </c>
      <c r="G459" s="27"/>
      <c r="H459" s="16" t="str">
        <f>IF(ISBLANK(PARTIDAS!$G459),PARTIDAS!$F459,CONCATENATE(PARTIDAS!$F459," (",PARTIDAS!$G459,")"))</f>
        <v>Marfil, concha (caparazón) de tortuga, ballenas de mamíferos marinos… (los demás)</v>
      </c>
      <c r="I459" s="16" t="s">
        <v>9427</v>
      </c>
    </row>
    <row r="460" spans="1:9" x14ac:dyDescent="0.25">
      <c r="A460" s="16" t="s">
        <v>1301</v>
      </c>
      <c r="B460" s="16" t="str">
        <f>TEXT(PARTIDA[[#This Row],[PARTIDA]],"0000000000")</f>
        <v>0508000000</v>
      </c>
      <c r="C460" s="16" t="s">
        <v>815</v>
      </c>
      <c r="D460" s="16" t="s">
        <v>835</v>
      </c>
      <c r="E460" s="16" t="s">
        <v>840</v>
      </c>
      <c r="F460" s="27" t="s">
        <v>1302</v>
      </c>
      <c r="G460" s="27"/>
      <c r="H460" s="16" t="str">
        <f>IF(ISBLANK(PARTIDAS!$G460),PARTIDAS!$F460,CONCATENATE(PARTIDAS!$F460," (",PARTIDAS!$G460,")"))</f>
        <v>Coral y materias similares, en bruto o
simplemente preparados, pero sin otro trabajo;
valvas y caparazones de moluscos, crustáceos o
equinodermos, y jibiones, en bruto o simplemente
preparados, pero sin cortar en forma determinada,
incluso en polvo y desperdicios.</v>
      </c>
      <c r="I460" s="16" t="s">
        <v>9427</v>
      </c>
    </row>
    <row r="461" spans="1:9" x14ac:dyDescent="0.25">
      <c r="A461" s="16" t="s">
        <v>1303</v>
      </c>
      <c r="B461" s="16" t="str">
        <f>TEXT(PARTIDA[[#This Row],[PARTIDA]],"0000000000")</f>
        <v>0510001000</v>
      </c>
      <c r="C461" s="16" t="s">
        <v>815</v>
      </c>
      <c r="D461" s="16" t="s">
        <v>835</v>
      </c>
      <c r="E461" s="16" t="s">
        <v>840</v>
      </c>
      <c r="F461" s="27" t="s">
        <v>1304</v>
      </c>
      <c r="G461" s="27" t="s">
        <v>852</v>
      </c>
      <c r="H461" s="16" t="str">
        <f>IF(ISBLANK(PARTIDAS!$G461),PARTIDAS!$F461,CONCATENATE(PARTIDAS!$F461," (",PARTIDAS!$G461,")"))</f>
        <v>Sustancias de animales (Especificar)</v>
      </c>
      <c r="I461" s="16" t="s">
        <v>9427</v>
      </c>
    </row>
    <row r="462" spans="1:9" x14ac:dyDescent="0.25">
      <c r="A462" s="16" t="s">
        <v>1305</v>
      </c>
      <c r="B462" s="16" t="str">
        <f>TEXT(PARTIDA[[#This Row],[PARTIDA]],"0000000000")</f>
        <v>0510009000</v>
      </c>
      <c r="C462" s="16" t="s">
        <v>815</v>
      </c>
      <c r="D462" s="16" t="s">
        <v>835</v>
      </c>
      <c r="E462" s="16" t="s">
        <v>840</v>
      </c>
      <c r="F462" s="27" t="s">
        <v>9754</v>
      </c>
      <c r="G462" s="27"/>
      <c r="H462" s="16" t="str">
        <f>IF(ISBLANK(PARTIDAS!$G462),PARTIDAS!$F462,CONCATENATE(PARTIDAS!$F462," (",PARTIDAS!$G462,")"))</f>
        <v>Marfil, concha (caparazón) de tortuga, ballenas de mamíferos marinos… (los demás)</v>
      </c>
      <c r="I462" s="16" t="s">
        <v>9427</v>
      </c>
    </row>
    <row r="463" spans="1:9" x14ac:dyDescent="0.25">
      <c r="A463" s="16" t="s">
        <v>1306</v>
      </c>
      <c r="B463" s="16" t="str">
        <f>TEXT(PARTIDA[[#This Row],[PARTIDA]],"0000000000")</f>
        <v>0511100000</v>
      </c>
      <c r="C463" s="16" t="s">
        <v>815</v>
      </c>
      <c r="D463" s="16" t="s">
        <v>835</v>
      </c>
      <c r="E463" s="16" t="s">
        <v>840</v>
      </c>
      <c r="F463" s="27" t="s">
        <v>9755</v>
      </c>
      <c r="G463" s="27"/>
      <c r="H463" s="16" t="str">
        <f>IF(ISBLANK(PARTIDAS!$G463),PARTIDAS!$F463,CONCATENATE(PARTIDAS!$F463," (",PARTIDAS!$G463,")"))</f>
        <v>Semen de bovino</v>
      </c>
      <c r="I463" s="16" t="s">
        <v>9427</v>
      </c>
    </row>
    <row r="464" spans="1:9" x14ac:dyDescent="0.25">
      <c r="A464" s="16" t="s">
        <v>1307</v>
      </c>
      <c r="B464" s="16" t="str">
        <f>TEXT(PARTIDA[[#This Row],[PARTIDA]],"0000000000")</f>
        <v>0511911000</v>
      </c>
      <c r="C464" s="16" t="s">
        <v>815</v>
      </c>
      <c r="D464" s="16" t="s">
        <v>835</v>
      </c>
      <c r="E464" s="16" t="s">
        <v>840</v>
      </c>
      <c r="F464" s="27" t="s">
        <v>9756</v>
      </c>
      <c r="G464" s="27"/>
      <c r="H464" s="16" t="str">
        <f>IF(ISBLANK(PARTIDAS!$G464),PARTIDAS!$F464,CONCATENATE(PARTIDAS!$F464," (",PARTIDAS!$G464,")"))</f>
        <v>Huevas y lechas de pescado</v>
      </c>
      <c r="I464" s="16" t="s">
        <v>9427</v>
      </c>
    </row>
    <row r="465" spans="1:9" x14ac:dyDescent="0.25">
      <c r="A465" s="16" t="s">
        <v>1308</v>
      </c>
      <c r="B465" s="16" t="str">
        <f>TEXT(PARTIDA[[#This Row],[PARTIDA]],"0000000000")</f>
        <v>0511912000</v>
      </c>
      <c r="C465" s="16" t="s">
        <v>815</v>
      </c>
      <c r="D465" s="16" t="s">
        <v>835</v>
      </c>
      <c r="E465" s="16" t="s">
        <v>840</v>
      </c>
      <c r="F465" s="27" t="s">
        <v>9757</v>
      </c>
      <c r="G465" s="27"/>
      <c r="H465" s="16" t="str">
        <f>IF(ISBLANK(PARTIDAS!$G465),PARTIDAS!$F465,CONCATENATE(PARTIDAS!$F465," (",PARTIDAS!$G465,")"))</f>
        <v>Despojos de pescado</v>
      </c>
      <c r="I465" s="16" t="s">
        <v>9427</v>
      </c>
    </row>
    <row r="466" spans="1:9" x14ac:dyDescent="0.25">
      <c r="A466" s="16" t="s">
        <v>1309</v>
      </c>
      <c r="B466" s="16" t="str">
        <f>TEXT(PARTIDA[[#This Row],[PARTIDA]],"0000000000")</f>
        <v>0511919000</v>
      </c>
      <c r="C466" s="16" t="s">
        <v>815</v>
      </c>
      <c r="D466" s="16" t="s">
        <v>835</v>
      </c>
      <c r="E466" s="16" t="s">
        <v>840</v>
      </c>
      <c r="F466" s="27" t="s">
        <v>9758</v>
      </c>
      <c r="G466" s="27"/>
      <c r="H466" s="16" t="str">
        <f>IF(ISBLANK(PARTIDAS!$G466),PARTIDAS!$F466,CONCATENATE(PARTIDAS!$F466," (",PARTIDAS!$G466,")"))</f>
        <v>Productos de pescado o de crustáceos, moluscos o demás invertebrados… (los demás)</v>
      </c>
      <c r="I466" s="16" t="s">
        <v>9427</v>
      </c>
    </row>
    <row r="467" spans="1:9" x14ac:dyDescent="0.25">
      <c r="A467" s="16" t="s">
        <v>1310</v>
      </c>
      <c r="B467" s="16" t="str">
        <f>TEXT(PARTIDA[[#This Row],[PARTIDA]],"0000000000")</f>
        <v>0511991000</v>
      </c>
      <c r="C467" s="16" t="s">
        <v>815</v>
      </c>
      <c r="D467" s="16" t="s">
        <v>835</v>
      </c>
      <c r="E467" s="16" t="s">
        <v>840</v>
      </c>
      <c r="F467" s="27" t="s">
        <v>9759</v>
      </c>
      <c r="G467" s="27"/>
      <c r="H467" s="16" t="str">
        <f>IF(ISBLANK(PARTIDAS!$G467),PARTIDAS!$F467,CONCATENATE(PARTIDAS!$F467," (",PARTIDAS!$G467,")"))</f>
        <v>Cochinilla (Dactylopious coccus)</v>
      </c>
      <c r="I467" s="16" t="s">
        <v>9427</v>
      </c>
    </row>
    <row r="468" spans="1:9" x14ac:dyDescent="0.25">
      <c r="A468" s="16" t="s">
        <v>1311</v>
      </c>
      <c r="B468" s="16" t="str">
        <f>TEXT(PARTIDA[[#This Row],[PARTIDA]],"0000000000")</f>
        <v>0511993000</v>
      </c>
      <c r="C468" s="16" t="s">
        <v>815</v>
      </c>
      <c r="D468" s="16" t="s">
        <v>835</v>
      </c>
      <c r="E468" s="16" t="s">
        <v>840</v>
      </c>
      <c r="F468" s="27" t="s">
        <v>9760</v>
      </c>
      <c r="G468" s="27"/>
      <c r="H468" s="16" t="str">
        <f>IF(ISBLANK(PARTIDAS!$G468),PARTIDAS!$F468,CONCATENATE(PARTIDAS!$F468," (",PARTIDAS!$G468,")"))</f>
        <v>Semen de los demás animales</v>
      </c>
      <c r="I468" s="16" t="s">
        <v>9427</v>
      </c>
    </row>
    <row r="469" spans="1:9" x14ac:dyDescent="0.25">
      <c r="A469" s="16" t="s">
        <v>1312</v>
      </c>
      <c r="B469" s="16" t="str">
        <f>TEXT(PARTIDA[[#This Row],[PARTIDA]],"0000000000")</f>
        <v>0511994000</v>
      </c>
      <c r="C469" s="16" t="s">
        <v>815</v>
      </c>
      <c r="D469" s="16" t="s">
        <v>835</v>
      </c>
      <c r="E469" s="16" t="s">
        <v>840</v>
      </c>
      <c r="F469" s="27" t="s">
        <v>9761</v>
      </c>
      <c r="G469" s="27"/>
      <c r="H469" s="16" t="str">
        <f>IF(ISBLANK(PARTIDAS!$G469),PARTIDAS!$F469,CONCATENATE(PARTIDAS!$F469," (",PARTIDAS!$G469,")"))</f>
        <v>Productos de origen animal no expresados ni comprendidos en otra parte, embriones</v>
      </c>
      <c r="I469" s="16" t="s">
        <v>9427</v>
      </c>
    </row>
    <row r="470" spans="1:9" x14ac:dyDescent="0.25">
      <c r="A470" s="16" t="s">
        <v>1313</v>
      </c>
      <c r="B470" s="16" t="str">
        <f>TEXT(PARTIDA[[#This Row],[PARTIDA]],"0000000000")</f>
        <v>0511999020</v>
      </c>
      <c r="C470" s="16" t="s">
        <v>815</v>
      </c>
      <c r="D470" s="16" t="s">
        <v>835</v>
      </c>
      <c r="E470" s="16" t="s">
        <v>840</v>
      </c>
      <c r="F470" s="27" t="s">
        <v>9762</v>
      </c>
      <c r="G470" s="27"/>
      <c r="H470" s="16" t="str">
        <f>IF(ISBLANK(PARTIDAS!$G470),PARTIDAS!$F470,CONCATENATE(PARTIDAS!$F470," (",PARTIDAS!$G470,")"))</f>
        <v>Esponjas naturales de origen animal</v>
      </c>
      <c r="I470" s="16" t="s">
        <v>9427</v>
      </c>
    </row>
    <row r="471" spans="1:9" x14ac:dyDescent="0.25">
      <c r="A471" s="16" t="s">
        <v>1314</v>
      </c>
      <c r="B471" s="16" t="str">
        <f>TEXT(PARTIDA[[#This Row],[PARTIDA]],"0000000000")</f>
        <v>0511999090</v>
      </c>
      <c r="C471" s="16" t="s">
        <v>815</v>
      </c>
      <c r="D471" s="16" t="s">
        <v>835</v>
      </c>
      <c r="E471" s="16" t="s">
        <v>842</v>
      </c>
      <c r="F471" s="27" t="s">
        <v>1315</v>
      </c>
      <c r="G471" s="27"/>
      <c r="H471" s="16" t="str">
        <f>IF(ISBLANK(PARTIDAS!$G471),PARTIDAS!$F471,CONCATENATE(PARTIDAS!$F471," (",PARTIDAS!$G471,")"))</f>
        <v>Mariposas disecadas</v>
      </c>
      <c r="I471" s="16" t="s">
        <v>9477</v>
      </c>
    </row>
    <row r="472" spans="1:9" x14ac:dyDescent="0.25">
      <c r="A472" s="16" t="s">
        <v>1316</v>
      </c>
      <c r="B472" s="16" t="str">
        <f>TEXT(PARTIDA[[#This Row],[PARTIDA]],"0000000000")</f>
        <v>0601100000</v>
      </c>
      <c r="C472" s="16" t="s">
        <v>815</v>
      </c>
      <c r="D472" s="16" t="s">
        <v>825</v>
      </c>
      <c r="E472" s="16" t="s">
        <v>9454</v>
      </c>
      <c r="F472" s="27" t="s">
        <v>1317</v>
      </c>
      <c r="G472" s="27" t="s">
        <v>852</v>
      </c>
      <c r="H472" s="16" t="str">
        <f>IF(ISBLANK(PARTIDAS!$G472),PARTIDAS!$F472,CONCATENATE(PARTIDAS!$F472," (",PARTIDAS!$G472,")"))</f>
        <v>Bulbos, cebollas, tubérculos, raíces y bulbos tuberosos, turiones y rizomas, en reposo vegetativo (Especificar)</v>
      </c>
      <c r="I472" s="16" t="s">
        <v>9427</v>
      </c>
    </row>
    <row r="473" spans="1:9" x14ac:dyDescent="0.25">
      <c r="A473" s="16" t="s">
        <v>1318</v>
      </c>
      <c r="B473" s="16" t="str">
        <f>TEXT(PARTIDA[[#This Row],[PARTIDA]],"0000000000")</f>
        <v>0601200000</v>
      </c>
      <c r="C473" s="16" t="s">
        <v>815</v>
      </c>
      <c r="D473" s="16" t="s">
        <v>825</v>
      </c>
      <c r="E473" s="16" t="s">
        <v>9454</v>
      </c>
      <c r="F473" s="27" t="s">
        <v>1317</v>
      </c>
      <c r="G473" s="27" t="s">
        <v>852</v>
      </c>
      <c r="H473" s="16" t="str">
        <f>IF(ISBLANK(PARTIDAS!$G473),PARTIDAS!$F473,CONCATENATE(PARTIDAS!$F473," (",PARTIDAS!$G473,")"))</f>
        <v>Bulbos, cebollas, tubérculos, raíces y bulbos tuberosos, turiones y rizomas, en reposo vegetativo (Especificar)</v>
      </c>
      <c r="I473" s="16" t="s">
        <v>9427</v>
      </c>
    </row>
    <row r="474" spans="1:9" x14ac:dyDescent="0.25">
      <c r="A474" s="16" t="s">
        <v>1319</v>
      </c>
      <c r="B474" s="16" t="str">
        <f>TEXT(PARTIDA[[#This Row],[PARTIDA]],"0000000000")</f>
        <v>0602101000</v>
      </c>
      <c r="C474" s="16" t="s">
        <v>815</v>
      </c>
      <c r="D474" s="16" t="s">
        <v>825</v>
      </c>
      <c r="E474" s="16" t="s">
        <v>9454</v>
      </c>
      <c r="F474" s="27" t="s">
        <v>9763</v>
      </c>
      <c r="G474" s="27"/>
      <c r="H474" s="16" t="str">
        <f>IF(ISBLANK(PARTIDAS!$G474),PARTIDAS!$F474,CONCATENATE(PARTIDAS!$F474," (",PARTIDAS!$G474,")"))</f>
        <v>Esquejes sin enraizar e injertos, orquídeas</v>
      </c>
      <c r="I474" s="16" t="s">
        <v>9427</v>
      </c>
    </row>
    <row r="475" spans="1:9" x14ac:dyDescent="0.25">
      <c r="A475" s="16" t="s">
        <v>1320</v>
      </c>
      <c r="B475" s="16" t="str">
        <f>TEXT(PARTIDA[[#This Row],[PARTIDA]],"0000000000")</f>
        <v>0602109000</v>
      </c>
      <c r="C475" s="16" t="s">
        <v>815</v>
      </c>
      <c r="D475" s="16" t="s">
        <v>825</v>
      </c>
      <c r="E475" s="16" t="s">
        <v>9454</v>
      </c>
      <c r="F475" s="27" t="s">
        <v>1321</v>
      </c>
      <c r="G475" s="27"/>
      <c r="H475" s="16" t="str">
        <f>IF(ISBLANK(PARTIDAS!$G475),PARTIDAS!$F475,CONCATENATE(PARTIDAS!$F475," (",PARTIDAS!$G475,")"))</f>
        <v>Planta acuatica espada amazónica</v>
      </c>
      <c r="I475" s="16" t="s">
        <v>9427</v>
      </c>
    </row>
    <row r="476" spans="1:9" x14ac:dyDescent="0.25">
      <c r="A476" s="16" t="s">
        <v>1322</v>
      </c>
      <c r="B476" s="16" t="str">
        <f>TEXT(PARTIDA[[#This Row],[PARTIDA]],"0000000000")</f>
        <v>0602200000</v>
      </c>
      <c r="C476" s="16" t="s">
        <v>815</v>
      </c>
      <c r="D476" s="16" t="s">
        <v>825</v>
      </c>
      <c r="E476" s="16" t="s">
        <v>9454</v>
      </c>
      <c r="F476" s="27" t="s">
        <v>9764</v>
      </c>
      <c r="G476" s="27"/>
      <c r="H476" s="16" t="str">
        <f>IF(ISBLANK(PARTIDAS!$G476),PARTIDAS!$F476,CONCATENATE(PARTIDAS!$F476," (",PARTIDAS!$G476,")"))</f>
        <v>Arboles, arbustos y matas, de frutas o de otros frutos comestibles, incluso injertados</v>
      </c>
      <c r="I476" s="16" t="s">
        <v>9427</v>
      </c>
    </row>
    <row r="477" spans="1:9" x14ac:dyDescent="0.25">
      <c r="A477" s="16" t="s">
        <v>1323</v>
      </c>
      <c r="B477" s="16" t="str">
        <f>TEXT(PARTIDA[[#This Row],[PARTIDA]],"0000000000")</f>
        <v>0602300000</v>
      </c>
      <c r="C477" s="16" t="s">
        <v>815</v>
      </c>
      <c r="D477" s="16" t="s">
        <v>825</v>
      </c>
      <c r="E477" s="16" t="s">
        <v>9454</v>
      </c>
      <c r="F477" s="27" t="s">
        <v>9765</v>
      </c>
      <c r="G477" s="27"/>
      <c r="H477" s="16" t="str">
        <f>IF(ISBLANK(PARTIDAS!$G477),PARTIDAS!$F477,CONCATENATE(PARTIDAS!$F477," (",PARTIDAS!$G477,")"))</f>
        <v>Rododendros y azaleas, incluso injertados</v>
      </c>
      <c r="I477" s="16" t="s">
        <v>9427</v>
      </c>
    </row>
    <row r="478" spans="1:9" x14ac:dyDescent="0.25">
      <c r="A478" s="16" t="s">
        <v>1324</v>
      </c>
      <c r="B478" s="16" t="str">
        <f>TEXT(PARTIDA[[#This Row],[PARTIDA]],"0000000000")</f>
        <v>0602400000</v>
      </c>
      <c r="C478" s="16" t="s">
        <v>815</v>
      </c>
      <c r="D478" s="16" t="s">
        <v>825</v>
      </c>
      <c r="E478" s="16" t="s">
        <v>9454</v>
      </c>
      <c r="F478" s="27" t="s">
        <v>9766</v>
      </c>
      <c r="G478" s="27"/>
      <c r="H478" s="16" t="str">
        <f>IF(ISBLANK(PARTIDAS!$G478),PARTIDAS!$F478,CONCATENATE(PARTIDAS!$F478," (",PARTIDAS!$G478,")"))</f>
        <v>Rosales, incluso injertados</v>
      </c>
      <c r="I478" s="16" t="s">
        <v>9427</v>
      </c>
    </row>
    <row r="479" spans="1:9" x14ac:dyDescent="0.25">
      <c r="A479" s="16" t="s">
        <v>1325</v>
      </c>
      <c r="B479" s="16" t="str">
        <f>TEXT(PARTIDA[[#This Row],[PARTIDA]],"0000000000")</f>
        <v>0602901000</v>
      </c>
      <c r="C479" s="16" t="s">
        <v>815</v>
      </c>
      <c r="D479" s="16" t="s">
        <v>825</v>
      </c>
      <c r="E479" s="16" t="s">
        <v>9454</v>
      </c>
      <c r="F479" s="27" t="s">
        <v>1326</v>
      </c>
      <c r="G479" s="27"/>
      <c r="H479" s="16" t="str">
        <f>IF(ISBLANK(PARTIDAS!$G479),PARTIDAS!$F479,CONCATENATE(PARTIDAS!$F479," (",PARTIDAS!$G479,")"))</f>
        <v>Orquídeas</v>
      </c>
      <c r="I479" s="16" t="s">
        <v>9427</v>
      </c>
    </row>
    <row r="480" spans="1:9" x14ac:dyDescent="0.25">
      <c r="A480" s="16" t="s">
        <v>1327</v>
      </c>
      <c r="B480" s="16" t="str">
        <f>TEXT(PARTIDA[[#This Row],[PARTIDA]],"0000000000")</f>
        <v>0602909000</v>
      </c>
      <c r="C480" s="16" t="s">
        <v>815</v>
      </c>
      <c r="D480" s="16" t="s">
        <v>825</v>
      </c>
      <c r="E480" s="16" t="s">
        <v>9454</v>
      </c>
      <c r="F480" s="27" t="s">
        <v>1326</v>
      </c>
      <c r="G480" s="27"/>
      <c r="H480" s="16" t="str">
        <f>IF(ISBLANK(PARTIDAS!$G480),PARTIDAS!$F480,CONCATENATE(PARTIDAS!$F480," (",PARTIDAS!$G480,")"))</f>
        <v>Orquídeas</v>
      </c>
      <c r="I480" s="16" t="s">
        <v>9427</v>
      </c>
    </row>
    <row r="481" spans="1:9" x14ac:dyDescent="0.25">
      <c r="A481" s="16" t="s">
        <v>1328</v>
      </c>
      <c r="B481" s="16" t="str">
        <f>TEXT(PARTIDA[[#This Row],[PARTIDA]],"0000000000")</f>
        <v>0603110000</v>
      </c>
      <c r="C481" s="16" t="s">
        <v>786</v>
      </c>
      <c r="D481" s="16" t="s">
        <v>787</v>
      </c>
      <c r="E481" s="16" t="s">
        <v>797</v>
      </c>
      <c r="F481" s="27" t="s">
        <v>9767</v>
      </c>
      <c r="G481" s="27"/>
      <c r="H481" s="16" t="str">
        <f>IF(ISBLANK(PARTIDAS!$G481),PARTIDAS!$F481,CONCATENATE(PARTIDAS!$F481," (",PARTIDAS!$G481,")"))</f>
        <v>Flores y capullos, cortados para ramos o adornos…, frescos, rosas</v>
      </c>
      <c r="I481" s="16" t="s">
        <v>9427</v>
      </c>
    </row>
    <row r="482" spans="1:9" x14ac:dyDescent="0.25">
      <c r="A482" s="16" t="s">
        <v>1329</v>
      </c>
      <c r="B482" s="16" t="str">
        <f>TEXT(PARTIDA[[#This Row],[PARTIDA]],"0000000000")</f>
        <v>0603121000</v>
      </c>
      <c r="C482" s="16" t="s">
        <v>786</v>
      </c>
      <c r="D482" s="16" t="s">
        <v>787</v>
      </c>
      <c r="E482" s="16" t="s">
        <v>797</v>
      </c>
      <c r="F482" s="27" t="s">
        <v>9768</v>
      </c>
      <c r="G482" s="27"/>
      <c r="H482" s="16" t="str">
        <f>IF(ISBLANK(PARTIDAS!$G482),PARTIDAS!$F482,CONCATENATE(PARTIDAS!$F482," (",PARTIDAS!$G482,")"))</f>
        <v>Claveles, miniatura</v>
      </c>
      <c r="I482" s="16" t="s">
        <v>9427</v>
      </c>
    </row>
    <row r="483" spans="1:9" x14ac:dyDescent="0.25">
      <c r="A483" s="16" t="s">
        <v>1330</v>
      </c>
      <c r="B483" s="16" t="str">
        <f>TEXT(PARTIDA[[#This Row],[PARTIDA]],"0000000000")</f>
        <v>0603129000</v>
      </c>
      <c r="C483" s="16" t="s">
        <v>786</v>
      </c>
      <c r="D483" s="16" t="s">
        <v>787</v>
      </c>
      <c r="E483" s="16" t="s">
        <v>797</v>
      </c>
      <c r="F483" s="27" t="s">
        <v>9769</v>
      </c>
      <c r="G483" s="27"/>
      <c r="H483" s="16" t="str">
        <f>IF(ISBLANK(PARTIDAS!$G483),PARTIDAS!$F483,CONCATENATE(PARTIDAS!$F483," (",PARTIDAS!$G483,")"))</f>
        <v>Claveles (los demás)</v>
      </c>
      <c r="I483" s="16" t="s">
        <v>9427</v>
      </c>
    </row>
    <row r="484" spans="1:9" x14ac:dyDescent="0.25">
      <c r="A484" s="16" t="s">
        <v>1331</v>
      </c>
      <c r="B484" s="16" t="str">
        <f>TEXT(PARTIDA[[#This Row],[PARTIDA]],"0000000000")</f>
        <v>0603130000</v>
      </c>
      <c r="C484" s="16" t="s">
        <v>786</v>
      </c>
      <c r="D484" s="16" t="s">
        <v>787</v>
      </c>
      <c r="E484" s="16" t="s">
        <v>797</v>
      </c>
      <c r="F484" s="27" t="s">
        <v>1326</v>
      </c>
      <c r="G484" s="27"/>
      <c r="H484" s="16" t="str">
        <f>IF(ISBLANK(PARTIDAS!$G484),PARTIDAS!$F484,CONCATENATE(PARTIDAS!$F484," (",PARTIDAS!$G484,")"))</f>
        <v>Orquídeas</v>
      </c>
      <c r="I484" s="16" t="s">
        <v>9427</v>
      </c>
    </row>
    <row r="485" spans="1:9" x14ac:dyDescent="0.25">
      <c r="A485" s="16" t="s">
        <v>1332</v>
      </c>
      <c r="B485" s="16" t="str">
        <f>TEXT(PARTIDA[[#This Row],[PARTIDA]],"0000000000")</f>
        <v>0603141000</v>
      </c>
      <c r="C485" s="16" t="s">
        <v>786</v>
      </c>
      <c r="D485" s="16" t="s">
        <v>787</v>
      </c>
      <c r="E485" s="16" t="s">
        <v>797</v>
      </c>
      <c r="F485" s="27" t="s">
        <v>9770</v>
      </c>
      <c r="G485" s="27"/>
      <c r="H485" s="16" t="str">
        <f>IF(ISBLANK(PARTIDAS!$G485),PARTIDAS!$F485,CONCATENATE(PARTIDAS!$F485," (",PARTIDAS!$G485,")"))</f>
        <v>Crisantemos, pompones</v>
      </c>
      <c r="I485" s="16" t="s">
        <v>9427</v>
      </c>
    </row>
    <row r="486" spans="1:9" x14ac:dyDescent="0.25">
      <c r="A486" s="16" t="s">
        <v>1333</v>
      </c>
      <c r="B486" s="16" t="str">
        <f>TEXT(PARTIDA[[#This Row],[PARTIDA]],"0000000000")</f>
        <v>0603149000</v>
      </c>
      <c r="C486" s="16" t="s">
        <v>786</v>
      </c>
      <c r="D486" s="16" t="s">
        <v>787</v>
      </c>
      <c r="E486" s="16" t="s">
        <v>797</v>
      </c>
      <c r="F486" s="27" t="s">
        <v>9771</v>
      </c>
      <c r="G486" s="27"/>
      <c r="H486" s="16" t="str">
        <f>IF(ISBLANK(PARTIDAS!$G486),PARTIDAS!$F486,CONCATENATE(PARTIDAS!$F486," (",PARTIDAS!$G486,")"))</f>
        <v>Crisantemos (los demás)</v>
      </c>
      <c r="I486" s="16" t="s">
        <v>9427</v>
      </c>
    </row>
    <row r="487" spans="1:9" x14ac:dyDescent="0.25">
      <c r="A487" s="16" t="s">
        <v>1334</v>
      </c>
      <c r="B487" s="16" t="str">
        <f>TEXT(PARTIDA[[#This Row],[PARTIDA]],"0000000000")</f>
        <v>0603150000</v>
      </c>
      <c r="C487" s="16" t="s">
        <v>786</v>
      </c>
      <c r="D487" s="16" t="s">
        <v>787</v>
      </c>
      <c r="E487" s="16" t="s">
        <v>797</v>
      </c>
      <c r="F487" s="27" t="s">
        <v>9772</v>
      </c>
      <c r="G487" s="27"/>
      <c r="H487" s="16" t="str">
        <f>IF(ISBLANK(PARTIDAS!$G487),PARTIDAS!$F487,CONCATENATE(PARTIDAS!$F487," (",PARTIDAS!$G487,")"))</f>
        <v>Azucenas (Lilium spp.)</v>
      </c>
      <c r="I487" s="16" t="s">
        <v>9427</v>
      </c>
    </row>
    <row r="488" spans="1:9" x14ac:dyDescent="0.25">
      <c r="A488" s="16" t="s">
        <v>1335</v>
      </c>
      <c r="B488" s="16" t="str">
        <f>TEXT(PARTIDA[[#This Row],[PARTIDA]],"0000000000")</f>
        <v>0603191000</v>
      </c>
      <c r="C488" s="16" t="s">
        <v>786</v>
      </c>
      <c r="D488" s="16" t="s">
        <v>787</v>
      </c>
      <c r="E488" s="16" t="s">
        <v>797</v>
      </c>
      <c r="F488" s="27" t="s">
        <v>9773</v>
      </c>
      <c r="G488" s="27"/>
      <c r="H488" s="16" t="str">
        <f>IF(ISBLANK(PARTIDAS!$G488),PARTIDAS!$F488,CONCATENATE(PARTIDAS!$F488," (",PARTIDAS!$G488,")"))</f>
        <v>Gypsophila (Lluvia, ilusión) (Gypsophilia paniculata L.)</v>
      </c>
      <c r="I488" s="16" t="s">
        <v>9427</v>
      </c>
    </row>
    <row r="489" spans="1:9" x14ac:dyDescent="0.25">
      <c r="A489" s="16" t="s">
        <v>1336</v>
      </c>
      <c r="B489" s="16" t="str">
        <f>TEXT(PARTIDA[[#This Row],[PARTIDA]],"0000000000")</f>
        <v>0603192000</v>
      </c>
      <c r="C489" s="16" t="s">
        <v>786</v>
      </c>
      <c r="D489" s="16" t="s">
        <v>787</v>
      </c>
      <c r="E489" s="16" t="s">
        <v>797</v>
      </c>
      <c r="F489" s="27" t="s">
        <v>9774</v>
      </c>
      <c r="G489" s="27"/>
      <c r="H489" s="16" t="str">
        <f>IF(ISBLANK(PARTIDAS!$G489),PARTIDAS!$F489,CONCATENATE(PARTIDAS!$F489," (",PARTIDAS!$G489,")"))</f>
        <v>Flores y capullos, cortados para ramos o adornos…, frescos, aster</v>
      </c>
      <c r="I489" s="16" t="s">
        <v>9427</v>
      </c>
    </row>
    <row r="490" spans="1:9" x14ac:dyDescent="0.25">
      <c r="A490" s="16" t="s">
        <v>1337</v>
      </c>
      <c r="B490" s="16" t="str">
        <f>TEXT(PARTIDA[[#This Row],[PARTIDA]],"0000000000")</f>
        <v>0603193000</v>
      </c>
      <c r="C490" s="16" t="s">
        <v>786</v>
      </c>
      <c r="D490" s="16" t="s">
        <v>787</v>
      </c>
      <c r="E490" s="16" t="s">
        <v>797</v>
      </c>
      <c r="F490" s="27" t="s">
        <v>9775</v>
      </c>
      <c r="G490" s="27"/>
      <c r="H490" s="16" t="str">
        <f>IF(ISBLANK(PARTIDAS!$G490),PARTIDAS!$F490,CONCATENATE(PARTIDAS!$F490," (",PARTIDAS!$G490,")"))</f>
        <v>Flores y capullos, cortados para ramos o adornos…, frescos, alstroemeria</v>
      </c>
      <c r="I490" s="16" t="s">
        <v>9427</v>
      </c>
    </row>
    <row r="491" spans="1:9" x14ac:dyDescent="0.25">
      <c r="A491" s="16" t="s">
        <v>1338</v>
      </c>
      <c r="B491" s="16" t="str">
        <f>TEXT(PARTIDA[[#This Row],[PARTIDA]],"0000000000")</f>
        <v>0603194000</v>
      </c>
      <c r="C491" s="16" t="s">
        <v>786</v>
      </c>
      <c r="D491" s="16" t="s">
        <v>787</v>
      </c>
      <c r="E491" s="16" t="s">
        <v>797</v>
      </c>
      <c r="F491" s="27" t="s">
        <v>9776</v>
      </c>
      <c r="G491" s="27"/>
      <c r="H491" s="16" t="str">
        <f>IF(ISBLANK(PARTIDAS!$G491),PARTIDAS!$F491,CONCATENATE(PARTIDAS!$F491," (",PARTIDAS!$G491,")"))</f>
        <v>Flores y capullos, cortados para ramos o adornos…, frescos, gerbera</v>
      </c>
      <c r="I491" s="16" t="s">
        <v>9427</v>
      </c>
    </row>
    <row r="492" spans="1:9" x14ac:dyDescent="0.25">
      <c r="A492" s="16" t="s">
        <v>1339</v>
      </c>
      <c r="B492" s="16" t="str">
        <f>TEXT(PARTIDA[[#This Row],[PARTIDA]],"0000000000")</f>
        <v>0603199000</v>
      </c>
      <c r="C492" s="16" t="s">
        <v>786</v>
      </c>
      <c r="D492" s="16" t="s">
        <v>787</v>
      </c>
      <c r="E492" s="16" t="s">
        <v>797</v>
      </c>
      <c r="F492" s="27" t="s">
        <v>9777</v>
      </c>
      <c r="G492" s="27"/>
      <c r="H492" s="16" t="str">
        <f>IF(ISBLANK(PARTIDAS!$G492),PARTIDAS!$F492,CONCATENATE(PARTIDAS!$F492," (",PARTIDAS!$G492,")"))</f>
        <v>Flores y capullos, cortados para ramos o adornos…, frescos (los demás)</v>
      </c>
      <c r="I492" s="16" t="s">
        <v>9427</v>
      </c>
    </row>
    <row r="493" spans="1:9" x14ac:dyDescent="0.25">
      <c r="A493" s="16" t="s">
        <v>1340</v>
      </c>
      <c r="B493" s="16" t="str">
        <f>TEXT(PARTIDA[[#This Row],[PARTIDA]],"0000000000")</f>
        <v>0603900000</v>
      </c>
      <c r="C493" s="16" t="s">
        <v>786</v>
      </c>
      <c r="D493" s="16" t="s">
        <v>787</v>
      </c>
      <c r="E493" s="16" t="s">
        <v>797</v>
      </c>
      <c r="F493" s="27" t="s">
        <v>1341</v>
      </c>
      <c r="G493" s="27" t="s">
        <v>852</v>
      </c>
      <c r="H493" s="16" t="str">
        <f>IF(ISBLANK(PARTIDAS!$G493),PARTIDAS!$F493,CONCATENATE(PARTIDAS!$F493," (",PARTIDAS!$G493,")"))</f>
        <v>Productos de la floricultura (Especificar)</v>
      </c>
      <c r="I493" s="16" t="s">
        <v>9427</v>
      </c>
    </row>
    <row r="494" spans="1:9" x14ac:dyDescent="0.25">
      <c r="A494" s="16" t="s">
        <v>1342</v>
      </c>
      <c r="B494" s="16" t="str">
        <f>TEXT(PARTIDA[[#This Row],[PARTIDA]],"0000000000")</f>
        <v>0604200000</v>
      </c>
      <c r="C494" s="16" t="s">
        <v>786</v>
      </c>
      <c r="D494" s="16" t="s">
        <v>787</v>
      </c>
      <c r="E494" s="16" t="s">
        <v>797</v>
      </c>
      <c r="F494" s="27" t="s">
        <v>9778</v>
      </c>
      <c r="G494" s="27"/>
      <c r="H494" s="16" t="str">
        <f>IF(ISBLANK(PARTIDAS!$G494),PARTIDAS!$F494,CONCATENATE(PARTIDAS!$F494," (",PARTIDAS!$G494,")"))</f>
        <v>Follaje, hojas, ramas y demás partes de plantas, sin flores ni…, frescos</v>
      </c>
      <c r="I494" s="16" t="s">
        <v>9427</v>
      </c>
    </row>
    <row r="495" spans="1:9" x14ac:dyDescent="0.25">
      <c r="A495" s="16" t="s">
        <v>1343</v>
      </c>
      <c r="B495" s="16" t="str">
        <f>TEXT(PARTIDA[[#This Row],[PARTIDA]],"0000000000")</f>
        <v>0604900000</v>
      </c>
      <c r="C495" s="16" t="s">
        <v>786</v>
      </c>
      <c r="D495" s="16" t="s">
        <v>787</v>
      </c>
      <c r="E495" s="16" t="s">
        <v>797</v>
      </c>
      <c r="F495" s="27" t="s">
        <v>1344</v>
      </c>
      <c r="G495" s="27"/>
      <c r="H495" s="16" t="str">
        <f>IF(ISBLANK(PARTIDAS!$G495),PARTIDAS!$F495,CONCATENATE(PARTIDAS!$F495," (",PARTIDAS!$G495,")"))</f>
        <v>Hojas secas</v>
      </c>
      <c r="I495" s="16" t="s">
        <v>9427</v>
      </c>
    </row>
    <row r="496" spans="1:9" x14ac:dyDescent="0.25">
      <c r="A496" s="16" t="s">
        <v>1345</v>
      </c>
      <c r="B496" s="16" t="str">
        <f>TEXT(PARTIDA[[#This Row],[PARTIDA]],"0000000000")</f>
        <v>0701100000</v>
      </c>
      <c r="C496" s="16" t="s">
        <v>815</v>
      </c>
      <c r="D496" s="16" t="s">
        <v>825</v>
      </c>
      <c r="E496" s="16" t="s">
        <v>9454</v>
      </c>
      <c r="F496" s="27" t="s">
        <v>9779</v>
      </c>
      <c r="G496" s="27"/>
      <c r="H496" s="16" t="str">
        <f>IF(ISBLANK(PARTIDAS!$G496),PARTIDAS!$F496,CONCATENATE(PARTIDAS!$F496," (",PARTIDAS!$G496,")"))</f>
        <v>Papas (patatas) frescas o refrigeradas, para siembra</v>
      </c>
      <c r="I496" s="16" t="s">
        <v>9427</v>
      </c>
    </row>
    <row r="497" spans="1:9" x14ac:dyDescent="0.25">
      <c r="A497" s="16" t="s">
        <v>1346</v>
      </c>
      <c r="B497" s="16" t="str">
        <f>TEXT(PARTIDA[[#This Row],[PARTIDA]],"0000000000")</f>
        <v>0701900000</v>
      </c>
      <c r="C497" s="16" t="s">
        <v>786</v>
      </c>
      <c r="D497" s="16" t="s">
        <v>787</v>
      </c>
      <c r="E497" s="16" t="s">
        <v>788</v>
      </c>
      <c r="F497" s="27" t="s">
        <v>9780</v>
      </c>
      <c r="G497" s="27"/>
      <c r="H497" s="16" t="str">
        <f>IF(ISBLANK(PARTIDAS!$G497),PARTIDAS!$F497,CONCATENATE(PARTIDAS!$F497," (",PARTIDAS!$G497,")"))</f>
        <v>Papas (patatas) frescas o refrigeradas (los demás)</v>
      </c>
      <c r="I497" s="16" t="s">
        <v>9427</v>
      </c>
    </row>
    <row r="498" spans="1:9" x14ac:dyDescent="0.25">
      <c r="A498" s="16" t="s">
        <v>1347</v>
      </c>
      <c r="B498" s="16" t="str">
        <f>TEXT(PARTIDA[[#This Row],[PARTIDA]],"0000000000")</f>
        <v>0702000000</v>
      </c>
      <c r="C498" s="16" t="s">
        <v>786</v>
      </c>
      <c r="D498" s="16" t="s">
        <v>787</v>
      </c>
      <c r="E498" s="16" t="s">
        <v>788</v>
      </c>
      <c r="F498" s="27" t="s">
        <v>1348</v>
      </c>
      <c r="G498" s="27"/>
      <c r="H498" s="16" t="str">
        <f>IF(ISBLANK(PARTIDAS!$G498),PARTIDAS!$F498,CONCATENATE(PARTIDAS!$F498," (",PARTIDAS!$G498,")"))</f>
        <v>Tomates frescos o refrigerados.</v>
      </c>
      <c r="I498" s="16" t="s">
        <v>9427</v>
      </c>
    </row>
    <row r="499" spans="1:9" x14ac:dyDescent="0.25">
      <c r="A499" s="16" t="s">
        <v>1349</v>
      </c>
      <c r="B499" s="16" t="str">
        <f>TEXT(PARTIDA[[#This Row],[PARTIDA]],"0000000000")</f>
        <v>0703100000</v>
      </c>
      <c r="C499" s="16" t="s">
        <v>786</v>
      </c>
      <c r="D499" s="16" t="s">
        <v>787</v>
      </c>
      <c r="E499" s="16" t="s">
        <v>788</v>
      </c>
      <c r="F499" s="27" t="s">
        <v>1350</v>
      </c>
      <c r="G499" s="27"/>
      <c r="H499" s="16" t="str">
        <f>IF(ISBLANK(PARTIDAS!$G499),PARTIDAS!$F499,CONCATENATE(PARTIDAS!$F499," (",PARTIDAS!$G499,")"))</f>
        <v>Cebollas y chalotes</v>
      </c>
      <c r="I499" s="16" t="s">
        <v>9427</v>
      </c>
    </row>
    <row r="500" spans="1:9" x14ac:dyDescent="0.25">
      <c r="A500" s="16" t="s">
        <v>1351</v>
      </c>
      <c r="B500" s="16" t="str">
        <f>TEXT(PARTIDA[[#This Row],[PARTIDA]],"0000000000")</f>
        <v>0703201000</v>
      </c>
      <c r="C500" s="16" t="s">
        <v>815</v>
      </c>
      <c r="D500" s="16" t="s">
        <v>825</v>
      </c>
      <c r="E500" s="16" t="s">
        <v>9454</v>
      </c>
      <c r="F500" s="27" t="s">
        <v>9781</v>
      </c>
      <c r="G500" s="27"/>
      <c r="H500" s="16" t="str">
        <f>IF(ISBLANK(PARTIDAS!$G500),PARTIDAS!$F500,CONCATENATE(PARTIDAS!$F500," (",PARTIDAS!$G500,")"))</f>
        <v>Ajos, para siembra</v>
      </c>
      <c r="I500" s="16" t="s">
        <v>9427</v>
      </c>
    </row>
    <row r="501" spans="1:9" x14ac:dyDescent="0.25">
      <c r="A501" s="16" t="s">
        <v>1352</v>
      </c>
      <c r="B501" s="16" t="str">
        <f>TEXT(PARTIDA[[#This Row],[PARTIDA]],"0000000000")</f>
        <v>0703209000</v>
      </c>
      <c r="C501" s="16" t="s">
        <v>786</v>
      </c>
      <c r="D501" s="16" t="s">
        <v>787</v>
      </c>
      <c r="E501" s="16" t="s">
        <v>788</v>
      </c>
      <c r="F501" s="27" t="s">
        <v>1353</v>
      </c>
      <c r="G501" s="27" t="s">
        <v>852</v>
      </c>
      <c r="H501" s="16" t="str">
        <f>IF(ISBLANK(PARTIDAS!$G501),PARTIDAS!$F501,CONCATENATE(PARTIDAS!$F501," (",PARTIDAS!$G501,")"))</f>
        <v>Hortalizas (Especificar)</v>
      </c>
      <c r="I501" s="16" t="s">
        <v>9427</v>
      </c>
    </row>
    <row r="502" spans="1:9" x14ac:dyDescent="0.25">
      <c r="A502" s="16" t="s">
        <v>1354</v>
      </c>
      <c r="B502" s="16" t="str">
        <f>TEXT(PARTIDA[[#This Row],[PARTIDA]],"0000000000")</f>
        <v>0703900000</v>
      </c>
      <c r="C502" s="16" t="s">
        <v>786</v>
      </c>
      <c r="D502" s="16" t="s">
        <v>787</v>
      </c>
      <c r="E502" s="16" t="s">
        <v>788</v>
      </c>
      <c r="F502" s="27" t="s">
        <v>9782</v>
      </c>
      <c r="G502" s="27"/>
      <c r="H502" s="16" t="str">
        <f>IF(ISBLANK(PARTIDAS!$G502),PARTIDAS!$F502,CONCATENATE(PARTIDAS!$F502," (",PARTIDAS!$G502,")"))</f>
        <v>Puerros y demás hortalizas aliáceas</v>
      </c>
      <c r="I502" s="16" t="s">
        <v>9427</v>
      </c>
    </row>
    <row r="503" spans="1:9" x14ac:dyDescent="0.25">
      <c r="A503" s="16" t="s">
        <v>1355</v>
      </c>
      <c r="B503" s="16" t="str">
        <f>TEXT(PARTIDA[[#This Row],[PARTIDA]],"0000000000")</f>
        <v>0704100000</v>
      </c>
      <c r="C503" s="16" t="s">
        <v>786</v>
      </c>
      <c r="D503" s="16" t="s">
        <v>787</v>
      </c>
      <c r="E503" s="16" t="s">
        <v>788</v>
      </c>
      <c r="F503" s="27" t="s">
        <v>9783</v>
      </c>
      <c r="G503" s="27"/>
      <c r="H503" s="16" t="str">
        <f>IF(ISBLANK(PARTIDAS!$G503),PARTIDAS!$F503,CONCATENATE(PARTIDAS!$F503," (",PARTIDAS!$G503,")"))</f>
        <v>Coliflores y brócolis</v>
      </c>
      <c r="I503" s="16" t="s">
        <v>9427</v>
      </c>
    </row>
    <row r="504" spans="1:9" x14ac:dyDescent="0.25">
      <c r="A504" s="16" t="s">
        <v>1356</v>
      </c>
      <c r="B504" s="16" t="str">
        <f>TEXT(PARTIDA[[#This Row],[PARTIDA]],"0000000000")</f>
        <v>0704200000</v>
      </c>
      <c r="C504" s="16" t="s">
        <v>786</v>
      </c>
      <c r="D504" s="16" t="s">
        <v>787</v>
      </c>
      <c r="E504" s="16" t="s">
        <v>788</v>
      </c>
      <c r="F504" s="27" t="s">
        <v>9784</v>
      </c>
      <c r="G504" s="27"/>
      <c r="H504" s="16" t="str">
        <f>IF(ISBLANK(PARTIDAS!$G504),PARTIDAS!$F504,CONCATENATE(PARTIDAS!$F504," (",PARTIDAS!$G504,")"))</f>
        <v>Coles (repollitos) de Bruselas</v>
      </c>
      <c r="I504" s="16" t="s">
        <v>9427</v>
      </c>
    </row>
    <row r="505" spans="1:9" x14ac:dyDescent="0.25">
      <c r="A505" s="16" t="s">
        <v>1357</v>
      </c>
      <c r="B505" s="16" t="str">
        <f>TEXT(PARTIDA[[#This Row],[PARTIDA]],"0000000000")</f>
        <v>0704900000</v>
      </c>
      <c r="C505" s="16" t="s">
        <v>786</v>
      </c>
      <c r="D505" s="16" t="s">
        <v>787</v>
      </c>
      <c r="E505" s="16" t="s">
        <v>788</v>
      </c>
      <c r="F505" s="27" t="s">
        <v>9785</v>
      </c>
      <c r="G505" s="27"/>
      <c r="H505" s="16" t="str">
        <f>IF(ISBLANK(PARTIDAS!$G505),PARTIDAS!$F505,CONCATENATE(PARTIDAS!$F505," (",PARTIDAS!$G505,")"))</f>
        <v>Coles, incluidos los repollos, coliflores, coles rizadas, colinabos y… (los demás)</v>
      </c>
      <c r="I505" s="16" t="s">
        <v>9427</v>
      </c>
    </row>
    <row r="506" spans="1:9" x14ac:dyDescent="0.25">
      <c r="A506" s="16" t="s">
        <v>1358</v>
      </c>
      <c r="B506" s="16" t="str">
        <f>TEXT(PARTIDA[[#This Row],[PARTIDA]],"0000000000")</f>
        <v>0705110000</v>
      </c>
      <c r="C506" s="16" t="s">
        <v>786</v>
      </c>
      <c r="D506" s="16" t="s">
        <v>787</v>
      </c>
      <c r="E506" s="16" t="s">
        <v>788</v>
      </c>
      <c r="F506" s="27" t="s">
        <v>9786</v>
      </c>
      <c r="G506" s="27"/>
      <c r="H506" s="16" t="str">
        <f>IF(ISBLANK(PARTIDAS!$G506),PARTIDAS!$F506,CONCATENATE(PARTIDAS!$F506," (",PARTIDAS!$G506,")"))</f>
        <v>Lechugas, repolladas</v>
      </c>
      <c r="I506" s="16" t="s">
        <v>9427</v>
      </c>
    </row>
    <row r="507" spans="1:9" x14ac:dyDescent="0.25">
      <c r="A507" s="16" t="s">
        <v>1359</v>
      </c>
      <c r="B507" s="16" t="str">
        <f>TEXT(PARTIDA[[#This Row],[PARTIDA]],"0000000000")</f>
        <v>0705190000</v>
      </c>
      <c r="C507" s="16" t="s">
        <v>786</v>
      </c>
      <c r="D507" s="16" t="s">
        <v>787</v>
      </c>
      <c r="E507" s="16" t="s">
        <v>788</v>
      </c>
      <c r="F507" s="27" t="s">
        <v>9787</v>
      </c>
      <c r="G507" s="27"/>
      <c r="H507" s="16" t="str">
        <f>IF(ISBLANK(PARTIDAS!$G507),PARTIDAS!$F507,CONCATENATE(PARTIDAS!$F507," (",PARTIDAS!$G507,")"))</f>
        <v>Lechugas (los demás)</v>
      </c>
      <c r="I507" s="16" t="s">
        <v>9427</v>
      </c>
    </row>
    <row r="508" spans="1:9" x14ac:dyDescent="0.25">
      <c r="A508" s="16" t="s">
        <v>1360</v>
      </c>
      <c r="B508" s="16" t="str">
        <f>TEXT(PARTIDA[[#This Row],[PARTIDA]],"0000000000")</f>
        <v>0705210000</v>
      </c>
      <c r="C508" s="16" t="s">
        <v>786</v>
      </c>
      <c r="D508" s="16" t="s">
        <v>787</v>
      </c>
      <c r="E508" s="16" t="s">
        <v>788</v>
      </c>
      <c r="F508" s="27" t="s">
        <v>9788</v>
      </c>
      <c r="G508" s="27"/>
      <c r="H508" s="16" t="str">
        <f>IF(ISBLANK(PARTIDAS!$G508),PARTIDAS!$F508,CONCATENATE(PARTIDAS!$F508," (",PARTIDAS!$G508,")"))</f>
        <v>Endibia «witloof» (Cichorium intybus var. foliosum)</v>
      </c>
      <c r="I508" s="16" t="s">
        <v>9427</v>
      </c>
    </row>
    <row r="509" spans="1:9" x14ac:dyDescent="0.25">
      <c r="A509" s="16" t="s">
        <v>1361</v>
      </c>
      <c r="B509" s="16" t="str">
        <f>TEXT(PARTIDA[[#This Row],[PARTIDA]],"0000000000")</f>
        <v>0705290000</v>
      </c>
      <c r="C509" s="16" t="s">
        <v>786</v>
      </c>
      <c r="D509" s="16" t="s">
        <v>787</v>
      </c>
      <c r="E509" s="16" t="s">
        <v>788</v>
      </c>
      <c r="F509" s="27" t="s">
        <v>9789</v>
      </c>
      <c r="G509" s="27"/>
      <c r="H509" s="16" t="str">
        <f>IF(ISBLANK(PARTIDAS!$G509),PARTIDAS!$F509,CONCATENATE(PARTIDAS!$F509," (",PARTIDAS!$G509,")"))</f>
        <v>Achicorias, comprendidas la escarola y la endibia (los demás)</v>
      </c>
      <c r="I509" s="16" t="s">
        <v>9427</v>
      </c>
    </row>
    <row r="510" spans="1:9" x14ac:dyDescent="0.25">
      <c r="A510" s="16" t="s">
        <v>1362</v>
      </c>
      <c r="B510" s="16" t="str">
        <f>TEXT(PARTIDA[[#This Row],[PARTIDA]],"0000000000")</f>
        <v>0706100000</v>
      </c>
      <c r="C510" s="16" t="s">
        <v>786</v>
      </c>
      <c r="D510" s="16" t="s">
        <v>787</v>
      </c>
      <c r="E510" s="16" t="s">
        <v>788</v>
      </c>
      <c r="F510" s="27" t="s">
        <v>9790</v>
      </c>
      <c r="G510" s="27"/>
      <c r="H510" s="16" t="str">
        <f>IF(ISBLANK(PARTIDAS!$G510),PARTIDAS!$F510,CONCATENATE(PARTIDAS!$F510," (",PARTIDAS!$G510,")"))</f>
        <v>Zanahorias y nabos</v>
      </c>
      <c r="I510" s="16" t="s">
        <v>9427</v>
      </c>
    </row>
    <row r="511" spans="1:9" x14ac:dyDescent="0.25">
      <c r="A511" s="16" t="s">
        <v>1363</v>
      </c>
      <c r="B511" s="16" t="str">
        <f>TEXT(PARTIDA[[#This Row],[PARTIDA]],"0000000000")</f>
        <v>0706900000</v>
      </c>
      <c r="C511" s="16" t="s">
        <v>786</v>
      </c>
      <c r="D511" s="16" t="s">
        <v>787</v>
      </c>
      <c r="E511" s="16" t="s">
        <v>788</v>
      </c>
      <c r="F511" s="27" t="s">
        <v>9791</v>
      </c>
      <c r="G511" s="27"/>
      <c r="H511" s="16" t="str">
        <f>IF(ISBLANK(PARTIDAS!$G511),PARTIDAS!$F511,CONCATENATE(PARTIDAS!$F511," (",PARTIDAS!$G511,")"))</f>
        <v>Zanahorias, nabos, remolachas para ensalada, salsifíes, apionabos… (los demás)</v>
      </c>
      <c r="I511" s="16" t="s">
        <v>9427</v>
      </c>
    </row>
    <row r="512" spans="1:9" x14ac:dyDescent="0.25">
      <c r="A512" s="16" t="s">
        <v>1364</v>
      </c>
      <c r="B512" s="16" t="str">
        <f>TEXT(PARTIDA[[#This Row],[PARTIDA]],"0000000000")</f>
        <v>0707000000</v>
      </c>
      <c r="C512" s="16" t="s">
        <v>786</v>
      </c>
      <c r="D512" s="16" t="s">
        <v>787</v>
      </c>
      <c r="E512" s="16" t="s">
        <v>788</v>
      </c>
      <c r="F512" s="27" t="s">
        <v>1365</v>
      </c>
      <c r="G512" s="27"/>
      <c r="H512" s="16" t="str">
        <f>IF(ISBLANK(PARTIDAS!$G512),PARTIDAS!$F512,CONCATENATE(PARTIDAS!$F512," (",PARTIDAS!$G512,")"))</f>
        <v>Pepinos y pepinillos, frescos o refrigerados.</v>
      </c>
      <c r="I512" s="16" t="s">
        <v>9427</v>
      </c>
    </row>
    <row r="513" spans="1:9" x14ac:dyDescent="0.25">
      <c r="A513" s="16" t="s">
        <v>1366</v>
      </c>
      <c r="B513" s="16" t="str">
        <f>TEXT(PARTIDA[[#This Row],[PARTIDA]],"0000000000")</f>
        <v>0708100000</v>
      </c>
      <c r="C513" s="16" t="s">
        <v>786</v>
      </c>
      <c r="D513" s="16" t="s">
        <v>787</v>
      </c>
      <c r="E513" s="16" t="s">
        <v>788</v>
      </c>
      <c r="F513" s="27" t="s">
        <v>9792</v>
      </c>
      <c r="G513" s="27"/>
      <c r="H513" s="16" t="str">
        <f>IF(ISBLANK(PARTIDAS!$G513),PARTIDAS!$F513,CONCATENATE(PARTIDAS!$F513," (",PARTIDAS!$G513,")"))</f>
        <v>Arvejas (guisantes, chícharos) (Pisum sativum)</v>
      </c>
      <c r="I513" s="16" t="s">
        <v>9427</v>
      </c>
    </row>
    <row r="514" spans="1:9" x14ac:dyDescent="0.25">
      <c r="A514" s="16" t="s">
        <v>1367</v>
      </c>
      <c r="B514" s="16" t="str">
        <f>TEXT(PARTIDA[[#This Row],[PARTIDA]],"0000000000")</f>
        <v>0708200000</v>
      </c>
      <c r="C514" s="16" t="s">
        <v>786</v>
      </c>
      <c r="D514" s="16" t="s">
        <v>787</v>
      </c>
      <c r="E514" s="16" t="s">
        <v>788</v>
      </c>
      <c r="F514" s="27" t="s">
        <v>1368</v>
      </c>
      <c r="G514" s="27"/>
      <c r="H514" s="16" t="str">
        <f>IF(ISBLANK(PARTIDAS!$G514),PARTIDAS!$F514,CONCATENATE(PARTIDAS!$F514," (",PARTIDAS!$G514,")"))</f>
        <v>Frijoles</v>
      </c>
      <c r="I514" s="16" t="s">
        <v>9427</v>
      </c>
    </row>
    <row r="515" spans="1:9" x14ac:dyDescent="0.25">
      <c r="A515" s="16" t="s">
        <v>1369</v>
      </c>
      <c r="B515" s="16" t="str">
        <f>TEXT(PARTIDA[[#This Row],[PARTIDA]],"0000000000")</f>
        <v>0708900000</v>
      </c>
      <c r="C515" s="16" t="s">
        <v>786</v>
      </c>
      <c r="D515" s="16" t="s">
        <v>787</v>
      </c>
      <c r="E515" s="16" t="s">
        <v>788</v>
      </c>
      <c r="F515" s="27" t="s">
        <v>9793</v>
      </c>
      <c r="G515" s="27"/>
      <c r="H515" s="16" t="str">
        <f>IF(ISBLANK(PARTIDAS!$G515),PARTIDAS!$F515,CONCATENATE(PARTIDAS!$F515," (",PARTIDAS!$G515,")"))</f>
        <v>Hortalizas de vaina, aunque estén desvainadas, frescas o refrigeradas (los demás)</v>
      </c>
      <c r="I515" s="16" t="s">
        <v>9427</v>
      </c>
    </row>
    <row r="516" spans="1:9" x14ac:dyDescent="0.25">
      <c r="A516" s="16" t="s">
        <v>1370</v>
      </c>
      <c r="B516" s="16" t="str">
        <f>TEXT(PARTIDA[[#This Row],[PARTIDA]],"0000000000")</f>
        <v>0709200000</v>
      </c>
      <c r="C516" s="16" t="s">
        <v>786</v>
      </c>
      <c r="D516" s="16" t="s">
        <v>787</v>
      </c>
      <c r="E516" s="16" t="s">
        <v>788</v>
      </c>
      <c r="F516" s="27" t="s">
        <v>2085</v>
      </c>
      <c r="G516" s="27"/>
      <c r="H516" s="16" t="str">
        <f>IF(ISBLANK(PARTIDAS!$G516),PARTIDAS!$F516,CONCATENATE(PARTIDAS!$F516," (",PARTIDAS!$G516,")"))</f>
        <v>Espárragos</v>
      </c>
      <c r="I516" s="16" t="s">
        <v>9427</v>
      </c>
    </row>
    <row r="517" spans="1:9" x14ac:dyDescent="0.25">
      <c r="A517" s="16" t="s">
        <v>1371</v>
      </c>
      <c r="B517" s="16" t="str">
        <f>TEXT(PARTIDA[[#This Row],[PARTIDA]],"0000000000")</f>
        <v>0709300000</v>
      </c>
      <c r="C517" s="16" t="s">
        <v>786</v>
      </c>
      <c r="D517" s="16" t="s">
        <v>787</v>
      </c>
      <c r="E517" s="16" t="s">
        <v>788</v>
      </c>
      <c r="F517" s="27" t="s">
        <v>9794</v>
      </c>
      <c r="G517" s="27"/>
      <c r="H517" s="16" t="str">
        <f>IF(ISBLANK(PARTIDAS!$G517),PARTIDAS!$F517,CONCATENATE(PARTIDAS!$F517," (",PARTIDAS!$G517,")"))</f>
        <v>Berenjenas</v>
      </c>
      <c r="I517" s="16" t="s">
        <v>9427</v>
      </c>
    </row>
    <row r="518" spans="1:9" x14ac:dyDescent="0.25">
      <c r="A518" s="16" t="s">
        <v>1372</v>
      </c>
      <c r="B518" s="16" t="str">
        <f>TEXT(PARTIDA[[#This Row],[PARTIDA]],"0000000000")</f>
        <v>0709400000</v>
      </c>
      <c r="C518" s="16" t="s">
        <v>786</v>
      </c>
      <c r="D518" s="16" t="s">
        <v>787</v>
      </c>
      <c r="E518" s="16" t="s">
        <v>788</v>
      </c>
      <c r="F518" s="27" t="s">
        <v>9795</v>
      </c>
      <c r="G518" s="27"/>
      <c r="H518" s="16" t="str">
        <f>IF(ISBLANK(PARTIDAS!$G518),PARTIDAS!$F518,CONCATENATE(PARTIDAS!$F518," (",PARTIDAS!$G518,")"))</f>
        <v>Apio, excepto el apionabo</v>
      </c>
      <c r="I518" s="16" t="s">
        <v>9427</v>
      </c>
    </row>
    <row r="519" spans="1:9" x14ac:dyDescent="0.25">
      <c r="A519" s="16" t="s">
        <v>1373</v>
      </c>
      <c r="B519" s="16" t="str">
        <f>TEXT(PARTIDA[[#This Row],[PARTIDA]],"0000000000")</f>
        <v>0709510000</v>
      </c>
      <c r="C519" s="16" t="s">
        <v>786</v>
      </c>
      <c r="D519" s="16" t="s">
        <v>787</v>
      </c>
      <c r="E519" s="16" t="s">
        <v>788</v>
      </c>
      <c r="F519" s="27" t="s">
        <v>9796</v>
      </c>
      <c r="G519" s="27"/>
      <c r="H519" s="16" t="str">
        <f>IF(ISBLANK(PARTIDAS!$G519),PARTIDAS!$F519,CONCATENATE(PARTIDAS!$F519," (",PARTIDAS!$G519,")"))</f>
        <v>Hongos del género Agaricus</v>
      </c>
      <c r="I519" s="16" t="s">
        <v>9427</v>
      </c>
    </row>
    <row r="520" spans="1:9" x14ac:dyDescent="0.25">
      <c r="A520" s="16" t="s">
        <v>9797</v>
      </c>
      <c r="B520" s="16" t="str">
        <f>TEXT(PARTIDA[[#This Row],[PARTIDA]],"0000000000")</f>
        <v>0709520000</v>
      </c>
      <c r="C520" s="16" t="s">
        <v>786</v>
      </c>
      <c r="D520" s="16" t="s">
        <v>787</v>
      </c>
      <c r="E520" s="16" t="s">
        <v>788</v>
      </c>
      <c r="F520" s="27" t="s">
        <v>9798</v>
      </c>
      <c r="G520" s="27"/>
      <c r="H520" s="16" t="str">
        <f>IF(ISBLANK(PARTIDAS!$G520),PARTIDAS!$F520,CONCATENATE(PARTIDAS!$F520," (",PARTIDAS!$G520,")"))</f>
        <v>Hongos del género Boletus</v>
      </c>
      <c r="I520" s="16" t="s">
        <v>9427</v>
      </c>
    </row>
    <row r="521" spans="1:9" x14ac:dyDescent="0.25">
      <c r="A521" s="16" t="s">
        <v>9799</v>
      </c>
      <c r="B521" s="16" t="str">
        <f>TEXT(PARTIDA[[#This Row],[PARTIDA]],"0000000000")</f>
        <v>0709530000</v>
      </c>
      <c r="C521" s="16" t="s">
        <v>786</v>
      </c>
      <c r="D521" s="16" t="s">
        <v>787</v>
      </c>
      <c r="E521" s="16" t="s">
        <v>788</v>
      </c>
      <c r="F521" s="27" t="s">
        <v>9800</v>
      </c>
      <c r="G521" s="27"/>
      <c r="H521" s="16" t="str">
        <f>IF(ISBLANK(PARTIDAS!$G521),PARTIDAS!$F521,CONCATENATE(PARTIDAS!$F521," (",PARTIDAS!$G521,")"))</f>
        <v>Hongos del género Cantharellus</v>
      </c>
      <c r="I521" s="16" t="s">
        <v>9427</v>
      </c>
    </row>
    <row r="522" spans="1:9" x14ac:dyDescent="0.25">
      <c r="A522" s="16" t="s">
        <v>9801</v>
      </c>
      <c r="B522" s="16" t="str">
        <f>TEXT(PARTIDA[[#This Row],[PARTIDA]],"0000000000")</f>
        <v>0709540000</v>
      </c>
      <c r="C522" s="16" t="s">
        <v>786</v>
      </c>
      <c r="D522" s="16" t="s">
        <v>787</v>
      </c>
      <c r="E522" s="16" t="s">
        <v>788</v>
      </c>
      <c r="F522" s="27" t="s">
        <v>9802</v>
      </c>
      <c r="G522" s="27"/>
      <c r="H522" s="16" t="str">
        <f>IF(ISBLANK(PARTIDAS!$G522),PARTIDAS!$F522,CONCATENATE(PARTIDAS!$F522," (",PARTIDAS!$G522,")"))</f>
        <v>Shiitake (Lentinus edodes)</v>
      </c>
      <c r="I522" s="16" t="s">
        <v>9427</v>
      </c>
    </row>
    <row r="523" spans="1:9" x14ac:dyDescent="0.25">
      <c r="A523" s="16" t="s">
        <v>9803</v>
      </c>
      <c r="B523" s="16" t="str">
        <f>TEXT(PARTIDA[[#This Row],[PARTIDA]],"0000000000")</f>
        <v>0709550000</v>
      </c>
      <c r="C523" s="16" t="s">
        <v>786</v>
      </c>
      <c r="D523" s="16" t="s">
        <v>787</v>
      </c>
      <c r="E523" s="16" t="s">
        <v>788</v>
      </c>
      <c r="F523" s="27" t="s">
        <v>9804</v>
      </c>
      <c r="G523" s="27"/>
      <c r="H523" s="16" t="str">
        <f>IF(ISBLANK(PARTIDAS!$G523),PARTIDAS!$F523,CONCATENATE(PARTIDAS!$F523," (",PARTIDAS!$G523,")"))</f>
        <v>Matsutake (Tricholoma matsutake, Tricholoma magnivelare, Tricholoma anatolicum, Tricholoma dulciolens, Tricholoma caligatum)</v>
      </c>
      <c r="I523" s="16" t="s">
        <v>9427</v>
      </c>
    </row>
    <row r="524" spans="1:9" x14ac:dyDescent="0.25">
      <c r="A524" s="16" t="s">
        <v>9805</v>
      </c>
      <c r="B524" s="16" t="str">
        <f>TEXT(PARTIDA[[#This Row],[PARTIDA]],"0000000000")</f>
        <v>0709560000</v>
      </c>
      <c r="C524" s="16" t="s">
        <v>786</v>
      </c>
      <c r="D524" s="16" t="s">
        <v>787</v>
      </c>
      <c r="E524" s="16" t="s">
        <v>788</v>
      </c>
      <c r="F524" s="27" t="s">
        <v>9806</v>
      </c>
      <c r="G524" s="27"/>
      <c r="H524" s="16" t="str">
        <f>IF(ISBLANK(PARTIDAS!$G524),PARTIDAS!$F524,CONCATENATE(PARTIDAS!$F524," (",PARTIDAS!$G524,")"))</f>
        <v>Trufas (Tuber spp.)</v>
      </c>
      <c r="I524" s="16" t="s">
        <v>9427</v>
      </c>
    </row>
    <row r="525" spans="1:9" x14ac:dyDescent="0.25">
      <c r="A525" s="16" t="s">
        <v>1374</v>
      </c>
      <c r="B525" s="16" t="str">
        <f>TEXT(PARTIDA[[#This Row],[PARTIDA]],"0000000000")</f>
        <v>0709590000</v>
      </c>
      <c r="C525" s="16" t="s">
        <v>786</v>
      </c>
      <c r="D525" s="16" t="s">
        <v>787</v>
      </c>
      <c r="E525" s="16" t="s">
        <v>788</v>
      </c>
      <c r="F525" s="27" t="s">
        <v>9807</v>
      </c>
      <c r="G525" s="27"/>
      <c r="H525" s="16" t="str">
        <f>IF(ISBLANK(PARTIDAS!$G525),PARTIDAS!$F525,CONCATENATE(PARTIDAS!$F525," (",PARTIDAS!$G525,")"))</f>
        <v>Hongos y trufas (los demás)</v>
      </c>
      <c r="I525" s="16" t="s">
        <v>9427</v>
      </c>
    </row>
    <row r="526" spans="1:9" x14ac:dyDescent="0.25">
      <c r="A526" s="16" t="s">
        <v>1375</v>
      </c>
      <c r="B526" s="16" t="str">
        <f>TEXT(PARTIDA[[#This Row],[PARTIDA]],"0000000000")</f>
        <v>0709600000</v>
      </c>
      <c r="C526" s="16" t="s">
        <v>786</v>
      </c>
      <c r="D526" s="16" t="s">
        <v>787</v>
      </c>
      <c r="E526" s="16" t="s">
        <v>788</v>
      </c>
      <c r="F526" s="27" t="s">
        <v>9808</v>
      </c>
      <c r="G526" s="27"/>
      <c r="H526" s="16" t="str">
        <f>IF(ISBLANK(PARTIDAS!$G526),PARTIDAS!$F526,CONCATENATE(PARTIDAS!$F526," (",PARTIDAS!$G526,")"))</f>
        <v>Frutos de los géneros Capsicum o Pimenta</v>
      </c>
      <c r="I526" s="16" t="s">
        <v>9427</v>
      </c>
    </row>
    <row r="527" spans="1:9" x14ac:dyDescent="0.25">
      <c r="A527" s="16" t="s">
        <v>1376</v>
      </c>
      <c r="B527" s="16" t="str">
        <f>TEXT(PARTIDA[[#This Row],[PARTIDA]],"0000000000")</f>
        <v>0709700000</v>
      </c>
      <c r="C527" s="16" t="s">
        <v>786</v>
      </c>
      <c r="D527" s="16" t="s">
        <v>787</v>
      </c>
      <c r="E527" s="16" t="s">
        <v>788</v>
      </c>
      <c r="F527" s="27" t="s">
        <v>9809</v>
      </c>
      <c r="G527" s="27"/>
      <c r="H527" s="16" t="str">
        <f>IF(ISBLANK(PARTIDAS!$G527),PARTIDAS!$F527,CONCATENATE(PARTIDAS!$F527," (",PARTIDAS!$G527,")"))</f>
        <v>Espinacas (incluida la de Nueva Zelanda) y armuelles</v>
      </c>
      <c r="I527" s="16" t="s">
        <v>9427</v>
      </c>
    </row>
    <row r="528" spans="1:9" x14ac:dyDescent="0.25">
      <c r="A528" s="16" t="s">
        <v>1377</v>
      </c>
      <c r="B528" s="16" t="str">
        <f>TEXT(PARTIDA[[#This Row],[PARTIDA]],"0000000000")</f>
        <v>0709910000</v>
      </c>
      <c r="C528" s="16" t="s">
        <v>786</v>
      </c>
      <c r="D528" s="16" t="s">
        <v>787</v>
      </c>
      <c r="E528" s="16" t="s">
        <v>788</v>
      </c>
      <c r="F528" s="27" t="s">
        <v>9810</v>
      </c>
      <c r="G528" s="27"/>
      <c r="H528" s="16" t="str">
        <f>IF(ISBLANK(PARTIDAS!$G528),PARTIDAS!$F528,CONCATENATE(PARTIDAS!$F528," (",PARTIDAS!$G528,")"))</f>
        <v>Alcachofas (alcauciles)</v>
      </c>
      <c r="I528" s="16" t="s">
        <v>9427</v>
      </c>
    </row>
    <row r="529" spans="1:9" x14ac:dyDescent="0.25">
      <c r="A529" s="16" t="s">
        <v>1378</v>
      </c>
      <c r="B529" s="16" t="str">
        <f>TEXT(PARTIDA[[#This Row],[PARTIDA]],"0000000000")</f>
        <v>0709920000</v>
      </c>
      <c r="C529" s="16" t="s">
        <v>786</v>
      </c>
      <c r="D529" s="16" t="s">
        <v>787</v>
      </c>
      <c r="E529" s="16" t="s">
        <v>788</v>
      </c>
      <c r="F529" s="27" t="s">
        <v>9811</v>
      </c>
      <c r="G529" s="27"/>
      <c r="H529" s="16" t="str">
        <f>IF(ISBLANK(PARTIDAS!$G529),PARTIDAS!$F529,CONCATENATE(PARTIDAS!$F529," (",PARTIDAS!$G529,")"))</f>
        <v>Hortalizas, plantas, raíces y tubérculos alimenticios, aceitunas</v>
      </c>
      <c r="I529" s="16" t="s">
        <v>9427</v>
      </c>
    </row>
    <row r="530" spans="1:9" x14ac:dyDescent="0.25">
      <c r="A530" s="16" t="s">
        <v>1379</v>
      </c>
      <c r="B530" s="16" t="str">
        <f>TEXT(PARTIDA[[#This Row],[PARTIDA]],"0000000000")</f>
        <v>0709930000</v>
      </c>
      <c r="C530" s="16" t="s">
        <v>786</v>
      </c>
      <c r="D530" s="16" t="s">
        <v>787</v>
      </c>
      <c r="E530" s="16" t="s">
        <v>788</v>
      </c>
      <c r="F530" s="27" t="s">
        <v>9812</v>
      </c>
      <c r="G530" s="27"/>
      <c r="H530" s="16" t="str">
        <f>IF(ISBLANK(PARTIDAS!$G530),PARTIDAS!$F530,CONCATENATE(PARTIDAS!$F530," (",PARTIDAS!$G530,")"))</f>
        <v>Calabazas (zapallos) y calabacines (Cucurbita spp.)</v>
      </c>
      <c r="I530" s="16" t="s">
        <v>9427</v>
      </c>
    </row>
    <row r="531" spans="1:9" x14ac:dyDescent="0.25">
      <c r="A531" s="16" t="s">
        <v>1380</v>
      </c>
      <c r="B531" s="16" t="str">
        <f>TEXT(PARTIDA[[#This Row],[PARTIDA]],"0000000000")</f>
        <v>0709991000</v>
      </c>
      <c r="C531" s="16" t="s">
        <v>786</v>
      </c>
      <c r="D531" s="16" t="s">
        <v>787</v>
      </c>
      <c r="E531" s="16" t="s">
        <v>788</v>
      </c>
      <c r="F531" s="27" t="s">
        <v>1381</v>
      </c>
      <c r="G531" s="27"/>
      <c r="H531" s="16" t="str">
        <f>IF(ISBLANK(PARTIDAS!$G531),PARTIDAS!$F531,CONCATENATE(PARTIDAS!$F531," (",PARTIDAS!$G531,")"))</f>
        <v>Maíz dulce (Zea mays var. saccharata)</v>
      </c>
      <c r="I531" s="16" t="s">
        <v>9427</v>
      </c>
    </row>
    <row r="532" spans="1:9" x14ac:dyDescent="0.25">
      <c r="A532" s="16" t="s">
        <v>1382</v>
      </c>
      <c r="B532" s="16" t="str">
        <f>TEXT(PARTIDA[[#This Row],[PARTIDA]],"0000000000")</f>
        <v>0709999000</v>
      </c>
      <c r="C532" s="16" t="s">
        <v>786</v>
      </c>
      <c r="D532" s="16" t="s">
        <v>787</v>
      </c>
      <c r="E532" s="16" t="s">
        <v>788</v>
      </c>
      <c r="F532" s="27" t="s">
        <v>9813</v>
      </c>
      <c r="G532" s="27"/>
      <c r="H532" s="16" t="str">
        <f>IF(ISBLANK(PARTIDAS!$G532),PARTIDAS!$F532,CONCATENATE(PARTIDAS!$F532," (",PARTIDAS!$G532,")"))</f>
        <v>Hortalizas, plantas, raíces y tubérculos alimenticios (los demás)</v>
      </c>
      <c r="I532" s="16" t="s">
        <v>9427</v>
      </c>
    </row>
    <row r="533" spans="1:9" x14ac:dyDescent="0.25">
      <c r="A533" s="16" t="s">
        <v>1383</v>
      </c>
      <c r="B533" s="16" t="str">
        <f>TEXT(PARTIDA[[#This Row],[PARTIDA]],"0000000000")</f>
        <v>0710100000</v>
      </c>
      <c r="C533" s="16" t="s">
        <v>786</v>
      </c>
      <c r="D533" s="16" t="s">
        <v>787</v>
      </c>
      <c r="E533" s="16" t="s">
        <v>9429</v>
      </c>
      <c r="F533" s="27" t="s">
        <v>9814</v>
      </c>
      <c r="G533" s="27"/>
      <c r="H533" s="16" t="str">
        <f>IF(ISBLANK(PARTIDAS!$G533),PARTIDAS!$F533,CONCATENATE(PARTIDAS!$F533," (",PARTIDAS!$G533,")"))</f>
        <v>Papas (patatas)</v>
      </c>
      <c r="I533" s="16" t="s">
        <v>9427</v>
      </c>
    </row>
    <row r="534" spans="1:9" x14ac:dyDescent="0.25">
      <c r="A534" s="16" t="s">
        <v>1384</v>
      </c>
      <c r="B534" s="16" t="str">
        <f>TEXT(PARTIDA[[#This Row],[PARTIDA]],"0000000000")</f>
        <v>0710210000</v>
      </c>
      <c r="C534" s="16" t="s">
        <v>786</v>
      </c>
      <c r="D534" s="16" t="s">
        <v>787</v>
      </c>
      <c r="E534" s="16" t="s">
        <v>9429</v>
      </c>
      <c r="F534" s="27" t="s">
        <v>9792</v>
      </c>
      <c r="G534" s="27"/>
      <c r="H534" s="16" t="str">
        <f>IF(ISBLANK(PARTIDAS!$G534),PARTIDAS!$F534,CONCATENATE(PARTIDAS!$F534," (",PARTIDAS!$G534,")"))</f>
        <v>Arvejas (guisantes, chícharos) (Pisum sativum)</v>
      </c>
      <c r="I534" s="16" t="s">
        <v>9427</v>
      </c>
    </row>
    <row r="535" spans="1:9" x14ac:dyDescent="0.25">
      <c r="A535" s="16" t="s">
        <v>1385</v>
      </c>
      <c r="B535" s="16" t="str">
        <f>TEXT(PARTIDA[[#This Row],[PARTIDA]],"0000000000")</f>
        <v>0710220000</v>
      </c>
      <c r="C535" s="16" t="s">
        <v>786</v>
      </c>
      <c r="D535" s="16" t="s">
        <v>787</v>
      </c>
      <c r="E535" s="16" t="s">
        <v>9429</v>
      </c>
      <c r="F535" s="27" t="s">
        <v>1368</v>
      </c>
      <c r="G535" s="27"/>
      <c r="H535" s="16" t="str">
        <f>IF(ISBLANK(PARTIDAS!$G535),PARTIDAS!$F535,CONCATENATE(PARTIDAS!$F535," (",PARTIDAS!$G535,")"))</f>
        <v>Frijoles</v>
      </c>
      <c r="I535" s="16" t="s">
        <v>9427</v>
      </c>
    </row>
    <row r="536" spans="1:9" x14ac:dyDescent="0.25">
      <c r="A536" s="16" t="s">
        <v>1386</v>
      </c>
      <c r="B536" s="16" t="str">
        <f>TEXT(PARTIDA[[#This Row],[PARTIDA]],"0000000000")</f>
        <v>0710290000</v>
      </c>
      <c r="C536" s="16" t="s">
        <v>786</v>
      </c>
      <c r="D536" s="16" t="s">
        <v>787</v>
      </c>
      <c r="E536" s="16" t="s">
        <v>9429</v>
      </c>
      <c r="F536" s="27" t="s">
        <v>9815</v>
      </c>
      <c r="G536" s="27"/>
      <c r="H536" s="16" t="str">
        <f>IF(ISBLANK(PARTIDAS!$G536),PARTIDAS!$F536,CONCATENATE(PARTIDAS!$F536," (",PARTIDAS!$G536,")"))</f>
        <v>Hortalizas de vaina, estén o no desvainadas (los demás)</v>
      </c>
      <c r="I536" s="16" t="s">
        <v>9427</v>
      </c>
    </row>
    <row r="537" spans="1:9" x14ac:dyDescent="0.25">
      <c r="A537" s="16" t="s">
        <v>1387</v>
      </c>
      <c r="B537" s="16" t="str">
        <f>TEXT(PARTIDA[[#This Row],[PARTIDA]],"0000000000")</f>
        <v>0710300000</v>
      </c>
      <c r="C537" s="16" t="s">
        <v>786</v>
      </c>
      <c r="D537" s="16" t="s">
        <v>787</v>
      </c>
      <c r="E537" s="16" t="s">
        <v>9429</v>
      </c>
      <c r="F537" s="27" t="s">
        <v>9809</v>
      </c>
      <c r="G537" s="27"/>
      <c r="H537" s="16" t="str">
        <f>IF(ISBLANK(PARTIDAS!$G537),PARTIDAS!$F537,CONCATENATE(PARTIDAS!$F537," (",PARTIDAS!$G537,")"))</f>
        <v>Espinacas (incluida la de Nueva Zelanda) y armuelles</v>
      </c>
      <c r="I537" s="16" t="s">
        <v>9427</v>
      </c>
    </row>
    <row r="538" spans="1:9" x14ac:dyDescent="0.25">
      <c r="A538" s="16" t="s">
        <v>1388</v>
      </c>
      <c r="B538" s="16" t="str">
        <f>TEXT(PARTIDA[[#This Row],[PARTIDA]],"0000000000")</f>
        <v>0710400000</v>
      </c>
      <c r="C538" s="16" t="s">
        <v>786</v>
      </c>
      <c r="D538" s="16" t="s">
        <v>787</v>
      </c>
      <c r="E538" s="16" t="s">
        <v>9429</v>
      </c>
      <c r="F538" s="27" t="s">
        <v>9816</v>
      </c>
      <c r="G538" s="27"/>
      <c r="H538" s="16" t="str">
        <f>IF(ISBLANK(PARTIDAS!$G538),PARTIDAS!$F538,CONCATENATE(PARTIDAS!$F538," (",PARTIDAS!$G538,")"))</f>
        <v>Maíz dulce</v>
      </c>
      <c r="I538" s="16" t="s">
        <v>9427</v>
      </c>
    </row>
    <row r="539" spans="1:9" x14ac:dyDescent="0.25">
      <c r="A539" s="16" t="s">
        <v>1389</v>
      </c>
      <c r="B539" s="16" t="str">
        <f>TEXT(PARTIDA[[#This Row],[PARTIDA]],"0000000000")</f>
        <v>0710801000</v>
      </c>
      <c r="C539" s="16" t="s">
        <v>786</v>
      </c>
      <c r="D539" s="16" t="s">
        <v>787</v>
      </c>
      <c r="E539" s="16" t="s">
        <v>9429</v>
      </c>
      <c r="F539" s="27" t="s">
        <v>9817</v>
      </c>
      <c r="G539" s="27"/>
      <c r="H539" s="16" t="str">
        <f>IF(ISBLANK(PARTIDAS!$G539),PARTIDAS!$F539,CONCATENATE(PARTIDAS!$F539," (",PARTIDAS!$G539,")"))</f>
        <v>Hortalizas, aunque estén cocidas en agua o vapor, congeladas, espárragos</v>
      </c>
      <c r="I539" s="16" t="s">
        <v>9427</v>
      </c>
    </row>
    <row r="540" spans="1:9" x14ac:dyDescent="0.25">
      <c r="A540" s="16" t="s">
        <v>1390</v>
      </c>
      <c r="B540" s="16" t="str">
        <f>TEXT(PARTIDA[[#This Row],[PARTIDA]],"0000000000")</f>
        <v>0710802000</v>
      </c>
      <c r="C540" s="16" t="s">
        <v>786</v>
      </c>
      <c r="D540" s="16" t="s">
        <v>787</v>
      </c>
      <c r="E540" s="16" t="s">
        <v>9429</v>
      </c>
      <c r="F540" s="27" t="s">
        <v>9818</v>
      </c>
      <c r="G540" s="27"/>
      <c r="H540" s="16" t="str">
        <f>IF(ISBLANK(PARTIDAS!$G540),PARTIDAS!$F540,CONCATENATE(PARTIDAS!$F540," (",PARTIDAS!$G540,")"))</f>
        <v>Brócoli (Brassica oleracea italica)</v>
      </c>
      <c r="I540" s="16" t="s">
        <v>9427</v>
      </c>
    </row>
    <row r="541" spans="1:9" x14ac:dyDescent="0.25">
      <c r="A541" s="16" t="s">
        <v>1391</v>
      </c>
      <c r="B541" s="16" t="str">
        <f>TEXT(PARTIDA[[#This Row],[PARTIDA]],"0000000000")</f>
        <v>0710809000</v>
      </c>
      <c r="C541" s="16" t="s">
        <v>786</v>
      </c>
      <c r="D541" s="16" t="s">
        <v>787</v>
      </c>
      <c r="E541" s="16" t="s">
        <v>9429</v>
      </c>
      <c r="F541" s="27" t="s">
        <v>9819</v>
      </c>
      <c r="G541" s="27"/>
      <c r="H541" s="16" t="str">
        <f>IF(ISBLANK(PARTIDAS!$G541),PARTIDAS!$F541,CONCATENATE(PARTIDAS!$F541," (",PARTIDAS!$G541,")"))</f>
        <v>Hortalizas, aunque estén cocidas en agua o vapor, congeladas (los demás)</v>
      </c>
      <c r="I541" s="16" t="s">
        <v>9427</v>
      </c>
    </row>
    <row r="542" spans="1:9" x14ac:dyDescent="0.25">
      <c r="A542" s="16" t="s">
        <v>1392</v>
      </c>
      <c r="B542" s="16" t="str">
        <f>TEXT(PARTIDA[[#This Row],[PARTIDA]],"0000000000")</f>
        <v>0710900000</v>
      </c>
      <c r="C542" s="16" t="s">
        <v>786</v>
      </c>
      <c r="D542" s="16" t="s">
        <v>787</v>
      </c>
      <c r="E542" s="16" t="s">
        <v>9429</v>
      </c>
      <c r="F542" s="27" t="s">
        <v>9820</v>
      </c>
      <c r="G542" s="27"/>
      <c r="H542" s="16" t="str">
        <f>IF(ISBLANK(PARTIDAS!$G542),PARTIDAS!$F542,CONCATENATE(PARTIDAS!$F542," (",PARTIDAS!$G542,")"))</f>
        <v>Mezclas de hortalizas</v>
      </c>
      <c r="I542" s="16" t="s">
        <v>9427</v>
      </c>
    </row>
    <row r="543" spans="1:9" x14ac:dyDescent="0.25">
      <c r="A543" s="16" t="s">
        <v>1393</v>
      </c>
      <c r="B543" s="16" t="str">
        <f>TEXT(PARTIDA[[#This Row],[PARTIDA]],"0000000000")</f>
        <v>0711200000</v>
      </c>
      <c r="C543" s="16" t="s">
        <v>786</v>
      </c>
      <c r="D543" s="16" t="s">
        <v>787</v>
      </c>
      <c r="E543" s="16" t="s">
        <v>9429</v>
      </c>
      <c r="F543" s="27" t="s">
        <v>9821</v>
      </c>
      <c r="G543" s="27"/>
      <c r="H543" s="16" t="str">
        <f>IF(ISBLANK(PARTIDAS!$G543),PARTIDAS!$F543,CONCATENATE(PARTIDAS!$F543," (",PARTIDAS!$G543,")"))</f>
        <v>Aceitunas</v>
      </c>
      <c r="I543" s="16" t="s">
        <v>9427</v>
      </c>
    </row>
    <row r="544" spans="1:9" x14ac:dyDescent="0.25">
      <c r="A544" s="16" t="s">
        <v>1394</v>
      </c>
      <c r="B544" s="16" t="str">
        <f>TEXT(PARTIDA[[#This Row],[PARTIDA]],"0000000000")</f>
        <v>0711400000</v>
      </c>
      <c r="C544" s="16" t="s">
        <v>786</v>
      </c>
      <c r="D544" s="16" t="s">
        <v>787</v>
      </c>
      <c r="E544" s="16" t="s">
        <v>9429</v>
      </c>
      <c r="F544" s="27" t="s">
        <v>9822</v>
      </c>
      <c r="G544" s="27"/>
      <c r="H544" s="16" t="str">
        <f>IF(ISBLANK(PARTIDAS!$G544),PARTIDAS!$F544,CONCATENATE(PARTIDAS!$F544," (",PARTIDAS!$G544,")"))</f>
        <v>Pepinos y pepinillos</v>
      </c>
      <c r="I544" s="16" t="s">
        <v>9427</v>
      </c>
    </row>
    <row r="545" spans="1:9" x14ac:dyDescent="0.25">
      <c r="A545" s="16" t="s">
        <v>1395</v>
      </c>
      <c r="B545" s="16" t="str">
        <f>TEXT(PARTIDA[[#This Row],[PARTIDA]],"0000000000")</f>
        <v>0711510000</v>
      </c>
      <c r="C545" s="16" t="s">
        <v>786</v>
      </c>
      <c r="D545" s="16" t="s">
        <v>787</v>
      </c>
      <c r="E545" s="16" t="s">
        <v>9429</v>
      </c>
      <c r="F545" s="27" t="s">
        <v>9796</v>
      </c>
      <c r="G545" s="27"/>
      <c r="H545" s="16" t="str">
        <f>IF(ISBLANK(PARTIDAS!$G545),PARTIDAS!$F545,CONCATENATE(PARTIDAS!$F545," (",PARTIDAS!$G545,")"))</f>
        <v>Hongos del género Agaricus</v>
      </c>
      <c r="I545" s="16" t="s">
        <v>9427</v>
      </c>
    </row>
    <row r="546" spans="1:9" x14ac:dyDescent="0.25">
      <c r="A546" s="16" t="s">
        <v>1396</v>
      </c>
      <c r="B546" s="16" t="str">
        <f>TEXT(PARTIDA[[#This Row],[PARTIDA]],"0000000000")</f>
        <v>0711590000</v>
      </c>
      <c r="C546" s="16" t="s">
        <v>786</v>
      </c>
      <c r="D546" s="16" t="s">
        <v>787</v>
      </c>
      <c r="E546" s="16" t="s">
        <v>9429</v>
      </c>
      <c r="F546" s="27" t="s">
        <v>9807</v>
      </c>
      <c r="G546" s="27"/>
      <c r="H546" s="16" t="str">
        <f>IF(ISBLANK(PARTIDAS!$G546),PARTIDAS!$F546,CONCATENATE(PARTIDAS!$F546," (",PARTIDAS!$G546,")"))</f>
        <v>Hongos y trufas (los demás)</v>
      </c>
      <c r="I546" s="16" t="s">
        <v>9427</v>
      </c>
    </row>
    <row r="547" spans="1:9" x14ac:dyDescent="0.25">
      <c r="A547" s="16" t="s">
        <v>1397</v>
      </c>
      <c r="B547" s="16" t="str">
        <f>TEXT(PARTIDA[[#This Row],[PARTIDA]],"0000000000")</f>
        <v>0711900000</v>
      </c>
      <c r="C547" s="16" t="s">
        <v>786</v>
      </c>
      <c r="D547" s="16" t="s">
        <v>787</v>
      </c>
      <c r="E547" s="16" t="s">
        <v>9429</v>
      </c>
      <c r="F547" s="27" t="s">
        <v>9823</v>
      </c>
      <c r="G547" s="27"/>
      <c r="H547" s="16" t="str">
        <f>IF(ISBLANK(PARTIDAS!$G547),PARTIDAS!$F547,CONCATENATE(PARTIDAS!$F547," (",PARTIDAS!$G547,")"))</f>
        <v>Hortalizas conservadas provisionalmente, pero todavía impropias, en… (los demás, hortalizas; mezclas de hortalizas)</v>
      </c>
      <c r="I547" s="16" t="s">
        <v>9427</v>
      </c>
    </row>
    <row r="548" spans="1:9" x14ac:dyDescent="0.25">
      <c r="A548" s="16" t="s">
        <v>1398</v>
      </c>
      <c r="B548" s="16" t="str">
        <f>TEXT(PARTIDA[[#This Row],[PARTIDA]],"0000000000")</f>
        <v>0712200000</v>
      </c>
      <c r="C548" s="16" t="s">
        <v>786</v>
      </c>
      <c r="D548" s="16" t="s">
        <v>787</v>
      </c>
      <c r="E548" s="16" t="s">
        <v>9429</v>
      </c>
      <c r="F548" s="27" t="s">
        <v>9824</v>
      </c>
      <c r="G548" s="27"/>
      <c r="H548" s="16" t="str">
        <f>IF(ISBLANK(PARTIDAS!$G548),PARTIDAS!$F548,CONCATENATE(PARTIDAS!$F548," (",PARTIDAS!$G548,")"))</f>
        <v>Cebollas</v>
      </c>
      <c r="I548" s="16" t="s">
        <v>9427</v>
      </c>
    </row>
    <row r="549" spans="1:9" x14ac:dyDescent="0.25">
      <c r="A549" s="16" t="s">
        <v>1399</v>
      </c>
      <c r="B549" s="16" t="str">
        <f>TEXT(PARTIDA[[#This Row],[PARTIDA]],"0000000000")</f>
        <v>0712310000</v>
      </c>
      <c r="C549" s="16" t="s">
        <v>786</v>
      </c>
      <c r="D549" s="16" t="s">
        <v>787</v>
      </c>
      <c r="E549" s="16" t="s">
        <v>9429</v>
      </c>
      <c r="F549" s="27" t="s">
        <v>9796</v>
      </c>
      <c r="G549" s="27"/>
      <c r="H549" s="16" t="str">
        <f>IF(ISBLANK(PARTIDAS!$G549),PARTIDAS!$F549,CONCATENATE(PARTIDAS!$F549," (",PARTIDAS!$G549,")"))</f>
        <v>Hongos del género Agaricus</v>
      </c>
      <c r="I549" s="16" t="s">
        <v>9427</v>
      </c>
    </row>
    <row r="550" spans="1:9" x14ac:dyDescent="0.25">
      <c r="A550" s="16" t="s">
        <v>1400</v>
      </c>
      <c r="B550" s="16" t="str">
        <f>TEXT(PARTIDA[[#This Row],[PARTIDA]],"0000000000")</f>
        <v>0712320000</v>
      </c>
      <c r="C550" s="16" t="s">
        <v>786</v>
      </c>
      <c r="D550" s="16" t="s">
        <v>787</v>
      </c>
      <c r="E550" s="16" t="s">
        <v>9429</v>
      </c>
      <c r="F550" s="27" t="s">
        <v>9825</v>
      </c>
      <c r="G550" s="27"/>
      <c r="H550" s="16" t="str">
        <f>IF(ISBLANK(PARTIDAS!$G550),PARTIDAS!$F550,CONCATENATE(PARTIDAS!$F550," (",PARTIDAS!$G550,")"))</f>
        <v>Orejas de Judas (Auricularia spp.)</v>
      </c>
      <c r="I550" s="16" t="s">
        <v>9427</v>
      </c>
    </row>
    <row r="551" spans="1:9" x14ac:dyDescent="0.25">
      <c r="A551" s="16" t="s">
        <v>1401</v>
      </c>
      <c r="B551" s="16" t="str">
        <f>TEXT(PARTIDA[[#This Row],[PARTIDA]],"0000000000")</f>
        <v>0712330000</v>
      </c>
      <c r="C551" s="16" t="s">
        <v>786</v>
      </c>
      <c r="D551" s="16" t="s">
        <v>787</v>
      </c>
      <c r="E551" s="16" t="s">
        <v>9429</v>
      </c>
      <c r="F551" s="27" t="s">
        <v>9826</v>
      </c>
      <c r="G551" s="27"/>
      <c r="H551" s="16" t="str">
        <f>IF(ISBLANK(PARTIDAS!$G551),PARTIDAS!$F551,CONCATENATE(PARTIDAS!$F551," (",PARTIDAS!$G551,")"))</f>
        <v>Hongos gelatinosos (Tremella spp.)</v>
      </c>
      <c r="I551" s="16" t="s">
        <v>9427</v>
      </c>
    </row>
    <row r="552" spans="1:9" x14ac:dyDescent="0.25">
      <c r="A552" s="16" t="s">
        <v>9827</v>
      </c>
      <c r="B552" s="16" t="str">
        <f>TEXT(PARTIDA[[#This Row],[PARTIDA]],"0000000000")</f>
        <v>0712340000</v>
      </c>
      <c r="C552" s="16" t="s">
        <v>786</v>
      </c>
      <c r="D552" s="16" t="s">
        <v>787</v>
      </c>
      <c r="E552" s="16" t="s">
        <v>9429</v>
      </c>
      <c r="F552" s="27" t="s">
        <v>9802</v>
      </c>
      <c r="G552" s="27"/>
      <c r="H552" s="16" t="str">
        <f>IF(ISBLANK(PARTIDAS!$G552),PARTIDAS!$F552,CONCATENATE(PARTIDAS!$F552," (",PARTIDAS!$G552,")"))</f>
        <v>Shiitake (Lentinus edodes)</v>
      </c>
      <c r="I552" s="16" t="s">
        <v>9427</v>
      </c>
    </row>
    <row r="553" spans="1:9" x14ac:dyDescent="0.25">
      <c r="A553" s="16" t="s">
        <v>1402</v>
      </c>
      <c r="B553" s="16" t="str">
        <f>TEXT(PARTIDA[[#This Row],[PARTIDA]],"0000000000")</f>
        <v>0712390000</v>
      </c>
      <c r="C553" s="16" t="s">
        <v>786</v>
      </c>
      <c r="D553" s="16" t="s">
        <v>787</v>
      </c>
      <c r="E553" s="16" t="s">
        <v>9429</v>
      </c>
      <c r="F553" s="27" t="s">
        <v>9828</v>
      </c>
      <c r="G553" s="27"/>
      <c r="H553" s="16" t="str">
        <f>IF(ISBLANK(PARTIDAS!$G553),PARTIDAS!$F553,CONCATENATE(PARTIDAS!$F553," (",PARTIDAS!$G553,")"))</f>
        <v>Orejas de Judas (Auricularia spp.), hongos gelatinosos (Tremella… (los demás)</v>
      </c>
      <c r="I553" s="16" t="s">
        <v>9427</v>
      </c>
    </row>
    <row r="554" spans="1:9" x14ac:dyDescent="0.25">
      <c r="A554" s="16" t="s">
        <v>1403</v>
      </c>
      <c r="B554" s="16" t="str">
        <f>TEXT(PARTIDA[[#This Row],[PARTIDA]],"0000000000")</f>
        <v>0712901000</v>
      </c>
      <c r="C554" s="16" t="s">
        <v>786</v>
      </c>
      <c r="D554" s="16" t="s">
        <v>787</v>
      </c>
      <c r="E554" s="16" t="s">
        <v>9429</v>
      </c>
      <c r="F554" s="27" t="s">
        <v>9829</v>
      </c>
      <c r="G554" s="27"/>
      <c r="H554" s="16" t="str">
        <f>IF(ISBLANK(PARTIDAS!$G554),PARTIDAS!$F554,CONCATENATE(PARTIDAS!$F554," (",PARTIDAS!$G554,")"))</f>
        <v>Hortalizas secas, incluidas las cortadas en trozos o en rodajas o las…, ajos</v>
      </c>
      <c r="I554" s="16" t="s">
        <v>9427</v>
      </c>
    </row>
    <row r="555" spans="1:9" x14ac:dyDescent="0.25">
      <c r="A555" s="16" t="s">
        <v>1404</v>
      </c>
      <c r="B555" s="16" t="str">
        <f>TEXT(PARTIDA[[#This Row],[PARTIDA]],"0000000000")</f>
        <v>0712902000</v>
      </c>
      <c r="C555" s="16" t="s">
        <v>815</v>
      </c>
      <c r="D555" s="16" t="s">
        <v>825</v>
      </c>
      <c r="E555" s="16" t="s">
        <v>9454</v>
      </c>
      <c r="F555" s="27" t="s">
        <v>9830</v>
      </c>
      <c r="G555" s="27"/>
      <c r="H555" s="16" t="str">
        <f>IF(ISBLANK(PARTIDAS!$G555),PARTIDAS!$F555,CONCATENATE(PARTIDAS!$F555," (",PARTIDAS!$G555,")"))</f>
        <v>Maíz dulce para la siembra</v>
      </c>
      <c r="I555" s="16" t="s">
        <v>9427</v>
      </c>
    </row>
    <row r="556" spans="1:9" x14ac:dyDescent="0.25">
      <c r="A556" s="16" t="s">
        <v>1405</v>
      </c>
      <c r="B556" s="16" t="str">
        <f>TEXT(PARTIDA[[#This Row],[PARTIDA]],"0000000000")</f>
        <v>0712909000</v>
      </c>
      <c r="C556" s="16" t="s">
        <v>786</v>
      </c>
      <c r="D556" s="16" t="s">
        <v>787</v>
      </c>
      <c r="E556" s="16" t="s">
        <v>9429</v>
      </c>
      <c r="F556" s="27" t="s">
        <v>9831</v>
      </c>
      <c r="G556" s="27"/>
      <c r="H556" s="16" t="str">
        <f>IF(ISBLANK(PARTIDAS!$G556),PARTIDAS!$F556,CONCATENATE(PARTIDAS!$F556," (",PARTIDAS!$G556,")"))</f>
        <v>Hortalizas secas, incluidas las cortadas en trozos o en rodajas o las… (los demás)</v>
      </c>
      <c r="I556" s="16" t="s">
        <v>9427</v>
      </c>
    </row>
    <row r="557" spans="1:9" x14ac:dyDescent="0.25">
      <c r="A557" s="16" t="s">
        <v>1406</v>
      </c>
      <c r="B557" s="16" t="str">
        <f>TEXT(PARTIDA[[#This Row],[PARTIDA]],"0000000000")</f>
        <v>0713101000</v>
      </c>
      <c r="C557" s="16" t="s">
        <v>815</v>
      </c>
      <c r="D557" s="16" t="s">
        <v>825</v>
      </c>
      <c r="E557" s="16" t="s">
        <v>9454</v>
      </c>
      <c r="F557" s="27" t="s">
        <v>9832</v>
      </c>
      <c r="G557" s="27"/>
      <c r="H557" s="16" t="str">
        <f>IF(ISBLANK(PARTIDAS!$G557),PARTIDAS!$F557,CONCATENATE(PARTIDAS!$F557," (",PARTIDAS!$G557,")"))</f>
        <v>Arvejas (guisantes, chícharos) (Pisum sativum), para siembra</v>
      </c>
      <c r="I557" s="16" t="s">
        <v>9427</v>
      </c>
    </row>
    <row r="558" spans="1:9" x14ac:dyDescent="0.25">
      <c r="A558" s="16" t="s">
        <v>1407</v>
      </c>
      <c r="B558" s="16" t="str">
        <f>TEXT(PARTIDA[[#This Row],[PARTIDA]],"0000000000")</f>
        <v>0713109010</v>
      </c>
      <c r="C558" s="16" t="s">
        <v>786</v>
      </c>
      <c r="D558" s="16" t="s">
        <v>787</v>
      </c>
      <c r="E558" s="16" t="s">
        <v>788</v>
      </c>
      <c r="F558" s="27" t="s">
        <v>9833</v>
      </c>
      <c r="G558" s="27"/>
      <c r="H558" s="16" t="str">
        <f>IF(ISBLANK(PARTIDAS!$G558),PARTIDAS!$F558,CONCATENATE(PARTIDAS!$F558," (",PARTIDAS!$G558,")"))</f>
        <v>Arvejas (guisantes, chícharos) (Pisum sativum), enteras</v>
      </c>
      <c r="I558" s="16" t="s">
        <v>9427</v>
      </c>
    </row>
    <row r="559" spans="1:9" x14ac:dyDescent="0.25">
      <c r="A559" s="16" t="s">
        <v>1408</v>
      </c>
      <c r="B559" s="16" t="str">
        <f>TEXT(PARTIDA[[#This Row],[PARTIDA]],"0000000000")</f>
        <v>0713109020</v>
      </c>
      <c r="C559" s="16" t="s">
        <v>786</v>
      </c>
      <c r="D559" s="16" t="s">
        <v>787</v>
      </c>
      <c r="E559" s="16" t="s">
        <v>788</v>
      </c>
      <c r="F559" s="27" t="s">
        <v>9834</v>
      </c>
      <c r="G559" s="27"/>
      <c r="H559" s="16" t="str">
        <f>IF(ISBLANK(PARTIDAS!$G559),PARTIDAS!$F559,CONCATENATE(PARTIDAS!$F559," (",PARTIDAS!$G559,")"))</f>
        <v>Arvejas (guisantes, chícharos) (Pisum sativum), partidas</v>
      </c>
      <c r="I559" s="16" t="s">
        <v>9427</v>
      </c>
    </row>
    <row r="560" spans="1:9" x14ac:dyDescent="0.25">
      <c r="A560" s="16" t="s">
        <v>1409</v>
      </c>
      <c r="B560" s="16" t="str">
        <f>TEXT(PARTIDA[[#This Row],[PARTIDA]],"0000000000")</f>
        <v>0713201000</v>
      </c>
      <c r="C560" s="16" t="s">
        <v>815</v>
      </c>
      <c r="D560" s="16" t="s">
        <v>825</v>
      </c>
      <c r="E560" s="16" t="s">
        <v>9454</v>
      </c>
      <c r="F560" s="27" t="s">
        <v>9835</v>
      </c>
      <c r="G560" s="27"/>
      <c r="H560" s="16" t="str">
        <f>IF(ISBLANK(PARTIDAS!$G560),PARTIDAS!$F560,CONCATENATE(PARTIDAS!$F560," (",PARTIDAS!$G560,")"))</f>
        <v>Garbanzos, para siembra</v>
      </c>
      <c r="I560" s="16" t="s">
        <v>9427</v>
      </c>
    </row>
    <row r="561" spans="1:9" x14ac:dyDescent="0.25">
      <c r="A561" s="16" t="s">
        <v>1410</v>
      </c>
      <c r="B561" s="16" t="str">
        <f>TEXT(PARTIDA[[#This Row],[PARTIDA]],"0000000000")</f>
        <v>0713209000</v>
      </c>
      <c r="C561" s="16" t="s">
        <v>786</v>
      </c>
      <c r="D561" s="16" t="s">
        <v>787</v>
      </c>
      <c r="E561" s="16" t="s">
        <v>788</v>
      </c>
      <c r="F561" s="27" t="s">
        <v>9836</v>
      </c>
      <c r="G561" s="27"/>
      <c r="H561" s="16" t="str">
        <f>IF(ISBLANK(PARTIDAS!$G561),PARTIDAS!$F561,CONCATENATE(PARTIDAS!$F561," (",PARTIDAS!$G561,")"))</f>
        <v>Garbanzos (los demás)</v>
      </c>
      <c r="I561" s="16" t="s">
        <v>9427</v>
      </c>
    </row>
    <row r="562" spans="1:9" x14ac:dyDescent="0.25">
      <c r="A562" s="16" t="s">
        <v>1411</v>
      </c>
      <c r="B562" s="16" t="str">
        <f>TEXT(PARTIDA[[#This Row],[PARTIDA]],"0000000000")</f>
        <v>0713311000</v>
      </c>
      <c r="C562" s="16" t="s">
        <v>815</v>
      </c>
      <c r="D562" s="16" t="s">
        <v>825</v>
      </c>
      <c r="E562" s="16" t="s">
        <v>9454</v>
      </c>
      <c r="F562" s="27" t="s">
        <v>9837</v>
      </c>
      <c r="G562" s="27"/>
      <c r="H562" s="16" t="str">
        <f>IF(ISBLANK(PARTIDAS!$G562),PARTIDAS!$F562,CONCATENATE(PARTIDAS!$F562," (",PARTIDAS!$G562,")"))</f>
        <v>Frijoles (fréjoles, porotos, alubias, judías) de las especies Vigna…, para siembra</v>
      </c>
      <c r="I562" s="16" t="s">
        <v>9427</v>
      </c>
    </row>
    <row r="563" spans="1:9" x14ac:dyDescent="0.25">
      <c r="A563" s="16" t="s">
        <v>1412</v>
      </c>
      <c r="B563" s="16" t="str">
        <f>TEXT(PARTIDA[[#This Row],[PARTIDA]],"0000000000")</f>
        <v>0713319000</v>
      </c>
      <c r="C563" s="16" t="s">
        <v>786</v>
      </c>
      <c r="D563" s="16" t="s">
        <v>787</v>
      </c>
      <c r="E563" s="16" t="s">
        <v>788</v>
      </c>
      <c r="F563" s="27" t="s">
        <v>1368</v>
      </c>
      <c r="G563" s="27"/>
      <c r="H563" s="16" t="str">
        <f>IF(ISBLANK(PARTIDAS!$G563),PARTIDAS!$F563,CONCATENATE(PARTIDAS!$F563," (",PARTIDAS!$G563,")"))</f>
        <v>Frijoles</v>
      </c>
      <c r="I563" s="16" t="s">
        <v>9427</v>
      </c>
    </row>
    <row r="564" spans="1:9" x14ac:dyDescent="0.25">
      <c r="A564" s="16" t="s">
        <v>1413</v>
      </c>
      <c r="B564" s="16" t="str">
        <f>TEXT(PARTIDA[[#This Row],[PARTIDA]],"0000000000")</f>
        <v>0713321000</v>
      </c>
      <c r="C564" s="16" t="s">
        <v>815</v>
      </c>
      <c r="D564" s="16" t="s">
        <v>825</v>
      </c>
      <c r="E564" s="16" t="s">
        <v>9454</v>
      </c>
      <c r="F564" s="27" t="s">
        <v>9838</v>
      </c>
      <c r="G564" s="27"/>
      <c r="H564" s="16" t="str">
        <f>IF(ISBLANK(PARTIDAS!$G564),PARTIDAS!$F564,CONCATENATE(PARTIDAS!$F564," (",PARTIDAS!$G564,")"))</f>
        <v>Frijoles (fréjoles, porotos, alubias, judías) Adzuki (Phaseolus o…, para siembra</v>
      </c>
      <c r="I564" s="16" t="s">
        <v>9427</v>
      </c>
    </row>
    <row r="565" spans="1:9" x14ac:dyDescent="0.25">
      <c r="A565" s="16" t="s">
        <v>1414</v>
      </c>
      <c r="B565" s="16" t="str">
        <f>TEXT(PARTIDA[[#This Row],[PARTIDA]],"0000000000")</f>
        <v>0713329000</v>
      </c>
      <c r="C565" s="16" t="s">
        <v>786</v>
      </c>
      <c r="D565" s="16" t="s">
        <v>787</v>
      </c>
      <c r="E565" s="16" t="s">
        <v>788</v>
      </c>
      <c r="F565" s="27" t="s">
        <v>9839</v>
      </c>
      <c r="G565" s="27"/>
      <c r="H565" s="16" t="str">
        <f>IF(ISBLANK(PARTIDAS!$G565),PARTIDAS!$F565,CONCATENATE(PARTIDAS!$F565," (",PARTIDAS!$G565,")"))</f>
        <v>Frijoles (fréjoles, porotos, alubias, judías) Adzuki (Phaseolus o… (los demás)</v>
      </c>
      <c r="I565" s="16" t="s">
        <v>9427</v>
      </c>
    </row>
    <row r="566" spans="1:9" x14ac:dyDescent="0.25">
      <c r="A566" s="16" t="s">
        <v>1415</v>
      </c>
      <c r="B566" s="16" t="str">
        <f>TEXT(PARTIDA[[#This Row],[PARTIDA]],"0000000000")</f>
        <v>0713331100</v>
      </c>
      <c r="C566" s="16" t="s">
        <v>815</v>
      </c>
      <c r="D566" s="16" t="s">
        <v>825</v>
      </c>
      <c r="E566" s="16" t="s">
        <v>9454</v>
      </c>
      <c r="F566" s="27" t="s">
        <v>9840</v>
      </c>
      <c r="G566" s="27"/>
      <c r="H566" s="16" t="str">
        <f>IF(ISBLANK(PARTIDAS!$G566),PARTIDAS!$F566,CONCATENATE(PARTIDAS!$F566," (",PARTIDAS!$G566,")"))</f>
        <v>Frijoles (fréjoles, porotos, alubias, judías) comunes…, para siembra, negro</v>
      </c>
      <c r="I566" s="16" t="s">
        <v>9427</v>
      </c>
    </row>
    <row r="567" spans="1:9" x14ac:dyDescent="0.25">
      <c r="A567" s="16" t="s">
        <v>1416</v>
      </c>
      <c r="B567" s="16" t="str">
        <f>TEXT(PARTIDA[[#This Row],[PARTIDA]],"0000000000")</f>
        <v>0713331900</v>
      </c>
      <c r="C567" s="16" t="s">
        <v>815</v>
      </c>
      <c r="D567" s="16" t="s">
        <v>825</v>
      </c>
      <c r="E567" s="16" t="s">
        <v>9454</v>
      </c>
      <c r="F567" s="27" t="s">
        <v>9841</v>
      </c>
      <c r="G567" s="27"/>
      <c r="H567" s="16" t="str">
        <f>IF(ISBLANK(PARTIDAS!$G567),PARTIDAS!$F567,CONCATENATE(PARTIDAS!$F567," (",PARTIDAS!$G567,")"))</f>
        <v>Frijoles (fréjoles, porotos, alubias, judías) comunes…, para siembra (los demás)</v>
      </c>
      <c r="I567" s="16" t="s">
        <v>9427</v>
      </c>
    </row>
    <row r="568" spans="1:9" x14ac:dyDescent="0.25">
      <c r="A568" s="16" t="s">
        <v>1417</v>
      </c>
      <c r="B568" s="16" t="str">
        <f>TEXT(PARTIDA[[#This Row],[PARTIDA]],"0000000000")</f>
        <v>0713339100</v>
      </c>
      <c r="C568" s="16" t="s">
        <v>786</v>
      </c>
      <c r="D568" s="16" t="s">
        <v>787</v>
      </c>
      <c r="E568" s="16" t="s">
        <v>788</v>
      </c>
      <c r="F568" s="27" t="s">
        <v>1368</v>
      </c>
      <c r="G568" s="27"/>
      <c r="H568" s="16" t="str">
        <f>IF(ISBLANK(PARTIDAS!$G568),PARTIDAS!$F568,CONCATENATE(PARTIDAS!$F568," (",PARTIDAS!$G568,")"))</f>
        <v>Frijoles</v>
      </c>
      <c r="I568" s="16" t="s">
        <v>9477</v>
      </c>
    </row>
    <row r="569" spans="1:9" x14ac:dyDescent="0.25">
      <c r="A569" s="16" t="s">
        <v>1418</v>
      </c>
      <c r="B569" s="16" t="str">
        <f>TEXT(PARTIDA[[#This Row],[PARTIDA]],"0000000000")</f>
        <v>0713339200</v>
      </c>
      <c r="C569" s="16" t="s">
        <v>786</v>
      </c>
      <c r="D569" s="16" t="s">
        <v>787</v>
      </c>
      <c r="E569" s="16" t="s">
        <v>788</v>
      </c>
      <c r="F569" s="27" t="s">
        <v>9842</v>
      </c>
      <c r="G569" s="27"/>
      <c r="H569" s="16" t="str">
        <f>IF(ISBLANK(PARTIDAS!$G569),PARTIDAS!$F569,CONCATENATE(PARTIDAS!$F569," (",PARTIDAS!$G569,")"))</f>
        <v>Frijoles (fréjoles, porotos, alubias, judías) comunes (Phaseolus…, canario</v>
      </c>
      <c r="I569" s="16" t="s">
        <v>9427</v>
      </c>
    </row>
    <row r="570" spans="1:9" x14ac:dyDescent="0.25">
      <c r="A570" s="16" t="s">
        <v>1419</v>
      </c>
      <c r="B570" s="16" t="str">
        <f>TEXT(PARTIDA[[#This Row],[PARTIDA]],"0000000000")</f>
        <v>0713339900</v>
      </c>
      <c r="C570" s="16" t="s">
        <v>786</v>
      </c>
      <c r="D570" s="16" t="s">
        <v>787</v>
      </c>
      <c r="E570" s="16" t="s">
        <v>788</v>
      </c>
      <c r="F570" s="27" t="s">
        <v>1368</v>
      </c>
      <c r="G570" s="27"/>
      <c r="H570" s="16" t="str">
        <f>IF(ISBLANK(PARTIDAS!$G570),PARTIDAS!$F570,CONCATENATE(PARTIDAS!$F570," (",PARTIDAS!$G570,")"))</f>
        <v>Frijoles</v>
      </c>
      <c r="I570" s="16" t="s">
        <v>9477</v>
      </c>
    </row>
    <row r="571" spans="1:9" x14ac:dyDescent="0.25">
      <c r="A571" s="16" t="s">
        <v>1420</v>
      </c>
      <c r="B571" s="16" t="str">
        <f>TEXT(PARTIDA[[#This Row],[PARTIDA]],"0000000000")</f>
        <v>0713341000</v>
      </c>
      <c r="C571" s="16" t="s">
        <v>815</v>
      </c>
      <c r="D571" s="16" t="s">
        <v>825</v>
      </c>
      <c r="E571" s="16" t="s">
        <v>9454</v>
      </c>
      <c r="F571" s="27" t="s">
        <v>9843</v>
      </c>
      <c r="G571" s="27"/>
      <c r="H571" s="16" t="str">
        <f>IF(ISBLANK(PARTIDAS!$G571),PARTIDAS!$F571,CONCATENATE(PARTIDAS!$F571," (",PARTIDAS!$G571,")"))</f>
        <v>Frijoles (fréjoles, porotos, alubias, judías) bambara (Vigna…, para siembra</v>
      </c>
      <c r="I571" s="16" t="s">
        <v>9427</v>
      </c>
    </row>
    <row r="572" spans="1:9" x14ac:dyDescent="0.25">
      <c r="A572" s="16" t="s">
        <v>1421</v>
      </c>
      <c r="B572" s="16" t="str">
        <f>TEXT(PARTIDA[[#This Row],[PARTIDA]],"0000000000")</f>
        <v>0713349000</v>
      </c>
      <c r="C572" s="16" t="s">
        <v>786</v>
      </c>
      <c r="D572" s="16" t="s">
        <v>787</v>
      </c>
      <c r="E572" s="16" t="s">
        <v>788</v>
      </c>
      <c r="F572" s="27" t="s">
        <v>9844</v>
      </c>
      <c r="G572" s="27"/>
      <c r="H572" s="16" t="str">
        <f>IF(ISBLANK(PARTIDAS!$G572),PARTIDAS!$F572,CONCATENATE(PARTIDAS!$F572," (",PARTIDAS!$G572,")"))</f>
        <v>Frijoles (fréjoles, porotos, alubias, judías) bambara (Vigna… (los demás)</v>
      </c>
      <c r="I572" s="16" t="s">
        <v>9427</v>
      </c>
    </row>
    <row r="573" spans="1:9" x14ac:dyDescent="0.25">
      <c r="A573" s="16" t="s">
        <v>1422</v>
      </c>
      <c r="B573" s="16" t="str">
        <f>TEXT(PARTIDA[[#This Row],[PARTIDA]],"0000000000")</f>
        <v>0713351000</v>
      </c>
      <c r="C573" s="16" t="s">
        <v>815</v>
      </c>
      <c r="D573" s="16" t="s">
        <v>825</v>
      </c>
      <c r="E573" s="16" t="s">
        <v>9454</v>
      </c>
      <c r="F573" s="27" t="s">
        <v>9845</v>
      </c>
      <c r="G573" s="27"/>
      <c r="H573" s="16" t="str">
        <f>IF(ISBLANK(PARTIDAS!$G573),PARTIDAS!$F573,CONCATENATE(PARTIDAS!$F573," (",PARTIDAS!$G573,")"))</f>
        <v>Frijoles (fréjoles, porotos, alubias, judías) salvajes o caupí (Vigna…, para siembra</v>
      </c>
      <c r="I573" s="16" t="s">
        <v>9427</v>
      </c>
    </row>
    <row r="574" spans="1:9" x14ac:dyDescent="0.25">
      <c r="A574" s="16" t="s">
        <v>1423</v>
      </c>
      <c r="B574" s="16" t="str">
        <f>TEXT(PARTIDA[[#This Row],[PARTIDA]],"0000000000")</f>
        <v>0713359000</v>
      </c>
      <c r="C574" s="16" t="s">
        <v>786</v>
      </c>
      <c r="D574" s="16" t="s">
        <v>787</v>
      </c>
      <c r="E574" s="16" t="s">
        <v>788</v>
      </c>
      <c r="F574" s="27" t="s">
        <v>9846</v>
      </c>
      <c r="G574" s="27"/>
      <c r="H574" s="16" t="str">
        <f>IF(ISBLANK(PARTIDAS!$G574),PARTIDAS!$F574,CONCATENATE(PARTIDAS!$F574," (",PARTIDAS!$G574,")"))</f>
        <v>Frijoles (fréjoles, porotos, alubias, judías) salvajes o caupí (Vigna… (los demás)</v>
      </c>
      <c r="I574" s="16" t="s">
        <v>9427</v>
      </c>
    </row>
    <row r="575" spans="1:9" x14ac:dyDescent="0.25">
      <c r="A575" s="16" t="s">
        <v>1424</v>
      </c>
      <c r="B575" s="16" t="str">
        <f>TEXT(PARTIDA[[#This Row],[PARTIDA]],"0000000000")</f>
        <v>0713391000</v>
      </c>
      <c r="C575" s="16" t="s">
        <v>815</v>
      </c>
      <c r="D575" s="16" t="s">
        <v>825</v>
      </c>
      <c r="E575" s="16" t="s">
        <v>9454</v>
      </c>
      <c r="F575" s="27" t="s">
        <v>9847</v>
      </c>
      <c r="G575" s="27"/>
      <c r="H575" s="16" t="str">
        <f>IF(ISBLANK(PARTIDAS!$G575),PARTIDAS!$F575,CONCATENATE(PARTIDAS!$F575," (",PARTIDAS!$G575,")"))</f>
        <v>Frijoles (fréjoles, porotos, alubias, judías) (Vigna spp., Phaseolus…, para siembra</v>
      </c>
      <c r="I575" s="16" t="s">
        <v>9427</v>
      </c>
    </row>
    <row r="576" spans="1:9" x14ac:dyDescent="0.25">
      <c r="A576" s="16" t="s">
        <v>1425</v>
      </c>
      <c r="B576" s="16" t="str">
        <f>TEXT(PARTIDA[[#This Row],[PARTIDA]],"0000000000")</f>
        <v>0713399100</v>
      </c>
      <c r="C576" s="16" t="s">
        <v>786</v>
      </c>
      <c r="D576" s="16" t="s">
        <v>787</v>
      </c>
      <c r="E576" s="16" t="s">
        <v>788</v>
      </c>
      <c r="F576" s="27" t="s">
        <v>9848</v>
      </c>
      <c r="G576" s="27"/>
      <c r="H576" s="16" t="str">
        <f>IF(ISBLANK(PARTIDAS!$G576),PARTIDAS!$F576,CONCATENATE(PARTIDAS!$F576," (",PARTIDAS!$G576,")"))</f>
        <v>Pallares (Phaseolus lunatus)</v>
      </c>
      <c r="I576" s="16" t="s">
        <v>9427</v>
      </c>
    </row>
    <row r="577" spans="1:9" x14ac:dyDescent="0.25">
      <c r="A577" s="16" t="s">
        <v>1426</v>
      </c>
      <c r="B577" s="16" t="str">
        <f>TEXT(PARTIDA[[#This Row],[PARTIDA]],"0000000000")</f>
        <v>0713399900</v>
      </c>
      <c r="C577" s="16" t="s">
        <v>786</v>
      </c>
      <c r="D577" s="16" t="s">
        <v>787</v>
      </c>
      <c r="E577" s="16" t="s">
        <v>788</v>
      </c>
      <c r="F577" s="27" t="s">
        <v>9849</v>
      </c>
      <c r="G577" s="27"/>
      <c r="H577" s="16" t="str">
        <f>IF(ISBLANK(PARTIDAS!$G577),PARTIDAS!$F577,CONCATENATE(PARTIDAS!$F577," (",PARTIDAS!$G577,")"))</f>
        <v>Frijoles (fréjoles, porotos, alubias, judías) (Vigna spp., Phaseolus… (los demás)</v>
      </c>
      <c r="I577" s="16" t="s">
        <v>9427</v>
      </c>
    </row>
    <row r="578" spans="1:9" x14ac:dyDescent="0.25">
      <c r="A578" s="16" t="s">
        <v>1427</v>
      </c>
      <c r="B578" s="16" t="str">
        <f>TEXT(PARTIDA[[#This Row],[PARTIDA]],"0000000000")</f>
        <v>0713401000</v>
      </c>
      <c r="C578" s="16" t="s">
        <v>815</v>
      </c>
      <c r="D578" s="16" t="s">
        <v>825</v>
      </c>
      <c r="E578" s="16" t="s">
        <v>9454</v>
      </c>
      <c r="F578" s="27" t="s">
        <v>9850</v>
      </c>
      <c r="G578" s="27"/>
      <c r="H578" s="16" t="str">
        <f>IF(ISBLANK(PARTIDAS!$G578),PARTIDAS!$F578,CONCATENATE(PARTIDAS!$F578," (",PARTIDAS!$G578,")"))</f>
        <v>Lentejas, para siembra</v>
      </c>
      <c r="I578" s="16" t="s">
        <v>9427</v>
      </c>
    </row>
    <row r="579" spans="1:9" x14ac:dyDescent="0.25">
      <c r="A579" s="16" t="s">
        <v>1428</v>
      </c>
      <c r="B579" s="16" t="str">
        <f>TEXT(PARTIDA[[#This Row],[PARTIDA]],"0000000000")</f>
        <v>0713409000</v>
      </c>
      <c r="C579" s="16" t="s">
        <v>786</v>
      </c>
      <c r="D579" s="16" t="s">
        <v>787</v>
      </c>
      <c r="E579" s="16" t="s">
        <v>788</v>
      </c>
      <c r="F579" s="27" t="s">
        <v>9851</v>
      </c>
      <c r="G579" s="27"/>
      <c r="H579" s="16" t="str">
        <f>IF(ISBLANK(PARTIDAS!$G579),PARTIDAS!$F579,CONCATENATE(PARTIDAS!$F579," (",PARTIDAS!$G579,")"))</f>
        <v>Lentejas (los demás)</v>
      </c>
      <c r="I579" s="16" t="s">
        <v>9427</v>
      </c>
    </row>
    <row r="580" spans="1:9" x14ac:dyDescent="0.25">
      <c r="A580" s="16" t="s">
        <v>1429</v>
      </c>
      <c r="B580" s="16" t="str">
        <f>TEXT(PARTIDA[[#This Row],[PARTIDA]],"0000000000")</f>
        <v>0713501000</v>
      </c>
      <c r="C580" s="16" t="s">
        <v>815</v>
      </c>
      <c r="D580" s="16" t="s">
        <v>825</v>
      </c>
      <c r="E580" s="16" t="s">
        <v>9454</v>
      </c>
      <c r="F580" s="27" t="s">
        <v>9852</v>
      </c>
      <c r="G580" s="27"/>
      <c r="H580" s="16" t="str">
        <f>IF(ISBLANK(PARTIDAS!$G580),PARTIDAS!$F580,CONCATENATE(PARTIDAS!$F580," (",PARTIDAS!$G580,")"))</f>
        <v>Habas (Vicia faba var. major), haba caballar (Vicia faba var. equina)…, para siembra</v>
      </c>
      <c r="I580" s="16" t="s">
        <v>9427</v>
      </c>
    </row>
    <row r="581" spans="1:9" x14ac:dyDescent="0.25">
      <c r="A581" s="16" t="s">
        <v>1430</v>
      </c>
      <c r="B581" s="16" t="str">
        <f>TEXT(PARTIDA[[#This Row],[PARTIDA]],"0000000000")</f>
        <v>0713509000</v>
      </c>
      <c r="C581" s="16" t="s">
        <v>786</v>
      </c>
      <c r="D581" s="16" t="s">
        <v>787</v>
      </c>
      <c r="E581" s="16" t="s">
        <v>788</v>
      </c>
      <c r="F581" s="27" t="s">
        <v>9853</v>
      </c>
      <c r="G581" s="27"/>
      <c r="H581" s="16" t="str">
        <f>IF(ISBLANK(PARTIDAS!$G581),PARTIDAS!$F581,CONCATENATE(PARTIDAS!$F581," (",PARTIDAS!$G581,")"))</f>
        <v>Habas (Vicia faba var. major), haba caballar (Vicia faba var. equina)… (los demás)</v>
      </c>
      <c r="I581" s="16" t="s">
        <v>9427</v>
      </c>
    </row>
    <row r="582" spans="1:9" x14ac:dyDescent="0.25">
      <c r="A582" s="16" t="s">
        <v>1431</v>
      </c>
      <c r="B582" s="16" t="str">
        <f>TEXT(PARTIDA[[#This Row],[PARTIDA]],"0000000000")</f>
        <v>0713601000</v>
      </c>
      <c r="C582" s="16" t="s">
        <v>815</v>
      </c>
      <c r="D582" s="16" t="s">
        <v>825</v>
      </c>
      <c r="E582" s="16" t="s">
        <v>9454</v>
      </c>
      <c r="F582" s="27" t="s">
        <v>9854</v>
      </c>
      <c r="G582" s="27"/>
      <c r="H582" s="16" t="str">
        <f>IF(ISBLANK(PARTIDAS!$G582),PARTIDAS!$F582,CONCATENATE(PARTIDAS!$F582," (",PARTIDAS!$G582,")"))</f>
        <v>Arvejas (guisantes, chícharos) de palo, gandú o gandul (Cajanus cajan), para siembra</v>
      </c>
      <c r="I582" s="16" t="s">
        <v>9427</v>
      </c>
    </row>
    <row r="583" spans="1:9" x14ac:dyDescent="0.25">
      <c r="A583" s="16" t="s">
        <v>1432</v>
      </c>
      <c r="B583" s="16" t="str">
        <f>TEXT(PARTIDA[[#This Row],[PARTIDA]],"0000000000")</f>
        <v>0713609000</v>
      </c>
      <c r="C583" s="16" t="s">
        <v>786</v>
      </c>
      <c r="D583" s="16" t="s">
        <v>787</v>
      </c>
      <c r="E583" s="16" t="s">
        <v>788</v>
      </c>
      <c r="F583" s="27" t="s">
        <v>9855</v>
      </c>
      <c r="G583" s="27"/>
      <c r="H583" s="16" t="str">
        <f>IF(ISBLANK(PARTIDAS!$G583),PARTIDAS!$F583,CONCATENATE(PARTIDAS!$F583," (",PARTIDAS!$G583,")"))</f>
        <v>Arvejas (guisantes, chícharos) de palo, gandú o gandul (Cajanus cajan) (los demás)</v>
      </c>
      <c r="I583" s="16" t="s">
        <v>9427</v>
      </c>
    </row>
    <row r="584" spans="1:9" x14ac:dyDescent="0.25">
      <c r="A584" s="16" t="s">
        <v>1433</v>
      </c>
      <c r="B584" s="16" t="str">
        <f>TEXT(PARTIDA[[#This Row],[PARTIDA]],"0000000000")</f>
        <v>0713901000</v>
      </c>
      <c r="C584" s="16" t="s">
        <v>815</v>
      </c>
      <c r="D584" s="16" t="s">
        <v>825</v>
      </c>
      <c r="E584" s="16" t="s">
        <v>9454</v>
      </c>
      <c r="F584" s="27" t="s">
        <v>9856</v>
      </c>
      <c r="G584" s="27"/>
      <c r="H584" s="16" t="str">
        <f>IF(ISBLANK(PARTIDAS!$G584),PARTIDAS!$F584,CONCATENATE(PARTIDAS!$F584," (",PARTIDAS!$G584,")"))</f>
        <v>Hortalizas de vaina secas desvainadas, aunque estén mondadas o…, para siembra</v>
      </c>
      <c r="I584" s="16" t="s">
        <v>9427</v>
      </c>
    </row>
    <row r="585" spans="1:9" x14ac:dyDescent="0.25">
      <c r="A585" s="16" t="s">
        <v>1434</v>
      </c>
      <c r="B585" s="16" t="str">
        <f>TEXT(PARTIDA[[#This Row],[PARTIDA]],"0000000000")</f>
        <v>0713909000</v>
      </c>
      <c r="C585" s="16" t="s">
        <v>786</v>
      </c>
      <c r="D585" s="16" t="s">
        <v>787</v>
      </c>
      <c r="E585" s="16" t="s">
        <v>788</v>
      </c>
      <c r="F585" s="27" t="s">
        <v>9857</v>
      </c>
      <c r="G585" s="27"/>
      <c r="H585" s="16" t="str">
        <f>IF(ISBLANK(PARTIDAS!$G585),PARTIDAS!$F585,CONCATENATE(PARTIDAS!$F585," (",PARTIDAS!$G585,")"))</f>
        <v>Hortalizas de vaina secas desvainadas, aunque estén mondadas o… (los demás)</v>
      </c>
      <c r="I585" s="16" t="s">
        <v>9427</v>
      </c>
    </row>
    <row r="586" spans="1:9" x14ac:dyDescent="0.25">
      <c r="A586" s="16" t="s">
        <v>1435</v>
      </c>
      <c r="B586" s="16" t="str">
        <f>TEXT(PARTIDA[[#This Row],[PARTIDA]],"0000000000")</f>
        <v>0714100000</v>
      </c>
      <c r="C586" s="16" t="s">
        <v>786</v>
      </c>
      <c r="D586" s="16" t="s">
        <v>787</v>
      </c>
      <c r="E586" s="16" t="s">
        <v>788</v>
      </c>
      <c r="F586" s="27" t="s">
        <v>1436</v>
      </c>
      <c r="G586" s="27"/>
      <c r="H586" s="16" t="str">
        <f>IF(ISBLANK(PARTIDAS!$G586),PARTIDAS!$F586,CONCATENATE(PARTIDAS!$F586," (",PARTIDAS!$G586,")"))</f>
        <v>Raíces de yuca</v>
      </c>
      <c r="I586" s="16" t="s">
        <v>9427</v>
      </c>
    </row>
    <row r="587" spans="1:9" x14ac:dyDescent="0.25">
      <c r="A587" s="16" t="s">
        <v>1437</v>
      </c>
      <c r="B587" s="16" t="str">
        <f>TEXT(PARTIDA[[#This Row],[PARTIDA]],"0000000000")</f>
        <v>0714201000</v>
      </c>
      <c r="C587" s="16" t="s">
        <v>815</v>
      </c>
      <c r="D587" s="16" t="s">
        <v>825</v>
      </c>
      <c r="E587" s="16" t="s">
        <v>9454</v>
      </c>
      <c r="F587" s="27" t="s">
        <v>9858</v>
      </c>
      <c r="G587" s="27"/>
      <c r="H587" s="16" t="str">
        <f>IF(ISBLANK(PARTIDAS!$G587),PARTIDAS!$F587,CONCATENATE(PARTIDAS!$F587," (",PARTIDAS!$G587,")"))</f>
        <v>Camotes (batatas, boniatos), para siembra</v>
      </c>
      <c r="I587" s="16" t="s">
        <v>9427</v>
      </c>
    </row>
    <row r="588" spans="1:9" x14ac:dyDescent="0.25">
      <c r="A588" s="16" t="s">
        <v>1438</v>
      </c>
      <c r="B588" s="16" t="str">
        <f>TEXT(PARTIDA[[#This Row],[PARTIDA]],"0000000000")</f>
        <v>0714209000</v>
      </c>
      <c r="C588" s="16" t="s">
        <v>786</v>
      </c>
      <c r="D588" s="16" t="s">
        <v>787</v>
      </c>
      <c r="E588" s="16" t="s">
        <v>788</v>
      </c>
      <c r="F588" s="27" t="s">
        <v>9859</v>
      </c>
      <c r="G588" s="27"/>
      <c r="H588" s="16" t="str">
        <f>IF(ISBLANK(PARTIDAS!$G588),PARTIDAS!$F588,CONCATENATE(PARTIDAS!$F588," (",PARTIDAS!$G588,")"))</f>
        <v>Camotes (batatas, boniatos) (los demás)</v>
      </c>
      <c r="I588" s="16" t="s">
        <v>9427</v>
      </c>
    </row>
    <row r="589" spans="1:9" x14ac:dyDescent="0.25">
      <c r="A589" s="16" t="s">
        <v>1439</v>
      </c>
      <c r="B589" s="16" t="str">
        <f>TEXT(PARTIDA[[#This Row],[PARTIDA]],"0000000000")</f>
        <v>0714300000</v>
      </c>
      <c r="C589" s="16" t="s">
        <v>786</v>
      </c>
      <c r="D589" s="16" t="s">
        <v>787</v>
      </c>
      <c r="E589" s="16" t="s">
        <v>788</v>
      </c>
      <c r="F589" s="27" t="s">
        <v>9860</v>
      </c>
      <c r="G589" s="27"/>
      <c r="H589" s="16" t="str">
        <f>IF(ISBLANK(PARTIDAS!$G589),PARTIDAS!$F589,CONCATENATE(PARTIDAS!$F589," (",PARTIDAS!$G589,")"))</f>
        <v>Ñame (Dioscorea spp.)</v>
      </c>
      <c r="I589" s="16" t="s">
        <v>9427</v>
      </c>
    </row>
    <row r="590" spans="1:9" x14ac:dyDescent="0.25">
      <c r="A590" s="16" t="s">
        <v>1440</v>
      </c>
      <c r="B590" s="16" t="str">
        <f>TEXT(PARTIDA[[#This Row],[PARTIDA]],"0000000000")</f>
        <v>0714400000</v>
      </c>
      <c r="C590" s="16" t="s">
        <v>786</v>
      </c>
      <c r="D590" s="16" t="s">
        <v>787</v>
      </c>
      <c r="E590" s="16" t="s">
        <v>788</v>
      </c>
      <c r="F590" s="27" t="s">
        <v>9861</v>
      </c>
      <c r="G590" s="27"/>
      <c r="H590" s="16" t="str">
        <f>IF(ISBLANK(PARTIDAS!$G590),PARTIDAS!$F590,CONCATENATE(PARTIDAS!$F590," (",PARTIDAS!$G590,")"))</f>
        <v>Taro (Colocasia spp.)</v>
      </c>
      <c r="I590" s="16" t="s">
        <v>9427</v>
      </c>
    </row>
    <row r="591" spans="1:9" x14ac:dyDescent="0.25">
      <c r="A591" s="16" t="s">
        <v>1441</v>
      </c>
      <c r="B591" s="16" t="str">
        <f>TEXT(PARTIDA[[#This Row],[PARTIDA]],"0000000000")</f>
        <v>0714500000</v>
      </c>
      <c r="C591" s="16" t="s">
        <v>786</v>
      </c>
      <c r="D591" s="16" t="s">
        <v>787</v>
      </c>
      <c r="E591" s="16" t="s">
        <v>788</v>
      </c>
      <c r="F591" s="27" t="s">
        <v>9862</v>
      </c>
      <c r="G591" s="27"/>
      <c r="H591" s="16" t="str">
        <f>IF(ISBLANK(PARTIDAS!$G591),PARTIDAS!$F591,CONCATENATE(PARTIDAS!$F591," (",PARTIDAS!$G591,")"))</f>
        <v>Yautía (malanga) (Xanthosoma spp.)</v>
      </c>
      <c r="I591" s="16" t="s">
        <v>9427</v>
      </c>
    </row>
    <row r="592" spans="1:9" x14ac:dyDescent="0.25">
      <c r="A592" s="16" t="s">
        <v>1442</v>
      </c>
      <c r="B592" s="16" t="str">
        <f>TEXT(PARTIDA[[#This Row],[PARTIDA]],"0000000000")</f>
        <v>0714901000</v>
      </c>
      <c r="C592" s="16" t="s">
        <v>786</v>
      </c>
      <c r="D592" s="16" t="s">
        <v>787</v>
      </c>
      <c r="E592" s="16" t="s">
        <v>788</v>
      </c>
      <c r="F592" s="27" t="s">
        <v>1443</v>
      </c>
      <c r="G592" s="27"/>
      <c r="H592" s="16" t="str">
        <f>IF(ISBLANK(PARTIDAS!$G592),PARTIDAS!$F592,CONCATENATE(PARTIDAS!$F592," (",PARTIDAS!$G592,")"))</f>
        <v>Maca</v>
      </c>
      <c r="I592" s="16" t="s">
        <v>9427</v>
      </c>
    </row>
    <row r="593" spans="1:9" x14ac:dyDescent="0.25">
      <c r="A593" s="16" t="s">
        <v>1444</v>
      </c>
      <c r="B593" s="16" t="str">
        <f>TEXT(PARTIDA[[#This Row],[PARTIDA]],"0000000000")</f>
        <v>0714909000</v>
      </c>
      <c r="C593" s="16" t="s">
        <v>786</v>
      </c>
      <c r="D593" s="16" t="s">
        <v>787</v>
      </c>
      <c r="E593" s="16" t="s">
        <v>788</v>
      </c>
      <c r="F593" s="27" t="s">
        <v>9863</v>
      </c>
      <c r="G593" s="27"/>
      <c r="H593" s="16" t="str">
        <f>IF(ISBLANK(PARTIDAS!$G593),PARTIDAS!$F593,CONCATENATE(PARTIDAS!$F593," (",PARTIDAS!$G593,")"))</f>
        <v>Raíces de yuca (mandioca), arrurruz o salep, aguaturmas (patacas)… (los demás)</v>
      </c>
      <c r="I593" s="16" t="s">
        <v>9427</v>
      </c>
    </row>
    <row r="594" spans="1:9" x14ac:dyDescent="0.25">
      <c r="A594" s="16" t="s">
        <v>1445</v>
      </c>
      <c r="B594" s="16" t="str">
        <f>TEXT(PARTIDA[[#This Row],[PARTIDA]],"0000000000")</f>
        <v>0801111000</v>
      </c>
      <c r="C594" s="16" t="s">
        <v>815</v>
      </c>
      <c r="D594" s="16" t="s">
        <v>825</v>
      </c>
      <c r="E594" s="16" t="s">
        <v>9454</v>
      </c>
      <c r="F594" s="27" t="s">
        <v>9864</v>
      </c>
      <c r="G594" s="27"/>
      <c r="H594" s="16" t="str">
        <f>IF(ISBLANK(PARTIDAS!$G594),PARTIDAS!$F594,CONCATENATE(PARTIDAS!$F594," (",PARTIDAS!$G594,")"))</f>
        <v>Cocos, secos, para siembra</v>
      </c>
      <c r="I594" s="16" t="s">
        <v>9427</v>
      </c>
    </row>
    <row r="595" spans="1:9" x14ac:dyDescent="0.25">
      <c r="A595" s="16" t="s">
        <v>1446</v>
      </c>
      <c r="B595" s="16" t="str">
        <f>TEXT(PARTIDA[[#This Row],[PARTIDA]],"0000000000")</f>
        <v>0801119000</v>
      </c>
      <c r="C595" s="16" t="s">
        <v>786</v>
      </c>
      <c r="D595" s="16" t="s">
        <v>787</v>
      </c>
      <c r="E595" s="16" t="s">
        <v>788</v>
      </c>
      <c r="F595" s="27" t="s">
        <v>1447</v>
      </c>
      <c r="G595" s="27"/>
      <c r="H595" s="16" t="str">
        <f>IF(ISBLANK(PARTIDAS!$G595),PARTIDAS!$F595,CONCATENATE(PARTIDAS!$F595," (",PARTIDAS!$G595,")"))</f>
        <v>Coco rallado</v>
      </c>
      <c r="I595" s="16" t="s">
        <v>9427</v>
      </c>
    </row>
    <row r="596" spans="1:9" x14ac:dyDescent="0.25">
      <c r="A596" s="16" t="s">
        <v>1448</v>
      </c>
      <c r="B596" s="16" t="str">
        <f>TEXT(PARTIDA[[#This Row],[PARTIDA]],"0000000000")</f>
        <v>0801120000</v>
      </c>
      <c r="C596" s="16" t="s">
        <v>786</v>
      </c>
      <c r="D596" s="16" t="s">
        <v>787</v>
      </c>
      <c r="E596" s="16" t="s">
        <v>788</v>
      </c>
      <c r="F596" s="27" t="s">
        <v>9865</v>
      </c>
      <c r="G596" s="27"/>
      <c r="H596" s="16" t="str">
        <f>IF(ISBLANK(PARTIDAS!$G596),PARTIDAS!$F596,CONCATENATE(PARTIDAS!$F596," (",PARTIDAS!$G596,")"))</f>
        <v>Cocos, con la cáscara interna (endocarpio)</v>
      </c>
      <c r="I596" s="16" t="s">
        <v>9427</v>
      </c>
    </row>
    <row r="597" spans="1:9" x14ac:dyDescent="0.25">
      <c r="A597" s="16" t="s">
        <v>1449</v>
      </c>
      <c r="B597" s="16" t="str">
        <f>TEXT(PARTIDA[[#This Row],[PARTIDA]],"0000000000")</f>
        <v>0801190000</v>
      </c>
      <c r="C597" s="16" t="s">
        <v>786</v>
      </c>
      <c r="D597" s="16" t="s">
        <v>787</v>
      </c>
      <c r="E597" s="16" t="s">
        <v>788</v>
      </c>
      <c r="F597" s="27" t="s">
        <v>9866</v>
      </c>
      <c r="G597" s="27"/>
      <c r="H597" s="16" t="str">
        <f>IF(ISBLANK(PARTIDAS!$G597),PARTIDAS!$F597,CONCATENATE(PARTIDAS!$F597," (",PARTIDAS!$G597,")"))</f>
        <v>Cocos (los demás)</v>
      </c>
      <c r="I597" s="16" t="s">
        <v>9427</v>
      </c>
    </row>
    <row r="598" spans="1:9" x14ac:dyDescent="0.25">
      <c r="A598" s="16" t="s">
        <v>1450</v>
      </c>
      <c r="B598" s="16" t="str">
        <f>TEXT(PARTIDA[[#This Row],[PARTIDA]],"0000000000")</f>
        <v>0801210000</v>
      </c>
      <c r="C598" s="16" t="s">
        <v>786</v>
      </c>
      <c r="D598" s="16" t="s">
        <v>787</v>
      </c>
      <c r="E598" s="16" t="s">
        <v>788</v>
      </c>
      <c r="F598" s="27" t="s">
        <v>9867</v>
      </c>
      <c r="G598" s="27"/>
      <c r="H598" s="16" t="str">
        <f>IF(ISBLANK(PARTIDAS!$G598),PARTIDAS!$F598,CONCATENATE(PARTIDAS!$F598," (",PARTIDAS!$G598,")"))</f>
        <v>Nueces del Brasil, con cáscara</v>
      </c>
      <c r="I598" s="16" t="s">
        <v>9427</v>
      </c>
    </row>
    <row r="599" spans="1:9" x14ac:dyDescent="0.25">
      <c r="A599" s="16" t="s">
        <v>1451</v>
      </c>
      <c r="B599" s="16" t="str">
        <f>TEXT(PARTIDA[[#This Row],[PARTIDA]],"0000000000")</f>
        <v>0801220000</v>
      </c>
      <c r="C599" s="16" t="s">
        <v>786</v>
      </c>
      <c r="D599" s="16" t="s">
        <v>787</v>
      </c>
      <c r="E599" s="16" t="s">
        <v>788</v>
      </c>
      <c r="F599" s="27" t="s">
        <v>1452</v>
      </c>
      <c r="G599" s="27"/>
      <c r="H599" s="16" t="str">
        <f>IF(ISBLANK(PARTIDAS!$G599),PARTIDAS!$F599,CONCATENATE(PARTIDAS!$F599," (",PARTIDAS!$G599,")"))</f>
        <v>Nueces de Brasil</v>
      </c>
      <c r="I599" s="16" t="s">
        <v>9477</v>
      </c>
    </row>
    <row r="600" spans="1:9" x14ac:dyDescent="0.25">
      <c r="A600" s="16" t="s">
        <v>1453</v>
      </c>
      <c r="B600" s="16" t="str">
        <f>TEXT(PARTIDA[[#This Row],[PARTIDA]],"0000000000")</f>
        <v>0801310000</v>
      </c>
      <c r="C600" s="16" t="s">
        <v>786</v>
      </c>
      <c r="D600" s="16" t="s">
        <v>787</v>
      </c>
      <c r="E600" s="16" t="s">
        <v>788</v>
      </c>
      <c r="F600" s="27" t="s">
        <v>9868</v>
      </c>
      <c r="G600" s="27"/>
      <c r="H600" s="16" t="str">
        <f>IF(ISBLANK(PARTIDAS!$G600),PARTIDAS!$F600,CONCATENATE(PARTIDAS!$F600," (",PARTIDAS!$G600,")"))</f>
        <v>Nueces de marañón (merey, cajuil, anacardo, «cajú»), con cáscara</v>
      </c>
      <c r="I600" s="16" t="s">
        <v>9427</v>
      </c>
    </row>
    <row r="601" spans="1:9" x14ac:dyDescent="0.25">
      <c r="A601" s="16" t="s">
        <v>1454</v>
      </c>
      <c r="B601" s="16" t="str">
        <f>TEXT(PARTIDA[[#This Row],[PARTIDA]],"0000000000")</f>
        <v>0801320000</v>
      </c>
      <c r="C601" s="16" t="s">
        <v>786</v>
      </c>
      <c r="D601" s="16" t="s">
        <v>787</v>
      </c>
      <c r="E601" s="16" t="s">
        <v>788</v>
      </c>
      <c r="F601" s="27" t="s">
        <v>9869</v>
      </c>
      <c r="G601" s="27"/>
      <c r="H601" s="16" t="str">
        <f>IF(ISBLANK(PARTIDAS!$G601),PARTIDAS!$F601,CONCATENATE(PARTIDAS!$F601," (",PARTIDAS!$G601,")"))</f>
        <v>Nueces de marañón (merey, cajuil, anacardo, «cajú»), sin cáscara</v>
      </c>
      <c r="I601" s="16" t="s">
        <v>9427</v>
      </c>
    </row>
    <row r="602" spans="1:9" x14ac:dyDescent="0.25">
      <c r="A602" s="16" t="s">
        <v>1455</v>
      </c>
      <c r="B602" s="16" t="str">
        <f>TEXT(PARTIDA[[#This Row],[PARTIDA]],"0000000000")</f>
        <v>0802110000</v>
      </c>
      <c r="C602" s="16" t="s">
        <v>786</v>
      </c>
      <c r="D602" s="16" t="s">
        <v>787</v>
      </c>
      <c r="E602" s="16" t="s">
        <v>788</v>
      </c>
      <c r="F602" s="27" t="s">
        <v>9870</v>
      </c>
      <c r="G602" s="27"/>
      <c r="H602" s="16" t="str">
        <f>IF(ISBLANK(PARTIDAS!$G602),PARTIDAS!$F602,CONCATENATE(PARTIDAS!$F602," (",PARTIDAS!$G602,")"))</f>
        <v>Almendras, con cáscara</v>
      </c>
      <c r="I602" s="16" t="s">
        <v>9427</v>
      </c>
    </row>
    <row r="603" spans="1:9" x14ac:dyDescent="0.25">
      <c r="A603" s="16" t="s">
        <v>1456</v>
      </c>
      <c r="B603" s="16" t="str">
        <f>TEXT(PARTIDA[[#This Row],[PARTIDA]],"0000000000")</f>
        <v>0802121000</v>
      </c>
      <c r="C603" s="16" t="s">
        <v>815</v>
      </c>
      <c r="D603" s="16" t="s">
        <v>825</v>
      </c>
      <c r="E603" s="16" t="s">
        <v>9454</v>
      </c>
      <c r="F603" s="27" t="s">
        <v>9871</v>
      </c>
      <c r="G603" s="27"/>
      <c r="H603" s="16" t="str">
        <f>IF(ISBLANK(PARTIDAS!$G603),PARTIDAS!$F603,CONCATENATE(PARTIDAS!$F603," (",PARTIDAS!$G603,")"))</f>
        <v>Almendras, sin cáscara, para siembra</v>
      </c>
      <c r="I603" s="16" t="s">
        <v>9427</v>
      </c>
    </row>
    <row r="604" spans="1:9" x14ac:dyDescent="0.25">
      <c r="A604" s="16" t="s">
        <v>1457</v>
      </c>
      <c r="B604" s="16" t="str">
        <f>TEXT(PARTIDA[[#This Row],[PARTIDA]],"0000000000")</f>
        <v>0802129000</v>
      </c>
      <c r="C604" s="16" t="s">
        <v>786</v>
      </c>
      <c r="D604" s="16" t="s">
        <v>787</v>
      </c>
      <c r="E604" s="16" t="s">
        <v>788</v>
      </c>
      <c r="F604" s="27" t="s">
        <v>9872</v>
      </c>
      <c r="G604" s="27"/>
      <c r="H604" s="16" t="str">
        <f>IF(ISBLANK(PARTIDAS!$G604),PARTIDAS!$F604,CONCATENATE(PARTIDAS!$F604," (",PARTIDAS!$G604,")"))</f>
        <v>Almendras, sin cáscara (los demás)</v>
      </c>
      <c r="I604" s="16" t="s">
        <v>9427</v>
      </c>
    </row>
    <row r="605" spans="1:9" x14ac:dyDescent="0.25">
      <c r="A605" s="16" t="s">
        <v>1458</v>
      </c>
      <c r="B605" s="16" t="str">
        <f>TEXT(PARTIDA[[#This Row],[PARTIDA]],"0000000000")</f>
        <v>0802210000</v>
      </c>
      <c r="C605" s="16" t="s">
        <v>786</v>
      </c>
      <c r="D605" s="16" t="s">
        <v>787</v>
      </c>
      <c r="E605" s="16" t="s">
        <v>788</v>
      </c>
      <c r="F605" s="27" t="s">
        <v>9873</v>
      </c>
      <c r="G605" s="27"/>
      <c r="H605" s="16" t="str">
        <f>IF(ISBLANK(PARTIDAS!$G605),PARTIDAS!$F605,CONCATENATE(PARTIDAS!$F605," (",PARTIDAS!$G605,")"))</f>
        <v>Avellanas (Corylus spp.), con cáscara</v>
      </c>
      <c r="I605" s="16" t="s">
        <v>9427</v>
      </c>
    </row>
    <row r="606" spans="1:9" x14ac:dyDescent="0.25">
      <c r="A606" s="16" t="s">
        <v>1459</v>
      </c>
      <c r="B606" s="16" t="str">
        <f>TEXT(PARTIDA[[#This Row],[PARTIDA]],"0000000000")</f>
        <v>0802220000</v>
      </c>
      <c r="C606" s="16" t="s">
        <v>786</v>
      </c>
      <c r="D606" s="16" t="s">
        <v>787</v>
      </c>
      <c r="E606" s="16" t="s">
        <v>788</v>
      </c>
      <c r="F606" s="27" t="s">
        <v>9874</v>
      </c>
      <c r="G606" s="27"/>
      <c r="H606" s="16" t="str">
        <f>IF(ISBLANK(PARTIDAS!$G606),PARTIDAS!$F606,CONCATENATE(PARTIDAS!$F606," (",PARTIDAS!$G606,")"))</f>
        <v>Avellanas (Corylus spp.), sin cáscara</v>
      </c>
      <c r="I606" s="16" t="s">
        <v>9427</v>
      </c>
    </row>
    <row r="607" spans="1:9" x14ac:dyDescent="0.25">
      <c r="A607" s="16" t="s">
        <v>1460</v>
      </c>
      <c r="B607" s="16" t="str">
        <f>TEXT(PARTIDA[[#This Row],[PARTIDA]],"0000000000")</f>
        <v>0802310000</v>
      </c>
      <c r="C607" s="16" t="s">
        <v>786</v>
      </c>
      <c r="D607" s="16" t="s">
        <v>787</v>
      </c>
      <c r="E607" s="16" t="s">
        <v>788</v>
      </c>
      <c r="F607" s="27" t="s">
        <v>9875</v>
      </c>
      <c r="G607" s="27"/>
      <c r="H607" s="16" t="str">
        <f>IF(ISBLANK(PARTIDAS!$G607),PARTIDAS!$F607,CONCATENATE(PARTIDAS!$F607," (",PARTIDAS!$G607,")"))</f>
        <v>Nueces de nogal, con cáscara</v>
      </c>
      <c r="I607" s="16" t="s">
        <v>9427</v>
      </c>
    </row>
    <row r="608" spans="1:9" x14ac:dyDescent="0.25">
      <c r="A608" s="16" t="s">
        <v>1461</v>
      </c>
      <c r="B608" s="16" t="str">
        <f>TEXT(PARTIDA[[#This Row],[PARTIDA]],"0000000000")</f>
        <v>0802320000</v>
      </c>
      <c r="C608" s="16" t="s">
        <v>786</v>
      </c>
      <c r="D608" s="16" t="s">
        <v>787</v>
      </c>
      <c r="E608" s="16" t="s">
        <v>788</v>
      </c>
      <c r="F608" s="27" t="s">
        <v>9876</v>
      </c>
      <c r="G608" s="27"/>
      <c r="H608" s="16" t="str">
        <f>IF(ISBLANK(PARTIDAS!$G608),PARTIDAS!$F608,CONCATENATE(PARTIDAS!$F608," (",PARTIDAS!$G608,")"))</f>
        <v>Nueces de nogal, sin cáscara</v>
      </c>
      <c r="I608" s="16" t="s">
        <v>9427</v>
      </c>
    </row>
    <row r="609" spans="1:9" x14ac:dyDescent="0.25">
      <c r="A609" s="16" t="s">
        <v>1462</v>
      </c>
      <c r="B609" s="16" t="str">
        <f>TEXT(PARTIDA[[#This Row],[PARTIDA]],"0000000000")</f>
        <v>0802410000</v>
      </c>
      <c r="C609" s="16" t="s">
        <v>786</v>
      </c>
      <c r="D609" s="16" t="s">
        <v>787</v>
      </c>
      <c r="E609" s="16" t="s">
        <v>788</v>
      </c>
      <c r="F609" s="27" t="s">
        <v>9877</v>
      </c>
      <c r="G609" s="27"/>
      <c r="H609" s="16" t="str">
        <f>IF(ISBLANK(PARTIDAS!$G609),PARTIDAS!$F609,CONCATENATE(PARTIDAS!$F609," (",PARTIDAS!$G609,")"))</f>
        <v>Castañas (Castanea spp.), con cáscara</v>
      </c>
      <c r="I609" s="16" t="s">
        <v>9427</v>
      </c>
    </row>
    <row r="610" spans="1:9" x14ac:dyDescent="0.25">
      <c r="A610" s="16" t="s">
        <v>1463</v>
      </c>
      <c r="B610" s="16" t="str">
        <f>TEXT(PARTIDA[[#This Row],[PARTIDA]],"0000000000")</f>
        <v>0802420000</v>
      </c>
      <c r="C610" s="16" t="s">
        <v>786</v>
      </c>
      <c r="D610" s="16" t="s">
        <v>787</v>
      </c>
      <c r="E610" s="16" t="s">
        <v>788</v>
      </c>
      <c r="F610" s="27" t="s">
        <v>9878</v>
      </c>
      <c r="G610" s="27"/>
      <c r="H610" s="16" t="str">
        <f>IF(ISBLANK(PARTIDAS!$G610),PARTIDAS!$F610,CONCATENATE(PARTIDAS!$F610," (",PARTIDAS!$G610,")"))</f>
        <v>Castañas (Castanea spp.), sin cáscara</v>
      </c>
      <c r="I610" s="16" t="s">
        <v>9427</v>
      </c>
    </row>
    <row r="611" spans="1:9" x14ac:dyDescent="0.25">
      <c r="A611" s="16" t="s">
        <v>1464</v>
      </c>
      <c r="B611" s="16" t="str">
        <f>TEXT(PARTIDA[[#This Row],[PARTIDA]],"0000000000")</f>
        <v>0802510000</v>
      </c>
      <c r="C611" s="16" t="s">
        <v>786</v>
      </c>
      <c r="D611" s="16" t="s">
        <v>787</v>
      </c>
      <c r="E611" s="16" t="s">
        <v>788</v>
      </c>
      <c r="F611" s="27" t="s">
        <v>9879</v>
      </c>
      <c r="G611" s="27"/>
      <c r="H611" s="16" t="str">
        <f>IF(ISBLANK(PARTIDAS!$G611),PARTIDAS!$F611,CONCATENATE(PARTIDAS!$F611," (",PARTIDAS!$G611,")"))</f>
        <v>Pistachos, con cáscara</v>
      </c>
      <c r="I611" s="16" t="s">
        <v>9427</v>
      </c>
    </row>
    <row r="612" spans="1:9" x14ac:dyDescent="0.25">
      <c r="A612" s="16" t="s">
        <v>1465</v>
      </c>
      <c r="B612" s="16" t="str">
        <f>TEXT(PARTIDA[[#This Row],[PARTIDA]],"0000000000")</f>
        <v>0802520000</v>
      </c>
      <c r="C612" s="16" t="s">
        <v>786</v>
      </c>
      <c r="D612" s="16" t="s">
        <v>787</v>
      </c>
      <c r="E612" s="16" t="s">
        <v>788</v>
      </c>
      <c r="F612" s="27" t="s">
        <v>9880</v>
      </c>
      <c r="G612" s="27"/>
      <c r="H612" s="16" t="str">
        <f>IF(ISBLANK(PARTIDAS!$G612),PARTIDAS!$F612,CONCATENATE(PARTIDAS!$F612," (",PARTIDAS!$G612,")"))</f>
        <v>Pistachos, sin cáscara</v>
      </c>
      <c r="I612" s="16" t="s">
        <v>9427</v>
      </c>
    </row>
    <row r="613" spans="1:9" x14ac:dyDescent="0.25">
      <c r="A613" s="16" t="s">
        <v>1466</v>
      </c>
      <c r="B613" s="16" t="str">
        <f>TEXT(PARTIDA[[#This Row],[PARTIDA]],"0000000000")</f>
        <v>0802610000</v>
      </c>
      <c r="C613" s="16" t="s">
        <v>786</v>
      </c>
      <c r="D613" s="16" t="s">
        <v>787</v>
      </c>
      <c r="E613" s="16" t="s">
        <v>788</v>
      </c>
      <c r="F613" s="27" t="s">
        <v>9881</v>
      </c>
      <c r="G613" s="27"/>
      <c r="H613" s="16" t="str">
        <f>IF(ISBLANK(PARTIDAS!$G613),PARTIDAS!$F613,CONCATENATE(PARTIDAS!$F613," (",PARTIDAS!$G613,")"))</f>
        <v>Nueces de macadamia, con cáscara</v>
      </c>
      <c r="I613" s="16" t="s">
        <v>9427</v>
      </c>
    </row>
    <row r="614" spans="1:9" x14ac:dyDescent="0.25">
      <c r="A614" s="16" t="s">
        <v>1467</v>
      </c>
      <c r="B614" s="16" t="str">
        <f>TEXT(PARTIDA[[#This Row],[PARTIDA]],"0000000000")</f>
        <v>0802620000</v>
      </c>
      <c r="C614" s="16" t="s">
        <v>786</v>
      </c>
      <c r="D614" s="16" t="s">
        <v>787</v>
      </c>
      <c r="E614" s="16" t="s">
        <v>788</v>
      </c>
      <c r="F614" s="27" t="s">
        <v>9882</v>
      </c>
      <c r="G614" s="27"/>
      <c r="H614" s="16" t="str">
        <f>IF(ISBLANK(PARTIDAS!$G614),PARTIDAS!$F614,CONCATENATE(PARTIDAS!$F614," (",PARTIDAS!$G614,")"))</f>
        <v>Nueces de macadamia, sin cáscara</v>
      </c>
      <c r="I614" s="16" t="s">
        <v>9427</v>
      </c>
    </row>
    <row r="615" spans="1:9" x14ac:dyDescent="0.25">
      <c r="A615" s="16" t="s">
        <v>1468</v>
      </c>
      <c r="B615" s="16" t="str">
        <f>TEXT(PARTIDA[[#This Row],[PARTIDA]],"0000000000")</f>
        <v>0802700000</v>
      </c>
      <c r="C615" s="16" t="s">
        <v>786</v>
      </c>
      <c r="D615" s="16" t="s">
        <v>787</v>
      </c>
      <c r="E615" s="16" t="s">
        <v>788</v>
      </c>
      <c r="F615" s="27" t="s">
        <v>9883</v>
      </c>
      <c r="G615" s="27"/>
      <c r="H615" s="16" t="str">
        <f>IF(ISBLANK(PARTIDAS!$G615),PARTIDAS!$F615,CONCATENATE(PARTIDAS!$F615," (",PARTIDAS!$G615,")"))</f>
        <v>Nueces de cola (Cola spp.)</v>
      </c>
      <c r="I615" s="16" t="s">
        <v>9427</v>
      </c>
    </row>
    <row r="616" spans="1:9" x14ac:dyDescent="0.25">
      <c r="A616" s="16" t="s">
        <v>1469</v>
      </c>
      <c r="B616" s="16" t="str">
        <f>TEXT(PARTIDA[[#This Row],[PARTIDA]],"0000000000")</f>
        <v>0802800000</v>
      </c>
      <c r="C616" s="16" t="s">
        <v>786</v>
      </c>
      <c r="D616" s="16" t="s">
        <v>787</v>
      </c>
      <c r="E616" s="16" t="s">
        <v>788</v>
      </c>
      <c r="F616" s="27" t="s">
        <v>9884</v>
      </c>
      <c r="G616" s="27"/>
      <c r="H616" s="16" t="str">
        <f>IF(ISBLANK(PARTIDAS!$G616),PARTIDAS!$F616,CONCATENATE(PARTIDAS!$F616," (",PARTIDAS!$G616,")"))</f>
        <v>Nueces de areca</v>
      </c>
      <c r="I616" s="16" t="s">
        <v>9427</v>
      </c>
    </row>
    <row r="617" spans="1:9" x14ac:dyDescent="0.25">
      <c r="A617" s="16" t="s">
        <v>1470</v>
      </c>
      <c r="B617" s="16" t="str">
        <f>TEXT(PARTIDA[[#This Row],[PARTIDA]],"0000000000")</f>
        <v>0802900000</v>
      </c>
      <c r="C617" s="16" t="s">
        <v>786</v>
      </c>
      <c r="D617" s="16" t="s">
        <v>787</v>
      </c>
      <c r="E617" s="16" t="s">
        <v>788</v>
      </c>
      <c r="F617" s="27" t="s">
        <v>1471</v>
      </c>
      <c r="G617" s="27" t="s">
        <v>1472</v>
      </c>
      <c r="H617" s="16" t="str">
        <f>IF(ISBLANK(PARTIDAS!$G617),PARTIDAS!$F617,CONCATENATE(PARTIDAS!$F617," (",PARTIDAS!$G617,")"))</f>
        <v>Sacha inchi tostado (Verificar)</v>
      </c>
      <c r="I617" s="16" t="s">
        <v>9648</v>
      </c>
    </row>
    <row r="618" spans="1:9" x14ac:dyDescent="0.25">
      <c r="A618" s="16" t="s">
        <v>9885</v>
      </c>
      <c r="B618" s="16" t="str">
        <f>TEXT(PARTIDA[[#This Row],[PARTIDA]],"0000000000")</f>
        <v>0802910000</v>
      </c>
      <c r="C618" s="16" t="s">
        <v>786</v>
      </c>
      <c r="D618" s="16" t="s">
        <v>787</v>
      </c>
      <c r="E618" s="16" t="s">
        <v>788</v>
      </c>
      <c r="F618" s="27" t="s">
        <v>9886</v>
      </c>
      <c r="G618" s="27"/>
      <c r="H618" s="16" t="str">
        <f>IF(ISBLANK(PARTIDAS!$G618),PARTIDAS!$F618,CONCATENATE(PARTIDAS!$F618," (",PARTIDAS!$G618,")"))</f>
        <v>Piñones con cáscara</v>
      </c>
      <c r="I618" s="16" t="s">
        <v>9427</v>
      </c>
    </row>
    <row r="619" spans="1:9" x14ac:dyDescent="0.25">
      <c r="A619" s="16" t="s">
        <v>9887</v>
      </c>
      <c r="B619" s="16" t="str">
        <f>TEXT(PARTIDA[[#This Row],[PARTIDA]],"0000000000")</f>
        <v>0802920000</v>
      </c>
      <c r="C619" s="16" t="s">
        <v>786</v>
      </c>
      <c r="D619" s="16" t="s">
        <v>787</v>
      </c>
      <c r="E619" s="16" t="s">
        <v>788</v>
      </c>
      <c r="F619" s="27" t="s">
        <v>9888</v>
      </c>
      <c r="G619" s="27"/>
      <c r="H619" s="16" t="str">
        <f>IF(ISBLANK(PARTIDAS!$G619),PARTIDAS!$F619,CONCATENATE(PARTIDAS!$F619," (",PARTIDAS!$G619,")"))</f>
        <v>Piñones sin cáscara</v>
      </c>
      <c r="I619" s="16" t="s">
        <v>9427</v>
      </c>
    </row>
    <row r="620" spans="1:9" x14ac:dyDescent="0.25">
      <c r="A620" s="16" t="s">
        <v>9889</v>
      </c>
      <c r="B620" s="16" t="str">
        <f>TEXT(PARTIDA[[#This Row],[PARTIDA]],"0000000000")</f>
        <v>0802990000</v>
      </c>
      <c r="C620" s="16" t="s">
        <v>786</v>
      </c>
      <c r="D620" s="16" t="s">
        <v>787</v>
      </c>
      <c r="E620" s="16" t="s">
        <v>788</v>
      </c>
      <c r="F620" s="27" t="s">
        <v>9890</v>
      </c>
      <c r="G620" s="27"/>
      <c r="H620" s="16" t="str">
        <f>IF(ISBLANK(PARTIDAS!$G620),PARTIDAS!$F620,CONCATENATE(PARTIDAS!$F620," (",PARTIDAS!$G620,")"))</f>
        <v>Frutas y frutos comestibles (los demás)</v>
      </c>
      <c r="I620" s="16" t="s">
        <v>9427</v>
      </c>
    </row>
    <row r="621" spans="1:9" x14ac:dyDescent="0.25">
      <c r="A621" s="16" t="s">
        <v>1473</v>
      </c>
      <c r="B621" s="16" t="str">
        <f>TEXT(PARTIDA[[#This Row],[PARTIDA]],"0000000000")</f>
        <v>0803101000</v>
      </c>
      <c r="C621" s="16" t="s">
        <v>786</v>
      </c>
      <c r="D621" s="16" t="s">
        <v>787</v>
      </c>
      <c r="E621" s="16" t="s">
        <v>788</v>
      </c>
      <c r="F621" s="27" t="s">
        <v>1474</v>
      </c>
      <c r="G621" s="27"/>
      <c r="H621" s="16" t="str">
        <f>IF(ISBLANK(PARTIDAS!$G621),PARTIDAS!$F621,CONCATENATE(PARTIDAS!$F621," (",PARTIDAS!$G621,")"))</f>
        <v>Bananas</v>
      </c>
      <c r="I621" s="16" t="s">
        <v>9427</v>
      </c>
    </row>
    <row r="622" spans="1:9" x14ac:dyDescent="0.25">
      <c r="A622" s="16" t="s">
        <v>1475</v>
      </c>
      <c r="B622" s="16" t="str">
        <f>TEXT(PARTIDA[[#This Row],[PARTIDA]],"0000000000")</f>
        <v>0803102000</v>
      </c>
      <c r="C622" s="16" t="s">
        <v>786</v>
      </c>
      <c r="D622" s="16" t="s">
        <v>787</v>
      </c>
      <c r="E622" s="16" t="s">
        <v>788</v>
      </c>
      <c r="F622" s="27" t="s">
        <v>1476</v>
      </c>
      <c r="G622" s="27"/>
      <c r="H622" s="16" t="str">
        <f>IF(ISBLANK(PARTIDAS!$G622),PARTIDAS!$F622,CONCATENATE(PARTIDAS!$F622," (",PARTIDAS!$G622,")"))</f>
        <v>Bananas secas</v>
      </c>
      <c r="I622" s="16" t="s">
        <v>9427</v>
      </c>
    </row>
    <row r="623" spans="1:9" x14ac:dyDescent="0.25">
      <c r="A623" s="16" t="s">
        <v>1477</v>
      </c>
      <c r="B623" s="16" t="str">
        <f>TEXT(PARTIDA[[#This Row],[PARTIDA]],"0000000000")</f>
        <v>0803901100</v>
      </c>
      <c r="C623" s="16" t="s">
        <v>786</v>
      </c>
      <c r="D623" s="16" t="s">
        <v>787</v>
      </c>
      <c r="E623" s="16" t="s">
        <v>788</v>
      </c>
      <c r="F623" s="27" t="s">
        <v>1478</v>
      </c>
      <c r="G623" s="27"/>
      <c r="H623" s="16" t="str">
        <f>IF(ISBLANK(PARTIDAS!$G623),PARTIDAS!$F623,CONCATENATE(PARTIDAS!$F623," (",PARTIDAS!$G623,")"))</f>
        <v>Banana cavendish valery</v>
      </c>
      <c r="I623" s="16" t="s">
        <v>9427</v>
      </c>
    </row>
    <row r="624" spans="1:9" x14ac:dyDescent="0.25">
      <c r="A624" s="16" t="s">
        <v>1479</v>
      </c>
      <c r="B624" s="16" t="str">
        <f>TEXT(PARTIDA[[#This Row],[PARTIDA]],"0000000000")</f>
        <v>0803901200</v>
      </c>
      <c r="C624" s="16" t="s">
        <v>786</v>
      </c>
      <c r="D624" s="16" t="s">
        <v>787</v>
      </c>
      <c r="E624" s="16" t="s">
        <v>788</v>
      </c>
      <c r="F624" s="27" t="s">
        <v>9891</v>
      </c>
      <c r="G624" s="27"/>
      <c r="H624" s="16" t="str">
        <f>IF(ISBLANK(PARTIDAS!$G624),PARTIDAS!$F624,CONCATENATE(PARTIDAS!$F624," (",PARTIDAS!$G624,")"))</f>
        <v>Bocadillo (manzanito, orito) (Musa acuminata)</v>
      </c>
      <c r="I624" s="16" t="s">
        <v>9427</v>
      </c>
    </row>
    <row r="625" spans="1:9" x14ac:dyDescent="0.25">
      <c r="A625" s="16" t="s">
        <v>1480</v>
      </c>
      <c r="B625" s="16" t="str">
        <f>TEXT(PARTIDA[[#This Row],[PARTIDA]],"0000000000")</f>
        <v>0803901900</v>
      </c>
      <c r="C625" s="16" t="s">
        <v>786</v>
      </c>
      <c r="D625" s="16" t="s">
        <v>787</v>
      </c>
      <c r="E625" s="16" t="s">
        <v>788</v>
      </c>
      <c r="F625" s="27" t="s">
        <v>1481</v>
      </c>
      <c r="G625" s="27" t="s">
        <v>1472</v>
      </c>
      <c r="H625" s="16" t="str">
        <f>IF(ISBLANK(PARTIDAS!$G625),PARTIDAS!$F625,CONCATENATE(PARTIDAS!$F625," (",PARTIDAS!$G625,")"))</f>
        <v>Bananitos (Verificar)</v>
      </c>
      <c r="I625" s="16" t="s">
        <v>9427</v>
      </c>
    </row>
    <row r="626" spans="1:9" x14ac:dyDescent="0.25">
      <c r="A626" s="16" t="s">
        <v>1482</v>
      </c>
      <c r="B626" s="16" t="str">
        <f>TEXT(PARTIDA[[#This Row],[PARTIDA]],"0000000000")</f>
        <v>0803902000</v>
      </c>
      <c r="C626" s="16" t="s">
        <v>786</v>
      </c>
      <c r="D626" s="16" t="s">
        <v>787</v>
      </c>
      <c r="E626" s="16" t="s">
        <v>788</v>
      </c>
      <c r="F626" s="27" t="s">
        <v>1476</v>
      </c>
      <c r="G626" s="27"/>
      <c r="H626" s="16" t="str">
        <f>IF(ISBLANK(PARTIDAS!$G626),PARTIDAS!$F626,CONCATENATE(PARTIDAS!$F626," (",PARTIDAS!$G626,")"))</f>
        <v>Bananas secas</v>
      </c>
      <c r="I626" s="16" t="s">
        <v>9427</v>
      </c>
    </row>
    <row r="627" spans="1:9" x14ac:dyDescent="0.25">
      <c r="A627" s="16" t="s">
        <v>1483</v>
      </c>
      <c r="B627" s="16" t="str">
        <f>TEXT(PARTIDA[[#This Row],[PARTIDA]],"0000000000")</f>
        <v>0804100000</v>
      </c>
      <c r="C627" s="16" t="s">
        <v>786</v>
      </c>
      <c r="D627" s="16" t="s">
        <v>787</v>
      </c>
      <c r="E627" s="16" t="s">
        <v>788</v>
      </c>
      <c r="F627" s="27" t="s">
        <v>9892</v>
      </c>
      <c r="G627" s="27"/>
      <c r="H627" s="16" t="str">
        <f>IF(ISBLANK(PARTIDAS!$G627),PARTIDAS!$F627,CONCATENATE(PARTIDAS!$F627," (",PARTIDAS!$G627,")"))</f>
        <v>Dátiles</v>
      </c>
      <c r="I627" s="16" t="s">
        <v>9427</v>
      </c>
    </row>
    <row r="628" spans="1:9" x14ac:dyDescent="0.25">
      <c r="A628" s="16" t="s">
        <v>1484</v>
      </c>
      <c r="B628" s="16" t="str">
        <f>TEXT(PARTIDA[[#This Row],[PARTIDA]],"0000000000")</f>
        <v>0804200000</v>
      </c>
      <c r="C628" s="16" t="s">
        <v>786</v>
      </c>
      <c r="D628" s="16" t="s">
        <v>787</v>
      </c>
      <c r="E628" s="16" t="s">
        <v>788</v>
      </c>
      <c r="F628" s="27" t="s">
        <v>9893</v>
      </c>
      <c r="G628" s="27"/>
      <c r="H628" s="16" t="str">
        <f>IF(ISBLANK(PARTIDAS!$G628),PARTIDAS!$F628,CONCATENATE(PARTIDAS!$F628," (",PARTIDAS!$G628,")"))</f>
        <v>Higos</v>
      </c>
      <c r="I628" s="16" t="s">
        <v>9427</v>
      </c>
    </row>
    <row r="629" spans="1:9" x14ac:dyDescent="0.25">
      <c r="A629" s="16" t="s">
        <v>1485</v>
      </c>
      <c r="B629" s="16" t="str">
        <f>TEXT(PARTIDA[[#This Row],[PARTIDA]],"0000000000")</f>
        <v>0804300000</v>
      </c>
      <c r="C629" s="16" t="s">
        <v>786</v>
      </c>
      <c r="D629" s="16" t="s">
        <v>787</v>
      </c>
      <c r="E629" s="16" t="s">
        <v>788</v>
      </c>
      <c r="F629" s="27" t="s">
        <v>1486</v>
      </c>
      <c r="G629" s="27"/>
      <c r="H629" s="16" t="str">
        <f>IF(ISBLANK(PARTIDAS!$G629),PARTIDAS!$F629,CONCATENATE(PARTIDAS!$F629," (",PARTIDAS!$G629,")"))</f>
        <v>Piñas</v>
      </c>
      <c r="I629" s="16" t="s">
        <v>9427</v>
      </c>
    </row>
    <row r="630" spans="1:9" x14ac:dyDescent="0.25">
      <c r="A630" s="16" t="s">
        <v>1487</v>
      </c>
      <c r="B630" s="16" t="str">
        <f>TEXT(PARTIDA[[#This Row],[PARTIDA]],"0000000000")</f>
        <v>0804400000</v>
      </c>
      <c r="C630" s="16" t="s">
        <v>786</v>
      </c>
      <c r="D630" s="16" t="s">
        <v>787</v>
      </c>
      <c r="E630" s="16" t="s">
        <v>788</v>
      </c>
      <c r="F630" s="27" t="s">
        <v>1488</v>
      </c>
      <c r="G630" s="27"/>
      <c r="H630" s="16" t="str">
        <f>IF(ISBLANK(PARTIDAS!$G630),PARTIDAS!$F630,CONCATENATE(PARTIDAS!$F630," (",PARTIDAS!$G630,")"))</f>
        <v>Aguacates (paltas)</v>
      </c>
      <c r="I630" s="16" t="s">
        <v>9427</v>
      </c>
    </row>
    <row r="631" spans="1:9" x14ac:dyDescent="0.25">
      <c r="A631" s="16" t="s">
        <v>1489</v>
      </c>
      <c r="B631" s="16" t="str">
        <f>TEXT(PARTIDA[[#This Row],[PARTIDA]],"0000000000")</f>
        <v>0804501000</v>
      </c>
      <c r="C631" s="16" t="s">
        <v>786</v>
      </c>
      <c r="D631" s="16" t="s">
        <v>787</v>
      </c>
      <c r="E631" s="16" t="s">
        <v>788</v>
      </c>
      <c r="F631" s="27" t="s">
        <v>9894</v>
      </c>
      <c r="G631" s="27"/>
      <c r="H631" s="16" t="str">
        <f>IF(ISBLANK(PARTIDAS!$G631),PARTIDAS!$F631,CONCATENATE(PARTIDAS!$F631," (",PARTIDAS!$G631,")"))</f>
        <v>Guayabas, mangos y mangostanes, guayabas</v>
      </c>
      <c r="I631" s="16" t="s">
        <v>9427</v>
      </c>
    </row>
    <row r="632" spans="1:9" x14ac:dyDescent="0.25">
      <c r="A632" s="16" t="s">
        <v>1490</v>
      </c>
      <c r="B632" s="16" t="str">
        <f>TEXT(PARTIDA[[#This Row],[PARTIDA]],"0000000000")</f>
        <v>0804502000</v>
      </c>
      <c r="C632" s="16" t="s">
        <v>786</v>
      </c>
      <c r="D632" s="16" t="s">
        <v>787</v>
      </c>
      <c r="E632" s="16" t="s">
        <v>788</v>
      </c>
      <c r="F632" s="27" t="s">
        <v>1491</v>
      </c>
      <c r="G632" s="27"/>
      <c r="H632" s="16" t="str">
        <f>IF(ISBLANK(PARTIDAS!$G632),PARTIDAS!$F632,CONCATENATE(PARTIDAS!$F632," (",PARTIDAS!$G632,")"))</f>
        <v>Mangos</v>
      </c>
      <c r="I632" s="16" t="s">
        <v>9427</v>
      </c>
    </row>
    <row r="633" spans="1:9" x14ac:dyDescent="0.25">
      <c r="A633" s="16" t="s">
        <v>1492</v>
      </c>
      <c r="B633" s="16" t="str">
        <f>TEXT(PARTIDA[[#This Row],[PARTIDA]],"0000000000")</f>
        <v>0805100000</v>
      </c>
      <c r="C633" s="16" t="s">
        <v>786</v>
      </c>
      <c r="D633" s="16" t="s">
        <v>787</v>
      </c>
      <c r="E633" s="16" t="s">
        <v>788</v>
      </c>
      <c r="F633" s="27" t="s">
        <v>1493</v>
      </c>
      <c r="G633" s="27"/>
      <c r="H633" s="16" t="str">
        <f>IF(ISBLANK(PARTIDAS!$G633),PARTIDAS!$F633,CONCATENATE(PARTIDAS!$F633," (",PARTIDAS!$G633,")"))</f>
        <v>Naranjas</v>
      </c>
      <c r="I633" s="16" t="s">
        <v>9427</v>
      </c>
    </row>
    <row r="634" spans="1:9" x14ac:dyDescent="0.25">
      <c r="A634" s="16" t="s">
        <v>1494</v>
      </c>
      <c r="B634" s="16" t="str">
        <f>TEXT(PARTIDA[[#This Row],[PARTIDA]],"0000000000")</f>
        <v>0805210000</v>
      </c>
      <c r="C634" s="16" t="s">
        <v>786</v>
      </c>
      <c r="D634" s="16" t="s">
        <v>787</v>
      </c>
      <c r="E634" s="16" t="s">
        <v>788</v>
      </c>
      <c r="F634" s="27" t="s">
        <v>9895</v>
      </c>
      <c r="G634" s="27"/>
      <c r="H634" s="16" t="str">
        <f>IF(ISBLANK(PARTIDAS!$G634),PARTIDAS!$F634,CONCATENATE(PARTIDAS!$F634," (",PARTIDAS!$G634,")"))</f>
        <v>Mandarinas (incluidas las tangerinas y satsumas)</v>
      </c>
      <c r="I634" s="16" t="s">
        <v>9427</v>
      </c>
    </row>
    <row r="635" spans="1:9" x14ac:dyDescent="0.25">
      <c r="A635" s="16" t="s">
        <v>1495</v>
      </c>
      <c r="B635" s="16" t="str">
        <f>TEXT(PARTIDA[[#This Row],[PARTIDA]],"0000000000")</f>
        <v>0805220000</v>
      </c>
      <c r="C635" s="16" t="s">
        <v>786</v>
      </c>
      <c r="D635" s="16" t="s">
        <v>787</v>
      </c>
      <c r="E635" s="16" t="s">
        <v>788</v>
      </c>
      <c r="F635" s="27" t="s">
        <v>9896</v>
      </c>
      <c r="G635" s="27"/>
      <c r="H635" s="16" t="str">
        <f>IF(ISBLANK(PARTIDAS!$G635),PARTIDAS!$F635,CONCATENATE(PARTIDAS!$F635," (",PARTIDAS!$G635,")"))</f>
        <v>Mandarinas (incluidas las tangerinas y satsumas), clementinas</v>
      </c>
      <c r="I635" s="16" t="s">
        <v>9427</v>
      </c>
    </row>
    <row r="636" spans="1:9" x14ac:dyDescent="0.25">
      <c r="A636" s="16" t="s">
        <v>1496</v>
      </c>
      <c r="B636" s="16" t="str">
        <f>TEXT(PARTIDA[[#This Row],[PARTIDA]],"0000000000")</f>
        <v>0805291000</v>
      </c>
      <c r="C636" s="16" t="s">
        <v>786</v>
      </c>
      <c r="D636" s="16" t="s">
        <v>787</v>
      </c>
      <c r="E636" s="16" t="s">
        <v>788</v>
      </c>
      <c r="F636" s="27" t="s">
        <v>9897</v>
      </c>
      <c r="G636" s="27"/>
      <c r="H636" s="16" t="str">
        <f>IF(ISBLANK(PARTIDAS!$G636),PARTIDAS!$F636,CONCATENATE(PARTIDAS!$F636," (",PARTIDAS!$G636,")"))</f>
        <v>Tangelo (Citrus reticulata x Citrus paradisis)</v>
      </c>
      <c r="I636" s="16" t="s">
        <v>9427</v>
      </c>
    </row>
    <row r="637" spans="1:9" x14ac:dyDescent="0.25">
      <c r="A637" s="16" t="s">
        <v>1497</v>
      </c>
      <c r="B637" s="16" t="str">
        <f>TEXT(PARTIDA[[#This Row],[PARTIDA]],"0000000000")</f>
        <v>0805299000</v>
      </c>
      <c r="C637" s="16" t="s">
        <v>786</v>
      </c>
      <c r="D637" s="16" t="s">
        <v>787</v>
      </c>
      <c r="E637" s="16" t="s">
        <v>788</v>
      </c>
      <c r="F637" s="27" t="s">
        <v>1498</v>
      </c>
      <c r="G637" s="27" t="s">
        <v>852</v>
      </c>
      <c r="H637" s="16" t="str">
        <f>IF(ISBLANK(PARTIDAS!$G637),PARTIDAS!$F637,CONCATENATE(PARTIDAS!$F637," (",PARTIDAS!$G637,")"))</f>
        <v>Cítricos (Especificar)</v>
      </c>
      <c r="I637" s="16" t="s">
        <v>9427</v>
      </c>
    </row>
    <row r="638" spans="1:9" x14ac:dyDescent="0.25">
      <c r="A638" s="16" t="s">
        <v>1499</v>
      </c>
      <c r="B638" s="16" t="str">
        <f>TEXT(PARTIDA[[#This Row],[PARTIDA]],"0000000000")</f>
        <v>0805400000</v>
      </c>
      <c r="C638" s="16" t="s">
        <v>786</v>
      </c>
      <c r="D638" s="16" t="s">
        <v>787</v>
      </c>
      <c r="E638" s="16" t="s">
        <v>788</v>
      </c>
      <c r="F638" s="27" t="s">
        <v>9898</v>
      </c>
      <c r="G638" s="27"/>
      <c r="H638" s="16" t="str">
        <f>IF(ISBLANK(PARTIDAS!$G638),PARTIDAS!$F638,CONCATENATE(PARTIDAS!$F638," (",PARTIDAS!$G638,")"))</f>
        <v>Toronjas y pomelos</v>
      </c>
      <c r="I638" s="16" t="s">
        <v>9427</v>
      </c>
    </row>
    <row r="639" spans="1:9" x14ac:dyDescent="0.25">
      <c r="A639" s="16" t="s">
        <v>1500</v>
      </c>
      <c r="B639" s="16" t="str">
        <f>TEXT(PARTIDA[[#This Row],[PARTIDA]],"0000000000")</f>
        <v>0805501000</v>
      </c>
      <c r="C639" s="16" t="s">
        <v>786</v>
      </c>
      <c r="D639" s="16" t="s">
        <v>787</v>
      </c>
      <c r="E639" s="16" t="s">
        <v>788</v>
      </c>
      <c r="F639" s="27" t="s">
        <v>9899</v>
      </c>
      <c r="G639" s="27"/>
      <c r="H639" s="16" t="str">
        <f>IF(ISBLANK(PARTIDAS!$G639),PARTIDAS!$F639,CONCATENATE(PARTIDAS!$F639," (",PARTIDAS!$G639,")"))</f>
        <v>Limones (Citrus limon, Citrus limonum)</v>
      </c>
      <c r="I639" s="16" t="s">
        <v>9427</v>
      </c>
    </row>
    <row r="640" spans="1:9" x14ac:dyDescent="0.25">
      <c r="A640" s="16" t="s">
        <v>1501</v>
      </c>
      <c r="B640" s="16" t="str">
        <f>TEXT(PARTIDA[[#This Row],[PARTIDA]],"0000000000")</f>
        <v>0805502100</v>
      </c>
      <c r="C640" s="16" t="s">
        <v>786</v>
      </c>
      <c r="D640" s="16" t="s">
        <v>787</v>
      </c>
      <c r="E640" s="16" t="s">
        <v>788</v>
      </c>
      <c r="F640" s="27" t="s">
        <v>9900</v>
      </c>
      <c r="G640" s="27"/>
      <c r="H640" s="16" t="str">
        <f>IF(ISBLANK(PARTIDAS!$G640),PARTIDAS!$F640,CONCATENATE(PARTIDAS!$F640," (",PARTIDAS!$G640,")"))</f>
        <v>Limón (limón sutil, limón común, limón criollo) (Citrus aurantifolia)</v>
      </c>
      <c r="I640" s="16" t="s">
        <v>9427</v>
      </c>
    </row>
    <row r="641" spans="1:9" x14ac:dyDescent="0.25">
      <c r="A641" s="16" t="s">
        <v>1502</v>
      </c>
      <c r="B641" s="16" t="str">
        <f>TEXT(PARTIDA[[#This Row],[PARTIDA]],"0000000000")</f>
        <v>0805502200</v>
      </c>
      <c r="C641" s="16" t="s">
        <v>786</v>
      </c>
      <c r="D641" s="16" t="s">
        <v>787</v>
      </c>
      <c r="E641" s="16" t="s">
        <v>788</v>
      </c>
      <c r="F641" s="27" t="s">
        <v>1503</v>
      </c>
      <c r="G641" s="27"/>
      <c r="H641" s="16" t="str">
        <f>IF(ISBLANK(PARTIDAS!$G641),PARTIDAS!$F641,CONCATENATE(PARTIDAS!$F641," (",PARTIDAS!$G641,")"))</f>
        <v>Limón</v>
      </c>
      <c r="I641" s="16" t="s">
        <v>9427</v>
      </c>
    </row>
    <row r="642" spans="1:9" x14ac:dyDescent="0.25">
      <c r="A642" s="16" t="s">
        <v>1504</v>
      </c>
      <c r="B642" s="16" t="str">
        <f>TEXT(PARTIDA[[#This Row],[PARTIDA]],"0000000000")</f>
        <v>0805900000</v>
      </c>
      <c r="C642" s="16" t="s">
        <v>786</v>
      </c>
      <c r="D642" s="16" t="s">
        <v>787</v>
      </c>
      <c r="E642" s="16" t="s">
        <v>788</v>
      </c>
      <c r="F642" s="27" t="s">
        <v>9901</v>
      </c>
      <c r="G642" s="27"/>
      <c r="H642" s="16" t="str">
        <f>IF(ISBLANK(PARTIDAS!$G642),PARTIDAS!$F642,CONCATENATE(PARTIDAS!$F642," (",PARTIDAS!$G642,")"))</f>
        <v>Agrios (cítricos) frescos o secos (los demás)</v>
      </c>
      <c r="I642" s="16" t="s">
        <v>9427</v>
      </c>
    </row>
    <row r="643" spans="1:9" x14ac:dyDescent="0.25">
      <c r="A643" s="16" t="s">
        <v>1505</v>
      </c>
      <c r="B643" s="16" t="str">
        <f>TEXT(PARTIDA[[#This Row],[PARTIDA]],"0000000000")</f>
        <v>0806100000</v>
      </c>
      <c r="C643" s="16" t="s">
        <v>786</v>
      </c>
      <c r="D643" s="16" t="s">
        <v>787</v>
      </c>
      <c r="E643" s="16" t="s">
        <v>788</v>
      </c>
      <c r="F643" s="27" t="s">
        <v>9902</v>
      </c>
      <c r="G643" s="27"/>
      <c r="H643" s="16" t="str">
        <f>IF(ISBLANK(PARTIDAS!$G643),PARTIDAS!$F643,CONCATENATE(PARTIDAS!$F643," (",PARTIDAS!$G643,")"))</f>
        <v>Uvas, frescas o secas, incluidas las pasas, frescas</v>
      </c>
      <c r="I643" s="16" t="s">
        <v>9427</v>
      </c>
    </row>
    <row r="644" spans="1:9" x14ac:dyDescent="0.25">
      <c r="A644" s="16" t="s">
        <v>1506</v>
      </c>
      <c r="B644" s="16" t="str">
        <f>TEXT(PARTIDA[[#This Row],[PARTIDA]],"0000000000")</f>
        <v>0806200000</v>
      </c>
      <c r="C644" s="16" t="s">
        <v>786</v>
      </c>
      <c r="D644" s="16" t="s">
        <v>787</v>
      </c>
      <c r="E644" s="16" t="s">
        <v>788</v>
      </c>
      <c r="F644" s="27" t="s">
        <v>9903</v>
      </c>
      <c r="G644" s="27"/>
      <c r="H644" s="16" t="str">
        <f>IF(ISBLANK(PARTIDAS!$G644),PARTIDAS!$F644,CONCATENATE(PARTIDAS!$F644," (",PARTIDAS!$G644,")"))</f>
        <v>Uvas, frescas o secas, incluidas las pasas, secas, incluidas las pasas</v>
      </c>
      <c r="I644" s="16" t="s">
        <v>9427</v>
      </c>
    </row>
    <row r="645" spans="1:9" x14ac:dyDescent="0.25">
      <c r="A645" s="16" t="s">
        <v>1507</v>
      </c>
      <c r="B645" s="16" t="str">
        <f>TEXT(PARTIDA[[#This Row],[PARTIDA]],"0000000000")</f>
        <v>0807110000</v>
      </c>
      <c r="C645" s="16" t="s">
        <v>786</v>
      </c>
      <c r="D645" s="16" t="s">
        <v>787</v>
      </c>
      <c r="E645" s="16" t="s">
        <v>788</v>
      </c>
      <c r="F645" s="27" t="s">
        <v>9904</v>
      </c>
      <c r="G645" s="27"/>
      <c r="H645" s="16" t="str">
        <f>IF(ISBLANK(PARTIDAS!$G645),PARTIDAS!$F645,CONCATENATE(PARTIDAS!$F645," (",PARTIDAS!$G645,")"))</f>
        <v>Melones y sandías, sandías</v>
      </c>
      <c r="I645" s="16" t="s">
        <v>9427</v>
      </c>
    </row>
    <row r="646" spans="1:9" x14ac:dyDescent="0.25">
      <c r="A646" s="16" t="s">
        <v>1508</v>
      </c>
      <c r="B646" s="16" t="str">
        <f>TEXT(PARTIDA[[#This Row],[PARTIDA]],"0000000000")</f>
        <v>0807190000</v>
      </c>
      <c r="C646" s="16" t="s">
        <v>786</v>
      </c>
      <c r="D646" s="16" t="s">
        <v>787</v>
      </c>
      <c r="E646" s="16" t="s">
        <v>788</v>
      </c>
      <c r="F646" s="27" t="s">
        <v>9905</v>
      </c>
      <c r="G646" s="27"/>
      <c r="H646" s="16" t="str">
        <f>IF(ISBLANK(PARTIDAS!$G646),PARTIDAS!$F646,CONCATENATE(PARTIDAS!$F646," (",PARTIDAS!$G646,")"))</f>
        <v>Melones y sandías (los demás)</v>
      </c>
      <c r="I646" s="16" t="s">
        <v>9427</v>
      </c>
    </row>
    <row r="647" spans="1:9" x14ac:dyDescent="0.25">
      <c r="A647" s="16" t="s">
        <v>1509</v>
      </c>
      <c r="B647" s="16" t="str">
        <f>TEXT(PARTIDA[[#This Row],[PARTIDA]],"0000000000")</f>
        <v>0807200000</v>
      </c>
      <c r="C647" s="16" t="s">
        <v>786</v>
      </c>
      <c r="D647" s="16" t="s">
        <v>787</v>
      </c>
      <c r="E647" s="16" t="s">
        <v>788</v>
      </c>
      <c r="F647" s="27" t="s">
        <v>9906</v>
      </c>
      <c r="G647" s="27"/>
      <c r="H647" s="16" t="str">
        <f>IF(ISBLANK(PARTIDAS!$G647),PARTIDAS!$F647,CONCATENATE(PARTIDAS!$F647," (",PARTIDAS!$G647,")"))</f>
        <v>Papayas</v>
      </c>
      <c r="I647" s="16" t="s">
        <v>9427</v>
      </c>
    </row>
    <row r="648" spans="1:9" x14ac:dyDescent="0.25">
      <c r="A648" s="16" t="s">
        <v>1510</v>
      </c>
      <c r="B648" s="16" t="str">
        <f>TEXT(PARTIDA[[#This Row],[PARTIDA]],"0000000000")</f>
        <v>0808100000</v>
      </c>
      <c r="C648" s="16" t="s">
        <v>786</v>
      </c>
      <c r="D648" s="16" t="s">
        <v>787</v>
      </c>
      <c r="E648" s="16" t="s">
        <v>788</v>
      </c>
      <c r="F648" s="27" t="s">
        <v>9907</v>
      </c>
      <c r="G648" s="27"/>
      <c r="H648" s="16" t="str">
        <f>IF(ISBLANK(PARTIDAS!$G648),PARTIDAS!$F648,CONCATENATE(PARTIDAS!$F648," (",PARTIDAS!$G648,")"))</f>
        <v>Manzanas</v>
      </c>
      <c r="I648" s="16" t="s">
        <v>9427</v>
      </c>
    </row>
    <row r="649" spans="1:9" x14ac:dyDescent="0.25">
      <c r="A649" s="16" t="s">
        <v>1511</v>
      </c>
      <c r="B649" s="16" t="str">
        <f>TEXT(PARTIDA[[#This Row],[PARTIDA]],"0000000000")</f>
        <v>0808300000</v>
      </c>
      <c r="C649" s="16" t="s">
        <v>786</v>
      </c>
      <c r="D649" s="16" t="s">
        <v>787</v>
      </c>
      <c r="E649" s="16" t="s">
        <v>788</v>
      </c>
      <c r="F649" s="27" t="s">
        <v>9908</v>
      </c>
      <c r="G649" s="27"/>
      <c r="H649" s="16" t="str">
        <f>IF(ISBLANK(PARTIDAS!$G649),PARTIDAS!$F649,CONCATENATE(PARTIDAS!$F649," (",PARTIDAS!$G649,")"))</f>
        <v>Peras</v>
      </c>
      <c r="I649" s="16" t="s">
        <v>9427</v>
      </c>
    </row>
    <row r="650" spans="1:9" x14ac:dyDescent="0.25">
      <c r="A650" s="16" t="s">
        <v>1512</v>
      </c>
      <c r="B650" s="16" t="str">
        <f>TEXT(PARTIDA[[#This Row],[PARTIDA]],"0000000000")</f>
        <v>0808400000</v>
      </c>
      <c r="C650" s="16" t="s">
        <v>786</v>
      </c>
      <c r="D650" s="16" t="s">
        <v>787</v>
      </c>
      <c r="E650" s="16" t="s">
        <v>788</v>
      </c>
      <c r="F650" s="27" t="s">
        <v>9909</v>
      </c>
      <c r="G650" s="27"/>
      <c r="H650" s="16" t="str">
        <f>IF(ISBLANK(PARTIDAS!$G650),PARTIDAS!$F650,CONCATENATE(PARTIDAS!$F650," (",PARTIDAS!$G650,")"))</f>
        <v>Membrillos</v>
      </c>
      <c r="I650" s="16" t="s">
        <v>9427</v>
      </c>
    </row>
    <row r="651" spans="1:9" x14ac:dyDescent="0.25">
      <c r="A651" s="16" t="s">
        <v>1513</v>
      </c>
      <c r="B651" s="16" t="str">
        <f>TEXT(PARTIDA[[#This Row],[PARTIDA]],"0000000000")</f>
        <v>0809100000</v>
      </c>
      <c r="C651" s="16" t="s">
        <v>786</v>
      </c>
      <c r="D651" s="16" t="s">
        <v>787</v>
      </c>
      <c r="E651" s="16" t="s">
        <v>788</v>
      </c>
      <c r="F651" s="27" t="s">
        <v>9910</v>
      </c>
      <c r="G651" s="27"/>
      <c r="H651" s="16" t="str">
        <f>IF(ISBLANK(PARTIDAS!$G651),PARTIDAS!$F651,CONCATENATE(PARTIDAS!$F651," (",PARTIDAS!$G651,")"))</f>
        <v>Damascos (albaricoques, chabacanos)</v>
      </c>
      <c r="I651" s="16" t="s">
        <v>9427</v>
      </c>
    </row>
    <row r="652" spans="1:9" x14ac:dyDescent="0.25">
      <c r="A652" s="16" t="s">
        <v>1514</v>
      </c>
      <c r="B652" s="16" t="str">
        <f>TEXT(PARTIDA[[#This Row],[PARTIDA]],"0000000000")</f>
        <v>0809210000</v>
      </c>
      <c r="C652" s="16" t="s">
        <v>786</v>
      </c>
      <c r="D652" s="16" t="s">
        <v>787</v>
      </c>
      <c r="E652" s="16" t="s">
        <v>788</v>
      </c>
      <c r="F652" s="27" t="s">
        <v>9911</v>
      </c>
      <c r="G652" s="27"/>
      <c r="H652" s="16" t="str">
        <f>IF(ISBLANK(PARTIDAS!$G652),PARTIDAS!$F652,CONCATENATE(PARTIDAS!$F652," (",PARTIDAS!$G652,")"))</f>
        <v>Guindas (cerezas ácidas) (Prunus cerasus)</v>
      </c>
      <c r="I652" s="16" t="s">
        <v>9427</v>
      </c>
    </row>
    <row r="653" spans="1:9" x14ac:dyDescent="0.25">
      <c r="A653" s="16" t="s">
        <v>1515</v>
      </c>
      <c r="B653" s="16" t="str">
        <f>TEXT(PARTIDA[[#This Row],[PARTIDA]],"0000000000")</f>
        <v>0809290000</v>
      </c>
      <c r="C653" s="16" t="s">
        <v>786</v>
      </c>
      <c r="D653" s="16" t="s">
        <v>787</v>
      </c>
      <c r="E653" s="16" t="s">
        <v>788</v>
      </c>
      <c r="F653" s="27" t="s">
        <v>9912</v>
      </c>
      <c r="G653" s="27"/>
      <c r="H653" s="16" t="str">
        <f>IF(ISBLANK(PARTIDAS!$G653),PARTIDAS!$F653,CONCATENATE(PARTIDAS!$F653," (",PARTIDAS!$G653,")"))</f>
        <v>Cerezas (los demás)</v>
      </c>
      <c r="I653" s="16" t="s">
        <v>9427</v>
      </c>
    </row>
    <row r="654" spans="1:9" x14ac:dyDescent="0.25">
      <c r="A654" s="16" t="s">
        <v>1516</v>
      </c>
      <c r="B654" s="16" t="str">
        <f>TEXT(PARTIDA[[#This Row],[PARTIDA]],"0000000000")</f>
        <v>0809300000</v>
      </c>
      <c r="C654" s="16" t="s">
        <v>786</v>
      </c>
      <c r="D654" s="16" t="s">
        <v>787</v>
      </c>
      <c r="E654" s="16" t="s">
        <v>788</v>
      </c>
      <c r="F654" s="27" t="s">
        <v>9913</v>
      </c>
      <c r="G654" s="27"/>
      <c r="H654" s="16" t="str">
        <f>IF(ISBLANK(PARTIDAS!$G654),PARTIDAS!$F654,CONCATENATE(PARTIDAS!$F654," (",PARTIDAS!$G654,")"))</f>
        <v>Duraznos (melocotones), incluidos los griñones y nectarinas</v>
      </c>
      <c r="I654" s="16" t="s">
        <v>9427</v>
      </c>
    </row>
    <row r="655" spans="1:9" x14ac:dyDescent="0.25">
      <c r="A655" s="16" t="s">
        <v>1517</v>
      </c>
      <c r="B655" s="16" t="str">
        <f>TEXT(PARTIDA[[#This Row],[PARTIDA]],"0000000000")</f>
        <v>0809400000</v>
      </c>
      <c r="C655" s="16" t="s">
        <v>786</v>
      </c>
      <c r="D655" s="16" t="s">
        <v>787</v>
      </c>
      <c r="E655" s="16" t="s">
        <v>788</v>
      </c>
      <c r="F655" s="27" t="s">
        <v>9914</v>
      </c>
      <c r="G655" s="27"/>
      <c r="H655" s="16" t="str">
        <f>IF(ISBLANK(PARTIDAS!$G655),PARTIDAS!$F655,CONCATENATE(PARTIDAS!$F655," (",PARTIDAS!$G655,")"))</f>
        <v>Ciruelas y endrinas</v>
      </c>
      <c r="I655" s="16" t="s">
        <v>9427</v>
      </c>
    </row>
    <row r="656" spans="1:9" x14ac:dyDescent="0.25">
      <c r="A656" s="16" t="s">
        <v>1518</v>
      </c>
      <c r="B656" s="16" t="str">
        <f>TEXT(PARTIDA[[#This Row],[PARTIDA]],"0000000000")</f>
        <v>0810100000</v>
      </c>
      <c r="C656" s="16" t="s">
        <v>786</v>
      </c>
      <c r="D656" s="16" t="s">
        <v>787</v>
      </c>
      <c r="E656" s="16" t="s">
        <v>788</v>
      </c>
      <c r="F656" s="27" t="s">
        <v>9915</v>
      </c>
      <c r="G656" s="27"/>
      <c r="H656" s="16" t="str">
        <f>IF(ISBLANK(PARTIDAS!$G656),PARTIDAS!$F656,CONCATENATE(PARTIDAS!$F656," (",PARTIDAS!$G656,")"))</f>
        <v>Fresas (frutillas)</v>
      </c>
      <c r="I656" s="16" t="s">
        <v>9427</v>
      </c>
    </row>
    <row r="657" spans="1:9" x14ac:dyDescent="0.25">
      <c r="A657" s="16" t="s">
        <v>1519</v>
      </c>
      <c r="B657" s="16" t="str">
        <f>TEXT(PARTIDA[[#This Row],[PARTIDA]],"0000000000")</f>
        <v>0810200000</v>
      </c>
      <c r="C657" s="16" t="s">
        <v>786</v>
      </c>
      <c r="D657" s="16" t="s">
        <v>787</v>
      </c>
      <c r="E657" s="16" t="s">
        <v>788</v>
      </c>
      <c r="F657" s="27" t="s">
        <v>9916</v>
      </c>
      <c r="G657" s="27"/>
      <c r="H657" s="16" t="str">
        <f>IF(ISBLANK(PARTIDAS!$G657),PARTIDAS!$F657,CONCATENATE(PARTIDAS!$F657," (",PARTIDAS!$G657,")"))</f>
        <v>Frambuesas, zarzamoras, moras y moras-frambuesa</v>
      </c>
      <c r="I657" s="16" t="s">
        <v>9427</v>
      </c>
    </row>
    <row r="658" spans="1:9" x14ac:dyDescent="0.25">
      <c r="A658" s="16" t="s">
        <v>1520</v>
      </c>
      <c r="B658" s="16" t="str">
        <f>TEXT(PARTIDA[[#This Row],[PARTIDA]],"0000000000")</f>
        <v>0810300000</v>
      </c>
      <c r="C658" s="16" t="s">
        <v>786</v>
      </c>
      <c r="D658" s="16" t="s">
        <v>787</v>
      </c>
      <c r="E658" s="16" t="s">
        <v>788</v>
      </c>
      <c r="F658" s="27" t="s">
        <v>9917</v>
      </c>
      <c r="G658" s="27"/>
      <c r="H658" s="16" t="str">
        <f>IF(ISBLANK(PARTIDAS!$G658),PARTIDAS!$F658,CONCATENATE(PARTIDAS!$F658," (",PARTIDAS!$G658,")"))</f>
        <v>Grosellas negras, blancas o rojas y grosellas espinosas</v>
      </c>
      <c r="I658" s="16" t="s">
        <v>9427</v>
      </c>
    </row>
    <row r="659" spans="1:9" x14ac:dyDescent="0.25">
      <c r="A659" s="16" t="s">
        <v>1521</v>
      </c>
      <c r="B659" s="16" t="str">
        <f>TEXT(PARTIDA[[#This Row],[PARTIDA]],"0000000000")</f>
        <v>0810400000</v>
      </c>
      <c r="C659" s="16" t="s">
        <v>786</v>
      </c>
      <c r="D659" s="16" t="s">
        <v>787</v>
      </c>
      <c r="E659" s="16" t="s">
        <v>788</v>
      </c>
      <c r="F659" s="27" t="s">
        <v>1522</v>
      </c>
      <c r="G659" s="27" t="s">
        <v>1472</v>
      </c>
      <c r="H659" s="16" t="str">
        <f>IF(ISBLANK(PARTIDAS!$G659),PARTIDAS!$F659,CONCATENATE(PARTIDAS!$F659," (",PARTIDAS!$G659,")"))</f>
        <v>Arándanos (Verificar)</v>
      </c>
      <c r="I659" s="16" t="s">
        <v>9427</v>
      </c>
    </row>
    <row r="660" spans="1:9" x14ac:dyDescent="0.25">
      <c r="A660" s="16" t="s">
        <v>1523</v>
      </c>
      <c r="B660" s="16" t="str">
        <f>TEXT(PARTIDA[[#This Row],[PARTIDA]],"0000000000")</f>
        <v>0810500000</v>
      </c>
      <c r="C660" s="16" t="s">
        <v>786</v>
      </c>
      <c r="D660" s="16" t="s">
        <v>787</v>
      </c>
      <c r="E660" s="16" t="s">
        <v>788</v>
      </c>
      <c r="F660" s="27" t="s">
        <v>9918</v>
      </c>
      <c r="G660" s="27"/>
      <c r="H660" s="16" t="str">
        <f>IF(ISBLANK(PARTIDAS!$G660),PARTIDAS!$F660,CONCATENATE(PARTIDAS!$F660," (",PARTIDAS!$G660,")"))</f>
        <v>Kiwis</v>
      </c>
      <c r="I660" s="16" t="s">
        <v>9427</v>
      </c>
    </row>
    <row r="661" spans="1:9" x14ac:dyDescent="0.25">
      <c r="A661" s="16" t="s">
        <v>1524</v>
      </c>
      <c r="B661" s="16" t="str">
        <f>TEXT(PARTIDA[[#This Row],[PARTIDA]],"0000000000")</f>
        <v>0810600000</v>
      </c>
      <c r="C661" s="16" t="s">
        <v>786</v>
      </c>
      <c r="D661" s="16" t="s">
        <v>787</v>
      </c>
      <c r="E661" s="16" t="s">
        <v>788</v>
      </c>
      <c r="F661" s="27" t="s">
        <v>9919</v>
      </c>
      <c r="G661" s="27"/>
      <c r="H661" s="16" t="str">
        <f>IF(ISBLANK(PARTIDAS!$G661),PARTIDAS!$F661,CONCATENATE(PARTIDAS!$F661," (",PARTIDAS!$G661,")"))</f>
        <v>Duriones</v>
      </c>
      <c r="I661" s="16" t="s">
        <v>9427</v>
      </c>
    </row>
    <row r="662" spans="1:9" x14ac:dyDescent="0.25">
      <c r="A662" s="16" t="s">
        <v>1525</v>
      </c>
      <c r="B662" s="16" t="str">
        <f>TEXT(PARTIDA[[#This Row],[PARTIDA]],"0000000000")</f>
        <v>0810700000</v>
      </c>
      <c r="C662" s="16" t="s">
        <v>786</v>
      </c>
      <c r="D662" s="16" t="s">
        <v>787</v>
      </c>
      <c r="E662" s="16" t="s">
        <v>788</v>
      </c>
      <c r="F662" s="27" t="s">
        <v>9920</v>
      </c>
      <c r="G662" s="27"/>
      <c r="H662" s="16" t="str">
        <f>IF(ISBLANK(PARTIDAS!$G662),PARTIDAS!$F662,CONCATENATE(PARTIDAS!$F662," (",PARTIDAS!$G662,")"))</f>
        <v>Caquis (persimonios)</v>
      </c>
      <c r="I662" s="16" t="s">
        <v>9427</v>
      </c>
    </row>
    <row r="663" spans="1:9" x14ac:dyDescent="0.25">
      <c r="A663" s="16" t="s">
        <v>1526</v>
      </c>
      <c r="B663" s="16" t="str">
        <f>TEXT(PARTIDA[[#This Row],[PARTIDA]],"0000000000")</f>
        <v>0810901000</v>
      </c>
      <c r="C663" s="16" t="s">
        <v>786</v>
      </c>
      <c r="D663" s="16" t="s">
        <v>787</v>
      </c>
      <c r="E663" s="16" t="s">
        <v>788</v>
      </c>
      <c r="F663" s="27" t="s">
        <v>1527</v>
      </c>
      <c r="G663" s="27" t="s">
        <v>852</v>
      </c>
      <c r="H663" s="16" t="str">
        <f>IF(ISBLANK(PARTIDAS!$G663),PARTIDAS!$F663,CONCATENATE(PARTIDAS!$F663," (",PARTIDAS!$G663,")"))</f>
        <v>Granadilla, maracuyá y demás (Especificar)</v>
      </c>
      <c r="I663" s="16" t="s">
        <v>9427</v>
      </c>
    </row>
    <row r="664" spans="1:9" x14ac:dyDescent="0.25">
      <c r="A664" s="16" t="s">
        <v>1528</v>
      </c>
      <c r="B664" s="16" t="str">
        <f>TEXT(PARTIDA[[#This Row],[PARTIDA]],"0000000000")</f>
        <v>0810902000</v>
      </c>
      <c r="C664" s="16" t="s">
        <v>786</v>
      </c>
      <c r="D664" s="16" t="s">
        <v>787</v>
      </c>
      <c r="E664" s="16" t="s">
        <v>788</v>
      </c>
      <c r="F664" s="27" t="s">
        <v>1529</v>
      </c>
      <c r="G664" s="27" t="s">
        <v>852</v>
      </c>
      <c r="H664" s="16" t="str">
        <f>IF(ISBLANK(PARTIDAS!$G664),PARTIDAS!$F664,CONCATENATE(PARTIDAS!$F664," (",PARTIDAS!$G664,")"))</f>
        <v>Chirimoya, guanábana y demás anonas (Especificar)</v>
      </c>
      <c r="I664" s="16" t="s">
        <v>9427</v>
      </c>
    </row>
    <row r="665" spans="1:9" x14ac:dyDescent="0.25">
      <c r="A665" s="16" t="s">
        <v>1530</v>
      </c>
      <c r="B665" s="16" t="str">
        <f>TEXT(PARTIDA[[#This Row],[PARTIDA]],"0000000000")</f>
        <v>0810903000</v>
      </c>
      <c r="C665" s="16" t="s">
        <v>786</v>
      </c>
      <c r="D665" s="16" t="s">
        <v>787</v>
      </c>
      <c r="E665" s="16" t="s">
        <v>788</v>
      </c>
      <c r="F665" s="27" t="s">
        <v>9921</v>
      </c>
      <c r="G665" s="27"/>
      <c r="H665" s="16" t="str">
        <f>IF(ISBLANK(PARTIDAS!$G665),PARTIDAS!$F665,CONCATENATE(PARTIDAS!$F665," (",PARTIDAS!$G665,")"))</f>
        <v>Tomate de árbol (lima tomate, tamarillo) (Cyphomandra betacea)</v>
      </c>
      <c r="I665" s="16" t="s">
        <v>9427</v>
      </c>
    </row>
    <row r="666" spans="1:9" x14ac:dyDescent="0.25">
      <c r="A666" s="16" t="s">
        <v>1531</v>
      </c>
      <c r="B666" s="16" t="str">
        <f>TEXT(PARTIDA[[#This Row],[PARTIDA]],"0000000000")</f>
        <v>0810904000</v>
      </c>
      <c r="C666" s="16" t="s">
        <v>786</v>
      </c>
      <c r="D666" s="16" t="s">
        <v>787</v>
      </c>
      <c r="E666" s="16" t="s">
        <v>788</v>
      </c>
      <c r="F666" s="27" t="s">
        <v>9922</v>
      </c>
      <c r="G666" s="27"/>
      <c r="H666" s="16" t="str">
        <f>IF(ISBLANK(PARTIDAS!$G666),PARTIDAS!$F666,CONCATENATE(PARTIDAS!$F666," (",PARTIDAS!$G666,")"))</f>
        <v>Pitahayas (Cereus spp.)</v>
      </c>
      <c r="I666" s="16" t="s">
        <v>9427</v>
      </c>
    </row>
    <row r="667" spans="1:9" x14ac:dyDescent="0.25">
      <c r="A667" s="16" t="s">
        <v>1532</v>
      </c>
      <c r="B667" s="16" t="str">
        <f>TEXT(PARTIDA[[#This Row],[PARTIDA]],"0000000000")</f>
        <v>0810905000</v>
      </c>
      <c r="C667" s="16" t="s">
        <v>786</v>
      </c>
      <c r="D667" s="16" t="s">
        <v>787</v>
      </c>
      <c r="E667" s="16" t="s">
        <v>788</v>
      </c>
      <c r="F667" s="27" t="s">
        <v>1533</v>
      </c>
      <c r="G667" s="27" t="s">
        <v>852</v>
      </c>
      <c r="H667" s="16" t="str">
        <f>IF(ISBLANK(PARTIDAS!$G667),PARTIDAS!$F667,CONCATENATE(PARTIDAS!$F667," (",PARTIDAS!$G667,")"))</f>
        <v>Uchuvas (aguaymanto, uvillas) (Especificar)</v>
      </c>
      <c r="I667" s="16" t="s">
        <v>9427</v>
      </c>
    </row>
    <row r="668" spans="1:9" x14ac:dyDescent="0.25">
      <c r="A668" s="16" t="s">
        <v>1534</v>
      </c>
      <c r="B668" s="16" t="str">
        <f>TEXT(PARTIDA[[#This Row],[PARTIDA]],"0000000000")</f>
        <v>0810909000</v>
      </c>
      <c r="C668" s="16" t="s">
        <v>786</v>
      </c>
      <c r="D668" s="16" t="s">
        <v>787</v>
      </c>
      <c r="E668" s="16" t="s">
        <v>788</v>
      </c>
      <c r="F668" s="27" t="s">
        <v>1535</v>
      </c>
      <c r="G668" s="27" t="s">
        <v>852</v>
      </c>
      <c r="H668" s="16" t="str">
        <f>IF(ISBLANK(PARTIDAS!$G668),PARTIDAS!$F668,CONCATENATE(PARTIDAS!$F668," (",PARTIDAS!$G668,")"))</f>
        <v>Los demás (Especificar)</v>
      </c>
      <c r="I668" s="16" t="s">
        <v>9427</v>
      </c>
    </row>
    <row r="669" spans="1:9" x14ac:dyDescent="0.25">
      <c r="A669" s="16" t="s">
        <v>1536</v>
      </c>
      <c r="B669" s="16" t="str">
        <f>TEXT(PARTIDA[[#This Row],[PARTIDA]],"0000000000")</f>
        <v>0811101000</v>
      </c>
      <c r="C669" s="16" t="s">
        <v>786</v>
      </c>
      <c r="D669" s="16" t="s">
        <v>787</v>
      </c>
      <c r="E669" s="16" t="s">
        <v>9429</v>
      </c>
      <c r="F669" s="27" t="s">
        <v>9923</v>
      </c>
      <c r="G669" s="27"/>
      <c r="H669" s="16" t="str">
        <f>IF(ISBLANK(PARTIDAS!$G669),PARTIDAS!$F669,CONCATENATE(PARTIDAS!$F669," (",PARTIDAS!$G669,")"))</f>
        <v>Fresas (frutillas), con adición de azúcar u otro edulcorante</v>
      </c>
      <c r="I669" s="16" t="s">
        <v>9427</v>
      </c>
    </row>
    <row r="670" spans="1:9" x14ac:dyDescent="0.25">
      <c r="A670" s="16" t="s">
        <v>1537</v>
      </c>
      <c r="B670" s="16" t="str">
        <f>TEXT(PARTIDA[[#This Row],[PARTIDA]],"0000000000")</f>
        <v>0811109000</v>
      </c>
      <c r="C670" s="16" t="s">
        <v>786</v>
      </c>
      <c r="D670" s="16" t="s">
        <v>787</v>
      </c>
      <c r="E670" s="16" t="s">
        <v>9429</v>
      </c>
      <c r="F670" s="27" t="s">
        <v>1538</v>
      </c>
      <c r="G670" s="27" t="s">
        <v>1472</v>
      </c>
      <c r="H670" s="16" t="str">
        <f>IF(ISBLANK(PARTIDAS!$G670),PARTIDAS!$F670,CONCATENATE(PARTIDAS!$F670," (",PARTIDAS!$G670,")"))</f>
        <v>Fresa congelada (Verificar)</v>
      </c>
      <c r="I670" s="16" t="s">
        <v>9427</v>
      </c>
    </row>
    <row r="671" spans="1:9" x14ac:dyDescent="0.25">
      <c r="A671" s="16" t="s">
        <v>1539</v>
      </c>
      <c r="B671" s="16" t="str">
        <f>TEXT(PARTIDA[[#This Row],[PARTIDA]],"0000000000")</f>
        <v>0811200000</v>
      </c>
      <c r="C671" s="16" t="s">
        <v>786</v>
      </c>
      <c r="D671" s="16" t="s">
        <v>787</v>
      </c>
      <c r="E671" s="16" t="s">
        <v>9429</v>
      </c>
      <c r="F671" s="27" t="s">
        <v>9924</v>
      </c>
      <c r="G671" s="27"/>
      <c r="H671" s="16" t="str">
        <f>IF(ISBLANK(PARTIDAS!$G671),PARTIDAS!$F671,CONCATENATE(PARTIDAS!$F671," (",PARTIDAS!$G671,")"))</f>
        <v>Frambuesas, zarzamoras, moras, moras-frambuesa y grosellas</v>
      </c>
      <c r="I671" s="16" t="s">
        <v>9427</v>
      </c>
    </row>
    <row r="672" spans="1:9" x14ac:dyDescent="0.25">
      <c r="A672" s="16" t="s">
        <v>1540</v>
      </c>
      <c r="B672" s="16" t="str">
        <f>TEXT(PARTIDA[[#This Row],[PARTIDA]],"0000000000")</f>
        <v>0811901000</v>
      </c>
      <c r="C672" s="16" t="s">
        <v>786</v>
      </c>
      <c r="D672" s="16" t="s">
        <v>787</v>
      </c>
      <c r="E672" s="16" t="s">
        <v>9429</v>
      </c>
      <c r="F672" s="27" t="s">
        <v>9925</v>
      </c>
      <c r="G672" s="27"/>
      <c r="H672" s="16" t="str">
        <f>IF(ISBLANK(PARTIDAS!$G672),PARTIDAS!$F672,CONCATENATE(PARTIDAS!$F672," (",PARTIDAS!$G672,")"))</f>
        <v>Frutas y otros frutos, sin cocer o cocidos en agua o vapor…, con adición de azúcar u otro edulcorante</v>
      </c>
      <c r="I672" s="16" t="s">
        <v>9427</v>
      </c>
    </row>
    <row r="673" spans="1:9" x14ac:dyDescent="0.25">
      <c r="A673" s="16" t="s">
        <v>1541</v>
      </c>
      <c r="B673" s="16" t="str">
        <f>TEXT(PARTIDA[[#This Row],[PARTIDA]],"0000000000")</f>
        <v>0811909100</v>
      </c>
      <c r="C673" s="16" t="s">
        <v>786</v>
      </c>
      <c r="D673" s="16" t="s">
        <v>787</v>
      </c>
      <c r="E673" s="16" t="s">
        <v>9429</v>
      </c>
      <c r="F673" s="27" t="s">
        <v>9926</v>
      </c>
      <c r="G673" s="27"/>
      <c r="H673" s="16" t="str">
        <f>IF(ISBLANK(PARTIDAS!$G673),PARTIDAS!$F673,CONCATENATE(PARTIDAS!$F673," (",PARTIDAS!$G673,")"))</f>
        <v>Mango (Mangifera indica L.)</v>
      </c>
      <c r="I673" s="16" t="s">
        <v>9427</v>
      </c>
    </row>
    <row r="674" spans="1:9" x14ac:dyDescent="0.25">
      <c r="A674" s="16" t="s">
        <v>1542</v>
      </c>
      <c r="B674" s="16" t="str">
        <f>TEXT(PARTIDA[[#This Row],[PARTIDA]],"0000000000")</f>
        <v>0811909200</v>
      </c>
      <c r="C674" s="16" t="s">
        <v>786</v>
      </c>
      <c r="D674" s="16" t="s">
        <v>787</v>
      </c>
      <c r="E674" s="16" t="s">
        <v>9429</v>
      </c>
      <c r="F674" s="27" t="s">
        <v>1543</v>
      </c>
      <c r="G674" s="27"/>
      <c r="H674" s="16" t="str">
        <f>IF(ISBLANK(PARTIDAS!$G674),PARTIDAS!$F674,CONCATENATE(PARTIDAS!$F674," (",PARTIDAS!$G674,")"))</f>
        <v>Pulpa de camu-camu</v>
      </c>
      <c r="I674" s="16" t="s">
        <v>9427</v>
      </c>
    </row>
    <row r="675" spans="1:9" x14ac:dyDescent="0.25">
      <c r="A675" s="16" t="s">
        <v>1544</v>
      </c>
      <c r="B675" s="16" t="str">
        <f>TEXT(PARTIDA[[#This Row],[PARTIDA]],"0000000000")</f>
        <v>0811909300</v>
      </c>
      <c r="C675" s="16" t="s">
        <v>786</v>
      </c>
      <c r="D675" s="16" t="s">
        <v>787</v>
      </c>
      <c r="E675" s="16" t="s">
        <v>9429</v>
      </c>
      <c r="F675" s="27" t="s">
        <v>1545</v>
      </c>
      <c r="G675" s="27"/>
      <c r="H675" s="16" t="str">
        <f>IF(ISBLANK(PARTIDAS!$G675),PARTIDAS!$F675,CONCATENATE(PARTIDAS!$F675," (",PARTIDAS!$G675,")"))</f>
        <v>Pulpa de lúcuma</v>
      </c>
      <c r="I675" s="16" t="s">
        <v>9427</v>
      </c>
    </row>
    <row r="676" spans="1:9" x14ac:dyDescent="0.25">
      <c r="A676" s="16" t="s">
        <v>1546</v>
      </c>
      <c r="B676" s="16" t="str">
        <f>TEXT(PARTIDA[[#This Row],[PARTIDA]],"0000000000")</f>
        <v>0811909400</v>
      </c>
      <c r="C676" s="16" t="s">
        <v>786</v>
      </c>
      <c r="D676" s="16" t="s">
        <v>787</v>
      </c>
      <c r="E676" s="16" t="s">
        <v>9429</v>
      </c>
      <c r="F676" s="27" t="s">
        <v>1547</v>
      </c>
      <c r="G676" s="27"/>
      <c r="H676" s="16" t="str">
        <f>IF(ISBLANK(PARTIDAS!$G676),PARTIDAS!$F676,CONCATENATE(PARTIDAS!$F676," (",PARTIDAS!$G676,")"))</f>
        <v>Pulpa de maracuyá</v>
      </c>
      <c r="I676" s="16" t="s">
        <v>9427</v>
      </c>
    </row>
    <row r="677" spans="1:9" x14ac:dyDescent="0.25">
      <c r="A677" s="16" t="s">
        <v>1548</v>
      </c>
      <c r="B677" s="16" t="str">
        <f>TEXT(PARTIDA[[#This Row],[PARTIDA]],"0000000000")</f>
        <v>0811909500</v>
      </c>
      <c r="C677" s="16" t="s">
        <v>786</v>
      </c>
      <c r="D677" s="16" t="s">
        <v>787</v>
      </c>
      <c r="E677" s="16" t="s">
        <v>9429</v>
      </c>
      <c r="F677" s="27" t="s">
        <v>1549</v>
      </c>
      <c r="G677" s="27"/>
      <c r="H677" s="16" t="str">
        <f>IF(ISBLANK(PARTIDAS!$G677),PARTIDAS!$F677,CONCATENATE(PARTIDAS!$F677," (",PARTIDAS!$G677,")"))</f>
        <v>Pulpa de guanábana</v>
      </c>
      <c r="I677" s="16" t="s">
        <v>9427</v>
      </c>
    </row>
    <row r="678" spans="1:9" x14ac:dyDescent="0.25">
      <c r="A678" s="16" t="s">
        <v>1550</v>
      </c>
      <c r="B678" s="16" t="str">
        <f>TEXT(PARTIDA[[#This Row],[PARTIDA]],"0000000000")</f>
        <v>0811909600</v>
      </c>
      <c r="C678" s="16" t="s">
        <v>786</v>
      </c>
      <c r="D678" s="16" t="s">
        <v>787</v>
      </c>
      <c r="E678" s="16" t="s">
        <v>9429</v>
      </c>
      <c r="F678" s="27" t="s">
        <v>1551</v>
      </c>
      <c r="G678" s="27"/>
      <c r="H678" s="16" t="str">
        <f>IF(ISBLANK(PARTIDAS!$G678),PARTIDAS!$F678,CONCATENATE(PARTIDAS!$F678," (",PARTIDAS!$G678,")"))</f>
        <v>Pulpa de papaya</v>
      </c>
      <c r="I678" s="16" t="s">
        <v>9427</v>
      </c>
    </row>
    <row r="679" spans="1:9" x14ac:dyDescent="0.25">
      <c r="A679" s="16" t="s">
        <v>1552</v>
      </c>
      <c r="B679" s="16" t="str">
        <f>TEXT(PARTIDA[[#This Row],[PARTIDA]],"0000000000")</f>
        <v>0811909900</v>
      </c>
      <c r="C679" s="16" t="s">
        <v>786</v>
      </c>
      <c r="D679" s="16" t="s">
        <v>787</v>
      </c>
      <c r="E679" s="16" t="s">
        <v>9429</v>
      </c>
      <c r="F679" s="27" t="s">
        <v>1553</v>
      </c>
      <c r="G679" s="27" t="s">
        <v>852</v>
      </c>
      <c r="H679" s="16" t="str">
        <f>IF(ISBLANK(PARTIDAS!$G679),PARTIDAS!$F679,CONCATENATE(PARTIDAS!$F679," (",PARTIDAS!$G679,")"))</f>
        <v>Pulpa de fruta (Especificar)</v>
      </c>
      <c r="I679" s="16" t="s">
        <v>9427</v>
      </c>
    </row>
    <row r="680" spans="1:9" x14ac:dyDescent="0.25">
      <c r="A680" s="16" t="s">
        <v>1554</v>
      </c>
      <c r="B680" s="16" t="str">
        <f>TEXT(PARTIDA[[#This Row],[PARTIDA]],"0000000000")</f>
        <v>0812100000</v>
      </c>
      <c r="C680" s="16" t="s">
        <v>786</v>
      </c>
      <c r="D680" s="16" t="s">
        <v>787</v>
      </c>
      <c r="E680" s="16" t="s">
        <v>9429</v>
      </c>
      <c r="F680" s="27" t="s">
        <v>9927</v>
      </c>
      <c r="G680" s="27"/>
      <c r="H680" s="16" t="str">
        <f>IF(ISBLANK(PARTIDAS!$G680),PARTIDAS!$F680,CONCATENATE(PARTIDAS!$F680," (",PARTIDAS!$G680,")"))</f>
        <v>Cerezas</v>
      </c>
      <c r="I680" s="16" t="s">
        <v>9427</v>
      </c>
    </row>
    <row r="681" spans="1:9" x14ac:dyDescent="0.25">
      <c r="A681" s="16" t="s">
        <v>1555</v>
      </c>
      <c r="B681" s="16" t="str">
        <f>TEXT(PARTIDA[[#This Row],[PARTIDA]],"0000000000")</f>
        <v>0812902000</v>
      </c>
      <c r="C681" s="16" t="s">
        <v>786</v>
      </c>
      <c r="D681" s="16" t="s">
        <v>787</v>
      </c>
      <c r="E681" s="16" t="s">
        <v>9429</v>
      </c>
      <c r="F681" s="27" t="s">
        <v>9913</v>
      </c>
      <c r="G681" s="27"/>
      <c r="H681" s="16" t="str">
        <f>IF(ISBLANK(PARTIDAS!$G681),PARTIDAS!$F681,CONCATENATE(PARTIDAS!$F681," (",PARTIDAS!$G681,")"))</f>
        <v>Duraznos (melocotones), incluidos los griñones y nectarinas</v>
      </c>
      <c r="I681" s="16" t="s">
        <v>9427</v>
      </c>
    </row>
    <row r="682" spans="1:9" x14ac:dyDescent="0.25">
      <c r="A682" s="16" t="s">
        <v>1556</v>
      </c>
      <c r="B682" s="16" t="str">
        <f>TEXT(PARTIDA[[#This Row],[PARTIDA]],"0000000000")</f>
        <v>0812909000</v>
      </c>
      <c r="C682" s="16" t="s">
        <v>786</v>
      </c>
      <c r="D682" s="16" t="s">
        <v>787</v>
      </c>
      <c r="E682" s="16" t="s">
        <v>9429</v>
      </c>
      <c r="F682" s="27" t="s">
        <v>9928</v>
      </c>
      <c r="G682" s="27"/>
      <c r="H682" s="16" t="str">
        <f>IF(ISBLANK(PARTIDAS!$G682),PARTIDAS!$F682,CONCATENATE(PARTIDAS!$F682," (",PARTIDAS!$G682,")"))</f>
        <v>Frutas y otros frutos, conservados provisionalmente, pero todavía… (los demás)</v>
      </c>
      <c r="I682" s="16" t="s">
        <v>9427</v>
      </c>
    </row>
    <row r="683" spans="1:9" x14ac:dyDescent="0.25">
      <c r="A683" s="16" t="s">
        <v>1557</v>
      </c>
      <c r="B683" s="16" t="str">
        <f>TEXT(PARTIDA[[#This Row],[PARTIDA]],"0000000000")</f>
        <v>0813100000</v>
      </c>
      <c r="C683" s="16" t="s">
        <v>786</v>
      </c>
      <c r="D683" s="16" t="s">
        <v>787</v>
      </c>
      <c r="E683" s="16" t="s">
        <v>9429</v>
      </c>
      <c r="F683" s="27" t="s">
        <v>9910</v>
      </c>
      <c r="G683" s="27"/>
      <c r="H683" s="16" t="str">
        <f>IF(ISBLANK(PARTIDAS!$G683),PARTIDAS!$F683,CONCATENATE(PARTIDAS!$F683," (",PARTIDAS!$G683,")"))</f>
        <v>Damascos (albaricoques, chabacanos)</v>
      </c>
      <c r="I683" s="16" t="s">
        <v>9427</v>
      </c>
    </row>
    <row r="684" spans="1:9" x14ac:dyDescent="0.25">
      <c r="A684" s="16" t="s">
        <v>1558</v>
      </c>
      <c r="B684" s="16" t="str">
        <f>TEXT(PARTIDA[[#This Row],[PARTIDA]],"0000000000")</f>
        <v>0813200000</v>
      </c>
      <c r="C684" s="16" t="s">
        <v>786</v>
      </c>
      <c r="D684" s="16" t="s">
        <v>787</v>
      </c>
      <c r="E684" s="16" t="s">
        <v>9429</v>
      </c>
      <c r="F684" s="27" t="s">
        <v>9929</v>
      </c>
      <c r="G684" s="27"/>
      <c r="H684" s="16" t="str">
        <f>IF(ISBLANK(PARTIDAS!$G684),PARTIDAS!$F684,CONCATENATE(PARTIDAS!$F684," (",PARTIDAS!$G684,")"))</f>
        <v>Ciruelas</v>
      </c>
      <c r="I684" s="16" t="s">
        <v>9427</v>
      </c>
    </row>
    <row r="685" spans="1:9" x14ac:dyDescent="0.25">
      <c r="A685" s="16" t="s">
        <v>1559</v>
      </c>
      <c r="B685" s="16" t="str">
        <f>TEXT(PARTIDA[[#This Row],[PARTIDA]],"0000000000")</f>
        <v>0813300000</v>
      </c>
      <c r="C685" s="16" t="s">
        <v>786</v>
      </c>
      <c r="D685" s="16" t="s">
        <v>787</v>
      </c>
      <c r="E685" s="16" t="s">
        <v>9429</v>
      </c>
      <c r="F685" s="27" t="s">
        <v>9907</v>
      </c>
      <c r="G685" s="27"/>
      <c r="H685" s="16" t="str">
        <f>IF(ISBLANK(PARTIDAS!$G685),PARTIDAS!$F685,CONCATENATE(PARTIDAS!$F685," (",PARTIDAS!$G685,")"))</f>
        <v>Manzanas</v>
      </c>
      <c r="I685" s="16" t="s">
        <v>9427</v>
      </c>
    </row>
    <row r="686" spans="1:9" x14ac:dyDescent="0.25">
      <c r="A686" s="16" t="s">
        <v>1560</v>
      </c>
      <c r="B686" s="16" t="str">
        <f>TEXT(PARTIDA[[#This Row],[PARTIDA]],"0000000000")</f>
        <v>0813400000</v>
      </c>
      <c r="C686" s="16" t="s">
        <v>786</v>
      </c>
      <c r="D686" s="16" t="s">
        <v>787</v>
      </c>
      <c r="E686" s="16" t="s">
        <v>9429</v>
      </c>
      <c r="F686" s="27" t="s">
        <v>1561</v>
      </c>
      <c r="G686" s="27" t="s">
        <v>852</v>
      </c>
      <c r="H686" s="16" t="str">
        <f>IF(ISBLANK(PARTIDAS!$G686),PARTIDAS!$F686,CONCATENATE(PARTIDAS!$F686," (",PARTIDAS!$G686,")"))</f>
        <v>Frutas (Especificar)</v>
      </c>
      <c r="I686" s="16" t="s">
        <v>9427</v>
      </c>
    </row>
    <row r="687" spans="1:9" x14ac:dyDescent="0.25">
      <c r="A687" s="16" t="s">
        <v>1562</v>
      </c>
      <c r="B687" s="16" t="str">
        <f>TEXT(PARTIDA[[#This Row],[PARTIDA]],"0000000000")</f>
        <v>0813500000</v>
      </c>
      <c r="C687" s="16" t="s">
        <v>786</v>
      </c>
      <c r="D687" s="16" t="s">
        <v>787</v>
      </c>
      <c r="E687" s="16" t="s">
        <v>9429</v>
      </c>
      <c r="F687" s="27" t="s">
        <v>1563</v>
      </c>
      <c r="G687" s="27"/>
      <c r="H687" s="16" t="str">
        <f>IF(ISBLANK(PARTIDAS!$G687),PARTIDAS!$F687,CONCATENATE(PARTIDAS!$F687," (",PARTIDAS!$G687,")"))</f>
        <v>Mezclas de frutas u otros frutos</v>
      </c>
      <c r="I687" s="16" t="s">
        <v>9427</v>
      </c>
    </row>
    <row r="688" spans="1:9" x14ac:dyDescent="0.25">
      <c r="A688" s="16" t="s">
        <v>1564</v>
      </c>
      <c r="B688" s="16" t="str">
        <f>TEXT(PARTIDA[[#This Row],[PARTIDA]],"0000000000")</f>
        <v>0814001000</v>
      </c>
      <c r="C688" s="16" t="s">
        <v>786</v>
      </c>
      <c r="D688" s="16" t="s">
        <v>787</v>
      </c>
      <c r="E688" s="16" t="s">
        <v>9429</v>
      </c>
      <c r="F688" s="27" t="s">
        <v>1565</v>
      </c>
      <c r="G688" s="27"/>
      <c r="H688" s="16" t="str">
        <f>IF(ISBLANK(PARTIDAS!$G688),PARTIDAS!$F688,CONCATENATE(PARTIDAS!$F688," (",PARTIDAS!$G688,")"))</f>
        <v>De limón (limón sutil, limón común, limón criollo)</v>
      </c>
      <c r="I688" s="16" t="s">
        <v>9427</v>
      </c>
    </row>
    <row r="689" spans="1:9" x14ac:dyDescent="0.25">
      <c r="A689" s="16" t="s">
        <v>1566</v>
      </c>
      <c r="B689" s="16" t="str">
        <f>TEXT(PARTIDA[[#This Row],[PARTIDA]],"0000000000")</f>
        <v>0814009000</v>
      </c>
      <c r="C689" s="16" t="s">
        <v>786</v>
      </c>
      <c r="D689" s="16" t="s">
        <v>787</v>
      </c>
      <c r="E689" s="16" t="s">
        <v>9429</v>
      </c>
      <c r="F689" s="27" t="s">
        <v>1567</v>
      </c>
      <c r="G689" s="27"/>
      <c r="H689" s="16" t="str">
        <f>IF(ISBLANK(PARTIDAS!$G689),PARTIDAS!$F689,CONCATENATE(PARTIDAS!$F689," (",PARTIDAS!$G689,")"))</f>
        <v>Cortezas de agrios (cítricos), melones o sandias, frescas, congeladas, secas o presentadas en agua salada, sulfurosa o adicionada de otras sustancias para su conservación provisional</v>
      </c>
      <c r="I689" s="16" t="s">
        <v>9427</v>
      </c>
    </row>
    <row r="690" spans="1:9" x14ac:dyDescent="0.25">
      <c r="A690" s="16" t="s">
        <v>1568</v>
      </c>
      <c r="B690" s="16" t="str">
        <f>TEXT(PARTIDA[[#This Row],[PARTIDA]],"0000000000")</f>
        <v>0901111000</v>
      </c>
      <c r="C690" s="16" t="s">
        <v>786</v>
      </c>
      <c r="D690" s="16" t="s">
        <v>787</v>
      </c>
      <c r="E690" s="16" t="s">
        <v>9429</v>
      </c>
      <c r="F690" s="27" t="s">
        <v>1569</v>
      </c>
      <c r="G690" s="27"/>
      <c r="H690" s="16" t="str">
        <f>IF(ISBLANK(PARTIDAS!$G690),PARTIDAS!$F690,CONCATENATE(PARTIDAS!$F690," (",PARTIDAS!$G690,")"))</f>
        <v>Café en grano para siembra</v>
      </c>
      <c r="I690" s="16" t="s">
        <v>9427</v>
      </c>
    </row>
    <row r="691" spans="1:9" x14ac:dyDescent="0.25">
      <c r="A691" s="16" t="s">
        <v>1570</v>
      </c>
      <c r="B691" s="16" t="str">
        <f>TEXT(PARTIDA[[#This Row],[PARTIDA]],"0000000000")</f>
        <v>0901119000</v>
      </c>
      <c r="C691" s="16" t="s">
        <v>786</v>
      </c>
      <c r="D691" s="16" t="s">
        <v>787</v>
      </c>
      <c r="E691" s="16" t="s">
        <v>9429</v>
      </c>
      <c r="F691" s="27" t="s">
        <v>1571</v>
      </c>
      <c r="G691" s="27"/>
      <c r="H691" s="16" t="str">
        <f>IF(ISBLANK(PARTIDAS!$G691),PARTIDAS!$F691,CONCATENATE(PARTIDAS!$F691," (",PARTIDAS!$G691,")"))</f>
        <v>Café en grano</v>
      </c>
      <c r="I691" s="16" t="s">
        <v>9427</v>
      </c>
    </row>
    <row r="692" spans="1:9" x14ac:dyDescent="0.25">
      <c r="A692" s="16" t="s">
        <v>1572</v>
      </c>
      <c r="B692" s="16" t="str">
        <f>TEXT(PARTIDA[[#This Row],[PARTIDA]],"0000000000")</f>
        <v>0901120000</v>
      </c>
      <c r="C692" s="16" t="s">
        <v>786</v>
      </c>
      <c r="D692" s="16" t="s">
        <v>787</v>
      </c>
      <c r="E692" s="16" t="s">
        <v>9429</v>
      </c>
      <c r="F692" s="27" t="s">
        <v>1571</v>
      </c>
      <c r="G692" s="27"/>
      <c r="H692" s="16" t="str">
        <f>IF(ISBLANK(PARTIDAS!$G692),PARTIDAS!$F692,CONCATENATE(PARTIDAS!$F692," (",PARTIDAS!$G692,")"))</f>
        <v>Café en grano</v>
      </c>
      <c r="I692" s="16" t="s">
        <v>9427</v>
      </c>
    </row>
    <row r="693" spans="1:9" x14ac:dyDescent="0.25">
      <c r="A693" s="16" t="s">
        <v>1573</v>
      </c>
      <c r="B693" s="16" t="str">
        <f>TEXT(PARTIDA[[#This Row],[PARTIDA]],"0000000000")</f>
        <v>0901211000</v>
      </c>
      <c r="C693" s="16" t="s">
        <v>786</v>
      </c>
      <c r="D693" s="16" t="s">
        <v>787</v>
      </c>
      <c r="E693" s="16" t="s">
        <v>9429</v>
      </c>
      <c r="F693" s="27" t="s">
        <v>1571</v>
      </c>
      <c r="G693" s="27"/>
      <c r="H693" s="16" t="str">
        <f>IF(ISBLANK(PARTIDAS!$G693),PARTIDAS!$F693,CONCATENATE(PARTIDAS!$F693," (",PARTIDAS!$G693,")"))</f>
        <v>Café en grano</v>
      </c>
      <c r="I693" s="16" t="s">
        <v>9427</v>
      </c>
    </row>
    <row r="694" spans="1:9" x14ac:dyDescent="0.25">
      <c r="A694" s="16" t="s">
        <v>1574</v>
      </c>
      <c r="B694" s="16" t="str">
        <f>TEXT(PARTIDA[[#This Row],[PARTIDA]],"0000000000")</f>
        <v>0901212000</v>
      </c>
      <c r="C694" s="16" t="s">
        <v>786</v>
      </c>
      <c r="D694" s="16" t="s">
        <v>787</v>
      </c>
      <c r="E694" s="16" t="s">
        <v>9429</v>
      </c>
      <c r="F694" s="27" t="s">
        <v>1571</v>
      </c>
      <c r="G694" s="27"/>
      <c r="H694" s="16" t="str">
        <f>IF(ISBLANK(PARTIDAS!$G694),PARTIDAS!$F694,CONCATENATE(PARTIDAS!$F694," (",PARTIDAS!$G694,")"))</f>
        <v>Café en grano</v>
      </c>
      <c r="I694" s="16" t="s">
        <v>9427</v>
      </c>
    </row>
    <row r="695" spans="1:9" x14ac:dyDescent="0.25">
      <c r="A695" s="16" t="s">
        <v>1575</v>
      </c>
      <c r="B695" s="16" t="str">
        <f>TEXT(PARTIDA[[#This Row],[PARTIDA]],"0000000000")</f>
        <v>0901220000</v>
      </c>
      <c r="C695" s="16" t="s">
        <v>786</v>
      </c>
      <c r="D695" s="16" t="s">
        <v>787</v>
      </c>
      <c r="E695" s="16" t="s">
        <v>9429</v>
      </c>
      <c r="F695" s="27" t="s">
        <v>1571</v>
      </c>
      <c r="G695" s="27"/>
      <c r="H695" s="16" t="str">
        <f>IF(ISBLANK(PARTIDAS!$G695),PARTIDAS!$F695,CONCATENATE(PARTIDAS!$F695," (",PARTIDAS!$G695,")"))</f>
        <v>Café en grano</v>
      </c>
      <c r="I695" s="16" t="s">
        <v>9427</v>
      </c>
    </row>
    <row r="696" spans="1:9" x14ac:dyDescent="0.25">
      <c r="A696" s="16" t="s">
        <v>1576</v>
      </c>
      <c r="B696" s="16" t="str">
        <f>TEXT(PARTIDA[[#This Row],[PARTIDA]],"0000000000")</f>
        <v>0901900000</v>
      </c>
      <c r="C696" s="16" t="s">
        <v>786</v>
      </c>
      <c r="D696" s="16" t="s">
        <v>787</v>
      </c>
      <c r="E696" s="16" t="s">
        <v>9429</v>
      </c>
      <c r="F696" s="27" t="s">
        <v>1571</v>
      </c>
      <c r="G696" s="27"/>
      <c r="H696" s="16" t="str">
        <f>IF(ISBLANK(PARTIDAS!$G696),PARTIDAS!$F696,CONCATENATE(PARTIDAS!$F696," (",PARTIDAS!$G696,")"))</f>
        <v>Café en grano</v>
      </c>
      <c r="I696" s="16" t="s">
        <v>9427</v>
      </c>
    </row>
    <row r="697" spans="1:9" x14ac:dyDescent="0.25">
      <c r="A697" s="16" t="s">
        <v>1577</v>
      </c>
      <c r="B697" s="16" t="str">
        <f>TEXT(PARTIDA[[#This Row],[PARTIDA]],"0000000000")</f>
        <v>0902100000</v>
      </c>
      <c r="C697" s="16" t="s">
        <v>786</v>
      </c>
      <c r="D697" s="16" t="s">
        <v>787</v>
      </c>
      <c r="E697" s="16" t="s">
        <v>9429</v>
      </c>
      <c r="F697" s="27" t="s">
        <v>1578</v>
      </c>
      <c r="G697" s="27"/>
      <c r="H697" s="16" t="str">
        <f>IF(ISBLANK(PARTIDAS!$G697),PARTIDAS!$F697,CONCATENATE(PARTIDAS!$F697," (",PARTIDAS!$G697,")"))</f>
        <v>Té verde</v>
      </c>
      <c r="I697" s="16" t="s">
        <v>9427</v>
      </c>
    </row>
    <row r="698" spans="1:9" x14ac:dyDescent="0.25">
      <c r="A698" s="16" t="s">
        <v>1579</v>
      </c>
      <c r="B698" s="16" t="str">
        <f>TEXT(PARTIDA[[#This Row],[PARTIDA]],"0000000000")</f>
        <v>0902200000</v>
      </c>
      <c r="C698" s="16" t="s">
        <v>786</v>
      </c>
      <c r="D698" s="16" t="s">
        <v>787</v>
      </c>
      <c r="E698" s="16" t="s">
        <v>9429</v>
      </c>
      <c r="F698" s="27" t="s">
        <v>1578</v>
      </c>
      <c r="G698" s="27"/>
      <c r="H698" s="16" t="str">
        <f>IF(ISBLANK(PARTIDAS!$G698),PARTIDAS!$F698,CONCATENATE(PARTIDAS!$F698," (",PARTIDAS!$G698,")"))</f>
        <v>Té verde</v>
      </c>
      <c r="I698" s="16" t="s">
        <v>9427</v>
      </c>
    </row>
    <row r="699" spans="1:9" x14ac:dyDescent="0.25">
      <c r="A699" s="16" t="s">
        <v>1580</v>
      </c>
      <c r="B699" s="16" t="str">
        <f>TEXT(PARTIDA[[#This Row],[PARTIDA]],"0000000000")</f>
        <v>0902300000</v>
      </c>
      <c r="C699" s="16" t="s">
        <v>786</v>
      </c>
      <c r="D699" s="16" t="s">
        <v>787</v>
      </c>
      <c r="E699" s="16" t="s">
        <v>9429</v>
      </c>
      <c r="F699" s="27" t="s">
        <v>1581</v>
      </c>
      <c r="G699" s="27"/>
      <c r="H699" s="16" t="str">
        <f>IF(ISBLANK(PARTIDAS!$G699),PARTIDAS!$F699,CONCATENATE(PARTIDAS!$F699," (",PARTIDAS!$G699,")"))</f>
        <v>Té negro</v>
      </c>
      <c r="I699" s="16" t="s">
        <v>9427</v>
      </c>
    </row>
    <row r="700" spans="1:9" x14ac:dyDescent="0.25">
      <c r="A700" s="16" t="s">
        <v>1582</v>
      </c>
      <c r="B700" s="16" t="str">
        <f>TEXT(PARTIDA[[#This Row],[PARTIDA]],"0000000000")</f>
        <v>0902400000</v>
      </c>
      <c r="C700" s="16" t="s">
        <v>786</v>
      </c>
      <c r="D700" s="16" t="s">
        <v>787</v>
      </c>
      <c r="E700" s="16" t="s">
        <v>9429</v>
      </c>
      <c r="F700" s="27" t="s">
        <v>1581</v>
      </c>
      <c r="G700" s="27"/>
      <c r="H700" s="16" t="str">
        <f>IF(ISBLANK(PARTIDAS!$G700),PARTIDAS!$F700,CONCATENATE(PARTIDAS!$F700," (",PARTIDAS!$G700,")"))</f>
        <v>Té negro</v>
      </c>
      <c r="I700" s="16" t="s">
        <v>9427</v>
      </c>
    </row>
    <row r="701" spans="1:9" x14ac:dyDescent="0.25">
      <c r="A701" s="16" t="s">
        <v>1583</v>
      </c>
      <c r="B701" s="16" t="str">
        <f>TEXT(PARTIDA[[#This Row],[PARTIDA]],"0000000000")</f>
        <v>0903000000</v>
      </c>
      <c r="C701" s="16" t="s">
        <v>786</v>
      </c>
      <c r="D701" s="16" t="s">
        <v>787</v>
      </c>
      <c r="E701" s="16" t="s">
        <v>9429</v>
      </c>
      <c r="F701" s="27" t="s">
        <v>1584</v>
      </c>
      <c r="G701" s="27"/>
      <c r="H701" s="16" t="str">
        <f>IF(ISBLANK(PARTIDAS!$G701),PARTIDAS!$F701,CONCATENATE(PARTIDAS!$F701," (",PARTIDAS!$G701,")"))</f>
        <v>Yerba mate</v>
      </c>
      <c r="I701" s="16" t="s">
        <v>9427</v>
      </c>
    </row>
    <row r="702" spans="1:9" x14ac:dyDescent="0.25">
      <c r="A702" s="16" t="s">
        <v>1585</v>
      </c>
      <c r="B702" s="16" t="str">
        <f>TEXT(PARTIDA[[#This Row],[PARTIDA]],"0000000000")</f>
        <v>0904110000</v>
      </c>
      <c r="C702" s="16" t="s">
        <v>786</v>
      </c>
      <c r="D702" s="16" t="s">
        <v>787</v>
      </c>
      <c r="E702" s="16" t="s">
        <v>9429</v>
      </c>
      <c r="F702" s="27" t="s">
        <v>9930</v>
      </c>
      <c r="G702" s="27"/>
      <c r="H702" s="16" t="str">
        <f>IF(ISBLANK(PARTIDAS!$G702),PARTIDAS!$F702,CONCATENATE(PARTIDAS!$F702," (",PARTIDAS!$G702,")"))</f>
        <v>Pimienta, sin triturar ni pulverizar</v>
      </c>
      <c r="I702" s="16" t="s">
        <v>9427</v>
      </c>
    </row>
    <row r="703" spans="1:9" x14ac:dyDescent="0.25">
      <c r="A703" s="16" t="s">
        <v>1586</v>
      </c>
      <c r="B703" s="16" t="str">
        <f>TEXT(PARTIDA[[#This Row],[PARTIDA]],"0000000000")</f>
        <v>0904120000</v>
      </c>
      <c r="C703" s="16" t="s">
        <v>786</v>
      </c>
      <c r="D703" s="16" t="s">
        <v>787</v>
      </c>
      <c r="E703" s="16" t="s">
        <v>9429</v>
      </c>
      <c r="F703" s="27" t="s">
        <v>1587</v>
      </c>
      <c r="G703" s="27" t="s">
        <v>1472</v>
      </c>
      <c r="H703" s="16" t="str">
        <f>IF(ISBLANK(PARTIDAS!$G703),PARTIDAS!$F703,CONCATENATE(PARTIDAS!$F703," (",PARTIDAS!$G703,")"))</f>
        <v>Pimienta paprika (Verificar)</v>
      </c>
      <c r="I703" s="16" t="s">
        <v>9427</v>
      </c>
    </row>
    <row r="704" spans="1:9" x14ac:dyDescent="0.25">
      <c r="A704" s="16" t="s">
        <v>1588</v>
      </c>
      <c r="B704" s="16" t="str">
        <f>TEXT(PARTIDA[[#This Row],[PARTIDA]],"0000000000")</f>
        <v>0904211010</v>
      </c>
      <c r="C704" s="16" t="s">
        <v>786</v>
      </c>
      <c r="D704" s="16" t="s">
        <v>787</v>
      </c>
      <c r="E704" s="16" t="s">
        <v>9429</v>
      </c>
      <c r="F704" s="27" t="s">
        <v>9931</v>
      </c>
      <c r="G704" s="27"/>
      <c r="H704" s="16" t="str">
        <f>IF(ISBLANK(PARTIDAS!$G704),PARTIDAS!$F704,CONCATENATE(PARTIDAS!$F704," (",PARTIDAS!$G704,")"))</f>
        <v>Paprika (Capsicum annuum, L.), en trozos o rodajas</v>
      </c>
      <c r="I704" s="16" t="s">
        <v>9427</v>
      </c>
    </row>
    <row r="705" spans="1:9" x14ac:dyDescent="0.25">
      <c r="A705" s="16" t="s">
        <v>1589</v>
      </c>
      <c r="B705" s="16" t="str">
        <f>TEXT(PARTIDA[[#This Row],[PARTIDA]],"0000000000")</f>
        <v>0904211090</v>
      </c>
      <c r="C705" s="16" t="s">
        <v>786</v>
      </c>
      <c r="D705" s="16" t="s">
        <v>787</v>
      </c>
      <c r="E705" s="16" t="s">
        <v>9429</v>
      </c>
      <c r="F705" s="27" t="s">
        <v>1587</v>
      </c>
      <c r="G705" s="27" t="s">
        <v>852</v>
      </c>
      <c r="H705" s="16" t="str">
        <f>IF(ISBLANK(PARTIDAS!$G705),PARTIDAS!$F705,CONCATENATE(PARTIDAS!$F705," (",PARTIDAS!$G705,")"))</f>
        <v>Pimienta paprika (Especificar)</v>
      </c>
      <c r="I705" s="16" t="s">
        <v>9427</v>
      </c>
    </row>
    <row r="706" spans="1:9" x14ac:dyDescent="0.25">
      <c r="A706" s="16" t="s">
        <v>1590</v>
      </c>
      <c r="B706" s="16" t="str">
        <f>TEXT(PARTIDA[[#This Row],[PARTIDA]],"0000000000")</f>
        <v>0904219000</v>
      </c>
      <c r="C706" s="16" t="s">
        <v>786</v>
      </c>
      <c r="D706" s="16" t="s">
        <v>787</v>
      </c>
      <c r="E706" s="16" t="s">
        <v>9429</v>
      </c>
      <c r="F706" s="27" t="s">
        <v>1587</v>
      </c>
      <c r="G706" s="27" t="s">
        <v>852</v>
      </c>
      <c r="H706" s="16" t="str">
        <f>IF(ISBLANK(PARTIDAS!$G706),PARTIDAS!$F706,CONCATENATE(PARTIDAS!$F706," (",PARTIDAS!$G706,")"))</f>
        <v>Pimienta paprika (Especificar)</v>
      </c>
      <c r="I706" s="16" t="s">
        <v>9427</v>
      </c>
    </row>
    <row r="707" spans="1:9" x14ac:dyDescent="0.25">
      <c r="A707" s="16" t="s">
        <v>1591</v>
      </c>
      <c r="B707" s="16" t="str">
        <f>TEXT(PARTIDA[[#This Row],[PARTIDA]],"0000000000")</f>
        <v>0904221000</v>
      </c>
      <c r="C707" s="16" t="s">
        <v>786</v>
      </c>
      <c r="D707" s="16" t="s">
        <v>787</v>
      </c>
      <c r="E707" s="16" t="s">
        <v>9429</v>
      </c>
      <c r="F707" s="27" t="s">
        <v>1587</v>
      </c>
      <c r="G707" s="27"/>
      <c r="H707" s="16" t="str">
        <f>IF(ISBLANK(PARTIDAS!$G707),PARTIDAS!$F707,CONCATENATE(PARTIDAS!$F707," (",PARTIDAS!$G707,")"))</f>
        <v>Pimienta paprika</v>
      </c>
      <c r="I707" s="16" t="s">
        <v>9427</v>
      </c>
    </row>
    <row r="708" spans="1:9" x14ac:dyDescent="0.25">
      <c r="A708" s="16" t="s">
        <v>1592</v>
      </c>
      <c r="B708" s="16" t="str">
        <f>TEXT(PARTIDA[[#This Row],[PARTIDA]],"0000000000")</f>
        <v>0904229000</v>
      </c>
      <c r="C708" s="16" t="s">
        <v>786</v>
      </c>
      <c r="D708" s="16" t="s">
        <v>787</v>
      </c>
      <c r="E708" s="16" t="s">
        <v>9429</v>
      </c>
      <c r="F708" s="27" t="s">
        <v>1593</v>
      </c>
      <c r="G708" s="27" t="s">
        <v>852</v>
      </c>
      <c r="H708" s="16" t="str">
        <f>IF(ISBLANK(PARTIDAS!$G708),PARTIDAS!$F708,CONCATENATE(PARTIDAS!$F708," (",PARTIDAS!$G708,")"))</f>
        <v>Pimienta (Especificar)</v>
      </c>
      <c r="I708" s="16" t="s">
        <v>9427</v>
      </c>
    </row>
    <row r="709" spans="1:9" x14ac:dyDescent="0.25">
      <c r="A709" s="16" t="s">
        <v>1594</v>
      </c>
      <c r="B709" s="16" t="str">
        <f>TEXT(PARTIDA[[#This Row],[PARTIDA]],"0000000000")</f>
        <v>0905100000</v>
      </c>
      <c r="C709" s="16" t="s">
        <v>786</v>
      </c>
      <c r="D709" s="16" t="s">
        <v>787</v>
      </c>
      <c r="E709" s="16" t="s">
        <v>9429</v>
      </c>
      <c r="F709" s="27" t="s">
        <v>1595</v>
      </c>
      <c r="G709" s="27"/>
      <c r="H709" s="16" t="str">
        <f>IF(ISBLANK(PARTIDAS!$G709),PARTIDAS!$F709,CONCATENATE(PARTIDAS!$F709," (",PARTIDAS!$G709,")"))</f>
        <v>Vainilla</v>
      </c>
      <c r="I709" s="16" t="s">
        <v>9427</v>
      </c>
    </row>
    <row r="710" spans="1:9" x14ac:dyDescent="0.25">
      <c r="A710" s="16" t="s">
        <v>1596</v>
      </c>
      <c r="B710" s="16" t="str">
        <f>TEXT(PARTIDA[[#This Row],[PARTIDA]],"0000000000")</f>
        <v>0905200000</v>
      </c>
      <c r="C710" s="16" t="s">
        <v>786</v>
      </c>
      <c r="D710" s="16" t="s">
        <v>787</v>
      </c>
      <c r="E710" s="16" t="s">
        <v>9429</v>
      </c>
      <c r="F710" s="27" t="s">
        <v>1595</v>
      </c>
      <c r="G710" s="27"/>
      <c r="H710" s="16" t="str">
        <f>IF(ISBLANK(PARTIDAS!$G710),PARTIDAS!$F710,CONCATENATE(PARTIDAS!$F710," (",PARTIDAS!$G710,")"))</f>
        <v>Vainilla</v>
      </c>
      <c r="I710" s="16" t="s">
        <v>9427</v>
      </c>
    </row>
    <row r="711" spans="1:9" x14ac:dyDescent="0.25">
      <c r="A711" s="16" t="s">
        <v>1597</v>
      </c>
      <c r="B711" s="16" t="str">
        <f>TEXT(PARTIDA[[#This Row],[PARTIDA]],"0000000000")</f>
        <v>0906110000</v>
      </c>
      <c r="C711" s="16" t="s">
        <v>786</v>
      </c>
      <c r="D711" s="16" t="s">
        <v>787</v>
      </c>
      <c r="E711" s="16" t="s">
        <v>9429</v>
      </c>
      <c r="F711" s="27" t="s">
        <v>9932</v>
      </c>
      <c r="G711" s="27"/>
      <c r="H711" s="16" t="str">
        <f>IF(ISBLANK(PARTIDAS!$G711),PARTIDAS!$F711,CONCATENATE(PARTIDAS!$F711," (",PARTIDAS!$G711,")"))</f>
        <v>Canela (Cinnamomum zeylanicum Blume)</v>
      </c>
      <c r="I711" s="16" t="s">
        <v>9427</v>
      </c>
    </row>
    <row r="712" spans="1:9" x14ac:dyDescent="0.25">
      <c r="A712" s="16" t="s">
        <v>1598</v>
      </c>
      <c r="B712" s="16" t="str">
        <f>TEXT(PARTIDA[[#This Row],[PARTIDA]],"0000000000")</f>
        <v>0906190000</v>
      </c>
      <c r="C712" s="16" t="s">
        <v>786</v>
      </c>
      <c r="D712" s="16" t="s">
        <v>787</v>
      </c>
      <c r="E712" s="16" t="s">
        <v>9429</v>
      </c>
      <c r="F712" s="27" t="s">
        <v>9933</v>
      </c>
      <c r="G712" s="27"/>
      <c r="H712" s="16" t="str">
        <f>IF(ISBLANK(PARTIDAS!$G712),PARTIDAS!$F712,CONCATENATE(PARTIDAS!$F712," (",PARTIDAS!$G712,")"))</f>
        <v>Canela y flores de canelero, sin triturar ni pulverizar (los demás)</v>
      </c>
      <c r="I712" s="16" t="s">
        <v>9427</v>
      </c>
    </row>
    <row r="713" spans="1:9" x14ac:dyDescent="0.25">
      <c r="A713" s="16" t="s">
        <v>1599</v>
      </c>
      <c r="B713" s="16" t="str">
        <f>TEXT(PARTIDA[[#This Row],[PARTIDA]],"0000000000")</f>
        <v>0906200000</v>
      </c>
      <c r="C713" s="16" t="s">
        <v>786</v>
      </c>
      <c r="D713" s="16" t="s">
        <v>787</v>
      </c>
      <c r="E713" s="16" t="s">
        <v>9429</v>
      </c>
      <c r="F713" s="27" t="s">
        <v>9934</v>
      </c>
      <c r="G713" s="27"/>
      <c r="H713" s="16" t="str">
        <f>IF(ISBLANK(PARTIDAS!$G713),PARTIDAS!$F713,CONCATENATE(PARTIDAS!$F713," (",PARTIDAS!$G713,")"))</f>
        <v>Trituradas o pulverizadas</v>
      </c>
      <c r="I713" s="16" t="s">
        <v>9427</v>
      </c>
    </row>
    <row r="714" spans="1:9" x14ac:dyDescent="0.25">
      <c r="A714" s="16" t="s">
        <v>1600</v>
      </c>
      <c r="B714" s="16" t="str">
        <f>TEXT(PARTIDA[[#This Row],[PARTIDA]],"0000000000")</f>
        <v>0907100000</v>
      </c>
      <c r="C714" s="16" t="s">
        <v>786</v>
      </c>
      <c r="D714" s="16" t="s">
        <v>787</v>
      </c>
      <c r="E714" s="16" t="s">
        <v>9429</v>
      </c>
      <c r="F714" s="27" t="s">
        <v>9935</v>
      </c>
      <c r="G714" s="27"/>
      <c r="H714" s="16" t="str">
        <f>IF(ISBLANK(PARTIDAS!$G714),PARTIDAS!$F714,CONCATENATE(PARTIDAS!$F714," (",PARTIDAS!$G714,")"))</f>
        <v>Clavos (frutos enteros, clavillos y pedúnculos), sin triturar ni pulverizar</v>
      </c>
      <c r="I714" s="16" t="s">
        <v>9427</v>
      </c>
    </row>
    <row r="715" spans="1:9" x14ac:dyDescent="0.25">
      <c r="A715" s="16" t="s">
        <v>1601</v>
      </c>
      <c r="B715" s="16" t="str">
        <f>TEXT(PARTIDA[[#This Row],[PARTIDA]],"0000000000")</f>
        <v>0907200000</v>
      </c>
      <c r="C715" s="16" t="s">
        <v>786</v>
      </c>
      <c r="D715" s="16" t="s">
        <v>787</v>
      </c>
      <c r="E715" s="16" t="s">
        <v>9429</v>
      </c>
      <c r="F715" s="27" t="s">
        <v>9936</v>
      </c>
      <c r="G715" s="27"/>
      <c r="H715" s="16" t="str">
        <f>IF(ISBLANK(PARTIDAS!$G715),PARTIDAS!$F715,CONCATENATE(PARTIDAS!$F715," (",PARTIDAS!$G715,")"))</f>
        <v>Triturados o pulverizados</v>
      </c>
      <c r="I715" s="16" t="s">
        <v>9427</v>
      </c>
    </row>
    <row r="716" spans="1:9" x14ac:dyDescent="0.25">
      <c r="A716" s="16" t="s">
        <v>1602</v>
      </c>
      <c r="B716" s="16" t="str">
        <f>TEXT(PARTIDA[[#This Row],[PARTIDA]],"0000000000")</f>
        <v>0908110000</v>
      </c>
      <c r="C716" s="16" t="s">
        <v>786</v>
      </c>
      <c r="D716" s="16" t="s">
        <v>787</v>
      </c>
      <c r="E716" s="16" t="s">
        <v>9429</v>
      </c>
      <c r="F716" s="27" t="s">
        <v>9937</v>
      </c>
      <c r="G716" s="27"/>
      <c r="H716" s="16" t="str">
        <f>IF(ISBLANK(PARTIDAS!$G716),PARTIDAS!$F716,CONCATENATE(PARTIDAS!$F716," (",PARTIDAS!$G716,")"))</f>
        <v>Nuez moscada, sin triturar ni pulverizar</v>
      </c>
      <c r="I716" s="16" t="s">
        <v>9427</v>
      </c>
    </row>
    <row r="717" spans="1:9" x14ac:dyDescent="0.25">
      <c r="A717" s="16" t="s">
        <v>1603</v>
      </c>
      <c r="B717" s="16" t="str">
        <f>TEXT(PARTIDA[[#This Row],[PARTIDA]],"0000000000")</f>
        <v>0908120000</v>
      </c>
      <c r="C717" s="16" t="s">
        <v>786</v>
      </c>
      <c r="D717" s="16" t="s">
        <v>787</v>
      </c>
      <c r="E717" s="16" t="s">
        <v>9429</v>
      </c>
      <c r="F717" s="27" t="s">
        <v>9938</v>
      </c>
      <c r="G717" s="27"/>
      <c r="H717" s="16" t="str">
        <f>IF(ISBLANK(PARTIDAS!$G717),PARTIDAS!$F717,CONCATENATE(PARTIDAS!$F717," (",PARTIDAS!$G717,")"))</f>
        <v>Triturada o pulverizada</v>
      </c>
      <c r="I717" s="16" t="s">
        <v>9427</v>
      </c>
    </row>
    <row r="718" spans="1:9" x14ac:dyDescent="0.25">
      <c r="A718" s="16" t="s">
        <v>1604</v>
      </c>
      <c r="B718" s="16" t="str">
        <f>TEXT(PARTIDA[[#This Row],[PARTIDA]],"0000000000")</f>
        <v>0908210000</v>
      </c>
      <c r="C718" s="16" t="s">
        <v>786</v>
      </c>
      <c r="D718" s="16" t="s">
        <v>787</v>
      </c>
      <c r="E718" s="16" t="s">
        <v>9429</v>
      </c>
      <c r="F718" s="27" t="s">
        <v>9939</v>
      </c>
      <c r="G718" s="27"/>
      <c r="H718" s="16" t="str">
        <f>IF(ISBLANK(PARTIDAS!$G718),PARTIDAS!$F718,CONCATENATE(PARTIDAS!$F718," (",PARTIDAS!$G718,")"))</f>
        <v>Macis, sin triturar ni pulverizar</v>
      </c>
      <c r="I718" s="16" t="s">
        <v>9427</v>
      </c>
    </row>
    <row r="719" spans="1:9" x14ac:dyDescent="0.25">
      <c r="A719" s="16" t="s">
        <v>1605</v>
      </c>
      <c r="B719" s="16" t="str">
        <f>TEXT(PARTIDA[[#This Row],[PARTIDA]],"0000000000")</f>
        <v>0908220000</v>
      </c>
      <c r="C719" s="16" t="s">
        <v>786</v>
      </c>
      <c r="D719" s="16" t="s">
        <v>787</v>
      </c>
      <c r="E719" s="16" t="s">
        <v>9429</v>
      </c>
      <c r="F719" s="27" t="s">
        <v>9940</v>
      </c>
      <c r="G719" s="27"/>
      <c r="H719" s="16" t="str">
        <f>IF(ISBLANK(PARTIDAS!$G719),PARTIDAS!$F719,CONCATENATE(PARTIDAS!$F719," (",PARTIDAS!$G719,")"))</f>
        <v>Triturado o pulverizado</v>
      </c>
      <c r="I719" s="16" t="s">
        <v>9427</v>
      </c>
    </row>
    <row r="720" spans="1:9" x14ac:dyDescent="0.25">
      <c r="A720" s="16" t="s">
        <v>1606</v>
      </c>
      <c r="B720" s="16" t="str">
        <f>TEXT(PARTIDA[[#This Row],[PARTIDA]],"0000000000")</f>
        <v>0908310000</v>
      </c>
      <c r="C720" s="16" t="s">
        <v>786</v>
      </c>
      <c r="D720" s="16" t="s">
        <v>787</v>
      </c>
      <c r="E720" s="16" t="s">
        <v>9429</v>
      </c>
      <c r="F720" s="27" t="s">
        <v>9941</v>
      </c>
      <c r="G720" s="27"/>
      <c r="H720" s="16" t="str">
        <f>IF(ISBLANK(PARTIDAS!$G720),PARTIDAS!$F720,CONCATENATE(PARTIDAS!$F720," (",PARTIDAS!$G720,")"))</f>
        <v>Amomos y cardamomos, sin triturar ni pulverizar</v>
      </c>
      <c r="I720" s="16" t="s">
        <v>9427</v>
      </c>
    </row>
    <row r="721" spans="1:9" x14ac:dyDescent="0.25">
      <c r="A721" s="16" t="s">
        <v>1607</v>
      </c>
      <c r="B721" s="16" t="str">
        <f>TEXT(PARTIDA[[#This Row],[PARTIDA]],"0000000000")</f>
        <v>0908320000</v>
      </c>
      <c r="C721" s="16" t="s">
        <v>786</v>
      </c>
      <c r="D721" s="16" t="s">
        <v>787</v>
      </c>
      <c r="E721" s="16" t="s">
        <v>9429</v>
      </c>
      <c r="F721" s="27" t="s">
        <v>9936</v>
      </c>
      <c r="G721" s="27"/>
      <c r="H721" s="16" t="str">
        <f>IF(ISBLANK(PARTIDAS!$G721),PARTIDAS!$F721,CONCATENATE(PARTIDAS!$F721," (",PARTIDAS!$G721,")"))</f>
        <v>Triturados o pulverizados</v>
      </c>
      <c r="I721" s="16" t="s">
        <v>9427</v>
      </c>
    </row>
    <row r="722" spans="1:9" x14ac:dyDescent="0.25">
      <c r="A722" s="16" t="s">
        <v>1608</v>
      </c>
      <c r="B722" s="16" t="str">
        <f>TEXT(PARTIDA[[#This Row],[PARTIDA]],"0000000000")</f>
        <v>0909211000</v>
      </c>
      <c r="C722" s="16" t="s">
        <v>786</v>
      </c>
      <c r="D722" s="16" t="s">
        <v>787</v>
      </c>
      <c r="E722" s="16" t="s">
        <v>9429</v>
      </c>
      <c r="F722" s="27" t="s">
        <v>9942</v>
      </c>
      <c r="G722" s="27"/>
      <c r="H722" s="16" t="str">
        <f>IF(ISBLANK(PARTIDAS!$G722),PARTIDAS!$F722,CONCATENATE(PARTIDAS!$F722," (",PARTIDAS!$G722,")"))</f>
        <v>Semillas de cilantro, sin triturar ni pulverizar, para siembra</v>
      </c>
      <c r="I722" s="16" t="s">
        <v>9427</v>
      </c>
    </row>
    <row r="723" spans="1:9" x14ac:dyDescent="0.25">
      <c r="A723" s="16" t="s">
        <v>1609</v>
      </c>
      <c r="B723" s="16" t="str">
        <f>TEXT(PARTIDA[[#This Row],[PARTIDA]],"0000000000")</f>
        <v>0909219000</v>
      </c>
      <c r="C723" s="16" t="s">
        <v>786</v>
      </c>
      <c r="D723" s="16" t="s">
        <v>787</v>
      </c>
      <c r="E723" s="16" t="s">
        <v>9429</v>
      </c>
      <c r="F723" s="27" t="s">
        <v>9943</v>
      </c>
      <c r="G723" s="27"/>
      <c r="H723" s="16" t="str">
        <f>IF(ISBLANK(PARTIDAS!$G723),PARTIDAS!$F723,CONCATENATE(PARTIDAS!$F723," (",PARTIDAS!$G723,")"))</f>
        <v>Semillas de cilantro, sin triturar ni pulverizar (los demás)</v>
      </c>
      <c r="I723" s="16" t="s">
        <v>9427</v>
      </c>
    </row>
    <row r="724" spans="1:9" x14ac:dyDescent="0.25">
      <c r="A724" s="16" t="s">
        <v>1610</v>
      </c>
      <c r="B724" s="16" t="str">
        <f>TEXT(PARTIDA[[#This Row],[PARTIDA]],"0000000000")</f>
        <v>0909220000</v>
      </c>
      <c r="C724" s="16" t="s">
        <v>786</v>
      </c>
      <c r="D724" s="16" t="s">
        <v>787</v>
      </c>
      <c r="E724" s="16" t="s">
        <v>9429</v>
      </c>
      <c r="F724" s="27" t="s">
        <v>9934</v>
      </c>
      <c r="G724" s="27"/>
      <c r="H724" s="16" t="str">
        <f>IF(ISBLANK(PARTIDAS!$G724),PARTIDAS!$F724,CONCATENATE(PARTIDAS!$F724," (",PARTIDAS!$G724,")"))</f>
        <v>Trituradas o pulverizadas</v>
      </c>
      <c r="I724" s="16" t="s">
        <v>9427</v>
      </c>
    </row>
    <row r="725" spans="1:9" x14ac:dyDescent="0.25">
      <c r="A725" s="16" t="s">
        <v>1611</v>
      </c>
      <c r="B725" s="16" t="str">
        <f>TEXT(PARTIDA[[#This Row],[PARTIDA]],"0000000000")</f>
        <v>0909310000</v>
      </c>
      <c r="C725" s="16" t="s">
        <v>786</v>
      </c>
      <c r="D725" s="16" t="s">
        <v>787</v>
      </c>
      <c r="E725" s="16" t="s">
        <v>9429</v>
      </c>
      <c r="F725" s="27" t="s">
        <v>9944</v>
      </c>
      <c r="G725" s="27"/>
      <c r="H725" s="16" t="str">
        <f>IF(ISBLANK(PARTIDAS!$G725),PARTIDAS!$F725,CONCATENATE(PARTIDAS!$F725," (",PARTIDAS!$G725,")"))</f>
        <v>Semillas de comino, sin triturar ni pulverizar</v>
      </c>
      <c r="I725" s="16" t="s">
        <v>9427</v>
      </c>
    </row>
    <row r="726" spans="1:9" x14ac:dyDescent="0.25">
      <c r="A726" s="16" t="s">
        <v>1612</v>
      </c>
      <c r="B726" s="16" t="str">
        <f>TEXT(PARTIDA[[#This Row],[PARTIDA]],"0000000000")</f>
        <v>0909320000</v>
      </c>
      <c r="C726" s="16" t="s">
        <v>786</v>
      </c>
      <c r="D726" s="16" t="s">
        <v>787</v>
      </c>
      <c r="E726" s="16" t="s">
        <v>9429</v>
      </c>
      <c r="F726" s="27" t="s">
        <v>9934</v>
      </c>
      <c r="G726" s="27"/>
      <c r="H726" s="16" t="str">
        <f>IF(ISBLANK(PARTIDAS!$G726),PARTIDAS!$F726,CONCATENATE(PARTIDAS!$F726," (",PARTIDAS!$G726,")"))</f>
        <v>Trituradas o pulverizadas</v>
      </c>
      <c r="I726" s="16" t="s">
        <v>9427</v>
      </c>
    </row>
    <row r="727" spans="1:9" x14ac:dyDescent="0.25">
      <c r="A727" s="16" t="s">
        <v>1613</v>
      </c>
      <c r="B727" s="16" t="str">
        <f>TEXT(PARTIDA[[#This Row],[PARTIDA]],"0000000000")</f>
        <v>0909610000</v>
      </c>
      <c r="C727" s="16" t="s">
        <v>786</v>
      </c>
      <c r="D727" s="16" t="s">
        <v>787</v>
      </c>
      <c r="E727" s="16" t="s">
        <v>9429</v>
      </c>
      <c r="F727" s="27" t="s">
        <v>9945</v>
      </c>
      <c r="G727" s="27"/>
      <c r="H727" s="16" t="str">
        <f>IF(ISBLANK(PARTIDAS!$G727),PARTIDAS!$F727,CONCATENATE(PARTIDAS!$F727," (",PARTIDAS!$G727,")"))</f>
        <v>Semillas de anís, badiana, alcaravea o hinojo, sin triturar ni pulverizar</v>
      </c>
      <c r="I727" s="16" t="s">
        <v>9427</v>
      </c>
    </row>
    <row r="728" spans="1:9" x14ac:dyDescent="0.25">
      <c r="A728" s="16" t="s">
        <v>1614</v>
      </c>
      <c r="B728" s="16" t="str">
        <f>TEXT(PARTIDA[[#This Row],[PARTIDA]],"0000000000")</f>
        <v>0909620000</v>
      </c>
      <c r="C728" s="16" t="s">
        <v>786</v>
      </c>
      <c r="D728" s="16" t="s">
        <v>787</v>
      </c>
      <c r="E728" s="16" t="s">
        <v>9429</v>
      </c>
      <c r="F728" s="27" t="s">
        <v>9934</v>
      </c>
      <c r="G728" s="27"/>
      <c r="H728" s="16" t="str">
        <f>IF(ISBLANK(PARTIDAS!$G728),PARTIDAS!$F728,CONCATENATE(PARTIDAS!$F728," (",PARTIDAS!$G728,")"))</f>
        <v>Trituradas o pulverizadas</v>
      </c>
      <c r="I728" s="16" t="s">
        <v>9427</v>
      </c>
    </row>
    <row r="729" spans="1:9" x14ac:dyDescent="0.25">
      <c r="A729" s="16" t="s">
        <v>1615</v>
      </c>
      <c r="B729" s="16" t="str">
        <f>TEXT(PARTIDA[[#This Row],[PARTIDA]],"0000000000")</f>
        <v>0910110000</v>
      </c>
      <c r="C729" s="16" t="s">
        <v>786</v>
      </c>
      <c r="D729" s="16" t="s">
        <v>787</v>
      </c>
      <c r="E729" s="16" t="s">
        <v>9429</v>
      </c>
      <c r="F729" s="27" t="s">
        <v>1616</v>
      </c>
      <c r="G729" s="27" t="s">
        <v>852</v>
      </c>
      <c r="H729" s="16" t="str">
        <f>IF(ISBLANK(PARTIDAS!$G729),PARTIDAS!$F729,CONCATENATE(PARTIDAS!$F729," (",PARTIDAS!$G729,")"))</f>
        <v>Jengibre, azafrán, cúrcuma, tomillo, hojas de laurel, curry (Especificar)</v>
      </c>
      <c r="I729" s="16" t="s">
        <v>9427</v>
      </c>
    </row>
    <row r="730" spans="1:9" x14ac:dyDescent="0.25">
      <c r="A730" s="16" t="s">
        <v>1617</v>
      </c>
      <c r="B730" s="16" t="str">
        <f>TEXT(PARTIDA[[#This Row],[PARTIDA]],"0000000000")</f>
        <v>0910120000</v>
      </c>
      <c r="C730" s="16" t="s">
        <v>786</v>
      </c>
      <c r="D730" s="16" t="s">
        <v>787</v>
      </c>
      <c r="E730" s="16" t="s">
        <v>9429</v>
      </c>
      <c r="F730" s="27" t="s">
        <v>1616</v>
      </c>
      <c r="G730" s="27" t="s">
        <v>852</v>
      </c>
      <c r="H730" s="16" t="str">
        <f>IF(ISBLANK(PARTIDAS!$G730),PARTIDAS!$F730,CONCATENATE(PARTIDAS!$F730," (",PARTIDAS!$G730,")"))</f>
        <v>Jengibre, azafrán, cúrcuma, tomillo, hojas de laurel, curry (Especificar)</v>
      </c>
      <c r="I730" s="16" t="s">
        <v>9427</v>
      </c>
    </row>
    <row r="731" spans="1:9" x14ac:dyDescent="0.25">
      <c r="A731" s="16" t="s">
        <v>1618</v>
      </c>
      <c r="B731" s="16" t="str">
        <f>TEXT(PARTIDA[[#This Row],[PARTIDA]],"0000000000")</f>
        <v>0910200000</v>
      </c>
      <c r="C731" s="16" t="s">
        <v>786</v>
      </c>
      <c r="D731" s="16" t="s">
        <v>787</v>
      </c>
      <c r="E731" s="16" t="s">
        <v>9429</v>
      </c>
      <c r="F731" s="27" t="s">
        <v>9946</v>
      </c>
      <c r="G731" s="27"/>
      <c r="H731" s="16" t="str">
        <f>IF(ISBLANK(PARTIDAS!$G731),PARTIDAS!$F731,CONCATENATE(PARTIDAS!$F731," (",PARTIDAS!$G731,")"))</f>
        <v>Azafrán</v>
      </c>
      <c r="I731" s="16" t="s">
        <v>9427</v>
      </c>
    </row>
    <row r="732" spans="1:9" x14ac:dyDescent="0.25">
      <c r="A732" s="16" t="s">
        <v>1619</v>
      </c>
      <c r="B732" s="16" t="str">
        <f>TEXT(PARTIDA[[#This Row],[PARTIDA]],"0000000000")</f>
        <v>0910300000</v>
      </c>
      <c r="C732" s="16" t="s">
        <v>786</v>
      </c>
      <c r="D732" s="16" t="s">
        <v>787</v>
      </c>
      <c r="E732" s="16" t="s">
        <v>9429</v>
      </c>
      <c r="F732" s="27" t="s">
        <v>1620</v>
      </c>
      <c r="G732" s="27"/>
      <c r="H732" s="16" t="str">
        <f>IF(ISBLANK(PARTIDAS!$G732),PARTIDAS!$F732,CONCATENATE(PARTIDAS!$F732," (",PARTIDAS!$G732,")"))</f>
        <v>Cúrcuma</v>
      </c>
      <c r="I732" s="16" t="s">
        <v>9427</v>
      </c>
    </row>
    <row r="733" spans="1:9" x14ac:dyDescent="0.25">
      <c r="A733" s="16" t="s">
        <v>1621</v>
      </c>
      <c r="B733" s="16" t="str">
        <f>TEXT(PARTIDA[[#This Row],[PARTIDA]],"0000000000")</f>
        <v>0910910000</v>
      </c>
      <c r="C733" s="16" t="s">
        <v>786</v>
      </c>
      <c r="D733" s="16" t="s">
        <v>787</v>
      </c>
      <c r="E733" s="16" t="s">
        <v>9429</v>
      </c>
      <c r="F733" s="27" t="s">
        <v>9947</v>
      </c>
      <c r="G733" s="27"/>
      <c r="H733" s="16" t="str">
        <f>IF(ISBLANK(PARTIDAS!$G733),PARTIDAS!$F733,CONCATENATE(PARTIDAS!$F733," (",PARTIDAS!$G733,")"))</f>
        <v>Mezclas previstas en la Nota 1 b) de este Capítulo</v>
      </c>
      <c r="I733" s="16" t="s">
        <v>9427</v>
      </c>
    </row>
    <row r="734" spans="1:9" x14ac:dyDescent="0.25">
      <c r="A734" s="16" t="s">
        <v>1622</v>
      </c>
      <c r="B734" s="16" t="str">
        <f>TEXT(PARTIDA[[#This Row],[PARTIDA]],"0000000000")</f>
        <v>0910991000</v>
      </c>
      <c r="C734" s="16" t="s">
        <v>786</v>
      </c>
      <c r="D734" s="16" t="s">
        <v>787</v>
      </c>
      <c r="E734" s="16" t="s">
        <v>9429</v>
      </c>
      <c r="F734" s="27" t="s">
        <v>9948</v>
      </c>
      <c r="G734" s="27"/>
      <c r="H734" s="16" t="str">
        <f>IF(ISBLANK(PARTIDAS!$G734),PARTIDAS!$F734,CONCATENATE(PARTIDAS!$F734," (",PARTIDAS!$G734,")"))</f>
        <v>Hojas de laurel</v>
      </c>
      <c r="I734" s="16" t="s">
        <v>9427</v>
      </c>
    </row>
    <row r="735" spans="1:9" x14ac:dyDescent="0.25">
      <c r="A735" s="16" t="s">
        <v>1623</v>
      </c>
      <c r="B735" s="16" t="str">
        <f>TEXT(PARTIDA[[#This Row],[PARTIDA]],"0000000000")</f>
        <v>0910999000</v>
      </c>
      <c r="C735" s="16" t="s">
        <v>786</v>
      </c>
      <c r="D735" s="16" t="s">
        <v>787</v>
      </c>
      <c r="E735" s="16" t="s">
        <v>9429</v>
      </c>
      <c r="F735" s="27" t="s">
        <v>9949</v>
      </c>
      <c r="G735" s="27"/>
      <c r="H735" s="16" t="str">
        <f>IF(ISBLANK(PARTIDAS!$G735),PARTIDAS!$F735,CONCATENATE(PARTIDAS!$F735," (",PARTIDAS!$G735,")"))</f>
        <v>Jengibre, azafrán, cúrcuma, tomillo, hojas de laurel, curri y demás… (los demás)</v>
      </c>
      <c r="I735" s="16" t="s">
        <v>9427</v>
      </c>
    </row>
    <row r="736" spans="1:9" x14ac:dyDescent="0.25">
      <c r="A736" s="16" t="s">
        <v>1624</v>
      </c>
      <c r="B736" s="16" t="str">
        <f>TEXT(PARTIDA[[#This Row],[PARTIDA]],"0000000000")</f>
        <v>1001110000</v>
      </c>
      <c r="C736" s="16" t="s">
        <v>815</v>
      </c>
      <c r="D736" s="16" t="s">
        <v>825</v>
      </c>
      <c r="E736" s="16" t="s">
        <v>9454</v>
      </c>
      <c r="F736" s="27" t="s">
        <v>9950</v>
      </c>
      <c r="G736" s="27"/>
      <c r="H736" s="16" t="str">
        <f>IF(ISBLANK(PARTIDAS!$G736),PARTIDAS!$F736,CONCATENATE(PARTIDAS!$F736," (",PARTIDAS!$G736,")"))</f>
        <v>Trigo duro, para siembra</v>
      </c>
      <c r="I736" s="16" t="s">
        <v>9427</v>
      </c>
    </row>
    <row r="737" spans="1:9" x14ac:dyDescent="0.25">
      <c r="A737" s="16" t="s">
        <v>1625</v>
      </c>
      <c r="B737" s="16" t="str">
        <f>TEXT(PARTIDA[[#This Row],[PARTIDA]],"0000000000")</f>
        <v>1001190000</v>
      </c>
      <c r="C737" s="16" t="s">
        <v>815</v>
      </c>
      <c r="D737" s="16" t="s">
        <v>835</v>
      </c>
      <c r="E737" s="16" t="s">
        <v>788</v>
      </c>
      <c r="F737" s="27" t="s">
        <v>9951</v>
      </c>
      <c r="G737" s="27"/>
      <c r="H737" s="16" t="str">
        <f>IF(ISBLANK(PARTIDAS!$G737),PARTIDAS!$F737,CONCATENATE(PARTIDAS!$F737," (",PARTIDAS!$G737,")"))</f>
        <v>Trigo duro (los demás)</v>
      </c>
      <c r="I737" s="16" t="s">
        <v>9427</v>
      </c>
    </row>
    <row r="738" spans="1:9" x14ac:dyDescent="0.25">
      <c r="A738" s="16" t="s">
        <v>1626</v>
      </c>
      <c r="B738" s="16" t="str">
        <f>TEXT(PARTIDA[[#This Row],[PARTIDA]],"0000000000")</f>
        <v>1001910010</v>
      </c>
      <c r="C738" s="16" t="s">
        <v>815</v>
      </c>
      <c r="D738" s="16" t="s">
        <v>825</v>
      </c>
      <c r="E738" s="16" t="s">
        <v>9454</v>
      </c>
      <c r="F738" s="27" t="s">
        <v>9952</v>
      </c>
      <c r="G738" s="27"/>
      <c r="H738" s="16" t="str">
        <f>IF(ISBLANK(PARTIDAS!$G738),PARTIDAS!$F738,CONCATENATE(PARTIDAS!$F738," (",PARTIDAS!$G738,")"))</f>
        <v>Trigo y morcajo (tranquillón), para siembra, trigo</v>
      </c>
      <c r="I738" s="16" t="s">
        <v>9427</v>
      </c>
    </row>
    <row r="739" spans="1:9" x14ac:dyDescent="0.25">
      <c r="A739" s="16" t="s">
        <v>1627</v>
      </c>
      <c r="B739" s="16" t="str">
        <f>TEXT(PARTIDA[[#This Row],[PARTIDA]],"0000000000")</f>
        <v>1001910090</v>
      </c>
      <c r="C739" s="16" t="s">
        <v>815</v>
      </c>
      <c r="D739" s="16" t="s">
        <v>825</v>
      </c>
      <c r="E739" s="16" t="s">
        <v>9454</v>
      </c>
      <c r="F739" s="27" t="s">
        <v>9953</v>
      </c>
      <c r="G739" s="27"/>
      <c r="H739" s="16" t="str">
        <f>IF(ISBLANK(PARTIDAS!$G739),PARTIDAS!$F739,CONCATENATE(PARTIDAS!$F739," (",PARTIDAS!$G739,")"))</f>
        <v>Trigo y morcajo (tranquillón), para siembra (los demás)</v>
      </c>
      <c r="I739" s="16" t="s">
        <v>9427</v>
      </c>
    </row>
    <row r="740" spans="1:9" x14ac:dyDescent="0.25">
      <c r="A740" s="16" t="s">
        <v>1628</v>
      </c>
      <c r="B740" s="16" t="str">
        <f>TEXT(PARTIDA[[#This Row],[PARTIDA]],"0000000000")</f>
        <v>1001991000</v>
      </c>
      <c r="C740" s="16" t="s">
        <v>815</v>
      </c>
      <c r="D740" s="16" t="s">
        <v>835</v>
      </c>
      <c r="E740" s="16" t="s">
        <v>788</v>
      </c>
      <c r="F740" s="27" t="s">
        <v>9954</v>
      </c>
      <c r="G740" s="27"/>
      <c r="H740" s="16" t="str">
        <f>IF(ISBLANK(PARTIDAS!$G740),PARTIDAS!$F740,CONCATENATE(PARTIDAS!$F740," (",PARTIDAS!$G740,")"))</f>
        <v>Trigo y morcajo (tranquillón) (los demás, trigos)</v>
      </c>
      <c r="I740" s="16" t="s">
        <v>9427</v>
      </c>
    </row>
    <row r="741" spans="1:9" x14ac:dyDescent="0.25">
      <c r="A741" s="16" t="s">
        <v>1629</v>
      </c>
      <c r="B741" s="16" t="str">
        <f>TEXT(PARTIDA[[#This Row],[PARTIDA]],"0000000000")</f>
        <v>1001992000</v>
      </c>
      <c r="C741" s="16" t="s">
        <v>815</v>
      </c>
      <c r="D741" s="16" t="s">
        <v>835</v>
      </c>
      <c r="E741" s="16" t="s">
        <v>788</v>
      </c>
      <c r="F741" s="27" t="s">
        <v>9955</v>
      </c>
      <c r="G741" s="27"/>
      <c r="H741" s="16" t="str">
        <f>IF(ISBLANK(PARTIDAS!$G741),PARTIDAS!$F741,CONCATENATE(PARTIDAS!$F741," (",PARTIDAS!$G741,")"))</f>
        <v>Morcajo (tranquillón)</v>
      </c>
      <c r="I741" s="16" t="s">
        <v>9427</v>
      </c>
    </row>
    <row r="742" spans="1:9" x14ac:dyDescent="0.25">
      <c r="A742" s="16" t="s">
        <v>1630</v>
      </c>
      <c r="B742" s="16" t="str">
        <f>TEXT(PARTIDA[[#This Row],[PARTIDA]],"0000000000")</f>
        <v>1002100000</v>
      </c>
      <c r="C742" s="16" t="s">
        <v>815</v>
      </c>
      <c r="D742" s="16" t="s">
        <v>825</v>
      </c>
      <c r="E742" s="16" t="s">
        <v>9454</v>
      </c>
      <c r="F742" s="27" t="s">
        <v>9956</v>
      </c>
      <c r="G742" s="27"/>
      <c r="H742" s="16" t="str">
        <f>IF(ISBLANK(PARTIDAS!$G742),PARTIDAS!$F742,CONCATENATE(PARTIDAS!$F742," (",PARTIDAS!$G742,")"))</f>
        <v>Centeno, para siembra</v>
      </c>
      <c r="I742" s="16" t="s">
        <v>9427</v>
      </c>
    </row>
    <row r="743" spans="1:9" x14ac:dyDescent="0.25">
      <c r="A743" s="16" t="s">
        <v>1631</v>
      </c>
      <c r="B743" s="16" t="str">
        <f>TEXT(PARTIDA[[#This Row],[PARTIDA]],"0000000000")</f>
        <v>1002900000</v>
      </c>
      <c r="C743" s="16" t="s">
        <v>815</v>
      </c>
      <c r="D743" s="16" t="s">
        <v>835</v>
      </c>
      <c r="E743" s="16" t="s">
        <v>788</v>
      </c>
      <c r="F743" s="27" t="s">
        <v>9957</v>
      </c>
      <c r="G743" s="27"/>
      <c r="H743" s="16" t="str">
        <f>IF(ISBLANK(PARTIDAS!$G743),PARTIDAS!$F743,CONCATENATE(PARTIDAS!$F743," (",PARTIDAS!$G743,")"))</f>
        <v>Centeno (los demás)</v>
      </c>
      <c r="I743" s="16" t="s">
        <v>9427</v>
      </c>
    </row>
    <row r="744" spans="1:9" x14ac:dyDescent="0.25">
      <c r="A744" s="16" t="s">
        <v>1632</v>
      </c>
      <c r="B744" s="16" t="str">
        <f>TEXT(PARTIDA[[#This Row],[PARTIDA]],"0000000000")</f>
        <v>1003100000</v>
      </c>
      <c r="C744" s="16" t="s">
        <v>815</v>
      </c>
      <c r="D744" s="16" t="s">
        <v>825</v>
      </c>
      <c r="E744" s="16" t="s">
        <v>9454</v>
      </c>
      <c r="F744" s="27" t="s">
        <v>9958</v>
      </c>
      <c r="G744" s="27"/>
      <c r="H744" s="16" t="str">
        <f>IF(ISBLANK(PARTIDAS!$G744),PARTIDAS!$F744,CONCATENATE(PARTIDAS!$F744," (",PARTIDAS!$G744,")"))</f>
        <v>Cebada, para siembra</v>
      </c>
      <c r="I744" s="16" t="s">
        <v>9427</v>
      </c>
    </row>
    <row r="745" spans="1:9" x14ac:dyDescent="0.25">
      <c r="A745" s="16" t="s">
        <v>1633</v>
      </c>
      <c r="B745" s="16" t="str">
        <f>TEXT(PARTIDA[[#This Row],[PARTIDA]],"0000000000")</f>
        <v>1003900000</v>
      </c>
      <c r="C745" s="16" t="s">
        <v>815</v>
      </c>
      <c r="D745" s="16" t="s">
        <v>835</v>
      </c>
      <c r="E745" s="16" t="s">
        <v>788</v>
      </c>
      <c r="F745" s="27" t="s">
        <v>9959</v>
      </c>
      <c r="G745" s="27"/>
      <c r="H745" s="16" t="str">
        <f>IF(ISBLANK(PARTIDAS!$G745),PARTIDAS!$F745,CONCATENATE(PARTIDAS!$F745," (",PARTIDAS!$G745,")"))</f>
        <v>Cebada (los demás)</v>
      </c>
      <c r="I745" s="16" t="s">
        <v>9427</v>
      </c>
    </row>
    <row r="746" spans="1:9" x14ac:dyDescent="0.25">
      <c r="A746" s="16" t="s">
        <v>1634</v>
      </c>
      <c r="B746" s="16" t="str">
        <f>TEXT(PARTIDA[[#This Row],[PARTIDA]],"0000000000")</f>
        <v>1004100000</v>
      </c>
      <c r="C746" s="16" t="s">
        <v>815</v>
      </c>
      <c r="D746" s="16" t="s">
        <v>825</v>
      </c>
      <c r="E746" s="16" t="s">
        <v>9454</v>
      </c>
      <c r="F746" s="27" t="s">
        <v>9960</v>
      </c>
      <c r="G746" s="27"/>
      <c r="H746" s="16" t="str">
        <f>IF(ISBLANK(PARTIDAS!$G746),PARTIDAS!$F746,CONCATENATE(PARTIDAS!$F746," (",PARTIDAS!$G746,")"))</f>
        <v>Avena, para siembra</v>
      </c>
      <c r="I746" s="16" t="s">
        <v>9427</v>
      </c>
    </row>
    <row r="747" spans="1:9" x14ac:dyDescent="0.25">
      <c r="A747" s="16" t="s">
        <v>1635</v>
      </c>
      <c r="B747" s="16" t="str">
        <f>TEXT(PARTIDA[[#This Row],[PARTIDA]],"0000000000")</f>
        <v>1004900000</v>
      </c>
      <c r="C747" s="16" t="s">
        <v>815</v>
      </c>
      <c r="D747" s="16" t="s">
        <v>835</v>
      </c>
      <c r="E747" s="16" t="s">
        <v>788</v>
      </c>
      <c r="F747" s="27" t="s">
        <v>9961</v>
      </c>
      <c r="G747" s="27"/>
      <c r="H747" s="16" t="str">
        <f>IF(ISBLANK(PARTIDAS!$G747),PARTIDAS!$F747,CONCATENATE(PARTIDAS!$F747," (",PARTIDAS!$G747,")"))</f>
        <v>Avena (los demás)</v>
      </c>
      <c r="I747" s="16" t="s">
        <v>9427</v>
      </c>
    </row>
    <row r="748" spans="1:9" x14ac:dyDescent="0.25">
      <c r="A748" s="16" t="s">
        <v>1636</v>
      </c>
      <c r="B748" s="16" t="str">
        <f>TEXT(PARTIDA[[#This Row],[PARTIDA]],"0000000000")</f>
        <v>1005100000</v>
      </c>
      <c r="C748" s="16" t="s">
        <v>815</v>
      </c>
      <c r="D748" s="16" t="s">
        <v>825</v>
      </c>
      <c r="E748" s="16" t="s">
        <v>9454</v>
      </c>
      <c r="F748" s="27" t="s">
        <v>9962</v>
      </c>
      <c r="G748" s="27"/>
      <c r="H748" s="16" t="str">
        <f>IF(ISBLANK(PARTIDAS!$G748),PARTIDAS!$F748,CONCATENATE(PARTIDAS!$F748," (",PARTIDAS!$G748,")"))</f>
        <v>Maíz, para siembra</v>
      </c>
      <c r="I748" s="16" t="s">
        <v>9427</v>
      </c>
    </row>
    <row r="749" spans="1:9" x14ac:dyDescent="0.25">
      <c r="A749" s="16" t="s">
        <v>1637</v>
      </c>
      <c r="B749" s="16" t="str">
        <f>TEXT(PARTIDA[[#This Row],[PARTIDA]],"0000000000")</f>
        <v>1005901100</v>
      </c>
      <c r="C749" s="16" t="s">
        <v>815</v>
      </c>
      <c r="D749" s="16" t="s">
        <v>825</v>
      </c>
      <c r="E749" s="16" t="s">
        <v>826</v>
      </c>
      <c r="F749" s="27" t="s">
        <v>1638</v>
      </c>
      <c r="G749" s="27"/>
      <c r="H749" s="16" t="str">
        <f>IF(ISBLANK(PARTIDAS!$G749),PARTIDAS!$F749,CONCATENATE(PARTIDAS!$F749," (",PARTIDAS!$G749,")"))</f>
        <v>Cereales</v>
      </c>
      <c r="I749" s="16" t="s">
        <v>9427</v>
      </c>
    </row>
    <row r="750" spans="1:9" x14ac:dyDescent="0.25">
      <c r="A750" s="16" t="s">
        <v>1639</v>
      </c>
      <c r="B750" s="16" t="str">
        <f>TEXT(PARTIDA[[#This Row],[PARTIDA]],"0000000000")</f>
        <v>1005901200</v>
      </c>
      <c r="C750" s="16" t="s">
        <v>815</v>
      </c>
      <c r="D750" s="16" t="s">
        <v>825</v>
      </c>
      <c r="E750" s="16" t="s">
        <v>826</v>
      </c>
      <c r="F750" s="27" t="s">
        <v>9963</v>
      </c>
      <c r="G750" s="27"/>
      <c r="H750" s="16" t="str">
        <f>IF(ISBLANK(PARTIDAS!$G750),PARTIDAS!$F750,CONCATENATE(PARTIDAS!$F750," (",PARTIDAS!$G750,")"))</f>
        <v>Maíz duro (Zea mays convar. Vulgaris, Zea mays var. Indurata y demás…, blanco</v>
      </c>
      <c r="I750" s="16" t="s">
        <v>9427</v>
      </c>
    </row>
    <row r="751" spans="1:9" x14ac:dyDescent="0.25">
      <c r="A751" s="16" t="s">
        <v>1640</v>
      </c>
      <c r="B751" s="16" t="str">
        <f>TEXT(PARTIDA[[#This Row],[PARTIDA]],"0000000000")</f>
        <v>1005901900</v>
      </c>
      <c r="C751" s="16" t="s">
        <v>815</v>
      </c>
      <c r="D751" s="16" t="s">
        <v>825</v>
      </c>
      <c r="E751" s="16" t="s">
        <v>826</v>
      </c>
      <c r="F751" s="27" t="s">
        <v>9964</v>
      </c>
      <c r="G751" s="27"/>
      <c r="H751" s="16" t="str">
        <f>IF(ISBLANK(PARTIDAS!$G751),PARTIDAS!$F751,CONCATENATE(PARTIDAS!$F751," (",PARTIDAS!$G751,")"))</f>
        <v>Maíz duro (Zea mays convar. Vulgaris, Zea mays var. Indurata y demás… (los demás)</v>
      </c>
      <c r="I751" s="16" t="s">
        <v>9427</v>
      </c>
    </row>
    <row r="752" spans="1:9" x14ac:dyDescent="0.25">
      <c r="A752" s="16" t="s">
        <v>1641</v>
      </c>
      <c r="B752" s="16" t="str">
        <f>TEXT(PARTIDA[[#This Row],[PARTIDA]],"0000000000")</f>
        <v>1005902000</v>
      </c>
      <c r="C752" s="16" t="s">
        <v>815</v>
      </c>
      <c r="D752" s="16" t="s">
        <v>825</v>
      </c>
      <c r="E752" s="16" t="s">
        <v>826</v>
      </c>
      <c r="F752" s="27" t="s">
        <v>9965</v>
      </c>
      <c r="G752" s="27"/>
      <c r="H752" s="16" t="str">
        <f>IF(ISBLANK(PARTIDAS!$G752),PARTIDAS!$F752,CONCATENATE(PARTIDAS!$F752," (",PARTIDAS!$G752,")"))</f>
        <v>Maíz reventón (Zea mays convar. microsperma o Zea mays var. everta)</v>
      </c>
      <c r="I752" s="16" t="s">
        <v>9427</v>
      </c>
    </row>
    <row r="753" spans="1:9" x14ac:dyDescent="0.25">
      <c r="A753" s="16" t="s">
        <v>1642</v>
      </c>
      <c r="B753" s="16" t="str">
        <f>TEXT(PARTIDA[[#This Row],[PARTIDA]],"0000000000")</f>
        <v>1005903000</v>
      </c>
      <c r="C753" s="16" t="s">
        <v>815</v>
      </c>
      <c r="D753" s="16" t="s">
        <v>825</v>
      </c>
      <c r="E753" s="16" t="s">
        <v>826</v>
      </c>
      <c r="F753" s="27" t="s">
        <v>9966</v>
      </c>
      <c r="G753" s="27"/>
      <c r="H753" s="16" t="str">
        <f>IF(ISBLANK(PARTIDAS!$G753),PARTIDAS!$F753,CONCATENATE(PARTIDAS!$F753," (",PARTIDAS!$G753,")"))</f>
        <v>Blanco gigante (Zea mays amilacea cv. gigante)</v>
      </c>
      <c r="I753" s="16" t="s">
        <v>9427</v>
      </c>
    </row>
    <row r="754" spans="1:9" x14ac:dyDescent="0.25">
      <c r="A754" s="16" t="s">
        <v>1643</v>
      </c>
      <c r="B754" s="16" t="str">
        <f>TEXT(PARTIDA[[#This Row],[PARTIDA]],"0000000000")</f>
        <v>1005904000</v>
      </c>
      <c r="C754" s="16" t="s">
        <v>815</v>
      </c>
      <c r="D754" s="16" t="s">
        <v>825</v>
      </c>
      <c r="E754" s="16" t="s">
        <v>826</v>
      </c>
      <c r="F754" s="27" t="s">
        <v>1644</v>
      </c>
      <c r="G754" s="27"/>
      <c r="H754" s="16" t="str">
        <f>IF(ISBLANK(PARTIDAS!$G754),PARTIDAS!$F754,CONCATENATE(PARTIDAS!$F754," (",PARTIDAS!$G754,")"))</f>
        <v>Maíz morado</v>
      </c>
      <c r="I754" s="16" t="s">
        <v>9427</v>
      </c>
    </row>
    <row r="755" spans="1:9" x14ac:dyDescent="0.25">
      <c r="A755" s="16" t="s">
        <v>1645</v>
      </c>
      <c r="B755" s="16" t="str">
        <f>TEXT(PARTIDA[[#This Row],[PARTIDA]],"0000000000")</f>
        <v>1005909000</v>
      </c>
      <c r="C755" s="16" t="s">
        <v>815</v>
      </c>
      <c r="D755" s="16" t="s">
        <v>825</v>
      </c>
      <c r="E755" s="16" t="s">
        <v>826</v>
      </c>
      <c r="F755" s="27" t="s">
        <v>9967</v>
      </c>
      <c r="G755" s="27"/>
      <c r="H755" s="16" t="str">
        <f>IF(ISBLANK(PARTIDAS!$G755),PARTIDAS!$F755,CONCATENATE(PARTIDAS!$F755," (",PARTIDAS!$G755,")"))</f>
        <v>Maíz (los demás)</v>
      </c>
      <c r="I755" s="16" t="s">
        <v>9427</v>
      </c>
    </row>
    <row r="756" spans="1:9" x14ac:dyDescent="0.25">
      <c r="A756" s="16" t="s">
        <v>1646</v>
      </c>
      <c r="B756" s="16" t="str">
        <f>TEXT(PARTIDA[[#This Row],[PARTIDA]],"0000000000")</f>
        <v>1006101000</v>
      </c>
      <c r="C756" s="16" t="s">
        <v>815</v>
      </c>
      <c r="D756" s="16" t="s">
        <v>825</v>
      </c>
      <c r="E756" s="16" t="s">
        <v>9454</v>
      </c>
      <c r="F756" s="27" t="s">
        <v>1647</v>
      </c>
      <c r="G756" s="27"/>
      <c r="H756" s="16" t="str">
        <f>IF(ISBLANK(PARTIDAS!$G756),PARTIDAS!$F756,CONCATENATE(PARTIDAS!$F756," (",PARTIDAS!$G756,")"))</f>
        <v>Arroz con cáscara</v>
      </c>
      <c r="I756" s="16" t="s">
        <v>9427</v>
      </c>
    </row>
    <row r="757" spans="1:9" x14ac:dyDescent="0.25">
      <c r="A757" s="16" t="s">
        <v>1648</v>
      </c>
      <c r="B757" s="16" t="str">
        <f>TEXT(PARTIDA[[#This Row],[PARTIDA]],"0000000000")</f>
        <v>1006109000</v>
      </c>
      <c r="C757" s="16" t="s">
        <v>786</v>
      </c>
      <c r="D757" s="16" t="s">
        <v>787</v>
      </c>
      <c r="E757" s="16" t="s">
        <v>788</v>
      </c>
      <c r="F757" s="27" t="s">
        <v>9968</v>
      </c>
      <c r="G757" s="27"/>
      <c r="H757" s="16" t="str">
        <f>IF(ISBLANK(PARTIDAS!$G757),PARTIDAS!$F757,CONCATENATE(PARTIDAS!$F757," (",PARTIDAS!$G757,")"))</f>
        <v>Arroz con cáscara (arroz «paddy») (los demás)</v>
      </c>
      <c r="I757" s="16" t="s">
        <v>9427</v>
      </c>
    </row>
    <row r="758" spans="1:9" x14ac:dyDescent="0.25">
      <c r="A758" s="16" t="s">
        <v>1649</v>
      </c>
      <c r="B758" s="16" t="str">
        <f>TEXT(PARTIDA[[#This Row],[PARTIDA]],"0000000000")</f>
        <v>1006200000</v>
      </c>
      <c r="C758" s="16" t="s">
        <v>786</v>
      </c>
      <c r="D758" s="16" t="s">
        <v>787</v>
      </c>
      <c r="E758" s="16" t="s">
        <v>788</v>
      </c>
      <c r="F758" s="27" t="s">
        <v>9969</v>
      </c>
      <c r="G758" s="27"/>
      <c r="H758" s="16" t="str">
        <f>IF(ISBLANK(PARTIDAS!$G758),PARTIDAS!$F758,CONCATENATE(PARTIDAS!$F758," (",PARTIDAS!$G758,")"))</f>
        <v>Arroz descascarillado (arroz cargo o arroz pardo)</v>
      </c>
      <c r="I758" s="16" t="s">
        <v>9427</v>
      </c>
    </row>
    <row r="759" spans="1:9" x14ac:dyDescent="0.25">
      <c r="A759" s="16" t="s">
        <v>1650</v>
      </c>
      <c r="B759" s="16" t="str">
        <f>TEXT(PARTIDA[[#This Row],[PARTIDA]],"0000000000")</f>
        <v>1006300000</v>
      </c>
      <c r="C759" s="16" t="s">
        <v>786</v>
      </c>
      <c r="D759" s="16" t="s">
        <v>787</v>
      </c>
      <c r="E759" s="16" t="s">
        <v>788</v>
      </c>
      <c r="F759" s="27" t="s">
        <v>1651</v>
      </c>
      <c r="G759" s="27"/>
      <c r="H759" s="16" t="str">
        <f>IF(ISBLANK(PARTIDAS!$G759),PARTIDAS!$F759,CONCATENATE(PARTIDAS!$F759," (",PARTIDAS!$G759,")"))</f>
        <v>Arroz</v>
      </c>
      <c r="I759" s="16" t="s">
        <v>9427</v>
      </c>
    </row>
    <row r="760" spans="1:9" x14ac:dyDescent="0.25">
      <c r="A760" s="16" t="s">
        <v>1652</v>
      </c>
      <c r="B760" s="16" t="str">
        <f>TEXT(PARTIDA[[#This Row],[PARTIDA]],"0000000000")</f>
        <v>1006400000</v>
      </c>
      <c r="C760" s="16" t="s">
        <v>786</v>
      </c>
      <c r="D760" s="16" t="s">
        <v>787</v>
      </c>
      <c r="E760" s="16" t="s">
        <v>788</v>
      </c>
      <c r="F760" s="27" t="s">
        <v>9970</v>
      </c>
      <c r="G760" s="27"/>
      <c r="H760" s="16" t="str">
        <f>IF(ISBLANK(PARTIDAS!$G760),PARTIDAS!$F760,CONCATENATE(PARTIDAS!$F760," (",PARTIDAS!$G760,")"))</f>
        <v>Arroz partido</v>
      </c>
      <c r="I760" s="16" t="s">
        <v>9427</v>
      </c>
    </row>
    <row r="761" spans="1:9" x14ac:dyDescent="0.25">
      <c r="A761" s="16" t="s">
        <v>1653</v>
      </c>
      <c r="B761" s="16" t="str">
        <f>TEXT(PARTIDA[[#This Row],[PARTIDA]],"0000000000")</f>
        <v>1007100000</v>
      </c>
      <c r="C761" s="16" t="s">
        <v>815</v>
      </c>
      <c r="D761" s="16" t="s">
        <v>825</v>
      </c>
      <c r="E761" s="16" t="s">
        <v>9454</v>
      </c>
      <c r="F761" s="27" t="s">
        <v>9971</v>
      </c>
      <c r="G761" s="27"/>
      <c r="H761" s="16" t="str">
        <f>IF(ISBLANK(PARTIDAS!$G761),PARTIDAS!$F761,CONCATENATE(PARTIDAS!$F761," (",PARTIDAS!$G761,")"))</f>
        <v>Sorgo de grano (granífero), para siembra</v>
      </c>
      <c r="I761" s="16" t="s">
        <v>9427</v>
      </c>
    </row>
    <row r="762" spans="1:9" x14ac:dyDescent="0.25">
      <c r="A762" s="16" t="s">
        <v>1654</v>
      </c>
      <c r="B762" s="16" t="str">
        <f>TEXT(PARTIDA[[#This Row],[PARTIDA]],"0000000000")</f>
        <v>1007900000</v>
      </c>
      <c r="C762" s="16" t="s">
        <v>815</v>
      </c>
      <c r="D762" s="16" t="s">
        <v>835</v>
      </c>
      <c r="E762" s="16" t="s">
        <v>788</v>
      </c>
      <c r="F762" s="27" t="s">
        <v>9386</v>
      </c>
      <c r="G762" s="27"/>
      <c r="H762" s="16" t="str">
        <f>IF(ISBLANK(PARTIDAS!$G762),PARTIDAS!$F762,CONCATENATE(PARTIDAS!$F762," (",PARTIDAS!$G762,")"))</f>
        <v>Sorgo de grano (granífero) (los demás)</v>
      </c>
      <c r="I762" s="16" t="s">
        <v>9477</v>
      </c>
    </row>
    <row r="763" spans="1:9" x14ac:dyDescent="0.25">
      <c r="A763" s="16" t="s">
        <v>1655</v>
      </c>
      <c r="B763" s="16" t="str">
        <f>TEXT(PARTIDA[[#This Row],[PARTIDA]],"0000000000")</f>
        <v>1008101000</v>
      </c>
      <c r="C763" s="16" t="s">
        <v>815</v>
      </c>
      <c r="D763" s="16" t="s">
        <v>825</v>
      </c>
      <c r="E763" s="16" t="s">
        <v>9454</v>
      </c>
      <c r="F763" s="27" t="s">
        <v>9972</v>
      </c>
      <c r="G763" s="27"/>
      <c r="H763" s="16" t="str">
        <f>IF(ISBLANK(PARTIDAS!$G763),PARTIDAS!$F763,CONCATENATE(PARTIDAS!$F763," (",PARTIDAS!$G763,")"))</f>
        <v>Alforfón, para siembra</v>
      </c>
      <c r="I763" s="16" t="s">
        <v>9427</v>
      </c>
    </row>
    <row r="764" spans="1:9" x14ac:dyDescent="0.25">
      <c r="A764" s="16" t="s">
        <v>1656</v>
      </c>
      <c r="B764" s="16" t="str">
        <f>TEXT(PARTIDA[[#This Row],[PARTIDA]],"0000000000")</f>
        <v>1008109000</v>
      </c>
      <c r="C764" s="16" t="s">
        <v>815</v>
      </c>
      <c r="D764" s="16" t="s">
        <v>835</v>
      </c>
      <c r="E764" s="16" t="s">
        <v>788</v>
      </c>
      <c r="F764" s="27" t="s">
        <v>9973</v>
      </c>
      <c r="G764" s="27"/>
      <c r="H764" s="16" t="str">
        <f>IF(ISBLANK(PARTIDAS!$G764),PARTIDAS!$F764,CONCATENATE(PARTIDAS!$F764," (",PARTIDAS!$G764,")"))</f>
        <v>Alforfón (los demás)</v>
      </c>
      <c r="I764" s="16" t="s">
        <v>9427</v>
      </c>
    </row>
    <row r="765" spans="1:9" x14ac:dyDescent="0.25">
      <c r="A765" s="16" t="s">
        <v>1657</v>
      </c>
      <c r="B765" s="16" t="str">
        <f>TEXT(PARTIDA[[#This Row],[PARTIDA]],"0000000000")</f>
        <v>1008210000</v>
      </c>
      <c r="C765" s="16" t="s">
        <v>815</v>
      </c>
      <c r="D765" s="16" t="s">
        <v>825</v>
      </c>
      <c r="E765" s="16" t="s">
        <v>9454</v>
      </c>
      <c r="F765" s="27" t="s">
        <v>9974</v>
      </c>
      <c r="G765" s="27"/>
      <c r="H765" s="16" t="str">
        <f>IF(ISBLANK(PARTIDAS!$G765),PARTIDAS!$F765,CONCATENATE(PARTIDAS!$F765," (",PARTIDAS!$G765,")"))</f>
        <v>Mijo, para siembra</v>
      </c>
      <c r="I765" s="16" t="s">
        <v>9427</v>
      </c>
    </row>
    <row r="766" spans="1:9" x14ac:dyDescent="0.25">
      <c r="A766" s="16" t="s">
        <v>1658</v>
      </c>
      <c r="B766" s="16" t="str">
        <f>TEXT(PARTIDA[[#This Row],[PARTIDA]],"0000000000")</f>
        <v>1008290000</v>
      </c>
      <c r="C766" s="16" t="s">
        <v>815</v>
      </c>
      <c r="D766" s="16" t="s">
        <v>835</v>
      </c>
      <c r="E766" s="16" t="s">
        <v>788</v>
      </c>
      <c r="F766" s="27" t="s">
        <v>9975</v>
      </c>
      <c r="G766" s="27"/>
      <c r="H766" s="16" t="str">
        <f>IF(ISBLANK(PARTIDAS!$G766),PARTIDAS!$F766,CONCATENATE(PARTIDAS!$F766," (",PARTIDAS!$G766,")"))</f>
        <v>Mijo (los demás)</v>
      </c>
      <c r="I766" s="16" t="s">
        <v>9427</v>
      </c>
    </row>
    <row r="767" spans="1:9" x14ac:dyDescent="0.25">
      <c r="A767" s="16" t="s">
        <v>1659</v>
      </c>
      <c r="B767" s="16" t="str">
        <f>TEXT(PARTIDA[[#This Row],[PARTIDA]],"0000000000")</f>
        <v>1008301000</v>
      </c>
      <c r="C767" s="16" t="s">
        <v>815</v>
      </c>
      <c r="D767" s="16" t="s">
        <v>825</v>
      </c>
      <c r="E767" s="16" t="s">
        <v>9454</v>
      </c>
      <c r="F767" s="27" t="s">
        <v>9976</v>
      </c>
      <c r="G767" s="27"/>
      <c r="H767" s="16" t="str">
        <f>IF(ISBLANK(PARTIDAS!$G767),PARTIDAS!$F767,CONCATENATE(PARTIDAS!$F767," (",PARTIDAS!$G767,")"))</f>
        <v>Alpiste, para siembra</v>
      </c>
      <c r="I767" s="16" t="s">
        <v>9427</v>
      </c>
    </row>
    <row r="768" spans="1:9" x14ac:dyDescent="0.25">
      <c r="A768" s="16" t="s">
        <v>1660</v>
      </c>
      <c r="B768" s="16" t="str">
        <f>TEXT(PARTIDA[[#This Row],[PARTIDA]],"0000000000")</f>
        <v>1008309000</v>
      </c>
      <c r="C768" s="16" t="s">
        <v>815</v>
      </c>
      <c r="D768" s="16" t="s">
        <v>835</v>
      </c>
      <c r="E768" s="16" t="s">
        <v>788</v>
      </c>
      <c r="F768" s="27" t="s">
        <v>9977</v>
      </c>
      <c r="G768" s="27"/>
      <c r="H768" s="16" t="str">
        <f>IF(ISBLANK(PARTIDAS!$G768),PARTIDAS!$F768,CONCATENATE(PARTIDAS!$F768," (",PARTIDAS!$G768,")"))</f>
        <v>Alpiste (los demás)</v>
      </c>
      <c r="I768" s="16" t="s">
        <v>9427</v>
      </c>
    </row>
    <row r="769" spans="1:9" x14ac:dyDescent="0.25">
      <c r="A769" s="16" t="s">
        <v>1661</v>
      </c>
      <c r="B769" s="16" t="str">
        <f>TEXT(PARTIDA[[#This Row],[PARTIDA]],"0000000000")</f>
        <v>1008400000</v>
      </c>
      <c r="C769" s="16" t="s">
        <v>815</v>
      </c>
      <c r="D769" s="16" t="s">
        <v>835</v>
      </c>
      <c r="E769" s="16" t="s">
        <v>788</v>
      </c>
      <c r="F769" s="27" t="s">
        <v>9978</v>
      </c>
      <c r="G769" s="27"/>
      <c r="H769" s="16" t="str">
        <f>IF(ISBLANK(PARTIDAS!$G769),PARTIDAS!$F769,CONCATENATE(PARTIDAS!$F769," (",PARTIDAS!$G769,")"))</f>
        <v>Fonio (Digitaria spp.)</v>
      </c>
      <c r="I769" s="16" t="s">
        <v>9427</v>
      </c>
    </row>
    <row r="770" spans="1:9" x14ac:dyDescent="0.25">
      <c r="A770" s="16" t="s">
        <v>1662</v>
      </c>
      <c r="B770" s="16" t="str">
        <f>TEXT(PARTIDA[[#This Row],[PARTIDA]],"0000000000")</f>
        <v>1008501000</v>
      </c>
      <c r="C770" s="16" t="s">
        <v>815</v>
      </c>
      <c r="D770" s="16" t="s">
        <v>825</v>
      </c>
      <c r="E770" s="16" t="s">
        <v>9454</v>
      </c>
      <c r="F770" s="27" t="s">
        <v>9979</v>
      </c>
      <c r="G770" s="27"/>
      <c r="H770" s="16" t="str">
        <f>IF(ISBLANK(PARTIDAS!$G770),PARTIDAS!$F770,CONCATENATE(PARTIDAS!$F770," (",PARTIDAS!$G770,")"))</f>
        <v>Quinua (quinoa) (Chenopodium quinoa), para siembra</v>
      </c>
      <c r="I770" s="16" t="s">
        <v>9427</v>
      </c>
    </row>
    <row r="771" spans="1:9" x14ac:dyDescent="0.25">
      <c r="A771" s="16" t="s">
        <v>1663</v>
      </c>
      <c r="B771" s="16" t="str">
        <f>TEXT(PARTIDA[[#This Row],[PARTIDA]],"0000000000")</f>
        <v>1008509000</v>
      </c>
      <c r="C771" s="16" t="s">
        <v>815</v>
      </c>
      <c r="D771" s="16" t="s">
        <v>835</v>
      </c>
      <c r="E771" s="16" t="s">
        <v>788</v>
      </c>
      <c r="F771" s="27" t="s">
        <v>1664</v>
      </c>
      <c r="G771" s="27" t="s">
        <v>1472</v>
      </c>
      <c r="H771" s="16" t="str">
        <f>IF(ISBLANK(PARTIDAS!$G771),PARTIDAS!$F771,CONCATENATE(PARTIDAS!$F771," (",PARTIDAS!$G771,")"))</f>
        <v>Quinua (Verificar)</v>
      </c>
      <c r="I771" s="16" t="s">
        <v>9427</v>
      </c>
    </row>
    <row r="772" spans="1:9" x14ac:dyDescent="0.25">
      <c r="A772" s="16" t="s">
        <v>1665</v>
      </c>
      <c r="B772" s="16" t="str">
        <f>TEXT(PARTIDA[[#This Row],[PARTIDA]],"0000000000")</f>
        <v>1008600000</v>
      </c>
      <c r="C772" s="16" t="s">
        <v>815</v>
      </c>
      <c r="D772" s="16" t="s">
        <v>835</v>
      </c>
      <c r="E772" s="16" t="s">
        <v>788</v>
      </c>
      <c r="F772" s="27" t="s">
        <v>9980</v>
      </c>
      <c r="G772" s="27"/>
      <c r="H772" s="16" t="str">
        <f>IF(ISBLANK(PARTIDAS!$G772),PARTIDAS!$F772,CONCATENATE(PARTIDAS!$F772," (",PARTIDAS!$G772,")"))</f>
        <v>Triticale</v>
      </c>
      <c r="I772" s="16" t="s">
        <v>9427</v>
      </c>
    </row>
    <row r="773" spans="1:9" x14ac:dyDescent="0.25">
      <c r="A773" s="16" t="s">
        <v>1666</v>
      </c>
      <c r="B773" s="16" t="str">
        <f>TEXT(PARTIDA[[#This Row],[PARTIDA]],"0000000000")</f>
        <v>1008902100</v>
      </c>
      <c r="C773" s="16" t="s">
        <v>815</v>
      </c>
      <c r="D773" s="16" t="s">
        <v>825</v>
      </c>
      <c r="E773" s="16" t="s">
        <v>9454</v>
      </c>
      <c r="F773" s="27" t="s">
        <v>9981</v>
      </c>
      <c r="G773" s="27"/>
      <c r="H773" s="16" t="str">
        <f>IF(ISBLANK(PARTIDAS!$G773),PARTIDAS!$F773,CONCATENATE(PARTIDAS!$F773," (",PARTIDAS!$G773,")"))</f>
        <v>Kiwicha (Amaranthus caudatus), para siembra</v>
      </c>
      <c r="I773" s="16" t="s">
        <v>9427</v>
      </c>
    </row>
    <row r="774" spans="1:9" x14ac:dyDescent="0.25">
      <c r="A774" s="16" t="s">
        <v>1667</v>
      </c>
      <c r="B774" s="16" t="str">
        <f>TEXT(PARTIDA[[#This Row],[PARTIDA]],"0000000000")</f>
        <v>1008902900</v>
      </c>
      <c r="C774" s="16" t="s">
        <v>815</v>
      </c>
      <c r="D774" s="16" t="s">
        <v>835</v>
      </c>
      <c r="E774" s="16" t="s">
        <v>788</v>
      </c>
      <c r="F774" s="27" t="s">
        <v>1638</v>
      </c>
      <c r="G774" s="27" t="s">
        <v>852</v>
      </c>
      <c r="H774" s="16" t="str">
        <f>IF(ISBLANK(PARTIDAS!$G774),PARTIDAS!$F774,CONCATENATE(PARTIDAS!$F774," (",PARTIDAS!$G774,")"))</f>
        <v>Cereales (Especificar)</v>
      </c>
      <c r="I774" s="16" t="s">
        <v>9427</v>
      </c>
    </row>
    <row r="775" spans="1:9" x14ac:dyDescent="0.25">
      <c r="A775" s="16" t="s">
        <v>1668</v>
      </c>
      <c r="B775" s="16" t="str">
        <f>TEXT(PARTIDA[[#This Row],[PARTIDA]],"0000000000")</f>
        <v>1008909100</v>
      </c>
      <c r="C775" s="16" t="s">
        <v>815</v>
      </c>
      <c r="D775" s="16" t="s">
        <v>825</v>
      </c>
      <c r="E775" s="16" t="s">
        <v>9454</v>
      </c>
      <c r="F775" s="27" t="s">
        <v>9982</v>
      </c>
      <c r="G775" s="27"/>
      <c r="H775" s="16" t="str">
        <f>IF(ISBLANK(PARTIDAS!$G775),PARTIDAS!$F775,CONCATENATE(PARTIDAS!$F775," (",PARTIDAS!$G775,")"))</f>
        <v>Alforfón, mijo y alpiste, para siembra</v>
      </c>
      <c r="I775" s="16" t="s">
        <v>9427</v>
      </c>
    </row>
    <row r="776" spans="1:9" x14ac:dyDescent="0.25">
      <c r="A776" s="16" t="s">
        <v>1669</v>
      </c>
      <c r="B776" s="16" t="str">
        <f>TEXT(PARTIDA[[#This Row],[PARTIDA]],"0000000000")</f>
        <v>1008909900</v>
      </c>
      <c r="C776" s="16" t="s">
        <v>815</v>
      </c>
      <c r="D776" s="16" t="s">
        <v>835</v>
      </c>
      <c r="E776" s="16" t="s">
        <v>788</v>
      </c>
      <c r="F776" s="27" t="s">
        <v>9983</v>
      </c>
      <c r="G776" s="27"/>
      <c r="H776" s="16" t="str">
        <f>IF(ISBLANK(PARTIDAS!$G776),PARTIDAS!$F776,CONCATENATE(PARTIDAS!$F776," (",PARTIDAS!$G776,")"))</f>
        <v>Alforfón, mijo y alpiste (los demás)</v>
      </c>
      <c r="I776" s="16" t="s">
        <v>9427</v>
      </c>
    </row>
    <row r="777" spans="1:9" x14ac:dyDescent="0.25">
      <c r="A777" s="16" t="s">
        <v>1670</v>
      </c>
      <c r="B777" s="16" t="str">
        <f>TEXT(PARTIDA[[#This Row],[PARTIDA]],"0000000000")</f>
        <v>1101000000</v>
      </c>
      <c r="C777" s="16" t="s">
        <v>815</v>
      </c>
      <c r="D777" s="16" t="s">
        <v>835</v>
      </c>
      <c r="E777" s="16" t="s">
        <v>1870</v>
      </c>
      <c r="F777" s="27" t="s">
        <v>1671</v>
      </c>
      <c r="G777" s="27"/>
      <c r="H777" s="16" t="str">
        <f>IF(ISBLANK(PARTIDAS!$G777),PARTIDAS!$F777,CONCATENATE(PARTIDAS!$F777," (",PARTIDAS!$G777,")"))</f>
        <v>Harina de trigo o de morcajo (tranquillón).</v>
      </c>
      <c r="I777" s="16" t="s">
        <v>9427</v>
      </c>
    </row>
    <row r="778" spans="1:9" x14ac:dyDescent="0.25">
      <c r="A778" s="16" t="s">
        <v>1672</v>
      </c>
      <c r="B778" s="16" t="str">
        <f>TEXT(PARTIDA[[#This Row],[PARTIDA]],"0000000000")</f>
        <v>1102200000</v>
      </c>
      <c r="C778" s="16" t="s">
        <v>815</v>
      </c>
      <c r="D778" s="16" t="s">
        <v>835</v>
      </c>
      <c r="E778" s="16" t="s">
        <v>1870</v>
      </c>
      <c r="F778" s="27" t="s">
        <v>1673</v>
      </c>
      <c r="G778" s="27" t="s">
        <v>1472</v>
      </c>
      <c r="H778" s="16" t="str">
        <f>IF(ISBLANK(PARTIDAS!$G778),PARTIDAS!$F778,CONCATENATE(PARTIDAS!$F778," (",PARTIDAS!$G778,")"))</f>
        <v>Harina de maíz (Verificar)</v>
      </c>
      <c r="I778" s="16" t="s">
        <v>9427</v>
      </c>
    </row>
    <row r="779" spans="1:9" x14ac:dyDescent="0.25">
      <c r="A779" s="16" t="s">
        <v>1674</v>
      </c>
      <c r="B779" s="16" t="str">
        <f>TEXT(PARTIDA[[#This Row],[PARTIDA]],"0000000000")</f>
        <v>1102901000</v>
      </c>
      <c r="C779" s="16" t="s">
        <v>815</v>
      </c>
      <c r="D779" s="16" t="s">
        <v>835</v>
      </c>
      <c r="E779" s="16" t="s">
        <v>1870</v>
      </c>
      <c r="F779" s="27" t="s">
        <v>9984</v>
      </c>
      <c r="G779" s="27"/>
      <c r="H779" s="16" t="str">
        <f>IF(ISBLANK(PARTIDAS!$G779),PARTIDAS!$F779,CONCATENATE(PARTIDAS!$F779," (",PARTIDAS!$G779,")"))</f>
        <v>Harina de centeno</v>
      </c>
      <c r="I779" s="16" t="s">
        <v>9427</v>
      </c>
    </row>
    <row r="780" spans="1:9" x14ac:dyDescent="0.25">
      <c r="A780" s="16" t="s">
        <v>1675</v>
      </c>
      <c r="B780" s="16" t="str">
        <f>TEXT(PARTIDA[[#This Row],[PARTIDA]],"0000000000")</f>
        <v>1102909000</v>
      </c>
      <c r="C780" s="16" t="s">
        <v>815</v>
      </c>
      <c r="D780" s="16" t="s">
        <v>835</v>
      </c>
      <c r="E780" s="16" t="s">
        <v>1870</v>
      </c>
      <c r="F780" s="27" t="s">
        <v>1676</v>
      </c>
      <c r="G780" s="27" t="s">
        <v>1472</v>
      </c>
      <c r="H780" s="16" t="str">
        <f>IF(ISBLANK(PARTIDAS!$G780),PARTIDAS!$F780,CONCATENATE(PARTIDAS!$F780," (",PARTIDAS!$G780,")"))</f>
        <v>Harina de quinua (Verificar)</v>
      </c>
      <c r="I780" s="16" t="s">
        <v>9427</v>
      </c>
    </row>
    <row r="781" spans="1:9" x14ac:dyDescent="0.25">
      <c r="A781" s="16" t="s">
        <v>1677</v>
      </c>
      <c r="B781" s="16" t="str">
        <f>TEXT(PARTIDA[[#This Row],[PARTIDA]],"0000000000")</f>
        <v>1103110000</v>
      </c>
      <c r="C781" s="16" t="s">
        <v>815</v>
      </c>
      <c r="D781" s="16" t="s">
        <v>835</v>
      </c>
      <c r="E781" s="16" t="s">
        <v>1870</v>
      </c>
      <c r="F781" s="27" t="s">
        <v>9985</v>
      </c>
      <c r="G781" s="27"/>
      <c r="H781" s="16" t="str">
        <f>IF(ISBLANK(PARTIDAS!$G781),PARTIDAS!$F781,CONCATENATE(PARTIDAS!$F781," (",PARTIDAS!$G781,")"))</f>
        <v>Grañones y sémola, de trigo</v>
      </c>
      <c r="I781" s="16" t="s">
        <v>9427</v>
      </c>
    </row>
    <row r="782" spans="1:9" x14ac:dyDescent="0.25">
      <c r="A782" s="16" t="s">
        <v>1678</v>
      </c>
      <c r="B782" s="16" t="str">
        <f>TEXT(PARTIDA[[#This Row],[PARTIDA]],"0000000000")</f>
        <v>1103130000</v>
      </c>
      <c r="C782" s="16" t="s">
        <v>815</v>
      </c>
      <c r="D782" s="16" t="s">
        <v>835</v>
      </c>
      <c r="E782" s="16" t="s">
        <v>1870</v>
      </c>
      <c r="F782" s="27" t="s">
        <v>9986</v>
      </c>
      <c r="G782" s="27"/>
      <c r="H782" s="16" t="str">
        <f>IF(ISBLANK(PARTIDAS!$G782),PARTIDAS!$F782,CONCATENATE(PARTIDAS!$F782," (",PARTIDAS!$G782,")"))</f>
        <v>Grañones y sémola, de maíz</v>
      </c>
      <c r="I782" s="16" t="s">
        <v>9427</v>
      </c>
    </row>
    <row r="783" spans="1:9" x14ac:dyDescent="0.25">
      <c r="A783" s="16" t="s">
        <v>1679</v>
      </c>
      <c r="B783" s="16" t="str">
        <f>TEXT(PARTIDA[[#This Row],[PARTIDA]],"0000000000")</f>
        <v>1103190000</v>
      </c>
      <c r="C783" s="16" t="s">
        <v>815</v>
      </c>
      <c r="D783" s="16" t="s">
        <v>835</v>
      </c>
      <c r="E783" s="16" t="s">
        <v>1870</v>
      </c>
      <c r="F783" s="27" t="s">
        <v>9987</v>
      </c>
      <c r="G783" s="27"/>
      <c r="H783" s="16" t="str">
        <f>IF(ISBLANK(PARTIDAS!$G783),PARTIDAS!$F783,CONCATENATE(PARTIDAS!$F783," (",PARTIDAS!$G783,")"))</f>
        <v>Grañones y sémola, de los demás cereales</v>
      </c>
      <c r="I783" s="16" t="s">
        <v>9427</v>
      </c>
    </row>
    <row r="784" spans="1:9" x14ac:dyDescent="0.25">
      <c r="A784" s="16" t="s">
        <v>1680</v>
      </c>
      <c r="B784" s="16" t="str">
        <f>TEXT(PARTIDA[[#This Row],[PARTIDA]],"0000000000")</f>
        <v>1103200000</v>
      </c>
      <c r="C784" s="16" t="s">
        <v>815</v>
      </c>
      <c r="D784" s="16" t="s">
        <v>835</v>
      </c>
      <c r="E784" s="16" t="s">
        <v>1870</v>
      </c>
      <c r="F784" s="27" t="s">
        <v>9988</v>
      </c>
      <c r="G784" s="27"/>
      <c r="H784" s="16" t="str">
        <f>IF(ISBLANK(PARTIDAS!$G784),PARTIDAS!$F784,CONCATENATE(PARTIDAS!$F784," (",PARTIDAS!$G784,")"))</f>
        <v>«Pellets»</v>
      </c>
      <c r="I784" s="16" t="s">
        <v>9427</v>
      </c>
    </row>
    <row r="785" spans="1:9" x14ac:dyDescent="0.25">
      <c r="A785" s="16" t="s">
        <v>1681</v>
      </c>
      <c r="B785" s="16" t="str">
        <f>TEXT(PARTIDA[[#This Row],[PARTIDA]],"0000000000")</f>
        <v>1104120000</v>
      </c>
      <c r="C785" s="16" t="s">
        <v>815</v>
      </c>
      <c r="D785" s="16" t="s">
        <v>835</v>
      </c>
      <c r="E785" s="16" t="s">
        <v>1870</v>
      </c>
      <c r="F785" s="27" t="s">
        <v>9989</v>
      </c>
      <c r="G785" s="27"/>
      <c r="H785" s="16" t="str">
        <f>IF(ISBLANK(PARTIDAS!$G785),PARTIDAS!$F785,CONCATENATE(PARTIDAS!$F785," (",PARTIDAS!$G785,")"))</f>
        <v>Granos aplastados o en copos, de avena</v>
      </c>
      <c r="I785" s="16" t="s">
        <v>9427</v>
      </c>
    </row>
    <row r="786" spans="1:9" x14ac:dyDescent="0.25">
      <c r="A786" s="16" t="s">
        <v>1682</v>
      </c>
      <c r="B786" s="16" t="str">
        <f>TEXT(PARTIDA[[#This Row],[PARTIDA]],"0000000000")</f>
        <v>1104190000</v>
      </c>
      <c r="C786" s="16" t="s">
        <v>815</v>
      </c>
      <c r="D786" s="16" t="s">
        <v>835</v>
      </c>
      <c r="E786" s="16" t="s">
        <v>1870</v>
      </c>
      <c r="F786" s="27" t="s">
        <v>1683</v>
      </c>
      <c r="G786" s="27" t="s">
        <v>852</v>
      </c>
      <c r="H786" s="16" t="str">
        <f>IF(ISBLANK(PARTIDAS!$G786),PARTIDAS!$F786,CONCATENATE(PARTIDAS!$F786," (",PARTIDAS!$G786,")"))</f>
        <v>Harina de cereales (Especificar)</v>
      </c>
      <c r="I786" s="16" t="s">
        <v>9427</v>
      </c>
    </row>
    <row r="787" spans="1:9" x14ac:dyDescent="0.25">
      <c r="A787" s="16" t="s">
        <v>1684</v>
      </c>
      <c r="B787" s="16" t="str">
        <f>TEXT(PARTIDA[[#This Row],[PARTIDA]],"0000000000")</f>
        <v>1104220000</v>
      </c>
      <c r="C787" s="16" t="s">
        <v>815</v>
      </c>
      <c r="D787" s="16" t="s">
        <v>835</v>
      </c>
      <c r="E787" s="16" t="s">
        <v>1870</v>
      </c>
      <c r="F787" s="27" t="s">
        <v>9990</v>
      </c>
      <c r="G787" s="27"/>
      <c r="H787" s="16" t="str">
        <f>IF(ISBLANK(PARTIDAS!$G787),PARTIDAS!$F787,CONCATENATE(PARTIDAS!$F787," (",PARTIDAS!$G787,")"))</f>
        <v>Granos de cereales trabajados de otro modo (por ejemplo, de avena</v>
      </c>
      <c r="I787" s="16" t="s">
        <v>9427</v>
      </c>
    </row>
    <row r="788" spans="1:9" x14ac:dyDescent="0.25">
      <c r="A788" s="16" t="s">
        <v>1685</v>
      </c>
      <c r="B788" s="16" t="str">
        <f>TEXT(PARTIDA[[#This Row],[PARTIDA]],"0000000000")</f>
        <v>1104230000</v>
      </c>
      <c r="C788" s="16" t="s">
        <v>815</v>
      </c>
      <c r="D788" s="16" t="s">
        <v>835</v>
      </c>
      <c r="E788" s="16" t="s">
        <v>1870</v>
      </c>
      <c r="F788" s="27" t="s">
        <v>9991</v>
      </c>
      <c r="G788" s="27"/>
      <c r="H788" s="16" t="str">
        <f>IF(ISBLANK(PARTIDAS!$G788),PARTIDAS!$F788,CONCATENATE(PARTIDAS!$F788," (",PARTIDAS!$G788,")"))</f>
        <v>Granos de cereales trabajados de otro modo (por ejemplo, de maíz</v>
      </c>
      <c r="I788" s="16" t="s">
        <v>9427</v>
      </c>
    </row>
    <row r="789" spans="1:9" x14ac:dyDescent="0.25">
      <c r="A789" s="16" t="s">
        <v>1686</v>
      </c>
      <c r="B789" s="16" t="str">
        <f>TEXT(PARTIDA[[#This Row],[PARTIDA]],"0000000000")</f>
        <v>1104291000</v>
      </c>
      <c r="C789" s="16" t="s">
        <v>815</v>
      </c>
      <c r="D789" s="16" t="s">
        <v>835</v>
      </c>
      <c r="E789" s="16" t="s">
        <v>1870</v>
      </c>
      <c r="F789" s="27" t="s">
        <v>9992</v>
      </c>
      <c r="G789" s="27"/>
      <c r="H789" s="16" t="str">
        <f>IF(ISBLANK(PARTIDAS!$G789),PARTIDAS!$F789,CONCATENATE(PARTIDAS!$F789," (",PARTIDAS!$G789,")"))</f>
        <v>Granos de cereales trabajados de otro modo (por ejemplo, de los demás cereales, de cebada</v>
      </c>
      <c r="I789" s="16" t="s">
        <v>9427</v>
      </c>
    </row>
    <row r="790" spans="1:9" x14ac:dyDescent="0.25">
      <c r="A790" s="16" t="s">
        <v>1687</v>
      </c>
      <c r="B790" s="16" t="str">
        <f>TEXT(PARTIDA[[#This Row],[PARTIDA]],"0000000000")</f>
        <v>1104299000</v>
      </c>
      <c r="C790" s="16" t="s">
        <v>815</v>
      </c>
      <c r="D790" s="16" t="s">
        <v>835</v>
      </c>
      <c r="E790" s="16" t="s">
        <v>1870</v>
      </c>
      <c r="F790" s="27" t="s">
        <v>9993</v>
      </c>
      <c r="G790" s="27"/>
      <c r="H790" s="16" t="str">
        <f>IF(ISBLANK(PARTIDAS!$G790),PARTIDAS!$F790,CONCATENATE(PARTIDAS!$F790," (",PARTIDAS!$G790,")"))</f>
        <v>Granos de cereales trabajados de otro modo (por ejemplo, de los demás cereales (los demás)</v>
      </c>
      <c r="I790" s="16" t="s">
        <v>9427</v>
      </c>
    </row>
    <row r="791" spans="1:9" x14ac:dyDescent="0.25">
      <c r="A791" s="16" t="s">
        <v>1688</v>
      </c>
      <c r="B791" s="16" t="str">
        <f>TEXT(PARTIDA[[#This Row],[PARTIDA]],"0000000000")</f>
        <v>1104300000</v>
      </c>
      <c r="C791" s="16" t="s">
        <v>815</v>
      </c>
      <c r="D791" s="16" t="s">
        <v>835</v>
      </c>
      <c r="E791" s="16" t="s">
        <v>1870</v>
      </c>
      <c r="F791" s="27" t="s">
        <v>9994</v>
      </c>
      <c r="G791" s="27"/>
      <c r="H791" s="16" t="str">
        <f>IF(ISBLANK(PARTIDAS!$G791),PARTIDAS!$F791,CONCATENATE(PARTIDAS!$F791," (",PARTIDAS!$G791,")"))</f>
        <v>Germen de cereales entero, aplastado, en copos o molido</v>
      </c>
      <c r="I791" s="16" t="s">
        <v>9427</v>
      </c>
    </row>
    <row r="792" spans="1:9" x14ac:dyDescent="0.25">
      <c r="A792" s="16" t="s">
        <v>1689</v>
      </c>
      <c r="B792" s="16" t="str">
        <f>TEXT(PARTIDA[[#This Row],[PARTIDA]],"0000000000")</f>
        <v>1105100000</v>
      </c>
      <c r="C792" s="16" t="s">
        <v>815</v>
      </c>
      <c r="D792" s="16" t="s">
        <v>835</v>
      </c>
      <c r="E792" s="16" t="s">
        <v>1870</v>
      </c>
      <c r="F792" s="27" t="s">
        <v>9995</v>
      </c>
      <c r="G792" s="27"/>
      <c r="H792" s="16" t="str">
        <f>IF(ISBLANK(PARTIDAS!$G792),PARTIDAS!$F792,CONCATENATE(PARTIDAS!$F792," (",PARTIDAS!$G792,")"))</f>
        <v>Harina, sémola y polvo</v>
      </c>
      <c r="I792" s="16" t="s">
        <v>9427</v>
      </c>
    </row>
    <row r="793" spans="1:9" x14ac:dyDescent="0.25">
      <c r="A793" s="16" t="s">
        <v>1690</v>
      </c>
      <c r="B793" s="16" t="str">
        <f>TEXT(PARTIDA[[#This Row],[PARTIDA]],"0000000000")</f>
        <v>1105200000</v>
      </c>
      <c r="C793" s="16" t="s">
        <v>815</v>
      </c>
      <c r="D793" s="16" t="s">
        <v>835</v>
      </c>
      <c r="E793" s="16" t="s">
        <v>1870</v>
      </c>
      <c r="F793" s="27" t="s">
        <v>9996</v>
      </c>
      <c r="G793" s="27"/>
      <c r="H793" s="16" t="str">
        <f>IF(ISBLANK(PARTIDAS!$G793),PARTIDAS!$F793,CONCATENATE(PARTIDAS!$F793," (",PARTIDAS!$G793,")"))</f>
        <v>Copos, gránulos y «pellets»</v>
      </c>
      <c r="I793" s="16" t="s">
        <v>9427</v>
      </c>
    </row>
    <row r="794" spans="1:9" x14ac:dyDescent="0.25">
      <c r="A794" s="16" t="s">
        <v>1691</v>
      </c>
      <c r="B794" s="16" t="str">
        <f>TEXT(PARTIDA[[#This Row],[PARTIDA]],"0000000000")</f>
        <v>1106100000</v>
      </c>
      <c r="C794" s="16" t="s">
        <v>815</v>
      </c>
      <c r="D794" s="16" t="s">
        <v>835</v>
      </c>
      <c r="E794" s="16" t="s">
        <v>1870</v>
      </c>
      <c r="F794" s="27" t="s">
        <v>1692</v>
      </c>
      <c r="G794" s="27" t="s">
        <v>1472</v>
      </c>
      <c r="H794" s="16" t="str">
        <f>IF(ISBLANK(PARTIDAS!$G794),PARTIDAS!$F794,CONCATENATE(PARTIDAS!$F794," (",PARTIDAS!$G794,")"))</f>
        <v>Harina de sacha inchi (Verificar)</v>
      </c>
      <c r="I794" s="16" t="s">
        <v>9427</v>
      </c>
    </row>
    <row r="795" spans="1:9" x14ac:dyDescent="0.25">
      <c r="A795" s="16" t="s">
        <v>1693</v>
      </c>
      <c r="B795" s="16" t="str">
        <f>TEXT(PARTIDA[[#This Row],[PARTIDA]],"0000000000")</f>
        <v>1106201000</v>
      </c>
      <c r="C795" s="16" t="s">
        <v>815</v>
      </c>
      <c r="D795" s="16" t="s">
        <v>835</v>
      </c>
      <c r="E795" s="16" t="s">
        <v>1870</v>
      </c>
      <c r="F795" s="27" t="s">
        <v>1694</v>
      </c>
      <c r="G795" s="27" t="s">
        <v>1472</v>
      </c>
      <c r="H795" s="16" t="str">
        <f>IF(ISBLANK(PARTIDAS!$G795),PARTIDAS!$F795,CONCATENATE(PARTIDAS!$F795," (",PARTIDAS!$G795,")"))</f>
        <v>Maca en polvo (Verificar)</v>
      </c>
      <c r="I795" s="16" t="s">
        <v>9427</v>
      </c>
    </row>
    <row r="796" spans="1:9" x14ac:dyDescent="0.25">
      <c r="A796" s="16" t="s">
        <v>1695</v>
      </c>
      <c r="B796" s="16" t="str">
        <f>TEXT(PARTIDA[[#This Row],[PARTIDA]],"0000000000")</f>
        <v>1106209000</v>
      </c>
      <c r="C796" s="16" t="s">
        <v>815</v>
      </c>
      <c r="D796" s="16" t="s">
        <v>835</v>
      </c>
      <c r="E796" s="16" t="s">
        <v>1870</v>
      </c>
      <c r="F796" s="27" t="s">
        <v>1696</v>
      </c>
      <c r="G796" s="27" t="s">
        <v>852</v>
      </c>
      <c r="H796" s="16" t="str">
        <f>IF(ISBLANK(PARTIDAS!$G796),PARTIDAS!$F796,CONCATENATE(PARTIDAS!$F796," (",PARTIDAS!$G796,")"))</f>
        <v>Harina de raíces o tubérculos (Especificar)</v>
      </c>
      <c r="I796" s="16" t="s">
        <v>9427</v>
      </c>
    </row>
    <row r="797" spans="1:9" x14ac:dyDescent="0.25">
      <c r="A797" s="16" t="s">
        <v>1697</v>
      </c>
      <c r="B797" s="16" t="str">
        <f>TEXT(PARTIDA[[#This Row],[PARTIDA]],"0000000000")</f>
        <v>1106301000</v>
      </c>
      <c r="C797" s="16" t="s">
        <v>815</v>
      </c>
      <c r="D797" s="16" t="s">
        <v>835</v>
      </c>
      <c r="E797" s="16" t="s">
        <v>1870</v>
      </c>
      <c r="F797" s="27" t="s">
        <v>1698</v>
      </c>
      <c r="G797" s="27"/>
      <c r="H797" s="16" t="str">
        <f>IF(ISBLANK(PARTIDAS!$G797),PARTIDAS!$F797,CONCATENATE(PARTIDAS!$F797," (",PARTIDAS!$G797,")"))</f>
        <v>Harina de bananas o plátanos</v>
      </c>
      <c r="I797" s="16" t="s">
        <v>9427</v>
      </c>
    </row>
    <row r="798" spans="1:9" x14ac:dyDescent="0.25">
      <c r="A798" s="16" t="s">
        <v>1699</v>
      </c>
      <c r="B798" s="16" t="str">
        <f>TEXT(PARTIDA[[#This Row],[PARTIDA]],"0000000000")</f>
        <v>1106302000</v>
      </c>
      <c r="C798" s="16" t="s">
        <v>815</v>
      </c>
      <c r="D798" s="16" t="s">
        <v>835</v>
      </c>
      <c r="E798" s="16" t="s">
        <v>1870</v>
      </c>
      <c r="F798" s="27" t="s">
        <v>1700</v>
      </c>
      <c r="G798" s="27"/>
      <c r="H798" s="16" t="str">
        <f>IF(ISBLANK(PARTIDAS!$G798),PARTIDAS!$F798,CONCATENATE(PARTIDAS!$F798," (",PARTIDAS!$G798,")"))</f>
        <v>Harina de lúcuma</v>
      </c>
      <c r="I798" s="16" t="s">
        <v>9427</v>
      </c>
    </row>
    <row r="799" spans="1:9" x14ac:dyDescent="0.25">
      <c r="A799" s="16" t="s">
        <v>1701</v>
      </c>
      <c r="B799" s="16" t="str">
        <f>TEXT(PARTIDA[[#This Row],[PARTIDA]],"0000000000")</f>
        <v>1106309000</v>
      </c>
      <c r="C799" s="16" t="s">
        <v>815</v>
      </c>
      <c r="D799" s="16" t="s">
        <v>835</v>
      </c>
      <c r="E799" s="16" t="s">
        <v>1870</v>
      </c>
      <c r="F799" s="27" t="s">
        <v>1702</v>
      </c>
      <c r="G799" s="27" t="s">
        <v>852</v>
      </c>
      <c r="H799" s="16" t="str">
        <f>IF(ISBLANK(PARTIDAS!$G799),PARTIDAS!$F799,CONCATENATE(PARTIDAS!$F799," (",PARTIDAS!$G799,")"))</f>
        <v>Harina de hortalizas (Especificar)</v>
      </c>
      <c r="I799" s="16" t="s">
        <v>9427</v>
      </c>
    </row>
    <row r="800" spans="1:9" x14ac:dyDescent="0.25">
      <c r="A800" s="16" t="s">
        <v>1703</v>
      </c>
      <c r="B800" s="16" t="str">
        <f>TEXT(PARTIDA[[#This Row],[PARTIDA]],"0000000000")</f>
        <v>1107100000</v>
      </c>
      <c r="C800" s="16" t="s">
        <v>815</v>
      </c>
      <c r="D800" s="16" t="s">
        <v>835</v>
      </c>
      <c r="E800" s="16" t="s">
        <v>1870</v>
      </c>
      <c r="F800" s="27" t="s">
        <v>9997</v>
      </c>
      <c r="G800" s="27"/>
      <c r="H800" s="16" t="str">
        <f>IF(ISBLANK(PARTIDAS!$G800),PARTIDAS!$F800,CONCATENATE(PARTIDAS!$F800," (",PARTIDAS!$G800,")"))</f>
        <v>Malta (de cebada u otros cereales), incluso tostada, sin tostar</v>
      </c>
      <c r="I800" s="16" t="s">
        <v>9427</v>
      </c>
    </row>
    <row r="801" spans="1:9" x14ac:dyDescent="0.25">
      <c r="A801" s="16" t="s">
        <v>1704</v>
      </c>
      <c r="B801" s="16" t="str">
        <f>TEXT(PARTIDA[[#This Row],[PARTIDA]],"0000000000")</f>
        <v>1107200000</v>
      </c>
      <c r="C801" s="16" t="s">
        <v>815</v>
      </c>
      <c r="D801" s="16" t="s">
        <v>835</v>
      </c>
      <c r="E801" s="16" t="s">
        <v>1870</v>
      </c>
      <c r="F801" s="27" t="s">
        <v>9998</v>
      </c>
      <c r="G801" s="27"/>
      <c r="H801" s="16" t="str">
        <f>IF(ISBLANK(PARTIDAS!$G801),PARTIDAS!$F801,CONCATENATE(PARTIDAS!$F801," (",PARTIDAS!$G801,")"))</f>
        <v>Tostada</v>
      </c>
      <c r="I801" s="16" t="s">
        <v>9427</v>
      </c>
    </row>
    <row r="802" spans="1:9" x14ac:dyDescent="0.25">
      <c r="A802" s="16" t="s">
        <v>1705</v>
      </c>
      <c r="B802" s="16" t="str">
        <f>TEXT(PARTIDA[[#This Row],[PARTIDA]],"0000000000")</f>
        <v>1108110000</v>
      </c>
      <c r="C802" s="16" t="s">
        <v>815</v>
      </c>
      <c r="D802" s="16" t="s">
        <v>835</v>
      </c>
      <c r="E802" s="16" t="s">
        <v>1870</v>
      </c>
      <c r="F802" s="27" t="s">
        <v>9999</v>
      </c>
      <c r="G802" s="27"/>
      <c r="H802" s="16" t="str">
        <f>IF(ISBLANK(PARTIDAS!$G802),PARTIDAS!$F802,CONCATENATE(PARTIDAS!$F802," (",PARTIDAS!$G802,")"))</f>
        <v>Almidón de trigo</v>
      </c>
      <c r="I802" s="16" t="s">
        <v>9427</v>
      </c>
    </row>
    <row r="803" spans="1:9" x14ac:dyDescent="0.25">
      <c r="A803" s="16" t="s">
        <v>1706</v>
      </c>
      <c r="B803" s="16" t="str">
        <f>TEXT(PARTIDA[[#This Row],[PARTIDA]],"0000000000")</f>
        <v>1108120000</v>
      </c>
      <c r="C803" s="16" t="s">
        <v>815</v>
      </c>
      <c r="D803" s="16" t="s">
        <v>835</v>
      </c>
      <c r="E803" s="16" t="s">
        <v>1870</v>
      </c>
      <c r="F803" s="27" t="s">
        <v>10000</v>
      </c>
      <c r="G803" s="27"/>
      <c r="H803" s="16" t="str">
        <f>IF(ISBLANK(PARTIDAS!$G803),PARTIDAS!$F803,CONCATENATE(PARTIDAS!$F803," (",PARTIDAS!$G803,")"))</f>
        <v>Almidón de maíz</v>
      </c>
      <c r="I803" s="16" t="s">
        <v>9427</v>
      </c>
    </row>
    <row r="804" spans="1:9" x14ac:dyDescent="0.25">
      <c r="A804" s="16" t="s">
        <v>1707</v>
      </c>
      <c r="B804" s="16" t="str">
        <f>TEXT(PARTIDA[[#This Row],[PARTIDA]],"0000000000")</f>
        <v>1108130000</v>
      </c>
      <c r="C804" s="16" t="s">
        <v>815</v>
      </c>
      <c r="D804" s="16" t="s">
        <v>835</v>
      </c>
      <c r="E804" s="16" t="s">
        <v>1870</v>
      </c>
      <c r="F804" s="27" t="s">
        <v>10001</v>
      </c>
      <c r="G804" s="27"/>
      <c r="H804" s="16" t="str">
        <f>IF(ISBLANK(PARTIDAS!$G804),PARTIDAS!$F804,CONCATENATE(PARTIDAS!$F804," (",PARTIDAS!$G804,")"))</f>
        <v>Fécula de papa (patata)</v>
      </c>
      <c r="I804" s="16" t="s">
        <v>9427</v>
      </c>
    </row>
    <row r="805" spans="1:9" x14ac:dyDescent="0.25">
      <c r="A805" s="16" t="s">
        <v>1708</v>
      </c>
      <c r="B805" s="16" t="str">
        <f>TEXT(PARTIDA[[#This Row],[PARTIDA]],"0000000000")</f>
        <v>1108140000</v>
      </c>
      <c r="C805" s="16" t="s">
        <v>815</v>
      </c>
      <c r="D805" s="16" t="s">
        <v>835</v>
      </c>
      <c r="E805" s="16" t="s">
        <v>1870</v>
      </c>
      <c r="F805" s="27" t="s">
        <v>1709</v>
      </c>
      <c r="G805" s="27"/>
      <c r="H805" s="16" t="str">
        <f>IF(ISBLANK(PARTIDAS!$G805),PARTIDAS!$F805,CONCATENATE(PARTIDAS!$F805," (",PARTIDAS!$G805,")"))</f>
        <v>Fécula de yuca</v>
      </c>
      <c r="I805" s="16" t="s">
        <v>9427</v>
      </c>
    </row>
    <row r="806" spans="1:9" x14ac:dyDescent="0.25">
      <c r="A806" s="16" t="s">
        <v>1710</v>
      </c>
      <c r="B806" s="16" t="str">
        <f>TEXT(PARTIDA[[#This Row],[PARTIDA]],"0000000000")</f>
        <v>1108190000</v>
      </c>
      <c r="C806" s="16" t="s">
        <v>815</v>
      </c>
      <c r="D806" s="16" t="s">
        <v>835</v>
      </c>
      <c r="E806" s="16" t="s">
        <v>1870</v>
      </c>
      <c r="F806" s="27" t="s">
        <v>10002</v>
      </c>
      <c r="G806" s="27"/>
      <c r="H806" s="16" t="str">
        <f>IF(ISBLANK(PARTIDAS!$G806),PARTIDAS!$F806,CONCATENATE(PARTIDAS!$F806," (",PARTIDAS!$G806,")"))</f>
        <v>Almidón y fécula (los demás, almidones y féculas)</v>
      </c>
      <c r="I806" s="16" t="s">
        <v>9427</v>
      </c>
    </row>
    <row r="807" spans="1:9" x14ac:dyDescent="0.25">
      <c r="A807" s="16" t="s">
        <v>1711</v>
      </c>
      <c r="B807" s="16" t="str">
        <f>TEXT(PARTIDA[[#This Row],[PARTIDA]],"0000000000")</f>
        <v>1108200000</v>
      </c>
      <c r="C807" s="16" t="s">
        <v>815</v>
      </c>
      <c r="D807" s="16" t="s">
        <v>835</v>
      </c>
      <c r="E807" s="16" t="s">
        <v>1870</v>
      </c>
      <c r="F807" s="27" t="s">
        <v>10003</v>
      </c>
      <c r="G807" s="27"/>
      <c r="H807" s="16" t="str">
        <f>IF(ISBLANK(PARTIDAS!$G807),PARTIDAS!$F807,CONCATENATE(PARTIDAS!$F807," (",PARTIDAS!$G807,")"))</f>
        <v>Inulina</v>
      </c>
      <c r="I807" s="16" t="s">
        <v>9427</v>
      </c>
    </row>
    <row r="808" spans="1:9" x14ac:dyDescent="0.25">
      <c r="A808" s="16" t="s">
        <v>1712</v>
      </c>
      <c r="B808" s="16" t="str">
        <f>TEXT(PARTIDA[[#This Row],[PARTIDA]],"0000000000")</f>
        <v>1109000000</v>
      </c>
      <c r="C808" s="16" t="s">
        <v>815</v>
      </c>
      <c r="D808" s="16" t="s">
        <v>835</v>
      </c>
      <c r="E808" s="16" t="s">
        <v>1870</v>
      </c>
      <c r="F808" s="27" t="s">
        <v>1713</v>
      </c>
      <c r="G808" s="27"/>
      <c r="H808" s="16" t="str">
        <f>IF(ISBLANK(PARTIDAS!$G808),PARTIDAS!$F808,CONCATENATE(PARTIDAS!$F808," (",PARTIDAS!$G808,")"))</f>
        <v>Gluten de trigo, incluso seco.</v>
      </c>
      <c r="I808" s="16" t="s">
        <v>9427</v>
      </c>
    </row>
    <row r="809" spans="1:9" x14ac:dyDescent="0.25">
      <c r="A809" s="16" t="s">
        <v>1714</v>
      </c>
      <c r="B809" s="16" t="str">
        <f>TEXT(PARTIDA[[#This Row],[PARTIDA]],"0000000000")</f>
        <v>1201100000</v>
      </c>
      <c r="C809" s="16" t="s">
        <v>815</v>
      </c>
      <c r="D809" s="16" t="s">
        <v>825</v>
      </c>
      <c r="E809" s="16" t="s">
        <v>9454</v>
      </c>
      <c r="F809" s="27" t="s">
        <v>10004</v>
      </c>
      <c r="G809" s="27"/>
      <c r="H809" s="16" t="str">
        <f>IF(ISBLANK(PARTIDAS!$G809),PARTIDAS!$F809,CONCATENATE(PARTIDAS!$F809," (",PARTIDAS!$G809,")"))</f>
        <v>Habas (porotos, frijoles, fréjoles) de soja (soya), incluso…, para siembra</v>
      </c>
      <c r="I809" s="16" t="s">
        <v>9427</v>
      </c>
    </row>
    <row r="810" spans="1:9" x14ac:dyDescent="0.25">
      <c r="A810" s="16" t="s">
        <v>1715</v>
      </c>
      <c r="B810" s="16" t="str">
        <f>TEXT(PARTIDA[[#This Row],[PARTIDA]],"0000000000")</f>
        <v>1201900000</v>
      </c>
      <c r="C810" s="16" t="s">
        <v>815</v>
      </c>
      <c r="D810" s="16" t="s">
        <v>835</v>
      </c>
      <c r="E810" s="16" t="s">
        <v>788</v>
      </c>
      <c r="F810" s="27" t="s">
        <v>9249</v>
      </c>
      <c r="G810" s="27"/>
      <c r="H810" s="16" t="str">
        <f>IF(ISBLANK(PARTIDAS!$G810),PARTIDAS!$F810,CONCATENATE(PARTIDAS!$F810," (",PARTIDAS!$G810,")"))</f>
        <v>Habas (porotos, frijoles, fréjoles) de soja (soya), incluso… (los demás)</v>
      </c>
      <c r="I810" s="16" t="s">
        <v>9477</v>
      </c>
    </row>
    <row r="811" spans="1:9" x14ac:dyDescent="0.25">
      <c r="A811" s="16" t="s">
        <v>1716</v>
      </c>
      <c r="B811" s="16" t="str">
        <f>TEXT(PARTIDA[[#This Row],[PARTIDA]],"0000000000")</f>
        <v>1202300000</v>
      </c>
      <c r="C811" s="16" t="s">
        <v>815</v>
      </c>
      <c r="D811" s="16" t="s">
        <v>825</v>
      </c>
      <c r="E811" s="16" t="s">
        <v>9454</v>
      </c>
      <c r="F811" s="27" t="s">
        <v>10005</v>
      </c>
      <c r="G811" s="27"/>
      <c r="H811" s="16" t="str">
        <f>IF(ISBLANK(PARTIDAS!$G811),PARTIDAS!$F811,CONCATENATE(PARTIDAS!$F811," (",PARTIDAS!$G811,")"))</f>
        <v>Maníes (cacahuetes, cacahuates) sin tostar ni cocer de otro modo…, para siembra</v>
      </c>
      <c r="I811" s="16" t="s">
        <v>9427</v>
      </c>
    </row>
    <row r="812" spans="1:9" x14ac:dyDescent="0.25">
      <c r="A812" s="16" t="s">
        <v>1717</v>
      </c>
      <c r="B812" s="16" t="str">
        <f>TEXT(PARTIDA[[#This Row],[PARTIDA]],"0000000000")</f>
        <v>1202410000</v>
      </c>
      <c r="C812" s="16" t="s">
        <v>815</v>
      </c>
      <c r="D812" s="16" t="s">
        <v>835</v>
      </c>
      <c r="E812" s="16" t="s">
        <v>788</v>
      </c>
      <c r="F812" s="27" t="s">
        <v>10006</v>
      </c>
      <c r="G812" s="27"/>
      <c r="H812" s="16" t="str">
        <f>IF(ISBLANK(PARTIDAS!$G812),PARTIDAS!$F812,CONCATENATE(PARTIDAS!$F812," (",PARTIDAS!$G812,")"))</f>
        <v>Maníes (cacahuetes, cacahuates) sin tostar ni cocer de otro modo…, con cáscara</v>
      </c>
      <c r="I812" s="16" t="s">
        <v>9427</v>
      </c>
    </row>
    <row r="813" spans="1:9" x14ac:dyDescent="0.25">
      <c r="A813" s="16" t="s">
        <v>1718</v>
      </c>
      <c r="B813" s="16" t="str">
        <f>TEXT(PARTIDA[[#This Row],[PARTIDA]],"0000000000")</f>
        <v>1202420000</v>
      </c>
      <c r="C813" s="16" t="s">
        <v>815</v>
      </c>
      <c r="D813" s="16" t="s">
        <v>835</v>
      </c>
      <c r="E813" s="16" t="s">
        <v>788</v>
      </c>
      <c r="F813" s="27" t="s">
        <v>9291</v>
      </c>
      <c r="G813" s="27"/>
      <c r="H813" s="16" t="str">
        <f>IF(ISBLANK(PARTIDAS!$G813),PARTIDAS!$F813,CONCATENATE(PARTIDAS!$F813," (",PARTIDAS!$G813,")"))</f>
        <v>Maníes (cacahuetes, cacahuates) sin tostar ni cocer de otro modo…, sin cáscara, incluso quebrantados</v>
      </c>
      <c r="I813" s="16" t="s">
        <v>9477</v>
      </c>
    </row>
    <row r="814" spans="1:9" x14ac:dyDescent="0.25">
      <c r="A814" s="16" t="s">
        <v>1719</v>
      </c>
      <c r="B814" s="16" t="str">
        <f>TEXT(PARTIDA[[#This Row],[PARTIDA]],"0000000000")</f>
        <v>1203000000</v>
      </c>
      <c r="C814" s="16" t="s">
        <v>815</v>
      </c>
      <c r="D814" s="16" t="s">
        <v>835</v>
      </c>
      <c r="E814" s="16" t="s">
        <v>788</v>
      </c>
      <c r="F814" s="27" t="s">
        <v>1720</v>
      </c>
      <c r="G814" s="27"/>
      <c r="H814" s="16" t="str">
        <f>IF(ISBLANK(PARTIDAS!$G814),PARTIDAS!$F814,CONCATENATE(PARTIDAS!$F814," (",PARTIDAS!$G814,")"))</f>
        <v>Copra.</v>
      </c>
      <c r="I814" s="16" t="s">
        <v>9427</v>
      </c>
    </row>
    <row r="815" spans="1:9" x14ac:dyDescent="0.25">
      <c r="A815" s="16" t="s">
        <v>1721</v>
      </c>
      <c r="B815" s="16" t="str">
        <f>TEXT(PARTIDA[[#This Row],[PARTIDA]],"0000000000")</f>
        <v>1204001000</v>
      </c>
      <c r="C815" s="16" t="s">
        <v>815</v>
      </c>
      <c r="D815" s="16" t="s">
        <v>825</v>
      </c>
      <c r="E815" s="16" t="s">
        <v>9454</v>
      </c>
      <c r="F815" s="27" t="s">
        <v>10005</v>
      </c>
      <c r="G815" s="27"/>
      <c r="H815" s="16" t="str">
        <f>IF(ISBLANK(PARTIDAS!$G815),PARTIDAS!$F815,CONCATENATE(PARTIDAS!$F815," (",PARTIDAS!$G815,")"))</f>
        <v>Maníes (cacahuetes, cacahuates) sin tostar ni cocer de otro modo…, para siembra</v>
      </c>
      <c r="I815" s="16" t="s">
        <v>9427</v>
      </c>
    </row>
    <row r="816" spans="1:9" x14ac:dyDescent="0.25">
      <c r="A816" s="16" t="s">
        <v>1722</v>
      </c>
      <c r="B816" s="16" t="str">
        <f>TEXT(PARTIDA[[#This Row],[PARTIDA]],"0000000000")</f>
        <v>1204009000</v>
      </c>
      <c r="C816" s="16" t="s">
        <v>815</v>
      </c>
      <c r="D816" s="16" t="s">
        <v>835</v>
      </c>
      <c r="E816" s="16" t="s">
        <v>840</v>
      </c>
      <c r="F816" s="27" t="s">
        <v>9289</v>
      </c>
      <c r="G816" s="27"/>
      <c r="H816" s="16" t="str">
        <f>IF(ISBLANK(PARTIDAS!$G816),PARTIDAS!$F816,CONCATENATE(PARTIDAS!$F816," (",PARTIDAS!$G816,")"))</f>
        <v>Maníes (cacahuetes, cacahuates) sin tostar ni cocer de otro modo… (los demás)</v>
      </c>
      <c r="I816" s="16" t="s">
        <v>9477</v>
      </c>
    </row>
    <row r="817" spans="1:9" x14ac:dyDescent="0.25">
      <c r="A817" s="16" t="s">
        <v>1723</v>
      </c>
      <c r="B817" s="16" t="str">
        <f>TEXT(PARTIDA[[#This Row],[PARTIDA]],"0000000000")</f>
        <v>1205101000</v>
      </c>
      <c r="C817" s="16" t="s">
        <v>815</v>
      </c>
      <c r="D817" s="16" t="s">
        <v>825</v>
      </c>
      <c r="E817" s="16" t="s">
        <v>9454</v>
      </c>
      <c r="F817" s="27" t="s">
        <v>10007</v>
      </c>
      <c r="G817" s="27"/>
      <c r="H817" s="16" t="str">
        <f>IF(ISBLANK(PARTIDAS!$G817),PARTIDAS!$F817,CONCATENATE(PARTIDAS!$F817," (",PARTIDAS!$G817,")"))</f>
        <v>Semillas de nabo (nabina) o de colza con bajo contenido de ácido…, para siembra</v>
      </c>
      <c r="I817" s="16" t="s">
        <v>9427</v>
      </c>
    </row>
    <row r="818" spans="1:9" x14ac:dyDescent="0.25">
      <c r="A818" s="16" t="s">
        <v>1724</v>
      </c>
      <c r="B818" s="16" t="str">
        <f>TEXT(PARTIDA[[#This Row],[PARTIDA]],"0000000000")</f>
        <v>1205109000</v>
      </c>
      <c r="C818" s="16" t="s">
        <v>815</v>
      </c>
      <c r="D818" s="16" t="s">
        <v>835</v>
      </c>
      <c r="E818" s="16" t="s">
        <v>788</v>
      </c>
      <c r="F818" s="27" t="s">
        <v>10008</v>
      </c>
      <c r="G818" s="27"/>
      <c r="H818" s="16" t="str">
        <f>IF(ISBLANK(PARTIDAS!$G818),PARTIDAS!$F818,CONCATENATE(PARTIDAS!$F818," (",PARTIDAS!$G818,")"))</f>
        <v>Semillas de nabo (nabina) o de colza con bajo contenido de ácido… (los demás)</v>
      </c>
      <c r="I818" s="16" t="s">
        <v>9427</v>
      </c>
    </row>
    <row r="819" spans="1:9" x14ac:dyDescent="0.25">
      <c r="A819" s="16" t="s">
        <v>1725</v>
      </c>
      <c r="B819" s="16" t="str">
        <f>TEXT(PARTIDA[[#This Row],[PARTIDA]],"0000000000")</f>
        <v>1205901000</v>
      </c>
      <c r="C819" s="16" t="s">
        <v>815</v>
      </c>
      <c r="D819" s="16" t="s">
        <v>825</v>
      </c>
      <c r="E819" s="16" t="s">
        <v>9454</v>
      </c>
      <c r="F819" s="27" t="s">
        <v>10009</v>
      </c>
      <c r="G819" s="27"/>
      <c r="H819" s="16" t="str">
        <f>IF(ISBLANK(PARTIDAS!$G819),PARTIDAS!$F819,CONCATENATE(PARTIDAS!$F819," (",PARTIDAS!$G819,")"))</f>
        <v>Semillas de nabo (nabina) o de colza, incluso quebrantadas, para siembra</v>
      </c>
      <c r="I819" s="16" t="s">
        <v>9427</v>
      </c>
    </row>
    <row r="820" spans="1:9" x14ac:dyDescent="0.25">
      <c r="A820" s="16" t="s">
        <v>1726</v>
      </c>
      <c r="B820" s="16" t="str">
        <f>TEXT(PARTIDA[[#This Row],[PARTIDA]],"0000000000")</f>
        <v>1205909000</v>
      </c>
      <c r="C820" s="16" t="s">
        <v>815</v>
      </c>
      <c r="D820" s="16" t="s">
        <v>835</v>
      </c>
      <c r="E820" s="16" t="s">
        <v>788</v>
      </c>
      <c r="F820" s="27" t="s">
        <v>10010</v>
      </c>
      <c r="G820" s="27"/>
      <c r="H820" s="16" t="str">
        <f>IF(ISBLANK(PARTIDAS!$G820),PARTIDAS!$F820,CONCATENATE(PARTIDAS!$F820," (",PARTIDAS!$G820,")"))</f>
        <v>Semillas de nabo (nabina) o de colza, incluso quebrantadas (los demás)</v>
      </c>
      <c r="I820" s="16" t="s">
        <v>9427</v>
      </c>
    </row>
    <row r="821" spans="1:9" x14ac:dyDescent="0.25">
      <c r="A821" s="16" t="s">
        <v>1727</v>
      </c>
      <c r="B821" s="16" t="str">
        <f>TEXT(PARTIDA[[#This Row],[PARTIDA]],"0000000000")</f>
        <v>1206001000</v>
      </c>
      <c r="C821" s="16" t="s">
        <v>815</v>
      </c>
      <c r="D821" s="16" t="s">
        <v>825</v>
      </c>
      <c r="E821" s="16" t="s">
        <v>9454</v>
      </c>
      <c r="F821" s="27" t="s">
        <v>10009</v>
      </c>
      <c r="G821" s="27"/>
      <c r="H821" s="16" t="str">
        <f>IF(ISBLANK(PARTIDAS!$G821),PARTIDAS!$F821,CONCATENATE(PARTIDAS!$F821," (",PARTIDAS!$G821,")"))</f>
        <v>Semillas de nabo (nabina) o de colza, incluso quebrantadas, para siembra</v>
      </c>
      <c r="I821" s="16" t="s">
        <v>9427</v>
      </c>
    </row>
    <row r="822" spans="1:9" x14ac:dyDescent="0.25">
      <c r="A822" s="16" t="s">
        <v>1728</v>
      </c>
      <c r="B822" s="16" t="str">
        <f>TEXT(PARTIDA[[#This Row],[PARTIDA]],"0000000000")</f>
        <v>1206009000</v>
      </c>
      <c r="C822" s="16" t="s">
        <v>815</v>
      </c>
      <c r="D822" s="16" t="s">
        <v>835</v>
      </c>
      <c r="E822" s="16" t="s">
        <v>788</v>
      </c>
      <c r="F822" s="27" t="s">
        <v>10010</v>
      </c>
      <c r="G822" s="27"/>
      <c r="H822" s="16" t="str">
        <f>IF(ISBLANK(PARTIDAS!$G822),PARTIDAS!$F822,CONCATENATE(PARTIDAS!$F822," (",PARTIDAS!$G822,")"))</f>
        <v>Semillas de nabo (nabina) o de colza, incluso quebrantadas (los demás)</v>
      </c>
      <c r="I822" s="16" t="s">
        <v>9427</v>
      </c>
    </row>
    <row r="823" spans="1:9" x14ac:dyDescent="0.25">
      <c r="A823" s="16" t="s">
        <v>1729</v>
      </c>
      <c r="B823" s="16" t="str">
        <f>TEXT(PARTIDA[[#This Row],[PARTIDA]],"0000000000")</f>
        <v>1207101000</v>
      </c>
      <c r="C823" s="16" t="s">
        <v>815</v>
      </c>
      <c r="D823" s="16" t="s">
        <v>825</v>
      </c>
      <c r="E823" s="16" t="s">
        <v>9454</v>
      </c>
      <c r="F823" s="27" t="s">
        <v>10011</v>
      </c>
      <c r="G823" s="27"/>
      <c r="H823" s="16" t="str">
        <f>IF(ISBLANK(PARTIDAS!$G823),PARTIDAS!$F823,CONCATENATE(PARTIDAS!$F823," (",PARTIDAS!$G823,")"))</f>
        <v>Nueces y almendras de palma (palmiste), para siembra</v>
      </c>
      <c r="I823" s="16" t="s">
        <v>9427</v>
      </c>
    </row>
    <row r="824" spans="1:9" x14ac:dyDescent="0.25">
      <c r="A824" s="16" t="s">
        <v>1730</v>
      </c>
      <c r="B824" s="16" t="str">
        <f>TEXT(PARTIDA[[#This Row],[PARTIDA]],"0000000000")</f>
        <v>1207109000</v>
      </c>
      <c r="C824" s="16" t="s">
        <v>815</v>
      </c>
      <c r="D824" s="16" t="s">
        <v>835</v>
      </c>
      <c r="E824" s="16" t="s">
        <v>788</v>
      </c>
      <c r="F824" s="27" t="s">
        <v>10012</v>
      </c>
      <c r="G824" s="27"/>
      <c r="H824" s="16" t="str">
        <f>IF(ISBLANK(PARTIDAS!$G824),PARTIDAS!$F824,CONCATENATE(PARTIDAS!$F824," (",PARTIDAS!$G824,")"))</f>
        <v>Nueces y almendras de palma (palmiste) (los demás)</v>
      </c>
      <c r="I824" s="16" t="s">
        <v>9427</v>
      </c>
    </row>
    <row r="825" spans="1:9" x14ac:dyDescent="0.25">
      <c r="A825" s="16" t="s">
        <v>1731</v>
      </c>
      <c r="B825" s="16" t="str">
        <f>TEXT(PARTIDA[[#This Row],[PARTIDA]],"0000000000")</f>
        <v>1207210000</v>
      </c>
      <c r="C825" s="16" t="s">
        <v>815</v>
      </c>
      <c r="D825" s="16" t="s">
        <v>825</v>
      </c>
      <c r="E825" s="16" t="s">
        <v>9454</v>
      </c>
      <c r="F825" s="27" t="s">
        <v>10013</v>
      </c>
      <c r="G825" s="27"/>
      <c r="H825" s="16" t="str">
        <f>IF(ISBLANK(PARTIDAS!$G825),PARTIDAS!$F825,CONCATENATE(PARTIDAS!$F825," (",PARTIDAS!$G825,")"))</f>
        <v>Semillas de algodón, para siembra</v>
      </c>
      <c r="I825" s="16" t="s">
        <v>9427</v>
      </c>
    </row>
    <row r="826" spans="1:9" x14ac:dyDescent="0.25">
      <c r="A826" s="16" t="s">
        <v>1732</v>
      </c>
      <c r="B826" s="16" t="str">
        <f>TEXT(PARTIDA[[#This Row],[PARTIDA]],"0000000000")</f>
        <v>1207290000</v>
      </c>
      <c r="C826" s="16" t="s">
        <v>815</v>
      </c>
      <c r="D826" s="16" t="s">
        <v>835</v>
      </c>
      <c r="E826" s="16" t="s">
        <v>788</v>
      </c>
      <c r="F826" s="27" t="s">
        <v>10014</v>
      </c>
      <c r="G826" s="27"/>
      <c r="H826" s="16" t="str">
        <f>IF(ISBLANK(PARTIDAS!$G826),PARTIDAS!$F826,CONCATENATE(PARTIDAS!$F826," (",PARTIDAS!$G826,")"))</f>
        <v>Semillas de algodón (los demás)</v>
      </c>
      <c r="I826" s="16" t="s">
        <v>9427</v>
      </c>
    </row>
    <row r="827" spans="1:9" x14ac:dyDescent="0.25">
      <c r="A827" s="16" t="s">
        <v>1733</v>
      </c>
      <c r="B827" s="16" t="str">
        <f>TEXT(PARTIDA[[#This Row],[PARTIDA]],"0000000000")</f>
        <v>1207301000</v>
      </c>
      <c r="C827" s="16" t="s">
        <v>815</v>
      </c>
      <c r="D827" s="16" t="s">
        <v>825</v>
      </c>
      <c r="E827" s="16" t="s">
        <v>9454</v>
      </c>
      <c r="F827" s="27" t="s">
        <v>10015</v>
      </c>
      <c r="G827" s="27"/>
      <c r="H827" s="16" t="str">
        <f>IF(ISBLANK(PARTIDAS!$G827),PARTIDAS!$F827,CONCATENATE(PARTIDAS!$F827," (",PARTIDAS!$G827,")"))</f>
        <v>Semillas de ricino, para siembra</v>
      </c>
      <c r="I827" s="16" t="s">
        <v>9427</v>
      </c>
    </row>
    <row r="828" spans="1:9" x14ac:dyDescent="0.25">
      <c r="A828" s="16" t="s">
        <v>1734</v>
      </c>
      <c r="B828" s="16" t="str">
        <f>TEXT(PARTIDA[[#This Row],[PARTIDA]],"0000000000")</f>
        <v>1207309000</v>
      </c>
      <c r="C828" s="16" t="s">
        <v>815</v>
      </c>
      <c r="D828" s="16" t="s">
        <v>835</v>
      </c>
      <c r="E828" s="16" t="s">
        <v>788</v>
      </c>
      <c r="F828" s="27" t="s">
        <v>10016</v>
      </c>
      <c r="G828" s="27"/>
      <c r="H828" s="16" t="str">
        <f>IF(ISBLANK(PARTIDAS!$G828),PARTIDAS!$F828,CONCATENATE(PARTIDAS!$F828," (",PARTIDAS!$G828,")"))</f>
        <v>Semillas de ricino (los demás)</v>
      </c>
      <c r="I828" s="16" t="s">
        <v>9427</v>
      </c>
    </row>
    <row r="829" spans="1:9" x14ac:dyDescent="0.25">
      <c r="A829" s="16" t="s">
        <v>1735</v>
      </c>
      <c r="B829" s="16" t="str">
        <f>TEXT(PARTIDA[[#This Row],[PARTIDA]],"0000000000")</f>
        <v>1207401000</v>
      </c>
      <c r="C829" s="16" t="s">
        <v>815</v>
      </c>
      <c r="D829" s="16" t="s">
        <v>825</v>
      </c>
      <c r="E829" s="16" t="s">
        <v>9454</v>
      </c>
      <c r="F829" s="27" t="s">
        <v>10017</v>
      </c>
      <c r="G829" s="27"/>
      <c r="H829" s="16" t="str">
        <f>IF(ISBLANK(PARTIDAS!$G829),PARTIDAS!$F829,CONCATENATE(PARTIDAS!$F829," (",PARTIDAS!$G829,")"))</f>
        <v>Semillas de sésamo (ajonjolí), para siembra</v>
      </c>
      <c r="I829" s="16" t="s">
        <v>9427</v>
      </c>
    </row>
    <row r="830" spans="1:9" x14ac:dyDescent="0.25">
      <c r="A830" s="16" t="s">
        <v>1736</v>
      </c>
      <c r="B830" s="16" t="str">
        <f>TEXT(PARTIDA[[#This Row],[PARTIDA]],"0000000000")</f>
        <v>1207409000</v>
      </c>
      <c r="C830" s="16" t="s">
        <v>815</v>
      </c>
      <c r="D830" s="16" t="s">
        <v>835</v>
      </c>
      <c r="E830" s="16" t="s">
        <v>788</v>
      </c>
      <c r="F830" s="27" t="s">
        <v>1737</v>
      </c>
      <c r="G830" s="27" t="s">
        <v>852</v>
      </c>
      <c r="H830" s="16" t="str">
        <f>IF(ISBLANK(PARTIDAS!$G830),PARTIDAS!$F830,CONCATENATE(PARTIDAS!$F830," (",PARTIDAS!$G830,")"))</f>
        <v>Plantas y partes de plantas (Especificar)</v>
      </c>
      <c r="I830" s="16" t="s">
        <v>9477</v>
      </c>
    </row>
    <row r="831" spans="1:9" x14ac:dyDescent="0.25">
      <c r="A831" s="16" t="s">
        <v>1738</v>
      </c>
      <c r="B831" s="16" t="str">
        <f>TEXT(PARTIDA[[#This Row],[PARTIDA]],"0000000000")</f>
        <v>1207501000</v>
      </c>
      <c r="C831" s="16" t="s">
        <v>815</v>
      </c>
      <c r="D831" s="16" t="s">
        <v>825</v>
      </c>
      <c r="E831" s="16" t="s">
        <v>9454</v>
      </c>
      <c r="F831" s="27" t="s">
        <v>10018</v>
      </c>
      <c r="G831" s="27"/>
      <c r="H831" s="16" t="str">
        <f>IF(ISBLANK(PARTIDAS!$G831),PARTIDAS!$F831,CONCATENATE(PARTIDAS!$F831," (",PARTIDAS!$G831,")"))</f>
        <v>Semillas de mostaza, para siembra</v>
      </c>
      <c r="I831" s="16" t="s">
        <v>9427</v>
      </c>
    </row>
    <row r="832" spans="1:9" x14ac:dyDescent="0.25">
      <c r="A832" s="16" t="s">
        <v>1739</v>
      </c>
      <c r="B832" s="16" t="str">
        <f>TEXT(PARTIDA[[#This Row],[PARTIDA]],"0000000000")</f>
        <v>1207509000</v>
      </c>
      <c r="C832" s="16" t="s">
        <v>815</v>
      </c>
      <c r="D832" s="16" t="s">
        <v>835</v>
      </c>
      <c r="E832" s="16" t="s">
        <v>788</v>
      </c>
      <c r="F832" s="27" t="s">
        <v>10019</v>
      </c>
      <c r="G832" s="27"/>
      <c r="H832" s="16" t="str">
        <f>IF(ISBLANK(PARTIDAS!$G832),PARTIDAS!$F832,CONCATENATE(PARTIDAS!$F832," (",PARTIDAS!$G832,")"))</f>
        <v>Semillas de mostaza (los demás)</v>
      </c>
      <c r="I832" s="16" t="s">
        <v>9427</v>
      </c>
    </row>
    <row r="833" spans="1:9" x14ac:dyDescent="0.25">
      <c r="A833" s="16" t="s">
        <v>1740</v>
      </c>
      <c r="B833" s="16" t="str">
        <f>TEXT(PARTIDA[[#This Row],[PARTIDA]],"0000000000")</f>
        <v>1207601000</v>
      </c>
      <c r="C833" s="16" t="s">
        <v>815</v>
      </c>
      <c r="D833" s="16" t="s">
        <v>825</v>
      </c>
      <c r="E833" s="16" t="s">
        <v>9454</v>
      </c>
      <c r="F833" s="27" t="s">
        <v>10020</v>
      </c>
      <c r="G833" s="27"/>
      <c r="H833" s="16" t="str">
        <f>IF(ISBLANK(PARTIDAS!$G833),PARTIDAS!$F833,CONCATENATE(PARTIDAS!$F833," (",PARTIDAS!$G833,")"))</f>
        <v>Semillas de cártamo (Carthamus tinctorius), para siembra</v>
      </c>
      <c r="I833" s="16" t="s">
        <v>9427</v>
      </c>
    </row>
    <row r="834" spans="1:9" x14ac:dyDescent="0.25">
      <c r="A834" s="16" t="s">
        <v>1741</v>
      </c>
      <c r="B834" s="16" t="str">
        <f>TEXT(PARTIDA[[#This Row],[PARTIDA]],"0000000000")</f>
        <v>1207609000</v>
      </c>
      <c r="C834" s="16" t="s">
        <v>815</v>
      </c>
      <c r="D834" s="16" t="s">
        <v>835</v>
      </c>
      <c r="E834" s="16" t="s">
        <v>788</v>
      </c>
      <c r="F834" s="27" t="s">
        <v>10021</v>
      </c>
      <c r="G834" s="27"/>
      <c r="H834" s="16" t="str">
        <f>IF(ISBLANK(PARTIDAS!$G834),PARTIDAS!$F834,CONCATENATE(PARTIDAS!$F834," (",PARTIDAS!$G834,")"))</f>
        <v>Semillas de cártamo (Carthamus tinctorius) (los demás)</v>
      </c>
      <c r="I834" s="16" t="s">
        <v>9427</v>
      </c>
    </row>
    <row r="835" spans="1:9" x14ac:dyDescent="0.25">
      <c r="A835" s="16" t="s">
        <v>1742</v>
      </c>
      <c r="B835" s="16" t="str">
        <f>TEXT(PARTIDA[[#This Row],[PARTIDA]],"0000000000")</f>
        <v>1207701000</v>
      </c>
      <c r="C835" s="16" t="s">
        <v>815</v>
      </c>
      <c r="D835" s="16" t="s">
        <v>825</v>
      </c>
      <c r="E835" s="16" t="s">
        <v>9454</v>
      </c>
      <c r="F835" s="27" t="s">
        <v>10022</v>
      </c>
      <c r="G835" s="27"/>
      <c r="H835" s="16" t="str">
        <f>IF(ISBLANK(PARTIDAS!$G835),PARTIDAS!$F835,CONCATENATE(PARTIDAS!$F835," (",PARTIDAS!$G835,")"))</f>
        <v>Semillas de melón, para siembra</v>
      </c>
      <c r="I835" s="16" t="s">
        <v>9427</v>
      </c>
    </row>
    <row r="836" spans="1:9" x14ac:dyDescent="0.25">
      <c r="A836" s="16" t="s">
        <v>1743</v>
      </c>
      <c r="B836" s="16" t="str">
        <f>TEXT(PARTIDA[[#This Row],[PARTIDA]],"0000000000")</f>
        <v>1207709000</v>
      </c>
      <c r="C836" s="16" t="s">
        <v>815</v>
      </c>
      <c r="D836" s="16" t="s">
        <v>835</v>
      </c>
      <c r="E836" s="16" t="s">
        <v>788</v>
      </c>
      <c r="F836" s="27" t="s">
        <v>10023</v>
      </c>
      <c r="G836" s="27"/>
      <c r="H836" s="16" t="str">
        <f>IF(ISBLANK(PARTIDAS!$G836),PARTIDAS!$F836,CONCATENATE(PARTIDAS!$F836," (",PARTIDAS!$G836,")"))</f>
        <v>Semillas de melón (los demás)</v>
      </c>
      <c r="I836" s="16" t="s">
        <v>9427</v>
      </c>
    </row>
    <row r="837" spans="1:9" x14ac:dyDescent="0.25">
      <c r="A837" s="16" t="s">
        <v>1744</v>
      </c>
      <c r="B837" s="16" t="str">
        <f>TEXT(PARTIDA[[#This Row],[PARTIDA]],"0000000000")</f>
        <v>1207910000</v>
      </c>
      <c r="C837" s="16" t="s">
        <v>815</v>
      </c>
      <c r="D837" s="16" t="s">
        <v>835</v>
      </c>
      <c r="E837" s="16" t="s">
        <v>788</v>
      </c>
      <c r="F837" s="27" t="s">
        <v>10024</v>
      </c>
      <c r="G837" s="27"/>
      <c r="H837" s="16" t="str">
        <f>IF(ISBLANK(PARTIDAS!$G837),PARTIDAS!$F837,CONCATENATE(PARTIDAS!$F837," (",PARTIDAS!$G837,")"))</f>
        <v>Semillas de amapola (adormidera)</v>
      </c>
      <c r="I837" s="16" t="s">
        <v>9427</v>
      </c>
    </row>
    <row r="838" spans="1:9" x14ac:dyDescent="0.25">
      <c r="A838" s="16" t="s">
        <v>1745</v>
      </c>
      <c r="B838" s="16" t="str">
        <f>TEXT(PARTIDA[[#This Row],[PARTIDA]],"0000000000")</f>
        <v>1207991000</v>
      </c>
      <c r="C838" s="16" t="s">
        <v>815</v>
      </c>
      <c r="D838" s="16" t="s">
        <v>825</v>
      </c>
      <c r="E838" s="16" t="s">
        <v>9454</v>
      </c>
      <c r="F838" s="27" t="s">
        <v>1746</v>
      </c>
      <c r="G838" s="27" t="s">
        <v>852</v>
      </c>
      <c r="H838" s="16" t="str">
        <f>IF(ISBLANK(PARTIDAS!$G838),PARTIDAS!$F838,CONCATENATE(PARTIDAS!$F838," (",PARTIDAS!$G838,")"))</f>
        <v>Semillas (Especificar)</v>
      </c>
      <c r="I838" s="16" t="s">
        <v>9427</v>
      </c>
    </row>
    <row r="839" spans="1:9" x14ac:dyDescent="0.25">
      <c r="A839" s="16" t="s">
        <v>1747</v>
      </c>
      <c r="B839" s="16" t="str">
        <f>TEXT(PARTIDA[[#This Row],[PARTIDA]],"0000000000")</f>
        <v>1207999100</v>
      </c>
      <c r="C839" s="16" t="s">
        <v>815</v>
      </c>
      <c r="D839" s="16" t="s">
        <v>835</v>
      </c>
      <c r="E839" s="16" t="s">
        <v>788</v>
      </c>
      <c r="F839" s="27" t="s">
        <v>10025</v>
      </c>
      <c r="G839" s="27"/>
      <c r="H839" s="16" t="str">
        <f>IF(ISBLANK(PARTIDAS!$G839),PARTIDAS!$F839,CONCATENATE(PARTIDAS!$F839," (",PARTIDAS!$G839,")"))</f>
        <v>Semillas de Karité</v>
      </c>
      <c r="I839" s="16" t="s">
        <v>9427</v>
      </c>
    </row>
    <row r="840" spans="1:9" x14ac:dyDescent="0.25">
      <c r="A840" s="16" t="s">
        <v>1748</v>
      </c>
      <c r="B840" s="16" t="str">
        <f>TEXT(PARTIDA[[#This Row],[PARTIDA]],"0000000000")</f>
        <v>1207999900</v>
      </c>
      <c r="C840" s="16" t="s">
        <v>815</v>
      </c>
      <c r="D840" s="16" t="s">
        <v>835</v>
      </c>
      <c r="E840" s="16" t="s">
        <v>788</v>
      </c>
      <c r="F840" s="27" t="s">
        <v>1749</v>
      </c>
      <c r="G840" s="27" t="s">
        <v>852</v>
      </c>
      <c r="H840" s="16" t="str">
        <f>IF(ISBLANK(PARTIDAS!$G840),PARTIDAS!$F840,CONCATENATE(PARTIDAS!$F840," (",PARTIDAS!$G840,")"))</f>
        <v>Semillas de frutas (Especificar)</v>
      </c>
      <c r="I840" s="16" t="s">
        <v>9477</v>
      </c>
    </row>
    <row r="841" spans="1:9" x14ac:dyDescent="0.25">
      <c r="A841" s="16" t="s">
        <v>1750</v>
      </c>
      <c r="B841" s="16" t="str">
        <f>TEXT(PARTIDA[[#This Row],[PARTIDA]],"0000000000")</f>
        <v>1208100000</v>
      </c>
      <c r="C841" s="16" t="s">
        <v>815</v>
      </c>
      <c r="D841" s="16" t="s">
        <v>835</v>
      </c>
      <c r="E841" s="16" t="s">
        <v>1870</v>
      </c>
      <c r="F841" s="27" t="s">
        <v>1751</v>
      </c>
      <c r="G841" s="27" t="s">
        <v>852</v>
      </c>
      <c r="H841" s="16" t="str">
        <f>IF(ISBLANK(PARTIDAS!$G841),PARTIDAS!$F841,CONCATENATE(PARTIDAS!$F841," (",PARTIDAS!$G841,")"))</f>
        <v>Harina de habas (porotos, frijoles, fréjoles) de soja (soya) (Especificar)</v>
      </c>
      <c r="I841" s="16" t="s">
        <v>9477</v>
      </c>
    </row>
    <row r="842" spans="1:9" x14ac:dyDescent="0.25">
      <c r="A842" s="16" t="s">
        <v>1752</v>
      </c>
      <c r="B842" s="16" t="str">
        <f>TEXT(PARTIDA[[#This Row],[PARTIDA]],"0000000000")</f>
        <v>1208900000</v>
      </c>
      <c r="C842" s="16" t="s">
        <v>815</v>
      </c>
      <c r="D842" s="16" t="s">
        <v>835</v>
      </c>
      <c r="E842" s="16" t="s">
        <v>840</v>
      </c>
      <c r="F842" s="27" t="s">
        <v>1753</v>
      </c>
      <c r="G842" s="27" t="s">
        <v>852</v>
      </c>
      <c r="H842" s="16" t="str">
        <f>IF(ISBLANK(PARTIDAS!$G842),PARTIDAS!$F842,CONCATENATE(PARTIDAS!$F842," (",PARTIDAS!$G842,")"))</f>
        <v>Harina de oleaginosos (Especificar)</v>
      </c>
      <c r="I842" s="16" t="s">
        <v>9427</v>
      </c>
    </row>
    <row r="843" spans="1:9" x14ac:dyDescent="0.25">
      <c r="A843" s="16" t="s">
        <v>1754</v>
      </c>
      <c r="B843" s="16" t="str">
        <f>TEXT(PARTIDA[[#This Row],[PARTIDA]],"0000000000")</f>
        <v>1209100000</v>
      </c>
      <c r="C843" s="16" t="s">
        <v>815</v>
      </c>
      <c r="D843" s="16" t="s">
        <v>825</v>
      </c>
      <c r="E843" s="16" t="s">
        <v>9454</v>
      </c>
      <c r="F843" s="27" t="s">
        <v>10026</v>
      </c>
      <c r="G843" s="27"/>
      <c r="H843" s="16" t="str">
        <f>IF(ISBLANK(PARTIDAS!$G843),PARTIDAS!$F843,CONCATENATE(PARTIDAS!$F843," (",PARTIDAS!$G843,")"))</f>
        <v>Semillas de remolacha azucarera</v>
      </c>
      <c r="I843" s="16" t="s">
        <v>9427</v>
      </c>
    </row>
    <row r="844" spans="1:9" x14ac:dyDescent="0.25">
      <c r="A844" s="16" t="s">
        <v>1755</v>
      </c>
      <c r="B844" s="16" t="str">
        <f>TEXT(PARTIDA[[#This Row],[PARTIDA]],"0000000000")</f>
        <v>1209210000</v>
      </c>
      <c r="C844" s="16" t="s">
        <v>815</v>
      </c>
      <c r="D844" s="16" t="s">
        <v>825</v>
      </c>
      <c r="E844" s="16" t="s">
        <v>9454</v>
      </c>
      <c r="F844" s="27" t="s">
        <v>10027</v>
      </c>
      <c r="G844" s="27"/>
      <c r="H844" s="16" t="str">
        <f>IF(ISBLANK(PARTIDAS!$G844),PARTIDAS!$F844,CONCATENATE(PARTIDAS!$F844," (",PARTIDAS!$G844,")"))</f>
        <v>Semillas forrajeras, de alfalfa</v>
      </c>
      <c r="I844" s="16" t="s">
        <v>9427</v>
      </c>
    </row>
    <row r="845" spans="1:9" x14ac:dyDescent="0.25">
      <c r="A845" s="16" t="s">
        <v>1756</v>
      </c>
      <c r="B845" s="16" t="str">
        <f>TEXT(PARTIDA[[#This Row],[PARTIDA]],"0000000000")</f>
        <v>1209220000</v>
      </c>
      <c r="C845" s="16" t="s">
        <v>815</v>
      </c>
      <c r="D845" s="16" t="s">
        <v>825</v>
      </c>
      <c r="E845" s="16" t="s">
        <v>9454</v>
      </c>
      <c r="F845" s="27" t="s">
        <v>10028</v>
      </c>
      <c r="G845" s="27"/>
      <c r="H845" s="16" t="str">
        <f>IF(ISBLANK(PARTIDAS!$G845),PARTIDAS!$F845,CONCATENATE(PARTIDAS!$F845," (",PARTIDAS!$G845,")"))</f>
        <v>Semillas forrajeras, de trébol (Trifolium spp.)</v>
      </c>
      <c r="I845" s="16" t="s">
        <v>9427</v>
      </c>
    </row>
    <row r="846" spans="1:9" x14ac:dyDescent="0.25">
      <c r="A846" s="16" t="s">
        <v>1757</v>
      </c>
      <c r="B846" s="16" t="str">
        <f>TEXT(PARTIDA[[#This Row],[PARTIDA]],"0000000000")</f>
        <v>1209230000</v>
      </c>
      <c r="C846" s="16" t="s">
        <v>815</v>
      </c>
      <c r="D846" s="16" t="s">
        <v>825</v>
      </c>
      <c r="E846" s="16" t="s">
        <v>9454</v>
      </c>
      <c r="F846" s="27" t="s">
        <v>10029</v>
      </c>
      <c r="G846" s="27"/>
      <c r="H846" s="16" t="str">
        <f>IF(ISBLANK(PARTIDAS!$G846),PARTIDAS!$F846,CONCATENATE(PARTIDAS!$F846," (",PARTIDAS!$G846,")"))</f>
        <v>Semillas forrajeras, de festucas</v>
      </c>
      <c r="I846" s="16" t="s">
        <v>9427</v>
      </c>
    </row>
    <row r="847" spans="1:9" x14ac:dyDescent="0.25">
      <c r="A847" s="16" t="s">
        <v>1758</v>
      </c>
      <c r="B847" s="16" t="str">
        <f>TEXT(PARTIDA[[#This Row],[PARTIDA]],"0000000000")</f>
        <v>1209240000</v>
      </c>
      <c r="C847" s="16" t="s">
        <v>815</v>
      </c>
      <c r="D847" s="16" t="s">
        <v>825</v>
      </c>
      <c r="E847" s="16" t="s">
        <v>9454</v>
      </c>
      <c r="F847" s="27" t="s">
        <v>10030</v>
      </c>
      <c r="G847" s="27"/>
      <c r="H847" s="16" t="str">
        <f>IF(ISBLANK(PARTIDAS!$G847),PARTIDAS!$F847,CONCATENATE(PARTIDAS!$F847," (",PARTIDAS!$G847,")"))</f>
        <v>Semillas forrajeras, de pasto azul de Kentucky (Poa pratensis L.)</v>
      </c>
      <c r="I847" s="16" t="s">
        <v>9427</v>
      </c>
    </row>
    <row r="848" spans="1:9" x14ac:dyDescent="0.25">
      <c r="A848" s="16" t="s">
        <v>1759</v>
      </c>
      <c r="B848" s="16" t="str">
        <f>TEXT(PARTIDA[[#This Row],[PARTIDA]],"0000000000")</f>
        <v>1209250000</v>
      </c>
      <c r="C848" s="16" t="s">
        <v>815</v>
      </c>
      <c r="D848" s="16" t="s">
        <v>825</v>
      </c>
      <c r="E848" s="16" t="s">
        <v>9454</v>
      </c>
      <c r="F848" s="27" t="s">
        <v>10031</v>
      </c>
      <c r="G848" s="27"/>
      <c r="H848" s="16" t="str">
        <f>IF(ISBLANK(PARTIDAS!$G848),PARTIDAS!$F848,CONCATENATE(PARTIDAS!$F848," (",PARTIDAS!$G848,")"))</f>
        <v>Semillas forrajeras, de ballico (Lolium multiflorum Lam., Lolium perenne L.)</v>
      </c>
      <c r="I848" s="16" t="s">
        <v>9427</v>
      </c>
    </row>
    <row r="849" spans="1:9" x14ac:dyDescent="0.25">
      <c r="A849" s="16" t="s">
        <v>1760</v>
      </c>
      <c r="B849" s="16" t="str">
        <f>TEXT(PARTIDA[[#This Row],[PARTIDA]],"0000000000")</f>
        <v>1209290000</v>
      </c>
      <c r="C849" s="16" t="s">
        <v>815</v>
      </c>
      <c r="D849" s="16" t="s">
        <v>825</v>
      </c>
      <c r="E849" s="16" t="s">
        <v>9454</v>
      </c>
      <c r="F849" s="27" t="s">
        <v>1761</v>
      </c>
      <c r="G849" s="27" t="s">
        <v>852</v>
      </c>
      <c r="H849" s="16" t="str">
        <f>IF(ISBLANK(PARTIDAS!$G849),PARTIDAS!$F849,CONCATENATE(PARTIDAS!$F849," (",PARTIDAS!$G849,")"))</f>
        <v>Semillas y esporas para siembra (Especificar)</v>
      </c>
      <c r="I849" s="16" t="s">
        <v>9427</v>
      </c>
    </row>
    <row r="850" spans="1:9" x14ac:dyDescent="0.25">
      <c r="A850" s="16" t="s">
        <v>1762</v>
      </c>
      <c r="B850" s="16" t="str">
        <f>TEXT(PARTIDA[[#This Row],[PARTIDA]],"0000000000")</f>
        <v>1209300000</v>
      </c>
      <c r="C850" s="16" t="s">
        <v>815</v>
      </c>
      <c r="D850" s="16" t="s">
        <v>825</v>
      </c>
      <c r="E850" s="16" t="s">
        <v>9454</v>
      </c>
      <c r="F850" s="27" t="s">
        <v>1763</v>
      </c>
      <c r="G850" s="27" t="s">
        <v>852</v>
      </c>
      <c r="H850" s="16" t="str">
        <f>IF(ISBLANK(PARTIDAS!$G850),PARTIDAS!$F850,CONCATENATE(PARTIDAS!$F850," (",PARTIDAS!$G850,")"))</f>
        <v>Semillas de plantas herbáceas (Especificar)</v>
      </c>
      <c r="I850" s="16" t="s">
        <v>9427</v>
      </c>
    </row>
    <row r="851" spans="1:9" x14ac:dyDescent="0.25">
      <c r="A851" s="16" t="s">
        <v>1764</v>
      </c>
      <c r="B851" s="16" t="str">
        <f>TEXT(PARTIDA[[#This Row],[PARTIDA]],"0000000000")</f>
        <v>1209911000</v>
      </c>
      <c r="C851" s="16" t="s">
        <v>815</v>
      </c>
      <c r="D851" s="16" t="s">
        <v>825</v>
      </c>
      <c r="E851" s="16" t="s">
        <v>9454</v>
      </c>
      <c r="F851" s="27" t="s">
        <v>10032</v>
      </c>
      <c r="G851" s="27"/>
      <c r="H851" s="16" t="str">
        <f>IF(ISBLANK(PARTIDAS!$G851),PARTIDAS!$F851,CONCATENATE(PARTIDAS!$F851," (",PARTIDAS!$G851,")"))</f>
        <v>Semillas de hortalizas, de cebollas, puerros (poros), ajos y demás hortalizas del género Allium</v>
      </c>
      <c r="I851" s="16" t="s">
        <v>9427</v>
      </c>
    </row>
    <row r="852" spans="1:9" x14ac:dyDescent="0.25">
      <c r="A852" s="16" t="s">
        <v>1765</v>
      </c>
      <c r="B852" s="16" t="str">
        <f>TEXT(PARTIDA[[#This Row],[PARTIDA]],"0000000000")</f>
        <v>1209912000</v>
      </c>
      <c r="C852" s="16" t="s">
        <v>815</v>
      </c>
      <c r="D852" s="16" t="s">
        <v>825</v>
      </c>
      <c r="E852" s="16" t="s">
        <v>9454</v>
      </c>
      <c r="F852" s="27" t="s">
        <v>10033</v>
      </c>
      <c r="G852" s="27"/>
      <c r="H852" s="16" t="str">
        <f>IF(ISBLANK(PARTIDAS!$G852),PARTIDAS!$F852,CONCATENATE(PARTIDAS!$F852," (",PARTIDAS!$G852,")"))</f>
        <v>Semillas de hortalizas, de coles, coliflores, brócoli, nabos y demás hortalizas del género Brassica</v>
      </c>
      <c r="I852" s="16" t="s">
        <v>9427</v>
      </c>
    </row>
    <row r="853" spans="1:9" x14ac:dyDescent="0.25">
      <c r="A853" s="16" t="s">
        <v>1766</v>
      </c>
      <c r="B853" s="16" t="str">
        <f>TEXT(PARTIDA[[#This Row],[PARTIDA]],"0000000000")</f>
        <v>1209913000</v>
      </c>
      <c r="C853" s="16" t="s">
        <v>815</v>
      </c>
      <c r="D853" s="16" t="s">
        <v>825</v>
      </c>
      <c r="E853" s="16" t="s">
        <v>9454</v>
      </c>
      <c r="F853" s="27" t="s">
        <v>10034</v>
      </c>
      <c r="G853" s="27"/>
      <c r="H853" s="16" t="str">
        <f>IF(ISBLANK(PARTIDAS!$G853),PARTIDAS!$F853,CONCATENATE(PARTIDAS!$F853," (",PARTIDAS!$G853,")"))</f>
        <v>Semillas de hortalizas, de zanahoria (Daucus carota)</v>
      </c>
      <c r="I853" s="16" t="s">
        <v>9427</v>
      </c>
    </row>
    <row r="854" spans="1:9" x14ac:dyDescent="0.25">
      <c r="A854" s="16" t="s">
        <v>1767</v>
      </c>
      <c r="B854" s="16" t="str">
        <f>TEXT(PARTIDA[[#This Row],[PARTIDA]],"0000000000")</f>
        <v>1209914000</v>
      </c>
      <c r="C854" s="16" t="s">
        <v>815</v>
      </c>
      <c r="D854" s="16" t="s">
        <v>825</v>
      </c>
      <c r="E854" s="16" t="s">
        <v>9454</v>
      </c>
      <c r="F854" s="27" t="s">
        <v>10035</v>
      </c>
      <c r="G854" s="27"/>
      <c r="H854" s="16" t="str">
        <f>IF(ISBLANK(PARTIDAS!$G854),PARTIDAS!$F854,CONCATENATE(PARTIDAS!$F854," (",PARTIDAS!$G854,")"))</f>
        <v>Semillas de hortalizas, de lechuga (Lactuca sativa)</v>
      </c>
      <c r="I854" s="16" t="s">
        <v>9427</v>
      </c>
    </row>
    <row r="855" spans="1:9" x14ac:dyDescent="0.25">
      <c r="A855" s="16" t="s">
        <v>1768</v>
      </c>
      <c r="B855" s="16" t="str">
        <f>TEXT(PARTIDA[[#This Row],[PARTIDA]],"0000000000")</f>
        <v>1209915000</v>
      </c>
      <c r="C855" s="16" t="s">
        <v>815</v>
      </c>
      <c r="D855" s="16" t="s">
        <v>825</v>
      </c>
      <c r="E855" s="16" t="s">
        <v>9454</v>
      </c>
      <c r="F855" s="27" t="s">
        <v>10036</v>
      </c>
      <c r="G855" s="27"/>
      <c r="H855" s="16" t="str">
        <f>IF(ISBLANK(PARTIDAS!$G855),PARTIDAS!$F855,CONCATENATE(PARTIDAS!$F855," (",PARTIDAS!$G855,")"))</f>
        <v>Semillas de hortalizas, de tomates (Licopersicum spp.)</v>
      </c>
      <c r="I855" s="16" t="s">
        <v>9427</v>
      </c>
    </row>
    <row r="856" spans="1:9" x14ac:dyDescent="0.25">
      <c r="A856" s="16" t="s">
        <v>1769</v>
      </c>
      <c r="B856" s="16" t="str">
        <f>TEXT(PARTIDA[[#This Row],[PARTIDA]],"0000000000")</f>
        <v>1209919000</v>
      </c>
      <c r="C856" s="16" t="s">
        <v>815</v>
      </c>
      <c r="D856" s="16" t="s">
        <v>825</v>
      </c>
      <c r="E856" s="16" t="s">
        <v>9454</v>
      </c>
      <c r="F856" s="27" t="s">
        <v>10037</v>
      </c>
      <c r="G856" s="27"/>
      <c r="H856" s="16" t="str">
        <f>IF(ISBLANK(PARTIDAS!$G856),PARTIDAS!$F856,CONCATENATE(PARTIDAS!$F856," (",PARTIDAS!$G856,")"))</f>
        <v>Semillas de hortalizas (los demás)</v>
      </c>
      <c r="I856" s="16" t="s">
        <v>9427</v>
      </c>
    </row>
    <row r="857" spans="1:9" x14ac:dyDescent="0.25">
      <c r="A857" s="16" t="s">
        <v>1770</v>
      </c>
      <c r="B857" s="16" t="str">
        <f>TEXT(PARTIDA[[#This Row],[PARTIDA]],"0000000000")</f>
        <v>1209991000</v>
      </c>
      <c r="C857" s="16" t="s">
        <v>815</v>
      </c>
      <c r="D857" s="16" t="s">
        <v>825</v>
      </c>
      <c r="E857" s="16" t="s">
        <v>9454</v>
      </c>
      <c r="F857" s="27" t="s">
        <v>1771</v>
      </c>
      <c r="G857" s="27" t="s">
        <v>852</v>
      </c>
      <c r="H857" s="16" t="str">
        <f>IF(ISBLANK(PARTIDAS!$G857),PARTIDAS!$F857,CONCATENATE(PARTIDAS!$F857," (",PARTIDAS!$G857,")"))</f>
        <v>Semillas de árboles (Especificar)</v>
      </c>
      <c r="I857" s="16" t="s">
        <v>9427</v>
      </c>
    </row>
    <row r="858" spans="1:9" x14ac:dyDescent="0.25">
      <c r="A858" s="16" t="s">
        <v>1772</v>
      </c>
      <c r="B858" s="16" t="str">
        <f>TEXT(PARTIDA[[#This Row],[PARTIDA]],"0000000000")</f>
        <v>1209992000</v>
      </c>
      <c r="C858" s="16" t="s">
        <v>815</v>
      </c>
      <c r="D858" s="16" t="s">
        <v>825</v>
      </c>
      <c r="E858" s="16" t="s">
        <v>9454</v>
      </c>
      <c r="F858" s="27" t="s">
        <v>1773</v>
      </c>
      <c r="G858" s="27"/>
      <c r="H858" s="16" t="str">
        <f>IF(ISBLANK(PARTIDAS!$G858),PARTIDAS!$F858,CONCATENATE(PARTIDAS!$F858," (",PARTIDAS!$G858,")"))</f>
        <v>Semillas de tabaco</v>
      </c>
      <c r="I858" s="16" t="s">
        <v>9427</v>
      </c>
    </row>
    <row r="859" spans="1:9" x14ac:dyDescent="0.25">
      <c r="A859" s="16" t="s">
        <v>1774</v>
      </c>
      <c r="B859" s="16" t="str">
        <f>TEXT(PARTIDA[[#This Row],[PARTIDA]],"0000000000")</f>
        <v>1209993000</v>
      </c>
      <c r="C859" s="16" t="s">
        <v>815</v>
      </c>
      <c r="D859" s="16" t="s">
        <v>825</v>
      </c>
      <c r="E859" s="16" t="s">
        <v>9454</v>
      </c>
      <c r="F859" s="27" t="s">
        <v>10038</v>
      </c>
      <c r="G859" s="27"/>
      <c r="H859" s="16" t="str">
        <f>IF(ISBLANK(PARTIDAS!$G859),PARTIDAS!$F859,CONCATENATE(PARTIDAS!$F859," (",PARTIDAS!$G859,")"))</f>
        <v>Semillas de tara (Caesalpinea spinosa)</v>
      </c>
      <c r="I859" s="16" t="s">
        <v>9427</v>
      </c>
    </row>
    <row r="860" spans="1:9" x14ac:dyDescent="0.25">
      <c r="A860" s="16" t="s">
        <v>1775</v>
      </c>
      <c r="B860" s="16" t="str">
        <f>TEXT(PARTIDA[[#This Row],[PARTIDA]],"0000000000")</f>
        <v>1209994000</v>
      </c>
      <c r="C860" s="16" t="s">
        <v>815</v>
      </c>
      <c r="D860" s="16" t="s">
        <v>825</v>
      </c>
      <c r="E860" s="16" t="s">
        <v>9454</v>
      </c>
      <c r="F860" s="27" t="s">
        <v>10039</v>
      </c>
      <c r="G860" s="27"/>
      <c r="H860" s="16" t="str">
        <f>IF(ISBLANK(PARTIDAS!$G860),PARTIDAS!$F860,CONCATENATE(PARTIDAS!$F860," (",PARTIDAS!$G860,")"))</f>
        <v>Semillas de achiote (onoto, bija)</v>
      </c>
      <c r="I860" s="16" t="s">
        <v>9427</v>
      </c>
    </row>
    <row r="861" spans="1:9" x14ac:dyDescent="0.25">
      <c r="A861" s="16" t="s">
        <v>1776</v>
      </c>
      <c r="B861" s="16" t="str">
        <f>TEXT(PARTIDA[[#This Row],[PARTIDA]],"0000000000")</f>
        <v>1209999000</v>
      </c>
      <c r="C861" s="16" t="s">
        <v>815</v>
      </c>
      <c r="D861" s="16" t="s">
        <v>825</v>
      </c>
      <c r="E861" s="16" t="s">
        <v>9454</v>
      </c>
      <c r="F861" s="27" t="s">
        <v>1746</v>
      </c>
      <c r="G861" s="27" t="s">
        <v>852</v>
      </c>
      <c r="H861" s="16" t="str">
        <f>IF(ISBLANK(PARTIDAS!$G861),PARTIDAS!$F861,CONCATENATE(PARTIDAS!$F861," (",PARTIDAS!$G861,")"))</f>
        <v>Semillas (Especificar)</v>
      </c>
      <c r="I861" s="16" t="s">
        <v>9427</v>
      </c>
    </row>
    <row r="862" spans="1:9" x14ac:dyDescent="0.25">
      <c r="A862" s="16" t="s">
        <v>1777</v>
      </c>
      <c r="B862" s="16" t="str">
        <f>TEXT(PARTIDA[[#This Row],[PARTIDA]],"0000000000")</f>
        <v>1210100000</v>
      </c>
      <c r="C862" s="16" t="s">
        <v>815</v>
      </c>
      <c r="D862" s="16" t="s">
        <v>835</v>
      </c>
      <c r="E862" s="16" t="s">
        <v>840</v>
      </c>
      <c r="F862" s="27" t="s">
        <v>10040</v>
      </c>
      <c r="G862" s="27"/>
      <c r="H862" s="16" t="str">
        <f>IF(ISBLANK(PARTIDAS!$G862),PARTIDAS!$F862,CONCATENATE(PARTIDAS!$F862," (",PARTIDAS!$G862,")"))</f>
        <v>Conos de lúpulo sin triturar ni moler ni en «pellets»</v>
      </c>
      <c r="I862" s="16" t="s">
        <v>9427</v>
      </c>
    </row>
    <row r="863" spans="1:9" x14ac:dyDescent="0.25">
      <c r="A863" s="16" t="s">
        <v>1778</v>
      </c>
      <c r="B863" s="16" t="str">
        <f>TEXT(PARTIDA[[#This Row],[PARTIDA]],"0000000000")</f>
        <v>1210200000</v>
      </c>
      <c r="C863" s="16" t="s">
        <v>815</v>
      </c>
      <c r="D863" s="16" t="s">
        <v>835</v>
      </c>
      <c r="E863" s="16" t="s">
        <v>840</v>
      </c>
      <c r="F863" s="27" t="s">
        <v>10041</v>
      </c>
      <c r="G863" s="27"/>
      <c r="H863" s="16" t="str">
        <f>IF(ISBLANK(PARTIDAS!$G863),PARTIDAS!$F863,CONCATENATE(PARTIDAS!$F863," (",PARTIDAS!$G863,")"))</f>
        <v>Conos de lúpulo triturados, molidos o en «pellets»; lupulino</v>
      </c>
      <c r="I863" s="16" t="s">
        <v>9427</v>
      </c>
    </row>
    <row r="864" spans="1:9" x14ac:dyDescent="0.25">
      <c r="A864" s="16" t="s">
        <v>1779</v>
      </c>
      <c r="B864" s="16" t="str">
        <f>TEXT(PARTIDA[[#This Row],[PARTIDA]],"0000000000")</f>
        <v>1211200010</v>
      </c>
      <c r="C864" s="16" t="s">
        <v>815</v>
      </c>
      <c r="D864" s="16" t="s">
        <v>835</v>
      </c>
      <c r="E864" s="16" t="s">
        <v>840</v>
      </c>
      <c r="F864" s="27" t="s">
        <v>10042</v>
      </c>
      <c r="G864" s="27"/>
      <c r="H864" s="16" t="str">
        <f>IF(ISBLANK(PARTIDAS!$G864),PARTIDAS!$F864,CONCATENATE(PARTIDAS!$F864," (",PARTIDAS!$G864,")"))</f>
        <v>Raíces de ginseng, refrigerados o congelados</v>
      </c>
      <c r="I864" s="16" t="s">
        <v>9427</v>
      </c>
    </row>
    <row r="865" spans="1:9" x14ac:dyDescent="0.25">
      <c r="A865" s="16" t="s">
        <v>1780</v>
      </c>
      <c r="B865" s="16" t="str">
        <f>TEXT(PARTIDA[[#This Row],[PARTIDA]],"0000000000")</f>
        <v>1211200090</v>
      </c>
      <c r="C865" s="16" t="s">
        <v>815</v>
      </c>
      <c r="D865" s="16" t="s">
        <v>835</v>
      </c>
      <c r="E865" s="16" t="s">
        <v>840</v>
      </c>
      <c r="F865" s="27" t="s">
        <v>10043</v>
      </c>
      <c r="G865" s="27"/>
      <c r="H865" s="16" t="str">
        <f>IF(ISBLANK(PARTIDAS!$G865),PARTIDAS!$F865,CONCATENATE(PARTIDAS!$F865," (",PARTIDAS!$G865,")"))</f>
        <v>Raíces de ginseng (los demás)</v>
      </c>
      <c r="I865" s="16" t="s">
        <v>9427</v>
      </c>
    </row>
    <row r="866" spans="1:9" x14ac:dyDescent="0.25">
      <c r="A866" s="16" t="s">
        <v>1781</v>
      </c>
      <c r="B866" s="16" t="str">
        <f>TEXT(PARTIDA[[#This Row],[PARTIDA]],"0000000000")</f>
        <v>1211300000</v>
      </c>
      <c r="C866" s="16" t="s">
        <v>815</v>
      </c>
      <c r="D866" s="16" t="s">
        <v>835</v>
      </c>
      <c r="E866" s="16" t="s">
        <v>840</v>
      </c>
      <c r="F866" s="27" t="s">
        <v>10044</v>
      </c>
      <c r="G866" s="27"/>
      <c r="H866" s="16" t="str">
        <f>IF(ISBLANK(PARTIDAS!$G866),PARTIDAS!$F866,CONCATENATE(PARTIDAS!$F866," (",PARTIDAS!$G866,")"))</f>
        <v>Hojas de coca</v>
      </c>
      <c r="I866" s="16" t="s">
        <v>9427</v>
      </c>
    </row>
    <row r="867" spans="1:9" x14ac:dyDescent="0.25">
      <c r="A867" s="16" t="s">
        <v>1782</v>
      </c>
      <c r="B867" s="16" t="str">
        <f>TEXT(PARTIDA[[#This Row],[PARTIDA]],"0000000000")</f>
        <v>1211400000</v>
      </c>
      <c r="C867" s="16" t="s">
        <v>815</v>
      </c>
      <c r="D867" s="16" t="s">
        <v>835</v>
      </c>
      <c r="E867" s="16" t="s">
        <v>840</v>
      </c>
      <c r="F867" s="27" t="s">
        <v>10045</v>
      </c>
      <c r="G867" s="27"/>
      <c r="H867" s="16" t="str">
        <f>IF(ISBLANK(PARTIDAS!$G867),PARTIDAS!$F867,CONCATENATE(PARTIDAS!$F867," (",PARTIDAS!$G867,")"))</f>
        <v>Paja de adormidera</v>
      </c>
      <c r="I867" s="16" t="s">
        <v>9427</v>
      </c>
    </row>
    <row r="868" spans="1:9" x14ac:dyDescent="0.25">
      <c r="A868" s="16" t="s">
        <v>1783</v>
      </c>
      <c r="B868" s="16" t="str">
        <f>TEXT(PARTIDA[[#This Row],[PARTIDA]],"0000000000")</f>
        <v>1211500000</v>
      </c>
      <c r="C868" s="16" t="s">
        <v>815</v>
      </c>
      <c r="D868" s="16" t="s">
        <v>835</v>
      </c>
      <c r="E868" s="16" t="s">
        <v>840</v>
      </c>
      <c r="F868" s="27" t="s">
        <v>10046</v>
      </c>
      <c r="G868" s="27"/>
      <c r="H868" s="16" t="str">
        <f>IF(ISBLANK(PARTIDAS!$G868),PARTIDAS!$F868,CONCATENATE(PARTIDAS!$F868," (",PARTIDAS!$G868,")"))</f>
        <v>Efedra</v>
      </c>
      <c r="I868" s="16" t="s">
        <v>9427</v>
      </c>
    </row>
    <row r="869" spans="1:9" x14ac:dyDescent="0.25">
      <c r="A869" s="16" t="s">
        <v>10047</v>
      </c>
      <c r="B869" s="16" t="str">
        <f>TEXT(PARTIDA[[#This Row],[PARTIDA]],"0000000000")</f>
        <v>1211600010</v>
      </c>
      <c r="C869" s="16" t="s">
        <v>815</v>
      </c>
      <c r="D869" s="16" t="s">
        <v>835</v>
      </c>
      <c r="E869" s="16" t="s">
        <v>840</v>
      </c>
      <c r="F869" s="27" t="s">
        <v>10048</v>
      </c>
      <c r="G869" s="27"/>
      <c r="H869" s="16" t="str">
        <f>IF(ISBLANK(PARTIDAS!$G869),PARTIDAS!$F869,CONCATENATE(PARTIDAS!$F869," (",PARTIDAS!$G869,")"))</f>
        <v>Corteza de cerezo africano (Prunus africana), refrigerados, congelados</v>
      </c>
      <c r="I869" s="16" t="s">
        <v>9427</v>
      </c>
    </row>
    <row r="870" spans="1:9" x14ac:dyDescent="0.25">
      <c r="A870" s="16" t="s">
        <v>10049</v>
      </c>
      <c r="B870" s="16" t="str">
        <f>TEXT(PARTIDA[[#This Row],[PARTIDA]],"0000000000")</f>
        <v>1211600090</v>
      </c>
      <c r="C870" s="16" t="s">
        <v>815</v>
      </c>
      <c r="D870" s="16" t="s">
        <v>835</v>
      </c>
      <c r="E870" s="16" t="s">
        <v>840</v>
      </c>
      <c r="F870" s="27" t="s">
        <v>10050</v>
      </c>
      <c r="G870" s="27"/>
      <c r="H870" s="16" t="str">
        <f>IF(ISBLANK(PARTIDAS!$G870),PARTIDAS!$F870,CONCATENATE(PARTIDAS!$F870," (",PARTIDAS!$G870,")"))</f>
        <v>Corteza de cerezo africano (Prunus africana) (los demás)</v>
      </c>
      <c r="I870" s="16" t="s">
        <v>9427</v>
      </c>
    </row>
    <row r="871" spans="1:9" x14ac:dyDescent="0.25">
      <c r="A871" s="16" t="s">
        <v>1784</v>
      </c>
      <c r="B871" s="16" t="str">
        <f>TEXT(PARTIDA[[#This Row],[PARTIDA]],"0000000000")</f>
        <v>1211903000</v>
      </c>
      <c r="C871" s="16" t="s">
        <v>815</v>
      </c>
      <c r="D871" s="16" t="s">
        <v>835</v>
      </c>
      <c r="E871" s="16" t="s">
        <v>840</v>
      </c>
      <c r="F871" s="27" t="s">
        <v>1785</v>
      </c>
      <c r="G871" s="27"/>
      <c r="H871" s="16" t="str">
        <f>IF(ISBLANK(PARTIDAS!$G871),PARTIDAS!$F871,CONCATENATE(PARTIDAS!$F871," (",PARTIDAS!$G871,")"))</f>
        <v>Orégano</v>
      </c>
      <c r="I871" s="16" t="s">
        <v>9427</v>
      </c>
    </row>
    <row r="872" spans="1:9" x14ac:dyDescent="0.25">
      <c r="A872" s="16" t="s">
        <v>1786</v>
      </c>
      <c r="B872" s="16" t="str">
        <f>TEXT(PARTIDA[[#This Row],[PARTIDA]],"0000000000")</f>
        <v>1211905000</v>
      </c>
      <c r="C872" s="16" t="s">
        <v>815</v>
      </c>
      <c r="D872" s="16" t="s">
        <v>835</v>
      </c>
      <c r="E872" s="16" t="s">
        <v>840</v>
      </c>
      <c r="F872" s="27" t="s">
        <v>1787</v>
      </c>
      <c r="G872" s="27" t="s">
        <v>1472</v>
      </c>
      <c r="H872" s="16" t="str">
        <f>IF(ISBLANK(PARTIDAS!$G872),PARTIDAS!$F872,CONCATENATE(PARTIDAS!$F872," (",PARTIDAS!$G872,")"))</f>
        <v>Uña de gato (Verificar)</v>
      </c>
      <c r="I872" s="16" t="s">
        <v>9427</v>
      </c>
    </row>
    <row r="873" spans="1:9" x14ac:dyDescent="0.25">
      <c r="A873" s="16" t="s">
        <v>1788</v>
      </c>
      <c r="B873" s="16" t="str">
        <f>TEXT(PARTIDA[[#This Row],[PARTIDA]],"0000000000")</f>
        <v>1211906000</v>
      </c>
      <c r="C873" s="16" t="s">
        <v>815</v>
      </c>
      <c r="D873" s="16" t="s">
        <v>835</v>
      </c>
      <c r="E873" s="16" t="s">
        <v>840</v>
      </c>
      <c r="F873" s="27" t="s">
        <v>10051</v>
      </c>
      <c r="G873" s="27"/>
      <c r="H873" s="16" t="str">
        <f>IF(ISBLANK(PARTIDAS!$G873),PARTIDAS!$F873,CONCATENATE(PARTIDAS!$F873," (",PARTIDAS!$G873,")"))</f>
        <v>Hierbaluisa (Cymbopogon citratus)</v>
      </c>
      <c r="I873" s="16" t="s">
        <v>9427</v>
      </c>
    </row>
    <row r="874" spans="1:9" x14ac:dyDescent="0.25">
      <c r="A874" s="16" t="s">
        <v>1789</v>
      </c>
      <c r="B874" s="16" t="str">
        <f>TEXT(PARTIDA[[#This Row],[PARTIDA]],"0000000000")</f>
        <v>1211909040</v>
      </c>
      <c r="C874" s="16" t="s">
        <v>815</v>
      </c>
      <c r="D874" s="16" t="s">
        <v>835</v>
      </c>
      <c r="E874" s="16" t="s">
        <v>840</v>
      </c>
      <c r="F874" s="27" t="s">
        <v>10052</v>
      </c>
      <c r="G874" s="27"/>
      <c r="H874" s="16" t="str">
        <f>IF(ISBLANK(PARTIDAS!$G874),PARTIDAS!$F874,CONCATENATE(PARTIDAS!$F874," (",PARTIDAS!$G874,")"))</f>
        <v>Piretro (pelitre)</v>
      </c>
      <c r="I874" s="16" t="s">
        <v>9427</v>
      </c>
    </row>
    <row r="875" spans="1:9" x14ac:dyDescent="0.25">
      <c r="A875" s="16" t="s">
        <v>1790</v>
      </c>
      <c r="B875" s="16" t="str">
        <f>TEXT(PARTIDA[[#This Row],[PARTIDA]],"0000000000")</f>
        <v>1211909091</v>
      </c>
      <c r="C875" s="16" t="s">
        <v>815</v>
      </c>
      <c r="D875" s="16" t="s">
        <v>835</v>
      </c>
      <c r="E875" s="16" t="s">
        <v>840</v>
      </c>
      <c r="F875" s="27" t="s">
        <v>1737</v>
      </c>
      <c r="G875" s="27" t="s">
        <v>852</v>
      </c>
      <c r="H875" s="16" t="str">
        <f>IF(ISBLANK(PARTIDAS!$G875),PARTIDAS!$F875,CONCATENATE(PARTIDAS!$F875," (",PARTIDAS!$G875,")"))</f>
        <v>Plantas y partes de plantas (Especificar)</v>
      </c>
      <c r="I875" s="16" t="s">
        <v>9427</v>
      </c>
    </row>
    <row r="876" spans="1:9" x14ac:dyDescent="0.25">
      <c r="A876" s="16" t="s">
        <v>1791</v>
      </c>
      <c r="B876" s="16" t="str">
        <f>TEXT(PARTIDA[[#This Row],[PARTIDA]],"0000000000")</f>
        <v>1211909099</v>
      </c>
      <c r="C876" s="16" t="s">
        <v>815</v>
      </c>
      <c r="D876" s="16" t="s">
        <v>835</v>
      </c>
      <c r="E876" s="16" t="s">
        <v>840</v>
      </c>
      <c r="F876" s="27" t="s">
        <v>1737</v>
      </c>
      <c r="G876" s="27" t="s">
        <v>852</v>
      </c>
      <c r="H876" s="16" t="str">
        <f>IF(ISBLANK(PARTIDAS!$G876),PARTIDAS!$F876,CONCATENATE(PARTIDAS!$F876," (",PARTIDAS!$G876,")"))</f>
        <v>Plantas y partes de plantas (Especificar)</v>
      </c>
      <c r="I876" s="16" t="s">
        <v>9427</v>
      </c>
    </row>
    <row r="877" spans="1:9" x14ac:dyDescent="0.25">
      <c r="A877" s="16" t="s">
        <v>1792</v>
      </c>
      <c r="B877" s="16" t="str">
        <f>TEXT(PARTIDA[[#This Row],[PARTIDA]],"0000000000")</f>
        <v>1212210000</v>
      </c>
      <c r="C877" s="16" t="s">
        <v>815</v>
      </c>
      <c r="D877" s="16" t="s">
        <v>835</v>
      </c>
      <c r="E877" s="16" t="s">
        <v>840</v>
      </c>
      <c r="F877" s="27" t="s">
        <v>10053</v>
      </c>
      <c r="G877" s="27"/>
      <c r="H877" s="16" t="str">
        <f>IF(ISBLANK(PARTIDAS!$G877),PARTIDAS!$F877,CONCATENATE(PARTIDAS!$F877," (",PARTIDAS!$G877,")"))</f>
        <v>Aptas para la alimentación humana</v>
      </c>
      <c r="I877" s="16" t="s">
        <v>9427</v>
      </c>
    </row>
    <row r="878" spans="1:9" x14ac:dyDescent="0.25">
      <c r="A878" s="16" t="s">
        <v>1793</v>
      </c>
      <c r="B878" s="16" t="str">
        <f>TEXT(PARTIDA[[#This Row],[PARTIDA]],"0000000000")</f>
        <v>1212290000</v>
      </c>
      <c r="C878" s="16" t="s">
        <v>815</v>
      </c>
      <c r="D878" s="16" t="s">
        <v>835</v>
      </c>
      <c r="E878" s="16" t="s">
        <v>840</v>
      </c>
      <c r="F878" s="27" t="s">
        <v>10054</v>
      </c>
      <c r="G878" s="27"/>
      <c r="H878" s="16" t="str">
        <f>IF(ISBLANK(PARTIDAS!$G878),PARTIDAS!$F878,CONCATENATE(PARTIDAS!$F878," (",PARTIDAS!$G878,")"))</f>
        <v>Algas (los demás)</v>
      </c>
      <c r="I878" s="16" t="s">
        <v>9427</v>
      </c>
    </row>
    <row r="879" spans="1:9" x14ac:dyDescent="0.25">
      <c r="A879" s="16" t="s">
        <v>1794</v>
      </c>
      <c r="B879" s="16" t="str">
        <f>TEXT(PARTIDA[[#This Row],[PARTIDA]],"0000000000")</f>
        <v>1212910000</v>
      </c>
      <c r="C879" s="16" t="s">
        <v>815</v>
      </c>
      <c r="D879" s="16" t="s">
        <v>835</v>
      </c>
      <c r="E879" s="16" t="s">
        <v>840</v>
      </c>
      <c r="F879" s="27" t="s">
        <v>10055</v>
      </c>
      <c r="G879" s="27"/>
      <c r="H879" s="16" t="str">
        <f>IF(ISBLANK(PARTIDAS!$G879),PARTIDAS!$F879,CONCATENATE(PARTIDAS!$F879," (",PARTIDAS!$G879,")"))</f>
        <v>Remolacha azucarera</v>
      </c>
      <c r="I879" s="16" t="s">
        <v>9427</v>
      </c>
    </row>
    <row r="880" spans="1:9" x14ac:dyDescent="0.25">
      <c r="A880" s="16" t="s">
        <v>1795</v>
      </c>
      <c r="B880" s="16" t="str">
        <f>TEXT(PARTIDA[[#This Row],[PARTIDA]],"0000000000")</f>
        <v>1212920000</v>
      </c>
      <c r="C880" s="16" t="s">
        <v>815</v>
      </c>
      <c r="D880" s="16" t="s">
        <v>835</v>
      </c>
      <c r="E880" s="16" t="s">
        <v>840</v>
      </c>
      <c r="F880" s="27" t="s">
        <v>1796</v>
      </c>
      <c r="G880" s="27"/>
      <c r="H880" s="16" t="str">
        <f>IF(ISBLANK(PARTIDAS!$G880),PARTIDAS!$F880,CONCATENATE(PARTIDAS!$F880," (",PARTIDAS!$G880,")"))</f>
        <v>Algarrobos</v>
      </c>
      <c r="I880" s="16" t="s">
        <v>9427</v>
      </c>
    </row>
    <row r="881" spans="1:9" x14ac:dyDescent="0.25">
      <c r="A881" s="16" t="s">
        <v>1797</v>
      </c>
      <c r="B881" s="16" t="str">
        <f>TEXT(PARTIDA[[#This Row],[PARTIDA]],"0000000000")</f>
        <v>1212930000</v>
      </c>
      <c r="C881" s="16" t="s">
        <v>815</v>
      </c>
      <c r="D881" s="16" t="s">
        <v>835</v>
      </c>
      <c r="E881" s="16" t="s">
        <v>840</v>
      </c>
      <c r="F881" s="27" t="s">
        <v>10056</v>
      </c>
      <c r="G881" s="27"/>
      <c r="H881" s="16" t="str">
        <f>IF(ISBLANK(PARTIDAS!$G881),PARTIDAS!$F881,CONCATENATE(PARTIDAS!$F881," (",PARTIDAS!$G881,")"))</f>
        <v>Caña de azúcar</v>
      </c>
      <c r="I881" s="16" t="s">
        <v>9427</v>
      </c>
    </row>
    <row r="882" spans="1:9" x14ac:dyDescent="0.25">
      <c r="A882" s="16" t="s">
        <v>1798</v>
      </c>
      <c r="B882" s="16" t="str">
        <f>TEXT(PARTIDA[[#This Row],[PARTIDA]],"0000000000")</f>
        <v>1212940000</v>
      </c>
      <c r="C882" s="16" t="s">
        <v>815</v>
      </c>
      <c r="D882" s="16" t="s">
        <v>835</v>
      </c>
      <c r="E882" s="16" t="s">
        <v>840</v>
      </c>
      <c r="F882" s="27" t="s">
        <v>10057</v>
      </c>
      <c r="G882" s="27"/>
      <c r="H882" s="16" t="str">
        <f>IF(ISBLANK(PARTIDAS!$G882),PARTIDAS!$F882,CONCATENATE(PARTIDAS!$F882," (",PARTIDAS!$G882,")"))</f>
        <v>Raíces de achicoria</v>
      </c>
      <c r="I882" s="16" t="s">
        <v>9427</v>
      </c>
    </row>
    <row r="883" spans="1:9" x14ac:dyDescent="0.25">
      <c r="A883" s="16" t="s">
        <v>1799</v>
      </c>
      <c r="B883" s="16" t="str">
        <f>TEXT(PARTIDA[[#This Row],[PARTIDA]],"0000000000")</f>
        <v>1212991000</v>
      </c>
      <c r="C883" s="16" t="s">
        <v>815</v>
      </c>
      <c r="D883" s="16" t="s">
        <v>835</v>
      </c>
      <c r="E883" s="16" t="s">
        <v>840</v>
      </c>
      <c r="F883" s="27" t="s">
        <v>1800</v>
      </c>
      <c r="G883" s="27"/>
      <c r="H883" s="16" t="str">
        <f>IF(ISBLANK(PARTIDAS!$G883),PARTIDAS!$F883,CONCATENATE(PARTIDAS!$F883," (",PARTIDAS!$G883,")"))</f>
        <v>Estevia</v>
      </c>
      <c r="I883" s="16" t="s">
        <v>9427</v>
      </c>
    </row>
    <row r="884" spans="1:9" x14ac:dyDescent="0.25">
      <c r="A884" s="16" t="s">
        <v>1801</v>
      </c>
      <c r="B884" s="16" t="str">
        <f>TEXT(PARTIDA[[#This Row],[PARTIDA]],"0000000000")</f>
        <v>1212999000</v>
      </c>
      <c r="C884" s="16" t="s">
        <v>815</v>
      </c>
      <c r="D884" s="16" t="s">
        <v>835</v>
      </c>
      <c r="E884" s="16" t="s">
        <v>840</v>
      </c>
      <c r="F884" s="27" t="s">
        <v>10058</v>
      </c>
      <c r="G884" s="27"/>
      <c r="H884" s="16" t="str">
        <f>IF(ISBLANK(PARTIDAS!$G884),PARTIDAS!$F884,CONCATENATE(PARTIDAS!$F884," (",PARTIDAS!$G884,")"))</f>
        <v>Algarrobas, algas, remolacha azucarera y caña de azúcar, frescas… (los demás)</v>
      </c>
      <c r="I884" s="16" t="s">
        <v>9427</v>
      </c>
    </row>
    <row r="885" spans="1:9" x14ac:dyDescent="0.25">
      <c r="A885" s="16" t="s">
        <v>1802</v>
      </c>
      <c r="B885" s="16" t="str">
        <f>TEXT(PARTIDA[[#This Row],[PARTIDA]],"0000000000")</f>
        <v>1213000000</v>
      </c>
      <c r="C885" s="16" t="s">
        <v>815</v>
      </c>
      <c r="D885" s="16" t="s">
        <v>835</v>
      </c>
      <c r="E885" s="16" t="s">
        <v>840</v>
      </c>
      <c r="F885" s="27" t="s">
        <v>1803</v>
      </c>
      <c r="G885" s="27"/>
      <c r="H885" s="16" t="str">
        <f>IF(ISBLANK(PARTIDAS!$G885),PARTIDAS!$F885,CONCATENATE(PARTIDAS!$F885," (",PARTIDAS!$G885,")"))</f>
        <v>Paja y cascabillo de cereales, en bruto, incluso
picados, molidos, prensados o en «pellets».</v>
      </c>
      <c r="I885" s="16" t="s">
        <v>9427</v>
      </c>
    </row>
    <row r="886" spans="1:9" x14ac:dyDescent="0.25">
      <c r="A886" s="16" t="s">
        <v>1804</v>
      </c>
      <c r="B886" s="16" t="str">
        <f>TEXT(PARTIDA[[#This Row],[PARTIDA]],"0000000000")</f>
        <v>1214100000</v>
      </c>
      <c r="C886" s="16" t="s">
        <v>815</v>
      </c>
      <c r="D886" s="16" t="s">
        <v>825</v>
      </c>
      <c r="E886" s="16" t="s">
        <v>829</v>
      </c>
      <c r="F886" s="27" t="s">
        <v>9252</v>
      </c>
      <c r="G886" s="27"/>
      <c r="H886" s="16" t="str">
        <f>IF(ISBLANK(PARTIDAS!$G886),PARTIDAS!$F886,CONCATENATE(PARTIDAS!$F886," (",PARTIDAS!$G886,")"))</f>
        <v>Harina y «pellets» de alfalfa</v>
      </c>
      <c r="I886" s="16" t="s">
        <v>9477</v>
      </c>
    </row>
    <row r="887" spans="1:9" x14ac:dyDescent="0.25">
      <c r="A887" s="16" t="s">
        <v>1805</v>
      </c>
      <c r="B887" s="16" t="str">
        <f>TEXT(PARTIDA[[#This Row],[PARTIDA]],"0000000000")</f>
        <v>1214900000</v>
      </c>
      <c r="C887" s="16" t="s">
        <v>815</v>
      </c>
      <c r="D887" s="16" t="s">
        <v>825</v>
      </c>
      <c r="E887" s="16" t="s">
        <v>826</v>
      </c>
      <c r="F887" s="27" t="s">
        <v>10059</v>
      </c>
      <c r="G887" s="27"/>
      <c r="H887" s="16" t="str">
        <f>IF(ISBLANK(PARTIDAS!$G887),PARTIDAS!$F887,CONCATENATE(PARTIDAS!$F887," (",PARTIDAS!$G887,")"))</f>
        <v>Nabos forrajeros, remolachas forrajeras, raíces forrajeras, heno… (los demás)</v>
      </c>
      <c r="I887" s="16" t="s">
        <v>9427</v>
      </c>
    </row>
    <row r="888" spans="1:9" x14ac:dyDescent="0.25">
      <c r="A888" s="16" t="s">
        <v>1806</v>
      </c>
      <c r="B888" s="16" t="str">
        <f>TEXT(PARTIDA[[#This Row],[PARTIDA]],"0000000000")</f>
        <v>1301200000</v>
      </c>
      <c r="C888" s="16" t="s">
        <v>815</v>
      </c>
      <c r="D888" s="16" t="s">
        <v>835</v>
      </c>
      <c r="E888" s="16" t="s">
        <v>842</v>
      </c>
      <c r="F888" s="27" t="s">
        <v>10060</v>
      </c>
      <c r="G888" s="27"/>
      <c r="H888" s="16" t="str">
        <f>IF(ISBLANK(PARTIDAS!$G888),PARTIDAS!$F888,CONCATENATE(PARTIDAS!$F888," (",PARTIDAS!$G888,")"))</f>
        <v>Goma arábiga</v>
      </c>
      <c r="I888" s="16" t="s">
        <v>9427</v>
      </c>
    </row>
    <row r="889" spans="1:9" x14ac:dyDescent="0.25">
      <c r="A889" s="16" t="s">
        <v>1807</v>
      </c>
      <c r="B889" s="16" t="str">
        <f>TEXT(PARTIDA[[#This Row],[PARTIDA]],"0000000000")</f>
        <v>1301904000</v>
      </c>
      <c r="C889" s="16" t="s">
        <v>815</v>
      </c>
      <c r="D889" s="16" t="s">
        <v>835</v>
      </c>
      <c r="E889" s="16" t="s">
        <v>842</v>
      </c>
      <c r="F889" s="27" t="s">
        <v>10061</v>
      </c>
      <c r="G889" s="27"/>
      <c r="H889" s="16" t="str">
        <f>IF(ISBLANK(PARTIDAS!$G889),PARTIDAS!$F889,CONCATENATE(PARTIDAS!$F889," (",PARTIDAS!$G889,")"))</f>
        <v>Goma tragacanto</v>
      </c>
      <c r="I889" s="16" t="s">
        <v>9427</v>
      </c>
    </row>
    <row r="890" spans="1:9" x14ac:dyDescent="0.25">
      <c r="A890" s="16" t="s">
        <v>1808</v>
      </c>
      <c r="B890" s="16" t="str">
        <f>TEXT(PARTIDA[[#This Row],[PARTIDA]],"0000000000")</f>
        <v>1301909010</v>
      </c>
      <c r="C890" s="16" t="s">
        <v>815</v>
      </c>
      <c r="D890" s="16" t="s">
        <v>835</v>
      </c>
      <c r="E890" s="16" t="s">
        <v>842</v>
      </c>
      <c r="F890" s="27" t="s">
        <v>10062</v>
      </c>
      <c r="G890" s="27"/>
      <c r="H890" s="16" t="str">
        <f>IF(ISBLANK(PARTIDAS!$G890),PARTIDAS!$F890,CONCATENATE(PARTIDAS!$F890," (",PARTIDAS!$G890,")"))</f>
        <v>Goma laca</v>
      </c>
      <c r="I890" s="16" t="s">
        <v>9427</v>
      </c>
    </row>
    <row r="891" spans="1:9" x14ac:dyDescent="0.25">
      <c r="A891" s="16" t="s">
        <v>1809</v>
      </c>
      <c r="B891" s="16" t="str">
        <f>TEXT(PARTIDA[[#This Row],[PARTIDA]],"0000000000")</f>
        <v>1301909090</v>
      </c>
      <c r="C891" s="16" t="s">
        <v>815</v>
      </c>
      <c r="D891" s="16" t="s">
        <v>835</v>
      </c>
      <c r="E891" s="16" t="s">
        <v>842</v>
      </c>
      <c r="F891" s="27" t="s">
        <v>1810</v>
      </c>
      <c r="G891" s="27" t="s">
        <v>852</v>
      </c>
      <c r="H891" s="16" t="str">
        <f>IF(ISBLANK(PARTIDAS!$G891),PARTIDAS!$F891,CONCATENATE(PARTIDAS!$F891," (",PARTIDAS!$G891,")"))</f>
        <v>Goma (Especificar)</v>
      </c>
      <c r="I891" s="16" t="s">
        <v>9427</v>
      </c>
    </row>
    <row r="892" spans="1:9" x14ac:dyDescent="0.25">
      <c r="A892" s="16" t="s">
        <v>1811</v>
      </c>
      <c r="B892" s="16" t="str">
        <f>TEXT(PARTIDA[[#This Row],[PARTIDA]],"0000000000")</f>
        <v>1302111000</v>
      </c>
      <c r="C892" s="16" t="s">
        <v>815</v>
      </c>
      <c r="D892" s="16" t="s">
        <v>835</v>
      </c>
      <c r="E892" s="16" t="s">
        <v>842</v>
      </c>
      <c r="F892" s="27" t="s">
        <v>10063</v>
      </c>
      <c r="G892" s="27"/>
      <c r="H892" s="16" t="str">
        <f>IF(ISBLANK(PARTIDAS!$G892),PARTIDAS!$F892,CONCATENATE(PARTIDAS!$F892," (",PARTIDAS!$G892,")"))</f>
        <v>Concentrado de paja de adormidera</v>
      </c>
      <c r="I892" s="16" t="s">
        <v>9427</v>
      </c>
    </row>
    <row r="893" spans="1:9" x14ac:dyDescent="0.25">
      <c r="A893" s="16" t="s">
        <v>1812</v>
      </c>
      <c r="B893" s="16" t="str">
        <f>TEXT(PARTIDA[[#This Row],[PARTIDA]],"0000000000")</f>
        <v>1302119000</v>
      </c>
      <c r="C893" s="16" t="s">
        <v>815</v>
      </c>
      <c r="D893" s="16" t="s">
        <v>835</v>
      </c>
      <c r="E893" s="16" t="s">
        <v>842</v>
      </c>
      <c r="F893" s="27" t="s">
        <v>10064</v>
      </c>
      <c r="G893" s="27"/>
      <c r="H893" s="16" t="str">
        <f>IF(ISBLANK(PARTIDAS!$G893),PARTIDAS!$F893,CONCATENATE(PARTIDAS!$F893," (",PARTIDAS!$G893,")"))</f>
        <v>Opio (los demás)</v>
      </c>
      <c r="I893" s="16" t="s">
        <v>9427</v>
      </c>
    </row>
    <row r="894" spans="1:9" x14ac:dyDescent="0.25">
      <c r="A894" s="16" t="s">
        <v>1813</v>
      </c>
      <c r="B894" s="16" t="str">
        <f>TEXT(PARTIDA[[#This Row],[PARTIDA]],"0000000000")</f>
        <v>1302120000</v>
      </c>
      <c r="C894" s="16" t="s">
        <v>815</v>
      </c>
      <c r="D894" s="16" t="s">
        <v>835</v>
      </c>
      <c r="E894" s="16" t="s">
        <v>842</v>
      </c>
      <c r="F894" s="27" t="s">
        <v>10065</v>
      </c>
      <c r="G894" s="27"/>
      <c r="H894" s="16" t="str">
        <f>IF(ISBLANK(PARTIDAS!$G894),PARTIDAS!$F894,CONCATENATE(PARTIDAS!$F894," (",PARTIDAS!$G894,")"))</f>
        <v>Jugos y extractos vegetales, de regaliz</v>
      </c>
      <c r="I894" s="16" t="s">
        <v>9427</v>
      </c>
    </row>
    <row r="895" spans="1:9" x14ac:dyDescent="0.25">
      <c r="A895" s="16" t="s">
        <v>1814</v>
      </c>
      <c r="B895" s="16" t="str">
        <f>TEXT(PARTIDA[[#This Row],[PARTIDA]],"0000000000")</f>
        <v>1302130000</v>
      </c>
      <c r="C895" s="16" t="s">
        <v>815</v>
      </c>
      <c r="D895" s="16" t="s">
        <v>835</v>
      </c>
      <c r="E895" s="16" t="s">
        <v>842</v>
      </c>
      <c r="F895" s="27" t="s">
        <v>10066</v>
      </c>
      <c r="G895" s="27"/>
      <c r="H895" s="16" t="str">
        <f>IF(ISBLANK(PARTIDAS!$G895),PARTIDAS!$F895,CONCATENATE(PARTIDAS!$F895," (",PARTIDAS!$G895,")"))</f>
        <v>Jugos y extractos vegetales, de lúpulo</v>
      </c>
      <c r="I895" s="16" t="s">
        <v>9427</v>
      </c>
    </row>
    <row r="896" spans="1:9" x14ac:dyDescent="0.25">
      <c r="A896" s="16" t="s">
        <v>1815</v>
      </c>
      <c r="B896" s="16" t="str">
        <f>TEXT(PARTIDA[[#This Row],[PARTIDA]],"0000000000")</f>
        <v>1302140000</v>
      </c>
      <c r="C896" s="16" t="s">
        <v>815</v>
      </c>
      <c r="D896" s="16" t="s">
        <v>835</v>
      </c>
      <c r="E896" s="16" t="s">
        <v>842</v>
      </c>
      <c r="F896" s="27" t="s">
        <v>1816</v>
      </c>
      <c r="G896" s="27"/>
      <c r="H896" s="16" t="str">
        <f>IF(ISBLANK(PARTIDAS!$G896),PARTIDAS!$F896,CONCATENATE(PARTIDAS!$F896," (",PARTIDAS!$G896,")"))</f>
        <v>Jugo y extracto de efedra</v>
      </c>
      <c r="I896" s="16" t="s">
        <v>9427</v>
      </c>
    </row>
    <row r="897" spans="1:9" x14ac:dyDescent="0.25">
      <c r="A897" s="16" t="s">
        <v>1817</v>
      </c>
      <c r="B897" s="16" t="str">
        <f>TEXT(PARTIDA[[#This Row],[PARTIDA]],"0000000000")</f>
        <v>1302191100</v>
      </c>
      <c r="C897" s="16" t="s">
        <v>815</v>
      </c>
      <c r="D897" s="16" t="s">
        <v>835</v>
      </c>
      <c r="E897" s="16" t="s">
        <v>842</v>
      </c>
      <c r="F897" s="27" t="s">
        <v>1818</v>
      </c>
      <c r="G897" s="27"/>
      <c r="H897" s="16" t="str">
        <f>IF(ISBLANK(PARTIDAS!$G897),PARTIDAS!$F897,CONCATENATE(PARTIDAS!$F897," (",PARTIDAS!$G897,")"))</f>
        <v>Extracto de uña de gato</v>
      </c>
      <c r="I897" s="16" t="s">
        <v>9427</v>
      </c>
    </row>
    <row r="898" spans="1:9" x14ac:dyDescent="0.25">
      <c r="A898" s="16" t="s">
        <v>1819</v>
      </c>
      <c r="B898" s="16" t="str">
        <f>TEXT(PARTIDA[[#This Row],[PARTIDA]],"0000000000")</f>
        <v>1302191900</v>
      </c>
      <c r="C898" s="16" t="s">
        <v>815</v>
      </c>
      <c r="D898" s="16" t="s">
        <v>835</v>
      </c>
      <c r="E898" s="16" t="s">
        <v>842</v>
      </c>
      <c r="F898" s="27" t="s">
        <v>1818</v>
      </c>
      <c r="G898" s="27"/>
      <c r="H898" s="16" t="str">
        <f>IF(ISBLANK(PARTIDAS!$G898),PARTIDAS!$F898,CONCATENATE(PARTIDAS!$F898," (",PARTIDAS!$G898,")"))</f>
        <v>Extracto de uña de gato</v>
      </c>
      <c r="I898" s="16" t="s">
        <v>9427</v>
      </c>
    </row>
    <row r="899" spans="1:9" x14ac:dyDescent="0.25">
      <c r="A899" s="16" t="s">
        <v>1820</v>
      </c>
      <c r="B899" s="16" t="str">
        <f>TEXT(PARTIDA[[#This Row],[PARTIDA]],"0000000000")</f>
        <v>1302192000</v>
      </c>
      <c r="C899" s="16" t="s">
        <v>815</v>
      </c>
      <c r="D899" s="16" t="s">
        <v>835</v>
      </c>
      <c r="E899" s="16" t="s">
        <v>842</v>
      </c>
      <c r="F899" s="27" t="s">
        <v>1821</v>
      </c>
      <c r="G899" s="27" t="s">
        <v>852</v>
      </c>
      <c r="H899" s="16" t="str">
        <f>IF(ISBLANK(PARTIDAS!$G899),PARTIDAS!$F899,CONCATENATE(PARTIDAS!$F899," (",PARTIDAS!$G899,")"))</f>
        <v>Extracto de habas (porotos, frijoles, fréjoles) de soja (soya), incluso en polvo (Especificar)</v>
      </c>
      <c r="I899" s="16" t="s">
        <v>9427</v>
      </c>
    </row>
    <row r="900" spans="1:9" x14ac:dyDescent="0.25">
      <c r="A900" s="16" t="s">
        <v>1822</v>
      </c>
      <c r="B900" s="16" t="str">
        <f>TEXT(PARTIDA[[#This Row],[PARTIDA]],"0000000000")</f>
        <v>1302199100</v>
      </c>
      <c r="C900" s="16" t="s">
        <v>815</v>
      </c>
      <c r="D900" s="16" t="s">
        <v>835</v>
      </c>
      <c r="E900" s="16" t="s">
        <v>842</v>
      </c>
      <c r="F900" s="27" t="s">
        <v>1823</v>
      </c>
      <c r="G900" s="27" t="s">
        <v>852</v>
      </c>
      <c r="H900" s="16" t="str">
        <f>IF(ISBLANK(PARTIDAS!$G900),PARTIDAS!$F900,CONCATENATE(PARTIDAS!$F900," (",PARTIDAS!$G900,")"))</f>
        <v>Jugo y extracto de vegetal (Especificar)</v>
      </c>
      <c r="I900" s="16" t="s">
        <v>9427</v>
      </c>
    </row>
    <row r="901" spans="1:9" x14ac:dyDescent="0.25">
      <c r="A901" s="16" t="s">
        <v>1824</v>
      </c>
      <c r="B901" s="16" t="str">
        <f>TEXT(PARTIDA[[#This Row],[PARTIDA]],"0000000000")</f>
        <v>1302199900</v>
      </c>
      <c r="C901" s="16" t="s">
        <v>815</v>
      </c>
      <c r="D901" s="16" t="s">
        <v>835</v>
      </c>
      <c r="E901" s="16" t="s">
        <v>842</v>
      </c>
      <c r="F901" s="27" t="s">
        <v>1823</v>
      </c>
      <c r="G901" s="27" t="s">
        <v>852</v>
      </c>
      <c r="H901" s="16" t="str">
        <f>IF(ISBLANK(PARTIDAS!$G901),PARTIDAS!$F901,CONCATENATE(PARTIDAS!$F901," (",PARTIDAS!$G901,")"))</f>
        <v>Jugo y extracto de vegetal (Especificar)</v>
      </c>
      <c r="I901" s="16" t="s">
        <v>9427</v>
      </c>
    </row>
    <row r="902" spans="1:9" x14ac:dyDescent="0.25">
      <c r="A902" s="16" t="s">
        <v>1825</v>
      </c>
      <c r="B902" s="16" t="str">
        <f>TEXT(PARTIDA[[#This Row],[PARTIDA]],"0000000000")</f>
        <v>1302200000</v>
      </c>
      <c r="C902" s="16" t="s">
        <v>815</v>
      </c>
      <c r="D902" s="16" t="s">
        <v>835</v>
      </c>
      <c r="E902" s="16" t="s">
        <v>842</v>
      </c>
      <c r="F902" s="27" t="s">
        <v>10067</v>
      </c>
      <c r="G902" s="27"/>
      <c r="H902" s="16" t="str">
        <f>IF(ISBLANK(PARTIDAS!$G902),PARTIDAS!$F902,CONCATENATE(PARTIDAS!$F902," (",PARTIDAS!$G902,")"))</f>
        <v>Materias pécticas, pectinatos y pectatos</v>
      </c>
      <c r="I902" s="16" t="s">
        <v>9427</v>
      </c>
    </row>
    <row r="903" spans="1:9" x14ac:dyDescent="0.25">
      <c r="A903" s="16" t="s">
        <v>1826</v>
      </c>
      <c r="B903" s="16" t="str">
        <f>TEXT(PARTIDA[[#This Row],[PARTIDA]],"0000000000")</f>
        <v>1302310000</v>
      </c>
      <c r="C903" s="16" t="s">
        <v>815</v>
      </c>
      <c r="D903" s="16" t="s">
        <v>835</v>
      </c>
      <c r="E903" s="16" t="s">
        <v>842</v>
      </c>
      <c r="F903" s="27" t="s">
        <v>10068</v>
      </c>
      <c r="G903" s="27"/>
      <c r="H903" s="16" t="str">
        <f>IF(ISBLANK(PARTIDAS!$G903),PARTIDAS!$F903,CONCATENATE(PARTIDAS!$F903," (",PARTIDAS!$G903,")"))</f>
        <v>Mucílagos y espesativos derivados de los vegetales, incluso…, agar-agar</v>
      </c>
      <c r="I903" s="16" t="s">
        <v>9427</v>
      </c>
    </row>
    <row r="904" spans="1:9" x14ac:dyDescent="0.25">
      <c r="A904" s="16" t="s">
        <v>1827</v>
      </c>
      <c r="B904" s="16" t="str">
        <f>TEXT(PARTIDA[[#This Row],[PARTIDA]],"0000000000")</f>
        <v>1302320000</v>
      </c>
      <c r="C904" s="16" t="s">
        <v>815</v>
      </c>
      <c r="D904" s="16" t="s">
        <v>835</v>
      </c>
      <c r="E904" s="16" t="s">
        <v>842</v>
      </c>
      <c r="F904" s="27" t="s">
        <v>10069</v>
      </c>
      <c r="G904" s="27"/>
      <c r="H904" s="16" t="str">
        <f>IF(ISBLANK(PARTIDAS!$G904),PARTIDAS!$F904,CONCATENATE(PARTIDAS!$F904," (",PARTIDAS!$G904,")"))</f>
        <v>Mucílagos y espesativos de la algarroba o de sus semillas o de las semillas de guar, incluso modificados</v>
      </c>
      <c r="I904" s="16" t="s">
        <v>9427</v>
      </c>
    </row>
    <row r="905" spans="1:9" x14ac:dyDescent="0.25">
      <c r="A905" s="16" t="s">
        <v>1828</v>
      </c>
      <c r="B905" s="16" t="str">
        <f>TEXT(PARTIDA[[#This Row],[PARTIDA]],"0000000000")</f>
        <v>1302391000</v>
      </c>
      <c r="C905" s="16" t="s">
        <v>815</v>
      </c>
      <c r="D905" s="16" t="s">
        <v>835</v>
      </c>
      <c r="E905" s="16" t="s">
        <v>842</v>
      </c>
      <c r="F905" s="27" t="s">
        <v>1829</v>
      </c>
      <c r="G905" s="27"/>
      <c r="H905" s="16" t="str">
        <f>IF(ISBLANK(PARTIDAS!$G905),PARTIDAS!$F905,CONCATENATE(PARTIDAS!$F905," (",PARTIDAS!$G905,")"))</f>
        <v>Mucílagos de semilla de tara</v>
      </c>
      <c r="I905" s="16" t="s">
        <v>9427</v>
      </c>
    </row>
    <row r="906" spans="1:9" x14ac:dyDescent="0.25">
      <c r="A906" s="16" t="s">
        <v>1830</v>
      </c>
      <c r="B906" s="16" t="str">
        <f>TEXT(PARTIDA[[#This Row],[PARTIDA]],"0000000000")</f>
        <v>1302399000</v>
      </c>
      <c r="C906" s="16" t="s">
        <v>815</v>
      </c>
      <c r="D906" s="16" t="s">
        <v>835</v>
      </c>
      <c r="E906" s="16" t="s">
        <v>842</v>
      </c>
      <c r="F906" s="27" t="s">
        <v>1831</v>
      </c>
      <c r="G906" s="27" t="s">
        <v>852</v>
      </c>
      <c r="H906" s="16" t="str">
        <f>IF(ISBLANK(PARTIDAS!$G906),PARTIDAS!$F906,CONCATENATE(PARTIDAS!$F906," (",PARTIDAS!$G906,")"))</f>
        <v>Productos vegetales (Especificar)</v>
      </c>
      <c r="I906" s="16" t="s">
        <v>9427</v>
      </c>
    </row>
    <row r="907" spans="1:9" x14ac:dyDescent="0.25">
      <c r="A907" s="16" t="s">
        <v>1832</v>
      </c>
      <c r="B907" s="16" t="str">
        <f>TEXT(PARTIDA[[#This Row],[PARTIDA]],"0000000000")</f>
        <v>1401100000</v>
      </c>
      <c r="C907" s="16" t="s">
        <v>815</v>
      </c>
      <c r="D907" s="16" t="s">
        <v>835</v>
      </c>
      <c r="E907" s="16" t="s">
        <v>840</v>
      </c>
      <c r="F907" s="27" t="s">
        <v>10070</v>
      </c>
      <c r="G907" s="27"/>
      <c r="H907" s="16" t="str">
        <f>IF(ISBLANK(PARTIDAS!$G907),PARTIDAS!$F907,CONCATENATE(PARTIDAS!$F907," (",PARTIDAS!$G907,")"))</f>
        <v>Bambú</v>
      </c>
      <c r="I907" s="16" t="s">
        <v>9427</v>
      </c>
    </row>
    <row r="908" spans="1:9" x14ac:dyDescent="0.25">
      <c r="A908" s="16" t="s">
        <v>1833</v>
      </c>
      <c r="B908" s="16" t="str">
        <f>TEXT(PARTIDA[[#This Row],[PARTIDA]],"0000000000")</f>
        <v>1401200000</v>
      </c>
      <c r="C908" s="16" t="s">
        <v>815</v>
      </c>
      <c r="D908" s="16" t="s">
        <v>835</v>
      </c>
      <c r="E908" s="16" t="s">
        <v>840</v>
      </c>
      <c r="F908" s="27" t="s">
        <v>10071</v>
      </c>
      <c r="G908" s="27"/>
      <c r="H908" s="16" t="str">
        <f>IF(ISBLANK(PARTIDAS!$G908),PARTIDAS!$F908,CONCATENATE(PARTIDAS!$F908," (",PARTIDAS!$G908,")"))</f>
        <v>Roten (ratán)</v>
      </c>
      <c r="I908" s="16" t="s">
        <v>9427</v>
      </c>
    </row>
    <row r="909" spans="1:9" x14ac:dyDescent="0.25">
      <c r="A909" s="16" t="s">
        <v>1834</v>
      </c>
      <c r="B909" s="16" t="str">
        <f>TEXT(PARTIDA[[#This Row],[PARTIDA]],"0000000000")</f>
        <v>1401900000</v>
      </c>
      <c r="C909" s="16" t="s">
        <v>815</v>
      </c>
      <c r="D909" s="16" t="s">
        <v>835</v>
      </c>
      <c r="E909" s="16" t="s">
        <v>840</v>
      </c>
      <c r="F909" s="27" t="s">
        <v>10072</v>
      </c>
      <c r="G909" s="27"/>
      <c r="H909" s="16" t="str">
        <f>IF(ISBLANK(PARTIDAS!$G909),PARTIDAS!$F909,CONCATENATE(PARTIDAS!$F909," (",PARTIDAS!$G909,")"))</f>
        <v>Materias vegetales de las especies utilizadas principalmente en… (los demás)</v>
      </c>
      <c r="I909" s="16" t="s">
        <v>9427</v>
      </c>
    </row>
    <row r="910" spans="1:9" x14ac:dyDescent="0.25">
      <c r="A910" s="16" t="s">
        <v>1835</v>
      </c>
      <c r="B910" s="16" t="str">
        <f>TEXT(PARTIDA[[#This Row],[PARTIDA]],"0000000000")</f>
        <v>1404200000</v>
      </c>
      <c r="C910" s="16" t="s">
        <v>815</v>
      </c>
      <c r="D910" s="16" t="s">
        <v>835</v>
      </c>
      <c r="E910" s="16" t="s">
        <v>840</v>
      </c>
      <c r="F910" s="27" t="s">
        <v>10073</v>
      </c>
      <c r="G910" s="27"/>
      <c r="H910" s="16" t="str">
        <f>IF(ISBLANK(PARTIDAS!$G910),PARTIDAS!$F910,CONCATENATE(PARTIDAS!$F910," (",PARTIDAS!$G910,")"))</f>
        <v>Línteres de algodón</v>
      </c>
      <c r="I910" s="16" t="s">
        <v>9427</v>
      </c>
    </row>
    <row r="911" spans="1:9" x14ac:dyDescent="0.25">
      <c r="A911" s="16" t="s">
        <v>1836</v>
      </c>
      <c r="B911" s="16" t="str">
        <f>TEXT(PARTIDA[[#This Row],[PARTIDA]],"0000000000")</f>
        <v>1404901000</v>
      </c>
      <c r="C911" s="16" t="s">
        <v>815</v>
      </c>
      <c r="D911" s="16" t="s">
        <v>835</v>
      </c>
      <c r="E911" s="16" t="s">
        <v>840</v>
      </c>
      <c r="F911" s="27" t="s">
        <v>1837</v>
      </c>
      <c r="G911" s="27"/>
      <c r="H911" s="16" t="str">
        <f>IF(ISBLANK(PARTIDAS!$G911),PARTIDAS!$F911,CONCATENATE(PARTIDAS!$F911," (",PARTIDAS!$G911,")"))</f>
        <v>Achiote en polvo</v>
      </c>
      <c r="I911" s="16" t="s">
        <v>9427</v>
      </c>
    </row>
    <row r="912" spans="1:9" x14ac:dyDescent="0.25">
      <c r="A912" s="16" t="s">
        <v>1838</v>
      </c>
      <c r="B912" s="16" t="str">
        <f>TEXT(PARTIDA[[#This Row],[PARTIDA]],"0000000000")</f>
        <v>1404902000</v>
      </c>
      <c r="C912" s="16" t="s">
        <v>815</v>
      </c>
      <c r="D912" s="16" t="s">
        <v>835</v>
      </c>
      <c r="E912" s="16" t="s">
        <v>840</v>
      </c>
      <c r="F912" s="27" t="s">
        <v>1839</v>
      </c>
      <c r="G912" s="27" t="s">
        <v>1472</v>
      </c>
      <c r="H912" s="16" t="str">
        <f>IF(ISBLANK(PARTIDAS!$G912),PARTIDAS!$F912,CONCATENATE(PARTIDAS!$F912," (",PARTIDAS!$G912,")"))</f>
        <v>Tara en polvo (Verificar)</v>
      </c>
      <c r="I912" s="16" t="s">
        <v>9427</v>
      </c>
    </row>
    <row r="913" spans="1:9" x14ac:dyDescent="0.25">
      <c r="A913" s="16" t="s">
        <v>1840</v>
      </c>
      <c r="B913" s="16" t="str">
        <f>TEXT(PARTIDA[[#This Row],[PARTIDA]],"0000000000")</f>
        <v>1404909010</v>
      </c>
      <c r="C913" s="16" t="s">
        <v>815</v>
      </c>
      <c r="D913" s="16" t="s">
        <v>835</v>
      </c>
      <c r="E913" s="16" t="s">
        <v>840</v>
      </c>
      <c r="F913" s="27" t="s">
        <v>1841</v>
      </c>
      <c r="G913" s="27" t="s">
        <v>852</v>
      </c>
      <c r="H913" s="16" t="str">
        <f>IF(ISBLANK(PARTIDAS!$G913),PARTIDAS!$F913,CONCATENATE(PARTIDAS!$F913," (",PARTIDAS!$G913,")"))</f>
        <v>Materias vegetales de las especies utilizadas principalmente para relleno, incluso en capas aun con soporte de otras materias, excepto «kapok» (Especificar)</v>
      </c>
      <c r="I913" s="16" t="s">
        <v>9427</v>
      </c>
    </row>
    <row r="914" spans="1:9" x14ac:dyDescent="0.25">
      <c r="A914" s="16" t="s">
        <v>1842</v>
      </c>
      <c r="B914" s="16" t="str">
        <f>TEXT(PARTIDA[[#This Row],[PARTIDA]],"0000000000")</f>
        <v>1404909090</v>
      </c>
      <c r="C914" s="16" t="s">
        <v>815</v>
      </c>
      <c r="D914" s="16" t="s">
        <v>835</v>
      </c>
      <c r="E914" s="16" t="s">
        <v>840</v>
      </c>
      <c r="F914" s="27" t="s">
        <v>1831</v>
      </c>
      <c r="G914" s="27" t="s">
        <v>852</v>
      </c>
      <c r="H914" s="16" t="str">
        <f>IF(ISBLANK(PARTIDAS!$G914),PARTIDAS!$F914,CONCATENATE(PARTIDAS!$F914," (",PARTIDAS!$G914,")"))</f>
        <v>Productos vegetales (Especificar)</v>
      </c>
      <c r="I914" s="16" t="s">
        <v>9427</v>
      </c>
    </row>
    <row r="915" spans="1:9" x14ac:dyDescent="0.25">
      <c r="A915" s="16" t="s">
        <v>1843</v>
      </c>
      <c r="B915" s="16" t="str">
        <f>TEXT(PARTIDA[[#This Row],[PARTIDA]],"0000000000")</f>
        <v>1501100000</v>
      </c>
      <c r="C915" s="16" t="s">
        <v>786</v>
      </c>
      <c r="D915" s="16" t="s">
        <v>787</v>
      </c>
      <c r="E915" s="16" t="s">
        <v>9429</v>
      </c>
      <c r="F915" s="27" t="s">
        <v>10074</v>
      </c>
      <c r="G915" s="27"/>
      <c r="H915" s="16" t="str">
        <f>IF(ISBLANK(PARTIDAS!$G915),PARTIDAS!$F915,CONCATENATE(PARTIDAS!$F915," (",PARTIDAS!$G915,")"))</f>
        <v>Manteca de cerdo</v>
      </c>
      <c r="I915" s="16" t="s">
        <v>9427</v>
      </c>
    </row>
    <row r="916" spans="1:9" x14ac:dyDescent="0.25">
      <c r="A916" s="16" t="s">
        <v>1844</v>
      </c>
      <c r="B916" s="16" t="str">
        <f>TEXT(PARTIDA[[#This Row],[PARTIDA]],"0000000000")</f>
        <v>1501200000</v>
      </c>
      <c r="C916" s="16" t="s">
        <v>786</v>
      </c>
      <c r="D916" s="16" t="s">
        <v>787</v>
      </c>
      <c r="E916" s="16" t="s">
        <v>9429</v>
      </c>
      <c r="F916" s="27" t="s">
        <v>10075</v>
      </c>
      <c r="G916" s="27"/>
      <c r="H916" s="16" t="str">
        <f>IF(ISBLANK(PARTIDAS!$G916),PARTIDAS!$F916,CONCATENATE(PARTIDAS!$F916," (",PARTIDAS!$G916,")"))</f>
        <v>Grasas y aceites, animales, vegetales o de origen microbiano, y… (los demás, grasas de cerdo)</v>
      </c>
      <c r="I916" s="16" t="s">
        <v>9427</v>
      </c>
    </row>
    <row r="917" spans="1:9" x14ac:dyDescent="0.25">
      <c r="A917" s="16" t="s">
        <v>1845</v>
      </c>
      <c r="B917" s="16" t="str">
        <f>TEXT(PARTIDA[[#This Row],[PARTIDA]],"0000000000")</f>
        <v>1501900000</v>
      </c>
      <c r="C917" s="16" t="s">
        <v>786</v>
      </c>
      <c r="D917" s="16" t="s">
        <v>787</v>
      </c>
      <c r="E917" s="16" t="s">
        <v>9429</v>
      </c>
      <c r="F917" s="27" t="s">
        <v>10076</v>
      </c>
      <c r="G917" s="27"/>
      <c r="H917" s="16" t="str">
        <f>IF(ISBLANK(PARTIDAS!$G917),PARTIDAS!$F917,CONCATENATE(PARTIDAS!$F917," (",PARTIDAS!$G917,")"))</f>
        <v>Grasas y aceites, animales, vegetales o de origen microbiano, y… (los demás)</v>
      </c>
      <c r="I917" s="16" t="s">
        <v>9427</v>
      </c>
    </row>
    <row r="918" spans="1:9" x14ac:dyDescent="0.25">
      <c r="A918" s="16" t="s">
        <v>1846</v>
      </c>
      <c r="B918" s="16" t="str">
        <f>TEXT(PARTIDA[[#This Row],[PARTIDA]],"0000000000")</f>
        <v>1502101010</v>
      </c>
      <c r="C918" s="16" t="s">
        <v>786</v>
      </c>
      <c r="D918" s="16" t="s">
        <v>787</v>
      </c>
      <c r="E918" s="16" t="s">
        <v>9429</v>
      </c>
      <c r="F918" s="27" t="s">
        <v>10077</v>
      </c>
      <c r="G918" s="27"/>
      <c r="H918" s="16" t="str">
        <f>IF(ISBLANK(PARTIDAS!$G918),PARTIDAS!$F918,CONCATENATE(PARTIDAS!$F918," (",PARTIDAS!$G918,")"))</f>
        <v>Desnaturalizado, en rama</v>
      </c>
      <c r="I918" s="16" t="s">
        <v>9427</v>
      </c>
    </row>
    <row r="919" spans="1:9" x14ac:dyDescent="0.25">
      <c r="A919" s="16" t="s">
        <v>1847</v>
      </c>
      <c r="B919" s="16" t="str">
        <f>TEXT(PARTIDA[[#This Row],[PARTIDA]],"0000000000")</f>
        <v>1502101090</v>
      </c>
      <c r="C919" s="16" t="s">
        <v>786</v>
      </c>
      <c r="D919" s="16" t="s">
        <v>787</v>
      </c>
      <c r="E919" s="16" t="s">
        <v>9429</v>
      </c>
      <c r="F919" s="27" t="s">
        <v>10078</v>
      </c>
      <c r="G919" s="27"/>
      <c r="H919" s="16" t="str">
        <f>IF(ISBLANK(PARTIDAS!$G919),PARTIDAS!$F919,CONCATENATE(PARTIDAS!$F919," (",PARTIDAS!$G919,")"))</f>
        <v>Desnaturalizado (los demás)</v>
      </c>
      <c r="I919" s="16" t="s">
        <v>9427</v>
      </c>
    </row>
    <row r="920" spans="1:9" x14ac:dyDescent="0.25">
      <c r="A920" s="16" t="s">
        <v>1848</v>
      </c>
      <c r="B920" s="16" t="str">
        <f>TEXT(PARTIDA[[#This Row],[PARTIDA]],"0000000000")</f>
        <v>1502109010</v>
      </c>
      <c r="C920" s="16" t="s">
        <v>786</v>
      </c>
      <c r="D920" s="16" t="s">
        <v>787</v>
      </c>
      <c r="E920" s="16" t="s">
        <v>9429</v>
      </c>
      <c r="F920" s="27" t="s">
        <v>10079</v>
      </c>
      <c r="G920" s="27"/>
      <c r="H920" s="16" t="str">
        <f>IF(ISBLANK(PARTIDAS!$G920),PARTIDAS!$F920,CONCATENATE(PARTIDAS!$F920," (",PARTIDAS!$G920,")"))</f>
        <v>Sebo, en rama</v>
      </c>
      <c r="I920" s="16" t="s">
        <v>9427</v>
      </c>
    </row>
    <row r="921" spans="1:9" x14ac:dyDescent="0.25">
      <c r="A921" s="16" t="s">
        <v>1849</v>
      </c>
      <c r="B921" s="16" t="str">
        <f>TEXT(PARTIDA[[#This Row],[PARTIDA]],"0000000000")</f>
        <v>1502109090</v>
      </c>
      <c r="C921" s="16" t="s">
        <v>786</v>
      </c>
      <c r="D921" s="16" t="s">
        <v>787</v>
      </c>
      <c r="E921" s="16" t="s">
        <v>9429</v>
      </c>
      <c r="F921" s="27" t="s">
        <v>10080</v>
      </c>
      <c r="G921" s="27"/>
      <c r="H921" s="16" t="str">
        <f>IF(ISBLANK(PARTIDAS!$G921),PARTIDAS!$F921,CONCATENATE(PARTIDAS!$F921," (",PARTIDAS!$G921,")"))</f>
        <v>Sebo (los demás)</v>
      </c>
      <c r="I921" s="16" t="s">
        <v>9427</v>
      </c>
    </row>
    <row r="922" spans="1:9" x14ac:dyDescent="0.25">
      <c r="A922" s="16" t="s">
        <v>1850</v>
      </c>
      <c r="B922" s="16" t="str">
        <f>TEXT(PARTIDA[[#This Row],[PARTIDA]],"0000000000")</f>
        <v>1502901010</v>
      </c>
      <c r="C922" s="16" t="s">
        <v>786</v>
      </c>
      <c r="D922" s="16" t="s">
        <v>787</v>
      </c>
      <c r="E922" s="16" t="s">
        <v>9429</v>
      </c>
      <c r="F922" s="27" t="s">
        <v>10081</v>
      </c>
      <c r="G922" s="27"/>
      <c r="H922" s="16" t="str">
        <f>IF(ISBLANK(PARTIDAS!$G922),PARTIDAS!$F922,CONCATENATE(PARTIDAS!$F922," (",PARTIDAS!$G922,")"))</f>
        <v>Desnaturalizadas, en rama</v>
      </c>
      <c r="I922" s="16" t="s">
        <v>9427</v>
      </c>
    </row>
    <row r="923" spans="1:9" x14ac:dyDescent="0.25">
      <c r="A923" s="16" t="s">
        <v>1851</v>
      </c>
      <c r="B923" s="16" t="str">
        <f>TEXT(PARTIDA[[#This Row],[PARTIDA]],"0000000000")</f>
        <v>1502901090</v>
      </c>
      <c r="C923" s="16" t="s">
        <v>786</v>
      </c>
      <c r="D923" s="16" t="s">
        <v>787</v>
      </c>
      <c r="E923" s="16" t="s">
        <v>9429</v>
      </c>
      <c r="F923" s="27" t="s">
        <v>10082</v>
      </c>
      <c r="G923" s="27"/>
      <c r="H923" s="16" t="str">
        <f>IF(ISBLANK(PARTIDAS!$G923),PARTIDAS!$F923,CONCATENATE(PARTIDAS!$F923," (",PARTIDAS!$G923,")"))</f>
        <v>Desnaturalizadas (los demás)</v>
      </c>
      <c r="I923" s="16" t="s">
        <v>9427</v>
      </c>
    </row>
    <row r="924" spans="1:9" x14ac:dyDescent="0.25">
      <c r="A924" s="16" t="s">
        <v>1852</v>
      </c>
      <c r="B924" s="16" t="str">
        <f>TEXT(PARTIDA[[#This Row],[PARTIDA]],"0000000000")</f>
        <v>1502909010</v>
      </c>
      <c r="C924" s="16" t="s">
        <v>786</v>
      </c>
      <c r="D924" s="16" t="s">
        <v>787</v>
      </c>
      <c r="E924" s="16" t="s">
        <v>9429</v>
      </c>
      <c r="F924" s="27" t="s">
        <v>10083</v>
      </c>
      <c r="G924" s="27"/>
      <c r="H924" s="16" t="str">
        <f>IF(ISBLANK(PARTIDAS!$G924),PARTIDAS!$F924,CONCATENATE(PARTIDAS!$F924," (",PARTIDAS!$G924,")"))</f>
        <v>Grasa de animales de las especies bovina, ovina o caprina, en rama</v>
      </c>
      <c r="I924" s="16" t="s">
        <v>9427</v>
      </c>
    </row>
    <row r="925" spans="1:9" x14ac:dyDescent="0.25">
      <c r="A925" s="16" t="s">
        <v>1853</v>
      </c>
      <c r="B925" s="16" t="str">
        <f>TEXT(PARTIDA[[#This Row],[PARTIDA]],"0000000000")</f>
        <v>1502909090</v>
      </c>
      <c r="C925" s="16" t="s">
        <v>786</v>
      </c>
      <c r="D925" s="16" t="s">
        <v>787</v>
      </c>
      <c r="E925" s="16" t="s">
        <v>9429</v>
      </c>
      <c r="F925" s="27" t="s">
        <v>10084</v>
      </c>
      <c r="G925" s="27"/>
      <c r="H925" s="16" t="str">
        <f>IF(ISBLANK(PARTIDAS!$G925),PARTIDAS!$F925,CONCATENATE(PARTIDAS!$F925," (",PARTIDAS!$G925,")"))</f>
        <v>Grasa de animales de las especies bovina, ovina o caprina (los demás)</v>
      </c>
      <c r="I925" s="16" t="s">
        <v>9427</v>
      </c>
    </row>
    <row r="926" spans="1:9" x14ac:dyDescent="0.25">
      <c r="A926" s="16" t="s">
        <v>1854</v>
      </c>
      <c r="B926" s="16" t="str">
        <f>TEXT(PARTIDA[[#This Row],[PARTIDA]],"0000000000")</f>
        <v>1503000000</v>
      </c>
      <c r="C926" s="16" t="s">
        <v>786</v>
      </c>
      <c r="D926" s="16" t="s">
        <v>787</v>
      </c>
      <c r="E926" s="16" t="s">
        <v>9429</v>
      </c>
      <c r="F926" s="27" t="s">
        <v>1855</v>
      </c>
      <c r="G926" s="27" t="s">
        <v>852</v>
      </c>
      <c r="H926" s="16" t="str">
        <f>IF(ISBLANK(PARTIDAS!$G926),PARTIDAS!$F926,CONCATENATE(PARTIDAS!$F926," (",PARTIDAS!$G926,")"))</f>
        <v>Estearina solar, aceite de manteca de cerdo,
oleoestearina, oleomargarina y aceite de sebo, sin
emulsionar, mezclar ni preparar de otro modo. (Especificar)</v>
      </c>
      <c r="I926" s="16" t="s">
        <v>9427</v>
      </c>
    </row>
    <row r="927" spans="1:9" x14ac:dyDescent="0.25">
      <c r="A927" s="16" t="s">
        <v>1856</v>
      </c>
      <c r="B927" s="16" t="str">
        <f>TEXT(PARTIDA[[#This Row],[PARTIDA]],"0000000000")</f>
        <v>1504101000</v>
      </c>
      <c r="C927" s="16" t="s">
        <v>786</v>
      </c>
      <c r="D927" s="16" t="s">
        <v>787</v>
      </c>
      <c r="E927" s="16" t="s">
        <v>9429</v>
      </c>
      <c r="F927" s="27" t="s">
        <v>10085</v>
      </c>
      <c r="G927" s="27"/>
      <c r="H927" s="16" t="str">
        <f>IF(ISBLANK(PARTIDAS!$G927),PARTIDAS!$F927,CONCATENATE(PARTIDAS!$F927," (",PARTIDAS!$G927,")"))</f>
        <v>Aceites de hígado de pescado y sus fracciones, de hígado de bacalao</v>
      </c>
      <c r="I927" s="16" t="s">
        <v>9427</v>
      </c>
    </row>
    <row r="928" spans="1:9" x14ac:dyDescent="0.25">
      <c r="A928" s="16" t="s">
        <v>1857</v>
      </c>
      <c r="B928" s="16" t="str">
        <f>TEXT(PARTIDA[[#This Row],[PARTIDA]],"0000000000")</f>
        <v>1504102100</v>
      </c>
      <c r="C928" s="16" t="s">
        <v>815</v>
      </c>
      <c r="D928" s="16" t="s">
        <v>835</v>
      </c>
      <c r="E928" s="16" t="s">
        <v>1870</v>
      </c>
      <c r="F928" s="27" t="s">
        <v>10086</v>
      </c>
      <c r="G928" s="27"/>
      <c r="H928" s="16" t="str">
        <f>IF(ISBLANK(PARTIDAS!$G928),PARTIDAS!$F928,CONCATENATE(PARTIDAS!$F928," (",PARTIDAS!$G928,")"))</f>
        <v>Aceites de hígado de pescado y sus fracciones, de los demás pescados, en bruto</v>
      </c>
      <c r="I928" s="16" t="s">
        <v>9427</v>
      </c>
    </row>
    <row r="929" spans="1:9" x14ac:dyDescent="0.25">
      <c r="A929" s="16" t="s">
        <v>1858</v>
      </c>
      <c r="B929" s="16" t="str">
        <f>TEXT(PARTIDA[[#This Row],[PARTIDA]],"0000000000")</f>
        <v>1504102900</v>
      </c>
      <c r="C929" s="16" t="s">
        <v>786</v>
      </c>
      <c r="D929" s="16" t="s">
        <v>787</v>
      </c>
      <c r="E929" s="16" t="s">
        <v>9429</v>
      </c>
      <c r="F929" s="27" t="s">
        <v>10087</v>
      </c>
      <c r="G929" s="27"/>
      <c r="H929" s="16" t="str">
        <f>IF(ISBLANK(PARTIDAS!$G929),PARTIDAS!$F929,CONCATENATE(PARTIDAS!$F929," (",PARTIDAS!$G929,")"))</f>
        <v>Aceites de hígado de pescado y sus fracciones, de los demás pescados (los demás)</v>
      </c>
      <c r="I929" s="16" t="s">
        <v>9427</v>
      </c>
    </row>
    <row r="930" spans="1:9" x14ac:dyDescent="0.25">
      <c r="A930" s="16" t="s">
        <v>1859</v>
      </c>
      <c r="B930" s="16" t="str">
        <f>TEXT(PARTIDA[[#This Row],[PARTIDA]],"0000000000")</f>
        <v>1504201000</v>
      </c>
      <c r="C930" s="16" t="s">
        <v>815</v>
      </c>
      <c r="D930" s="16" t="s">
        <v>835</v>
      </c>
      <c r="E930" s="16" t="s">
        <v>1870</v>
      </c>
      <c r="F930" s="27" t="s">
        <v>1860</v>
      </c>
      <c r="G930" s="27"/>
      <c r="H930" s="16" t="str">
        <f>IF(ISBLANK(PARTIDAS!$G930),PARTIDAS!$F930,CONCATENATE(PARTIDAS!$F930," (",PARTIDAS!$G930,")"))</f>
        <v>Aceite crudo de pescado</v>
      </c>
      <c r="I930" s="16" t="s">
        <v>9427</v>
      </c>
    </row>
    <row r="931" spans="1:9" x14ac:dyDescent="0.25">
      <c r="A931" s="16" t="s">
        <v>1861</v>
      </c>
      <c r="B931" s="16" t="str">
        <f>TEXT(PARTIDA[[#This Row],[PARTIDA]],"0000000000")</f>
        <v>1504209000</v>
      </c>
      <c r="C931" s="16" t="s">
        <v>786</v>
      </c>
      <c r="D931" s="16" t="s">
        <v>787</v>
      </c>
      <c r="E931" s="16" t="s">
        <v>9429</v>
      </c>
      <c r="F931" s="27" t="s">
        <v>10088</v>
      </c>
      <c r="G931" s="27"/>
      <c r="H931" s="16" t="str">
        <f>IF(ISBLANK(PARTIDAS!$G931),PARTIDAS!$F931,CONCATENATE(PARTIDAS!$F931," (",PARTIDAS!$G931,")"))</f>
        <v>Grasas y aceites de pescado y sus fracciones (los demás)</v>
      </c>
      <c r="I931" s="16" t="s">
        <v>9427</v>
      </c>
    </row>
    <row r="932" spans="1:9" x14ac:dyDescent="0.25">
      <c r="A932" s="16" t="s">
        <v>1862</v>
      </c>
      <c r="B932" s="16" t="str">
        <f>TEXT(PARTIDA[[#This Row],[PARTIDA]],"0000000000")</f>
        <v>1504300000</v>
      </c>
      <c r="C932" s="16" t="s">
        <v>786</v>
      </c>
      <c r="D932" s="16" t="s">
        <v>787</v>
      </c>
      <c r="E932" s="16" t="s">
        <v>9429</v>
      </c>
      <c r="F932" s="27" t="s">
        <v>10089</v>
      </c>
      <c r="G932" s="27"/>
      <c r="H932" s="16" t="str">
        <f>IF(ISBLANK(PARTIDAS!$G932),PARTIDAS!$F932,CONCATENATE(PARTIDAS!$F932," (",PARTIDAS!$G932,")"))</f>
        <v>Grasas y aceites de mamíferos marinos y sus fracciones</v>
      </c>
      <c r="I932" s="16" t="s">
        <v>9427</v>
      </c>
    </row>
    <row r="933" spans="1:9" x14ac:dyDescent="0.25">
      <c r="A933" s="16" t="s">
        <v>1863</v>
      </c>
      <c r="B933" s="16" t="str">
        <f>TEXT(PARTIDA[[#This Row],[PARTIDA]],"0000000000")</f>
        <v>1505001000</v>
      </c>
      <c r="C933" s="16" t="s">
        <v>815</v>
      </c>
      <c r="D933" s="16" t="s">
        <v>835</v>
      </c>
      <c r="E933" s="16" t="s">
        <v>1870</v>
      </c>
      <c r="F933" s="27" t="s">
        <v>10090</v>
      </c>
      <c r="G933" s="27"/>
      <c r="H933" s="16" t="str">
        <f>IF(ISBLANK(PARTIDAS!$G933),PARTIDAS!$F933,CONCATENATE(PARTIDAS!$F933," (",PARTIDAS!$G933,")"))</f>
        <v>Grasa de lana en bruto (suarda o suintina)</v>
      </c>
      <c r="I933" s="16" t="s">
        <v>9427</v>
      </c>
    </row>
    <row r="934" spans="1:9" x14ac:dyDescent="0.25">
      <c r="A934" s="16" t="s">
        <v>1864</v>
      </c>
      <c r="B934" s="16" t="str">
        <f>TEXT(PARTIDA[[#This Row],[PARTIDA]],"0000000000")</f>
        <v>1505009100</v>
      </c>
      <c r="C934" s="16" t="s">
        <v>786</v>
      </c>
      <c r="D934" s="16" t="s">
        <v>787</v>
      </c>
      <c r="E934" s="16" t="s">
        <v>9429</v>
      </c>
      <c r="F934" s="27" t="s">
        <v>10091</v>
      </c>
      <c r="G934" s="27"/>
      <c r="H934" s="16" t="str">
        <f>IF(ISBLANK(PARTIDAS!$G934),PARTIDAS!$F934,CONCATENATE(PARTIDAS!$F934," (",PARTIDAS!$G934,")"))</f>
        <v>Grasa de animales de las especies bovina, ovina o caprina, lanolina</v>
      </c>
      <c r="I934" s="16" t="s">
        <v>9427</v>
      </c>
    </row>
    <row r="935" spans="1:9" x14ac:dyDescent="0.25">
      <c r="A935" s="16" t="s">
        <v>1865</v>
      </c>
      <c r="B935" s="16" t="str">
        <f>TEXT(PARTIDA[[#This Row],[PARTIDA]],"0000000000")</f>
        <v>1505009900</v>
      </c>
      <c r="C935" s="16" t="s">
        <v>786</v>
      </c>
      <c r="D935" s="16" t="s">
        <v>787</v>
      </c>
      <c r="E935" s="16" t="s">
        <v>9429</v>
      </c>
      <c r="F935" s="27" t="s">
        <v>10084</v>
      </c>
      <c r="G935" s="27"/>
      <c r="H935" s="16" t="str">
        <f>IF(ISBLANK(PARTIDAS!$G935),PARTIDAS!$F935,CONCATENATE(PARTIDAS!$F935," (",PARTIDAS!$G935,")"))</f>
        <v>Grasa de animales de las especies bovina, ovina o caprina (los demás)</v>
      </c>
      <c r="I935" s="16" t="s">
        <v>9427</v>
      </c>
    </row>
    <row r="936" spans="1:9" x14ac:dyDescent="0.25">
      <c r="A936" s="16" t="s">
        <v>1866</v>
      </c>
      <c r="B936" s="16" t="str">
        <f>TEXT(PARTIDA[[#This Row],[PARTIDA]],"0000000000")</f>
        <v>1506001000</v>
      </c>
      <c r="C936" s="16" t="s">
        <v>786</v>
      </c>
      <c r="D936" s="16" t="s">
        <v>787</v>
      </c>
      <c r="E936" s="16" t="s">
        <v>9429</v>
      </c>
      <c r="F936" s="27" t="s">
        <v>10092</v>
      </c>
      <c r="G936" s="27"/>
      <c r="H936" s="16" t="str">
        <f>IF(ISBLANK(PARTIDAS!$G936),PARTIDAS!$F936,CONCATENATE(PARTIDAS!$F936," (",PARTIDAS!$G936,")"))</f>
        <v>Aceite de pie de buey</v>
      </c>
      <c r="I936" s="16" t="s">
        <v>9427</v>
      </c>
    </row>
    <row r="937" spans="1:9" x14ac:dyDescent="0.25">
      <c r="A937" s="16" t="s">
        <v>1867</v>
      </c>
      <c r="B937" s="16" t="str">
        <f>TEXT(PARTIDA[[#This Row],[PARTIDA]],"0000000000")</f>
        <v>1506009000</v>
      </c>
      <c r="C937" s="16" t="s">
        <v>786</v>
      </c>
      <c r="D937" s="16" t="s">
        <v>787</v>
      </c>
      <c r="E937" s="16" t="s">
        <v>9429</v>
      </c>
      <c r="F937" s="27" t="s">
        <v>10084</v>
      </c>
      <c r="G937" s="27"/>
      <c r="H937" s="16" t="str">
        <f>IF(ISBLANK(PARTIDAS!$G937),PARTIDAS!$F937,CONCATENATE(PARTIDAS!$F937," (",PARTIDAS!$G937,")"))</f>
        <v>Grasa de animales de las especies bovina, ovina o caprina (los demás)</v>
      </c>
      <c r="I937" s="16" t="s">
        <v>9427</v>
      </c>
    </row>
    <row r="938" spans="1:9" x14ac:dyDescent="0.25">
      <c r="A938" s="16" t="s">
        <v>1868</v>
      </c>
      <c r="B938" s="16" t="str">
        <f>TEXT(PARTIDA[[#This Row],[PARTIDA]],"0000000000")</f>
        <v>1507100000</v>
      </c>
      <c r="C938" s="16" t="s">
        <v>815</v>
      </c>
      <c r="D938" s="16" t="s">
        <v>835</v>
      </c>
      <c r="E938" s="16" t="s">
        <v>1870</v>
      </c>
      <c r="F938" s="27" t="s">
        <v>9132</v>
      </c>
      <c r="G938" s="27"/>
      <c r="H938" s="16" t="str">
        <f>IF(ISBLANK(PARTIDAS!$G938),PARTIDAS!$F938,CONCATENATE(PARTIDAS!$F938," (",PARTIDAS!$G938,")"))</f>
        <v>Aceite en bruto, incluso desgomado</v>
      </c>
      <c r="I938" s="16" t="s">
        <v>9477</v>
      </c>
    </row>
    <row r="939" spans="1:9" x14ac:dyDescent="0.25">
      <c r="A939" s="16" t="s">
        <v>1869</v>
      </c>
      <c r="B939" s="16" t="str">
        <f>TEXT(PARTIDA[[#This Row],[PARTIDA]],"0000000000")</f>
        <v>1507901000</v>
      </c>
      <c r="C939" s="16" t="s">
        <v>786</v>
      </c>
      <c r="D939" s="16" t="s">
        <v>787</v>
      </c>
      <c r="E939" s="16" t="s">
        <v>9429</v>
      </c>
      <c r="F939" s="27" t="s">
        <v>10093</v>
      </c>
      <c r="G939" s="27"/>
      <c r="H939" s="16" t="str">
        <f>IF(ISBLANK(PARTIDAS!$G939),PARTIDAS!$F939,CONCATENATE(PARTIDAS!$F939," (",PARTIDAS!$G939,")"))</f>
        <v>Aceite de soja (soya) y sus fracciones, incluso refinado, pero sin…, con adición de sustancias desnaturalizantes en una proporción inferior o igual al</v>
      </c>
      <c r="I939" s="16" t="s">
        <v>9427</v>
      </c>
    </row>
    <row r="940" spans="1:9" x14ac:dyDescent="0.25">
      <c r="A940" s="16" t="s">
        <v>34</v>
      </c>
      <c r="B940" s="16" t="str">
        <f>TEXT(PARTIDA[[#This Row],[PARTIDA]],"0000000000")</f>
        <v>1507909000</v>
      </c>
      <c r="C940" s="16" t="s">
        <v>815</v>
      </c>
      <c r="D940" s="16" t="s">
        <v>835</v>
      </c>
      <c r="E940" s="16" t="s">
        <v>1870</v>
      </c>
      <c r="F940" s="27" t="s">
        <v>1871</v>
      </c>
      <c r="G940" s="27"/>
      <c r="H940" s="16" t="str">
        <f>IF(ISBLANK(PARTIDAS!$G940),PARTIDAS!$F940,CONCATENATE(PARTIDAS!$F940," (",PARTIDAS!$G940,")"))</f>
        <v>Aceite de soya</v>
      </c>
      <c r="I940" s="16" t="s">
        <v>9559</v>
      </c>
    </row>
    <row r="941" spans="1:9" x14ac:dyDescent="0.25">
      <c r="A941" s="16" t="s">
        <v>1872</v>
      </c>
      <c r="B941" s="16" t="str">
        <f>TEXT(PARTIDA[[#This Row],[PARTIDA]],"0000000000")</f>
        <v>1508100000</v>
      </c>
      <c r="C941" s="16" t="s">
        <v>815</v>
      </c>
      <c r="D941" s="16" t="s">
        <v>835</v>
      </c>
      <c r="E941" s="16" t="s">
        <v>1870</v>
      </c>
      <c r="F941" s="27" t="s">
        <v>10094</v>
      </c>
      <c r="G941" s="27"/>
      <c r="H941" s="16" t="str">
        <f>IF(ISBLANK(PARTIDAS!$G941),PARTIDAS!$F941,CONCATENATE(PARTIDAS!$F941," (",PARTIDAS!$G941,")"))</f>
        <v>Aceite en bruto</v>
      </c>
      <c r="I941" s="16" t="s">
        <v>9427</v>
      </c>
    </row>
    <row r="942" spans="1:9" x14ac:dyDescent="0.25">
      <c r="A942" s="16" t="s">
        <v>1873</v>
      </c>
      <c r="B942" s="16" t="str">
        <f>TEXT(PARTIDA[[#This Row],[PARTIDA]],"0000000000")</f>
        <v>1508900000</v>
      </c>
      <c r="C942" s="16" t="s">
        <v>786</v>
      </c>
      <c r="D942" s="16" t="s">
        <v>787</v>
      </c>
      <c r="E942" s="16" t="s">
        <v>9429</v>
      </c>
      <c r="F942" s="27" t="s">
        <v>10095</v>
      </c>
      <c r="G942" s="27"/>
      <c r="H942" s="16" t="str">
        <f>IF(ISBLANK(PARTIDAS!$G942),PARTIDAS!$F942,CONCATENATE(PARTIDAS!$F942," (",PARTIDAS!$G942,")"))</f>
        <v>Aceite de soja (soya) y sus fracciones, incluso refinado, pero sin… (los demás)</v>
      </c>
      <c r="I942" s="16" t="s">
        <v>9427</v>
      </c>
    </row>
    <row r="943" spans="1:9" x14ac:dyDescent="0.25">
      <c r="A943" s="16" t="s">
        <v>1874</v>
      </c>
      <c r="B943" s="16" t="str">
        <f>TEXT(PARTIDA[[#This Row],[PARTIDA]],"0000000000")</f>
        <v>1509100000</v>
      </c>
      <c r="C943" s="16" t="s">
        <v>786</v>
      </c>
      <c r="D943" s="16" t="s">
        <v>787</v>
      </c>
      <c r="E943" s="16" t="s">
        <v>9429</v>
      </c>
      <c r="F943" s="27" t="s">
        <v>10096</v>
      </c>
      <c r="G943" s="27"/>
      <c r="H943" s="16" t="str">
        <f>IF(ISBLANK(PARTIDAS!$G943),PARTIDAS!$F943,CONCATENATE(PARTIDAS!$F943," (",PARTIDAS!$G943,")"))</f>
        <v>Virgen</v>
      </c>
      <c r="I943" s="16" t="s">
        <v>9648</v>
      </c>
    </row>
    <row r="944" spans="1:9" x14ac:dyDescent="0.25">
      <c r="A944" s="16" t="s">
        <v>10097</v>
      </c>
      <c r="B944" s="16" t="str">
        <f>TEXT(PARTIDA[[#This Row],[PARTIDA]],"0000000000")</f>
        <v>1509200000</v>
      </c>
      <c r="C944" s="16" t="s">
        <v>786</v>
      </c>
      <c r="D944" s="16" t="s">
        <v>787</v>
      </c>
      <c r="E944" s="16" t="s">
        <v>9429</v>
      </c>
      <c r="F944" s="27" t="s">
        <v>10098</v>
      </c>
      <c r="G944" s="27"/>
      <c r="H944" s="16" t="str">
        <f>IF(ISBLANK(PARTIDAS!$G944),PARTIDAS!$F944,CONCATENATE(PARTIDAS!$F944," (",PARTIDAS!$G944,")"))</f>
        <v>Aceite de oliva virgen extra</v>
      </c>
      <c r="I944" s="16" t="s">
        <v>9427</v>
      </c>
    </row>
    <row r="945" spans="1:9" x14ac:dyDescent="0.25">
      <c r="A945" s="16" t="s">
        <v>10099</v>
      </c>
      <c r="B945" s="16" t="str">
        <f>TEXT(PARTIDA[[#This Row],[PARTIDA]],"0000000000")</f>
        <v>1509300000</v>
      </c>
      <c r="C945" s="16" t="s">
        <v>786</v>
      </c>
      <c r="D945" s="16" t="s">
        <v>787</v>
      </c>
      <c r="E945" s="16" t="s">
        <v>9429</v>
      </c>
      <c r="F945" s="27" t="s">
        <v>10100</v>
      </c>
      <c r="G945" s="27"/>
      <c r="H945" s="16" t="str">
        <f>IF(ISBLANK(PARTIDAS!$G945),PARTIDAS!$F945,CONCATENATE(PARTIDAS!$F945," (",PARTIDAS!$G945,")"))</f>
        <v>Aceite de oliva virgen</v>
      </c>
      <c r="I945" s="16" t="s">
        <v>9427</v>
      </c>
    </row>
    <row r="946" spans="1:9" x14ac:dyDescent="0.25">
      <c r="A946" s="16" t="s">
        <v>10101</v>
      </c>
      <c r="B946" s="16" t="str">
        <f>TEXT(PARTIDA[[#This Row],[PARTIDA]],"0000000000")</f>
        <v>1509400000</v>
      </c>
      <c r="C946" s="16" t="s">
        <v>786</v>
      </c>
      <c r="D946" s="16" t="s">
        <v>787</v>
      </c>
      <c r="E946" s="16" t="s">
        <v>9429</v>
      </c>
      <c r="F946" s="27" t="s">
        <v>10102</v>
      </c>
      <c r="G946" s="27"/>
      <c r="H946" s="16" t="str">
        <f>IF(ISBLANK(PARTIDAS!$G946),PARTIDAS!$F946,CONCATENATE(PARTIDAS!$F946," (",PARTIDAS!$G946,")"))</f>
        <v>Aceite de oliva y sus fracciones, incluso refinado, pero sin… (los demás, aceites de oliva vírgenes)</v>
      </c>
      <c r="I946" s="16" t="s">
        <v>9427</v>
      </c>
    </row>
    <row r="947" spans="1:9" x14ac:dyDescent="0.25">
      <c r="A947" s="16" t="s">
        <v>1875</v>
      </c>
      <c r="B947" s="16" t="str">
        <f>TEXT(PARTIDA[[#This Row],[PARTIDA]],"0000000000")</f>
        <v>1509900000</v>
      </c>
      <c r="C947" s="16" t="s">
        <v>786</v>
      </c>
      <c r="D947" s="16" t="s">
        <v>787</v>
      </c>
      <c r="E947" s="16" t="s">
        <v>9429</v>
      </c>
      <c r="F947" s="27" t="s">
        <v>10103</v>
      </c>
      <c r="G947" s="27"/>
      <c r="H947" s="16" t="str">
        <f>IF(ISBLANK(PARTIDAS!$G947),PARTIDAS!$F947,CONCATENATE(PARTIDAS!$F947," (",PARTIDAS!$G947,")"))</f>
        <v>Aceite de oliva y sus fracciones, incluso refinado, pero sin… (los demás)</v>
      </c>
      <c r="I947" s="16" t="s">
        <v>9427</v>
      </c>
    </row>
    <row r="948" spans="1:9" x14ac:dyDescent="0.25">
      <c r="A948" s="16" t="s">
        <v>1876</v>
      </c>
      <c r="B948" s="16" t="str">
        <f>TEXT(PARTIDA[[#This Row],[PARTIDA]],"0000000000")</f>
        <v>1510000000</v>
      </c>
      <c r="C948" s="16" t="s">
        <v>786</v>
      </c>
      <c r="D948" s="16" t="s">
        <v>787</v>
      </c>
      <c r="E948" s="16" t="s">
        <v>9429</v>
      </c>
      <c r="F948" s="27" t="s">
        <v>1877</v>
      </c>
      <c r="G948" s="27"/>
      <c r="H948" s="16" t="str">
        <f>IF(ISBLANK(PARTIDAS!$G948),PARTIDAS!$F948,CONCATENATE(PARTIDAS!$F948," (",PARTIDAS!$G948,")"))</f>
        <v>Aceite de aceituna</v>
      </c>
      <c r="I948" s="16" t="s">
        <v>9648</v>
      </c>
    </row>
    <row r="949" spans="1:9" x14ac:dyDescent="0.25">
      <c r="A949" s="16" t="s">
        <v>10104</v>
      </c>
      <c r="B949" s="16" t="str">
        <f>TEXT(PARTIDA[[#This Row],[PARTIDA]],"0000000000")</f>
        <v>1510100000</v>
      </c>
      <c r="C949" s="16" t="s">
        <v>815</v>
      </c>
      <c r="D949" s="16" t="s">
        <v>835</v>
      </c>
      <c r="E949" s="16" t="s">
        <v>1870</v>
      </c>
      <c r="F949" s="27" t="s">
        <v>10105</v>
      </c>
      <c r="G949" s="27"/>
      <c r="H949" s="16" t="str">
        <f>IF(ISBLANK(PARTIDAS!$G949),PARTIDAS!$F949,CONCATENATE(PARTIDAS!$F949," (",PARTIDAS!$G949,")"))</f>
        <v>Aceite de orujo de oliva en bruto</v>
      </c>
      <c r="I949" s="16" t="s">
        <v>9427</v>
      </c>
    </row>
    <row r="950" spans="1:9" x14ac:dyDescent="0.25">
      <c r="A950" s="16" t="s">
        <v>10106</v>
      </c>
      <c r="B950" s="16" t="str">
        <f>TEXT(PARTIDA[[#This Row],[PARTIDA]],"0000000000")</f>
        <v>1510900000</v>
      </c>
      <c r="C950" s="16" t="s">
        <v>786</v>
      </c>
      <c r="D950" s="16" t="s">
        <v>787</v>
      </c>
      <c r="E950" s="16" t="s">
        <v>9429</v>
      </c>
      <c r="F950" s="27" t="s">
        <v>10107</v>
      </c>
      <c r="G950" s="27"/>
      <c r="H950" s="16" t="str">
        <f>IF(ISBLANK(PARTIDAS!$G950),PARTIDAS!$F950,CONCATENATE(PARTIDAS!$F950," (",PARTIDAS!$G950,")"))</f>
        <v>Pero sin modificar químicamente, y mezclas de estos aceites o… (los demás)</v>
      </c>
      <c r="I950" s="16" t="s">
        <v>9427</v>
      </c>
    </row>
    <row r="951" spans="1:9" x14ac:dyDescent="0.25">
      <c r="A951" s="16" t="s">
        <v>1878</v>
      </c>
      <c r="B951" s="16" t="str">
        <f>TEXT(PARTIDA[[#This Row],[PARTIDA]],"0000000000")</f>
        <v>1511100000</v>
      </c>
      <c r="C951" s="16" t="s">
        <v>815</v>
      </c>
      <c r="D951" s="16" t="s">
        <v>835</v>
      </c>
      <c r="E951" s="16" t="s">
        <v>1870</v>
      </c>
      <c r="F951" s="27" t="s">
        <v>1879</v>
      </c>
      <c r="G951" s="27"/>
      <c r="H951" s="16" t="str">
        <f>IF(ISBLANK(PARTIDAS!$G951),PARTIDAS!$F951,CONCATENATE(PARTIDAS!$F951," (",PARTIDAS!$G951,")"))</f>
        <v>Aceite crudo de palma</v>
      </c>
      <c r="I951" s="16" t="s">
        <v>9427</v>
      </c>
    </row>
    <row r="952" spans="1:9" x14ac:dyDescent="0.25">
      <c r="A952" s="16" t="s">
        <v>1880</v>
      </c>
      <c r="B952" s="16" t="str">
        <f>TEXT(PARTIDA[[#This Row],[PARTIDA]],"0000000000")</f>
        <v>1511900000</v>
      </c>
      <c r="C952" s="16" t="s">
        <v>786</v>
      </c>
      <c r="D952" s="16" t="s">
        <v>787</v>
      </c>
      <c r="E952" s="16" t="s">
        <v>9429</v>
      </c>
      <c r="F952" s="27" t="s">
        <v>1881</v>
      </c>
      <c r="G952" s="27" t="s">
        <v>852</v>
      </c>
      <c r="H952" s="16" t="str">
        <f>IF(ISBLANK(PARTIDAS!$G952),PARTIDAS!$F952,CONCATENATE(PARTIDAS!$F952," (",PARTIDAS!$G952,")"))</f>
        <v>Aceite refinado / Estearina / Manteca vegetal de palma (Especificar)</v>
      </c>
      <c r="I952" s="16" t="s">
        <v>9427</v>
      </c>
    </row>
    <row r="953" spans="1:9" x14ac:dyDescent="0.25">
      <c r="A953" s="16" t="s">
        <v>1882</v>
      </c>
      <c r="B953" s="16" t="str">
        <f>TEXT(PARTIDA[[#This Row],[PARTIDA]],"0000000000")</f>
        <v>1512111000</v>
      </c>
      <c r="C953" s="16" t="s">
        <v>815</v>
      </c>
      <c r="D953" s="16" t="s">
        <v>835</v>
      </c>
      <c r="E953" s="16" t="s">
        <v>1870</v>
      </c>
      <c r="F953" s="27" t="s">
        <v>9136</v>
      </c>
      <c r="G953" s="27"/>
      <c r="H953" s="16" t="str">
        <f>IF(ISBLANK(PARTIDAS!$G953),PARTIDAS!$F953,CONCATENATE(PARTIDAS!$F953," (",PARTIDAS!$G953,")"))</f>
        <v>Aceites en bruto, de girasol</v>
      </c>
      <c r="I953" s="16" t="s">
        <v>9477</v>
      </c>
    </row>
    <row r="954" spans="1:9" x14ac:dyDescent="0.25">
      <c r="A954" s="16" t="s">
        <v>1883</v>
      </c>
      <c r="B954" s="16" t="str">
        <f>TEXT(PARTIDA[[#This Row],[PARTIDA]],"0000000000")</f>
        <v>1512112000</v>
      </c>
      <c r="C954" s="16" t="s">
        <v>815</v>
      </c>
      <c r="D954" s="16" t="s">
        <v>835</v>
      </c>
      <c r="E954" s="16" t="s">
        <v>1870</v>
      </c>
      <c r="F954" s="27" t="s">
        <v>10108</v>
      </c>
      <c r="G954" s="27"/>
      <c r="H954" s="16" t="str">
        <f>IF(ISBLANK(PARTIDAS!$G954),PARTIDAS!$F954,CONCATENATE(PARTIDAS!$F954," (",PARTIDAS!$G954,")"))</f>
        <v>Aceites en bruto, de cártamo</v>
      </c>
      <c r="I954" s="16" t="s">
        <v>9427</v>
      </c>
    </row>
    <row r="955" spans="1:9" x14ac:dyDescent="0.25">
      <c r="A955" s="16" t="s">
        <v>1884</v>
      </c>
      <c r="B955" s="16" t="str">
        <f>TEXT(PARTIDA[[#This Row],[PARTIDA]],"0000000000")</f>
        <v>1512191000</v>
      </c>
      <c r="C955" s="16" t="s">
        <v>815</v>
      </c>
      <c r="D955" s="16" t="s">
        <v>835</v>
      </c>
      <c r="E955" s="16" t="s">
        <v>1870</v>
      </c>
      <c r="F955" s="27" t="s">
        <v>9134</v>
      </c>
      <c r="G955" s="27"/>
      <c r="H955" s="16" t="str">
        <f>IF(ISBLANK(PARTIDAS!$G955),PARTIDAS!$F955,CONCATENATE(PARTIDAS!$F955," (",PARTIDAS!$G955,")"))</f>
        <v>Aceites de girasol o cártamo, y sus fracciones, de girasol</v>
      </c>
      <c r="I955" s="16" t="s">
        <v>9477</v>
      </c>
    </row>
    <row r="956" spans="1:9" x14ac:dyDescent="0.25">
      <c r="A956" s="16" t="s">
        <v>1885</v>
      </c>
      <c r="B956" s="16" t="str">
        <f>TEXT(PARTIDA[[#This Row],[PARTIDA]],"0000000000")</f>
        <v>1512192000</v>
      </c>
      <c r="C956" s="16" t="s">
        <v>786</v>
      </c>
      <c r="D956" s="16" t="s">
        <v>787</v>
      </c>
      <c r="E956" s="16" t="s">
        <v>9429</v>
      </c>
      <c r="F956" s="27" t="s">
        <v>10109</v>
      </c>
      <c r="G956" s="27"/>
      <c r="H956" s="16" t="str">
        <f>IF(ISBLANK(PARTIDAS!$G956),PARTIDAS!$F956,CONCATENATE(PARTIDAS!$F956," (",PARTIDAS!$G956,")"))</f>
        <v>Aceites de girasol o cártamo, y sus fracciones, de cártamo</v>
      </c>
      <c r="I956" s="16" t="s">
        <v>9427</v>
      </c>
    </row>
    <row r="957" spans="1:9" x14ac:dyDescent="0.25">
      <c r="A957" s="16" t="s">
        <v>1886</v>
      </c>
      <c r="B957" s="16" t="str">
        <f>TEXT(PARTIDA[[#This Row],[PARTIDA]],"0000000000")</f>
        <v>1512210000</v>
      </c>
      <c r="C957" s="16" t="s">
        <v>815</v>
      </c>
      <c r="D957" s="16" t="s">
        <v>835</v>
      </c>
      <c r="E957" s="16" t="s">
        <v>1870</v>
      </c>
      <c r="F957" s="27" t="s">
        <v>10110</v>
      </c>
      <c r="G957" s="27"/>
      <c r="H957" s="16" t="str">
        <f>IF(ISBLANK(PARTIDAS!$G957),PARTIDAS!$F957,CONCATENATE(PARTIDAS!$F957," (",PARTIDAS!$G957,")"))</f>
        <v>Aceite en bruto, incluso sin gosipol</v>
      </c>
      <c r="I957" s="16" t="s">
        <v>9427</v>
      </c>
    </row>
    <row r="958" spans="1:9" x14ac:dyDescent="0.25">
      <c r="A958" s="16" t="s">
        <v>1887</v>
      </c>
      <c r="B958" s="16" t="str">
        <f>TEXT(PARTIDA[[#This Row],[PARTIDA]],"0000000000")</f>
        <v>1512290000</v>
      </c>
      <c r="C958" s="16" t="s">
        <v>786</v>
      </c>
      <c r="D958" s="16" t="s">
        <v>787</v>
      </c>
      <c r="E958" s="16" t="s">
        <v>9429</v>
      </c>
      <c r="F958" s="27" t="s">
        <v>10111</v>
      </c>
      <c r="G958" s="27"/>
      <c r="H958" s="16" t="str">
        <f>IF(ISBLANK(PARTIDAS!$G958),PARTIDAS!$F958,CONCATENATE(PARTIDAS!$F958," (",PARTIDAS!$G958,")"))</f>
        <v>Aceite de algodón y sus fracciones (los demás)</v>
      </c>
      <c r="I958" s="16" t="s">
        <v>9427</v>
      </c>
    </row>
    <row r="959" spans="1:9" x14ac:dyDescent="0.25">
      <c r="A959" s="16" t="s">
        <v>1888</v>
      </c>
      <c r="B959" s="16" t="str">
        <f>TEXT(PARTIDA[[#This Row],[PARTIDA]],"0000000000")</f>
        <v>1513110000</v>
      </c>
      <c r="C959" s="16" t="s">
        <v>815</v>
      </c>
      <c r="D959" s="16" t="s">
        <v>835</v>
      </c>
      <c r="E959" s="16" t="s">
        <v>1870</v>
      </c>
      <c r="F959" s="27" t="s">
        <v>10094</v>
      </c>
      <c r="G959" s="27"/>
      <c r="H959" s="16" t="str">
        <f>IF(ISBLANK(PARTIDAS!$G959),PARTIDAS!$F959,CONCATENATE(PARTIDAS!$F959," (",PARTIDAS!$G959,")"))</f>
        <v>Aceite en bruto</v>
      </c>
      <c r="I959" s="16" t="s">
        <v>9427</v>
      </c>
    </row>
    <row r="960" spans="1:9" x14ac:dyDescent="0.25">
      <c r="A960" s="16" t="s">
        <v>1889</v>
      </c>
      <c r="B960" s="16" t="str">
        <f>TEXT(PARTIDA[[#This Row],[PARTIDA]],"0000000000")</f>
        <v>1513190000</v>
      </c>
      <c r="C960" s="16" t="s">
        <v>786</v>
      </c>
      <c r="D960" s="16" t="s">
        <v>787</v>
      </c>
      <c r="E960" s="16" t="s">
        <v>9429</v>
      </c>
      <c r="F960" s="27" t="s">
        <v>10112</v>
      </c>
      <c r="G960" s="27"/>
      <c r="H960" s="16" t="str">
        <f>IF(ISBLANK(PARTIDAS!$G960),PARTIDAS!$F960,CONCATENATE(PARTIDAS!$F960," (",PARTIDAS!$G960,")"))</f>
        <v>Aceite de coco (de copra) y sus fracciones (los demás)</v>
      </c>
      <c r="I960" s="16" t="s">
        <v>9427</v>
      </c>
    </row>
    <row r="961" spans="1:9" x14ac:dyDescent="0.25">
      <c r="A961" s="16" t="s">
        <v>1890</v>
      </c>
      <c r="B961" s="16" t="str">
        <f>TEXT(PARTIDA[[#This Row],[PARTIDA]],"0000000000")</f>
        <v>1513211000</v>
      </c>
      <c r="C961" s="16" t="s">
        <v>815</v>
      </c>
      <c r="D961" s="16" t="s">
        <v>835</v>
      </c>
      <c r="E961" s="16" t="s">
        <v>1870</v>
      </c>
      <c r="F961" s="27" t="s">
        <v>1891</v>
      </c>
      <c r="G961" s="27" t="s">
        <v>852</v>
      </c>
      <c r="H961" s="16" t="str">
        <f>IF(ISBLANK(PARTIDAS!$G961),PARTIDAS!$F961,CONCATENATE(PARTIDAS!$F961," (",PARTIDAS!$G961,")"))</f>
        <v>Aceite refinado de almendra de palma (Especificar)</v>
      </c>
      <c r="I961" s="16" t="s">
        <v>9427</v>
      </c>
    </row>
    <row r="962" spans="1:9" x14ac:dyDescent="0.25">
      <c r="A962" s="16" t="s">
        <v>1892</v>
      </c>
      <c r="B962" s="16" t="str">
        <f>TEXT(PARTIDA[[#This Row],[PARTIDA]],"0000000000")</f>
        <v>1513212000</v>
      </c>
      <c r="C962" s="16" t="s">
        <v>815</v>
      </c>
      <c r="D962" s="16" t="s">
        <v>835</v>
      </c>
      <c r="E962" s="16" t="s">
        <v>1870</v>
      </c>
      <c r="F962" s="27" t="s">
        <v>10113</v>
      </c>
      <c r="G962" s="27"/>
      <c r="H962" s="16" t="str">
        <f>IF(ISBLANK(PARTIDAS!$G962),PARTIDAS!$F962,CONCATENATE(PARTIDAS!$F962," (",PARTIDAS!$G962,")"))</f>
        <v>Aceites en bruto, de babasú</v>
      </c>
      <c r="I962" s="16" t="s">
        <v>9427</v>
      </c>
    </row>
    <row r="963" spans="1:9" x14ac:dyDescent="0.25">
      <c r="A963" s="16" t="s">
        <v>1893</v>
      </c>
      <c r="B963" s="16" t="str">
        <f>TEXT(PARTIDA[[#This Row],[PARTIDA]],"0000000000")</f>
        <v>1513291000</v>
      </c>
      <c r="C963" s="16" t="s">
        <v>786</v>
      </c>
      <c r="D963" s="16" t="s">
        <v>787</v>
      </c>
      <c r="E963" s="16" t="s">
        <v>9429</v>
      </c>
      <c r="F963" s="27" t="s">
        <v>1894</v>
      </c>
      <c r="G963" s="27"/>
      <c r="H963" s="16" t="str">
        <f>IF(ISBLANK(PARTIDAS!$G963),PARTIDAS!$F963,CONCATENATE(PARTIDAS!$F963," (",PARTIDAS!$G963,")"))</f>
        <v>Aceite refinado de palmiste</v>
      </c>
      <c r="I963" s="16" t="s">
        <v>9427</v>
      </c>
    </row>
    <row r="964" spans="1:9" x14ac:dyDescent="0.25">
      <c r="A964" s="16" t="s">
        <v>1895</v>
      </c>
      <c r="B964" s="16" t="str">
        <f>TEXT(PARTIDA[[#This Row],[PARTIDA]],"0000000000")</f>
        <v>1513292000</v>
      </c>
      <c r="C964" s="16" t="s">
        <v>786</v>
      </c>
      <c r="D964" s="16" t="s">
        <v>787</v>
      </c>
      <c r="E964" s="16" t="s">
        <v>9429</v>
      </c>
      <c r="F964" s="27" t="s">
        <v>10114</v>
      </c>
      <c r="G964" s="27"/>
      <c r="H964" s="16" t="str">
        <f>IF(ISBLANK(PARTIDAS!$G964),PARTIDAS!$F964,CONCATENATE(PARTIDAS!$F964," (",PARTIDAS!$G964,")"))</f>
        <v>Aceites de almendra de palma (palmiste) o de babasú, y sus fracciones, de babasú</v>
      </c>
      <c r="I964" s="16" t="s">
        <v>9427</v>
      </c>
    </row>
    <row r="965" spans="1:9" x14ac:dyDescent="0.25">
      <c r="A965" s="16" t="s">
        <v>1896</v>
      </c>
      <c r="B965" s="16" t="str">
        <f>TEXT(PARTIDA[[#This Row],[PARTIDA]],"0000000000")</f>
        <v>1514110000</v>
      </c>
      <c r="C965" s="16" t="s">
        <v>815</v>
      </c>
      <c r="D965" s="16" t="s">
        <v>835</v>
      </c>
      <c r="E965" s="16" t="s">
        <v>1870</v>
      </c>
      <c r="F965" s="27" t="s">
        <v>10115</v>
      </c>
      <c r="G965" s="27"/>
      <c r="H965" s="16" t="str">
        <f>IF(ISBLANK(PARTIDAS!$G965),PARTIDAS!$F965,CONCATENATE(PARTIDAS!$F965," (",PARTIDAS!$G965,")"))</f>
        <v>Aceites en bruto</v>
      </c>
      <c r="I965" s="16" t="s">
        <v>9427</v>
      </c>
    </row>
    <row r="966" spans="1:9" x14ac:dyDescent="0.25">
      <c r="A966" s="16" t="s">
        <v>1897</v>
      </c>
      <c r="B966" s="16" t="str">
        <f>TEXT(PARTIDA[[#This Row],[PARTIDA]],"0000000000")</f>
        <v>1514190000</v>
      </c>
      <c r="C966" s="16" t="s">
        <v>786</v>
      </c>
      <c r="D966" s="16" t="s">
        <v>787</v>
      </c>
      <c r="E966" s="16" t="s">
        <v>9429</v>
      </c>
      <c r="F966" s="27" t="s">
        <v>10116</v>
      </c>
      <c r="G966" s="27"/>
      <c r="H966" s="16" t="str">
        <f>IF(ISBLANK(PARTIDAS!$G966),PARTIDAS!$F966,CONCATENATE(PARTIDAS!$F966," (",PARTIDAS!$G966,")"))</f>
        <v>Aceites de nabo (de nabina) o de colza con bajo contenido de ácido… (los demás)</v>
      </c>
      <c r="I966" s="16" t="s">
        <v>9427</v>
      </c>
    </row>
    <row r="967" spans="1:9" x14ac:dyDescent="0.25">
      <c r="A967" s="16" t="s">
        <v>1898</v>
      </c>
      <c r="B967" s="16" t="str">
        <f>TEXT(PARTIDA[[#This Row],[PARTIDA]],"0000000000")</f>
        <v>1514910000</v>
      </c>
      <c r="C967" s="16" t="s">
        <v>815</v>
      </c>
      <c r="D967" s="16" t="s">
        <v>835</v>
      </c>
      <c r="E967" s="16" t="s">
        <v>1870</v>
      </c>
      <c r="F967" s="27" t="s">
        <v>10115</v>
      </c>
      <c r="G967" s="27"/>
      <c r="H967" s="16" t="str">
        <f>IF(ISBLANK(PARTIDAS!$G967),PARTIDAS!$F967,CONCATENATE(PARTIDAS!$F967," (",PARTIDAS!$G967,")"))</f>
        <v>Aceites en bruto</v>
      </c>
      <c r="I967" s="16" t="s">
        <v>9427</v>
      </c>
    </row>
    <row r="968" spans="1:9" x14ac:dyDescent="0.25">
      <c r="A968" s="16" t="s">
        <v>1899</v>
      </c>
      <c r="B968" s="16" t="str">
        <f>TEXT(PARTIDA[[#This Row],[PARTIDA]],"0000000000")</f>
        <v>1514990000</v>
      </c>
      <c r="C968" s="16" t="s">
        <v>786</v>
      </c>
      <c r="D968" s="16" t="s">
        <v>787</v>
      </c>
      <c r="E968" s="16" t="s">
        <v>9429</v>
      </c>
      <c r="F968" s="27" t="s">
        <v>10117</v>
      </c>
      <c r="G968" s="27"/>
      <c r="H968" s="16" t="str">
        <f>IF(ISBLANK(PARTIDAS!$G968),PARTIDAS!$F968,CONCATENATE(PARTIDAS!$F968," (",PARTIDAS!$G968,")"))</f>
        <v>Aceite de palma y sus fracciones, incluso refinado, pero sin… (los demás)</v>
      </c>
      <c r="I968" s="16" t="s">
        <v>9427</v>
      </c>
    </row>
    <row r="969" spans="1:9" x14ac:dyDescent="0.25">
      <c r="A969" s="16" t="s">
        <v>1900</v>
      </c>
      <c r="B969" s="16" t="str">
        <f>TEXT(PARTIDA[[#This Row],[PARTIDA]],"0000000000")</f>
        <v>1515110000</v>
      </c>
      <c r="C969" s="16" t="s">
        <v>815</v>
      </c>
      <c r="D969" s="16" t="s">
        <v>835</v>
      </c>
      <c r="E969" s="16" t="s">
        <v>1870</v>
      </c>
      <c r="F969" s="27" t="s">
        <v>10094</v>
      </c>
      <c r="G969" s="27"/>
      <c r="H969" s="16" t="str">
        <f>IF(ISBLANK(PARTIDAS!$G969),PARTIDAS!$F969,CONCATENATE(PARTIDAS!$F969," (",PARTIDAS!$G969,")"))</f>
        <v>Aceite en bruto</v>
      </c>
      <c r="I969" s="16" t="s">
        <v>9427</v>
      </c>
    </row>
    <row r="970" spans="1:9" x14ac:dyDescent="0.25">
      <c r="A970" s="16" t="s">
        <v>1901</v>
      </c>
      <c r="B970" s="16" t="str">
        <f>TEXT(PARTIDA[[#This Row],[PARTIDA]],"0000000000")</f>
        <v>1515190000</v>
      </c>
      <c r="C970" s="16" t="s">
        <v>786</v>
      </c>
      <c r="D970" s="16" t="s">
        <v>787</v>
      </c>
      <c r="E970" s="16" t="s">
        <v>9429</v>
      </c>
      <c r="F970" s="27" t="s">
        <v>10118</v>
      </c>
      <c r="G970" s="27"/>
      <c r="H970" s="16" t="str">
        <f>IF(ISBLANK(PARTIDAS!$G970),PARTIDAS!$F970,CONCATENATE(PARTIDAS!$F970," (",PARTIDAS!$G970,")"))</f>
        <v>Aceite de lino (de linaza) y sus fracciones (los demás)</v>
      </c>
      <c r="I970" s="16" t="s">
        <v>9427</v>
      </c>
    </row>
    <row r="971" spans="1:9" x14ac:dyDescent="0.25">
      <c r="A971" s="16" t="s">
        <v>1902</v>
      </c>
      <c r="B971" s="16" t="str">
        <f>TEXT(PARTIDA[[#This Row],[PARTIDA]],"0000000000")</f>
        <v>1515210000</v>
      </c>
      <c r="C971" s="16" t="s">
        <v>815</v>
      </c>
      <c r="D971" s="16" t="s">
        <v>835</v>
      </c>
      <c r="E971" s="16" t="s">
        <v>1870</v>
      </c>
      <c r="F971" s="27" t="s">
        <v>10094</v>
      </c>
      <c r="G971" s="27"/>
      <c r="H971" s="16" t="str">
        <f>IF(ISBLANK(PARTIDAS!$G971),PARTIDAS!$F971,CONCATENATE(PARTIDAS!$F971," (",PARTIDAS!$G971,")"))</f>
        <v>Aceite en bruto</v>
      </c>
      <c r="I971" s="16" t="s">
        <v>9427</v>
      </c>
    </row>
    <row r="972" spans="1:9" x14ac:dyDescent="0.25">
      <c r="A972" s="16" t="s">
        <v>1903</v>
      </c>
      <c r="B972" s="16" t="str">
        <f>TEXT(PARTIDA[[#This Row],[PARTIDA]],"0000000000")</f>
        <v>1515290000</v>
      </c>
      <c r="C972" s="16" t="s">
        <v>786</v>
      </c>
      <c r="D972" s="16" t="s">
        <v>787</v>
      </c>
      <c r="E972" s="16" t="s">
        <v>9429</v>
      </c>
      <c r="F972" s="27" t="s">
        <v>10119</v>
      </c>
      <c r="G972" s="27"/>
      <c r="H972" s="16" t="str">
        <f>IF(ISBLANK(PARTIDAS!$G972),PARTIDAS!$F972,CONCATENATE(PARTIDAS!$F972," (",PARTIDAS!$G972,")"))</f>
        <v>Aceite de maíz y sus fracciones (los demás)</v>
      </c>
      <c r="I972" s="16" t="s">
        <v>9427</v>
      </c>
    </row>
    <row r="973" spans="1:9" x14ac:dyDescent="0.25">
      <c r="A973" s="16" t="s">
        <v>1904</v>
      </c>
      <c r="B973" s="16" t="str">
        <f>TEXT(PARTIDA[[#This Row],[PARTIDA]],"0000000000")</f>
        <v>1515300000</v>
      </c>
      <c r="C973" s="16" t="s">
        <v>786</v>
      </c>
      <c r="D973" s="16" t="s">
        <v>787</v>
      </c>
      <c r="E973" s="16" t="s">
        <v>9429</v>
      </c>
      <c r="F973" s="27" t="s">
        <v>10120</v>
      </c>
      <c r="G973" s="27"/>
      <c r="H973" s="16" t="str">
        <f>IF(ISBLANK(PARTIDAS!$G973),PARTIDAS!$F973,CONCATENATE(PARTIDAS!$F973," (",PARTIDAS!$G973,")"))</f>
        <v>Aceite de ricino y sus fracciones</v>
      </c>
      <c r="I973" s="16" t="s">
        <v>9427</v>
      </c>
    </row>
    <row r="974" spans="1:9" x14ac:dyDescent="0.25">
      <c r="A974" s="16" t="s">
        <v>1905</v>
      </c>
      <c r="B974" s="16" t="str">
        <f>TEXT(PARTIDA[[#This Row],[PARTIDA]],"0000000000")</f>
        <v>1515500000</v>
      </c>
      <c r="C974" s="16" t="s">
        <v>786</v>
      </c>
      <c r="D974" s="16" t="s">
        <v>787</v>
      </c>
      <c r="E974" s="16" t="s">
        <v>9429</v>
      </c>
      <c r="F974" s="27" t="s">
        <v>1906</v>
      </c>
      <c r="G974" s="27" t="s">
        <v>852</v>
      </c>
      <c r="H974" s="16" t="str">
        <f>IF(ISBLANK(PARTIDAS!$G974),PARTIDAS!$F974,CONCATENATE(PARTIDAS!$F974," (",PARTIDAS!$G974,")"))</f>
        <v>Aceite de sésamo (ajonjolí) (Especificar)</v>
      </c>
      <c r="I974" s="16" t="s">
        <v>9427</v>
      </c>
    </row>
    <row r="975" spans="1:9" x14ac:dyDescent="0.25">
      <c r="A975" s="16" t="s">
        <v>10121</v>
      </c>
      <c r="B975" s="16" t="str">
        <f>TEXT(PARTIDA[[#This Row],[PARTIDA]],"0000000000")</f>
        <v>1515600000</v>
      </c>
      <c r="C975" s="16" t="s">
        <v>786</v>
      </c>
      <c r="D975" s="16" t="s">
        <v>787</v>
      </c>
      <c r="E975" s="16" t="s">
        <v>9429</v>
      </c>
      <c r="F975" s="27" t="s">
        <v>10122</v>
      </c>
      <c r="G975" s="27"/>
      <c r="H975" s="16" t="str">
        <f>IF(ISBLANK(PARTIDAS!$G975),PARTIDAS!$F975,CONCATENATE(PARTIDAS!$F975," (",PARTIDAS!$G975,")"))</f>
        <v>Grasas y aceites, de origen microbiano, y sus fracciones</v>
      </c>
      <c r="I975" s="16" t="s">
        <v>9427</v>
      </c>
    </row>
    <row r="976" spans="1:9" x14ac:dyDescent="0.25">
      <c r="A976" s="16" t="s">
        <v>1907</v>
      </c>
      <c r="B976" s="16" t="str">
        <f>TEXT(PARTIDA[[#This Row],[PARTIDA]],"0000000000")</f>
        <v>1515900010</v>
      </c>
      <c r="C976" s="16" t="s">
        <v>786</v>
      </c>
      <c r="D976" s="16" t="s">
        <v>787</v>
      </c>
      <c r="E976" s="16" t="s">
        <v>9429</v>
      </c>
      <c r="F976" s="27" t="s">
        <v>10123</v>
      </c>
      <c r="G976" s="27"/>
      <c r="H976" s="16" t="str">
        <f>IF(ISBLANK(PARTIDAS!$G976),PARTIDAS!$F976,CONCATENATE(PARTIDAS!$F976," (",PARTIDAS!$G976,")"))</f>
        <v>Aceite de tung y sus fracciones</v>
      </c>
      <c r="I976" s="16" t="s">
        <v>9427</v>
      </c>
    </row>
    <row r="977" spans="1:9" x14ac:dyDescent="0.25">
      <c r="A977" s="16" t="s">
        <v>1908</v>
      </c>
      <c r="B977" s="16" t="str">
        <f>TEXT(PARTIDA[[#This Row],[PARTIDA]],"0000000000")</f>
        <v>1515900090</v>
      </c>
      <c r="C977" s="16" t="s">
        <v>786</v>
      </c>
      <c r="D977" s="16" t="s">
        <v>787</v>
      </c>
      <c r="E977" s="16" t="s">
        <v>9429</v>
      </c>
      <c r="F977" s="27" t="s">
        <v>1909</v>
      </c>
      <c r="G977" s="27" t="s">
        <v>852</v>
      </c>
      <c r="H977" s="16" t="str">
        <f>IF(ISBLANK(PARTIDAS!$G977),PARTIDAS!$F977,CONCATENATE(PARTIDAS!$F977," (",PARTIDAS!$G977,")"))</f>
        <v>Aceite refinado / Manteca vegetal (Especificar)</v>
      </c>
      <c r="I977" s="16" t="s">
        <v>9427</v>
      </c>
    </row>
    <row r="978" spans="1:9" x14ac:dyDescent="0.25">
      <c r="A978" s="16" t="s">
        <v>1910</v>
      </c>
      <c r="B978" s="16" t="str">
        <f>TEXT(PARTIDA[[#This Row],[PARTIDA]],"0000000000")</f>
        <v>1516100000</v>
      </c>
      <c r="C978" s="16" t="s">
        <v>786</v>
      </c>
      <c r="D978" s="16" t="s">
        <v>787</v>
      </c>
      <c r="E978" s="16" t="s">
        <v>9429</v>
      </c>
      <c r="F978" s="27" t="s">
        <v>1911</v>
      </c>
      <c r="G978" s="27" t="s">
        <v>852</v>
      </c>
      <c r="H978" s="16" t="str">
        <f>IF(ISBLANK(PARTIDAS!$G978),PARTIDAS!$F978,CONCATENATE(PARTIDAS!$F978," (",PARTIDAS!$G978,")"))</f>
        <v>Grasas y aceites animales (Especificar)</v>
      </c>
      <c r="I978" s="16" t="s">
        <v>9427</v>
      </c>
    </row>
    <row r="979" spans="1:9" x14ac:dyDescent="0.25">
      <c r="A979" s="16" t="s">
        <v>1912</v>
      </c>
      <c r="B979" s="16" t="str">
        <f>TEXT(PARTIDA[[#This Row],[PARTIDA]],"0000000000")</f>
        <v>1516200000</v>
      </c>
      <c r="C979" s="16" t="s">
        <v>786</v>
      </c>
      <c r="D979" s="16" t="s">
        <v>787</v>
      </c>
      <c r="E979" s="16" t="s">
        <v>9429</v>
      </c>
      <c r="F979" s="27" t="s">
        <v>1909</v>
      </c>
      <c r="G979" s="27" t="s">
        <v>852</v>
      </c>
      <c r="H979" s="16" t="str">
        <f>IF(ISBLANK(PARTIDAS!$G979),PARTIDAS!$F979,CONCATENATE(PARTIDAS!$F979," (",PARTIDAS!$G979,")"))</f>
        <v>Aceite refinado / Manteca vegetal (Especificar)</v>
      </c>
      <c r="I979" s="16" t="s">
        <v>9427</v>
      </c>
    </row>
    <row r="980" spans="1:9" x14ac:dyDescent="0.25">
      <c r="A980" s="16" t="s">
        <v>10124</v>
      </c>
      <c r="B980" s="16" t="str">
        <f>TEXT(PARTIDA[[#This Row],[PARTIDA]],"0000000000")</f>
        <v>1516300000</v>
      </c>
      <c r="C980" s="16" t="s">
        <v>786</v>
      </c>
      <c r="D980" s="16" t="s">
        <v>787</v>
      </c>
      <c r="E980" s="16" t="s">
        <v>9429</v>
      </c>
      <c r="F980" s="27" t="s">
        <v>10122</v>
      </c>
      <c r="G980" s="27"/>
      <c r="H980" s="16" t="str">
        <f>IF(ISBLANK(PARTIDAS!$G980),PARTIDAS!$F980,CONCATENATE(PARTIDAS!$F980," (",PARTIDAS!$G980,")"))</f>
        <v>Grasas y aceites, de origen microbiano, y sus fracciones</v>
      </c>
      <c r="I980" s="16" t="s">
        <v>9427</v>
      </c>
    </row>
    <row r="981" spans="1:9" x14ac:dyDescent="0.25">
      <c r="A981" s="16" t="s">
        <v>1913</v>
      </c>
      <c r="B981" s="16" t="str">
        <f>TEXT(PARTIDA[[#This Row],[PARTIDA]],"0000000000")</f>
        <v>1517100000</v>
      </c>
      <c r="C981" s="16" t="s">
        <v>786</v>
      </c>
      <c r="D981" s="16" t="s">
        <v>787</v>
      </c>
      <c r="E981" s="16" t="s">
        <v>9429</v>
      </c>
      <c r="F981" s="27" t="s">
        <v>1914</v>
      </c>
      <c r="G981" s="27"/>
      <c r="H981" s="16" t="str">
        <f>IF(ISBLANK(PARTIDAS!$G981),PARTIDAS!$F981,CONCATENATE(PARTIDAS!$F981," (",PARTIDAS!$G981,")"))</f>
        <v>Margarina</v>
      </c>
      <c r="I981" s="16" t="s">
        <v>9477</v>
      </c>
    </row>
    <row r="982" spans="1:9" x14ac:dyDescent="0.25">
      <c r="A982" s="16" t="s">
        <v>1915</v>
      </c>
      <c r="B982" s="16" t="str">
        <f>TEXT(PARTIDA[[#This Row],[PARTIDA]],"0000000000")</f>
        <v>1517900000</v>
      </c>
      <c r="C982" s="16" t="s">
        <v>786</v>
      </c>
      <c r="D982" s="16" t="s">
        <v>787</v>
      </c>
      <c r="E982" s="16" t="s">
        <v>9429</v>
      </c>
      <c r="F982" s="27" t="s">
        <v>1916</v>
      </c>
      <c r="G982" s="27" t="s">
        <v>852</v>
      </c>
      <c r="H982" s="16" t="str">
        <f>IF(ISBLANK(PARTIDAS!$G982),PARTIDAS!$F982,CONCATENATE(PARTIDAS!$F982," (",PARTIDAS!$G982,")"))</f>
        <v>Aceite refinado / Manteca vegetal de palma (Especificar)</v>
      </c>
      <c r="I982" s="16" t="s">
        <v>9427</v>
      </c>
    </row>
    <row r="983" spans="1:9" x14ac:dyDescent="0.25">
      <c r="A983" s="16" t="s">
        <v>1917</v>
      </c>
      <c r="B983" s="16" t="str">
        <f>TEXT(PARTIDA[[#This Row],[PARTIDA]],"0000000000")</f>
        <v>1518001000</v>
      </c>
      <c r="C983" s="16" t="s">
        <v>815</v>
      </c>
      <c r="D983" s="16" t="s">
        <v>835</v>
      </c>
      <c r="E983" s="16" t="s">
        <v>842</v>
      </c>
      <c r="F983" s="27" t="s">
        <v>10125</v>
      </c>
      <c r="G983" s="27"/>
      <c r="H983" s="16" t="str">
        <f>IF(ISBLANK(PARTIDAS!$G983),PARTIDAS!$F983,CONCATENATE(PARTIDAS!$F983," (",PARTIDAS!$G983,")"))</f>
        <v>Linoxina</v>
      </c>
      <c r="I983" s="16" t="s">
        <v>9427</v>
      </c>
    </row>
    <row r="984" spans="1:9" x14ac:dyDescent="0.25">
      <c r="A984" s="16" t="s">
        <v>1918</v>
      </c>
      <c r="B984" s="16" t="str">
        <f>TEXT(PARTIDA[[#This Row],[PARTIDA]],"0000000000")</f>
        <v>1518009000</v>
      </c>
      <c r="C984" s="16" t="s">
        <v>815</v>
      </c>
      <c r="D984" s="16" t="s">
        <v>835</v>
      </c>
      <c r="E984" s="16" t="s">
        <v>842</v>
      </c>
      <c r="F984" s="27" t="s">
        <v>10126</v>
      </c>
      <c r="G984" s="27"/>
      <c r="H984" s="16" t="str">
        <f>IF(ISBLANK(PARTIDAS!$G984),PARTIDAS!$F984,CONCATENATE(PARTIDAS!$F984," (",PARTIDAS!$G984,")"))</f>
        <v>Origen microbiano, o de fracciones de diferentes grasas o aceites, de… (los demás)</v>
      </c>
      <c r="I984" s="16" t="s">
        <v>9427</v>
      </c>
    </row>
    <row r="985" spans="1:9" x14ac:dyDescent="0.25">
      <c r="A985" s="16" t="s">
        <v>1919</v>
      </c>
      <c r="B985" s="16" t="str">
        <f>TEXT(PARTIDA[[#This Row],[PARTIDA]],"0000000000")</f>
        <v>1520000000</v>
      </c>
      <c r="C985" s="16" t="s">
        <v>815</v>
      </c>
      <c r="D985" s="16" t="s">
        <v>835</v>
      </c>
      <c r="E985" s="16" t="s">
        <v>842</v>
      </c>
      <c r="F985" s="27" t="s">
        <v>1920</v>
      </c>
      <c r="G985" s="27"/>
      <c r="H985" s="16" t="str">
        <f>IF(ISBLANK(PARTIDAS!$G985),PARTIDAS!$F985,CONCATENATE(PARTIDAS!$F985," (",PARTIDAS!$G985,")"))</f>
        <v>Glicerol en bruto; aguas y lejías glicerinosas.</v>
      </c>
      <c r="I985" s="16" t="s">
        <v>9427</v>
      </c>
    </row>
    <row r="986" spans="1:9" x14ac:dyDescent="0.25">
      <c r="A986" s="16" t="s">
        <v>1921</v>
      </c>
      <c r="B986" s="16" t="str">
        <f>TEXT(PARTIDA[[#This Row],[PARTIDA]],"0000000000")</f>
        <v>1521101000</v>
      </c>
      <c r="C986" s="16" t="s">
        <v>815</v>
      </c>
      <c r="D986" s="16" t="s">
        <v>835</v>
      </c>
      <c r="E986" s="16" t="s">
        <v>842</v>
      </c>
      <c r="F986" s="27" t="s">
        <v>10127</v>
      </c>
      <c r="G986" s="27"/>
      <c r="H986" s="16" t="str">
        <f>IF(ISBLANK(PARTIDAS!$G986),PARTIDAS!$F986,CONCATENATE(PARTIDAS!$F986," (",PARTIDAS!$G986,")"))</f>
        <v>Cera de carnauba</v>
      </c>
      <c r="I986" s="16" t="s">
        <v>9427</v>
      </c>
    </row>
    <row r="987" spans="1:9" x14ac:dyDescent="0.25">
      <c r="A987" s="16" t="s">
        <v>1922</v>
      </c>
      <c r="B987" s="16" t="str">
        <f>TEXT(PARTIDA[[#This Row],[PARTIDA]],"0000000000")</f>
        <v>1521102000</v>
      </c>
      <c r="C987" s="16" t="s">
        <v>815</v>
      </c>
      <c r="D987" s="16" t="s">
        <v>835</v>
      </c>
      <c r="E987" s="16" t="s">
        <v>842</v>
      </c>
      <c r="F987" s="27" t="s">
        <v>10128</v>
      </c>
      <c r="G987" s="27"/>
      <c r="H987" s="16" t="str">
        <f>IF(ISBLANK(PARTIDAS!$G987),PARTIDAS!$F987,CONCATENATE(PARTIDAS!$F987," (",PARTIDAS!$G987,")"))</f>
        <v>Cera de candelilla</v>
      </c>
      <c r="I987" s="16" t="s">
        <v>9427</v>
      </c>
    </row>
    <row r="988" spans="1:9" x14ac:dyDescent="0.25">
      <c r="A988" s="16" t="s">
        <v>1923</v>
      </c>
      <c r="B988" s="16" t="str">
        <f>TEXT(PARTIDA[[#This Row],[PARTIDA]],"0000000000")</f>
        <v>1521109000</v>
      </c>
      <c r="C988" s="16" t="s">
        <v>815</v>
      </c>
      <c r="D988" s="16" t="s">
        <v>835</v>
      </c>
      <c r="E988" s="16" t="s">
        <v>842</v>
      </c>
      <c r="F988" s="27" t="s">
        <v>10129</v>
      </c>
      <c r="G988" s="27"/>
      <c r="H988" s="16" t="str">
        <f>IF(ISBLANK(PARTIDAS!$G988),PARTIDAS!$F988,CONCATENATE(PARTIDAS!$F988," (",PARTIDAS!$G988,")"))</f>
        <v>Ceras vegetales (los demás)</v>
      </c>
      <c r="I988" s="16" t="s">
        <v>9427</v>
      </c>
    </row>
    <row r="989" spans="1:9" x14ac:dyDescent="0.25">
      <c r="A989" s="16" t="s">
        <v>1924</v>
      </c>
      <c r="B989" s="16" t="str">
        <f>TEXT(PARTIDA[[#This Row],[PARTIDA]],"0000000000")</f>
        <v>1521901000</v>
      </c>
      <c r="C989" s="16" t="s">
        <v>815</v>
      </c>
      <c r="D989" s="16" t="s">
        <v>835</v>
      </c>
      <c r="E989" s="16" t="s">
        <v>842</v>
      </c>
      <c r="F989" s="27" t="s">
        <v>10130</v>
      </c>
      <c r="G989" s="27"/>
      <c r="H989" s="16" t="str">
        <f>IF(ISBLANK(PARTIDAS!$G989),PARTIDAS!$F989,CONCATENATE(PARTIDAS!$F989," (",PARTIDAS!$G989,")"))</f>
        <v>Cera de abejas o de otros insectos</v>
      </c>
      <c r="I989" s="16" t="s">
        <v>9427</v>
      </c>
    </row>
    <row r="990" spans="1:9" x14ac:dyDescent="0.25">
      <c r="A990" s="16" t="s">
        <v>1925</v>
      </c>
      <c r="B990" s="16" t="str">
        <f>TEXT(PARTIDA[[#This Row],[PARTIDA]],"0000000000")</f>
        <v>1521902000</v>
      </c>
      <c r="C990" s="16" t="s">
        <v>815</v>
      </c>
      <c r="D990" s="16" t="s">
        <v>835</v>
      </c>
      <c r="E990" s="16" t="s">
        <v>842</v>
      </c>
      <c r="F990" s="27" t="s">
        <v>10131</v>
      </c>
      <c r="G990" s="27"/>
      <c r="H990" s="16" t="str">
        <f>IF(ISBLANK(PARTIDAS!$G990),PARTIDAS!$F990,CONCATENATE(PARTIDAS!$F990," (",PARTIDAS!$G990,")"))</f>
        <v>Esperma de ballena o de otros cetáceos (espermaceti)</v>
      </c>
      <c r="I990" s="16" t="s">
        <v>9427</v>
      </c>
    </row>
    <row r="991" spans="1:9" x14ac:dyDescent="0.25">
      <c r="A991" s="16" t="s">
        <v>1926</v>
      </c>
      <c r="B991" s="16" t="str">
        <f>TEXT(PARTIDA[[#This Row],[PARTIDA]],"0000000000")</f>
        <v>1522000000</v>
      </c>
      <c r="C991" s="16" t="s">
        <v>815</v>
      </c>
      <c r="D991" s="16" t="s">
        <v>835</v>
      </c>
      <c r="E991" s="16" t="s">
        <v>842</v>
      </c>
      <c r="F991" s="27" t="s">
        <v>1927</v>
      </c>
      <c r="G991" s="27"/>
      <c r="H991" s="16" t="str">
        <f>IF(ISBLANK(PARTIDAS!$G991),PARTIDAS!$F991,CONCATENATE(PARTIDAS!$F991," (",PARTIDAS!$G991,")"))</f>
        <v>Degrás</v>
      </c>
      <c r="I991" s="16" t="s">
        <v>9477</v>
      </c>
    </row>
    <row r="992" spans="1:9" x14ac:dyDescent="0.25">
      <c r="A992" s="16" t="s">
        <v>1928</v>
      </c>
      <c r="B992" s="16" t="str">
        <f>TEXT(PARTIDA[[#This Row],[PARTIDA]],"0000000000")</f>
        <v>1601000000</v>
      </c>
      <c r="C992" s="16" t="s">
        <v>786</v>
      </c>
      <c r="D992" s="16" t="s">
        <v>787</v>
      </c>
      <c r="E992" s="16" t="s">
        <v>9429</v>
      </c>
      <c r="F992" s="27" t="s">
        <v>1929</v>
      </c>
      <c r="G992" s="27"/>
      <c r="H992" s="16" t="str">
        <f>IF(ISBLANK(PARTIDAS!$G992),PARTIDAS!$F992,CONCATENATE(PARTIDAS!$F992," (",PARTIDAS!$G992,")"))</f>
        <v>Embutidos y productos similares de carne,
despojos o sangre; preparaciones alimenticias a
base de estos productos.</v>
      </c>
      <c r="I992" s="16" t="s">
        <v>9648</v>
      </c>
    </row>
    <row r="993" spans="1:9" x14ac:dyDescent="0.25">
      <c r="A993" s="16" t="s">
        <v>10132</v>
      </c>
      <c r="B993" s="16" t="str">
        <f>TEXT(PARTIDA[[#This Row],[PARTIDA]],"0000000000")</f>
        <v>1601000010</v>
      </c>
      <c r="C993" s="16" t="s">
        <v>786</v>
      </c>
      <c r="D993" s="16" t="s">
        <v>787</v>
      </c>
      <c r="E993" s="16" t="s">
        <v>9429</v>
      </c>
      <c r="F993" s="27" t="s">
        <v>10133</v>
      </c>
      <c r="G993" s="27"/>
      <c r="H993" s="16" t="str">
        <f>IF(ISBLANK(PARTIDAS!$G993),PARTIDAS!$F993,CONCATENATE(PARTIDAS!$F993," (",PARTIDAS!$G993,")"))</f>
        <v>Preparaciones de carne, pescado, crustáceos, de insectos</v>
      </c>
      <c r="I993" s="16" t="s">
        <v>9427</v>
      </c>
    </row>
    <row r="994" spans="1:9" x14ac:dyDescent="0.25">
      <c r="A994" s="16" t="s">
        <v>10134</v>
      </c>
      <c r="B994" s="16" t="str">
        <f>TEXT(PARTIDA[[#This Row],[PARTIDA]],"0000000000")</f>
        <v>1601000090</v>
      </c>
      <c r="C994" s="16" t="s">
        <v>786</v>
      </c>
      <c r="D994" s="16" t="s">
        <v>787</v>
      </c>
      <c r="E994" s="16" t="s">
        <v>9429</v>
      </c>
      <c r="F994" s="27" t="s">
        <v>10135</v>
      </c>
      <c r="G994" s="27"/>
      <c r="H994" s="16" t="str">
        <f>IF(ISBLANK(PARTIDAS!$G994),PARTIDAS!$F994,CONCATENATE(PARTIDAS!$F994," (",PARTIDAS!$G994,")"))</f>
        <v>Preparaciones de carne, pescado, crustáceos (los demás)</v>
      </c>
      <c r="I994" s="16" t="s">
        <v>9427</v>
      </c>
    </row>
    <row r="995" spans="1:9" x14ac:dyDescent="0.25">
      <c r="A995" s="16" t="s">
        <v>1930</v>
      </c>
      <c r="B995" s="16" t="str">
        <f>TEXT(PARTIDA[[#This Row],[PARTIDA]],"0000000000")</f>
        <v>1602100000</v>
      </c>
      <c r="C995" s="16" t="s">
        <v>786</v>
      </c>
      <c r="D995" s="16" t="s">
        <v>787</v>
      </c>
      <c r="E995" s="16" t="s">
        <v>9429</v>
      </c>
      <c r="F995" s="27" t="s">
        <v>10136</v>
      </c>
      <c r="G995" s="27"/>
      <c r="H995" s="16" t="str">
        <f>IF(ISBLANK(PARTIDAS!$G995),PARTIDAS!$F995,CONCATENATE(PARTIDAS!$F995," (",PARTIDAS!$G995,")"))</f>
        <v>Preparaciones homogeneizadas</v>
      </c>
      <c r="I995" s="16" t="s">
        <v>9648</v>
      </c>
    </row>
    <row r="996" spans="1:9" x14ac:dyDescent="0.25">
      <c r="A996" s="16" t="s">
        <v>10137</v>
      </c>
      <c r="B996" s="16" t="str">
        <f>TEXT(PARTIDA[[#This Row],[PARTIDA]],"0000000000")</f>
        <v>1602100010</v>
      </c>
      <c r="C996" s="16" t="s">
        <v>786</v>
      </c>
      <c r="D996" s="16" t="s">
        <v>787</v>
      </c>
      <c r="E996" s="16" t="s">
        <v>9429</v>
      </c>
      <c r="F996" s="27" t="s">
        <v>10138</v>
      </c>
      <c r="G996" s="27"/>
      <c r="H996" s="16" t="str">
        <f>IF(ISBLANK(PARTIDAS!$G996),PARTIDAS!$F996,CONCATENATE(PARTIDAS!$F996," (",PARTIDAS!$G996,")"))</f>
        <v>Preparaciones homogeneizadas, de insectos</v>
      </c>
      <c r="I996" s="16" t="s">
        <v>9427</v>
      </c>
    </row>
    <row r="997" spans="1:9" x14ac:dyDescent="0.25">
      <c r="A997" s="16" t="s">
        <v>10139</v>
      </c>
      <c r="B997" s="16" t="str">
        <f>TEXT(PARTIDA[[#This Row],[PARTIDA]],"0000000000")</f>
        <v>1602100090</v>
      </c>
      <c r="C997" s="16" t="s">
        <v>786</v>
      </c>
      <c r="D997" s="16" t="s">
        <v>787</v>
      </c>
      <c r="E997" s="16" t="s">
        <v>9429</v>
      </c>
      <c r="F997" s="27" t="s">
        <v>10140</v>
      </c>
      <c r="G997" s="27"/>
      <c r="H997" s="16" t="str">
        <f>IF(ISBLANK(PARTIDAS!$G997),PARTIDAS!$F997,CONCATENATE(PARTIDAS!$F997," (",PARTIDAS!$G997,")"))</f>
        <v>Preparaciones homogeneizadas (los demás)</v>
      </c>
      <c r="I997" s="16" t="s">
        <v>9427</v>
      </c>
    </row>
    <row r="998" spans="1:9" x14ac:dyDescent="0.25">
      <c r="A998" s="16" t="s">
        <v>1931</v>
      </c>
      <c r="B998" s="16" t="str">
        <f>TEXT(PARTIDA[[#This Row],[PARTIDA]],"0000000000")</f>
        <v>1602200000</v>
      </c>
      <c r="C998" s="16" t="s">
        <v>786</v>
      </c>
      <c r="D998" s="16" t="s">
        <v>787</v>
      </c>
      <c r="E998" s="16" t="s">
        <v>9429</v>
      </c>
      <c r="F998" s="27" t="s">
        <v>10141</v>
      </c>
      <c r="G998" s="27"/>
      <c r="H998" s="16" t="str">
        <f>IF(ISBLANK(PARTIDAS!$G998),PARTIDAS!$F998,CONCATENATE(PARTIDAS!$F998," (",PARTIDAS!$G998,")"))</f>
        <v>Preparaciones de carne, pescado, crustáceos, de hígado de cualquier animal</v>
      </c>
      <c r="I998" s="16" t="s">
        <v>9427</v>
      </c>
    </row>
    <row r="999" spans="1:9" x14ac:dyDescent="0.25">
      <c r="A999" s="16" t="s">
        <v>1932</v>
      </c>
      <c r="B999" s="16" t="str">
        <f>TEXT(PARTIDA[[#This Row],[PARTIDA]],"0000000000")</f>
        <v>1602311000</v>
      </c>
      <c r="C999" s="16" t="s">
        <v>786</v>
      </c>
      <c r="D999" s="16" t="s">
        <v>787</v>
      </c>
      <c r="E999" s="16" t="s">
        <v>9429</v>
      </c>
      <c r="F999" s="27" t="s">
        <v>10142</v>
      </c>
      <c r="G999" s="27"/>
      <c r="H999" s="16" t="str">
        <f>IF(ISBLANK(PARTIDAS!$G999),PARTIDAS!$F999,CONCATENATE(PARTIDAS!$F999," (",PARTIDAS!$G999,")"))</f>
        <v>Preparaciones de carne, pescado, crustáceos, de aves de la partida 01.05, de pavo (gallipavo), en trozos sazonados y congelados</v>
      </c>
      <c r="I999" s="16" t="s">
        <v>9427</v>
      </c>
    </row>
    <row r="1000" spans="1:9" x14ac:dyDescent="0.25">
      <c r="A1000" s="16" t="s">
        <v>1933</v>
      </c>
      <c r="B1000" s="16" t="str">
        <f>TEXT(PARTIDA[[#This Row],[PARTIDA]],"0000000000")</f>
        <v>1602319000</v>
      </c>
      <c r="C1000" s="16" t="s">
        <v>786</v>
      </c>
      <c r="D1000" s="16" t="s">
        <v>787</v>
      </c>
      <c r="E1000" s="16" t="s">
        <v>9429</v>
      </c>
      <c r="F1000" s="27" t="s">
        <v>10143</v>
      </c>
      <c r="G1000" s="27"/>
      <c r="H1000" s="16" t="str">
        <f>IF(ISBLANK(PARTIDAS!$G1000),PARTIDAS!$F1000,CONCATENATE(PARTIDAS!$F1000," (",PARTIDAS!$G1000,")"))</f>
        <v>Preparaciones de carne, pescado, crustáceos, de aves de la partida 01.05, de pavo (gallipavo) (los demás)</v>
      </c>
      <c r="I1000" s="16" t="s">
        <v>9427</v>
      </c>
    </row>
    <row r="1001" spans="1:9" x14ac:dyDescent="0.25">
      <c r="A1001" s="16" t="s">
        <v>1934</v>
      </c>
      <c r="B1001" s="16" t="str">
        <f>TEXT(PARTIDA[[#This Row],[PARTIDA]],"0000000000")</f>
        <v>1602321011</v>
      </c>
      <c r="C1001" s="16" t="s">
        <v>786</v>
      </c>
      <c r="D1001" s="16" t="s">
        <v>787</v>
      </c>
      <c r="E1001" s="16" t="s">
        <v>9429</v>
      </c>
      <c r="F1001" s="27" t="s">
        <v>9510</v>
      </c>
      <c r="G1001" s="27"/>
      <c r="H1001" s="16" t="str">
        <f>IF(ISBLANK(PARTIDAS!$G1001),PARTIDAS!$F1001,CONCATENATE(PARTIDAS!$F1001," (",PARTIDAS!$G1001,")"))</f>
        <v>Cuartos traseros, sin deshuesar</v>
      </c>
      <c r="I1001" s="16" t="s">
        <v>9427</v>
      </c>
    </row>
    <row r="1002" spans="1:9" x14ac:dyDescent="0.25">
      <c r="A1002" s="16" t="s">
        <v>1935</v>
      </c>
      <c r="B1002" s="16" t="str">
        <f>TEXT(PARTIDA[[#This Row],[PARTIDA]],"0000000000")</f>
        <v>1602321012</v>
      </c>
      <c r="C1002" s="16" t="s">
        <v>786</v>
      </c>
      <c r="D1002" s="16" t="s">
        <v>787</v>
      </c>
      <c r="E1002" s="16" t="s">
        <v>9429</v>
      </c>
      <c r="F1002" s="27" t="s">
        <v>9511</v>
      </c>
      <c r="G1002" s="27"/>
      <c r="H1002" s="16" t="str">
        <f>IF(ISBLANK(PARTIDAS!$G1002),PARTIDAS!$F1002,CONCATENATE(PARTIDAS!$F1002," (",PARTIDAS!$G1002,")"))</f>
        <v>Cuartos traseros, deshuesado</v>
      </c>
      <c r="I1002" s="16" t="s">
        <v>9427</v>
      </c>
    </row>
    <row r="1003" spans="1:9" x14ac:dyDescent="0.25">
      <c r="A1003" s="16" t="s">
        <v>1936</v>
      </c>
      <c r="B1003" s="16" t="str">
        <f>TEXT(PARTIDA[[#This Row],[PARTIDA]],"0000000000")</f>
        <v>1602321090</v>
      </c>
      <c r="C1003" s="16" t="s">
        <v>786</v>
      </c>
      <c r="D1003" s="16" t="s">
        <v>787</v>
      </c>
      <c r="E1003" s="16" t="s">
        <v>9429</v>
      </c>
      <c r="F1003" s="27" t="s">
        <v>9361</v>
      </c>
      <c r="G1003" s="27"/>
      <c r="H1003" s="16" t="str">
        <f>IF(ISBLANK(PARTIDAS!$G1003),PARTIDAS!$F1003,CONCATENATE(PARTIDAS!$F1003," (",PARTIDAS!$G1003,")"))</f>
        <v>Preparaciones de carne, pescado, crustáceos, de aves de la partida 01.05, de aves de la especie Gallus domesticus, en trozos sazonados y congelados (l</v>
      </c>
      <c r="I1003" s="16" t="s">
        <v>9477</v>
      </c>
    </row>
    <row r="1004" spans="1:9" x14ac:dyDescent="0.25">
      <c r="A1004" s="16" t="s">
        <v>1937</v>
      </c>
      <c r="B1004" s="16" t="str">
        <f>TEXT(PARTIDA[[#This Row],[PARTIDA]],"0000000000")</f>
        <v>1602329011</v>
      </c>
      <c r="C1004" s="16" t="s">
        <v>786</v>
      </c>
      <c r="D1004" s="16" t="s">
        <v>787</v>
      </c>
      <c r="E1004" s="16" t="s">
        <v>9429</v>
      </c>
      <c r="F1004" s="27" t="s">
        <v>9510</v>
      </c>
      <c r="G1004" s="27"/>
      <c r="H1004" s="16" t="str">
        <f>IF(ISBLANK(PARTIDAS!$G1004),PARTIDAS!$F1004,CONCATENATE(PARTIDAS!$F1004," (",PARTIDAS!$G1004,")"))</f>
        <v>Cuartos traseros, sin deshuesar</v>
      </c>
      <c r="I1004" s="16" t="s">
        <v>9427</v>
      </c>
    </row>
    <row r="1005" spans="1:9" x14ac:dyDescent="0.25">
      <c r="A1005" s="16" t="s">
        <v>1938</v>
      </c>
      <c r="B1005" s="16" t="str">
        <f>TEXT(PARTIDA[[#This Row],[PARTIDA]],"0000000000")</f>
        <v>1602329012</v>
      </c>
      <c r="C1005" s="16" t="s">
        <v>786</v>
      </c>
      <c r="D1005" s="16" t="s">
        <v>787</v>
      </c>
      <c r="E1005" s="16" t="s">
        <v>9429</v>
      </c>
      <c r="F1005" s="27" t="s">
        <v>9511</v>
      </c>
      <c r="G1005" s="27"/>
      <c r="H1005" s="16" t="str">
        <f>IF(ISBLANK(PARTIDAS!$G1005),PARTIDAS!$F1005,CONCATENATE(PARTIDAS!$F1005," (",PARTIDAS!$G1005,")"))</f>
        <v>Cuartos traseros, deshuesado</v>
      </c>
      <c r="I1005" s="16" t="s">
        <v>9427</v>
      </c>
    </row>
    <row r="1006" spans="1:9" x14ac:dyDescent="0.25">
      <c r="A1006" s="16" t="s">
        <v>1939</v>
      </c>
      <c r="B1006" s="16" t="str">
        <f>TEXT(PARTIDA[[#This Row],[PARTIDA]],"0000000000")</f>
        <v>1602329090</v>
      </c>
      <c r="C1006" s="16" t="s">
        <v>786</v>
      </c>
      <c r="D1006" s="16" t="s">
        <v>787</v>
      </c>
      <c r="E1006" s="16" t="s">
        <v>9429</v>
      </c>
      <c r="F1006" s="27" t="s">
        <v>1940</v>
      </c>
      <c r="G1006" s="27"/>
      <c r="H1006" s="16" t="str">
        <f>IF(ISBLANK(PARTIDAS!$G1006),PARTIDAS!$F1006,CONCATENATE(PARTIDAS!$F1006," (",PARTIDAS!$G1006,")"))</f>
        <v>Conservas de pollo</v>
      </c>
      <c r="I1006" s="16" t="s">
        <v>9427</v>
      </c>
    </row>
    <row r="1007" spans="1:9" x14ac:dyDescent="0.25">
      <c r="A1007" s="16" t="s">
        <v>1941</v>
      </c>
      <c r="B1007" s="16" t="str">
        <f>TEXT(PARTIDA[[#This Row],[PARTIDA]],"0000000000")</f>
        <v>1602391000</v>
      </c>
      <c r="C1007" s="16" t="s">
        <v>786</v>
      </c>
      <c r="D1007" s="16" t="s">
        <v>787</v>
      </c>
      <c r="E1007" s="16" t="s">
        <v>9429</v>
      </c>
      <c r="F1007" s="27" t="s">
        <v>10144</v>
      </c>
      <c r="G1007" s="27"/>
      <c r="H1007" s="16" t="str">
        <f>IF(ISBLANK(PARTIDAS!$G1007),PARTIDAS!$F1007,CONCATENATE(PARTIDAS!$F1007," (",PARTIDAS!$G1007,")"))</f>
        <v>Preparaciones de carne, pescado, crustáceos, de aves de la partida 01.05, en trozos sazonados y congelados</v>
      </c>
      <c r="I1007" s="16" t="s">
        <v>9427</v>
      </c>
    </row>
    <row r="1008" spans="1:9" x14ac:dyDescent="0.25">
      <c r="A1008" s="16" t="s">
        <v>1942</v>
      </c>
      <c r="B1008" s="16" t="str">
        <f>TEXT(PARTIDA[[#This Row],[PARTIDA]],"0000000000")</f>
        <v>1602399000</v>
      </c>
      <c r="C1008" s="16" t="s">
        <v>786</v>
      </c>
      <c r="D1008" s="16" t="s">
        <v>787</v>
      </c>
      <c r="E1008" s="16" t="s">
        <v>9429</v>
      </c>
      <c r="F1008" s="27" t="s">
        <v>10145</v>
      </c>
      <c r="G1008" s="27"/>
      <c r="H1008" s="16" t="str">
        <f>IF(ISBLANK(PARTIDAS!$G1008),PARTIDAS!$F1008,CONCATENATE(PARTIDAS!$F1008," (",PARTIDAS!$G1008,")"))</f>
        <v>Preparaciones de carne, pescado, crustáceos, de aves de la partida 01.05 (los demás)</v>
      </c>
      <c r="I1008" s="16" t="s">
        <v>9427</v>
      </c>
    </row>
    <row r="1009" spans="1:9" x14ac:dyDescent="0.25">
      <c r="A1009" s="16" t="s">
        <v>1943</v>
      </c>
      <c r="B1009" s="16" t="str">
        <f>TEXT(PARTIDA[[#This Row],[PARTIDA]],"0000000000")</f>
        <v>1602410000</v>
      </c>
      <c r="C1009" s="16" t="s">
        <v>786</v>
      </c>
      <c r="D1009" s="16" t="s">
        <v>787</v>
      </c>
      <c r="E1009" s="16" t="s">
        <v>9429</v>
      </c>
      <c r="F1009" s="27" t="s">
        <v>10146</v>
      </c>
      <c r="G1009" s="27"/>
      <c r="H1009" s="16" t="str">
        <f>IF(ISBLANK(PARTIDAS!$G1009),PARTIDAS!$F1009,CONCATENATE(PARTIDAS!$F1009," (",PARTIDAS!$G1009,")"))</f>
        <v>Jamones y trozos de jamón</v>
      </c>
      <c r="I1009" s="16" t="s">
        <v>9427</v>
      </c>
    </row>
    <row r="1010" spans="1:9" x14ac:dyDescent="0.25">
      <c r="A1010" s="16" t="s">
        <v>1944</v>
      </c>
      <c r="B1010" s="16" t="str">
        <f>TEXT(PARTIDA[[#This Row],[PARTIDA]],"0000000000")</f>
        <v>1602420000</v>
      </c>
      <c r="C1010" s="16" t="s">
        <v>786</v>
      </c>
      <c r="D1010" s="16" t="s">
        <v>787</v>
      </c>
      <c r="E1010" s="16" t="s">
        <v>9429</v>
      </c>
      <c r="F1010" s="27" t="s">
        <v>10147</v>
      </c>
      <c r="G1010" s="27"/>
      <c r="H1010" s="16" t="str">
        <f>IF(ISBLANK(PARTIDAS!$G1010),PARTIDAS!$F1010,CONCATENATE(PARTIDAS!$F1010," (",PARTIDAS!$G1010,")"))</f>
        <v>Paletas y trozos de paleta</v>
      </c>
      <c r="I1010" s="16" t="s">
        <v>9427</v>
      </c>
    </row>
    <row r="1011" spans="1:9" x14ac:dyDescent="0.25">
      <c r="A1011" s="16" t="s">
        <v>1945</v>
      </c>
      <c r="B1011" s="16" t="str">
        <f>TEXT(PARTIDA[[#This Row],[PARTIDA]],"0000000000")</f>
        <v>1602490000</v>
      </c>
      <c r="C1011" s="16" t="s">
        <v>786</v>
      </c>
      <c r="D1011" s="16" t="s">
        <v>787</v>
      </c>
      <c r="E1011" s="16" t="s">
        <v>9429</v>
      </c>
      <c r="F1011" s="27" t="s">
        <v>10148</v>
      </c>
      <c r="G1011" s="27"/>
      <c r="H1011" s="16" t="str">
        <f>IF(ISBLANK(PARTIDAS!$G1011),PARTIDAS!$F1011,CONCATENATE(PARTIDAS!$F1011," (",PARTIDAS!$G1011,")"))</f>
        <v>Preparaciones de carne, pescado, crustáceos, de la especie porcina (los demás, incluidas las mezclas)</v>
      </c>
      <c r="I1011" s="16" t="s">
        <v>9427</v>
      </c>
    </row>
    <row r="1012" spans="1:9" x14ac:dyDescent="0.25">
      <c r="A1012" s="16" t="s">
        <v>1946</v>
      </c>
      <c r="B1012" s="16" t="str">
        <f>TEXT(PARTIDA[[#This Row],[PARTIDA]],"0000000000")</f>
        <v>1602500000</v>
      </c>
      <c r="C1012" s="16" t="s">
        <v>786</v>
      </c>
      <c r="D1012" s="16" t="s">
        <v>787</v>
      </c>
      <c r="E1012" s="16" t="s">
        <v>9429</v>
      </c>
      <c r="F1012" s="27" t="s">
        <v>9363</v>
      </c>
      <c r="G1012" s="27"/>
      <c r="H1012" s="16" t="str">
        <f>IF(ISBLANK(PARTIDAS!$G1012),PARTIDAS!$F1012,CONCATENATE(PARTIDAS!$F1012," (",PARTIDAS!$G1012,")"))</f>
        <v>Preparaciones de carne, pescado, crustáceos, de la especie bovina</v>
      </c>
      <c r="I1012" s="16" t="s">
        <v>9477</v>
      </c>
    </row>
    <row r="1013" spans="1:9" x14ac:dyDescent="0.25">
      <c r="A1013" s="16" t="s">
        <v>1947</v>
      </c>
      <c r="B1013" s="16" t="str">
        <f>TEXT(PARTIDA[[#This Row],[PARTIDA]],"0000000000")</f>
        <v>1602900000</v>
      </c>
      <c r="C1013" s="16" t="s">
        <v>786</v>
      </c>
      <c r="D1013" s="16" t="s">
        <v>787</v>
      </c>
      <c r="E1013" s="16" t="s">
        <v>9429</v>
      </c>
      <c r="F1013" s="27" t="s">
        <v>10149</v>
      </c>
      <c r="G1013" s="27"/>
      <c r="H1013" s="16" t="str">
        <f>IF(ISBLANK(PARTIDAS!$G1013),PARTIDAS!$F1013,CONCATENATE(PARTIDAS!$F1013," (",PARTIDAS!$G1013,")"))</f>
        <v>Las demás preparaciones y conservas de carne, despojos, sangre o de in (los demás)</v>
      </c>
      <c r="I1013" s="16" t="s">
        <v>9648</v>
      </c>
    </row>
    <row r="1014" spans="1:9" x14ac:dyDescent="0.25">
      <c r="A1014" s="16" t="s">
        <v>10150</v>
      </c>
      <c r="B1014" s="16" t="str">
        <f>TEXT(PARTIDA[[#This Row],[PARTIDA]],"0000000000")</f>
        <v>1602900010</v>
      </c>
      <c r="C1014" s="16" t="s">
        <v>786</v>
      </c>
      <c r="D1014" s="16" t="s">
        <v>787</v>
      </c>
      <c r="E1014" s="16" t="s">
        <v>9429</v>
      </c>
      <c r="F1014" s="27" t="s">
        <v>10133</v>
      </c>
      <c r="G1014" s="27"/>
      <c r="H1014" s="16" t="str">
        <f>IF(ISBLANK(PARTIDAS!$G1014),PARTIDAS!$F1014,CONCATENATE(PARTIDAS!$F1014," (",PARTIDAS!$G1014,")"))</f>
        <v>Preparaciones de carne, pescado, crustáceos, de insectos</v>
      </c>
      <c r="I1014" s="16" t="s">
        <v>9427</v>
      </c>
    </row>
    <row r="1015" spans="1:9" x14ac:dyDescent="0.25">
      <c r="A1015" s="16" t="s">
        <v>10151</v>
      </c>
      <c r="B1015" s="16" t="str">
        <f>TEXT(PARTIDA[[#This Row],[PARTIDA]],"0000000000")</f>
        <v>1602900090</v>
      </c>
      <c r="C1015" s="16" t="s">
        <v>786</v>
      </c>
      <c r="D1015" s="16" t="s">
        <v>787</v>
      </c>
      <c r="E1015" s="16" t="s">
        <v>9429</v>
      </c>
      <c r="F1015" s="27" t="s">
        <v>10135</v>
      </c>
      <c r="G1015" s="27"/>
      <c r="H1015" s="16" t="str">
        <f>IF(ISBLANK(PARTIDAS!$G1015),PARTIDAS!$F1015,CONCATENATE(PARTIDAS!$F1015," (",PARTIDAS!$G1015,")"))</f>
        <v>Preparaciones de carne, pescado, crustáceos (los demás)</v>
      </c>
      <c r="I1015" s="16" t="s">
        <v>9427</v>
      </c>
    </row>
    <row r="1016" spans="1:9" x14ac:dyDescent="0.25">
      <c r="A1016" s="16" t="s">
        <v>1948</v>
      </c>
      <c r="B1016" s="16" t="str">
        <f>TEXT(PARTIDA[[#This Row],[PARTIDA]],"0000000000")</f>
        <v>1603000000</v>
      </c>
      <c r="C1016" s="16" t="s">
        <v>786</v>
      </c>
      <c r="D1016" s="16" t="s">
        <v>787</v>
      </c>
      <c r="E1016" s="16" t="s">
        <v>9429</v>
      </c>
      <c r="F1016" s="27" t="s">
        <v>1949</v>
      </c>
      <c r="G1016" s="27"/>
      <c r="H1016" s="16" t="str">
        <f>IF(ISBLANK(PARTIDAS!$G1016),PARTIDAS!$F1016,CONCATENATE(PARTIDAS!$F1016," (",PARTIDAS!$G1016,")"))</f>
        <v>Extractos y jugos de carne, pescado o de
crustáceos, moluscos o demás invertebrados
acuáticos.</v>
      </c>
      <c r="I1016" s="16" t="s">
        <v>9427</v>
      </c>
    </row>
    <row r="1017" spans="1:9" x14ac:dyDescent="0.25">
      <c r="A1017" s="16" t="s">
        <v>1950</v>
      </c>
      <c r="B1017" s="16" t="str">
        <f>TEXT(PARTIDA[[#This Row],[PARTIDA]],"0000000000")</f>
        <v>1604110000</v>
      </c>
      <c r="C1017" s="16" t="s">
        <v>786</v>
      </c>
      <c r="D1017" s="16" t="s">
        <v>787</v>
      </c>
      <c r="E1017" s="16" t="s">
        <v>9429</v>
      </c>
      <c r="F1017" s="27" t="s">
        <v>10152</v>
      </c>
      <c r="G1017" s="27"/>
      <c r="H1017" s="16" t="str">
        <f>IF(ISBLANK(PARTIDAS!$G1017),PARTIDAS!$F1017,CONCATENATE(PARTIDAS!$F1017," (",PARTIDAS!$G1017,")"))</f>
        <v>Pescado entero o en trozos, salmones</v>
      </c>
      <c r="I1017" s="16" t="s">
        <v>9427</v>
      </c>
    </row>
    <row r="1018" spans="1:9" x14ac:dyDescent="0.25">
      <c r="A1018" s="16" t="s">
        <v>1951</v>
      </c>
      <c r="B1018" s="16" t="str">
        <f>TEXT(PARTIDA[[#This Row],[PARTIDA]],"0000000000")</f>
        <v>1604120000</v>
      </c>
      <c r="C1018" s="16" t="s">
        <v>786</v>
      </c>
      <c r="D1018" s="16" t="s">
        <v>787</v>
      </c>
      <c r="E1018" s="16" t="s">
        <v>9429</v>
      </c>
      <c r="F1018" s="27" t="s">
        <v>10153</v>
      </c>
      <c r="G1018" s="27"/>
      <c r="H1018" s="16" t="str">
        <f>IF(ISBLANK(PARTIDAS!$G1018),PARTIDAS!$F1018,CONCATENATE(PARTIDAS!$F1018," (",PARTIDAS!$G1018,")"))</f>
        <v>Pescado entero o en trozos, arenques</v>
      </c>
      <c r="I1018" s="16" t="s">
        <v>9427</v>
      </c>
    </row>
    <row r="1019" spans="1:9" x14ac:dyDescent="0.25">
      <c r="A1019" s="16" t="s">
        <v>1952</v>
      </c>
      <c r="B1019" s="16" t="str">
        <f>TEXT(PARTIDA[[#This Row],[PARTIDA]],"0000000000")</f>
        <v>1604131010</v>
      </c>
      <c r="C1019" s="16" t="s">
        <v>786</v>
      </c>
      <c r="D1019" s="16" t="s">
        <v>787</v>
      </c>
      <c r="E1019" s="16" t="s">
        <v>9429</v>
      </c>
      <c r="F1019" s="27" t="s">
        <v>10154</v>
      </c>
      <c r="G1019" s="27"/>
      <c r="H1019" s="16" t="str">
        <f>IF(ISBLANK(PARTIDAS!$G1019),PARTIDAS!$F1019,CONCATENATE(PARTIDAS!$F1019," (",PARTIDAS!$G1019,")"))</f>
        <v>Sardinas, sardinelas y espadines, en salsa de tomate, en envase tipo “oval”</v>
      </c>
      <c r="I1019" s="16" t="s">
        <v>9427</v>
      </c>
    </row>
    <row r="1020" spans="1:9" x14ac:dyDescent="0.25">
      <c r="A1020" s="16" t="s">
        <v>1953</v>
      </c>
      <c r="B1020" s="16" t="str">
        <f>TEXT(PARTIDA[[#This Row],[PARTIDA]],"0000000000")</f>
        <v>1604131020</v>
      </c>
      <c r="C1020" s="16" t="s">
        <v>786</v>
      </c>
      <c r="D1020" s="16" t="s">
        <v>787</v>
      </c>
      <c r="E1020" s="16" t="s">
        <v>9429</v>
      </c>
      <c r="F1020" s="27" t="s">
        <v>10155</v>
      </c>
      <c r="G1020" s="27"/>
      <c r="H1020" s="16" t="str">
        <f>IF(ISBLANK(PARTIDAS!$G1020),PARTIDAS!$F1020,CONCATENATE(PARTIDAS!$F1020," (",PARTIDAS!$G1020,")"))</f>
        <v>Sardinas, sardinelas y espadines, en salsa de tomate, en envase tipo “tall”</v>
      </c>
      <c r="I1020" s="16" t="s">
        <v>9427</v>
      </c>
    </row>
    <row r="1021" spans="1:9" x14ac:dyDescent="0.25">
      <c r="A1021" s="16" t="s">
        <v>1954</v>
      </c>
      <c r="B1021" s="16" t="str">
        <f>TEXT(PARTIDA[[#This Row],[PARTIDA]],"0000000000")</f>
        <v>1604131090</v>
      </c>
      <c r="C1021" s="16" t="s">
        <v>786</v>
      </c>
      <c r="D1021" s="16" t="s">
        <v>787</v>
      </c>
      <c r="E1021" s="16" t="s">
        <v>9429</v>
      </c>
      <c r="F1021" s="27" t="s">
        <v>10156</v>
      </c>
      <c r="G1021" s="27"/>
      <c r="H1021" s="16" t="str">
        <f>IF(ISBLANK(PARTIDAS!$G1021),PARTIDAS!$F1021,CONCATENATE(PARTIDAS!$F1021," (",PARTIDAS!$G1021,")"))</f>
        <v>Sardinas, sardinelas y espadines, en salsa de tomate (los demás)</v>
      </c>
      <c r="I1021" s="16" t="s">
        <v>9427</v>
      </c>
    </row>
    <row r="1022" spans="1:9" x14ac:dyDescent="0.25">
      <c r="A1022" s="16" t="s">
        <v>1955</v>
      </c>
      <c r="B1022" s="16" t="str">
        <f>TEXT(PARTIDA[[#This Row],[PARTIDA]],"0000000000")</f>
        <v>1604132000</v>
      </c>
      <c r="C1022" s="16" t="s">
        <v>786</v>
      </c>
      <c r="D1022" s="16" t="s">
        <v>787</v>
      </c>
      <c r="E1022" s="16" t="s">
        <v>9429</v>
      </c>
      <c r="F1022" s="27" t="s">
        <v>10157</v>
      </c>
      <c r="G1022" s="27"/>
      <c r="H1022" s="16" t="str">
        <f>IF(ISBLANK(PARTIDAS!$G1022),PARTIDAS!$F1022,CONCATENATE(PARTIDAS!$F1022," (",PARTIDAS!$G1022,")"))</f>
        <v>Sardinas, sardinelas y espadines, en aceite</v>
      </c>
      <c r="I1022" s="16" t="s">
        <v>9427</v>
      </c>
    </row>
    <row r="1023" spans="1:9" x14ac:dyDescent="0.25">
      <c r="A1023" s="16" t="s">
        <v>1956</v>
      </c>
      <c r="B1023" s="16" t="str">
        <f>TEXT(PARTIDA[[#This Row],[PARTIDA]],"0000000000")</f>
        <v>1604133000</v>
      </c>
      <c r="C1023" s="16" t="s">
        <v>786</v>
      </c>
      <c r="D1023" s="16" t="s">
        <v>787</v>
      </c>
      <c r="E1023" s="16" t="s">
        <v>9429</v>
      </c>
      <c r="F1023" s="27" t="s">
        <v>10158</v>
      </c>
      <c r="G1023" s="27"/>
      <c r="H1023" s="16" t="str">
        <f>IF(ISBLANK(PARTIDAS!$G1023),PARTIDAS!$F1023,CONCATENATE(PARTIDAS!$F1023," (",PARTIDAS!$G1023,")"))</f>
        <v>Sardinas, sardinelas y espadines, en agua y sal</v>
      </c>
      <c r="I1023" s="16" t="s">
        <v>9427</v>
      </c>
    </row>
    <row r="1024" spans="1:9" x14ac:dyDescent="0.25">
      <c r="A1024" s="16" t="s">
        <v>1957</v>
      </c>
      <c r="B1024" s="16" t="str">
        <f>TEXT(PARTIDA[[#This Row],[PARTIDA]],"0000000000")</f>
        <v>1604139000</v>
      </c>
      <c r="C1024" s="16" t="s">
        <v>786</v>
      </c>
      <c r="D1024" s="16" t="s">
        <v>787</v>
      </c>
      <c r="E1024" s="16" t="s">
        <v>9429</v>
      </c>
      <c r="F1024" s="27" t="s">
        <v>10159</v>
      </c>
      <c r="G1024" s="27"/>
      <c r="H1024" s="16" t="str">
        <f>IF(ISBLANK(PARTIDAS!$G1024),PARTIDAS!$F1024,CONCATENATE(PARTIDAS!$F1024," (",PARTIDAS!$G1024,")"))</f>
        <v>Sardinas, sardinelas y espadines (los demás)</v>
      </c>
      <c r="I1024" s="16" t="s">
        <v>9427</v>
      </c>
    </row>
    <row r="1025" spans="1:9" x14ac:dyDescent="0.25">
      <c r="A1025" s="16" t="s">
        <v>1958</v>
      </c>
      <c r="B1025" s="16" t="str">
        <f>TEXT(PARTIDA[[#This Row],[PARTIDA]],"0000000000")</f>
        <v>1604141000</v>
      </c>
      <c r="C1025" s="16" t="s">
        <v>786</v>
      </c>
      <c r="D1025" s="16" t="s">
        <v>787</v>
      </c>
      <c r="E1025" s="16" t="s">
        <v>9429</v>
      </c>
      <c r="F1025" s="27" t="s">
        <v>10160</v>
      </c>
      <c r="G1025" s="27"/>
      <c r="H1025" s="16" t="str">
        <f>IF(ISBLANK(PARTIDAS!$G1025),PARTIDAS!$F1025,CONCATENATE(PARTIDAS!$F1025," (",PARTIDAS!$G1025,")"))</f>
        <v>Atunes, listados y bonitos (Sarda spp.), atunes</v>
      </c>
      <c r="I1025" s="16" t="s">
        <v>9427</v>
      </c>
    </row>
    <row r="1026" spans="1:9" x14ac:dyDescent="0.25">
      <c r="A1026" s="16" t="s">
        <v>1959</v>
      </c>
      <c r="B1026" s="16" t="str">
        <f>TEXT(PARTIDA[[#This Row],[PARTIDA]],"0000000000")</f>
        <v>1604142000</v>
      </c>
      <c r="C1026" s="16" t="s">
        <v>786</v>
      </c>
      <c r="D1026" s="16" t="s">
        <v>787</v>
      </c>
      <c r="E1026" s="16" t="s">
        <v>9429</v>
      </c>
      <c r="F1026" s="27" t="s">
        <v>10161</v>
      </c>
      <c r="G1026" s="27"/>
      <c r="H1026" s="16" t="str">
        <f>IF(ISBLANK(PARTIDAS!$G1026),PARTIDAS!$F1026,CONCATENATE(PARTIDAS!$F1026," (",PARTIDAS!$G1026,")"))</f>
        <v>Listados y bonitos</v>
      </c>
      <c r="I1026" s="16" t="s">
        <v>9427</v>
      </c>
    </row>
    <row r="1027" spans="1:9" x14ac:dyDescent="0.25">
      <c r="A1027" s="16" t="s">
        <v>1960</v>
      </c>
      <c r="B1027" s="16" t="str">
        <f>TEXT(PARTIDA[[#This Row],[PARTIDA]],"0000000000")</f>
        <v>1604150000</v>
      </c>
      <c r="C1027" s="16" t="s">
        <v>786</v>
      </c>
      <c r="D1027" s="16" t="s">
        <v>787</v>
      </c>
      <c r="E1027" s="16" t="s">
        <v>9429</v>
      </c>
      <c r="F1027" s="27" t="s">
        <v>10162</v>
      </c>
      <c r="G1027" s="27"/>
      <c r="H1027" s="16" t="str">
        <f>IF(ISBLANK(PARTIDAS!$G1027),PARTIDAS!$F1027,CONCATENATE(PARTIDAS!$F1027," (",PARTIDAS!$G1027,")"))</f>
        <v>Pescado entero o en trozos, caballas</v>
      </c>
      <c r="I1027" s="16" t="s">
        <v>9427</v>
      </c>
    </row>
    <row r="1028" spans="1:9" x14ac:dyDescent="0.25">
      <c r="A1028" s="16" t="s">
        <v>1961</v>
      </c>
      <c r="B1028" s="16" t="str">
        <f>TEXT(PARTIDA[[#This Row],[PARTIDA]],"0000000000")</f>
        <v>1604160000</v>
      </c>
      <c r="C1028" s="16" t="s">
        <v>786</v>
      </c>
      <c r="D1028" s="16" t="s">
        <v>787</v>
      </c>
      <c r="E1028" s="16" t="s">
        <v>9429</v>
      </c>
      <c r="F1028" s="27" t="s">
        <v>10163</v>
      </c>
      <c r="G1028" s="27"/>
      <c r="H1028" s="16" t="str">
        <f>IF(ISBLANK(PARTIDAS!$G1028),PARTIDAS!$F1028,CONCATENATE(PARTIDAS!$F1028," (",PARTIDAS!$G1028,")"))</f>
        <v>Pescado entero o en trozos, anchoas</v>
      </c>
      <c r="I1028" s="16" t="s">
        <v>9427</v>
      </c>
    </row>
    <row r="1029" spans="1:9" x14ac:dyDescent="0.25">
      <c r="A1029" s="16" t="s">
        <v>1962</v>
      </c>
      <c r="B1029" s="16" t="str">
        <f>TEXT(PARTIDA[[#This Row],[PARTIDA]],"0000000000")</f>
        <v>1604170000</v>
      </c>
      <c r="C1029" s="16" t="s">
        <v>786</v>
      </c>
      <c r="D1029" s="16" t="s">
        <v>787</v>
      </c>
      <c r="E1029" s="16" t="s">
        <v>9429</v>
      </c>
      <c r="F1029" s="27" t="s">
        <v>10164</v>
      </c>
      <c r="G1029" s="27"/>
      <c r="H1029" s="16" t="str">
        <f>IF(ISBLANK(PARTIDAS!$G1029),PARTIDAS!$F1029,CONCATENATE(PARTIDAS!$F1029," (",PARTIDAS!$G1029,")"))</f>
        <v>Pescado entero o en trozos, anguilas</v>
      </c>
      <c r="I1029" s="16" t="s">
        <v>9427</v>
      </c>
    </row>
    <row r="1030" spans="1:9" x14ac:dyDescent="0.25">
      <c r="A1030" s="16" t="s">
        <v>1963</v>
      </c>
      <c r="B1030" s="16" t="str">
        <f>TEXT(PARTIDA[[#This Row],[PARTIDA]],"0000000000")</f>
        <v>1604180000</v>
      </c>
      <c r="C1030" s="16" t="s">
        <v>786</v>
      </c>
      <c r="D1030" s="16" t="s">
        <v>787</v>
      </c>
      <c r="E1030" s="16" t="s">
        <v>9429</v>
      </c>
      <c r="F1030" s="27" t="s">
        <v>9593</v>
      </c>
      <c r="G1030" s="27"/>
      <c r="H1030" s="16" t="str">
        <f>IF(ISBLANK(PARTIDAS!$G1030),PARTIDAS!$F1030,CONCATENATE(PARTIDAS!$F1030," (",PARTIDAS!$G1030,")"))</f>
        <v>Aletas de tiburón</v>
      </c>
      <c r="I1030" s="16" t="s">
        <v>9427</v>
      </c>
    </row>
    <row r="1031" spans="1:9" x14ac:dyDescent="0.25">
      <c r="A1031" s="16" t="s">
        <v>1964</v>
      </c>
      <c r="B1031" s="16" t="str">
        <f>TEXT(PARTIDA[[#This Row],[PARTIDA]],"0000000000")</f>
        <v>1604190000</v>
      </c>
      <c r="C1031" s="16" t="s">
        <v>786</v>
      </c>
      <c r="D1031" s="16" t="s">
        <v>787</v>
      </c>
      <c r="E1031" s="16" t="s">
        <v>9429</v>
      </c>
      <c r="F1031" s="27" t="s">
        <v>10165</v>
      </c>
      <c r="G1031" s="27"/>
      <c r="H1031" s="16" t="str">
        <f>IF(ISBLANK(PARTIDAS!$G1031),PARTIDAS!$F1031,CONCATENATE(PARTIDAS!$F1031," (",PARTIDAS!$G1031,")"))</f>
        <v>Pescado entero o en trozos (los demás)</v>
      </c>
      <c r="I1031" s="16" t="s">
        <v>9427</v>
      </c>
    </row>
    <row r="1032" spans="1:9" x14ac:dyDescent="0.25">
      <c r="A1032" s="16" t="s">
        <v>1965</v>
      </c>
      <c r="B1032" s="16" t="str">
        <f>TEXT(PARTIDA[[#This Row],[PARTIDA]],"0000000000")</f>
        <v>1604200000</v>
      </c>
      <c r="C1032" s="16" t="s">
        <v>786</v>
      </c>
      <c r="D1032" s="16" t="s">
        <v>787</v>
      </c>
      <c r="E1032" s="16" t="s">
        <v>9429</v>
      </c>
      <c r="F1032" s="27" t="s">
        <v>10166</v>
      </c>
      <c r="G1032" s="27"/>
      <c r="H1032" s="16" t="str">
        <f>IF(ISBLANK(PARTIDAS!$G1032),PARTIDAS!$F1032,CONCATENATE(PARTIDAS!$F1032," (",PARTIDAS!$G1032,")"))</f>
        <v>Preparaciones y conservas de pescado (los demás, preparaciones y conservas de pescado)</v>
      </c>
      <c r="I1032" s="16" t="s">
        <v>9427</v>
      </c>
    </row>
    <row r="1033" spans="1:9" x14ac:dyDescent="0.25">
      <c r="A1033" s="16" t="s">
        <v>1966</v>
      </c>
      <c r="B1033" s="16" t="str">
        <f>TEXT(PARTIDA[[#This Row],[PARTIDA]],"0000000000")</f>
        <v>1604310000</v>
      </c>
      <c r="C1033" s="16" t="s">
        <v>786</v>
      </c>
      <c r="D1033" s="16" t="s">
        <v>787</v>
      </c>
      <c r="E1033" s="16" t="s">
        <v>9429</v>
      </c>
      <c r="F1033" s="27" t="s">
        <v>10167</v>
      </c>
      <c r="G1033" s="27"/>
      <c r="H1033" s="16" t="str">
        <f>IF(ISBLANK(PARTIDAS!$G1033),PARTIDAS!$F1033,CONCATENATE(PARTIDAS!$F1033," (",PARTIDAS!$G1033,")"))</f>
        <v>Caviar y sus sucedáneos, caviar</v>
      </c>
      <c r="I1033" s="16" t="s">
        <v>9427</v>
      </c>
    </row>
    <row r="1034" spans="1:9" x14ac:dyDescent="0.25">
      <c r="A1034" s="16" t="s">
        <v>1967</v>
      </c>
      <c r="B1034" s="16" t="str">
        <f>TEXT(PARTIDA[[#This Row],[PARTIDA]],"0000000000")</f>
        <v>1604320000</v>
      </c>
      <c r="C1034" s="16" t="s">
        <v>786</v>
      </c>
      <c r="D1034" s="16" t="s">
        <v>787</v>
      </c>
      <c r="E1034" s="16" t="s">
        <v>9429</v>
      </c>
      <c r="F1034" s="27" t="s">
        <v>10168</v>
      </c>
      <c r="G1034" s="27"/>
      <c r="H1034" s="16" t="str">
        <f>IF(ISBLANK(PARTIDAS!$G1034),PARTIDAS!$F1034,CONCATENATE(PARTIDAS!$F1034," (",PARTIDAS!$G1034,")"))</f>
        <v>Sucedáneos del caviar</v>
      </c>
      <c r="I1034" s="16" t="s">
        <v>9427</v>
      </c>
    </row>
    <row r="1035" spans="1:9" x14ac:dyDescent="0.25">
      <c r="A1035" s="16" t="s">
        <v>1968</v>
      </c>
      <c r="B1035" s="16" t="str">
        <f>TEXT(PARTIDA[[#This Row],[PARTIDA]],"0000000000")</f>
        <v>1605100000</v>
      </c>
      <c r="C1035" s="16" t="s">
        <v>786</v>
      </c>
      <c r="D1035" s="16" t="s">
        <v>787</v>
      </c>
      <c r="E1035" s="16" t="s">
        <v>9429</v>
      </c>
      <c r="F1035" s="27" t="s">
        <v>9643</v>
      </c>
      <c r="G1035" s="27"/>
      <c r="H1035" s="16" t="str">
        <f>IF(ISBLANK(PARTIDAS!$G1035),PARTIDAS!$F1035,CONCATENATE(PARTIDAS!$F1035," (",PARTIDAS!$G1035,")"))</f>
        <v>Cangrejos (excepto macruros)</v>
      </c>
      <c r="I1035" s="16" t="s">
        <v>9427</v>
      </c>
    </row>
    <row r="1036" spans="1:9" x14ac:dyDescent="0.25">
      <c r="A1036" s="16" t="s">
        <v>1969</v>
      </c>
      <c r="B1036" s="16" t="str">
        <f>TEXT(PARTIDA[[#This Row],[PARTIDA]],"0000000000")</f>
        <v>1605210000</v>
      </c>
      <c r="C1036" s="16" t="s">
        <v>786</v>
      </c>
      <c r="D1036" s="16" t="s">
        <v>787</v>
      </c>
      <c r="E1036" s="16" t="s">
        <v>9429</v>
      </c>
      <c r="F1036" s="27" t="s">
        <v>10169</v>
      </c>
      <c r="G1036" s="27"/>
      <c r="H1036" s="16" t="str">
        <f>IF(ISBLANK(PARTIDAS!$G1036),PARTIDAS!$F1036,CONCATENATE(PARTIDAS!$F1036," (",PARTIDAS!$G1036,")"))</f>
        <v>Camarones, langostinos y demás decápodos Natantia, presentados en envases no herméticos</v>
      </c>
      <c r="I1036" s="16" t="s">
        <v>9427</v>
      </c>
    </row>
    <row r="1037" spans="1:9" x14ac:dyDescent="0.25">
      <c r="A1037" s="16" t="s">
        <v>1970</v>
      </c>
      <c r="B1037" s="16" t="str">
        <f>TEXT(PARTIDA[[#This Row],[PARTIDA]],"0000000000")</f>
        <v>1605290000</v>
      </c>
      <c r="C1037" s="16" t="s">
        <v>786</v>
      </c>
      <c r="D1037" s="16" t="s">
        <v>787</v>
      </c>
      <c r="E1037" s="16" t="s">
        <v>9429</v>
      </c>
      <c r="F1037" s="27" t="s">
        <v>9644</v>
      </c>
      <c r="G1037" s="27"/>
      <c r="H1037" s="16" t="str">
        <f>IF(ISBLANK(PARTIDAS!$G1037),PARTIDAS!$F1037,CONCATENATE(PARTIDAS!$F1037," (",PARTIDAS!$G1037,")"))</f>
        <v>Camarones, langostinos y demás decápodos Natantia (los demás)</v>
      </c>
      <c r="I1037" s="16" t="s">
        <v>9427</v>
      </c>
    </row>
    <row r="1038" spans="1:9" x14ac:dyDescent="0.25">
      <c r="A1038" s="16" t="s">
        <v>1971</v>
      </c>
      <c r="B1038" s="16" t="str">
        <f>TEXT(PARTIDA[[#This Row],[PARTIDA]],"0000000000")</f>
        <v>1605300000</v>
      </c>
      <c r="C1038" s="16" t="s">
        <v>786</v>
      </c>
      <c r="D1038" s="16" t="s">
        <v>787</v>
      </c>
      <c r="E1038" s="16" t="s">
        <v>9429</v>
      </c>
      <c r="F1038" s="27" t="s">
        <v>10170</v>
      </c>
      <c r="G1038" s="27"/>
      <c r="H1038" s="16" t="str">
        <f>IF(ISBLANK(PARTIDAS!$G1038),PARTIDAS!$F1038,CONCATENATE(PARTIDAS!$F1038," (",PARTIDAS!$G1038,")"))</f>
        <v>Bogavantes</v>
      </c>
      <c r="I1038" s="16" t="s">
        <v>9427</v>
      </c>
    </row>
    <row r="1039" spans="1:9" x14ac:dyDescent="0.25">
      <c r="A1039" s="16" t="s">
        <v>1972</v>
      </c>
      <c r="B1039" s="16" t="str">
        <f>TEXT(PARTIDA[[#This Row],[PARTIDA]],"0000000000")</f>
        <v>1605400000</v>
      </c>
      <c r="C1039" s="16" t="s">
        <v>786</v>
      </c>
      <c r="D1039" s="16" t="s">
        <v>787</v>
      </c>
      <c r="E1039" s="16" t="s">
        <v>9429</v>
      </c>
      <c r="F1039" s="27" t="s">
        <v>10171</v>
      </c>
      <c r="G1039" s="27"/>
      <c r="H1039" s="16" t="str">
        <f>IF(ISBLANK(PARTIDAS!$G1039),PARTIDAS!$F1039,CONCATENATE(PARTIDAS!$F1039," (",PARTIDAS!$G1039,")"))</f>
        <v>Crustáceos, moluscos y demás invertebrados acuáticos, preparados o… (los demás, crustáceos)</v>
      </c>
      <c r="I1039" s="16" t="s">
        <v>9427</v>
      </c>
    </row>
    <row r="1040" spans="1:9" x14ac:dyDescent="0.25">
      <c r="A1040" s="16" t="s">
        <v>1973</v>
      </c>
      <c r="B1040" s="16" t="str">
        <f>TEXT(PARTIDA[[#This Row],[PARTIDA]],"0000000000")</f>
        <v>1605510000</v>
      </c>
      <c r="C1040" s="16" t="s">
        <v>786</v>
      </c>
      <c r="D1040" s="16" t="s">
        <v>787</v>
      </c>
      <c r="E1040" s="16" t="s">
        <v>9429</v>
      </c>
      <c r="F1040" s="27" t="s">
        <v>10172</v>
      </c>
      <c r="G1040" s="27"/>
      <c r="H1040" s="16" t="str">
        <f>IF(ISBLANK(PARTIDAS!$G1040),PARTIDAS!$F1040,CONCATENATE(PARTIDAS!$F1040," (",PARTIDAS!$G1040,")"))</f>
        <v>Moluscos, ostras</v>
      </c>
      <c r="I1040" s="16" t="s">
        <v>9427</v>
      </c>
    </row>
    <row r="1041" spans="1:9" x14ac:dyDescent="0.25">
      <c r="A1041" s="16" t="s">
        <v>1974</v>
      </c>
      <c r="B1041" s="16" t="str">
        <f>TEXT(PARTIDA[[#This Row],[PARTIDA]],"0000000000")</f>
        <v>1605520000</v>
      </c>
      <c r="C1041" s="16" t="s">
        <v>786</v>
      </c>
      <c r="D1041" s="16" t="s">
        <v>787</v>
      </c>
      <c r="E1041" s="16" t="s">
        <v>9429</v>
      </c>
      <c r="F1041" s="27" t="s">
        <v>10173</v>
      </c>
      <c r="G1041" s="27"/>
      <c r="H1041" s="16" t="str">
        <f>IF(ISBLANK(PARTIDAS!$G1041),PARTIDAS!$F1041,CONCATENATE(PARTIDAS!$F1041," (",PARTIDAS!$G1041,")"))</f>
        <v>Vieiras, volandeiras y demás moluscos</v>
      </c>
      <c r="I1041" s="16" t="s">
        <v>9427</v>
      </c>
    </row>
    <row r="1042" spans="1:9" x14ac:dyDescent="0.25">
      <c r="A1042" s="16" t="s">
        <v>1975</v>
      </c>
      <c r="B1042" s="16" t="str">
        <f>TEXT(PARTIDA[[#This Row],[PARTIDA]],"0000000000")</f>
        <v>1605530000</v>
      </c>
      <c r="C1042" s="16" t="s">
        <v>786</v>
      </c>
      <c r="D1042" s="16" t="s">
        <v>787</v>
      </c>
      <c r="E1042" s="16" t="s">
        <v>9429</v>
      </c>
      <c r="F1042" s="27" t="s">
        <v>10174</v>
      </c>
      <c r="G1042" s="27"/>
      <c r="H1042" s="16" t="str">
        <f>IF(ISBLANK(PARTIDAS!$G1042),PARTIDAS!$F1042,CONCATENATE(PARTIDAS!$F1042," (",PARTIDAS!$G1042,")"))</f>
        <v>Moluscos, mejillones</v>
      </c>
      <c r="I1042" s="16" t="s">
        <v>9427</v>
      </c>
    </row>
    <row r="1043" spans="1:9" x14ac:dyDescent="0.25">
      <c r="A1043" s="16" t="s">
        <v>1976</v>
      </c>
      <c r="B1043" s="16" t="str">
        <f>TEXT(PARTIDA[[#This Row],[PARTIDA]],"0000000000")</f>
        <v>1605540000</v>
      </c>
      <c r="C1043" s="16" t="s">
        <v>786</v>
      </c>
      <c r="D1043" s="16" t="s">
        <v>787</v>
      </c>
      <c r="E1043" s="16" t="s">
        <v>9429</v>
      </c>
      <c r="F1043" s="27" t="s">
        <v>10175</v>
      </c>
      <c r="G1043" s="27"/>
      <c r="H1043" s="16" t="str">
        <f>IF(ISBLANK(PARTIDAS!$G1043),PARTIDAS!$F1043,CONCATENATE(PARTIDAS!$F1043," (",PARTIDAS!$G1043,")"))</f>
        <v>Jibias (sepias), globitos, calamares y potas</v>
      </c>
      <c r="I1043" s="16" t="s">
        <v>9427</v>
      </c>
    </row>
    <row r="1044" spans="1:9" x14ac:dyDescent="0.25">
      <c r="A1044" s="16" t="s">
        <v>1977</v>
      </c>
      <c r="B1044" s="16" t="str">
        <f>TEXT(PARTIDA[[#This Row],[PARTIDA]],"0000000000")</f>
        <v>1605550000</v>
      </c>
      <c r="C1044" s="16" t="s">
        <v>786</v>
      </c>
      <c r="D1044" s="16" t="s">
        <v>787</v>
      </c>
      <c r="E1044" s="16" t="s">
        <v>9429</v>
      </c>
      <c r="F1044" s="27" t="s">
        <v>10176</v>
      </c>
      <c r="G1044" s="27"/>
      <c r="H1044" s="16" t="str">
        <f>IF(ISBLANK(PARTIDAS!$G1044),PARTIDAS!$F1044,CONCATENATE(PARTIDAS!$F1044," (",PARTIDAS!$G1044,")"))</f>
        <v>Moluscos, pulpos</v>
      </c>
      <c r="I1044" s="16" t="s">
        <v>9427</v>
      </c>
    </row>
    <row r="1045" spans="1:9" x14ac:dyDescent="0.25">
      <c r="A1045" s="16" t="s">
        <v>1978</v>
      </c>
      <c r="B1045" s="16" t="str">
        <f>TEXT(PARTIDA[[#This Row],[PARTIDA]],"0000000000")</f>
        <v>1605560000</v>
      </c>
      <c r="C1045" s="16" t="s">
        <v>786</v>
      </c>
      <c r="D1045" s="16" t="s">
        <v>787</v>
      </c>
      <c r="E1045" s="16" t="s">
        <v>9429</v>
      </c>
      <c r="F1045" s="27" t="s">
        <v>10177</v>
      </c>
      <c r="G1045" s="27"/>
      <c r="H1045" s="16" t="str">
        <f>IF(ISBLANK(PARTIDAS!$G1045),PARTIDAS!$F1045,CONCATENATE(PARTIDAS!$F1045," (",PARTIDAS!$G1045,")"))</f>
        <v>Almejas, berberechos y arcas</v>
      </c>
      <c r="I1045" s="16" t="s">
        <v>9427</v>
      </c>
    </row>
    <row r="1046" spans="1:9" x14ac:dyDescent="0.25">
      <c r="A1046" s="16" t="s">
        <v>1979</v>
      </c>
      <c r="B1046" s="16" t="str">
        <f>TEXT(PARTIDA[[#This Row],[PARTIDA]],"0000000000")</f>
        <v>1605570000</v>
      </c>
      <c r="C1046" s="16" t="s">
        <v>786</v>
      </c>
      <c r="D1046" s="16" t="s">
        <v>787</v>
      </c>
      <c r="E1046" s="16" t="s">
        <v>9429</v>
      </c>
      <c r="F1046" s="27" t="s">
        <v>10178</v>
      </c>
      <c r="G1046" s="27"/>
      <c r="H1046" s="16" t="str">
        <f>IF(ISBLANK(PARTIDAS!$G1046),PARTIDAS!$F1046,CONCATENATE(PARTIDAS!$F1046," (",PARTIDAS!$G1046,")"))</f>
        <v>Abulones u orejas de mar</v>
      </c>
      <c r="I1046" s="16" t="s">
        <v>9427</v>
      </c>
    </row>
    <row r="1047" spans="1:9" x14ac:dyDescent="0.25">
      <c r="A1047" s="16" t="s">
        <v>1980</v>
      </c>
      <c r="B1047" s="16" t="str">
        <f>TEXT(PARTIDA[[#This Row],[PARTIDA]],"0000000000")</f>
        <v>1605580000</v>
      </c>
      <c r="C1047" s="16" t="s">
        <v>786</v>
      </c>
      <c r="D1047" s="16" t="s">
        <v>787</v>
      </c>
      <c r="E1047" s="16" t="s">
        <v>9429</v>
      </c>
      <c r="F1047" s="27" t="s">
        <v>9667</v>
      </c>
      <c r="G1047" s="27"/>
      <c r="H1047" s="16" t="str">
        <f>IF(ISBLANK(PARTIDAS!$G1047),PARTIDAS!$F1047,CONCATENATE(PARTIDAS!$F1047," (",PARTIDAS!$G1047,")"))</f>
        <v>Caracoles, excepto los de mar</v>
      </c>
      <c r="I1047" s="16" t="s">
        <v>9427</v>
      </c>
    </row>
    <row r="1048" spans="1:9" x14ac:dyDescent="0.25">
      <c r="A1048" s="16" t="s">
        <v>1981</v>
      </c>
      <c r="B1048" s="16" t="str">
        <f>TEXT(PARTIDA[[#This Row],[PARTIDA]],"0000000000")</f>
        <v>1605591000</v>
      </c>
      <c r="C1048" s="16" t="s">
        <v>786</v>
      </c>
      <c r="D1048" s="16" t="s">
        <v>787</v>
      </c>
      <c r="E1048" s="16" t="s">
        <v>9429</v>
      </c>
      <c r="F1048" s="27" t="s">
        <v>10179</v>
      </c>
      <c r="G1048" s="27"/>
      <c r="H1048" s="16" t="str">
        <f>IF(ISBLANK(PARTIDAS!$G1048),PARTIDAS!$F1048,CONCATENATE(PARTIDAS!$F1048," (",PARTIDAS!$G1048,")"))</f>
        <v>Locos (chanque, caracoles de mar) (Concholepas concholepas) y machas</v>
      </c>
      <c r="I1048" s="16" t="s">
        <v>9427</v>
      </c>
    </row>
    <row r="1049" spans="1:9" x14ac:dyDescent="0.25">
      <c r="A1049" s="16" t="s">
        <v>1982</v>
      </c>
      <c r="B1049" s="16" t="str">
        <f>TEXT(PARTIDA[[#This Row],[PARTIDA]],"0000000000")</f>
        <v>1605599000</v>
      </c>
      <c r="C1049" s="16" t="s">
        <v>786</v>
      </c>
      <c r="D1049" s="16" t="s">
        <v>787</v>
      </c>
      <c r="E1049" s="16" t="s">
        <v>9429</v>
      </c>
      <c r="F1049" s="27" t="s">
        <v>10180</v>
      </c>
      <c r="G1049" s="27"/>
      <c r="H1049" s="16" t="str">
        <f>IF(ISBLANK(PARTIDAS!$G1049),PARTIDAS!$F1049,CONCATENATE(PARTIDAS!$F1049," (",PARTIDAS!$G1049,")"))</f>
        <v>Moluscos (los demás)</v>
      </c>
      <c r="I1049" s="16" t="s">
        <v>9427</v>
      </c>
    </row>
    <row r="1050" spans="1:9" x14ac:dyDescent="0.25">
      <c r="A1050" s="16" t="s">
        <v>1983</v>
      </c>
      <c r="B1050" s="16" t="str">
        <f>TEXT(PARTIDA[[#This Row],[PARTIDA]],"0000000000")</f>
        <v>1605610000</v>
      </c>
      <c r="C1050" s="16" t="s">
        <v>786</v>
      </c>
      <c r="D1050" s="16" t="s">
        <v>787</v>
      </c>
      <c r="E1050" s="16" t="s">
        <v>9429</v>
      </c>
      <c r="F1050" s="27" t="s">
        <v>10181</v>
      </c>
      <c r="G1050" s="27"/>
      <c r="H1050" s="16" t="str">
        <f>IF(ISBLANK(PARTIDAS!$G1050),PARTIDAS!$F1050,CONCATENATE(PARTIDAS!$F1050," (",PARTIDAS!$G1050,")"))</f>
        <v>Pepinos de mar</v>
      </c>
      <c r="I1050" s="16" t="s">
        <v>9427</v>
      </c>
    </row>
    <row r="1051" spans="1:9" x14ac:dyDescent="0.25">
      <c r="A1051" s="16" t="s">
        <v>1984</v>
      </c>
      <c r="B1051" s="16" t="str">
        <f>TEXT(PARTIDA[[#This Row],[PARTIDA]],"0000000000")</f>
        <v>1605620000</v>
      </c>
      <c r="C1051" s="16" t="s">
        <v>786</v>
      </c>
      <c r="D1051" s="16" t="s">
        <v>787</v>
      </c>
      <c r="E1051" s="16" t="s">
        <v>9429</v>
      </c>
      <c r="F1051" s="27" t="s">
        <v>10182</v>
      </c>
      <c r="G1051" s="27"/>
      <c r="H1051" s="16" t="str">
        <f>IF(ISBLANK(PARTIDAS!$G1051),PARTIDAS!$F1051,CONCATENATE(PARTIDAS!$F1051," (",PARTIDAS!$G1051,")"))</f>
        <v>Erizos de mar</v>
      </c>
      <c r="I1051" s="16" t="s">
        <v>9427</v>
      </c>
    </row>
    <row r="1052" spans="1:9" x14ac:dyDescent="0.25">
      <c r="A1052" s="16" t="s">
        <v>1985</v>
      </c>
      <c r="B1052" s="16" t="str">
        <f>TEXT(PARTIDA[[#This Row],[PARTIDA]],"0000000000")</f>
        <v>1605630000</v>
      </c>
      <c r="C1052" s="16" t="s">
        <v>786</v>
      </c>
      <c r="D1052" s="16" t="s">
        <v>787</v>
      </c>
      <c r="E1052" s="16" t="s">
        <v>9429</v>
      </c>
      <c r="F1052" s="27" t="s">
        <v>10183</v>
      </c>
      <c r="G1052" s="27"/>
      <c r="H1052" s="16" t="str">
        <f>IF(ISBLANK(PARTIDAS!$G1052),PARTIDAS!$F1052,CONCATENATE(PARTIDAS!$F1052," (",PARTIDAS!$G1052,")"))</f>
        <v>Crustáceos, moluscos y demás invertebrados acuáticos, preparados o…, medusas</v>
      </c>
      <c r="I1052" s="16" t="s">
        <v>9427</v>
      </c>
    </row>
    <row r="1053" spans="1:9" x14ac:dyDescent="0.25">
      <c r="A1053" s="16" t="s">
        <v>1986</v>
      </c>
      <c r="B1053" s="16" t="str">
        <f>TEXT(PARTIDA[[#This Row],[PARTIDA]],"0000000000")</f>
        <v>1605690000</v>
      </c>
      <c r="C1053" s="16" t="s">
        <v>786</v>
      </c>
      <c r="D1053" s="16" t="s">
        <v>787</v>
      </c>
      <c r="E1053" s="16" t="s">
        <v>9429</v>
      </c>
      <c r="F1053" s="27" t="s">
        <v>10184</v>
      </c>
      <c r="G1053" s="27"/>
      <c r="H1053" s="16" t="str">
        <f>IF(ISBLANK(PARTIDAS!$G1053),PARTIDAS!$F1053,CONCATENATE(PARTIDAS!$F1053," (",PARTIDAS!$G1053,")"))</f>
        <v>Crustáceos, moluscos y demás invertebrados acuáticos, preparados o… (los demás)</v>
      </c>
      <c r="I1053" s="16" t="s">
        <v>9427</v>
      </c>
    </row>
    <row r="1054" spans="1:9" x14ac:dyDescent="0.25">
      <c r="A1054" s="16" t="s">
        <v>1987</v>
      </c>
      <c r="B1054" s="16" t="str">
        <f>TEXT(PARTIDA[[#This Row],[PARTIDA]],"0000000000")</f>
        <v>1701120000</v>
      </c>
      <c r="C1054" s="16" t="s">
        <v>786</v>
      </c>
      <c r="D1054" s="16" t="s">
        <v>787</v>
      </c>
      <c r="E1054" s="16" t="s">
        <v>9429</v>
      </c>
      <c r="F1054" s="27" t="s">
        <v>10185</v>
      </c>
      <c r="G1054" s="27"/>
      <c r="H1054" s="16" t="str">
        <f>IF(ISBLANK(PARTIDAS!$G1054),PARTIDAS!$F1054,CONCATENATE(PARTIDAS!$F1054," (",PARTIDAS!$G1054,")"))</f>
        <v>Azúcar en bruto sin adición de aromatizante ni colorante, de remolacha</v>
      </c>
      <c r="I1054" s="16" t="s">
        <v>9427</v>
      </c>
    </row>
    <row r="1055" spans="1:9" x14ac:dyDescent="0.25">
      <c r="A1055" s="16" t="s">
        <v>1988</v>
      </c>
      <c r="B1055" s="16" t="str">
        <f>TEXT(PARTIDA[[#This Row],[PARTIDA]],"0000000000")</f>
        <v>1701130000</v>
      </c>
      <c r="C1055" s="16" t="s">
        <v>786</v>
      </c>
      <c r="D1055" s="16" t="s">
        <v>787</v>
      </c>
      <c r="E1055" s="16" t="s">
        <v>9429</v>
      </c>
      <c r="F1055" s="27" t="s">
        <v>1989</v>
      </c>
      <c r="G1055" s="27"/>
      <c r="H1055" s="16" t="str">
        <f>IF(ISBLANK(PARTIDAS!$G1055),PARTIDAS!$F1055,CONCATENATE(PARTIDAS!$F1055," (",PARTIDAS!$G1055,")"))</f>
        <v>Panela granulada</v>
      </c>
      <c r="I1055" s="16" t="s">
        <v>9427</v>
      </c>
    </row>
    <row r="1056" spans="1:9" x14ac:dyDescent="0.25">
      <c r="A1056" s="16" t="s">
        <v>1990</v>
      </c>
      <c r="B1056" s="16" t="str">
        <f>TEXT(PARTIDA[[#This Row],[PARTIDA]],"0000000000")</f>
        <v>1701140000</v>
      </c>
      <c r="C1056" s="16" t="s">
        <v>815</v>
      </c>
      <c r="D1056" s="16" t="s">
        <v>835</v>
      </c>
      <c r="E1056" s="16" t="s">
        <v>1870</v>
      </c>
      <c r="F1056" s="27" t="s">
        <v>1991</v>
      </c>
      <c r="G1056" s="27"/>
      <c r="H1056" s="16" t="str">
        <f>IF(ISBLANK(PARTIDAS!$G1056),PARTIDAS!$F1056,CONCATENATE(PARTIDAS!$F1056," (",PARTIDAS!$G1056,")"))</f>
        <v>Azúcar de caña</v>
      </c>
      <c r="I1056" s="16" t="s">
        <v>9559</v>
      </c>
    </row>
    <row r="1057" spans="1:9" x14ac:dyDescent="0.25">
      <c r="A1057" s="16" t="s">
        <v>1992</v>
      </c>
      <c r="B1057" s="16" t="str">
        <f>TEXT(PARTIDA[[#This Row],[PARTIDA]],"0000000000")</f>
        <v>1701910000</v>
      </c>
      <c r="C1057" s="16" t="s">
        <v>815</v>
      </c>
      <c r="D1057" s="16" t="s">
        <v>835</v>
      </c>
      <c r="E1057" s="16" t="s">
        <v>1870</v>
      </c>
      <c r="F1057" s="27" t="s">
        <v>10186</v>
      </c>
      <c r="G1057" s="27"/>
      <c r="H1057" s="16" t="str">
        <f>IF(ISBLANK(PARTIDAS!$G1057),PARTIDAS!$F1057,CONCATENATE(PARTIDAS!$F1057," (",PARTIDAS!$G1057,")"))</f>
        <v>Azúcar de caña o de remolacha y sacarosa químicamente pura, en estado…, con adición de aromatizante o colorante</v>
      </c>
      <c r="I1057" s="16" t="s">
        <v>9559</v>
      </c>
    </row>
    <row r="1058" spans="1:9" x14ac:dyDescent="0.25">
      <c r="A1058" s="16" t="s">
        <v>1993</v>
      </c>
      <c r="B1058" s="16" t="str">
        <f>TEXT(PARTIDA[[#This Row],[PARTIDA]],"0000000000")</f>
        <v>1701991000</v>
      </c>
      <c r="C1058" s="16" t="s">
        <v>815</v>
      </c>
      <c r="D1058" s="16" t="s">
        <v>835</v>
      </c>
      <c r="E1058" s="16" t="s">
        <v>1870</v>
      </c>
      <c r="F1058" s="27" t="s">
        <v>10187</v>
      </c>
      <c r="G1058" s="27"/>
      <c r="H1058" s="16" t="str">
        <f>IF(ISBLANK(PARTIDAS!$G1058),PARTIDAS!$F1058,CONCATENATE(PARTIDAS!$F1058," (",PARTIDAS!$G1058,")"))</f>
        <v>Sacarosa químicamente pura</v>
      </c>
      <c r="I1058" s="16" t="s">
        <v>9559</v>
      </c>
    </row>
    <row r="1059" spans="1:9" x14ac:dyDescent="0.25">
      <c r="A1059" s="16" t="s">
        <v>28</v>
      </c>
      <c r="B1059" s="16" t="str">
        <f>TEXT(PARTIDA[[#This Row],[PARTIDA]],"0000000000")</f>
        <v>1701999000</v>
      </c>
      <c r="C1059" s="16" t="s">
        <v>815</v>
      </c>
      <c r="D1059" s="16" t="s">
        <v>835</v>
      </c>
      <c r="E1059" s="16" t="s">
        <v>1870</v>
      </c>
      <c r="F1059" s="27" t="s">
        <v>1991</v>
      </c>
      <c r="G1059" s="27"/>
      <c r="H1059" s="16" t="str">
        <f>IF(ISBLANK(PARTIDAS!$G1059),PARTIDAS!$F1059,CONCATENATE(PARTIDAS!$F1059," (",PARTIDAS!$G1059,")"))</f>
        <v>Azúcar de caña</v>
      </c>
      <c r="I1059" s="16" t="s">
        <v>9559</v>
      </c>
    </row>
    <row r="1060" spans="1:9" x14ac:dyDescent="0.25">
      <c r="A1060" s="16" t="s">
        <v>1994</v>
      </c>
      <c r="B1060" s="16" t="str">
        <f>TEXT(PARTIDA[[#This Row],[PARTIDA]],"0000000000")</f>
        <v>1702110000</v>
      </c>
      <c r="C1060" s="16" t="s">
        <v>815</v>
      </c>
      <c r="D1060" s="16" t="s">
        <v>835</v>
      </c>
      <c r="E1060" s="16" t="s">
        <v>1870</v>
      </c>
      <c r="F1060" s="27" t="s">
        <v>10188</v>
      </c>
      <c r="G1060" s="27"/>
      <c r="H1060" s="16" t="str">
        <f>IF(ISBLANK(PARTIDAS!$G1060),PARTIDAS!$F1060,CONCATENATE(PARTIDAS!$F1060," (",PARTIDAS!$G1060,")"))</f>
        <v>Lactosa y jarabe de lactosa, con un contenido de lactosa superior o igual al 99 % en peso, expresado en lactosa anhidra, calculado sobre producto seco</v>
      </c>
      <c r="I1060" s="16" t="s">
        <v>9427</v>
      </c>
    </row>
    <row r="1061" spans="1:9" x14ac:dyDescent="0.25">
      <c r="A1061" s="16" t="s">
        <v>1995</v>
      </c>
      <c r="B1061" s="16" t="str">
        <f>TEXT(PARTIDA[[#This Row],[PARTIDA]],"0000000000")</f>
        <v>1702191000</v>
      </c>
      <c r="C1061" s="16" t="s">
        <v>815</v>
      </c>
      <c r="D1061" s="16" t="s">
        <v>835</v>
      </c>
      <c r="E1061" s="16" t="s">
        <v>1870</v>
      </c>
      <c r="F1061" s="27" t="s">
        <v>10189</v>
      </c>
      <c r="G1061" s="27"/>
      <c r="H1061" s="16" t="str">
        <f>IF(ISBLANK(PARTIDAS!$G1061),PARTIDAS!$F1061,CONCATENATE(PARTIDAS!$F1061," (",PARTIDAS!$G1061,")"))</f>
        <v>Lactosa y jarabe de lactosa, lactosa</v>
      </c>
      <c r="I1061" s="16" t="s">
        <v>9427</v>
      </c>
    </row>
    <row r="1062" spans="1:9" x14ac:dyDescent="0.25">
      <c r="A1062" s="16" t="s">
        <v>1996</v>
      </c>
      <c r="B1062" s="16" t="str">
        <f>TEXT(PARTIDA[[#This Row],[PARTIDA]],"0000000000")</f>
        <v>1702192000</v>
      </c>
      <c r="C1062" s="16" t="s">
        <v>815</v>
      </c>
      <c r="D1062" s="16" t="s">
        <v>835</v>
      </c>
      <c r="E1062" s="16" t="s">
        <v>1870</v>
      </c>
      <c r="F1062" s="27" t="s">
        <v>10190</v>
      </c>
      <c r="G1062" s="27"/>
      <c r="H1062" s="16" t="str">
        <f>IF(ISBLANK(PARTIDAS!$G1062),PARTIDAS!$F1062,CONCATENATE(PARTIDAS!$F1062," (",PARTIDAS!$G1062,")"))</f>
        <v>Jarabe de lactosa</v>
      </c>
      <c r="I1062" s="16" t="s">
        <v>9427</v>
      </c>
    </row>
    <row r="1063" spans="1:9" x14ac:dyDescent="0.25">
      <c r="A1063" s="16" t="s">
        <v>1997</v>
      </c>
      <c r="B1063" s="16" t="str">
        <f>TEXT(PARTIDA[[#This Row],[PARTIDA]],"0000000000")</f>
        <v>1702200000</v>
      </c>
      <c r="C1063" s="16" t="s">
        <v>815</v>
      </c>
      <c r="D1063" s="16" t="s">
        <v>835</v>
      </c>
      <c r="E1063" s="16" t="s">
        <v>1870</v>
      </c>
      <c r="F1063" s="27" t="s">
        <v>10191</v>
      </c>
      <c r="G1063" s="27"/>
      <c r="H1063" s="16" t="str">
        <f>IF(ISBLANK(PARTIDAS!$G1063),PARTIDAS!$F1063,CONCATENATE(PARTIDAS!$F1063," (",PARTIDAS!$G1063,")"))</f>
        <v>Azúcar y jarabe de arce («maple»)</v>
      </c>
      <c r="I1063" s="16" t="s">
        <v>9427</v>
      </c>
    </row>
    <row r="1064" spans="1:9" x14ac:dyDescent="0.25">
      <c r="A1064" s="16" t="s">
        <v>1998</v>
      </c>
      <c r="B1064" s="16" t="str">
        <f>TEXT(PARTIDA[[#This Row],[PARTIDA]],"0000000000")</f>
        <v>1702301000</v>
      </c>
      <c r="C1064" s="16" t="s">
        <v>815</v>
      </c>
      <c r="D1064" s="16" t="s">
        <v>835</v>
      </c>
      <c r="E1064" s="16" t="s">
        <v>1870</v>
      </c>
      <c r="F1064" s="27" t="s">
        <v>10192</v>
      </c>
      <c r="G1064" s="27"/>
      <c r="H1064" s="16" t="str">
        <f>IF(ISBLANK(PARTIDAS!$G1064),PARTIDAS!$F1064,CONCATENATE(PARTIDAS!$F1064," (",PARTIDAS!$G1064,")"))</f>
        <v>Glucosa y jarabe de glucosa, sin fructosa o con un contenido de…, con un contenido de glucosa superior o igual al 99 % en peso, expresado en glucosa a</v>
      </c>
      <c r="I1064" s="16" t="s">
        <v>9427</v>
      </c>
    </row>
    <row r="1065" spans="1:9" x14ac:dyDescent="0.25">
      <c r="A1065" s="16" t="s">
        <v>1999</v>
      </c>
      <c r="B1065" s="16" t="str">
        <f>TEXT(PARTIDA[[#This Row],[PARTIDA]],"0000000000")</f>
        <v>1702302000</v>
      </c>
      <c r="C1065" s="16" t="s">
        <v>815</v>
      </c>
      <c r="D1065" s="16" t="s">
        <v>835</v>
      </c>
      <c r="E1065" s="16" t="s">
        <v>1870</v>
      </c>
      <c r="F1065" s="27" t="s">
        <v>10193</v>
      </c>
      <c r="G1065" s="27"/>
      <c r="H1065" s="16" t="str">
        <f>IF(ISBLANK(PARTIDAS!$G1065),PARTIDAS!$F1065,CONCATENATE(PARTIDAS!$F1065," (",PARTIDAS!$G1065,")"))</f>
        <v>Jarabe de glucosa</v>
      </c>
      <c r="I1065" s="16" t="s">
        <v>9427</v>
      </c>
    </row>
    <row r="1066" spans="1:9" x14ac:dyDescent="0.25">
      <c r="A1066" s="16" t="s">
        <v>2000</v>
      </c>
      <c r="B1066" s="16" t="str">
        <f>TEXT(PARTIDA[[#This Row],[PARTIDA]],"0000000000")</f>
        <v>1702309000</v>
      </c>
      <c r="C1066" s="16" t="s">
        <v>815</v>
      </c>
      <c r="D1066" s="16" t="s">
        <v>835</v>
      </c>
      <c r="E1066" s="16" t="s">
        <v>1870</v>
      </c>
      <c r="F1066" s="27" t="s">
        <v>10194</v>
      </c>
      <c r="G1066" s="27"/>
      <c r="H1066" s="16" t="str">
        <f>IF(ISBLANK(PARTIDAS!$G1066),PARTIDAS!$F1066,CONCATENATE(PARTIDAS!$F1066," (",PARTIDAS!$G1066,")"))</f>
        <v>Glucosa y jarabe de glucosa, sin fructosa o con un contenido de… (los demás)</v>
      </c>
      <c r="I1066" s="16" t="s">
        <v>9427</v>
      </c>
    </row>
    <row r="1067" spans="1:9" x14ac:dyDescent="0.25">
      <c r="A1067" s="16" t="s">
        <v>2001</v>
      </c>
      <c r="B1067" s="16" t="str">
        <f>TEXT(PARTIDA[[#This Row],[PARTIDA]],"0000000000")</f>
        <v>1702401000</v>
      </c>
      <c r="C1067" s="16" t="s">
        <v>815</v>
      </c>
      <c r="D1067" s="16" t="s">
        <v>835</v>
      </c>
      <c r="E1067" s="16" t="s">
        <v>1870</v>
      </c>
      <c r="F1067" s="27" t="s">
        <v>10195</v>
      </c>
      <c r="G1067" s="27"/>
      <c r="H1067" s="16" t="str">
        <f>IF(ISBLANK(PARTIDAS!$G1067),PARTIDAS!$F1067,CONCATENATE(PARTIDAS!$F1067," (",PARTIDAS!$G1067,")"))</f>
        <v>Glucosa y jarabe de glucosa, con un contenido de fructosa sobre…, glucosa</v>
      </c>
      <c r="I1067" s="16" t="s">
        <v>9427</v>
      </c>
    </row>
    <row r="1068" spans="1:9" x14ac:dyDescent="0.25">
      <c r="A1068" s="16" t="s">
        <v>2002</v>
      </c>
      <c r="B1068" s="16" t="str">
        <f>TEXT(PARTIDA[[#This Row],[PARTIDA]],"0000000000")</f>
        <v>1702402000</v>
      </c>
      <c r="C1068" s="16" t="s">
        <v>815</v>
      </c>
      <c r="D1068" s="16" t="s">
        <v>835</v>
      </c>
      <c r="E1068" s="16" t="s">
        <v>1870</v>
      </c>
      <c r="F1068" s="27" t="s">
        <v>10193</v>
      </c>
      <c r="G1068" s="27"/>
      <c r="H1068" s="16" t="str">
        <f>IF(ISBLANK(PARTIDAS!$G1068),PARTIDAS!$F1068,CONCATENATE(PARTIDAS!$F1068," (",PARTIDAS!$G1068,")"))</f>
        <v>Jarabe de glucosa</v>
      </c>
      <c r="I1068" s="16" t="s">
        <v>9427</v>
      </c>
    </row>
    <row r="1069" spans="1:9" x14ac:dyDescent="0.25">
      <c r="A1069" s="16" t="s">
        <v>2003</v>
      </c>
      <c r="B1069" s="16" t="str">
        <f>TEXT(PARTIDA[[#This Row],[PARTIDA]],"0000000000")</f>
        <v>1702500000</v>
      </c>
      <c r="C1069" s="16" t="s">
        <v>815</v>
      </c>
      <c r="D1069" s="16" t="s">
        <v>835</v>
      </c>
      <c r="E1069" s="16" t="s">
        <v>1870</v>
      </c>
      <c r="F1069" s="27" t="s">
        <v>10196</v>
      </c>
      <c r="G1069" s="27"/>
      <c r="H1069" s="16" t="str">
        <f>IF(ISBLANK(PARTIDAS!$G1069),PARTIDAS!$F1069,CONCATENATE(PARTIDAS!$F1069," (",PARTIDAS!$G1069,")"))</f>
        <v>Fructosa químicamente pura</v>
      </c>
      <c r="I1069" s="16" t="s">
        <v>9427</v>
      </c>
    </row>
    <row r="1070" spans="1:9" x14ac:dyDescent="0.25">
      <c r="A1070" s="16" t="s">
        <v>2004</v>
      </c>
      <c r="B1070" s="16" t="str">
        <f>TEXT(PARTIDA[[#This Row],[PARTIDA]],"0000000000")</f>
        <v>1702600000</v>
      </c>
      <c r="C1070" s="16" t="s">
        <v>815</v>
      </c>
      <c r="D1070" s="16" t="s">
        <v>835</v>
      </c>
      <c r="E1070" s="16" t="s">
        <v>1870</v>
      </c>
      <c r="F1070" s="27" t="s">
        <v>10197</v>
      </c>
      <c r="G1070" s="27"/>
      <c r="H1070" s="16" t="str">
        <f>IF(ISBLANK(PARTIDAS!$G1070),PARTIDAS!$F1070,CONCATENATE(PARTIDAS!$F1070," (",PARTIDAS!$G1070,")"))</f>
        <v>Azúcares y artículos de confitería (los demás, fructosas y jarabe de fructosa, con un contenido de fructosa sobre producto seco superior al 50 % en pe</v>
      </c>
      <c r="I1070" s="16" t="s">
        <v>9427</v>
      </c>
    </row>
    <row r="1071" spans="1:9" x14ac:dyDescent="0.25">
      <c r="A1071" s="16" t="s">
        <v>2005</v>
      </c>
      <c r="B1071" s="16" t="str">
        <f>TEXT(PARTIDA[[#This Row],[PARTIDA]],"0000000000")</f>
        <v>1702901000</v>
      </c>
      <c r="C1071" s="16" t="s">
        <v>815</v>
      </c>
      <c r="D1071" s="16" t="s">
        <v>835</v>
      </c>
      <c r="E1071" s="16" t="s">
        <v>1870</v>
      </c>
      <c r="F1071" s="27" t="s">
        <v>2006</v>
      </c>
      <c r="G1071" s="27"/>
      <c r="H1071" s="16" t="str">
        <f>IF(ISBLANK(PARTIDAS!$G1071),PARTIDAS!$F1071,CONCATENATE(PARTIDAS!$F1071," (",PARTIDAS!$G1071,")"))</f>
        <v>Miel de yacón</v>
      </c>
      <c r="I1071" s="16" t="s">
        <v>9427</v>
      </c>
    </row>
    <row r="1072" spans="1:9" x14ac:dyDescent="0.25">
      <c r="A1072" s="16" t="s">
        <v>2007</v>
      </c>
      <c r="B1072" s="16" t="str">
        <f>TEXT(PARTIDA[[#This Row],[PARTIDA]],"0000000000")</f>
        <v>1702902000</v>
      </c>
      <c r="C1072" s="16" t="s">
        <v>815</v>
      </c>
      <c r="D1072" s="16" t="s">
        <v>835</v>
      </c>
      <c r="E1072" s="16" t="s">
        <v>1870</v>
      </c>
      <c r="F1072" s="27" t="s">
        <v>10198</v>
      </c>
      <c r="G1072" s="27"/>
      <c r="H1072" s="16" t="str">
        <f>IF(ISBLANK(PARTIDAS!$G1072),PARTIDAS!$F1072,CONCATENATE(PARTIDAS!$F1072," (",PARTIDAS!$G1072,")"))</f>
        <v>Azúcar y melaza caramelizados</v>
      </c>
      <c r="I1072" s="16" t="s">
        <v>9427</v>
      </c>
    </row>
    <row r="1073" spans="1:9" x14ac:dyDescent="0.25">
      <c r="A1073" s="16" t="s">
        <v>2008</v>
      </c>
      <c r="B1073" s="16" t="str">
        <f>TEXT(PARTIDA[[#This Row],[PARTIDA]],"0000000000")</f>
        <v>1702903000</v>
      </c>
      <c r="C1073" s="16" t="s">
        <v>815</v>
      </c>
      <c r="D1073" s="16" t="s">
        <v>835</v>
      </c>
      <c r="E1073" s="16" t="s">
        <v>1870</v>
      </c>
      <c r="F1073" s="27" t="s">
        <v>10199</v>
      </c>
      <c r="G1073" s="27"/>
      <c r="H1073" s="16" t="str">
        <f>IF(ISBLANK(PARTIDAS!$G1073),PARTIDAS!$F1073,CONCATENATE(PARTIDAS!$F1073," (",PARTIDAS!$G1073,")"))</f>
        <v>Azúcares con adición de aromatizante o colorante</v>
      </c>
      <c r="I1073" s="16" t="s">
        <v>9427</v>
      </c>
    </row>
    <row r="1074" spans="1:9" x14ac:dyDescent="0.25">
      <c r="A1074" s="16" t="s">
        <v>2009</v>
      </c>
      <c r="B1074" s="16" t="str">
        <f>TEXT(PARTIDA[[#This Row],[PARTIDA]],"0000000000")</f>
        <v>1702904000</v>
      </c>
      <c r="C1074" s="16" t="s">
        <v>815</v>
      </c>
      <c r="D1074" s="16" t="s">
        <v>835</v>
      </c>
      <c r="E1074" s="16" t="s">
        <v>1870</v>
      </c>
      <c r="F1074" s="27" t="s">
        <v>2010</v>
      </c>
      <c r="G1074" s="27" t="s">
        <v>1472</v>
      </c>
      <c r="H1074" s="16" t="str">
        <f>IF(ISBLANK(PARTIDAS!$G1074),PARTIDAS!$F1074,CONCATENATE(PARTIDAS!$F1074," (",PARTIDAS!$G1074,")"))</f>
        <v>Jarabe de algarrobina (Verificar)</v>
      </c>
      <c r="I1074" s="16" t="s">
        <v>9427</v>
      </c>
    </row>
    <row r="1075" spans="1:9" x14ac:dyDescent="0.25">
      <c r="A1075" s="16" t="s">
        <v>2011</v>
      </c>
      <c r="B1075" s="16" t="str">
        <f>TEXT(PARTIDA[[#This Row],[PARTIDA]],"0000000000")</f>
        <v>1702909000</v>
      </c>
      <c r="C1075" s="16" t="s">
        <v>815</v>
      </c>
      <c r="D1075" s="16" t="s">
        <v>835</v>
      </c>
      <c r="E1075" s="16" t="s">
        <v>1870</v>
      </c>
      <c r="F1075" s="27" t="s">
        <v>10200</v>
      </c>
      <c r="G1075" s="27"/>
      <c r="H1075" s="16" t="str">
        <f>IF(ISBLANK(PARTIDAS!$G1075),PARTIDAS!$F1075,CONCATENATE(PARTIDAS!$F1075," (",PARTIDAS!$G1075,")"))</f>
        <v>Azúcares y artículos de confitería (los demás)</v>
      </c>
      <c r="I1075" s="16" t="s">
        <v>9427</v>
      </c>
    </row>
    <row r="1076" spans="1:9" x14ac:dyDescent="0.25">
      <c r="A1076" s="16" t="s">
        <v>2012</v>
      </c>
      <c r="B1076" s="16" t="str">
        <f>TEXT(PARTIDA[[#This Row],[PARTIDA]],"0000000000")</f>
        <v>1703100000</v>
      </c>
      <c r="C1076" s="16" t="s">
        <v>786</v>
      </c>
      <c r="D1076" s="16" t="s">
        <v>787</v>
      </c>
      <c r="E1076" s="16" t="s">
        <v>9429</v>
      </c>
      <c r="F1076" s="27" t="s">
        <v>10201</v>
      </c>
      <c r="G1076" s="27"/>
      <c r="H1076" s="16" t="str">
        <f>IF(ISBLANK(PARTIDAS!$G1076),PARTIDAS!$F1076,CONCATENATE(PARTIDAS!$F1076," (",PARTIDAS!$G1076,")"))</f>
        <v>Melaza de caña</v>
      </c>
      <c r="I1076" s="16" t="s">
        <v>9427</v>
      </c>
    </row>
    <row r="1077" spans="1:9" x14ac:dyDescent="0.25">
      <c r="A1077" s="16" t="s">
        <v>2013</v>
      </c>
      <c r="B1077" s="16" t="str">
        <f>TEXT(PARTIDA[[#This Row],[PARTIDA]],"0000000000")</f>
        <v>1703900000</v>
      </c>
      <c r="C1077" s="16" t="s">
        <v>786</v>
      </c>
      <c r="D1077" s="16" t="s">
        <v>787</v>
      </c>
      <c r="E1077" s="16" t="s">
        <v>9429</v>
      </c>
      <c r="F1077" s="27" t="s">
        <v>10202</v>
      </c>
      <c r="G1077" s="27"/>
      <c r="H1077" s="16" t="str">
        <f>IF(ISBLANK(PARTIDAS!$G1077),PARTIDAS!$F1077,CONCATENATE(PARTIDAS!$F1077," (",PARTIDAS!$G1077,")"))</f>
        <v>Melaza procedente de la extracción o del refinado del azúcar (los demás)</v>
      </c>
      <c r="I1077" s="16" t="s">
        <v>9427</v>
      </c>
    </row>
    <row r="1078" spans="1:9" x14ac:dyDescent="0.25">
      <c r="A1078" s="16" t="s">
        <v>2014</v>
      </c>
      <c r="B1078" s="16" t="str">
        <f>TEXT(PARTIDA[[#This Row],[PARTIDA]],"0000000000")</f>
        <v>1704101000</v>
      </c>
      <c r="C1078" s="16" t="s">
        <v>786</v>
      </c>
      <c r="D1078" s="16" t="s">
        <v>787</v>
      </c>
      <c r="E1078" s="16" t="s">
        <v>9429</v>
      </c>
      <c r="F1078" s="27" t="s">
        <v>10203</v>
      </c>
      <c r="G1078" s="27"/>
      <c r="H1078" s="16" t="str">
        <f>IF(ISBLANK(PARTIDAS!$G1078),PARTIDAS!$F1078,CONCATENATE(PARTIDAS!$F1078," (",PARTIDAS!$G1078,")"))</f>
        <v>Recubiertos de azúcar</v>
      </c>
      <c r="I1078" s="16" t="s">
        <v>9427</v>
      </c>
    </row>
    <row r="1079" spans="1:9" x14ac:dyDescent="0.25">
      <c r="A1079" s="16" t="s">
        <v>2015</v>
      </c>
      <c r="B1079" s="16" t="str">
        <f>TEXT(PARTIDA[[#This Row],[PARTIDA]],"0000000000")</f>
        <v>1704109000</v>
      </c>
      <c r="C1079" s="16" t="s">
        <v>786</v>
      </c>
      <c r="D1079" s="16" t="s">
        <v>787</v>
      </c>
      <c r="E1079" s="16" t="s">
        <v>9429</v>
      </c>
      <c r="F1079" s="27" t="s">
        <v>9200</v>
      </c>
      <c r="G1079" s="27"/>
      <c r="H1079" s="16" t="str">
        <f>IF(ISBLANK(PARTIDAS!$G1079),PARTIDAS!$F1079,CONCATENATE(PARTIDAS!$F1079," (",PARTIDAS!$G1079,")"))</f>
        <v>Chicles y demás gomas de mascar, incluso recubiertos de azúcar (los demás)</v>
      </c>
      <c r="I1079" s="16" t="s">
        <v>9477</v>
      </c>
    </row>
    <row r="1080" spans="1:9" x14ac:dyDescent="0.25">
      <c r="A1080" s="16" t="s">
        <v>2016</v>
      </c>
      <c r="B1080" s="16" t="str">
        <f>TEXT(PARTIDA[[#This Row],[PARTIDA]],"0000000000")</f>
        <v>1704901000</v>
      </c>
      <c r="C1080" s="16" t="s">
        <v>786</v>
      </c>
      <c r="D1080" s="16" t="s">
        <v>787</v>
      </c>
      <c r="E1080" s="16" t="s">
        <v>9429</v>
      </c>
      <c r="F1080" s="27" t="s">
        <v>2017</v>
      </c>
      <c r="G1080" s="27"/>
      <c r="H1080" s="16" t="str">
        <f>IF(ISBLANK(PARTIDAS!$G1080),PARTIDAS!$F1080,CONCATENATE(PARTIDAS!$F1080," (",PARTIDAS!$G1080,")"))</f>
        <v>Golosinas</v>
      </c>
      <c r="I1080" s="16" t="s">
        <v>9427</v>
      </c>
    </row>
    <row r="1081" spans="1:9" x14ac:dyDescent="0.25">
      <c r="A1081" s="16" t="s">
        <v>2018</v>
      </c>
      <c r="B1081" s="16" t="str">
        <f>TEXT(PARTIDA[[#This Row],[PARTIDA]],"0000000000")</f>
        <v>1704909000</v>
      </c>
      <c r="C1081" s="16" t="s">
        <v>786</v>
      </c>
      <c r="D1081" s="16" t="s">
        <v>787</v>
      </c>
      <c r="E1081" s="16" t="s">
        <v>9429</v>
      </c>
      <c r="F1081" s="27" t="s">
        <v>2017</v>
      </c>
      <c r="G1081" s="27" t="s">
        <v>1472</v>
      </c>
      <c r="H1081" s="16" t="str">
        <f>IF(ISBLANK(PARTIDAS!$G1081),PARTIDAS!$F1081,CONCATENATE(PARTIDAS!$F1081," (",PARTIDAS!$G1081,")"))</f>
        <v>Golosinas (Verificar)</v>
      </c>
      <c r="I1081" s="16" t="s">
        <v>9427</v>
      </c>
    </row>
    <row r="1082" spans="1:9" x14ac:dyDescent="0.25">
      <c r="A1082" s="16" t="s">
        <v>2019</v>
      </c>
      <c r="B1082" s="16" t="str">
        <f>TEXT(PARTIDA[[#This Row],[PARTIDA]],"0000000000")</f>
        <v>1801001100</v>
      </c>
      <c r="C1082" s="16" t="s">
        <v>815</v>
      </c>
      <c r="D1082" s="16" t="s">
        <v>835</v>
      </c>
      <c r="E1082" s="16" t="s">
        <v>1870</v>
      </c>
      <c r="F1082" s="27" t="s">
        <v>2020</v>
      </c>
      <c r="G1082" s="27"/>
      <c r="H1082" s="16" t="str">
        <f>IF(ISBLANK(PARTIDAS!$G1082),PARTIDAS!$F1082,CONCATENATE(PARTIDAS!$F1082," (",PARTIDAS!$G1082,")"))</f>
        <v>Cacao en grano</v>
      </c>
      <c r="I1082" s="16" t="s">
        <v>9427</v>
      </c>
    </row>
    <row r="1083" spans="1:9" x14ac:dyDescent="0.25">
      <c r="A1083" s="16" t="s">
        <v>2021</v>
      </c>
      <c r="B1083" s="16" t="str">
        <f>TEXT(PARTIDA[[#This Row],[PARTIDA]],"0000000000")</f>
        <v>1801001900</v>
      </c>
      <c r="C1083" s="16" t="s">
        <v>815</v>
      </c>
      <c r="D1083" s="16" t="s">
        <v>835</v>
      </c>
      <c r="E1083" s="16" t="s">
        <v>1870</v>
      </c>
      <c r="F1083" s="27" t="s">
        <v>2020</v>
      </c>
      <c r="G1083" s="27"/>
      <c r="H1083" s="16" t="str">
        <f>IF(ISBLANK(PARTIDAS!$G1083),PARTIDAS!$F1083,CONCATENATE(PARTIDAS!$F1083," (",PARTIDAS!$G1083,")"))</f>
        <v>Cacao en grano</v>
      </c>
      <c r="I1083" s="16" t="s">
        <v>9427</v>
      </c>
    </row>
    <row r="1084" spans="1:9" x14ac:dyDescent="0.25">
      <c r="A1084" s="16" t="s">
        <v>2022</v>
      </c>
      <c r="B1084" s="16" t="str">
        <f>TEXT(PARTIDA[[#This Row],[PARTIDA]],"0000000000")</f>
        <v>1801002000</v>
      </c>
      <c r="C1084" s="16" t="s">
        <v>815</v>
      </c>
      <c r="D1084" s="16" t="s">
        <v>835</v>
      </c>
      <c r="E1084" s="16" t="s">
        <v>1870</v>
      </c>
      <c r="F1084" s="27" t="s">
        <v>2020</v>
      </c>
      <c r="G1084" s="27"/>
      <c r="H1084" s="16" t="str">
        <f>IF(ISBLANK(PARTIDAS!$G1084),PARTIDAS!$F1084,CONCATENATE(PARTIDAS!$F1084," (",PARTIDAS!$G1084,")"))</f>
        <v>Cacao en grano</v>
      </c>
      <c r="I1084" s="16" t="s">
        <v>9427</v>
      </c>
    </row>
    <row r="1085" spans="1:9" x14ac:dyDescent="0.25">
      <c r="A1085" s="16" t="s">
        <v>2023</v>
      </c>
      <c r="B1085" s="16" t="str">
        <f>TEXT(PARTIDA[[#This Row],[PARTIDA]],"0000000000")</f>
        <v>1802000000</v>
      </c>
      <c r="C1085" s="16" t="s">
        <v>815</v>
      </c>
      <c r="D1085" s="16" t="s">
        <v>835</v>
      </c>
      <c r="E1085" s="16" t="s">
        <v>1870</v>
      </c>
      <c r="F1085" s="27" t="s">
        <v>2024</v>
      </c>
      <c r="G1085" s="27"/>
      <c r="H1085" s="16" t="str">
        <f>IF(ISBLANK(PARTIDAS!$G1085),PARTIDAS!$F1085,CONCATENATE(PARTIDAS!$F1085," (",PARTIDAS!$G1085,")"))</f>
        <v>Cacao en cáscara y demás residuos</v>
      </c>
      <c r="I1085" s="16" t="s">
        <v>9427</v>
      </c>
    </row>
    <row r="1086" spans="1:9" x14ac:dyDescent="0.25">
      <c r="A1086" s="16" t="s">
        <v>2025</v>
      </c>
      <c r="B1086" s="16" t="str">
        <f>TEXT(PARTIDA[[#This Row],[PARTIDA]],"0000000000")</f>
        <v>1803100000</v>
      </c>
      <c r="C1086" s="16" t="s">
        <v>815</v>
      </c>
      <c r="D1086" s="16" t="s">
        <v>835</v>
      </c>
      <c r="E1086" s="16" t="s">
        <v>1870</v>
      </c>
      <c r="F1086" s="27" t="s">
        <v>2026</v>
      </c>
      <c r="G1086" s="27"/>
      <c r="H1086" s="16" t="str">
        <f>IF(ISBLANK(PARTIDAS!$G1086),PARTIDAS!$F1086,CONCATENATE(PARTIDAS!$F1086," (",PARTIDAS!$G1086,")"))</f>
        <v>Cacao en pasta</v>
      </c>
      <c r="I1086" s="16" t="s">
        <v>9427</v>
      </c>
    </row>
    <row r="1087" spans="1:9" x14ac:dyDescent="0.25">
      <c r="A1087" s="16" t="s">
        <v>2027</v>
      </c>
      <c r="B1087" s="16" t="str">
        <f>TEXT(PARTIDA[[#This Row],[PARTIDA]],"0000000000")</f>
        <v>1803200000</v>
      </c>
      <c r="C1087" s="16" t="s">
        <v>815</v>
      </c>
      <c r="D1087" s="16" t="s">
        <v>835</v>
      </c>
      <c r="E1087" s="16" t="s">
        <v>1870</v>
      </c>
      <c r="F1087" s="27" t="s">
        <v>2028</v>
      </c>
      <c r="G1087" s="27"/>
      <c r="H1087" s="16" t="str">
        <f>IF(ISBLANK(PARTIDAS!$G1087),PARTIDAS!$F1087,CONCATENATE(PARTIDAS!$F1087," (",PARTIDAS!$G1087,")"))</f>
        <v>Cacao en manteca</v>
      </c>
      <c r="I1087" s="16" t="s">
        <v>9427</v>
      </c>
    </row>
    <row r="1088" spans="1:9" x14ac:dyDescent="0.25">
      <c r="A1088" s="16" t="s">
        <v>2029</v>
      </c>
      <c r="B1088" s="16" t="str">
        <f>TEXT(PARTIDA[[#This Row],[PARTIDA]],"0000000000")</f>
        <v>1804001100</v>
      </c>
      <c r="C1088" s="16" t="s">
        <v>815</v>
      </c>
      <c r="D1088" s="16" t="s">
        <v>835</v>
      </c>
      <c r="E1088" s="16" t="s">
        <v>1870</v>
      </c>
      <c r="F1088" s="27" t="s">
        <v>2028</v>
      </c>
      <c r="G1088" s="27"/>
      <c r="H1088" s="16" t="str">
        <f>IF(ISBLANK(PARTIDAS!$G1088),PARTIDAS!$F1088,CONCATENATE(PARTIDAS!$F1088," (",PARTIDAS!$G1088,")"))</f>
        <v>Cacao en manteca</v>
      </c>
      <c r="I1088" s="16" t="s">
        <v>9427</v>
      </c>
    </row>
    <row r="1089" spans="1:9" x14ac:dyDescent="0.25">
      <c r="A1089" s="16" t="s">
        <v>2030</v>
      </c>
      <c r="B1089" s="16" t="str">
        <f>TEXT(PARTIDA[[#This Row],[PARTIDA]],"0000000000")</f>
        <v>1804001200</v>
      </c>
      <c r="C1089" s="16" t="s">
        <v>815</v>
      </c>
      <c r="D1089" s="16" t="s">
        <v>835</v>
      </c>
      <c r="E1089" s="16" t="s">
        <v>1870</v>
      </c>
      <c r="F1089" s="27" t="s">
        <v>2028</v>
      </c>
      <c r="G1089" s="27"/>
      <c r="H1089" s="16" t="str">
        <f>IF(ISBLANK(PARTIDAS!$G1089),PARTIDAS!$F1089,CONCATENATE(PARTIDAS!$F1089," (",PARTIDAS!$G1089,")"))</f>
        <v>Cacao en manteca</v>
      </c>
      <c r="I1089" s="16" t="s">
        <v>9427</v>
      </c>
    </row>
    <row r="1090" spans="1:9" x14ac:dyDescent="0.25">
      <c r="A1090" s="16" t="s">
        <v>2031</v>
      </c>
      <c r="B1090" s="16" t="str">
        <f>TEXT(PARTIDA[[#This Row],[PARTIDA]],"0000000000")</f>
        <v>1804001300</v>
      </c>
      <c r="C1090" s="16" t="s">
        <v>815</v>
      </c>
      <c r="D1090" s="16" t="s">
        <v>835</v>
      </c>
      <c r="E1090" s="16" t="s">
        <v>1870</v>
      </c>
      <c r="F1090" s="27" t="s">
        <v>10204</v>
      </c>
      <c r="G1090" s="27"/>
      <c r="H1090" s="16" t="str">
        <f>IF(ISBLANK(PARTIDAS!$G1090),PARTIDAS!$F1090,CONCATENATE(PARTIDAS!$F1090," (",PARTIDAS!$G1090,")"))</f>
        <v>Manteca de cacao, con un índice de acidez expresado en ácido oleico superior a 1,65 %</v>
      </c>
      <c r="I1090" s="16" t="s">
        <v>9427</v>
      </c>
    </row>
    <row r="1091" spans="1:9" x14ac:dyDescent="0.25">
      <c r="A1091" s="16" t="s">
        <v>2032</v>
      </c>
      <c r="B1091" s="16" t="str">
        <f>TEXT(PARTIDA[[#This Row],[PARTIDA]],"0000000000")</f>
        <v>1804002000</v>
      </c>
      <c r="C1091" s="16" t="s">
        <v>815</v>
      </c>
      <c r="D1091" s="16" t="s">
        <v>835</v>
      </c>
      <c r="E1091" s="16" t="s">
        <v>1870</v>
      </c>
      <c r="F1091" s="27" t="s">
        <v>2033</v>
      </c>
      <c r="G1091" s="27"/>
      <c r="H1091" s="16" t="str">
        <f>IF(ISBLANK(PARTIDAS!$G1091),PARTIDAS!$F1091,CONCATENATE(PARTIDAS!$F1091," (",PARTIDAS!$G1091,")"))</f>
        <v>Grasa y aceite de cacao</v>
      </c>
      <c r="I1091" s="16" t="s">
        <v>9427</v>
      </c>
    </row>
    <row r="1092" spans="1:9" x14ac:dyDescent="0.25">
      <c r="A1092" s="16" t="s">
        <v>2034</v>
      </c>
      <c r="B1092" s="16" t="str">
        <f>TEXT(PARTIDA[[#This Row],[PARTIDA]],"0000000000")</f>
        <v>1805000000</v>
      </c>
      <c r="C1092" s="16" t="s">
        <v>815</v>
      </c>
      <c r="D1092" s="16" t="s">
        <v>835</v>
      </c>
      <c r="E1092" s="16" t="s">
        <v>1870</v>
      </c>
      <c r="F1092" s="27" t="s">
        <v>2035</v>
      </c>
      <c r="G1092" s="27"/>
      <c r="H1092" s="16" t="str">
        <f>IF(ISBLANK(PARTIDAS!$G1092),PARTIDAS!$F1092,CONCATENATE(PARTIDAS!$F1092," (",PARTIDAS!$G1092,")"))</f>
        <v>Cacao en polvo</v>
      </c>
      <c r="I1092" s="16" t="s">
        <v>9427</v>
      </c>
    </row>
    <row r="1093" spans="1:9" x14ac:dyDescent="0.25">
      <c r="A1093" s="16" t="s">
        <v>2036</v>
      </c>
      <c r="B1093" s="16" t="str">
        <f>TEXT(PARTIDA[[#This Row],[PARTIDA]],"0000000000")</f>
        <v>1806100000</v>
      </c>
      <c r="C1093" s="16" t="s">
        <v>786</v>
      </c>
      <c r="D1093" s="16" t="s">
        <v>787</v>
      </c>
      <c r="E1093" s="16" t="s">
        <v>9429</v>
      </c>
      <c r="F1093" s="27" t="s">
        <v>2035</v>
      </c>
      <c r="G1093" s="27"/>
      <c r="H1093" s="16" t="str">
        <f>IF(ISBLANK(PARTIDAS!$G1093),PARTIDAS!$F1093,CONCATENATE(PARTIDAS!$F1093," (",PARTIDAS!$G1093,")"))</f>
        <v>Cacao en polvo</v>
      </c>
      <c r="I1093" s="16" t="s">
        <v>9427</v>
      </c>
    </row>
    <row r="1094" spans="1:9" x14ac:dyDescent="0.25">
      <c r="A1094" s="16" t="s">
        <v>2037</v>
      </c>
      <c r="B1094" s="16" t="str">
        <f>TEXT(PARTIDA[[#This Row],[PARTIDA]],"0000000000")</f>
        <v>1806201000</v>
      </c>
      <c r="C1094" s="16" t="s">
        <v>786</v>
      </c>
      <c r="D1094" s="16" t="s">
        <v>787</v>
      </c>
      <c r="E1094" s="16" t="s">
        <v>9429</v>
      </c>
      <c r="F1094" s="27" t="s">
        <v>10205</v>
      </c>
      <c r="G1094" s="27"/>
      <c r="H1094" s="16" t="str">
        <f>IF(ISBLANK(PARTIDAS!$G1094),PARTIDAS!$F1094,CONCATENATE(PARTIDAS!$F1094," (",PARTIDAS!$G1094,")"))</f>
        <v>Chocolate y demás preparaciones alimenticias que contengan cacao, sin adición de azúcar, ni otros edulcorantes</v>
      </c>
      <c r="I1094" s="16" t="s">
        <v>9427</v>
      </c>
    </row>
    <row r="1095" spans="1:9" x14ac:dyDescent="0.25">
      <c r="A1095" s="16" t="s">
        <v>2038</v>
      </c>
      <c r="B1095" s="16" t="str">
        <f>TEXT(PARTIDA[[#This Row],[PARTIDA]],"0000000000")</f>
        <v>1806209000</v>
      </c>
      <c r="C1095" s="16" t="s">
        <v>786</v>
      </c>
      <c r="D1095" s="16" t="s">
        <v>787</v>
      </c>
      <c r="E1095" s="16" t="s">
        <v>9429</v>
      </c>
      <c r="F1095" s="27" t="s">
        <v>2039</v>
      </c>
      <c r="G1095" s="27"/>
      <c r="H1095" s="16" t="str">
        <f>IF(ISBLANK(PARTIDAS!$G1095),PARTIDAS!$F1095,CONCATENATE(PARTIDAS!$F1095," (",PARTIDAS!$G1095,")"))</f>
        <v>Chocolates</v>
      </c>
      <c r="I1095" s="16" t="s">
        <v>9427</v>
      </c>
    </row>
    <row r="1096" spans="1:9" x14ac:dyDescent="0.25">
      <c r="A1096" s="16" t="s">
        <v>2040</v>
      </c>
      <c r="B1096" s="16" t="str">
        <f>TEXT(PARTIDA[[#This Row],[PARTIDA]],"0000000000")</f>
        <v>1806310000</v>
      </c>
      <c r="C1096" s="16" t="s">
        <v>786</v>
      </c>
      <c r="D1096" s="16" t="s">
        <v>787</v>
      </c>
      <c r="E1096" s="16" t="s">
        <v>9429</v>
      </c>
      <c r="F1096" s="27" t="s">
        <v>2039</v>
      </c>
      <c r="G1096" s="27"/>
      <c r="H1096" s="16" t="str">
        <f>IF(ISBLANK(PARTIDAS!$G1096),PARTIDAS!$F1096,CONCATENATE(PARTIDAS!$F1096," (",PARTIDAS!$G1096,")"))</f>
        <v>Chocolates</v>
      </c>
      <c r="I1096" s="16" t="s">
        <v>9427</v>
      </c>
    </row>
    <row r="1097" spans="1:9" x14ac:dyDescent="0.25">
      <c r="A1097" s="16" t="s">
        <v>2041</v>
      </c>
      <c r="B1097" s="16" t="str">
        <f>TEXT(PARTIDA[[#This Row],[PARTIDA]],"0000000000")</f>
        <v>1806320000</v>
      </c>
      <c r="C1097" s="16" t="s">
        <v>786</v>
      </c>
      <c r="D1097" s="16" t="s">
        <v>787</v>
      </c>
      <c r="E1097" s="16" t="s">
        <v>9429</v>
      </c>
      <c r="F1097" s="27" t="s">
        <v>2039</v>
      </c>
      <c r="G1097" s="27"/>
      <c r="H1097" s="16" t="str">
        <f>IF(ISBLANK(PARTIDAS!$G1097),PARTIDAS!$F1097,CONCATENATE(PARTIDAS!$F1097," (",PARTIDAS!$G1097,")"))</f>
        <v>Chocolates</v>
      </c>
      <c r="I1097" s="16" t="s">
        <v>9427</v>
      </c>
    </row>
    <row r="1098" spans="1:9" x14ac:dyDescent="0.25">
      <c r="A1098" s="16" t="s">
        <v>2042</v>
      </c>
      <c r="B1098" s="16" t="str">
        <f>TEXT(PARTIDA[[#This Row],[PARTIDA]],"0000000000")</f>
        <v>1806900000</v>
      </c>
      <c r="C1098" s="16" t="s">
        <v>786</v>
      </c>
      <c r="D1098" s="16" t="s">
        <v>787</v>
      </c>
      <c r="E1098" s="16" t="s">
        <v>9429</v>
      </c>
      <c r="F1098" s="27" t="s">
        <v>2039</v>
      </c>
      <c r="G1098" s="27"/>
      <c r="H1098" s="16" t="str">
        <f>IF(ISBLANK(PARTIDAS!$G1098),PARTIDAS!$F1098,CONCATENATE(PARTIDAS!$F1098," (",PARTIDAS!$G1098,")"))</f>
        <v>Chocolates</v>
      </c>
      <c r="I1098" s="16" t="s">
        <v>9427</v>
      </c>
    </row>
    <row r="1099" spans="1:9" x14ac:dyDescent="0.25">
      <c r="A1099" s="16" t="s">
        <v>2043</v>
      </c>
      <c r="B1099" s="16" t="str">
        <f>TEXT(PARTIDA[[#This Row],[PARTIDA]],"0000000000")</f>
        <v>1901101000</v>
      </c>
      <c r="C1099" s="16" t="s">
        <v>786</v>
      </c>
      <c r="D1099" s="16" t="s">
        <v>787</v>
      </c>
      <c r="E1099" s="16" t="s">
        <v>9429</v>
      </c>
      <c r="F1099" s="27" t="s">
        <v>10206</v>
      </c>
      <c r="G1099" s="27"/>
      <c r="H1099" s="16" t="str">
        <f>IF(ISBLANK(PARTIDAS!$G1099),PARTIDAS!$F1099,CONCATENATE(PARTIDAS!$F1099," (",PARTIDAS!$G1099,")"))</f>
        <v>Fórmulas lácteas para niños de hasta 12 meses de edad</v>
      </c>
      <c r="I1099" s="16" t="s">
        <v>9427</v>
      </c>
    </row>
    <row r="1100" spans="1:9" x14ac:dyDescent="0.25">
      <c r="A1100" s="16" t="s">
        <v>2044</v>
      </c>
      <c r="B1100" s="16" t="str">
        <f>TEXT(PARTIDA[[#This Row],[PARTIDA]],"0000000000")</f>
        <v>1901109100</v>
      </c>
      <c r="C1100" s="16" t="s">
        <v>786</v>
      </c>
      <c r="D1100" s="16" t="s">
        <v>787</v>
      </c>
      <c r="E1100" s="16" t="s">
        <v>9429</v>
      </c>
      <c r="F1100" s="27" t="s">
        <v>10207</v>
      </c>
      <c r="G1100" s="27"/>
      <c r="H1100" s="16" t="str">
        <f>IF(ISBLANK(PARTIDAS!$G1100),PARTIDAS!$F1100,CONCATENATE(PARTIDAS!$F1100," (",PARTIDAS!$G1100,")"))</f>
        <v>Preparaciones para la alimentación de lactantes o niños de corta…, a base de harina, sémola, almidón, fécula o extracto de malta</v>
      </c>
      <c r="I1100" s="16" t="s">
        <v>9427</v>
      </c>
    </row>
    <row r="1101" spans="1:9" x14ac:dyDescent="0.25">
      <c r="A1101" s="16" t="s">
        <v>2045</v>
      </c>
      <c r="B1101" s="16" t="str">
        <f>TEXT(PARTIDA[[#This Row],[PARTIDA]],"0000000000")</f>
        <v>1901109900</v>
      </c>
      <c r="C1101" s="16" t="s">
        <v>786</v>
      </c>
      <c r="D1101" s="16" t="s">
        <v>787</v>
      </c>
      <c r="E1101" s="16" t="s">
        <v>9429</v>
      </c>
      <c r="F1101" s="27" t="s">
        <v>10208</v>
      </c>
      <c r="G1101" s="27"/>
      <c r="H1101" s="16" t="str">
        <f>IF(ISBLANK(PARTIDAS!$G1101),PARTIDAS!$F1101,CONCATENATE(PARTIDAS!$F1101," (",PARTIDAS!$G1101,")"))</f>
        <v>Preparaciones para la alimentación de lactantes o niños de corta… (los demás)</v>
      </c>
      <c r="I1101" s="16" t="s">
        <v>9427</v>
      </c>
    </row>
    <row r="1102" spans="1:9" x14ac:dyDescent="0.25">
      <c r="A1102" s="16" t="s">
        <v>2046</v>
      </c>
      <c r="B1102" s="16" t="str">
        <f>TEXT(PARTIDA[[#This Row],[PARTIDA]],"0000000000")</f>
        <v>1901200000</v>
      </c>
      <c r="C1102" s="16" t="s">
        <v>786</v>
      </c>
      <c r="D1102" s="16" t="s">
        <v>787</v>
      </c>
      <c r="E1102" s="16" t="s">
        <v>9429</v>
      </c>
      <c r="F1102" s="27" t="s">
        <v>10209</v>
      </c>
      <c r="G1102" s="27"/>
      <c r="H1102" s="16" t="str">
        <f>IF(ISBLANK(PARTIDAS!$G1102),PARTIDAS!$F1102,CONCATENATE(PARTIDAS!$F1102," (",PARTIDAS!$G1102,")"))</f>
        <v>Mezclas y pastas para la preparación de productos de panadería, pastelería o galletería, de la partida 19.05</v>
      </c>
      <c r="I1102" s="16" t="s">
        <v>9427</v>
      </c>
    </row>
    <row r="1103" spans="1:9" x14ac:dyDescent="0.25">
      <c r="A1103" s="16" t="s">
        <v>2047</v>
      </c>
      <c r="B1103" s="16" t="str">
        <f>TEXT(PARTIDA[[#This Row],[PARTIDA]],"0000000000")</f>
        <v>1901901000</v>
      </c>
      <c r="C1103" s="16" t="s">
        <v>786</v>
      </c>
      <c r="D1103" s="16" t="s">
        <v>787</v>
      </c>
      <c r="E1103" s="16" t="s">
        <v>9429</v>
      </c>
      <c r="F1103" s="27" t="s">
        <v>10210</v>
      </c>
      <c r="G1103" s="27"/>
      <c r="H1103" s="16" t="str">
        <f>IF(ISBLANK(PARTIDAS!$G1103),PARTIDAS!$F1103,CONCATENATE(PARTIDAS!$F1103," (",PARTIDAS!$G1103,")"))</f>
        <v>Extracto de malta</v>
      </c>
      <c r="I1103" s="16" t="s">
        <v>9427</v>
      </c>
    </row>
    <row r="1104" spans="1:9" x14ac:dyDescent="0.25">
      <c r="A1104" s="16" t="s">
        <v>2048</v>
      </c>
      <c r="B1104" s="16" t="str">
        <f>TEXT(PARTIDA[[#This Row],[PARTIDA]],"0000000000")</f>
        <v>1901902000</v>
      </c>
      <c r="C1104" s="16" t="s">
        <v>786</v>
      </c>
      <c r="D1104" s="16" t="s">
        <v>787</v>
      </c>
      <c r="E1104" s="16" t="s">
        <v>9429</v>
      </c>
      <c r="F1104" s="27" t="s">
        <v>10211</v>
      </c>
      <c r="G1104" s="27"/>
      <c r="H1104" s="16" t="str">
        <f>IF(ISBLANK(PARTIDAS!$G1104),PARTIDAS!$F1104,CONCATENATE(PARTIDAS!$F1104," (",PARTIDAS!$G1104,")"))</f>
        <v>Manjar blanco o dulce de leche</v>
      </c>
      <c r="I1104" s="16" t="s">
        <v>9427</v>
      </c>
    </row>
    <row r="1105" spans="1:9" x14ac:dyDescent="0.25">
      <c r="A1105" s="16" t="s">
        <v>2049</v>
      </c>
      <c r="B1105" s="16" t="str">
        <f>TEXT(PARTIDA[[#This Row],[PARTIDA]],"0000000000")</f>
        <v>1901909000</v>
      </c>
      <c r="C1105" s="16" t="s">
        <v>786</v>
      </c>
      <c r="D1105" s="16" t="s">
        <v>787</v>
      </c>
      <c r="E1105" s="16" t="s">
        <v>9429</v>
      </c>
      <c r="F1105" s="27" t="s">
        <v>2050</v>
      </c>
      <c r="G1105" s="27" t="s">
        <v>852</v>
      </c>
      <c r="H1105" s="16" t="str">
        <f>IF(ISBLANK(PARTIDAS!$G1105),PARTIDAS!$F1105,CONCATENATE(PARTIDAS!$F1105," (",PARTIDAS!$G1105,")"))</f>
        <v>Harina de fruta (Especificar)</v>
      </c>
      <c r="I1105" s="16" t="s">
        <v>9427</v>
      </c>
    </row>
    <row r="1106" spans="1:9" x14ac:dyDescent="0.25">
      <c r="A1106" s="16" t="s">
        <v>2051</v>
      </c>
      <c r="B1106" s="16" t="str">
        <f>TEXT(PARTIDA[[#This Row],[PARTIDA]],"0000000000")</f>
        <v>1902110000</v>
      </c>
      <c r="C1106" s="16" t="s">
        <v>786</v>
      </c>
      <c r="D1106" s="16" t="s">
        <v>787</v>
      </c>
      <c r="E1106" s="16" t="s">
        <v>9429</v>
      </c>
      <c r="F1106" s="27" t="s">
        <v>10212</v>
      </c>
      <c r="G1106" s="27"/>
      <c r="H1106" s="16" t="str">
        <f>IF(ISBLANK(PARTIDAS!$G1106),PARTIDAS!$F1106,CONCATENATE(PARTIDAS!$F1106," (",PARTIDAS!$G1106,")"))</f>
        <v>Pastas alimenticias sin cocer, rellenar ni preparar de otra forma, que contengan huevo</v>
      </c>
      <c r="I1106" s="16" t="s">
        <v>9427</v>
      </c>
    </row>
    <row r="1107" spans="1:9" x14ac:dyDescent="0.25">
      <c r="A1107" s="16" t="s">
        <v>2052</v>
      </c>
      <c r="B1107" s="16" t="str">
        <f>TEXT(PARTIDA[[#This Row],[PARTIDA]],"0000000000")</f>
        <v>1902190000</v>
      </c>
      <c r="C1107" s="16" t="s">
        <v>786</v>
      </c>
      <c r="D1107" s="16" t="s">
        <v>787</v>
      </c>
      <c r="E1107" s="16" t="s">
        <v>9429</v>
      </c>
      <c r="F1107" s="27" t="s">
        <v>9338</v>
      </c>
      <c r="G1107" s="27"/>
      <c r="H1107" s="16" t="str">
        <f>IF(ISBLANK(PARTIDAS!$G1107),PARTIDAS!$F1107,CONCATENATE(PARTIDAS!$F1107," (",PARTIDAS!$G1107,")"))</f>
        <v>Pastas alimenticias sin cocer, rellenar ni preparar de otra forma (los demás)</v>
      </c>
      <c r="I1107" s="16" t="s">
        <v>9477</v>
      </c>
    </row>
    <row r="1108" spans="1:9" x14ac:dyDescent="0.25">
      <c r="A1108" s="16" t="s">
        <v>2053</v>
      </c>
      <c r="B1108" s="16" t="str">
        <f>TEXT(PARTIDA[[#This Row],[PARTIDA]],"0000000000")</f>
        <v>1902200000</v>
      </c>
      <c r="C1108" s="16" t="s">
        <v>786</v>
      </c>
      <c r="D1108" s="16" t="s">
        <v>787</v>
      </c>
      <c r="E1108" s="16" t="s">
        <v>9429</v>
      </c>
      <c r="F1108" s="27" t="s">
        <v>10213</v>
      </c>
      <c r="G1108" s="27"/>
      <c r="H1108" s="16" t="str">
        <f>IF(ISBLANK(PARTIDAS!$G1108),PARTIDAS!$F1108,CONCATENATE(PARTIDAS!$F1108," (",PARTIDAS!$G1108,")"))</f>
        <v>Pastas alimenticias rellenas, incluso cocidas o preparadas de otra forma</v>
      </c>
      <c r="I1108" s="16" t="s">
        <v>9427</v>
      </c>
    </row>
    <row r="1109" spans="1:9" x14ac:dyDescent="0.25">
      <c r="A1109" s="16" t="s">
        <v>2054</v>
      </c>
      <c r="B1109" s="16" t="str">
        <f>TEXT(PARTIDA[[#This Row],[PARTIDA]],"0000000000")</f>
        <v>1902300000</v>
      </c>
      <c r="C1109" s="16" t="s">
        <v>786</v>
      </c>
      <c r="D1109" s="16" t="s">
        <v>787</v>
      </c>
      <c r="E1109" s="16" t="s">
        <v>9429</v>
      </c>
      <c r="F1109" s="27" t="s">
        <v>10214</v>
      </c>
      <c r="G1109" s="27"/>
      <c r="H1109" s="16" t="str">
        <f>IF(ISBLANK(PARTIDAS!$G1109),PARTIDAS!$F1109,CONCATENATE(PARTIDAS!$F1109," (",PARTIDAS!$G1109,")"))</f>
        <v>Pastas alimenticias, incluso cocidas o rellenas (de carne u otras… (los demás, pastas alimenticias)</v>
      </c>
      <c r="I1109" s="16" t="s">
        <v>9427</v>
      </c>
    </row>
    <row r="1110" spans="1:9" x14ac:dyDescent="0.25">
      <c r="A1110" s="16" t="s">
        <v>2055</v>
      </c>
      <c r="B1110" s="16" t="str">
        <f>TEXT(PARTIDA[[#This Row],[PARTIDA]],"0000000000")</f>
        <v>1902400000</v>
      </c>
      <c r="C1110" s="16" t="s">
        <v>786</v>
      </c>
      <c r="D1110" s="16" t="s">
        <v>787</v>
      </c>
      <c r="E1110" s="16" t="s">
        <v>9429</v>
      </c>
      <c r="F1110" s="27" t="s">
        <v>10215</v>
      </c>
      <c r="G1110" s="27"/>
      <c r="H1110" s="16" t="str">
        <f>IF(ISBLANK(PARTIDAS!$G1110),PARTIDAS!$F1110,CONCATENATE(PARTIDAS!$F1110," (",PARTIDAS!$G1110,")"))</f>
        <v>Cuscús</v>
      </c>
      <c r="I1110" s="16" t="s">
        <v>9427</v>
      </c>
    </row>
    <row r="1111" spans="1:9" x14ac:dyDescent="0.25">
      <c r="A1111" s="16" t="s">
        <v>2056</v>
      </c>
      <c r="B1111" s="16" t="str">
        <f>TEXT(PARTIDA[[#This Row],[PARTIDA]],"0000000000")</f>
        <v>1903000000</v>
      </c>
      <c r="C1111" s="16" t="s">
        <v>786</v>
      </c>
      <c r="D1111" s="16" t="s">
        <v>787</v>
      </c>
      <c r="E1111" s="16" t="s">
        <v>9429</v>
      </c>
      <c r="F1111" s="27" t="s">
        <v>2057</v>
      </c>
      <c r="G1111" s="27"/>
      <c r="H1111" s="16" t="str">
        <f>IF(ISBLANK(PARTIDAS!$G1111),PARTIDAS!$F1111,CONCATENATE(PARTIDAS!$F1111," (",PARTIDAS!$G1111,")"))</f>
        <v>Tapioca y sus sucedáneos preparados con fécula,
en copos, grumos, granos perlados, cerniduras o
formas similares.</v>
      </c>
      <c r="I1111" s="16" t="s">
        <v>9427</v>
      </c>
    </row>
    <row r="1112" spans="1:9" x14ac:dyDescent="0.25">
      <c r="A1112" s="16" t="s">
        <v>2058</v>
      </c>
      <c r="B1112" s="16" t="str">
        <f>TEXT(PARTIDA[[#This Row],[PARTIDA]],"0000000000")</f>
        <v>1904100000</v>
      </c>
      <c r="C1112" s="16" t="s">
        <v>786</v>
      </c>
      <c r="D1112" s="16" t="s">
        <v>787</v>
      </c>
      <c r="E1112" s="16" t="s">
        <v>9429</v>
      </c>
      <c r="F1112" s="27" t="s">
        <v>1638</v>
      </c>
      <c r="G1112" s="27" t="s">
        <v>852</v>
      </c>
      <c r="H1112" s="16" t="str">
        <f>IF(ISBLANK(PARTIDAS!$G1112),PARTIDAS!$F1112,CONCATENATE(PARTIDAS!$F1112," (",PARTIDAS!$G1112,")"))</f>
        <v>Cereales (Especificar)</v>
      </c>
      <c r="I1112" s="16" t="s">
        <v>9427</v>
      </c>
    </row>
    <row r="1113" spans="1:9" x14ac:dyDescent="0.25">
      <c r="A1113" s="16" t="s">
        <v>2059</v>
      </c>
      <c r="B1113" s="16" t="str">
        <f>TEXT(PARTIDA[[#This Row],[PARTIDA]],"0000000000")</f>
        <v>1904200000</v>
      </c>
      <c r="C1113" s="16" t="s">
        <v>786</v>
      </c>
      <c r="D1113" s="16" t="s">
        <v>787</v>
      </c>
      <c r="E1113" s="16" t="s">
        <v>9429</v>
      </c>
      <c r="F1113" s="27" t="s">
        <v>1638</v>
      </c>
      <c r="G1113" s="27" t="s">
        <v>852</v>
      </c>
      <c r="H1113" s="16" t="str">
        <f>IF(ISBLANK(PARTIDAS!$G1113),PARTIDAS!$F1113,CONCATENATE(PARTIDAS!$F1113," (",PARTIDAS!$G1113,")"))</f>
        <v>Cereales (Especificar)</v>
      </c>
      <c r="I1113" s="16" t="s">
        <v>9427</v>
      </c>
    </row>
    <row r="1114" spans="1:9" x14ac:dyDescent="0.25">
      <c r="A1114" s="16" t="s">
        <v>2060</v>
      </c>
      <c r="B1114" s="16" t="str">
        <f>TEXT(PARTIDA[[#This Row],[PARTIDA]],"0000000000")</f>
        <v>1904300000</v>
      </c>
      <c r="C1114" s="16" t="s">
        <v>786</v>
      </c>
      <c r="D1114" s="16" t="s">
        <v>787</v>
      </c>
      <c r="E1114" s="16" t="s">
        <v>9429</v>
      </c>
      <c r="F1114" s="27" t="s">
        <v>10216</v>
      </c>
      <c r="G1114" s="27"/>
      <c r="H1114" s="16" t="str">
        <f>IF(ISBLANK(PARTIDAS!$G1114),PARTIDAS!$F1114,CONCATENATE(PARTIDAS!$F1114," (",PARTIDAS!$G1114,")"))</f>
        <v>Trigo bulgur</v>
      </c>
      <c r="I1114" s="16" t="s">
        <v>9427</v>
      </c>
    </row>
    <row r="1115" spans="1:9" x14ac:dyDescent="0.25">
      <c r="A1115" s="16" t="s">
        <v>2061</v>
      </c>
      <c r="B1115" s="16" t="str">
        <f>TEXT(PARTIDA[[#This Row],[PARTIDA]],"0000000000")</f>
        <v>1904900000</v>
      </c>
      <c r="C1115" s="16" t="s">
        <v>786</v>
      </c>
      <c r="D1115" s="16" t="s">
        <v>787</v>
      </c>
      <c r="E1115" s="16" t="s">
        <v>9429</v>
      </c>
      <c r="F1115" s="27" t="s">
        <v>1638</v>
      </c>
      <c r="G1115" s="27" t="s">
        <v>852</v>
      </c>
      <c r="H1115" s="16" t="str">
        <f>IF(ISBLANK(PARTIDAS!$G1115),PARTIDAS!$F1115,CONCATENATE(PARTIDAS!$F1115," (",PARTIDAS!$G1115,")"))</f>
        <v>Cereales (Especificar)</v>
      </c>
      <c r="I1115" s="16" t="s">
        <v>9477</v>
      </c>
    </row>
    <row r="1116" spans="1:9" x14ac:dyDescent="0.25">
      <c r="A1116" s="16" t="s">
        <v>2062</v>
      </c>
      <c r="B1116" s="16" t="str">
        <f>TEXT(PARTIDA[[#This Row],[PARTIDA]],"0000000000")</f>
        <v>1905100000</v>
      </c>
      <c r="C1116" s="16" t="s">
        <v>786</v>
      </c>
      <c r="D1116" s="16" t="s">
        <v>787</v>
      </c>
      <c r="E1116" s="16" t="s">
        <v>9429</v>
      </c>
      <c r="F1116" s="27" t="s">
        <v>10217</v>
      </c>
      <c r="G1116" s="27"/>
      <c r="H1116" s="16" t="str">
        <f>IF(ISBLANK(PARTIDAS!$G1116),PARTIDAS!$F1116,CONCATENATE(PARTIDAS!$F1116," (",PARTIDAS!$G1116,")"))</f>
        <v>Pan crujiente llamado «Knäckebrot»</v>
      </c>
      <c r="I1116" s="16" t="s">
        <v>9427</v>
      </c>
    </row>
    <row r="1117" spans="1:9" x14ac:dyDescent="0.25">
      <c r="A1117" s="16" t="s">
        <v>2063</v>
      </c>
      <c r="B1117" s="16" t="str">
        <f>TEXT(PARTIDA[[#This Row],[PARTIDA]],"0000000000")</f>
        <v>1905200000</v>
      </c>
      <c r="C1117" s="16" t="s">
        <v>786</v>
      </c>
      <c r="D1117" s="16" t="s">
        <v>787</v>
      </c>
      <c r="E1117" s="16" t="s">
        <v>9429</v>
      </c>
      <c r="F1117" s="27" t="s">
        <v>10218</v>
      </c>
      <c r="G1117" s="27"/>
      <c r="H1117" s="16" t="str">
        <f>IF(ISBLANK(PARTIDAS!$G1117),PARTIDAS!$F1117,CONCATENATE(PARTIDAS!$F1117," (",PARTIDAS!$G1117,")"))</f>
        <v>Pan de especias</v>
      </c>
      <c r="I1117" s="16" t="s">
        <v>9427</v>
      </c>
    </row>
    <row r="1118" spans="1:9" x14ac:dyDescent="0.25">
      <c r="A1118" s="16" t="s">
        <v>2064</v>
      </c>
      <c r="B1118" s="16" t="str">
        <f>TEXT(PARTIDA[[#This Row],[PARTIDA]],"0000000000")</f>
        <v>1905310000</v>
      </c>
      <c r="C1118" s="16" t="s">
        <v>786</v>
      </c>
      <c r="D1118" s="16" t="s">
        <v>787</v>
      </c>
      <c r="E1118" s="16" t="s">
        <v>9429</v>
      </c>
      <c r="F1118" s="27" t="s">
        <v>2017</v>
      </c>
      <c r="G1118" s="27"/>
      <c r="H1118" s="16" t="str">
        <f>IF(ISBLANK(PARTIDAS!$G1118),PARTIDAS!$F1118,CONCATENATE(PARTIDAS!$F1118," (",PARTIDAS!$G1118,")"))</f>
        <v>Golosinas</v>
      </c>
      <c r="I1118" s="16" t="s">
        <v>9477</v>
      </c>
    </row>
    <row r="1119" spans="1:9" x14ac:dyDescent="0.25">
      <c r="A1119" s="16" t="s">
        <v>2065</v>
      </c>
      <c r="B1119" s="16" t="str">
        <f>TEXT(PARTIDA[[#This Row],[PARTIDA]],"0000000000")</f>
        <v>1905320000</v>
      </c>
      <c r="C1119" s="16" t="s">
        <v>786</v>
      </c>
      <c r="D1119" s="16" t="s">
        <v>787</v>
      </c>
      <c r="E1119" s="16" t="s">
        <v>9429</v>
      </c>
      <c r="F1119" s="27" t="s">
        <v>2017</v>
      </c>
      <c r="G1119" s="27"/>
      <c r="H1119" s="16" t="str">
        <f>IF(ISBLANK(PARTIDAS!$G1119),PARTIDAS!$F1119,CONCATENATE(PARTIDAS!$F1119," (",PARTIDAS!$G1119,")"))</f>
        <v>Golosinas</v>
      </c>
      <c r="I1119" s="16" t="s">
        <v>9477</v>
      </c>
    </row>
    <row r="1120" spans="1:9" x14ac:dyDescent="0.25">
      <c r="A1120" s="16" t="s">
        <v>2066</v>
      </c>
      <c r="B1120" s="16" t="str">
        <f>TEXT(PARTIDA[[#This Row],[PARTIDA]],"0000000000")</f>
        <v>1905400000</v>
      </c>
      <c r="C1120" s="16" t="s">
        <v>786</v>
      </c>
      <c r="D1120" s="16" t="s">
        <v>787</v>
      </c>
      <c r="E1120" s="16" t="s">
        <v>9429</v>
      </c>
      <c r="F1120" s="27" t="s">
        <v>10219</v>
      </c>
      <c r="G1120" s="27"/>
      <c r="H1120" s="16" t="str">
        <f>IF(ISBLANK(PARTIDAS!$G1120),PARTIDAS!$F1120,CONCATENATE(PARTIDAS!$F1120," (",PARTIDAS!$G1120,")"))</f>
        <v>Pan tostado y productos similares tostados</v>
      </c>
      <c r="I1120" s="16" t="s">
        <v>9427</v>
      </c>
    </row>
    <row r="1121" spans="1:9" x14ac:dyDescent="0.25">
      <c r="A1121" s="16" t="s">
        <v>2067</v>
      </c>
      <c r="B1121" s="16" t="str">
        <f>TEXT(PARTIDA[[#This Row],[PARTIDA]],"0000000000")</f>
        <v>1905901000</v>
      </c>
      <c r="C1121" s="16" t="s">
        <v>786</v>
      </c>
      <c r="D1121" s="16" t="s">
        <v>787</v>
      </c>
      <c r="E1121" s="16" t="s">
        <v>9429</v>
      </c>
      <c r="F1121" s="27" t="s">
        <v>9236</v>
      </c>
      <c r="G1121" s="27"/>
      <c r="H1121" s="16" t="str">
        <f>IF(ISBLANK(PARTIDAS!$G1121),PARTIDAS!$F1121,CONCATENATE(PARTIDAS!$F1121," (",PARTIDAS!$G1121,")"))</f>
        <v>Galletas saladas o aromatizadas</v>
      </c>
      <c r="I1121" s="16" t="s">
        <v>9477</v>
      </c>
    </row>
    <row r="1122" spans="1:9" x14ac:dyDescent="0.25">
      <c r="A1122" s="16" t="s">
        <v>2068</v>
      </c>
      <c r="B1122" s="16" t="str">
        <f>TEXT(PARTIDA[[#This Row],[PARTIDA]],"0000000000")</f>
        <v>1905909000</v>
      </c>
      <c r="C1122" s="16" t="s">
        <v>786</v>
      </c>
      <c r="D1122" s="16" t="s">
        <v>787</v>
      </c>
      <c r="E1122" s="16" t="s">
        <v>9429</v>
      </c>
      <c r="F1122" s="27" t="s">
        <v>2017</v>
      </c>
      <c r="G1122" s="27"/>
      <c r="H1122" s="16" t="str">
        <f>IF(ISBLANK(PARTIDAS!$G1122),PARTIDAS!$F1122,CONCATENATE(PARTIDAS!$F1122," (",PARTIDAS!$G1122,")"))</f>
        <v>Golosinas</v>
      </c>
      <c r="I1122" s="16" t="s">
        <v>9477</v>
      </c>
    </row>
    <row r="1123" spans="1:9" x14ac:dyDescent="0.25">
      <c r="A1123" s="16" t="s">
        <v>2069</v>
      </c>
      <c r="B1123" s="16" t="str">
        <f>TEXT(PARTIDA[[#This Row],[PARTIDA]],"0000000000")</f>
        <v>2001100000</v>
      </c>
      <c r="C1123" s="16" t="s">
        <v>786</v>
      </c>
      <c r="D1123" s="16" t="s">
        <v>787</v>
      </c>
      <c r="E1123" s="16" t="s">
        <v>9429</v>
      </c>
      <c r="F1123" s="27" t="s">
        <v>9822</v>
      </c>
      <c r="G1123" s="27"/>
      <c r="H1123" s="16" t="str">
        <f>IF(ISBLANK(PARTIDAS!$G1123),PARTIDAS!$F1123,CONCATENATE(PARTIDAS!$F1123," (",PARTIDAS!$G1123,")"))</f>
        <v>Pepinos y pepinillos</v>
      </c>
      <c r="I1123" s="16" t="s">
        <v>9427</v>
      </c>
    </row>
    <row r="1124" spans="1:9" x14ac:dyDescent="0.25">
      <c r="A1124" s="16" t="s">
        <v>2070</v>
      </c>
      <c r="B1124" s="16" t="str">
        <f>TEXT(PARTIDA[[#This Row],[PARTIDA]],"0000000000")</f>
        <v>2001901000</v>
      </c>
      <c r="C1124" s="16" t="s">
        <v>786</v>
      </c>
      <c r="D1124" s="16" t="s">
        <v>787</v>
      </c>
      <c r="E1124" s="16" t="s">
        <v>9429</v>
      </c>
      <c r="F1124" s="27" t="s">
        <v>10220</v>
      </c>
      <c r="G1124" s="27"/>
      <c r="H1124" s="16" t="str">
        <f>IF(ISBLANK(PARTIDAS!$G1124),PARTIDAS!$F1124,CONCATENATE(PARTIDAS!$F1124," (",PARTIDAS!$G1124,")"))</f>
        <v>Hortalizas, frutas u otros frutos y demás partes comestibles de…, aceitunas</v>
      </c>
      <c r="I1124" s="16" t="s">
        <v>9427</v>
      </c>
    </row>
    <row r="1125" spans="1:9" x14ac:dyDescent="0.25">
      <c r="A1125" s="16" t="s">
        <v>2071</v>
      </c>
      <c r="B1125" s="16" t="str">
        <f>TEXT(PARTIDA[[#This Row],[PARTIDA]],"0000000000")</f>
        <v>2001909000</v>
      </c>
      <c r="C1125" s="16" t="s">
        <v>786</v>
      </c>
      <c r="D1125" s="16" t="s">
        <v>787</v>
      </c>
      <c r="E1125" s="16" t="s">
        <v>9429</v>
      </c>
      <c r="F1125" s="27" t="s">
        <v>2072</v>
      </c>
      <c r="G1125" s="27" t="s">
        <v>852</v>
      </c>
      <c r="H1125" s="16" t="str">
        <f>IF(ISBLANK(PARTIDAS!$G1125),PARTIDAS!$F1125,CONCATENATE(PARTIDAS!$F1125," (",PARTIDAS!$G1125,")"))</f>
        <v>Conservas de hortalizas (Especificar)</v>
      </c>
      <c r="I1125" s="16" t="s">
        <v>9427</v>
      </c>
    </row>
    <row r="1126" spans="1:9" x14ac:dyDescent="0.25">
      <c r="A1126" s="16" t="s">
        <v>2073</v>
      </c>
      <c r="B1126" s="16" t="str">
        <f>TEXT(PARTIDA[[#This Row],[PARTIDA]],"0000000000")</f>
        <v>2002100000</v>
      </c>
      <c r="C1126" s="16" t="s">
        <v>786</v>
      </c>
      <c r="D1126" s="16" t="s">
        <v>787</v>
      </c>
      <c r="E1126" s="16" t="s">
        <v>9429</v>
      </c>
      <c r="F1126" s="27" t="s">
        <v>10221</v>
      </c>
      <c r="G1126" s="27"/>
      <c r="H1126" s="16" t="str">
        <f>IF(ISBLANK(PARTIDAS!$G1126),PARTIDAS!$F1126,CONCATENATE(PARTIDAS!$F1126," (",PARTIDAS!$G1126,")"))</f>
        <v>Tomates enteros o en trozos</v>
      </c>
      <c r="I1126" s="16" t="s">
        <v>9427</v>
      </c>
    </row>
    <row r="1127" spans="1:9" x14ac:dyDescent="0.25">
      <c r="A1127" s="16" t="s">
        <v>2074</v>
      </c>
      <c r="B1127" s="16" t="str">
        <f>TEXT(PARTIDA[[#This Row],[PARTIDA]],"0000000000")</f>
        <v>2002900000</v>
      </c>
      <c r="C1127" s="16" t="s">
        <v>786</v>
      </c>
      <c r="D1127" s="16" t="s">
        <v>787</v>
      </c>
      <c r="E1127" s="16" t="s">
        <v>9429</v>
      </c>
      <c r="F1127" s="27" t="s">
        <v>10222</v>
      </c>
      <c r="G1127" s="27"/>
      <c r="H1127" s="16" t="str">
        <f>IF(ISBLANK(PARTIDAS!$G1127),PARTIDAS!$F1127,CONCATENATE(PARTIDAS!$F1127," (",PARTIDAS!$G1127,")"))</f>
        <v>Tomates preparados o conservados (los demás)</v>
      </c>
      <c r="I1127" s="16" t="s">
        <v>9427</v>
      </c>
    </row>
    <row r="1128" spans="1:9" x14ac:dyDescent="0.25">
      <c r="A1128" s="16" t="s">
        <v>2075</v>
      </c>
      <c r="B1128" s="16" t="str">
        <f>TEXT(PARTIDA[[#This Row],[PARTIDA]],"0000000000")</f>
        <v>2003100000</v>
      </c>
      <c r="C1128" s="16" t="s">
        <v>786</v>
      </c>
      <c r="D1128" s="16" t="s">
        <v>787</v>
      </c>
      <c r="E1128" s="16" t="s">
        <v>9429</v>
      </c>
      <c r="F1128" s="27" t="s">
        <v>9796</v>
      </c>
      <c r="G1128" s="27"/>
      <c r="H1128" s="16" t="str">
        <f>IF(ISBLANK(PARTIDAS!$G1128),PARTIDAS!$F1128,CONCATENATE(PARTIDAS!$F1128," (",PARTIDAS!$G1128,")"))</f>
        <v>Hongos del género Agaricus</v>
      </c>
      <c r="I1128" s="16" t="s">
        <v>9427</v>
      </c>
    </row>
    <row r="1129" spans="1:9" x14ac:dyDescent="0.25">
      <c r="A1129" s="16" t="s">
        <v>2076</v>
      </c>
      <c r="B1129" s="16" t="str">
        <f>TEXT(PARTIDA[[#This Row],[PARTIDA]],"0000000000")</f>
        <v>2003900000</v>
      </c>
      <c r="C1129" s="16" t="s">
        <v>786</v>
      </c>
      <c r="D1129" s="16" t="s">
        <v>787</v>
      </c>
      <c r="E1129" s="16" t="s">
        <v>9429</v>
      </c>
      <c r="F1129" s="27" t="s">
        <v>10223</v>
      </c>
      <c r="G1129" s="27"/>
      <c r="H1129" s="16" t="str">
        <f>IF(ISBLANK(PARTIDAS!$G1129),PARTIDAS!$F1129,CONCATENATE(PARTIDAS!$F1129," (",PARTIDAS!$G1129,")"))</f>
        <v>Hongos y trufas, preparados o conservados (los demás)</v>
      </c>
      <c r="I1129" s="16" t="s">
        <v>9427</v>
      </c>
    </row>
    <row r="1130" spans="1:9" x14ac:dyDescent="0.25">
      <c r="A1130" s="16" t="s">
        <v>2077</v>
      </c>
      <c r="B1130" s="16" t="str">
        <f>TEXT(PARTIDA[[#This Row],[PARTIDA]],"0000000000")</f>
        <v>2004100000</v>
      </c>
      <c r="C1130" s="16" t="s">
        <v>786</v>
      </c>
      <c r="D1130" s="16" t="s">
        <v>787</v>
      </c>
      <c r="E1130" s="16" t="s">
        <v>9429</v>
      </c>
      <c r="F1130" s="27" t="s">
        <v>9814</v>
      </c>
      <c r="G1130" s="27"/>
      <c r="H1130" s="16" t="str">
        <f>IF(ISBLANK(PARTIDAS!$G1130),PARTIDAS!$F1130,CONCATENATE(PARTIDAS!$F1130," (",PARTIDAS!$G1130,")"))</f>
        <v>Papas (patatas)</v>
      </c>
      <c r="I1130" s="16" t="s">
        <v>9427</v>
      </c>
    </row>
    <row r="1131" spans="1:9" x14ac:dyDescent="0.25">
      <c r="A1131" s="16" t="s">
        <v>2078</v>
      </c>
      <c r="B1131" s="16" t="str">
        <f>TEXT(PARTIDA[[#This Row],[PARTIDA]],"0000000000")</f>
        <v>2004900000</v>
      </c>
      <c r="C1131" s="16" t="s">
        <v>786</v>
      </c>
      <c r="D1131" s="16" t="s">
        <v>787</v>
      </c>
      <c r="E1131" s="16" t="s">
        <v>9429</v>
      </c>
      <c r="F1131" s="27" t="s">
        <v>10224</v>
      </c>
      <c r="G1131" s="27"/>
      <c r="H1131" s="16" t="str">
        <f>IF(ISBLANK(PARTIDAS!$G1131),PARTIDAS!$F1131,CONCATENATE(PARTIDAS!$F1131," (",PARTIDAS!$G1131,")"))</f>
        <v>Preparaciones de hortalizas, frutas u otros frutos o demás partes de… (los demás, hortalizas y las mezclas de hortalizas)</v>
      </c>
      <c r="I1131" s="16" t="s">
        <v>9427</v>
      </c>
    </row>
    <row r="1132" spans="1:9" x14ac:dyDescent="0.25">
      <c r="A1132" s="16" t="s">
        <v>2079</v>
      </c>
      <c r="B1132" s="16" t="str">
        <f>TEXT(PARTIDA[[#This Row],[PARTIDA]],"0000000000")</f>
        <v>2005100000</v>
      </c>
      <c r="C1132" s="16" t="s">
        <v>786</v>
      </c>
      <c r="D1132" s="16" t="s">
        <v>787</v>
      </c>
      <c r="E1132" s="16" t="s">
        <v>9429</v>
      </c>
      <c r="F1132" s="27" t="s">
        <v>10225</v>
      </c>
      <c r="G1132" s="27"/>
      <c r="H1132" s="16" t="str">
        <f>IF(ISBLANK(PARTIDAS!$G1132),PARTIDAS!$F1132,CONCATENATE(PARTIDAS!$F1132," (",PARTIDAS!$G1132,")"))</f>
        <v>Hortalizas homogeneizadas</v>
      </c>
      <c r="I1132" s="16" t="s">
        <v>9427</v>
      </c>
    </row>
    <row r="1133" spans="1:9" x14ac:dyDescent="0.25">
      <c r="A1133" s="16" t="s">
        <v>2080</v>
      </c>
      <c r="B1133" s="16" t="str">
        <f>TEXT(PARTIDA[[#This Row],[PARTIDA]],"0000000000")</f>
        <v>2005200000</v>
      </c>
      <c r="C1133" s="16" t="s">
        <v>786</v>
      </c>
      <c r="D1133" s="16" t="s">
        <v>787</v>
      </c>
      <c r="E1133" s="16" t="s">
        <v>9429</v>
      </c>
      <c r="F1133" s="27" t="s">
        <v>9814</v>
      </c>
      <c r="G1133" s="27"/>
      <c r="H1133" s="16" t="str">
        <f>IF(ISBLANK(PARTIDAS!$G1133),PARTIDAS!$F1133,CONCATENATE(PARTIDAS!$F1133," (",PARTIDAS!$G1133,")"))</f>
        <v>Papas (patatas)</v>
      </c>
      <c r="I1133" s="16" t="s">
        <v>9427</v>
      </c>
    </row>
    <row r="1134" spans="1:9" x14ac:dyDescent="0.25">
      <c r="A1134" s="16" t="s">
        <v>2081</v>
      </c>
      <c r="B1134" s="16" t="str">
        <f>TEXT(PARTIDA[[#This Row],[PARTIDA]],"0000000000")</f>
        <v>2005400000</v>
      </c>
      <c r="C1134" s="16" t="s">
        <v>786</v>
      </c>
      <c r="D1134" s="16" t="s">
        <v>787</v>
      </c>
      <c r="E1134" s="16" t="s">
        <v>9429</v>
      </c>
      <c r="F1134" s="27" t="s">
        <v>9792</v>
      </c>
      <c r="G1134" s="27"/>
      <c r="H1134" s="16" t="str">
        <f>IF(ISBLANK(PARTIDAS!$G1134),PARTIDAS!$F1134,CONCATENATE(PARTIDAS!$F1134," (",PARTIDAS!$G1134,")"))</f>
        <v>Arvejas (guisantes, chícharos) (Pisum sativum)</v>
      </c>
      <c r="I1134" s="16" t="s">
        <v>9427</v>
      </c>
    </row>
    <row r="1135" spans="1:9" x14ac:dyDescent="0.25">
      <c r="A1135" s="16" t="s">
        <v>2082</v>
      </c>
      <c r="B1135" s="16" t="str">
        <f>TEXT(PARTIDA[[#This Row],[PARTIDA]],"0000000000")</f>
        <v>2005510000</v>
      </c>
      <c r="C1135" s="16" t="s">
        <v>786</v>
      </c>
      <c r="D1135" s="16" t="s">
        <v>787</v>
      </c>
      <c r="E1135" s="16" t="s">
        <v>9429</v>
      </c>
      <c r="F1135" s="27" t="s">
        <v>10226</v>
      </c>
      <c r="G1135" s="27"/>
      <c r="H1135" s="16" t="str">
        <f>IF(ISBLANK(PARTIDAS!$G1135),PARTIDAS!$F1135,CONCATENATE(PARTIDAS!$F1135," (",PARTIDAS!$G1135,")"))</f>
        <v>Frijoles (fréjoles, porotos, alubias, judías) (Vigna spp., Phaseolus…, desvainados</v>
      </c>
      <c r="I1135" s="16" t="s">
        <v>9427</v>
      </c>
    </row>
    <row r="1136" spans="1:9" x14ac:dyDescent="0.25">
      <c r="A1136" s="16" t="s">
        <v>2083</v>
      </c>
      <c r="B1136" s="16" t="str">
        <f>TEXT(PARTIDA[[#This Row],[PARTIDA]],"0000000000")</f>
        <v>2005590000</v>
      </c>
      <c r="C1136" s="16" t="s">
        <v>786</v>
      </c>
      <c r="D1136" s="16" t="s">
        <v>787</v>
      </c>
      <c r="E1136" s="16" t="s">
        <v>9429</v>
      </c>
      <c r="F1136" s="27" t="s">
        <v>9849</v>
      </c>
      <c r="G1136" s="27"/>
      <c r="H1136" s="16" t="str">
        <f>IF(ISBLANK(PARTIDAS!$G1136),PARTIDAS!$F1136,CONCATENATE(PARTIDAS!$F1136," (",PARTIDAS!$G1136,")"))</f>
        <v>Frijoles (fréjoles, porotos, alubias, judías) (Vigna spp., Phaseolus… (los demás)</v>
      </c>
      <c r="I1136" s="16" t="s">
        <v>9427</v>
      </c>
    </row>
    <row r="1137" spans="1:9" x14ac:dyDescent="0.25">
      <c r="A1137" s="16" t="s">
        <v>2084</v>
      </c>
      <c r="B1137" s="16" t="str">
        <f>TEXT(PARTIDA[[#This Row],[PARTIDA]],"0000000000")</f>
        <v>2005600000</v>
      </c>
      <c r="C1137" s="16" t="s">
        <v>786</v>
      </c>
      <c r="D1137" s="16" t="s">
        <v>787</v>
      </c>
      <c r="E1137" s="16" t="s">
        <v>9429</v>
      </c>
      <c r="F1137" s="27" t="s">
        <v>2085</v>
      </c>
      <c r="G1137" s="27"/>
      <c r="H1137" s="16" t="str">
        <f>IF(ISBLANK(PARTIDAS!$G1137),PARTIDAS!$F1137,CONCATENATE(PARTIDAS!$F1137," (",PARTIDAS!$G1137,")"))</f>
        <v>Espárragos</v>
      </c>
      <c r="I1137" s="16" t="s">
        <v>9427</v>
      </c>
    </row>
    <row r="1138" spans="1:9" x14ac:dyDescent="0.25">
      <c r="A1138" s="16" t="s">
        <v>2086</v>
      </c>
      <c r="B1138" s="16" t="str">
        <f>TEXT(PARTIDA[[#This Row],[PARTIDA]],"0000000000")</f>
        <v>2005700000</v>
      </c>
      <c r="C1138" s="16" t="s">
        <v>786</v>
      </c>
      <c r="D1138" s="16" t="s">
        <v>787</v>
      </c>
      <c r="E1138" s="16" t="s">
        <v>9429</v>
      </c>
      <c r="F1138" s="27" t="s">
        <v>9821</v>
      </c>
      <c r="G1138" s="27"/>
      <c r="H1138" s="16" t="str">
        <f>IF(ISBLANK(PARTIDAS!$G1138),PARTIDAS!$F1138,CONCATENATE(PARTIDAS!$F1138," (",PARTIDAS!$G1138,")"))</f>
        <v>Aceitunas</v>
      </c>
      <c r="I1138" s="16" t="s">
        <v>9427</v>
      </c>
    </row>
    <row r="1139" spans="1:9" x14ac:dyDescent="0.25">
      <c r="A1139" s="16" t="s">
        <v>2087</v>
      </c>
      <c r="B1139" s="16" t="str">
        <f>TEXT(PARTIDA[[#This Row],[PARTIDA]],"0000000000")</f>
        <v>2005800000</v>
      </c>
      <c r="C1139" s="16" t="s">
        <v>786</v>
      </c>
      <c r="D1139" s="16" t="s">
        <v>787</v>
      </c>
      <c r="E1139" s="16" t="s">
        <v>9429</v>
      </c>
      <c r="F1139" s="27" t="s">
        <v>1381</v>
      </c>
      <c r="G1139" s="27"/>
      <c r="H1139" s="16" t="str">
        <f>IF(ISBLANK(PARTIDAS!$G1139),PARTIDAS!$F1139,CONCATENATE(PARTIDAS!$F1139," (",PARTIDAS!$G1139,")"))</f>
        <v>Maíz dulce (Zea mays var. saccharata)</v>
      </c>
      <c r="I1139" s="16" t="s">
        <v>9427</v>
      </c>
    </row>
    <row r="1140" spans="1:9" x14ac:dyDescent="0.25">
      <c r="A1140" s="16" t="s">
        <v>2088</v>
      </c>
      <c r="B1140" s="16" t="str">
        <f>TEXT(PARTIDA[[#This Row],[PARTIDA]],"0000000000")</f>
        <v>2005910000</v>
      </c>
      <c r="C1140" s="16" t="s">
        <v>786</v>
      </c>
      <c r="D1140" s="16" t="s">
        <v>787</v>
      </c>
      <c r="E1140" s="16" t="s">
        <v>9429</v>
      </c>
      <c r="F1140" s="27" t="s">
        <v>10227</v>
      </c>
      <c r="G1140" s="27"/>
      <c r="H1140" s="16" t="str">
        <f>IF(ISBLANK(PARTIDAS!$G1140),PARTIDAS!$F1140,CONCATENATE(PARTIDAS!$F1140," (",PARTIDAS!$G1140,")"))</f>
        <v>Brotes de bambú</v>
      </c>
      <c r="I1140" s="16" t="s">
        <v>9427</v>
      </c>
    </row>
    <row r="1141" spans="1:9" x14ac:dyDescent="0.25">
      <c r="A1141" s="16" t="s">
        <v>2089</v>
      </c>
      <c r="B1141" s="16" t="str">
        <f>TEXT(PARTIDA[[#This Row],[PARTIDA]],"0000000000")</f>
        <v>2005991000</v>
      </c>
      <c r="C1141" s="16" t="s">
        <v>786</v>
      </c>
      <c r="D1141" s="16" t="s">
        <v>787</v>
      </c>
      <c r="E1141" s="16" t="s">
        <v>9429</v>
      </c>
      <c r="F1141" s="27" t="s">
        <v>2090</v>
      </c>
      <c r="G1141" s="27"/>
      <c r="H1141" s="16" t="str">
        <f>IF(ISBLANK(PARTIDAS!$G1141),PARTIDAS!$F1141,CONCATENATE(PARTIDAS!$F1141," (",PARTIDAS!$G1141,")"))</f>
        <v>Alcachofas</v>
      </c>
      <c r="I1141" s="16" t="s">
        <v>9427</v>
      </c>
    </row>
    <row r="1142" spans="1:9" x14ac:dyDescent="0.25">
      <c r="A1142" s="16" t="s">
        <v>2091</v>
      </c>
      <c r="B1142" s="16" t="str">
        <f>TEXT(PARTIDA[[#This Row],[PARTIDA]],"0000000000")</f>
        <v>2005992000</v>
      </c>
      <c r="C1142" s="16" t="s">
        <v>786</v>
      </c>
      <c r="D1142" s="16" t="s">
        <v>787</v>
      </c>
      <c r="E1142" s="16" t="s">
        <v>9429</v>
      </c>
      <c r="F1142" s="27" t="s">
        <v>2092</v>
      </c>
      <c r="G1142" s="27"/>
      <c r="H1142" s="16" t="str">
        <f>IF(ISBLANK(PARTIDAS!$G1142),PARTIDAS!$F1142,CONCATENATE(PARTIDAS!$F1142," (",PARTIDAS!$G1142,")"))</f>
        <v>Pimiento piquillo</v>
      </c>
      <c r="I1142" s="16" t="s">
        <v>9648</v>
      </c>
    </row>
    <row r="1143" spans="1:9" x14ac:dyDescent="0.25">
      <c r="A1143" s="16" t="s">
        <v>10228</v>
      </c>
      <c r="B1143" s="16" t="str">
        <f>TEXT(PARTIDA[[#This Row],[PARTIDA]],"0000000000")</f>
        <v>2005993110</v>
      </c>
      <c r="C1143" s="16" t="s">
        <v>786</v>
      </c>
      <c r="D1143" s="16" t="s">
        <v>787</v>
      </c>
      <c r="E1143" s="16" t="s">
        <v>9429</v>
      </c>
      <c r="F1143" s="27" t="s">
        <v>2092</v>
      </c>
      <c r="G1143" s="27"/>
      <c r="H1143" s="16" t="str">
        <f>IF(ISBLANK(PARTIDAS!$G1143),PARTIDAS!$F1143,CONCATENATE(PARTIDAS!$F1143," (",PARTIDAS!$G1143,")"))</f>
        <v>Pimiento piquillo</v>
      </c>
      <c r="I1143" s="16" t="s">
        <v>9427</v>
      </c>
    </row>
    <row r="1144" spans="1:9" x14ac:dyDescent="0.25">
      <c r="A1144" s="16" t="s">
        <v>10229</v>
      </c>
      <c r="B1144" s="16" t="str">
        <f>TEXT(PARTIDA[[#This Row],[PARTIDA]],"0000000000")</f>
        <v>2005993120</v>
      </c>
      <c r="C1144" s="16" t="s">
        <v>786</v>
      </c>
      <c r="D1144" s="16" t="s">
        <v>787</v>
      </c>
      <c r="E1144" s="16" t="s">
        <v>9429</v>
      </c>
      <c r="F1144" s="27" t="s">
        <v>10230</v>
      </c>
      <c r="G1144" s="27"/>
      <c r="H1144" s="16" t="str">
        <f>IF(ISBLANK(PARTIDAS!$G1144),PARTIDAS!$F1144,CONCATENATE(PARTIDAS!$F1144," (",PARTIDAS!$G1144,")"))</f>
        <v>Pimiento morrón</v>
      </c>
      <c r="I1144" s="16" t="s">
        <v>9427</v>
      </c>
    </row>
    <row r="1145" spans="1:9" x14ac:dyDescent="0.25">
      <c r="A1145" s="16" t="s">
        <v>2093</v>
      </c>
      <c r="B1145" s="16" t="str">
        <f>TEXT(PARTIDA[[#This Row],[PARTIDA]],"0000000000")</f>
        <v>2005993190</v>
      </c>
      <c r="C1145" s="16" t="s">
        <v>786</v>
      </c>
      <c r="D1145" s="16" t="s">
        <v>787</v>
      </c>
      <c r="E1145" s="16" t="s">
        <v>9429</v>
      </c>
      <c r="F1145" s="27" t="s">
        <v>2072</v>
      </c>
      <c r="G1145" s="27" t="s">
        <v>852</v>
      </c>
      <c r="H1145" s="16" t="str">
        <f>IF(ISBLANK(PARTIDAS!$G1145),PARTIDAS!$F1145,CONCATENATE(PARTIDAS!$F1145," (",PARTIDAS!$G1145,")"))</f>
        <v>Conservas de hortalizas (Especificar)</v>
      </c>
      <c r="I1145" s="16" t="s">
        <v>9427</v>
      </c>
    </row>
    <row r="1146" spans="1:9" x14ac:dyDescent="0.25">
      <c r="A1146" s="16" t="s">
        <v>10231</v>
      </c>
      <c r="B1146" s="16" t="str">
        <f>TEXT(PARTIDA[[#This Row],[PARTIDA]],"0000000000")</f>
        <v>2005993900</v>
      </c>
      <c r="C1146" s="16" t="s">
        <v>786</v>
      </c>
      <c r="D1146" s="16" t="s">
        <v>787</v>
      </c>
      <c r="E1146" s="16" t="s">
        <v>9429</v>
      </c>
      <c r="F1146" s="27" t="s">
        <v>10232</v>
      </c>
      <c r="G1146" s="27"/>
      <c r="H1146" s="16" t="str">
        <f>IF(ISBLANK(PARTIDAS!$G1146),PARTIDAS!$F1146,CONCATENATE(PARTIDAS!$F1146," (",PARTIDAS!$G1146,")"))</f>
        <v>Frutos de los géneros Capsicum o Pimienta (los demás)</v>
      </c>
      <c r="I1146" s="16" t="s">
        <v>9427</v>
      </c>
    </row>
    <row r="1147" spans="1:9" x14ac:dyDescent="0.25">
      <c r="A1147" s="16" t="s">
        <v>2094</v>
      </c>
      <c r="B1147" s="16" t="str">
        <f>TEXT(PARTIDA[[#This Row],[PARTIDA]],"0000000000")</f>
        <v>2005999000</v>
      </c>
      <c r="C1147" s="16" t="s">
        <v>786</v>
      </c>
      <c r="D1147" s="16" t="s">
        <v>787</v>
      </c>
      <c r="E1147" s="16" t="s">
        <v>9429</v>
      </c>
      <c r="F1147" s="27" t="s">
        <v>10233</v>
      </c>
      <c r="G1147" s="27"/>
      <c r="H1147" s="16" t="str">
        <f>IF(ISBLANK(PARTIDAS!$G1147),PARTIDAS!$F1147,CONCATENATE(PARTIDAS!$F1147," (",PARTIDAS!$G1147,")"))</f>
        <v>Preparaciones de hortalizas, frutas u otros frutos o demás partes de… (los demás)</v>
      </c>
      <c r="I1147" s="16" t="s">
        <v>9427</v>
      </c>
    </row>
    <row r="1148" spans="1:9" x14ac:dyDescent="0.25">
      <c r="A1148" s="16" t="s">
        <v>2095</v>
      </c>
      <c r="B1148" s="16" t="str">
        <f>TEXT(PARTIDA[[#This Row],[PARTIDA]],"0000000000")</f>
        <v>2006000000</v>
      </c>
      <c r="C1148" s="16" t="s">
        <v>786</v>
      </c>
      <c r="D1148" s="16" t="s">
        <v>787</v>
      </c>
      <c r="E1148" s="16" t="s">
        <v>9429</v>
      </c>
      <c r="F1148" s="27" t="s">
        <v>2096</v>
      </c>
      <c r="G1148" s="27"/>
      <c r="H1148" s="16" t="str">
        <f>IF(ISBLANK(PARTIDAS!$G1148),PARTIDAS!$F1148,CONCATENATE(PARTIDAS!$F1148," (",PARTIDAS!$G1148,")"))</f>
        <v>Hortalizas, frutas u otros frutos o sus cortezas y
demás partes de plantas, confitados con azúcar
(almibarados, glaseados o escarchados).</v>
      </c>
      <c r="I1148" s="16" t="s">
        <v>9427</v>
      </c>
    </row>
    <row r="1149" spans="1:9" x14ac:dyDescent="0.25">
      <c r="A1149" s="16" t="s">
        <v>2097</v>
      </c>
      <c r="B1149" s="16" t="str">
        <f>TEXT(PARTIDA[[#This Row],[PARTIDA]],"0000000000")</f>
        <v>2007100000</v>
      </c>
      <c r="C1149" s="16" t="s">
        <v>786</v>
      </c>
      <c r="D1149" s="16" t="s">
        <v>787</v>
      </c>
      <c r="E1149" s="16" t="s">
        <v>9429</v>
      </c>
      <c r="F1149" s="27" t="s">
        <v>10136</v>
      </c>
      <c r="G1149" s="27"/>
      <c r="H1149" s="16" t="str">
        <f>IF(ISBLANK(PARTIDAS!$G1149),PARTIDAS!$F1149,CONCATENATE(PARTIDAS!$F1149," (",PARTIDAS!$G1149,")"))</f>
        <v>Preparaciones homogeneizadas</v>
      </c>
      <c r="I1149" s="16" t="s">
        <v>9427</v>
      </c>
    </row>
    <row r="1150" spans="1:9" x14ac:dyDescent="0.25">
      <c r="A1150" s="16" t="s">
        <v>2098</v>
      </c>
      <c r="B1150" s="16" t="str">
        <f>TEXT(PARTIDA[[#This Row],[PARTIDA]],"0000000000")</f>
        <v>2007911000</v>
      </c>
      <c r="C1150" s="16" t="s">
        <v>786</v>
      </c>
      <c r="D1150" s="16" t="s">
        <v>787</v>
      </c>
      <c r="E1150" s="16" t="s">
        <v>9429</v>
      </c>
      <c r="F1150" s="27" t="s">
        <v>2099</v>
      </c>
      <c r="G1150" s="27"/>
      <c r="H1150" s="16" t="str">
        <f>IF(ISBLANK(PARTIDAS!$G1150),PARTIDAS!$F1150,CONCATENATE(PARTIDAS!$F1150," (",PARTIDAS!$G1150,")"))</f>
        <v>Confituras, jaleas y mermeladas</v>
      </c>
      <c r="I1150" s="16" t="s">
        <v>9427</v>
      </c>
    </row>
    <row r="1151" spans="1:9" x14ac:dyDescent="0.25">
      <c r="A1151" s="16" t="s">
        <v>2100</v>
      </c>
      <c r="B1151" s="16" t="str">
        <f>TEXT(PARTIDA[[#This Row],[PARTIDA]],"0000000000")</f>
        <v>2007912000</v>
      </c>
      <c r="C1151" s="16" t="s">
        <v>786</v>
      </c>
      <c r="D1151" s="16" t="s">
        <v>787</v>
      </c>
      <c r="E1151" s="16" t="s">
        <v>9429</v>
      </c>
      <c r="F1151" s="27" t="s">
        <v>2105</v>
      </c>
      <c r="G1151" s="27"/>
      <c r="H1151" s="16" t="str">
        <f>IF(ISBLANK(PARTIDAS!$G1151),PARTIDAS!$F1151,CONCATENATE(PARTIDAS!$F1151," (",PARTIDAS!$G1151,")"))</f>
        <v>Purés y pastas</v>
      </c>
      <c r="I1151" s="16" t="s">
        <v>9427</v>
      </c>
    </row>
    <row r="1152" spans="1:9" x14ac:dyDescent="0.25">
      <c r="A1152" s="16" t="s">
        <v>2101</v>
      </c>
      <c r="B1152" s="16" t="str">
        <f>TEXT(PARTIDA[[#This Row],[PARTIDA]],"0000000000")</f>
        <v>2007991100</v>
      </c>
      <c r="C1152" s="16" t="s">
        <v>786</v>
      </c>
      <c r="D1152" s="16" t="s">
        <v>787</v>
      </c>
      <c r="E1152" s="16" t="s">
        <v>9429</v>
      </c>
      <c r="F1152" s="27" t="s">
        <v>2099</v>
      </c>
      <c r="G1152" s="27"/>
      <c r="H1152" s="16" t="str">
        <f>IF(ISBLANK(PARTIDAS!$G1152),PARTIDAS!$F1152,CONCATENATE(PARTIDAS!$F1152," (",PARTIDAS!$G1152,")"))</f>
        <v>Confituras, jaleas y mermeladas</v>
      </c>
      <c r="I1152" s="16" t="s">
        <v>9427</v>
      </c>
    </row>
    <row r="1153" spans="1:9" x14ac:dyDescent="0.25">
      <c r="A1153" s="16" t="s">
        <v>2102</v>
      </c>
      <c r="B1153" s="16" t="str">
        <f>TEXT(PARTIDA[[#This Row],[PARTIDA]],"0000000000")</f>
        <v>2007991200</v>
      </c>
      <c r="C1153" s="16" t="s">
        <v>786</v>
      </c>
      <c r="D1153" s="16" t="s">
        <v>787</v>
      </c>
      <c r="E1153" s="16" t="s">
        <v>9429</v>
      </c>
      <c r="F1153" s="27" t="s">
        <v>2105</v>
      </c>
      <c r="G1153" s="27"/>
      <c r="H1153" s="16" t="str">
        <f>IF(ISBLANK(PARTIDAS!$G1153),PARTIDAS!$F1153,CONCATENATE(PARTIDAS!$F1153," (",PARTIDAS!$G1153,")"))</f>
        <v>Purés y pastas</v>
      </c>
      <c r="I1153" s="16" t="s">
        <v>9427</v>
      </c>
    </row>
    <row r="1154" spans="1:9" x14ac:dyDescent="0.25">
      <c r="A1154" s="16" t="s">
        <v>2103</v>
      </c>
      <c r="B1154" s="16" t="str">
        <f>TEXT(PARTIDA[[#This Row],[PARTIDA]],"0000000000")</f>
        <v>2007999100</v>
      </c>
      <c r="C1154" s="16" t="s">
        <v>786</v>
      </c>
      <c r="D1154" s="16" t="s">
        <v>787</v>
      </c>
      <c r="E1154" s="16" t="s">
        <v>9429</v>
      </c>
      <c r="F1154" s="27" t="s">
        <v>2099</v>
      </c>
      <c r="G1154" s="27"/>
      <c r="H1154" s="16" t="str">
        <f>IF(ISBLANK(PARTIDAS!$G1154),PARTIDAS!$F1154,CONCATENATE(PARTIDAS!$F1154," (",PARTIDAS!$G1154,")"))</f>
        <v>Confituras, jaleas y mermeladas</v>
      </c>
      <c r="I1154" s="16" t="s">
        <v>9427</v>
      </c>
    </row>
    <row r="1155" spans="1:9" x14ac:dyDescent="0.25">
      <c r="A1155" s="16" t="s">
        <v>2104</v>
      </c>
      <c r="B1155" s="16" t="str">
        <f>TEXT(PARTIDA[[#This Row],[PARTIDA]],"0000000000")</f>
        <v>2007999200</v>
      </c>
      <c r="C1155" s="16" t="s">
        <v>786</v>
      </c>
      <c r="D1155" s="16" t="s">
        <v>787</v>
      </c>
      <c r="E1155" s="16" t="s">
        <v>9429</v>
      </c>
      <c r="F1155" s="27" t="s">
        <v>2105</v>
      </c>
      <c r="G1155" s="27"/>
      <c r="H1155" s="16" t="str">
        <f>IF(ISBLANK(PARTIDAS!$G1155),PARTIDAS!$F1155,CONCATENATE(PARTIDAS!$F1155," (",PARTIDAS!$G1155,")"))</f>
        <v>Purés y pastas</v>
      </c>
      <c r="I1155" s="16" t="s">
        <v>9427</v>
      </c>
    </row>
    <row r="1156" spans="1:9" x14ac:dyDescent="0.25">
      <c r="A1156" s="16" t="s">
        <v>2106</v>
      </c>
      <c r="B1156" s="16" t="str">
        <f>TEXT(PARTIDA[[#This Row],[PARTIDA]],"0000000000")</f>
        <v>2008111000</v>
      </c>
      <c r="C1156" s="16" t="s">
        <v>786</v>
      </c>
      <c r="D1156" s="16" t="s">
        <v>787</v>
      </c>
      <c r="E1156" s="16" t="s">
        <v>9429</v>
      </c>
      <c r="F1156" s="27" t="s">
        <v>10234</v>
      </c>
      <c r="G1156" s="27"/>
      <c r="H1156" s="16" t="str">
        <f>IF(ISBLANK(PARTIDAS!$G1156),PARTIDAS!$F1156,CONCATENATE(PARTIDAS!$F1156," (",PARTIDAS!$G1156,")"))</f>
        <v>Maníes (cacahuetes, cacahuates), manteca</v>
      </c>
      <c r="I1156" s="16" t="s">
        <v>9427</v>
      </c>
    </row>
    <row r="1157" spans="1:9" x14ac:dyDescent="0.25">
      <c r="A1157" s="16" t="s">
        <v>2107</v>
      </c>
      <c r="B1157" s="16" t="str">
        <f>TEXT(PARTIDA[[#This Row],[PARTIDA]],"0000000000")</f>
        <v>2008119000</v>
      </c>
      <c r="C1157" s="16" t="s">
        <v>786</v>
      </c>
      <c r="D1157" s="16" t="s">
        <v>787</v>
      </c>
      <c r="E1157" s="16" t="s">
        <v>9429</v>
      </c>
      <c r="F1157" s="27" t="s">
        <v>10235</v>
      </c>
      <c r="G1157" s="27"/>
      <c r="H1157" s="16" t="str">
        <f>IF(ISBLANK(PARTIDAS!$G1157),PARTIDAS!$F1157,CONCATENATE(PARTIDAS!$F1157," (",PARTIDAS!$G1157,")"))</f>
        <v>Maníes (cacahuetes, cacahuates) (los demás)</v>
      </c>
      <c r="I1157" s="16" t="s">
        <v>9427</v>
      </c>
    </row>
    <row r="1158" spans="1:9" x14ac:dyDescent="0.25">
      <c r="A1158" s="16" t="s">
        <v>2108</v>
      </c>
      <c r="B1158" s="16" t="str">
        <f>TEXT(PARTIDA[[#This Row],[PARTIDA]],"0000000000")</f>
        <v>2008191000</v>
      </c>
      <c r="C1158" s="16" t="s">
        <v>786</v>
      </c>
      <c r="D1158" s="16" t="s">
        <v>787</v>
      </c>
      <c r="E1158" s="16" t="s">
        <v>9429</v>
      </c>
      <c r="F1158" s="27" t="s">
        <v>10236</v>
      </c>
      <c r="G1158" s="27"/>
      <c r="H1158" s="16" t="str">
        <f>IF(ISBLANK(PARTIDAS!$G1158),PARTIDAS!$F1158,CONCATENATE(PARTIDAS!$F1158," (",PARTIDAS!$G1158,")"))</f>
        <v>Nueces de marañón (merey, cajuil, anacardo, «cajú»)</v>
      </c>
      <c r="I1158" s="16" t="s">
        <v>9427</v>
      </c>
    </row>
    <row r="1159" spans="1:9" x14ac:dyDescent="0.25">
      <c r="A1159" s="16" t="s">
        <v>2109</v>
      </c>
      <c r="B1159" s="16" t="str">
        <f>TEXT(PARTIDA[[#This Row],[PARTIDA]],"0000000000")</f>
        <v>2008192000</v>
      </c>
      <c r="C1159" s="16" t="s">
        <v>786</v>
      </c>
      <c r="D1159" s="16" t="s">
        <v>787</v>
      </c>
      <c r="E1159" s="16" t="s">
        <v>9429</v>
      </c>
      <c r="F1159" s="27" t="s">
        <v>10237</v>
      </c>
      <c r="G1159" s="27"/>
      <c r="H1159" s="16" t="str">
        <f>IF(ISBLANK(PARTIDAS!$G1159),PARTIDAS!$F1159,CONCATENATE(PARTIDAS!$F1159," (",PARTIDAS!$G1159,")"))</f>
        <v>Frutos de cáscara, maníes (cacahuetes, cacahuates) y demás semillas…, pistachos</v>
      </c>
      <c r="I1159" s="16" t="s">
        <v>9427</v>
      </c>
    </row>
    <row r="1160" spans="1:9" x14ac:dyDescent="0.25">
      <c r="A1160" s="16" t="s">
        <v>2110</v>
      </c>
      <c r="B1160" s="16" t="str">
        <f>TEXT(PARTIDA[[#This Row],[PARTIDA]],"0000000000")</f>
        <v>2008199000</v>
      </c>
      <c r="C1160" s="16" t="s">
        <v>786</v>
      </c>
      <c r="D1160" s="16" t="s">
        <v>787</v>
      </c>
      <c r="E1160" s="16" t="s">
        <v>9429</v>
      </c>
      <c r="F1160" s="27" t="s">
        <v>2111</v>
      </c>
      <c r="G1160" s="27" t="s">
        <v>1472</v>
      </c>
      <c r="H1160" s="16" t="str">
        <f>IF(ISBLANK(PARTIDAS!$G1160),PARTIDAS!$F1160,CONCATENATE(PARTIDAS!$F1160," (",PARTIDAS!$G1160,")"))</f>
        <v>Sacha inchi en snack (Verificar)</v>
      </c>
      <c r="I1160" s="16" t="s">
        <v>9427</v>
      </c>
    </row>
    <row r="1161" spans="1:9" x14ac:dyDescent="0.25">
      <c r="A1161" s="16" t="s">
        <v>2112</v>
      </c>
      <c r="B1161" s="16" t="str">
        <f>TEXT(PARTIDA[[#This Row],[PARTIDA]],"0000000000")</f>
        <v>2008201000</v>
      </c>
      <c r="C1161" s="16" t="s">
        <v>786</v>
      </c>
      <c r="D1161" s="16" t="s">
        <v>787</v>
      </c>
      <c r="E1161" s="16" t="s">
        <v>9429</v>
      </c>
      <c r="F1161" s="27" t="s">
        <v>2113</v>
      </c>
      <c r="G1161" s="27"/>
      <c r="H1161" s="16" t="str">
        <f>IF(ISBLANK(PARTIDAS!$G1161),PARTIDAS!$F1161,CONCATENATE(PARTIDAS!$F1161," (",PARTIDAS!$G1161,")"))</f>
        <v>Piñas conservadas</v>
      </c>
      <c r="I1161" s="16" t="s">
        <v>9427</v>
      </c>
    </row>
    <row r="1162" spans="1:9" x14ac:dyDescent="0.25">
      <c r="A1162" s="16" t="s">
        <v>2114</v>
      </c>
      <c r="B1162" s="16" t="str">
        <f>TEXT(PARTIDA[[#This Row],[PARTIDA]],"0000000000")</f>
        <v>2008209000</v>
      </c>
      <c r="C1162" s="16" t="s">
        <v>786</v>
      </c>
      <c r="D1162" s="16" t="s">
        <v>787</v>
      </c>
      <c r="E1162" s="16" t="s">
        <v>9429</v>
      </c>
      <c r="F1162" s="27" t="s">
        <v>10238</v>
      </c>
      <c r="G1162" s="27"/>
      <c r="H1162" s="16" t="str">
        <f>IF(ISBLANK(PARTIDAS!$G1162),PARTIDAS!$F1162,CONCATENATE(PARTIDAS!$F1162," (",PARTIDAS!$G1162,")"))</f>
        <v>Piñas (ananás) (los demás)</v>
      </c>
      <c r="I1162" s="16" t="s">
        <v>9427</v>
      </c>
    </row>
    <row r="1163" spans="1:9" x14ac:dyDescent="0.25">
      <c r="A1163" s="16" t="s">
        <v>2115</v>
      </c>
      <c r="B1163" s="16" t="str">
        <f>TEXT(PARTIDA[[#This Row],[PARTIDA]],"0000000000")</f>
        <v>2008300000</v>
      </c>
      <c r="C1163" s="16" t="s">
        <v>786</v>
      </c>
      <c r="D1163" s="16" t="s">
        <v>787</v>
      </c>
      <c r="E1163" s="16" t="s">
        <v>9429</v>
      </c>
      <c r="F1163" s="27" t="s">
        <v>10239</v>
      </c>
      <c r="G1163" s="27"/>
      <c r="H1163" s="16" t="str">
        <f>IF(ISBLANK(PARTIDAS!$G1163),PARTIDAS!$F1163,CONCATENATE(PARTIDAS!$F1163," (",PARTIDAS!$G1163,")"))</f>
        <v>Agrios (cítricos)</v>
      </c>
      <c r="I1163" s="16" t="s">
        <v>9427</v>
      </c>
    </row>
    <row r="1164" spans="1:9" x14ac:dyDescent="0.25">
      <c r="A1164" s="16" t="s">
        <v>2116</v>
      </c>
      <c r="B1164" s="16" t="str">
        <f>TEXT(PARTIDA[[#This Row],[PARTIDA]],"0000000000")</f>
        <v>2008400000</v>
      </c>
      <c r="C1164" s="16" t="s">
        <v>786</v>
      </c>
      <c r="D1164" s="16" t="s">
        <v>787</v>
      </c>
      <c r="E1164" s="16" t="s">
        <v>9429</v>
      </c>
      <c r="F1164" s="27" t="s">
        <v>9908</v>
      </c>
      <c r="G1164" s="27"/>
      <c r="H1164" s="16" t="str">
        <f>IF(ISBLANK(PARTIDAS!$G1164),PARTIDAS!$F1164,CONCATENATE(PARTIDAS!$F1164," (",PARTIDAS!$G1164,")"))</f>
        <v>Peras</v>
      </c>
      <c r="I1164" s="16" t="s">
        <v>9427</v>
      </c>
    </row>
    <row r="1165" spans="1:9" x14ac:dyDescent="0.25">
      <c r="A1165" s="16" t="s">
        <v>2117</v>
      </c>
      <c r="B1165" s="16" t="str">
        <f>TEXT(PARTIDA[[#This Row],[PARTIDA]],"0000000000")</f>
        <v>2008500000</v>
      </c>
      <c r="C1165" s="16" t="s">
        <v>786</v>
      </c>
      <c r="D1165" s="16" t="s">
        <v>787</v>
      </c>
      <c r="E1165" s="16" t="s">
        <v>9429</v>
      </c>
      <c r="F1165" s="27" t="s">
        <v>9910</v>
      </c>
      <c r="G1165" s="27"/>
      <c r="H1165" s="16" t="str">
        <f>IF(ISBLANK(PARTIDAS!$G1165),PARTIDAS!$F1165,CONCATENATE(PARTIDAS!$F1165," (",PARTIDAS!$G1165,")"))</f>
        <v>Damascos (albaricoques, chabacanos)</v>
      </c>
      <c r="I1165" s="16" t="s">
        <v>9427</v>
      </c>
    </row>
    <row r="1166" spans="1:9" x14ac:dyDescent="0.25">
      <c r="A1166" s="16" t="s">
        <v>2118</v>
      </c>
      <c r="B1166" s="16" t="str">
        <f>TEXT(PARTIDA[[#This Row],[PARTIDA]],"0000000000")</f>
        <v>2008601000</v>
      </c>
      <c r="C1166" s="16" t="s">
        <v>786</v>
      </c>
      <c r="D1166" s="16" t="s">
        <v>787</v>
      </c>
      <c r="E1166" s="16" t="s">
        <v>9429</v>
      </c>
      <c r="F1166" s="27" t="s">
        <v>10240</v>
      </c>
      <c r="G1166" s="27"/>
      <c r="H1166" s="16" t="str">
        <f>IF(ISBLANK(PARTIDAS!$G1166),PARTIDAS!$F1166,CONCATENATE(PARTIDAS!$F1166," (",PARTIDAS!$G1166,")"))</f>
        <v>Cerezas, en agua con adición de azúcar u otro edulcorante, incluido el jarabe</v>
      </c>
      <c r="I1166" s="16" t="s">
        <v>9427</v>
      </c>
    </row>
    <row r="1167" spans="1:9" x14ac:dyDescent="0.25">
      <c r="A1167" s="16" t="s">
        <v>2119</v>
      </c>
      <c r="B1167" s="16" t="str">
        <f>TEXT(PARTIDA[[#This Row],[PARTIDA]],"0000000000")</f>
        <v>2008609000</v>
      </c>
      <c r="C1167" s="16" t="s">
        <v>786</v>
      </c>
      <c r="D1167" s="16" t="s">
        <v>787</v>
      </c>
      <c r="E1167" s="16" t="s">
        <v>9429</v>
      </c>
      <c r="F1167" s="27" t="s">
        <v>9912</v>
      </c>
      <c r="G1167" s="27"/>
      <c r="H1167" s="16" t="str">
        <f>IF(ISBLANK(PARTIDAS!$G1167),PARTIDAS!$F1167,CONCATENATE(PARTIDAS!$F1167," (",PARTIDAS!$G1167,")"))</f>
        <v>Cerezas (los demás)</v>
      </c>
      <c r="I1167" s="16" t="s">
        <v>9427</v>
      </c>
    </row>
    <row r="1168" spans="1:9" x14ac:dyDescent="0.25">
      <c r="A1168" s="16" t="s">
        <v>2120</v>
      </c>
      <c r="B1168" s="16" t="str">
        <f>TEXT(PARTIDA[[#This Row],[PARTIDA]],"0000000000")</f>
        <v>2008702000</v>
      </c>
      <c r="C1168" s="16" t="s">
        <v>786</v>
      </c>
      <c r="D1168" s="16" t="s">
        <v>787</v>
      </c>
      <c r="E1168" s="16" t="s">
        <v>9429</v>
      </c>
      <c r="F1168" s="27" t="s">
        <v>10241</v>
      </c>
      <c r="G1168" s="27"/>
      <c r="H1168" s="16" t="str">
        <f>IF(ISBLANK(PARTIDAS!$G1168),PARTIDAS!$F1168,CONCATENATE(PARTIDAS!$F1168," (",PARTIDAS!$G1168,")"))</f>
        <v>Duraznos (melocotones), incluidos los griñones y nectarinas, en agua con adición de azúcar u otro edulcorante, incluido el jarabe</v>
      </c>
      <c r="I1168" s="16" t="s">
        <v>9427</v>
      </c>
    </row>
    <row r="1169" spans="1:9" x14ac:dyDescent="0.25">
      <c r="A1169" s="16" t="s">
        <v>2121</v>
      </c>
      <c r="B1169" s="16" t="str">
        <f>TEXT(PARTIDA[[#This Row],[PARTIDA]],"0000000000")</f>
        <v>2008709000</v>
      </c>
      <c r="C1169" s="16" t="s">
        <v>786</v>
      </c>
      <c r="D1169" s="16" t="s">
        <v>787</v>
      </c>
      <c r="E1169" s="16" t="s">
        <v>9429</v>
      </c>
      <c r="F1169" s="27" t="s">
        <v>10242</v>
      </c>
      <c r="G1169" s="27"/>
      <c r="H1169" s="16" t="str">
        <f>IF(ISBLANK(PARTIDAS!$G1169),PARTIDAS!$F1169,CONCATENATE(PARTIDAS!$F1169," (",PARTIDAS!$G1169,")"))</f>
        <v>Duraznos (melocotones), incluidos los griñones y nectarinas (los demás)</v>
      </c>
      <c r="I1169" s="16" t="s">
        <v>9427</v>
      </c>
    </row>
    <row r="1170" spans="1:9" x14ac:dyDescent="0.25">
      <c r="A1170" s="16" t="s">
        <v>2122</v>
      </c>
      <c r="B1170" s="16" t="str">
        <f>TEXT(PARTIDA[[#This Row],[PARTIDA]],"0000000000")</f>
        <v>2008800000</v>
      </c>
      <c r="C1170" s="16" t="s">
        <v>786</v>
      </c>
      <c r="D1170" s="16" t="s">
        <v>787</v>
      </c>
      <c r="E1170" s="16" t="s">
        <v>9429</v>
      </c>
      <c r="F1170" s="27" t="s">
        <v>9915</v>
      </c>
      <c r="G1170" s="27"/>
      <c r="H1170" s="16" t="str">
        <f>IF(ISBLANK(PARTIDAS!$G1170),PARTIDAS!$F1170,CONCATENATE(PARTIDAS!$F1170," (",PARTIDAS!$G1170,")"))</f>
        <v>Fresas (frutillas)</v>
      </c>
      <c r="I1170" s="16" t="s">
        <v>9427</v>
      </c>
    </row>
    <row r="1171" spans="1:9" x14ac:dyDescent="0.25">
      <c r="A1171" s="16" t="s">
        <v>2123</v>
      </c>
      <c r="B1171" s="16" t="str">
        <f>TEXT(PARTIDA[[#This Row],[PARTIDA]],"0000000000")</f>
        <v>2008910000</v>
      </c>
      <c r="C1171" s="16" t="s">
        <v>786</v>
      </c>
      <c r="D1171" s="16" t="s">
        <v>787</v>
      </c>
      <c r="E1171" s="16" t="s">
        <v>9429</v>
      </c>
      <c r="F1171" s="27" t="s">
        <v>2124</v>
      </c>
      <c r="G1171" s="27"/>
      <c r="H1171" s="16" t="str">
        <f>IF(ISBLANK(PARTIDAS!$G1171),PARTIDAS!$F1171,CONCATENATE(PARTIDAS!$F1171," (",PARTIDAS!$G1171,")"))</f>
        <v>Conservas de palmito</v>
      </c>
      <c r="I1171" s="16" t="s">
        <v>9477</v>
      </c>
    </row>
    <row r="1172" spans="1:9" x14ac:dyDescent="0.25">
      <c r="A1172" s="16" t="s">
        <v>2125</v>
      </c>
      <c r="B1172" s="16" t="str">
        <f>TEXT(PARTIDA[[#This Row],[PARTIDA]],"0000000000")</f>
        <v>2008930000</v>
      </c>
      <c r="C1172" s="16" t="s">
        <v>786</v>
      </c>
      <c r="D1172" s="16" t="s">
        <v>787</v>
      </c>
      <c r="E1172" s="16" t="s">
        <v>9429</v>
      </c>
      <c r="F1172" s="27" t="s">
        <v>10243</v>
      </c>
      <c r="G1172" s="27"/>
      <c r="H1172" s="16" t="str">
        <f>IF(ISBLANK(PARTIDAS!$G1172),PARTIDAS!$F1172,CONCATENATE(PARTIDAS!$F1172," (",PARTIDAS!$G1172,")"))</f>
        <v>Arándanos agrios, trepadores o palustres (Vaccinium macrocarpon, Vaccinium oxycoccos); arándanos rojos o encarnados (Vaccinium vitis-idaea)</v>
      </c>
      <c r="I1172" s="16" t="s">
        <v>9427</v>
      </c>
    </row>
    <row r="1173" spans="1:9" x14ac:dyDescent="0.25">
      <c r="A1173" s="16" t="s">
        <v>2126</v>
      </c>
      <c r="B1173" s="16" t="str">
        <f>TEXT(PARTIDA[[#This Row],[PARTIDA]],"0000000000")</f>
        <v>2008970000</v>
      </c>
      <c r="C1173" s="16" t="s">
        <v>786</v>
      </c>
      <c r="D1173" s="16" t="s">
        <v>787</v>
      </c>
      <c r="E1173" s="16" t="s">
        <v>9429</v>
      </c>
      <c r="F1173" s="27" t="s">
        <v>10244</v>
      </c>
      <c r="G1173" s="27"/>
      <c r="H1173" s="16" t="str">
        <f>IF(ISBLANK(PARTIDAS!$G1173),PARTIDAS!$F1173,CONCATENATE(PARTIDAS!$F1173," (",PARTIDAS!$G1173,")"))</f>
        <v>Frutas u otros frutos y demás partes comestibles de plantas…, mezclas</v>
      </c>
      <c r="I1173" s="16" t="s">
        <v>9427</v>
      </c>
    </row>
    <row r="1174" spans="1:9" x14ac:dyDescent="0.25">
      <c r="A1174" s="16" t="s">
        <v>2127</v>
      </c>
      <c r="B1174" s="16" t="str">
        <f>TEXT(PARTIDA[[#This Row],[PARTIDA]],"0000000000")</f>
        <v>2008992000</v>
      </c>
      <c r="C1174" s="16" t="s">
        <v>786</v>
      </c>
      <c r="D1174" s="16" t="s">
        <v>787</v>
      </c>
      <c r="E1174" s="16" t="s">
        <v>9429</v>
      </c>
      <c r="F1174" s="27" t="s">
        <v>10245</v>
      </c>
      <c r="G1174" s="27"/>
      <c r="H1174" s="16" t="str">
        <f>IF(ISBLANK(PARTIDAS!$G1174),PARTIDAS!$F1174,CONCATENATE(PARTIDAS!$F1174," (",PARTIDAS!$G1174,")"))</f>
        <v>Frutas u otros frutos y demás partes comestibles de plantas…, papayas</v>
      </c>
      <c r="I1174" s="16" t="s">
        <v>9427</v>
      </c>
    </row>
    <row r="1175" spans="1:9" x14ac:dyDescent="0.25">
      <c r="A1175" s="16" t="s">
        <v>2128</v>
      </c>
      <c r="B1175" s="16" t="str">
        <f>TEXT(PARTIDA[[#This Row],[PARTIDA]],"0000000000")</f>
        <v>2008993000</v>
      </c>
      <c r="C1175" s="16" t="s">
        <v>786</v>
      </c>
      <c r="D1175" s="16" t="s">
        <v>787</v>
      </c>
      <c r="E1175" s="16" t="s">
        <v>9429</v>
      </c>
      <c r="F1175" s="27" t="s">
        <v>10246</v>
      </c>
      <c r="G1175" s="27"/>
      <c r="H1175" s="16" t="str">
        <f>IF(ISBLANK(PARTIDAS!$G1175),PARTIDAS!$F1175,CONCATENATE(PARTIDAS!$F1175," (",PARTIDAS!$G1175,")"))</f>
        <v>Frutas u otros frutos y demás partes comestibles de plantas…, mangos</v>
      </c>
      <c r="I1175" s="16" t="s">
        <v>9427</v>
      </c>
    </row>
    <row r="1176" spans="1:9" x14ac:dyDescent="0.25">
      <c r="A1176" s="16" t="s">
        <v>2129</v>
      </c>
      <c r="B1176" s="16" t="str">
        <f>TEXT(PARTIDA[[#This Row],[PARTIDA]],"0000000000")</f>
        <v>2008999000</v>
      </c>
      <c r="C1176" s="16" t="s">
        <v>786</v>
      </c>
      <c r="D1176" s="16" t="s">
        <v>787</v>
      </c>
      <c r="E1176" s="16" t="s">
        <v>9429</v>
      </c>
      <c r="F1176" s="27" t="s">
        <v>1553</v>
      </c>
      <c r="G1176" s="27" t="s">
        <v>852</v>
      </c>
      <c r="H1176" s="16" t="str">
        <f>IF(ISBLANK(PARTIDAS!$G1176),PARTIDAS!$F1176,CONCATENATE(PARTIDAS!$F1176," (",PARTIDAS!$G1176,")"))</f>
        <v>Pulpa de fruta (Especificar)</v>
      </c>
      <c r="I1176" s="16" t="s">
        <v>9477</v>
      </c>
    </row>
    <row r="1177" spans="1:9" x14ac:dyDescent="0.25">
      <c r="A1177" s="16" t="s">
        <v>2130</v>
      </c>
      <c r="B1177" s="16" t="str">
        <f>TEXT(PARTIDA[[#This Row],[PARTIDA]],"0000000000")</f>
        <v>2009110000</v>
      </c>
      <c r="C1177" s="16" t="s">
        <v>786</v>
      </c>
      <c r="D1177" s="16" t="s">
        <v>787</v>
      </c>
      <c r="E1177" s="16" t="s">
        <v>9429</v>
      </c>
      <c r="F1177" s="27" t="s">
        <v>10247</v>
      </c>
      <c r="G1177" s="27"/>
      <c r="H1177" s="16" t="str">
        <f>IF(ISBLANK(PARTIDAS!$G1177),PARTIDAS!$F1177,CONCATENATE(PARTIDAS!$F1177," (",PARTIDAS!$G1177,")"))</f>
        <v>Jugo de naranja, congelado</v>
      </c>
      <c r="I1177" s="16" t="s">
        <v>9427</v>
      </c>
    </row>
    <row r="1178" spans="1:9" x14ac:dyDescent="0.25">
      <c r="A1178" s="16" t="s">
        <v>2131</v>
      </c>
      <c r="B1178" s="16" t="str">
        <f>TEXT(PARTIDA[[#This Row],[PARTIDA]],"0000000000")</f>
        <v>2009120000</v>
      </c>
      <c r="C1178" s="16" t="s">
        <v>786</v>
      </c>
      <c r="D1178" s="16" t="s">
        <v>787</v>
      </c>
      <c r="E1178" s="16" t="s">
        <v>9429</v>
      </c>
      <c r="F1178" s="27" t="s">
        <v>10248</v>
      </c>
      <c r="G1178" s="27"/>
      <c r="H1178" s="16" t="str">
        <f>IF(ISBLANK(PARTIDAS!$G1178),PARTIDAS!$F1178,CONCATENATE(PARTIDAS!$F1178," (",PARTIDAS!$G1178,")"))</f>
        <v>Jugo de naranja, sin congelar, de valor Brix inferior o igual a 20</v>
      </c>
      <c r="I1178" s="16" t="s">
        <v>9427</v>
      </c>
    </row>
    <row r="1179" spans="1:9" x14ac:dyDescent="0.25">
      <c r="A1179" s="16" t="s">
        <v>2132</v>
      </c>
      <c r="B1179" s="16" t="str">
        <f>TEXT(PARTIDA[[#This Row],[PARTIDA]],"0000000000")</f>
        <v>2009190000</v>
      </c>
      <c r="C1179" s="16" t="s">
        <v>786</v>
      </c>
      <c r="D1179" s="16" t="s">
        <v>787</v>
      </c>
      <c r="E1179" s="16" t="s">
        <v>9429</v>
      </c>
      <c r="F1179" s="27" t="s">
        <v>10249</v>
      </c>
      <c r="G1179" s="27"/>
      <c r="H1179" s="16" t="str">
        <f>IF(ISBLANK(PARTIDAS!$G1179),PARTIDAS!$F1179,CONCATENATE(PARTIDAS!$F1179," (",PARTIDAS!$G1179,")"))</f>
        <v>Jugo de naranja (los demás)</v>
      </c>
      <c r="I1179" s="16" t="s">
        <v>9427</v>
      </c>
    </row>
    <row r="1180" spans="1:9" x14ac:dyDescent="0.25">
      <c r="A1180" s="16" t="s">
        <v>2133</v>
      </c>
      <c r="B1180" s="16" t="str">
        <f>TEXT(PARTIDA[[#This Row],[PARTIDA]],"0000000000")</f>
        <v>2009210000</v>
      </c>
      <c r="C1180" s="16" t="s">
        <v>786</v>
      </c>
      <c r="D1180" s="16" t="s">
        <v>787</v>
      </c>
      <c r="E1180" s="16" t="s">
        <v>9429</v>
      </c>
      <c r="F1180" s="27" t="s">
        <v>10250</v>
      </c>
      <c r="G1180" s="27"/>
      <c r="H1180" s="16" t="str">
        <f>IF(ISBLANK(PARTIDAS!$G1180),PARTIDAS!$F1180,CONCATENATE(PARTIDAS!$F1180," (",PARTIDAS!$G1180,")"))</f>
        <v>Jugo de toronja, de valor Brix inferior o igual a 20</v>
      </c>
      <c r="I1180" s="16" t="s">
        <v>9427</v>
      </c>
    </row>
    <row r="1181" spans="1:9" x14ac:dyDescent="0.25">
      <c r="A1181" s="16" t="s">
        <v>2134</v>
      </c>
      <c r="B1181" s="16" t="str">
        <f>TEXT(PARTIDA[[#This Row],[PARTIDA]],"0000000000")</f>
        <v>2009290000</v>
      </c>
      <c r="C1181" s="16" t="s">
        <v>786</v>
      </c>
      <c r="D1181" s="16" t="s">
        <v>787</v>
      </c>
      <c r="E1181" s="16" t="s">
        <v>9429</v>
      </c>
      <c r="F1181" s="27" t="s">
        <v>10251</v>
      </c>
      <c r="G1181" s="27"/>
      <c r="H1181" s="16" t="str">
        <f>IF(ISBLANK(PARTIDAS!$G1181),PARTIDAS!$F1181,CONCATENATE(PARTIDAS!$F1181," (",PARTIDAS!$G1181,")"))</f>
        <v>Jugo de toronja (los demás)</v>
      </c>
      <c r="I1181" s="16" t="s">
        <v>9427</v>
      </c>
    </row>
    <row r="1182" spans="1:9" x14ac:dyDescent="0.25">
      <c r="A1182" s="16" t="s">
        <v>2135</v>
      </c>
      <c r="B1182" s="16" t="str">
        <f>TEXT(PARTIDA[[#This Row],[PARTIDA]],"0000000000")</f>
        <v>2009310000</v>
      </c>
      <c r="C1182" s="16" t="s">
        <v>786</v>
      </c>
      <c r="D1182" s="16" t="s">
        <v>787</v>
      </c>
      <c r="E1182" s="16" t="s">
        <v>9429</v>
      </c>
      <c r="F1182" s="27" t="s">
        <v>10252</v>
      </c>
      <c r="G1182" s="27"/>
      <c r="H1182" s="16" t="str">
        <f>IF(ISBLANK(PARTIDAS!$G1182),PARTIDAS!$F1182,CONCATENATE(PARTIDAS!$F1182," (",PARTIDAS!$G1182,")"))</f>
        <v>Jugo de cualquier otro agrio (cítrico), de valor Brix inferior o igual a 20</v>
      </c>
      <c r="I1182" s="16" t="s">
        <v>9427</v>
      </c>
    </row>
    <row r="1183" spans="1:9" x14ac:dyDescent="0.25">
      <c r="A1183" s="16" t="s">
        <v>2136</v>
      </c>
      <c r="B1183" s="16" t="str">
        <f>TEXT(PARTIDA[[#This Row],[PARTIDA]],"0000000000")</f>
        <v>2009391000</v>
      </c>
      <c r="C1183" s="16" t="s">
        <v>786</v>
      </c>
      <c r="D1183" s="16" t="s">
        <v>787</v>
      </c>
      <c r="E1183" s="16" t="s">
        <v>9429</v>
      </c>
      <c r="F1183" s="27" t="s">
        <v>10253</v>
      </c>
      <c r="G1183" s="27"/>
      <c r="H1183" s="16" t="str">
        <f>IF(ISBLANK(PARTIDAS!$G1183),PARTIDAS!$F1183,CONCATENATE(PARTIDAS!$F1183," (",PARTIDAS!$G1183,")"))</f>
        <v>Jugo de cualquier otro agrio (cítrico), de limón de la subpartida 0805.50.21</v>
      </c>
      <c r="I1183" s="16" t="s">
        <v>9427</v>
      </c>
    </row>
    <row r="1184" spans="1:9" x14ac:dyDescent="0.25">
      <c r="A1184" s="16" t="s">
        <v>2137</v>
      </c>
      <c r="B1184" s="16" t="str">
        <f>TEXT(PARTIDA[[#This Row],[PARTIDA]],"0000000000")</f>
        <v>2009399000</v>
      </c>
      <c r="C1184" s="16" t="s">
        <v>786</v>
      </c>
      <c r="D1184" s="16" t="s">
        <v>787</v>
      </c>
      <c r="E1184" s="16" t="s">
        <v>9429</v>
      </c>
      <c r="F1184" s="27" t="s">
        <v>10254</v>
      </c>
      <c r="G1184" s="27"/>
      <c r="H1184" s="16" t="str">
        <f>IF(ISBLANK(PARTIDAS!$G1184),PARTIDAS!$F1184,CONCATENATE(PARTIDAS!$F1184," (",PARTIDAS!$G1184,")"))</f>
        <v>Jugo de cualquier otro agrio (cítrico) (los demás)</v>
      </c>
      <c r="I1184" s="16" t="s">
        <v>9427</v>
      </c>
    </row>
    <row r="1185" spans="1:9" x14ac:dyDescent="0.25">
      <c r="A1185" s="16" t="s">
        <v>2138</v>
      </c>
      <c r="B1185" s="16" t="str">
        <f>TEXT(PARTIDA[[#This Row],[PARTIDA]],"0000000000")</f>
        <v>2009410000</v>
      </c>
      <c r="C1185" s="16" t="s">
        <v>786</v>
      </c>
      <c r="D1185" s="16" t="s">
        <v>787</v>
      </c>
      <c r="E1185" s="16" t="s">
        <v>9429</v>
      </c>
      <c r="F1185" s="27" t="s">
        <v>10255</v>
      </c>
      <c r="G1185" s="27"/>
      <c r="H1185" s="16" t="str">
        <f>IF(ISBLANK(PARTIDAS!$G1185),PARTIDAS!$F1185,CONCATENATE(PARTIDAS!$F1185," (",PARTIDAS!$G1185,")"))</f>
        <v>Jugo de piña (ananá), de valor Brix inferior o igual a 20</v>
      </c>
      <c r="I1185" s="16" t="s">
        <v>9427</v>
      </c>
    </row>
    <row r="1186" spans="1:9" x14ac:dyDescent="0.25">
      <c r="A1186" s="16" t="s">
        <v>2139</v>
      </c>
      <c r="B1186" s="16" t="str">
        <f>TEXT(PARTIDA[[#This Row],[PARTIDA]],"0000000000")</f>
        <v>2009490000</v>
      </c>
      <c r="C1186" s="16" t="s">
        <v>786</v>
      </c>
      <c r="D1186" s="16" t="s">
        <v>787</v>
      </c>
      <c r="E1186" s="16" t="s">
        <v>9429</v>
      </c>
      <c r="F1186" s="27" t="s">
        <v>10256</v>
      </c>
      <c r="G1186" s="27"/>
      <c r="H1186" s="16" t="str">
        <f>IF(ISBLANK(PARTIDAS!$G1186),PARTIDAS!$F1186,CONCATENATE(PARTIDAS!$F1186," (",PARTIDAS!$G1186,")"))</f>
        <v>Jugo de piña (ananá) (los demás)</v>
      </c>
      <c r="I1186" s="16" t="s">
        <v>9427</v>
      </c>
    </row>
    <row r="1187" spans="1:9" x14ac:dyDescent="0.25">
      <c r="A1187" s="16" t="s">
        <v>2140</v>
      </c>
      <c r="B1187" s="16" t="str">
        <f>TEXT(PARTIDA[[#This Row],[PARTIDA]],"0000000000")</f>
        <v>2009500000</v>
      </c>
      <c r="C1187" s="16" t="s">
        <v>786</v>
      </c>
      <c r="D1187" s="16" t="s">
        <v>787</v>
      </c>
      <c r="E1187" s="16" t="s">
        <v>9429</v>
      </c>
      <c r="F1187" s="27" t="s">
        <v>10257</v>
      </c>
      <c r="G1187" s="27"/>
      <c r="H1187" s="16" t="str">
        <f>IF(ISBLANK(PARTIDAS!$G1187),PARTIDAS!$F1187,CONCATENATE(PARTIDAS!$F1187," (",PARTIDAS!$G1187,")"))</f>
        <v>Jugo de tomate</v>
      </c>
      <c r="I1187" s="16" t="s">
        <v>9427</v>
      </c>
    </row>
    <row r="1188" spans="1:9" x14ac:dyDescent="0.25">
      <c r="A1188" s="16" t="s">
        <v>2141</v>
      </c>
      <c r="B1188" s="16" t="str">
        <f>TEXT(PARTIDA[[#This Row],[PARTIDA]],"0000000000")</f>
        <v>2009610000</v>
      </c>
      <c r="C1188" s="16" t="s">
        <v>786</v>
      </c>
      <c r="D1188" s="16" t="s">
        <v>787</v>
      </c>
      <c r="E1188" s="16" t="s">
        <v>9429</v>
      </c>
      <c r="F1188" s="27" t="s">
        <v>10258</v>
      </c>
      <c r="G1188" s="27"/>
      <c r="H1188" s="16" t="str">
        <f>IF(ISBLANK(PARTIDAS!$G1188),PARTIDAS!$F1188,CONCATENATE(PARTIDAS!$F1188," (",PARTIDAS!$G1188,")"))</f>
        <v>Jugo de uva (incluido el mosto), de valor Brix inferior o igual a 30</v>
      </c>
      <c r="I1188" s="16" t="s">
        <v>9427</v>
      </c>
    </row>
    <row r="1189" spans="1:9" x14ac:dyDescent="0.25">
      <c r="A1189" s="16" t="s">
        <v>2142</v>
      </c>
      <c r="B1189" s="16" t="str">
        <f>TEXT(PARTIDA[[#This Row],[PARTIDA]],"0000000000")</f>
        <v>2009690000</v>
      </c>
      <c r="C1189" s="16" t="s">
        <v>786</v>
      </c>
      <c r="D1189" s="16" t="s">
        <v>787</v>
      </c>
      <c r="E1189" s="16" t="s">
        <v>9429</v>
      </c>
      <c r="F1189" s="27" t="s">
        <v>10259</v>
      </c>
      <c r="G1189" s="27"/>
      <c r="H1189" s="16" t="str">
        <f>IF(ISBLANK(PARTIDAS!$G1189),PARTIDAS!$F1189,CONCATENATE(PARTIDAS!$F1189," (",PARTIDAS!$G1189,")"))</f>
        <v>Jugo de uva (incluido el mosto) (los demás)</v>
      </c>
      <c r="I1189" s="16" t="s">
        <v>9427</v>
      </c>
    </row>
    <row r="1190" spans="1:9" x14ac:dyDescent="0.25">
      <c r="A1190" s="16" t="s">
        <v>2143</v>
      </c>
      <c r="B1190" s="16" t="str">
        <f>TEXT(PARTIDA[[#This Row],[PARTIDA]],"0000000000")</f>
        <v>2009710000</v>
      </c>
      <c r="C1190" s="16" t="s">
        <v>786</v>
      </c>
      <c r="D1190" s="16" t="s">
        <v>787</v>
      </c>
      <c r="E1190" s="16" t="s">
        <v>9429</v>
      </c>
      <c r="F1190" s="27" t="s">
        <v>10260</v>
      </c>
      <c r="G1190" s="27"/>
      <c r="H1190" s="16" t="str">
        <f>IF(ISBLANK(PARTIDAS!$G1190),PARTIDAS!$F1190,CONCATENATE(PARTIDAS!$F1190," (",PARTIDAS!$G1190,")"))</f>
        <v>Jugo de manzana, de valor Brix inferior o igual a 20</v>
      </c>
      <c r="I1190" s="16" t="s">
        <v>9427</v>
      </c>
    </row>
    <row r="1191" spans="1:9" x14ac:dyDescent="0.25">
      <c r="A1191" s="16" t="s">
        <v>2144</v>
      </c>
      <c r="B1191" s="16" t="str">
        <f>TEXT(PARTIDA[[#This Row],[PARTIDA]],"0000000000")</f>
        <v>2009790000</v>
      </c>
      <c r="C1191" s="16" t="s">
        <v>786</v>
      </c>
      <c r="D1191" s="16" t="s">
        <v>787</v>
      </c>
      <c r="E1191" s="16" t="s">
        <v>9429</v>
      </c>
      <c r="F1191" s="27" t="s">
        <v>10261</v>
      </c>
      <c r="G1191" s="27"/>
      <c r="H1191" s="16" t="str">
        <f>IF(ISBLANK(PARTIDAS!$G1191),PARTIDAS!$F1191,CONCATENATE(PARTIDAS!$F1191," (",PARTIDAS!$G1191,")"))</f>
        <v>Jugo de manzana (los demás)</v>
      </c>
      <c r="I1191" s="16" t="s">
        <v>9427</v>
      </c>
    </row>
    <row r="1192" spans="1:9" x14ac:dyDescent="0.25">
      <c r="A1192" s="16" t="s">
        <v>2145</v>
      </c>
      <c r="B1192" s="16" t="str">
        <f>TEXT(PARTIDA[[#This Row],[PARTIDA]],"0000000000")</f>
        <v>2009810000</v>
      </c>
      <c r="C1192" s="16" t="s">
        <v>786</v>
      </c>
      <c r="D1192" s="16" t="s">
        <v>787</v>
      </c>
      <c r="E1192" s="16" t="s">
        <v>9429</v>
      </c>
      <c r="F1192" s="27" t="s">
        <v>10262</v>
      </c>
      <c r="G1192" s="27"/>
      <c r="H1192" s="16" t="str">
        <f>IF(ISBLANK(PARTIDAS!$G1192),PARTIDAS!$F1192,CONCATENATE(PARTIDAS!$F1192," (",PARTIDAS!$G1192,")"))</f>
        <v>Jugo de arándanos agrios, trepadores o palustres (Vaccinium macrocarpon, Vaccinium oxycoccos); jugo de arándanos rojos o encarnados (Vaccinium vitis-i</v>
      </c>
      <c r="I1192" s="16" t="s">
        <v>9427</v>
      </c>
    </row>
    <row r="1193" spans="1:9" x14ac:dyDescent="0.25">
      <c r="A1193" s="16" t="s">
        <v>2146</v>
      </c>
      <c r="B1193" s="16" t="str">
        <f>TEXT(PARTIDA[[#This Row],[PARTIDA]],"0000000000")</f>
        <v>2009891000</v>
      </c>
      <c r="C1193" s="16" t="s">
        <v>786</v>
      </c>
      <c r="D1193" s="16" t="s">
        <v>787</v>
      </c>
      <c r="E1193" s="16" t="s">
        <v>9429</v>
      </c>
      <c r="F1193" s="27" t="s">
        <v>10263</v>
      </c>
      <c r="G1193" s="27"/>
      <c r="H1193" s="16" t="str">
        <f>IF(ISBLANK(PARTIDAS!$G1193),PARTIDAS!$F1193,CONCATENATE(PARTIDAS!$F1193," (",PARTIDAS!$G1193,")"))</f>
        <v>Jugo de cualquier otra fruta o fruto u hortaliza, de papaya</v>
      </c>
      <c r="I1193" s="16" t="s">
        <v>9427</v>
      </c>
    </row>
    <row r="1194" spans="1:9" x14ac:dyDescent="0.25">
      <c r="A1194" s="16" t="s">
        <v>2147</v>
      </c>
      <c r="B1194" s="16" t="str">
        <f>TEXT(PARTIDA[[#This Row],[PARTIDA]],"0000000000")</f>
        <v>2009892000</v>
      </c>
      <c r="C1194" s="16" t="s">
        <v>786</v>
      </c>
      <c r="D1194" s="16" t="s">
        <v>787</v>
      </c>
      <c r="E1194" s="16" t="s">
        <v>9429</v>
      </c>
      <c r="F1194" s="27" t="s">
        <v>10264</v>
      </c>
      <c r="G1194" s="27"/>
      <c r="H1194" s="16" t="str">
        <f>IF(ISBLANK(PARTIDAS!$G1194),PARTIDAS!$F1194,CONCATENATE(PARTIDAS!$F1194," (",PARTIDAS!$G1194,")"))</f>
        <v>Jugo de cualquier otra fruta o fruto u hortaliza, de maracuyá (parchita) (Passiflora edulis)</v>
      </c>
      <c r="I1194" s="16" t="s">
        <v>9427</v>
      </c>
    </row>
    <row r="1195" spans="1:9" x14ac:dyDescent="0.25">
      <c r="A1195" s="16" t="s">
        <v>2148</v>
      </c>
      <c r="B1195" s="16" t="str">
        <f>TEXT(PARTIDA[[#This Row],[PARTIDA]],"0000000000")</f>
        <v>2009893000</v>
      </c>
      <c r="C1195" s="16" t="s">
        <v>786</v>
      </c>
      <c r="D1195" s="16" t="s">
        <v>787</v>
      </c>
      <c r="E1195" s="16" t="s">
        <v>9429</v>
      </c>
      <c r="F1195" s="27" t="s">
        <v>10265</v>
      </c>
      <c r="G1195" s="27"/>
      <c r="H1195" s="16" t="str">
        <f>IF(ISBLANK(PARTIDAS!$G1195),PARTIDAS!$F1195,CONCATENATE(PARTIDAS!$F1195," (",PARTIDAS!$G1195,")"))</f>
        <v>Jugo de cualquier otra fruta o fruto u hortaliza, de guanábana (Annona muricata)</v>
      </c>
      <c r="I1195" s="16" t="s">
        <v>9427</v>
      </c>
    </row>
    <row r="1196" spans="1:9" x14ac:dyDescent="0.25">
      <c r="A1196" s="16" t="s">
        <v>2149</v>
      </c>
      <c r="B1196" s="16" t="str">
        <f>TEXT(PARTIDA[[#This Row],[PARTIDA]],"0000000000")</f>
        <v>2009894000</v>
      </c>
      <c r="C1196" s="16" t="s">
        <v>786</v>
      </c>
      <c r="D1196" s="16" t="s">
        <v>787</v>
      </c>
      <c r="E1196" s="16" t="s">
        <v>9429</v>
      </c>
      <c r="F1196" s="27" t="s">
        <v>10266</v>
      </c>
      <c r="G1196" s="27"/>
      <c r="H1196" s="16" t="str">
        <f>IF(ISBLANK(PARTIDAS!$G1196),PARTIDAS!$F1196,CONCATENATE(PARTIDAS!$F1196," (",PARTIDAS!$G1196,")"))</f>
        <v>Jugo de cualquier otra fruta o fruto u hortaliza, de mango</v>
      </c>
      <c r="I1196" s="16" t="s">
        <v>9427</v>
      </c>
    </row>
    <row r="1197" spans="1:9" x14ac:dyDescent="0.25">
      <c r="A1197" s="16" t="s">
        <v>2150</v>
      </c>
      <c r="B1197" s="16" t="str">
        <f>TEXT(PARTIDA[[#This Row],[PARTIDA]],"0000000000")</f>
        <v>2009895000</v>
      </c>
      <c r="C1197" s="16" t="s">
        <v>786</v>
      </c>
      <c r="D1197" s="16" t="s">
        <v>787</v>
      </c>
      <c r="E1197" s="16" t="s">
        <v>9429</v>
      </c>
      <c r="F1197" s="27" t="s">
        <v>2151</v>
      </c>
      <c r="G1197" s="27"/>
      <c r="H1197" s="16" t="str">
        <f>IF(ISBLANK(PARTIDAS!$G1197),PARTIDAS!$F1197,CONCATENATE(PARTIDAS!$F1197," (",PARTIDAS!$G1197,")"))</f>
        <v>Harina de camu camu</v>
      </c>
      <c r="I1197" s="16" t="s">
        <v>9427</v>
      </c>
    </row>
    <row r="1198" spans="1:9" x14ac:dyDescent="0.25">
      <c r="A1198" s="16" t="s">
        <v>2152</v>
      </c>
      <c r="B1198" s="16" t="str">
        <f>TEXT(PARTIDA[[#This Row],[PARTIDA]],"0000000000")</f>
        <v>2009896000</v>
      </c>
      <c r="C1198" s="16" t="s">
        <v>786</v>
      </c>
      <c r="D1198" s="16" t="s">
        <v>787</v>
      </c>
      <c r="E1198" s="16" t="s">
        <v>9429</v>
      </c>
      <c r="F1198" s="27" t="s">
        <v>10267</v>
      </c>
      <c r="G1198" s="27"/>
      <c r="H1198" s="16" t="str">
        <f>IF(ISBLANK(PARTIDAS!$G1198),PARTIDAS!$F1198,CONCATENATE(PARTIDAS!$F1198," (",PARTIDAS!$G1198,")"))</f>
        <v>Jugo de cualquier otra fruta o fruto u hortaliza, de hortaliza</v>
      </c>
      <c r="I1198" s="16" t="s">
        <v>9427</v>
      </c>
    </row>
    <row r="1199" spans="1:9" x14ac:dyDescent="0.25">
      <c r="A1199" s="16" t="s">
        <v>2153</v>
      </c>
      <c r="B1199" s="16" t="str">
        <f>TEXT(PARTIDA[[#This Row],[PARTIDA]],"0000000000")</f>
        <v>2009899000</v>
      </c>
      <c r="C1199" s="16" t="s">
        <v>786</v>
      </c>
      <c r="D1199" s="16" t="s">
        <v>787</v>
      </c>
      <c r="E1199" s="16" t="s">
        <v>9429</v>
      </c>
      <c r="F1199" s="27" t="s">
        <v>1553</v>
      </c>
      <c r="G1199" s="27" t="s">
        <v>852</v>
      </c>
      <c r="H1199" s="16" t="str">
        <f>IF(ISBLANK(PARTIDAS!$G1199),PARTIDAS!$F1199,CONCATENATE(PARTIDAS!$F1199," (",PARTIDAS!$G1199,")"))</f>
        <v>Pulpa de fruta (Especificar)</v>
      </c>
      <c r="I1199" s="16" t="s">
        <v>9427</v>
      </c>
    </row>
    <row r="1200" spans="1:9" x14ac:dyDescent="0.25">
      <c r="A1200" s="16" t="s">
        <v>2154</v>
      </c>
      <c r="B1200" s="16" t="str">
        <f>TEXT(PARTIDA[[#This Row],[PARTIDA]],"0000000000")</f>
        <v>2009900000</v>
      </c>
      <c r="C1200" s="16" t="s">
        <v>786</v>
      </c>
      <c r="D1200" s="16" t="s">
        <v>787</v>
      </c>
      <c r="E1200" s="16" t="s">
        <v>9429</v>
      </c>
      <c r="F1200" s="27" t="s">
        <v>10268</v>
      </c>
      <c r="G1200" s="27"/>
      <c r="H1200" s="16" t="str">
        <f>IF(ISBLANK(PARTIDAS!$G1200),PARTIDAS!$F1200,CONCATENATE(PARTIDAS!$F1200," (",PARTIDAS!$G1200,")"))</f>
        <v>Mezclas de jugos</v>
      </c>
      <c r="I1200" s="16" t="s">
        <v>9427</v>
      </c>
    </row>
    <row r="1201" spans="1:9" x14ac:dyDescent="0.25">
      <c r="A1201" s="16" t="s">
        <v>2155</v>
      </c>
      <c r="B1201" s="16" t="str">
        <f>TEXT(PARTIDA[[#This Row],[PARTIDA]],"0000000000")</f>
        <v>2101110000</v>
      </c>
      <c r="C1201" s="16" t="s">
        <v>786</v>
      </c>
      <c r="D1201" s="16" t="s">
        <v>787</v>
      </c>
      <c r="E1201" s="16" t="s">
        <v>9429</v>
      </c>
      <c r="F1201" s="27" t="s">
        <v>10269</v>
      </c>
      <c r="G1201" s="27"/>
      <c r="H1201" s="16" t="str">
        <f>IF(ISBLANK(PARTIDAS!$G1201),PARTIDAS!$F1201,CONCATENATE(PARTIDAS!$F1201," (",PARTIDAS!$G1201,")"))</f>
        <v>Extractos, esencias y concentrados</v>
      </c>
      <c r="I1201" s="16" t="s">
        <v>9427</v>
      </c>
    </row>
    <row r="1202" spans="1:9" x14ac:dyDescent="0.25">
      <c r="A1202" s="16" t="s">
        <v>2156</v>
      </c>
      <c r="B1202" s="16" t="str">
        <f>TEXT(PARTIDA[[#This Row],[PARTIDA]],"0000000000")</f>
        <v>2101120000</v>
      </c>
      <c r="C1202" s="16" t="s">
        <v>786</v>
      </c>
      <c r="D1202" s="16" t="s">
        <v>787</v>
      </c>
      <c r="E1202" s="16" t="s">
        <v>9429</v>
      </c>
      <c r="F1202" s="27" t="s">
        <v>10270</v>
      </c>
      <c r="G1202" s="27"/>
      <c r="H1202" s="16" t="str">
        <f>IF(ISBLANK(PARTIDAS!$G1202),PARTIDAS!$F1202,CONCATENATE(PARTIDAS!$F1202," (",PARTIDAS!$G1202,")"))</f>
        <v>Preparaciones a base de extractos, esencias o concentrados o a base de café</v>
      </c>
      <c r="I1202" s="16" t="s">
        <v>9427</v>
      </c>
    </row>
    <row r="1203" spans="1:9" x14ac:dyDescent="0.25">
      <c r="A1203" s="16" t="s">
        <v>2157</v>
      </c>
      <c r="B1203" s="16" t="str">
        <f>TEXT(PARTIDA[[#This Row],[PARTIDA]],"0000000000")</f>
        <v>2101200000</v>
      </c>
      <c r="C1203" s="16" t="s">
        <v>786</v>
      </c>
      <c r="D1203" s="16" t="s">
        <v>787</v>
      </c>
      <c r="E1203" s="16" t="s">
        <v>9429</v>
      </c>
      <c r="F1203" s="27" t="s">
        <v>10271</v>
      </c>
      <c r="G1203" s="27"/>
      <c r="H1203" s="16" t="str">
        <f>IF(ISBLANK(PARTIDAS!$G1203),PARTIDAS!$F1203,CONCATENATE(PARTIDAS!$F1203," (",PARTIDAS!$G1203,")"))</f>
        <v xml:space="preserve">Extractos, esencias y concentrados de té o de yerba mate y preparaciones a base de estos extractos, esencias o concentrados o a base de té o de yerba </v>
      </c>
      <c r="I1203" s="16" t="s">
        <v>9427</v>
      </c>
    </row>
    <row r="1204" spans="1:9" x14ac:dyDescent="0.25">
      <c r="A1204" s="16" t="s">
        <v>2158</v>
      </c>
      <c r="B1204" s="16" t="str">
        <f>TEXT(PARTIDA[[#This Row],[PARTIDA]],"0000000000")</f>
        <v>2101300000</v>
      </c>
      <c r="C1204" s="16" t="s">
        <v>786</v>
      </c>
      <c r="D1204" s="16" t="s">
        <v>787</v>
      </c>
      <c r="E1204" s="16" t="s">
        <v>9429</v>
      </c>
      <c r="F1204" s="27" t="s">
        <v>10272</v>
      </c>
      <c r="G1204" s="27"/>
      <c r="H1204" s="16" t="str">
        <f>IF(ISBLANK(PARTIDAS!$G1204),PARTIDAS!$F1204,CONCATENATE(PARTIDAS!$F1204," (",PARTIDAS!$G1204,")"))</f>
        <v>Achicoria tostada y demás sucedáneos del café tostados y sus extractos, esencias y concentrados</v>
      </c>
      <c r="I1204" s="16" t="s">
        <v>9427</v>
      </c>
    </row>
    <row r="1205" spans="1:9" x14ac:dyDescent="0.25">
      <c r="A1205" s="16" t="s">
        <v>2159</v>
      </c>
      <c r="B1205" s="16" t="str">
        <f>TEXT(PARTIDA[[#This Row],[PARTIDA]],"0000000000")</f>
        <v>2102101000</v>
      </c>
      <c r="C1205" s="16" t="s">
        <v>786</v>
      </c>
      <c r="D1205" s="16" t="s">
        <v>787</v>
      </c>
      <c r="E1205" s="16" t="s">
        <v>9429</v>
      </c>
      <c r="F1205" s="27" t="s">
        <v>10273</v>
      </c>
      <c r="G1205" s="27"/>
      <c r="H1205" s="16" t="str">
        <f>IF(ISBLANK(PARTIDAS!$G1205),PARTIDAS!$F1205,CONCATENATE(PARTIDAS!$F1205," (",PARTIDAS!$G1205,")"))</f>
        <v>Levadura de cultivo</v>
      </c>
      <c r="I1205" s="16" t="s">
        <v>9427</v>
      </c>
    </row>
    <row r="1206" spans="1:9" x14ac:dyDescent="0.25">
      <c r="A1206" s="16" t="s">
        <v>2160</v>
      </c>
      <c r="B1206" s="16" t="str">
        <f>TEXT(PARTIDA[[#This Row],[PARTIDA]],"0000000000")</f>
        <v>2102109000</v>
      </c>
      <c r="C1206" s="16" t="s">
        <v>786</v>
      </c>
      <c r="D1206" s="16" t="s">
        <v>787</v>
      </c>
      <c r="E1206" s="16" t="s">
        <v>9429</v>
      </c>
      <c r="F1206" s="27" t="s">
        <v>10274</v>
      </c>
      <c r="G1206" s="27"/>
      <c r="H1206" s="16" t="str">
        <f>IF(ISBLANK(PARTIDAS!$G1206),PARTIDAS!$F1206,CONCATENATE(PARTIDAS!$F1206," (",PARTIDAS!$G1206,")"))</f>
        <v>Levaduras vivas (los demás)</v>
      </c>
      <c r="I1206" s="16" t="s">
        <v>9427</v>
      </c>
    </row>
    <row r="1207" spans="1:9" x14ac:dyDescent="0.25">
      <c r="A1207" s="16" t="s">
        <v>2161</v>
      </c>
      <c r="B1207" s="16" t="str">
        <f>TEXT(PARTIDA[[#This Row],[PARTIDA]],"0000000000")</f>
        <v>2102200000</v>
      </c>
      <c r="C1207" s="16" t="s">
        <v>786</v>
      </c>
      <c r="D1207" s="16" t="s">
        <v>787</v>
      </c>
      <c r="E1207" s="16" t="s">
        <v>9429</v>
      </c>
      <c r="F1207" s="27" t="s">
        <v>10275</v>
      </c>
      <c r="G1207" s="27"/>
      <c r="H1207" s="16" t="str">
        <f>IF(ISBLANK(PARTIDAS!$G1207),PARTIDAS!$F1207,CONCATENATE(PARTIDAS!$F1207," (",PARTIDAS!$G1207,")"))</f>
        <v>Levaduras muertas; los demás microorganismos monocelulares muertos</v>
      </c>
      <c r="I1207" s="16" t="s">
        <v>9427</v>
      </c>
    </row>
    <row r="1208" spans="1:9" x14ac:dyDescent="0.25">
      <c r="A1208" s="16" t="s">
        <v>2162</v>
      </c>
      <c r="B1208" s="16" t="str">
        <f>TEXT(PARTIDA[[#This Row],[PARTIDA]],"0000000000")</f>
        <v>2102300000</v>
      </c>
      <c r="C1208" s="16" t="s">
        <v>786</v>
      </c>
      <c r="D1208" s="16" t="s">
        <v>787</v>
      </c>
      <c r="E1208" s="16" t="s">
        <v>9429</v>
      </c>
      <c r="F1208" s="27" t="s">
        <v>10276</v>
      </c>
      <c r="G1208" s="27"/>
      <c r="H1208" s="16" t="str">
        <f>IF(ISBLANK(PARTIDAS!$G1208),PARTIDAS!$F1208,CONCATENATE(PARTIDAS!$F1208," (",PARTIDAS!$G1208,")"))</f>
        <v>Polvos preparados para esponjar masas</v>
      </c>
      <c r="I1208" s="16" t="s">
        <v>9427</v>
      </c>
    </row>
    <row r="1209" spans="1:9" x14ac:dyDescent="0.25">
      <c r="A1209" s="16" t="s">
        <v>2163</v>
      </c>
      <c r="B1209" s="16" t="str">
        <f>TEXT(PARTIDA[[#This Row],[PARTIDA]],"0000000000")</f>
        <v>2103100000</v>
      </c>
      <c r="C1209" s="16" t="s">
        <v>786</v>
      </c>
      <c r="D1209" s="16" t="s">
        <v>787</v>
      </c>
      <c r="E1209" s="16" t="s">
        <v>9429</v>
      </c>
      <c r="F1209" s="27" t="s">
        <v>10277</v>
      </c>
      <c r="G1209" s="27"/>
      <c r="H1209" s="16" t="str">
        <f>IF(ISBLANK(PARTIDAS!$G1209),PARTIDAS!$F1209,CONCATENATE(PARTIDAS!$F1209," (",PARTIDAS!$G1209,")"))</f>
        <v>Salsa de soja (soya)</v>
      </c>
      <c r="I1209" s="16" t="s">
        <v>9427</v>
      </c>
    </row>
    <row r="1210" spans="1:9" x14ac:dyDescent="0.25">
      <c r="A1210" s="16" t="s">
        <v>2164</v>
      </c>
      <c r="B1210" s="16" t="str">
        <f>TEXT(PARTIDA[[#This Row],[PARTIDA]],"0000000000")</f>
        <v>2103200000</v>
      </c>
      <c r="C1210" s="16" t="s">
        <v>786</v>
      </c>
      <c r="D1210" s="16" t="s">
        <v>787</v>
      </c>
      <c r="E1210" s="16" t="s">
        <v>9429</v>
      </c>
      <c r="F1210" s="27" t="s">
        <v>9271</v>
      </c>
      <c r="G1210" s="27"/>
      <c r="H1210" s="16" t="str">
        <f>IF(ISBLANK(PARTIDAS!$G1210),PARTIDAS!$F1210,CONCATENATE(PARTIDAS!$F1210," (",PARTIDAS!$G1210,")"))</f>
        <v>Kétchup y demás salsas de tomate</v>
      </c>
      <c r="I1210" s="16" t="s">
        <v>9477</v>
      </c>
    </row>
    <row r="1211" spans="1:9" x14ac:dyDescent="0.25">
      <c r="A1211" s="16" t="s">
        <v>2165</v>
      </c>
      <c r="B1211" s="16" t="str">
        <f>TEXT(PARTIDA[[#This Row],[PARTIDA]],"0000000000")</f>
        <v>2103301000</v>
      </c>
      <c r="C1211" s="16" t="s">
        <v>786</v>
      </c>
      <c r="D1211" s="16" t="s">
        <v>787</v>
      </c>
      <c r="E1211" s="16" t="s">
        <v>9429</v>
      </c>
      <c r="F1211" s="27" t="s">
        <v>10278</v>
      </c>
      <c r="G1211" s="27"/>
      <c r="H1211" s="16" t="str">
        <f>IF(ISBLANK(PARTIDAS!$G1211),PARTIDAS!$F1211,CONCATENATE(PARTIDAS!$F1211," (",PARTIDAS!$G1211,")"))</f>
        <v>Harina de mostaza</v>
      </c>
      <c r="I1211" s="16" t="s">
        <v>9427</v>
      </c>
    </row>
    <row r="1212" spans="1:9" x14ac:dyDescent="0.25">
      <c r="A1212" s="16" t="s">
        <v>2166</v>
      </c>
      <c r="B1212" s="16" t="str">
        <f>TEXT(PARTIDA[[#This Row],[PARTIDA]],"0000000000")</f>
        <v>2103302000</v>
      </c>
      <c r="C1212" s="16" t="s">
        <v>786</v>
      </c>
      <c r="D1212" s="16" t="s">
        <v>787</v>
      </c>
      <c r="E1212" s="16" t="s">
        <v>9429</v>
      </c>
      <c r="F1212" s="27" t="s">
        <v>9302</v>
      </c>
      <c r="G1212" s="27"/>
      <c r="H1212" s="16" t="str">
        <f>IF(ISBLANK(PARTIDAS!$G1212),PARTIDAS!$F1212,CONCATENATE(PARTIDAS!$F1212," (",PARTIDAS!$G1212,")"))</f>
        <v>Mostaza preparada</v>
      </c>
      <c r="I1212" s="16" t="s">
        <v>9477</v>
      </c>
    </row>
    <row r="1213" spans="1:9" x14ac:dyDescent="0.25">
      <c r="A1213" s="16" t="s">
        <v>2167</v>
      </c>
      <c r="B1213" s="16" t="str">
        <f>TEXT(PARTIDA[[#This Row],[PARTIDA]],"0000000000")</f>
        <v>2103901000</v>
      </c>
      <c r="C1213" s="16" t="s">
        <v>786</v>
      </c>
      <c r="D1213" s="16" t="s">
        <v>787</v>
      </c>
      <c r="E1213" s="16" t="s">
        <v>9429</v>
      </c>
      <c r="F1213" s="27" t="s">
        <v>2168</v>
      </c>
      <c r="G1213" s="27"/>
      <c r="H1213" s="16" t="str">
        <f>IF(ISBLANK(PARTIDAS!$G1213),PARTIDAS!$F1213,CONCATENATE(PARTIDAS!$F1213," (",PARTIDAS!$G1213,")"))</f>
        <v>Mayonesa</v>
      </c>
      <c r="I1213" s="16" t="s">
        <v>9477</v>
      </c>
    </row>
    <row r="1214" spans="1:9" x14ac:dyDescent="0.25">
      <c r="A1214" s="16" t="s">
        <v>2169</v>
      </c>
      <c r="B1214" s="16" t="str">
        <f>TEXT(PARTIDA[[#This Row],[PARTIDA]],"0000000000")</f>
        <v>2103902000</v>
      </c>
      <c r="C1214" s="16" t="s">
        <v>786</v>
      </c>
      <c r="D1214" s="16" t="s">
        <v>787</v>
      </c>
      <c r="E1214" s="16" t="s">
        <v>9429</v>
      </c>
      <c r="F1214" s="27" t="s">
        <v>2170</v>
      </c>
      <c r="G1214" s="27"/>
      <c r="H1214" s="16" t="str">
        <f>IF(ISBLANK(PARTIDAS!$G1214),PARTIDAS!$F1214,CONCATENATE(PARTIDAS!$F1214," (",PARTIDAS!$G1214,")"))</f>
        <v>Condimentos y sazonadores</v>
      </c>
      <c r="I1214" s="16" t="s">
        <v>9427</v>
      </c>
    </row>
    <row r="1215" spans="1:9" x14ac:dyDescent="0.25">
      <c r="A1215" s="16" t="s">
        <v>2171</v>
      </c>
      <c r="B1215" s="16" t="str">
        <f>TEXT(PARTIDA[[#This Row],[PARTIDA]],"0000000000")</f>
        <v>2103909000</v>
      </c>
      <c r="C1215" s="16" t="s">
        <v>786</v>
      </c>
      <c r="D1215" s="16" t="s">
        <v>787</v>
      </c>
      <c r="E1215" s="16" t="s">
        <v>9429</v>
      </c>
      <c r="F1215" s="27" t="s">
        <v>2172</v>
      </c>
      <c r="G1215" s="27"/>
      <c r="H1215" s="16" t="str">
        <f>IF(ISBLANK(PARTIDAS!$G1215),PARTIDAS!$F1215,CONCATENATE(PARTIDAS!$F1215," (",PARTIDAS!$G1215,")"))</f>
        <v>Salsas y condimentos</v>
      </c>
      <c r="I1215" s="16" t="s">
        <v>9427</v>
      </c>
    </row>
    <row r="1216" spans="1:9" x14ac:dyDescent="0.25">
      <c r="A1216" s="16" t="s">
        <v>2173</v>
      </c>
      <c r="B1216" s="16" t="str">
        <f>TEXT(PARTIDA[[#This Row],[PARTIDA]],"0000000000")</f>
        <v>2104101000</v>
      </c>
      <c r="C1216" s="16" t="s">
        <v>786</v>
      </c>
      <c r="D1216" s="16" t="s">
        <v>787</v>
      </c>
      <c r="E1216" s="16" t="s">
        <v>9429</v>
      </c>
      <c r="F1216" s="27" t="s">
        <v>10279</v>
      </c>
      <c r="G1216" s="27"/>
      <c r="H1216" s="16" t="str">
        <f>IF(ISBLANK(PARTIDAS!$G1216),PARTIDAS!$F1216,CONCATENATE(PARTIDAS!$F1216," (",PARTIDAS!$G1216,")"))</f>
        <v>Preparaciones para sopas, potajes o caldos</v>
      </c>
      <c r="I1216" s="16" t="s">
        <v>9427</v>
      </c>
    </row>
    <row r="1217" spans="1:9" x14ac:dyDescent="0.25">
      <c r="A1217" s="16" t="s">
        <v>2174</v>
      </c>
      <c r="B1217" s="16" t="str">
        <f>TEXT(PARTIDA[[#This Row],[PARTIDA]],"0000000000")</f>
        <v>2104102000</v>
      </c>
      <c r="C1217" s="16" t="s">
        <v>786</v>
      </c>
      <c r="D1217" s="16" t="s">
        <v>787</v>
      </c>
      <c r="E1217" s="16" t="s">
        <v>9429</v>
      </c>
      <c r="F1217" s="27" t="s">
        <v>2175</v>
      </c>
      <c r="G1217" s="27" t="s">
        <v>852</v>
      </c>
      <c r="H1217" s="16" t="str">
        <f>IF(ISBLANK(PARTIDAS!$G1217),PARTIDAS!$F1217,CONCATENATE(PARTIDAS!$F1217," (",PARTIDAS!$G1217,")"))</f>
        <v>Sopas, potajes o caldos, preparados (Especificar)</v>
      </c>
      <c r="I1217" s="16" t="s">
        <v>9427</v>
      </c>
    </row>
    <row r="1218" spans="1:9" x14ac:dyDescent="0.25">
      <c r="A1218" s="16" t="s">
        <v>2176</v>
      </c>
      <c r="B1218" s="16" t="str">
        <f>TEXT(PARTIDA[[#This Row],[PARTIDA]],"0000000000")</f>
        <v>2104200000</v>
      </c>
      <c r="C1218" s="16" t="s">
        <v>786</v>
      </c>
      <c r="D1218" s="16" t="s">
        <v>787</v>
      </c>
      <c r="E1218" s="16" t="s">
        <v>9429</v>
      </c>
      <c r="F1218" s="27" t="s">
        <v>10280</v>
      </c>
      <c r="G1218" s="27"/>
      <c r="H1218" s="16" t="str">
        <f>IF(ISBLANK(PARTIDAS!$G1218),PARTIDAS!$F1218,CONCATENATE(PARTIDAS!$F1218," (",PARTIDAS!$G1218,")"))</f>
        <v>Preparaciones alimenticias compuestas homogeneizadas</v>
      </c>
      <c r="I1218" s="16" t="s">
        <v>9427</v>
      </c>
    </row>
    <row r="1219" spans="1:9" x14ac:dyDescent="0.25">
      <c r="A1219" s="16" t="s">
        <v>2177</v>
      </c>
      <c r="B1219" s="16" t="str">
        <f>TEXT(PARTIDA[[#This Row],[PARTIDA]],"0000000000")</f>
        <v>2105001000</v>
      </c>
      <c r="C1219" s="16" t="s">
        <v>786</v>
      </c>
      <c r="D1219" s="16" t="s">
        <v>787</v>
      </c>
      <c r="E1219" s="16" t="s">
        <v>9429</v>
      </c>
      <c r="F1219" s="27" t="s">
        <v>10281</v>
      </c>
      <c r="G1219" s="27"/>
      <c r="H1219" s="16" t="str">
        <f>IF(ISBLANK(PARTIDAS!$G1219),PARTIDAS!$F1219,CONCATENATE(PARTIDAS!$F1219," (",PARTIDAS!$G1219,")"))</f>
        <v>Helados que no contengan leche, ni productos lácteos</v>
      </c>
      <c r="I1219" s="16" t="s">
        <v>9427</v>
      </c>
    </row>
    <row r="1220" spans="1:9" x14ac:dyDescent="0.25">
      <c r="A1220" s="16" t="s">
        <v>2178</v>
      </c>
      <c r="B1220" s="16" t="str">
        <f>TEXT(PARTIDA[[#This Row],[PARTIDA]],"0000000000")</f>
        <v>2105009000</v>
      </c>
      <c r="C1220" s="16" t="s">
        <v>786</v>
      </c>
      <c r="D1220" s="16" t="s">
        <v>787</v>
      </c>
      <c r="E1220" s="16" t="s">
        <v>9429</v>
      </c>
      <c r="F1220" s="27" t="s">
        <v>10282</v>
      </c>
      <c r="G1220" s="27"/>
      <c r="H1220" s="16" t="str">
        <f>IF(ISBLANK(PARTIDAS!$G1220),PARTIDAS!$F1220,CONCATENATE(PARTIDAS!$F1220," (",PARTIDAS!$G1220,")"))</f>
        <v>Preparaciones para sopas, potajes o caldos (los demás)</v>
      </c>
      <c r="I1220" s="16" t="s">
        <v>9427</v>
      </c>
    </row>
    <row r="1221" spans="1:9" x14ac:dyDescent="0.25">
      <c r="A1221" s="16" t="s">
        <v>2179</v>
      </c>
      <c r="B1221" s="16" t="str">
        <f>TEXT(PARTIDA[[#This Row],[PARTIDA]],"0000000000")</f>
        <v>2106101100</v>
      </c>
      <c r="C1221" s="16" t="s">
        <v>786</v>
      </c>
      <c r="D1221" s="16" t="s">
        <v>787</v>
      </c>
      <c r="E1221" s="16" t="s">
        <v>9429</v>
      </c>
      <c r="F1221" s="27" t="s">
        <v>10283</v>
      </c>
      <c r="G1221" s="27"/>
      <c r="H1221" s="16" t="str">
        <f>IF(ISBLANK(PARTIDAS!$G1221),PARTIDAS!$F1221,CONCATENATE(PARTIDAS!$F1221," (",PARTIDAS!$G1221,")"))</f>
        <v>Concentrados de proteínas, de soya, con un contenido de proteína en base seca entre 65 % y 75 %</v>
      </c>
      <c r="I1221" s="16" t="s">
        <v>9427</v>
      </c>
    </row>
    <row r="1222" spans="1:9" x14ac:dyDescent="0.25">
      <c r="A1222" s="16" t="s">
        <v>2180</v>
      </c>
      <c r="B1222" s="16" t="str">
        <f>TEXT(PARTIDA[[#This Row],[PARTIDA]],"0000000000")</f>
        <v>2106101900</v>
      </c>
      <c r="C1222" s="16" t="s">
        <v>786</v>
      </c>
      <c r="D1222" s="16" t="s">
        <v>787</v>
      </c>
      <c r="E1222" s="16" t="s">
        <v>9429</v>
      </c>
      <c r="F1222" s="27" t="s">
        <v>10284</v>
      </c>
      <c r="G1222" s="27"/>
      <c r="H1222" s="16" t="str">
        <f>IF(ISBLANK(PARTIDAS!$G1222),PARTIDAS!$F1222,CONCATENATE(PARTIDAS!$F1222," (",PARTIDAS!$G1222,")"))</f>
        <v>Concentrados de proteínas (los demás)</v>
      </c>
      <c r="I1222" s="16" t="s">
        <v>9427</v>
      </c>
    </row>
    <row r="1223" spans="1:9" x14ac:dyDescent="0.25">
      <c r="A1223" s="16" t="s">
        <v>2181</v>
      </c>
      <c r="B1223" s="16" t="str">
        <f>TEXT(PARTIDA[[#This Row],[PARTIDA]],"0000000000")</f>
        <v>2106102000</v>
      </c>
      <c r="C1223" s="16" t="s">
        <v>786</v>
      </c>
      <c r="D1223" s="16" t="s">
        <v>787</v>
      </c>
      <c r="E1223" s="16" t="s">
        <v>9429</v>
      </c>
      <c r="F1223" s="27" t="s">
        <v>2050</v>
      </c>
      <c r="G1223" s="27" t="s">
        <v>852</v>
      </c>
      <c r="H1223" s="16" t="str">
        <f>IF(ISBLANK(PARTIDAS!$G1223),PARTIDAS!$F1223,CONCATENATE(PARTIDAS!$F1223," (",PARTIDAS!$G1223,")"))</f>
        <v>Harina de fruta (Especificar)</v>
      </c>
      <c r="I1223" s="16" t="s">
        <v>9427</v>
      </c>
    </row>
    <row r="1224" spans="1:9" x14ac:dyDescent="0.25">
      <c r="A1224" s="16" t="s">
        <v>2182</v>
      </c>
      <c r="B1224" s="16" t="str">
        <f>TEXT(PARTIDA[[#This Row],[PARTIDA]],"0000000000")</f>
        <v>2106901000</v>
      </c>
      <c r="C1224" s="16" t="s">
        <v>786</v>
      </c>
      <c r="D1224" s="16" t="s">
        <v>787</v>
      </c>
      <c r="E1224" s="16" t="s">
        <v>9429</v>
      </c>
      <c r="F1224" s="27" t="s">
        <v>2183</v>
      </c>
      <c r="G1224" s="27"/>
      <c r="H1224" s="16" t="str">
        <f>IF(ISBLANK(PARTIDAS!$G1224),PARTIDAS!$F1224,CONCATENATE(PARTIDAS!$F1224," (",PARTIDAS!$G1224,")"))</f>
        <v>Postres</v>
      </c>
      <c r="I1224" s="16" t="s">
        <v>9427</v>
      </c>
    </row>
    <row r="1225" spans="1:9" x14ac:dyDescent="0.25">
      <c r="A1225" s="16" t="s">
        <v>2184</v>
      </c>
      <c r="B1225" s="16" t="str">
        <f>TEXT(PARTIDA[[#This Row],[PARTIDA]],"0000000000")</f>
        <v>2106902100</v>
      </c>
      <c r="C1225" s="16" t="s">
        <v>786</v>
      </c>
      <c r="D1225" s="16" t="s">
        <v>787</v>
      </c>
      <c r="E1225" s="16" t="s">
        <v>9429</v>
      </c>
      <c r="F1225" s="27" t="s">
        <v>2183</v>
      </c>
      <c r="G1225" s="27"/>
      <c r="H1225" s="16" t="str">
        <f>IF(ISBLANK(PARTIDAS!$G1225),PARTIDAS!$F1225,CONCATENATE(PARTIDAS!$F1225," (",PARTIDAS!$G1225,")"))</f>
        <v>Postres</v>
      </c>
      <c r="I1225" s="16" t="s">
        <v>9427</v>
      </c>
    </row>
    <row r="1226" spans="1:9" x14ac:dyDescent="0.25">
      <c r="A1226" s="16" t="s">
        <v>2185</v>
      </c>
      <c r="B1226" s="16" t="str">
        <f>TEXT(PARTIDA[[#This Row],[PARTIDA]],"0000000000")</f>
        <v>2106902900</v>
      </c>
      <c r="C1226" s="16" t="s">
        <v>786</v>
      </c>
      <c r="D1226" s="16" t="s">
        <v>787</v>
      </c>
      <c r="E1226" s="16" t="s">
        <v>9429</v>
      </c>
      <c r="F1226" s="27" t="s">
        <v>10285</v>
      </c>
      <c r="G1226" s="27"/>
      <c r="H1226" s="16" t="str">
        <f>IF(ISBLANK(PARTIDAS!$G1226),PARTIDAS!$F1226,CONCATENATE(PARTIDAS!$F1226," (",PARTIDAS!$G1226,")"))</f>
        <v>Preparaciones compuestas cuyo grado alcohólico volumétrico sea… (los demás)</v>
      </c>
      <c r="I1226" s="16" t="s">
        <v>9427</v>
      </c>
    </row>
    <row r="1227" spans="1:9" x14ac:dyDescent="0.25">
      <c r="A1227" s="16" t="s">
        <v>2186</v>
      </c>
      <c r="B1227" s="16" t="str">
        <f>TEXT(PARTIDA[[#This Row],[PARTIDA]],"0000000000")</f>
        <v>2106903000</v>
      </c>
      <c r="C1227" s="16" t="s">
        <v>786</v>
      </c>
      <c r="D1227" s="16" t="s">
        <v>787</v>
      </c>
      <c r="E1227" s="16" t="s">
        <v>9429</v>
      </c>
      <c r="F1227" s="27" t="s">
        <v>10286</v>
      </c>
      <c r="G1227" s="27"/>
      <c r="H1227" s="16" t="str">
        <f>IF(ISBLANK(PARTIDAS!$G1227),PARTIDAS!$F1227,CONCATENATE(PARTIDAS!$F1227," (",PARTIDAS!$G1227,")"))</f>
        <v>Hidrolizados de proteínas</v>
      </c>
      <c r="I1227" s="16" t="s">
        <v>9427</v>
      </c>
    </row>
    <row r="1228" spans="1:9" x14ac:dyDescent="0.25">
      <c r="A1228" s="16" t="s">
        <v>2187</v>
      </c>
      <c r="B1228" s="16" t="str">
        <f>TEXT(PARTIDA[[#This Row],[PARTIDA]],"0000000000")</f>
        <v>2106904000</v>
      </c>
      <c r="C1228" s="16" t="s">
        <v>786</v>
      </c>
      <c r="D1228" s="16" t="s">
        <v>787</v>
      </c>
      <c r="E1228" s="16" t="s">
        <v>9429</v>
      </c>
      <c r="F1228" s="27" t="s">
        <v>10287</v>
      </c>
      <c r="G1228" s="27"/>
      <c r="H1228" s="16" t="str">
        <f>IF(ISBLANK(PARTIDAS!$G1228),PARTIDAS!$F1228,CONCATENATE(PARTIDAS!$F1228," (",PARTIDAS!$G1228,")"))</f>
        <v>Autolizados de levadura</v>
      </c>
      <c r="I1228" s="16" t="s">
        <v>9427</v>
      </c>
    </row>
    <row r="1229" spans="1:9" x14ac:dyDescent="0.25">
      <c r="A1229" s="16" t="s">
        <v>2188</v>
      </c>
      <c r="B1229" s="16" t="str">
        <f>TEXT(PARTIDA[[#This Row],[PARTIDA]],"0000000000")</f>
        <v>2106905000</v>
      </c>
      <c r="C1229" s="16" t="s">
        <v>786</v>
      </c>
      <c r="D1229" s="16" t="s">
        <v>787</v>
      </c>
      <c r="E1229" s="16" t="s">
        <v>9429</v>
      </c>
      <c r="F1229" s="27" t="s">
        <v>10288</v>
      </c>
      <c r="G1229" s="27"/>
      <c r="H1229" s="16" t="str">
        <f>IF(ISBLANK(PARTIDAS!$G1229),PARTIDAS!$F1229,CONCATENATE(PARTIDAS!$F1229," (",PARTIDAS!$G1229,")"))</f>
        <v>Mejoradores de panificación</v>
      </c>
      <c r="I1229" s="16" t="s">
        <v>9427</v>
      </c>
    </row>
    <row r="1230" spans="1:9" x14ac:dyDescent="0.25">
      <c r="A1230" s="16" t="s">
        <v>2189</v>
      </c>
      <c r="B1230" s="16" t="str">
        <f>TEXT(PARTIDA[[#This Row],[PARTIDA]],"0000000000")</f>
        <v>2106906100</v>
      </c>
      <c r="C1230" s="16" t="s">
        <v>786</v>
      </c>
      <c r="D1230" s="16" t="s">
        <v>787</v>
      </c>
      <c r="E1230" s="16" t="s">
        <v>9429</v>
      </c>
      <c r="F1230" s="27" t="s">
        <v>10289</v>
      </c>
      <c r="G1230" s="27"/>
      <c r="H1230" s="16" t="str">
        <f>IF(ISBLANK(PARTIDAS!$G1230),PARTIDAS!$F1230,CONCATENATE(PARTIDAS!$F1230," (",PARTIDAS!$G1230,")"))</f>
        <v>Preparaciones edulcorantes, a base de estevia</v>
      </c>
      <c r="I1230" s="16" t="s">
        <v>9427</v>
      </c>
    </row>
    <row r="1231" spans="1:9" x14ac:dyDescent="0.25">
      <c r="A1231" s="16" t="s">
        <v>2190</v>
      </c>
      <c r="B1231" s="16" t="str">
        <f>TEXT(PARTIDA[[#This Row],[PARTIDA]],"0000000000")</f>
        <v>2106906900</v>
      </c>
      <c r="C1231" s="16" t="s">
        <v>786</v>
      </c>
      <c r="D1231" s="16" t="s">
        <v>787</v>
      </c>
      <c r="E1231" s="16" t="s">
        <v>9429</v>
      </c>
      <c r="F1231" s="27" t="s">
        <v>10290</v>
      </c>
      <c r="G1231" s="27"/>
      <c r="H1231" s="16" t="str">
        <f>IF(ISBLANK(PARTIDAS!$G1231),PARTIDAS!$F1231,CONCATENATE(PARTIDAS!$F1231," (",PARTIDAS!$G1231,")"))</f>
        <v>Preparaciones edulcorantes (los demás)</v>
      </c>
      <c r="I1231" s="16" t="s">
        <v>9427</v>
      </c>
    </row>
    <row r="1232" spans="1:9" x14ac:dyDescent="0.25">
      <c r="A1232" s="16" t="s">
        <v>2191</v>
      </c>
      <c r="B1232" s="16" t="str">
        <f>TEXT(PARTIDA[[#This Row],[PARTIDA]],"0000000000")</f>
        <v>2106907100</v>
      </c>
      <c r="C1232" s="16" t="s">
        <v>786</v>
      </c>
      <c r="D1232" s="16" t="s">
        <v>787</v>
      </c>
      <c r="E1232" s="16" t="s">
        <v>9429</v>
      </c>
      <c r="F1232" s="27" t="s">
        <v>1787</v>
      </c>
      <c r="G1232" s="27" t="s">
        <v>1472</v>
      </c>
      <c r="H1232" s="16" t="str">
        <f>IF(ISBLANK(PARTIDAS!$G1232),PARTIDAS!$F1232,CONCATENATE(PARTIDAS!$F1232," (",PARTIDAS!$G1232,")"))</f>
        <v>Uña de gato (Verificar)</v>
      </c>
      <c r="I1232" s="16" t="s">
        <v>9427</v>
      </c>
    </row>
    <row r="1233" spans="1:9" x14ac:dyDescent="0.25">
      <c r="A1233" s="16" t="s">
        <v>2192</v>
      </c>
      <c r="B1233" s="16" t="str">
        <f>TEXT(PARTIDA[[#This Row],[PARTIDA]],"0000000000")</f>
        <v>2106907200</v>
      </c>
      <c r="C1233" s="16" t="s">
        <v>786</v>
      </c>
      <c r="D1233" s="16" t="s">
        <v>787</v>
      </c>
      <c r="E1233" s="16" t="s">
        <v>9429</v>
      </c>
      <c r="F1233" s="27" t="s">
        <v>2193</v>
      </c>
      <c r="G1233" s="27" t="s">
        <v>852</v>
      </c>
      <c r="H1233" s="16" t="str">
        <f>IF(ISBLANK(PARTIDAS!$G1233),PARTIDAS!$F1233,CONCATENATE(PARTIDAS!$F1233," (",PARTIDAS!$G1233,")"))</f>
        <v>Extracto de vegetales (Especificar)</v>
      </c>
      <c r="I1233" s="16" t="s">
        <v>9427</v>
      </c>
    </row>
    <row r="1234" spans="1:9" x14ac:dyDescent="0.25">
      <c r="A1234" s="16" t="s">
        <v>2194</v>
      </c>
      <c r="B1234" s="16" t="str">
        <f>TEXT(PARTIDA[[#This Row],[PARTIDA]],"0000000000")</f>
        <v>2106907300</v>
      </c>
      <c r="C1234" s="16" t="s">
        <v>786</v>
      </c>
      <c r="D1234" s="16" t="s">
        <v>787</v>
      </c>
      <c r="E1234" s="16" t="s">
        <v>9429</v>
      </c>
      <c r="F1234" s="27" t="s">
        <v>10291</v>
      </c>
      <c r="G1234" s="27"/>
      <c r="H1234" s="16" t="str">
        <f>IF(ISBLANK(PARTIDAS!$G1234),PARTIDAS!$F1234,CONCATENATE(PARTIDAS!$F1234," (",PARTIDAS!$G1234,")"))</f>
        <v>Complementos y suplementos alimenticios, que contengan como ingrediente principal una o más vitaminas con uno o más minerales</v>
      </c>
      <c r="I1234" s="16" t="s">
        <v>9427</v>
      </c>
    </row>
    <row r="1235" spans="1:9" x14ac:dyDescent="0.25">
      <c r="A1235" s="16" t="s">
        <v>2195</v>
      </c>
      <c r="B1235" s="16" t="str">
        <f>TEXT(PARTIDA[[#This Row],[PARTIDA]],"0000000000")</f>
        <v>2106907400</v>
      </c>
      <c r="C1235" s="16" t="s">
        <v>786</v>
      </c>
      <c r="D1235" s="16" t="s">
        <v>787</v>
      </c>
      <c r="E1235" s="16" t="s">
        <v>9429</v>
      </c>
      <c r="F1235" s="27" t="s">
        <v>10292</v>
      </c>
      <c r="G1235" s="27"/>
      <c r="H1235" s="16" t="str">
        <f>IF(ISBLANK(PARTIDAS!$G1235),PARTIDAS!$F1235,CONCATENATE(PARTIDAS!$F1235," (",PARTIDAS!$G1235,")"))</f>
        <v>Complementos y suplementos alimenticios, que contengan como ingrediente principal una o más vitaminas</v>
      </c>
      <c r="I1235" s="16" t="s">
        <v>9427</v>
      </c>
    </row>
    <row r="1236" spans="1:9" x14ac:dyDescent="0.25">
      <c r="A1236" s="16" t="s">
        <v>2196</v>
      </c>
      <c r="B1236" s="16" t="str">
        <f>TEXT(PARTIDA[[#This Row],[PARTIDA]],"0000000000")</f>
        <v>2106907900</v>
      </c>
      <c r="C1236" s="16" t="s">
        <v>786</v>
      </c>
      <c r="D1236" s="16" t="s">
        <v>787</v>
      </c>
      <c r="E1236" s="16" t="s">
        <v>9429</v>
      </c>
      <c r="F1236" s="27" t="s">
        <v>10293</v>
      </c>
      <c r="G1236" s="27"/>
      <c r="H1236" s="16" t="str">
        <f>IF(ISBLANK(PARTIDAS!$G1236),PARTIDAS!$F1236,CONCATENATE(PARTIDAS!$F1236," (",PARTIDAS!$G1236,")"))</f>
        <v>Complementos y suplementos alimenticios (los demás)</v>
      </c>
      <c r="I1236" s="16" t="s">
        <v>9427</v>
      </c>
    </row>
    <row r="1237" spans="1:9" x14ac:dyDescent="0.25">
      <c r="A1237" s="16" t="s">
        <v>2197</v>
      </c>
      <c r="B1237" s="16" t="str">
        <f>TEXT(PARTIDA[[#This Row],[PARTIDA]],"0000000000")</f>
        <v>2106908000</v>
      </c>
      <c r="C1237" s="16" t="s">
        <v>786</v>
      </c>
      <c r="D1237" s="16" t="s">
        <v>787</v>
      </c>
      <c r="E1237" s="16" t="s">
        <v>9429</v>
      </c>
      <c r="F1237" s="27" t="s">
        <v>10294</v>
      </c>
      <c r="G1237" s="27"/>
      <c r="H1237" s="16" t="str">
        <f>IF(ISBLANK(PARTIDAS!$G1237),PARTIDAS!$F1237,CONCATENATE(PARTIDAS!$F1237," (",PARTIDAS!$G1237,")"))</f>
        <v>Fórmulas no lácteas para niños de hasta 12 meses de edad</v>
      </c>
      <c r="I1237" s="16" t="s">
        <v>9427</v>
      </c>
    </row>
    <row r="1238" spans="1:9" x14ac:dyDescent="0.25">
      <c r="A1238" s="16" t="s">
        <v>2198</v>
      </c>
      <c r="B1238" s="16" t="str">
        <f>TEXT(PARTIDA[[#This Row],[PARTIDA]],"0000000000")</f>
        <v>2106909000</v>
      </c>
      <c r="C1238" s="16" t="s">
        <v>786</v>
      </c>
      <c r="D1238" s="16" t="s">
        <v>787</v>
      </c>
      <c r="E1238" s="16" t="s">
        <v>9429</v>
      </c>
      <c r="F1238" s="27" t="s">
        <v>9359</v>
      </c>
      <c r="G1238" s="27"/>
      <c r="H1238" s="16" t="str">
        <f>IF(ISBLANK(PARTIDAS!$G1238),PARTIDAS!$F1238,CONCATENATE(PARTIDAS!$F1238," (",PARTIDAS!$G1238,")"))</f>
        <v>Preparaciones alimenticias no expresadas ni comprendidas en otra parte (los demás)</v>
      </c>
      <c r="I1238" s="16" t="s">
        <v>9477</v>
      </c>
    </row>
    <row r="1239" spans="1:9" x14ac:dyDescent="0.25">
      <c r="A1239" s="16" t="s">
        <v>2199</v>
      </c>
      <c r="B1239" s="16" t="str">
        <f>TEXT(PARTIDA[[#This Row],[PARTIDA]],"0000000000")</f>
        <v>2201100011</v>
      </c>
      <c r="C1239" s="16" t="s">
        <v>786</v>
      </c>
      <c r="D1239" s="16" t="s">
        <v>787</v>
      </c>
      <c r="E1239" s="16" t="s">
        <v>791</v>
      </c>
      <c r="F1239" s="27" t="s">
        <v>10295</v>
      </c>
      <c r="G1239" s="27"/>
      <c r="H1239" s="16" t="str">
        <f>IF(ISBLANK(PARTIDAS!$G1239),PARTIDAS!$F1239,CONCATENATE(PARTIDAS!$F1239," (",PARTIDAS!$G1239,")"))</f>
        <v>Natural, incluso gaseada</v>
      </c>
      <c r="I1239" s="16" t="s">
        <v>9427</v>
      </c>
    </row>
    <row r="1240" spans="1:9" x14ac:dyDescent="0.25">
      <c r="A1240" s="16" t="s">
        <v>2200</v>
      </c>
      <c r="B1240" s="16" t="str">
        <f>TEXT(PARTIDA[[#This Row],[PARTIDA]],"0000000000")</f>
        <v>2201100012</v>
      </c>
      <c r="C1240" s="16" t="s">
        <v>786</v>
      </c>
      <c r="D1240" s="16" t="s">
        <v>787</v>
      </c>
      <c r="E1240" s="16" t="s">
        <v>791</v>
      </c>
      <c r="F1240" s="27" t="s">
        <v>10296</v>
      </c>
      <c r="G1240" s="27"/>
      <c r="H1240" s="16" t="str">
        <f>IF(ISBLANK(PARTIDAS!$G1240),PARTIDAS!$F1240,CONCATENATE(PARTIDAS!$F1240," (",PARTIDAS!$G1240,")"))</f>
        <v>Artificial, incluso gaseada</v>
      </c>
      <c r="I1240" s="16" t="s">
        <v>9427</v>
      </c>
    </row>
    <row r="1241" spans="1:9" x14ac:dyDescent="0.25">
      <c r="A1241" s="16" t="s">
        <v>2201</v>
      </c>
      <c r="B1241" s="16" t="str">
        <f>TEXT(PARTIDA[[#This Row],[PARTIDA]],"0000000000")</f>
        <v>2201100030</v>
      </c>
      <c r="C1241" s="16" t="s">
        <v>786</v>
      </c>
      <c r="D1241" s="16" t="s">
        <v>787</v>
      </c>
      <c r="E1241" s="16" t="s">
        <v>791</v>
      </c>
      <c r="F1241" s="27" t="s">
        <v>10297</v>
      </c>
      <c r="G1241" s="27"/>
      <c r="H1241" s="16" t="str">
        <f>IF(ISBLANK(PARTIDAS!$G1241),PARTIDAS!$F1241,CONCATENATE(PARTIDAS!$F1241," (",PARTIDAS!$G1241,")"))</f>
        <v>Agua gaseada</v>
      </c>
      <c r="I1241" s="16" t="s">
        <v>9427</v>
      </c>
    </row>
    <row r="1242" spans="1:9" x14ac:dyDescent="0.25">
      <c r="A1242" s="16" t="s">
        <v>2202</v>
      </c>
      <c r="B1242" s="16" t="str">
        <f>TEXT(PARTIDA[[#This Row],[PARTIDA]],"0000000000")</f>
        <v>2201900010</v>
      </c>
      <c r="C1242" s="16" t="s">
        <v>786</v>
      </c>
      <c r="D1242" s="16" t="s">
        <v>787</v>
      </c>
      <c r="E1242" s="16" t="s">
        <v>791</v>
      </c>
      <c r="F1242" s="27" t="s">
        <v>10298</v>
      </c>
      <c r="G1242" s="27"/>
      <c r="H1242" s="16" t="str">
        <f>IF(ISBLANK(PARTIDAS!$G1242),PARTIDAS!$F1242,CONCATENATE(PARTIDAS!$F1242," (",PARTIDAS!$G1242,")"))</f>
        <v>Agua sin gasear</v>
      </c>
      <c r="I1242" s="16" t="s">
        <v>9427</v>
      </c>
    </row>
    <row r="1243" spans="1:9" x14ac:dyDescent="0.25">
      <c r="A1243" s="16" t="s">
        <v>2203</v>
      </c>
      <c r="B1243" s="16" t="str">
        <f>TEXT(PARTIDA[[#This Row],[PARTIDA]],"0000000000")</f>
        <v>2201900020</v>
      </c>
      <c r="C1243" s="16" t="s">
        <v>786</v>
      </c>
      <c r="D1243" s="16" t="s">
        <v>787</v>
      </c>
      <c r="E1243" s="16" t="s">
        <v>791</v>
      </c>
      <c r="F1243" s="27" t="s">
        <v>10299</v>
      </c>
      <c r="G1243" s="27"/>
      <c r="H1243" s="16" t="str">
        <f>IF(ISBLANK(PARTIDAS!$G1243),PARTIDAS!$F1243,CONCATENATE(PARTIDAS!$F1243," (",PARTIDAS!$G1243,")"))</f>
        <v>Agua, incluidas el agua mineral natural o artificial y la gaseada…, hielo</v>
      </c>
      <c r="I1243" s="16" t="s">
        <v>9427</v>
      </c>
    </row>
    <row r="1244" spans="1:9" x14ac:dyDescent="0.25">
      <c r="A1244" s="16" t="s">
        <v>2204</v>
      </c>
      <c r="B1244" s="16" t="str">
        <f>TEXT(PARTIDA[[#This Row],[PARTIDA]],"0000000000")</f>
        <v>2201900090</v>
      </c>
      <c r="C1244" s="16" t="s">
        <v>786</v>
      </c>
      <c r="D1244" s="16" t="s">
        <v>787</v>
      </c>
      <c r="E1244" s="16" t="s">
        <v>791</v>
      </c>
      <c r="F1244" s="27" t="s">
        <v>10300</v>
      </c>
      <c r="G1244" s="27"/>
      <c r="H1244" s="16" t="str">
        <f>IF(ISBLANK(PARTIDAS!$G1244),PARTIDAS!$F1244,CONCATENATE(PARTIDAS!$F1244," (",PARTIDAS!$G1244,")"))</f>
        <v>Agua, incluidas el agua mineral natural o artificial y la gaseada… (los demás)</v>
      </c>
      <c r="I1244" s="16" t="s">
        <v>9427</v>
      </c>
    </row>
    <row r="1245" spans="1:9" x14ac:dyDescent="0.25">
      <c r="A1245" s="16" t="s">
        <v>2205</v>
      </c>
      <c r="B1245" s="16" t="str">
        <f>TEXT(PARTIDA[[#This Row],[PARTIDA]],"0000000000")</f>
        <v>2202100000</v>
      </c>
      <c r="C1245" s="16" t="s">
        <v>786</v>
      </c>
      <c r="D1245" s="16" t="s">
        <v>787</v>
      </c>
      <c r="E1245" s="16" t="s">
        <v>791</v>
      </c>
      <c r="F1245" s="27" t="s">
        <v>10301</v>
      </c>
      <c r="G1245" s="27"/>
      <c r="H1245" s="16" t="str">
        <f>IF(ISBLANK(PARTIDAS!$G1245),PARTIDAS!$F1245,CONCATENATE(PARTIDAS!$F1245," (",PARTIDAS!$G1245,")"))</f>
        <v>Agua, incluidas el agua mineral y la gaseada, con adición de azúcar u otro edulcorante o aromatizada</v>
      </c>
      <c r="I1245" s="16" t="s">
        <v>9427</v>
      </c>
    </row>
    <row r="1246" spans="1:9" x14ac:dyDescent="0.25">
      <c r="A1246" s="16" t="s">
        <v>2206</v>
      </c>
      <c r="B1246" s="16" t="str">
        <f>TEXT(PARTIDA[[#This Row],[PARTIDA]],"0000000000")</f>
        <v>2202910000</v>
      </c>
      <c r="C1246" s="16" t="s">
        <v>786</v>
      </c>
      <c r="D1246" s="16" t="s">
        <v>787</v>
      </c>
      <c r="E1246" s="16" t="s">
        <v>791</v>
      </c>
      <c r="F1246" s="27" t="s">
        <v>10302</v>
      </c>
      <c r="G1246" s="27"/>
      <c r="H1246" s="16" t="str">
        <f>IF(ISBLANK(PARTIDAS!$G1246),PARTIDAS!$F1246,CONCATENATE(PARTIDAS!$F1246," (",PARTIDAS!$G1246,")"))</f>
        <v>Cerveza sin alcohol</v>
      </c>
      <c r="I1246" s="16" t="s">
        <v>9427</v>
      </c>
    </row>
    <row r="1247" spans="1:9" x14ac:dyDescent="0.25">
      <c r="A1247" s="16" t="s">
        <v>2207</v>
      </c>
      <c r="B1247" s="16" t="str">
        <f>TEXT(PARTIDA[[#This Row],[PARTIDA]],"0000000000")</f>
        <v>2202990000</v>
      </c>
      <c r="C1247" s="16" t="s">
        <v>786</v>
      </c>
      <c r="D1247" s="16" t="s">
        <v>787</v>
      </c>
      <c r="E1247" s="16" t="s">
        <v>791</v>
      </c>
      <c r="F1247" s="27" t="s">
        <v>2208</v>
      </c>
      <c r="G1247" s="27" t="s">
        <v>1472</v>
      </c>
      <c r="H1247" s="16" t="str">
        <f>IF(ISBLANK(PARTIDAS!$G1247),PARTIDAS!$F1247,CONCATENATE(PARTIDAS!$F1247," (",PARTIDAS!$G1247,")"))</f>
        <v>Chicha morada (Verificar)</v>
      </c>
      <c r="I1247" s="16" t="s">
        <v>9427</v>
      </c>
    </row>
    <row r="1248" spans="1:9" x14ac:dyDescent="0.25">
      <c r="A1248" s="16" t="s">
        <v>2209</v>
      </c>
      <c r="B1248" s="16" t="str">
        <f>TEXT(PARTIDA[[#This Row],[PARTIDA]],"0000000000")</f>
        <v>2203000000</v>
      </c>
      <c r="C1248" s="16" t="s">
        <v>786</v>
      </c>
      <c r="D1248" s="16" t="s">
        <v>787</v>
      </c>
      <c r="E1248" s="16" t="s">
        <v>791</v>
      </c>
      <c r="F1248" s="27" t="s">
        <v>2210</v>
      </c>
      <c r="G1248" s="27"/>
      <c r="H1248" s="16" t="str">
        <f>IF(ISBLANK(PARTIDAS!$G1248),PARTIDAS!$F1248,CONCATENATE(PARTIDAS!$F1248," (",PARTIDAS!$G1248,")"))</f>
        <v>Cerveza de malta.</v>
      </c>
      <c r="I1248" s="16" t="s">
        <v>9427</v>
      </c>
    </row>
    <row r="1249" spans="1:9" x14ac:dyDescent="0.25">
      <c r="A1249" s="16" t="s">
        <v>2211</v>
      </c>
      <c r="B1249" s="16" t="str">
        <f>TEXT(PARTIDA[[#This Row],[PARTIDA]],"0000000000")</f>
        <v>2204100000</v>
      </c>
      <c r="C1249" s="16" t="s">
        <v>786</v>
      </c>
      <c r="D1249" s="16" t="s">
        <v>787</v>
      </c>
      <c r="E1249" s="16" t="s">
        <v>791</v>
      </c>
      <c r="F1249" s="27" t="s">
        <v>10303</v>
      </c>
      <c r="G1249" s="27"/>
      <c r="H1249" s="16" t="str">
        <f>IF(ISBLANK(PARTIDAS!$G1249),PARTIDAS!$F1249,CONCATENATE(PARTIDAS!$F1249," (",PARTIDAS!$G1249,")"))</f>
        <v>Vino espumoso</v>
      </c>
      <c r="I1249" s="16" t="s">
        <v>9427</v>
      </c>
    </row>
    <row r="1250" spans="1:9" x14ac:dyDescent="0.25">
      <c r="A1250" s="16" t="s">
        <v>2212</v>
      </c>
      <c r="B1250" s="16" t="str">
        <f>TEXT(PARTIDA[[#This Row],[PARTIDA]],"0000000000")</f>
        <v>2204210000</v>
      </c>
      <c r="C1250" s="16" t="s">
        <v>786</v>
      </c>
      <c r="D1250" s="16" t="s">
        <v>787</v>
      </c>
      <c r="E1250" s="16" t="s">
        <v>791</v>
      </c>
      <c r="F1250" s="27" t="s">
        <v>9407</v>
      </c>
      <c r="G1250" s="27"/>
      <c r="H1250" s="16" t="str">
        <f>IF(ISBLANK(PARTIDAS!$G1250),PARTIDAS!$F1250,CONCATENATE(PARTIDAS!$F1250," (",PARTIDAS!$G1250,")"))</f>
        <v>Vino de uvas frescas, incluso encabezado, en recipientes con capacidad inferior o igual a 2 l</v>
      </c>
      <c r="I1250" s="16" t="s">
        <v>9477</v>
      </c>
    </row>
    <row r="1251" spans="1:9" x14ac:dyDescent="0.25">
      <c r="A1251" s="16" t="s">
        <v>2213</v>
      </c>
      <c r="B1251" s="16" t="str">
        <f>TEXT(PARTIDA[[#This Row],[PARTIDA]],"0000000000")</f>
        <v>2204221000</v>
      </c>
      <c r="C1251" s="16" t="s">
        <v>786</v>
      </c>
      <c r="D1251" s="16" t="s">
        <v>787</v>
      </c>
      <c r="E1251" s="16" t="s">
        <v>791</v>
      </c>
      <c r="F1251" s="27" t="s">
        <v>10304</v>
      </c>
      <c r="G1251" s="27"/>
      <c r="H1251" s="16" t="str">
        <f>IF(ISBLANK(PARTIDAS!$G1251),PARTIDAS!$F1251,CONCATENATE(PARTIDAS!$F1251," (",PARTIDAS!$G1251,")"))</f>
        <v>Mosto de uva en el que la fermentación se ha impedido o cortado añadiendo alcohol</v>
      </c>
      <c r="I1251" s="16" t="s">
        <v>9427</v>
      </c>
    </row>
    <row r="1252" spans="1:9" x14ac:dyDescent="0.25">
      <c r="A1252" s="16" t="s">
        <v>2214</v>
      </c>
      <c r="B1252" s="16" t="str">
        <f>TEXT(PARTIDA[[#This Row],[PARTIDA]],"0000000000")</f>
        <v>2204229000</v>
      </c>
      <c r="C1252" s="16" t="s">
        <v>786</v>
      </c>
      <c r="D1252" s="16" t="s">
        <v>787</v>
      </c>
      <c r="E1252" s="16" t="s">
        <v>791</v>
      </c>
      <c r="F1252" s="27" t="s">
        <v>10305</v>
      </c>
      <c r="G1252" s="27"/>
      <c r="H1252" s="16" t="str">
        <f>IF(ISBLANK(PARTIDAS!$G1252),PARTIDAS!$F1252,CONCATENATE(PARTIDAS!$F1252," (",PARTIDAS!$G1252,")"))</f>
        <v>Vino de uvas frescas, incluso encabezado, en recipientes con capacidad superior a 2 l pero inferior o igual a… (los demás, vinos)</v>
      </c>
      <c r="I1252" s="16" t="s">
        <v>9427</v>
      </c>
    </row>
    <row r="1253" spans="1:9" x14ac:dyDescent="0.25">
      <c r="A1253" s="16" t="s">
        <v>2215</v>
      </c>
      <c r="B1253" s="16" t="str">
        <f>TEXT(PARTIDA[[#This Row],[PARTIDA]],"0000000000")</f>
        <v>2204291000</v>
      </c>
      <c r="C1253" s="16" t="s">
        <v>786</v>
      </c>
      <c r="D1253" s="16" t="s">
        <v>787</v>
      </c>
      <c r="E1253" s="16" t="s">
        <v>791</v>
      </c>
      <c r="F1253" s="27" t="s">
        <v>10304</v>
      </c>
      <c r="G1253" s="27"/>
      <c r="H1253" s="16" t="str">
        <f>IF(ISBLANK(PARTIDAS!$G1253),PARTIDAS!$F1253,CONCATENATE(PARTIDAS!$F1253," (",PARTIDAS!$G1253,")"))</f>
        <v>Mosto de uva en el que la fermentación se ha impedido o cortado añadiendo alcohol</v>
      </c>
      <c r="I1253" s="16" t="s">
        <v>9427</v>
      </c>
    </row>
    <row r="1254" spans="1:9" x14ac:dyDescent="0.25">
      <c r="A1254" s="16" t="s">
        <v>2216</v>
      </c>
      <c r="B1254" s="16" t="str">
        <f>TEXT(PARTIDA[[#This Row],[PARTIDA]],"0000000000")</f>
        <v>2204299000</v>
      </c>
      <c r="C1254" s="16" t="s">
        <v>786</v>
      </c>
      <c r="D1254" s="16" t="s">
        <v>787</v>
      </c>
      <c r="E1254" s="16" t="s">
        <v>791</v>
      </c>
      <c r="F1254" s="27" t="s">
        <v>10306</v>
      </c>
      <c r="G1254" s="27"/>
      <c r="H1254" s="16" t="str">
        <f>IF(ISBLANK(PARTIDAS!$G1254),PARTIDAS!$F1254,CONCATENATE(PARTIDAS!$F1254," (",PARTIDAS!$G1254,")"))</f>
        <v>Vino de uvas frescas, incluso encabezado (los demás, vinos)</v>
      </c>
      <c r="I1254" s="16" t="s">
        <v>9427</v>
      </c>
    </row>
    <row r="1255" spans="1:9" x14ac:dyDescent="0.25">
      <c r="A1255" s="16" t="s">
        <v>2217</v>
      </c>
      <c r="B1255" s="16" t="str">
        <f>TEXT(PARTIDA[[#This Row],[PARTIDA]],"0000000000")</f>
        <v>2204300000</v>
      </c>
      <c r="C1255" s="16" t="s">
        <v>786</v>
      </c>
      <c r="D1255" s="16" t="s">
        <v>787</v>
      </c>
      <c r="E1255" s="16" t="s">
        <v>791</v>
      </c>
      <c r="F1255" s="27" t="s">
        <v>10307</v>
      </c>
      <c r="G1255" s="27"/>
      <c r="H1255" s="16" t="str">
        <f>IF(ISBLANK(PARTIDAS!$G1255),PARTIDAS!$F1255,CONCATENATE(PARTIDAS!$F1255," (",PARTIDAS!$G1255,")"))</f>
        <v>Vino de uvas frescas, incluso encabezado (los demás, mostos de uva 0)</v>
      </c>
      <c r="I1255" s="16" t="s">
        <v>9427</v>
      </c>
    </row>
    <row r="1256" spans="1:9" x14ac:dyDescent="0.25">
      <c r="A1256" s="16" t="s">
        <v>2218</v>
      </c>
      <c r="B1256" s="16" t="str">
        <f>TEXT(PARTIDA[[#This Row],[PARTIDA]],"0000000000")</f>
        <v>2205100000</v>
      </c>
      <c r="C1256" s="16" t="s">
        <v>786</v>
      </c>
      <c r="D1256" s="16" t="s">
        <v>787</v>
      </c>
      <c r="E1256" s="16" t="s">
        <v>791</v>
      </c>
      <c r="F1256" s="27" t="s">
        <v>10308</v>
      </c>
      <c r="G1256" s="27"/>
      <c r="H1256" s="16" t="str">
        <f>IF(ISBLANK(PARTIDAS!$G1256),PARTIDAS!$F1256,CONCATENATE(PARTIDAS!$F1256," (",PARTIDAS!$G1256,")"))</f>
        <v>Vermut y demás vinos de uvas frescas preparados con plantas o…, en recipientes con capacidad inferior o igual a 2 l</v>
      </c>
      <c r="I1256" s="16" t="s">
        <v>9427</v>
      </c>
    </row>
    <row r="1257" spans="1:9" x14ac:dyDescent="0.25">
      <c r="A1257" s="16" t="s">
        <v>2219</v>
      </c>
      <c r="B1257" s="16" t="str">
        <f>TEXT(PARTIDA[[#This Row],[PARTIDA]],"0000000000")</f>
        <v>2205900000</v>
      </c>
      <c r="C1257" s="16" t="s">
        <v>786</v>
      </c>
      <c r="D1257" s="16" t="s">
        <v>787</v>
      </c>
      <c r="E1257" s="16" t="s">
        <v>791</v>
      </c>
      <c r="F1257" s="27" t="s">
        <v>10309</v>
      </c>
      <c r="G1257" s="27"/>
      <c r="H1257" s="16" t="str">
        <f>IF(ISBLANK(PARTIDAS!$G1257),PARTIDAS!$F1257,CONCATENATE(PARTIDAS!$F1257," (",PARTIDAS!$G1257,")"))</f>
        <v>Vermut y demás vinos de uvas frescas preparados con plantas o… (los demás)</v>
      </c>
      <c r="I1257" s="16" t="s">
        <v>9427</v>
      </c>
    </row>
    <row r="1258" spans="1:9" x14ac:dyDescent="0.25">
      <c r="A1258" s="16" t="s">
        <v>2220</v>
      </c>
      <c r="B1258" s="16" t="str">
        <f>TEXT(PARTIDA[[#This Row],[PARTIDA]],"0000000000")</f>
        <v>2206000000</v>
      </c>
      <c r="C1258" s="16" t="s">
        <v>786</v>
      </c>
      <c r="D1258" s="16" t="s">
        <v>787</v>
      </c>
      <c r="E1258" s="16" t="s">
        <v>791</v>
      </c>
      <c r="F1258" s="27" t="s">
        <v>2221</v>
      </c>
      <c r="G1258" s="27"/>
      <c r="H1258" s="16" t="str">
        <f>IF(ISBLANK(PARTIDAS!$G1258),PARTIDAS!$F1258,CONCATENATE(PARTIDAS!$F1258," (",PARTIDAS!$G1258,")"))</f>
        <v>Bebidas fermentadas: sidra, perada, aguamiel, sake</v>
      </c>
      <c r="I1258" s="16" t="s">
        <v>9427</v>
      </c>
    </row>
    <row r="1259" spans="1:9" x14ac:dyDescent="0.25">
      <c r="A1259" s="16" t="s">
        <v>2222</v>
      </c>
      <c r="B1259" s="16" t="str">
        <f>TEXT(PARTIDA[[#This Row],[PARTIDA]],"0000000000")</f>
        <v>2207100000</v>
      </c>
      <c r="C1259" s="16" t="s">
        <v>815</v>
      </c>
      <c r="D1259" s="16" t="s">
        <v>835</v>
      </c>
      <c r="E1259" s="16" t="s">
        <v>9465</v>
      </c>
      <c r="F1259" s="27" t="s">
        <v>9140</v>
      </c>
      <c r="G1259" s="27"/>
      <c r="H1259" s="16" t="str">
        <f>IF(ISBLANK(PARTIDAS!$G1259),PARTIDAS!$F1259,CONCATENATE(PARTIDAS!$F1259," (",PARTIDAS!$G1259,")"))</f>
        <v>Alcohol etílico sin desnaturalizar con grado alcohólico volumétrico superior o igual al 80 % vol</v>
      </c>
      <c r="I1259" s="16" t="s">
        <v>9477</v>
      </c>
    </row>
    <row r="1260" spans="1:9" x14ac:dyDescent="0.25">
      <c r="A1260" s="16" t="s">
        <v>2223</v>
      </c>
      <c r="B1260" s="16" t="str">
        <f>TEXT(PARTIDA[[#This Row],[PARTIDA]],"0000000000")</f>
        <v>2207200010</v>
      </c>
      <c r="C1260" s="16" t="s">
        <v>815</v>
      </c>
      <c r="D1260" s="16" t="s">
        <v>835</v>
      </c>
      <c r="E1260" s="16" t="s">
        <v>1870</v>
      </c>
      <c r="F1260" s="27" t="s">
        <v>10310</v>
      </c>
      <c r="G1260" s="27"/>
      <c r="H1260" s="16" t="str">
        <f>IF(ISBLANK(PARTIDAS!$G1260),PARTIDAS!$F1260,CONCATENATE(PARTIDAS!$F1260," (",PARTIDAS!$G1260,")"))</f>
        <v>Alcohol carburante</v>
      </c>
      <c r="I1260" s="16" t="s">
        <v>9427</v>
      </c>
    </row>
    <row r="1261" spans="1:9" x14ac:dyDescent="0.25">
      <c r="A1261" s="16" t="s">
        <v>2224</v>
      </c>
      <c r="B1261" s="16" t="str">
        <f>TEXT(PARTIDA[[#This Row],[PARTIDA]],"0000000000")</f>
        <v>2207200090</v>
      </c>
      <c r="C1261" s="16" t="s">
        <v>815</v>
      </c>
      <c r="D1261" s="16" t="s">
        <v>835</v>
      </c>
      <c r="E1261" s="16" t="s">
        <v>1870</v>
      </c>
      <c r="F1261" s="27" t="s">
        <v>10311</v>
      </c>
      <c r="G1261" s="27"/>
      <c r="H1261" s="16" t="str">
        <f>IF(ISBLANK(PARTIDAS!$G1261),PARTIDAS!$F1261,CONCATENATE(PARTIDAS!$F1261," (",PARTIDAS!$G1261,")"))</f>
        <v>Alcohol etílico y aguardiente desnaturalizados, de cualquier… (los demás)</v>
      </c>
      <c r="I1261" s="16" t="s">
        <v>9427</v>
      </c>
    </row>
    <row r="1262" spans="1:9" x14ac:dyDescent="0.25">
      <c r="A1262" s="16" t="s">
        <v>2225</v>
      </c>
      <c r="B1262" s="16" t="str">
        <f>TEXT(PARTIDA[[#This Row],[PARTIDA]],"0000000000")</f>
        <v>2208202100</v>
      </c>
      <c r="C1262" s="16" t="s">
        <v>786</v>
      </c>
      <c r="D1262" s="16" t="s">
        <v>787</v>
      </c>
      <c r="E1262" s="16" t="s">
        <v>791</v>
      </c>
      <c r="F1262" s="27" t="s">
        <v>10312</v>
      </c>
      <c r="G1262" s="27"/>
      <c r="H1262" s="16" t="str">
        <f>IF(ISBLANK(PARTIDAS!$G1262),PARTIDAS!$F1262,CONCATENATE(PARTIDAS!$F1262," (",PARTIDAS!$G1262,")"))</f>
        <v>Aguardiente de vino o de orujo de uvas, de vino (Por ejemplo, pisco</v>
      </c>
      <c r="I1262" s="16" t="s">
        <v>9427</v>
      </c>
    </row>
    <row r="1263" spans="1:9" x14ac:dyDescent="0.25">
      <c r="A1263" s="16" t="s">
        <v>2226</v>
      </c>
      <c r="B1263" s="16" t="str">
        <f>TEXT(PARTIDA[[#This Row],[PARTIDA]],"0000000000")</f>
        <v>2208202200</v>
      </c>
      <c r="C1263" s="16" t="s">
        <v>786</v>
      </c>
      <c r="D1263" s="16" t="s">
        <v>787</v>
      </c>
      <c r="E1263" s="16" t="s">
        <v>791</v>
      </c>
      <c r="F1263" s="27" t="s">
        <v>9138</v>
      </c>
      <c r="G1263" s="27"/>
      <c r="H1263" s="16" t="str">
        <f>IF(ISBLANK(PARTIDAS!$G1263),PARTIDAS!$F1263,CONCATENATE(PARTIDAS!$F1263," (",PARTIDAS!$G1263,")"))</f>
        <v>Aguardiente de vino o de orujo de uvas, de vino (Por ejemplo, singani</v>
      </c>
      <c r="I1263" s="16" t="s">
        <v>9477</v>
      </c>
    </row>
    <row r="1264" spans="1:9" x14ac:dyDescent="0.25">
      <c r="A1264" s="16" t="s">
        <v>2227</v>
      </c>
      <c r="B1264" s="16" t="str">
        <f>TEXT(PARTIDA[[#This Row],[PARTIDA]],"0000000000")</f>
        <v>2208202900</v>
      </c>
      <c r="C1264" s="16" t="s">
        <v>786</v>
      </c>
      <c r="D1264" s="16" t="s">
        <v>787</v>
      </c>
      <c r="E1264" s="16" t="s">
        <v>791</v>
      </c>
      <c r="F1264" s="27" t="s">
        <v>10313</v>
      </c>
      <c r="G1264" s="27"/>
      <c r="H1264" s="16" t="str">
        <f>IF(ISBLANK(PARTIDAS!$G1264),PARTIDAS!$F1264,CONCATENATE(PARTIDAS!$F1264," (",PARTIDAS!$G1264,")"))</f>
        <v>Aguardiente de vino o de orujo de uvas, de vino (Por ejemplo (los demás)</v>
      </c>
      <c r="I1264" s="16" t="s">
        <v>9427</v>
      </c>
    </row>
    <row r="1265" spans="1:9" x14ac:dyDescent="0.25">
      <c r="A1265" s="16" t="s">
        <v>2228</v>
      </c>
      <c r="B1265" s="16" t="str">
        <f>TEXT(PARTIDA[[#This Row],[PARTIDA]],"0000000000")</f>
        <v>2208203000</v>
      </c>
      <c r="C1265" s="16" t="s">
        <v>786</v>
      </c>
      <c r="D1265" s="16" t="s">
        <v>787</v>
      </c>
      <c r="E1265" s="16" t="s">
        <v>791</v>
      </c>
      <c r="F1265" s="27" t="s">
        <v>10314</v>
      </c>
      <c r="G1265" s="27"/>
      <c r="H1265" s="16" t="str">
        <f>IF(ISBLANK(PARTIDAS!$G1265),PARTIDAS!$F1265,CONCATENATE(PARTIDAS!$F1265," (",PARTIDAS!$G1265,")"))</f>
        <v>Aguardiente de vino o de orujo de uvas, de orujo de uvas («grappa» y similares)</v>
      </c>
      <c r="I1265" s="16" t="s">
        <v>9427</v>
      </c>
    </row>
    <row r="1266" spans="1:9" x14ac:dyDescent="0.25">
      <c r="A1266" s="16" t="s">
        <v>2229</v>
      </c>
      <c r="B1266" s="16" t="str">
        <f>TEXT(PARTIDA[[#This Row],[PARTIDA]],"0000000000")</f>
        <v>2208300000</v>
      </c>
      <c r="C1266" s="16" t="s">
        <v>786</v>
      </c>
      <c r="D1266" s="16" t="s">
        <v>787</v>
      </c>
      <c r="E1266" s="16" t="s">
        <v>791</v>
      </c>
      <c r="F1266" s="27" t="s">
        <v>10315</v>
      </c>
      <c r="G1266" s="27"/>
      <c r="H1266" s="16" t="str">
        <f>IF(ISBLANK(PARTIDAS!$G1266),PARTIDAS!$F1266,CONCATENATE(PARTIDAS!$F1266," (",PARTIDAS!$G1266,")"))</f>
        <v>Whisky</v>
      </c>
      <c r="I1266" s="16" t="s">
        <v>9427</v>
      </c>
    </row>
    <row r="1267" spans="1:9" x14ac:dyDescent="0.25">
      <c r="A1267" s="16" t="s">
        <v>2230</v>
      </c>
      <c r="B1267" s="16" t="str">
        <f>TEXT(PARTIDA[[#This Row],[PARTIDA]],"0000000000")</f>
        <v>2208400000</v>
      </c>
      <c r="C1267" s="16" t="s">
        <v>786</v>
      </c>
      <c r="D1267" s="16" t="s">
        <v>787</v>
      </c>
      <c r="E1267" s="16" t="s">
        <v>791</v>
      </c>
      <c r="F1267" s="27" t="s">
        <v>10316</v>
      </c>
      <c r="G1267" s="27"/>
      <c r="H1267" s="16" t="str">
        <f>IF(ISBLANK(PARTIDAS!$G1267),PARTIDAS!$F1267,CONCATENATE(PARTIDAS!$F1267," (",PARTIDAS!$G1267,")"))</f>
        <v>Ron y demás aguardientes procedentes de la destilación, previa fermentación, de productos de la caña de azúcar</v>
      </c>
      <c r="I1267" s="16" t="s">
        <v>9427</v>
      </c>
    </row>
    <row r="1268" spans="1:9" x14ac:dyDescent="0.25">
      <c r="A1268" s="16" t="s">
        <v>2231</v>
      </c>
      <c r="B1268" s="16" t="str">
        <f>TEXT(PARTIDA[[#This Row],[PARTIDA]],"0000000000")</f>
        <v>2208500000</v>
      </c>
      <c r="C1268" s="16" t="s">
        <v>786</v>
      </c>
      <c r="D1268" s="16" t="s">
        <v>787</v>
      </c>
      <c r="E1268" s="16" t="s">
        <v>791</v>
      </c>
      <c r="F1268" s="27" t="s">
        <v>10317</v>
      </c>
      <c r="G1268" s="27"/>
      <c r="H1268" s="16" t="str">
        <f>IF(ISBLANK(PARTIDAS!$G1268),PARTIDAS!$F1268,CONCATENATE(PARTIDAS!$F1268," (",PARTIDAS!$G1268,")"))</f>
        <v>Gin y ginebra</v>
      </c>
      <c r="I1268" s="16" t="s">
        <v>9427</v>
      </c>
    </row>
    <row r="1269" spans="1:9" x14ac:dyDescent="0.25">
      <c r="A1269" s="16" t="s">
        <v>2232</v>
      </c>
      <c r="B1269" s="16" t="str">
        <f>TEXT(PARTIDA[[#This Row],[PARTIDA]],"0000000000")</f>
        <v>2208600000</v>
      </c>
      <c r="C1269" s="16" t="s">
        <v>786</v>
      </c>
      <c r="D1269" s="16" t="s">
        <v>787</v>
      </c>
      <c r="E1269" s="16" t="s">
        <v>791</v>
      </c>
      <c r="F1269" s="27" t="s">
        <v>10318</v>
      </c>
      <c r="G1269" s="27"/>
      <c r="H1269" s="16" t="str">
        <f>IF(ISBLANK(PARTIDAS!$G1269),PARTIDAS!$F1269,CONCATENATE(PARTIDAS!$F1269," (",PARTIDAS!$G1269,")"))</f>
        <v>Vodka</v>
      </c>
      <c r="I1269" s="16" t="s">
        <v>9427</v>
      </c>
    </row>
    <row r="1270" spans="1:9" x14ac:dyDescent="0.25">
      <c r="A1270" s="16" t="s">
        <v>2233</v>
      </c>
      <c r="B1270" s="16" t="str">
        <f>TEXT(PARTIDA[[#This Row],[PARTIDA]],"0000000000")</f>
        <v>2208701000</v>
      </c>
      <c r="C1270" s="16" t="s">
        <v>786</v>
      </c>
      <c r="D1270" s="16" t="s">
        <v>787</v>
      </c>
      <c r="E1270" s="16" t="s">
        <v>791</v>
      </c>
      <c r="F1270" s="27" t="s">
        <v>10319</v>
      </c>
      <c r="G1270" s="27"/>
      <c r="H1270" s="16" t="str">
        <f>IF(ISBLANK(PARTIDAS!$G1270),PARTIDAS!$F1270,CONCATENATE(PARTIDAS!$F1270," (",PARTIDAS!$G1270,")"))</f>
        <v>Licores, de anís</v>
      </c>
      <c r="I1270" s="16" t="s">
        <v>9427</v>
      </c>
    </row>
    <row r="1271" spans="1:9" x14ac:dyDescent="0.25">
      <c r="A1271" s="16" t="s">
        <v>2234</v>
      </c>
      <c r="B1271" s="16" t="str">
        <f>TEXT(PARTIDA[[#This Row],[PARTIDA]],"0000000000")</f>
        <v>2208702000</v>
      </c>
      <c r="C1271" s="16" t="s">
        <v>786</v>
      </c>
      <c r="D1271" s="16" t="s">
        <v>787</v>
      </c>
      <c r="E1271" s="16" t="s">
        <v>791</v>
      </c>
      <c r="F1271" s="27" t="s">
        <v>2235</v>
      </c>
      <c r="G1271" s="27"/>
      <c r="H1271" s="16" t="str">
        <f>IF(ISBLANK(PARTIDAS!$G1271),PARTIDAS!$F1271,CONCATENATE(PARTIDAS!$F1271," (",PARTIDAS!$G1271,")"))</f>
        <v>Bebidas en crema (cocteles)</v>
      </c>
      <c r="I1271" s="16" t="s">
        <v>9427</v>
      </c>
    </row>
    <row r="1272" spans="1:9" x14ac:dyDescent="0.25">
      <c r="A1272" s="16" t="s">
        <v>2236</v>
      </c>
      <c r="B1272" s="16" t="str">
        <f>TEXT(PARTIDA[[#This Row],[PARTIDA]],"0000000000")</f>
        <v>2208709000</v>
      </c>
      <c r="C1272" s="16" t="s">
        <v>786</v>
      </c>
      <c r="D1272" s="16" t="s">
        <v>787</v>
      </c>
      <c r="E1272" s="16" t="s">
        <v>791</v>
      </c>
      <c r="F1272" s="27" t="s">
        <v>2237</v>
      </c>
      <c r="G1272" s="27"/>
      <c r="H1272" s="16" t="str">
        <f>IF(ISBLANK(PARTIDAS!$G1272),PARTIDAS!$F1272,CONCATENATE(PARTIDAS!$F1272," (",PARTIDAS!$G1272,")"))</f>
        <v>Bebidas alcohólicas</v>
      </c>
      <c r="I1272" s="16" t="s">
        <v>9427</v>
      </c>
    </row>
    <row r="1273" spans="1:9" x14ac:dyDescent="0.25">
      <c r="A1273" s="16" t="s">
        <v>2238</v>
      </c>
      <c r="B1273" s="16" t="str">
        <f>TEXT(PARTIDA[[#This Row],[PARTIDA]],"0000000000")</f>
        <v>2208901000</v>
      </c>
      <c r="C1273" s="16" t="s">
        <v>786</v>
      </c>
      <c r="D1273" s="16" t="s">
        <v>787</v>
      </c>
      <c r="E1273" s="16" t="s">
        <v>791</v>
      </c>
      <c r="F1273" s="27" t="s">
        <v>10320</v>
      </c>
      <c r="G1273" s="27"/>
      <c r="H1273" s="16" t="str">
        <f>IF(ISBLANK(PARTIDAS!$G1273),PARTIDAS!$F1273,CONCATENATE(PARTIDAS!$F1273," (",PARTIDAS!$G1273,")"))</f>
        <v>Alcohol etílico sin desnaturalizar con grado alcohólico volumétrico inferior al 80 % vol</v>
      </c>
      <c r="I1273" s="16" t="s">
        <v>9427</v>
      </c>
    </row>
    <row r="1274" spans="1:9" x14ac:dyDescent="0.25">
      <c r="A1274" s="16" t="s">
        <v>2239</v>
      </c>
      <c r="B1274" s="16" t="str">
        <f>TEXT(PARTIDA[[#This Row],[PARTIDA]],"0000000000")</f>
        <v>2208902000</v>
      </c>
      <c r="C1274" s="16" t="s">
        <v>786</v>
      </c>
      <c r="D1274" s="16" t="s">
        <v>787</v>
      </c>
      <c r="E1274" s="16" t="s">
        <v>791</v>
      </c>
      <c r="F1274" s="27" t="s">
        <v>10321</v>
      </c>
      <c r="G1274" s="27"/>
      <c r="H1274" s="16" t="str">
        <f>IF(ISBLANK(PARTIDAS!$G1274),PARTIDAS!$F1274,CONCATENATE(PARTIDAS!$F1274," (",PARTIDAS!$G1274,")"))</f>
        <v>Aguardiente de agaves (tequila y similares)</v>
      </c>
      <c r="I1274" s="16" t="s">
        <v>9427</v>
      </c>
    </row>
    <row r="1275" spans="1:9" x14ac:dyDescent="0.25">
      <c r="A1275" s="16" t="s">
        <v>2240</v>
      </c>
      <c r="B1275" s="16" t="str">
        <f>TEXT(PARTIDA[[#This Row],[PARTIDA]],"0000000000")</f>
        <v>2208904200</v>
      </c>
      <c r="C1275" s="16" t="s">
        <v>786</v>
      </c>
      <c r="D1275" s="16" t="s">
        <v>787</v>
      </c>
      <c r="E1275" s="16" t="s">
        <v>791</v>
      </c>
      <c r="F1275" s="27" t="s">
        <v>10322</v>
      </c>
      <c r="G1275" s="27"/>
      <c r="H1275" s="16" t="str">
        <f>IF(ISBLANK(PARTIDAS!$G1275),PARTIDAS!$F1275,CONCATENATE(PARTIDAS!$F1275," (",PARTIDAS!$G1275,")"))</f>
        <v>Alcohol etílico sin desnaturalizar con grado alcohólico volumétrico…, de anís</v>
      </c>
      <c r="I1275" s="16" t="s">
        <v>9427</v>
      </c>
    </row>
    <row r="1276" spans="1:9" x14ac:dyDescent="0.25">
      <c r="A1276" s="16" t="s">
        <v>2241</v>
      </c>
      <c r="B1276" s="16" t="str">
        <f>TEXT(PARTIDA[[#This Row],[PARTIDA]],"0000000000")</f>
        <v>2208904900</v>
      </c>
      <c r="C1276" s="16" t="s">
        <v>786</v>
      </c>
      <c r="D1276" s="16" t="s">
        <v>787</v>
      </c>
      <c r="E1276" s="16" t="s">
        <v>791</v>
      </c>
      <c r="F1276" s="27" t="s">
        <v>10323</v>
      </c>
      <c r="G1276" s="27"/>
      <c r="H1276" s="16" t="str">
        <f>IF(ISBLANK(PARTIDAS!$G1276),PARTIDAS!$F1276,CONCATENATE(PARTIDAS!$F1276," (",PARTIDAS!$G1276,")"))</f>
        <v>Alcohol etílico sin desnaturalizar con grado alcohólico volumétrico… (los demás)</v>
      </c>
      <c r="I1276" s="16" t="s">
        <v>9427</v>
      </c>
    </row>
    <row r="1277" spans="1:9" x14ac:dyDescent="0.25">
      <c r="A1277" s="16" t="s">
        <v>2242</v>
      </c>
      <c r="B1277" s="16" t="str">
        <f>TEXT(PARTIDA[[#This Row],[PARTIDA]],"0000000000")</f>
        <v>2208909000</v>
      </c>
      <c r="C1277" s="16" t="s">
        <v>786</v>
      </c>
      <c r="D1277" s="16" t="s">
        <v>787</v>
      </c>
      <c r="E1277" s="16" t="s">
        <v>791</v>
      </c>
      <c r="F1277" s="27" t="s">
        <v>10323</v>
      </c>
      <c r="G1277" s="27"/>
      <c r="H1277" s="16" t="str">
        <f>IF(ISBLANK(PARTIDAS!$G1277),PARTIDAS!$F1277,CONCATENATE(PARTIDAS!$F1277," (",PARTIDAS!$G1277,")"))</f>
        <v>Alcohol etílico sin desnaturalizar con grado alcohólico volumétrico… (los demás)</v>
      </c>
      <c r="I1277" s="16" t="s">
        <v>9427</v>
      </c>
    </row>
    <row r="1278" spans="1:9" x14ac:dyDescent="0.25">
      <c r="A1278" s="16" t="s">
        <v>2243</v>
      </c>
      <c r="B1278" s="16" t="str">
        <f>TEXT(PARTIDA[[#This Row],[PARTIDA]],"0000000000")</f>
        <v>2209000000</v>
      </c>
      <c r="C1278" s="16" t="s">
        <v>815</v>
      </c>
      <c r="D1278" s="16" t="s">
        <v>835</v>
      </c>
      <c r="E1278" s="16" t="s">
        <v>1870</v>
      </c>
      <c r="F1278" s="27" t="s">
        <v>2244</v>
      </c>
      <c r="G1278" s="27"/>
      <c r="H1278" s="16" t="str">
        <f>IF(ISBLANK(PARTIDAS!$G1278),PARTIDAS!$F1278,CONCATENATE(PARTIDAS!$F1278," (",PARTIDAS!$G1278,")"))</f>
        <v>Vinagre y sucedáneos del vinagre obtenidos a
partir del ácido acético.</v>
      </c>
      <c r="I1278" s="16" t="s">
        <v>9427</v>
      </c>
    </row>
    <row r="1279" spans="1:9" x14ac:dyDescent="0.25">
      <c r="A1279" s="16" t="s">
        <v>2245</v>
      </c>
      <c r="B1279" s="16" t="str">
        <f>TEXT(PARTIDA[[#This Row],[PARTIDA]],"0000000000")</f>
        <v>2301101000</v>
      </c>
      <c r="C1279" s="16" t="s">
        <v>815</v>
      </c>
      <c r="D1279" s="16" t="s">
        <v>825</v>
      </c>
      <c r="E1279" s="16" t="s">
        <v>829</v>
      </c>
      <c r="F1279" s="27" t="s">
        <v>10324</v>
      </c>
      <c r="G1279" s="27"/>
      <c r="H1279" s="16" t="str">
        <f>IF(ISBLANK(PARTIDAS!$G1279),PARTIDAS!$F1279,CONCATENATE(PARTIDAS!$F1279," (",PARTIDAS!$G1279,")"))</f>
        <v>Harina, polvo y «pellets», de carne o despojos, chicharrones</v>
      </c>
      <c r="I1279" s="16" t="s">
        <v>9427</v>
      </c>
    </row>
    <row r="1280" spans="1:9" x14ac:dyDescent="0.25">
      <c r="A1280" s="16" t="s">
        <v>2246</v>
      </c>
      <c r="B1280" s="16" t="str">
        <f>TEXT(PARTIDA[[#This Row],[PARTIDA]],"0000000000")</f>
        <v>2301109000</v>
      </c>
      <c r="C1280" s="16" t="s">
        <v>815</v>
      </c>
      <c r="D1280" s="16" t="s">
        <v>825</v>
      </c>
      <c r="E1280" s="16" t="s">
        <v>829</v>
      </c>
      <c r="F1280" s="27" t="s">
        <v>10325</v>
      </c>
      <c r="G1280" s="27"/>
      <c r="H1280" s="16" t="str">
        <f>IF(ISBLANK(PARTIDAS!$G1280),PARTIDAS!$F1280,CONCATENATE(PARTIDAS!$F1280," (",PARTIDAS!$G1280,")"))</f>
        <v>Harina, polvo y «pellets», de carne o despojos (los demás)</v>
      </c>
      <c r="I1280" s="16" t="s">
        <v>9427</v>
      </c>
    </row>
    <row r="1281" spans="1:9" x14ac:dyDescent="0.25">
      <c r="A1281" s="16" t="s">
        <v>2247</v>
      </c>
      <c r="B1281" s="16" t="str">
        <f>TEXT(PARTIDA[[#This Row],[PARTIDA]],"0000000000")</f>
        <v>2301201100</v>
      </c>
      <c r="C1281" s="16" t="s">
        <v>815</v>
      </c>
      <c r="D1281" s="16" t="s">
        <v>825</v>
      </c>
      <c r="E1281" s="16" t="s">
        <v>829</v>
      </c>
      <c r="F1281" s="27" t="s">
        <v>10326</v>
      </c>
      <c r="G1281" s="27"/>
      <c r="H1281" s="16" t="str">
        <f>IF(ISBLANK(PARTIDAS!$G1281),PARTIDAS!$F1281,CONCATENATE(PARTIDAS!$F1281," (",PARTIDAS!$G1281,")"))</f>
        <v>Harina, polvo y «pellets», de pescado o de crustáceos…, de pescado, con un contenido de grasa superior a 2 % en peso</v>
      </c>
      <c r="I1281" s="16" t="s">
        <v>9427</v>
      </c>
    </row>
    <row r="1282" spans="1:9" x14ac:dyDescent="0.25">
      <c r="A1282" s="16" t="s">
        <v>2248</v>
      </c>
      <c r="B1282" s="16" t="str">
        <f>TEXT(PARTIDA[[#This Row],[PARTIDA]],"0000000000")</f>
        <v>2301201900</v>
      </c>
      <c r="C1282" s="16" t="s">
        <v>815</v>
      </c>
      <c r="D1282" s="16" t="s">
        <v>825</v>
      </c>
      <c r="E1282" s="16" t="s">
        <v>829</v>
      </c>
      <c r="F1282" s="27" t="s">
        <v>10327</v>
      </c>
      <c r="G1282" s="27"/>
      <c r="H1282" s="16" t="str">
        <f>IF(ISBLANK(PARTIDAS!$G1282),PARTIDAS!$F1282,CONCATENATE(PARTIDAS!$F1282," (",PARTIDAS!$G1282,")"))</f>
        <v>Harina, polvo y «pellets», de pescado o de crustáceos…, de pescado, con un contenido de grasa inferior o igual a 2 % en peso</v>
      </c>
      <c r="I1282" s="16" t="s">
        <v>9427</v>
      </c>
    </row>
    <row r="1283" spans="1:9" x14ac:dyDescent="0.25">
      <c r="A1283" s="16" t="s">
        <v>2249</v>
      </c>
      <c r="B1283" s="16" t="str">
        <f>TEXT(PARTIDA[[#This Row],[PARTIDA]],"0000000000")</f>
        <v>2301209000</v>
      </c>
      <c r="C1283" s="16" t="s">
        <v>815</v>
      </c>
      <c r="D1283" s="16" t="s">
        <v>825</v>
      </c>
      <c r="E1283" s="16" t="s">
        <v>829</v>
      </c>
      <c r="F1283" s="27" t="s">
        <v>10328</v>
      </c>
      <c r="G1283" s="27"/>
      <c r="H1283" s="16" t="str">
        <f>IF(ISBLANK(PARTIDAS!$G1283),PARTIDAS!$F1283,CONCATENATE(PARTIDAS!$F1283," (",PARTIDAS!$G1283,")"))</f>
        <v>Harina, polvo y «pellets», de pescado o de crustáceos, moluscos o… (los demás)</v>
      </c>
      <c r="I1283" s="16" t="s">
        <v>9427</v>
      </c>
    </row>
    <row r="1284" spans="1:9" x14ac:dyDescent="0.25">
      <c r="A1284" s="16" t="s">
        <v>2250</v>
      </c>
      <c r="B1284" s="16" t="str">
        <f>TEXT(PARTIDA[[#This Row],[PARTIDA]],"0000000000")</f>
        <v>2302100000</v>
      </c>
      <c r="C1284" s="16" t="s">
        <v>815</v>
      </c>
      <c r="D1284" s="16" t="s">
        <v>825</v>
      </c>
      <c r="E1284" s="16" t="s">
        <v>829</v>
      </c>
      <c r="F1284" s="27" t="s">
        <v>10329</v>
      </c>
      <c r="G1284" s="27"/>
      <c r="H1284" s="16" t="str">
        <f>IF(ISBLANK(PARTIDAS!$G1284),PARTIDAS!$F1284,CONCATENATE(PARTIDAS!$F1284," (",PARTIDAS!$G1284,")"))</f>
        <v>Salvados, moyuelos y demás residuos del cernido, de la molienda o de…, de maíz</v>
      </c>
      <c r="I1284" s="16" t="s">
        <v>9427</v>
      </c>
    </row>
    <row r="1285" spans="1:9" x14ac:dyDescent="0.25">
      <c r="A1285" s="16" t="s">
        <v>2251</v>
      </c>
      <c r="B1285" s="16" t="str">
        <f>TEXT(PARTIDA[[#This Row],[PARTIDA]],"0000000000")</f>
        <v>2302300000</v>
      </c>
      <c r="C1285" s="16" t="s">
        <v>815</v>
      </c>
      <c r="D1285" s="16" t="s">
        <v>825</v>
      </c>
      <c r="E1285" s="16" t="s">
        <v>829</v>
      </c>
      <c r="F1285" s="27" t="s">
        <v>10330</v>
      </c>
      <c r="G1285" s="27"/>
      <c r="H1285" s="16" t="str">
        <f>IF(ISBLANK(PARTIDAS!$G1285),PARTIDAS!$F1285,CONCATENATE(PARTIDAS!$F1285," (",PARTIDAS!$G1285,")"))</f>
        <v>Salvados, moyuelos y demás residuos del cernido, de la molienda o de…, de trigo</v>
      </c>
      <c r="I1285" s="16" t="s">
        <v>9427</v>
      </c>
    </row>
    <row r="1286" spans="1:9" x14ac:dyDescent="0.25">
      <c r="A1286" s="16" t="s">
        <v>2252</v>
      </c>
      <c r="B1286" s="16" t="str">
        <f>TEXT(PARTIDA[[#This Row],[PARTIDA]],"0000000000")</f>
        <v>2302400010</v>
      </c>
      <c r="C1286" s="16" t="s">
        <v>815</v>
      </c>
      <c r="D1286" s="16" t="s">
        <v>825</v>
      </c>
      <c r="E1286" s="16" t="s">
        <v>829</v>
      </c>
      <c r="F1286" s="27" t="s">
        <v>10331</v>
      </c>
      <c r="G1286" s="27"/>
      <c r="H1286" s="16" t="str">
        <f>IF(ISBLANK(PARTIDAS!$G1286),PARTIDAS!$F1286,CONCATENATE(PARTIDAS!$F1286," (",PARTIDAS!$G1286,")"))</f>
        <v>Salvados, moyuelos y demás residuos del cernido, de la…, de los demás cereales, de arroz</v>
      </c>
      <c r="I1286" s="16" t="s">
        <v>9427</v>
      </c>
    </row>
    <row r="1287" spans="1:9" x14ac:dyDescent="0.25">
      <c r="A1287" s="16" t="s">
        <v>2253</v>
      </c>
      <c r="B1287" s="16" t="str">
        <f>TEXT(PARTIDA[[#This Row],[PARTIDA]],"0000000000")</f>
        <v>2302400090</v>
      </c>
      <c r="C1287" s="16" t="s">
        <v>815</v>
      </c>
      <c r="D1287" s="16" t="s">
        <v>825</v>
      </c>
      <c r="E1287" s="16" t="s">
        <v>829</v>
      </c>
      <c r="F1287" s="27" t="s">
        <v>10332</v>
      </c>
      <c r="G1287" s="27"/>
      <c r="H1287" s="16" t="str">
        <f>IF(ISBLANK(PARTIDAS!$G1287),PARTIDAS!$F1287,CONCATENATE(PARTIDAS!$F1287," (",PARTIDAS!$G1287,")"))</f>
        <v>Salvados, moyuelos y demás residuos del cernido, de la…, de los demás cereales (los demás)</v>
      </c>
      <c r="I1287" s="16" t="s">
        <v>9427</v>
      </c>
    </row>
    <row r="1288" spans="1:9" x14ac:dyDescent="0.25">
      <c r="A1288" s="16" t="s">
        <v>2254</v>
      </c>
      <c r="B1288" s="16" t="str">
        <f>TEXT(PARTIDA[[#This Row],[PARTIDA]],"0000000000")</f>
        <v>2302500000</v>
      </c>
      <c r="C1288" s="16" t="s">
        <v>815</v>
      </c>
      <c r="D1288" s="16" t="s">
        <v>825</v>
      </c>
      <c r="E1288" s="16" t="s">
        <v>829</v>
      </c>
      <c r="F1288" s="27" t="s">
        <v>10333</v>
      </c>
      <c r="G1288" s="27"/>
      <c r="H1288" s="16" t="str">
        <f>IF(ISBLANK(PARTIDAS!$G1288),PARTIDAS!$F1288,CONCATENATE(PARTIDAS!$F1288," (",PARTIDAS!$G1288,")"))</f>
        <v>Salvados, moyuelos y demás residuos del cernido, de la molienda o de…, de leguminosas</v>
      </c>
      <c r="I1288" s="16" t="s">
        <v>9427</v>
      </c>
    </row>
    <row r="1289" spans="1:9" x14ac:dyDescent="0.25">
      <c r="A1289" s="16" t="s">
        <v>2255</v>
      </c>
      <c r="B1289" s="16" t="str">
        <f>TEXT(PARTIDA[[#This Row],[PARTIDA]],"0000000000")</f>
        <v>2303100000</v>
      </c>
      <c r="C1289" s="16" t="s">
        <v>815</v>
      </c>
      <c r="D1289" s="16" t="s">
        <v>825</v>
      </c>
      <c r="E1289" s="16" t="s">
        <v>829</v>
      </c>
      <c r="F1289" s="27" t="s">
        <v>10334</v>
      </c>
      <c r="G1289" s="27"/>
      <c r="H1289" s="16" t="str">
        <f>IF(ISBLANK(PARTIDAS!$G1289),PARTIDAS!$F1289,CONCATENATE(PARTIDAS!$F1289," (",PARTIDAS!$G1289,")"))</f>
        <v>Residuos de la industria del almidón y residuos similares</v>
      </c>
      <c r="I1289" s="16" t="s">
        <v>9427</v>
      </c>
    </row>
    <row r="1290" spans="1:9" x14ac:dyDescent="0.25">
      <c r="A1290" s="16" t="s">
        <v>2256</v>
      </c>
      <c r="B1290" s="16" t="str">
        <f>TEXT(PARTIDA[[#This Row],[PARTIDA]],"0000000000")</f>
        <v>2303200000</v>
      </c>
      <c r="C1290" s="16" t="s">
        <v>815</v>
      </c>
      <c r="D1290" s="16" t="s">
        <v>825</v>
      </c>
      <c r="E1290" s="16" t="s">
        <v>829</v>
      </c>
      <c r="F1290" s="27" t="s">
        <v>2257</v>
      </c>
      <c r="G1290" s="27" t="s">
        <v>852</v>
      </c>
      <c r="H1290" s="16" t="str">
        <f>IF(ISBLANK(PARTIDAS!$G1290),PARTIDAS!$F1290,CONCATENATE(PARTIDAS!$F1290," (",PARTIDAS!$G1290,")"))</f>
        <v>Pulpa de remolacha, bagazo de caña de azúcar y demás desperdicios de industria azucarera (Especificar)</v>
      </c>
      <c r="I1290" s="16" t="s">
        <v>9427</v>
      </c>
    </row>
    <row r="1291" spans="1:9" x14ac:dyDescent="0.25">
      <c r="A1291" s="16" t="s">
        <v>2258</v>
      </c>
      <c r="B1291" s="16" t="str">
        <f>TEXT(PARTIDA[[#This Row],[PARTIDA]],"0000000000")</f>
        <v>2303300000</v>
      </c>
      <c r="C1291" s="16" t="s">
        <v>815</v>
      </c>
      <c r="D1291" s="16" t="s">
        <v>825</v>
      </c>
      <c r="E1291" s="16" t="s">
        <v>829</v>
      </c>
      <c r="F1291" s="27" t="s">
        <v>10335</v>
      </c>
      <c r="G1291" s="27"/>
      <c r="H1291" s="16" t="str">
        <f>IF(ISBLANK(PARTIDAS!$G1291),PARTIDAS!$F1291,CONCATENATE(PARTIDAS!$F1291," (",PARTIDAS!$G1291,")"))</f>
        <v>Heces y desperdicios de cervecería o de destilería</v>
      </c>
      <c r="I1291" s="16" t="s">
        <v>9427</v>
      </c>
    </row>
    <row r="1292" spans="1:9" x14ac:dyDescent="0.25">
      <c r="A1292" s="16" t="s">
        <v>32</v>
      </c>
      <c r="B1292" s="16" t="str">
        <f>TEXT(PARTIDA[[#This Row],[PARTIDA]],"0000000000")</f>
        <v>2304000000</v>
      </c>
      <c r="C1292" s="16" t="s">
        <v>815</v>
      </c>
      <c r="D1292" s="16" t="s">
        <v>825</v>
      </c>
      <c r="E1292" s="16" t="s">
        <v>831</v>
      </c>
      <c r="F1292" s="27" t="s">
        <v>2259</v>
      </c>
      <c r="G1292" s="27"/>
      <c r="H1292" s="16" t="str">
        <f>IF(ISBLANK(PARTIDAS!$G1292),PARTIDAS!$F1292,CONCATENATE(PARTIDAS!$F1292," (",PARTIDAS!$G1292,")"))</f>
        <v>Tortas y  residuos de soja (alimento para animales)</v>
      </c>
      <c r="I1292" s="16" t="s">
        <v>9559</v>
      </c>
    </row>
    <row r="1293" spans="1:9" x14ac:dyDescent="0.25">
      <c r="A1293" s="16" t="s">
        <v>2260</v>
      </c>
      <c r="B1293" s="16" t="str">
        <f>TEXT(PARTIDA[[#This Row],[PARTIDA]],"0000000000")</f>
        <v>2305000000</v>
      </c>
      <c r="C1293" s="16" t="s">
        <v>815</v>
      </c>
      <c r="D1293" s="16" t="s">
        <v>825</v>
      </c>
      <c r="E1293" s="16" t="s">
        <v>831</v>
      </c>
      <c r="F1293" s="27" t="s">
        <v>2261</v>
      </c>
      <c r="G1293" s="27"/>
      <c r="H1293" s="16" t="str">
        <f>IF(ISBLANK(PARTIDAS!$G1293),PARTIDAS!$F1293,CONCATENATE(PARTIDAS!$F1293," (",PARTIDAS!$G1293,")"))</f>
        <v>Tortas y  residuos de maní (alimento para animales)</v>
      </c>
      <c r="I1293" s="16" t="s">
        <v>9559</v>
      </c>
    </row>
    <row r="1294" spans="1:9" x14ac:dyDescent="0.25">
      <c r="A1294" s="16" t="s">
        <v>2262</v>
      </c>
      <c r="B1294" s="16" t="str">
        <f>TEXT(PARTIDA[[#This Row],[PARTIDA]],"0000000000")</f>
        <v>2306100000</v>
      </c>
      <c r="C1294" s="16" t="s">
        <v>815</v>
      </c>
      <c r="D1294" s="16" t="s">
        <v>825</v>
      </c>
      <c r="E1294" s="16" t="s">
        <v>829</v>
      </c>
      <c r="F1294" s="27" t="s">
        <v>10336</v>
      </c>
      <c r="G1294" s="27"/>
      <c r="H1294" s="16" t="str">
        <f>IF(ISBLANK(PARTIDAS!$G1294),PARTIDAS!$F1294,CONCATENATE(PARTIDAS!$F1294," (",PARTIDAS!$G1294,")"))</f>
        <v>Tortas y demás residuos sólidos de la extracción de grasas o aceites…, de semillas de algodón</v>
      </c>
      <c r="I1294" s="16" t="s">
        <v>9427</v>
      </c>
    </row>
    <row r="1295" spans="1:9" x14ac:dyDescent="0.25">
      <c r="A1295" s="16" t="s">
        <v>2263</v>
      </c>
      <c r="B1295" s="16" t="str">
        <f>TEXT(PARTIDA[[#This Row],[PARTIDA]],"0000000000")</f>
        <v>2306200000</v>
      </c>
      <c r="C1295" s="16" t="s">
        <v>815</v>
      </c>
      <c r="D1295" s="16" t="s">
        <v>825</v>
      </c>
      <c r="E1295" s="16" t="s">
        <v>829</v>
      </c>
      <c r="F1295" s="27" t="s">
        <v>10337</v>
      </c>
      <c r="G1295" s="27"/>
      <c r="H1295" s="16" t="str">
        <f>IF(ISBLANK(PARTIDAS!$G1295),PARTIDAS!$F1295,CONCATENATE(PARTIDAS!$F1295," (",PARTIDAS!$G1295,")"))</f>
        <v>Tortas y demás residuos sólidos de la extracción de grasas o aceites…, de semillas de lino</v>
      </c>
      <c r="I1295" s="16" t="s">
        <v>9427</v>
      </c>
    </row>
    <row r="1296" spans="1:9" x14ac:dyDescent="0.25">
      <c r="A1296" s="16" t="s">
        <v>2264</v>
      </c>
      <c r="B1296" s="16" t="str">
        <f>TEXT(PARTIDA[[#This Row],[PARTIDA]],"0000000000")</f>
        <v>2306300000</v>
      </c>
      <c r="C1296" s="16" t="s">
        <v>815</v>
      </c>
      <c r="D1296" s="16" t="s">
        <v>825</v>
      </c>
      <c r="E1296" s="16" t="s">
        <v>829</v>
      </c>
      <c r="F1296" s="27" t="s">
        <v>9397</v>
      </c>
      <c r="G1296" s="27"/>
      <c r="H1296" s="16" t="str">
        <f>IF(ISBLANK(PARTIDAS!$G1296),PARTIDAS!$F1296,CONCATENATE(PARTIDAS!$F1296," (",PARTIDAS!$G1296,")"))</f>
        <v>Tortas y demás residuos sólidos de la extracción de grasas o aceites…, de semillas de girasol</v>
      </c>
      <c r="I1296" s="16" t="s">
        <v>9477</v>
      </c>
    </row>
    <row r="1297" spans="1:9" x14ac:dyDescent="0.25">
      <c r="A1297" s="16" t="s">
        <v>2265</v>
      </c>
      <c r="B1297" s="16" t="str">
        <f>TEXT(PARTIDA[[#This Row],[PARTIDA]],"0000000000")</f>
        <v>2306410000</v>
      </c>
      <c r="C1297" s="16" t="s">
        <v>815</v>
      </c>
      <c r="D1297" s="16" t="s">
        <v>825</v>
      </c>
      <c r="E1297" s="16" t="s">
        <v>829</v>
      </c>
      <c r="F1297" s="27" t="s">
        <v>10338</v>
      </c>
      <c r="G1297" s="27"/>
      <c r="H1297" s="16" t="str">
        <f>IF(ISBLANK(PARTIDAS!$G1297),PARTIDAS!$F1297,CONCATENATE(PARTIDAS!$F1297," (",PARTIDAS!$G1297,")"))</f>
        <v>Tortas y demás residuos sólidos de la extracción de…, de semillas de nabo (nabina) o de colza, con bajo contenido de ácido erúcico</v>
      </c>
      <c r="I1297" s="16" t="s">
        <v>9427</v>
      </c>
    </row>
    <row r="1298" spans="1:9" x14ac:dyDescent="0.25">
      <c r="A1298" s="16" t="s">
        <v>2266</v>
      </c>
      <c r="B1298" s="16" t="str">
        <f>TEXT(PARTIDA[[#This Row],[PARTIDA]],"0000000000")</f>
        <v>2306490000</v>
      </c>
      <c r="C1298" s="16" t="s">
        <v>815</v>
      </c>
      <c r="D1298" s="16" t="s">
        <v>825</v>
      </c>
      <c r="E1298" s="16" t="s">
        <v>829</v>
      </c>
      <c r="F1298" s="27" t="s">
        <v>10339</v>
      </c>
      <c r="G1298" s="27"/>
      <c r="H1298" s="16" t="str">
        <f>IF(ISBLANK(PARTIDAS!$G1298),PARTIDAS!$F1298,CONCATENATE(PARTIDAS!$F1298," (",PARTIDAS!$G1298,")"))</f>
        <v>Tortas y demás residuos sólidos de la extracción de…, de semillas de nabo (nabina) o de colza (los demás)</v>
      </c>
      <c r="I1298" s="16" t="s">
        <v>9427</v>
      </c>
    </row>
    <row r="1299" spans="1:9" x14ac:dyDescent="0.25">
      <c r="A1299" s="16" t="s">
        <v>2267</v>
      </c>
      <c r="B1299" s="16" t="str">
        <f>TEXT(PARTIDA[[#This Row],[PARTIDA]],"0000000000")</f>
        <v>2306500000</v>
      </c>
      <c r="C1299" s="16" t="s">
        <v>815</v>
      </c>
      <c r="D1299" s="16" t="s">
        <v>825</v>
      </c>
      <c r="E1299" s="16" t="s">
        <v>829</v>
      </c>
      <c r="F1299" s="27" t="s">
        <v>10340</v>
      </c>
      <c r="G1299" s="27"/>
      <c r="H1299" s="16" t="str">
        <f>IF(ISBLANK(PARTIDAS!$G1299),PARTIDAS!$F1299,CONCATENATE(PARTIDAS!$F1299," (",PARTIDAS!$G1299,")"))</f>
        <v>Tortas y demás residuos sólidos de la extracción de grasas o aceites…, de coco o de copra</v>
      </c>
      <c r="I1299" s="16" t="s">
        <v>9427</v>
      </c>
    </row>
    <row r="1300" spans="1:9" x14ac:dyDescent="0.25">
      <c r="A1300" s="16" t="s">
        <v>2268</v>
      </c>
      <c r="B1300" s="16" t="str">
        <f>TEXT(PARTIDA[[#This Row],[PARTIDA]],"0000000000")</f>
        <v>2306600000</v>
      </c>
      <c r="C1300" s="16" t="s">
        <v>815</v>
      </c>
      <c r="D1300" s="16" t="s">
        <v>825</v>
      </c>
      <c r="E1300" s="16" t="s">
        <v>829</v>
      </c>
      <c r="F1300" s="27" t="s">
        <v>10341</v>
      </c>
      <c r="G1300" s="27"/>
      <c r="H1300" s="16" t="str">
        <f>IF(ISBLANK(PARTIDAS!$G1300),PARTIDAS!$F1300,CONCATENATE(PARTIDAS!$F1300," (",PARTIDAS!$G1300,")"))</f>
        <v>Tortas y demás residuos sólidos de la extracción de grasas o aceites…, de nuez o de almendra de palma (palmiste)</v>
      </c>
      <c r="I1300" s="16" t="s">
        <v>9427</v>
      </c>
    </row>
    <row r="1301" spans="1:9" x14ac:dyDescent="0.25">
      <c r="A1301" s="16" t="s">
        <v>2269</v>
      </c>
      <c r="B1301" s="16" t="str">
        <f>TEXT(PARTIDA[[#This Row],[PARTIDA]],"0000000000")</f>
        <v>2306900000</v>
      </c>
      <c r="C1301" s="16" t="s">
        <v>815</v>
      </c>
      <c r="D1301" s="16" t="s">
        <v>825</v>
      </c>
      <c r="E1301" s="16" t="s">
        <v>829</v>
      </c>
      <c r="F1301" s="27" t="s">
        <v>10342</v>
      </c>
      <c r="G1301" s="27"/>
      <c r="H1301" s="16" t="str">
        <f>IF(ISBLANK(PARTIDAS!$G1301),PARTIDAS!$F1301,CONCATENATE(PARTIDAS!$F1301," (",PARTIDAS!$G1301,")"))</f>
        <v>Tortas y demás residuos sólidos de la extracción de grasas o aceites… (los demás)</v>
      </c>
      <c r="I1301" s="16" t="s">
        <v>9427</v>
      </c>
    </row>
    <row r="1302" spans="1:9" x14ac:dyDescent="0.25">
      <c r="A1302" s="16" t="s">
        <v>2270</v>
      </c>
      <c r="B1302" s="16" t="str">
        <f>TEXT(PARTIDA[[#This Row],[PARTIDA]],"0000000000")</f>
        <v>2307000000</v>
      </c>
      <c r="C1302" s="16" t="s">
        <v>815</v>
      </c>
      <c r="D1302" s="16" t="s">
        <v>825</v>
      </c>
      <c r="E1302" s="16" t="s">
        <v>829</v>
      </c>
      <c r="F1302" s="27" t="s">
        <v>2271</v>
      </c>
      <c r="G1302" s="27"/>
      <c r="H1302" s="16" t="str">
        <f>IF(ISBLANK(PARTIDAS!$G1302),PARTIDAS!$F1302,CONCATENATE(PARTIDAS!$F1302," (",PARTIDAS!$G1302,")"))</f>
        <v>Lías o heces de vino; tártaro bruto.</v>
      </c>
      <c r="I1302" s="16" t="s">
        <v>9427</v>
      </c>
    </row>
    <row r="1303" spans="1:9" x14ac:dyDescent="0.25">
      <c r="A1303" s="16" t="s">
        <v>2272</v>
      </c>
      <c r="B1303" s="16" t="str">
        <f>TEXT(PARTIDA[[#This Row],[PARTIDA]],"0000000000")</f>
        <v>2308001000</v>
      </c>
      <c r="C1303" s="16" t="s">
        <v>815</v>
      </c>
      <c r="D1303" s="16" t="s">
        <v>825</v>
      </c>
      <c r="E1303" s="16" t="s">
        <v>829</v>
      </c>
      <c r="F1303" s="27" t="s">
        <v>10343</v>
      </c>
      <c r="G1303" s="27"/>
      <c r="H1303" s="16" t="str">
        <f>IF(ISBLANK(PARTIDAS!$G1303),PARTIDAS!$F1303,CONCATENATE(PARTIDAS!$F1303," (",PARTIDAS!$G1303,")"))</f>
        <v>Harina de flores de marigold</v>
      </c>
      <c r="I1303" s="16" t="s">
        <v>9427</v>
      </c>
    </row>
    <row r="1304" spans="1:9" x14ac:dyDescent="0.25">
      <c r="A1304" s="16" t="s">
        <v>2273</v>
      </c>
      <c r="B1304" s="16" t="str">
        <f>TEXT(PARTIDA[[#This Row],[PARTIDA]],"0000000000")</f>
        <v>2308009000</v>
      </c>
      <c r="C1304" s="16" t="s">
        <v>815</v>
      </c>
      <c r="D1304" s="16" t="s">
        <v>825</v>
      </c>
      <c r="E1304" s="16" t="s">
        <v>829</v>
      </c>
      <c r="F1304" s="27" t="s">
        <v>10342</v>
      </c>
      <c r="G1304" s="27"/>
      <c r="H1304" s="16" t="str">
        <f>IF(ISBLANK(PARTIDAS!$G1304),PARTIDAS!$F1304,CONCATENATE(PARTIDAS!$F1304," (",PARTIDAS!$G1304,")"))</f>
        <v>Tortas y demás residuos sólidos de la extracción de grasas o aceites… (los demás)</v>
      </c>
      <c r="I1304" s="16" t="s">
        <v>9427</v>
      </c>
    </row>
    <row r="1305" spans="1:9" x14ac:dyDescent="0.25">
      <c r="A1305" s="16" t="s">
        <v>2274</v>
      </c>
      <c r="B1305" s="16" t="str">
        <f>TEXT(PARTIDA[[#This Row],[PARTIDA]],"0000000000")</f>
        <v>2309101000</v>
      </c>
      <c r="C1305" s="16" t="s">
        <v>815</v>
      </c>
      <c r="D1305" s="16" t="s">
        <v>825</v>
      </c>
      <c r="E1305" s="16" t="s">
        <v>831</v>
      </c>
      <c r="F1305" s="27" t="s">
        <v>10344</v>
      </c>
      <c r="G1305" s="27"/>
      <c r="H1305" s="16" t="str">
        <f>IF(ISBLANK(PARTIDAS!$G1305),PARTIDAS!$F1305,CONCATENATE(PARTIDAS!$F1305," (",PARTIDAS!$G1305,")"))</f>
        <v>Presentados en envases herméticos</v>
      </c>
      <c r="I1305" s="16" t="s">
        <v>9648</v>
      </c>
    </row>
    <row r="1306" spans="1:9" x14ac:dyDescent="0.25">
      <c r="A1306" s="16" t="s">
        <v>10345</v>
      </c>
      <c r="B1306" s="16" t="str">
        <f>TEXT(PARTIDA[[#This Row],[PARTIDA]],"0000000000")</f>
        <v>2309102000</v>
      </c>
      <c r="C1306" s="16" t="s">
        <v>815</v>
      </c>
      <c r="D1306" s="16" t="s">
        <v>825</v>
      </c>
      <c r="E1306" s="16" t="s">
        <v>831</v>
      </c>
      <c r="F1306" s="27" t="s">
        <v>10346</v>
      </c>
      <c r="G1306" s="27"/>
      <c r="H1306" s="16" t="str">
        <f>IF(ISBLANK(PARTIDAS!$G1306),PARTIDAS!$F1306,CONCATENATE(PARTIDAS!$F1306," (",PARTIDAS!$G1306,")"))</f>
        <v>Alimentos para perros o gatos, acondicionados para la venta al por…, presentados en envases herméticos, con un contenido de humedad superior o igual a</v>
      </c>
      <c r="I1306" s="16" t="s">
        <v>9427</v>
      </c>
    </row>
    <row r="1307" spans="1:9" x14ac:dyDescent="0.25">
      <c r="A1307" s="16" t="s">
        <v>2275</v>
      </c>
      <c r="B1307" s="16" t="str">
        <f>TEXT(PARTIDA[[#This Row],[PARTIDA]],"0000000000")</f>
        <v>2309109000</v>
      </c>
      <c r="C1307" s="16" t="s">
        <v>815</v>
      </c>
      <c r="D1307" s="16" t="s">
        <v>825</v>
      </c>
      <c r="E1307" s="16" t="s">
        <v>831</v>
      </c>
      <c r="F1307" s="27" t="s">
        <v>9144</v>
      </c>
      <c r="G1307" s="27"/>
      <c r="H1307" s="16" t="str">
        <f>IF(ISBLANK(PARTIDAS!$G1307),PARTIDAS!$F1307,CONCATENATE(PARTIDAS!$F1307," (",PARTIDAS!$G1307,")"))</f>
        <v>Alimentos para perros o gatos, acondicionados para la venta al por… (los demás)</v>
      </c>
      <c r="I1307" s="16" t="s">
        <v>9477</v>
      </c>
    </row>
    <row r="1308" spans="1:9" x14ac:dyDescent="0.25">
      <c r="A1308" s="16" t="s">
        <v>2276</v>
      </c>
      <c r="B1308" s="16" t="str">
        <f>TEXT(PARTIDA[[#This Row],[PARTIDA]],"0000000000")</f>
        <v>2309901000</v>
      </c>
      <c r="C1308" s="16" t="s">
        <v>815</v>
      </c>
      <c r="D1308" s="16" t="s">
        <v>825</v>
      </c>
      <c r="E1308" s="16" t="s">
        <v>831</v>
      </c>
      <c r="F1308" s="27" t="s">
        <v>10347</v>
      </c>
      <c r="G1308" s="27"/>
      <c r="H1308" s="16" t="str">
        <f>IF(ISBLANK(PARTIDAS!$G1308),PARTIDAS!$F1308,CONCATENATE(PARTIDAS!$F1308," (",PARTIDAS!$G1308,")"))</f>
        <v>Preparaciones forrajeras con adición de melazas o de azúcar</v>
      </c>
      <c r="I1308" s="16" t="s">
        <v>9427</v>
      </c>
    </row>
    <row r="1309" spans="1:9" x14ac:dyDescent="0.25">
      <c r="A1309" s="16" t="s">
        <v>2277</v>
      </c>
      <c r="B1309" s="16" t="str">
        <f>TEXT(PARTIDA[[#This Row],[PARTIDA]],"0000000000")</f>
        <v>2309902000</v>
      </c>
      <c r="C1309" s="16" t="s">
        <v>815</v>
      </c>
      <c r="D1309" s="16" t="s">
        <v>825</v>
      </c>
      <c r="E1309" s="16" t="s">
        <v>831</v>
      </c>
      <c r="F1309" s="27" t="s">
        <v>10348</v>
      </c>
      <c r="G1309" s="27"/>
      <c r="H1309" s="16" t="str">
        <f>IF(ISBLANK(PARTIDAS!$G1309),PARTIDAS!$F1309,CONCATENATE(PARTIDAS!$F1309," (",PARTIDAS!$G1309,")"))</f>
        <v>Preparaciones de los tipos utilizados para la alimentación de los…, premezclas</v>
      </c>
      <c r="I1309" s="16" t="s">
        <v>9427</v>
      </c>
    </row>
    <row r="1310" spans="1:9" x14ac:dyDescent="0.25">
      <c r="A1310" s="16" t="s">
        <v>2278</v>
      </c>
      <c r="B1310" s="16" t="str">
        <f>TEXT(PARTIDA[[#This Row],[PARTIDA]],"0000000000")</f>
        <v>2309903000</v>
      </c>
      <c r="C1310" s="16" t="s">
        <v>815</v>
      </c>
      <c r="D1310" s="16" t="s">
        <v>825</v>
      </c>
      <c r="E1310" s="16" t="s">
        <v>831</v>
      </c>
      <c r="F1310" s="27" t="s">
        <v>10349</v>
      </c>
      <c r="G1310" s="27"/>
      <c r="H1310" s="16" t="str">
        <f>IF(ISBLANK(PARTIDAS!$G1310),PARTIDAS!$F1310,CONCATENATE(PARTIDAS!$F1310," (",PARTIDAS!$G1310,")"))</f>
        <v>Sustitutos de la leche para alimentación de terneros</v>
      </c>
      <c r="I1310" s="16" t="s">
        <v>9427</v>
      </c>
    </row>
    <row r="1311" spans="1:9" x14ac:dyDescent="0.25">
      <c r="A1311" s="16" t="s">
        <v>2279</v>
      </c>
      <c r="B1311" s="16" t="str">
        <f>TEXT(PARTIDA[[#This Row],[PARTIDA]],"0000000000")</f>
        <v>2309909000</v>
      </c>
      <c r="C1311" s="16" t="s">
        <v>815</v>
      </c>
      <c r="D1311" s="16" t="s">
        <v>825</v>
      </c>
      <c r="E1311" s="16" t="s">
        <v>831</v>
      </c>
      <c r="F1311" s="27" t="s">
        <v>9365</v>
      </c>
      <c r="G1311" s="27"/>
      <c r="H1311" s="16" t="str">
        <f>IF(ISBLANK(PARTIDAS!$G1311),PARTIDAS!$F1311,CONCATENATE(PARTIDAS!$F1311," (",PARTIDAS!$G1311,")"))</f>
        <v>Preparaciones de los tipos utilizados para la alimentación de los… (los demás)</v>
      </c>
      <c r="I1311" s="16" t="s">
        <v>9477</v>
      </c>
    </row>
    <row r="1312" spans="1:9" x14ac:dyDescent="0.25">
      <c r="A1312" s="16" t="s">
        <v>2280</v>
      </c>
      <c r="B1312" s="16" t="str">
        <f>TEXT(PARTIDA[[#This Row],[PARTIDA]],"0000000000")</f>
        <v>2401101000</v>
      </c>
      <c r="C1312" s="16" t="s">
        <v>815</v>
      </c>
      <c r="D1312" s="16" t="s">
        <v>835</v>
      </c>
      <c r="E1312" s="16" t="s">
        <v>840</v>
      </c>
      <c r="F1312" s="27" t="s">
        <v>2281</v>
      </c>
      <c r="G1312" s="27"/>
      <c r="H1312" s="16" t="str">
        <f>IF(ISBLANK(PARTIDAS!$G1312),PARTIDAS!$F1312,CONCATENATE(PARTIDAS!$F1312," (",PARTIDAS!$G1312,")"))</f>
        <v>Tabaco</v>
      </c>
      <c r="I1312" s="16" t="s">
        <v>9427</v>
      </c>
    </row>
    <row r="1313" spans="1:9" x14ac:dyDescent="0.25">
      <c r="A1313" s="16" t="s">
        <v>2282</v>
      </c>
      <c r="B1313" s="16" t="str">
        <f>TEXT(PARTIDA[[#This Row],[PARTIDA]],"0000000000")</f>
        <v>2401102000</v>
      </c>
      <c r="C1313" s="16" t="s">
        <v>815</v>
      </c>
      <c r="D1313" s="16" t="s">
        <v>835</v>
      </c>
      <c r="E1313" s="16" t="s">
        <v>840</v>
      </c>
      <c r="F1313" s="27" t="s">
        <v>2281</v>
      </c>
      <c r="G1313" s="27"/>
      <c r="H1313" s="16" t="str">
        <f>IF(ISBLANK(PARTIDAS!$G1313),PARTIDAS!$F1313,CONCATENATE(PARTIDAS!$F1313," (",PARTIDAS!$G1313,")"))</f>
        <v>Tabaco</v>
      </c>
      <c r="I1313" s="16" t="s">
        <v>9427</v>
      </c>
    </row>
    <row r="1314" spans="1:9" x14ac:dyDescent="0.25">
      <c r="A1314" s="16" t="s">
        <v>2283</v>
      </c>
      <c r="B1314" s="16" t="str">
        <f>TEXT(PARTIDA[[#This Row],[PARTIDA]],"0000000000")</f>
        <v>2401201000</v>
      </c>
      <c r="C1314" s="16" t="s">
        <v>815</v>
      </c>
      <c r="D1314" s="16" t="s">
        <v>835</v>
      </c>
      <c r="E1314" s="16" t="s">
        <v>840</v>
      </c>
      <c r="F1314" s="27" t="s">
        <v>2281</v>
      </c>
      <c r="G1314" s="27"/>
      <c r="H1314" s="16" t="str">
        <f>IF(ISBLANK(PARTIDAS!$G1314),PARTIDAS!$F1314,CONCATENATE(PARTIDAS!$F1314," (",PARTIDAS!$G1314,")"))</f>
        <v>Tabaco</v>
      </c>
      <c r="I1314" s="16" t="s">
        <v>9427</v>
      </c>
    </row>
    <row r="1315" spans="1:9" x14ac:dyDescent="0.25">
      <c r="A1315" s="16" t="s">
        <v>2284</v>
      </c>
      <c r="B1315" s="16" t="str">
        <f>TEXT(PARTIDA[[#This Row],[PARTIDA]],"0000000000")</f>
        <v>2401202000</v>
      </c>
      <c r="C1315" s="16" t="s">
        <v>815</v>
      </c>
      <c r="D1315" s="16" t="s">
        <v>835</v>
      </c>
      <c r="E1315" s="16" t="s">
        <v>840</v>
      </c>
      <c r="F1315" s="27" t="s">
        <v>2281</v>
      </c>
      <c r="G1315" s="27"/>
      <c r="H1315" s="16" t="str">
        <f>IF(ISBLANK(PARTIDAS!$G1315),PARTIDAS!$F1315,CONCATENATE(PARTIDAS!$F1315," (",PARTIDAS!$G1315,")"))</f>
        <v>Tabaco</v>
      </c>
      <c r="I1315" s="16" t="s">
        <v>9427</v>
      </c>
    </row>
    <row r="1316" spans="1:9" x14ac:dyDescent="0.25">
      <c r="A1316" s="16" t="s">
        <v>2285</v>
      </c>
      <c r="B1316" s="16" t="str">
        <f>TEXT(PARTIDA[[#This Row],[PARTIDA]],"0000000000")</f>
        <v>2401300000</v>
      </c>
      <c r="C1316" s="16" t="s">
        <v>815</v>
      </c>
      <c r="D1316" s="16" t="s">
        <v>835</v>
      </c>
      <c r="E1316" s="16" t="s">
        <v>840</v>
      </c>
      <c r="F1316" s="27" t="s">
        <v>2286</v>
      </c>
      <c r="G1316" s="27"/>
      <c r="H1316" s="16" t="str">
        <f>IF(ISBLANK(PARTIDAS!$G1316),PARTIDAS!$F1316,CONCATENATE(PARTIDAS!$F1316," (",PARTIDAS!$G1316,")"))</f>
        <v>Desperdicios de tabaco</v>
      </c>
      <c r="I1316" s="16" t="s">
        <v>9427</v>
      </c>
    </row>
    <row r="1317" spans="1:9" x14ac:dyDescent="0.25">
      <c r="A1317" s="16" t="s">
        <v>2287</v>
      </c>
      <c r="B1317" s="16" t="str">
        <f>TEXT(PARTIDA[[#This Row],[PARTIDA]],"0000000000")</f>
        <v>2402100000</v>
      </c>
      <c r="C1317" s="16" t="s">
        <v>786</v>
      </c>
      <c r="D1317" s="16" t="s">
        <v>787</v>
      </c>
      <c r="E1317" s="16" t="s">
        <v>793</v>
      </c>
      <c r="F1317" s="27" t="s">
        <v>2288</v>
      </c>
      <c r="G1317" s="27"/>
      <c r="H1317" s="16" t="str">
        <f>IF(ISBLANK(PARTIDAS!$G1317),PARTIDAS!$F1317,CONCATENATE(PARTIDAS!$F1317," (",PARTIDAS!$G1317,")"))</f>
        <v>Puros</v>
      </c>
      <c r="I1317" s="16" t="s">
        <v>9427</v>
      </c>
    </row>
    <row r="1318" spans="1:9" x14ac:dyDescent="0.25">
      <c r="A1318" s="16" t="s">
        <v>2289</v>
      </c>
      <c r="B1318" s="16" t="str">
        <f>TEXT(PARTIDA[[#This Row],[PARTIDA]],"0000000000")</f>
        <v>2402201000</v>
      </c>
      <c r="C1318" s="16" t="s">
        <v>786</v>
      </c>
      <c r="D1318" s="16" t="s">
        <v>787</v>
      </c>
      <c r="E1318" s="16" t="s">
        <v>793</v>
      </c>
      <c r="F1318" s="27" t="s">
        <v>2288</v>
      </c>
      <c r="G1318" s="27"/>
      <c r="H1318" s="16" t="str">
        <f>IF(ISBLANK(PARTIDAS!$G1318),PARTIDAS!$F1318,CONCATENATE(PARTIDAS!$F1318," (",PARTIDAS!$G1318,")"))</f>
        <v>Puros</v>
      </c>
      <c r="I1318" s="16" t="s">
        <v>9427</v>
      </c>
    </row>
    <row r="1319" spans="1:9" x14ac:dyDescent="0.25">
      <c r="A1319" s="16" t="s">
        <v>2290</v>
      </c>
      <c r="B1319" s="16" t="str">
        <f>TEXT(PARTIDA[[#This Row],[PARTIDA]],"0000000000")</f>
        <v>2402202000</v>
      </c>
      <c r="C1319" s="16" t="s">
        <v>786</v>
      </c>
      <c r="D1319" s="16" t="s">
        <v>787</v>
      </c>
      <c r="E1319" s="16" t="s">
        <v>793</v>
      </c>
      <c r="F1319" s="27" t="s">
        <v>2288</v>
      </c>
      <c r="G1319" s="27"/>
      <c r="H1319" s="16" t="str">
        <f>IF(ISBLANK(PARTIDAS!$G1319),PARTIDAS!$F1319,CONCATENATE(PARTIDAS!$F1319," (",PARTIDAS!$G1319,")"))</f>
        <v>Puros</v>
      </c>
      <c r="I1319" s="16" t="s">
        <v>9427</v>
      </c>
    </row>
    <row r="1320" spans="1:9" x14ac:dyDescent="0.25">
      <c r="A1320" s="16" t="s">
        <v>2291</v>
      </c>
      <c r="B1320" s="16" t="str">
        <f>TEXT(PARTIDA[[#This Row],[PARTIDA]],"0000000000")</f>
        <v>2402900000</v>
      </c>
      <c r="C1320" s="16" t="s">
        <v>786</v>
      </c>
      <c r="D1320" s="16" t="s">
        <v>787</v>
      </c>
      <c r="E1320" s="16" t="s">
        <v>793</v>
      </c>
      <c r="F1320" s="27" t="s">
        <v>2288</v>
      </c>
      <c r="G1320" s="27"/>
      <c r="H1320" s="16" t="str">
        <f>IF(ISBLANK(PARTIDAS!$G1320),PARTIDAS!$F1320,CONCATENATE(PARTIDAS!$F1320," (",PARTIDAS!$G1320,")"))</f>
        <v>Puros</v>
      </c>
      <c r="I1320" s="16" t="s">
        <v>9427</v>
      </c>
    </row>
    <row r="1321" spans="1:9" x14ac:dyDescent="0.25">
      <c r="A1321" s="16" t="s">
        <v>2292</v>
      </c>
      <c r="B1321" s="16" t="str">
        <f>TEXT(PARTIDA[[#This Row],[PARTIDA]],"0000000000")</f>
        <v>2403110000</v>
      </c>
      <c r="C1321" s="16" t="s">
        <v>786</v>
      </c>
      <c r="D1321" s="16" t="s">
        <v>787</v>
      </c>
      <c r="E1321" s="16" t="s">
        <v>793</v>
      </c>
      <c r="F1321" s="27" t="s">
        <v>2281</v>
      </c>
      <c r="G1321" s="27"/>
      <c r="H1321" s="16" t="str">
        <f>IF(ISBLANK(PARTIDAS!$G1321),PARTIDAS!$F1321,CONCATENATE(PARTIDAS!$F1321," (",PARTIDAS!$G1321,")"))</f>
        <v>Tabaco</v>
      </c>
      <c r="I1321" s="16" t="s">
        <v>9427</v>
      </c>
    </row>
    <row r="1322" spans="1:9" x14ac:dyDescent="0.25">
      <c r="A1322" s="16" t="s">
        <v>2293</v>
      </c>
      <c r="B1322" s="16" t="str">
        <f>TEXT(PARTIDA[[#This Row],[PARTIDA]],"0000000000")</f>
        <v>2403190000</v>
      </c>
      <c r="C1322" s="16" t="s">
        <v>786</v>
      </c>
      <c r="D1322" s="16" t="s">
        <v>787</v>
      </c>
      <c r="E1322" s="16" t="s">
        <v>793</v>
      </c>
      <c r="F1322" s="27" t="s">
        <v>2281</v>
      </c>
      <c r="G1322" s="27"/>
      <c r="H1322" s="16" t="str">
        <f>IF(ISBLANK(PARTIDAS!$G1322),PARTIDAS!$F1322,CONCATENATE(PARTIDAS!$F1322," (",PARTIDAS!$G1322,")"))</f>
        <v>Tabaco</v>
      </c>
      <c r="I1322" s="16" t="s">
        <v>9427</v>
      </c>
    </row>
    <row r="1323" spans="1:9" x14ac:dyDescent="0.25">
      <c r="A1323" s="16" t="s">
        <v>2294</v>
      </c>
      <c r="B1323" s="16" t="str">
        <f>TEXT(PARTIDA[[#This Row],[PARTIDA]],"0000000000")</f>
        <v>2403910000</v>
      </c>
      <c r="C1323" s="16" t="s">
        <v>786</v>
      </c>
      <c r="D1323" s="16" t="s">
        <v>787</v>
      </c>
      <c r="E1323" s="16" t="s">
        <v>793</v>
      </c>
      <c r="F1323" s="27" t="s">
        <v>2281</v>
      </c>
      <c r="G1323" s="27"/>
      <c r="H1323" s="16" t="str">
        <f>IF(ISBLANK(PARTIDAS!$G1323),PARTIDAS!$F1323,CONCATENATE(PARTIDAS!$F1323," (",PARTIDAS!$G1323,")"))</f>
        <v>Tabaco</v>
      </c>
      <c r="I1323" s="16" t="s">
        <v>9427</v>
      </c>
    </row>
    <row r="1324" spans="1:9" x14ac:dyDescent="0.25">
      <c r="A1324" s="16" t="s">
        <v>2295</v>
      </c>
      <c r="B1324" s="16" t="str">
        <f>TEXT(PARTIDA[[#This Row],[PARTIDA]],"0000000000")</f>
        <v>2403990000</v>
      </c>
      <c r="C1324" s="16" t="s">
        <v>786</v>
      </c>
      <c r="D1324" s="16" t="s">
        <v>787</v>
      </c>
      <c r="E1324" s="16" t="s">
        <v>793</v>
      </c>
      <c r="F1324" s="27" t="s">
        <v>2281</v>
      </c>
      <c r="G1324" s="27"/>
      <c r="H1324" s="16" t="str">
        <f>IF(ISBLANK(PARTIDAS!$G1324),PARTIDAS!$F1324,CONCATENATE(PARTIDAS!$F1324," (",PARTIDAS!$G1324,")"))</f>
        <v>Tabaco</v>
      </c>
      <c r="I1324" s="16" t="s">
        <v>9427</v>
      </c>
    </row>
    <row r="1325" spans="1:9" x14ac:dyDescent="0.25">
      <c r="A1325" s="16" t="s">
        <v>10350</v>
      </c>
      <c r="B1325" s="16" t="str">
        <f>TEXT(PARTIDA[[#This Row],[PARTIDA]],"0000000000")</f>
        <v>2404110000</v>
      </c>
      <c r="C1325" s="16" t="s">
        <v>786</v>
      </c>
      <c r="D1325" s="16" t="s">
        <v>787</v>
      </c>
      <c r="E1325" s="16" t="s">
        <v>793</v>
      </c>
      <c r="F1325" s="27" t="s">
        <v>10351</v>
      </c>
      <c r="G1325" s="27"/>
      <c r="H1325" s="16" t="str">
        <f>IF(ISBLANK(PARTIDAS!$G1325),PARTIDAS!$F1325,CONCATENATE(PARTIDAS!$F1325," (",PARTIDAS!$G1325,")"))</f>
        <v>Productos destinados para la inhalación sin combustión, que contengan tabaco o tabaco reconstituido</v>
      </c>
      <c r="I1325" s="16" t="s">
        <v>9427</v>
      </c>
    </row>
    <row r="1326" spans="1:9" x14ac:dyDescent="0.25">
      <c r="A1326" s="16" t="s">
        <v>10352</v>
      </c>
      <c r="B1326" s="16" t="str">
        <f>TEXT(PARTIDA[[#This Row],[PARTIDA]],"0000000000")</f>
        <v>2404120000</v>
      </c>
      <c r="C1326" s="16" t="s">
        <v>786</v>
      </c>
      <c r="D1326" s="16" t="s">
        <v>787</v>
      </c>
      <c r="E1326" s="16" t="s">
        <v>793</v>
      </c>
      <c r="F1326" s="27" t="s">
        <v>10353</v>
      </c>
      <c r="G1326" s="27"/>
      <c r="H1326" s="16" t="str">
        <f>IF(ISBLANK(PARTIDAS!$G1326),PARTIDAS!$F1326,CONCATENATE(PARTIDAS!$F1326," (",PARTIDAS!$G1326,")"))</f>
        <v>Productos destinados para la inhalación sin combustión (los demás, que contengan nicotina)</v>
      </c>
      <c r="I1326" s="16" t="s">
        <v>9427</v>
      </c>
    </row>
    <row r="1327" spans="1:9" x14ac:dyDescent="0.25">
      <c r="A1327" s="16" t="s">
        <v>10354</v>
      </c>
      <c r="B1327" s="16" t="str">
        <f>TEXT(PARTIDA[[#This Row],[PARTIDA]],"0000000000")</f>
        <v>2404190010</v>
      </c>
      <c r="C1327" s="16" t="s">
        <v>786</v>
      </c>
      <c r="D1327" s="16" t="s">
        <v>787</v>
      </c>
      <c r="E1327" s="16" t="s">
        <v>793</v>
      </c>
      <c r="F1327" s="27" t="s">
        <v>10355</v>
      </c>
      <c r="G1327" s="27"/>
      <c r="H1327" s="16" t="str">
        <f>IF(ISBLANK(PARTIDAS!$G1327),PARTIDAS!$F1327,CONCATENATE(PARTIDAS!$F1327," (",PARTIDAS!$G1327,")"))</f>
        <v>Productos destinados para la inhalación sin combustión, que contengan sucedáneos del tabaco</v>
      </c>
      <c r="I1327" s="16" t="s">
        <v>9427</v>
      </c>
    </row>
    <row r="1328" spans="1:9" x14ac:dyDescent="0.25">
      <c r="A1328" s="16" t="s">
        <v>10356</v>
      </c>
      <c r="B1328" s="16" t="str">
        <f>TEXT(PARTIDA[[#This Row],[PARTIDA]],"0000000000")</f>
        <v>2404190090</v>
      </c>
      <c r="C1328" s="16" t="s">
        <v>786</v>
      </c>
      <c r="D1328" s="16" t="s">
        <v>787</v>
      </c>
      <c r="E1328" s="16" t="s">
        <v>793</v>
      </c>
      <c r="F1328" s="27" t="s">
        <v>10357</v>
      </c>
      <c r="G1328" s="27"/>
      <c r="H1328" s="16" t="str">
        <f>IF(ISBLANK(PARTIDAS!$G1328),PARTIDAS!$F1328,CONCATENATE(PARTIDAS!$F1328," (",PARTIDAS!$G1328,")"))</f>
        <v>Productos destinados para la inhalación sin combustión (los demás)</v>
      </c>
      <c r="I1328" s="16" t="s">
        <v>9427</v>
      </c>
    </row>
    <row r="1329" spans="1:9" x14ac:dyDescent="0.25">
      <c r="A1329" s="16" t="s">
        <v>10358</v>
      </c>
      <c r="B1329" s="16" t="str">
        <f>TEXT(PARTIDA[[#This Row],[PARTIDA]],"0000000000")</f>
        <v>2404910000</v>
      </c>
      <c r="C1329" s="16" t="s">
        <v>786</v>
      </c>
      <c r="D1329" s="16" t="s">
        <v>787</v>
      </c>
      <c r="E1329" s="16" t="s">
        <v>793</v>
      </c>
      <c r="F1329" s="27" t="s">
        <v>10359</v>
      </c>
      <c r="G1329" s="27"/>
      <c r="H1329" s="16" t="str">
        <f>IF(ISBLANK(PARTIDAS!$G1329),PARTIDAS!$F1329,CONCATENATE(PARTIDAS!$F1329," (",PARTIDAS!$G1329,")"))</f>
        <v>Productos que contengan tabaco, tabaco reconstituido, nicotina o…, para administrarse por vía oral</v>
      </c>
      <c r="I1329" s="16" t="s">
        <v>9427</v>
      </c>
    </row>
    <row r="1330" spans="1:9" x14ac:dyDescent="0.25">
      <c r="A1330" s="16" t="s">
        <v>10360</v>
      </c>
      <c r="B1330" s="16" t="str">
        <f>TEXT(PARTIDA[[#This Row],[PARTIDA]],"0000000000")</f>
        <v>2404920000</v>
      </c>
      <c r="C1330" s="16" t="s">
        <v>786</v>
      </c>
      <c r="D1330" s="16" t="s">
        <v>787</v>
      </c>
      <c r="E1330" s="16" t="s">
        <v>793</v>
      </c>
      <c r="F1330" s="27" t="s">
        <v>10361</v>
      </c>
      <c r="G1330" s="27"/>
      <c r="H1330" s="16" t="str">
        <f>IF(ISBLANK(PARTIDAS!$G1330),PARTIDAS!$F1330,CONCATENATE(PARTIDAS!$F1330," (",PARTIDAS!$G1330,")"))</f>
        <v>Productos que contengan tabaco, tabaco reconstituido, nicotina o…, para administrarse por vía transdérmica</v>
      </c>
      <c r="I1330" s="16" t="s">
        <v>9427</v>
      </c>
    </row>
    <row r="1331" spans="1:9" x14ac:dyDescent="0.25">
      <c r="A1331" s="16" t="s">
        <v>10362</v>
      </c>
      <c r="B1331" s="16" t="str">
        <f>TEXT(PARTIDA[[#This Row],[PARTIDA]],"0000000000")</f>
        <v>2404990000</v>
      </c>
      <c r="C1331" s="16" t="s">
        <v>786</v>
      </c>
      <c r="D1331" s="16" t="s">
        <v>787</v>
      </c>
      <c r="E1331" s="16" t="s">
        <v>793</v>
      </c>
      <c r="F1331" s="27" t="s">
        <v>10363</v>
      </c>
      <c r="G1331" s="27"/>
      <c r="H1331" s="16" t="str">
        <f>IF(ISBLANK(PARTIDAS!$G1331),PARTIDAS!$F1331,CONCATENATE(PARTIDAS!$F1331," (",PARTIDAS!$G1331,")"))</f>
        <v>Productos que contengan tabaco, tabaco reconstituido, nicotina o… (los demás)</v>
      </c>
      <c r="I1331" s="16" t="s">
        <v>9427</v>
      </c>
    </row>
    <row r="1332" spans="1:9" x14ac:dyDescent="0.25">
      <c r="A1332" s="16" t="s">
        <v>2296</v>
      </c>
      <c r="B1332" s="16" t="str">
        <f>TEXT(PARTIDA[[#This Row],[PARTIDA]],"0000000000")</f>
        <v>2501001000</v>
      </c>
      <c r="C1332" s="16" t="s">
        <v>786</v>
      </c>
      <c r="D1332" s="16" t="s">
        <v>787</v>
      </c>
      <c r="E1332" s="16" t="s">
        <v>9429</v>
      </c>
      <c r="F1332" s="27" t="s">
        <v>2297</v>
      </c>
      <c r="G1332" s="27"/>
      <c r="H1332" s="16" t="str">
        <f>IF(ISBLANK(PARTIDAS!$G1332),PARTIDAS!$F1332,CONCATENATE(PARTIDAS!$F1332," (",PARTIDAS!$G1332,")"))</f>
        <v>Sal de mesa</v>
      </c>
      <c r="I1332" s="16" t="s">
        <v>9427</v>
      </c>
    </row>
    <row r="1333" spans="1:9" x14ac:dyDescent="0.25">
      <c r="A1333" s="16" t="s">
        <v>2298</v>
      </c>
      <c r="B1333" s="16" t="str">
        <f>TEXT(PARTIDA[[#This Row],[PARTIDA]],"0000000000")</f>
        <v>2501002000</v>
      </c>
      <c r="C1333" s="16" t="s">
        <v>815</v>
      </c>
      <c r="D1333" s="16" t="s">
        <v>835</v>
      </c>
      <c r="E1333" s="16" t="s">
        <v>848</v>
      </c>
      <c r="F1333" s="27" t="s">
        <v>10364</v>
      </c>
      <c r="G1333" s="27"/>
      <c r="H1333" s="16" t="str">
        <f>IF(ISBLANK(PARTIDAS!$G1333),PARTIDAS!$F1333,CONCATENATE(PARTIDAS!$F1333," (",PARTIDAS!$G1333,")"))</f>
        <v>Cloruro de sodio, con pureza superior o igual al 99,5 %, incluso en disolución acuosa</v>
      </c>
      <c r="I1333" s="16" t="s">
        <v>9427</v>
      </c>
    </row>
    <row r="1334" spans="1:9" x14ac:dyDescent="0.25">
      <c r="A1334" s="16" t="s">
        <v>2299</v>
      </c>
      <c r="B1334" s="16" t="str">
        <f>TEXT(PARTIDA[[#This Row],[PARTIDA]],"0000000000")</f>
        <v>2501009100</v>
      </c>
      <c r="C1334" s="16" t="s">
        <v>815</v>
      </c>
      <c r="D1334" s="16" t="s">
        <v>835</v>
      </c>
      <c r="E1334" s="16" t="s">
        <v>848</v>
      </c>
      <c r="F1334" s="27" t="s">
        <v>10365</v>
      </c>
      <c r="G1334" s="27"/>
      <c r="H1334" s="16" t="str">
        <f>IF(ISBLANK(PARTIDAS!$G1334),PARTIDAS!$F1334,CONCATENATE(PARTIDAS!$F1334," (",PARTIDAS!$G1334,")"))</f>
        <v>Sal; azufre; tierras y piedras; yesos, cales y cementos, desnaturalizada</v>
      </c>
      <c r="I1334" s="16" t="s">
        <v>9427</v>
      </c>
    </row>
    <row r="1335" spans="1:9" x14ac:dyDescent="0.25">
      <c r="A1335" s="16" t="s">
        <v>2300</v>
      </c>
      <c r="B1335" s="16" t="str">
        <f>TEXT(PARTIDA[[#This Row],[PARTIDA]],"0000000000")</f>
        <v>2501009200</v>
      </c>
      <c r="C1335" s="16" t="s">
        <v>815</v>
      </c>
      <c r="D1335" s="16" t="s">
        <v>835</v>
      </c>
      <c r="E1335" s="16" t="s">
        <v>848</v>
      </c>
      <c r="F1335" s="27" t="s">
        <v>10366</v>
      </c>
      <c r="G1335" s="27"/>
      <c r="H1335" s="16" t="str">
        <f>IF(ISBLANK(PARTIDAS!$G1335),PARTIDAS!$F1335,CONCATENATE(PARTIDAS!$F1335," (",PARTIDAS!$G1335,")"))</f>
        <v>Sal; azufre; tierras y piedras; yesos, cales y cementos, para alimento de ganado</v>
      </c>
      <c r="I1335" s="16" t="s">
        <v>9427</v>
      </c>
    </row>
    <row r="1336" spans="1:9" x14ac:dyDescent="0.25">
      <c r="A1336" s="16" t="s">
        <v>2301</v>
      </c>
      <c r="B1336" s="16" t="str">
        <f>TEXT(PARTIDA[[#This Row],[PARTIDA]],"0000000000")</f>
        <v>2501009910</v>
      </c>
      <c r="C1336" s="16" t="s">
        <v>815</v>
      </c>
      <c r="D1336" s="16" t="s">
        <v>835</v>
      </c>
      <c r="E1336" s="16" t="s">
        <v>848</v>
      </c>
      <c r="F1336" s="27" t="s">
        <v>10367</v>
      </c>
      <c r="G1336" s="27"/>
      <c r="H1336" s="16" t="str">
        <f>IF(ISBLANK(PARTIDAS!$G1336),PARTIDAS!$F1336,CONCATENATE(PARTIDAS!$F1336," (",PARTIDAS!$G1336,")"))</f>
        <v>Agua de mar</v>
      </c>
      <c r="I1336" s="16" t="s">
        <v>9427</v>
      </c>
    </row>
    <row r="1337" spans="1:9" x14ac:dyDescent="0.25">
      <c r="A1337" s="16" t="s">
        <v>2302</v>
      </c>
      <c r="B1337" s="16" t="str">
        <f>TEXT(PARTIDA[[#This Row],[PARTIDA]],"0000000000")</f>
        <v>2501009990</v>
      </c>
      <c r="C1337" s="16" t="s">
        <v>815</v>
      </c>
      <c r="D1337" s="16" t="s">
        <v>835</v>
      </c>
      <c r="E1337" s="16" t="s">
        <v>848</v>
      </c>
      <c r="F1337" s="27" t="s">
        <v>2303</v>
      </c>
      <c r="G1337" s="27" t="s">
        <v>1472</v>
      </c>
      <c r="H1337" s="16" t="str">
        <f>IF(ISBLANK(PARTIDAS!$G1337),PARTIDAS!$F1337,CONCATENATE(PARTIDAS!$F1337," (",PARTIDAS!$G1337,")"))</f>
        <v>Sal, azufre ypolvos (Verificar)</v>
      </c>
      <c r="I1337" s="16" t="s">
        <v>9427</v>
      </c>
    </row>
    <row r="1338" spans="1:9" x14ac:dyDescent="0.25">
      <c r="A1338" s="16" t="s">
        <v>2304</v>
      </c>
      <c r="B1338" s="16" t="str">
        <f>TEXT(PARTIDA[[#This Row],[PARTIDA]],"0000000000")</f>
        <v>2502000000</v>
      </c>
      <c r="C1338" s="16" t="s">
        <v>815</v>
      </c>
      <c r="D1338" s="16" t="s">
        <v>835</v>
      </c>
      <c r="E1338" s="16" t="s">
        <v>848</v>
      </c>
      <c r="F1338" s="27" t="s">
        <v>2305</v>
      </c>
      <c r="G1338" s="27"/>
      <c r="H1338" s="16" t="str">
        <f>IF(ISBLANK(PARTIDAS!$G1338),PARTIDAS!$F1338,CONCATENATE(PARTIDAS!$F1338," (",PARTIDAS!$G1338,")"))</f>
        <v>Piritas de hierro sin tostar.</v>
      </c>
      <c r="I1338" s="16" t="s">
        <v>9427</v>
      </c>
    </row>
    <row r="1339" spans="1:9" x14ac:dyDescent="0.25">
      <c r="A1339" s="16" t="s">
        <v>2306</v>
      </c>
      <c r="B1339" s="16" t="str">
        <f>TEXT(PARTIDA[[#This Row],[PARTIDA]],"0000000000")</f>
        <v>2503000000</v>
      </c>
      <c r="C1339" s="16" t="s">
        <v>815</v>
      </c>
      <c r="D1339" s="16" t="s">
        <v>835</v>
      </c>
      <c r="E1339" s="16" t="s">
        <v>848</v>
      </c>
      <c r="F1339" s="27" t="s">
        <v>2307</v>
      </c>
      <c r="G1339" s="27"/>
      <c r="H1339" s="16" t="str">
        <f>IF(ISBLANK(PARTIDAS!$G1339),PARTIDAS!$F1339,CONCATENATE(PARTIDAS!$F1339," (",PARTIDAS!$G1339,")"))</f>
        <v>Azufre de cualquier clase, excepto el sublimado,
el precipitado y el coloidal.</v>
      </c>
      <c r="I1339" s="16" t="s">
        <v>9427</v>
      </c>
    </row>
    <row r="1340" spans="1:9" x14ac:dyDescent="0.25">
      <c r="A1340" s="16" t="s">
        <v>2308</v>
      </c>
      <c r="B1340" s="16" t="str">
        <f>TEXT(PARTIDA[[#This Row],[PARTIDA]],"0000000000")</f>
        <v>2504100000</v>
      </c>
      <c r="C1340" s="16" t="s">
        <v>815</v>
      </c>
      <c r="D1340" s="16" t="s">
        <v>835</v>
      </c>
      <c r="E1340" s="16" t="s">
        <v>848</v>
      </c>
      <c r="F1340" s="27" t="s">
        <v>10368</v>
      </c>
      <c r="G1340" s="27"/>
      <c r="H1340" s="16" t="str">
        <f>IF(ISBLANK(PARTIDAS!$G1340),PARTIDAS!$F1340,CONCATENATE(PARTIDAS!$F1340," (",PARTIDAS!$G1340,")"))</f>
        <v>Grafito natural, en polvo o en escamas</v>
      </c>
      <c r="I1340" s="16" t="s">
        <v>9427</v>
      </c>
    </row>
    <row r="1341" spans="1:9" x14ac:dyDescent="0.25">
      <c r="A1341" s="16" t="s">
        <v>2309</v>
      </c>
      <c r="B1341" s="16" t="str">
        <f>TEXT(PARTIDA[[#This Row],[PARTIDA]],"0000000000")</f>
        <v>2504900000</v>
      </c>
      <c r="C1341" s="16" t="s">
        <v>815</v>
      </c>
      <c r="D1341" s="16" t="s">
        <v>835</v>
      </c>
      <c r="E1341" s="16" t="s">
        <v>848</v>
      </c>
      <c r="F1341" s="27" t="s">
        <v>10369</v>
      </c>
      <c r="G1341" s="27"/>
      <c r="H1341" s="16" t="str">
        <f>IF(ISBLANK(PARTIDAS!$G1341),PARTIDAS!$F1341,CONCATENATE(PARTIDAS!$F1341," (",PARTIDAS!$G1341,")"))</f>
        <v>Grafito natural (los demás)</v>
      </c>
      <c r="I1341" s="16" t="s">
        <v>9427</v>
      </c>
    </row>
    <row r="1342" spans="1:9" x14ac:dyDescent="0.25">
      <c r="A1342" s="16" t="s">
        <v>2310</v>
      </c>
      <c r="B1342" s="16" t="str">
        <f>TEXT(PARTIDA[[#This Row],[PARTIDA]],"0000000000")</f>
        <v>2505100000</v>
      </c>
      <c r="C1342" s="16" t="s">
        <v>860</v>
      </c>
      <c r="D1342" s="16" t="s">
        <v>861</v>
      </c>
      <c r="E1342" s="16" t="s">
        <v>9469</v>
      </c>
      <c r="F1342" s="27" t="s">
        <v>10370</v>
      </c>
      <c r="G1342" s="27"/>
      <c r="H1342" s="16" t="str">
        <f>IF(ISBLANK(PARTIDAS!$G1342),PARTIDAS!$F1342,CONCATENATE(PARTIDAS!$F1342," (",PARTIDAS!$G1342,")"))</f>
        <v>Arenas silíceas y arenas cuarzosas</v>
      </c>
      <c r="I1342" s="16" t="s">
        <v>9427</v>
      </c>
    </row>
    <row r="1343" spans="1:9" x14ac:dyDescent="0.25">
      <c r="A1343" s="16" t="s">
        <v>2311</v>
      </c>
      <c r="B1343" s="16" t="str">
        <f>TEXT(PARTIDA[[#This Row],[PARTIDA]],"0000000000")</f>
        <v>2505900000</v>
      </c>
      <c r="C1343" s="16" t="s">
        <v>860</v>
      </c>
      <c r="D1343" s="16" t="s">
        <v>861</v>
      </c>
      <c r="E1343" s="16" t="s">
        <v>9469</v>
      </c>
      <c r="F1343" s="27" t="s">
        <v>10371</v>
      </c>
      <c r="G1343" s="27"/>
      <c r="H1343" s="16" t="str">
        <f>IF(ISBLANK(PARTIDAS!$G1343),PARTIDAS!$F1343,CONCATENATE(PARTIDAS!$F1343," (",PARTIDAS!$G1343,")"))</f>
        <v>Arenas naturales de cualquier clase, incluso coloreadas (los demás)</v>
      </c>
      <c r="I1343" s="16" t="s">
        <v>9427</v>
      </c>
    </row>
    <row r="1344" spans="1:9" x14ac:dyDescent="0.25">
      <c r="A1344" s="16" t="s">
        <v>2312</v>
      </c>
      <c r="B1344" s="16" t="str">
        <f>TEXT(PARTIDA[[#This Row],[PARTIDA]],"0000000000")</f>
        <v>2506100000</v>
      </c>
      <c r="C1344" s="16" t="s">
        <v>860</v>
      </c>
      <c r="D1344" s="16" t="s">
        <v>861</v>
      </c>
      <c r="E1344" s="16" t="s">
        <v>9469</v>
      </c>
      <c r="F1344" s="27" t="s">
        <v>10372</v>
      </c>
      <c r="G1344" s="27"/>
      <c r="H1344" s="16" t="str">
        <f>IF(ISBLANK(PARTIDAS!$G1344),PARTIDAS!$F1344,CONCATENATE(PARTIDAS!$F1344," (",PARTIDAS!$G1344,")"))</f>
        <v>Cuarzo</v>
      </c>
      <c r="I1344" s="16" t="s">
        <v>9427</v>
      </c>
    </row>
    <row r="1345" spans="1:9" x14ac:dyDescent="0.25">
      <c r="A1345" s="16" t="s">
        <v>2313</v>
      </c>
      <c r="B1345" s="16" t="str">
        <f>TEXT(PARTIDA[[#This Row],[PARTIDA]],"0000000000")</f>
        <v>2506200000</v>
      </c>
      <c r="C1345" s="16" t="s">
        <v>860</v>
      </c>
      <c r="D1345" s="16" t="s">
        <v>861</v>
      </c>
      <c r="E1345" s="16" t="s">
        <v>9469</v>
      </c>
      <c r="F1345" s="27" t="s">
        <v>10373</v>
      </c>
      <c r="G1345" s="27"/>
      <c r="H1345" s="16" t="str">
        <f>IF(ISBLANK(PARTIDAS!$G1345),PARTIDAS!$F1345,CONCATENATE(PARTIDAS!$F1345," (",PARTIDAS!$G1345,")"))</f>
        <v>Cuarcita</v>
      </c>
      <c r="I1345" s="16" t="s">
        <v>9427</v>
      </c>
    </row>
    <row r="1346" spans="1:9" x14ac:dyDescent="0.25">
      <c r="A1346" s="16" t="s">
        <v>2314</v>
      </c>
      <c r="B1346" s="16" t="str">
        <f>TEXT(PARTIDA[[#This Row],[PARTIDA]],"0000000000")</f>
        <v>2507001000</v>
      </c>
      <c r="C1346" s="16" t="s">
        <v>815</v>
      </c>
      <c r="D1346" s="16" t="s">
        <v>835</v>
      </c>
      <c r="E1346" s="16" t="s">
        <v>848</v>
      </c>
      <c r="F1346" s="27" t="s">
        <v>10374</v>
      </c>
      <c r="G1346" s="27"/>
      <c r="H1346" s="16" t="str">
        <f>IF(ISBLANK(PARTIDAS!$G1346),PARTIDAS!$F1346,CONCATENATE(PARTIDAS!$F1346," (",PARTIDAS!$G1346,")"))</f>
        <v>Caolín, incluso calcinado</v>
      </c>
      <c r="I1346" s="16" t="s">
        <v>9427</v>
      </c>
    </row>
    <row r="1347" spans="1:9" x14ac:dyDescent="0.25">
      <c r="A1347" s="16" t="s">
        <v>2315</v>
      </c>
      <c r="B1347" s="16" t="str">
        <f>TEXT(PARTIDA[[#This Row],[PARTIDA]],"0000000000")</f>
        <v>2507009000</v>
      </c>
      <c r="C1347" s="16" t="s">
        <v>815</v>
      </c>
      <c r="D1347" s="16" t="s">
        <v>835</v>
      </c>
      <c r="E1347" s="16" t="s">
        <v>848</v>
      </c>
      <c r="F1347" s="27" t="s">
        <v>10375</v>
      </c>
      <c r="G1347" s="27"/>
      <c r="H1347" s="16" t="str">
        <f>IF(ISBLANK(PARTIDAS!$G1347),PARTIDAS!$F1347,CONCATENATE(PARTIDAS!$F1347," (",PARTIDAS!$G1347,")"))</f>
        <v>Cuarzo (excepto las arenas naturales) (los demás)</v>
      </c>
      <c r="I1347" s="16" t="s">
        <v>9427</v>
      </c>
    </row>
    <row r="1348" spans="1:9" x14ac:dyDescent="0.25">
      <c r="A1348" s="16" t="s">
        <v>2316</v>
      </c>
      <c r="B1348" s="16" t="str">
        <f>TEXT(PARTIDA[[#This Row],[PARTIDA]],"0000000000")</f>
        <v>2508100000</v>
      </c>
      <c r="C1348" s="16" t="s">
        <v>815</v>
      </c>
      <c r="D1348" s="16" t="s">
        <v>835</v>
      </c>
      <c r="E1348" s="16" t="s">
        <v>848</v>
      </c>
      <c r="F1348" s="27" t="s">
        <v>10376</v>
      </c>
      <c r="G1348" s="27"/>
      <c r="H1348" s="16" t="str">
        <f>IF(ISBLANK(PARTIDAS!$G1348),PARTIDAS!$F1348,CONCATENATE(PARTIDAS!$F1348," (",PARTIDAS!$G1348,")"))</f>
        <v>Bentonita</v>
      </c>
      <c r="I1348" s="16" t="s">
        <v>9427</v>
      </c>
    </row>
    <row r="1349" spans="1:9" x14ac:dyDescent="0.25">
      <c r="A1349" s="16" t="s">
        <v>2317</v>
      </c>
      <c r="B1349" s="16" t="str">
        <f>TEXT(PARTIDA[[#This Row],[PARTIDA]],"0000000000")</f>
        <v>2508300000</v>
      </c>
      <c r="C1349" s="16" t="s">
        <v>815</v>
      </c>
      <c r="D1349" s="16" t="s">
        <v>835</v>
      </c>
      <c r="E1349" s="16" t="s">
        <v>848</v>
      </c>
      <c r="F1349" s="27" t="s">
        <v>10377</v>
      </c>
      <c r="G1349" s="27"/>
      <c r="H1349" s="16" t="str">
        <f>IF(ISBLANK(PARTIDAS!$G1349),PARTIDAS!$F1349,CONCATENATE(PARTIDAS!$F1349," (",PARTIDAS!$G1349,")"))</f>
        <v>Arcillas refractarias</v>
      </c>
      <c r="I1349" s="16" t="s">
        <v>9427</v>
      </c>
    </row>
    <row r="1350" spans="1:9" x14ac:dyDescent="0.25">
      <c r="A1350" s="16" t="s">
        <v>2318</v>
      </c>
      <c r="B1350" s="16" t="str">
        <f>TEXT(PARTIDA[[#This Row],[PARTIDA]],"0000000000")</f>
        <v>2508400000</v>
      </c>
      <c r="C1350" s="16" t="s">
        <v>815</v>
      </c>
      <c r="D1350" s="16" t="s">
        <v>835</v>
      </c>
      <c r="E1350" s="16" t="s">
        <v>848</v>
      </c>
      <c r="F1350" s="27" t="s">
        <v>10378</v>
      </c>
      <c r="G1350" s="27"/>
      <c r="H1350" s="16" t="str">
        <f>IF(ISBLANK(PARTIDAS!$G1350),PARTIDAS!$F1350,CONCATENATE(PARTIDAS!$F1350," (",PARTIDAS!$G1350,")"))</f>
        <v>Sal; azufre; tierras y piedras; yesos, cales y cementos (los demás, arcillas)</v>
      </c>
      <c r="I1350" s="16" t="s">
        <v>9427</v>
      </c>
    </row>
    <row r="1351" spans="1:9" x14ac:dyDescent="0.25">
      <c r="A1351" s="16" t="s">
        <v>2319</v>
      </c>
      <c r="B1351" s="16" t="str">
        <f>TEXT(PARTIDA[[#This Row],[PARTIDA]],"0000000000")</f>
        <v>2508500000</v>
      </c>
      <c r="C1351" s="16" t="s">
        <v>815</v>
      </c>
      <c r="D1351" s="16" t="s">
        <v>835</v>
      </c>
      <c r="E1351" s="16" t="s">
        <v>848</v>
      </c>
      <c r="F1351" s="27" t="s">
        <v>10379</v>
      </c>
      <c r="G1351" s="27"/>
      <c r="H1351" s="16" t="str">
        <f>IF(ISBLANK(PARTIDAS!$G1351),PARTIDAS!$F1351,CONCATENATE(PARTIDAS!$F1351," (",PARTIDAS!$G1351,")"))</f>
        <v>Andalucita, cianita y silimanita</v>
      </c>
      <c r="I1351" s="16" t="s">
        <v>9427</v>
      </c>
    </row>
    <row r="1352" spans="1:9" x14ac:dyDescent="0.25">
      <c r="A1352" s="16" t="s">
        <v>2320</v>
      </c>
      <c r="B1352" s="16" t="str">
        <f>TEXT(PARTIDA[[#This Row],[PARTIDA]],"0000000000")</f>
        <v>2508600000</v>
      </c>
      <c r="C1352" s="16" t="s">
        <v>815</v>
      </c>
      <c r="D1352" s="16" t="s">
        <v>835</v>
      </c>
      <c r="E1352" s="16" t="s">
        <v>848</v>
      </c>
      <c r="F1352" s="27" t="s">
        <v>10380</v>
      </c>
      <c r="G1352" s="27"/>
      <c r="H1352" s="16" t="str">
        <f>IF(ISBLANK(PARTIDAS!$G1352),PARTIDAS!$F1352,CONCATENATE(PARTIDAS!$F1352," (",PARTIDAS!$G1352,")"))</f>
        <v>Mullita</v>
      </c>
      <c r="I1352" s="16" t="s">
        <v>9427</v>
      </c>
    </row>
    <row r="1353" spans="1:9" x14ac:dyDescent="0.25">
      <c r="A1353" s="16" t="s">
        <v>2321</v>
      </c>
      <c r="B1353" s="16" t="str">
        <f>TEXT(PARTIDA[[#This Row],[PARTIDA]],"0000000000")</f>
        <v>2508700000</v>
      </c>
      <c r="C1353" s="16" t="s">
        <v>815</v>
      </c>
      <c r="D1353" s="16" t="s">
        <v>835</v>
      </c>
      <c r="E1353" s="16" t="s">
        <v>848</v>
      </c>
      <c r="F1353" s="27" t="s">
        <v>10381</v>
      </c>
      <c r="G1353" s="27"/>
      <c r="H1353" s="16" t="str">
        <f>IF(ISBLANK(PARTIDAS!$G1353),PARTIDAS!$F1353,CONCATENATE(PARTIDAS!$F1353," (",PARTIDAS!$G1353,")"))</f>
        <v>Tierras de chamota o de dinas</v>
      </c>
      <c r="I1353" s="16" t="s">
        <v>9427</v>
      </c>
    </row>
    <row r="1354" spans="1:9" x14ac:dyDescent="0.25">
      <c r="A1354" s="16" t="s">
        <v>2322</v>
      </c>
      <c r="B1354" s="16" t="str">
        <f>TEXT(PARTIDA[[#This Row],[PARTIDA]],"0000000000")</f>
        <v>2509000000</v>
      </c>
      <c r="C1354" s="16" t="s">
        <v>815</v>
      </c>
      <c r="D1354" s="16" t="s">
        <v>835</v>
      </c>
      <c r="E1354" s="16" t="s">
        <v>848</v>
      </c>
      <c r="F1354" s="27" t="s">
        <v>2323</v>
      </c>
      <c r="G1354" s="27"/>
      <c r="H1354" s="16" t="str">
        <f>IF(ISBLANK(PARTIDAS!$G1354),PARTIDAS!$F1354,CONCATENATE(PARTIDAS!$F1354," (",PARTIDAS!$G1354,")"))</f>
        <v>Creta.</v>
      </c>
      <c r="I1354" s="16" t="s">
        <v>9427</v>
      </c>
    </row>
    <row r="1355" spans="1:9" x14ac:dyDescent="0.25">
      <c r="A1355" s="16" t="s">
        <v>2324</v>
      </c>
      <c r="B1355" s="16" t="str">
        <f>TEXT(PARTIDA[[#This Row],[PARTIDA]],"0000000000")</f>
        <v>2510100000</v>
      </c>
      <c r="C1355" s="16" t="s">
        <v>815</v>
      </c>
      <c r="D1355" s="16" t="s">
        <v>835</v>
      </c>
      <c r="E1355" s="16" t="s">
        <v>848</v>
      </c>
      <c r="F1355" s="27" t="s">
        <v>10382</v>
      </c>
      <c r="G1355" s="27"/>
      <c r="H1355" s="16" t="str">
        <f>IF(ISBLANK(PARTIDAS!$G1355),PARTIDAS!$F1355,CONCATENATE(PARTIDAS!$F1355," (",PARTIDAS!$G1355,")"))</f>
        <v>Fosfatos de calcio naturales, fosfatos aluminocálcicos naturales y…, sin moler</v>
      </c>
      <c r="I1355" s="16" t="s">
        <v>9427</v>
      </c>
    </row>
    <row r="1356" spans="1:9" x14ac:dyDescent="0.25">
      <c r="A1356" s="16" t="s">
        <v>2325</v>
      </c>
      <c r="B1356" s="16" t="str">
        <f>TEXT(PARTIDA[[#This Row],[PARTIDA]],"0000000000")</f>
        <v>2510200000</v>
      </c>
      <c r="C1356" s="16" t="s">
        <v>815</v>
      </c>
      <c r="D1356" s="16" t="s">
        <v>835</v>
      </c>
      <c r="E1356" s="16" t="s">
        <v>848</v>
      </c>
      <c r="F1356" s="27" t="s">
        <v>10383</v>
      </c>
      <c r="G1356" s="27"/>
      <c r="H1356" s="16" t="str">
        <f>IF(ISBLANK(PARTIDAS!$G1356),PARTIDAS!$F1356,CONCATENATE(PARTIDAS!$F1356," (",PARTIDAS!$G1356,")"))</f>
        <v>Molidos</v>
      </c>
      <c r="I1356" s="16" t="s">
        <v>9427</v>
      </c>
    </row>
    <row r="1357" spans="1:9" x14ac:dyDescent="0.25">
      <c r="A1357" s="16" t="s">
        <v>2326</v>
      </c>
      <c r="B1357" s="16" t="str">
        <f>TEXT(PARTIDA[[#This Row],[PARTIDA]],"0000000000")</f>
        <v>2511100000</v>
      </c>
      <c r="C1357" s="16" t="s">
        <v>815</v>
      </c>
      <c r="D1357" s="16" t="s">
        <v>835</v>
      </c>
      <c r="E1357" s="16" t="s">
        <v>848</v>
      </c>
      <c r="F1357" s="27" t="s">
        <v>10384</v>
      </c>
      <c r="G1357" s="27"/>
      <c r="H1357" s="16" t="str">
        <f>IF(ISBLANK(PARTIDAS!$G1357),PARTIDAS!$F1357,CONCATENATE(PARTIDAS!$F1357," (",PARTIDAS!$G1357,")"))</f>
        <v>Sulfato de bario natural (baritina)</v>
      </c>
      <c r="I1357" s="16" t="s">
        <v>9427</v>
      </c>
    </row>
    <row r="1358" spans="1:9" x14ac:dyDescent="0.25">
      <c r="A1358" s="16" t="s">
        <v>2327</v>
      </c>
      <c r="B1358" s="16" t="str">
        <f>TEXT(PARTIDA[[#This Row],[PARTIDA]],"0000000000")</f>
        <v>2511200000</v>
      </c>
      <c r="C1358" s="16" t="s">
        <v>815</v>
      </c>
      <c r="D1358" s="16" t="s">
        <v>835</v>
      </c>
      <c r="E1358" s="16" t="s">
        <v>848</v>
      </c>
      <c r="F1358" s="27" t="s">
        <v>10385</v>
      </c>
      <c r="G1358" s="27"/>
      <c r="H1358" s="16" t="str">
        <f>IF(ISBLANK(PARTIDAS!$G1358),PARTIDAS!$F1358,CONCATENATE(PARTIDAS!$F1358," (",PARTIDAS!$G1358,")"))</f>
        <v>Carbonato de bario natural (witherita)</v>
      </c>
      <c r="I1358" s="16" t="s">
        <v>9427</v>
      </c>
    </row>
    <row r="1359" spans="1:9" x14ac:dyDescent="0.25">
      <c r="A1359" s="16" t="s">
        <v>2328</v>
      </c>
      <c r="B1359" s="16" t="str">
        <f>TEXT(PARTIDA[[#This Row],[PARTIDA]],"0000000000")</f>
        <v>2512000000</v>
      </c>
      <c r="C1359" s="16" t="s">
        <v>815</v>
      </c>
      <c r="D1359" s="16" t="s">
        <v>835</v>
      </c>
      <c r="E1359" s="16" t="s">
        <v>848</v>
      </c>
      <c r="F1359" s="27" t="s">
        <v>2329</v>
      </c>
      <c r="G1359" s="27"/>
      <c r="H1359" s="16" t="str">
        <f>IF(ISBLANK(PARTIDAS!$G1359),PARTIDAS!$F1359,CONCATENATE(PARTIDAS!$F1359," (",PARTIDAS!$G1359,")"))</f>
        <v>Harinas silíceas fósiles (por ejemplo:
«Kieselguhr», tripolita, diatomita) y demás tierras
silíceas análogas, de densidad aparente inferior o
igual a 1, incluso calcinadas.</v>
      </c>
      <c r="I1359" s="16" t="s">
        <v>9427</v>
      </c>
    </row>
    <row r="1360" spans="1:9" x14ac:dyDescent="0.25">
      <c r="A1360" s="16" t="s">
        <v>2330</v>
      </c>
      <c r="B1360" s="16" t="str">
        <f>TEXT(PARTIDA[[#This Row],[PARTIDA]],"0000000000")</f>
        <v>2513100010</v>
      </c>
      <c r="C1360" s="16" t="s">
        <v>815</v>
      </c>
      <c r="D1360" s="16" t="s">
        <v>835</v>
      </c>
      <c r="E1360" s="16" t="s">
        <v>848</v>
      </c>
      <c r="F1360" s="27" t="s">
        <v>10386</v>
      </c>
      <c r="G1360" s="27"/>
      <c r="H1360" s="16" t="str">
        <f>IF(ISBLANK(PARTIDAS!$G1360),PARTIDAS!$F1360,CONCATENATE(PARTIDAS!$F1360," (",PARTIDAS!$G1360,")"))</f>
        <v>Piedra pómez, en bruto o en trozos irregulares, incluida la quebrantada (grava de piedra pómez o «bimskies»)</v>
      </c>
      <c r="I1360" s="16" t="s">
        <v>9427</v>
      </c>
    </row>
    <row r="1361" spans="1:9" x14ac:dyDescent="0.25">
      <c r="A1361" s="16" t="s">
        <v>2331</v>
      </c>
      <c r="B1361" s="16" t="str">
        <f>TEXT(PARTIDA[[#This Row],[PARTIDA]],"0000000000")</f>
        <v>2513100090</v>
      </c>
      <c r="C1361" s="16" t="s">
        <v>815</v>
      </c>
      <c r="D1361" s="16" t="s">
        <v>835</v>
      </c>
      <c r="E1361" s="16" t="s">
        <v>848</v>
      </c>
      <c r="F1361" s="27" t="s">
        <v>2332</v>
      </c>
      <c r="G1361" s="27"/>
      <c r="H1361" s="16" t="str">
        <f>IF(ISBLANK(PARTIDAS!$G1361),PARTIDAS!$F1361,CONCATENATE(PARTIDAS!$F1361," (",PARTIDAS!$G1361,")"))</f>
        <v>Piedra pómez</v>
      </c>
      <c r="I1361" s="16" t="s">
        <v>9427</v>
      </c>
    </row>
    <row r="1362" spans="1:9" x14ac:dyDescent="0.25">
      <c r="A1362" s="16" t="s">
        <v>2333</v>
      </c>
      <c r="B1362" s="16" t="str">
        <f>TEXT(PARTIDA[[#This Row],[PARTIDA]],"0000000000")</f>
        <v>2513200000</v>
      </c>
      <c r="C1362" s="16" t="s">
        <v>815</v>
      </c>
      <c r="D1362" s="16" t="s">
        <v>835</v>
      </c>
      <c r="E1362" s="16" t="s">
        <v>848</v>
      </c>
      <c r="F1362" s="27" t="s">
        <v>10387</v>
      </c>
      <c r="G1362" s="27"/>
      <c r="H1362" s="16" t="str">
        <f>IF(ISBLANK(PARTIDAS!$G1362),PARTIDAS!$F1362,CONCATENATE(PARTIDAS!$F1362," (",PARTIDAS!$G1362,")"))</f>
        <v>Esmeril, corindón natural, granate natural y demás abrasivos naturales</v>
      </c>
      <c r="I1362" s="16" t="s">
        <v>9427</v>
      </c>
    </row>
    <row r="1363" spans="1:9" x14ac:dyDescent="0.25">
      <c r="A1363" s="16" t="s">
        <v>2334</v>
      </c>
      <c r="B1363" s="16" t="str">
        <f>TEXT(PARTIDA[[#This Row],[PARTIDA]],"0000000000")</f>
        <v>2514000000</v>
      </c>
      <c r="C1363" s="16" t="s">
        <v>815</v>
      </c>
      <c r="D1363" s="16" t="s">
        <v>835</v>
      </c>
      <c r="E1363" s="16" t="s">
        <v>848</v>
      </c>
      <c r="F1363" s="27" t="s">
        <v>2335</v>
      </c>
      <c r="G1363" s="27"/>
      <c r="H1363" s="16" t="str">
        <f>IF(ISBLANK(PARTIDAS!$G1363),PARTIDAS!$F1363,CONCATENATE(PARTIDAS!$F1363," (",PARTIDAS!$G1363,")"))</f>
        <v>Pizarra, incluso desbastada o simplemente
troceada, por aserrado o de otro modo, en
bloques o en placas cuadradas o rectangulares.</v>
      </c>
      <c r="I1363" s="16" t="s">
        <v>9427</v>
      </c>
    </row>
    <row r="1364" spans="1:9" x14ac:dyDescent="0.25">
      <c r="A1364" s="16" t="s">
        <v>2336</v>
      </c>
      <c r="B1364" s="16" t="str">
        <f>TEXT(PARTIDA[[#This Row],[PARTIDA]],"0000000000")</f>
        <v>2515110000</v>
      </c>
      <c r="C1364" s="16" t="s">
        <v>860</v>
      </c>
      <c r="D1364" s="16" t="s">
        <v>861</v>
      </c>
      <c r="E1364" s="16" t="s">
        <v>9469</v>
      </c>
      <c r="F1364" s="27" t="s">
        <v>10388</v>
      </c>
      <c r="G1364" s="27"/>
      <c r="H1364" s="16" t="str">
        <f>IF(ISBLANK(PARTIDAS!$G1364),PARTIDAS!$F1364,CONCATENATE(PARTIDAS!$F1364," (",PARTIDAS!$G1364,")"))</f>
        <v>Mármol y travertinos, en bruto o desbastados</v>
      </c>
      <c r="I1364" s="16" t="s">
        <v>9427</v>
      </c>
    </row>
    <row r="1365" spans="1:9" x14ac:dyDescent="0.25">
      <c r="A1365" s="16" t="s">
        <v>2337</v>
      </c>
      <c r="B1365" s="16" t="str">
        <f>TEXT(PARTIDA[[#This Row],[PARTIDA]],"0000000000")</f>
        <v>2515120000</v>
      </c>
      <c r="C1365" s="16" t="s">
        <v>860</v>
      </c>
      <c r="D1365" s="16" t="s">
        <v>861</v>
      </c>
      <c r="E1365" s="16" t="s">
        <v>9469</v>
      </c>
      <c r="F1365" s="27" t="s">
        <v>10389</v>
      </c>
      <c r="G1365" s="27"/>
      <c r="H1365" s="16" t="str">
        <f>IF(ISBLANK(PARTIDAS!$G1365),PARTIDAS!$F1365,CONCATENATE(PARTIDAS!$F1365," (",PARTIDAS!$G1365,")"))</f>
        <v>Mármol y travertinos, simplemente troceados, por aserrado o de otro modo, en bloques o en placas cuadradas o rectangulares</v>
      </c>
      <c r="I1365" s="16" t="s">
        <v>9427</v>
      </c>
    </row>
    <row r="1366" spans="1:9" x14ac:dyDescent="0.25">
      <c r="A1366" s="16" t="s">
        <v>2338</v>
      </c>
      <c r="B1366" s="16" t="str">
        <f>TEXT(PARTIDA[[#This Row],[PARTIDA]],"0000000000")</f>
        <v>2515200000</v>
      </c>
      <c r="C1366" s="16" t="s">
        <v>860</v>
      </c>
      <c r="D1366" s="16" t="s">
        <v>861</v>
      </c>
      <c r="E1366" s="16" t="s">
        <v>9469</v>
      </c>
      <c r="F1366" s="27" t="s">
        <v>10390</v>
      </c>
      <c r="G1366" s="27"/>
      <c r="H1366" s="16" t="str">
        <f>IF(ISBLANK(PARTIDAS!$G1366),PARTIDAS!$F1366,CONCATENATE(PARTIDAS!$F1366," (",PARTIDAS!$G1366,")"))</f>
        <v>«Ecaussines» y demás piedras calizas de talla o de construcción; alabastro</v>
      </c>
      <c r="I1366" s="16" t="s">
        <v>9427</v>
      </c>
    </row>
    <row r="1367" spans="1:9" x14ac:dyDescent="0.25">
      <c r="A1367" s="16" t="s">
        <v>2339</v>
      </c>
      <c r="B1367" s="16" t="str">
        <f>TEXT(PARTIDA[[#This Row],[PARTIDA]],"0000000000")</f>
        <v>2516110000</v>
      </c>
      <c r="C1367" s="16" t="s">
        <v>860</v>
      </c>
      <c r="D1367" s="16" t="s">
        <v>861</v>
      </c>
      <c r="E1367" s="16" t="s">
        <v>9469</v>
      </c>
      <c r="F1367" s="27" t="s">
        <v>10391</v>
      </c>
      <c r="G1367" s="27"/>
      <c r="H1367" s="16" t="str">
        <f>IF(ISBLANK(PARTIDAS!$G1367),PARTIDAS!$F1367,CONCATENATE(PARTIDAS!$F1367," (",PARTIDAS!$G1367,")"))</f>
        <v>Granito, en bruto o desbastado</v>
      </c>
      <c r="I1367" s="16" t="s">
        <v>9427</v>
      </c>
    </row>
    <row r="1368" spans="1:9" x14ac:dyDescent="0.25">
      <c r="A1368" s="16" t="s">
        <v>2340</v>
      </c>
      <c r="B1368" s="16" t="str">
        <f>TEXT(PARTIDA[[#This Row],[PARTIDA]],"0000000000")</f>
        <v>2516120000</v>
      </c>
      <c r="C1368" s="16" t="s">
        <v>860</v>
      </c>
      <c r="D1368" s="16" t="s">
        <v>861</v>
      </c>
      <c r="E1368" s="16" t="s">
        <v>9469</v>
      </c>
      <c r="F1368" s="27" t="s">
        <v>10392</v>
      </c>
      <c r="G1368" s="27"/>
      <c r="H1368" s="16" t="str">
        <f>IF(ISBLANK(PARTIDAS!$G1368),PARTIDAS!$F1368,CONCATENATE(PARTIDAS!$F1368," (",PARTIDAS!$G1368,")"))</f>
        <v>Granito, simplemente troceado, por aserrado o de otro modo, en bloques o en placas cuadradas o rectangulares</v>
      </c>
      <c r="I1368" s="16" t="s">
        <v>9427</v>
      </c>
    </row>
    <row r="1369" spans="1:9" x14ac:dyDescent="0.25">
      <c r="A1369" s="16" t="s">
        <v>2341</v>
      </c>
      <c r="B1369" s="16" t="str">
        <f>TEXT(PARTIDA[[#This Row],[PARTIDA]],"0000000000")</f>
        <v>2516200000</v>
      </c>
      <c r="C1369" s="16" t="s">
        <v>860</v>
      </c>
      <c r="D1369" s="16" t="s">
        <v>861</v>
      </c>
      <c r="E1369" s="16" t="s">
        <v>9469</v>
      </c>
      <c r="F1369" s="27" t="s">
        <v>10393</v>
      </c>
      <c r="G1369" s="27"/>
      <c r="H1369" s="16" t="str">
        <f>IF(ISBLANK(PARTIDAS!$G1369),PARTIDAS!$F1369,CONCATENATE(PARTIDAS!$F1369," (",PARTIDAS!$G1369,")"))</f>
        <v>Arenisca</v>
      </c>
      <c r="I1369" s="16" t="s">
        <v>9427</v>
      </c>
    </row>
    <row r="1370" spans="1:9" x14ac:dyDescent="0.25">
      <c r="A1370" s="16" t="s">
        <v>2342</v>
      </c>
      <c r="B1370" s="16" t="str">
        <f>TEXT(PARTIDA[[#This Row],[PARTIDA]],"0000000000")</f>
        <v>2516900000</v>
      </c>
      <c r="C1370" s="16" t="s">
        <v>860</v>
      </c>
      <c r="D1370" s="16" t="s">
        <v>861</v>
      </c>
      <c r="E1370" s="16" t="s">
        <v>9469</v>
      </c>
      <c r="F1370" s="27" t="s">
        <v>10394</v>
      </c>
      <c r="G1370" s="27"/>
      <c r="H1370" s="16" t="str">
        <f>IF(ISBLANK(PARTIDAS!$G1370),PARTIDAS!$F1370,CONCATENATE(PARTIDAS!$F1370," (",PARTIDAS!$G1370,")"))</f>
        <v>Granito, pórfido, basalto, arenisca y demás piedras de talla o de… (los demás, piedras de talla o de construcción)</v>
      </c>
      <c r="I1370" s="16" t="s">
        <v>9427</v>
      </c>
    </row>
    <row r="1371" spans="1:9" x14ac:dyDescent="0.25">
      <c r="A1371" s="16" t="s">
        <v>2343</v>
      </c>
      <c r="B1371" s="16" t="str">
        <f>TEXT(PARTIDA[[#This Row],[PARTIDA]],"0000000000")</f>
        <v>2517100000</v>
      </c>
      <c r="C1371" s="16" t="s">
        <v>860</v>
      </c>
      <c r="D1371" s="16" t="s">
        <v>861</v>
      </c>
      <c r="E1371" s="16" t="s">
        <v>9469</v>
      </c>
      <c r="F1371" s="27" t="s">
        <v>10395</v>
      </c>
      <c r="G1371" s="27"/>
      <c r="H1371" s="16" t="str">
        <f>IF(ISBLANK(PARTIDAS!$G1371),PARTIDAS!$F1371,CONCATENATE(PARTIDAS!$F1371," (",PARTIDAS!$G1371,")"))</f>
        <v>Cantos, grava, piedras machacadas, de los tipos generalmente utilizados para hacer hormigón, o para firmes de carreteras, vías férreas u otros balasto</v>
      </c>
      <c r="I1371" s="16" t="s">
        <v>9427</v>
      </c>
    </row>
    <row r="1372" spans="1:9" x14ac:dyDescent="0.25">
      <c r="A1372" s="16" t="s">
        <v>2344</v>
      </c>
      <c r="B1372" s="16" t="str">
        <f>TEXT(PARTIDA[[#This Row],[PARTIDA]],"0000000000")</f>
        <v>2517200000</v>
      </c>
      <c r="C1372" s="16" t="s">
        <v>860</v>
      </c>
      <c r="D1372" s="16" t="s">
        <v>861</v>
      </c>
      <c r="E1372" s="16" t="s">
        <v>9469</v>
      </c>
      <c r="F1372" s="27" t="s">
        <v>10396</v>
      </c>
      <c r="G1372" s="27"/>
      <c r="H1372" s="16" t="str">
        <f>IF(ISBLANK(PARTIDAS!$G1372),PARTIDAS!$F1372,CONCATENATE(PARTIDAS!$F1372," (",PARTIDAS!$G1372,")"))</f>
        <v>Macadán de escorias o de desechos industriales similares, incluso con materiales citados en la subpartida 2517.10</v>
      </c>
      <c r="I1372" s="16" t="s">
        <v>9427</v>
      </c>
    </row>
    <row r="1373" spans="1:9" x14ac:dyDescent="0.25">
      <c r="A1373" s="16" t="s">
        <v>2345</v>
      </c>
      <c r="B1373" s="16" t="str">
        <f>TEXT(PARTIDA[[#This Row],[PARTIDA]],"0000000000")</f>
        <v>2517300000</v>
      </c>
      <c r="C1373" s="16" t="s">
        <v>860</v>
      </c>
      <c r="D1373" s="16" t="s">
        <v>861</v>
      </c>
      <c r="E1373" s="16" t="s">
        <v>9469</v>
      </c>
      <c r="F1373" s="27" t="s">
        <v>10397</v>
      </c>
      <c r="G1373" s="27"/>
      <c r="H1373" s="16" t="str">
        <f>IF(ISBLANK(PARTIDAS!$G1373),PARTIDAS!$F1373,CONCATENATE(PARTIDAS!$F1373," (",PARTIDAS!$G1373,")"))</f>
        <v>Macadán alquitranado</v>
      </c>
      <c r="I1373" s="16" t="s">
        <v>9427</v>
      </c>
    </row>
    <row r="1374" spans="1:9" x14ac:dyDescent="0.25">
      <c r="A1374" s="16" t="s">
        <v>2346</v>
      </c>
      <c r="B1374" s="16" t="str">
        <f>TEXT(PARTIDA[[#This Row],[PARTIDA]],"0000000000")</f>
        <v>2517410000</v>
      </c>
      <c r="C1374" s="16" t="s">
        <v>860</v>
      </c>
      <c r="D1374" s="16" t="s">
        <v>861</v>
      </c>
      <c r="E1374" s="16" t="s">
        <v>9469</v>
      </c>
      <c r="F1374" s="27" t="s">
        <v>10398</v>
      </c>
      <c r="G1374" s="27"/>
      <c r="H1374" s="16" t="str">
        <f>IF(ISBLANK(PARTIDAS!$G1374),PARTIDAS!$F1374,CONCATENATE(PARTIDAS!$F1374," (",PARTIDAS!$G1374,")"))</f>
        <v>Gránulos, tasquiles (fragmentos) y polvo de piedras de las partidas…, de mármol</v>
      </c>
      <c r="I1374" s="16" t="s">
        <v>9427</v>
      </c>
    </row>
    <row r="1375" spans="1:9" x14ac:dyDescent="0.25">
      <c r="A1375" s="16" t="s">
        <v>2347</v>
      </c>
      <c r="B1375" s="16" t="str">
        <f>TEXT(PARTIDA[[#This Row],[PARTIDA]],"0000000000")</f>
        <v>2517490000</v>
      </c>
      <c r="C1375" s="16" t="s">
        <v>860</v>
      </c>
      <c r="D1375" s="16" t="s">
        <v>861</v>
      </c>
      <c r="E1375" s="16" t="s">
        <v>9469</v>
      </c>
      <c r="F1375" s="27" t="s">
        <v>10399</v>
      </c>
      <c r="G1375" s="27"/>
      <c r="H1375" s="16" t="str">
        <f>IF(ISBLANK(PARTIDAS!$G1375),PARTIDAS!$F1375,CONCATENATE(PARTIDAS!$F1375," (",PARTIDAS!$G1375,")"))</f>
        <v>Gránulos, tasquiles (fragmentos) y polvo de piedras de las partidas… (los demás)</v>
      </c>
      <c r="I1375" s="16" t="s">
        <v>9427</v>
      </c>
    </row>
    <row r="1376" spans="1:9" x14ac:dyDescent="0.25">
      <c r="A1376" s="16" t="s">
        <v>2348</v>
      </c>
      <c r="B1376" s="16" t="str">
        <f>TEXT(PARTIDA[[#This Row],[PARTIDA]],"0000000000")</f>
        <v>2518100000</v>
      </c>
      <c r="C1376" s="16" t="s">
        <v>815</v>
      </c>
      <c r="D1376" s="16" t="s">
        <v>835</v>
      </c>
      <c r="E1376" s="16" t="s">
        <v>848</v>
      </c>
      <c r="F1376" s="27" t="s">
        <v>10400</v>
      </c>
      <c r="G1376" s="27"/>
      <c r="H1376" s="16" t="str">
        <f>IF(ISBLANK(PARTIDAS!$G1376),PARTIDAS!$F1376,CONCATENATE(PARTIDAS!$F1376," (",PARTIDAS!$G1376,")"))</f>
        <v>Dolomita sin calcinar ni sinterizar, llamada «cruda»</v>
      </c>
      <c r="I1376" s="16" t="s">
        <v>9427</v>
      </c>
    </row>
    <row r="1377" spans="1:9" x14ac:dyDescent="0.25">
      <c r="A1377" s="16" t="s">
        <v>2349</v>
      </c>
      <c r="B1377" s="16" t="str">
        <f>TEXT(PARTIDA[[#This Row],[PARTIDA]],"0000000000")</f>
        <v>2518200000</v>
      </c>
      <c r="C1377" s="16" t="s">
        <v>815</v>
      </c>
      <c r="D1377" s="16" t="s">
        <v>835</v>
      </c>
      <c r="E1377" s="16" t="s">
        <v>848</v>
      </c>
      <c r="F1377" s="27" t="s">
        <v>10401</v>
      </c>
      <c r="G1377" s="27"/>
      <c r="H1377" s="16" t="str">
        <f>IF(ISBLANK(PARTIDAS!$G1377),PARTIDAS!$F1377,CONCATENATE(PARTIDAS!$F1377," (",PARTIDAS!$G1377,")"))</f>
        <v>Dolomita calcinada o sinterizada</v>
      </c>
      <c r="I1377" s="16" t="s">
        <v>9427</v>
      </c>
    </row>
    <row r="1378" spans="1:9" x14ac:dyDescent="0.25">
      <c r="A1378" s="16" t="s">
        <v>2350</v>
      </c>
      <c r="B1378" s="16" t="str">
        <f>TEXT(PARTIDA[[#This Row],[PARTIDA]],"0000000000")</f>
        <v>2518300000</v>
      </c>
      <c r="C1378" s="16" t="s">
        <v>815</v>
      </c>
      <c r="D1378" s="16" t="s">
        <v>835</v>
      </c>
      <c r="E1378" s="16" t="s">
        <v>848</v>
      </c>
      <c r="F1378" s="27" t="s">
        <v>10402</v>
      </c>
      <c r="G1378" s="27"/>
      <c r="H1378" s="16" t="str">
        <f>IF(ISBLANK(PARTIDAS!$G1378),PARTIDAS!$F1378,CONCATENATE(PARTIDAS!$F1378," (",PARTIDAS!$G1378,")"))</f>
        <v>Aglomerado de dolomita</v>
      </c>
      <c r="I1378" s="16" t="s">
        <v>9648</v>
      </c>
    </row>
    <row r="1379" spans="1:9" x14ac:dyDescent="0.25">
      <c r="A1379" s="16" t="s">
        <v>2351</v>
      </c>
      <c r="B1379" s="16" t="str">
        <f>TEXT(PARTIDA[[#This Row],[PARTIDA]],"0000000000")</f>
        <v>2519100000</v>
      </c>
      <c r="C1379" s="16" t="s">
        <v>815</v>
      </c>
      <c r="D1379" s="16" t="s">
        <v>835</v>
      </c>
      <c r="E1379" s="16" t="s">
        <v>848</v>
      </c>
      <c r="F1379" s="27" t="s">
        <v>10403</v>
      </c>
      <c r="G1379" s="27"/>
      <c r="H1379" s="16" t="str">
        <f>IF(ISBLANK(PARTIDAS!$G1379),PARTIDAS!$F1379,CONCATENATE(PARTIDAS!$F1379," (",PARTIDAS!$G1379,")"))</f>
        <v>Carbonato de magnesio natural (magnesita)</v>
      </c>
      <c r="I1379" s="16" t="s">
        <v>9427</v>
      </c>
    </row>
    <row r="1380" spans="1:9" x14ac:dyDescent="0.25">
      <c r="A1380" s="16" t="s">
        <v>2352</v>
      </c>
      <c r="B1380" s="16" t="str">
        <f>TEXT(PARTIDA[[#This Row],[PARTIDA]],"0000000000")</f>
        <v>2519901000</v>
      </c>
      <c r="C1380" s="16" t="s">
        <v>815</v>
      </c>
      <c r="D1380" s="16" t="s">
        <v>835</v>
      </c>
      <c r="E1380" s="16" t="s">
        <v>848</v>
      </c>
      <c r="F1380" s="27" t="s">
        <v>10404</v>
      </c>
      <c r="G1380" s="27"/>
      <c r="H1380" s="16" t="str">
        <f>IF(ISBLANK(PARTIDAS!$G1380),PARTIDAS!$F1380,CONCATENATE(PARTIDAS!$F1380," (",PARTIDAS!$G1380,")"))</f>
        <v>Magnesia electrofundida</v>
      </c>
      <c r="I1380" s="16" t="s">
        <v>9427</v>
      </c>
    </row>
    <row r="1381" spans="1:9" x14ac:dyDescent="0.25">
      <c r="A1381" s="16" t="s">
        <v>2353</v>
      </c>
      <c r="B1381" s="16" t="str">
        <f>TEXT(PARTIDA[[#This Row],[PARTIDA]],"0000000000")</f>
        <v>2519902000</v>
      </c>
      <c r="C1381" s="16" t="s">
        <v>815</v>
      </c>
      <c r="D1381" s="16" t="s">
        <v>835</v>
      </c>
      <c r="E1381" s="16" t="s">
        <v>848</v>
      </c>
      <c r="F1381" s="27" t="s">
        <v>10405</v>
      </c>
      <c r="G1381" s="27"/>
      <c r="H1381" s="16" t="str">
        <f>IF(ISBLANK(PARTIDAS!$G1381),PARTIDAS!$F1381,CONCATENATE(PARTIDAS!$F1381," (",PARTIDAS!$G1381,")"))</f>
        <v>Óxido de magnesio, incluso químicamente puro</v>
      </c>
      <c r="I1381" s="16" t="s">
        <v>9427</v>
      </c>
    </row>
    <row r="1382" spans="1:9" x14ac:dyDescent="0.25">
      <c r="A1382" s="16" t="s">
        <v>2354</v>
      </c>
      <c r="B1382" s="16" t="str">
        <f>TEXT(PARTIDA[[#This Row],[PARTIDA]],"0000000000")</f>
        <v>2519903000</v>
      </c>
      <c r="C1382" s="16" t="s">
        <v>815</v>
      </c>
      <c r="D1382" s="16" t="s">
        <v>835</v>
      </c>
      <c r="E1382" s="16" t="s">
        <v>848</v>
      </c>
      <c r="F1382" s="27" t="s">
        <v>10406</v>
      </c>
      <c r="G1382" s="27"/>
      <c r="H1382" s="16" t="str">
        <f>IF(ISBLANK(PARTIDAS!$G1382),PARTIDAS!$F1382,CONCATENATE(PARTIDAS!$F1382," (",PARTIDAS!$G1382,")"))</f>
        <v>Magnesia calcinada a muerte (sinterizada), incluso con pequeñas cantidades de otros óxidos añadidos antes de la sinterización</v>
      </c>
      <c r="I1382" s="16" t="s">
        <v>9427</v>
      </c>
    </row>
    <row r="1383" spans="1:9" x14ac:dyDescent="0.25">
      <c r="A1383" s="16" t="s">
        <v>2355</v>
      </c>
      <c r="B1383" s="16" t="str">
        <f>TEXT(PARTIDA[[#This Row],[PARTIDA]],"0000000000")</f>
        <v>2520100000</v>
      </c>
      <c r="C1383" s="16" t="s">
        <v>860</v>
      </c>
      <c r="D1383" s="16" t="s">
        <v>861</v>
      </c>
      <c r="E1383" s="16" t="s">
        <v>9471</v>
      </c>
      <c r="F1383" s="27" t="s">
        <v>2356</v>
      </c>
      <c r="G1383" s="27"/>
      <c r="H1383" s="16" t="str">
        <f>IF(ISBLANK(PARTIDAS!$G1383),PARTIDAS!$F1383,CONCATENATE(PARTIDAS!$F1383," (",PARTIDAS!$G1383,")"))</f>
        <v>Yeso natural</v>
      </c>
      <c r="I1383" s="16" t="s">
        <v>9427</v>
      </c>
    </row>
    <row r="1384" spans="1:9" x14ac:dyDescent="0.25">
      <c r="A1384" s="16" t="s">
        <v>2357</v>
      </c>
      <c r="B1384" s="16" t="str">
        <f>TEXT(PARTIDA[[#This Row],[PARTIDA]],"0000000000")</f>
        <v>2520200000</v>
      </c>
      <c r="C1384" s="16" t="s">
        <v>860</v>
      </c>
      <c r="D1384" s="16" t="s">
        <v>861</v>
      </c>
      <c r="E1384" s="16" t="s">
        <v>9471</v>
      </c>
      <c r="F1384" s="27" t="s">
        <v>10407</v>
      </c>
      <c r="G1384" s="27"/>
      <c r="H1384" s="16" t="str">
        <f>IF(ISBLANK(PARTIDAS!$G1384),PARTIDAS!$F1384,CONCATENATE(PARTIDAS!$F1384," (",PARTIDAS!$G1384,")"))</f>
        <v>Yeso fraguable</v>
      </c>
      <c r="I1384" s="16" t="s">
        <v>9427</v>
      </c>
    </row>
    <row r="1385" spans="1:9" x14ac:dyDescent="0.25">
      <c r="A1385" s="16" t="s">
        <v>2358</v>
      </c>
      <c r="B1385" s="16" t="str">
        <f>TEXT(PARTIDA[[#This Row],[PARTIDA]],"0000000000")</f>
        <v>2521000000</v>
      </c>
      <c r="C1385" s="16" t="s">
        <v>815</v>
      </c>
      <c r="D1385" s="16" t="s">
        <v>835</v>
      </c>
      <c r="E1385" s="16" t="s">
        <v>848</v>
      </c>
      <c r="F1385" s="27" t="s">
        <v>2359</v>
      </c>
      <c r="G1385" s="27"/>
      <c r="H1385" s="16" t="str">
        <f>IF(ISBLANK(PARTIDAS!$G1385),PARTIDAS!$F1385,CONCATENATE(PARTIDAS!$F1385," (",PARTIDAS!$G1385,")"))</f>
        <v>Castinas; piedras para la fabricación de cal o de
cemento.</v>
      </c>
      <c r="I1385" s="16" t="s">
        <v>9427</v>
      </c>
    </row>
    <row r="1386" spans="1:9" x14ac:dyDescent="0.25">
      <c r="A1386" s="16" t="s">
        <v>2360</v>
      </c>
      <c r="B1386" s="16" t="str">
        <f>TEXT(PARTIDA[[#This Row],[PARTIDA]],"0000000000")</f>
        <v>2522100000</v>
      </c>
      <c r="C1386" s="16" t="s">
        <v>860</v>
      </c>
      <c r="D1386" s="16" t="s">
        <v>861</v>
      </c>
      <c r="E1386" s="16" t="s">
        <v>9471</v>
      </c>
      <c r="F1386" s="27" t="s">
        <v>10408</v>
      </c>
      <c r="G1386" s="27"/>
      <c r="H1386" s="16" t="str">
        <f>IF(ISBLANK(PARTIDAS!$G1386),PARTIDAS!$F1386,CONCATENATE(PARTIDAS!$F1386," (",PARTIDAS!$G1386,")"))</f>
        <v>Cal viva</v>
      </c>
      <c r="I1386" s="16" t="s">
        <v>9427</v>
      </c>
    </row>
    <row r="1387" spans="1:9" x14ac:dyDescent="0.25">
      <c r="A1387" s="16" t="s">
        <v>2361</v>
      </c>
      <c r="B1387" s="16" t="str">
        <f>TEXT(PARTIDA[[#This Row],[PARTIDA]],"0000000000")</f>
        <v>2522200000</v>
      </c>
      <c r="C1387" s="16" t="s">
        <v>860</v>
      </c>
      <c r="D1387" s="16" t="s">
        <v>861</v>
      </c>
      <c r="E1387" s="16" t="s">
        <v>9471</v>
      </c>
      <c r="F1387" s="27" t="s">
        <v>10409</v>
      </c>
      <c r="G1387" s="27"/>
      <c r="H1387" s="16" t="str">
        <f>IF(ISBLANK(PARTIDAS!$G1387),PARTIDAS!$F1387,CONCATENATE(PARTIDAS!$F1387," (",PARTIDAS!$G1387,")"))</f>
        <v>Cal apagada</v>
      </c>
      <c r="I1387" s="16" t="s">
        <v>9427</v>
      </c>
    </row>
    <row r="1388" spans="1:9" x14ac:dyDescent="0.25">
      <c r="A1388" s="16" t="s">
        <v>2362</v>
      </c>
      <c r="B1388" s="16" t="str">
        <f>TEXT(PARTIDA[[#This Row],[PARTIDA]],"0000000000")</f>
        <v>2522300000</v>
      </c>
      <c r="C1388" s="16" t="s">
        <v>860</v>
      </c>
      <c r="D1388" s="16" t="s">
        <v>861</v>
      </c>
      <c r="E1388" s="16" t="s">
        <v>9471</v>
      </c>
      <c r="F1388" s="27" t="s">
        <v>10410</v>
      </c>
      <c r="G1388" s="27"/>
      <c r="H1388" s="16" t="str">
        <f>IF(ISBLANK(PARTIDAS!$G1388),PARTIDAS!$F1388,CONCATENATE(PARTIDAS!$F1388," (",PARTIDAS!$G1388,")"))</f>
        <v>Cal hidráulica</v>
      </c>
      <c r="I1388" s="16" t="s">
        <v>9427</v>
      </c>
    </row>
    <row r="1389" spans="1:9" x14ac:dyDescent="0.25">
      <c r="A1389" s="16" t="s">
        <v>2363</v>
      </c>
      <c r="B1389" s="16" t="str">
        <f>TEXT(PARTIDA[[#This Row],[PARTIDA]],"0000000000")</f>
        <v>2523100000</v>
      </c>
      <c r="C1389" s="16" t="s">
        <v>860</v>
      </c>
      <c r="D1389" s="16" t="s">
        <v>861</v>
      </c>
      <c r="E1389" s="16" t="s">
        <v>9471</v>
      </c>
      <c r="F1389" s="27" t="s">
        <v>10411</v>
      </c>
      <c r="G1389" s="27"/>
      <c r="H1389" s="16" t="str">
        <f>IF(ISBLANK(PARTIDAS!$G1389),PARTIDAS!$F1389,CONCATENATE(PARTIDAS!$F1389," (",PARTIDAS!$G1389,")"))</f>
        <v>Cementos sin pulverizar o clínker</v>
      </c>
      <c r="I1389" s="16" t="s">
        <v>9427</v>
      </c>
    </row>
    <row r="1390" spans="1:9" x14ac:dyDescent="0.25">
      <c r="A1390" s="16" t="s">
        <v>2364</v>
      </c>
      <c r="B1390" s="16" t="str">
        <f>TEXT(PARTIDA[[#This Row],[PARTIDA]],"0000000000")</f>
        <v>2523210000</v>
      </c>
      <c r="C1390" s="16" t="s">
        <v>860</v>
      </c>
      <c r="D1390" s="16" t="s">
        <v>861</v>
      </c>
      <c r="E1390" s="16" t="s">
        <v>9471</v>
      </c>
      <c r="F1390" s="27" t="s">
        <v>10412</v>
      </c>
      <c r="G1390" s="27"/>
      <c r="H1390" s="16" t="str">
        <f>IF(ISBLANK(PARTIDAS!$G1390),PARTIDAS!$F1390,CONCATENATE(PARTIDAS!$F1390," (",PARTIDAS!$G1390,")"))</f>
        <v>Cemento blanco, incluso coloreado artificialmente</v>
      </c>
      <c r="I1390" s="16" t="s">
        <v>9427</v>
      </c>
    </row>
    <row r="1391" spans="1:9" x14ac:dyDescent="0.25">
      <c r="A1391" s="16" t="s">
        <v>2365</v>
      </c>
      <c r="B1391" s="16" t="str">
        <f>TEXT(PARTIDA[[#This Row],[PARTIDA]],"0000000000")</f>
        <v>2523290000</v>
      </c>
      <c r="C1391" s="16" t="s">
        <v>860</v>
      </c>
      <c r="D1391" s="16" t="s">
        <v>861</v>
      </c>
      <c r="E1391" s="16" t="s">
        <v>9471</v>
      </c>
      <c r="F1391" s="27" t="s">
        <v>2366</v>
      </c>
      <c r="G1391" s="27" t="s">
        <v>1472</v>
      </c>
      <c r="H1391" s="16" t="str">
        <f>IF(ISBLANK(PARTIDAS!$G1391),PARTIDAS!$F1391,CONCATENATE(PARTIDAS!$F1391," (",PARTIDAS!$G1391,")"))</f>
        <v>Cemento Portland (Verificar)</v>
      </c>
      <c r="I1391" s="16" t="s">
        <v>9427</v>
      </c>
    </row>
    <row r="1392" spans="1:9" x14ac:dyDescent="0.25">
      <c r="A1392" s="16" t="s">
        <v>2367</v>
      </c>
      <c r="B1392" s="16" t="str">
        <f>TEXT(PARTIDA[[#This Row],[PARTIDA]],"0000000000")</f>
        <v>2523300000</v>
      </c>
      <c r="C1392" s="16" t="s">
        <v>860</v>
      </c>
      <c r="D1392" s="16" t="s">
        <v>861</v>
      </c>
      <c r="E1392" s="16" t="s">
        <v>9471</v>
      </c>
      <c r="F1392" s="27" t="s">
        <v>10413</v>
      </c>
      <c r="G1392" s="27"/>
      <c r="H1392" s="16" t="str">
        <f>IF(ISBLANK(PARTIDAS!$G1392),PARTIDAS!$F1392,CONCATENATE(PARTIDAS!$F1392," (",PARTIDAS!$G1392,")"))</f>
        <v>Cementos aluminosos</v>
      </c>
      <c r="I1392" s="16" t="s">
        <v>9427</v>
      </c>
    </row>
    <row r="1393" spans="1:9" x14ac:dyDescent="0.25">
      <c r="A1393" s="16" t="s">
        <v>2368</v>
      </c>
      <c r="B1393" s="16" t="str">
        <f>TEXT(PARTIDA[[#This Row],[PARTIDA]],"0000000000")</f>
        <v>2523900000</v>
      </c>
      <c r="C1393" s="16" t="s">
        <v>860</v>
      </c>
      <c r="D1393" s="16" t="s">
        <v>861</v>
      </c>
      <c r="E1393" s="16" t="s">
        <v>9471</v>
      </c>
      <c r="F1393" s="27" t="s">
        <v>10414</v>
      </c>
      <c r="G1393" s="27"/>
      <c r="H1393" s="16" t="str">
        <f>IF(ISBLANK(PARTIDAS!$G1393),PARTIDAS!$F1393,CONCATENATE(PARTIDAS!$F1393," (",PARTIDAS!$G1393,")"))</f>
        <v>Cementos hidráulicos (comprendidos los cementos sin pulverizar o… (los demás, cementos hidráulicos)</v>
      </c>
      <c r="I1393" s="16" t="s">
        <v>9427</v>
      </c>
    </row>
    <row r="1394" spans="1:9" x14ac:dyDescent="0.25">
      <c r="A1394" s="16" t="s">
        <v>2369</v>
      </c>
      <c r="B1394" s="16" t="str">
        <f>TEXT(PARTIDA[[#This Row],[PARTIDA]],"0000000000")</f>
        <v>2524101000</v>
      </c>
      <c r="C1394" s="16" t="s">
        <v>815</v>
      </c>
      <c r="D1394" s="16" t="s">
        <v>835</v>
      </c>
      <c r="E1394" s="16" t="s">
        <v>848</v>
      </c>
      <c r="F1394" s="27" t="s">
        <v>10415</v>
      </c>
      <c r="G1394" s="27"/>
      <c r="H1394" s="16" t="str">
        <f>IF(ISBLANK(PARTIDAS!$G1394),PARTIDAS!$F1394,CONCATENATE(PARTIDAS!$F1394," (",PARTIDAS!$G1394,")"))</f>
        <v>Crocidolita, fibras</v>
      </c>
      <c r="I1394" s="16" t="s">
        <v>9427</v>
      </c>
    </row>
    <row r="1395" spans="1:9" x14ac:dyDescent="0.25">
      <c r="A1395" s="16" t="s">
        <v>2370</v>
      </c>
      <c r="B1395" s="16" t="str">
        <f>TEXT(PARTIDA[[#This Row],[PARTIDA]],"0000000000")</f>
        <v>2524109000</v>
      </c>
      <c r="C1395" s="16" t="s">
        <v>815</v>
      </c>
      <c r="D1395" s="16" t="s">
        <v>835</v>
      </c>
      <c r="E1395" s="16" t="s">
        <v>848</v>
      </c>
      <c r="F1395" s="27" t="s">
        <v>10416</v>
      </c>
      <c r="G1395" s="27"/>
      <c r="H1395" s="16" t="str">
        <f>IF(ISBLANK(PARTIDAS!$G1395),PARTIDAS!$F1395,CONCATENATE(PARTIDAS!$F1395," (",PARTIDAS!$G1395,")"))</f>
        <v>Crocidolita (los demás)</v>
      </c>
      <c r="I1395" s="16" t="s">
        <v>9427</v>
      </c>
    </row>
    <row r="1396" spans="1:9" x14ac:dyDescent="0.25">
      <c r="A1396" s="16" t="s">
        <v>2371</v>
      </c>
      <c r="B1396" s="16" t="str">
        <f>TEXT(PARTIDA[[#This Row],[PARTIDA]],"0000000000")</f>
        <v>2524900000</v>
      </c>
      <c r="C1396" s="16" t="s">
        <v>815</v>
      </c>
      <c r="D1396" s="16" t="s">
        <v>835</v>
      </c>
      <c r="E1396" s="16" t="s">
        <v>848</v>
      </c>
      <c r="F1396" s="27" t="s">
        <v>10417</v>
      </c>
      <c r="G1396" s="27"/>
      <c r="H1396" s="16" t="str">
        <f>IF(ISBLANK(PARTIDAS!$G1396),PARTIDAS!$F1396,CONCATENATE(PARTIDAS!$F1396," (",PARTIDAS!$G1396,")"))</f>
        <v>Amianto (asbesto) (los demás)</v>
      </c>
      <c r="I1396" s="16" t="s">
        <v>9427</v>
      </c>
    </row>
    <row r="1397" spans="1:9" x14ac:dyDescent="0.25">
      <c r="A1397" s="16" t="s">
        <v>2372</v>
      </c>
      <c r="B1397" s="16" t="str">
        <f>TEXT(PARTIDA[[#This Row],[PARTIDA]],"0000000000")</f>
        <v>2525100000</v>
      </c>
      <c r="C1397" s="16" t="s">
        <v>815</v>
      </c>
      <c r="D1397" s="16" t="s">
        <v>835</v>
      </c>
      <c r="E1397" s="16" t="s">
        <v>848</v>
      </c>
      <c r="F1397" s="27" t="s">
        <v>10418</v>
      </c>
      <c r="G1397" s="27"/>
      <c r="H1397" s="16" t="str">
        <f>IF(ISBLANK(PARTIDAS!$G1397),PARTIDAS!$F1397,CONCATENATE(PARTIDAS!$F1397," (",PARTIDAS!$G1397,")"))</f>
        <v>Mica en bruto o exfoliada en hojas o en laminillas irregulares («splittings»)</v>
      </c>
      <c r="I1397" s="16" t="s">
        <v>9427</v>
      </c>
    </row>
    <row r="1398" spans="1:9" x14ac:dyDescent="0.25">
      <c r="A1398" s="16" t="s">
        <v>2373</v>
      </c>
      <c r="B1398" s="16" t="str">
        <f>TEXT(PARTIDA[[#This Row],[PARTIDA]],"0000000000")</f>
        <v>2525200000</v>
      </c>
      <c r="C1398" s="16" t="s">
        <v>815</v>
      </c>
      <c r="D1398" s="16" t="s">
        <v>835</v>
      </c>
      <c r="E1398" s="16" t="s">
        <v>848</v>
      </c>
      <c r="F1398" s="27" t="s">
        <v>10419</v>
      </c>
      <c r="G1398" s="27"/>
      <c r="H1398" s="16" t="str">
        <f>IF(ISBLANK(PARTIDAS!$G1398),PARTIDAS!$F1398,CONCATENATE(PARTIDAS!$F1398," (",PARTIDAS!$G1398,")"))</f>
        <v>Mica en polvo</v>
      </c>
      <c r="I1398" s="16" t="s">
        <v>9427</v>
      </c>
    </row>
    <row r="1399" spans="1:9" x14ac:dyDescent="0.25">
      <c r="A1399" s="16" t="s">
        <v>2374</v>
      </c>
      <c r="B1399" s="16" t="str">
        <f>TEXT(PARTIDA[[#This Row],[PARTIDA]],"0000000000")</f>
        <v>2525300000</v>
      </c>
      <c r="C1399" s="16" t="s">
        <v>815</v>
      </c>
      <c r="D1399" s="16" t="s">
        <v>835</v>
      </c>
      <c r="E1399" s="16" t="s">
        <v>848</v>
      </c>
      <c r="F1399" s="27" t="s">
        <v>10420</v>
      </c>
      <c r="G1399" s="27"/>
      <c r="H1399" s="16" t="str">
        <f>IF(ISBLANK(PARTIDAS!$G1399),PARTIDAS!$F1399,CONCATENATE(PARTIDAS!$F1399," (",PARTIDAS!$G1399,")"))</f>
        <v>Desperdicios de mica</v>
      </c>
      <c r="I1399" s="16" t="s">
        <v>9427</v>
      </c>
    </row>
    <row r="1400" spans="1:9" x14ac:dyDescent="0.25">
      <c r="A1400" s="16" t="s">
        <v>2375</v>
      </c>
      <c r="B1400" s="16" t="str">
        <f>TEXT(PARTIDA[[#This Row],[PARTIDA]],"0000000000")</f>
        <v>2526100000</v>
      </c>
      <c r="C1400" s="16" t="s">
        <v>815</v>
      </c>
      <c r="D1400" s="16" t="s">
        <v>835</v>
      </c>
      <c r="E1400" s="16" t="s">
        <v>848</v>
      </c>
      <c r="F1400" s="27" t="s">
        <v>10421</v>
      </c>
      <c r="G1400" s="27"/>
      <c r="H1400" s="16" t="str">
        <f>IF(ISBLANK(PARTIDAS!$G1400),PARTIDAS!$F1400,CONCATENATE(PARTIDAS!$F1400," (",PARTIDAS!$G1400,")"))</f>
        <v>Esteatita natural, incluso desbastada o simplemente troceada, por…, sin triturar ni pulverizar</v>
      </c>
      <c r="I1400" s="16" t="s">
        <v>9427</v>
      </c>
    </row>
    <row r="1401" spans="1:9" x14ac:dyDescent="0.25">
      <c r="A1401" s="16" t="s">
        <v>2376</v>
      </c>
      <c r="B1401" s="16" t="str">
        <f>TEXT(PARTIDA[[#This Row],[PARTIDA]],"0000000000")</f>
        <v>2526200000</v>
      </c>
      <c r="C1401" s="16" t="s">
        <v>815</v>
      </c>
      <c r="D1401" s="16" t="s">
        <v>835</v>
      </c>
      <c r="E1401" s="16" t="s">
        <v>848</v>
      </c>
      <c r="F1401" s="27" t="s">
        <v>9936</v>
      </c>
      <c r="G1401" s="27"/>
      <c r="H1401" s="16" t="str">
        <f>IF(ISBLANK(PARTIDAS!$G1401),PARTIDAS!$F1401,CONCATENATE(PARTIDAS!$F1401," (",PARTIDAS!$G1401,")"))</f>
        <v>Triturados o pulverizados</v>
      </c>
      <c r="I1401" s="16" t="s">
        <v>9427</v>
      </c>
    </row>
    <row r="1402" spans="1:9" x14ac:dyDescent="0.25">
      <c r="A1402" s="16" t="s">
        <v>2377</v>
      </c>
      <c r="B1402" s="16" t="str">
        <f>TEXT(PARTIDA[[#This Row],[PARTIDA]],"0000000000")</f>
        <v>2528001000</v>
      </c>
      <c r="C1402" s="16" t="s">
        <v>815</v>
      </c>
      <c r="D1402" s="16" t="s">
        <v>835</v>
      </c>
      <c r="E1402" s="16" t="s">
        <v>848</v>
      </c>
      <c r="F1402" s="27" t="s">
        <v>9166</v>
      </c>
      <c r="G1402" s="27"/>
      <c r="H1402" s="16" t="str">
        <f>IF(ISBLANK(PARTIDAS!$G1402),PARTIDAS!$F1402,CONCATENATE(PARTIDAS!$F1402," (",PARTIDAS!$G1402,")"))</f>
        <v>Boratos de sodio naturales y sus concentrados (incluso calcinados)</v>
      </c>
      <c r="I1402" s="16" t="s">
        <v>9477</v>
      </c>
    </row>
    <row r="1403" spans="1:9" x14ac:dyDescent="0.25">
      <c r="A1403" s="16" t="s">
        <v>2378</v>
      </c>
      <c r="B1403" s="16" t="str">
        <f>TEXT(PARTIDA[[#This Row],[PARTIDA]],"0000000000")</f>
        <v>2528009000</v>
      </c>
      <c r="C1403" s="16" t="s">
        <v>815</v>
      </c>
      <c r="D1403" s="16" t="s">
        <v>835</v>
      </c>
      <c r="E1403" s="16" t="s">
        <v>848</v>
      </c>
      <c r="F1403" s="27" t="s">
        <v>10422</v>
      </c>
      <c r="G1403" s="27"/>
      <c r="H1403" s="16" t="str">
        <f>IF(ISBLANK(PARTIDAS!$G1403),PARTIDAS!$F1403,CONCATENATE(PARTIDAS!$F1403," (",PARTIDAS!$G1403,")"))</f>
        <v>Esteatita natural, incluso desbastada o simplemente troceada, por… (los demás)</v>
      </c>
      <c r="I1403" s="16" t="s">
        <v>9427</v>
      </c>
    </row>
    <row r="1404" spans="1:9" x14ac:dyDescent="0.25">
      <c r="A1404" s="16" t="s">
        <v>2379</v>
      </c>
      <c r="B1404" s="16" t="str">
        <f>TEXT(PARTIDA[[#This Row],[PARTIDA]],"0000000000")</f>
        <v>2529100000</v>
      </c>
      <c r="C1404" s="16" t="s">
        <v>815</v>
      </c>
      <c r="D1404" s="16" t="s">
        <v>835</v>
      </c>
      <c r="E1404" s="16" t="s">
        <v>848</v>
      </c>
      <c r="F1404" s="27" t="s">
        <v>10423</v>
      </c>
      <c r="G1404" s="27"/>
      <c r="H1404" s="16" t="str">
        <f>IF(ISBLANK(PARTIDAS!$G1404),PARTIDAS!$F1404,CONCATENATE(PARTIDAS!$F1404," (",PARTIDAS!$G1404,")"))</f>
        <v>Feldespato</v>
      </c>
      <c r="I1404" s="16" t="s">
        <v>9427</v>
      </c>
    </row>
    <row r="1405" spans="1:9" x14ac:dyDescent="0.25">
      <c r="A1405" s="16" t="s">
        <v>2380</v>
      </c>
      <c r="B1405" s="16" t="str">
        <f>TEXT(PARTIDA[[#This Row],[PARTIDA]],"0000000000")</f>
        <v>2529210000</v>
      </c>
      <c r="C1405" s="16" t="s">
        <v>815</v>
      </c>
      <c r="D1405" s="16" t="s">
        <v>835</v>
      </c>
      <c r="E1405" s="16" t="s">
        <v>848</v>
      </c>
      <c r="F1405" s="27" t="s">
        <v>10424</v>
      </c>
      <c r="G1405" s="27"/>
      <c r="H1405" s="16" t="str">
        <f>IF(ISBLANK(PARTIDAS!$G1405),PARTIDAS!$F1405,CONCATENATE(PARTIDAS!$F1405," (",PARTIDAS!$G1405,")"))</f>
        <v>Espato flúor, con un contenido de fluoruro de calcio inferior o igual al 97 % en peso</v>
      </c>
      <c r="I1405" s="16" t="s">
        <v>9427</v>
      </c>
    </row>
    <row r="1406" spans="1:9" x14ac:dyDescent="0.25">
      <c r="A1406" s="16" t="s">
        <v>2381</v>
      </c>
      <c r="B1406" s="16" t="str">
        <f>TEXT(PARTIDA[[#This Row],[PARTIDA]],"0000000000")</f>
        <v>2529220000</v>
      </c>
      <c r="C1406" s="16" t="s">
        <v>815</v>
      </c>
      <c r="D1406" s="16" t="s">
        <v>835</v>
      </c>
      <c r="E1406" s="16" t="s">
        <v>848</v>
      </c>
      <c r="F1406" s="27" t="s">
        <v>10425</v>
      </c>
      <c r="G1406" s="27"/>
      <c r="H1406" s="16" t="str">
        <f>IF(ISBLANK(PARTIDAS!$G1406),PARTIDAS!$F1406,CONCATENATE(PARTIDAS!$F1406," (",PARTIDAS!$G1406,")"))</f>
        <v>Espato flúor, con un contenido de fluoruro de calcio superior al 97 % en peso</v>
      </c>
      <c r="I1406" s="16" t="s">
        <v>9427</v>
      </c>
    </row>
    <row r="1407" spans="1:9" x14ac:dyDescent="0.25">
      <c r="A1407" s="16" t="s">
        <v>2382</v>
      </c>
      <c r="B1407" s="16" t="str">
        <f>TEXT(PARTIDA[[#This Row],[PARTIDA]],"0000000000")</f>
        <v>2529300000</v>
      </c>
      <c r="C1407" s="16" t="s">
        <v>815</v>
      </c>
      <c r="D1407" s="16" t="s">
        <v>835</v>
      </c>
      <c r="E1407" s="16" t="s">
        <v>848</v>
      </c>
      <c r="F1407" s="27" t="s">
        <v>10426</v>
      </c>
      <c r="G1407" s="27"/>
      <c r="H1407" s="16" t="str">
        <f>IF(ISBLANK(PARTIDAS!$G1407),PARTIDAS!$F1407,CONCATENATE(PARTIDAS!$F1407," (",PARTIDAS!$G1407,")"))</f>
        <v>Leucita; nefelina y nefelina sienita</v>
      </c>
      <c r="I1407" s="16" t="s">
        <v>9427</v>
      </c>
    </row>
    <row r="1408" spans="1:9" x14ac:dyDescent="0.25">
      <c r="A1408" s="16" t="s">
        <v>2383</v>
      </c>
      <c r="B1408" s="16" t="str">
        <f>TEXT(PARTIDA[[#This Row],[PARTIDA]],"0000000000")</f>
        <v>2530100000</v>
      </c>
      <c r="C1408" s="16" t="s">
        <v>815</v>
      </c>
      <c r="D1408" s="16" t="s">
        <v>835</v>
      </c>
      <c r="E1408" s="16" t="s">
        <v>848</v>
      </c>
      <c r="F1408" s="27" t="s">
        <v>10427</v>
      </c>
      <c r="G1408" s="27"/>
      <c r="H1408" s="16" t="str">
        <f>IF(ISBLANK(PARTIDAS!$G1408),PARTIDAS!$F1408,CONCATENATE(PARTIDAS!$F1408," (",PARTIDAS!$G1408,")"))</f>
        <v>Vermiculita, perlita y cloritas, sin dilatar</v>
      </c>
      <c r="I1408" s="16" t="s">
        <v>9427</v>
      </c>
    </row>
    <row r="1409" spans="1:9" x14ac:dyDescent="0.25">
      <c r="A1409" s="16" t="s">
        <v>2384</v>
      </c>
      <c r="B1409" s="16" t="str">
        <f>TEXT(PARTIDA[[#This Row],[PARTIDA]],"0000000000")</f>
        <v>2530200000</v>
      </c>
      <c r="C1409" s="16" t="s">
        <v>815</v>
      </c>
      <c r="D1409" s="16" t="s">
        <v>835</v>
      </c>
      <c r="E1409" s="16" t="s">
        <v>848</v>
      </c>
      <c r="F1409" s="27" t="s">
        <v>10428</v>
      </c>
      <c r="G1409" s="27"/>
      <c r="H1409" s="16" t="str">
        <f>IF(ISBLANK(PARTIDAS!$G1409),PARTIDAS!$F1409,CONCATENATE(PARTIDAS!$F1409," (",PARTIDAS!$G1409,")"))</f>
        <v>Kieserita, epsomita (sulfatos de magnesio naturales)</v>
      </c>
      <c r="I1409" s="16" t="s">
        <v>9427</v>
      </c>
    </row>
    <row r="1410" spans="1:9" x14ac:dyDescent="0.25">
      <c r="A1410" s="16" t="s">
        <v>2385</v>
      </c>
      <c r="B1410" s="16" t="str">
        <f>TEXT(PARTIDA[[#This Row],[PARTIDA]],"0000000000")</f>
        <v>2530900010</v>
      </c>
      <c r="C1410" s="16" t="s">
        <v>815</v>
      </c>
      <c r="D1410" s="16" t="s">
        <v>835</v>
      </c>
      <c r="E1410" s="16" t="s">
        <v>848</v>
      </c>
      <c r="F1410" s="27" t="s">
        <v>10429</v>
      </c>
      <c r="G1410" s="27"/>
      <c r="H1410" s="16" t="str">
        <f>IF(ISBLANK(PARTIDAS!$G1410),PARTIDAS!$F1410,CONCATENATE(PARTIDAS!$F1410," (",PARTIDAS!$G1410,")"))</f>
        <v>Criolita natural, quiolita natural</v>
      </c>
      <c r="I1410" s="16" t="s">
        <v>9427</v>
      </c>
    </row>
    <row r="1411" spans="1:9" x14ac:dyDescent="0.25">
      <c r="A1411" s="16" t="s">
        <v>2386</v>
      </c>
      <c r="B1411" s="16" t="str">
        <f>TEXT(PARTIDA[[#This Row],[PARTIDA]],"0000000000")</f>
        <v>2530900020</v>
      </c>
      <c r="C1411" s="16" t="s">
        <v>815</v>
      </c>
      <c r="D1411" s="16" t="s">
        <v>835</v>
      </c>
      <c r="E1411" s="16" t="s">
        <v>848</v>
      </c>
      <c r="F1411" s="27" t="s">
        <v>10430</v>
      </c>
      <c r="G1411" s="27"/>
      <c r="H1411" s="16" t="str">
        <f>IF(ISBLANK(PARTIDAS!$G1411),PARTIDAS!$F1411,CONCATENATE(PARTIDAS!$F1411," (",PARTIDAS!$G1411,")"))</f>
        <v>Óxidos de hierro micáceos naturales</v>
      </c>
      <c r="I1411" s="16" t="s">
        <v>9427</v>
      </c>
    </row>
    <row r="1412" spans="1:9" x14ac:dyDescent="0.25">
      <c r="A1412" s="16" t="s">
        <v>2387</v>
      </c>
      <c r="B1412" s="16" t="str">
        <f>TEXT(PARTIDA[[#This Row],[PARTIDA]],"0000000000")</f>
        <v>2530900090</v>
      </c>
      <c r="C1412" s="16" t="s">
        <v>815</v>
      </c>
      <c r="D1412" s="16" t="s">
        <v>835</v>
      </c>
      <c r="E1412" s="16" t="s">
        <v>848</v>
      </c>
      <c r="F1412" s="27" t="s">
        <v>10431</v>
      </c>
      <c r="G1412" s="27"/>
      <c r="H1412" s="16" t="str">
        <f>IF(ISBLANK(PARTIDAS!$G1412),PARTIDAS!$F1412,CONCATENATE(PARTIDAS!$F1412," (",PARTIDAS!$G1412,")"))</f>
        <v>Materias minerales no expresadas ni comprendidas en otra parte (los demás)</v>
      </c>
      <c r="I1412" s="16" t="s">
        <v>9427</v>
      </c>
    </row>
    <row r="1413" spans="1:9" x14ac:dyDescent="0.25">
      <c r="A1413" s="16" t="s">
        <v>2388</v>
      </c>
      <c r="B1413" s="16" t="str">
        <f>TEXT(PARTIDA[[#This Row],[PARTIDA]],"0000000000")</f>
        <v>2601110000</v>
      </c>
      <c r="C1413" s="16" t="s">
        <v>815</v>
      </c>
      <c r="D1413" s="16" t="s">
        <v>835</v>
      </c>
      <c r="E1413" s="16" t="s">
        <v>848</v>
      </c>
      <c r="F1413" s="27" t="s">
        <v>10432</v>
      </c>
      <c r="G1413" s="27"/>
      <c r="H1413" s="16" t="str">
        <f>IF(ISBLANK(PARTIDAS!$G1413),PARTIDAS!$F1413,CONCATENATE(PARTIDAS!$F1413," (",PARTIDAS!$G1413,")"))</f>
        <v>Minerales de hierro y sus concentrados, sin aglomerar</v>
      </c>
      <c r="I1413" s="16" t="s">
        <v>9427</v>
      </c>
    </row>
    <row r="1414" spans="1:9" x14ac:dyDescent="0.25">
      <c r="A1414" s="16" t="s">
        <v>2389</v>
      </c>
      <c r="B1414" s="16" t="str">
        <f>TEXT(PARTIDA[[#This Row],[PARTIDA]],"0000000000")</f>
        <v>2601120000</v>
      </c>
      <c r="C1414" s="16" t="s">
        <v>815</v>
      </c>
      <c r="D1414" s="16" t="s">
        <v>835</v>
      </c>
      <c r="E1414" s="16" t="s">
        <v>848</v>
      </c>
      <c r="F1414" s="27" t="s">
        <v>10433</v>
      </c>
      <c r="G1414" s="27"/>
      <c r="H1414" s="16" t="str">
        <f>IF(ISBLANK(PARTIDAS!$G1414),PARTIDAS!$F1414,CONCATENATE(PARTIDAS!$F1414," (",PARTIDAS!$G1414,")"))</f>
        <v>Minerales de hierro y sus concentrados, aglomerados</v>
      </c>
      <c r="I1414" s="16" t="s">
        <v>9427</v>
      </c>
    </row>
    <row r="1415" spans="1:9" x14ac:dyDescent="0.25">
      <c r="A1415" s="16" t="s">
        <v>2390</v>
      </c>
      <c r="B1415" s="16" t="str">
        <f>TEXT(PARTIDA[[#This Row],[PARTIDA]],"0000000000")</f>
        <v>2601200000</v>
      </c>
      <c r="C1415" s="16" t="s">
        <v>815</v>
      </c>
      <c r="D1415" s="16" t="s">
        <v>835</v>
      </c>
      <c r="E1415" s="16" t="s">
        <v>848</v>
      </c>
      <c r="F1415" s="27" t="s">
        <v>10434</v>
      </c>
      <c r="G1415" s="27"/>
      <c r="H1415" s="16" t="str">
        <f>IF(ISBLANK(PARTIDAS!$G1415),PARTIDAS!$F1415,CONCATENATE(PARTIDAS!$F1415," (",PARTIDAS!$G1415,")"))</f>
        <v>Piritas de hierro tostadas (cenizas de piritas)</v>
      </c>
      <c r="I1415" s="16" t="s">
        <v>9427</v>
      </c>
    </row>
    <row r="1416" spans="1:9" x14ac:dyDescent="0.25">
      <c r="A1416" s="16" t="s">
        <v>2391</v>
      </c>
      <c r="B1416" s="16" t="str">
        <f>TEXT(PARTIDA[[#This Row],[PARTIDA]],"0000000000")</f>
        <v>2602000000</v>
      </c>
      <c r="C1416" s="16" t="s">
        <v>815</v>
      </c>
      <c r="D1416" s="16" t="s">
        <v>835</v>
      </c>
      <c r="E1416" s="16" t="s">
        <v>848</v>
      </c>
      <c r="F1416" s="27" t="s">
        <v>2392</v>
      </c>
      <c r="G1416" s="27"/>
      <c r="H1416" s="16" t="str">
        <f>IF(ISBLANK(PARTIDAS!$G1416),PARTIDAS!$F1416,CONCATENATE(PARTIDAS!$F1416," (",PARTIDAS!$G1416,")"))</f>
        <v>Minerales de manganeso y sus concentrados,
incluidos los minerales de manganeso
ferruginosos y sus concentrados con un contenido
de manganeso superior o igual al 20 % en peso,
sobre producto seco.</v>
      </c>
      <c r="I1416" s="16" t="s">
        <v>9427</v>
      </c>
    </row>
    <row r="1417" spans="1:9" x14ac:dyDescent="0.25">
      <c r="A1417" s="16" t="s">
        <v>2393</v>
      </c>
      <c r="B1417" s="16" t="str">
        <f>TEXT(PARTIDA[[#This Row],[PARTIDA]],"0000000000")</f>
        <v>2603000000</v>
      </c>
      <c r="C1417" s="16" t="s">
        <v>815</v>
      </c>
      <c r="D1417" s="16" t="s">
        <v>835</v>
      </c>
      <c r="E1417" s="16" t="s">
        <v>848</v>
      </c>
      <c r="F1417" s="27" t="s">
        <v>2394</v>
      </c>
      <c r="G1417" s="27"/>
      <c r="H1417" s="16" t="str">
        <f>IF(ISBLANK(PARTIDAS!$G1417),PARTIDAS!$F1417,CONCATENATE(PARTIDAS!$F1417," (",PARTIDAS!$G1417,")"))</f>
        <v>Minerales de cobre y sus concentrados</v>
      </c>
      <c r="I1417" s="16" t="s">
        <v>9427</v>
      </c>
    </row>
    <row r="1418" spans="1:9" x14ac:dyDescent="0.25">
      <c r="A1418" s="16" t="s">
        <v>2395</v>
      </c>
      <c r="B1418" s="16" t="str">
        <f>TEXT(PARTIDA[[#This Row],[PARTIDA]],"0000000000")</f>
        <v>2604000000</v>
      </c>
      <c r="C1418" s="16" t="s">
        <v>815</v>
      </c>
      <c r="D1418" s="16" t="s">
        <v>835</v>
      </c>
      <c r="E1418" s="16" t="s">
        <v>848</v>
      </c>
      <c r="F1418" s="27" t="s">
        <v>2396</v>
      </c>
      <c r="G1418" s="27"/>
      <c r="H1418" s="16" t="str">
        <f>IF(ISBLANK(PARTIDAS!$G1418),PARTIDAS!$F1418,CONCATENATE(PARTIDAS!$F1418," (",PARTIDAS!$G1418,")"))</f>
        <v>Minerales de níquel y sus concentrados.</v>
      </c>
      <c r="I1418" s="16" t="s">
        <v>9427</v>
      </c>
    </row>
    <row r="1419" spans="1:9" x14ac:dyDescent="0.25">
      <c r="A1419" s="16" t="s">
        <v>2397</v>
      </c>
      <c r="B1419" s="16" t="str">
        <f>TEXT(PARTIDA[[#This Row],[PARTIDA]],"0000000000")</f>
        <v>2605000000</v>
      </c>
      <c r="C1419" s="16" t="s">
        <v>815</v>
      </c>
      <c r="D1419" s="16" t="s">
        <v>835</v>
      </c>
      <c r="E1419" s="16" t="s">
        <v>848</v>
      </c>
      <c r="F1419" s="27" t="s">
        <v>2398</v>
      </c>
      <c r="G1419" s="27"/>
      <c r="H1419" s="16" t="str">
        <f>IF(ISBLANK(PARTIDAS!$G1419),PARTIDAS!$F1419,CONCATENATE(PARTIDAS!$F1419," (",PARTIDAS!$G1419,")"))</f>
        <v>Minerales de cobalto y sus concentrados.</v>
      </c>
      <c r="I1419" s="16" t="s">
        <v>9427</v>
      </c>
    </row>
    <row r="1420" spans="1:9" x14ac:dyDescent="0.25">
      <c r="A1420" s="16" t="s">
        <v>2399</v>
      </c>
      <c r="B1420" s="16" t="str">
        <f>TEXT(PARTIDA[[#This Row],[PARTIDA]],"0000000000")</f>
        <v>2606000000</v>
      </c>
      <c r="C1420" s="16" t="s">
        <v>815</v>
      </c>
      <c r="D1420" s="16" t="s">
        <v>835</v>
      </c>
      <c r="E1420" s="16" t="s">
        <v>848</v>
      </c>
      <c r="F1420" s="27" t="s">
        <v>2400</v>
      </c>
      <c r="G1420" s="27"/>
      <c r="H1420" s="16" t="str">
        <f>IF(ISBLANK(PARTIDAS!$G1420),PARTIDAS!$F1420,CONCATENATE(PARTIDAS!$F1420," (",PARTIDAS!$G1420,")"))</f>
        <v>Minerales de aluminio y sus concentrados.</v>
      </c>
      <c r="I1420" s="16" t="s">
        <v>9427</v>
      </c>
    </row>
    <row r="1421" spans="1:9" x14ac:dyDescent="0.25">
      <c r="A1421" s="16" t="s">
        <v>2401</v>
      </c>
      <c r="B1421" s="16" t="str">
        <f>TEXT(PARTIDA[[#This Row],[PARTIDA]],"0000000000")</f>
        <v>2607000000</v>
      </c>
      <c r="C1421" s="16" t="s">
        <v>815</v>
      </c>
      <c r="D1421" s="16" t="s">
        <v>835</v>
      </c>
      <c r="E1421" s="16" t="s">
        <v>848</v>
      </c>
      <c r="F1421" s="27" t="s">
        <v>2402</v>
      </c>
      <c r="G1421" s="27"/>
      <c r="H1421" s="16" t="str">
        <f>IF(ISBLANK(PARTIDAS!$G1421),PARTIDAS!$F1421,CONCATENATE(PARTIDAS!$F1421," (",PARTIDAS!$G1421,")"))</f>
        <v>Minerales de plomo y sus concentrados.</v>
      </c>
      <c r="I1421" s="16" t="s">
        <v>9427</v>
      </c>
    </row>
    <row r="1422" spans="1:9" x14ac:dyDescent="0.25">
      <c r="A1422" s="16" t="s">
        <v>2403</v>
      </c>
      <c r="B1422" s="16" t="str">
        <f>TEXT(PARTIDA[[#This Row],[PARTIDA]],"0000000000")</f>
        <v>2608000010</v>
      </c>
      <c r="C1422" s="16" t="s">
        <v>815</v>
      </c>
      <c r="D1422" s="16" t="s">
        <v>835</v>
      </c>
      <c r="E1422" s="16" t="s">
        <v>848</v>
      </c>
      <c r="F1422" s="27" t="s">
        <v>10435</v>
      </c>
      <c r="G1422" s="27"/>
      <c r="H1422" s="16" t="str">
        <f>IF(ISBLANK(PARTIDAS!$G1422),PARTIDAS!$F1422,CONCATENATE(PARTIDAS!$F1422," (",PARTIDAS!$G1422,")"))</f>
        <v>Concentrado de cinc de baja ley</v>
      </c>
      <c r="I1422" s="16" t="s">
        <v>9427</v>
      </c>
    </row>
    <row r="1423" spans="1:9" x14ac:dyDescent="0.25">
      <c r="A1423" s="16" t="s">
        <v>2404</v>
      </c>
      <c r="B1423" s="16" t="str">
        <f>TEXT(PARTIDA[[#This Row],[PARTIDA]],"0000000000")</f>
        <v>2608000090</v>
      </c>
      <c r="C1423" s="16" t="s">
        <v>815</v>
      </c>
      <c r="D1423" s="16" t="s">
        <v>835</v>
      </c>
      <c r="E1423" s="16" t="s">
        <v>848</v>
      </c>
      <c r="F1423" s="27" t="s">
        <v>10436</v>
      </c>
      <c r="G1423" s="27"/>
      <c r="H1423" s="16" t="str">
        <f>IF(ISBLANK(PARTIDAS!$G1423),PARTIDAS!$F1423,CONCATENATE(PARTIDAS!$F1423," (",PARTIDAS!$G1423,")"))</f>
        <v>Minerales de hierro y sus concentrados, incluidas las piritas de… (los demás)</v>
      </c>
      <c r="I1423" s="16" t="s">
        <v>9427</v>
      </c>
    </row>
    <row r="1424" spans="1:9" x14ac:dyDescent="0.25">
      <c r="A1424" s="16" t="s">
        <v>2405</v>
      </c>
      <c r="B1424" s="16" t="str">
        <f>TEXT(PARTIDA[[#This Row],[PARTIDA]],"0000000000")</f>
        <v>2609000000</v>
      </c>
      <c r="C1424" s="16" t="s">
        <v>815</v>
      </c>
      <c r="D1424" s="16" t="s">
        <v>835</v>
      </c>
      <c r="E1424" s="16" t="s">
        <v>848</v>
      </c>
      <c r="F1424" s="27" t="s">
        <v>2406</v>
      </c>
      <c r="G1424" s="27"/>
      <c r="H1424" s="16" t="str">
        <f>IF(ISBLANK(PARTIDAS!$G1424),PARTIDAS!$F1424,CONCATENATE(PARTIDAS!$F1424," (",PARTIDAS!$G1424,")"))</f>
        <v>Minerales de estaño y sus concentrados.</v>
      </c>
      <c r="I1424" s="16" t="s">
        <v>9427</v>
      </c>
    </row>
    <row r="1425" spans="1:9" x14ac:dyDescent="0.25">
      <c r="A1425" s="16" t="s">
        <v>2407</v>
      </c>
      <c r="B1425" s="16" t="str">
        <f>TEXT(PARTIDA[[#This Row],[PARTIDA]],"0000000000")</f>
        <v>2610000000</v>
      </c>
      <c r="C1425" s="16" t="s">
        <v>815</v>
      </c>
      <c r="D1425" s="16" t="s">
        <v>835</v>
      </c>
      <c r="E1425" s="16" t="s">
        <v>848</v>
      </c>
      <c r="F1425" s="27" t="s">
        <v>2408</v>
      </c>
      <c r="G1425" s="27"/>
      <c r="H1425" s="16" t="str">
        <f>IF(ISBLANK(PARTIDAS!$G1425),PARTIDAS!$F1425,CONCATENATE(PARTIDAS!$F1425," (",PARTIDAS!$G1425,")"))</f>
        <v>Minerales de cromo y sus concentrados.</v>
      </c>
      <c r="I1425" s="16" t="s">
        <v>9427</v>
      </c>
    </row>
    <row r="1426" spans="1:9" x14ac:dyDescent="0.25">
      <c r="A1426" s="16" t="s">
        <v>2409</v>
      </c>
      <c r="B1426" s="16" t="str">
        <f>TEXT(PARTIDA[[#This Row],[PARTIDA]],"0000000000")</f>
        <v>2611000000</v>
      </c>
      <c r="C1426" s="16" t="s">
        <v>815</v>
      </c>
      <c r="D1426" s="16" t="s">
        <v>835</v>
      </c>
      <c r="E1426" s="16" t="s">
        <v>848</v>
      </c>
      <c r="F1426" s="27" t="s">
        <v>2410</v>
      </c>
      <c r="G1426" s="27"/>
      <c r="H1426" s="16" t="str">
        <f>IF(ISBLANK(PARTIDAS!$G1426),PARTIDAS!$F1426,CONCATENATE(PARTIDAS!$F1426," (",PARTIDAS!$G1426,")"))</f>
        <v>Minerales de volframio (tungsteno) y sus
concentrados.</v>
      </c>
      <c r="I1426" s="16" t="s">
        <v>9427</v>
      </c>
    </row>
    <row r="1427" spans="1:9" x14ac:dyDescent="0.25">
      <c r="A1427" s="16" t="s">
        <v>2411</v>
      </c>
      <c r="B1427" s="16" t="str">
        <f>TEXT(PARTIDA[[#This Row],[PARTIDA]],"0000000000")</f>
        <v>2612100000</v>
      </c>
      <c r="C1427" s="16" t="s">
        <v>815</v>
      </c>
      <c r="D1427" s="16" t="s">
        <v>835</v>
      </c>
      <c r="E1427" s="16" t="s">
        <v>848</v>
      </c>
      <c r="F1427" s="27" t="s">
        <v>10437</v>
      </c>
      <c r="G1427" s="27"/>
      <c r="H1427" s="16" t="str">
        <f>IF(ISBLANK(PARTIDAS!$G1427),PARTIDAS!$F1427,CONCATENATE(PARTIDAS!$F1427," (",PARTIDAS!$G1427,")"))</f>
        <v>Minerales de uranio y sus concentrados</v>
      </c>
      <c r="I1427" s="16" t="s">
        <v>9427</v>
      </c>
    </row>
    <row r="1428" spans="1:9" x14ac:dyDescent="0.25">
      <c r="A1428" s="16" t="s">
        <v>2412</v>
      </c>
      <c r="B1428" s="16" t="str">
        <f>TEXT(PARTIDA[[#This Row],[PARTIDA]],"0000000000")</f>
        <v>2612200000</v>
      </c>
      <c r="C1428" s="16" t="s">
        <v>815</v>
      </c>
      <c r="D1428" s="16" t="s">
        <v>835</v>
      </c>
      <c r="E1428" s="16" t="s">
        <v>848</v>
      </c>
      <c r="F1428" s="27" t="s">
        <v>10438</v>
      </c>
      <c r="G1428" s="27"/>
      <c r="H1428" s="16" t="str">
        <f>IF(ISBLANK(PARTIDAS!$G1428),PARTIDAS!$F1428,CONCATENATE(PARTIDAS!$F1428," (",PARTIDAS!$G1428,")"))</f>
        <v>Minerales de torio y sus concentrados</v>
      </c>
      <c r="I1428" s="16" t="s">
        <v>9427</v>
      </c>
    </row>
    <row r="1429" spans="1:9" x14ac:dyDescent="0.25">
      <c r="A1429" s="16" t="s">
        <v>2413</v>
      </c>
      <c r="B1429" s="16" t="str">
        <f>TEXT(PARTIDA[[#This Row],[PARTIDA]],"0000000000")</f>
        <v>2613100000</v>
      </c>
      <c r="C1429" s="16" t="s">
        <v>815</v>
      </c>
      <c r="D1429" s="16" t="s">
        <v>835</v>
      </c>
      <c r="E1429" s="16" t="s">
        <v>848</v>
      </c>
      <c r="F1429" s="27" t="s">
        <v>10439</v>
      </c>
      <c r="G1429" s="27"/>
      <c r="H1429" s="16" t="str">
        <f>IF(ISBLANK(PARTIDAS!$G1429),PARTIDAS!$F1429,CONCATENATE(PARTIDAS!$F1429," (",PARTIDAS!$G1429,")"))</f>
        <v>Minerales de molibdeno y sus concentrados, tostados</v>
      </c>
      <c r="I1429" s="16" t="s">
        <v>9427</v>
      </c>
    </row>
    <row r="1430" spans="1:9" x14ac:dyDescent="0.25">
      <c r="A1430" s="16" t="s">
        <v>2414</v>
      </c>
      <c r="B1430" s="16" t="str">
        <f>TEXT(PARTIDA[[#This Row],[PARTIDA]],"0000000000")</f>
        <v>2613900000</v>
      </c>
      <c r="C1430" s="16" t="s">
        <v>815</v>
      </c>
      <c r="D1430" s="16" t="s">
        <v>835</v>
      </c>
      <c r="E1430" s="16" t="s">
        <v>848</v>
      </c>
      <c r="F1430" s="27" t="s">
        <v>10440</v>
      </c>
      <c r="G1430" s="27"/>
      <c r="H1430" s="16" t="str">
        <f>IF(ISBLANK(PARTIDAS!$G1430),PARTIDAS!$F1430,CONCATENATE(PARTIDAS!$F1430," (",PARTIDAS!$G1430,")"))</f>
        <v>Minerales de molibdeno y sus concentrados (los demás)</v>
      </c>
      <c r="I1430" s="16" t="s">
        <v>9427</v>
      </c>
    </row>
    <row r="1431" spans="1:9" x14ac:dyDescent="0.25">
      <c r="A1431" s="16" t="s">
        <v>2415</v>
      </c>
      <c r="B1431" s="16" t="str">
        <f>TEXT(PARTIDA[[#This Row],[PARTIDA]],"0000000000")</f>
        <v>2614000000</v>
      </c>
      <c r="C1431" s="16" t="s">
        <v>815</v>
      </c>
      <c r="D1431" s="16" t="s">
        <v>835</v>
      </c>
      <c r="E1431" s="16" t="s">
        <v>848</v>
      </c>
      <c r="F1431" s="27" t="s">
        <v>2416</v>
      </c>
      <c r="G1431" s="27"/>
      <c r="H1431" s="16" t="str">
        <f>IF(ISBLANK(PARTIDAS!$G1431),PARTIDAS!$F1431,CONCATENATE(PARTIDAS!$F1431," (",PARTIDAS!$G1431,")"))</f>
        <v>Minerales de titanio y sus concentrados.</v>
      </c>
      <c r="I1431" s="16" t="s">
        <v>9427</v>
      </c>
    </row>
    <row r="1432" spans="1:9" x14ac:dyDescent="0.25">
      <c r="A1432" s="16" t="s">
        <v>2417</v>
      </c>
      <c r="B1432" s="16" t="str">
        <f>TEXT(PARTIDA[[#This Row],[PARTIDA]],"0000000000")</f>
        <v>2615100000</v>
      </c>
      <c r="C1432" s="16" t="s">
        <v>815</v>
      </c>
      <c r="D1432" s="16" t="s">
        <v>835</v>
      </c>
      <c r="E1432" s="16" t="s">
        <v>848</v>
      </c>
      <c r="F1432" s="27" t="s">
        <v>10441</v>
      </c>
      <c r="G1432" s="27"/>
      <c r="H1432" s="16" t="str">
        <f>IF(ISBLANK(PARTIDAS!$G1432),PARTIDAS!$F1432,CONCATENATE(PARTIDAS!$F1432," (",PARTIDAS!$G1432,")"))</f>
        <v>Minerales de circonio y sus concentrados</v>
      </c>
      <c r="I1432" s="16" t="s">
        <v>9427</v>
      </c>
    </row>
    <row r="1433" spans="1:9" x14ac:dyDescent="0.25">
      <c r="A1433" s="16" t="s">
        <v>2418</v>
      </c>
      <c r="B1433" s="16" t="str">
        <f>TEXT(PARTIDA[[#This Row],[PARTIDA]],"0000000000")</f>
        <v>2615900000</v>
      </c>
      <c r="C1433" s="16" t="s">
        <v>815</v>
      </c>
      <c r="D1433" s="16" t="s">
        <v>835</v>
      </c>
      <c r="E1433" s="16" t="s">
        <v>848</v>
      </c>
      <c r="F1433" s="27" t="s">
        <v>10442</v>
      </c>
      <c r="G1433" s="27"/>
      <c r="H1433" s="16" t="str">
        <f>IF(ISBLANK(PARTIDAS!$G1433),PARTIDAS!$F1433,CONCATENATE(PARTIDAS!$F1433," (",PARTIDAS!$G1433,")"))</f>
        <v>Minerales de niobio, tantalio, vanadio o circonio, y sus concentrados (los demás)</v>
      </c>
      <c r="I1433" s="16" t="s">
        <v>9427</v>
      </c>
    </row>
    <row r="1434" spans="1:9" x14ac:dyDescent="0.25">
      <c r="A1434" s="16" t="s">
        <v>2419</v>
      </c>
      <c r="B1434" s="16" t="str">
        <f>TEXT(PARTIDA[[#This Row],[PARTIDA]],"0000000000")</f>
        <v>2616100000</v>
      </c>
      <c r="C1434" s="16" t="s">
        <v>815</v>
      </c>
      <c r="D1434" s="16" t="s">
        <v>835</v>
      </c>
      <c r="E1434" s="16" t="s">
        <v>848</v>
      </c>
      <c r="F1434" s="27" t="s">
        <v>10443</v>
      </c>
      <c r="G1434" s="27"/>
      <c r="H1434" s="16" t="str">
        <f>IF(ISBLANK(PARTIDAS!$G1434),PARTIDAS!$F1434,CONCATENATE(PARTIDAS!$F1434," (",PARTIDAS!$G1434,")"))</f>
        <v>Minerales de plata y sus concentrados</v>
      </c>
      <c r="I1434" s="16" t="s">
        <v>9427</v>
      </c>
    </row>
    <row r="1435" spans="1:9" x14ac:dyDescent="0.25">
      <c r="A1435" s="16" t="s">
        <v>2420</v>
      </c>
      <c r="B1435" s="16" t="str">
        <f>TEXT(PARTIDA[[#This Row],[PARTIDA]],"0000000000")</f>
        <v>2616901000</v>
      </c>
      <c r="C1435" s="16" t="s">
        <v>815</v>
      </c>
      <c r="D1435" s="16" t="s">
        <v>835</v>
      </c>
      <c r="E1435" s="16" t="s">
        <v>848</v>
      </c>
      <c r="F1435" s="27" t="s">
        <v>2421</v>
      </c>
      <c r="G1435" s="27"/>
      <c r="H1435" s="16" t="str">
        <f>IF(ISBLANK(PARTIDAS!$G1435),PARTIDAS!$F1435,CONCATENATE(PARTIDAS!$F1435," (",PARTIDAS!$G1435,")"))</f>
        <v>Minerales de oro y sus concentrados</v>
      </c>
      <c r="I1435" s="16" t="s">
        <v>9477</v>
      </c>
    </row>
    <row r="1436" spans="1:9" x14ac:dyDescent="0.25">
      <c r="A1436" s="16" t="s">
        <v>2422</v>
      </c>
      <c r="B1436" s="16" t="str">
        <f>TEXT(PARTIDA[[#This Row],[PARTIDA]],"0000000000")</f>
        <v>2616909000</v>
      </c>
      <c r="C1436" s="16" t="s">
        <v>815</v>
      </c>
      <c r="D1436" s="16" t="s">
        <v>835</v>
      </c>
      <c r="E1436" s="16" t="s">
        <v>848</v>
      </c>
      <c r="F1436" s="27" t="s">
        <v>10444</v>
      </c>
      <c r="G1436" s="27"/>
      <c r="H1436" s="16" t="str">
        <f>IF(ISBLANK(PARTIDAS!$G1436),PARTIDAS!$F1436,CONCATENATE(PARTIDAS!$F1436," (",PARTIDAS!$G1436,")"))</f>
        <v>Minerales de los metales preciosos y sus concentrados (los demás)</v>
      </c>
      <c r="I1436" s="16" t="s">
        <v>9427</v>
      </c>
    </row>
    <row r="1437" spans="1:9" x14ac:dyDescent="0.25">
      <c r="A1437" s="16" t="s">
        <v>2423</v>
      </c>
      <c r="B1437" s="16" t="str">
        <f>TEXT(PARTIDA[[#This Row],[PARTIDA]],"0000000000")</f>
        <v>2617100000</v>
      </c>
      <c r="C1437" s="16" t="s">
        <v>815</v>
      </c>
      <c r="D1437" s="16" t="s">
        <v>835</v>
      </c>
      <c r="E1437" s="16" t="s">
        <v>848</v>
      </c>
      <c r="F1437" s="27" t="s">
        <v>10445</v>
      </c>
      <c r="G1437" s="27"/>
      <c r="H1437" s="16" t="str">
        <f>IF(ISBLANK(PARTIDAS!$G1437),PARTIDAS!$F1437,CONCATENATE(PARTIDAS!$F1437," (",PARTIDAS!$G1437,")"))</f>
        <v>Minerales de antimonio y sus concentrados</v>
      </c>
      <c r="I1437" s="16" t="s">
        <v>9427</v>
      </c>
    </row>
    <row r="1438" spans="1:9" x14ac:dyDescent="0.25">
      <c r="A1438" s="16" t="s">
        <v>2424</v>
      </c>
      <c r="B1438" s="16" t="str">
        <f>TEXT(PARTIDA[[#This Row],[PARTIDA]],"0000000000")</f>
        <v>2617900000</v>
      </c>
      <c r="C1438" s="16" t="s">
        <v>815</v>
      </c>
      <c r="D1438" s="16" t="s">
        <v>835</v>
      </c>
      <c r="E1438" s="16" t="s">
        <v>848</v>
      </c>
      <c r="F1438" s="27" t="s">
        <v>10446</v>
      </c>
      <c r="G1438" s="27"/>
      <c r="H1438" s="16" t="str">
        <f>IF(ISBLANK(PARTIDAS!$G1438),PARTIDAS!$F1438,CONCATENATE(PARTIDAS!$F1438," (",PARTIDAS!$G1438,")"))</f>
        <v>Minerales metalíferos, escorias y cenizas (los demás)</v>
      </c>
      <c r="I1438" s="16" t="s">
        <v>9427</v>
      </c>
    </row>
    <row r="1439" spans="1:9" x14ac:dyDescent="0.25">
      <c r="A1439" s="16" t="s">
        <v>2425</v>
      </c>
      <c r="B1439" s="16" t="str">
        <f>TEXT(PARTIDA[[#This Row],[PARTIDA]],"0000000000")</f>
        <v>2618000000</v>
      </c>
      <c r="C1439" s="16" t="s">
        <v>815</v>
      </c>
      <c r="D1439" s="16" t="s">
        <v>835</v>
      </c>
      <c r="E1439" s="16" t="s">
        <v>848</v>
      </c>
      <c r="F1439" s="27" t="s">
        <v>2426</v>
      </c>
      <c r="G1439" s="27"/>
      <c r="H1439" s="16" t="str">
        <f>IF(ISBLANK(PARTIDAS!$G1439),PARTIDAS!$F1439,CONCATENATE(PARTIDAS!$F1439," (",PARTIDAS!$G1439,")"))</f>
        <v>Escorias granuladas (arena de escorias) de la
siderurgia.</v>
      </c>
      <c r="I1439" s="16" t="s">
        <v>9427</v>
      </c>
    </row>
    <row r="1440" spans="1:9" x14ac:dyDescent="0.25">
      <c r="A1440" s="16" t="s">
        <v>2427</v>
      </c>
      <c r="B1440" s="16" t="str">
        <f>TEXT(PARTIDA[[#This Row],[PARTIDA]],"0000000000")</f>
        <v>2619000000</v>
      </c>
      <c r="C1440" s="16" t="s">
        <v>815</v>
      </c>
      <c r="D1440" s="16" t="s">
        <v>835</v>
      </c>
      <c r="E1440" s="16" t="s">
        <v>848</v>
      </c>
      <c r="F1440" s="27" t="s">
        <v>2428</v>
      </c>
      <c r="G1440" s="27"/>
      <c r="H1440" s="16" t="str">
        <f>IF(ISBLANK(PARTIDAS!$G1440),PARTIDAS!$F1440,CONCATENATE(PARTIDAS!$F1440," (",PARTIDAS!$G1440,")"))</f>
        <v>Escorias (excepto las granuladas), batiduras y
demás desperdicios de la siderurgia.</v>
      </c>
      <c r="I1440" s="16" t="s">
        <v>9427</v>
      </c>
    </row>
    <row r="1441" spans="1:9" x14ac:dyDescent="0.25">
      <c r="A1441" s="16" t="s">
        <v>2429</v>
      </c>
      <c r="B1441" s="16" t="str">
        <f>TEXT(PARTIDA[[#This Row],[PARTIDA]],"0000000000")</f>
        <v>2620110000</v>
      </c>
      <c r="C1441" s="16" t="s">
        <v>815</v>
      </c>
      <c r="D1441" s="16" t="s">
        <v>835</v>
      </c>
      <c r="E1441" s="16" t="s">
        <v>848</v>
      </c>
      <c r="F1441" s="27" t="s">
        <v>10447</v>
      </c>
      <c r="G1441" s="27"/>
      <c r="H1441" s="16" t="str">
        <f>IF(ISBLANK(PARTIDAS!$G1441),PARTIDAS!$F1441,CONCATENATE(PARTIDAS!$F1441," (",PARTIDAS!$G1441,")"))</f>
        <v>Matas de galvanización</v>
      </c>
      <c r="I1441" s="16" t="s">
        <v>9427</v>
      </c>
    </row>
    <row r="1442" spans="1:9" x14ac:dyDescent="0.25">
      <c r="A1442" s="16" t="s">
        <v>2430</v>
      </c>
      <c r="B1442" s="16" t="str">
        <f>TEXT(PARTIDA[[#This Row],[PARTIDA]],"0000000000")</f>
        <v>2620190000</v>
      </c>
      <c r="C1442" s="16" t="s">
        <v>815</v>
      </c>
      <c r="D1442" s="16" t="s">
        <v>835</v>
      </c>
      <c r="E1442" s="16" t="s">
        <v>848</v>
      </c>
      <c r="F1442" s="27" t="s">
        <v>10448</v>
      </c>
      <c r="G1442" s="27"/>
      <c r="H1442" s="16" t="str">
        <f>IF(ISBLANK(PARTIDAS!$G1442),PARTIDAS!$F1442,CONCATENATE(PARTIDAS!$F1442," (",PARTIDAS!$G1442,")"))</f>
        <v>Escorias, cenizas y residuos, que contengan principalmente cinc (los demás)</v>
      </c>
      <c r="I1442" s="16" t="s">
        <v>9427</v>
      </c>
    </row>
    <row r="1443" spans="1:9" x14ac:dyDescent="0.25">
      <c r="A1443" s="16" t="s">
        <v>2431</v>
      </c>
      <c r="B1443" s="16" t="str">
        <f>TEXT(PARTIDA[[#This Row],[PARTIDA]],"0000000000")</f>
        <v>2620210000</v>
      </c>
      <c r="C1443" s="16" t="s">
        <v>815</v>
      </c>
      <c r="D1443" s="16" t="s">
        <v>835</v>
      </c>
      <c r="E1443" s="16" t="s">
        <v>848</v>
      </c>
      <c r="F1443" s="27" t="s">
        <v>10449</v>
      </c>
      <c r="G1443" s="27"/>
      <c r="H1443" s="16" t="str">
        <f>IF(ISBLANK(PARTIDAS!$G1443),PARTIDAS!$F1443,CONCATENATE(PARTIDAS!$F1443," (",PARTIDAS!$G1443,")"))</f>
        <v>Lodos de gasolina con plomo y lodos de compuestos antidetonantes con plomo</v>
      </c>
      <c r="I1443" s="16" t="s">
        <v>9427</v>
      </c>
    </row>
    <row r="1444" spans="1:9" x14ac:dyDescent="0.25">
      <c r="A1444" s="16" t="s">
        <v>2432</v>
      </c>
      <c r="B1444" s="16" t="str">
        <f>TEXT(PARTIDA[[#This Row],[PARTIDA]],"0000000000")</f>
        <v>2620290000</v>
      </c>
      <c r="C1444" s="16" t="s">
        <v>815</v>
      </c>
      <c r="D1444" s="16" t="s">
        <v>835</v>
      </c>
      <c r="E1444" s="16" t="s">
        <v>848</v>
      </c>
      <c r="F1444" s="27" t="s">
        <v>10450</v>
      </c>
      <c r="G1444" s="27"/>
      <c r="H1444" s="16" t="str">
        <f>IF(ISBLANK(PARTIDAS!$G1444),PARTIDAS!$F1444,CONCATENATE(PARTIDAS!$F1444," (",PARTIDAS!$G1444,")"))</f>
        <v>Escorias, cenizas y residuos, que contengan principalmente plomo (los demás)</v>
      </c>
      <c r="I1444" s="16" t="s">
        <v>9427</v>
      </c>
    </row>
    <row r="1445" spans="1:9" x14ac:dyDescent="0.25">
      <c r="A1445" s="16" t="s">
        <v>2433</v>
      </c>
      <c r="B1445" s="16" t="str">
        <f>TEXT(PARTIDA[[#This Row],[PARTIDA]],"0000000000")</f>
        <v>2620300000</v>
      </c>
      <c r="C1445" s="16" t="s">
        <v>815</v>
      </c>
      <c r="D1445" s="16" t="s">
        <v>835</v>
      </c>
      <c r="E1445" s="16" t="s">
        <v>848</v>
      </c>
      <c r="F1445" s="27" t="s">
        <v>10451</v>
      </c>
      <c r="G1445" s="27"/>
      <c r="H1445" s="16" t="str">
        <f>IF(ISBLANK(PARTIDAS!$G1445),PARTIDAS!$F1445,CONCATENATE(PARTIDAS!$F1445," (",PARTIDAS!$G1445,")"))</f>
        <v>Escorias, cenizas y residuos, que contengan principalmente cobre</v>
      </c>
      <c r="I1445" s="16" t="s">
        <v>9427</v>
      </c>
    </row>
    <row r="1446" spans="1:9" x14ac:dyDescent="0.25">
      <c r="A1446" s="16" t="s">
        <v>2434</v>
      </c>
      <c r="B1446" s="16" t="str">
        <f>TEXT(PARTIDA[[#This Row],[PARTIDA]],"0000000000")</f>
        <v>2620400000</v>
      </c>
      <c r="C1446" s="16" t="s">
        <v>815</v>
      </c>
      <c r="D1446" s="16" t="s">
        <v>835</v>
      </c>
      <c r="E1446" s="16" t="s">
        <v>848</v>
      </c>
      <c r="F1446" s="27" t="s">
        <v>10452</v>
      </c>
      <c r="G1446" s="27"/>
      <c r="H1446" s="16" t="str">
        <f>IF(ISBLANK(PARTIDAS!$G1446),PARTIDAS!$F1446,CONCATENATE(PARTIDAS!$F1446," (",PARTIDAS!$G1446,")"))</f>
        <v>Escorias, cenizas y residuos, que contengan principalmente aluminio</v>
      </c>
      <c r="I1446" s="16" t="s">
        <v>9427</v>
      </c>
    </row>
    <row r="1447" spans="1:9" x14ac:dyDescent="0.25">
      <c r="A1447" s="16" t="s">
        <v>2435</v>
      </c>
      <c r="B1447" s="16" t="str">
        <f>TEXT(PARTIDA[[#This Row],[PARTIDA]],"0000000000")</f>
        <v>2620600000</v>
      </c>
      <c r="C1447" s="16" t="s">
        <v>815</v>
      </c>
      <c r="D1447" s="16" t="s">
        <v>835</v>
      </c>
      <c r="E1447" s="16" t="s">
        <v>848</v>
      </c>
      <c r="F1447" s="27" t="s">
        <v>10453</v>
      </c>
      <c r="G1447" s="27"/>
      <c r="H1447" s="16" t="str">
        <f>IF(ISBLANK(PARTIDAS!$G1447),PARTIDAS!$F1447,CONCATENATE(PARTIDAS!$F1447," (",PARTIDAS!$G1447,")"))</f>
        <v>Escorias, cenizas y residuos, que contengan arsénico, mercurio, talio o sus mezclas, de los tipos utilizados para la extracción de arsénico o de estos</v>
      </c>
      <c r="I1447" s="16" t="s">
        <v>9427</v>
      </c>
    </row>
    <row r="1448" spans="1:9" x14ac:dyDescent="0.25">
      <c r="A1448" s="16" t="s">
        <v>2436</v>
      </c>
      <c r="B1448" s="16" t="str">
        <f>TEXT(PARTIDA[[#This Row],[PARTIDA]],"0000000000")</f>
        <v>2620910000</v>
      </c>
      <c r="C1448" s="16" t="s">
        <v>815</v>
      </c>
      <c r="D1448" s="16" t="s">
        <v>835</v>
      </c>
      <c r="E1448" s="16" t="s">
        <v>848</v>
      </c>
      <c r="F1448" s="27" t="s">
        <v>10454</v>
      </c>
      <c r="G1448" s="27"/>
      <c r="H1448" s="16" t="str">
        <f>IF(ISBLANK(PARTIDAS!$G1448),PARTIDAS!$F1448,CONCATENATE(PARTIDAS!$F1448," (",PARTIDAS!$G1448,")"))</f>
        <v>Escorias, cenizas y residuos, que contengan antimonio, berilio, cadmio, cromo, o sus mezclas</v>
      </c>
      <c r="I1448" s="16" t="s">
        <v>9427</v>
      </c>
    </row>
    <row r="1449" spans="1:9" x14ac:dyDescent="0.25">
      <c r="A1449" s="16" t="s">
        <v>2437</v>
      </c>
      <c r="B1449" s="16" t="str">
        <f>TEXT(PARTIDA[[#This Row],[PARTIDA]],"0000000000")</f>
        <v>2620990000</v>
      </c>
      <c r="C1449" s="16" t="s">
        <v>815</v>
      </c>
      <c r="D1449" s="16" t="s">
        <v>835</v>
      </c>
      <c r="E1449" s="16" t="s">
        <v>848</v>
      </c>
      <c r="F1449" s="27" t="s">
        <v>10455</v>
      </c>
      <c r="G1449" s="27"/>
      <c r="H1449" s="16" t="str">
        <f>IF(ISBLANK(PARTIDAS!$G1449),PARTIDAS!$F1449,CONCATENATE(PARTIDAS!$F1449," (",PARTIDAS!$G1449,")"))</f>
        <v>Escorias, cenizas y residuos (los demás)</v>
      </c>
      <c r="I1449" s="16" t="s">
        <v>9427</v>
      </c>
    </row>
    <row r="1450" spans="1:9" x14ac:dyDescent="0.25">
      <c r="A1450" s="16" t="s">
        <v>2438</v>
      </c>
      <c r="B1450" s="16" t="str">
        <f>TEXT(PARTIDA[[#This Row],[PARTIDA]],"0000000000")</f>
        <v>2621100000</v>
      </c>
      <c r="C1450" s="16" t="s">
        <v>815</v>
      </c>
      <c r="D1450" s="16" t="s">
        <v>835</v>
      </c>
      <c r="E1450" s="16" t="s">
        <v>848</v>
      </c>
      <c r="F1450" s="27" t="s">
        <v>10456</v>
      </c>
      <c r="G1450" s="27"/>
      <c r="H1450" s="16" t="str">
        <f>IF(ISBLANK(PARTIDAS!$G1450),PARTIDAS!$F1450,CONCATENATE(PARTIDAS!$F1450," (",PARTIDAS!$G1450,")"))</f>
        <v>Cenizas y residuos procedentes de la incineración de desechos municipales</v>
      </c>
      <c r="I1450" s="16" t="s">
        <v>9427</v>
      </c>
    </row>
    <row r="1451" spans="1:9" x14ac:dyDescent="0.25">
      <c r="A1451" s="16" t="s">
        <v>2439</v>
      </c>
      <c r="B1451" s="16" t="str">
        <f>TEXT(PARTIDA[[#This Row],[PARTIDA]],"0000000000")</f>
        <v>2621900000</v>
      </c>
      <c r="C1451" s="16" t="s">
        <v>815</v>
      </c>
      <c r="D1451" s="16" t="s">
        <v>835</v>
      </c>
      <c r="E1451" s="16" t="s">
        <v>848</v>
      </c>
      <c r="F1451" s="27" t="s">
        <v>10446</v>
      </c>
      <c r="G1451" s="27"/>
      <c r="H1451" s="16" t="str">
        <f>IF(ISBLANK(PARTIDAS!$G1451),PARTIDAS!$F1451,CONCATENATE(PARTIDAS!$F1451," (",PARTIDAS!$G1451,")"))</f>
        <v>Minerales metalíferos, escorias y cenizas (los demás)</v>
      </c>
      <c r="I1451" s="16" t="s">
        <v>9427</v>
      </c>
    </row>
    <row r="1452" spans="1:9" x14ac:dyDescent="0.25">
      <c r="A1452" s="16" t="s">
        <v>2440</v>
      </c>
      <c r="B1452" s="16" t="str">
        <f>TEXT(PARTIDA[[#This Row],[PARTIDA]],"0000000000")</f>
        <v>2701110000</v>
      </c>
      <c r="C1452" s="16" t="s">
        <v>815</v>
      </c>
      <c r="D1452" s="16" t="s">
        <v>816</v>
      </c>
      <c r="E1452" s="16" t="s">
        <v>817</v>
      </c>
      <c r="F1452" s="27" t="s">
        <v>2441</v>
      </c>
      <c r="G1452" s="27"/>
      <c r="H1452" s="16" t="str">
        <f>IF(ISBLANK(PARTIDAS!$G1452),PARTIDAS!$F1452,CONCATENATE(PARTIDAS!$F1452," (",PARTIDAS!$G1452,")"))</f>
        <v>Carbón</v>
      </c>
      <c r="I1452" s="16" t="s">
        <v>9427</v>
      </c>
    </row>
    <row r="1453" spans="1:9" x14ac:dyDescent="0.25">
      <c r="A1453" s="16" t="s">
        <v>2442</v>
      </c>
      <c r="B1453" s="16" t="str">
        <f>TEXT(PARTIDA[[#This Row],[PARTIDA]],"0000000000")</f>
        <v>2701120000</v>
      </c>
      <c r="C1453" s="16" t="s">
        <v>815</v>
      </c>
      <c r="D1453" s="16" t="s">
        <v>816</v>
      </c>
      <c r="E1453" s="16" t="s">
        <v>817</v>
      </c>
      <c r="F1453" s="27" t="s">
        <v>10457</v>
      </c>
      <c r="G1453" s="27"/>
      <c r="H1453" s="16" t="str">
        <f>IF(ISBLANK(PARTIDAS!$G1453),PARTIDAS!$F1453,CONCATENATE(PARTIDAS!$F1453," (",PARTIDAS!$G1453,")"))</f>
        <v>Hulla bituminosa</v>
      </c>
      <c r="I1453" s="16" t="s">
        <v>9427</v>
      </c>
    </row>
    <row r="1454" spans="1:9" x14ac:dyDescent="0.25">
      <c r="A1454" s="16" t="s">
        <v>2443</v>
      </c>
      <c r="B1454" s="16" t="str">
        <f>TEXT(PARTIDA[[#This Row],[PARTIDA]],"0000000000")</f>
        <v>2701190000</v>
      </c>
      <c r="C1454" s="16" t="s">
        <v>815</v>
      </c>
      <c r="D1454" s="16" t="s">
        <v>816</v>
      </c>
      <c r="E1454" s="16" t="s">
        <v>817</v>
      </c>
      <c r="F1454" s="27" t="s">
        <v>10458</v>
      </c>
      <c r="G1454" s="27"/>
      <c r="H1454" s="16" t="str">
        <f>IF(ISBLANK(PARTIDAS!$G1454),PARTIDAS!$F1454,CONCATENATE(PARTIDAS!$F1454," (",PARTIDAS!$G1454,")"))</f>
        <v>Hullas, incluso pulverizadas, pero sin aglomerar (los demás, hullas)</v>
      </c>
      <c r="I1454" s="16" t="s">
        <v>9427</v>
      </c>
    </row>
    <row r="1455" spans="1:9" x14ac:dyDescent="0.25">
      <c r="A1455" s="16" t="s">
        <v>2444</v>
      </c>
      <c r="B1455" s="16" t="str">
        <f>TEXT(PARTIDA[[#This Row],[PARTIDA]],"0000000000")</f>
        <v>2701200000</v>
      </c>
      <c r="C1455" s="16" t="s">
        <v>815</v>
      </c>
      <c r="D1455" s="16" t="s">
        <v>816</v>
      </c>
      <c r="E1455" s="16" t="s">
        <v>817</v>
      </c>
      <c r="F1455" s="27" t="s">
        <v>10459</v>
      </c>
      <c r="G1455" s="27"/>
      <c r="H1455" s="16" t="str">
        <f>IF(ISBLANK(PARTIDAS!$G1455),PARTIDAS!$F1455,CONCATENATE(PARTIDAS!$F1455," (",PARTIDAS!$G1455,")"))</f>
        <v>Briquetas, ovoides y combustibles sólidos similares, obtenidos de la hulla</v>
      </c>
      <c r="I1455" s="16" t="s">
        <v>9427</v>
      </c>
    </row>
    <row r="1456" spans="1:9" x14ac:dyDescent="0.25">
      <c r="A1456" s="16" t="s">
        <v>2445</v>
      </c>
      <c r="B1456" s="16" t="str">
        <f>TEXT(PARTIDA[[#This Row],[PARTIDA]],"0000000000")</f>
        <v>2702100000</v>
      </c>
      <c r="C1456" s="16" t="s">
        <v>815</v>
      </c>
      <c r="D1456" s="16" t="s">
        <v>816</v>
      </c>
      <c r="E1456" s="16" t="s">
        <v>817</v>
      </c>
      <c r="F1456" s="27" t="s">
        <v>10460</v>
      </c>
      <c r="G1456" s="27"/>
      <c r="H1456" s="16" t="str">
        <f>IF(ISBLANK(PARTIDAS!$G1456),PARTIDAS!$F1456,CONCATENATE(PARTIDAS!$F1456," (",PARTIDAS!$G1456,")"))</f>
        <v>Lignitos, incluso pulverizados, pero sin aglomerar</v>
      </c>
      <c r="I1456" s="16" t="s">
        <v>9427</v>
      </c>
    </row>
    <row r="1457" spans="1:9" x14ac:dyDescent="0.25">
      <c r="A1457" s="16" t="s">
        <v>2446</v>
      </c>
      <c r="B1457" s="16" t="str">
        <f>TEXT(PARTIDA[[#This Row],[PARTIDA]],"0000000000")</f>
        <v>2702200000</v>
      </c>
      <c r="C1457" s="16" t="s">
        <v>815</v>
      </c>
      <c r="D1457" s="16" t="s">
        <v>816</v>
      </c>
      <c r="E1457" s="16" t="s">
        <v>817</v>
      </c>
      <c r="F1457" s="27" t="s">
        <v>10461</v>
      </c>
      <c r="G1457" s="27"/>
      <c r="H1457" s="16" t="str">
        <f>IF(ISBLANK(PARTIDAS!$G1457),PARTIDAS!$F1457,CONCATENATE(PARTIDAS!$F1457," (",PARTIDAS!$G1457,")"))</f>
        <v>Lignitos aglomerados</v>
      </c>
      <c r="I1457" s="16" t="s">
        <v>9427</v>
      </c>
    </row>
    <row r="1458" spans="1:9" x14ac:dyDescent="0.25">
      <c r="A1458" s="16" t="s">
        <v>2447</v>
      </c>
      <c r="B1458" s="16" t="str">
        <f>TEXT(PARTIDA[[#This Row],[PARTIDA]],"0000000000")</f>
        <v>2703000000</v>
      </c>
      <c r="C1458" s="16" t="s">
        <v>815</v>
      </c>
      <c r="D1458" s="16" t="s">
        <v>816</v>
      </c>
      <c r="E1458" s="16" t="s">
        <v>817</v>
      </c>
      <c r="F1458" s="27" t="s">
        <v>2448</v>
      </c>
      <c r="G1458" s="27"/>
      <c r="H1458" s="16" t="str">
        <f>IF(ISBLANK(PARTIDAS!$G1458),PARTIDAS!$F1458,CONCATENATE(PARTIDAS!$F1458," (",PARTIDAS!$G1458,")"))</f>
        <v>Turba</v>
      </c>
      <c r="I1458" s="16" t="s">
        <v>9427</v>
      </c>
    </row>
    <row r="1459" spans="1:9" x14ac:dyDescent="0.25">
      <c r="A1459" s="16" t="s">
        <v>2449</v>
      </c>
      <c r="B1459" s="16" t="str">
        <f>TEXT(PARTIDA[[#This Row],[PARTIDA]],"0000000000")</f>
        <v>2704001000</v>
      </c>
      <c r="C1459" s="16" t="s">
        <v>815</v>
      </c>
      <c r="D1459" s="16" t="s">
        <v>816</v>
      </c>
      <c r="E1459" s="16" t="s">
        <v>817</v>
      </c>
      <c r="F1459" s="27" t="s">
        <v>10462</v>
      </c>
      <c r="G1459" s="27"/>
      <c r="H1459" s="16" t="str">
        <f>IF(ISBLANK(PARTIDAS!$G1459),PARTIDAS!$F1459,CONCATENATE(PARTIDAS!$F1459," (",PARTIDAS!$G1459,")"))</f>
        <v>Coques y semicoques de hulla</v>
      </c>
      <c r="I1459" s="16" t="s">
        <v>9427</v>
      </c>
    </row>
    <row r="1460" spans="1:9" x14ac:dyDescent="0.25">
      <c r="A1460" s="16" t="s">
        <v>2450</v>
      </c>
      <c r="B1460" s="16" t="str">
        <f>TEXT(PARTIDA[[#This Row],[PARTIDA]],"0000000000")</f>
        <v>2704002000</v>
      </c>
      <c r="C1460" s="16" t="s">
        <v>815</v>
      </c>
      <c r="D1460" s="16" t="s">
        <v>816</v>
      </c>
      <c r="E1460" s="16" t="s">
        <v>817</v>
      </c>
      <c r="F1460" s="27" t="s">
        <v>10463</v>
      </c>
      <c r="G1460" s="27"/>
      <c r="H1460" s="16" t="str">
        <f>IF(ISBLANK(PARTIDAS!$G1460),PARTIDAS!$F1460,CONCATENATE(PARTIDAS!$F1460," (",PARTIDAS!$G1460,")"))</f>
        <v>Coques y semicoques de lignito o turba</v>
      </c>
      <c r="I1460" s="16" t="s">
        <v>9427</v>
      </c>
    </row>
    <row r="1461" spans="1:9" x14ac:dyDescent="0.25">
      <c r="A1461" s="16" t="s">
        <v>2451</v>
      </c>
      <c r="B1461" s="16" t="str">
        <f>TEXT(PARTIDA[[#This Row],[PARTIDA]],"0000000000")</f>
        <v>2704003000</v>
      </c>
      <c r="C1461" s="16" t="s">
        <v>815</v>
      </c>
      <c r="D1461" s="16" t="s">
        <v>816</v>
      </c>
      <c r="E1461" s="16" t="s">
        <v>817</v>
      </c>
      <c r="F1461" s="27" t="s">
        <v>10464</v>
      </c>
      <c r="G1461" s="27"/>
      <c r="H1461" s="16" t="str">
        <f>IF(ISBLANK(PARTIDAS!$G1461),PARTIDAS!$F1461,CONCATENATE(PARTIDAS!$F1461," (",PARTIDAS!$G1461,")"))</f>
        <v>Carbón de retorta</v>
      </c>
      <c r="I1461" s="16" t="s">
        <v>9427</v>
      </c>
    </row>
    <row r="1462" spans="1:9" x14ac:dyDescent="0.25">
      <c r="A1462" s="16" t="s">
        <v>2452</v>
      </c>
      <c r="B1462" s="16" t="str">
        <f>TEXT(PARTIDA[[#This Row],[PARTIDA]],"0000000000")</f>
        <v>2705000000</v>
      </c>
      <c r="C1462" s="16" t="s">
        <v>815</v>
      </c>
      <c r="D1462" s="16" t="s">
        <v>816</v>
      </c>
      <c r="E1462" s="16" t="s">
        <v>817</v>
      </c>
      <c r="F1462" s="27" t="s">
        <v>2453</v>
      </c>
      <c r="G1462" s="27"/>
      <c r="H1462" s="16" t="str">
        <f>IF(ISBLANK(PARTIDAS!$G1462),PARTIDAS!$F1462,CONCATENATE(PARTIDAS!$F1462," (",PARTIDAS!$G1462,")"))</f>
        <v>Gas de hulla, gas de agua, gas pobre y gases
similares, excepto el gas de petróleo y demás
hidrocarburos gaseosos</v>
      </c>
      <c r="I1462" s="16" t="s">
        <v>9427</v>
      </c>
    </row>
    <row r="1463" spans="1:9" x14ac:dyDescent="0.25">
      <c r="A1463" s="16" t="s">
        <v>2454</v>
      </c>
      <c r="B1463" s="16" t="str">
        <f>TEXT(PARTIDA[[#This Row],[PARTIDA]],"0000000000")</f>
        <v>2706000000</v>
      </c>
      <c r="C1463" s="16" t="s">
        <v>815</v>
      </c>
      <c r="D1463" s="16" t="s">
        <v>816</v>
      </c>
      <c r="E1463" s="16" t="s">
        <v>817</v>
      </c>
      <c r="F1463" s="27" t="s">
        <v>2455</v>
      </c>
      <c r="G1463" s="27"/>
      <c r="H1463" s="16" t="str">
        <f>IF(ISBLANK(PARTIDAS!$G1463),PARTIDAS!$F1463,CONCATENATE(PARTIDAS!$F1463," (",PARTIDAS!$G1463,")"))</f>
        <v>Alquitranes de hulla, lignito o turba y demás
alquitranes minerales, aunque estén
deshidratados o descabezados, incluidos los
alquitranes reconstituidos.</v>
      </c>
      <c r="I1463" s="16" t="s">
        <v>9427</v>
      </c>
    </row>
    <row r="1464" spans="1:9" x14ac:dyDescent="0.25">
      <c r="A1464" s="16" t="s">
        <v>2456</v>
      </c>
      <c r="B1464" s="16" t="str">
        <f>TEXT(PARTIDA[[#This Row],[PARTIDA]],"0000000000")</f>
        <v>2707100000</v>
      </c>
      <c r="C1464" s="16" t="s">
        <v>815</v>
      </c>
      <c r="D1464" s="16" t="s">
        <v>816</v>
      </c>
      <c r="E1464" s="16" t="s">
        <v>817</v>
      </c>
      <c r="F1464" s="27" t="s">
        <v>10465</v>
      </c>
      <c r="G1464" s="27"/>
      <c r="H1464" s="16" t="str">
        <f>IF(ISBLANK(PARTIDAS!$G1464),PARTIDAS!$F1464,CONCATENATE(PARTIDAS!$F1464," (",PARTIDAS!$G1464,")"))</f>
        <v>Benzol (benceno)</v>
      </c>
      <c r="I1464" s="16" t="s">
        <v>9427</v>
      </c>
    </row>
    <row r="1465" spans="1:9" x14ac:dyDescent="0.25">
      <c r="A1465" s="16" t="s">
        <v>2457</v>
      </c>
      <c r="B1465" s="16" t="str">
        <f>TEXT(PARTIDA[[#This Row],[PARTIDA]],"0000000000")</f>
        <v>2707200000</v>
      </c>
      <c r="C1465" s="16" t="s">
        <v>815</v>
      </c>
      <c r="D1465" s="16" t="s">
        <v>816</v>
      </c>
      <c r="E1465" s="16" t="s">
        <v>817</v>
      </c>
      <c r="F1465" s="27" t="s">
        <v>10466</v>
      </c>
      <c r="G1465" s="27"/>
      <c r="H1465" s="16" t="str">
        <f>IF(ISBLANK(PARTIDAS!$G1465),PARTIDAS!$F1465,CONCATENATE(PARTIDAS!$F1465," (",PARTIDAS!$G1465,")"))</f>
        <v>Toluol (tolueno)</v>
      </c>
      <c r="I1465" s="16" t="s">
        <v>9427</v>
      </c>
    </row>
    <row r="1466" spans="1:9" x14ac:dyDescent="0.25">
      <c r="A1466" s="16" t="s">
        <v>2458</v>
      </c>
      <c r="B1466" s="16" t="str">
        <f>TEXT(PARTIDA[[#This Row],[PARTIDA]],"0000000000")</f>
        <v>2707300000</v>
      </c>
      <c r="C1466" s="16" t="s">
        <v>815</v>
      </c>
      <c r="D1466" s="16" t="s">
        <v>816</v>
      </c>
      <c r="E1466" s="16" t="s">
        <v>817</v>
      </c>
      <c r="F1466" s="27" t="s">
        <v>10467</v>
      </c>
      <c r="G1466" s="27"/>
      <c r="H1466" s="16" t="str">
        <f>IF(ISBLANK(PARTIDAS!$G1466),PARTIDAS!$F1466,CONCATENATE(PARTIDAS!$F1466," (",PARTIDAS!$G1466,")"))</f>
        <v>Xilol (xilenos)</v>
      </c>
      <c r="I1466" s="16" t="s">
        <v>9427</v>
      </c>
    </row>
    <row r="1467" spans="1:9" x14ac:dyDescent="0.25">
      <c r="A1467" s="16" t="s">
        <v>2459</v>
      </c>
      <c r="B1467" s="16" t="str">
        <f>TEXT(PARTIDA[[#This Row],[PARTIDA]],"0000000000")</f>
        <v>2707400000</v>
      </c>
      <c r="C1467" s="16" t="s">
        <v>815</v>
      </c>
      <c r="D1467" s="16" t="s">
        <v>816</v>
      </c>
      <c r="E1467" s="16" t="s">
        <v>817</v>
      </c>
      <c r="F1467" s="27" t="s">
        <v>10468</v>
      </c>
      <c r="G1467" s="27"/>
      <c r="H1467" s="16" t="str">
        <f>IF(ISBLANK(PARTIDAS!$G1467),PARTIDAS!$F1467,CONCATENATE(PARTIDAS!$F1467," (",PARTIDAS!$G1467,")"))</f>
        <v>Naftaleno</v>
      </c>
      <c r="I1467" s="16" t="s">
        <v>9427</v>
      </c>
    </row>
    <row r="1468" spans="1:9" x14ac:dyDescent="0.25">
      <c r="A1468" s="16" t="s">
        <v>2460</v>
      </c>
      <c r="B1468" s="16" t="str">
        <f>TEXT(PARTIDA[[#This Row],[PARTIDA]],"0000000000")</f>
        <v>2707501000</v>
      </c>
      <c r="C1468" s="16" t="s">
        <v>815</v>
      </c>
      <c r="D1468" s="16" t="s">
        <v>816</v>
      </c>
      <c r="E1468" s="16" t="s">
        <v>817</v>
      </c>
      <c r="F1468" s="27" t="s">
        <v>10469</v>
      </c>
      <c r="G1468" s="27"/>
      <c r="H1468" s="16" t="str">
        <f>IF(ISBLANK(PARTIDAS!$G1468),PARTIDAS!$F1468,CONCATENATE(PARTIDAS!$F1468," (",PARTIDAS!$G1468,")"))</f>
        <v>Nafta disolvente</v>
      </c>
      <c r="I1468" s="16" t="s">
        <v>9427</v>
      </c>
    </row>
    <row r="1469" spans="1:9" x14ac:dyDescent="0.25">
      <c r="A1469" s="16" t="s">
        <v>2461</v>
      </c>
      <c r="B1469" s="16" t="str">
        <f>TEXT(PARTIDA[[#This Row],[PARTIDA]],"0000000000")</f>
        <v>2707509000</v>
      </c>
      <c r="C1469" s="16" t="s">
        <v>815</v>
      </c>
      <c r="D1469" s="16" t="s">
        <v>816</v>
      </c>
      <c r="E1469" s="16" t="s">
        <v>817</v>
      </c>
      <c r="F1469" s="27" t="s">
        <v>10470</v>
      </c>
      <c r="G1469" s="27"/>
      <c r="H1469" s="16" t="str">
        <f>IF(ISBLANK(PARTIDAS!$G1469),PARTIDAS!$F1469,CONCATENATE(PARTIDAS!$F1469," (",PARTIDAS!$G1469,")"))</f>
        <v>Aceites y demás productos de la destilación de los alquitranes de… (los demás)</v>
      </c>
      <c r="I1469" s="16" t="s">
        <v>9427</v>
      </c>
    </row>
    <row r="1470" spans="1:9" x14ac:dyDescent="0.25">
      <c r="A1470" s="16" t="s">
        <v>2462</v>
      </c>
      <c r="B1470" s="16" t="str">
        <f>TEXT(PARTIDA[[#This Row],[PARTIDA]],"0000000000")</f>
        <v>2707910000</v>
      </c>
      <c r="C1470" s="16" t="s">
        <v>815</v>
      </c>
      <c r="D1470" s="16" t="s">
        <v>816</v>
      </c>
      <c r="E1470" s="16" t="s">
        <v>817</v>
      </c>
      <c r="F1470" s="27" t="s">
        <v>10471</v>
      </c>
      <c r="G1470" s="27"/>
      <c r="H1470" s="16" t="str">
        <f>IF(ISBLANK(PARTIDAS!$G1470),PARTIDAS!$F1470,CONCATENATE(PARTIDAS!$F1470," (",PARTIDAS!$G1470,")"))</f>
        <v>Aceites de creosota</v>
      </c>
      <c r="I1470" s="16" t="s">
        <v>9427</v>
      </c>
    </row>
    <row r="1471" spans="1:9" x14ac:dyDescent="0.25">
      <c r="A1471" s="16" t="s">
        <v>2463</v>
      </c>
      <c r="B1471" s="16" t="str">
        <f>TEXT(PARTIDA[[#This Row],[PARTIDA]],"0000000000")</f>
        <v>2707991000</v>
      </c>
      <c r="C1471" s="16" t="s">
        <v>815</v>
      </c>
      <c r="D1471" s="16" t="s">
        <v>816</v>
      </c>
      <c r="E1471" s="16" t="s">
        <v>817</v>
      </c>
      <c r="F1471" s="27" t="s">
        <v>10472</v>
      </c>
      <c r="G1471" s="27"/>
      <c r="H1471" s="16" t="str">
        <f>IF(ISBLANK(PARTIDAS!$G1471),PARTIDAS!$F1471,CONCATENATE(PARTIDAS!$F1471," (",PARTIDAS!$G1471,")"))</f>
        <v>Aceites y demás productos de la destilación de los alquitranes de…, antraceno</v>
      </c>
      <c r="I1471" s="16" t="s">
        <v>9427</v>
      </c>
    </row>
    <row r="1472" spans="1:9" x14ac:dyDescent="0.25">
      <c r="A1472" s="16" t="s">
        <v>2464</v>
      </c>
      <c r="B1472" s="16" t="str">
        <f>TEXT(PARTIDA[[#This Row],[PARTIDA]],"0000000000")</f>
        <v>2707999000</v>
      </c>
      <c r="C1472" s="16" t="s">
        <v>815</v>
      </c>
      <c r="D1472" s="16" t="s">
        <v>816</v>
      </c>
      <c r="E1472" s="16" t="s">
        <v>817</v>
      </c>
      <c r="F1472" s="27" t="s">
        <v>10470</v>
      </c>
      <c r="G1472" s="27"/>
      <c r="H1472" s="16" t="str">
        <f>IF(ISBLANK(PARTIDAS!$G1472),PARTIDAS!$F1472,CONCATENATE(PARTIDAS!$F1472," (",PARTIDAS!$G1472,")"))</f>
        <v>Aceites y demás productos de la destilación de los alquitranes de… (los demás)</v>
      </c>
      <c r="I1472" s="16" t="s">
        <v>9427</v>
      </c>
    </row>
    <row r="1473" spans="1:9" x14ac:dyDescent="0.25">
      <c r="A1473" s="16" t="s">
        <v>2465</v>
      </c>
      <c r="B1473" s="16" t="str">
        <f>TEXT(PARTIDA[[#This Row],[PARTIDA]],"0000000000")</f>
        <v>2708100000</v>
      </c>
      <c r="C1473" s="16" t="s">
        <v>815</v>
      </c>
      <c r="D1473" s="16" t="s">
        <v>816</v>
      </c>
      <c r="E1473" s="16" t="s">
        <v>817</v>
      </c>
      <c r="F1473" s="27" t="s">
        <v>10473</v>
      </c>
      <c r="G1473" s="27"/>
      <c r="H1473" s="16" t="str">
        <f>IF(ISBLANK(PARTIDAS!$G1473),PARTIDAS!$F1473,CONCATENATE(PARTIDAS!$F1473," (",PARTIDAS!$G1473,")"))</f>
        <v>Brea</v>
      </c>
      <c r="I1473" s="16" t="s">
        <v>9427</v>
      </c>
    </row>
    <row r="1474" spans="1:9" x14ac:dyDescent="0.25">
      <c r="A1474" s="16" t="s">
        <v>2466</v>
      </c>
      <c r="B1474" s="16" t="str">
        <f>TEXT(PARTIDA[[#This Row],[PARTIDA]],"0000000000")</f>
        <v>2708200000</v>
      </c>
      <c r="C1474" s="16" t="s">
        <v>815</v>
      </c>
      <c r="D1474" s="16" t="s">
        <v>816</v>
      </c>
      <c r="E1474" s="16" t="s">
        <v>817</v>
      </c>
      <c r="F1474" s="27" t="s">
        <v>10474</v>
      </c>
      <c r="G1474" s="27"/>
      <c r="H1474" s="16" t="str">
        <f>IF(ISBLANK(PARTIDAS!$G1474),PARTIDAS!$F1474,CONCATENATE(PARTIDAS!$F1474," (",PARTIDAS!$G1474,")"))</f>
        <v>Coque de brea</v>
      </c>
      <c r="I1474" s="16" t="s">
        <v>9427</v>
      </c>
    </row>
    <row r="1475" spans="1:9" x14ac:dyDescent="0.25">
      <c r="A1475" s="16" t="s">
        <v>2467</v>
      </c>
      <c r="B1475" s="16" t="str">
        <f>TEXT(PARTIDA[[#This Row],[PARTIDA]],"0000000000")</f>
        <v>2709000000</v>
      </c>
      <c r="C1475" s="16" t="s">
        <v>815</v>
      </c>
      <c r="D1475" s="16" t="s">
        <v>816</v>
      </c>
      <c r="E1475" s="16" t="s">
        <v>827</v>
      </c>
      <c r="F1475" s="27" t="s">
        <v>2468</v>
      </c>
      <c r="G1475" s="27"/>
      <c r="H1475" s="16" t="str">
        <f>IF(ISBLANK(PARTIDAS!$G1475),PARTIDAS!$F1475,CONCATENATE(PARTIDAS!$F1475," (",PARTIDAS!$G1475,")"))</f>
        <v>Barriles de petróleo crudo</v>
      </c>
      <c r="I1475" s="16" t="s">
        <v>9427</v>
      </c>
    </row>
    <row r="1476" spans="1:9" x14ac:dyDescent="0.25">
      <c r="A1476" s="16" t="s">
        <v>2469</v>
      </c>
      <c r="B1476" s="16" t="str">
        <f>TEXT(PARTIDA[[#This Row],[PARTIDA]],"0000000000")</f>
        <v>2710121100</v>
      </c>
      <c r="C1476" s="16" t="s">
        <v>815</v>
      </c>
      <c r="D1476" s="16" t="s">
        <v>816</v>
      </c>
      <c r="E1476" s="16" t="s">
        <v>819</v>
      </c>
      <c r="F1476" s="27" t="s">
        <v>10475</v>
      </c>
      <c r="G1476" s="27"/>
      <c r="H1476" s="16" t="str">
        <f>IF(ISBLANK(PARTIDAS!$G1476),PARTIDAS!$F1476,CONCATENATE(PARTIDAS!$F1476," (",PARTIDAS!$G1476,")"))</f>
        <v>Gasolinas sin tetraetilo de plomo, para motores de aviación</v>
      </c>
      <c r="I1476" s="16" t="s">
        <v>9427</v>
      </c>
    </row>
    <row r="1477" spans="1:9" x14ac:dyDescent="0.25">
      <c r="A1477" s="16" t="s">
        <v>2470</v>
      </c>
      <c r="B1477" s="16" t="str">
        <f>TEXT(PARTIDA[[#This Row],[PARTIDA]],"0000000000")</f>
        <v>2710121310</v>
      </c>
      <c r="C1477" s="16" t="s">
        <v>815</v>
      </c>
      <c r="D1477" s="16" t="s">
        <v>816</v>
      </c>
      <c r="E1477" s="16" t="s">
        <v>819</v>
      </c>
      <c r="F1477" s="27" t="s">
        <v>10476</v>
      </c>
      <c r="G1477" s="27"/>
      <c r="H1477" s="16" t="str">
        <f>IF(ISBLANK(PARTIDAS!$G1477),PARTIDAS!$F1477,CONCATENATE(PARTIDAS!$F1477," (",PARTIDAS!$G1477,")"))</f>
        <v>Gasolinas sin tetraetilo de plomo, para motores de vehículos automóviles, con un Número de Octano Research (RON) inferior a 84</v>
      </c>
      <c r="I1477" s="16" t="s">
        <v>9427</v>
      </c>
    </row>
    <row r="1478" spans="1:9" x14ac:dyDescent="0.25">
      <c r="A1478" s="16" t="s">
        <v>2471</v>
      </c>
      <c r="B1478" s="16" t="str">
        <f>TEXT(PARTIDA[[#This Row],[PARTIDA]],"0000000000")</f>
        <v>2710121321</v>
      </c>
      <c r="C1478" s="16" t="s">
        <v>815</v>
      </c>
      <c r="D1478" s="16" t="s">
        <v>816</v>
      </c>
      <c r="E1478" s="16" t="s">
        <v>819</v>
      </c>
      <c r="F1478" s="27" t="s">
        <v>10477</v>
      </c>
      <c r="G1478" s="27"/>
      <c r="H1478" s="16" t="str">
        <f>IF(ISBLANK(PARTIDAS!$G1478),PARTIDAS!$F1478,CONCATENATE(PARTIDAS!$F1478," (",PARTIDAS!$G1478,")"))</f>
        <v>Gasolinas sin tetraetilo de plomo, para motores de vehículos automóviles, con un Número de Octano Research (RON) superior o igual a 84, pero…, con 7,8</v>
      </c>
      <c r="I1478" s="16" t="s">
        <v>9427</v>
      </c>
    </row>
    <row r="1479" spans="1:9" x14ac:dyDescent="0.25">
      <c r="A1479" s="16" t="s">
        <v>2472</v>
      </c>
      <c r="B1479" s="16" t="str">
        <f>TEXT(PARTIDA[[#This Row],[PARTIDA]],"0000000000")</f>
        <v>2710121329</v>
      </c>
      <c r="C1479" s="16" t="s">
        <v>815</v>
      </c>
      <c r="D1479" s="16" t="s">
        <v>816</v>
      </c>
      <c r="E1479" s="16" t="s">
        <v>819</v>
      </c>
      <c r="F1479" s="27" t="s">
        <v>10478</v>
      </c>
      <c r="G1479" s="27"/>
      <c r="H1479" s="16" t="str">
        <f>IF(ISBLANK(PARTIDAS!$G1479),PARTIDAS!$F1479,CONCATENATE(PARTIDAS!$F1479," (",PARTIDAS!$G1479,")"))</f>
        <v>Gasolinas sin tetraetilo de plomo, para motores de vehículos automóviles, con un Número de Octano Research (RON) superior o igual a 84, pero… (los dem</v>
      </c>
      <c r="I1479" s="16" t="s">
        <v>9427</v>
      </c>
    </row>
    <row r="1480" spans="1:9" x14ac:dyDescent="0.25">
      <c r="A1480" s="16" t="s">
        <v>2473</v>
      </c>
      <c r="B1480" s="16" t="str">
        <f>TEXT(PARTIDA[[#This Row],[PARTIDA]],"0000000000")</f>
        <v>2710121331</v>
      </c>
      <c r="C1480" s="16" t="s">
        <v>815</v>
      </c>
      <c r="D1480" s="16" t="s">
        <v>816</v>
      </c>
      <c r="E1480" s="16" t="s">
        <v>819</v>
      </c>
      <c r="F1480" s="27" t="s">
        <v>10479</v>
      </c>
      <c r="G1480" s="27"/>
      <c r="H1480" s="16" t="str">
        <f>IF(ISBLANK(PARTIDAS!$G1480),PARTIDAS!$F1480,CONCATENATE(PARTIDAS!$F1480," (",PARTIDAS!$G1480,")"))</f>
        <v>Gasolinas sin tetraetilo de plomo, para motores de vehículos automóviles, con un Número de Octano Research (RON) superior o igual a 90, pero…, con 7,8</v>
      </c>
      <c r="I1480" s="16" t="s">
        <v>9427</v>
      </c>
    </row>
    <row r="1481" spans="1:9" x14ac:dyDescent="0.25">
      <c r="A1481" s="16" t="s">
        <v>2474</v>
      </c>
      <c r="B1481" s="16" t="str">
        <f>TEXT(PARTIDA[[#This Row],[PARTIDA]],"0000000000")</f>
        <v>2710121339</v>
      </c>
      <c r="C1481" s="16" t="s">
        <v>815</v>
      </c>
      <c r="D1481" s="16" t="s">
        <v>816</v>
      </c>
      <c r="E1481" s="16" t="s">
        <v>819</v>
      </c>
      <c r="F1481" s="27" t="s">
        <v>10480</v>
      </c>
      <c r="G1481" s="27"/>
      <c r="H1481" s="16" t="str">
        <f>IF(ISBLANK(PARTIDAS!$G1481),PARTIDAS!$F1481,CONCATENATE(PARTIDAS!$F1481," (",PARTIDAS!$G1481,")"))</f>
        <v>Gasolinas sin tetraetilo de plomo, para motores de vehículos automóviles, con un Número de Octano Research (RON) superior o igual a 90, pero… (los dem</v>
      </c>
      <c r="I1481" s="16" t="s">
        <v>9427</v>
      </c>
    </row>
    <row r="1482" spans="1:9" x14ac:dyDescent="0.25">
      <c r="A1482" s="16" t="s">
        <v>2475</v>
      </c>
      <c r="B1482" s="16" t="str">
        <f>TEXT(PARTIDA[[#This Row],[PARTIDA]],"0000000000")</f>
        <v>2710121341</v>
      </c>
      <c r="C1482" s="16" t="s">
        <v>815</v>
      </c>
      <c r="D1482" s="16" t="s">
        <v>816</v>
      </c>
      <c r="E1482" s="16" t="s">
        <v>819</v>
      </c>
      <c r="F1482" s="27" t="s">
        <v>10481</v>
      </c>
      <c r="G1482" s="27"/>
      <c r="H1482" s="16" t="str">
        <f>IF(ISBLANK(PARTIDAS!$G1482),PARTIDAS!$F1482,CONCATENATE(PARTIDAS!$F1482," (",PARTIDAS!$G1482,")"))</f>
        <v>Gasolinas sin tetraetilo de plomo, para motores de vehículos automóviles, con un Número de Octano Research (RON) superior o igual a 95, pero…, con 7,8</v>
      </c>
      <c r="I1482" s="16" t="s">
        <v>9427</v>
      </c>
    </row>
    <row r="1483" spans="1:9" x14ac:dyDescent="0.25">
      <c r="A1483" s="16" t="s">
        <v>2476</v>
      </c>
      <c r="B1483" s="16" t="str">
        <f>TEXT(PARTIDA[[#This Row],[PARTIDA]],"0000000000")</f>
        <v>2710121349</v>
      </c>
      <c r="C1483" s="16" t="s">
        <v>815</v>
      </c>
      <c r="D1483" s="16" t="s">
        <v>816</v>
      </c>
      <c r="E1483" s="16" t="s">
        <v>819</v>
      </c>
      <c r="F1483" s="27" t="s">
        <v>10482</v>
      </c>
      <c r="G1483" s="27"/>
      <c r="H1483" s="16" t="str">
        <f>IF(ISBLANK(PARTIDAS!$G1483),PARTIDAS!$F1483,CONCATENATE(PARTIDAS!$F1483," (",PARTIDAS!$G1483,")"))</f>
        <v>Gasolinas sin tetraetilo de plomo, para motores de vehículos automóviles, con un Número de Octano Research (RON) superior o igual a 95, pero… (los dem</v>
      </c>
      <c r="I1483" s="16" t="s">
        <v>9427</v>
      </c>
    </row>
    <row r="1484" spans="1:9" x14ac:dyDescent="0.25">
      <c r="A1484" s="16" t="s">
        <v>2477</v>
      </c>
      <c r="B1484" s="16" t="str">
        <f>TEXT(PARTIDA[[#This Row],[PARTIDA]],"0000000000")</f>
        <v>2710121351</v>
      </c>
      <c r="C1484" s="16" t="s">
        <v>815</v>
      </c>
      <c r="D1484" s="16" t="s">
        <v>816</v>
      </c>
      <c r="E1484" s="16" t="s">
        <v>819</v>
      </c>
      <c r="F1484" s="27" t="s">
        <v>10483</v>
      </c>
      <c r="G1484" s="27"/>
      <c r="H1484" s="16" t="str">
        <f>IF(ISBLANK(PARTIDAS!$G1484),PARTIDAS!$F1484,CONCATENATE(PARTIDAS!$F1484," (",PARTIDAS!$G1484,")"))</f>
        <v>Gasolinas sin tetraetilo de plomo, para motores de vehículos automóviles, con un Número de Octano Research (RON) superior o igual a 97, con 7,8 % en v</v>
      </c>
      <c r="I1484" s="16" t="s">
        <v>9427</v>
      </c>
    </row>
    <row r="1485" spans="1:9" x14ac:dyDescent="0.25">
      <c r="A1485" s="16" t="s">
        <v>2478</v>
      </c>
      <c r="B1485" s="16" t="str">
        <f>TEXT(PARTIDA[[#This Row],[PARTIDA]],"0000000000")</f>
        <v>2710121359</v>
      </c>
      <c r="C1485" s="16" t="s">
        <v>815</v>
      </c>
      <c r="D1485" s="16" t="s">
        <v>816</v>
      </c>
      <c r="E1485" s="16" t="s">
        <v>819</v>
      </c>
      <c r="F1485" s="27" t="s">
        <v>2479</v>
      </c>
      <c r="G1485" s="27"/>
      <c r="H1485" s="16" t="str">
        <f>IF(ISBLANK(PARTIDAS!$G1485),PARTIDAS!$F1485,CONCATENATE(PARTIDAS!$F1485," (",PARTIDAS!$G1485,")"))</f>
        <v>Barriles de combustible</v>
      </c>
      <c r="I1485" s="16" t="s">
        <v>9427</v>
      </c>
    </row>
    <row r="1486" spans="1:9" x14ac:dyDescent="0.25">
      <c r="A1486" s="16" t="s">
        <v>2480</v>
      </c>
      <c r="B1486" s="16" t="str">
        <f>TEXT(PARTIDA[[#This Row],[PARTIDA]],"0000000000")</f>
        <v>2710121900</v>
      </c>
      <c r="C1486" s="16" t="s">
        <v>815</v>
      </c>
      <c r="D1486" s="16" t="s">
        <v>816</v>
      </c>
      <c r="E1486" s="16" t="s">
        <v>819</v>
      </c>
      <c r="F1486" s="27" t="s">
        <v>2481</v>
      </c>
      <c r="G1486" s="27"/>
      <c r="H1486" s="16" t="str">
        <f>IF(ISBLANK(PARTIDAS!$G1486),PARTIDAS!$F1486,CONCATENATE(PARTIDAS!$F1486," (",PARTIDAS!$G1486,")"))</f>
        <v>Muestra para análisis de combustible</v>
      </c>
      <c r="I1486" s="16" t="s">
        <v>9427</v>
      </c>
    </row>
    <row r="1487" spans="1:9" x14ac:dyDescent="0.25">
      <c r="A1487" s="16" t="s">
        <v>2482</v>
      </c>
      <c r="B1487" s="16" t="str">
        <f>TEXT(PARTIDA[[#This Row],[PARTIDA]],"0000000000")</f>
        <v>2710122000</v>
      </c>
      <c r="C1487" s="16" t="s">
        <v>815</v>
      </c>
      <c r="D1487" s="16" t="s">
        <v>816</v>
      </c>
      <c r="E1487" s="16" t="s">
        <v>819</v>
      </c>
      <c r="F1487" s="27" t="s">
        <v>10484</v>
      </c>
      <c r="G1487" s="27"/>
      <c r="H1487" s="16" t="str">
        <f>IF(ISBLANK(PARTIDAS!$G1487),PARTIDAS!$F1487,CONCATENATE(PARTIDAS!$F1487," (",PARTIDAS!$G1487,")"))</f>
        <v>Gasolinas con tetraetilo de plomo</v>
      </c>
      <c r="I1487" s="16" t="s">
        <v>9427</v>
      </c>
    </row>
    <row r="1488" spans="1:9" x14ac:dyDescent="0.25">
      <c r="A1488" s="16" t="s">
        <v>2483</v>
      </c>
      <c r="B1488" s="16" t="str">
        <f>TEXT(PARTIDA[[#This Row],[PARTIDA]],"0000000000")</f>
        <v>2710129100</v>
      </c>
      <c r="C1488" s="16" t="s">
        <v>815</v>
      </c>
      <c r="D1488" s="16" t="s">
        <v>816</v>
      </c>
      <c r="E1488" s="16" t="s">
        <v>819</v>
      </c>
      <c r="F1488" s="27" t="s">
        <v>10485</v>
      </c>
      <c r="G1488" s="27"/>
      <c r="H1488" s="16" t="str">
        <f>IF(ISBLANK(PARTIDAS!$G1488),PARTIDAS!$F1488,CONCATENATE(PARTIDAS!$F1488," (",PARTIDAS!$G1488,")"))</f>
        <v>Espíritu de petróleo («White Spirit»)</v>
      </c>
      <c r="I1488" s="16" t="s">
        <v>9427</v>
      </c>
    </row>
    <row r="1489" spans="1:9" x14ac:dyDescent="0.25">
      <c r="A1489" s="16" t="s">
        <v>2484</v>
      </c>
      <c r="B1489" s="16" t="str">
        <f>TEXT(PARTIDA[[#This Row],[PARTIDA]],"0000000000")</f>
        <v>2710129200</v>
      </c>
      <c r="C1489" s="16" t="s">
        <v>815</v>
      </c>
      <c r="D1489" s="16" t="s">
        <v>816</v>
      </c>
      <c r="E1489" s="16" t="s">
        <v>819</v>
      </c>
      <c r="F1489" s="27" t="s">
        <v>10486</v>
      </c>
      <c r="G1489" s="27"/>
      <c r="H1489" s="16" t="str">
        <f>IF(ISBLANK(PARTIDAS!$G1489),PARTIDAS!$F1489,CONCATENATE(PARTIDAS!$F1489," (",PARTIDAS!$G1489,")"))</f>
        <v>Carburorreactores tipo gasolina, para reactores y turbinas</v>
      </c>
      <c r="I1489" s="16" t="s">
        <v>9427</v>
      </c>
    </row>
    <row r="1490" spans="1:9" x14ac:dyDescent="0.25">
      <c r="A1490" s="16" t="s">
        <v>2485</v>
      </c>
      <c r="B1490" s="16" t="str">
        <f>TEXT(PARTIDA[[#This Row],[PARTIDA]],"0000000000")</f>
        <v>2710129300</v>
      </c>
      <c r="C1490" s="16" t="s">
        <v>815</v>
      </c>
      <c r="D1490" s="16" t="s">
        <v>816</v>
      </c>
      <c r="E1490" s="16" t="s">
        <v>819</v>
      </c>
      <c r="F1490" s="27" t="s">
        <v>10487</v>
      </c>
      <c r="G1490" s="27"/>
      <c r="H1490" s="16" t="str">
        <f>IF(ISBLANK(PARTIDAS!$G1490),PARTIDAS!$F1490,CONCATENATE(PARTIDAS!$F1490," (",PARTIDAS!$G1490,")"))</f>
        <v>Aceites livianos (ligeros) y preparaciones, tetrapropileno</v>
      </c>
      <c r="I1490" s="16" t="s">
        <v>9427</v>
      </c>
    </row>
    <row r="1491" spans="1:9" x14ac:dyDescent="0.25">
      <c r="A1491" s="16" t="s">
        <v>2486</v>
      </c>
      <c r="B1491" s="16" t="str">
        <f>TEXT(PARTIDA[[#This Row],[PARTIDA]],"0000000000")</f>
        <v>2710129400</v>
      </c>
      <c r="C1491" s="16" t="s">
        <v>815</v>
      </c>
      <c r="D1491" s="16" t="s">
        <v>816</v>
      </c>
      <c r="E1491" s="16" t="s">
        <v>819</v>
      </c>
      <c r="F1491" s="27" t="s">
        <v>10488</v>
      </c>
      <c r="G1491" s="27"/>
      <c r="H1491" s="16" t="str">
        <f>IF(ISBLANK(PARTIDAS!$G1491),PARTIDAS!$F1491,CONCATENATE(PARTIDAS!$F1491," (",PARTIDAS!$G1491,")"))</f>
        <v>Mezclas de n-parafinas</v>
      </c>
      <c r="I1491" s="16" t="s">
        <v>9427</v>
      </c>
    </row>
    <row r="1492" spans="1:9" x14ac:dyDescent="0.25">
      <c r="A1492" s="16" t="s">
        <v>2487</v>
      </c>
      <c r="B1492" s="16" t="str">
        <f>TEXT(PARTIDA[[#This Row],[PARTIDA]],"0000000000")</f>
        <v>2710129500</v>
      </c>
      <c r="C1492" s="16" t="s">
        <v>815</v>
      </c>
      <c r="D1492" s="16" t="s">
        <v>816</v>
      </c>
      <c r="E1492" s="16" t="s">
        <v>819</v>
      </c>
      <c r="F1492" s="27" t="s">
        <v>10489</v>
      </c>
      <c r="G1492" s="27"/>
      <c r="H1492" s="16" t="str">
        <f>IF(ISBLANK(PARTIDAS!$G1492),PARTIDAS!$F1492,CONCATENATE(PARTIDAS!$F1492," (",PARTIDAS!$G1492,")"))</f>
        <v>Mezclas de n-olefinas</v>
      </c>
      <c r="I1492" s="16" t="s">
        <v>9427</v>
      </c>
    </row>
    <row r="1493" spans="1:9" x14ac:dyDescent="0.25">
      <c r="A1493" s="16" t="s">
        <v>2488</v>
      </c>
      <c r="B1493" s="16" t="str">
        <f>TEXT(PARTIDA[[#This Row],[PARTIDA]],"0000000000")</f>
        <v>2710129900</v>
      </c>
      <c r="C1493" s="16" t="s">
        <v>815</v>
      </c>
      <c r="D1493" s="16" t="s">
        <v>816</v>
      </c>
      <c r="E1493" s="16" t="s">
        <v>819</v>
      </c>
      <c r="F1493" s="27" t="s">
        <v>10490</v>
      </c>
      <c r="G1493" s="27"/>
      <c r="H1493" s="16" t="str">
        <f>IF(ISBLANK(PARTIDAS!$G1493),PARTIDAS!$F1493,CONCATENATE(PARTIDAS!$F1493," (",PARTIDAS!$G1493,")"))</f>
        <v>Aceites livianos (ligeros) y preparaciones (los demás)</v>
      </c>
      <c r="I1493" s="16" t="s">
        <v>9427</v>
      </c>
    </row>
    <row r="1494" spans="1:9" x14ac:dyDescent="0.25">
      <c r="A1494" s="16" t="s">
        <v>2489</v>
      </c>
      <c r="B1494" s="16" t="str">
        <f>TEXT(PARTIDA[[#This Row],[PARTIDA]],"0000000000")</f>
        <v>2710191200</v>
      </c>
      <c r="C1494" s="16" t="s">
        <v>815</v>
      </c>
      <c r="D1494" s="16" t="s">
        <v>816</v>
      </c>
      <c r="E1494" s="16" t="s">
        <v>819</v>
      </c>
      <c r="F1494" s="27" t="s">
        <v>10488</v>
      </c>
      <c r="G1494" s="27"/>
      <c r="H1494" s="16" t="str">
        <f>IF(ISBLANK(PARTIDAS!$G1494),PARTIDAS!$F1494,CONCATENATE(PARTIDAS!$F1494," (",PARTIDAS!$G1494,")"))</f>
        <v>Mezclas de n-parafinas</v>
      </c>
      <c r="I1494" s="16" t="s">
        <v>9427</v>
      </c>
    </row>
    <row r="1495" spans="1:9" x14ac:dyDescent="0.25">
      <c r="A1495" s="16" t="s">
        <v>2490</v>
      </c>
      <c r="B1495" s="16" t="str">
        <f>TEXT(PARTIDA[[#This Row],[PARTIDA]],"0000000000")</f>
        <v>2710191300</v>
      </c>
      <c r="C1495" s="16" t="s">
        <v>815</v>
      </c>
      <c r="D1495" s="16" t="s">
        <v>816</v>
      </c>
      <c r="E1495" s="16" t="s">
        <v>819</v>
      </c>
      <c r="F1495" s="27" t="s">
        <v>10489</v>
      </c>
      <c r="G1495" s="27"/>
      <c r="H1495" s="16" t="str">
        <f>IF(ISBLANK(PARTIDAS!$G1495),PARTIDAS!$F1495,CONCATENATE(PARTIDAS!$F1495," (",PARTIDAS!$G1495,")"))</f>
        <v>Mezclas de n-olefinas</v>
      </c>
      <c r="I1495" s="16" t="s">
        <v>9427</v>
      </c>
    </row>
    <row r="1496" spans="1:9" x14ac:dyDescent="0.25">
      <c r="A1496" s="16" t="s">
        <v>2491</v>
      </c>
      <c r="B1496" s="16" t="str">
        <f>TEXT(PARTIDA[[#This Row],[PARTIDA]],"0000000000")</f>
        <v>2710191400</v>
      </c>
      <c r="C1496" s="16" t="s">
        <v>815</v>
      </c>
      <c r="D1496" s="16" t="s">
        <v>816</v>
      </c>
      <c r="E1496" s="16" t="s">
        <v>819</v>
      </c>
      <c r="F1496" s="27" t="s">
        <v>10491</v>
      </c>
      <c r="G1496" s="27"/>
      <c r="H1496" s="16" t="str">
        <f>IF(ISBLANK(PARTIDAS!$G1496),PARTIDAS!$F1496,CONCATENATE(PARTIDAS!$F1496," (",PARTIDAS!$G1496,")"))</f>
        <v>Aceites medios y preparaciones, queroseno</v>
      </c>
      <c r="I1496" s="16" t="s">
        <v>9427</v>
      </c>
    </row>
    <row r="1497" spans="1:9" x14ac:dyDescent="0.25">
      <c r="A1497" s="16" t="s">
        <v>2492</v>
      </c>
      <c r="B1497" s="16" t="str">
        <f>TEXT(PARTIDA[[#This Row],[PARTIDA]],"0000000000")</f>
        <v>2710191510</v>
      </c>
      <c r="C1497" s="16" t="s">
        <v>815</v>
      </c>
      <c r="D1497" s="16" t="s">
        <v>816</v>
      </c>
      <c r="E1497" s="16" t="s">
        <v>819</v>
      </c>
      <c r="F1497" s="27" t="s">
        <v>2479</v>
      </c>
      <c r="G1497" s="27"/>
      <c r="H1497" s="16" t="str">
        <f>IF(ISBLANK(PARTIDAS!$G1497),PARTIDAS!$F1497,CONCATENATE(PARTIDAS!$F1497," (",PARTIDAS!$G1497,")"))</f>
        <v>Barriles de combustible</v>
      </c>
      <c r="I1497" s="16" t="s">
        <v>9427</v>
      </c>
    </row>
    <row r="1498" spans="1:9" x14ac:dyDescent="0.25">
      <c r="A1498" s="16" t="s">
        <v>2493</v>
      </c>
      <c r="B1498" s="16" t="str">
        <f>TEXT(PARTIDA[[#This Row],[PARTIDA]],"0000000000")</f>
        <v>2710191590</v>
      </c>
      <c r="C1498" s="16" t="s">
        <v>815</v>
      </c>
      <c r="D1498" s="16" t="s">
        <v>816</v>
      </c>
      <c r="E1498" s="16" t="s">
        <v>819</v>
      </c>
      <c r="F1498" s="27" t="s">
        <v>10492</v>
      </c>
      <c r="G1498" s="27"/>
      <c r="H1498" s="16" t="str">
        <f>IF(ISBLANK(PARTIDAS!$G1498),PARTIDAS!$F1498,CONCATENATE(PARTIDAS!$F1498," (",PARTIDAS!$G1498,")"))</f>
        <v>Carburorreactores tipo queroseno para reactores y turbinas (los demás)</v>
      </c>
      <c r="I1498" s="16" t="s">
        <v>9427</v>
      </c>
    </row>
    <row r="1499" spans="1:9" x14ac:dyDescent="0.25">
      <c r="A1499" s="16" t="s">
        <v>2494</v>
      </c>
      <c r="B1499" s="16" t="str">
        <f>TEXT(PARTIDA[[#This Row],[PARTIDA]],"0000000000")</f>
        <v>2710191900</v>
      </c>
      <c r="C1499" s="16" t="s">
        <v>815</v>
      </c>
      <c r="D1499" s="16" t="s">
        <v>816</v>
      </c>
      <c r="E1499" s="16" t="s">
        <v>819</v>
      </c>
      <c r="F1499" s="27" t="s">
        <v>10493</v>
      </c>
      <c r="G1499" s="27"/>
      <c r="H1499" s="16" t="str">
        <f>IF(ISBLANK(PARTIDAS!$G1499),PARTIDAS!$F1499,CONCATENATE(PARTIDAS!$F1499," (",PARTIDAS!$G1499,")"))</f>
        <v>Aceites medios y preparaciones (los demás)</v>
      </c>
      <c r="I1499" s="16" t="s">
        <v>9427</v>
      </c>
    </row>
    <row r="1500" spans="1:9" x14ac:dyDescent="0.25">
      <c r="A1500" s="16" t="s">
        <v>2495</v>
      </c>
      <c r="B1500" s="16" t="str">
        <f>TEXT(PARTIDA[[#This Row],[PARTIDA]],"0000000000")</f>
        <v>2710192111</v>
      </c>
      <c r="C1500" s="16" t="s">
        <v>815</v>
      </c>
      <c r="D1500" s="16" t="s">
        <v>816</v>
      </c>
      <c r="E1500" s="16" t="s">
        <v>819</v>
      </c>
      <c r="F1500" s="27" t="s">
        <v>10494</v>
      </c>
      <c r="G1500" s="27"/>
      <c r="H1500" s="16" t="str">
        <f>IF(ISBLANK(PARTIDAS!$G1500),PARTIDAS!$F1500,CONCATENATE(PARTIDAS!$F1500," (",PARTIDAS!$G1500,")"))</f>
        <v>Diesel 2, con un contenido de azufre menor o igual a 50 ppm</v>
      </c>
      <c r="I1500" s="16" t="s">
        <v>9427</v>
      </c>
    </row>
    <row r="1501" spans="1:9" x14ac:dyDescent="0.25">
      <c r="A1501" s="16" t="s">
        <v>2496</v>
      </c>
      <c r="B1501" s="16" t="str">
        <f>TEXT(PARTIDA[[#This Row],[PARTIDA]],"0000000000")</f>
        <v>2710192119</v>
      </c>
      <c r="C1501" s="16" t="s">
        <v>815</v>
      </c>
      <c r="D1501" s="16" t="s">
        <v>816</v>
      </c>
      <c r="E1501" s="16" t="s">
        <v>819</v>
      </c>
      <c r="F1501" s="27" t="s">
        <v>2479</v>
      </c>
      <c r="G1501" s="27"/>
      <c r="H1501" s="16" t="str">
        <f>IF(ISBLANK(PARTIDAS!$G1501),PARTIDAS!$F1501,CONCATENATE(PARTIDAS!$F1501," (",PARTIDAS!$G1501,")"))</f>
        <v>Barriles de combustible</v>
      </c>
      <c r="I1501" s="16" t="s">
        <v>9427</v>
      </c>
    </row>
    <row r="1502" spans="1:9" x14ac:dyDescent="0.25">
      <c r="A1502" s="16" t="s">
        <v>2497</v>
      </c>
      <c r="B1502" s="16" t="str">
        <f>TEXT(PARTIDA[[#This Row],[PARTIDA]],"0000000000")</f>
        <v>2710192191</v>
      </c>
      <c r="C1502" s="16" t="s">
        <v>815</v>
      </c>
      <c r="D1502" s="16" t="s">
        <v>816</v>
      </c>
      <c r="E1502" s="16" t="s">
        <v>819</v>
      </c>
      <c r="F1502" s="27" t="s">
        <v>10495</v>
      </c>
      <c r="G1502" s="27"/>
      <c r="H1502" s="16" t="str">
        <f>IF(ISBLANK(PARTIDAS!$G1502),PARTIDAS!$F1502,CONCATENATE(PARTIDAS!$F1502," (",PARTIDAS!$G1502,")"))</f>
        <v>Gasoils (gasóleo), con un contenido de azufre menor o igual a 50 ppm</v>
      </c>
      <c r="I1502" s="16" t="s">
        <v>9427</v>
      </c>
    </row>
    <row r="1503" spans="1:9" x14ac:dyDescent="0.25">
      <c r="A1503" s="16" t="s">
        <v>2498</v>
      </c>
      <c r="B1503" s="16" t="str">
        <f>TEXT(PARTIDA[[#This Row],[PARTIDA]],"0000000000")</f>
        <v>2710192199</v>
      </c>
      <c r="C1503" s="16" t="s">
        <v>815</v>
      </c>
      <c r="D1503" s="16" t="s">
        <v>816</v>
      </c>
      <c r="E1503" s="16" t="s">
        <v>819</v>
      </c>
      <c r="F1503" s="27" t="s">
        <v>10496</v>
      </c>
      <c r="G1503" s="27"/>
      <c r="H1503" s="16" t="str">
        <f>IF(ISBLANK(PARTIDAS!$G1503),PARTIDAS!$F1503,CONCATENATE(PARTIDAS!$F1503," (",PARTIDAS!$G1503,")"))</f>
        <v>Gasoils (gasóleo) (los demás)</v>
      </c>
      <c r="I1503" s="16" t="s">
        <v>9427</v>
      </c>
    </row>
    <row r="1504" spans="1:9" x14ac:dyDescent="0.25">
      <c r="A1504" s="16" t="s">
        <v>2499</v>
      </c>
      <c r="B1504" s="16" t="str">
        <f>TEXT(PARTIDA[[#This Row],[PARTIDA]],"0000000000")</f>
        <v>2710192210</v>
      </c>
      <c r="C1504" s="16" t="s">
        <v>815</v>
      </c>
      <c r="D1504" s="16" t="s">
        <v>816</v>
      </c>
      <c r="E1504" s="16" t="s">
        <v>819</v>
      </c>
      <c r="F1504" s="27" t="s">
        <v>2479</v>
      </c>
      <c r="G1504" s="27"/>
      <c r="H1504" s="16" t="str">
        <f>IF(ISBLANK(PARTIDAS!$G1504),PARTIDAS!$F1504,CONCATENATE(PARTIDAS!$F1504," (",PARTIDAS!$G1504,")"))</f>
        <v>Barriles de combustible</v>
      </c>
      <c r="I1504" s="16" t="s">
        <v>9427</v>
      </c>
    </row>
    <row r="1505" spans="1:9" x14ac:dyDescent="0.25">
      <c r="A1505" s="16" t="s">
        <v>2500</v>
      </c>
      <c r="B1505" s="16" t="str">
        <f>TEXT(PARTIDA[[#This Row],[PARTIDA]],"0000000000")</f>
        <v>2710192290</v>
      </c>
      <c r="C1505" s="16" t="s">
        <v>815</v>
      </c>
      <c r="D1505" s="16" t="s">
        <v>816</v>
      </c>
      <c r="E1505" s="16" t="s">
        <v>819</v>
      </c>
      <c r="F1505" s="27" t="s">
        <v>10497</v>
      </c>
      <c r="G1505" s="27"/>
      <c r="H1505" s="16" t="str">
        <f>IF(ISBLANK(PARTIDAS!$G1505),PARTIDAS!$F1505,CONCATENATE(PARTIDAS!$F1505," (",PARTIDAS!$G1505,")"))</f>
        <v>Fueloils (fuel) (los demás)</v>
      </c>
      <c r="I1505" s="16" t="s">
        <v>9427</v>
      </c>
    </row>
    <row r="1506" spans="1:9" x14ac:dyDescent="0.25">
      <c r="A1506" s="16" t="s">
        <v>2501</v>
      </c>
      <c r="B1506" s="16" t="str">
        <f>TEXT(PARTIDA[[#This Row],[PARTIDA]],"0000000000")</f>
        <v>2710192900</v>
      </c>
      <c r="C1506" s="16" t="s">
        <v>815</v>
      </c>
      <c r="D1506" s="16" t="s">
        <v>816</v>
      </c>
      <c r="E1506" s="16" t="s">
        <v>819</v>
      </c>
      <c r="F1506" s="27" t="s">
        <v>10498</v>
      </c>
      <c r="G1506" s="27"/>
      <c r="H1506" s="16" t="str">
        <f>IF(ISBLANK(PARTIDAS!$G1506),PARTIDAS!$F1506,CONCATENATE(PARTIDAS!$F1506," (",PARTIDAS!$G1506,")"))</f>
        <v>Aceites pesados (los demás)</v>
      </c>
      <c r="I1506" s="16" t="s">
        <v>9427</v>
      </c>
    </row>
    <row r="1507" spans="1:9" x14ac:dyDescent="0.25">
      <c r="A1507" s="16" t="s">
        <v>2502</v>
      </c>
      <c r="B1507" s="16" t="str">
        <f>TEXT(PARTIDA[[#This Row],[PARTIDA]],"0000000000")</f>
        <v>2710193100</v>
      </c>
      <c r="C1507" s="16" t="s">
        <v>815</v>
      </c>
      <c r="D1507" s="16" t="s">
        <v>816</v>
      </c>
      <c r="E1507" s="16" t="s">
        <v>819</v>
      </c>
      <c r="F1507" s="27" t="s">
        <v>10488</v>
      </c>
      <c r="G1507" s="27"/>
      <c r="H1507" s="16" t="str">
        <f>IF(ISBLANK(PARTIDAS!$G1507),PARTIDAS!$F1507,CONCATENATE(PARTIDAS!$F1507," (",PARTIDAS!$G1507,")"))</f>
        <v>Mezclas de n-parafinas</v>
      </c>
      <c r="I1507" s="16" t="s">
        <v>9427</v>
      </c>
    </row>
    <row r="1508" spans="1:9" x14ac:dyDescent="0.25">
      <c r="A1508" s="16" t="s">
        <v>2503</v>
      </c>
      <c r="B1508" s="16" t="str">
        <f>TEXT(PARTIDA[[#This Row],[PARTIDA]],"0000000000")</f>
        <v>2710193200</v>
      </c>
      <c r="C1508" s="16" t="s">
        <v>815</v>
      </c>
      <c r="D1508" s="16" t="s">
        <v>816</v>
      </c>
      <c r="E1508" s="16" t="s">
        <v>819</v>
      </c>
      <c r="F1508" s="27" t="s">
        <v>10489</v>
      </c>
      <c r="G1508" s="27"/>
      <c r="H1508" s="16" t="str">
        <f>IF(ISBLANK(PARTIDAS!$G1508),PARTIDAS!$F1508,CONCATENATE(PARTIDAS!$F1508," (",PARTIDAS!$G1508,")"))</f>
        <v>Mezclas de n-olefinas</v>
      </c>
      <c r="I1508" s="16" t="s">
        <v>9427</v>
      </c>
    </row>
    <row r="1509" spans="1:9" x14ac:dyDescent="0.25">
      <c r="A1509" s="16" t="s">
        <v>2504</v>
      </c>
      <c r="B1509" s="16" t="str">
        <f>TEXT(PARTIDA[[#This Row],[PARTIDA]],"0000000000")</f>
        <v>2710193300</v>
      </c>
      <c r="C1509" s="16" t="s">
        <v>815</v>
      </c>
      <c r="D1509" s="16" t="s">
        <v>816</v>
      </c>
      <c r="E1509" s="16" t="s">
        <v>819</v>
      </c>
      <c r="F1509" s="27" t="s">
        <v>10499</v>
      </c>
      <c r="G1509" s="27"/>
      <c r="H1509" s="16" t="str">
        <f>IF(ISBLANK(PARTIDAS!$G1509),PARTIDAS!$F1509,CONCATENATE(PARTIDAS!$F1509," (",PARTIDAS!$G1509,")"))</f>
        <v>Aceites para aislamiento eléctrico</v>
      </c>
      <c r="I1509" s="16" t="s">
        <v>9427</v>
      </c>
    </row>
    <row r="1510" spans="1:9" x14ac:dyDescent="0.25">
      <c r="A1510" s="16" t="s">
        <v>2505</v>
      </c>
      <c r="B1510" s="16" t="str">
        <f>TEXT(PARTIDA[[#This Row],[PARTIDA]],"0000000000")</f>
        <v>2710193400</v>
      </c>
      <c r="C1510" s="16" t="s">
        <v>815</v>
      </c>
      <c r="D1510" s="16" t="s">
        <v>816</v>
      </c>
      <c r="E1510" s="16" t="s">
        <v>821</v>
      </c>
      <c r="F1510" s="27" t="s">
        <v>2506</v>
      </c>
      <c r="G1510" s="27"/>
      <c r="H1510" s="16" t="str">
        <f>IF(ISBLANK(PARTIDAS!$G1510),PARTIDAS!$F1510,CONCATENATE(PARTIDAS!$F1510," (",PARTIDAS!$G1510,")"))</f>
        <v>Grasas lubricantes</v>
      </c>
      <c r="I1510" s="16" t="s">
        <v>9427</v>
      </c>
    </row>
    <row r="1511" spans="1:9" x14ac:dyDescent="0.25">
      <c r="A1511" s="16" t="s">
        <v>2507</v>
      </c>
      <c r="B1511" s="16" t="str">
        <f>TEXT(PARTIDA[[#This Row],[PARTIDA]],"0000000000")</f>
        <v>2710193500</v>
      </c>
      <c r="C1511" s="16" t="s">
        <v>815</v>
      </c>
      <c r="D1511" s="16" t="s">
        <v>816</v>
      </c>
      <c r="E1511" s="16" t="s">
        <v>821</v>
      </c>
      <c r="F1511" s="27" t="s">
        <v>2508</v>
      </c>
      <c r="G1511" s="27"/>
      <c r="H1511" s="16" t="str">
        <f>IF(ISBLANK(PARTIDAS!$G1511),PARTIDAS!$F1511,CONCATENATE(PARTIDAS!$F1511," (",PARTIDAS!$G1511,")"))</f>
        <v>Aceites base para lubricantes</v>
      </c>
      <c r="I1511" s="16" t="s">
        <v>9427</v>
      </c>
    </row>
    <row r="1512" spans="1:9" x14ac:dyDescent="0.25">
      <c r="A1512" s="16" t="s">
        <v>2509</v>
      </c>
      <c r="B1512" s="16" t="str">
        <f>TEXT(PARTIDA[[#This Row],[PARTIDA]],"0000000000")</f>
        <v>2710193600</v>
      </c>
      <c r="C1512" s="16" t="s">
        <v>815</v>
      </c>
      <c r="D1512" s="16" t="s">
        <v>816</v>
      </c>
      <c r="E1512" s="16" t="s">
        <v>819</v>
      </c>
      <c r="F1512" s="27" t="s">
        <v>10500</v>
      </c>
      <c r="G1512" s="27"/>
      <c r="H1512" s="16" t="str">
        <f>IF(ISBLANK(PARTIDAS!$G1512),PARTIDAS!$F1512,CONCATENATE(PARTIDAS!$F1512," (",PARTIDAS!$G1512,")"))</f>
        <v>Aceites para transmisiones hidráulicas</v>
      </c>
      <c r="I1512" s="16" t="s">
        <v>9427</v>
      </c>
    </row>
    <row r="1513" spans="1:9" x14ac:dyDescent="0.25">
      <c r="A1513" s="16" t="s">
        <v>2510</v>
      </c>
      <c r="B1513" s="16" t="str">
        <f>TEXT(PARTIDA[[#This Row],[PARTIDA]],"0000000000")</f>
        <v>2710193700</v>
      </c>
      <c r="C1513" s="16" t="s">
        <v>815</v>
      </c>
      <c r="D1513" s="16" t="s">
        <v>816</v>
      </c>
      <c r="E1513" s="16" t="s">
        <v>819</v>
      </c>
      <c r="F1513" s="27" t="s">
        <v>10501</v>
      </c>
      <c r="G1513" s="27"/>
      <c r="H1513" s="16" t="str">
        <f>IF(ISBLANK(PARTIDAS!$G1513),PARTIDAS!$F1513,CONCATENATE(PARTIDAS!$F1513," (",PARTIDAS!$G1513,")"))</f>
        <v>Aceites blancos (de vaselina o de parafina)</v>
      </c>
      <c r="I1513" s="16" t="s">
        <v>9427</v>
      </c>
    </row>
    <row r="1514" spans="1:9" x14ac:dyDescent="0.25">
      <c r="A1514" s="16" t="s">
        <v>2511</v>
      </c>
      <c r="B1514" s="16" t="str">
        <f>TEXT(PARTIDA[[#This Row],[PARTIDA]],"0000000000")</f>
        <v>2710193800</v>
      </c>
      <c r="C1514" s="16" t="s">
        <v>815</v>
      </c>
      <c r="D1514" s="16" t="s">
        <v>816</v>
      </c>
      <c r="E1514" s="16" t="s">
        <v>821</v>
      </c>
      <c r="F1514" s="27" t="s">
        <v>2512</v>
      </c>
      <c r="G1514" s="27"/>
      <c r="H1514" s="16" t="str">
        <f>IF(ISBLANK(PARTIDAS!$G1514),PARTIDAS!$F1514,CONCATENATE(PARTIDAS!$F1514," (",PARTIDAS!$G1514,")"))</f>
        <v>Aceite para motor</v>
      </c>
      <c r="I1514" s="16" t="s">
        <v>9427</v>
      </c>
    </row>
    <row r="1515" spans="1:9" x14ac:dyDescent="0.25">
      <c r="A1515" s="16" t="s">
        <v>2513</v>
      </c>
      <c r="B1515" s="16" t="str">
        <f>TEXT(PARTIDA[[#This Row],[PARTIDA]],"0000000000")</f>
        <v>2710193900</v>
      </c>
      <c r="C1515" s="16" t="s">
        <v>815</v>
      </c>
      <c r="D1515" s="16" t="s">
        <v>816</v>
      </c>
      <c r="E1515" s="16" t="s">
        <v>819</v>
      </c>
      <c r="F1515" s="27" t="s">
        <v>10502</v>
      </c>
      <c r="G1515" s="27"/>
      <c r="H1515" s="16" t="str">
        <f>IF(ISBLANK(PARTIDAS!$G1515),PARTIDAS!$F1515,CONCATENATE(PARTIDAS!$F1515," (",PARTIDAS!$G1515,")"))</f>
        <v>Preparaciones a base de aceites pesados (los demás)</v>
      </c>
      <c r="I1515" s="16" t="s">
        <v>9427</v>
      </c>
    </row>
    <row r="1516" spans="1:9" x14ac:dyDescent="0.25">
      <c r="A1516" s="16" t="s">
        <v>2514</v>
      </c>
      <c r="B1516" s="16" t="str">
        <f>TEXT(PARTIDA[[#This Row],[PARTIDA]],"0000000000")</f>
        <v>2710200011</v>
      </c>
      <c r="C1516" s="16" t="s">
        <v>815</v>
      </c>
      <c r="D1516" s="16" t="s">
        <v>816</v>
      </c>
      <c r="E1516" s="16" t="s">
        <v>819</v>
      </c>
      <c r="F1516" s="27" t="s">
        <v>2479</v>
      </c>
      <c r="G1516" s="27"/>
      <c r="H1516" s="16" t="str">
        <f>IF(ISBLANK(PARTIDAS!$G1516),PARTIDAS!$F1516,CONCATENATE(PARTIDAS!$F1516," (",PARTIDAS!$G1516,")"))</f>
        <v>Barriles de combustible</v>
      </c>
      <c r="I1516" s="16" t="s">
        <v>9427</v>
      </c>
    </row>
    <row r="1517" spans="1:9" x14ac:dyDescent="0.25">
      <c r="A1517" s="16" t="s">
        <v>2515</v>
      </c>
      <c r="B1517" s="16" t="str">
        <f>TEXT(PARTIDA[[#This Row],[PARTIDA]],"0000000000")</f>
        <v>2710200012</v>
      </c>
      <c r="C1517" s="16" t="s">
        <v>815</v>
      </c>
      <c r="D1517" s="16" t="s">
        <v>816</v>
      </c>
      <c r="E1517" s="16" t="s">
        <v>819</v>
      </c>
      <c r="F1517" s="27" t="s">
        <v>2479</v>
      </c>
      <c r="G1517" s="27"/>
      <c r="H1517" s="16" t="str">
        <f>IF(ISBLANK(PARTIDAS!$G1517),PARTIDAS!$F1517,CONCATENATE(PARTIDAS!$F1517," (",PARTIDAS!$G1517,")"))</f>
        <v>Barriles de combustible</v>
      </c>
      <c r="I1517" s="16" t="s">
        <v>9427</v>
      </c>
    </row>
    <row r="1518" spans="1:9" x14ac:dyDescent="0.25">
      <c r="A1518" s="16" t="s">
        <v>2516</v>
      </c>
      <c r="B1518" s="16" t="str">
        <f>TEXT(PARTIDA[[#This Row],[PARTIDA]],"0000000000")</f>
        <v>2710200013</v>
      </c>
      <c r="C1518" s="16" t="s">
        <v>815</v>
      </c>
      <c r="D1518" s="16" t="s">
        <v>816</v>
      </c>
      <c r="E1518" s="16" t="s">
        <v>819</v>
      </c>
      <c r="F1518" s="27" t="s">
        <v>2479</v>
      </c>
      <c r="G1518" s="27"/>
      <c r="H1518" s="16" t="str">
        <f>IF(ISBLANK(PARTIDAS!$G1518),PARTIDAS!$F1518,CONCATENATE(PARTIDAS!$F1518," (",PARTIDAS!$G1518,")"))</f>
        <v>Barriles de combustible</v>
      </c>
      <c r="I1518" s="16" t="s">
        <v>9427</v>
      </c>
    </row>
    <row r="1519" spans="1:9" x14ac:dyDescent="0.25">
      <c r="A1519" s="16" t="s">
        <v>2517</v>
      </c>
      <c r="B1519" s="16" t="str">
        <f>TEXT(PARTIDA[[#This Row],[PARTIDA]],"0000000000")</f>
        <v>2710200019</v>
      </c>
      <c r="C1519" s="16" t="s">
        <v>815</v>
      </c>
      <c r="D1519" s="16" t="s">
        <v>816</v>
      </c>
      <c r="E1519" s="16" t="s">
        <v>819</v>
      </c>
      <c r="F1519" s="27" t="s">
        <v>10503</v>
      </c>
      <c r="G1519" s="27"/>
      <c r="H1519" s="16" t="str">
        <f>IF(ISBLANK(PARTIDAS!$G1519),PARTIDAS!$F1519,CONCATENATE(PARTIDAS!$F1519," (",PARTIDAS!$G1519,")"))</f>
        <v>Mezclas de Diesel 2 con Biodiesel B100 (los demás)</v>
      </c>
      <c r="I1519" s="16" t="s">
        <v>9427</v>
      </c>
    </row>
    <row r="1520" spans="1:9" x14ac:dyDescent="0.25">
      <c r="A1520" s="16" t="s">
        <v>2518</v>
      </c>
      <c r="B1520" s="16" t="str">
        <f>TEXT(PARTIDA[[#This Row],[PARTIDA]],"0000000000")</f>
        <v>2710200090</v>
      </c>
      <c r="C1520" s="16" t="s">
        <v>815</v>
      </c>
      <c r="D1520" s="16" t="s">
        <v>816</v>
      </c>
      <c r="E1520" s="16" t="s">
        <v>819</v>
      </c>
      <c r="F1520" s="27" t="s">
        <v>10503</v>
      </c>
      <c r="G1520" s="27"/>
      <c r="H1520" s="16" t="str">
        <f>IF(ISBLANK(PARTIDAS!$G1520),PARTIDAS!$F1520,CONCATENATE(PARTIDAS!$F1520," (",PARTIDAS!$G1520,")"))</f>
        <v>Mezclas de Diesel 2 con Biodiesel B100 (los demás)</v>
      </c>
      <c r="I1520" s="16" t="s">
        <v>9427</v>
      </c>
    </row>
    <row r="1521" spans="1:9" x14ac:dyDescent="0.25">
      <c r="A1521" s="16" t="s">
        <v>2519</v>
      </c>
      <c r="B1521" s="16" t="str">
        <f>TEXT(PARTIDA[[#This Row],[PARTIDA]],"0000000000")</f>
        <v>2710910000</v>
      </c>
      <c r="C1521" s="16" t="s">
        <v>815</v>
      </c>
      <c r="D1521" s="16" t="s">
        <v>816</v>
      </c>
      <c r="E1521" s="16" t="s">
        <v>819</v>
      </c>
      <c r="F1521" s="27" t="s">
        <v>10504</v>
      </c>
      <c r="G1521" s="27"/>
      <c r="H1521" s="16" t="str">
        <f>IF(ISBLANK(PARTIDAS!$G1521),PARTIDAS!$F1521,CONCATENATE(PARTIDAS!$F1521," (",PARTIDAS!$G1521,")"))</f>
        <v>Desechos de aceites, que contengan bifenilos policlorados (PCB), terfenilos policlorados (PCT) o bifenilos polibromados (PBB)</v>
      </c>
      <c r="I1521" s="16" t="s">
        <v>9427</v>
      </c>
    </row>
    <row r="1522" spans="1:9" x14ac:dyDescent="0.25">
      <c r="A1522" s="16" t="s">
        <v>2520</v>
      </c>
      <c r="B1522" s="16" t="str">
        <f>TEXT(PARTIDA[[#This Row],[PARTIDA]],"0000000000")</f>
        <v>2710990000</v>
      </c>
      <c r="C1522" s="16" t="s">
        <v>815</v>
      </c>
      <c r="D1522" s="16" t="s">
        <v>816</v>
      </c>
      <c r="E1522" s="16" t="s">
        <v>819</v>
      </c>
      <c r="F1522" s="27" t="s">
        <v>10505</v>
      </c>
      <c r="G1522" s="27"/>
      <c r="H1522" s="16" t="str">
        <f>IF(ISBLANK(PARTIDAS!$G1522),PARTIDAS!$F1522,CONCATENATE(PARTIDAS!$F1522," (",PARTIDAS!$G1522,")"))</f>
        <v>Desechos de aceites (los demás)</v>
      </c>
      <c r="I1522" s="16" t="s">
        <v>9427</v>
      </c>
    </row>
    <row r="1523" spans="1:9" x14ac:dyDescent="0.25">
      <c r="A1523" s="16" t="s">
        <v>2521</v>
      </c>
      <c r="B1523" s="16" t="str">
        <f>TEXT(PARTIDA[[#This Row],[PARTIDA]],"0000000000")</f>
        <v>2711110000</v>
      </c>
      <c r="C1523" s="16" t="s">
        <v>815</v>
      </c>
      <c r="D1523" s="16" t="s">
        <v>816</v>
      </c>
      <c r="E1523" s="16" t="s">
        <v>817</v>
      </c>
      <c r="F1523" s="27" t="s">
        <v>10506</v>
      </c>
      <c r="G1523" s="27"/>
      <c r="H1523" s="16" t="str">
        <f>IF(ISBLANK(PARTIDAS!$G1523),PARTIDAS!$F1523,CONCATENATE(PARTIDAS!$F1523," (",PARTIDAS!$G1523,")"))</f>
        <v>Gas natural</v>
      </c>
      <c r="I1523" s="16" t="s">
        <v>9427</v>
      </c>
    </row>
    <row r="1524" spans="1:9" x14ac:dyDescent="0.25">
      <c r="A1524" s="16" t="s">
        <v>2522</v>
      </c>
      <c r="B1524" s="16" t="str">
        <f>TEXT(PARTIDA[[#This Row],[PARTIDA]],"0000000000")</f>
        <v>2711120000</v>
      </c>
      <c r="C1524" s="16" t="s">
        <v>815</v>
      </c>
      <c r="D1524" s="16" t="s">
        <v>816</v>
      </c>
      <c r="E1524" s="16" t="s">
        <v>817</v>
      </c>
      <c r="F1524" s="27" t="s">
        <v>10507</v>
      </c>
      <c r="G1524" s="27"/>
      <c r="H1524" s="16" t="str">
        <f>IF(ISBLANK(PARTIDAS!$G1524),PARTIDAS!$F1524,CONCATENATE(PARTIDAS!$F1524," (",PARTIDAS!$G1524,")"))</f>
        <v>Licuados, propano</v>
      </c>
      <c r="I1524" s="16" t="s">
        <v>9427</v>
      </c>
    </row>
    <row r="1525" spans="1:9" x14ac:dyDescent="0.25">
      <c r="A1525" s="16" t="s">
        <v>2523</v>
      </c>
      <c r="B1525" s="16" t="str">
        <f>TEXT(PARTIDA[[#This Row],[PARTIDA]],"0000000000")</f>
        <v>2711130000</v>
      </c>
      <c r="C1525" s="16" t="s">
        <v>815</v>
      </c>
      <c r="D1525" s="16" t="s">
        <v>816</v>
      </c>
      <c r="E1525" s="16" t="s">
        <v>817</v>
      </c>
      <c r="F1525" s="27" t="s">
        <v>10508</v>
      </c>
      <c r="G1525" s="27"/>
      <c r="H1525" s="16" t="str">
        <f>IF(ISBLANK(PARTIDAS!$G1525),PARTIDAS!$F1525,CONCATENATE(PARTIDAS!$F1525," (",PARTIDAS!$G1525,")"))</f>
        <v>Licuados, butanos</v>
      </c>
      <c r="I1525" s="16" t="s">
        <v>9427</v>
      </c>
    </row>
    <row r="1526" spans="1:9" x14ac:dyDescent="0.25">
      <c r="A1526" s="16" t="s">
        <v>2524</v>
      </c>
      <c r="B1526" s="16" t="str">
        <f>TEXT(PARTIDA[[#This Row],[PARTIDA]],"0000000000")</f>
        <v>2711140000</v>
      </c>
      <c r="C1526" s="16" t="s">
        <v>815</v>
      </c>
      <c r="D1526" s="16" t="s">
        <v>816</v>
      </c>
      <c r="E1526" s="16" t="s">
        <v>817</v>
      </c>
      <c r="F1526" s="27" t="s">
        <v>10509</v>
      </c>
      <c r="G1526" s="27"/>
      <c r="H1526" s="16" t="str">
        <f>IF(ISBLANK(PARTIDAS!$G1526),PARTIDAS!$F1526,CONCATENATE(PARTIDAS!$F1526," (",PARTIDAS!$G1526,")"))</f>
        <v>Etileno, propileno, butileno y butadieno</v>
      </c>
      <c r="I1526" s="16" t="s">
        <v>9427</v>
      </c>
    </row>
    <row r="1527" spans="1:9" x14ac:dyDescent="0.25">
      <c r="A1527" s="16" t="s">
        <v>2525</v>
      </c>
      <c r="B1527" s="16" t="str">
        <f>TEXT(PARTIDA[[#This Row],[PARTIDA]],"0000000000")</f>
        <v>2711190000</v>
      </c>
      <c r="C1527" s="16" t="s">
        <v>815</v>
      </c>
      <c r="D1527" s="16" t="s">
        <v>816</v>
      </c>
      <c r="E1527" s="16" t="s">
        <v>817</v>
      </c>
      <c r="F1527" s="27" t="s">
        <v>10510</v>
      </c>
      <c r="G1527" s="27"/>
      <c r="H1527" s="16" t="str">
        <f>IF(ISBLANK(PARTIDAS!$G1527),PARTIDAS!$F1527,CONCATENATE(PARTIDAS!$F1527," (",PARTIDAS!$G1527,")"))</f>
        <v>Licuados (los demás)</v>
      </c>
      <c r="I1527" s="16" t="s">
        <v>9427</v>
      </c>
    </row>
    <row r="1528" spans="1:9" x14ac:dyDescent="0.25">
      <c r="A1528" s="16" t="s">
        <v>2526</v>
      </c>
      <c r="B1528" s="16" t="str">
        <f>TEXT(PARTIDA[[#This Row],[PARTIDA]],"0000000000")</f>
        <v>2711210000</v>
      </c>
      <c r="C1528" s="16" t="s">
        <v>815</v>
      </c>
      <c r="D1528" s="16" t="s">
        <v>816</v>
      </c>
      <c r="E1528" s="16" t="s">
        <v>817</v>
      </c>
      <c r="F1528" s="27" t="s">
        <v>10506</v>
      </c>
      <c r="G1528" s="27"/>
      <c r="H1528" s="16" t="str">
        <f>IF(ISBLANK(PARTIDAS!$G1528),PARTIDAS!$F1528,CONCATENATE(PARTIDAS!$F1528," (",PARTIDAS!$G1528,")"))</f>
        <v>Gas natural</v>
      </c>
      <c r="I1528" s="16" t="s">
        <v>9427</v>
      </c>
    </row>
    <row r="1529" spans="1:9" x14ac:dyDescent="0.25">
      <c r="A1529" s="16" t="s">
        <v>2527</v>
      </c>
      <c r="B1529" s="16" t="str">
        <f>TEXT(PARTIDA[[#This Row],[PARTIDA]],"0000000000")</f>
        <v>2711290000</v>
      </c>
      <c r="C1529" s="16" t="s">
        <v>815</v>
      </c>
      <c r="D1529" s="16" t="s">
        <v>816</v>
      </c>
      <c r="E1529" s="16" t="s">
        <v>817</v>
      </c>
      <c r="F1529" s="27" t="s">
        <v>10511</v>
      </c>
      <c r="G1529" s="27"/>
      <c r="H1529" s="16" t="str">
        <f>IF(ISBLANK(PARTIDAS!$G1529),PARTIDAS!$F1529,CONCATENATE(PARTIDAS!$F1529," (",PARTIDAS!$G1529,")"))</f>
        <v>Gas de petróleo y demás hidrocarburos gaseosos, en estado gaseoso (los demás)</v>
      </c>
      <c r="I1529" s="16" t="s">
        <v>9427</v>
      </c>
    </row>
    <row r="1530" spans="1:9" x14ac:dyDescent="0.25">
      <c r="A1530" s="16" t="s">
        <v>2528</v>
      </c>
      <c r="B1530" s="16" t="str">
        <f>TEXT(PARTIDA[[#This Row],[PARTIDA]],"0000000000")</f>
        <v>2712101000</v>
      </c>
      <c r="C1530" s="16" t="s">
        <v>815</v>
      </c>
      <c r="D1530" s="16" t="s">
        <v>816</v>
      </c>
      <c r="E1530" s="16" t="s">
        <v>817</v>
      </c>
      <c r="F1530" s="27" t="s">
        <v>10512</v>
      </c>
      <c r="G1530" s="27"/>
      <c r="H1530" s="16" t="str">
        <f>IF(ISBLANK(PARTIDAS!$G1530),PARTIDAS!$F1530,CONCATENATE(PARTIDAS!$F1530," (",PARTIDAS!$G1530,")"))</f>
        <v>Vaselina, en bruto</v>
      </c>
      <c r="I1530" s="16" t="s">
        <v>9427</v>
      </c>
    </row>
    <row r="1531" spans="1:9" x14ac:dyDescent="0.25">
      <c r="A1531" s="16" t="s">
        <v>2529</v>
      </c>
      <c r="B1531" s="16" t="str">
        <f>TEXT(PARTIDA[[#This Row],[PARTIDA]],"0000000000")</f>
        <v>2712109000</v>
      </c>
      <c r="C1531" s="16" t="s">
        <v>815</v>
      </c>
      <c r="D1531" s="16" t="s">
        <v>816</v>
      </c>
      <c r="E1531" s="16" t="s">
        <v>817</v>
      </c>
      <c r="F1531" s="27" t="s">
        <v>10513</v>
      </c>
      <c r="G1531" s="27"/>
      <c r="H1531" s="16" t="str">
        <f>IF(ISBLANK(PARTIDAS!$G1531),PARTIDAS!$F1531,CONCATENATE(PARTIDAS!$F1531," (",PARTIDAS!$G1531,")"))</f>
        <v>Vaselina (los demás)</v>
      </c>
      <c r="I1531" s="16" t="s">
        <v>9427</v>
      </c>
    </row>
    <row r="1532" spans="1:9" x14ac:dyDescent="0.25">
      <c r="A1532" s="16" t="s">
        <v>2530</v>
      </c>
      <c r="B1532" s="16" t="str">
        <f>TEXT(PARTIDA[[#This Row],[PARTIDA]],"0000000000")</f>
        <v>2712200000</v>
      </c>
      <c r="C1532" s="16" t="s">
        <v>815</v>
      </c>
      <c r="D1532" s="16" t="s">
        <v>816</v>
      </c>
      <c r="E1532" s="16" t="s">
        <v>817</v>
      </c>
      <c r="F1532" s="27" t="s">
        <v>10514</v>
      </c>
      <c r="G1532" s="27"/>
      <c r="H1532" s="16" t="str">
        <f>IF(ISBLANK(PARTIDAS!$G1532),PARTIDAS!$F1532,CONCATENATE(PARTIDAS!$F1532," (",PARTIDAS!$G1532,")"))</f>
        <v>Parafina con un contenido de aceite inferior al 0,75 % en peso</v>
      </c>
      <c r="I1532" s="16" t="s">
        <v>9427</v>
      </c>
    </row>
    <row r="1533" spans="1:9" x14ac:dyDescent="0.25">
      <c r="A1533" s="16" t="s">
        <v>2531</v>
      </c>
      <c r="B1533" s="16" t="str">
        <f>TEXT(PARTIDA[[#This Row],[PARTIDA]],"0000000000")</f>
        <v>2712901000</v>
      </c>
      <c r="C1533" s="16" t="s">
        <v>815</v>
      </c>
      <c r="D1533" s="16" t="s">
        <v>816</v>
      </c>
      <c r="E1533" s="16" t="s">
        <v>817</v>
      </c>
      <c r="F1533" s="27" t="s">
        <v>10515</v>
      </c>
      <c r="G1533" s="27"/>
      <c r="H1533" s="16" t="str">
        <f>IF(ISBLANK(PARTIDAS!$G1533),PARTIDAS!$F1533,CONCATENATE(PARTIDAS!$F1533," (",PARTIDAS!$G1533,")"))</f>
        <v>Cera de petróleo microcristalina</v>
      </c>
      <c r="I1533" s="16" t="s">
        <v>9427</v>
      </c>
    </row>
    <row r="1534" spans="1:9" x14ac:dyDescent="0.25">
      <c r="A1534" s="16" t="s">
        <v>2532</v>
      </c>
      <c r="B1534" s="16" t="str">
        <f>TEXT(PARTIDA[[#This Row],[PARTIDA]],"0000000000")</f>
        <v>2712902000</v>
      </c>
      <c r="C1534" s="16" t="s">
        <v>815</v>
      </c>
      <c r="D1534" s="16" t="s">
        <v>816</v>
      </c>
      <c r="E1534" s="16" t="s">
        <v>817</v>
      </c>
      <c r="F1534" s="27" t="s">
        <v>10516</v>
      </c>
      <c r="G1534" s="27"/>
      <c r="H1534" s="16" t="str">
        <f>IF(ISBLANK(PARTIDAS!$G1534),PARTIDAS!$F1534,CONCATENATE(PARTIDAS!$F1534," (",PARTIDAS!$G1534,")"))</f>
        <v>Ozoquerita y ceresina</v>
      </c>
      <c r="I1534" s="16" t="s">
        <v>9427</v>
      </c>
    </row>
    <row r="1535" spans="1:9" x14ac:dyDescent="0.25">
      <c r="A1535" s="16" t="s">
        <v>2533</v>
      </c>
      <c r="B1535" s="16" t="str">
        <f>TEXT(PARTIDA[[#This Row],[PARTIDA]],"0000000000")</f>
        <v>2712903000</v>
      </c>
      <c r="C1535" s="16" t="s">
        <v>815</v>
      </c>
      <c r="D1535" s="16" t="s">
        <v>816</v>
      </c>
      <c r="E1535" s="16" t="s">
        <v>817</v>
      </c>
      <c r="F1535" s="27" t="s">
        <v>10517</v>
      </c>
      <c r="G1535" s="27"/>
      <c r="H1535" s="16" t="str">
        <f>IF(ISBLANK(PARTIDAS!$G1535),PARTIDAS!$F1535,CONCATENATE(PARTIDAS!$F1535," (",PARTIDAS!$G1535,")"))</f>
        <v>Parafina con un contenido de aceite superior o igual a 0,75 % en peso</v>
      </c>
      <c r="I1535" s="16" t="s">
        <v>9427</v>
      </c>
    </row>
    <row r="1536" spans="1:9" x14ac:dyDescent="0.25">
      <c r="A1536" s="16" t="s">
        <v>2534</v>
      </c>
      <c r="B1536" s="16" t="str">
        <f>TEXT(PARTIDA[[#This Row],[PARTIDA]],"0000000000")</f>
        <v>2712909000</v>
      </c>
      <c r="C1536" s="16" t="s">
        <v>815</v>
      </c>
      <c r="D1536" s="16" t="s">
        <v>816</v>
      </c>
      <c r="E1536" s="16" t="s">
        <v>817</v>
      </c>
      <c r="F1536" s="27" t="s">
        <v>10518</v>
      </c>
      <c r="G1536" s="27"/>
      <c r="H1536" s="16" t="str">
        <f>IF(ISBLANK(PARTIDAS!$G1536),PARTIDAS!$F1536,CONCATENATE(PARTIDAS!$F1536," (",PARTIDAS!$G1536,")"))</f>
        <v>Vaselina; parafina, cera de petróleo microcristalina, «slack wax»… (los demás)</v>
      </c>
      <c r="I1536" s="16" t="s">
        <v>9427</v>
      </c>
    </row>
    <row r="1537" spans="1:9" x14ac:dyDescent="0.25">
      <c r="A1537" s="16" t="s">
        <v>2535</v>
      </c>
      <c r="B1537" s="16" t="str">
        <f>TEXT(PARTIDA[[#This Row],[PARTIDA]],"0000000000")</f>
        <v>2713110000</v>
      </c>
      <c r="C1537" s="16" t="s">
        <v>860</v>
      </c>
      <c r="D1537" s="16" t="s">
        <v>861</v>
      </c>
      <c r="E1537" s="16" t="s">
        <v>9471</v>
      </c>
      <c r="F1537" s="27" t="s">
        <v>10519</v>
      </c>
      <c r="G1537" s="27"/>
      <c r="H1537" s="16" t="str">
        <f>IF(ISBLANK(PARTIDAS!$G1537),PARTIDAS!$F1537,CONCATENATE(PARTIDAS!$F1537," (",PARTIDAS!$G1537,")"))</f>
        <v>Coque de petróleo, sin calcinar</v>
      </c>
      <c r="I1537" s="16" t="s">
        <v>9427</v>
      </c>
    </row>
    <row r="1538" spans="1:9" x14ac:dyDescent="0.25">
      <c r="A1538" s="16" t="s">
        <v>2536</v>
      </c>
      <c r="B1538" s="16" t="str">
        <f>TEXT(PARTIDA[[#This Row],[PARTIDA]],"0000000000")</f>
        <v>2713120000</v>
      </c>
      <c r="C1538" s="16" t="s">
        <v>860</v>
      </c>
      <c r="D1538" s="16" t="s">
        <v>861</v>
      </c>
      <c r="E1538" s="16" t="s">
        <v>9471</v>
      </c>
      <c r="F1538" s="27" t="s">
        <v>10520</v>
      </c>
      <c r="G1538" s="27"/>
      <c r="H1538" s="16" t="str">
        <f>IF(ISBLANK(PARTIDAS!$G1538),PARTIDAS!$F1538,CONCATENATE(PARTIDAS!$F1538," (",PARTIDAS!$G1538,")"))</f>
        <v>Coque de petróleo, calcinado</v>
      </c>
      <c r="I1538" s="16" t="s">
        <v>9427</v>
      </c>
    </row>
    <row r="1539" spans="1:9" x14ac:dyDescent="0.25">
      <c r="A1539" s="16" t="s">
        <v>2537</v>
      </c>
      <c r="B1539" s="16" t="str">
        <f>TEXT(PARTIDA[[#This Row],[PARTIDA]],"0000000000")</f>
        <v>2713200000</v>
      </c>
      <c r="C1539" s="16" t="s">
        <v>860</v>
      </c>
      <c r="D1539" s="16" t="s">
        <v>861</v>
      </c>
      <c r="E1539" s="16" t="s">
        <v>9471</v>
      </c>
      <c r="F1539" s="27" t="s">
        <v>10521</v>
      </c>
      <c r="G1539" s="27"/>
      <c r="H1539" s="16" t="str">
        <f>IF(ISBLANK(PARTIDAS!$G1539),PARTIDAS!$F1539,CONCATENATE(PARTIDAS!$F1539," (",PARTIDAS!$G1539,")"))</f>
        <v>Betún de petróleo</v>
      </c>
      <c r="I1539" s="16" t="s">
        <v>9427</v>
      </c>
    </row>
    <row r="1540" spans="1:9" x14ac:dyDescent="0.25">
      <c r="A1540" s="16" t="s">
        <v>2538</v>
      </c>
      <c r="B1540" s="16" t="str">
        <f>TEXT(PARTIDA[[#This Row],[PARTIDA]],"0000000000")</f>
        <v>2713900000</v>
      </c>
      <c r="C1540" s="16" t="s">
        <v>860</v>
      </c>
      <c r="D1540" s="16" t="s">
        <v>861</v>
      </c>
      <c r="E1540" s="16" t="s">
        <v>9471</v>
      </c>
      <c r="F1540" s="27" t="s">
        <v>10522</v>
      </c>
      <c r="G1540" s="27"/>
      <c r="H1540" s="16" t="str">
        <f>IF(ISBLANK(PARTIDAS!$G1540),PARTIDAS!$F1540,CONCATENATE(PARTIDAS!$F1540," (",PARTIDAS!$G1540,")"))</f>
        <v>Coque de petróleo, betún de petróleo y demás residuos de los aceites… (los demás, residuos de los aceites de petróleo o de mineral bituminoso)</v>
      </c>
      <c r="I1540" s="16" t="s">
        <v>9427</v>
      </c>
    </row>
    <row r="1541" spans="1:9" x14ac:dyDescent="0.25">
      <c r="A1541" s="16" t="s">
        <v>2539</v>
      </c>
      <c r="B1541" s="16" t="str">
        <f>TEXT(PARTIDA[[#This Row],[PARTIDA]],"0000000000")</f>
        <v>2714100000</v>
      </c>
      <c r="C1541" s="16" t="s">
        <v>815</v>
      </c>
      <c r="D1541" s="16" t="s">
        <v>816</v>
      </c>
      <c r="E1541" s="16" t="s">
        <v>817</v>
      </c>
      <c r="F1541" s="27" t="s">
        <v>10523</v>
      </c>
      <c r="G1541" s="27"/>
      <c r="H1541" s="16" t="str">
        <f>IF(ISBLANK(PARTIDAS!$G1541),PARTIDAS!$F1541,CONCATENATE(PARTIDAS!$F1541," (",PARTIDAS!$G1541,")"))</f>
        <v>Pizarras y arenas bituminosas</v>
      </c>
      <c r="I1541" s="16" t="s">
        <v>9427</v>
      </c>
    </row>
    <row r="1542" spans="1:9" x14ac:dyDescent="0.25">
      <c r="A1542" s="16" t="s">
        <v>2540</v>
      </c>
      <c r="B1542" s="16" t="str">
        <f>TEXT(PARTIDA[[#This Row],[PARTIDA]],"0000000000")</f>
        <v>2714900000</v>
      </c>
      <c r="C1542" s="16" t="s">
        <v>815</v>
      </c>
      <c r="D1542" s="16" t="s">
        <v>816</v>
      </c>
      <c r="E1542" s="16" t="s">
        <v>817</v>
      </c>
      <c r="F1542" s="27" t="s">
        <v>10524</v>
      </c>
      <c r="G1542" s="27"/>
      <c r="H1542" s="16" t="str">
        <f>IF(ISBLANK(PARTIDAS!$G1542),PARTIDAS!$F1542,CONCATENATE(PARTIDAS!$F1542," (",PARTIDAS!$G1542,")"))</f>
        <v>Betunes y asfaltos naturales (los demás)</v>
      </c>
      <c r="I1542" s="16" t="s">
        <v>9427</v>
      </c>
    </row>
    <row r="1543" spans="1:9" x14ac:dyDescent="0.25">
      <c r="A1543" s="16" t="s">
        <v>2541</v>
      </c>
      <c r="B1543" s="16" t="str">
        <f>TEXT(PARTIDA[[#This Row],[PARTIDA]],"0000000000")</f>
        <v>2715001000</v>
      </c>
      <c r="C1543" s="16" t="s">
        <v>860</v>
      </c>
      <c r="D1543" s="16" t="s">
        <v>861</v>
      </c>
      <c r="E1543" s="16" t="s">
        <v>9471</v>
      </c>
      <c r="F1543" s="27" t="s">
        <v>10525</v>
      </c>
      <c r="G1543" s="27"/>
      <c r="H1543" s="16" t="str">
        <f>IF(ISBLANK(PARTIDAS!$G1543),PARTIDAS!$F1543,CONCATENATE(PARTIDAS!$F1543," (",PARTIDAS!$G1543,")"))</f>
        <v>Mástiques bituminosos</v>
      </c>
      <c r="I1543" s="16" t="s">
        <v>9427</v>
      </c>
    </row>
    <row r="1544" spans="1:9" x14ac:dyDescent="0.25">
      <c r="A1544" s="16" t="s">
        <v>2542</v>
      </c>
      <c r="B1544" s="16" t="str">
        <f>TEXT(PARTIDA[[#This Row],[PARTIDA]],"0000000000")</f>
        <v>2715009000</v>
      </c>
      <c r="C1544" s="16" t="s">
        <v>860</v>
      </c>
      <c r="D1544" s="16" t="s">
        <v>861</v>
      </c>
      <c r="E1544" s="16" t="s">
        <v>9471</v>
      </c>
      <c r="F1544" s="27" t="s">
        <v>10524</v>
      </c>
      <c r="G1544" s="27"/>
      <c r="H1544" s="16" t="str">
        <f>IF(ISBLANK(PARTIDAS!$G1544),PARTIDAS!$F1544,CONCATENATE(PARTIDAS!$F1544," (",PARTIDAS!$G1544,")"))</f>
        <v>Betunes y asfaltos naturales (los demás)</v>
      </c>
      <c r="I1544" s="16" t="s">
        <v>9427</v>
      </c>
    </row>
    <row r="1545" spans="1:9" x14ac:dyDescent="0.25">
      <c r="A1545" s="16" t="s">
        <v>2543</v>
      </c>
      <c r="B1545" s="16" t="str">
        <f>TEXT(PARTIDA[[#This Row],[PARTIDA]],"0000000000")</f>
        <v>2716000000</v>
      </c>
      <c r="C1545" s="16" t="s">
        <v>815</v>
      </c>
      <c r="D1545" s="16" t="s">
        <v>816</v>
      </c>
      <c r="E1545" s="16" t="s">
        <v>823</v>
      </c>
      <c r="F1545" s="27" t="s">
        <v>2544</v>
      </c>
      <c r="G1545" s="27"/>
      <c r="H1545" s="16" t="str">
        <f>IF(ISBLANK(PARTIDAS!$G1545),PARTIDAS!$F1545,CONCATENATE(PARTIDAS!$F1545," (",PARTIDAS!$G1545,")"))</f>
        <v>Energía eléctrica</v>
      </c>
      <c r="I1545" s="16" t="s">
        <v>9427</v>
      </c>
    </row>
    <row r="1546" spans="1:9" x14ac:dyDescent="0.25">
      <c r="A1546" s="16" t="s">
        <v>2545</v>
      </c>
      <c r="B1546" s="16" t="str">
        <f>TEXT(PARTIDA[[#This Row],[PARTIDA]],"0000000000")</f>
        <v>2801100000</v>
      </c>
      <c r="C1546" s="16" t="s">
        <v>815</v>
      </c>
      <c r="D1546" s="16" t="s">
        <v>835</v>
      </c>
      <c r="E1546" s="16" t="s">
        <v>9465</v>
      </c>
      <c r="F1546" s="27" t="s">
        <v>10526</v>
      </c>
      <c r="G1546" s="27"/>
      <c r="H1546" s="16" t="str">
        <f>IF(ISBLANK(PARTIDAS!$G1546),PARTIDAS!$F1546,CONCATENATE(PARTIDAS!$F1546," (",PARTIDAS!$G1546,")"))</f>
        <v>Cloro</v>
      </c>
      <c r="I1546" s="16" t="s">
        <v>9427</v>
      </c>
    </row>
    <row r="1547" spans="1:9" x14ac:dyDescent="0.25">
      <c r="A1547" s="16" t="s">
        <v>2546</v>
      </c>
      <c r="B1547" s="16" t="str">
        <f>TEXT(PARTIDA[[#This Row],[PARTIDA]],"0000000000")</f>
        <v>2801200000</v>
      </c>
      <c r="C1547" s="16" t="s">
        <v>815</v>
      </c>
      <c r="D1547" s="16" t="s">
        <v>835</v>
      </c>
      <c r="E1547" s="16" t="s">
        <v>9465</v>
      </c>
      <c r="F1547" s="27" t="s">
        <v>10527</v>
      </c>
      <c r="G1547" s="27"/>
      <c r="H1547" s="16" t="str">
        <f>IF(ISBLANK(PARTIDAS!$G1547),PARTIDAS!$F1547,CONCATENATE(PARTIDAS!$F1547," (",PARTIDAS!$G1547,")"))</f>
        <v>Yodo</v>
      </c>
      <c r="I1547" s="16" t="s">
        <v>9427</v>
      </c>
    </row>
    <row r="1548" spans="1:9" x14ac:dyDescent="0.25">
      <c r="A1548" s="16" t="s">
        <v>2547</v>
      </c>
      <c r="B1548" s="16" t="str">
        <f>TEXT(PARTIDA[[#This Row],[PARTIDA]],"0000000000")</f>
        <v>2801300000</v>
      </c>
      <c r="C1548" s="16" t="s">
        <v>815</v>
      </c>
      <c r="D1548" s="16" t="s">
        <v>835</v>
      </c>
      <c r="E1548" s="16" t="s">
        <v>9465</v>
      </c>
      <c r="F1548" s="27" t="s">
        <v>10528</v>
      </c>
      <c r="G1548" s="27"/>
      <c r="H1548" s="16" t="str">
        <f>IF(ISBLANK(PARTIDAS!$G1548),PARTIDAS!$F1548,CONCATENATE(PARTIDAS!$F1548," (",PARTIDAS!$G1548,")"))</f>
        <v>Flúor; bromo</v>
      </c>
      <c r="I1548" s="16" t="s">
        <v>9427</v>
      </c>
    </row>
    <row r="1549" spans="1:9" x14ac:dyDescent="0.25">
      <c r="A1549" s="16" t="s">
        <v>2548</v>
      </c>
      <c r="B1549" s="16" t="str">
        <f>TEXT(PARTIDA[[#This Row],[PARTIDA]],"0000000000")</f>
        <v>2802000000</v>
      </c>
      <c r="C1549" s="16" t="s">
        <v>815</v>
      </c>
      <c r="D1549" s="16" t="s">
        <v>835</v>
      </c>
      <c r="E1549" s="16" t="s">
        <v>9465</v>
      </c>
      <c r="F1549" s="27" t="s">
        <v>2549</v>
      </c>
      <c r="G1549" s="27"/>
      <c r="H1549" s="16" t="str">
        <f>IF(ISBLANK(PARTIDAS!$G1549),PARTIDAS!$F1549,CONCATENATE(PARTIDAS!$F1549," (",PARTIDAS!$G1549,")"))</f>
        <v>Azufre sublimado o precipitado; azufre coloidal.</v>
      </c>
      <c r="I1549" s="16" t="s">
        <v>9427</v>
      </c>
    </row>
    <row r="1550" spans="1:9" x14ac:dyDescent="0.25">
      <c r="A1550" s="16" t="s">
        <v>2550</v>
      </c>
      <c r="B1550" s="16" t="str">
        <f>TEXT(PARTIDA[[#This Row],[PARTIDA]],"0000000000")</f>
        <v>2803001000</v>
      </c>
      <c r="C1550" s="16" t="s">
        <v>815</v>
      </c>
      <c r="D1550" s="16" t="s">
        <v>835</v>
      </c>
      <c r="E1550" s="16" t="s">
        <v>9465</v>
      </c>
      <c r="F1550" s="27" t="s">
        <v>10529</v>
      </c>
      <c r="G1550" s="27"/>
      <c r="H1550" s="16" t="str">
        <f>IF(ISBLANK(PARTIDAS!$G1550),PARTIDAS!$F1550,CONCATENATE(PARTIDAS!$F1550," (",PARTIDAS!$G1550,")"))</f>
        <v>Negro de acetileno</v>
      </c>
      <c r="I1550" s="16" t="s">
        <v>9427</v>
      </c>
    </row>
    <row r="1551" spans="1:9" x14ac:dyDescent="0.25">
      <c r="A1551" s="16" t="s">
        <v>2551</v>
      </c>
      <c r="B1551" s="16" t="str">
        <f>TEXT(PARTIDA[[#This Row],[PARTIDA]],"0000000000")</f>
        <v>2803009000</v>
      </c>
      <c r="C1551" s="16" t="s">
        <v>815</v>
      </c>
      <c r="D1551" s="16" t="s">
        <v>835</v>
      </c>
      <c r="E1551" s="16" t="s">
        <v>9465</v>
      </c>
      <c r="F1551" s="27" t="s">
        <v>10530</v>
      </c>
      <c r="G1551" s="27"/>
      <c r="H1551" s="16" t="str">
        <f>IF(ISBLANK(PARTIDAS!$G1551),PARTIDAS!$F1551,CONCATENATE(PARTIDAS!$F1551," (",PARTIDAS!$G1551,")"))</f>
        <v>Flúor, cloro, bromo y yodo. 2803.00 Carbono (negros de humo y otras… (los demás)</v>
      </c>
      <c r="I1551" s="16" t="s">
        <v>9427</v>
      </c>
    </row>
    <row r="1552" spans="1:9" x14ac:dyDescent="0.25">
      <c r="A1552" s="16" t="s">
        <v>2552</v>
      </c>
      <c r="B1552" s="16" t="str">
        <f>TEXT(PARTIDA[[#This Row],[PARTIDA]],"0000000000")</f>
        <v>2804100000</v>
      </c>
      <c r="C1552" s="16" t="s">
        <v>815</v>
      </c>
      <c r="D1552" s="16" t="s">
        <v>835</v>
      </c>
      <c r="E1552" s="16" t="s">
        <v>9465</v>
      </c>
      <c r="F1552" s="27" t="s">
        <v>10531</v>
      </c>
      <c r="G1552" s="27"/>
      <c r="H1552" s="16" t="str">
        <f>IF(ISBLANK(PARTIDAS!$G1552),PARTIDAS!$F1552,CONCATENATE(PARTIDAS!$F1552," (",PARTIDAS!$G1552,")"))</f>
        <v>Hidrógeno</v>
      </c>
      <c r="I1552" s="16" t="s">
        <v>9427</v>
      </c>
    </row>
    <row r="1553" spans="1:9" x14ac:dyDescent="0.25">
      <c r="A1553" s="16" t="s">
        <v>2553</v>
      </c>
      <c r="B1553" s="16" t="str">
        <f>TEXT(PARTIDA[[#This Row],[PARTIDA]],"0000000000")</f>
        <v>2804210000</v>
      </c>
      <c r="C1553" s="16" t="s">
        <v>815</v>
      </c>
      <c r="D1553" s="16" t="s">
        <v>835</v>
      </c>
      <c r="E1553" s="16" t="s">
        <v>9465</v>
      </c>
      <c r="F1553" s="27" t="s">
        <v>10532</v>
      </c>
      <c r="G1553" s="27"/>
      <c r="H1553" s="16" t="str">
        <f>IF(ISBLANK(PARTIDAS!$G1553),PARTIDAS!$F1553,CONCATENATE(PARTIDAS!$F1553," (",PARTIDAS!$G1553,")"))</f>
        <v>Gases nobles, argón</v>
      </c>
      <c r="I1553" s="16" t="s">
        <v>9427</v>
      </c>
    </row>
    <row r="1554" spans="1:9" x14ac:dyDescent="0.25">
      <c r="A1554" s="16" t="s">
        <v>2554</v>
      </c>
      <c r="B1554" s="16" t="str">
        <f>TEXT(PARTIDA[[#This Row],[PARTIDA]],"0000000000")</f>
        <v>2804290000</v>
      </c>
      <c r="C1554" s="16" t="s">
        <v>815</v>
      </c>
      <c r="D1554" s="16" t="s">
        <v>835</v>
      </c>
      <c r="E1554" s="16" t="s">
        <v>9465</v>
      </c>
      <c r="F1554" s="27" t="s">
        <v>10533</v>
      </c>
      <c r="G1554" s="27"/>
      <c r="H1554" s="16" t="str">
        <f>IF(ISBLANK(PARTIDAS!$G1554),PARTIDAS!$F1554,CONCATENATE(PARTIDAS!$F1554," (",PARTIDAS!$G1554,")"))</f>
        <v>Gases nobles (los demás)</v>
      </c>
      <c r="I1554" s="16" t="s">
        <v>9427</v>
      </c>
    </row>
    <row r="1555" spans="1:9" x14ac:dyDescent="0.25">
      <c r="A1555" s="16" t="s">
        <v>2555</v>
      </c>
      <c r="B1555" s="16" t="str">
        <f>TEXT(PARTIDA[[#This Row],[PARTIDA]],"0000000000")</f>
        <v>2804300000</v>
      </c>
      <c r="C1555" s="16" t="s">
        <v>815</v>
      </c>
      <c r="D1555" s="16" t="s">
        <v>835</v>
      </c>
      <c r="E1555" s="16" t="s">
        <v>9465</v>
      </c>
      <c r="F1555" s="27" t="s">
        <v>2556</v>
      </c>
      <c r="G1555" s="27"/>
      <c r="H1555" s="16" t="str">
        <f>IF(ISBLANK(PARTIDAS!$G1555),PARTIDAS!$F1555,CONCATENATE(PARTIDAS!$F1555," (",PARTIDAS!$G1555,")"))</f>
        <v>Nitrógeno</v>
      </c>
      <c r="I1555" s="16" t="s">
        <v>9427</v>
      </c>
    </row>
    <row r="1556" spans="1:9" x14ac:dyDescent="0.25">
      <c r="A1556" s="16" t="s">
        <v>2557</v>
      </c>
      <c r="B1556" s="16" t="str">
        <f>TEXT(PARTIDA[[#This Row],[PARTIDA]],"0000000000")</f>
        <v>2804400000</v>
      </c>
      <c r="C1556" s="16" t="s">
        <v>815</v>
      </c>
      <c r="D1556" s="16" t="s">
        <v>835</v>
      </c>
      <c r="E1556" s="16" t="s">
        <v>9465</v>
      </c>
      <c r="F1556" s="27" t="s">
        <v>9329</v>
      </c>
      <c r="G1556" s="27"/>
      <c r="H1556" s="16" t="str">
        <f>IF(ISBLANK(PARTIDAS!$G1556),PARTIDAS!$F1556,CONCATENATE(PARTIDAS!$F1556," (",PARTIDAS!$G1556,")"))</f>
        <v>Oxígeno</v>
      </c>
      <c r="I1556" s="16" t="s">
        <v>9477</v>
      </c>
    </row>
    <row r="1557" spans="1:9" x14ac:dyDescent="0.25">
      <c r="A1557" s="16" t="s">
        <v>2558</v>
      </c>
      <c r="B1557" s="16" t="str">
        <f>TEXT(PARTIDA[[#This Row],[PARTIDA]],"0000000000")</f>
        <v>2804501000</v>
      </c>
      <c r="C1557" s="16" t="s">
        <v>815</v>
      </c>
      <c r="D1557" s="16" t="s">
        <v>835</v>
      </c>
      <c r="E1557" s="16" t="s">
        <v>9465</v>
      </c>
      <c r="F1557" s="27" t="s">
        <v>10534</v>
      </c>
      <c r="G1557" s="27"/>
      <c r="H1557" s="16" t="str">
        <f>IF(ISBLANK(PARTIDAS!$G1557),PARTIDAS!$F1557,CONCATENATE(PARTIDAS!$F1557," (",PARTIDAS!$G1557,")"))</f>
        <v>Boro; telurio, boro</v>
      </c>
      <c r="I1557" s="16" t="s">
        <v>9427</v>
      </c>
    </row>
    <row r="1558" spans="1:9" x14ac:dyDescent="0.25">
      <c r="A1558" s="16" t="s">
        <v>2559</v>
      </c>
      <c r="B1558" s="16" t="str">
        <f>TEXT(PARTIDA[[#This Row],[PARTIDA]],"0000000000")</f>
        <v>2804502000</v>
      </c>
      <c r="C1558" s="16" t="s">
        <v>815</v>
      </c>
      <c r="D1558" s="16" t="s">
        <v>835</v>
      </c>
      <c r="E1558" s="16" t="s">
        <v>9465</v>
      </c>
      <c r="F1558" s="27" t="s">
        <v>10535</v>
      </c>
      <c r="G1558" s="27"/>
      <c r="H1558" s="16" t="str">
        <f>IF(ISBLANK(PARTIDAS!$G1558),PARTIDAS!$F1558,CONCATENATE(PARTIDAS!$F1558," (",PARTIDAS!$G1558,")"))</f>
        <v>Boro; telurio, telurio</v>
      </c>
      <c r="I1558" s="16" t="s">
        <v>9427</v>
      </c>
    </row>
    <row r="1559" spans="1:9" x14ac:dyDescent="0.25">
      <c r="A1559" s="16" t="s">
        <v>2560</v>
      </c>
      <c r="B1559" s="16" t="str">
        <f>TEXT(PARTIDA[[#This Row],[PARTIDA]],"0000000000")</f>
        <v>2804610000</v>
      </c>
      <c r="C1559" s="16" t="s">
        <v>815</v>
      </c>
      <c r="D1559" s="16" t="s">
        <v>835</v>
      </c>
      <c r="E1559" s="16" t="s">
        <v>9465</v>
      </c>
      <c r="F1559" s="27" t="s">
        <v>10536</v>
      </c>
      <c r="G1559" s="27"/>
      <c r="H1559" s="16" t="str">
        <f>IF(ISBLANK(PARTIDAS!$G1559),PARTIDAS!$F1559,CONCATENATE(PARTIDAS!$F1559," (",PARTIDAS!$G1559,")"))</f>
        <v>Silicio, con un contenido de silicio superior o igual al 99,99 % en peso</v>
      </c>
      <c r="I1559" s="16" t="s">
        <v>9427</v>
      </c>
    </row>
    <row r="1560" spans="1:9" x14ac:dyDescent="0.25">
      <c r="A1560" s="16" t="s">
        <v>2561</v>
      </c>
      <c r="B1560" s="16" t="str">
        <f>TEXT(PARTIDA[[#This Row],[PARTIDA]],"0000000000")</f>
        <v>2804690000</v>
      </c>
      <c r="C1560" s="16" t="s">
        <v>815</v>
      </c>
      <c r="D1560" s="16" t="s">
        <v>835</v>
      </c>
      <c r="E1560" s="16" t="s">
        <v>9465</v>
      </c>
      <c r="F1560" s="27" t="s">
        <v>10537</v>
      </c>
      <c r="G1560" s="27"/>
      <c r="H1560" s="16" t="str">
        <f>IF(ISBLANK(PARTIDAS!$G1560),PARTIDAS!$F1560,CONCATENATE(PARTIDAS!$F1560," (",PARTIDAS!$G1560,")"))</f>
        <v>Silicio (los demás)</v>
      </c>
      <c r="I1560" s="16" t="s">
        <v>9427</v>
      </c>
    </row>
    <row r="1561" spans="1:9" x14ac:dyDescent="0.25">
      <c r="A1561" s="16" t="s">
        <v>2562</v>
      </c>
      <c r="B1561" s="16" t="str">
        <f>TEXT(PARTIDA[[#This Row],[PARTIDA]],"0000000000")</f>
        <v>2804701000</v>
      </c>
      <c r="C1561" s="16" t="s">
        <v>815</v>
      </c>
      <c r="D1561" s="16" t="s">
        <v>835</v>
      </c>
      <c r="E1561" s="16" t="s">
        <v>9465</v>
      </c>
      <c r="F1561" s="27" t="s">
        <v>10538</v>
      </c>
      <c r="G1561" s="27"/>
      <c r="H1561" s="16" t="str">
        <f>IF(ISBLANK(PARTIDAS!$G1561),PARTIDAS!$F1561,CONCATENATE(PARTIDAS!$F1561," (",PARTIDAS!$G1561,")"))</f>
        <v>Fósforo rojo o amorfo</v>
      </c>
      <c r="I1561" s="16" t="s">
        <v>9427</v>
      </c>
    </row>
    <row r="1562" spans="1:9" x14ac:dyDescent="0.25">
      <c r="A1562" s="16" t="s">
        <v>2563</v>
      </c>
      <c r="B1562" s="16" t="str">
        <f>TEXT(PARTIDA[[#This Row],[PARTIDA]],"0000000000")</f>
        <v>2804709000</v>
      </c>
      <c r="C1562" s="16" t="s">
        <v>815</v>
      </c>
      <c r="D1562" s="16" t="s">
        <v>835</v>
      </c>
      <c r="E1562" s="16" t="s">
        <v>9465</v>
      </c>
      <c r="F1562" s="27" t="s">
        <v>10539</v>
      </c>
      <c r="G1562" s="27"/>
      <c r="H1562" s="16" t="str">
        <f>IF(ISBLANK(PARTIDAS!$G1562),PARTIDAS!$F1562,CONCATENATE(PARTIDAS!$F1562," (",PARTIDAS!$G1562,")"))</f>
        <v>Fósforo (los demás)</v>
      </c>
      <c r="I1562" s="16" t="s">
        <v>9427</v>
      </c>
    </row>
    <row r="1563" spans="1:9" x14ac:dyDescent="0.25">
      <c r="A1563" s="16" t="s">
        <v>2564</v>
      </c>
      <c r="B1563" s="16" t="str">
        <f>TEXT(PARTIDA[[#This Row],[PARTIDA]],"0000000000")</f>
        <v>2804800000</v>
      </c>
      <c r="C1563" s="16" t="s">
        <v>815</v>
      </c>
      <c r="D1563" s="16" t="s">
        <v>835</v>
      </c>
      <c r="E1563" s="16" t="s">
        <v>9465</v>
      </c>
      <c r="F1563" s="27" t="s">
        <v>10540</v>
      </c>
      <c r="G1563" s="27"/>
      <c r="H1563" s="16" t="str">
        <f>IF(ISBLANK(PARTIDAS!$G1563),PARTIDAS!$F1563,CONCATENATE(PARTIDAS!$F1563," (",PARTIDAS!$G1563,")"))</f>
        <v>Arsénico</v>
      </c>
      <c r="I1563" s="16" t="s">
        <v>9427</v>
      </c>
    </row>
    <row r="1564" spans="1:9" x14ac:dyDescent="0.25">
      <c r="A1564" s="16" t="s">
        <v>2565</v>
      </c>
      <c r="B1564" s="16" t="str">
        <f>TEXT(PARTIDA[[#This Row],[PARTIDA]],"0000000000")</f>
        <v>2804901000</v>
      </c>
      <c r="C1564" s="16" t="s">
        <v>815</v>
      </c>
      <c r="D1564" s="16" t="s">
        <v>835</v>
      </c>
      <c r="E1564" s="16" t="s">
        <v>9465</v>
      </c>
      <c r="F1564" s="27" t="s">
        <v>10541</v>
      </c>
      <c r="G1564" s="27"/>
      <c r="H1564" s="16" t="str">
        <f>IF(ISBLANK(PARTIDAS!$G1564),PARTIDAS!$F1564,CONCATENATE(PARTIDAS!$F1564," (",PARTIDAS!$G1564,")"))</f>
        <v>Selenio, en polvo</v>
      </c>
      <c r="I1564" s="16" t="s">
        <v>9427</v>
      </c>
    </row>
    <row r="1565" spans="1:9" x14ac:dyDescent="0.25">
      <c r="A1565" s="16" t="s">
        <v>2566</v>
      </c>
      <c r="B1565" s="16" t="str">
        <f>TEXT(PARTIDA[[#This Row],[PARTIDA]],"0000000000")</f>
        <v>2804909000</v>
      </c>
      <c r="C1565" s="16" t="s">
        <v>815</v>
      </c>
      <c r="D1565" s="16" t="s">
        <v>835</v>
      </c>
      <c r="E1565" s="16" t="s">
        <v>9465</v>
      </c>
      <c r="F1565" s="27" t="s">
        <v>10542</v>
      </c>
      <c r="G1565" s="27"/>
      <c r="H1565" s="16" t="str">
        <f>IF(ISBLANK(PARTIDAS!$G1565),PARTIDAS!$F1565,CONCATENATE(PARTIDAS!$F1565," (",PARTIDAS!$G1565,")"))</f>
        <v>Selenio (los demás)</v>
      </c>
      <c r="I1565" s="16" t="s">
        <v>9427</v>
      </c>
    </row>
    <row r="1566" spans="1:9" x14ac:dyDescent="0.25">
      <c r="A1566" s="16" t="s">
        <v>2567</v>
      </c>
      <c r="B1566" s="16" t="str">
        <f>TEXT(PARTIDA[[#This Row],[PARTIDA]],"0000000000")</f>
        <v>2805110000</v>
      </c>
      <c r="C1566" s="16" t="s">
        <v>815</v>
      </c>
      <c r="D1566" s="16" t="s">
        <v>835</v>
      </c>
      <c r="E1566" s="16" t="s">
        <v>9465</v>
      </c>
      <c r="F1566" s="27" t="s">
        <v>10543</v>
      </c>
      <c r="G1566" s="27"/>
      <c r="H1566" s="16" t="str">
        <f>IF(ISBLANK(PARTIDAS!$G1566),PARTIDAS!$F1566,CONCATENATE(PARTIDAS!$F1566," (",PARTIDAS!$G1566,")"))</f>
        <v>Metales alcalinos o alcalinotérreos, sodio</v>
      </c>
      <c r="I1566" s="16" t="s">
        <v>9427</v>
      </c>
    </row>
    <row r="1567" spans="1:9" x14ac:dyDescent="0.25">
      <c r="A1567" s="16" t="s">
        <v>2568</v>
      </c>
      <c r="B1567" s="16" t="str">
        <f>TEXT(PARTIDA[[#This Row],[PARTIDA]],"0000000000")</f>
        <v>2805120000</v>
      </c>
      <c r="C1567" s="16" t="s">
        <v>815</v>
      </c>
      <c r="D1567" s="16" t="s">
        <v>835</v>
      </c>
      <c r="E1567" s="16" t="s">
        <v>9465</v>
      </c>
      <c r="F1567" s="27" t="s">
        <v>10544</v>
      </c>
      <c r="G1567" s="27"/>
      <c r="H1567" s="16" t="str">
        <f>IF(ISBLANK(PARTIDAS!$G1567),PARTIDAS!$F1567,CONCATENATE(PARTIDAS!$F1567," (",PARTIDAS!$G1567,")"))</f>
        <v>Metales alcalinos o alcalinotérreos, calcio</v>
      </c>
      <c r="I1567" s="16" t="s">
        <v>9427</v>
      </c>
    </row>
    <row r="1568" spans="1:9" x14ac:dyDescent="0.25">
      <c r="A1568" s="16" t="s">
        <v>2569</v>
      </c>
      <c r="B1568" s="16" t="str">
        <f>TEXT(PARTIDA[[#This Row],[PARTIDA]],"0000000000")</f>
        <v>2805190000</v>
      </c>
      <c r="C1568" s="16" t="s">
        <v>815</v>
      </c>
      <c r="D1568" s="16" t="s">
        <v>835</v>
      </c>
      <c r="E1568" s="16" t="s">
        <v>9465</v>
      </c>
      <c r="F1568" s="27" t="s">
        <v>10545</v>
      </c>
      <c r="G1568" s="27"/>
      <c r="H1568" s="16" t="str">
        <f>IF(ISBLANK(PARTIDAS!$G1568),PARTIDAS!$F1568,CONCATENATE(PARTIDAS!$F1568," (",PARTIDAS!$G1568,")"))</f>
        <v>Metales alcalinos o alcalinotérreos (los demás)</v>
      </c>
      <c r="I1568" s="16" t="s">
        <v>9427</v>
      </c>
    </row>
    <row r="1569" spans="1:9" x14ac:dyDescent="0.25">
      <c r="A1569" s="16" t="s">
        <v>2570</v>
      </c>
      <c r="B1569" s="16" t="str">
        <f>TEXT(PARTIDA[[#This Row],[PARTIDA]],"0000000000")</f>
        <v>2805300000</v>
      </c>
      <c r="C1569" s="16" t="s">
        <v>815</v>
      </c>
      <c r="D1569" s="16" t="s">
        <v>835</v>
      </c>
      <c r="E1569" s="16" t="s">
        <v>9465</v>
      </c>
      <c r="F1569" s="27" t="s">
        <v>10546</v>
      </c>
      <c r="G1569" s="27"/>
      <c r="H1569" s="16" t="str">
        <f>IF(ISBLANK(PARTIDAS!$G1569),PARTIDAS!$F1569,CONCATENATE(PARTIDAS!$F1569," (",PARTIDAS!$G1569,")"))</f>
        <v>Metales de las tierras raras, escandio e itrio, incluso mezclados o aleados entre sí</v>
      </c>
      <c r="I1569" s="16" t="s">
        <v>9427</v>
      </c>
    </row>
    <row r="1570" spans="1:9" x14ac:dyDescent="0.25">
      <c r="A1570" s="16" t="s">
        <v>2571</v>
      </c>
      <c r="B1570" s="16" t="str">
        <f>TEXT(PARTIDA[[#This Row],[PARTIDA]],"0000000000")</f>
        <v>2805400000</v>
      </c>
      <c r="C1570" s="16" t="s">
        <v>815</v>
      </c>
      <c r="D1570" s="16" t="s">
        <v>835</v>
      </c>
      <c r="E1570" s="16" t="s">
        <v>9465</v>
      </c>
      <c r="F1570" s="27" t="s">
        <v>10547</v>
      </c>
      <c r="G1570" s="27"/>
      <c r="H1570" s="16" t="str">
        <f>IF(ISBLANK(PARTIDAS!$G1570),PARTIDAS!$F1570,CONCATENATE(PARTIDAS!$F1570," (",PARTIDAS!$G1570,")"))</f>
        <v>Mercurio</v>
      </c>
      <c r="I1570" s="16" t="s">
        <v>9427</v>
      </c>
    </row>
    <row r="1571" spans="1:9" x14ac:dyDescent="0.25">
      <c r="A1571" s="16" t="s">
        <v>2572</v>
      </c>
      <c r="B1571" s="16" t="str">
        <f>TEXT(PARTIDA[[#This Row],[PARTIDA]],"0000000000")</f>
        <v>2806100000</v>
      </c>
      <c r="C1571" s="16" t="s">
        <v>815</v>
      </c>
      <c r="D1571" s="16" t="s">
        <v>835</v>
      </c>
      <c r="E1571" s="16" t="s">
        <v>9465</v>
      </c>
      <c r="F1571" s="27" t="s">
        <v>10548</v>
      </c>
      <c r="G1571" s="27"/>
      <c r="H1571" s="16" t="str">
        <f>IF(ISBLANK(PARTIDAS!$G1571),PARTIDAS!$F1571,CONCATENATE(PARTIDAS!$F1571," (",PARTIDAS!$G1571,")"))</f>
        <v>Cloruro de hidrógeno (ácido clorhídrico)</v>
      </c>
      <c r="I1571" s="16" t="s">
        <v>9427</v>
      </c>
    </row>
    <row r="1572" spans="1:9" x14ac:dyDescent="0.25">
      <c r="A1572" s="16" t="s">
        <v>2573</v>
      </c>
      <c r="B1572" s="16" t="str">
        <f>TEXT(PARTIDA[[#This Row],[PARTIDA]],"0000000000")</f>
        <v>2806200000</v>
      </c>
      <c r="C1572" s="16" t="s">
        <v>815</v>
      </c>
      <c r="D1572" s="16" t="s">
        <v>835</v>
      </c>
      <c r="E1572" s="16" t="s">
        <v>9465</v>
      </c>
      <c r="F1572" s="27" t="s">
        <v>10549</v>
      </c>
      <c r="G1572" s="27"/>
      <c r="H1572" s="16" t="str">
        <f>IF(ISBLANK(PARTIDAS!$G1572),PARTIDAS!$F1572,CONCATENATE(PARTIDAS!$F1572," (",PARTIDAS!$G1572,")"))</f>
        <v>Ácido clorosulfúrico</v>
      </c>
      <c r="I1572" s="16" t="s">
        <v>9427</v>
      </c>
    </row>
    <row r="1573" spans="1:9" x14ac:dyDescent="0.25">
      <c r="A1573" s="16" t="s">
        <v>2574</v>
      </c>
      <c r="B1573" s="16" t="str">
        <f>TEXT(PARTIDA[[#This Row],[PARTIDA]],"0000000000")</f>
        <v>2807001000</v>
      </c>
      <c r="C1573" s="16" t="s">
        <v>815</v>
      </c>
      <c r="D1573" s="16" t="s">
        <v>835</v>
      </c>
      <c r="E1573" s="16" t="s">
        <v>9465</v>
      </c>
      <c r="F1573" s="27" t="s">
        <v>10550</v>
      </c>
      <c r="G1573" s="27"/>
      <c r="H1573" s="16" t="str">
        <f>IF(ISBLANK(PARTIDAS!$G1573),PARTIDAS!$F1573,CONCATENATE(PARTIDAS!$F1573," (",PARTIDAS!$G1573,")"))</f>
        <v>Ácido sulfúrico</v>
      </c>
      <c r="I1573" s="16" t="s">
        <v>9427</v>
      </c>
    </row>
    <row r="1574" spans="1:9" x14ac:dyDescent="0.25">
      <c r="A1574" s="16" t="s">
        <v>2575</v>
      </c>
      <c r="B1574" s="16" t="str">
        <f>TEXT(PARTIDA[[#This Row],[PARTIDA]],"0000000000")</f>
        <v>2807002000</v>
      </c>
      <c r="C1574" s="16" t="s">
        <v>815</v>
      </c>
      <c r="D1574" s="16" t="s">
        <v>835</v>
      </c>
      <c r="E1574" s="16" t="s">
        <v>9465</v>
      </c>
      <c r="F1574" s="27" t="s">
        <v>10551</v>
      </c>
      <c r="G1574" s="27"/>
      <c r="H1574" s="16" t="str">
        <f>IF(ISBLANK(PARTIDAS!$G1574),PARTIDAS!$F1574,CONCATENATE(PARTIDAS!$F1574," (",PARTIDAS!$G1574,")"))</f>
        <v>Óleum (ácido sulfúrico fumante)</v>
      </c>
      <c r="I1574" s="16" t="s">
        <v>9427</v>
      </c>
    </row>
    <row r="1575" spans="1:9" x14ac:dyDescent="0.25">
      <c r="A1575" s="16" t="s">
        <v>2576</v>
      </c>
      <c r="B1575" s="16" t="str">
        <f>TEXT(PARTIDA[[#This Row],[PARTIDA]],"0000000000")</f>
        <v>2808001000</v>
      </c>
      <c r="C1575" s="16" t="s">
        <v>815</v>
      </c>
      <c r="D1575" s="16" t="s">
        <v>835</v>
      </c>
      <c r="E1575" s="16" t="s">
        <v>9465</v>
      </c>
      <c r="F1575" s="27" t="s">
        <v>10552</v>
      </c>
      <c r="G1575" s="27"/>
      <c r="H1575" s="16" t="str">
        <f>IF(ISBLANK(PARTIDAS!$G1575),PARTIDAS!$F1575,CONCATENATE(PARTIDAS!$F1575," (",PARTIDAS!$G1575,")"))</f>
        <v>Ácido nítrico</v>
      </c>
      <c r="I1575" s="16" t="s">
        <v>9427</v>
      </c>
    </row>
    <row r="1576" spans="1:9" x14ac:dyDescent="0.25">
      <c r="A1576" s="16" t="s">
        <v>2577</v>
      </c>
      <c r="B1576" s="16" t="str">
        <f>TEXT(PARTIDA[[#This Row],[PARTIDA]],"0000000000")</f>
        <v>2808002000</v>
      </c>
      <c r="C1576" s="16" t="s">
        <v>815</v>
      </c>
      <c r="D1576" s="16" t="s">
        <v>835</v>
      </c>
      <c r="E1576" s="16" t="s">
        <v>9465</v>
      </c>
      <c r="F1576" s="27" t="s">
        <v>10553</v>
      </c>
      <c r="G1576" s="27"/>
      <c r="H1576" s="16" t="str">
        <f>IF(ISBLANK(PARTIDAS!$G1576),PARTIDAS!$F1576,CONCATENATE(PARTIDAS!$F1576," (",PARTIDAS!$G1576,")"))</f>
        <v>Ácidos sulfonítricos</v>
      </c>
      <c r="I1576" s="16" t="s">
        <v>9427</v>
      </c>
    </row>
    <row r="1577" spans="1:9" x14ac:dyDescent="0.25">
      <c r="A1577" s="16" t="s">
        <v>2578</v>
      </c>
      <c r="B1577" s="16" t="str">
        <f>TEXT(PARTIDA[[#This Row],[PARTIDA]],"0000000000")</f>
        <v>2809100000</v>
      </c>
      <c r="C1577" s="16" t="s">
        <v>815</v>
      </c>
      <c r="D1577" s="16" t="s">
        <v>835</v>
      </c>
      <c r="E1577" s="16" t="s">
        <v>9465</v>
      </c>
      <c r="F1577" s="27" t="s">
        <v>10554</v>
      </c>
      <c r="G1577" s="27"/>
      <c r="H1577" s="16" t="str">
        <f>IF(ISBLANK(PARTIDAS!$G1577),PARTIDAS!$F1577,CONCATENATE(PARTIDAS!$F1577," (",PARTIDAS!$G1577,")"))</f>
        <v>Pentóxido de difósforo</v>
      </c>
      <c r="I1577" s="16" t="s">
        <v>9427</v>
      </c>
    </row>
    <row r="1578" spans="1:9" x14ac:dyDescent="0.25">
      <c r="A1578" s="16" t="s">
        <v>2579</v>
      </c>
      <c r="B1578" s="16" t="str">
        <f>TEXT(PARTIDA[[#This Row],[PARTIDA]],"0000000000")</f>
        <v>2809201000</v>
      </c>
      <c r="C1578" s="16" t="s">
        <v>815</v>
      </c>
      <c r="D1578" s="16" t="s">
        <v>835</v>
      </c>
      <c r="E1578" s="16" t="s">
        <v>9465</v>
      </c>
      <c r="F1578" s="27" t="s">
        <v>10555</v>
      </c>
      <c r="G1578" s="27"/>
      <c r="H1578" s="16" t="str">
        <f>IF(ISBLANK(PARTIDAS!$G1578),PARTIDAS!$F1578,CONCATENATE(PARTIDAS!$F1578," (",PARTIDAS!$G1578,")"))</f>
        <v>Ácido fosfórico</v>
      </c>
      <c r="I1578" s="16" t="s">
        <v>9427</v>
      </c>
    </row>
    <row r="1579" spans="1:9" x14ac:dyDescent="0.25">
      <c r="A1579" s="16" t="s">
        <v>2580</v>
      </c>
      <c r="B1579" s="16" t="str">
        <f>TEXT(PARTIDA[[#This Row],[PARTIDA]],"0000000000")</f>
        <v>2809202000</v>
      </c>
      <c r="C1579" s="16" t="s">
        <v>815</v>
      </c>
      <c r="D1579" s="16" t="s">
        <v>835</v>
      </c>
      <c r="E1579" s="16" t="s">
        <v>9465</v>
      </c>
      <c r="F1579" s="27" t="s">
        <v>10556</v>
      </c>
      <c r="G1579" s="27"/>
      <c r="H1579" s="16" t="str">
        <f>IF(ISBLANK(PARTIDAS!$G1579),PARTIDAS!$F1579,CONCATENATE(PARTIDAS!$F1579," (",PARTIDAS!$G1579,")"))</f>
        <v>Ácidos polifosfóricos</v>
      </c>
      <c r="I1579" s="16" t="s">
        <v>9427</v>
      </c>
    </row>
    <row r="1580" spans="1:9" x14ac:dyDescent="0.25">
      <c r="A1580" s="16" t="s">
        <v>2581</v>
      </c>
      <c r="B1580" s="16" t="str">
        <f>TEXT(PARTIDA[[#This Row],[PARTIDA]],"0000000000")</f>
        <v>2810001000</v>
      </c>
      <c r="C1580" s="16" t="s">
        <v>815</v>
      </c>
      <c r="D1580" s="16" t="s">
        <v>835</v>
      </c>
      <c r="E1580" s="16" t="s">
        <v>9465</v>
      </c>
      <c r="F1580" s="27" t="s">
        <v>9415</v>
      </c>
      <c r="G1580" s="27"/>
      <c r="H1580" s="16" t="str">
        <f>IF(ISBLANK(PARTIDAS!$G1580),PARTIDAS!$F1580,CONCATENATE(PARTIDAS!$F1580," (",PARTIDAS!$G1580,")"))</f>
        <v>Ácido ortobórico</v>
      </c>
      <c r="I1580" s="16" t="s">
        <v>9477</v>
      </c>
    </row>
    <row r="1581" spans="1:9" x14ac:dyDescent="0.25">
      <c r="A1581" s="16" t="s">
        <v>2582</v>
      </c>
      <c r="B1581" s="16" t="str">
        <f>TEXT(PARTIDA[[#This Row],[PARTIDA]],"0000000000")</f>
        <v>2810009000</v>
      </c>
      <c r="C1581" s="16" t="s">
        <v>815</v>
      </c>
      <c r="D1581" s="16" t="s">
        <v>835</v>
      </c>
      <c r="E1581" s="16" t="s">
        <v>9465</v>
      </c>
      <c r="F1581" s="27" t="s">
        <v>10557</v>
      </c>
      <c r="G1581" s="27"/>
      <c r="H1581" s="16" t="str">
        <f>IF(ISBLANK(PARTIDAS!$G1581),PARTIDAS!$F1581,CONCATENATE(PARTIDAS!$F1581," (",PARTIDAS!$G1581,")"))</f>
        <v>Pentóxido de difósforo (los demás)</v>
      </c>
      <c r="I1581" s="16" t="s">
        <v>9427</v>
      </c>
    </row>
    <row r="1582" spans="1:9" x14ac:dyDescent="0.25">
      <c r="A1582" s="16" t="s">
        <v>2583</v>
      </c>
      <c r="B1582" s="16" t="str">
        <f>TEXT(PARTIDA[[#This Row],[PARTIDA]],"0000000000")</f>
        <v>2811110000</v>
      </c>
      <c r="C1582" s="16" t="s">
        <v>815</v>
      </c>
      <c r="D1582" s="16" t="s">
        <v>835</v>
      </c>
      <c r="E1582" s="16" t="s">
        <v>9465</v>
      </c>
      <c r="F1582" s="27" t="s">
        <v>10558</v>
      </c>
      <c r="G1582" s="27"/>
      <c r="H1582" s="16" t="str">
        <f>IF(ISBLANK(PARTIDAS!$G1582),PARTIDAS!$F1582,CONCATENATE(PARTIDAS!$F1582," (",PARTIDAS!$G1582,")"))</f>
        <v>Fluoruro de hidrógeno (ácido fluorhídrico)</v>
      </c>
      <c r="I1582" s="16" t="s">
        <v>9427</v>
      </c>
    </row>
    <row r="1583" spans="1:9" x14ac:dyDescent="0.25">
      <c r="A1583" s="16" t="s">
        <v>2584</v>
      </c>
      <c r="B1583" s="16" t="str">
        <f>TEXT(PARTIDA[[#This Row],[PARTIDA]],"0000000000")</f>
        <v>2811120000</v>
      </c>
      <c r="C1583" s="16" t="s">
        <v>815</v>
      </c>
      <c r="D1583" s="16" t="s">
        <v>835</v>
      </c>
      <c r="E1583" s="16" t="s">
        <v>9465</v>
      </c>
      <c r="F1583" s="27" t="s">
        <v>10559</v>
      </c>
      <c r="G1583" s="27"/>
      <c r="H1583" s="16" t="str">
        <f>IF(ISBLANK(PARTIDAS!$G1583),PARTIDAS!$F1583,CONCATENATE(PARTIDAS!$F1583," (",PARTIDAS!$G1583,")"))</f>
        <v>Cianuro de hidrógeno (ácido cianhídrico)</v>
      </c>
      <c r="I1583" s="16" t="s">
        <v>9427</v>
      </c>
    </row>
    <row r="1584" spans="1:9" x14ac:dyDescent="0.25">
      <c r="A1584" s="16" t="s">
        <v>2585</v>
      </c>
      <c r="B1584" s="16" t="str">
        <f>TEXT(PARTIDA[[#This Row],[PARTIDA]],"0000000000")</f>
        <v>2811191000</v>
      </c>
      <c r="C1584" s="16" t="s">
        <v>815</v>
      </c>
      <c r="D1584" s="16" t="s">
        <v>835</v>
      </c>
      <c r="E1584" s="16" t="s">
        <v>9465</v>
      </c>
      <c r="F1584" s="27" t="s">
        <v>10560</v>
      </c>
      <c r="G1584" s="27"/>
      <c r="H1584" s="16" t="str">
        <f>IF(ISBLANK(PARTIDAS!$G1584),PARTIDAS!$F1584,CONCATENATE(PARTIDAS!$F1584," (",PARTIDAS!$G1584,")"))</f>
        <v>Ácido aminosulfónico (ácido sulfámico)</v>
      </c>
      <c r="I1584" s="16" t="s">
        <v>9427</v>
      </c>
    </row>
    <row r="1585" spans="1:9" x14ac:dyDescent="0.25">
      <c r="A1585" s="16" t="s">
        <v>2586</v>
      </c>
      <c r="B1585" s="16" t="str">
        <f>TEXT(PARTIDA[[#This Row],[PARTIDA]],"0000000000")</f>
        <v>2811193000</v>
      </c>
      <c r="C1585" s="16" t="s">
        <v>815</v>
      </c>
      <c r="D1585" s="16" t="s">
        <v>835</v>
      </c>
      <c r="E1585" s="16" t="s">
        <v>9465</v>
      </c>
      <c r="F1585" s="27" t="s">
        <v>10561</v>
      </c>
      <c r="G1585" s="27"/>
      <c r="H1585" s="16" t="str">
        <f>IF(ISBLANK(PARTIDAS!$G1585),PARTIDAS!$F1585,CONCATENATE(PARTIDAS!$F1585," (",PARTIDAS!$G1585,")"))</f>
        <v>Derivados del fósforo</v>
      </c>
      <c r="I1585" s="16" t="s">
        <v>9427</v>
      </c>
    </row>
    <row r="1586" spans="1:9" x14ac:dyDescent="0.25">
      <c r="A1586" s="16" t="s">
        <v>2587</v>
      </c>
      <c r="B1586" s="16" t="str">
        <f>TEXT(PARTIDA[[#This Row],[PARTIDA]],"0000000000")</f>
        <v>2811199020</v>
      </c>
      <c r="C1586" s="16" t="s">
        <v>815</v>
      </c>
      <c r="D1586" s="16" t="s">
        <v>835</v>
      </c>
      <c r="E1586" s="16" t="s">
        <v>9465</v>
      </c>
      <c r="F1586" s="27" t="s">
        <v>10562</v>
      </c>
      <c r="G1586" s="27"/>
      <c r="H1586" s="16" t="str">
        <f>IF(ISBLANK(PARTIDAS!$G1586),PARTIDAS!$F1586,CONCATENATE(PARTIDAS!$F1586," (",PARTIDAS!$G1586,")"))</f>
        <v>Derivados del azufre, del selenio o del telurio</v>
      </c>
      <c r="I1586" s="16" t="s">
        <v>9427</v>
      </c>
    </row>
    <row r="1587" spans="1:9" x14ac:dyDescent="0.25">
      <c r="A1587" s="16" t="s">
        <v>2588</v>
      </c>
      <c r="B1587" s="16" t="str">
        <f>TEXT(PARTIDA[[#This Row],[PARTIDA]],"0000000000")</f>
        <v>2811199090</v>
      </c>
      <c r="C1587" s="16" t="s">
        <v>815</v>
      </c>
      <c r="D1587" s="16" t="s">
        <v>835</v>
      </c>
      <c r="E1587" s="16" t="s">
        <v>9465</v>
      </c>
      <c r="F1587" s="27" t="s">
        <v>10563</v>
      </c>
      <c r="G1587" s="27"/>
      <c r="H1587" s="16" t="str">
        <f>IF(ISBLANK(PARTIDAS!$G1587),PARTIDAS!$F1587,CONCATENATE(PARTIDAS!$F1587," (",PARTIDAS!$G1587,")"))</f>
        <v>Productos químicos inorgánicos (los demás)</v>
      </c>
      <c r="I1587" s="16" t="s">
        <v>9427</v>
      </c>
    </row>
    <row r="1588" spans="1:9" x14ac:dyDescent="0.25">
      <c r="A1588" s="16" t="s">
        <v>2589</v>
      </c>
      <c r="B1588" s="16" t="str">
        <f>TEXT(PARTIDA[[#This Row],[PARTIDA]],"0000000000")</f>
        <v>2811210000</v>
      </c>
      <c r="C1588" s="16" t="s">
        <v>815</v>
      </c>
      <c r="D1588" s="16" t="s">
        <v>835</v>
      </c>
      <c r="E1588" s="16" t="s">
        <v>9465</v>
      </c>
      <c r="F1588" s="27" t="s">
        <v>9230</v>
      </c>
      <c r="G1588" s="27"/>
      <c r="H1588" s="16" t="str">
        <f>IF(ISBLANK(PARTIDAS!$G1588),PARTIDAS!$F1588,CONCATENATE(PARTIDAS!$F1588," (",PARTIDAS!$G1588,")"))</f>
        <v>Dióxido de carbono</v>
      </c>
      <c r="I1588" s="16" t="s">
        <v>9477</v>
      </c>
    </row>
    <row r="1589" spans="1:9" x14ac:dyDescent="0.25">
      <c r="A1589" s="16" t="s">
        <v>2590</v>
      </c>
      <c r="B1589" s="16" t="str">
        <f>TEXT(PARTIDA[[#This Row],[PARTIDA]],"0000000000")</f>
        <v>2811221000</v>
      </c>
      <c r="C1589" s="16" t="s">
        <v>815</v>
      </c>
      <c r="D1589" s="16" t="s">
        <v>835</v>
      </c>
      <c r="E1589" s="16" t="s">
        <v>9465</v>
      </c>
      <c r="F1589" s="27" t="s">
        <v>10564</v>
      </c>
      <c r="G1589" s="27"/>
      <c r="H1589" s="16" t="str">
        <f>IF(ISBLANK(PARTIDAS!$G1589),PARTIDAS!$F1589,CONCATENATE(PARTIDAS!$F1589," (",PARTIDAS!$G1589,")"))</f>
        <v>Gel de sílice</v>
      </c>
      <c r="I1589" s="16" t="s">
        <v>9427</v>
      </c>
    </row>
    <row r="1590" spans="1:9" x14ac:dyDescent="0.25">
      <c r="A1590" s="16" t="s">
        <v>2591</v>
      </c>
      <c r="B1590" s="16" t="str">
        <f>TEXT(PARTIDA[[#This Row],[PARTIDA]],"0000000000")</f>
        <v>2811229000</v>
      </c>
      <c r="C1590" s="16" t="s">
        <v>815</v>
      </c>
      <c r="D1590" s="16" t="s">
        <v>835</v>
      </c>
      <c r="E1590" s="16" t="s">
        <v>9465</v>
      </c>
      <c r="F1590" s="27" t="s">
        <v>10565</v>
      </c>
      <c r="G1590" s="27"/>
      <c r="H1590" s="16" t="str">
        <f>IF(ISBLANK(PARTIDAS!$G1590),PARTIDAS!$F1590,CONCATENATE(PARTIDAS!$F1590," (",PARTIDAS!$G1590,")"))</f>
        <v>Dióxido de silicio (los demás)</v>
      </c>
      <c r="I1590" s="16" t="s">
        <v>9427</v>
      </c>
    </row>
    <row r="1591" spans="1:9" x14ac:dyDescent="0.25">
      <c r="A1591" s="16" t="s">
        <v>2592</v>
      </c>
      <c r="B1591" s="16" t="str">
        <f>TEXT(PARTIDA[[#This Row],[PARTIDA]],"0000000000")</f>
        <v>2811292000</v>
      </c>
      <c r="C1591" s="16" t="s">
        <v>815</v>
      </c>
      <c r="D1591" s="16" t="s">
        <v>835</v>
      </c>
      <c r="E1591" s="16" t="s">
        <v>9465</v>
      </c>
      <c r="F1591" s="27" t="s">
        <v>10566</v>
      </c>
      <c r="G1591" s="27"/>
      <c r="H1591" s="16" t="str">
        <f>IF(ISBLANK(PARTIDAS!$G1591),PARTIDAS!$F1591,CONCATENATE(PARTIDAS!$F1591," (",PARTIDAS!$G1591,")"))</f>
        <v>Hemióxido de nitrógeno (óxido nitroso, protóxido de nitrógeno)</v>
      </c>
      <c r="I1591" s="16" t="s">
        <v>9427</v>
      </c>
    </row>
    <row r="1592" spans="1:9" x14ac:dyDescent="0.25">
      <c r="A1592" s="16" t="s">
        <v>2593</v>
      </c>
      <c r="B1592" s="16" t="str">
        <f>TEXT(PARTIDA[[#This Row],[PARTIDA]],"0000000000")</f>
        <v>2811294000</v>
      </c>
      <c r="C1592" s="16" t="s">
        <v>815</v>
      </c>
      <c r="D1592" s="16" t="s">
        <v>835</v>
      </c>
      <c r="E1592" s="16" t="s">
        <v>9465</v>
      </c>
      <c r="F1592" s="27" t="s">
        <v>10567</v>
      </c>
      <c r="G1592" s="27"/>
      <c r="H1592" s="16" t="str">
        <f>IF(ISBLANK(PARTIDAS!$G1592),PARTIDAS!$F1592,CONCATENATE(PARTIDAS!$F1592," (",PARTIDAS!$G1592,")"))</f>
        <v>Trióxido de diarsénico (sesquióxido de arsénico, anhídrido arsenioso, arsénico blanco)</v>
      </c>
      <c r="I1592" s="16" t="s">
        <v>9427</v>
      </c>
    </row>
    <row r="1593" spans="1:9" x14ac:dyDescent="0.25">
      <c r="A1593" s="16" t="s">
        <v>2594</v>
      </c>
      <c r="B1593" s="16" t="str">
        <f>TEXT(PARTIDA[[#This Row],[PARTIDA]],"0000000000")</f>
        <v>2811299000</v>
      </c>
      <c r="C1593" s="16" t="s">
        <v>815</v>
      </c>
      <c r="D1593" s="16" t="s">
        <v>835</v>
      </c>
      <c r="E1593" s="16" t="s">
        <v>9465</v>
      </c>
      <c r="F1593" s="27" t="s">
        <v>10563</v>
      </c>
      <c r="G1593" s="27"/>
      <c r="H1593" s="16" t="str">
        <f>IF(ISBLANK(PARTIDAS!$G1593),PARTIDAS!$F1593,CONCATENATE(PARTIDAS!$F1593," (",PARTIDAS!$G1593,")"))</f>
        <v>Productos químicos inorgánicos (los demás)</v>
      </c>
      <c r="I1593" s="16" t="s">
        <v>9427</v>
      </c>
    </row>
    <row r="1594" spans="1:9" x14ac:dyDescent="0.25">
      <c r="A1594" s="16" t="s">
        <v>2595</v>
      </c>
      <c r="B1594" s="16" t="str">
        <f>TEXT(PARTIDA[[#This Row],[PARTIDA]],"0000000000")</f>
        <v>2812110000</v>
      </c>
      <c r="C1594" s="16" t="s">
        <v>815</v>
      </c>
      <c r="D1594" s="16" t="s">
        <v>835</v>
      </c>
      <c r="E1594" s="16" t="s">
        <v>9465</v>
      </c>
      <c r="F1594" s="27" t="s">
        <v>10568</v>
      </c>
      <c r="G1594" s="27"/>
      <c r="H1594" s="16" t="str">
        <f>IF(ISBLANK(PARTIDAS!$G1594),PARTIDAS!$F1594,CONCATENATE(PARTIDAS!$F1594," (",PARTIDAS!$G1594,")"))</f>
        <v>Dicloruro de carbonilo (fosgeno)</v>
      </c>
      <c r="I1594" s="16" t="s">
        <v>9427</v>
      </c>
    </row>
    <row r="1595" spans="1:9" x14ac:dyDescent="0.25">
      <c r="A1595" s="16" t="s">
        <v>2596</v>
      </c>
      <c r="B1595" s="16" t="str">
        <f>TEXT(PARTIDA[[#This Row],[PARTIDA]],"0000000000")</f>
        <v>2812120000</v>
      </c>
      <c r="C1595" s="16" t="s">
        <v>815</v>
      </c>
      <c r="D1595" s="16" t="s">
        <v>835</v>
      </c>
      <c r="E1595" s="16" t="s">
        <v>9465</v>
      </c>
      <c r="F1595" s="27" t="s">
        <v>10569</v>
      </c>
      <c r="G1595" s="27"/>
      <c r="H1595" s="16" t="str">
        <f>IF(ISBLANK(PARTIDAS!$G1595),PARTIDAS!$F1595,CONCATENATE(PARTIDAS!$F1595," (",PARTIDAS!$G1595,")"))</f>
        <v>Oxicloruro de fósforo</v>
      </c>
      <c r="I1595" s="16" t="s">
        <v>9427</v>
      </c>
    </row>
    <row r="1596" spans="1:9" x14ac:dyDescent="0.25">
      <c r="A1596" s="16" t="s">
        <v>2597</v>
      </c>
      <c r="B1596" s="16" t="str">
        <f>TEXT(PARTIDA[[#This Row],[PARTIDA]],"0000000000")</f>
        <v>2812130000</v>
      </c>
      <c r="C1596" s="16" t="s">
        <v>815</v>
      </c>
      <c r="D1596" s="16" t="s">
        <v>835</v>
      </c>
      <c r="E1596" s="16" t="s">
        <v>9465</v>
      </c>
      <c r="F1596" s="27" t="s">
        <v>10570</v>
      </c>
      <c r="G1596" s="27"/>
      <c r="H1596" s="16" t="str">
        <f>IF(ISBLANK(PARTIDAS!$G1596),PARTIDAS!$F1596,CONCATENATE(PARTIDAS!$F1596," (",PARTIDAS!$G1596,")"))</f>
        <v>Tricloruro de fósforo</v>
      </c>
      <c r="I1596" s="16" t="s">
        <v>9427</v>
      </c>
    </row>
    <row r="1597" spans="1:9" x14ac:dyDescent="0.25">
      <c r="A1597" s="16" t="s">
        <v>2598</v>
      </c>
      <c r="B1597" s="16" t="str">
        <f>TEXT(PARTIDA[[#This Row],[PARTIDA]],"0000000000")</f>
        <v>2812140000</v>
      </c>
      <c r="C1597" s="16" t="s">
        <v>815</v>
      </c>
      <c r="D1597" s="16" t="s">
        <v>835</v>
      </c>
      <c r="E1597" s="16" t="s">
        <v>9465</v>
      </c>
      <c r="F1597" s="27" t="s">
        <v>10571</v>
      </c>
      <c r="G1597" s="27"/>
      <c r="H1597" s="16" t="str">
        <f>IF(ISBLANK(PARTIDAS!$G1597),PARTIDAS!$F1597,CONCATENATE(PARTIDAS!$F1597," (",PARTIDAS!$G1597,")"))</f>
        <v>Pentacloruro de fósforo</v>
      </c>
      <c r="I1597" s="16" t="s">
        <v>9427</v>
      </c>
    </row>
    <row r="1598" spans="1:9" x14ac:dyDescent="0.25">
      <c r="A1598" s="16" t="s">
        <v>2599</v>
      </c>
      <c r="B1598" s="16" t="str">
        <f>TEXT(PARTIDA[[#This Row],[PARTIDA]],"0000000000")</f>
        <v>2812150000</v>
      </c>
      <c r="C1598" s="16" t="s">
        <v>815</v>
      </c>
      <c r="D1598" s="16" t="s">
        <v>835</v>
      </c>
      <c r="E1598" s="16" t="s">
        <v>9465</v>
      </c>
      <c r="F1598" s="27" t="s">
        <v>10572</v>
      </c>
      <c r="G1598" s="27"/>
      <c r="H1598" s="16" t="str">
        <f>IF(ISBLANK(PARTIDAS!$G1598),PARTIDAS!$F1598,CONCATENATE(PARTIDAS!$F1598," (",PARTIDAS!$G1598,")"))</f>
        <v>Monocloruro de azufre</v>
      </c>
      <c r="I1598" s="16" t="s">
        <v>9427</v>
      </c>
    </row>
    <row r="1599" spans="1:9" x14ac:dyDescent="0.25">
      <c r="A1599" s="16" t="s">
        <v>2600</v>
      </c>
      <c r="B1599" s="16" t="str">
        <f>TEXT(PARTIDA[[#This Row],[PARTIDA]],"0000000000")</f>
        <v>2812160000</v>
      </c>
      <c r="C1599" s="16" t="s">
        <v>815</v>
      </c>
      <c r="D1599" s="16" t="s">
        <v>835</v>
      </c>
      <c r="E1599" s="16" t="s">
        <v>9465</v>
      </c>
      <c r="F1599" s="27" t="s">
        <v>10573</v>
      </c>
      <c r="G1599" s="27"/>
      <c r="H1599" s="16" t="str">
        <f>IF(ISBLANK(PARTIDAS!$G1599),PARTIDAS!$F1599,CONCATENATE(PARTIDAS!$F1599," (",PARTIDAS!$G1599,")"))</f>
        <v>Dicloruro de azufre</v>
      </c>
      <c r="I1599" s="16" t="s">
        <v>9427</v>
      </c>
    </row>
    <row r="1600" spans="1:9" x14ac:dyDescent="0.25">
      <c r="A1600" s="16" t="s">
        <v>2601</v>
      </c>
      <c r="B1600" s="16" t="str">
        <f>TEXT(PARTIDA[[#This Row],[PARTIDA]],"0000000000")</f>
        <v>2812170000</v>
      </c>
      <c r="C1600" s="16" t="s">
        <v>815</v>
      </c>
      <c r="D1600" s="16" t="s">
        <v>835</v>
      </c>
      <c r="E1600" s="16" t="s">
        <v>9465</v>
      </c>
      <c r="F1600" s="27" t="s">
        <v>10574</v>
      </c>
      <c r="G1600" s="27"/>
      <c r="H1600" s="16" t="str">
        <f>IF(ISBLANK(PARTIDAS!$G1600),PARTIDAS!$F1600,CONCATENATE(PARTIDAS!$F1600," (",PARTIDAS!$G1600,")"))</f>
        <v>Cloruro de tionilo</v>
      </c>
      <c r="I1600" s="16" t="s">
        <v>9427</v>
      </c>
    </row>
    <row r="1601" spans="1:9" x14ac:dyDescent="0.25">
      <c r="A1601" s="16" t="s">
        <v>2602</v>
      </c>
      <c r="B1601" s="16" t="str">
        <f>TEXT(PARTIDA[[#This Row],[PARTIDA]],"0000000000")</f>
        <v>2812191000</v>
      </c>
      <c r="C1601" s="16" t="s">
        <v>815</v>
      </c>
      <c r="D1601" s="16" t="s">
        <v>835</v>
      </c>
      <c r="E1601" s="16" t="s">
        <v>9465</v>
      </c>
      <c r="F1601" s="27" t="s">
        <v>10575</v>
      </c>
      <c r="G1601" s="27"/>
      <c r="H1601" s="16" t="str">
        <f>IF(ISBLANK(PARTIDAS!$G1601),PARTIDAS!$F1601,CONCATENATE(PARTIDAS!$F1601," (",PARTIDAS!$G1601,")"))</f>
        <v>Tricloruro de arsénico</v>
      </c>
      <c r="I1601" s="16" t="s">
        <v>9427</v>
      </c>
    </row>
    <row r="1602" spans="1:9" x14ac:dyDescent="0.25">
      <c r="A1602" s="16" t="s">
        <v>2603</v>
      </c>
      <c r="B1602" s="16" t="str">
        <f>TEXT(PARTIDA[[#This Row],[PARTIDA]],"0000000000")</f>
        <v>2812199000</v>
      </c>
      <c r="C1602" s="16" t="s">
        <v>815</v>
      </c>
      <c r="D1602" s="16" t="s">
        <v>835</v>
      </c>
      <c r="E1602" s="16" t="s">
        <v>9465</v>
      </c>
      <c r="F1602" s="27" t="s">
        <v>10576</v>
      </c>
      <c r="G1602" s="27"/>
      <c r="H1602" s="16" t="str">
        <f>IF(ISBLANK(PARTIDAS!$G1602),PARTIDAS!$F1602,CONCATENATE(PARTIDAS!$F1602," (",PARTIDAS!$G1602,")"))</f>
        <v>Cloruros y oxicloruros (los demás)</v>
      </c>
      <c r="I1602" s="16" t="s">
        <v>9427</v>
      </c>
    </row>
    <row r="1603" spans="1:9" x14ac:dyDescent="0.25">
      <c r="A1603" s="16" t="s">
        <v>2604</v>
      </c>
      <c r="B1603" s="16" t="str">
        <f>TEXT(PARTIDA[[#This Row],[PARTIDA]],"0000000000")</f>
        <v>2812900000</v>
      </c>
      <c r="C1603" s="16" t="s">
        <v>815</v>
      </c>
      <c r="D1603" s="16" t="s">
        <v>835</v>
      </c>
      <c r="E1603" s="16" t="s">
        <v>9465</v>
      </c>
      <c r="F1603" s="27" t="s">
        <v>10577</v>
      </c>
      <c r="G1603" s="27"/>
      <c r="H1603" s="16" t="str">
        <f>IF(ISBLANK(PARTIDAS!$G1603),PARTIDAS!$F1603,CONCATENATE(PARTIDAS!$F1603," (",PARTIDAS!$G1603,")"))</f>
        <v>Halogenuros y oxihalogenuros de los elementos no metálicos (los demás)</v>
      </c>
      <c r="I1603" s="16" t="s">
        <v>9427</v>
      </c>
    </row>
    <row r="1604" spans="1:9" x14ac:dyDescent="0.25">
      <c r="A1604" s="16" t="s">
        <v>2605</v>
      </c>
      <c r="B1604" s="16" t="str">
        <f>TEXT(PARTIDA[[#This Row],[PARTIDA]],"0000000000")</f>
        <v>2813100000</v>
      </c>
      <c r="C1604" s="16" t="s">
        <v>815</v>
      </c>
      <c r="D1604" s="16" t="s">
        <v>835</v>
      </c>
      <c r="E1604" s="16" t="s">
        <v>9465</v>
      </c>
      <c r="F1604" s="27" t="s">
        <v>10578</v>
      </c>
      <c r="G1604" s="27"/>
      <c r="H1604" s="16" t="str">
        <f>IF(ISBLANK(PARTIDAS!$G1604),PARTIDAS!$F1604,CONCATENATE(PARTIDAS!$F1604," (",PARTIDAS!$G1604,")"))</f>
        <v>Disulfuro de carbono</v>
      </c>
      <c r="I1604" s="16" t="s">
        <v>9427</v>
      </c>
    </row>
    <row r="1605" spans="1:9" x14ac:dyDescent="0.25">
      <c r="A1605" s="16" t="s">
        <v>2606</v>
      </c>
      <c r="B1605" s="16" t="str">
        <f>TEXT(PARTIDA[[#This Row],[PARTIDA]],"0000000000")</f>
        <v>2813902000</v>
      </c>
      <c r="C1605" s="16" t="s">
        <v>815</v>
      </c>
      <c r="D1605" s="16" t="s">
        <v>835</v>
      </c>
      <c r="E1605" s="16" t="s">
        <v>9465</v>
      </c>
      <c r="F1605" s="27" t="s">
        <v>10579</v>
      </c>
      <c r="G1605" s="27"/>
      <c r="H1605" s="16" t="str">
        <f>IF(ISBLANK(PARTIDAS!$G1605),PARTIDAS!$F1605,CONCATENATE(PARTIDAS!$F1605," (",PARTIDAS!$G1605,")"))</f>
        <v>Sulfuros de fósforo</v>
      </c>
      <c r="I1605" s="16" t="s">
        <v>9427</v>
      </c>
    </row>
    <row r="1606" spans="1:9" x14ac:dyDescent="0.25">
      <c r="A1606" s="16" t="s">
        <v>2607</v>
      </c>
      <c r="B1606" s="16" t="str">
        <f>TEXT(PARTIDA[[#This Row],[PARTIDA]],"0000000000")</f>
        <v>2813909000</v>
      </c>
      <c r="C1606" s="16" t="s">
        <v>815</v>
      </c>
      <c r="D1606" s="16" t="s">
        <v>835</v>
      </c>
      <c r="E1606" s="16" t="s">
        <v>9465</v>
      </c>
      <c r="F1606" s="27" t="s">
        <v>10580</v>
      </c>
      <c r="G1606" s="27"/>
      <c r="H1606" s="16" t="str">
        <f>IF(ISBLANK(PARTIDAS!$G1606),PARTIDAS!$F1606,CONCATENATE(PARTIDAS!$F1606," (",PARTIDAS!$G1606,")"))</f>
        <v>Sulfuros de los elementos no metálicos (los demás)</v>
      </c>
      <c r="I1606" s="16" t="s">
        <v>9427</v>
      </c>
    </row>
    <row r="1607" spans="1:9" x14ac:dyDescent="0.25">
      <c r="A1607" s="16" t="s">
        <v>2608</v>
      </c>
      <c r="B1607" s="16" t="str">
        <f>TEXT(PARTIDA[[#This Row],[PARTIDA]],"0000000000")</f>
        <v>2814100000</v>
      </c>
      <c r="C1607" s="16" t="s">
        <v>815</v>
      </c>
      <c r="D1607" s="16" t="s">
        <v>835</v>
      </c>
      <c r="E1607" s="16" t="s">
        <v>9465</v>
      </c>
      <c r="F1607" s="27" t="s">
        <v>10581</v>
      </c>
      <c r="G1607" s="27"/>
      <c r="H1607" s="16" t="str">
        <f>IF(ISBLANK(PARTIDAS!$G1607),PARTIDAS!$F1607,CONCATENATE(PARTIDAS!$F1607," (",PARTIDAS!$G1607,")"))</f>
        <v>Amoníaco anhidro</v>
      </c>
      <c r="I1607" s="16" t="s">
        <v>9427</v>
      </c>
    </row>
    <row r="1608" spans="1:9" x14ac:dyDescent="0.25">
      <c r="A1608" s="16" t="s">
        <v>2609</v>
      </c>
      <c r="B1608" s="16" t="str">
        <f>TEXT(PARTIDA[[#This Row],[PARTIDA]],"0000000000")</f>
        <v>2814200000</v>
      </c>
      <c r="C1608" s="16" t="s">
        <v>815</v>
      </c>
      <c r="D1608" s="16" t="s">
        <v>835</v>
      </c>
      <c r="E1608" s="16" t="s">
        <v>9465</v>
      </c>
      <c r="F1608" s="27" t="s">
        <v>10582</v>
      </c>
      <c r="G1608" s="27"/>
      <c r="H1608" s="16" t="str">
        <f>IF(ISBLANK(PARTIDAS!$G1608),PARTIDAS!$F1608,CONCATENATE(PARTIDAS!$F1608," (",PARTIDAS!$G1608,")"))</f>
        <v>Amoníaco en disolución acuosa</v>
      </c>
      <c r="I1608" s="16" t="s">
        <v>9427</v>
      </c>
    </row>
    <row r="1609" spans="1:9" x14ac:dyDescent="0.25">
      <c r="A1609" s="16" t="s">
        <v>2610</v>
      </c>
      <c r="B1609" s="16" t="str">
        <f>TEXT(PARTIDA[[#This Row],[PARTIDA]],"0000000000")</f>
        <v>2815110000</v>
      </c>
      <c r="C1609" s="16" t="s">
        <v>815</v>
      </c>
      <c r="D1609" s="16" t="s">
        <v>835</v>
      </c>
      <c r="E1609" s="16" t="s">
        <v>9465</v>
      </c>
      <c r="F1609" s="27" t="s">
        <v>10583</v>
      </c>
      <c r="G1609" s="27"/>
      <c r="H1609" s="16" t="str">
        <f>IF(ISBLANK(PARTIDAS!$G1609),PARTIDAS!$F1609,CONCATENATE(PARTIDAS!$F1609," (",PARTIDAS!$G1609,")"))</f>
        <v>Hidróxido de sodio (sosa o soda cáustica), sólido</v>
      </c>
      <c r="I1609" s="16" t="s">
        <v>9427</v>
      </c>
    </row>
    <row r="1610" spans="1:9" x14ac:dyDescent="0.25">
      <c r="A1610" s="16" t="s">
        <v>2611</v>
      </c>
      <c r="B1610" s="16" t="str">
        <f>TEXT(PARTIDA[[#This Row],[PARTIDA]],"0000000000")</f>
        <v>2815120000</v>
      </c>
      <c r="C1610" s="16" t="s">
        <v>815</v>
      </c>
      <c r="D1610" s="16" t="s">
        <v>835</v>
      </c>
      <c r="E1610" s="16" t="s">
        <v>9465</v>
      </c>
      <c r="F1610" s="27" t="s">
        <v>10584</v>
      </c>
      <c r="G1610" s="27"/>
      <c r="H1610" s="16" t="str">
        <f>IF(ISBLANK(PARTIDAS!$G1610),PARTIDAS!$F1610,CONCATENATE(PARTIDAS!$F1610," (",PARTIDAS!$G1610,")"))</f>
        <v>Hidróxido de sodio (sosa o soda cáustica), en disolución acuosa (lejía de sosa o soda cáustica)</v>
      </c>
      <c r="I1610" s="16" t="s">
        <v>9427</v>
      </c>
    </row>
    <row r="1611" spans="1:9" x14ac:dyDescent="0.25">
      <c r="A1611" s="16" t="s">
        <v>2612</v>
      </c>
      <c r="B1611" s="16" t="str">
        <f>TEXT(PARTIDA[[#This Row],[PARTIDA]],"0000000000")</f>
        <v>2815200000</v>
      </c>
      <c r="C1611" s="16" t="s">
        <v>815</v>
      </c>
      <c r="D1611" s="16" t="s">
        <v>835</v>
      </c>
      <c r="E1611" s="16" t="s">
        <v>9465</v>
      </c>
      <c r="F1611" s="27" t="s">
        <v>10585</v>
      </c>
      <c r="G1611" s="27"/>
      <c r="H1611" s="16" t="str">
        <f>IF(ISBLANK(PARTIDAS!$G1611),PARTIDAS!$F1611,CONCATENATE(PARTIDAS!$F1611," (",PARTIDAS!$G1611,")"))</f>
        <v>Hidróxido de potasio (potasa cáustica)</v>
      </c>
      <c r="I1611" s="16" t="s">
        <v>9427</v>
      </c>
    </row>
    <row r="1612" spans="1:9" x14ac:dyDescent="0.25">
      <c r="A1612" s="16" t="s">
        <v>2613</v>
      </c>
      <c r="B1612" s="16" t="str">
        <f>TEXT(PARTIDA[[#This Row],[PARTIDA]],"0000000000")</f>
        <v>2815300000</v>
      </c>
      <c r="C1612" s="16" t="s">
        <v>815</v>
      </c>
      <c r="D1612" s="16" t="s">
        <v>835</v>
      </c>
      <c r="E1612" s="16" t="s">
        <v>9465</v>
      </c>
      <c r="F1612" s="27" t="s">
        <v>10586</v>
      </c>
      <c r="G1612" s="27"/>
      <c r="H1612" s="16" t="str">
        <f>IF(ISBLANK(PARTIDAS!$G1612),PARTIDAS!$F1612,CONCATENATE(PARTIDAS!$F1612," (",PARTIDAS!$G1612,")"))</f>
        <v>Peróxidos de sodio o de potasio</v>
      </c>
      <c r="I1612" s="16" t="s">
        <v>9427</v>
      </c>
    </row>
    <row r="1613" spans="1:9" x14ac:dyDescent="0.25">
      <c r="A1613" s="16" t="s">
        <v>2614</v>
      </c>
      <c r="B1613" s="16" t="str">
        <f>TEXT(PARTIDA[[#This Row],[PARTIDA]],"0000000000")</f>
        <v>2816100000</v>
      </c>
      <c r="C1613" s="16" t="s">
        <v>815</v>
      </c>
      <c r="D1613" s="16" t="s">
        <v>835</v>
      </c>
      <c r="E1613" s="16" t="s">
        <v>9465</v>
      </c>
      <c r="F1613" s="27" t="s">
        <v>10587</v>
      </c>
      <c r="G1613" s="27"/>
      <c r="H1613" s="16" t="str">
        <f>IF(ISBLANK(PARTIDAS!$G1613),PARTIDAS!$F1613,CONCATENATE(PARTIDAS!$F1613," (",PARTIDAS!$G1613,")"))</f>
        <v>Hidróxido y peróxido de magnesio</v>
      </c>
      <c r="I1613" s="16" t="s">
        <v>9427</v>
      </c>
    </row>
    <row r="1614" spans="1:9" x14ac:dyDescent="0.25">
      <c r="A1614" s="16" t="s">
        <v>2615</v>
      </c>
      <c r="B1614" s="16" t="str">
        <f>TEXT(PARTIDA[[#This Row],[PARTIDA]],"0000000000")</f>
        <v>2816400000</v>
      </c>
      <c r="C1614" s="16" t="s">
        <v>815</v>
      </c>
      <c r="D1614" s="16" t="s">
        <v>835</v>
      </c>
      <c r="E1614" s="16" t="s">
        <v>9465</v>
      </c>
      <c r="F1614" s="27" t="s">
        <v>10588</v>
      </c>
      <c r="G1614" s="27"/>
      <c r="H1614" s="16" t="str">
        <f>IF(ISBLANK(PARTIDAS!$G1614),PARTIDAS!$F1614,CONCATENATE(PARTIDAS!$F1614," (",PARTIDAS!$G1614,")"))</f>
        <v>Óxidos, hidróxidos y peróxidos, de estroncio o de bario</v>
      </c>
      <c r="I1614" s="16" t="s">
        <v>9427</v>
      </c>
    </row>
    <row r="1615" spans="1:9" x14ac:dyDescent="0.25">
      <c r="A1615" s="16" t="s">
        <v>2616</v>
      </c>
      <c r="B1615" s="16" t="str">
        <f>TEXT(PARTIDA[[#This Row],[PARTIDA]],"0000000000")</f>
        <v>2817001000</v>
      </c>
      <c r="C1615" s="16" t="s">
        <v>815</v>
      </c>
      <c r="D1615" s="16" t="s">
        <v>835</v>
      </c>
      <c r="E1615" s="16" t="s">
        <v>9465</v>
      </c>
      <c r="F1615" s="27" t="s">
        <v>10589</v>
      </c>
      <c r="G1615" s="27"/>
      <c r="H1615" s="16" t="str">
        <f>IF(ISBLANK(PARTIDAS!$G1615),PARTIDAS!$F1615,CONCATENATE(PARTIDAS!$F1615," (",PARTIDAS!$G1615,")"))</f>
        <v>Óxido de cinc (blanco o flor de cinc)</v>
      </c>
      <c r="I1615" s="16" t="s">
        <v>9427</v>
      </c>
    </row>
    <row r="1616" spans="1:9" x14ac:dyDescent="0.25">
      <c r="A1616" s="16" t="s">
        <v>2617</v>
      </c>
      <c r="B1616" s="16" t="str">
        <f>TEXT(PARTIDA[[#This Row],[PARTIDA]],"0000000000")</f>
        <v>2817002000</v>
      </c>
      <c r="C1616" s="16" t="s">
        <v>815</v>
      </c>
      <c r="D1616" s="16" t="s">
        <v>835</v>
      </c>
      <c r="E1616" s="16" t="s">
        <v>9465</v>
      </c>
      <c r="F1616" s="27" t="s">
        <v>10590</v>
      </c>
      <c r="G1616" s="27"/>
      <c r="H1616" s="16" t="str">
        <f>IF(ISBLANK(PARTIDAS!$G1616),PARTIDAS!$F1616,CONCATENATE(PARTIDAS!$F1616," (",PARTIDAS!$G1616,")"))</f>
        <v>Peróxido de cinc</v>
      </c>
      <c r="I1616" s="16" t="s">
        <v>9427</v>
      </c>
    </row>
    <row r="1617" spans="1:9" x14ac:dyDescent="0.25">
      <c r="A1617" s="16" t="s">
        <v>2618</v>
      </c>
      <c r="B1617" s="16" t="str">
        <f>TEXT(PARTIDA[[#This Row],[PARTIDA]],"0000000000")</f>
        <v>2818100000</v>
      </c>
      <c r="C1617" s="16" t="s">
        <v>815</v>
      </c>
      <c r="D1617" s="16" t="s">
        <v>835</v>
      </c>
      <c r="E1617" s="16" t="s">
        <v>9465</v>
      </c>
      <c r="F1617" s="27" t="s">
        <v>10591</v>
      </c>
      <c r="G1617" s="27"/>
      <c r="H1617" s="16" t="str">
        <f>IF(ISBLANK(PARTIDAS!$G1617),PARTIDAS!$F1617,CONCATENATE(PARTIDAS!$F1617," (",PARTIDAS!$G1617,")"))</f>
        <v>Corindón artificial, aunque no sea de constitución química definida</v>
      </c>
      <c r="I1617" s="16" t="s">
        <v>9427</v>
      </c>
    </row>
    <row r="1618" spans="1:9" x14ac:dyDescent="0.25">
      <c r="A1618" s="16" t="s">
        <v>2619</v>
      </c>
      <c r="B1618" s="16" t="str">
        <f>TEXT(PARTIDA[[#This Row],[PARTIDA]],"0000000000")</f>
        <v>2818200000</v>
      </c>
      <c r="C1618" s="16" t="s">
        <v>815</v>
      </c>
      <c r="D1618" s="16" t="s">
        <v>835</v>
      </c>
      <c r="E1618" s="16" t="s">
        <v>9465</v>
      </c>
      <c r="F1618" s="27" t="s">
        <v>10592</v>
      </c>
      <c r="G1618" s="27"/>
      <c r="H1618" s="16" t="str">
        <f>IF(ISBLANK(PARTIDAS!$G1618),PARTIDAS!$F1618,CONCATENATE(PARTIDAS!$F1618," (",PARTIDAS!$G1618,")"))</f>
        <v>Óxido de aluminio, excepto el corindón artificial</v>
      </c>
      <c r="I1618" s="16" t="s">
        <v>9427</v>
      </c>
    </row>
    <row r="1619" spans="1:9" x14ac:dyDescent="0.25">
      <c r="A1619" s="16" t="s">
        <v>2620</v>
      </c>
      <c r="B1619" s="16" t="str">
        <f>TEXT(PARTIDA[[#This Row],[PARTIDA]],"0000000000")</f>
        <v>2818300000</v>
      </c>
      <c r="C1619" s="16" t="s">
        <v>815</v>
      </c>
      <c r="D1619" s="16" t="s">
        <v>835</v>
      </c>
      <c r="E1619" s="16" t="s">
        <v>9465</v>
      </c>
      <c r="F1619" s="27" t="s">
        <v>10593</v>
      </c>
      <c r="G1619" s="27"/>
      <c r="H1619" s="16" t="str">
        <f>IF(ISBLANK(PARTIDAS!$G1619),PARTIDAS!$F1619,CONCATENATE(PARTIDAS!$F1619," (",PARTIDAS!$G1619,")"))</f>
        <v>Hidróxido de aluminio</v>
      </c>
      <c r="I1619" s="16" t="s">
        <v>9427</v>
      </c>
    </row>
    <row r="1620" spans="1:9" x14ac:dyDescent="0.25">
      <c r="A1620" s="16" t="s">
        <v>2621</v>
      </c>
      <c r="B1620" s="16" t="str">
        <f>TEXT(PARTIDA[[#This Row],[PARTIDA]],"0000000000")</f>
        <v>2819100000</v>
      </c>
      <c r="C1620" s="16" t="s">
        <v>815</v>
      </c>
      <c r="D1620" s="16" t="s">
        <v>835</v>
      </c>
      <c r="E1620" s="16" t="s">
        <v>9465</v>
      </c>
      <c r="F1620" s="27" t="s">
        <v>10594</v>
      </c>
      <c r="G1620" s="27"/>
      <c r="H1620" s="16" t="str">
        <f>IF(ISBLANK(PARTIDAS!$G1620),PARTIDAS!$F1620,CONCATENATE(PARTIDAS!$F1620," (",PARTIDAS!$G1620,")"))</f>
        <v>Trióxido de cromo</v>
      </c>
      <c r="I1620" s="16" t="s">
        <v>9427</v>
      </c>
    </row>
    <row r="1621" spans="1:9" x14ac:dyDescent="0.25">
      <c r="A1621" s="16" t="s">
        <v>2622</v>
      </c>
      <c r="B1621" s="16" t="str">
        <f>TEXT(PARTIDA[[#This Row],[PARTIDA]],"0000000000")</f>
        <v>2819901000</v>
      </c>
      <c r="C1621" s="16" t="s">
        <v>815</v>
      </c>
      <c r="D1621" s="16" t="s">
        <v>835</v>
      </c>
      <c r="E1621" s="16" t="s">
        <v>9465</v>
      </c>
      <c r="F1621" s="27" t="s">
        <v>10595</v>
      </c>
      <c r="G1621" s="27"/>
      <c r="H1621" s="16" t="str">
        <f>IF(ISBLANK(PARTIDAS!$G1621),PARTIDAS!$F1621,CONCATENATE(PARTIDAS!$F1621," (",PARTIDAS!$G1621,")"))</f>
        <v>Trióxido de dicromo (sesquióxido de cromo u «óxido verde»)</v>
      </c>
      <c r="I1621" s="16" t="s">
        <v>9427</v>
      </c>
    </row>
    <row r="1622" spans="1:9" x14ac:dyDescent="0.25">
      <c r="A1622" s="16" t="s">
        <v>2623</v>
      </c>
      <c r="B1622" s="16" t="str">
        <f>TEXT(PARTIDA[[#This Row],[PARTIDA]],"0000000000")</f>
        <v>2819909000</v>
      </c>
      <c r="C1622" s="16" t="s">
        <v>815</v>
      </c>
      <c r="D1622" s="16" t="s">
        <v>835</v>
      </c>
      <c r="E1622" s="16" t="s">
        <v>9465</v>
      </c>
      <c r="F1622" s="27" t="s">
        <v>10596</v>
      </c>
      <c r="G1622" s="27"/>
      <c r="H1622" s="16" t="str">
        <f>IF(ISBLANK(PARTIDAS!$G1622),PARTIDAS!$F1622,CONCATENATE(PARTIDAS!$F1622," (",PARTIDAS!$G1622,")"))</f>
        <v>Óxidos e hidróxidos de cromo (los demás)</v>
      </c>
      <c r="I1622" s="16" t="s">
        <v>9427</v>
      </c>
    </row>
    <row r="1623" spans="1:9" x14ac:dyDescent="0.25">
      <c r="A1623" s="16" t="s">
        <v>2624</v>
      </c>
      <c r="B1623" s="16" t="str">
        <f>TEXT(PARTIDA[[#This Row],[PARTIDA]],"0000000000")</f>
        <v>2820100000</v>
      </c>
      <c r="C1623" s="16" t="s">
        <v>815</v>
      </c>
      <c r="D1623" s="16" t="s">
        <v>835</v>
      </c>
      <c r="E1623" s="16" t="s">
        <v>9465</v>
      </c>
      <c r="F1623" s="27" t="s">
        <v>10597</v>
      </c>
      <c r="G1623" s="27"/>
      <c r="H1623" s="16" t="str">
        <f>IF(ISBLANK(PARTIDAS!$G1623),PARTIDAS!$F1623,CONCATENATE(PARTIDAS!$F1623," (",PARTIDAS!$G1623,")"))</f>
        <v>Dióxido de manganeso</v>
      </c>
      <c r="I1623" s="16" t="s">
        <v>9427</v>
      </c>
    </row>
    <row r="1624" spans="1:9" x14ac:dyDescent="0.25">
      <c r="A1624" s="16" t="s">
        <v>2625</v>
      </c>
      <c r="B1624" s="16" t="str">
        <f>TEXT(PARTIDA[[#This Row],[PARTIDA]],"0000000000")</f>
        <v>2820900000</v>
      </c>
      <c r="C1624" s="16" t="s">
        <v>815</v>
      </c>
      <c r="D1624" s="16" t="s">
        <v>835</v>
      </c>
      <c r="E1624" s="16" t="s">
        <v>9465</v>
      </c>
      <c r="F1624" s="27" t="s">
        <v>10598</v>
      </c>
      <c r="G1624" s="27"/>
      <c r="H1624" s="16" t="str">
        <f>IF(ISBLANK(PARTIDAS!$G1624),PARTIDAS!$F1624,CONCATENATE(PARTIDAS!$F1624," (",PARTIDAS!$G1624,")"))</f>
        <v>Óxidos de manganeso (los demás)</v>
      </c>
      <c r="I1624" s="16" t="s">
        <v>9427</v>
      </c>
    </row>
    <row r="1625" spans="1:9" x14ac:dyDescent="0.25">
      <c r="A1625" s="16" t="s">
        <v>2626</v>
      </c>
      <c r="B1625" s="16" t="str">
        <f>TEXT(PARTIDA[[#This Row],[PARTIDA]],"0000000000")</f>
        <v>2821101000</v>
      </c>
      <c r="C1625" s="16" t="s">
        <v>815</v>
      </c>
      <c r="D1625" s="16" t="s">
        <v>835</v>
      </c>
      <c r="E1625" s="16" t="s">
        <v>9465</v>
      </c>
      <c r="F1625" s="27" t="s">
        <v>10599</v>
      </c>
      <c r="G1625" s="27"/>
      <c r="H1625" s="16" t="str">
        <f>IF(ISBLANK(PARTIDAS!$G1625),PARTIDAS!$F1625,CONCATENATE(PARTIDAS!$F1625," (",PARTIDAS!$G1625,")"))</f>
        <v>Óxidos e hidróxidos de hierro, óxidos</v>
      </c>
      <c r="I1625" s="16" t="s">
        <v>9427</v>
      </c>
    </row>
    <row r="1626" spans="1:9" x14ac:dyDescent="0.25">
      <c r="A1626" s="16" t="s">
        <v>2627</v>
      </c>
      <c r="B1626" s="16" t="str">
        <f>TEXT(PARTIDA[[#This Row],[PARTIDA]],"0000000000")</f>
        <v>2821102000</v>
      </c>
      <c r="C1626" s="16" t="s">
        <v>815</v>
      </c>
      <c r="D1626" s="16" t="s">
        <v>835</v>
      </c>
      <c r="E1626" s="16" t="s">
        <v>9465</v>
      </c>
      <c r="F1626" s="27" t="s">
        <v>10600</v>
      </c>
      <c r="G1626" s="27"/>
      <c r="H1626" s="16" t="str">
        <f>IF(ISBLANK(PARTIDAS!$G1626),PARTIDAS!$F1626,CONCATENATE(PARTIDAS!$F1626," (",PARTIDAS!$G1626,")"))</f>
        <v>Óxidos e hidróxidos de hierro, hidróxidos</v>
      </c>
      <c r="I1626" s="16" t="s">
        <v>9427</v>
      </c>
    </row>
    <row r="1627" spans="1:9" x14ac:dyDescent="0.25">
      <c r="A1627" s="16" t="s">
        <v>2628</v>
      </c>
      <c r="B1627" s="16" t="str">
        <f>TEXT(PARTIDA[[#This Row],[PARTIDA]],"0000000000")</f>
        <v>2821200000</v>
      </c>
      <c r="C1627" s="16" t="s">
        <v>815</v>
      </c>
      <c r="D1627" s="16" t="s">
        <v>835</v>
      </c>
      <c r="E1627" s="16" t="s">
        <v>9465</v>
      </c>
      <c r="F1627" s="27" t="s">
        <v>10601</v>
      </c>
      <c r="G1627" s="27"/>
      <c r="H1627" s="16" t="str">
        <f>IF(ISBLANK(PARTIDAS!$G1627),PARTIDAS!$F1627,CONCATENATE(PARTIDAS!$F1627," (",PARTIDAS!$G1627,")"))</f>
        <v>Tierras colorantes</v>
      </c>
      <c r="I1627" s="16" t="s">
        <v>9427</v>
      </c>
    </row>
    <row r="1628" spans="1:9" x14ac:dyDescent="0.25">
      <c r="A1628" s="16" t="s">
        <v>2629</v>
      </c>
      <c r="B1628" s="16" t="str">
        <f>TEXT(PARTIDA[[#This Row],[PARTIDA]],"0000000000")</f>
        <v>2822000000</v>
      </c>
      <c r="C1628" s="16" t="s">
        <v>815</v>
      </c>
      <c r="D1628" s="16" t="s">
        <v>835</v>
      </c>
      <c r="E1628" s="16" t="s">
        <v>9465</v>
      </c>
      <c r="F1628" s="27" t="s">
        <v>2630</v>
      </c>
      <c r="G1628" s="27"/>
      <c r="H1628" s="16" t="str">
        <f>IF(ISBLANK(PARTIDAS!$G1628),PARTIDAS!$F1628,CONCATENATE(PARTIDAS!$F1628," (",PARTIDAS!$G1628,")"))</f>
        <v>Óxidos e hidróxidos de cobalto; óxidos de cobalto
comerciales.</v>
      </c>
      <c r="I1628" s="16" t="s">
        <v>9427</v>
      </c>
    </row>
    <row r="1629" spans="1:9" x14ac:dyDescent="0.25">
      <c r="A1629" s="16" t="s">
        <v>2631</v>
      </c>
      <c r="B1629" s="16" t="str">
        <f>TEXT(PARTIDA[[#This Row],[PARTIDA]],"0000000000")</f>
        <v>2823001000</v>
      </c>
      <c r="C1629" s="16" t="s">
        <v>815</v>
      </c>
      <c r="D1629" s="16" t="s">
        <v>835</v>
      </c>
      <c r="E1629" s="16" t="s">
        <v>9465</v>
      </c>
      <c r="F1629" s="27" t="s">
        <v>10602</v>
      </c>
      <c r="G1629" s="27"/>
      <c r="H1629" s="16" t="str">
        <f>IF(ISBLANK(PARTIDAS!$G1629),PARTIDAS!$F1629,CONCATENATE(PARTIDAS!$F1629," (",PARTIDAS!$G1629,")"))</f>
        <v>Dióxido de titanio (óxido titánico o anhídrido titánico)</v>
      </c>
      <c r="I1629" s="16" t="s">
        <v>9427</v>
      </c>
    </row>
    <row r="1630" spans="1:9" x14ac:dyDescent="0.25">
      <c r="A1630" s="16" t="s">
        <v>2632</v>
      </c>
      <c r="B1630" s="16" t="str">
        <f>TEXT(PARTIDA[[#This Row],[PARTIDA]],"0000000000")</f>
        <v>2823009000</v>
      </c>
      <c r="C1630" s="16" t="s">
        <v>815</v>
      </c>
      <c r="D1630" s="16" t="s">
        <v>835</v>
      </c>
      <c r="E1630" s="16" t="s">
        <v>9465</v>
      </c>
      <c r="F1630" s="27" t="s">
        <v>10603</v>
      </c>
      <c r="G1630" s="27"/>
      <c r="H1630" s="16" t="str">
        <f>IF(ISBLANK(PARTIDAS!$G1630),PARTIDAS!$F1630,CONCATENATE(PARTIDAS!$F1630," (",PARTIDAS!$G1630,")"))</f>
        <v>Óxidos e hidróxidos de hierro (los demás)</v>
      </c>
      <c r="I1630" s="16" t="s">
        <v>9427</v>
      </c>
    </row>
    <row r="1631" spans="1:9" x14ac:dyDescent="0.25">
      <c r="A1631" s="16" t="s">
        <v>2633</v>
      </c>
      <c r="B1631" s="16" t="str">
        <f>TEXT(PARTIDA[[#This Row],[PARTIDA]],"0000000000")</f>
        <v>2824100000</v>
      </c>
      <c r="C1631" s="16" t="s">
        <v>815</v>
      </c>
      <c r="D1631" s="16" t="s">
        <v>835</v>
      </c>
      <c r="E1631" s="16" t="s">
        <v>9465</v>
      </c>
      <c r="F1631" s="27" t="s">
        <v>10604</v>
      </c>
      <c r="G1631" s="27"/>
      <c r="H1631" s="16" t="str">
        <f>IF(ISBLANK(PARTIDAS!$G1631),PARTIDAS!$F1631,CONCATENATE(PARTIDAS!$F1631," (",PARTIDAS!$G1631,")"))</f>
        <v>Monóxido de plomo (litargirio, masicote)</v>
      </c>
      <c r="I1631" s="16" t="s">
        <v>9427</v>
      </c>
    </row>
    <row r="1632" spans="1:9" x14ac:dyDescent="0.25">
      <c r="A1632" s="16" t="s">
        <v>2634</v>
      </c>
      <c r="B1632" s="16" t="str">
        <f>TEXT(PARTIDA[[#This Row],[PARTIDA]],"0000000000")</f>
        <v>2824900000</v>
      </c>
      <c r="C1632" s="16" t="s">
        <v>815</v>
      </c>
      <c r="D1632" s="16" t="s">
        <v>835</v>
      </c>
      <c r="E1632" s="16" t="s">
        <v>9465</v>
      </c>
      <c r="F1632" s="27" t="s">
        <v>10605</v>
      </c>
      <c r="G1632" s="27"/>
      <c r="H1632" s="16" t="str">
        <f>IF(ISBLANK(PARTIDAS!$G1632),PARTIDAS!$F1632,CONCATENATE(PARTIDAS!$F1632," (",PARTIDAS!$G1632,")"))</f>
        <v>Óxidos de plomo (los demás)</v>
      </c>
      <c r="I1632" s="16" t="s">
        <v>9427</v>
      </c>
    </row>
    <row r="1633" spans="1:9" x14ac:dyDescent="0.25">
      <c r="A1633" s="16" t="s">
        <v>2635</v>
      </c>
      <c r="B1633" s="16" t="str">
        <f>TEXT(PARTIDA[[#This Row],[PARTIDA]],"0000000000")</f>
        <v>2825100000</v>
      </c>
      <c r="C1633" s="16" t="s">
        <v>815</v>
      </c>
      <c r="D1633" s="16" t="s">
        <v>835</v>
      </c>
      <c r="E1633" s="16" t="s">
        <v>9465</v>
      </c>
      <c r="F1633" s="27" t="s">
        <v>10606</v>
      </c>
      <c r="G1633" s="27"/>
      <c r="H1633" s="16" t="str">
        <f>IF(ISBLANK(PARTIDAS!$G1633),PARTIDAS!$F1633,CONCATENATE(PARTIDAS!$F1633," (",PARTIDAS!$G1633,")"))</f>
        <v>Hidrazina e hidroxilamina y sus sales inorgánicas</v>
      </c>
      <c r="I1633" s="16" t="s">
        <v>9427</v>
      </c>
    </row>
    <row r="1634" spans="1:9" x14ac:dyDescent="0.25">
      <c r="A1634" s="16" t="s">
        <v>2636</v>
      </c>
      <c r="B1634" s="16" t="str">
        <f>TEXT(PARTIDA[[#This Row],[PARTIDA]],"0000000000")</f>
        <v>2825200000</v>
      </c>
      <c r="C1634" s="16" t="s">
        <v>815</v>
      </c>
      <c r="D1634" s="16" t="s">
        <v>835</v>
      </c>
      <c r="E1634" s="16" t="s">
        <v>9465</v>
      </c>
      <c r="F1634" s="27" t="s">
        <v>10607</v>
      </c>
      <c r="G1634" s="27"/>
      <c r="H1634" s="16" t="str">
        <f>IF(ISBLANK(PARTIDAS!$G1634),PARTIDAS!$F1634,CONCATENATE(PARTIDAS!$F1634," (",PARTIDAS!$G1634,")"))</f>
        <v>Óxido e hidróxido de litio</v>
      </c>
      <c r="I1634" s="16" t="s">
        <v>9427</v>
      </c>
    </row>
    <row r="1635" spans="1:9" x14ac:dyDescent="0.25">
      <c r="A1635" s="16" t="s">
        <v>2637</v>
      </c>
      <c r="B1635" s="16" t="str">
        <f>TEXT(PARTIDA[[#This Row],[PARTIDA]],"0000000000")</f>
        <v>2825300000</v>
      </c>
      <c r="C1635" s="16" t="s">
        <v>815</v>
      </c>
      <c r="D1635" s="16" t="s">
        <v>835</v>
      </c>
      <c r="E1635" s="16" t="s">
        <v>9465</v>
      </c>
      <c r="F1635" s="27" t="s">
        <v>10608</v>
      </c>
      <c r="G1635" s="27"/>
      <c r="H1635" s="16" t="str">
        <f>IF(ISBLANK(PARTIDAS!$G1635),PARTIDAS!$F1635,CONCATENATE(PARTIDAS!$F1635," (",PARTIDAS!$G1635,")"))</f>
        <v>Óxidos e hidróxidos de vanadio</v>
      </c>
      <c r="I1635" s="16" t="s">
        <v>9427</v>
      </c>
    </row>
    <row r="1636" spans="1:9" x14ac:dyDescent="0.25">
      <c r="A1636" s="16" t="s">
        <v>2638</v>
      </c>
      <c r="B1636" s="16" t="str">
        <f>TEXT(PARTIDA[[#This Row],[PARTIDA]],"0000000000")</f>
        <v>2825400000</v>
      </c>
      <c r="C1636" s="16" t="s">
        <v>815</v>
      </c>
      <c r="D1636" s="16" t="s">
        <v>835</v>
      </c>
      <c r="E1636" s="16" t="s">
        <v>9465</v>
      </c>
      <c r="F1636" s="27" t="s">
        <v>10609</v>
      </c>
      <c r="G1636" s="27"/>
      <c r="H1636" s="16" t="str">
        <f>IF(ISBLANK(PARTIDAS!$G1636),PARTIDAS!$F1636,CONCATENATE(PARTIDAS!$F1636," (",PARTIDAS!$G1636,")"))</f>
        <v>Óxidos e hidróxidos de níquel</v>
      </c>
      <c r="I1636" s="16" t="s">
        <v>9427</v>
      </c>
    </row>
    <row r="1637" spans="1:9" x14ac:dyDescent="0.25">
      <c r="A1637" s="16" t="s">
        <v>2639</v>
      </c>
      <c r="B1637" s="16" t="str">
        <f>TEXT(PARTIDA[[#This Row],[PARTIDA]],"0000000000")</f>
        <v>2825500000</v>
      </c>
      <c r="C1637" s="16" t="s">
        <v>815</v>
      </c>
      <c r="D1637" s="16" t="s">
        <v>835</v>
      </c>
      <c r="E1637" s="16" t="s">
        <v>9465</v>
      </c>
      <c r="F1637" s="27" t="s">
        <v>10610</v>
      </c>
      <c r="G1637" s="27"/>
      <c r="H1637" s="16" t="str">
        <f>IF(ISBLANK(PARTIDAS!$G1637),PARTIDAS!$F1637,CONCATENATE(PARTIDAS!$F1637," (",PARTIDAS!$G1637,")"))</f>
        <v>Óxidos e hidróxidos de cobre</v>
      </c>
      <c r="I1637" s="16" t="s">
        <v>9427</v>
      </c>
    </row>
    <row r="1638" spans="1:9" x14ac:dyDescent="0.25">
      <c r="A1638" s="16" t="s">
        <v>2640</v>
      </c>
      <c r="B1638" s="16" t="str">
        <f>TEXT(PARTIDA[[#This Row],[PARTIDA]],"0000000000")</f>
        <v>2825600000</v>
      </c>
      <c r="C1638" s="16" t="s">
        <v>815</v>
      </c>
      <c r="D1638" s="16" t="s">
        <v>835</v>
      </c>
      <c r="E1638" s="16" t="s">
        <v>9465</v>
      </c>
      <c r="F1638" s="27" t="s">
        <v>10611</v>
      </c>
      <c r="G1638" s="27"/>
      <c r="H1638" s="16" t="str">
        <f>IF(ISBLANK(PARTIDAS!$G1638),PARTIDAS!$F1638,CONCATENATE(PARTIDAS!$F1638," (",PARTIDAS!$G1638,")"))</f>
        <v>Óxidos de germanio y dióxido de circonio</v>
      </c>
      <c r="I1638" s="16" t="s">
        <v>9427</v>
      </c>
    </row>
    <row r="1639" spans="1:9" x14ac:dyDescent="0.25">
      <c r="A1639" s="16" t="s">
        <v>2641</v>
      </c>
      <c r="B1639" s="16" t="str">
        <f>TEXT(PARTIDA[[#This Row],[PARTIDA]],"0000000000")</f>
        <v>2825700000</v>
      </c>
      <c r="C1639" s="16" t="s">
        <v>815</v>
      </c>
      <c r="D1639" s="16" t="s">
        <v>835</v>
      </c>
      <c r="E1639" s="16" t="s">
        <v>9465</v>
      </c>
      <c r="F1639" s="27" t="s">
        <v>10612</v>
      </c>
      <c r="G1639" s="27"/>
      <c r="H1639" s="16" t="str">
        <f>IF(ISBLANK(PARTIDAS!$G1639),PARTIDAS!$F1639,CONCATENATE(PARTIDAS!$F1639," (",PARTIDAS!$G1639,")"))</f>
        <v>Óxidos e hidróxidos de molibdeno</v>
      </c>
      <c r="I1639" s="16" t="s">
        <v>9427</v>
      </c>
    </row>
    <row r="1640" spans="1:9" x14ac:dyDescent="0.25">
      <c r="A1640" s="16" t="s">
        <v>2642</v>
      </c>
      <c r="B1640" s="16" t="str">
        <f>TEXT(PARTIDA[[#This Row],[PARTIDA]],"0000000000")</f>
        <v>2825800000</v>
      </c>
      <c r="C1640" s="16" t="s">
        <v>815</v>
      </c>
      <c r="D1640" s="16" t="s">
        <v>835</v>
      </c>
      <c r="E1640" s="16" t="s">
        <v>9465</v>
      </c>
      <c r="F1640" s="27" t="s">
        <v>10613</v>
      </c>
      <c r="G1640" s="27"/>
      <c r="H1640" s="16" t="str">
        <f>IF(ISBLANK(PARTIDAS!$G1640),PARTIDAS!$F1640,CONCATENATE(PARTIDAS!$F1640," (",PARTIDAS!$G1640,")"))</f>
        <v>Óxidos de antimonio</v>
      </c>
      <c r="I1640" s="16" t="s">
        <v>9427</v>
      </c>
    </row>
    <row r="1641" spans="1:9" x14ac:dyDescent="0.25">
      <c r="A1641" s="16" t="s">
        <v>2643</v>
      </c>
      <c r="B1641" s="16" t="str">
        <f>TEXT(PARTIDA[[#This Row],[PARTIDA]],"0000000000")</f>
        <v>2825901000</v>
      </c>
      <c r="C1641" s="16" t="s">
        <v>815</v>
      </c>
      <c r="D1641" s="16" t="s">
        <v>835</v>
      </c>
      <c r="E1641" s="16" t="s">
        <v>9465</v>
      </c>
      <c r="F1641" s="27" t="s">
        <v>10614</v>
      </c>
      <c r="G1641" s="27"/>
      <c r="H1641" s="16" t="str">
        <f>IF(ISBLANK(PARTIDAS!$G1641),PARTIDAS!$F1641,CONCATENATE(PARTIDAS!$F1641," (",PARTIDAS!$G1641,")"))</f>
        <v>Óxidos e hidróxidos de estaño</v>
      </c>
      <c r="I1641" s="16" t="s">
        <v>9427</v>
      </c>
    </row>
    <row r="1642" spans="1:9" x14ac:dyDescent="0.25">
      <c r="A1642" s="16" t="s">
        <v>2644</v>
      </c>
      <c r="B1642" s="16" t="str">
        <f>TEXT(PARTIDA[[#This Row],[PARTIDA]],"0000000000")</f>
        <v>2825904000</v>
      </c>
      <c r="C1642" s="16" t="s">
        <v>815</v>
      </c>
      <c r="D1642" s="16" t="s">
        <v>835</v>
      </c>
      <c r="E1642" s="16" t="s">
        <v>9465</v>
      </c>
      <c r="F1642" s="27" t="s">
        <v>10615</v>
      </c>
      <c r="G1642" s="27"/>
      <c r="H1642" s="16" t="str">
        <f>IF(ISBLANK(PARTIDAS!$G1642),PARTIDAS!$F1642,CONCATENATE(PARTIDAS!$F1642," (",PARTIDAS!$G1642,")"))</f>
        <v>Óxido e hidróxido de calcio</v>
      </c>
      <c r="I1642" s="16" t="s">
        <v>9427</v>
      </c>
    </row>
    <row r="1643" spans="1:9" x14ac:dyDescent="0.25">
      <c r="A1643" s="16" t="s">
        <v>2645</v>
      </c>
      <c r="B1643" s="16" t="str">
        <f>TEXT(PARTIDA[[#This Row],[PARTIDA]],"0000000000")</f>
        <v>2825909010</v>
      </c>
      <c r="C1643" s="16" t="s">
        <v>815</v>
      </c>
      <c r="D1643" s="16" t="s">
        <v>835</v>
      </c>
      <c r="E1643" s="16" t="s">
        <v>9465</v>
      </c>
      <c r="F1643" s="27" t="s">
        <v>10616</v>
      </c>
      <c r="G1643" s="27"/>
      <c r="H1643" s="16" t="str">
        <f>IF(ISBLANK(PARTIDAS!$G1643),PARTIDAS!$F1643,CONCATENATE(PARTIDAS!$F1643," (",PARTIDAS!$G1643,")"))</f>
        <v>Óxidos e hidróxidos de bismuto</v>
      </c>
      <c r="I1643" s="16" t="s">
        <v>9427</v>
      </c>
    </row>
    <row r="1644" spans="1:9" x14ac:dyDescent="0.25">
      <c r="A1644" s="16" t="s">
        <v>2646</v>
      </c>
      <c r="B1644" s="16" t="str">
        <f>TEXT(PARTIDA[[#This Row],[PARTIDA]],"0000000000")</f>
        <v>2825909090</v>
      </c>
      <c r="C1644" s="16" t="s">
        <v>815</v>
      </c>
      <c r="D1644" s="16" t="s">
        <v>835</v>
      </c>
      <c r="E1644" s="16" t="s">
        <v>9465</v>
      </c>
      <c r="F1644" s="27" t="s">
        <v>10617</v>
      </c>
      <c r="G1644" s="27"/>
      <c r="H1644" s="16" t="str">
        <f>IF(ISBLANK(PARTIDAS!$G1644),PARTIDAS!$F1644,CONCATENATE(PARTIDAS!$F1644," (",PARTIDAS!$G1644,")"))</f>
        <v>Hidrazina e hidroxilamina y sus sales inorgánicas (los demás)</v>
      </c>
      <c r="I1644" s="16" t="s">
        <v>9427</v>
      </c>
    </row>
    <row r="1645" spans="1:9" x14ac:dyDescent="0.25">
      <c r="A1645" s="16" t="s">
        <v>2647</v>
      </c>
      <c r="B1645" s="16" t="str">
        <f>TEXT(PARTIDA[[#This Row],[PARTIDA]],"0000000000")</f>
        <v>2826120000</v>
      </c>
      <c r="C1645" s="16" t="s">
        <v>815</v>
      </c>
      <c r="D1645" s="16" t="s">
        <v>835</v>
      </c>
      <c r="E1645" s="16" t="s">
        <v>9465</v>
      </c>
      <c r="F1645" s="27" t="s">
        <v>10618</v>
      </c>
      <c r="G1645" s="27"/>
      <c r="H1645" s="16" t="str">
        <f>IF(ISBLANK(PARTIDAS!$G1645),PARTIDAS!$F1645,CONCATENATE(PARTIDAS!$F1645," (",PARTIDAS!$G1645,")"))</f>
        <v>Fluoruros, de aluminio</v>
      </c>
      <c r="I1645" s="16" t="s">
        <v>9427</v>
      </c>
    </row>
    <row r="1646" spans="1:9" x14ac:dyDescent="0.25">
      <c r="A1646" s="16" t="s">
        <v>2648</v>
      </c>
      <c r="B1646" s="16" t="str">
        <f>TEXT(PARTIDA[[#This Row],[PARTIDA]],"0000000000")</f>
        <v>2826191000</v>
      </c>
      <c r="C1646" s="16" t="s">
        <v>815</v>
      </c>
      <c r="D1646" s="16" t="s">
        <v>835</v>
      </c>
      <c r="E1646" s="16" t="s">
        <v>9465</v>
      </c>
      <c r="F1646" s="27" t="s">
        <v>10619</v>
      </c>
      <c r="G1646" s="27"/>
      <c r="H1646" s="16" t="str">
        <f>IF(ISBLANK(PARTIDAS!$G1646),PARTIDAS!$F1646,CONCATENATE(PARTIDAS!$F1646," (",PARTIDAS!$G1646,")"))</f>
        <v>Fluoruros, de sodio</v>
      </c>
      <c r="I1646" s="16" t="s">
        <v>9427</v>
      </c>
    </row>
    <row r="1647" spans="1:9" x14ac:dyDescent="0.25">
      <c r="A1647" s="16" t="s">
        <v>2649</v>
      </c>
      <c r="B1647" s="16" t="str">
        <f>TEXT(PARTIDA[[#This Row],[PARTIDA]],"0000000000")</f>
        <v>2826199000</v>
      </c>
      <c r="C1647" s="16" t="s">
        <v>815</v>
      </c>
      <c r="D1647" s="16" t="s">
        <v>835</v>
      </c>
      <c r="E1647" s="16" t="s">
        <v>9465</v>
      </c>
      <c r="F1647" s="27" t="s">
        <v>10620</v>
      </c>
      <c r="G1647" s="27"/>
      <c r="H1647" s="16" t="str">
        <f>IF(ISBLANK(PARTIDAS!$G1647),PARTIDAS!$F1647,CONCATENATE(PARTIDAS!$F1647," (",PARTIDAS!$G1647,")"))</f>
        <v>Fluoruros (los demás)</v>
      </c>
      <c r="I1647" s="16" t="s">
        <v>9427</v>
      </c>
    </row>
    <row r="1648" spans="1:9" x14ac:dyDescent="0.25">
      <c r="A1648" s="16" t="s">
        <v>2650</v>
      </c>
      <c r="B1648" s="16" t="str">
        <f>TEXT(PARTIDA[[#This Row],[PARTIDA]],"0000000000")</f>
        <v>2826300000</v>
      </c>
      <c r="C1648" s="16" t="s">
        <v>815</v>
      </c>
      <c r="D1648" s="16" t="s">
        <v>835</v>
      </c>
      <c r="E1648" s="16" t="s">
        <v>9465</v>
      </c>
      <c r="F1648" s="27" t="s">
        <v>10621</v>
      </c>
      <c r="G1648" s="27"/>
      <c r="H1648" s="16" t="str">
        <f>IF(ISBLANK(PARTIDAS!$G1648),PARTIDAS!$F1648,CONCATENATE(PARTIDAS!$F1648," (",PARTIDAS!$G1648,")"))</f>
        <v>Hexafluoroaluminato de sodio (criolita sintética)</v>
      </c>
      <c r="I1648" s="16" t="s">
        <v>9427</v>
      </c>
    </row>
    <row r="1649" spans="1:9" x14ac:dyDescent="0.25">
      <c r="A1649" s="16" t="s">
        <v>2651</v>
      </c>
      <c r="B1649" s="16" t="str">
        <f>TEXT(PARTIDA[[#This Row],[PARTIDA]],"0000000000")</f>
        <v>2826900000</v>
      </c>
      <c r="C1649" s="16" t="s">
        <v>815</v>
      </c>
      <c r="D1649" s="16" t="s">
        <v>835</v>
      </c>
      <c r="E1649" s="16" t="s">
        <v>9465</v>
      </c>
      <c r="F1649" s="27" t="s">
        <v>10620</v>
      </c>
      <c r="G1649" s="27"/>
      <c r="H1649" s="16" t="str">
        <f>IF(ISBLANK(PARTIDAS!$G1649),PARTIDAS!$F1649,CONCATENATE(PARTIDAS!$F1649," (",PARTIDAS!$G1649,")"))</f>
        <v>Fluoruros (los demás)</v>
      </c>
      <c r="I1649" s="16" t="s">
        <v>9427</v>
      </c>
    </row>
    <row r="1650" spans="1:9" x14ac:dyDescent="0.25">
      <c r="A1650" s="16" t="s">
        <v>2652</v>
      </c>
      <c r="B1650" s="16" t="str">
        <f>TEXT(PARTIDA[[#This Row],[PARTIDA]],"0000000000")</f>
        <v>2827100000</v>
      </c>
      <c r="C1650" s="16" t="s">
        <v>815</v>
      </c>
      <c r="D1650" s="16" t="s">
        <v>835</v>
      </c>
      <c r="E1650" s="16" t="s">
        <v>9465</v>
      </c>
      <c r="F1650" s="27" t="s">
        <v>10622</v>
      </c>
      <c r="G1650" s="27"/>
      <c r="H1650" s="16" t="str">
        <f>IF(ISBLANK(PARTIDAS!$G1650),PARTIDAS!$F1650,CONCATENATE(PARTIDAS!$F1650," (",PARTIDAS!$G1650,")"))</f>
        <v>Cloruro de amonio</v>
      </c>
      <c r="I1650" s="16" t="s">
        <v>9427</v>
      </c>
    </row>
    <row r="1651" spans="1:9" x14ac:dyDescent="0.25">
      <c r="A1651" s="16" t="s">
        <v>2653</v>
      </c>
      <c r="B1651" s="16" t="str">
        <f>TEXT(PARTIDA[[#This Row],[PARTIDA]],"0000000000")</f>
        <v>2827200000</v>
      </c>
      <c r="C1651" s="16" t="s">
        <v>815</v>
      </c>
      <c r="D1651" s="16" t="s">
        <v>835</v>
      </c>
      <c r="E1651" s="16" t="s">
        <v>9465</v>
      </c>
      <c r="F1651" s="27" t="s">
        <v>10623</v>
      </c>
      <c r="G1651" s="27"/>
      <c r="H1651" s="16" t="str">
        <f>IF(ISBLANK(PARTIDAS!$G1651),PARTIDAS!$F1651,CONCATENATE(PARTIDAS!$F1651," (",PARTIDAS!$G1651,")"))</f>
        <v>Cloruro de calcio</v>
      </c>
      <c r="I1651" s="16" t="s">
        <v>9427</v>
      </c>
    </row>
    <row r="1652" spans="1:9" x14ac:dyDescent="0.25">
      <c r="A1652" s="16" t="s">
        <v>2654</v>
      </c>
      <c r="B1652" s="16" t="str">
        <f>TEXT(PARTIDA[[#This Row],[PARTIDA]],"0000000000")</f>
        <v>2827310000</v>
      </c>
      <c r="C1652" s="16" t="s">
        <v>815</v>
      </c>
      <c r="D1652" s="16" t="s">
        <v>835</v>
      </c>
      <c r="E1652" s="16" t="s">
        <v>9465</v>
      </c>
      <c r="F1652" s="27" t="s">
        <v>10624</v>
      </c>
      <c r="G1652" s="27"/>
      <c r="H1652" s="16" t="str">
        <f>IF(ISBLANK(PARTIDAS!$G1652),PARTIDAS!$F1652,CONCATENATE(PARTIDAS!$F1652," (",PARTIDAS!$G1652,")"))</f>
        <v>Cloruros, oxicloruros e hidroxicloruros, de magnesio</v>
      </c>
      <c r="I1652" s="16" t="s">
        <v>9427</v>
      </c>
    </row>
    <row r="1653" spans="1:9" x14ac:dyDescent="0.25">
      <c r="A1653" s="16" t="s">
        <v>2655</v>
      </c>
      <c r="B1653" s="16" t="str">
        <f>TEXT(PARTIDA[[#This Row],[PARTIDA]],"0000000000")</f>
        <v>2827320000</v>
      </c>
      <c r="C1653" s="16" t="s">
        <v>815</v>
      </c>
      <c r="D1653" s="16" t="s">
        <v>835</v>
      </c>
      <c r="E1653" s="16" t="s">
        <v>9465</v>
      </c>
      <c r="F1653" s="27" t="s">
        <v>10625</v>
      </c>
      <c r="G1653" s="27"/>
      <c r="H1653" s="16" t="str">
        <f>IF(ISBLANK(PARTIDAS!$G1653),PARTIDAS!$F1653,CONCATENATE(PARTIDAS!$F1653," (",PARTIDAS!$G1653,")"))</f>
        <v>Cloruros, oxicloruros e hidroxicloruros, de aluminio</v>
      </c>
      <c r="I1653" s="16" t="s">
        <v>9427</v>
      </c>
    </row>
    <row r="1654" spans="1:9" x14ac:dyDescent="0.25">
      <c r="A1654" s="16" t="s">
        <v>2656</v>
      </c>
      <c r="B1654" s="16" t="str">
        <f>TEXT(PARTIDA[[#This Row],[PARTIDA]],"0000000000")</f>
        <v>2827350000</v>
      </c>
      <c r="C1654" s="16" t="s">
        <v>815</v>
      </c>
      <c r="D1654" s="16" t="s">
        <v>835</v>
      </c>
      <c r="E1654" s="16" t="s">
        <v>9465</v>
      </c>
      <c r="F1654" s="27" t="s">
        <v>10626</v>
      </c>
      <c r="G1654" s="27"/>
      <c r="H1654" s="16" t="str">
        <f>IF(ISBLANK(PARTIDAS!$G1654),PARTIDAS!$F1654,CONCATENATE(PARTIDAS!$F1654," (",PARTIDAS!$G1654,")"))</f>
        <v>Cloruros, oxicloruros e hidroxicloruros, de níquel</v>
      </c>
      <c r="I1654" s="16" t="s">
        <v>9427</v>
      </c>
    </row>
    <row r="1655" spans="1:9" x14ac:dyDescent="0.25">
      <c r="A1655" s="16" t="s">
        <v>2657</v>
      </c>
      <c r="B1655" s="16" t="str">
        <f>TEXT(PARTIDA[[#This Row],[PARTIDA]],"0000000000")</f>
        <v>2827391000</v>
      </c>
      <c r="C1655" s="16" t="s">
        <v>815</v>
      </c>
      <c r="D1655" s="16" t="s">
        <v>835</v>
      </c>
      <c r="E1655" s="16" t="s">
        <v>9465</v>
      </c>
      <c r="F1655" s="27" t="s">
        <v>10627</v>
      </c>
      <c r="G1655" s="27"/>
      <c r="H1655" s="16" t="str">
        <f>IF(ISBLANK(PARTIDAS!$G1655),PARTIDAS!$F1655,CONCATENATE(PARTIDAS!$F1655," (",PARTIDAS!$G1655,")"))</f>
        <v>Cloruros, oxicloruros e hidroxicloruros, de cobre</v>
      </c>
      <c r="I1655" s="16" t="s">
        <v>9427</v>
      </c>
    </row>
    <row r="1656" spans="1:9" x14ac:dyDescent="0.25">
      <c r="A1656" s="16" t="s">
        <v>2658</v>
      </c>
      <c r="B1656" s="16" t="str">
        <f>TEXT(PARTIDA[[#This Row],[PARTIDA]],"0000000000")</f>
        <v>2827393000</v>
      </c>
      <c r="C1656" s="16" t="s">
        <v>815</v>
      </c>
      <c r="D1656" s="16" t="s">
        <v>835</v>
      </c>
      <c r="E1656" s="16" t="s">
        <v>9465</v>
      </c>
      <c r="F1656" s="27" t="s">
        <v>10628</v>
      </c>
      <c r="G1656" s="27"/>
      <c r="H1656" s="16" t="str">
        <f>IF(ISBLANK(PARTIDAS!$G1656),PARTIDAS!$F1656,CONCATENATE(PARTIDAS!$F1656," (",PARTIDAS!$G1656,")"))</f>
        <v>Cloruros, oxicloruros e hidroxicloruros, de estaño</v>
      </c>
      <c r="I1656" s="16" t="s">
        <v>9427</v>
      </c>
    </row>
    <row r="1657" spans="1:9" x14ac:dyDescent="0.25">
      <c r="A1657" s="16" t="s">
        <v>2659</v>
      </c>
      <c r="B1657" s="16" t="str">
        <f>TEXT(PARTIDA[[#This Row],[PARTIDA]],"0000000000")</f>
        <v>2827394000</v>
      </c>
      <c r="C1657" s="16" t="s">
        <v>815</v>
      </c>
      <c r="D1657" s="16" t="s">
        <v>835</v>
      </c>
      <c r="E1657" s="16" t="s">
        <v>9465</v>
      </c>
      <c r="F1657" s="27" t="s">
        <v>10629</v>
      </c>
      <c r="G1657" s="27"/>
      <c r="H1657" s="16" t="str">
        <f>IF(ISBLANK(PARTIDAS!$G1657),PARTIDAS!$F1657,CONCATENATE(PARTIDAS!$F1657," (",PARTIDAS!$G1657,")"))</f>
        <v>Cloruros, oxicloruros e hidroxicloruros, de hierro</v>
      </c>
      <c r="I1657" s="16" t="s">
        <v>9427</v>
      </c>
    </row>
    <row r="1658" spans="1:9" x14ac:dyDescent="0.25">
      <c r="A1658" s="16" t="s">
        <v>2660</v>
      </c>
      <c r="B1658" s="16" t="str">
        <f>TEXT(PARTIDA[[#This Row],[PARTIDA]],"0000000000")</f>
        <v>2827395000</v>
      </c>
      <c r="C1658" s="16" t="s">
        <v>815</v>
      </c>
      <c r="D1658" s="16" t="s">
        <v>835</v>
      </c>
      <c r="E1658" s="16" t="s">
        <v>9465</v>
      </c>
      <c r="F1658" s="27" t="s">
        <v>10630</v>
      </c>
      <c r="G1658" s="27"/>
      <c r="H1658" s="16" t="str">
        <f>IF(ISBLANK(PARTIDAS!$G1658),PARTIDAS!$F1658,CONCATENATE(PARTIDAS!$F1658," (",PARTIDAS!$G1658,")"))</f>
        <v>Cloruros, oxicloruros e hidroxicloruros, de cinc</v>
      </c>
      <c r="I1658" s="16" t="s">
        <v>9427</v>
      </c>
    </row>
    <row r="1659" spans="1:9" x14ac:dyDescent="0.25">
      <c r="A1659" s="16" t="s">
        <v>2661</v>
      </c>
      <c r="B1659" s="16" t="str">
        <f>TEXT(PARTIDA[[#This Row],[PARTIDA]],"0000000000")</f>
        <v>2827399010</v>
      </c>
      <c r="C1659" s="16" t="s">
        <v>815</v>
      </c>
      <c r="D1659" s="16" t="s">
        <v>835</v>
      </c>
      <c r="E1659" s="16" t="s">
        <v>9465</v>
      </c>
      <c r="F1659" s="27" t="s">
        <v>10631</v>
      </c>
      <c r="G1659" s="27"/>
      <c r="H1659" s="16" t="str">
        <f>IF(ISBLANK(PARTIDAS!$G1659),PARTIDAS!$F1659,CONCATENATE(PARTIDAS!$F1659," (",PARTIDAS!$G1659,")"))</f>
        <v>Cloruros, oxicloruros e hidroxicloruros, de cobalto</v>
      </c>
      <c r="I1659" s="16" t="s">
        <v>9427</v>
      </c>
    </row>
    <row r="1660" spans="1:9" x14ac:dyDescent="0.25">
      <c r="A1660" s="16" t="s">
        <v>2662</v>
      </c>
      <c r="B1660" s="16" t="str">
        <f>TEXT(PARTIDA[[#This Row],[PARTIDA]],"0000000000")</f>
        <v>2827399090</v>
      </c>
      <c r="C1660" s="16" t="s">
        <v>815</v>
      </c>
      <c r="D1660" s="16" t="s">
        <v>835</v>
      </c>
      <c r="E1660" s="16" t="s">
        <v>9465</v>
      </c>
      <c r="F1660" s="27" t="s">
        <v>10632</v>
      </c>
      <c r="G1660" s="27"/>
      <c r="H1660" s="16" t="str">
        <f>IF(ISBLANK(PARTIDAS!$G1660),PARTIDAS!$F1660,CONCATENATE(PARTIDAS!$F1660," (",PARTIDAS!$G1660,")"))</f>
        <v>Cloruros, oxicloruros e hidroxicloruros (los demás)</v>
      </c>
      <c r="I1660" s="16" t="s">
        <v>9427</v>
      </c>
    </row>
    <row r="1661" spans="1:9" x14ac:dyDescent="0.25">
      <c r="A1661" s="16" t="s">
        <v>2663</v>
      </c>
      <c r="B1661" s="16" t="str">
        <f>TEXT(PARTIDA[[#This Row],[PARTIDA]],"0000000000")</f>
        <v>2827410000</v>
      </c>
      <c r="C1661" s="16" t="s">
        <v>815</v>
      </c>
      <c r="D1661" s="16" t="s">
        <v>835</v>
      </c>
      <c r="E1661" s="16" t="s">
        <v>9465</v>
      </c>
      <c r="F1661" s="27" t="s">
        <v>10633</v>
      </c>
      <c r="G1661" s="27"/>
      <c r="H1661" s="16" t="str">
        <f>IF(ISBLANK(PARTIDAS!$G1661),PARTIDAS!$F1661,CONCATENATE(PARTIDAS!$F1661," (",PARTIDAS!$G1661,")"))</f>
        <v>Oxicloruros e hidroxicloruros, de cobre</v>
      </c>
      <c r="I1661" s="16" t="s">
        <v>9427</v>
      </c>
    </row>
    <row r="1662" spans="1:9" x14ac:dyDescent="0.25">
      <c r="A1662" s="16" t="s">
        <v>2664</v>
      </c>
      <c r="B1662" s="16" t="str">
        <f>TEXT(PARTIDA[[#This Row],[PARTIDA]],"0000000000")</f>
        <v>2827491000</v>
      </c>
      <c r="C1662" s="16" t="s">
        <v>815</v>
      </c>
      <c r="D1662" s="16" t="s">
        <v>835</v>
      </c>
      <c r="E1662" s="16" t="s">
        <v>9465</v>
      </c>
      <c r="F1662" s="27" t="s">
        <v>10634</v>
      </c>
      <c r="G1662" s="27"/>
      <c r="H1662" s="16" t="str">
        <f>IF(ISBLANK(PARTIDAS!$G1662),PARTIDAS!$F1662,CONCATENATE(PARTIDAS!$F1662," (",PARTIDAS!$G1662,")"))</f>
        <v>Oxicloruros e hidroxicloruros, de aluminio</v>
      </c>
      <c r="I1662" s="16" t="s">
        <v>9427</v>
      </c>
    </row>
    <row r="1663" spans="1:9" x14ac:dyDescent="0.25">
      <c r="A1663" s="16" t="s">
        <v>2665</v>
      </c>
      <c r="B1663" s="16" t="str">
        <f>TEXT(PARTIDA[[#This Row],[PARTIDA]],"0000000000")</f>
        <v>2827499000</v>
      </c>
      <c r="C1663" s="16" t="s">
        <v>815</v>
      </c>
      <c r="D1663" s="16" t="s">
        <v>835</v>
      </c>
      <c r="E1663" s="16" t="s">
        <v>9465</v>
      </c>
      <c r="F1663" s="27" t="s">
        <v>10635</v>
      </c>
      <c r="G1663" s="27"/>
      <c r="H1663" s="16" t="str">
        <f>IF(ISBLANK(PARTIDAS!$G1663),PARTIDAS!$F1663,CONCATENATE(PARTIDAS!$F1663," (",PARTIDAS!$G1663,")"))</f>
        <v>Oxicloruros e hidroxicloruros (los demás)</v>
      </c>
      <c r="I1663" s="16" t="s">
        <v>9427</v>
      </c>
    </row>
    <row r="1664" spans="1:9" x14ac:dyDescent="0.25">
      <c r="A1664" s="16" t="s">
        <v>2666</v>
      </c>
      <c r="B1664" s="16" t="str">
        <f>TEXT(PARTIDA[[#This Row],[PARTIDA]],"0000000000")</f>
        <v>2827510000</v>
      </c>
      <c r="C1664" s="16" t="s">
        <v>815</v>
      </c>
      <c r="D1664" s="16" t="s">
        <v>835</v>
      </c>
      <c r="E1664" s="16" t="s">
        <v>9465</v>
      </c>
      <c r="F1664" s="27" t="s">
        <v>10636</v>
      </c>
      <c r="G1664" s="27"/>
      <c r="H1664" s="16" t="str">
        <f>IF(ISBLANK(PARTIDAS!$G1664),PARTIDAS!$F1664,CONCATENATE(PARTIDAS!$F1664," (",PARTIDAS!$G1664,")"))</f>
        <v>Bromuros de sodio o potasio</v>
      </c>
      <c r="I1664" s="16" t="s">
        <v>9427</v>
      </c>
    </row>
    <row r="1665" spans="1:9" x14ac:dyDescent="0.25">
      <c r="A1665" s="16" t="s">
        <v>2667</v>
      </c>
      <c r="B1665" s="16" t="str">
        <f>TEXT(PARTIDA[[#This Row],[PARTIDA]],"0000000000")</f>
        <v>2827590000</v>
      </c>
      <c r="C1665" s="16" t="s">
        <v>815</v>
      </c>
      <c r="D1665" s="16" t="s">
        <v>835</v>
      </c>
      <c r="E1665" s="16" t="s">
        <v>9465</v>
      </c>
      <c r="F1665" s="27" t="s">
        <v>10637</v>
      </c>
      <c r="G1665" s="27"/>
      <c r="H1665" s="16" t="str">
        <f>IF(ISBLANK(PARTIDAS!$G1665),PARTIDAS!$F1665,CONCATENATE(PARTIDAS!$F1665," (",PARTIDAS!$G1665,")"))</f>
        <v>Bromuros y oxibromuros (los demás)</v>
      </c>
      <c r="I1665" s="16" t="s">
        <v>9427</v>
      </c>
    </row>
    <row r="1666" spans="1:9" x14ac:dyDescent="0.25">
      <c r="A1666" s="16" t="s">
        <v>2668</v>
      </c>
      <c r="B1666" s="16" t="str">
        <f>TEXT(PARTIDA[[#This Row],[PARTIDA]],"0000000000")</f>
        <v>2827601000</v>
      </c>
      <c r="C1666" s="16" t="s">
        <v>815</v>
      </c>
      <c r="D1666" s="16" t="s">
        <v>835</v>
      </c>
      <c r="E1666" s="16" t="s">
        <v>9465</v>
      </c>
      <c r="F1666" s="27" t="s">
        <v>10638</v>
      </c>
      <c r="G1666" s="27"/>
      <c r="H1666" s="16" t="str">
        <f>IF(ISBLANK(PARTIDAS!$G1666),PARTIDAS!$F1666,CONCATENATE(PARTIDAS!$F1666," (",PARTIDAS!$G1666,")"))</f>
        <v>Yoduros y oxiyoduros, de sodio o de potasio</v>
      </c>
      <c r="I1666" s="16" t="s">
        <v>9427</v>
      </c>
    </row>
    <row r="1667" spans="1:9" x14ac:dyDescent="0.25">
      <c r="A1667" s="16" t="s">
        <v>2669</v>
      </c>
      <c r="B1667" s="16" t="str">
        <f>TEXT(PARTIDA[[#This Row],[PARTIDA]],"0000000000")</f>
        <v>2827609000</v>
      </c>
      <c r="C1667" s="16" t="s">
        <v>815</v>
      </c>
      <c r="D1667" s="16" t="s">
        <v>835</v>
      </c>
      <c r="E1667" s="16" t="s">
        <v>9465</v>
      </c>
      <c r="F1667" s="27" t="s">
        <v>10639</v>
      </c>
      <c r="G1667" s="27"/>
      <c r="H1667" s="16" t="str">
        <f>IF(ISBLANK(PARTIDAS!$G1667),PARTIDAS!$F1667,CONCATENATE(PARTIDAS!$F1667," (",PARTIDAS!$G1667,")"))</f>
        <v>Yoduros y oxiyoduros (los demás)</v>
      </c>
      <c r="I1667" s="16" t="s">
        <v>9427</v>
      </c>
    </row>
    <row r="1668" spans="1:9" x14ac:dyDescent="0.25">
      <c r="A1668" s="16" t="s">
        <v>2670</v>
      </c>
      <c r="B1668" s="16" t="str">
        <f>TEXT(PARTIDA[[#This Row],[PARTIDA]],"0000000000")</f>
        <v>2828100000</v>
      </c>
      <c r="C1668" s="16" t="s">
        <v>815</v>
      </c>
      <c r="D1668" s="16" t="s">
        <v>835</v>
      </c>
      <c r="E1668" s="16" t="s">
        <v>9465</v>
      </c>
      <c r="F1668" s="27" t="s">
        <v>10640</v>
      </c>
      <c r="G1668" s="27"/>
      <c r="H1668" s="16" t="str">
        <f>IF(ISBLANK(PARTIDAS!$G1668),PARTIDAS!$F1668,CONCATENATE(PARTIDAS!$F1668," (",PARTIDAS!$G1668,")"))</f>
        <v>Hipoclorito de calcio comercial y demás hipocloritos de calcio</v>
      </c>
      <c r="I1668" s="16" t="s">
        <v>9427</v>
      </c>
    </row>
    <row r="1669" spans="1:9" x14ac:dyDescent="0.25">
      <c r="A1669" s="16" t="s">
        <v>2671</v>
      </c>
      <c r="B1669" s="16" t="str">
        <f>TEXT(PARTIDA[[#This Row],[PARTIDA]],"0000000000")</f>
        <v>2828901100</v>
      </c>
      <c r="C1669" s="16" t="s">
        <v>815</v>
      </c>
      <c r="D1669" s="16" t="s">
        <v>835</v>
      </c>
      <c r="E1669" s="16" t="s">
        <v>9465</v>
      </c>
      <c r="F1669" s="27" t="s">
        <v>10641</v>
      </c>
      <c r="G1669" s="27"/>
      <c r="H1669" s="16" t="str">
        <f>IF(ISBLANK(PARTIDAS!$G1669),PARTIDAS!$F1669,CONCATENATE(PARTIDAS!$F1669," (",PARTIDAS!$G1669,")"))</f>
        <v>Hipocloritos, de sodio</v>
      </c>
      <c r="I1669" s="16" t="s">
        <v>9427</v>
      </c>
    </row>
    <row r="1670" spans="1:9" x14ac:dyDescent="0.25">
      <c r="A1670" s="16" t="s">
        <v>2672</v>
      </c>
      <c r="B1670" s="16" t="str">
        <f>TEXT(PARTIDA[[#This Row],[PARTIDA]],"0000000000")</f>
        <v>2828901900</v>
      </c>
      <c r="C1670" s="16" t="s">
        <v>815</v>
      </c>
      <c r="D1670" s="16" t="s">
        <v>835</v>
      </c>
      <c r="E1670" s="16" t="s">
        <v>9465</v>
      </c>
      <c r="F1670" s="27" t="s">
        <v>10642</v>
      </c>
      <c r="G1670" s="27"/>
      <c r="H1670" s="16" t="str">
        <f>IF(ISBLANK(PARTIDAS!$G1670),PARTIDAS!$F1670,CONCATENATE(PARTIDAS!$F1670," (",PARTIDAS!$G1670,")"))</f>
        <v>Hipocloritos (los demás)</v>
      </c>
      <c r="I1670" s="16" t="s">
        <v>9427</v>
      </c>
    </row>
    <row r="1671" spans="1:9" x14ac:dyDescent="0.25">
      <c r="A1671" s="16" t="s">
        <v>2673</v>
      </c>
      <c r="B1671" s="16" t="str">
        <f>TEXT(PARTIDA[[#This Row],[PARTIDA]],"0000000000")</f>
        <v>2828902000</v>
      </c>
      <c r="C1671" s="16" t="s">
        <v>815</v>
      </c>
      <c r="D1671" s="16" t="s">
        <v>835</v>
      </c>
      <c r="E1671" s="16" t="s">
        <v>9465</v>
      </c>
      <c r="F1671" s="27" t="s">
        <v>10643</v>
      </c>
      <c r="G1671" s="27"/>
      <c r="H1671" s="16" t="str">
        <f>IF(ISBLANK(PARTIDAS!$G1671),PARTIDAS!$F1671,CONCATENATE(PARTIDAS!$F1671," (",PARTIDAS!$G1671,")"))</f>
        <v>Hipocloritos, cloritos</v>
      </c>
      <c r="I1671" s="16" t="s">
        <v>9427</v>
      </c>
    </row>
    <row r="1672" spans="1:9" x14ac:dyDescent="0.25">
      <c r="A1672" s="16" t="s">
        <v>2674</v>
      </c>
      <c r="B1672" s="16" t="str">
        <f>TEXT(PARTIDA[[#This Row],[PARTIDA]],"0000000000")</f>
        <v>2828903000</v>
      </c>
      <c r="C1672" s="16" t="s">
        <v>815</v>
      </c>
      <c r="D1672" s="16" t="s">
        <v>835</v>
      </c>
      <c r="E1672" s="16" t="s">
        <v>9465</v>
      </c>
      <c r="F1672" s="27" t="s">
        <v>10644</v>
      </c>
      <c r="G1672" s="27"/>
      <c r="H1672" s="16" t="str">
        <f>IF(ISBLANK(PARTIDAS!$G1672),PARTIDAS!$F1672,CONCATENATE(PARTIDAS!$F1672," (",PARTIDAS!$G1672,")"))</f>
        <v>Hipocloritos, hipobromitos</v>
      </c>
      <c r="I1672" s="16" t="s">
        <v>9427</v>
      </c>
    </row>
    <row r="1673" spans="1:9" x14ac:dyDescent="0.25">
      <c r="A1673" s="16" t="s">
        <v>2675</v>
      </c>
      <c r="B1673" s="16" t="str">
        <f>TEXT(PARTIDA[[#This Row],[PARTIDA]],"0000000000")</f>
        <v>2829110000</v>
      </c>
      <c r="C1673" s="16" t="s">
        <v>815</v>
      </c>
      <c r="D1673" s="16" t="s">
        <v>835</v>
      </c>
      <c r="E1673" s="16" t="s">
        <v>9465</v>
      </c>
      <c r="F1673" s="27" t="s">
        <v>10645</v>
      </c>
      <c r="G1673" s="27"/>
      <c r="H1673" s="16" t="str">
        <f>IF(ISBLANK(PARTIDAS!$G1673),PARTIDAS!$F1673,CONCATENATE(PARTIDAS!$F1673," (",PARTIDAS!$G1673,")"))</f>
        <v>Cloratos, de sodio</v>
      </c>
      <c r="I1673" s="16" t="s">
        <v>9427</v>
      </c>
    </row>
    <row r="1674" spans="1:9" x14ac:dyDescent="0.25">
      <c r="A1674" s="16" t="s">
        <v>2676</v>
      </c>
      <c r="B1674" s="16" t="str">
        <f>TEXT(PARTIDA[[#This Row],[PARTIDA]],"0000000000")</f>
        <v>2829191000</v>
      </c>
      <c r="C1674" s="16" t="s">
        <v>815</v>
      </c>
      <c r="D1674" s="16" t="s">
        <v>835</v>
      </c>
      <c r="E1674" s="16" t="s">
        <v>9465</v>
      </c>
      <c r="F1674" s="27" t="s">
        <v>10646</v>
      </c>
      <c r="G1674" s="27"/>
      <c r="H1674" s="16" t="str">
        <f>IF(ISBLANK(PARTIDAS!$G1674),PARTIDAS!$F1674,CONCATENATE(PARTIDAS!$F1674," (",PARTIDAS!$G1674,")"))</f>
        <v>Cloratos, de potasio</v>
      </c>
      <c r="I1674" s="16" t="s">
        <v>9427</v>
      </c>
    </row>
    <row r="1675" spans="1:9" x14ac:dyDescent="0.25">
      <c r="A1675" s="16" t="s">
        <v>2677</v>
      </c>
      <c r="B1675" s="16" t="str">
        <f>TEXT(PARTIDA[[#This Row],[PARTIDA]],"0000000000")</f>
        <v>2829199000</v>
      </c>
      <c r="C1675" s="16" t="s">
        <v>815</v>
      </c>
      <c r="D1675" s="16" t="s">
        <v>835</v>
      </c>
      <c r="E1675" s="16" t="s">
        <v>9465</v>
      </c>
      <c r="F1675" s="27" t="s">
        <v>10647</v>
      </c>
      <c r="G1675" s="27"/>
      <c r="H1675" s="16" t="str">
        <f>IF(ISBLANK(PARTIDAS!$G1675),PARTIDAS!$F1675,CONCATENATE(PARTIDAS!$F1675," (",PARTIDAS!$G1675,")"))</f>
        <v>Cloratos (los demás)</v>
      </c>
      <c r="I1675" s="16" t="s">
        <v>9427</v>
      </c>
    </row>
    <row r="1676" spans="1:9" x14ac:dyDescent="0.25">
      <c r="A1676" s="16" t="s">
        <v>2678</v>
      </c>
      <c r="B1676" s="16" t="str">
        <f>TEXT(PARTIDA[[#This Row],[PARTIDA]],"0000000000")</f>
        <v>2829901000</v>
      </c>
      <c r="C1676" s="16" t="s">
        <v>815</v>
      </c>
      <c r="D1676" s="16" t="s">
        <v>835</v>
      </c>
      <c r="E1676" s="16" t="s">
        <v>9465</v>
      </c>
      <c r="F1676" s="27" t="s">
        <v>10648</v>
      </c>
      <c r="G1676" s="27"/>
      <c r="H1676" s="16" t="str">
        <f>IF(ISBLANK(PARTIDAS!$G1676),PARTIDAS!$F1676,CONCATENATE(PARTIDAS!$F1676," (",PARTIDAS!$G1676,")"))</f>
        <v>Cloratos y percloratos, percloratos</v>
      </c>
      <c r="I1676" s="16" t="s">
        <v>9427</v>
      </c>
    </row>
    <row r="1677" spans="1:9" x14ac:dyDescent="0.25">
      <c r="A1677" s="16" t="s">
        <v>2679</v>
      </c>
      <c r="B1677" s="16" t="str">
        <f>TEXT(PARTIDA[[#This Row],[PARTIDA]],"0000000000")</f>
        <v>2829902000</v>
      </c>
      <c r="C1677" s="16" t="s">
        <v>815</v>
      </c>
      <c r="D1677" s="16" t="s">
        <v>835</v>
      </c>
      <c r="E1677" s="16" t="s">
        <v>9465</v>
      </c>
      <c r="F1677" s="27" t="s">
        <v>10649</v>
      </c>
      <c r="G1677" s="27"/>
      <c r="H1677" s="16" t="str">
        <f>IF(ISBLANK(PARTIDAS!$G1677),PARTIDAS!$F1677,CONCATENATE(PARTIDAS!$F1677," (",PARTIDAS!$G1677,")"))</f>
        <v>Yodato de potasio</v>
      </c>
      <c r="I1677" s="16" t="s">
        <v>9427</v>
      </c>
    </row>
    <row r="1678" spans="1:9" x14ac:dyDescent="0.25">
      <c r="A1678" s="16" t="s">
        <v>2680</v>
      </c>
      <c r="B1678" s="16" t="str">
        <f>TEXT(PARTIDA[[#This Row],[PARTIDA]],"0000000000")</f>
        <v>2829909000</v>
      </c>
      <c r="C1678" s="16" t="s">
        <v>815</v>
      </c>
      <c r="D1678" s="16" t="s">
        <v>835</v>
      </c>
      <c r="E1678" s="16" t="s">
        <v>9465</v>
      </c>
      <c r="F1678" s="27" t="s">
        <v>10650</v>
      </c>
      <c r="G1678" s="27"/>
      <c r="H1678" s="16" t="str">
        <f>IF(ISBLANK(PARTIDAS!$G1678),PARTIDAS!$F1678,CONCATENATE(PARTIDAS!$F1678," (",PARTIDAS!$G1678,")"))</f>
        <v>Cloratos y percloratos (los demás)</v>
      </c>
      <c r="I1678" s="16" t="s">
        <v>9427</v>
      </c>
    </row>
    <row r="1679" spans="1:9" x14ac:dyDescent="0.25">
      <c r="A1679" s="16" t="s">
        <v>2681</v>
      </c>
      <c r="B1679" s="16" t="str">
        <f>TEXT(PARTIDA[[#This Row],[PARTIDA]],"0000000000")</f>
        <v>2830101000</v>
      </c>
      <c r="C1679" s="16" t="s">
        <v>815</v>
      </c>
      <c r="D1679" s="16" t="s">
        <v>835</v>
      </c>
      <c r="E1679" s="16" t="s">
        <v>9465</v>
      </c>
      <c r="F1679" s="27" t="s">
        <v>10651</v>
      </c>
      <c r="G1679" s="27"/>
      <c r="H1679" s="16" t="str">
        <f>IF(ISBLANK(PARTIDAS!$G1679),PARTIDAS!$F1679,CONCATENATE(PARTIDAS!$F1679," (",PARTIDAS!$G1679,")"))</f>
        <v>Sulfuro de sodio</v>
      </c>
      <c r="I1679" s="16" t="s">
        <v>9427</v>
      </c>
    </row>
    <row r="1680" spans="1:9" x14ac:dyDescent="0.25">
      <c r="A1680" s="16" t="s">
        <v>2682</v>
      </c>
      <c r="B1680" s="16" t="str">
        <f>TEXT(PARTIDA[[#This Row],[PARTIDA]],"0000000000")</f>
        <v>2830102000</v>
      </c>
      <c r="C1680" s="16" t="s">
        <v>815</v>
      </c>
      <c r="D1680" s="16" t="s">
        <v>835</v>
      </c>
      <c r="E1680" s="16" t="s">
        <v>9465</v>
      </c>
      <c r="F1680" s="27" t="s">
        <v>10652</v>
      </c>
      <c r="G1680" s="27"/>
      <c r="H1680" s="16" t="str">
        <f>IF(ISBLANK(PARTIDAS!$G1680),PARTIDAS!$F1680,CONCATENATE(PARTIDAS!$F1680," (",PARTIDAS!$G1680,")"))</f>
        <v>Hidrogenosulfuro (sulfhidrato) de sodio</v>
      </c>
      <c r="I1680" s="16" t="s">
        <v>9427</v>
      </c>
    </row>
    <row r="1681" spans="1:9" x14ac:dyDescent="0.25">
      <c r="A1681" s="16" t="s">
        <v>2683</v>
      </c>
      <c r="B1681" s="16" t="str">
        <f>TEXT(PARTIDA[[#This Row],[PARTIDA]],"0000000000")</f>
        <v>2830901000</v>
      </c>
      <c r="C1681" s="16" t="s">
        <v>815</v>
      </c>
      <c r="D1681" s="16" t="s">
        <v>835</v>
      </c>
      <c r="E1681" s="16" t="s">
        <v>9465</v>
      </c>
      <c r="F1681" s="27" t="s">
        <v>10653</v>
      </c>
      <c r="G1681" s="27"/>
      <c r="H1681" s="16" t="str">
        <f>IF(ISBLANK(PARTIDAS!$G1681),PARTIDAS!$F1681,CONCATENATE(PARTIDAS!$F1681," (",PARTIDAS!$G1681,")"))</f>
        <v>Sulfuro de potasio</v>
      </c>
      <c r="I1681" s="16" t="s">
        <v>9427</v>
      </c>
    </row>
    <row r="1682" spans="1:9" x14ac:dyDescent="0.25">
      <c r="A1682" s="16" t="s">
        <v>2684</v>
      </c>
      <c r="B1682" s="16" t="str">
        <f>TEXT(PARTIDA[[#This Row],[PARTIDA]],"0000000000")</f>
        <v>2830909000</v>
      </c>
      <c r="C1682" s="16" t="s">
        <v>815</v>
      </c>
      <c r="D1682" s="16" t="s">
        <v>835</v>
      </c>
      <c r="E1682" s="16" t="s">
        <v>9465</v>
      </c>
      <c r="F1682" s="27" t="s">
        <v>10654</v>
      </c>
      <c r="G1682" s="27"/>
      <c r="H1682" s="16" t="str">
        <f>IF(ISBLANK(PARTIDAS!$G1682),PARTIDAS!$F1682,CONCATENATE(PARTIDAS!$F1682," (",PARTIDAS!$G1682,")"))</f>
        <v>Sulfuros; polisulfuros, aunque no sean de constitución química… (los demás)</v>
      </c>
      <c r="I1682" s="16" t="s">
        <v>9427</v>
      </c>
    </row>
    <row r="1683" spans="1:9" x14ac:dyDescent="0.25">
      <c r="A1683" s="16" t="s">
        <v>2685</v>
      </c>
      <c r="B1683" s="16" t="str">
        <f>TEXT(PARTIDA[[#This Row],[PARTIDA]],"0000000000")</f>
        <v>2831100000</v>
      </c>
      <c r="C1683" s="16" t="s">
        <v>815</v>
      </c>
      <c r="D1683" s="16" t="s">
        <v>835</v>
      </c>
      <c r="E1683" s="16" t="s">
        <v>9465</v>
      </c>
      <c r="F1683" s="27" t="s">
        <v>10655</v>
      </c>
      <c r="G1683" s="27"/>
      <c r="H1683" s="16" t="str">
        <f>IF(ISBLANK(PARTIDAS!$G1683),PARTIDAS!$F1683,CONCATENATE(PARTIDAS!$F1683," (",PARTIDAS!$G1683,")"))</f>
        <v>Ditionitos y sulfoxilatos, de sodio</v>
      </c>
      <c r="I1683" s="16" t="s">
        <v>9427</v>
      </c>
    </row>
    <row r="1684" spans="1:9" x14ac:dyDescent="0.25">
      <c r="A1684" s="16" t="s">
        <v>2686</v>
      </c>
      <c r="B1684" s="16" t="str">
        <f>TEXT(PARTIDA[[#This Row],[PARTIDA]],"0000000000")</f>
        <v>2831900000</v>
      </c>
      <c r="C1684" s="16" t="s">
        <v>815</v>
      </c>
      <c r="D1684" s="16" t="s">
        <v>835</v>
      </c>
      <c r="E1684" s="16" t="s">
        <v>9465</v>
      </c>
      <c r="F1684" s="27" t="s">
        <v>10656</v>
      </c>
      <c r="G1684" s="27"/>
      <c r="H1684" s="16" t="str">
        <f>IF(ISBLANK(PARTIDAS!$G1684),PARTIDAS!$F1684,CONCATENATE(PARTIDAS!$F1684," (",PARTIDAS!$G1684,")"))</f>
        <v>Ditionitos y sulfoxilatos (los demás)</v>
      </c>
      <c r="I1684" s="16" t="s">
        <v>9427</v>
      </c>
    </row>
    <row r="1685" spans="1:9" x14ac:dyDescent="0.25">
      <c r="A1685" s="16" t="s">
        <v>2687</v>
      </c>
      <c r="B1685" s="16" t="str">
        <f>TEXT(PARTIDA[[#This Row],[PARTIDA]],"0000000000")</f>
        <v>2832100000</v>
      </c>
      <c r="C1685" s="16" t="s">
        <v>815</v>
      </c>
      <c r="D1685" s="16" t="s">
        <v>835</v>
      </c>
      <c r="E1685" s="16" t="s">
        <v>9465</v>
      </c>
      <c r="F1685" s="27" t="s">
        <v>10657</v>
      </c>
      <c r="G1685" s="27"/>
      <c r="H1685" s="16" t="str">
        <f>IF(ISBLANK(PARTIDAS!$G1685),PARTIDAS!$F1685,CONCATENATE(PARTIDAS!$F1685," (",PARTIDAS!$G1685,")"))</f>
        <v>Sulfitos de sodio</v>
      </c>
      <c r="I1685" s="16" t="s">
        <v>9427</v>
      </c>
    </row>
    <row r="1686" spans="1:9" x14ac:dyDescent="0.25">
      <c r="A1686" s="16" t="s">
        <v>2688</v>
      </c>
      <c r="B1686" s="16" t="str">
        <f>TEXT(PARTIDA[[#This Row],[PARTIDA]],"0000000000")</f>
        <v>2832201000</v>
      </c>
      <c r="C1686" s="16" t="s">
        <v>815</v>
      </c>
      <c r="D1686" s="16" t="s">
        <v>835</v>
      </c>
      <c r="E1686" s="16" t="s">
        <v>9465</v>
      </c>
      <c r="F1686" s="27" t="s">
        <v>10658</v>
      </c>
      <c r="G1686" s="27"/>
      <c r="H1686" s="16" t="str">
        <f>IF(ISBLANK(PARTIDAS!$G1686),PARTIDAS!$F1686,CONCATENATE(PARTIDAS!$F1686," (",PARTIDAS!$G1686,")"))</f>
        <v>Sulfitos; tiosulfatos, de amonio</v>
      </c>
      <c r="I1686" s="16" t="s">
        <v>9427</v>
      </c>
    </row>
    <row r="1687" spans="1:9" x14ac:dyDescent="0.25">
      <c r="A1687" s="16" t="s">
        <v>2689</v>
      </c>
      <c r="B1687" s="16" t="str">
        <f>TEXT(PARTIDA[[#This Row],[PARTIDA]],"0000000000")</f>
        <v>2832209000</v>
      </c>
      <c r="C1687" s="16" t="s">
        <v>815</v>
      </c>
      <c r="D1687" s="16" t="s">
        <v>835</v>
      </c>
      <c r="E1687" s="16" t="s">
        <v>9465</v>
      </c>
      <c r="F1687" s="27" t="s">
        <v>10659</v>
      </c>
      <c r="G1687" s="27"/>
      <c r="H1687" s="16" t="str">
        <f>IF(ISBLANK(PARTIDAS!$G1687),PARTIDAS!$F1687,CONCATENATE(PARTIDAS!$F1687," (",PARTIDAS!$G1687,")"))</f>
        <v>Sulfitos; tiosulfatos (los demás)</v>
      </c>
      <c r="I1687" s="16" t="s">
        <v>9427</v>
      </c>
    </row>
    <row r="1688" spans="1:9" x14ac:dyDescent="0.25">
      <c r="A1688" s="16" t="s">
        <v>2690</v>
      </c>
      <c r="B1688" s="16" t="str">
        <f>TEXT(PARTIDA[[#This Row],[PARTIDA]],"0000000000")</f>
        <v>2832301000</v>
      </c>
      <c r="C1688" s="16" t="s">
        <v>815</v>
      </c>
      <c r="D1688" s="16" t="s">
        <v>835</v>
      </c>
      <c r="E1688" s="16" t="s">
        <v>9465</v>
      </c>
      <c r="F1688" s="27" t="s">
        <v>10660</v>
      </c>
      <c r="G1688" s="27"/>
      <c r="H1688" s="16" t="str">
        <f>IF(ISBLANK(PARTIDAS!$G1688),PARTIDAS!$F1688,CONCATENATE(PARTIDAS!$F1688," (",PARTIDAS!$G1688,")"))</f>
        <v>Tiosulfatos, de sodio</v>
      </c>
      <c r="I1688" s="16" t="s">
        <v>9427</v>
      </c>
    </row>
    <row r="1689" spans="1:9" x14ac:dyDescent="0.25">
      <c r="A1689" s="16" t="s">
        <v>2691</v>
      </c>
      <c r="B1689" s="16" t="str">
        <f>TEXT(PARTIDA[[#This Row],[PARTIDA]],"0000000000")</f>
        <v>2832309000</v>
      </c>
      <c r="C1689" s="16" t="s">
        <v>815</v>
      </c>
      <c r="D1689" s="16" t="s">
        <v>835</v>
      </c>
      <c r="E1689" s="16" t="s">
        <v>9465</v>
      </c>
      <c r="F1689" s="27" t="s">
        <v>10661</v>
      </c>
      <c r="G1689" s="27"/>
      <c r="H1689" s="16" t="str">
        <f>IF(ISBLANK(PARTIDAS!$G1689),PARTIDAS!$F1689,CONCATENATE(PARTIDAS!$F1689," (",PARTIDAS!$G1689,")"))</f>
        <v>Tiosulfatos (los demás)</v>
      </c>
      <c r="I1689" s="16" t="s">
        <v>9427</v>
      </c>
    </row>
    <row r="1690" spans="1:9" x14ac:dyDescent="0.25">
      <c r="A1690" s="16" t="s">
        <v>2692</v>
      </c>
      <c r="B1690" s="16" t="str">
        <f>TEXT(PARTIDA[[#This Row],[PARTIDA]],"0000000000")</f>
        <v>2833110000</v>
      </c>
      <c r="C1690" s="16" t="s">
        <v>815</v>
      </c>
      <c r="D1690" s="16" t="s">
        <v>835</v>
      </c>
      <c r="E1690" s="16" t="s">
        <v>9465</v>
      </c>
      <c r="F1690" s="27" t="s">
        <v>10662</v>
      </c>
      <c r="G1690" s="27"/>
      <c r="H1690" s="16" t="str">
        <f>IF(ISBLANK(PARTIDAS!$G1690),PARTIDAS!$F1690,CONCATENATE(PARTIDAS!$F1690," (",PARTIDAS!$G1690,")"))</f>
        <v>Sulfato de disodio</v>
      </c>
      <c r="I1690" s="16" t="s">
        <v>9427</v>
      </c>
    </row>
    <row r="1691" spans="1:9" x14ac:dyDescent="0.25">
      <c r="A1691" s="16" t="s">
        <v>2693</v>
      </c>
      <c r="B1691" s="16" t="str">
        <f>TEXT(PARTIDA[[#This Row],[PARTIDA]],"0000000000")</f>
        <v>2833190000</v>
      </c>
      <c r="C1691" s="16" t="s">
        <v>815</v>
      </c>
      <c r="D1691" s="16" t="s">
        <v>835</v>
      </c>
      <c r="E1691" s="16" t="s">
        <v>9465</v>
      </c>
      <c r="F1691" s="27" t="s">
        <v>10663</v>
      </c>
      <c r="G1691" s="27"/>
      <c r="H1691" s="16" t="str">
        <f>IF(ISBLANK(PARTIDAS!$G1691),PARTIDAS!$F1691,CONCATENATE(PARTIDAS!$F1691," (",PARTIDAS!$G1691,")"))</f>
        <v>Sulfatos de sodio (los demás)</v>
      </c>
      <c r="I1691" s="16" t="s">
        <v>9427</v>
      </c>
    </row>
    <row r="1692" spans="1:9" x14ac:dyDescent="0.25">
      <c r="A1692" s="16" t="s">
        <v>2694</v>
      </c>
      <c r="B1692" s="16" t="str">
        <f>TEXT(PARTIDA[[#This Row],[PARTIDA]],"0000000000")</f>
        <v>2833210000</v>
      </c>
      <c r="C1692" s="16" t="s">
        <v>815</v>
      </c>
      <c r="D1692" s="16" t="s">
        <v>835</v>
      </c>
      <c r="E1692" s="16" t="s">
        <v>9465</v>
      </c>
      <c r="F1692" s="27" t="s">
        <v>10664</v>
      </c>
      <c r="G1692" s="27"/>
      <c r="H1692" s="16" t="str">
        <f>IF(ISBLANK(PARTIDAS!$G1692),PARTIDAS!$F1692,CONCATENATE(PARTIDAS!$F1692," (",PARTIDAS!$G1692,")"))</f>
        <v>Sulfatos; alumbres; peroxosulfatos (persulfatos), de magnesio</v>
      </c>
      <c r="I1692" s="16" t="s">
        <v>9427</v>
      </c>
    </row>
    <row r="1693" spans="1:9" x14ac:dyDescent="0.25">
      <c r="A1693" s="16" t="s">
        <v>2695</v>
      </c>
      <c r="B1693" s="16" t="str">
        <f>TEXT(PARTIDA[[#This Row],[PARTIDA]],"0000000000")</f>
        <v>2833220000</v>
      </c>
      <c r="C1693" s="16" t="s">
        <v>815</v>
      </c>
      <c r="D1693" s="16" t="s">
        <v>835</v>
      </c>
      <c r="E1693" s="16" t="s">
        <v>9465</v>
      </c>
      <c r="F1693" s="27" t="s">
        <v>10665</v>
      </c>
      <c r="G1693" s="27"/>
      <c r="H1693" s="16" t="str">
        <f>IF(ISBLANK(PARTIDAS!$G1693),PARTIDAS!$F1693,CONCATENATE(PARTIDAS!$F1693," (",PARTIDAS!$G1693,")"))</f>
        <v>Sulfatos; alumbres; peroxosulfatos (persulfatos), de aluminio</v>
      </c>
      <c r="I1693" s="16" t="s">
        <v>9427</v>
      </c>
    </row>
    <row r="1694" spans="1:9" x14ac:dyDescent="0.25">
      <c r="A1694" s="16" t="s">
        <v>2696</v>
      </c>
      <c r="B1694" s="16" t="str">
        <f>TEXT(PARTIDA[[#This Row],[PARTIDA]],"0000000000")</f>
        <v>2833240000</v>
      </c>
      <c r="C1694" s="16" t="s">
        <v>815</v>
      </c>
      <c r="D1694" s="16" t="s">
        <v>835</v>
      </c>
      <c r="E1694" s="16" t="s">
        <v>9465</v>
      </c>
      <c r="F1694" s="27" t="s">
        <v>10666</v>
      </c>
      <c r="G1694" s="27"/>
      <c r="H1694" s="16" t="str">
        <f>IF(ISBLANK(PARTIDAS!$G1694),PARTIDAS!$F1694,CONCATENATE(PARTIDAS!$F1694," (",PARTIDAS!$G1694,")"))</f>
        <v>Sulfatos; alumbres; peroxosulfatos (persulfatos), de níquel</v>
      </c>
      <c r="I1694" s="16" t="s">
        <v>9427</v>
      </c>
    </row>
    <row r="1695" spans="1:9" x14ac:dyDescent="0.25">
      <c r="A1695" s="16" t="s">
        <v>2697</v>
      </c>
      <c r="B1695" s="16" t="str">
        <f>TEXT(PARTIDA[[#This Row],[PARTIDA]],"0000000000")</f>
        <v>2833250000</v>
      </c>
      <c r="C1695" s="16" t="s">
        <v>815</v>
      </c>
      <c r="D1695" s="16" t="s">
        <v>835</v>
      </c>
      <c r="E1695" s="16" t="s">
        <v>9465</v>
      </c>
      <c r="F1695" s="27" t="s">
        <v>10667</v>
      </c>
      <c r="G1695" s="27"/>
      <c r="H1695" s="16" t="str">
        <f>IF(ISBLANK(PARTIDAS!$G1695),PARTIDAS!$F1695,CONCATENATE(PARTIDAS!$F1695," (",PARTIDAS!$G1695,")"))</f>
        <v>Sulfatos; alumbres; peroxosulfatos (persulfatos), de cobre</v>
      </c>
      <c r="I1695" s="16" t="s">
        <v>9427</v>
      </c>
    </row>
    <row r="1696" spans="1:9" x14ac:dyDescent="0.25">
      <c r="A1696" s="16" t="s">
        <v>2698</v>
      </c>
      <c r="B1696" s="16" t="str">
        <f>TEXT(PARTIDA[[#This Row],[PARTIDA]],"0000000000")</f>
        <v>2833270000</v>
      </c>
      <c r="C1696" s="16" t="s">
        <v>815</v>
      </c>
      <c r="D1696" s="16" t="s">
        <v>835</v>
      </c>
      <c r="E1696" s="16" t="s">
        <v>9465</v>
      </c>
      <c r="F1696" s="27" t="s">
        <v>10668</v>
      </c>
      <c r="G1696" s="27"/>
      <c r="H1696" s="16" t="str">
        <f>IF(ISBLANK(PARTIDAS!$G1696),PARTIDAS!$F1696,CONCATENATE(PARTIDAS!$F1696," (",PARTIDAS!$G1696,")"))</f>
        <v>Sulfatos; alumbres; peroxosulfatos (persulfatos), de bario</v>
      </c>
      <c r="I1696" s="16" t="s">
        <v>9427</v>
      </c>
    </row>
    <row r="1697" spans="1:9" x14ac:dyDescent="0.25">
      <c r="A1697" s="16" t="s">
        <v>2699</v>
      </c>
      <c r="B1697" s="16" t="str">
        <f>TEXT(PARTIDA[[#This Row],[PARTIDA]],"0000000000")</f>
        <v>2833291000</v>
      </c>
      <c r="C1697" s="16" t="s">
        <v>815</v>
      </c>
      <c r="D1697" s="16" t="s">
        <v>835</v>
      </c>
      <c r="E1697" s="16" t="s">
        <v>9465</v>
      </c>
      <c r="F1697" s="27" t="s">
        <v>10669</v>
      </c>
      <c r="G1697" s="27"/>
      <c r="H1697" s="16" t="str">
        <f>IF(ISBLANK(PARTIDAS!$G1697),PARTIDAS!$F1697,CONCATENATE(PARTIDAS!$F1697," (",PARTIDAS!$G1697,")"))</f>
        <v>Sulfatos; alumbres; peroxosulfatos (persulfatos), de hierro</v>
      </c>
      <c r="I1697" s="16" t="s">
        <v>9427</v>
      </c>
    </row>
    <row r="1698" spans="1:9" x14ac:dyDescent="0.25">
      <c r="A1698" s="16" t="s">
        <v>2700</v>
      </c>
      <c r="B1698" s="16" t="str">
        <f>TEXT(PARTIDA[[#This Row],[PARTIDA]],"0000000000")</f>
        <v>2833293000</v>
      </c>
      <c r="C1698" s="16" t="s">
        <v>815</v>
      </c>
      <c r="D1698" s="16" t="s">
        <v>835</v>
      </c>
      <c r="E1698" s="16" t="s">
        <v>9465</v>
      </c>
      <c r="F1698" s="27" t="s">
        <v>10670</v>
      </c>
      <c r="G1698" s="27"/>
      <c r="H1698" s="16" t="str">
        <f>IF(ISBLANK(PARTIDAS!$G1698),PARTIDAS!$F1698,CONCATENATE(PARTIDAS!$F1698," (",PARTIDAS!$G1698,")"))</f>
        <v>Sulfatos; alumbres; peroxosulfatos (persulfatos), de plomo</v>
      </c>
      <c r="I1698" s="16" t="s">
        <v>9427</v>
      </c>
    </row>
    <row r="1699" spans="1:9" x14ac:dyDescent="0.25">
      <c r="A1699" s="16" t="s">
        <v>2701</v>
      </c>
      <c r="B1699" s="16" t="str">
        <f>TEXT(PARTIDA[[#This Row],[PARTIDA]],"0000000000")</f>
        <v>2833295000</v>
      </c>
      <c r="C1699" s="16" t="s">
        <v>815</v>
      </c>
      <c r="D1699" s="16" t="s">
        <v>835</v>
      </c>
      <c r="E1699" s="16" t="s">
        <v>9465</v>
      </c>
      <c r="F1699" s="27" t="s">
        <v>10671</v>
      </c>
      <c r="G1699" s="27"/>
      <c r="H1699" s="16" t="str">
        <f>IF(ISBLANK(PARTIDAS!$G1699),PARTIDAS!$F1699,CONCATENATE(PARTIDAS!$F1699," (",PARTIDAS!$G1699,")"))</f>
        <v>Sulfatos; alumbres; peroxosulfatos (persulfatos), de cromo</v>
      </c>
      <c r="I1699" s="16" t="s">
        <v>9427</v>
      </c>
    </row>
    <row r="1700" spans="1:9" x14ac:dyDescent="0.25">
      <c r="A1700" s="16" t="s">
        <v>2702</v>
      </c>
      <c r="B1700" s="16" t="str">
        <f>TEXT(PARTIDA[[#This Row],[PARTIDA]],"0000000000")</f>
        <v>2833296000</v>
      </c>
      <c r="C1700" s="16" t="s">
        <v>815</v>
      </c>
      <c r="D1700" s="16" t="s">
        <v>835</v>
      </c>
      <c r="E1700" s="16" t="s">
        <v>9465</v>
      </c>
      <c r="F1700" s="27" t="s">
        <v>10672</v>
      </c>
      <c r="G1700" s="27"/>
      <c r="H1700" s="16" t="str">
        <f>IF(ISBLANK(PARTIDAS!$G1700),PARTIDAS!$F1700,CONCATENATE(PARTIDAS!$F1700," (",PARTIDAS!$G1700,")"))</f>
        <v>Sulfatos; alumbres; peroxosulfatos (persulfatos), de cinc</v>
      </c>
      <c r="I1700" s="16" t="s">
        <v>9427</v>
      </c>
    </row>
    <row r="1701" spans="1:9" x14ac:dyDescent="0.25">
      <c r="A1701" s="16" t="s">
        <v>2703</v>
      </c>
      <c r="B1701" s="16" t="str">
        <f>TEXT(PARTIDA[[#This Row],[PARTIDA]],"0000000000")</f>
        <v>2833299000</v>
      </c>
      <c r="C1701" s="16" t="s">
        <v>815</v>
      </c>
      <c r="D1701" s="16" t="s">
        <v>835</v>
      </c>
      <c r="E1701" s="16" t="s">
        <v>9465</v>
      </c>
      <c r="F1701" s="27" t="s">
        <v>10673</v>
      </c>
      <c r="G1701" s="27"/>
      <c r="H1701" s="16" t="str">
        <f>IF(ISBLANK(PARTIDAS!$G1701),PARTIDAS!$F1701,CONCATENATE(PARTIDAS!$F1701," (",PARTIDAS!$G1701,")"))</f>
        <v>Sulfatos; alumbres; peroxosulfatos (persulfatos) (los demás)</v>
      </c>
      <c r="I1701" s="16" t="s">
        <v>9427</v>
      </c>
    </row>
    <row r="1702" spans="1:9" x14ac:dyDescent="0.25">
      <c r="A1702" s="16" t="s">
        <v>2704</v>
      </c>
      <c r="B1702" s="16" t="str">
        <f>TEXT(PARTIDA[[#This Row],[PARTIDA]],"0000000000")</f>
        <v>2833301000</v>
      </c>
      <c r="C1702" s="16" t="s">
        <v>815</v>
      </c>
      <c r="D1702" s="16" t="s">
        <v>835</v>
      </c>
      <c r="E1702" s="16" t="s">
        <v>9465</v>
      </c>
      <c r="F1702" s="27" t="s">
        <v>10674</v>
      </c>
      <c r="G1702" s="27"/>
      <c r="H1702" s="16" t="str">
        <f>IF(ISBLANK(PARTIDAS!$G1702),PARTIDAS!$F1702,CONCATENATE(PARTIDAS!$F1702," (",PARTIDAS!$G1702,")"))</f>
        <v>Alumbres, de aluminio</v>
      </c>
      <c r="I1702" s="16" t="s">
        <v>9427</v>
      </c>
    </row>
    <row r="1703" spans="1:9" x14ac:dyDescent="0.25">
      <c r="A1703" s="16" t="s">
        <v>2705</v>
      </c>
      <c r="B1703" s="16" t="str">
        <f>TEXT(PARTIDA[[#This Row],[PARTIDA]],"0000000000")</f>
        <v>2833309000</v>
      </c>
      <c r="C1703" s="16" t="s">
        <v>815</v>
      </c>
      <c r="D1703" s="16" t="s">
        <v>835</v>
      </c>
      <c r="E1703" s="16" t="s">
        <v>9465</v>
      </c>
      <c r="F1703" s="27" t="s">
        <v>10675</v>
      </c>
      <c r="G1703" s="27"/>
      <c r="H1703" s="16" t="str">
        <f>IF(ISBLANK(PARTIDAS!$G1703),PARTIDAS!$F1703,CONCATENATE(PARTIDAS!$F1703," (",PARTIDAS!$G1703,")"))</f>
        <v>Alumbres (los demás)</v>
      </c>
      <c r="I1703" s="16" t="s">
        <v>9427</v>
      </c>
    </row>
    <row r="1704" spans="1:9" x14ac:dyDescent="0.25">
      <c r="A1704" s="16" t="s">
        <v>2706</v>
      </c>
      <c r="B1704" s="16" t="str">
        <f>TEXT(PARTIDA[[#This Row],[PARTIDA]],"0000000000")</f>
        <v>2833401000</v>
      </c>
      <c r="C1704" s="16" t="s">
        <v>815</v>
      </c>
      <c r="D1704" s="16" t="s">
        <v>835</v>
      </c>
      <c r="E1704" s="16" t="s">
        <v>9465</v>
      </c>
      <c r="F1704" s="27" t="s">
        <v>10676</v>
      </c>
      <c r="G1704" s="27"/>
      <c r="H1704" s="16" t="str">
        <f>IF(ISBLANK(PARTIDAS!$G1704),PARTIDAS!$F1704,CONCATENATE(PARTIDAS!$F1704," (",PARTIDAS!$G1704,")"))</f>
        <v>Peroxosulfatos (persulfatos), de sodio</v>
      </c>
      <c r="I1704" s="16" t="s">
        <v>9427</v>
      </c>
    </row>
    <row r="1705" spans="1:9" x14ac:dyDescent="0.25">
      <c r="A1705" s="16" t="s">
        <v>2707</v>
      </c>
      <c r="B1705" s="16" t="str">
        <f>TEXT(PARTIDA[[#This Row],[PARTIDA]],"0000000000")</f>
        <v>2833409000</v>
      </c>
      <c r="C1705" s="16" t="s">
        <v>815</v>
      </c>
      <c r="D1705" s="16" t="s">
        <v>835</v>
      </c>
      <c r="E1705" s="16" t="s">
        <v>9465</v>
      </c>
      <c r="F1705" s="27" t="s">
        <v>10677</v>
      </c>
      <c r="G1705" s="27"/>
      <c r="H1705" s="16" t="str">
        <f>IF(ISBLANK(PARTIDAS!$G1705),PARTIDAS!$F1705,CONCATENATE(PARTIDAS!$F1705," (",PARTIDAS!$G1705,")"))</f>
        <v>Peroxosulfatos (persulfatos) (los demás)</v>
      </c>
      <c r="I1705" s="16" t="s">
        <v>9427</v>
      </c>
    </row>
    <row r="1706" spans="1:9" x14ac:dyDescent="0.25">
      <c r="A1706" s="16" t="s">
        <v>2708</v>
      </c>
      <c r="B1706" s="16" t="str">
        <f>TEXT(PARTIDA[[#This Row],[PARTIDA]],"0000000000")</f>
        <v>2834100000</v>
      </c>
      <c r="C1706" s="16" t="s">
        <v>815</v>
      </c>
      <c r="D1706" s="16" t="s">
        <v>835</v>
      </c>
      <c r="E1706" s="16" t="s">
        <v>9465</v>
      </c>
      <c r="F1706" s="27" t="s">
        <v>10678</v>
      </c>
      <c r="G1706" s="27"/>
      <c r="H1706" s="16" t="str">
        <f>IF(ISBLANK(PARTIDAS!$G1706),PARTIDAS!$F1706,CONCATENATE(PARTIDAS!$F1706," (",PARTIDAS!$G1706,")"))</f>
        <v>Nitritos</v>
      </c>
      <c r="I1706" s="16" t="s">
        <v>9427</v>
      </c>
    </row>
    <row r="1707" spans="1:9" x14ac:dyDescent="0.25">
      <c r="A1707" s="16" t="s">
        <v>2709</v>
      </c>
      <c r="B1707" s="16" t="str">
        <f>TEXT(PARTIDA[[#This Row],[PARTIDA]],"0000000000")</f>
        <v>2834210000</v>
      </c>
      <c r="C1707" s="16" t="s">
        <v>815</v>
      </c>
      <c r="D1707" s="16" t="s">
        <v>835</v>
      </c>
      <c r="E1707" s="16" t="s">
        <v>9465</v>
      </c>
      <c r="F1707" s="27" t="s">
        <v>10679</v>
      </c>
      <c r="G1707" s="27"/>
      <c r="H1707" s="16" t="str">
        <f>IF(ISBLANK(PARTIDAS!$G1707),PARTIDAS!$F1707,CONCATENATE(PARTIDAS!$F1707," (",PARTIDAS!$G1707,")"))</f>
        <v>Nitratos, de potasio</v>
      </c>
      <c r="I1707" s="16" t="s">
        <v>9427</v>
      </c>
    </row>
    <row r="1708" spans="1:9" x14ac:dyDescent="0.25">
      <c r="A1708" s="16" t="s">
        <v>2710</v>
      </c>
      <c r="B1708" s="16" t="str">
        <f>TEXT(PARTIDA[[#This Row],[PARTIDA]],"0000000000")</f>
        <v>2834291000</v>
      </c>
      <c r="C1708" s="16" t="s">
        <v>815</v>
      </c>
      <c r="D1708" s="16" t="s">
        <v>835</v>
      </c>
      <c r="E1708" s="16" t="s">
        <v>9465</v>
      </c>
      <c r="F1708" s="27" t="s">
        <v>10680</v>
      </c>
      <c r="G1708" s="27"/>
      <c r="H1708" s="16" t="str">
        <f>IF(ISBLANK(PARTIDAS!$G1708),PARTIDAS!$F1708,CONCATENATE(PARTIDAS!$F1708," (",PARTIDAS!$G1708,")"))</f>
        <v>Nitratos, de magnesio</v>
      </c>
      <c r="I1708" s="16" t="s">
        <v>9427</v>
      </c>
    </row>
    <row r="1709" spans="1:9" x14ac:dyDescent="0.25">
      <c r="A1709" s="16" t="s">
        <v>2711</v>
      </c>
      <c r="B1709" s="16" t="str">
        <f>TEXT(PARTIDA[[#This Row],[PARTIDA]],"0000000000")</f>
        <v>2834299000</v>
      </c>
      <c r="C1709" s="16" t="s">
        <v>815</v>
      </c>
      <c r="D1709" s="16" t="s">
        <v>835</v>
      </c>
      <c r="E1709" s="16" t="s">
        <v>9465</v>
      </c>
      <c r="F1709" s="27" t="s">
        <v>10681</v>
      </c>
      <c r="G1709" s="27"/>
      <c r="H1709" s="16" t="str">
        <f>IF(ISBLANK(PARTIDAS!$G1709),PARTIDAS!$F1709,CONCATENATE(PARTIDAS!$F1709," (",PARTIDAS!$G1709,")"))</f>
        <v>Nitratos (los demás)</v>
      </c>
      <c r="I1709" s="16" t="s">
        <v>9427</v>
      </c>
    </row>
    <row r="1710" spans="1:9" x14ac:dyDescent="0.25">
      <c r="A1710" s="16" t="s">
        <v>2712</v>
      </c>
      <c r="B1710" s="16" t="str">
        <f>TEXT(PARTIDA[[#This Row],[PARTIDA]],"0000000000")</f>
        <v>2835100000</v>
      </c>
      <c r="C1710" s="16" t="s">
        <v>815</v>
      </c>
      <c r="D1710" s="16" t="s">
        <v>835</v>
      </c>
      <c r="E1710" s="16" t="s">
        <v>9465</v>
      </c>
      <c r="F1710" s="27" t="s">
        <v>10682</v>
      </c>
      <c r="G1710" s="27"/>
      <c r="H1710" s="16" t="str">
        <f>IF(ISBLANK(PARTIDAS!$G1710),PARTIDAS!$F1710,CONCATENATE(PARTIDAS!$F1710," (",PARTIDAS!$G1710,")"))</f>
        <v>Fosfinatos (hipofosfitos) y fosfonatos (fosfitos)</v>
      </c>
      <c r="I1710" s="16" t="s">
        <v>9427</v>
      </c>
    </row>
    <row r="1711" spans="1:9" x14ac:dyDescent="0.25">
      <c r="A1711" s="16" t="s">
        <v>2713</v>
      </c>
      <c r="B1711" s="16" t="str">
        <f>TEXT(PARTIDA[[#This Row],[PARTIDA]],"0000000000")</f>
        <v>2835220000</v>
      </c>
      <c r="C1711" s="16" t="s">
        <v>815</v>
      </c>
      <c r="D1711" s="16" t="s">
        <v>835</v>
      </c>
      <c r="E1711" s="16" t="s">
        <v>9465</v>
      </c>
      <c r="F1711" s="27" t="s">
        <v>10683</v>
      </c>
      <c r="G1711" s="27"/>
      <c r="H1711" s="16" t="str">
        <f>IF(ISBLANK(PARTIDAS!$G1711),PARTIDAS!$F1711,CONCATENATE(PARTIDAS!$F1711," (",PARTIDAS!$G1711,")"))</f>
        <v>Fosfatos, de monosodio o de disodio</v>
      </c>
      <c r="I1711" s="16" t="s">
        <v>9427</v>
      </c>
    </row>
    <row r="1712" spans="1:9" x14ac:dyDescent="0.25">
      <c r="A1712" s="16" t="s">
        <v>2714</v>
      </c>
      <c r="B1712" s="16" t="str">
        <f>TEXT(PARTIDA[[#This Row],[PARTIDA]],"0000000000")</f>
        <v>2835240000</v>
      </c>
      <c r="C1712" s="16" t="s">
        <v>815</v>
      </c>
      <c r="D1712" s="16" t="s">
        <v>835</v>
      </c>
      <c r="E1712" s="16" t="s">
        <v>9465</v>
      </c>
      <c r="F1712" s="27" t="s">
        <v>10684</v>
      </c>
      <c r="G1712" s="27"/>
      <c r="H1712" s="16" t="str">
        <f>IF(ISBLANK(PARTIDAS!$G1712),PARTIDAS!$F1712,CONCATENATE(PARTIDAS!$F1712," (",PARTIDAS!$G1712,")"))</f>
        <v>Fosfatos, de potasio</v>
      </c>
      <c r="I1712" s="16" t="s">
        <v>9427</v>
      </c>
    </row>
    <row r="1713" spans="1:9" x14ac:dyDescent="0.25">
      <c r="A1713" s="16" t="s">
        <v>2715</v>
      </c>
      <c r="B1713" s="16" t="str">
        <f>TEXT(PARTIDA[[#This Row],[PARTIDA]],"0000000000")</f>
        <v>2835250000</v>
      </c>
      <c r="C1713" s="16" t="s">
        <v>815</v>
      </c>
      <c r="D1713" s="16" t="s">
        <v>835</v>
      </c>
      <c r="E1713" s="16" t="s">
        <v>9465</v>
      </c>
      <c r="F1713" s="27" t="s">
        <v>10685</v>
      </c>
      <c r="G1713" s="27"/>
      <c r="H1713" s="16" t="str">
        <f>IF(ISBLANK(PARTIDAS!$G1713),PARTIDAS!$F1713,CONCATENATE(PARTIDAS!$F1713," (",PARTIDAS!$G1713,")"))</f>
        <v>Hidrogenoortofosfato de calcio («fosfato dicálcico»)</v>
      </c>
      <c r="I1713" s="16" t="s">
        <v>9427</v>
      </c>
    </row>
    <row r="1714" spans="1:9" x14ac:dyDescent="0.25">
      <c r="A1714" s="16" t="s">
        <v>2716</v>
      </c>
      <c r="B1714" s="16" t="str">
        <f>TEXT(PARTIDA[[#This Row],[PARTIDA]],"0000000000")</f>
        <v>2835260000</v>
      </c>
      <c r="C1714" s="16" t="s">
        <v>815</v>
      </c>
      <c r="D1714" s="16" t="s">
        <v>835</v>
      </c>
      <c r="E1714" s="16" t="s">
        <v>9465</v>
      </c>
      <c r="F1714" s="27" t="s">
        <v>10686</v>
      </c>
      <c r="G1714" s="27"/>
      <c r="H1714" s="16" t="str">
        <f>IF(ISBLANK(PARTIDAS!$G1714),PARTIDAS!$F1714,CONCATENATE(PARTIDAS!$F1714," (",PARTIDAS!$G1714,")"))</f>
        <v>Fosfatos (los demás, fosfatos de calcio)</v>
      </c>
      <c r="I1714" s="16" t="s">
        <v>9427</v>
      </c>
    </row>
    <row r="1715" spans="1:9" x14ac:dyDescent="0.25">
      <c r="A1715" s="16" t="s">
        <v>2717</v>
      </c>
      <c r="B1715" s="16" t="str">
        <f>TEXT(PARTIDA[[#This Row],[PARTIDA]],"0000000000")</f>
        <v>2835291000</v>
      </c>
      <c r="C1715" s="16" t="s">
        <v>815</v>
      </c>
      <c r="D1715" s="16" t="s">
        <v>835</v>
      </c>
      <c r="E1715" s="16" t="s">
        <v>9465</v>
      </c>
      <c r="F1715" s="27" t="s">
        <v>10687</v>
      </c>
      <c r="G1715" s="27"/>
      <c r="H1715" s="16" t="str">
        <f>IF(ISBLANK(PARTIDAS!$G1715),PARTIDAS!$F1715,CONCATENATE(PARTIDAS!$F1715," (",PARTIDAS!$G1715,")"))</f>
        <v>Fosfatos, de hierro</v>
      </c>
      <c r="I1715" s="16" t="s">
        <v>9427</v>
      </c>
    </row>
    <row r="1716" spans="1:9" x14ac:dyDescent="0.25">
      <c r="A1716" s="16" t="s">
        <v>2718</v>
      </c>
      <c r="B1716" s="16" t="str">
        <f>TEXT(PARTIDA[[#This Row],[PARTIDA]],"0000000000")</f>
        <v>2835292000</v>
      </c>
      <c r="C1716" s="16" t="s">
        <v>815</v>
      </c>
      <c r="D1716" s="16" t="s">
        <v>835</v>
      </c>
      <c r="E1716" s="16" t="s">
        <v>9465</v>
      </c>
      <c r="F1716" s="27" t="s">
        <v>10688</v>
      </c>
      <c r="G1716" s="27"/>
      <c r="H1716" s="16" t="str">
        <f>IF(ISBLANK(PARTIDAS!$G1716),PARTIDAS!$F1716,CONCATENATE(PARTIDAS!$F1716," (",PARTIDAS!$G1716,")"))</f>
        <v>Fosfatos, de triamonio</v>
      </c>
      <c r="I1716" s="16" t="s">
        <v>9427</v>
      </c>
    </row>
    <row r="1717" spans="1:9" x14ac:dyDescent="0.25">
      <c r="A1717" s="16" t="s">
        <v>2719</v>
      </c>
      <c r="B1717" s="16" t="str">
        <f>TEXT(PARTIDA[[#This Row],[PARTIDA]],"0000000000")</f>
        <v>2835299010</v>
      </c>
      <c r="C1717" s="16" t="s">
        <v>815</v>
      </c>
      <c r="D1717" s="16" t="s">
        <v>835</v>
      </c>
      <c r="E1717" s="16" t="s">
        <v>9465</v>
      </c>
      <c r="F1717" s="27" t="s">
        <v>10689</v>
      </c>
      <c r="G1717" s="27"/>
      <c r="H1717" s="16" t="str">
        <f>IF(ISBLANK(PARTIDAS!$G1717),PARTIDAS!$F1717,CONCATENATE(PARTIDAS!$F1717," (",PARTIDAS!$G1717,")"))</f>
        <v>Fosfatos, de trisodio</v>
      </c>
      <c r="I1717" s="16" t="s">
        <v>9427</v>
      </c>
    </row>
    <row r="1718" spans="1:9" x14ac:dyDescent="0.25">
      <c r="A1718" s="16" t="s">
        <v>2720</v>
      </c>
      <c r="B1718" s="16" t="str">
        <f>TEXT(PARTIDA[[#This Row],[PARTIDA]],"0000000000")</f>
        <v>2835299090</v>
      </c>
      <c r="C1718" s="16" t="s">
        <v>815</v>
      </c>
      <c r="D1718" s="16" t="s">
        <v>835</v>
      </c>
      <c r="E1718" s="16" t="s">
        <v>9465</v>
      </c>
      <c r="F1718" s="27" t="s">
        <v>10690</v>
      </c>
      <c r="G1718" s="27"/>
      <c r="H1718" s="16" t="str">
        <f>IF(ISBLANK(PARTIDAS!$G1718),PARTIDAS!$F1718,CONCATENATE(PARTIDAS!$F1718," (",PARTIDAS!$G1718,")"))</f>
        <v>Fosfatos (los demás)</v>
      </c>
      <c r="I1718" s="16" t="s">
        <v>9427</v>
      </c>
    </row>
    <row r="1719" spans="1:9" x14ac:dyDescent="0.25">
      <c r="A1719" s="16" t="s">
        <v>2721</v>
      </c>
      <c r="B1719" s="16" t="str">
        <f>TEXT(PARTIDA[[#This Row],[PARTIDA]],"0000000000")</f>
        <v>2835310000</v>
      </c>
      <c r="C1719" s="16" t="s">
        <v>815</v>
      </c>
      <c r="D1719" s="16" t="s">
        <v>835</v>
      </c>
      <c r="E1719" s="16" t="s">
        <v>9465</v>
      </c>
      <c r="F1719" s="27" t="s">
        <v>10691</v>
      </c>
      <c r="G1719" s="27"/>
      <c r="H1719" s="16" t="str">
        <f>IF(ISBLANK(PARTIDAS!$G1719),PARTIDAS!$F1719,CONCATENATE(PARTIDAS!$F1719," (",PARTIDAS!$G1719,")"))</f>
        <v>Trifosfato de sodio (tripolifosfato de sodio)</v>
      </c>
      <c r="I1719" s="16" t="s">
        <v>9427</v>
      </c>
    </row>
    <row r="1720" spans="1:9" x14ac:dyDescent="0.25">
      <c r="A1720" s="16" t="s">
        <v>2722</v>
      </c>
      <c r="B1720" s="16" t="str">
        <f>TEXT(PARTIDA[[#This Row],[PARTIDA]],"0000000000")</f>
        <v>2835391000</v>
      </c>
      <c r="C1720" s="16" t="s">
        <v>815</v>
      </c>
      <c r="D1720" s="16" t="s">
        <v>835</v>
      </c>
      <c r="E1720" s="16" t="s">
        <v>9465</v>
      </c>
      <c r="F1720" s="27" t="s">
        <v>10692</v>
      </c>
      <c r="G1720" s="27"/>
      <c r="H1720" s="16" t="str">
        <f>IF(ISBLANK(PARTIDAS!$G1720),PARTIDAS!$F1720,CONCATENATE(PARTIDAS!$F1720," (",PARTIDAS!$G1720,")"))</f>
        <v>Pirofosfatos de sodio</v>
      </c>
      <c r="I1720" s="16" t="s">
        <v>9427</v>
      </c>
    </row>
    <row r="1721" spans="1:9" x14ac:dyDescent="0.25">
      <c r="A1721" s="16" t="s">
        <v>2723</v>
      </c>
      <c r="B1721" s="16" t="str">
        <f>TEXT(PARTIDA[[#This Row],[PARTIDA]],"0000000000")</f>
        <v>2835399000</v>
      </c>
      <c r="C1721" s="16" t="s">
        <v>815</v>
      </c>
      <c r="D1721" s="16" t="s">
        <v>835</v>
      </c>
      <c r="E1721" s="16" t="s">
        <v>9465</v>
      </c>
      <c r="F1721" s="27" t="s">
        <v>10693</v>
      </c>
      <c r="G1721" s="27"/>
      <c r="H1721" s="16" t="str">
        <f>IF(ISBLANK(PARTIDAS!$G1721),PARTIDAS!$F1721,CONCATENATE(PARTIDAS!$F1721," (",PARTIDAS!$G1721,")"))</f>
        <v>Polifosfatos (los demás)</v>
      </c>
      <c r="I1721" s="16" t="s">
        <v>9427</v>
      </c>
    </row>
    <row r="1722" spans="1:9" x14ac:dyDescent="0.25">
      <c r="A1722" s="16" t="s">
        <v>2724</v>
      </c>
      <c r="B1722" s="16" t="str">
        <f>TEXT(PARTIDA[[#This Row],[PARTIDA]],"0000000000")</f>
        <v>2836200000</v>
      </c>
      <c r="C1722" s="16" t="s">
        <v>815</v>
      </c>
      <c r="D1722" s="16" t="s">
        <v>835</v>
      </c>
      <c r="E1722" s="16" t="s">
        <v>9465</v>
      </c>
      <c r="F1722" s="27" t="s">
        <v>10694</v>
      </c>
      <c r="G1722" s="27"/>
      <c r="H1722" s="16" t="str">
        <f>IF(ISBLANK(PARTIDAS!$G1722),PARTIDAS!$F1722,CONCATENATE(PARTIDAS!$F1722," (",PARTIDAS!$G1722,")"))</f>
        <v>Carbonato de disodio</v>
      </c>
      <c r="I1722" s="16" t="s">
        <v>9427</v>
      </c>
    </row>
    <row r="1723" spans="1:9" x14ac:dyDescent="0.25">
      <c r="A1723" s="16" t="s">
        <v>2725</v>
      </c>
      <c r="B1723" s="16" t="str">
        <f>TEXT(PARTIDA[[#This Row],[PARTIDA]],"0000000000")</f>
        <v>2836300000</v>
      </c>
      <c r="C1723" s="16" t="s">
        <v>815</v>
      </c>
      <c r="D1723" s="16" t="s">
        <v>835</v>
      </c>
      <c r="E1723" s="16" t="s">
        <v>9465</v>
      </c>
      <c r="F1723" s="27" t="s">
        <v>10695</v>
      </c>
      <c r="G1723" s="27"/>
      <c r="H1723" s="16" t="str">
        <f>IF(ISBLANK(PARTIDAS!$G1723),PARTIDAS!$F1723,CONCATENATE(PARTIDAS!$F1723," (",PARTIDAS!$G1723,")"))</f>
        <v>Hidrogenocarbonato (bicarbonato) de sodio</v>
      </c>
      <c r="I1723" s="16" t="s">
        <v>9427</v>
      </c>
    </row>
    <row r="1724" spans="1:9" x14ac:dyDescent="0.25">
      <c r="A1724" s="16" t="s">
        <v>2726</v>
      </c>
      <c r="B1724" s="16" t="str">
        <f>TEXT(PARTIDA[[#This Row],[PARTIDA]],"0000000000")</f>
        <v>2836400000</v>
      </c>
      <c r="C1724" s="16" t="s">
        <v>815</v>
      </c>
      <c r="D1724" s="16" t="s">
        <v>835</v>
      </c>
      <c r="E1724" s="16" t="s">
        <v>9465</v>
      </c>
      <c r="F1724" s="27" t="s">
        <v>10696</v>
      </c>
      <c r="G1724" s="27"/>
      <c r="H1724" s="16" t="str">
        <f>IF(ISBLANK(PARTIDAS!$G1724),PARTIDAS!$F1724,CONCATENATE(PARTIDAS!$F1724," (",PARTIDAS!$G1724,")"))</f>
        <v>Carbonatos de potasio</v>
      </c>
      <c r="I1724" s="16" t="s">
        <v>9427</v>
      </c>
    </row>
    <row r="1725" spans="1:9" x14ac:dyDescent="0.25">
      <c r="A1725" s="16" t="s">
        <v>2727</v>
      </c>
      <c r="B1725" s="16" t="str">
        <f>TEXT(PARTIDA[[#This Row],[PARTIDA]],"0000000000")</f>
        <v>2836500000</v>
      </c>
      <c r="C1725" s="16" t="s">
        <v>815</v>
      </c>
      <c r="D1725" s="16" t="s">
        <v>835</v>
      </c>
      <c r="E1725" s="16" t="s">
        <v>9465</v>
      </c>
      <c r="F1725" s="27" t="s">
        <v>2728</v>
      </c>
      <c r="G1725" s="27"/>
      <c r="H1725" s="16" t="str">
        <f>IF(ISBLANK(PARTIDAS!$G1725),PARTIDAS!$F1725,CONCATENATE(PARTIDAS!$F1725," (",PARTIDAS!$G1725,")"))</f>
        <v>Carbonato de calcio</v>
      </c>
      <c r="I1725" s="16" t="s">
        <v>9427</v>
      </c>
    </row>
    <row r="1726" spans="1:9" x14ac:dyDescent="0.25">
      <c r="A1726" s="16" t="s">
        <v>2729</v>
      </c>
      <c r="B1726" s="16" t="str">
        <f>TEXT(PARTIDA[[#This Row],[PARTIDA]],"0000000000")</f>
        <v>2836600000</v>
      </c>
      <c r="C1726" s="16" t="s">
        <v>815</v>
      </c>
      <c r="D1726" s="16" t="s">
        <v>835</v>
      </c>
      <c r="E1726" s="16" t="s">
        <v>9465</v>
      </c>
      <c r="F1726" s="27" t="s">
        <v>10697</v>
      </c>
      <c r="G1726" s="27"/>
      <c r="H1726" s="16" t="str">
        <f>IF(ISBLANK(PARTIDAS!$G1726),PARTIDAS!$F1726,CONCATENATE(PARTIDAS!$F1726," (",PARTIDAS!$G1726,")"))</f>
        <v>Carbonato de bario</v>
      </c>
      <c r="I1726" s="16" t="s">
        <v>9427</v>
      </c>
    </row>
    <row r="1727" spans="1:9" x14ac:dyDescent="0.25">
      <c r="A1727" s="16" t="s">
        <v>2730</v>
      </c>
      <c r="B1727" s="16" t="str">
        <f>TEXT(PARTIDA[[#This Row],[PARTIDA]],"0000000000")</f>
        <v>2836910000</v>
      </c>
      <c r="C1727" s="16" t="s">
        <v>815</v>
      </c>
      <c r="D1727" s="16" t="s">
        <v>835</v>
      </c>
      <c r="E1727" s="16" t="s">
        <v>9465</v>
      </c>
      <c r="F1727" s="27" t="s">
        <v>10698</v>
      </c>
      <c r="G1727" s="27"/>
      <c r="H1727" s="16" t="str">
        <f>IF(ISBLANK(PARTIDAS!$G1727),PARTIDAS!$F1727,CONCATENATE(PARTIDAS!$F1727," (",PARTIDAS!$G1727,")"))</f>
        <v>Carbonatos de litio</v>
      </c>
      <c r="I1727" s="16" t="s">
        <v>9427</v>
      </c>
    </row>
    <row r="1728" spans="1:9" x14ac:dyDescent="0.25">
      <c r="A1728" s="16" t="s">
        <v>2731</v>
      </c>
      <c r="B1728" s="16" t="str">
        <f>TEXT(PARTIDA[[#This Row],[PARTIDA]],"0000000000")</f>
        <v>2836920000</v>
      </c>
      <c r="C1728" s="16" t="s">
        <v>815</v>
      </c>
      <c r="D1728" s="16" t="s">
        <v>835</v>
      </c>
      <c r="E1728" s="16" t="s">
        <v>9465</v>
      </c>
      <c r="F1728" s="27" t="s">
        <v>10699</v>
      </c>
      <c r="G1728" s="27"/>
      <c r="H1728" s="16" t="str">
        <f>IF(ISBLANK(PARTIDAS!$G1728),PARTIDAS!$F1728,CONCATENATE(PARTIDAS!$F1728," (",PARTIDAS!$G1728,")"))</f>
        <v>Carbonato de estroncio</v>
      </c>
      <c r="I1728" s="16" t="s">
        <v>9427</v>
      </c>
    </row>
    <row r="1729" spans="1:9" x14ac:dyDescent="0.25">
      <c r="A1729" s="16" t="s">
        <v>2732</v>
      </c>
      <c r="B1729" s="16" t="str">
        <f>TEXT(PARTIDA[[#This Row],[PARTIDA]],"0000000000")</f>
        <v>2836991000</v>
      </c>
      <c r="C1729" s="16" t="s">
        <v>815</v>
      </c>
      <c r="D1729" s="16" t="s">
        <v>835</v>
      </c>
      <c r="E1729" s="16" t="s">
        <v>9465</v>
      </c>
      <c r="F1729" s="27" t="s">
        <v>10700</v>
      </c>
      <c r="G1729" s="27"/>
      <c r="H1729" s="16" t="str">
        <f>IF(ISBLANK(PARTIDAS!$G1729),PARTIDAS!$F1729,CONCATENATE(PARTIDAS!$F1729," (",PARTIDAS!$G1729,")"))</f>
        <v>Carbonato de magnesio precipitado</v>
      </c>
      <c r="I1729" s="16" t="s">
        <v>9427</v>
      </c>
    </row>
    <row r="1730" spans="1:9" x14ac:dyDescent="0.25">
      <c r="A1730" s="16" t="s">
        <v>2733</v>
      </c>
      <c r="B1730" s="16" t="str">
        <f>TEXT(PARTIDA[[#This Row],[PARTIDA]],"0000000000")</f>
        <v>2836992000</v>
      </c>
      <c r="C1730" s="16" t="s">
        <v>815</v>
      </c>
      <c r="D1730" s="16" t="s">
        <v>835</v>
      </c>
      <c r="E1730" s="16" t="s">
        <v>9465</v>
      </c>
      <c r="F1730" s="27" t="s">
        <v>10701</v>
      </c>
      <c r="G1730" s="27"/>
      <c r="H1730" s="16" t="str">
        <f>IF(ISBLANK(PARTIDAS!$G1730),PARTIDAS!$F1730,CONCATENATE(PARTIDAS!$F1730," (",PARTIDAS!$G1730,")"))</f>
        <v>Carbonatos de amonio</v>
      </c>
      <c r="I1730" s="16" t="s">
        <v>9427</v>
      </c>
    </row>
    <row r="1731" spans="1:9" x14ac:dyDescent="0.25">
      <c r="A1731" s="16" t="s">
        <v>2734</v>
      </c>
      <c r="B1731" s="16" t="str">
        <f>TEXT(PARTIDA[[#This Row],[PARTIDA]],"0000000000")</f>
        <v>2836993000</v>
      </c>
      <c r="C1731" s="16" t="s">
        <v>815</v>
      </c>
      <c r="D1731" s="16" t="s">
        <v>835</v>
      </c>
      <c r="E1731" s="16" t="s">
        <v>9465</v>
      </c>
      <c r="F1731" s="27" t="s">
        <v>10702</v>
      </c>
      <c r="G1731" s="27"/>
      <c r="H1731" s="16" t="str">
        <f>IF(ISBLANK(PARTIDAS!$G1731),PARTIDAS!$F1731,CONCATENATE(PARTIDAS!$F1731," (",PARTIDAS!$G1731,")"))</f>
        <v>Carbonato de cobalto</v>
      </c>
      <c r="I1731" s="16" t="s">
        <v>9427</v>
      </c>
    </row>
    <row r="1732" spans="1:9" x14ac:dyDescent="0.25">
      <c r="A1732" s="16" t="s">
        <v>2735</v>
      </c>
      <c r="B1732" s="16" t="str">
        <f>TEXT(PARTIDA[[#This Row],[PARTIDA]],"0000000000")</f>
        <v>2836994000</v>
      </c>
      <c r="C1732" s="16" t="s">
        <v>815</v>
      </c>
      <c r="D1732" s="16" t="s">
        <v>835</v>
      </c>
      <c r="E1732" s="16" t="s">
        <v>9465</v>
      </c>
      <c r="F1732" s="27" t="s">
        <v>10703</v>
      </c>
      <c r="G1732" s="27"/>
      <c r="H1732" s="16" t="str">
        <f>IF(ISBLANK(PARTIDAS!$G1732),PARTIDAS!$F1732,CONCATENATE(PARTIDAS!$F1732," (",PARTIDAS!$G1732,")"))</f>
        <v>Carbonato de níquel</v>
      </c>
      <c r="I1732" s="16" t="s">
        <v>9427</v>
      </c>
    </row>
    <row r="1733" spans="1:9" x14ac:dyDescent="0.25">
      <c r="A1733" s="16" t="s">
        <v>2736</v>
      </c>
      <c r="B1733" s="16" t="str">
        <f>TEXT(PARTIDA[[#This Row],[PARTIDA]],"0000000000")</f>
        <v>2836995000</v>
      </c>
      <c r="C1733" s="16" t="s">
        <v>815</v>
      </c>
      <c r="D1733" s="16" t="s">
        <v>835</v>
      </c>
      <c r="E1733" s="16" t="s">
        <v>9465</v>
      </c>
      <c r="F1733" s="27" t="s">
        <v>10704</v>
      </c>
      <c r="G1733" s="27"/>
      <c r="H1733" s="16" t="str">
        <f>IF(ISBLANK(PARTIDAS!$G1733),PARTIDAS!$F1733,CONCATENATE(PARTIDAS!$F1733," (",PARTIDAS!$G1733,")"))</f>
        <v>Sesquicarbonato de sodio</v>
      </c>
      <c r="I1733" s="16" t="s">
        <v>9427</v>
      </c>
    </row>
    <row r="1734" spans="1:9" x14ac:dyDescent="0.25">
      <c r="A1734" s="16" t="s">
        <v>2737</v>
      </c>
      <c r="B1734" s="16" t="str">
        <f>TEXT(PARTIDA[[#This Row],[PARTIDA]],"0000000000")</f>
        <v>2836999000</v>
      </c>
      <c r="C1734" s="16" t="s">
        <v>815</v>
      </c>
      <c r="D1734" s="16" t="s">
        <v>835</v>
      </c>
      <c r="E1734" s="16" t="s">
        <v>9465</v>
      </c>
      <c r="F1734" s="27" t="s">
        <v>10705</v>
      </c>
      <c r="G1734" s="27"/>
      <c r="H1734" s="16" t="str">
        <f>IF(ISBLANK(PARTIDAS!$G1734),PARTIDAS!$F1734,CONCATENATE(PARTIDAS!$F1734," (",PARTIDAS!$G1734,")"))</f>
        <v>Carbonatos (los demás)</v>
      </c>
      <c r="I1734" s="16" t="s">
        <v>9427</v>
      </c>
    </row>
    <row r="1735" spans="1:9" x14ac:dyDescent="0.25">
      <c r="A1735" s="16" t="s">
        <v>2738</v>
      </c>
      <c r="B1735" s="16" t="str">
        <f>TEXT(PARTIDA[[#This Row],[PARTIDA]],"0000000000")</f>
        <v>2837111000</v>
      </c>
      <c r="C1735" s="16" t="s">
        <v>815</v>
      </c>
      <c r="D1735" s="16" t="s">
        <v>835</v>
      </c>
      <c r="E1735" s="16" t="s">
        <v>9465</v>
      </c>
      <c r="F1735" s="27" t="s">
        <v>10706</v>
      </c>
      <c r="G1735" s="27"/>
      <c r="H1735" s="16" t="str">
        <f>IF(ISBLANK(PARTIDAS!$G1735),PARTIDAS!$F1735,CONCATENATE(PARTIDAS!$F1735," (",PARTIDAS!$G1735,")"))</f>
        <v>Cianuros y oxicianuros, de sodio, cianuro</v>
      </c>
      <c r="I1735" s="16" t="s">
        <v>9427</v>
      </c>
    </row>
    <row r="1736" spans="1:9" x14ac:dyDescent="0.25">
      <c r="A1736" s="16" t="s">
        <v>2739</v>
      </c>
      <c r="B1736" s="16" t="str">
        <f>TEXT(PARTIDA[[#This Row],[PARTIDA]],"0000000000")</f>
        <v>2837112000</v>
      </c>
      <c r="C1736" s="16" t="s">
        <v>815</v>
      </c>
      <c r="D1736" s="16" t="s">
        <v>835</v>
      </c>
      <c r="E1736" s="16" t="s">
        <v>9465</v>
      </c>
      <c r="F1736" s="27" t="s">
        <v>10707</v>
      </c>
      <c r="G1736" s="27"/>
      <c r="H1736" s="16" t="str">
        <f>IF(ISBLANK(PARTIDAS!$G1736),PARTIDAS!$F1736,CONCATENATE(PARTIDAS!$F1736," (",PARTIDAS!$G1736,")"))</f>
        <v>Cianuros y oxicianuros, de sodio, oxicianuro</v>
      </c>
      <c r="I1736" s="16" t="s">
        <v>9427</v>
      </c>
    </row>
    <row r="1737" spans="1:9" x14ac:dyDescent="0.25">
      <c r="A1737" s="16" t="s">
        <v>2740</v>
      </c>
      <c r="B1737" s="16" t="str">
        <f>TEXT(PARTIDA[[#This Row],[PARTIDA]],"0000000000")</f>
        <v>2837190000</v>
      </c>
      <c r="C1737" s="16" t="s">
        <v>815</v>
      </c>
      <c r="D1737" s="16" t="s">
        <v>835</v>
      </c>
      <c r="E1737" s="16" t="s">
        <v>9465</v>
      </c>
      <c r="F1737" s="27" t="s">
        <v>10708</v>
      </c>
      <c r="G1737" s="27"/>
      <c r="H1737" s="16" t="str">
        <f>IF(ISBLANK(PARTIDAS!$G1737),PARTIDAS!$F1737,CONCATENATE(PARTIDAS!$F1737," (",PARTIDAS!$G1737,")"))</f>
        <v>Cianuros y oxicianuros (los demás)</v>
      </c>
      <c r="I1737" s="16" t="s">
        <v>9427</v>
      </c>
    </row>
    <row r="1738" spans="1:9" x14ac:dyDescent="0.25">
      <c r="A1738" s="16" t="s">
        <v>2741</v>
      </c>
      <c r="B1738" s="16" t="str">
        <f>TEXT(PARTIDA[[#This Row],[PARTIDA]],"0000000000")</f>
        <v>2837200000</v>
      </c>
      <c r="C1738" s="16" t="s">
        <v>815</v>
      </c>
      <c r="D1738" s="16" t="s">
        <v>835</v>
      </c>
      <c r="E1738" s="16" t="s">
        <v>9465</v>
      </c>
      <c r="F1738" s="27" t="s">
        <v>10709</v>
      </c>
      <c r="G1738" s="27"/>
      <c r="H1738" s="16" t="str">
        <f>IF(ISBLANK(PARTIDAS!$G1738),PARTIDAS!$F1738,CONCATENATE(PARTIDAS!$F1738," (",PARTIDAS!$G1738,")"))</f>
        <v>Cianuros complejos</v>
      </c>
      <c r="I1738" s="16" t="s">
        <v>9427</v>
      </c>
    </row>
    <row r="1739" spans="1:9" x14ac:dyDescent="0.25">
      <c r="A1739" s="16" t="s">
        <v>2742</v>
      </c>
      <c r="B1739" s="16" t="str">
        <f>TEXT(PARTIDA[[#This Row],[PARTIDA]],"0000000000")</f>
        <v>2839110000</v>
      </c>
      <c r="C1739" s="16" t="s">
        <v>815</v>
      </c>
      <c r="D1739" s="16" t="s">
        <v>835</v>
      </c>
      <c r="E1739" s="16" t="s">
        <v>9465</v>
      </c>
      <c r="F1739" s="27" t="s">
        <v>10710</v>
      </c>
      <c r="G1739" s="27"/>
      <c r="H1739" s="16" t="str">
        <f>IF(ISBLANK(PARTIDAS!$G1739),PARTIDAS!$F1739,CONCATENATE(PARTIDAS!$F1739," (",PARTIDAS!$G1739,")"))</f>
        <v>Silicatos, de sodio, metasilicatos</v>
      </c>
      <c r="I1739" s="16" t="s">
        <v>9427</v>
      </c>
    </row>
    <row r="1740" spans="1:9" x14ac:dyDescent="0.25">
      <c r="A1740" s="16" t="s">
        <v>2743</v>
      </c>
      <c r="B1740" s="16" t="str">
        <f>TEXT(PARTIDA[[#This Row],[PARTIDA]],"0000000000")</f>
        <v>2839190000</v>
      </c>
      <c r="C1740" s="16" t="s">
        <v>815</v>
      </c>
      <c r="D1740" s="16" t="s">
        <v>835</v>
      </c>
      <c r="E1740" s="16" t="s">
        <v>9465</v>
      </c>
      <c r="F1740" s="27" t="s">
        <v>10711</v>
      </c>
      <c r="G1740" s="27"/>
      <c r="H1740" s="16" t="str">
        <f>IF(ISBLANK(PARTIDAS!$G1740),PARTIDAS!$F1740,CONCATENATE(PARTIDAS!$F1740," (",PARTIDAS!$G1740,")"))</f>
        <v>Silicatos, de sodio (los demás)</v>
      </c>
      <c r="I1740" s="16" t="s">
        <v>9427</v>
      </c>
    </row>
    <row r="1741" spans="1:9" x14ac:dyDescent="0.25">
      <c r="A1741" s="16" t="s">
        <v>2744</v>
      </c>
      <c r="B1741" s="16" t="str">
        <f>TEXT(PARTIDA[[#This Row],[PARTIDA]],"0000000000")</f>
        <v>2839901000</v>
      </c>
      <c r="C1741" s="16" t="s">
        <v>815</v>
      </c>
      <c r="D1741" s="16" t="s">
        <v>835</v>
      </c>
      <c r="E1741" s="16" t="s">
        <v>9465</v>
      </c>
      <c r="F1741" s="27" t="s">
        <v>10712</v>
      </c>
      <c r="G1741" s="27"/>
      <c r="H1741" s="16" t="str">
        <f>IF(ISBLANK(PARTIDAS!$G1741),PARTIDAS!$F1741,CONCATENATE(PARTIDAS!$F1741," (",PARTIDAS!$G1741,")"))</f>
        <v>Silicatos, de aluminio</v>
      </c>
      <c r="I1741" s="16" t="s">
        <v>9427</v>
      </c>
    </row>
    <row r="1742" spans="1:9" x14ac:dyDescent="0.25">
      <c r="A1742" s="16" t="s">
        <v>2745</v>
      </c>
      <c r="B1742" s="16" t="str">
        <f>TEXT(PARTIDA[[#This Row],[PARTIDA]],"0000000000")</f>
        <v>2839902000</v>
      </c>
      <c r="C1742" s="16" t="s">
        <v>815</v>
      </c>
      <c r="D1742" s="16" t="s">
        <v>835</v>
      </c>
      <c r="E1742" s="16" t="s">
        <v>9465</v>
      </c>
      <c r="F1742" s="27" t="s">
        <v>10713</v>
      </c>
      <c r="G1742" s="27"/>
      <c r="H1742" s="16" t="str">
        <f>IF(ISBLANK(PARTIDAS!$G1742),PARTIDAS!$F1742,CONCATENATE(PARTIDAS!$F1742," (",PARTIDAS!$G1742,")"))</f>
        <v>Silicatos, de calcio precipitado</v>
      </c>
      <c r="I1742" s="16" t="s">
        <v>9427</v>
      </c>
    </row>
    <row r="1743" spans="1:9" x14ac:dyDescent="0.25">
      <c r="A1743" s="16" t="s">
        <v>2746</v>
      </c>
      <c r="B1743" s="16" t="str">
        <f>TEXT(PARTIDA[[#This Row],[PARTIDA]],"0000000000")</f>
        <v>2839903000</v>
      </c>
      <c r="C1743" s="16" t="s">
        <v>815</v>
      </c>
      <c r="D1743" s="16" t="s">
        <v>835</v>
      </c>
      <c r="E1743" s="16" t="s">
        <v>9465</v>
      </c>
      <c r="F1743" s="27" t="s">
        <v>10714</v>
      </c>
      <c r="G1743" s="27"/>
      <c r="H1743" s="16" t="str">
        <f>IF(ISBLANK(PARTIDAS!$G1743),PARTIDAS!$F1743,CONCATENATE(PARTIDAS!$F1743," (",PARTIDAS!$G1743,")"))</f>
        <v>Silicatos, de magnesio</v>
      </c>
      <c r="I1743" s="16" t="s">
        <v>9427</v>
      </c>
    </row>
    <row r="1744" spans="1:9" x14ac:dyDescent="0.25">
      <c r="A1744" s="16" t="s">
        <v>2747</v>
      </c>
      <c r="B1744" s="16" t="str">
        <f>TEXT(PARTIDA[[#This Row],[PARTIDA]],"0000000000")</f>
        <v>2839904000</v>
      </c>
      <c r="C1744" s="16" t="s">
        <v>815</v>
      </c>
      <c r="D1744" s="16" t="s">
        <v>835</v>
      </c>
      <c r="E1744" s="16" t="s">
        <v>9465</v>
      </c>
      <c r="F1744" s="27" t="s">
        <v>10715</v>
      </c>
      <c r="G1744" s="27"/>
      <c r="H1744" s="16" t="str">
        <f>IF(ISBLANK(PARTIDAS!$G1744),PARTIDAS!$F1744,CONCATENATE(PARTIDAS!$F1744," (",PARTIDAS!$G1744,")"))</f>
        <v>Silicatos, de potasio</v>
      </c>
      <c r="I1744" s="16" t="s">
        <v>9427</v>
      </c>
    </row>
    <row r="1745" spans="1:9" x14ac:dyDescent="0.25">
      <c r="A1745" s="16" t="s">
        <v>2748</v>
      </c>
      <c r="B1745" s="16" t="str">
        <f>TEXT(PARTIDA[[#This Row],[PARTIDA]],"0000000000")</f>
        <v>2839909000</v>
      </c>
      <c r="C1745" s="16" t="s">
        <v>815</v>
      </c>
      <c r="D1745" s="16" t="s">
        <v>835</v>
      </c>
      <c r="E1745" s="16" t="s">
        <v>9465</v>
      </c>
      <c r="F1745" s="27" t="s">
        <v>10716</v>
      </c>
      <c r="G1745" s="27"/>
      <c r="H1745" s="16" t="str">
        <f>IF(ISBLANK(PARTIDAS!$G1745),PARTIDAS!$F1745,CONCATENATE(PARTIDAS!$F1745," (",PARTIDAS!$G1745,")"))</f>
        <v>Silicatos (los demás)</v>
      </c>
      <c r="I1745" s="16" t="s">
        <v>9427</v>
      </c>
    </row>
    <row r="1746" spans="1:9" x14ac:dyDescent="0.25">
      <c r="A1746" s="16" t="s">
        <v>2749</v>
      </c>
      <c r="B1746" s="16" t="str">
        <f>TEXT(PARTIDA[[#This Row],[PARTIDA]],"0000000000")</f>
        <v>2840110000</v>
      </c>
      <c r="C1746" s="16" t="s">
        <v>815</v>
      </c>
      <c r="D1746" s="16" t="s">
        <v>835</v>
      </c>
      <c r="E1746" s="16" t="s">
        <v>9465</v>
      </c>
      <c r="F1746" s="27" t="s">
        <v>10717</v>
      </c>
      <c r="G1746" s="27"/>
      <c r="H1746" s="16" t="str">
        <f>IF(ISBLANK(PARTIDAS!$G1746),PARTIDAS!$F1746,CONCATENATE(PARTIDAS!$F1746," (",PARTIDAS!$G1746,")"))</f>
        <v>Tetraborato de disodio (bórax refinado), anhidro</v>
      </c>
      <c r="I1746" s="16" t="s">
        <v>9427</v>
      </c>
    </row>
    <row r="1747" spans="1:9" x14ac:dyDescent="0.25">
      <c r="A1747" s="16" t="s">
        <v>2750</v>
      </c>
      <c r="B1747" s="16" t="str">
        <f>TEXT(PARTIDA[[#This Row],[PARTIDA]],"0000000000")</f>
        <v>2840190000</v>
      </c>
      <c r="C1747" s="16" t="s">
        <v>815</v>
      </c>
      <c r="D1747" s="16" t="s">
        <v>835</v>
      </c>
      <c r="E1747" s="16" t="s">
        <v>9465</v>
      </c>
      <c r="F1747" s="27" t="s">
        <v>10718</v>
      </c>
      <c r="G1747" s="27"/>
      <c r="H1747" s="16" t="str">
        <f>IF(ISBLANK(PARTIDAS!$G1747),PARTIDAS!$F1747,CONCATENATE(PARTIDAS!$F1747," (",PARTIDAS!$G1747,")"))</f>
        <v>Tetraborato de disodio (bórax refinado) (los demás)</v>
      </c>
      <c r="I1747" s="16" t="s">
        <v>9427</v>
      </c>
    </row>
    <row r="1748" spans="1:9" x14ac:dyDescent="0.25">
      <c r="A1748" s="16" t="s">
        <v>2751</v>
      </c>
      <c r="B1748" s="16" t="str">
        <f>TEXT(PARTIDA[[#This Row],[PARTIDA]],"0000000000")</f>
        <v>2840200000</v>
      </c>
      <c r="C1748" s="16" t="s">
        <v>815</v>
      </c>
      <c r="D1748" s="16" t="s">
        <v>835</v>
      </c>
      <c r="E1748" s="16" t="s">
        <v>9465</v>
      </c>
      <c r="F1748" s="27" t="s">
        <v>10719</v>
      </c>
      <c r="G1748" s="27"/>
      <c r="H1748" s="16" t="str">
        <f>IF(ISBLANK(PARTIDAS!$G1748),PARTIDAS!$F1748,CONCATENATE(PARTIDAS!$F1748," (",PARTIDAS!$G1748,")"))</f>
        <v>Boratos; peroxoboratos (perboratos) (los demás, boratos)</v>
      </c>
      <c r="I1748" s="16" t="s">
        <v>9427</v>
      </c>
    </row>
    <row r="1749" spans="1:9" x14ac:dyDescent="0.25">
      <c r="A1749" s="16" t="s">
        <v>2752</v>
      </c>
      <c r="B1749" s="16" t="str">
        <f>TEXT(PARTIDA[[#This Row],[PARTIDA]],"0000000000")</f>
        <v>2840300000</v>
      </c>
      <c r="C1749" s="16" t="s">
        <v>815</v>
      </c>
      <c r="D1749" s="16" t="s">
        <v>835</v>
      </c>
      <c r="E1749" s="16" t="s">
        <v>9465</v>
      </c>
      <c r="F1749" s="27" t="s">
        <v>10720</v>
      </c>
      <c r="G1749" s="27"/>
      <c r="H1749" s="16" t="str">
        <f>IF(ISBLANK(PARTIDAS!$G1749),PARTIDAS!$F1749,CONCATENATE(PARTIDAS!$F1749," (",PARTIDAS!$G1749,")"))</f>
        <v>Peroxoboratos (perboratos)</v>
      </c>
      <c r="I1749" s="16" t="s">
        <v>9427</v>
      </c>
    </row>
    <row r="1750" spans="1:9" x14ac:dyDescent="0.25">
      <c r="A1750" s="16" t="s">
        <v>2753</v>
      </c>
      <c r="B1750" s="16" t="str">
        <f>TEXT(PARTIDA[[#This Row],[PARTIDA]],"0000000000")</f>
        <v>2841300000</v>
      </c>
      <c r="C1750" s="16" t="s">
        <v>815</v>
      </c>
      <c r="D1750" s="16" t="s">
        <v>835</v>
      </c>
      <c r="E1750" s="16" t="s">
        <v>9465</v>
      </c>
      <c r="F1750" s="27" t="s">
        <v>10721</v>
      </c>
      <c r="G1750" s="27"/>
      <c r="H1750" s="16" t="str">
        <f>IF(ISBLANK(PARTIDAS!$G1750),PARTIDAS!$F1750,CONCATENATE(PARTIDAS!$F1750," (",PARTIDAS!$G1750,")"))</f>
        <v>Dicromato de sodio</v>
      </c>
      <c r="I1750" s="16" t="s">
        <v>9427</v>
      </c>
    </row>
    <row r="1751" spans="1:9" x14ac:dyDescent="0.25">
      <c r="A1751" s="16" t="s">
        <v>2754</v>
      </c>
      <c r="B1751" s="16" t="str">
        <f>TEXT(PARTIDA[[#This Row],[PARTIDA]],"0000000000")</f>
        <v>2841501000</v>
      </c>
      <c r="C1751" s="16" t="s">
        <v>815</v>
      </c>
      <c r="D1751" s="16" t="s">
        <v>835</v>
      </c>
      <c r="E1751" s="16" t="s">
        <v>9465</v>
      </c>
      <c r="F1751" s="27" t="s">
        <v>10722</v>
      </c>
      <c r="G1751" s="27"/>
      <c r="H1751" s="16" t="str">
        <f>IF(ISBLANK(PARTIDAS!$G1751),PARTIDAS!$F1751,CONCATENATE(PARTIDAS!$F1751," (",PARTIDAS!$G1751,")"))</f>
        <v>Cromatos de cinc o de plomo</v>
      </c>
      <c r="I1751" s="16" t="s">
        <v>9427</v>
      </c>
    </row>
    <row r="1752" spans="1:9" x14ac:dyDescent="0.25">
      <c r="A1752" s="16" t="s">
        <v>2755</v>
      </c>
      <c r="B1752" s="16" t="str">
        <f>TEXT(PARTIDA[[#This Row],[PARTIDA]],"0000000000")</f>
        <v>2841502000</v>
      </c>
      <c r="C1752" s="16" t="s">
        <v>815</v>
      </c>
      <c r="D1752" s="16" t="s">
        <v>835</v>
      </c>
      <c r="E1752" s="16" t="s">
        <v>9465</v>
      </c>
      <c r="F1752" s="27" t="s">
        <v>10723</v>
      </c>
      <c r="G1752" s="27"/>
      <c r="H1752" s="16" t="str">
        <f>IF(ISBLANK(PARTIDAS!$G1752),PARTIDAS!$F1752,CONCATENATE(PARTIDAS!$F1752," (",PARTIDAS!$G1752,")"))</f>
        <v>Cromato de potasio</v>
      </c>
      <c r="I1752" s="16" t="s">
        <v>9427</v>
      </c>
    </row>
    <row r="1753" spans="1:9" x14ac:dyDescent="0.25">
      <c r="A1753" s="16" t="s">
        <v>2756</v>
      </c>
      <c r="B1753" s="16" t="str">
        <f>TEXT(PARTIDA[[#This Row],[PARTIDA]],"0000000000")</f>
        <v>2841503000</v>
      </c>
      <c r="C1753" s="16" t="s">
        <v>815</v>
      </c>
      <c r="D1753" s="16" t="s">
        <v>835</v>
      </c>
      <c r="E1753" s="16" t="s">
        <v>9465</v>
      </c>
      <c r="F1753" s="27" t="s">
        <v>10724</v>
      </c>
      <c r="G1753" s="27"/>
      <c r="H1753" s="16" t="str">
        <f>IF(ISBLANK(PARTIDAS!$G1753),PARTIDAS!$F1753,CONCATENATE(PARTIDAS!$F1753," (",PARTIDAS!$G1753,")"))</f>
        <v>Cromato de sodio</v>
      </c>
      <c r="I1753" s="16" t="s">
        <v>9427</v>
      </c>
    </row>
    <row r="1754" spans="1:9" x14ac:dyDescent="0.25">
      <c r="A1754" s="16" t="s">
        <v>2757</v>
      </c>
      <c r="B1754" s="16" t="str">
        <f>TEXT(PARTIDA[[#This Row],[PARTIDA]],"0000000000")</f>
        <v>2841504000</v>
      </c>
      <c r="C1754" s="16" t="s">
        <v>815</v>
      </c>
      <c r="D1754" s="16" t="s">
        <v>835</v>
      </c>
      <c r="E1754" s="16" t="s">
        <v>9465</v>
      </c>
      <c r="F1754" s="27" t="s">
        <v>10725</v>
      </c>
      <c r="G1754" s="27"/>
      <c r="H1754" s="16" t="str">
        <f>IF(ISBLANK(PARTIDAS!$G1754),PARTIDAS!$F1754,CONCATENATE(PARTIDAS!$F1754," (",PARTIDAS!$G1754,")"))</f>
        <v>Dicromato de potasio</v>
      </c>
      <c r="I1754" s="16" t="s">
        <v>9427</v>
      </c>
    </row>
    <row r="1755" spans="1:9" x14ac:dyDescent="0.25">
      <c r="A1755" s="16" t="s">
        <v>2758</v>
      </c>
      <c r="B1755" s="16" t="str">
        <f>TEXT(PARTIDA[[#This Row],[PARTIDA]],"0000000000")</f>
        <v>2841505000</v>
      </c>
      <c r="C1755" s="16" t="s">
        <v>815</v>
      </c>
      <c r="D1755" s="16" t="s">
        <v>835</v>
      </c>
      <c r="E1755" s="16" t="s">
        <v>9465</v>
      </c>
      <c r="F1755" s="27" t="s">
        <v>10726</v>
      </c>
      <c r="G1755" s="27"/>
      <c r="H1755" s="16" t="str">
        <f>IF(ISBLANK(PARTIDAS!$G1755),PARTIDAS!$F1755,CONCATENATE(PARTIDAS!$F1755," (",PARTIDAS!$G1755,")"))</f>
        <v>Dicromato de talio</v>
      </c>
      <c r="I1755" s="16" t="s">
        <v>9427</v>
      </c>
    </row>
    <row r="1756" spans="1:9" x14ac:dyDescent="0.25">
      <c r="A1756" s="16" t="s">
        <v>2759</v>
      </c>
      <c r="B1756" s="16" t="str">
        <f>TEXT(PARTIDA[[#This Row],[PARTIDA]],"0000000000")</f>
        <v>2841509000</v>
      </c>
      <c r="C1756" s="16" t="s">
        <v>815</v>
      </c>
      <c r="D1756" s="16" t="s">
        <v>835</v>
      </c>
      <c r="E1756" s="16" t="s">
        <v>9465</v>
      </c>
      <c r="F1756" s="27" t="s">
        <v>10727</v>
      </c>
      <c r="G1756" s="27"/>
      <c r="H1756" s="16" t="str">
        <f>IF(ISBLANK(PARTIDAS!$G1756),PARTIDAS!$F1756,CONCATENATE(PARTIDAS!$F1756," (",PARTIDAS!$G1756,")"))</f>
        <v>Sales de los ácidos oxometálicos o peroxometálicos (los demás)</v>
      </c>
      <c r="I1756" s="16" t="s">
        <v>9427</v>
      </c>
    </row>
    <row r="1757" spans="1:9" x14ac:dyDescent="0.25">
      <c r="A1757" s="16" t="s">
        <v>2760</v>
      </c>
      <c r="B1757" s="16" t="str">
        <f>TEXT(PARTIDA[[#This Row],[PARTIDA]],"0000000000")</f>
        <v>2841610000</v>
      </c>
      <c r="C1757" s="16" t="s">
        <v>815</v>
      </c>
      <c r="D1757" s="16" t="s">
        <v>835</v>
      </c>
      <c r="E1757" s="16" t="s">
        <v>9465</v>
      </c>
      <c r="F1757" s="27" t="s">
        <v>10728</v>
      </c>
      <c r="G1757" s="27"/>
      <c r="H1757" s="16" t="str">
        <f>IF(ISBLANK(PARTIDAS!$G1757),PARTIDAS!$F1757,CONCATENATE(PARTIDAS!$F1757," (",PARTIDAS!$G1757,")"))</f>
        <v>Permanganato de potasio</v>
      </c>
      <c r="I1757" s="16" t="s">
        <v>9427</v>
      </c>
    </row>
    <row r="1758" spans="1:9" x14ac:dyDescent="0.25">
      <c r="A1758" s="16" t="s">
        <v>2761</v>
      </c>
      <c r="B1758" s="16" t="str">
        <f>TEXT(PARTIDA[[#This Row],[PARTIDA]],"0000000000")</f>
        <v>2841690000</v>
      </c>
      <c r="C1758" s="16" t="s">
        <v>815</v>
      </c>
      <c r="D1758" s="16" t="s">
        <v>835</v>
      </c>
      <c r="E1758" s="16" t="s">
        <v>9465</v>
      </c>
      <c r="F1758" s="27" t="s">
        <v>10729</v>
      </c>
      <c r="G1758" s="27"/>
      <c r="H1758" s="16" t="str">
        <f>IF(ISBLANK(PARTIDAS!$G1758),PARTIDAS!$F1758,CONCATENATE(PARTIDAS!$F1758," (",PARTIDAS!$G1758,")"))</f>
        <v>Manganitos, manganatos y permanganatos (los demás)</v>
      </c>
      <c r="I1758" s="16" t="s">
        <v>9427</v>
      </c>
    </row>
    <row r="1759" spans="1:9" x14ac:dyDescent="0.25">
      <c r="A1759" s="16" t="s">
        <v>2762</v>
      </c>
      <c r="B1759" s="16" t="str">
        <f>TEXT(PARTIDA[[#This Row],[PARTIDA]],"0000000000")</f>
        <v>2841700000</v>
      </c>
      <c r="C1759" s="16" t="s">
        <v>815</v>
      </c>
      <c r="D1759" s="16" t="s">
        <v>835</v>
      </c>
      <c r="E1759" s="16" t="s">
        <v>9465</v>
      </c>
      <c r="F1759" s="27" t="s">
        <v>10730</v>
      </c>
      <c r="G1759" s="27"/>
      <c r="H1759" s="16" t="str">
        <f>IF(ISBLANK(PARTIDAS!$G1759),PARTIDAS!$F1759,CONCATENATE(PARTIDAS!$F1759," (",PARTIDAS!$G1759,")"))</f>
        <v>Molibdatos</v>
      </c>
      <c r="I1759" s="16" t="s">
        <v>9427</v>
      </c>
    </row>
    <row r="1760" spans="1:9" x14ac:dyDescent="0.25">
      <c r="A1760" s="16" t="s">
        <v>2763</v>
      </c>
      <c r="B1760" s="16" t="str">
        <f>TEXT(PARTIDA[[#This Row],[PARTIDA]],"0000000000")</f>
        <v>2841800000</v>
      </c>
      <c r="C1760" s="16" t="s">
        <v>815</v>
      </c>
      <c r="D1760" s="16" t="s">
        <v>835</v>
      </c>
      <c r="E1760" s="16" t="s">
        <v>9465</v>
      </c>
      <c r="F1760" s="27" t="s">
        <v>10731</v>
      </c>
      <c r="G1760" s="27"/>
      <c r="H1760" s="16" t="str">
        <f>IF(ISBLANK(PARTIDAS!$G1760),PARTIDAS!$F1760,CONCATENATE(PARTIDAS!$F1760," (",PARTIDAS!$G1760,")"))</f>
        <v>Volframatos (tungstatos)</v>
      </c>
      <c r="I1760" s="16" t="s">
        <v>9427</v>
      </c>
    </row>
    <row r="1761" spans="1:9" x14ac:dyDescent="0.25">
      <c r="A1761" s="16" t="s">
        <v>2764</v>
      </c>
      <c r="B1761" s="16" t="str">
        <f>TEXT(PARTIDA[[#This Row],[PARTIDA]],"0000000000")</f>
        <v>2841901000</v>
      </c>
      <c r="C1761" s="16" t="s">
        <v>815</v>
      </c>
      <c r="D1761" s="16" t="s">
        <v>835</v>
      </c>
      <c r="E1761" s="16" t="s">
        <v>9465</v>
      </c>
      <c r="F1761" s="27" t="s">
        <v>10732</v>
      </c>
      <c r="G1761" s="27"/>
      <c r="H1761" s="16" t="str">
        <f>IF(ISBLANK(PARTIDAS!$G1761),PARTIDAS!$F1761,CONCATENATE(PARTIDAS!$F1761," (",PARTIDAS!$G1761,")"))</f>
        <v>Sales de los ácidos oxometálicos o peroxometálicos, aluminatos</v>
      </c>
      <c r="I1761" s="16" t="s">
        <v>9427</v>
      </c>
    </row>
    <row r="1762" spans="1:9" x14ac:dyDescent="0.25">
      <c r="A1762" s="16" t="s">
        <v>2765</v>
      </c>
      <c r="B1762" s="16" t="str">
        <f>TEXT(PARTIDA[[#This Row],[PARTIDA]],"0000000000")</f>
        <v>2841909000</v>
      </c>
      <c r="C1762" s="16" t="s">
        <v>815</v>
      </c>
      <c r="D1762" s="16" t="s">
        <v>835</v>
      </c>
      <c r="E1762" s="16" t="s">
        <v>9465</v>
      </c>
      <c r="F1762" s="27" t="s">
        <v>10727</v>
      </c>
      <c r="G1762" s="27"/>
      <c r="H1762" s="16" t="str">
        <f>IF(ISBLANK(PARTIDAS!$G1762),PARTIDAS!$F1762,CONCATENATE(PARTIDAS!$F1762," (",PARTIDAS!$G1762,")"))</f>
        <v>Sales de los ácidos oxometálicos o peroxometálicos (los demás)</v>
      </c>
      <c r="I1762" s="16" t="s">
        <v>9427</v>
      </c>
    </row>
    <row r="1763" spans="1:9" x14ac:dyDescent="0.25">
      <c r="A1763" s="16" t="s">
        <v>2766</v>
      </c>
      <c r="B1763" s="16" t="str">
        <f>TEXT(PARTIDA[[#This Row],[PARTIDA]],"0000000000")</f>
        <v>2842100000</v>
      </c>
      <c r="C1763" s="16" t="s">
        <v>815</v>
      </c>
      <c r="D1763" s="16" t="s">
        <v>835</v>
      </c>
      <c r="E1763" s="16" t="s">
        <v>9465</v>
      </c>
      <c r="F1763" s="27" t="s">
        <v>10733</v>
      </c>
      <c r="G1763" s="27"/>
      <c r="H1763" s="16" t="str">
        <f>IF(ISBLANK(PARTIDAS!$G1763),PARTIDAS!$F1763,CONCATENATE(PARTIDAS!$F1763," (",PARTIDAS!$G1763,")"))</f>
        <v>Silicatos dobles o complejos, incluidos los aluminosilicatos, aunque no sean de constitución química definida</v>
      </c>
      <c r="I1763" s="16" t="s">
        <v>9427</v>
      </c>
    </row>
    <row r="1764" spans="1:9" x14ac:dyDescent="0.25">
      <c r="A1764" s="16" t="s">
        <v>2767</v>
      </c>
      <c r="B1764" s="16" t="str">
        <f>TEXT(PARTIDA[[#This Row],[PARTIDA]],"0000000000")</f>
        <v>2842901000</v>
      </c>
      <c r="C1764" s="16" t="s">
        <v>815</v>
      </c>
      <c r="D1764" s="16" t="s">
        <v>835</v>
      </c>
      <c r="E1764" s="16" t="s">
        <v>9465</v>
      </c>
      <c r="F1764" s="27" t="s">
        <v>10734</v>
      </c>
      <c r="G1764" s="27"/>
      <c r="H1764" s="16" t="str">
        <f>IF(ISBLANK(PARTIDAS!$G1764),PARTIDAS!$F1764,CONCATENATE(PARTIDAS!$F1764," (",PARTIDAS!$G1764,")"))</f>
        <v>Arsenitos y arseniatos</v>
      </c>
      <c r="I1764" s="16" t="s">
        <v>9427</v>
      </c>
    </row>
    <row r="1765" spans="1:9" x14ac:dyDescent="0.25">
      <c r="A1765" s="16" t="s">
        <v>2768</v>
      </c>
      <c r="B1765" s="16" t="str">
        <f>TEXT(PARTIDA[[#This Row],[PARTIDA]],"0000000000")</f>
        <v>2842902100</v>
      </c>
      <c r="C1765" s="16" t="s">
        <v>815</v>
      </c>
      <c r="D1765" s="16" t="s">
        <v>835</v>
      </c>
      <c r="E1765" s="16" t="s">
        <v>9465</v>
      </c>
      <c r="F1765" s="27" t="s">
        <v>10735</v>
      </c>
      <c r="G1765" s="27"/>
      <c r="H1765" s="16" t="str">
        <f>IF(ISBLANK(PARTIDAS!$G1765),PARTIDAS!$F1765,CONCATENATE(PARTIDAS!$F1765," (",PARTIDAS!$G1765,")"))</f>
        <v>Cloruros dobles o complejos, de amonio y cinc</v>
      </c>
      <c r="I1765" s="16" t="s">
        <v>9427</v>
      </c>
    </row>
    <row r="1766" spans="1:9" x14ac:dyDescent="0.25">
      <c r="A1766" s="16" t="s">
        <v>2769</v>
      </c>
      <c r="B1766" s="16" t="str">
        <f>TEXT(PARTIDA[[#This Row],[PARTIDA]],"0000000000")</f>
        <v>2842902900</v>
      </c>
      <c r="C1766" s="16" t="s">
        <v>815</v>
      </c>
      <c r="D1766" s="16" t="s">
        <v>835</v>
      </c>
      <c r="E1766" s="16" t="s">
        <v>9465</v>
      </c>
      <c r="F1766" s="27" t="s">
        <v>10736</v>
      </c>
      <c r="G1766" s="27"/>
      <c r="H1766" s="16" t="str">
        <f>IF(ISBLANK(PARTIDAS!$G1766),PARTIDAS!$F1766,CONCATENATE(PARTIDAS!$F1766," (",PARTIDAS!$G1766,")"))</f>
        <v>Cloruros dobles o complejos (los demás)</v>
      </c>
      <c r="I1766" s="16" t="s">
        <v>9427</v>
      </c>
    </row>
    <row r="1767" spans="1:9" x14ac:dyDescent="0.25">
      <c r="A1767" s="16" t="s">
        <v>2770</v>
      </c>
      <c r="B1767" s="16" t="str">
        <f>TEXT(PARTIDA[[#This Row],[PARTIDA]],"0000000000")</f>
        <v>2842903000</v>
      </c>
      <c r="C1767" s="16" t="s">
        <v>815</v>
      </c>
      <c r="D1767" s="16" t="s">
        <v>835</v>
      </c>
      <c r="E1767" s="16" t="s">
        <v>9465</v>
      </c>
      <c r="F1767" s="27" t="s">
        <v>10737</v>
      </c>
      <c r="G1767" s="27"/>
      <c r="H1767" s="16" t="str">
        <f>IF(ISBLANK(PARTIDAS!$G1767),PARTIDAS!$F1767,CONCATENATE(PARTIDAS!$F1767," (",PARTIDAS!$G1767,")"))</f>
        <v>Fosfatos dobles o complejos (fosfosales)</v>
      </c>
      <c r="I1767" s="16" t="s">
        <v>9427</v>
      </c>
    </row>
    <row r="1768" spans="1:9" x14ac:dyDescent="0.25">
      <c r="A1768" s="16" t="s">
        <v>2771</v>
      </c>
      <c r="B1768" s="16" t="str">
        <f>TEXT(PARTIDA[[#This Row],[PARTIDA]],"0000000000")</f>
        <v>2842909000</v>
      </c>
      <c r="C1768" s="16" t="s">
        <v>815</v>
      </c>
      <c r="D1768" s="16" t="s">
        <v>835</v>
      </c>
      <c r="E1768" s="16" t="s">
        <v>9465</v>
      </c>
      <c r="F1768" s="27" t="s">
        <v>10563</v>
      </c>
      <c r="G1768" s="27"/>
      <c r="H1768" s="16" t="str">
        <f>IF(ISBLANK(PARTIDAS!$G1768),PARTIDAS!$F1768,CONCATENATE(PARTIDAS!$F1768," (",PARTIDAS!$G1768,")"))</f>
        <v>Productos químicos inorgánicos (los demás)</v>
      </c>
      <c r="I1768" s="16" t="s">
        <v>9427</v>
      </c>
    </row>
    <row r="1769" spans="1:9" x14ac:dyDescent="0.25">
      <c r="A1769" s="16" t="s">
        <v>2772</v>
      </c>
      <c r="B1769" s="16" t="str">
        <f>TEXT(PARTIDA[[#This Row],[PARTIDA]],"0000000000")</f>
        <v>2843100000</v>
      </c>
      <c r="C1769" s="16" t="s">
        <v>815</v>
      </c>
      <c r="D1769" s="16" t="s">
        <v>835</v>
      </c>
      <c r="E1769" s="16" t="s">
        <v>9465</v>
      </c>
      <c r="F1769" s="27" t="s">
        <v>10738</v>
      </c>
      <c r="G1769" s="27"/>
      <c r="H1769" s="16" t="str">
        <f>IF(ISBLANK(PARTIDAS!$G1769),PARTIDAS!$F1769,CONCATENATE(PARTIDAS!$F1769," (",PARTIDAS!$G1769,")"))</f>
        <v>Metal precioso en estado coloidal</v>
      </c>
      <c r="I1769" s="16" t="s">
        <v>9427</v>
      </c>
    </row>
    <row r="1770" spans="1:9" x14ac:dyDescent="0.25">
      <c r="A1770" s="16" t="s">
        <v>2773</v>
      </c>
      <c r="B1770" s="16" t="str">
        <f>TEXT(PARTIDA[[#This Row],[PARTIDA]],"0000000000")</f>
        <v>2843210000</v>
      </c>
      <c r="C1770" s="16" t="s">
        <v>815</v>
      </c>
      <c r="D1770" s="16" t="s">
        <v>835</v>
      </c>
      <c r="E1770" s="16" t="s">
        <v>9465</v>
      </c>
      <c r="F1770" s="27" t="s">
        <v>10739</v>
      </c>
      <c r="G1770" s="27"/>
      <c r="H1770" s="16" t="str">
        <f>IF(ISBLANK(PARTIDAS!$G1770),PARTIDAS!$F1770,CONCATENATE(PARTIDAS!$F1770," (",PARTIDAS!$G1770,")"))</f>
        <v>Nitrato de plata</v>
      </c>
      <c r="I1770" s="16" t="s">
        <v>9427</v>
      </c>
    </row>
    <row r="1771" spans="1:9" x14ac:dyDescent="0.25">
      <c r="A1771" s="16" t="s">
        <v>2774</v>
      </c>
      <c r="B1771" s="16" t="str">
        <f>TEXT(PARTIDA[[#This Row],[PARTIDA]],"0000000000")</f>
        <v>2843290000</v>
      </c>
      <c r="C1771" s="16" t="s">
        <v>815</v>
      </c>
      <c r="D1771" s="16" t="s">
        <v>835</v>
      </c>
      <c r="E1771" s="16" t="s">
        <v>9465</v>
      </c>
      <c r="F1771" s="27" t="s">
        <v>10740</v>
      </c>
      <c r="G1771" s="27"/>
      <c r="H1771" s="16" t="str">
        <f>IF(ISBLANK(PARTIDAS!$G1771),PARTIDAS!$F1771,CONCATENATE(PARTIDAS!$F1771," (",PARTIDAS!$G1771,")"))</f>
        <v>Compuestos de plata (los demás)</v>
      </c>
      <c r="I1771" s="16" t="s">
        <v>9427</v>
      </c>
    </row>
    <row r="1772" spans="1:9" x14ac:dyDescent="0.25">
      <c r="A1772" s="16" t="s">
        <v>2775</v>
      </c>
      <c r="B1772" s="16" t="str">
        <f>TEXT(PARTIDA[[#This Row],[PARTIDA]],"0000000000")</f>
        <v>2843300000</v>
      </c>
      <c r="C1772" s="16" t="s">
        <v>815</v>
      </c>
      <c r="D1772" s="16" t="s">
        <v>835</v>
      </c>
      <c r="E1772" s="16" t="s">
        <v>9465</v>
      </c>
      <c r="F1772" s="27" t="s">
        <v>10741</v>
      </c>
      <c r="G1772" s="27"/>
      <c r="H1772" s="16" t="str">
        <f>IF(ISBLANK(PARTIDAS!$G1772),PARTIDAS!$F1772,CONCATENATE(PARTIDAS!$F1772," (",PARTIDAS!$G1772,")"))</f>
        <v>Compuestos de oro</v>
      </c>
      <c r="I1772" s="16" t="s">
        <v>9427</v>
      </c>
    </row>
    <row r="1773" spans="1:9" x14ac:dyDescent="0.25">
      <c r="A1773" s="16" t="s">
        <v>2776</v>
      </c>
      <c r="B1773" s="16" t="str">
        <f>TEXT(PARTIDA[[#This Row],[PARTIDA]],"0000000000")</f>
        <v>2843900000</v>
      </c>
      <c r="C1773" s="16" t="s">
        <v>815</v>
      </c>
      <c r="D1773" s="16" t="s">
        <v>835</v>
      </c>
      <c r="E1773" s="16" t="s">
        <v>9465</v>
      </c>
      <c r="F1773" s="27" t="s">
        <v>10742</v>
      </c>
      <c r="G1773" s="27"/>
      <c r="H1773" s="16" t="str">
        <f>IF(ISBLANK(PARTIDAS!$G1773),PARTIDAS!$F1773,CONCATENATE(PARTIDAS!$F1773," (",PARTIDAS!$G1773,")"))</f>
        <v>Metal precioso en estado coloidal (los demás, compuestos; amalgamas)</v>
      </c>
      <c r="I1773" s="16" t="s">
        <v>9427</v>
      </c>
    </row>
    <row r="1774" spans="1:9" x14ac:dyDescent="0.25">
      <c r="A1774" s="16" t="s">
        <v>2777</v>
      </c>
      <c r="B1774" s="16" t="str">
        <f>TEXT(PARTIDA[[#This Row],[PARTIDA]],"0000000000")</f>
        <v>2844100000</v>
      </c>
      <c r="C1774" s="16" t="s">
        <v>815</v>
      </c>
      <c r="D1774" s="16" t="s">
        <v>835</v>
      </c>
      <c r="E1774" s="16" t="s">
        <v>9465</v>
      </c>
      <c r="F1774" s="27" t="s">
        <v>10743</v>
      </c>
      <c r="G1774" s="27"/>
      <c r="H1774" s="16" t="str">
        <f>IF(ISBLANK(PARTIDAS!$G1774),PARTIDAS!$F1774,CONCATENATE(PARTIDAS!$F1774," (",PARTIDAS!$G1774,")"))</f>
        <v>Uranio natural y sus compuestos; aleaciones, dispersiones (incluido el cermet), productos cerámicos y mezclas, que contengan uranio natural o compuest</v>
      </c>
      <c r="I1774" s="16" t="s">
        <v>9427</v>
      </c>
    </row>
    <row r="1775" spans="1:9" x14ac:dyDescent="0.25">
      <c r="A1775" s="16" t="s">
        <v>2778</v>
      </c>
      <c r="B1775" s="16" t="str">
        <f>TEXT(PARTIDA[[#This Row],[PARTIDA]],"0000000000")</f>
        <v>2844200000</v>
      </c>
      <c r="C1775" s="16" t="s">
        <v>815</v>
      </c>
      <c r="D1775" s="16" t="s">
        <v>835</v>
      </c>
      <c r="E1775" s="16" t="s">
        <v>9465</v>
      </c>
      <c r="F1775" s="27" t="s">
        <v>10744</v>
      </c>
      <c r="G1775" s="27"/>
      <c r="H1775" s="16" t="str">
        <f>IF(ISBLANK(PARTIDAS!$G1775),PARTIDAS!$F1775,CONCATENATE(PARTIDAS!$F1775," (",PARTIDAS!$G1775,")"))</f>
        <v>Uranio enriquecido en U 235 y sus compuestos; plutonio y sus compuestos; aleaciones, dispersiones (incluido el cermet), productos cerámicos y mezclas,</v>
      </c>
      <c r="I1775" s="16" t="s">
        <v>9427</v>
      </c>
    </row>
    <row r="1776" spans="1:9" x14ac:dyDescent="0.25">
      <c r="A1776" s="16" t="s">
        <v>2779</v>
      </c>
      <c r="B1776" s="16" t="str">
        <f>TEXT(PARTIDA[[#This Row],[PARTIDA]],"0000000000")</f>
        <v>2844300000</v>
      </c>
      <c r="C1776" s="16" t="s">
        <v>815</v>
      </c>
      <c r="D1776" s="16" t="s">
        <v>835</v>
      </c>
      <c r="E1776" s="16" t="s">
        <v>9465</v>
      </c>
      <c r="F1776" s="27" t="s">
        <v>10745</v>
      </c>
      <c r="G1776" s="27"/>
      <c r="H1776" s="16" t="str">
        <f>IF(ISBLANK(PARTIDAS!$G1776),PARTIDAS!$F1776,CONCATENATE(PARTIDAS!$F1776," (",PARTIDAS!$G1776,")"))</f>
        <v>Uranio empobrecido en U 235 y sus compuestos; torio y sus compuestos; aleaciones, dispersiones (incluido el cermet), productos cerámicos y mezclas, qu</v>
      </c>
      <c r="I1776" s="16" t="s">
        <v>9427</v>
      </c>
    </row>
    <row r="1777" spans="1:9" x14ac:dyDescent="0.25">
      <c r="A1777" s="16" t="s">
        <v>2780</v>
      </c>
      <c r="B1777" s="16" t="str">
        <f>TEXT(PARTIDA[[#This Row],[PARTIDA]],"0000000000")</f>
        <v>2844401000</v>
      </c>
      <c r="C1777" s="16" t="s">
        <v>815</v>
      </c>
      <c r="D1777" s="16" t="s">
        <v>835</v>
      </c>
      <c r="E1777" s="16" t="s">
        <v>9465</v>
      </c>
      <c r="F1777" s="27" t="s">
        <v>10746</v>
      </c>
      <c r="G1777" s="27"/>
      <c r="H1777" s="16" t="str">
        <f>IF(ISBLANK(PARTIDAS!$G1777),PARTIDAS!$F1777,CONCATENATE(PARTIDAS!$F1777," (",PARTIDAS!$G1777,")"))</f>
        <v>Residuos radiactivos</v>
      </c>
      <c r="I1777" s="16" t="s">
        <v>9648</v>
      </c>
    </row>
    <row r="1778" spans="1:9" x14ac:dyDescent="0.25">
      <c r="A1778" s="16" t="s">
        <v>2781</v>
      </c>
      <c r="B1778" s="16" t="str">
        <f>TEXT(PARTIDA[[#This Row],[PARTIDA]],"0000000000")</f>
        <v>2844409000</v>
      </c>
      <c r="C1778" s="16" t="s">
        <v>815</v>
      </c>
      <c r="D1778" s="16" t="s">
        <v>835</v>
      </c>
      <c r="E1778" s="16" t="s">
        <v>9465</v>
      </c>
      <c r="F1778" s="27" t="s">
        <v>10747</v>
      </c>
      <c r="G1778" s="27"/>
      <c r="H1778" s="16" t="str">
        <f>IF(ISBLANK(PARTIDAS!$G1778),PARTIDAS!$F1778,CONCATENATE(PARTIDAS!$F1778," (",PARTIDAS!$G1778,")"))</f>
        <v>Elementos químicos radiactivos e isótopos radiactivos (incluidos los e (los demás)</v>
      </c>
      <c r="I1778" s="16" t="s">
        <v>9648</v>
      </c>
    </row>
    <row r="1779" spans="1:9" x14ac:dyDescent="0.25">
      <c r="A1779" s="16" t="s">
        <v>10748</v>
      </c>
      <c r="B1779" s="16" t="str">
        <f>TEXT(PARTIDA[[#This Row],[PARTIDA]],"0000000000")</f>
        <v>2844410000</v>
      </c>
      <c r="C1779" s="16" t="s">
        <v>815</v>
      </c>
      <c r="D1779" s="16" t="s">
        <v>835</v>
      </c>
      <c r="E1779" s="16" t="s">
        <v>9465</v>
      </c>
      <c r="F1779" s="27" t="s">
        <v>10749</v>
      </c>
      <c r="G1779" s="27"/>
      <c r="H1779" s="16" t="str">
        <f>IF(ISBLANK(PARTIDAS!$G1779),PARTIDAS!$F1779,CONCATENATE(PARTIDAS!$F1779," (",PARTIDAS!$G1779,")"))</f>
        <v>Tritio y sus compuestos; aleaciones, dispersiones (incluido el cermet), productos cerámicos y mezclas, que contengan tritio o sus compuestos</v>
      </c>
      <c r="I1779" s="16" t="s">
        <v>9427</v>
      </c>
    </row>
    <row r="1780" spans="1:9" x14ac:dyDescent="0.25">
      <c r="A1780" s="16" t="s">
        <v>10750</v>
      </c>
      <c r="B1780" s="16" t="str">
        <f>TEXT(PARTIDA[[#This Row],[PARTIDA]],"0000000000")</f>
        <v>2844420000</v>
      </c>
      <c r="C1780" s="16" t="s">
        <v>815</v>
      </c>
      <c r="D1780" s="16" t="s">
        <v>835</v>
      </c>
      <c r="E1780" s="16" t="s">
        <v>9465</v>
      </c>
      <c r="F1780" s="27" t="s">
        <v>10751</v>
      </c>
      <c r="G1780" s="27"/>
      <c r="H1780" s="16" t="str">
        <f>IF(ISBLANK(PARTIDAS!$G1780),PARTIDAS!$F1780,CONCATENATE(PARTIDAS!$F1780," (",PARTIDAS!$G1780,")"))</f>
        <v>Actinio-225, actinio-227, californio-253, curio-240, curio-241, curio-242, curio-243, curio-244, einstenio-253, einstenio-254, gadolinio-148, polonio-</v>
      </c>
      <c r="I1780" s="16" t="s">
        <v>9427</v>
      </c>
    </row>
    <row r="1781" spans="1:9" x14ac:dyDescent="0.25">
      <c r="A1781" s="16" t="s">
        <v>10752</v>
      </c>
      <c r="B1781" s="16" t="str">
        <f>TEXT(PARTIDA[[#This Row],[PARTIDA]],"0000000000")</f>
        <v>2844430000</v>
      </c>
      <c r="C1781" s="16" t="s">
        <v>815</v>
      </c>
      <c r="D1781" s="16" t="s">
        <v>835</v>
      </c>
      <c r="E1781" s="16" t="s">
        <v>9465</v>
      </c>
      <c r="F1781" s="27" t="s">
        <v>10753</v>
      </c>
      <c r="G1781" s="27"/>
      <c r="H1781" s="16" t="str">
        <f>IF(ISBLANK(PARTIDAS!$G1781),PARTIDAS!$F1781,CONCATENATE(PARTIDAS!$F1781," (",PARTIDAS!$G1781,")"))</f>
        <v>Elementos e isótopos y compuestos, radiactivos (los demás, elementos e isótopos y compuestos, radiactivos; aleaciones, dispersiones (incluido el cerme</v>
      </c>
      <c r="I1781" s="16" t="s">
        <v>9427</v>
      </c>
    </row>
    <row r="1782" spans="1:9" x14ac:dyDescent="0.25">
      <c r="A1782" s="16" t="s">
        <v>10754</v>
      </c>
      <c r="B1782" s="16" t="str">
        <f>TEXT(PARTIDA[[#This Row],[PARTIDA]],"0000000000")</f>
        <v>2844440000</v>
      </c>
      <c r="C1782" s="16" t="s">
        <v>815</v>
      </c>
      <c r="D1782" s="16" t="s">
        <v>835</v>
      </c>
      <c r="E1782" s="16" t="s">
        <v>9465</v>
      </c>
      <c r="F1782" s="27" t="s">
        <v>10746</v>
      </c>
      <c r="G1782" s="27"/>
      <c r="H1782" s="16" t="str">
        <f>IF(ISBLANK(PARTIDAS!$G1782),PARTIDAS!$F1782,CONCATENATE(PARTIDAS!$F1782," (",PARTIDAS!$G1782,")"))</f>
        <v>Residuos radiactivos</v>
      </c>
      <c r="I1782" s="16" t="s">
        <v>9427</v>
      </c>
    </row>
    <row r="1783" spans="1:9" x14ac:dyDescent="0.25">
      <c r="A1783" s="16" t="s">
        <v>2782</v>
      </c>
      <c r="B1783" s="16" t="str">
        <f>TEXT(PARTIDA[[#This Row],[PARTIDA]],"0000000000")</f>
        <v>2844500000</v>
      </c>
      <c r="C1783" s="16" t="s">
        <v>815</v>
      </c>
      <c r="D1783" s="16" t="s">
        <v>835</v>
      </c>
      <c r="E1783" s="16" t="s">
        <v>9465</v>
      </c>
      <c r="F1783" s="27" t="s">
        <v>10755</v>
      </c>
      <c r="G1783" s="27"/>
      <c r="H1783" s="16" t="str">
        <f>IF(ISBLANK(PARTIDAS!$G1783),PARTIDAS!$F1783,CONCATENATE(PARTIDAS!$F1783," (",PARTIDAS!$G1783,")"))</f>
        <v>Elementos combustibles (cartuchos) agotados (irradiados) de reactores nucleares</v>
      </c>
      <c r="I1783" s="16" t="s">
        <v>9427</v>
      </c>
    </row>
    <row r="1784" spans="1:9" x14ac:dyDescent="0.25">
      <c r="A1784" s="16" t="s">
        <v>2783</v>
      </c>
      <c r="B1784" s="16" t="str">
        <f>TEXT(PARTIDA[[#This Row],[PARTIDA]],"0000000000")</f>
        <v>2845100000</v>
      </c>
      <c r="C1784" s="16" t="s">
        <v>815</v>
      </c>
      <c r="D1784" s="16" t="s">
        <v>835</v>
      </c>
      <c r="E1784" s="16" t="s">
        <v>9465</v>
      </c>
      <c r="F1784" s="27" t="s">
        <v>10756</v>
      </c>
      <c r="G1784" s="27"/>
      <c r="H1784" s="16" t="str">
        <f>IF(ISBLANK(PARTIDAS!$G1784),PARTIDAS!$F1784,CONCATENATE(PARTIDAS!$F1784," (",PARTIDAS!$G1784,")"))</f>
        <v>Agua pesada (óxido de deuterio)</v>
      </c>
      <c r="I1784" s="16" t="s">
        <v>9427</v>
      </c>
    </row>
    <row r="1785" spans="1:9" x14ac:dyDescent="0.25">
      <c r="A1785" s="16" t="s">
        <v>10757</v>
      </c>
      <c r="B1785" s="16" t="str">
        <f>TEXT(PARTIDA[[#This Row],[PARTIDA]],"0000000000")</f>
        <v>2845200000</v>
      </c>
      <c r="C1785" s="16" t="s">
        <v>815</v>
      </c>
      <c r="D1785" s="16" t="s">
        <v>835</v>
      </c>
      <c r="E1785" s="16" t="s">
        <v>9465</v>
      </c>
      <c r="F1785" s="27" t="s">
        <v>10758</v>
      </c>
      <c r="G1785" s="27"/>
      <c r="H1785" s="16" t="str">
        <f>IF(ISBLANK(PARTIDAS!$G1785),PARTIDAS!$F1785,CONCATENATE(PARTIDAS!$F1785," (",PARTIDAS!$G1785,")"))</f>
        <v>Boro enriquecido en boro-10 y sus compuestos</v>
      </c>
      <c r="I1785" s="16" t="s">
        <v>9427</v>
      </c>
    </row>
    <row r="1786" spans="1:9" x14ac:dyDescent="0.25">
      <c r="A1786" s="16" t="s">
        <v>10759</v>
      </c>
      <c r="B1786" s="16" t="str">
        <f>TEXT(PARTIDA[[#This Row],[PARTIDA]],"0000000000")</f>
        <v>2845300000</v>
      </c>
      <c r="C1786" s="16" t="s">
        <v>815</v>
      </c>
      <c r="D1786" s="16" t="s">
        <v>835</v>
      </c>
      <c r="E1786" s="16" t="s">
        <v>9465</v>
      </c>
      <c r="F1786" s="27" t="s">
        <v>10760</v>
      </c>
      <c r="G1786" s="27"/>
      <c r="H1786" s="16" t="str">
        <f>IF(ISBLANK(PARTIDAS!$G1786),PARTIDAS!$F1786,CONCATENATE(PARTIDAS!$F1786," (",PARTIDAS!$G1786,")"))</f>
        <v>Litio enriquecido en litio-6 y sus compuestos</v>
      </c>
      <c r="I1786" s="16" t="s">
        <v>9427</v>
      </c>
    </row>
    <row r="1787" spans="1:9" x14ac:dyDescent="0.25">
      <c r="A1787" s="16" t="s">
        <v>10761</v>
      </c>
      <c r="B1787" s="16" t="str">
        <f>TEXT(PARTIDA[[#This Row],[PARTIDA]],"0000000000")</f>
        <v>2845400000</v>
      </c>
      <c r="C1787" s="16" t="s">
        <v>815</v>
      </c>
      <c r="D1787" s="16" t="s">
        <v>835</v>
      </c>
      <c r="E1787" s="16" t="s">
        <v>9465</v>
      </c>
      <c r="F1787" s="27" t="s">
        <v>10762</v>
      </c>
      <c r="G1787" s="27"/>
      <c r="H1787" s="16" t="str">
        <f>IF(ISBLANK(PARTIDAS!$G1787),PARTIDAS!$F1787,CONCATENATE(PARTIDAS!$F1787," (",PARTIDAS!$G1787,")"))</f>
        <v>Helio-3</v>
      </c>
      <c r="I1787" s="16" t="s">
        <v>9427</v>
      </c>
    </row>
    <row r="1788" spans="1:9" x14ac:dyDescent="0.25">
      <c r="A1788" s="16" t="s">
        <v>2784</v>
      </c>
      <c r="B1788" s="16" t="str">
        <f>TEXT(PARTIDA[[#This Row],[PARTIDA]],"0000000000")</f>
        <v>2845900000</v>
      </c>
      <c r="C1788" s="16" t="s">
        <v>815</v>
      </c>
      <c r="D1788" s="16" t="s">
        <v>835</v>
      </c>
      <c r="E1788" s="16" t="s">
        <v>9465</v>
      </c>
      <c r="F1788" s="27" t="s">
        <v>10763</v>
      </c>
      <c r="G1788" s="27"/>
      <c r="H1788" s="16" t="str">
        <f>IF(ISBLANK(PARTIDAS!$G1788),PARTIDAS!$F1788,CONCATENATE(PARTIDAS!$F1788," (",PARTIDAS!$G1788,")"))</f>
        <v>Isótopos (los demás)</v>
      </c>
      <c r="I1788" s="16" t="s">
        <v>9427</v>
      </c>
    </row>
    <row r="1789" spans="1:9" x14ac:dyDescent="0.25">
      <c r="A1789" s="16" t="s">
        <v>2785</v>
      </c>
      <c r="B1789" s="16" t="str">
        <f>TEXT(PARTIDA[[#This Row],[PARTIDA]],"0000000000")</f>
        <v>2846100000</v>
      </c>
      <c r="C1789" s="16" t="s">
        <v>815</v>
      </c>
      <c r="D1789" s="16" t="s">
        <v>835</v>
      </c>
      <c r="E1789" s="16" t="s">
        <v>9465</v>
      </c>
      <c r="F1789" s="27" t="s">
        <v>10764</v>
      </c>
      <c r="G1789" s="27"/>
      <c r="H1789" s="16" t="str">
        <f>IF(ISBLANK(PARTIDAS!$G1789),PARTIDAS!$F1789,CONCATENATE(PARTIDAS!$F1789," (",PARTIDAS!$G1789,")"))</f>
        <v>Compuestos de cerio</v>
      </c>
      <c r="I1789" s="16" t="s">
        <v>9427</v>
      </c>
    </row>
    <row r="1790" spans="1:9" x14ac:dyDescent="0.25">
      <c r="A1790" s="16" t="s">
        <v>2786</v>
      </c>
      <c r="B1790" s="16" t="str">
        <f>TEXT(PARTIDA[[#This Row],[PARTIDA]],"0000000000")</f>
        <v>2846900000</v>
      </c>
      <c r="C1790" s="16" t="s">
        <v>815</v>
      </c>
      <c r="D1790" s="16" t="s">
        <v>835</v>
      </c>
      <c r="E1790" s="16" t="s">
        <v>9465</v>
      </c>
      <c r="F1790" s="27" t="s">
        <v>10765</v>
      </c>
      <c r="G1790" s="27"/>
      <c r="H1790" s="16" t="str">
        <f>IF(ISBLANK(PARTIDAS!$G1790),PARTIDAS!$F1790,CONCATENATE(PARTIDAS!$F1790," (",PARTIDAS!$G1790,")"))</f>
        <v>Compuestos inorgánicos u orgánicos, de metales de las tierras raras… (los demás)</v>
      </c>
      <c r="I1790" s="16" t="s">
        <v>9427</v>
      </c>
    </row>
    <row r="1791" spans="1:9" x14ac:dyDescent="0.25">
      <c r="A1791" s="16" t="s">
        <v>2787</v>
      </c>
      <c r="B1791" s="16" t="str">
        <f>TEXT(PARTIDA[[#This Row],[PARTIDA]],"0000000000")</f>
        <v>2847000000</v>
      </c>
      <c r="C1791" s="16" t="s">
        <v>815</v>
      </c>
      <c r="D1791" s="16" t="s">
        <v>835</v>
      </c>
      <c r="E1791" s="16" t="s">
        <v>9465</v>
      </c>
      <c r="F1791" s="27" t="s">
        <v>2788</v>
      </c>
      <c r="G1791" s="27"/>
      <c r="H1791" s="16" t="str">
        <f>IF(ISBLANK(PARTIDAS!$G1791),PARTIDAS!$F1791,CONCATENATE(PARTIDAS!$F1791," (",PARTIDAS!$G1791,")"))</f>
        <v>Peróxido de hidrógeno (agua oxigenada), incluso
solidificado con urea.</v>
      </c>
      <c r="I1791" s="16" t="s">
        <v>9427</v>
      </c>
    </row>
    <row r="1792" spans="1:9" x14ac:dyDescent="0.25">
      <c r="A1792" s="16" t="s">
        <v>2789</v>
      </c>
      <c r="B1792" s="16" t="str">
        <f>TEXT(PARTIDA[[#This Row],[PARTIDA]],"0000000000")</f>
        <v>2849100000</v>
      </c>
      <c r="C1792" s="16" t="s">
        <v>815</v>
      </c>
      <c r="D1792" s="16" t="s">
        <v>835</v>
      </c>
      <c r="E1792" s="16" t="s">
        <v>9465</v>
      </c>
      <c r="F1792" s="27" t="s">
        <v>10766</v>
      </c>
      <c r="G1792" s="27"/>
      <c r="H1792" s="16" t="str">
        <f>IF(ISBLANK(PARTIDAS!$G1792),PARTIDAS!$F1792,CONCATENATE(PARTIDAS!$F1792," (",PARTIDAS!$G1792,")"))</f>
        <v>Carburos, aunque no sean de constitución química definida, de calcio</v>
      </c>
      <c r="I1792" s="16" t="s">
        <v>9427</v>
      </c>
    </row>
    <row r="1793" spans="1:9" x14ac:dyDescent="0.25">
      <c r="A1793" s="16" t="s">
        <v>2790</v>
      </c>
      <c r="B1793" s="16" t="str">
        <f>TEXT(PARTIDA[[#This Row],[PARTIDA]],"0000000000")</f>
        <v>2849200000</v>
      </c>
      <c r="C1793" s="16" t="s">
        <v>815</v>
      </c>
      <c r="D1793" s="16" t="s">
        <v>835</v>
      </c>
      <c r="E1793" s="16" t="s">
        <v>9465</v>
      </c>
      <c r="F1793" s="27" t="s">
        <v>10767</v>
      </c>
      <c r="G1793" s="27"/>
      <c r="H1793" s="16" t="str">
        <f>IF(ISBLANK(PARTIDAS!$G1793),PARTIDAS!$F1793,CONCATENATE(PARTIDAS!$F1793," (",PARTIDAS!$G1793,")"))</f>
        <v>Carburos, aunque no sean de constitución química definida, de silicio</v>
      </c>
      <c r="I1793" s="16" t="s">
        <v>9427</v>
      </c>
    </row>
    <row r="1794" spans="1:9" x14ac:dyDescent="0.25">
      <c r="A1794" s="16" t="s">
        <v>2791</v>
      </c>
      <c r="B1794" s="16" t="str">
        <f>TEXT(PARTIDA[[#This Row],[PARTIDA]],"0000000000")</f>
        <v>2849901000</v>
      </c>
      <c r="C1794" s="16" t="s">
        <v>815</v>
      </c>
      <c r="D1794" s="16" t="s">
        <v>835</v>
      </c>
      <c r="E1794" s="16" t="s">
        <v>9465</v>
      </c>
      <c r="F1794" s="27" t="s">
        <v>10768</v>
      </c>
      <c r="G1794" s="27"/>
      <c r="H1794" s="16" t="str">
        <f>IF(ISBLANK(PARTIDAS!$G1794),PARTIDAS!$F1794,CONCATENATE(PARTIDAS!$F1794," (",PARTIDAS!$G1794,")"))</f>
        <v>Carburos, aunque no sean de constitución química definida, de volframio (tungsteno)</v>
      </c>
      <c r="I1794" s="16" t="s">
        <v>9427</v>
      </c>
    </row>
    <row r="1795" spans="1:9" x14ac:dyDescent="0.25">
      <c r="A1795" s="16" t="s">
        <v>2792</v>
      </c>
      <c r="B1795" s="16" t="str">
        <f>TEXT(PARTIDA[[#This Row],[PARTIDA]],"0000000000")</f>
        <v>2849909000</v>
      </c>
      <c r="C1795" s="16" t="s">
        <v>815</v>
      </c>
      <c r="D1795" s="16" t="s">
        <v>835</v>
      </c>
      <c r="E1795" s="16" t="s">
        <v>9465</v>
      </c>
      <c r="F1795" s="27" t="s">
        <v>10769</v>
      </c>
      <c r="G1795" s="27"/>
      <c r="H1795" s="16" t="str">
        <f>IF(ISBLANK(PARTIDAS!$G1795),PARTIDAS!$F1795,CONCATENATE(PARTIDAS!$F1795," (",PARTIDAS!$G1795,")"))</f>
        <v>Carburos, aunque no sean de constitución química definida (los demás)</v>
      </c>
      <c r="I1795" s="16" t="s">
        <v>9427</v>
      </c>
    </row>
    <row r="1796" spans="1:9" x14ac:dyDescent="0.25">
      <c r="A1796" s="16" t="s">
        <v>2793</v>
      </c>
      <c r="B1796" s="16" t="str">
        <f>TEXT(PARTIDA[[#This Row],[PARTIDA]],"0000000000")</f>
        <v>2850001000</v>
      </c>
      <c r="C1796" s="16" t="s">
        <v>815</v>
      </c>
      <c r="D1796" s="16" t="s">
        <v>835</v>
      </c>
      <c r="E1796" s="16" t="s">
        <v>9465</v>
      </c>
      <c r="F1796" s="27" t="s">
        <v>10770</v>
      </c>
      <c r="G1796" s="27"/>
      <c r="H1796" s="16" t="str">
        <f>IF(ISBLANK(PARTIDAS!$G1796),PARTIDAS!$F1796,CONCATENATE(PARTIDAS!$F1796," (",PARTIDAS!$G1796,")"))</f>
        <v>Nitruro de plomo</v>
      </c>
      <c r="I1796" s="16" t="s">
        <v>9427</v>
      </c>
    </row>
    <row r="1797" spans="1:9" x14ac:dyDescent="0.25">
      <c r="A1797" s="16" t="s">
        <v>2794</v>
      </c>
      <c r="B1797" s="16" t="str">
        <f>TEXT(PARTIDA[[#This Row],[PARTIDA]],"0000000000")</f>
        <v>2850002000</v>
      </c>
      <c r="C1797" s="16" t="s">
        <v>815</v>
      </c>
      <c r="D1797" s="16" t="s">
        <v>835</v>
      </c>
      <c r="E1797" s="16" t="s">
        <v>9465</v>
      </c>
      <c r="F1797" s="27" t="s">
        <v>10771</v>
      </c>
      <c r="G1797" s="27"/>
      <c r="H1797" s="16" t="str">
        <f>IF(ISBLANK(PARTIDAS!$G1797),PARTIDAS!$F1797,CONCATENATE(PARTIDAS!$F1797," (",PARTIDAS!$G1797,")"))</f>
        <v>Aziduros (azidas)</v>
      </c>
      <c r="I1797" s="16" t="s">
        <v>9427</v>
      </c>
    </row>
    <row r="1798" spans="1:9" x14ac:dyDescent="0.25">
      <c r="A1798" s="16" t="s">
        <v>2795</v>
      </c>
      <c r="B1798" s="16" t="str">
        <f>TEXT(PARTIDA[[#This Row],[PARTIDA]],"0000000000")</f>
        <v>2850009000</v>
      </c>
      <c r="C1798" s="16" t="s">
        <v>815</v>
      </c>
      <c r="D1798" s="16" t="s">
        <v>835</v>
      </c>
      <c r="E1798" s="16" t="s">
        <v>9465</v>
      </c>
      <c r="F1798" s="27" t="s">
        <v>10769</v>
      </c>
      <c r="G1798" s="27"/>
      <c r="H1798" s="16" t="str">
        <f>IF(ISBLANK(PARTIDAS!$G1798),PARTIDAS!$F1798,CONCATENATE(PARTIDAS!$F1798," (",PARTIDAS!$G1798,")"))</f>
        <v>Carburos, aunque no sean de constitución química definida (los demás)</v>
      </c>
      <c r="I1798" s="16" t="s">
        <v>9427</v>
      </c>
    </row>
    <row r="1799" spans="1:9" x14ac:dyDescent="0.25">
      <c r="A1799" s="16" t="s">
        <v>2796</v>
      </c>
      <c r="B1799" s="16" t="str">
        <f>TEXT(PARTIDA[[#This Row],[PARTIDA]],"0000000000")</f>
        <v>2852101000</v>
      </c>
      <c r="C1799" s="16" t="s">
        <v>815</v>
      </c>
      <c r="D1799" s="16" t="s">
        <v>835</v>
      </c>
      <c r="E1799" s="16" t="s">
        <v>9465</v>
      </c>
      <c r="F1799" s="27" t="s">
        <v>10772</v>
      </c>
      <c r="G1799" s="27"/>
      <c r="H1799" s="16" t="str">
        <f>IF(ISBLANK(PARTIDAS!$G1799),PARTIDAS!$F1799,CONCATENATE(PARTIDAS!$F1799," (",PARTIDAS!$G1799,")"))</f>
        <v>Sulfatos de mercurio</v>
      </c>
      <c r="I1799" s="16" t="s">
        <v>9427</v>
      </c>
    </row>
    <row r="1800" spans="1:9" x14ac:dyDescent="0.25">
      <c r="A1800" s="16" t="s">
        <v>2797</v>
      </c>
      <c r="B1800" s="16" t="str">
        <f>TEXT(PARTIDA[[#This Row],[PARTIDA]],"0000000000")</f>
        <v>2852102100</v>
      </c>
      <c r="C1800" s="16" t="s">
        <v>815</v>
      </c>
      <c r="D1800" s="16" t="s">
        <v>835</v>
      </c>
      <c r="E1800" s="16" t="s">
        <v>9465</v>
      </c>
      <c r="F1800" s="27" t="s">
        <v>10773</v>
      </c>
      <c r="G1800" s="27"/>
      <c r="H1800" s="16" t="str">
        <f>IF(ISBLANK(PARTIDAS!$G1800),PARTIDAS!$F1800,CONCATENATE(PARTIDAS!$F1800," (",PARTIDAS!$G1800,")"))</f>
        <v>Merbromina (DCI) (mercurocromo)</v>
      </c>
      <c r="I1800" s="16" t="s">
        <v>9427</v>
      </c>
    </row>
    <row r="1801" spans="1:9" x14ac:dyDescent="0.25">
      <c r="A1801" s="16" t="s">
        <v>2798</v>
      </c>
      <c r="B1801" s="16" t="str">
        <f>TEXT(PARTIDA[[#This Row],[PARTIDA]],"0000000000")</f>
        <v>2852102910</v>
      </c>
      <c r="C1801" s="16" t="s">
        <v>815</v>
      </c>
      <c r="D1801" s="16" t="s">
        <v>835</v>
      </c>
      <c r="E1801" s="16" t="s">
        <v>9465</v>
      </c>
      <c r="F1801" s="27" t="s">
        <v>10774</v>
      </c>
      <c r="G1801" s="27"/>
      <c r="H1801" s="16" t="str">
        <f>IF(ISBLANK(PARTIDAS!$G1801),PARTIDAS!$F1801,CONCATENATE(PARTIDAS!$F1801," (",PARTIDAS!$G1801,")"))</f>
        <v>Sales y ésteres del ácido láctico</v>
      </c>
      <c r="I1801" s="16" t="s">
        <v>9427</v>
      </c>
    </row>
    <row r="1802" spans="1:9" x14ac:dyDescent="0.25">
      <c r="A1802" s="16" t="s">
        <v>2799</v>
      </c>
      <c r="B1802" s="16" t="str">
        <f>TEXT(PARTIDA[[#This Row],[PARTIDA]],"0000000000")</f>
        <v>2852102990</v>
      </c>
      <c r="C1802" s="16" t="s">
        <v>815</v>
      </c>
      <c r="D1802" s="16" t="s">
        <v>835</v>
      </c>
      <c r="E1802" s="16" t="s">
        <v>9465</v>
      </c>
      <c r="F1802" s="27" t="s">
        <v>10775</v>
      </c>
      <c r="G1802" s="27"/>
      <c r="H1802" s="16" t="str">
        <f>IF(ISBLANK(PARTIDAS!$G1802),PARTIDAS!$F1802,CONCATENATE(PARTIDAS!$F1802," (",PARTIDAS!$G1802,")"))</f>
        <v>Compuestos organomercúricos (los demás)</v>
      </c>
      <c r="I1802" s="16" t="s">
        <v>9427</v>
      </c>
    </row>
    <row r="1803" spans="1:9" x14ac:dyDescent="0.25">
      <c r="A1803" s="16" t="s">
        <v>2800</v>
      </c>
      <c r="B1803" s="16" t="str">
        <f>TEXT(PARTIDA[[#This Row],[PARTIDA]],"0000000000")</f>
        <v>2852109010</v>
      </c>
      <c r="C1803" s="16" t="s">
        <v>815</v>
      </c>
      <c r="D1803" s="16" t="s">
        <v>835</v>
      </c>
      <c r="E1803" s="16" t="s">
        <v>9465</v>
      </c>
      <c r="F1803" s="27" t="s">
        <v>10776</v>
      </c>
      <c r="G1803" s="27"/>
      <c r="H1803" s="16" t="str">
        <f>IF(ISBLANK(PARTIDAS!$G1803),PARTIDAS!$F1803,CONCATENATE(PARTIDAS!$F1803," (",PARTIDAS!$G1803,")"))</f>
        <v>Óxidos, hidróxidos y peróxidos</v>
      </c>
      <c r="I1803" s="16" t="s">
        <v>9427</v>
      </c>
    </row>
    <row r="1804" spans="1:9" x14ac:dyDescent="0.25">
      <c r="A1804" s="16" t="s">
        <v>2801</v>
      </c>
      <c r="B1804" s="16" t="str">
        <f>TEXT(PARTIDA[[#This Row],[PARTIDA]],"0000000000")</f>
        <v>2852109021</v>
      </c>
      <c r="C1804" s="16" t="s">
        <v>815</v>
      </c>
      <c r="D1804" s="16" t="s">
        <v>835</v>
      </c>
      <c r="E1804" s="16" t="s">
        <v>9465</v>
      </c>
      <c r="F1804" s="27" t="s">
        <v>10777</v>
      </c>
      <c r="G1804" s="27"/>
      <c r="H1804" s="16" t="str">
        <f>IF(ISBLANK(PARTIDAS!$G1804),PARTIDAS!$F1804,CONCATENATE(PARTIDAS!$F1804," (",PARTIDAS!$G1804,")"))</f>
        <v>Cloruro mercurioso</v>
      </c>
      <c r="I1804" s="16" t="s">
        <v>9427</v>
      </c>
    </row>
    <row r="1805" spans="1:9" x14ac:dyDescent="0.25">
      <c r="A1805" s="16" t="s">
        <v>2802</v>
      </c>
      <c r="B1805" s="16" t="str">
        <f>TEXT(PARTIDA[[#This Row],[PARTIDA]],"0000000000")</f>
        <v>2852109022</v>
      </c>
      <c r="C1805" s="16" t="s">
        <v>815</v>
      </c>
      <c r="D1805" s="16" t="s">
        <v>835</v>
      </c>
      <c r="E1805" s="16" t="s">
        <v>9465</v>
      </c>
      <c r="F1805" s="27" t="s">
        <v>10778</v>
      </c>
      <c r="G1805" s="27"/>
      <c r="H1805" s="16" t="str">
        <f>IF(ISBLANK(PARTIDAS!$G1805),PARTIDAS!$F1805,CONCATENATE(PARTIDAS!$F1805," (",PARTIDAS!$G1805,")"))</f>
        <v>Cloruro mercúrico</v>
      </c>
      <c r="I1805" s="16" t="s">
        <v>9427</v>
      </c>
    </row>
    <row r="1806" spans="1:9" x14ac:dyDescent="0.25">
      <c r="A1806" s="16" t="s">
        <v>2803</v>
      </c>
      <c r="B1806" s="16" t="str">
        <f>TEXT(PARTIDA[[#This Row],[PARTIDA]],"0000000000")</f>
        <v>2852109023</v>
      </c>
      <c r="C1806" s="16" t="s">
        <v>815</v>
      </c>
      <c r="D1806" s="16" t="s">
        <v>835</v>
      </c>
      <c r="E1806" s="16" t="s">
        <v>9465</v>
      </c>
      <c r="F1806" s="27" t="s">
        <v>10779</v>
      </c>
      <c r="G1806" s="27"/>
      <c r="H1806" s="16" t="str">
        <f>IF(ISBLANK(PARTIDAS!$G1806),PARTIDAS!$F1806,CONCATENATE(PARTIDAS!$F1806," (",PARTIDAS!$G1806,")"))</f>
        <v>Oxicloruros e hidroxicloruros</v>
      </c>
      <c r="I1806" s="16" t="s">
        <v>9427</v>
      </c>
    </row>
    <row r="1807" spans="1:9" x14ac:dyDescent="0.25">
      <c r="A1807" s="16" t="s">
        <v>2804</v>
      </c>
      <c r="B1807" s="16" t="str">
        <f>TEXT(PARTIDA[[#This Row],[PARTIDA]],"0000000000")</f>
        <v>2852109029</v>
      </c>
      <c r="C1807" s="16" t="s">
        <v>815</v>
      </c>
      <c r="D1807" s="16" t="s">
        <v>835</v>
      </c>
      <c r="E1807" s="16" t="s">
        <v>9465</v>
      </c>
      <c r="F1807" s="27" t="s">
        <v>10632</v>
      </c>
      <c r="G1807" s="27"/>
      <c r="H1807" s="16" t="str">
        <f>IF(ISBLANK(PARTIDAS!$G1807),PARTIDAS!$F1807,CONCATENATE(PARTIDAS!$F1807," (",PARTIDAS!$G1807,")"))</f>
        <v>Cloruros, oxicloruros e hidroxicloruros (los demás)</v>
      </c>
      <c r="I1807" s="16" t="s">
        <v>9427</v>
      </c>
    </row>
    <row r="1808" spans="1:9" x14ac:dyDescent="0.25">
      <c r="A1808" s="16" t="s">
        <v>2805</v>
      </c>
      <c r="B1808" s="16" t="str">
        <f>TEXT(PARTIDA[[#This Row],[PARTIDA]],"0000000000")</f>
        <v>2852109031</v>
      </c>
      <c r="C1808" s="16" t="s">
        <v>815</v>
      </c>
      <c r="D1808" s="16" t="s">
        <v>835</v>
      </c>
      <c r="E1808" s="16" t="s">
        <v>9465</v>
      </c>
      <c r="F1808" s="27" t="s">
        <v>10780</v>
      </c>
      <c r="G1808" s="27"/>
      <c r="H1808" s="16" t="str">
        <f>IF(ISBLANK(PARTIDAS!$G1808),PARTIDAS!$F1808,CONCATENATE(PARTIDAS!$F1808," (",PARTIDAS!$G1808,")"))</f>
        <v>Sulfuro; polisulfuro</v>
      </c>
      <c r="I1808" s="16" t="s">
        <v>9427</v>
      </c>
    </row>
    <row r="1809" spans="1:9" x14ac:dyDescent="0.25">
      <c r="A1809" s="16" t="s">
        <v>2806</v>
      </c>
      <c r="B1809" s="16" t="str">
        <f>TEXT(PARTIDA[[#This Row],[PARTIDA]],"0000000000")</f>
        <v>2852109032</v>
      </c>
      <c r="C1809" s="16" t="s">
        <v>815</v>
      </c>
      <c r="D1809" s="16" t="s">
        <v>835</v>
      </c>
      <c r="E1809" s="16" t="s">
        <v>9465</v>
      </c>
      <c r="F1809" s="27" t="s">
        <v>10781</v>
      </c>
      <c r="G1809" s="27"/>
      <c r="H1809" s="16" t="str">
        <f>IF(ISBLANK(PARTIDAS!$G1809),PARTIDAS!$F1809,CONCATENATE(PARTIDAS!$F1809," (",PARTIDAS!$G1809,")"))</f>
        <v>Sulfuro; polisulfuro; nitratos; polifosfatos; cianuros; oxicianuros y…, nitratos</v>
      </c>
      <c r="I1809" s="16" t="s">
        <v>9427</v>
      </c>
    </row>
    <row r="1810" spans="1:9" x14ac:dyDescent="0.25">
      <c r="A1810" s="16" t="s">
        <v>2807</v>
      </c>
      <c r="B1810" s="16" t="str">
        <f>TEXT(PARTIDA[[#This Row],[PARTIDA]],"0000000000")</f>
        <v>2852109033</v>
      </c>
      <c r="C1810" s="16" t="s">
        <v>815</v>
      </c>
      <c r="D1810" s="16" t="s">
        <v>835</v>
      </c>
      <c r="E1810" s="16" t="s">
        <v>9465</v>
      </c>
      <c r="F1810" s="27" t="s">
        <v>10782</v>
      </c>
      <c r="G1810" s="27"/>
      <c r="H1810" s="16" t="str">
        <f>IF(ISBLANK(PARTIDAS!$G1810),PARTIDAS!$F1810,CONCATENATE(PARTIDAS!$F1810," (",PARTIDAS!$G1810,")"))</f>
        <v>Sulfuro; polisulfuro; nitratos; polifosfatos; cianuros; oxicianuros y…, polifosfatos</v>
      </c>
      <c r="I1810" s="16" t="s">
        <v>9427</v>
      </c>
    </row>
    <row r="1811" spans="1:9" x14ac:dyDescent="0.25">
      <c r="A1811" s="16" t="s">
        <v>2808</v>
      </c>
      <c r="B1811" s="16" t="str">
        <f>TEXT(PARTIDA[[#This Row],[PARTIDA]],"0000000000")</f>
        <v>2852109034</v>
      </c>
      <c r="C1811" s="16" t="s">
        <v>815</v>
      </c>
      <c r="D1811" s="16" t="s">
        <v>835</v>
      </c>
      <c r="E1811" s="16" t="s">
        <v>9465</v>
      </c>
      <c r="F1811" s="27" t="s">
        <v>10783</v>
      </c>
      <c r="G1811" s="27"/>
      <c r="H1811" s="16" t="str">
        <f>IF(ISBLANK(PARTIDAS!$G1811),PARTIDAS!$F1811,CONCATENATE(PARTIDAS!$F1811," (",PARTIDAS!$G1811,")"))</f>
        <v>Cianuros, oxicianuros y cianuros complejos</v>
      </c>
      <c r="I1811" s="16" t="s">
        <v>9427</v>
      </c>
    </row>
    <row r="1812" spans="1:9" x14ac:dyDescent="0.25">
      <c r="A1812" s="16" t="s">
        <v>2809</v>
      </c>
      <c r="B1812" s="16" t="str">
        <f>TEXT(PARTIDA[[#This Row],[PARTIDA]],"0000000000")</f>
        <v>2852109041</v>
      </c>
      <c r="C1812" s="16" t="s">
        <v>815</v>
      </c>
      <c r="D1812" s="16" t="s">
        <v>835</v>
      </c>
      <c r="E1812" s="16" t="s">
        <v>9465</v>
      </c>
      <c r="F1812" s="27" t="s">
        <v>10784</v>
      </c>
      <c r="G1812" s="27"/>
      <c r="H1812" s="16" t="str">
        <f>IF(ISBLANK(PARTIDAS!$G1812),PARTIDAS!$F1812,CONCATENATE(PARTIDAS!$F1812," (",PARTIDAS!$G1812,")"))</f>
        <v>Fulminato, cianato y tiocianato</v>
      </c>
      <c r="I1812" s="16" t="s">
        <v>9427</v>
      </c>
    </row>
    <row r="1813" spans="1:9" x14ac:dyDescent="0.25">
      <c r="A1813" s="16" t="s">
        <v>2810</v>
      </c>
      <c r="B1813" s="16" t="str">
        <f>TEXT(PARTIDA[[#This Row],[PARTIDA]],"0000000000")</f>
        <v>2852109042</v>
      </c>
      <c r="C1813" s="16" t="s">
        <v>815</v>
      </c>
      <c r="D1813" s="16" t="s">
        <v>835</v>
      </c>
      <c r="E1813" s="16" t="s">
        <v>9465</v>
      </c>
      <c r="F1813" s="27" t="s">
        <v>10785</v>
      </c>
      <c r="G1813" s="27"/>
      <c r="H1813" s="16" t="str">
        <f>IF(ISBLANK(PARTIDAS!$G1813),PARTIDAS!$F1813,CONCATENATE(PARTIDAS!$F1813," (",PARTIDAS!$G1813,")"))</f>
        <v>Cromatos y dicromatos</v>
      </c>
      <c r="I1813" s="16" t="s">
        <v>9427</v>
      </c>
    </row>
    <row r="1814" spans="1:9" x14ac:dyDescent="0.25">
      <c r="A1814" s="16" t="s">
        <v>2811</v>
      </c>
      <c r="B1814" s="16" t="str">
        <f>TEXT(PARTIDA[[#This Row],[PARTIDA]],"0000000000")</f>
        <v>2852109043</v>
      </c>
      <c r="C1814" s="16" t="s">
        <v>815</v>
      </c>
      <c r="D1814" s="16" t="s">
        <v>835</v>
      </c>
      <c r="E1814" s="16" t="s">
        <v>9465</v>
      </c>
      <c r="F1814" s="27" t="s">
        <v>10786</v>
      </c>
      <c r="G1814" s="27"/>
      <c r="H1814" s="16" t="str">
        <f>IF(ISBLANK(PARTIDAS!$G1814),PARTIDAS!$F1814,CONCATENATE(PARTIDAS!$F1814," (",PARTIDAS!$G1814,")"))</f>
        <v>Fulminato, cianato y tiocianato, peroxocromatos</v>
      </c>
      <c r="I1814" s="16" t="s">
        <v>9427</v>
      </c>
    </row>
    <row r="1815" spans="1:9" x14ac:dyDescent="0.25">
      <c r="A1815" s="16" t="s">
        <v>2812</v>
      </c>
      <c r="B1815" s="16" t="str">
        <f>TEXT(PARTIDA[[#This Row],[PARTIDA]],"0000000000")</f>
        <v>2852109051</v>
      </c>
      <c r="C1815" s="16" t="s">
        <v>815</v>
      </c>
      <c r="D1815" s="16" t="s">
        <v>835</v>
      </c>
      <c r="E1815" s="16" t="s">
        <v>9465</v>
      </c>
      <c r="F1815" s="27" t="s">
        <v>10787</v>
      </c>
      <c r="G1815" s="27"/>
      <c r="H1815" s="16" t="str">
        <f>IF(ISBLANK(PARTIDAS!$G1815),PARTIDAS!$F1815,CONCATENATE(PARTIDAS!$F1815," (",PARTIDAS!$G1815,")"))</f>
        <v>Silicatos dobles o complejos, incluidos los aluminosilicatos</v>
      </c>
      <c r="I1815" s="16" t="s">
        <v>9427</v>
      </c>
    </row>
    <row r="1816" spans="1:9" x14ac:dyDescent="0.25">
      <c r="A1816" s="16" t="s">
        <v>2813</v>
      </c>
      <c r="B1816" s="16" t="str">
        <f>TEXT(PARTIDA[[#This Row],[PARTIDA]],"0000000000")</f>
        <v>2852109052</v>
      </c>
      <c r="C1816" s="16" t="s">
        <v>815</v>
      </c>
      <c r="D1816" s="16" t="s">
        <v>835</v>
      </c>
      <c r="E1816" s="16" t="s">
        <v>9465</v>
      </c>
      <c r="F1816" s="27" t="s">
        <v>10734</v>
      </c>
      <c r="G1816" s="27"/>
      <c r="H1816" s="16" t="str">
        <f>IF(ISBLANK(PARTIDAS!$G1816),PARTIDAS!$F1816,CONCATENATE(PARTIDAS!$F1816," (",PARTIDAS!$G1816,")"))</f>
        <v>Arsenitos y arseniatos</v>
      </c>
      <c r="I1816" s="16" t="s">
        <v>9427</v>
      </c>
    </row>
    <row r="1817" spans="1:9" x14ac:dyDescent="0.25">
      <c r="A1817" s="16" t="s">
        <v>2814</v>
      </c>
      <c r="B1817" s="16" t="str">
        <f>TEXT(PARTIDA[[#This Row],[PARTIDA]],"0000000000")</f>
        <v>2852109053</v>
      </c>
      <c r="C1817" s="16" t="s">
        <v>815</v>
      </c>
      <c r="D1817" s="16" t="s">
        <v>835</v>
      </c>
      <c r="E1817" s="16" t="s">
        <v>9465</v>
      </c>
      <c r="F1817" s="27" t="s">
        <v>10788</v>
      </c>
      <c r="G1817" s="27"/>
      <c r="H1817" s="16" t="str">
        <f>IF(ISBLANK(PARTIDAS!$G1817),PARTIDAS!$F1817,CONCATENATE(PARTIDAS!$F1817," (",PARTIDAS!$G1817,")"))</f>
        <v>Cloruros dobles o complejos</v>
      </c>
      <c r="I1817" s="16" t="s">
        <v>9427</v>
      </c>
    </row>
    <row r="1818" spans="1:9" x14ac:dyDescent="0.25">
      <c r="A1818" s="16" t="s">
        <v>2815</v>
      </c>
      <c r="B1818" s="16" t="str">
        <f>TEXT(PARTIDA[[#This Row],[PARTIDA]],"0000000000")</f>
        <v>2852109054</v>
      </c>
      <c r="C1818" s="16" t="s">
        <v>815</v>
      </c>
      <c r="D1818" s="16" t="s">
        <v>835</v>
      </c>
      <c r="E1818" s="16" t="s">
        <v>9465</v>
      </c>
      <c r="F1818" s="27" t="s">
        <v>10737</v>
      </c>
      <c r="G1818" s="27"/>
      <c r="H1818" s="16" t="str">
        <f>IF(ISBLANK(PARTIDAS!$G1818),PARTIDAS!$F1818,CONCATENATE(PARTIDAS!$F1818," (",PARTIDAS!$G1818,")"))</f>
        <v>Fosfatos dobles o complejos (fosfosales)</v>
      </c>
      <c r="I1818" s="16" t="s">
        <v>9427</v>
      </c>
    </row>
    <row r="1819" spans="1:9" x14ac:dyDescent="0.25">
      <c r="A1819" s="16" t="s">
        <v>2816</v>
      </c>
      <c r="B1819" s="16" t="str">
        <f>TEXT(PARTIDA[[#This Row],[PARTIDA]],"0000000000")</f>
        <v>2852109059</v>
      </c>
      <c r="C1819" s="16" t="s">
        <v>815</v>
      </c>
      <c r="D1819" s="16" t="s">
        <v>835</v>
      </c>
      <c r="E1819" s="16" t="s">
        <v>9465</v>
      </c>
      <c r="F1819" s="27" t="s">
        <v>10789</v>
      </c>
      <c r="G1819" s="27"/>
      <c r="H1819" s="16" t="str">
        <f>IF(ISBLANK(PARTIDAS!$G1819),PARTIDAS!$F1819,CONCATENATE(PARTIDAS!$F1819," (",PARTIDAS!$G1819,")"))</f>
        <v>Compuestos inorgánicos u orgánicos de mercurio, aunque…, de constitución química definida (los demás, sales de los ácidos o peroxoácidos inorgánicos)</v>
      </c>
      <c r="I1819" s="16" t="s">
        <v>9427</v>
      </c>
    </row>
    <row r="1820" spans="1:9" x14ac:dyDescent="0.25">
      <c r="A1820" s="16" t="s">
        <v>2817</v>
      </c>
      <c r="B1820" s="16" t="str">
        <f>TEXT(PARTIDA[[#This Row],[PARTIDA]],"0000000000")</f>
        <v>2852109060</v>
      </c>
      <c r="C1820" s="16" t="s">
        <v>815</v>
      </c>
      <c r="D1820" s="16" t="s">
        <v>835</v>
      </c>
      <c r="E1820" s="16" t="s">
        <v>9465</v>
      </c>
      <c r="F1820" s="27" t="s">
        <v>10790</v>
      </c>
      <c r="G1820" s="27"/>
      <c r="H1820" s="16" t="str">
        <f>IF(ISBLANK(PARTIDAS!$G1820),PARTIDAS!$F1820,CONCATENATE(PARTIDAS!$F1820," (",PARTIDAS!$G1820,")"))</f>
        <v>Compuestos inorgánicos u orgánicos de metal precioso</v>
      </c>
      <c r="I1820" s="16" t="s">
        <v>9427</v>
      </c>
    </row>
    <row r="1821" spans="1:9" x14ac:dyDescent="0.25">
      <c r="A1821" s="16" t="s">
        <v>2818</v>
      </c>
      <c r="B1821" s="16" t="str">
        <f>TEXT(PARTIDA[[#This Row],[PARTIDA]],"0000000000")</f>
        <v>2852109071</v>
      </c>
      <c r="C1821" s="16" t="s">
        <v>815</v>
      </c>
      <c r="D1821" s="16" t="s">
        <v>835</v>
      </c>
      <c r="E1821" s="16" t="s">
        <v>9465</v>
      </c>
      <c r="F1821" s="27" t="s">
        <v>10791</v>
      </c>
      <c r="G1821" s="27"/>
      <c r="H1821" s="16" t="str">
        <f>IF(ISBLANK(PARTIDAS!$G1821),PARTIDAS!$F1821,CONCATENATE(PARTIDAS!$F1821," (",PARTIDAS!$G1821,")"))</f>
        <v>Fosfuros; carburos; hidruros, nitruros, aziduros (azidas), siliciuros…, fosfuros</v>
      </c>
      <c r="I1821" s="16" t="s">
        <v>9427</v>
      </c>
    </row>
    <row r="1822" spans="1:9" x14ac:dyDescent="0.25">
      <c r="A1822" s="16" t="s">
        <v>2819</v>
      </c>
      <c r="B1822" s="16" t="str">
        <f>TEXT(PARTIDA[[#This Row],[PARTIDA]],"0000000000")</f>
        <v>2852109072</v>
      </c>
      <c r="C1822" s="16" t="s">
        <v>815</v>
      </c>
      <c r="D1822" s="16" t="s">
        <v>835</v>
      </c>
      <c r="E1822" s="16" t="s">
        <v>9465</v>
      </c>
      <c r="F1822" s="27" t="s">
        <v>10792</v>
      </c>
      <c r="G1822" s="27"/>
      <c r="H1822" s="16" t="str">
        <f>IF(ISBLANK(PARTIDAS!$G1822),PARTIDAS!$F1822,CONCATENATE(PARTIDAS!$F1822," (",PARTIDAS!$G1822,")"))</f>
        <v>Fosfuros; carburos; hidruros, nitruros, aziduros (azidas), siliciuros…, carburos</v>
      </c>
      <c r="I1822" s="16" t="s">
        <v>9427</v>
      </c>
    </row>
    <row r="1823" spans="1:9" x14ac:dyDescent="0.25">
      <c r="A1823" s="16" t="s">
        <v>2820</v>
      </c>
      <c r="B1823" s="16" t="str">
        <f>TEXT(PARTIDA[[#This Row],[PARTIDA]],"0000000000")</f>
        <v>2852109073</v>
      </c>
      <c r="C1823" s="16" t="s">
        <v>815</v>
      </c>
      <c r="D1823" s="16" t="s">
        <v>835</v>
      </c>
      <c r="E1823" s="16" t="s">
        <v>9465</v>
      </c>
      <c r="F1823" s="27" t="s">
        <v>10793</v>
      </c>
      <c r="G1823" s="27"/>
      <c r="H1823" s="16" t="str">
        <f>IF(ISBLANK(PARTIDAS!$G1823),PARTIDAS!$F1823,CONCATENATE(PARTIDAS!$F1823," (",PARTIDAS!$G1823,")"))</f>
        <v>Hidruros, nitruros, aziduros (azidas), siliciuros y boruros</v>
      </c>
      <c r="I1823" s="16" t="s">
        <v>9427</v>
      </c>
    </row>
    <row r="1824" spans="1:9" x14ac:dyDescent="0.25">
      <c r="A1824" s="16" t="s">
        <v>2821</v>
      </c>
      <c r="B1824" s="16" t="str">
        <f>TEXT(PARTIDA[[#This Row],[PARTIDA]],"0000000000")</f>
        <v>2852109090</v>
      </c>
      <c r="C1824" s="16" t="s">
        <v>815</v>
      </c>
      <c r="D1824" s="16" t="s">
        <v>835</v>
      </c>
      <c r="E1824" s="16" t="s">
        <v>9465</v>
      </c>
      <c r="F1824" s="27" t="s">
        <v>10794</v>
      </c>
      <c r="G1824" s="27"/>
      <c r="H1824" s="16" t="str">
        <f>IF(ISBLANK(PARTIDAS!$G1824),PARTIDAS!$F1824,CONCATENATE(PARTIDAS!$F1824," (",PARTIDAS!$G1824,")"))</f>
        <v>Compuestos inorgánicos u orgánicos de mercurio, aunque…, de constitución química definida (los demás, compuestos inorgánicos)</v>
      </c>
      <c r="I1824" s="16" t="s">
        <v>9427</v>
      </c>
    </row>
    <row r="1825" spans="1:9" x14ac:dyDescent="0.25">
      <c r="A1825" s="16" t="s">
        <v>2822</v>
      </c>
      <c r="B1825" s="16" t="str">
        <f>TEXT(PARTIDA[[#This Row],[PARTIDA]],"0000000000")</f>
        <v>2852901000</v>
      </c>
      <c r="C1825" s="16" t="s">
        <v>815</v>
      </c>
      <c r="D1825" s="16" t="s">
        <v>835</v>
      </c>
      <c r="E1825" s="16" t="s">
        <v>9465</v>
      </c>
      <c r="F1825" s="27" t="s">
        <v>10795</v>
      </c>
      <c r="G1825" s="27"/>
      <c r="H1825" s="16" t="str">
        <f>IF(ISBLANK(PARTIDAS!$G1825),PARTIDAS!$F1825,CONCATENATE(PARTIDAS!$F1825," (",PARTIDAS!$G1825,")"))</f>
        <v>Compuestos organomercúricos</v>
      </c>
      <c r="I1825" s="16" t="s">
        <v>9427</v>
      </c>
    </row>
    <row r="1826" spans="1:9" x14ac:dyDescent="0.25">
      <c r="A1826" s="16" t="s">
        <v>2823</v>
      </c>
      <c r="B1826" s="16" t="str">
        <f>TEXT(PARTIDA[[#This Row],[PARTIDA]],"0000000000")</f>
        <v>2852909010</v>
      </c>
      <c r="C1826" s="16" t="s">
        <v>815</v>
      </c>
      <c r="D1826" s="16" t="s">
        <v>835</v>
      </c>
      <c r="E1826" s="16" t="s">
        <v>9465</v>
      </c>
      <c r="F1826" s="27" t="s">
        <v>10796</v>
      </c>
      <c r="G1826" s="27"/>
      <c r="H1826" s="16" t="str">
        <f>IF(ISBLANK(PARTIDAS!$G1826),PARTIDAS!$F1826,CONCATENATE(PARTIDAS!$F1826," (",PARTIDAS!$G1826,")"))</f>
        <v>Compuestos inorgánicos u orgánicos de mercurio, aunque no sean de…, polisulfuros</v>
      </c>
      <c r="I1826" s="16" t="s">
        <v>9427</v>
      </c>
    </row>
    <row r="1827" spans="1:9" x14ac:dyDescent="0.25">
      <c r="A1827" s="16" t="s">
        <v>2824</v>
      </c>
      <c r="B1827" s="16" t="str">
        <f>TEXT(PARTIDA[[#This Row],[PARTIDA]],"0000000000")</f>
        <v>2852909020</v>
      </c>
      <c r="C1827" s="16" t="s">
        <v>815</v>
      </c>
      <c r="D1827" s="16" t="s">
        <v>835</v>
      </c>
      <c r="E1827" s="16" t="s">
        <v>9465</v>
      </c>
      <c r="F1827" s="27" t="s">
        <v>10797</v>
      </c>
      <c r="G1827" s="27"/>
      <c r="H1827" s="16" t="str">
        <f>IF(ISBLANK(PARTIDAS!$G1827),PARTIDAS!$F1827,CONCATENATE(PARTIDAS!$F1827," (",PARTIDAS!$G1827,")"))</f>
        <v>Compuestos inorgánicos u orgánicos de mercurio, aunque no sean de…, polifosfatos</v>
      </c>
      <c r="I1827" s="16" t="s">
        <v>9427</v>
      </c>
    </row>
    <row r="1828" spans="1:9" x14ac:dyDescent="0.25">
      <c r="A1828" s="16" t="s">
        <v>2825</v>
      </c>
      <c r="B1828" s="16" t="str">
        <f>TEXT(PARTIDA[[#This Row],[PARTIDA]],"0000000000")</f>
        <v>2852909030</v>
      </c>
      <c r="C1828" s="16" t="s">
        <v>815</v>
      </c>
      <c r="D1828" s="16" t="s">
        <v>835</v>
      </c>
      <c r="E1828" s="16" t="s">
        <v>9465</v>
      </c>
      <c r="F1828" s="27" t="s">
        <v>10798</v>
      </c>
      <c r="G1828" s="27"/>
      <c r="H1828" s="16" t="str">
        <f>IF(ISBLANK(PARTIDAS!$G1828),PARTIDAS!$F1828,CONCATENATE(PARTIDAS!$F1828," (",PARTIDAS!$G1828,")"))</f>
        <v>Compuestos inorgánicos u orgánicos de mercurio, aunque no sean de… (los demás, sales de los ácidos o peroxoácidos inorgánicos (incluidos los aluminosi</v>
      </c>
      <c r="I1828" s="16" t="s">
        <v>9427</v>
      </c>
    </row>
    <row r="1829" spans="1:9" x14ac:dyDescent="0.25">
      <c r="A1829" s="16" t="s">
        <v>2826</v>
      </c>
      <c r="B1829" s="16" t="str">
        <f>TEXT(PARTIDA[[#This Row],[PARTIDA]],"0000000000")</f>
        <v>2852909040</v>
      </c>
      <c r="C1829" s="16" t="s">
        <v>815</v>
      </c>
      <c r="D1829" s="16" t="s">
        <v>835</v>
      </c>
      <c r="E1829" s="16" t="s">
        <v>9465</v>
      </c>
      <c r="F1829" s="27" t="s">
        <v>10790</v>
      </c>
      <c r="G1829" s="27"/>
      <c r="H1829" s="16" t="str">
        <f>IF(ISBLANK(PARTIDAS!$G1829),PARTIDAS!$F1829,CONCATENATE(PARTIDAS!$F1829," (",PARTIDAS!$G1829,")"))</f>
        <v>Compuestos inorgánicos u orgánicos de metal precioso</v>
      </c>
      <c r="I1829" s="16" t="s">
        <v>9427</v>
      </c>
    </row>
    <row r="1830" spans="1:9" x14ac:dyDescent="0.25">
      <c r="A1830" s="16" t="s">
        <v>2827</v>
      </c>
      <c r="B1830" s="16" t="str">
        <f>TEXT(PARTIDA[[#This Row],[PARTIDA]],"0000000000")</f>
        <v>2852909050</v>
      </c>
      <c r="C1830" s="16" t="s">
        <v>815</v>
      </c>
      <c r="D1830" s="16" t="s">
        <v>835</v>
      </c>
      <c r="E1830" s="16" t="s">
        <v>9465</v>
      </c>
      <c r="F1830" s="27" t="s">
        <v>10799</v>
      </c>
      <c r="G1830" s="27"/>
      <c r="H1830" s="16" t="str">
        <f>IF(ISBLANK(PARTIDAS!$G1830),PARTIDAS!$F1830,CONCATENATE(PARTIDAS!$F1830," (",PARTIDAS!$G1830,")"))</f>
        <v>Compuestos inorgánicos u orgánicos de mercurio, aunque no sean de…, fosfuros</v>
      </c>
      <c r="I1830" s="16" t="s">
        <v>9427</v>
      </c>
    </row>
    <row r="1831" spans="1:9" x14ac:dyDescent="0.25">
      <c r="A1831" s="16" t="s">
        <v>2828</v>
      </c>
      <c r="B1831" s="16" t="str">
        <f>TEXT(PARTIDA[[#This Row],[PARTIDA]],"0000000000")</f>
        <v>2852909060</v>
      </c>
      <c r="C1831" s="16" t="s">
        <v>815</v>
      </c>
      <c r="D1831" s="16" t="s">
        <v>835</v>
      </c>
      <c r="E1831" s="16" t="s">
        <v>9465</v>
      </c>
      <c r="F1831" s="27" t="s">
        <v>10800</v>
      </c>
      <c r="G1831" s="27"/>
      <c r="H1831" s="16" t="str">
        <f>IF(ISBLANK(PARTIDAS!$G1831),PARTIDAS!$F1831,CONCATENATE(PARTIDAS!$F1831," (",PARTIDAS!$G1831,")"))</f>
        <v>Compuestos inorgánicos u orgánicos de mercurio, aunque no sean de…, carburos</v>
      </c>
      <c r="I1831" s="16" t="s">
        <v>9427</v>
      </c>
    </row>
    <row r="1832" spans="1:9" x14ac:dyDescent="0.25">
      <c r="A1832" s="16" t="s">
        <v>2829</v>
      </c>
      <c r="B1832" s="16" t="str">
        <f>TEXT(PARTIDA[[#This Row],[PARTIDA]],"0000000000")</f>
        <v>2852909070</v>
      </c>
      <c r="C1832" s="16" t="s">
        <v>815</v>
      </c>
      <c r="D1832" s="16" t="s">
        <v>835</v>
      </c>
      <c r="E1832" s="16" t="s">
        <v>9465</v>
      </c>
      <c r="F1832" s="27" t="s">
        <v>10793</v>
      </c>
      <c r="G1832" s="27"/>
      <c r="H1832" s="16" t="str">
        <f>IF(ISBLANK(PARTIDAS!$G1832),PARTIDAS!$F1832,CONCATENATE(PARTIDAS!$F1832," (",PARTIDAS!$G1832,")"))</f>
        <v>Hidruros, nitruros, aziduros (azidas), siliciuros y boruros</v>
      </c>
      <c r="I1832" s="16" t="s">
        <v>9427</v>
      </c>
    </row>
    <row r="1833" spans="1:9" x14ac:dyDescent="0.25">
      <c r="A1833" s="16" t="s">
        <v>2830</v>
      </c>
      <c r="B1833" s="16" t="str">
        <f>TEXT(PARTIDA[[#This Row],[PARTIDA]],"0000000000")</f>
        <v>2852909090</v>
      </c>
      <c r="C1833" s="16" t="s">
        <v>815</v>
      </c>
      <c r="D1833" s="16" t="s">
        <v>835</v>
      </c>
      <c r="E1833" s="16" t="s">
        <v>9465</v>
      </c>
      <c r="F1833" s="27" t="s">
        <v>10801</v>
      </c>
      <c r="G1833" s="27"/>
      <c r="H1833" s="16" t="str">
        <f>IF(ISBLANK(PARTIDAS!$G1833),PARTIDAS!$F1833,CONCATENATE(PARTIDAS!$F1833," (",PARTIDAS!$G1833,")"))</f>
        <v>Compuestos inorgánicos u orgánicos de mercurio, aunque no sean de… (los demás)</v>
      </c>
      <c r="I1833" s="16" t="s">
        <v>9427</v>
      </c>
    </row>
    <row r="1834" spans="1:9" x14ac:dyDescent="0.25">
      <c r="A1834" s="16" t="s">
        <v>2831</v>
      </c>
      <c r="B1834" s="16" t="str">
        <f>TEXT(PARTIDA[[#This Row],[PARTIDA]],"0000000000")</f>
        <v>2853100000</v>
      </c>
      <c r="C1834" s="16" t="s">
        <v>815</v>
      </c>
      <c r="D1834" s="16" t="s">
        <v>835</v>
      </c>
      <c r="E1834" s="16" t="s">
        <v>9465</v>
      </c>
      <c r="F1834" s="27" t="s">
        <v>10802</v>
      </c>
      <c r="G1834" s="27"/>
      <c r="H1834" s="16" t="str">
        <f>IF(ISBLANK(PARTIDAS!$G1834),PARTIDAS!$F1834,CONCATENATE(PARTIDAS!$F1834," (",PARTIDAS!$G1834,")"))</f>
        <v>Cloruro de cianógeno («chlorcyan»)</v>
      </c>
      <c r="I1834" s="16" t="s">
        <v>9427</v>
      </c>
    </row>
    <row r="1835" spans="1:9" x14ac:dyDescent="0.25">
      <c r="A1835" s="16" t="s">
        <v>2832</v>
      </c>
      <c r="B1835" s="16" t="str">
        <f>TEXT(PARTIDA[[#This Row],[PARTIDA]],"0000000000")</f>
        <v>2853901000</v>
      </c>
      <c r="C1835" s="16" t="s">
        <v>815</v>
      </c>
      <c r="D1835" s="16" t="s">
        <v>835</v>
      </c>
      <c r="E1835" s="16" t="s">
        <v>9465</v>
      </c>
      <c r="F1835" s="27" t="s">
        <v>10803</v>
      </c>
      <c r="G1835" s="27"/>
      <c r="H1835" s="16" t="str">
        <f>IF(ISBLANK(PARTIDAS!$G1835),PARTIDAS!$F1835,CONCATENATE(PARTIDAS!$F1835," (",PARTIDAS!$G1835,")"))</f>
        <v>Agua destilada, de conductibilidad o del mismo grado de pureza; aire líquido y aire purificado</v>
      </c>
      <c r="I1835" s="16" t="s">
        <v>9427</v>
      </c>
    </row>
    <row r="1836" spans="1:9" x14ac:dyDescent="0.25">
      <c r="A1836" s="16" t="s">
        <v>2833</v>
      </c>
      <c r="B1836" s="16" t="str">
        <f>TEXT(PARTIDA[[#This Row],[PARTIDA]],"0000000000")</f>
        <v>2853909000</v>
      </c>
      <c r="C1836" s="16" t="s">
        <v>815</v>
      </c>
      <c r="D1836" s="16" t="s">
        <v>835</v>
      </c>
      <c r="E1836" s="16" t="s">
        <v>9465</v>
      </c>
      <c r="F1836" s="27" t="s">
        <v>10804</v>
      </c>
      <c r="G1836" s="27"/>
      <c r="H1836" s="16" t="str">
        <f>IF(ISBLANK(PARTIDAS!$G1836),PARTIDAS!$F1836,CONCATENATE(PARTIDAS!$F1836," (",PARTIDAS!$G1836,")"))</f>
        <v>Fosfuros, aunque no sean de constitución química definida (los demás)</v>
      </c>
      <c r="I1836" s="16" t="s">
        <v>9427</v>
      </c>
    </row>
    <row r="1837" spans="1:9" x14ac:dyDescent="0.25">
      <c r="A1837" s="16" t="s">
        <v>2834</v>
      </c>
      <c r="B1837" s="16" t="str">
        <f>TEXT(PARTIDA[[#This Row],[PARTIDA]],"0000000000")</f>
        <v>2901100000</v>
      </c>
      <c r="C1837" s="16" t="s">
        <v>815</v>
      </c>
      <c r="D1837" s="16" t="s">
        <v>835</v>
      </c>
      <c r="E1837" s="16" t="s">
        <v>9465</v>
      </c>
      <c r="F1837" s="27" t="s">
        <v>9380</v>
      </c>
      <c r="G1837" s="27"/>
      <c r="H1837" s="16" t="str">
        <f>IF(ISBLANK(PARTIDAS!$G1837),PARTIDAS!$F1837,CONCATENATE(PARTIDAS!$F1837," (",PARTIDAS!$G1837,")"))</f>
        <v>Saturados</v>
      </c>
      <c r="I1837" s="16" t="s">
        <v>9477</v>
      </c>
    </row>
    <row r="1838" spans="1:9" x14ac:dyDescent="0.25">
      <c r="A1838" s="16" t="s">
        <v>2835</v>
      </c>
      <c r="B1838" s="16" t="str">
        <f>TEXT(PARTIDA[[#This Row],[PARTIDA]],"0000000000")</f>
        <v>2901210000</v>
      </c>
      <c r="C1838" s="16" t="s">
        <v>815</v>
      </c>
      <c r="D1838" s="16" t="s">
        <v>835</v>
      </c>
      <c r="E1838" s="16" t="s">
        <v>9465</v>
      </c>
      <c r="F1838" s="27" t="s">
        <v>10805</v>
      </c>
      <c r="G1838" s="27"/>
      <c r="H1838" s="16" t="str">
        <f>IF(ISBLANK(PARTIDAS!$G1838),PARTIDAS!$F1838,CONCATENATE(PARTIDAS!$F1838," (",PARTIDAS!$G1838,")"))</f>
        <v>No saturados, etileno</v>
      </c>
      <c r="I1838" s="16" t="s">
        <v>9427</v>
      </c>
    </row>
    <row r="1839" spans="1:9" x14ac:dyDescent="0.25">
      <c r="A1839" s="16" t="s">
        <v>2836</v>
      </c>
      <c r="B1839" s="16" t="str">
        <f>TEXT(PARTIDA[[#This Row],[PARTIDA]],"0000000000")</f>
        <v>2901220000</v>
      </c>
      <c r="C1839" s="16" t="s">
        <v>815</v>
      </c>
      <c r="D1839" s="16" t="s">
        <v>835</v>
      </c>
      <c r="E1839" s="16" t="s">
        <v>9465</v>
      </c>
      <c r="F1839" s="27" t="s">
        <v>10806</v>
      </c>
      <c r="G1839" s="27"/>
      <c r="H1839" s="16" t="str">
        <f>IF(ISBLANK(PARTIDAS!$G1839),PARTIDAS!$F1839,CONCATENATE(PARTIDAS!$F1839," (",PARTIDAS!$G1839,")"))</f>
        <v>Propeno (propileno)</v>
      </c>
      <c r="I1839" s="16" t="s">
        <v>9427</v>
      </c>
    </row>
    <row r="1840" spans="1:9" x14ac:dyDescent="0.25">
      <c r="A1840" s="16" t="s">
        <v>2837</v>
      </c>
      <c r="B1840" s="16" t="str">
        <f>TEXT(PARTIDA[[#This Row],[PARTIDA]],"0000000000")</f>
        <v>2901230000</v>
      </c>
      <c r="C1840" s="16" t="s">
        <v>815</v>
      </c>
      <c r="D1840" s="16" t="s">
        <v>835</v>
      </c>
      <c r="E1840" s="16" t="s">
        <v>9465</v>
      </c>
      <c r="F1840" s="27" t="s">
        <v>10807</v>
      </c>
      <c r="G1840" s="27"/>
      <c r="H1840" s="16" t="str">
        <f>IF(ISBLANK(PARTIDAS!$G1840),PARTIDAS!$F1840,CONCATENATE(PARTIDAS!$F1840," (",PARTIDAS!$G1840,")"))</f>
        <v>Buteno (butileno) y sus isómeros</v>
      </c>
      <c r="I1840" s="16" t="s">
        <v>9427</v>
      </c>
    </row>
    <row r="1841" spans="1:9" x14ac:dyDescent="0.25">
      <c r="A1841" s="16" t="s">
        <v>2838</v>
      </c>
      <c r="B1841" s="16" t="str">
        <f>TEXT(PARTIDA[[#This Row],[PARTIDA]],"0000000000")</f>
        <v>2901240000</v>
      </c>
      <c r="C1841" s="16" t="s">
        <v>815</v>
      </c>
      <c r="D1841" s="16" t="s">
        <v>835</v>
      </c>
      <c r="E1841" s="16" t="s">
        <v>9465</v>
      </c>
      <c r="F1841" s="27" t="s">
        <v>10808</v>
      </c>
      <c r="G1841" s="27"/>
      <c r="H1841" s="16" t="str">
        <f>IF(ISBLANK(PARTIDAS!$G1841),PARTIDAS!$F1841,CONCATENATE(PARTIDAS!$F1841," (",PARTIDAS!$G1841,")"))</f>
        <v>Buta-1,3-dieno e isopreno</v>
      </c>
      <c r="I1841" s="16" t="s">
        <v>9427</v>
      </c>
    </row>
    <row r="1842" spans="1:9" x14ac:dyDescent="0.25">
      <c r="A1842" s="16" t="s">
        <v>2839</v>
      </c>
      <c r="B1842" s="16" t="str">
        <f>TEXT(PARTIDA[[#This Row],[PARTIDA]],"0000000000")</f>
        <v>2901290000</v>
      </c>
      <c r="C1842" s="16" t="s">
        <v>815</v>
      </c>
      <c r="D1842" s="16" t="s">
        <v>835</v>
      </c>
      <c r="E1842" s="16" t="s">
        <v>9465</v>
      </c>
      <c r="F1842" s="27" t="s">
        <v>10809</v>
      </c>
      <c r="G1842" s="27"/>
      <c r="H1842" s="16" t="str">
        <f>IF(ISBLANK(PARTIDAS!$G1842),PARTIDAS!$F1842,CONCATENATE(PARTIDAS!$F1842," (",PARTIDAS!$G1842,")"))</f>
        <v>No saturados (los demás)</v>
      </c>
      <c r="I1842" s="16" t="s">
        <v>9427</v>
      </c>
    </row>
    <row r="1843" spans="1:9" x14ac:dyDescent="0.25">
      <c r="A1843" s="16" t="s">
        <v>2840</v>
      </c>
      <c r="B1843" s="16" t="str">
        <f>TEXT(PARTIDA[[#This Row],[PARTIDA]],"0000000000")</f>
        <v>2902110000</v>
      </c>
      <c r="C1843" s="16" t="s">
        <v>815</v>
      </c>
      <c r="D1843" s="16" t="s">
        <v>835</v>
      </c>
      <c r="E1843" s="16" t="s">
        <v>9465</v>
      </c>
      <c r="F1843" s="27" t="s">
        <v>10810</v>
      </c>
      <c r="G1843" s="27"/>
      <c r="H1843" s="16" t="str">
        <f>IF(ISBLANK(PARTIDAS!$G1843),PARTIDAS!$F1843,CONCATENATE(PARTIDAS!$F1843," (",PARTIDAS!$G1843,")"))</f>
        <v>Ciclánicos, ciclénicos o cicloterpénicos, ciclohexano</v>
      </c>
      <c r="I1843" s="16" t="s">
        <v>9427</v>
      </c>
    </row>
    <row r="1844" spans="1:9" x14ac:dyDescent="0.25">
      <c r="A1844" s="16" t="s">
        <v>2841</v>
      </c>
      <c r="B1844" s="16" t="str">
        <f>TEXT(PARTIDA[[#This Row],[PARTIDA]],"0000000000")</f>
        <v>2902190000</v>
      </c>
      <c r="C1844" s="16" t="s">
        <v>815</v>
      </c>
      <c r="D1844" s="16" t="s">
        <v>835</v>
      </c>
      <c r="E1844" s="16" t="s">
        <v>9465</v>
      </c>
      <c r="F1844" s="27" t="s">
        <v>10811</v>
      </c>
      <c r="G1844" s="27"/>
      <c r="H1844" s="16" t="str">
        <f>IF(ISBLANK(PARTIDAS!$G1844),PARTIDAS!$F1844,CONCATENATE(PARTIDAS!$F1844," (",PARTIDAS!$G1844,")"))</f>
        <v>Ciclánicos, ciclénicos o cicloterpénicos (los demás)</v>
      </c>
      <c r="I1844" s="16" t="s">
        <v>9427</v>
      </c>
    </row>
    <row r="1845" spans="1:9" x14ac:dyDescent="0.25">
      <c r="A1845" s="16" t="s">
        <v>2842</v>
      </c>
      <c r="B1845" s="16" t="str">
        <f>TEXT(PARTIDA[[#This Row],[PARTIDA]],"0000000000")</f>
        <v>2902200000</v>
      </c>
      <c r="C1845" s="16" t="s">
        <v>815</v>
      </c>
      <c r="D1845" s="16" t="s">
        <v>835</v>
      </c>
      <c r="E1845" s="16" t="s">
        <v>9465</v>
      </c>
      <c r="F1845" s="27" t="s">
        <v>10812</v>
      </c>
      <c r="G1845" s="27"/>
      <c r="H1845" s="16" t="str">
        <f>IF(ISBLANK(PARTIDAS!$G1845),PARTIDAS!$F1845,CONCATENATE(PARTIDAS!$F1845," (",PARTIDAS!$G1845,")"))</f>
        <v>Benceno</v>
      </c>
      <c r="I1845" s="16" t="s">
        <v>9427</v>
      </c>
    </row>
    <row r="1846" spans="1:9" x14ac:dyDescent="0.25">
      <c r="A1846" s="16" t="s">
        <v>2843</v>
      </c>
      <c r="B1846" s="16" t="str">
        <f>TEXT(PARTIDA[[#This Row],[PARTIDA]],"0000000000")</f>
        <v>2902300000</v>
      </c>
      <c r="C1846" s="16" t="s">
        <v>815</v>
      </c>
      <c r="D1846" s="16" t="s">
        <v>835</v>
      </c>
      <c r="E1846" s="16" t="s">
        <v>9465</v>
      </c>
      <c r="F1846" s="27" t="s">
        <v>10813</v>
      </c>
      <c r="G1846" s="27"/>
      <c r="H1846" s="16" t="str">
        <f>IF(ISBLANK(PARTIDAS!$G1846),PARTIDAS!$F1846,CONCATENATE(PARTIDAS!$F1846," (",PARTIDAS!$G1846,")"))</f>
        <v>Tolueno</v>
      </c>
      <c r="I1846" s="16" t="s">
        <v>9427</v>
      </c>
    </row>
    <row r="1847" spans="1:9" x14ac:dyDescent="0.25">
      <c r="A1847" s="16" t="s">
        <v>2844</v>
      </c>
      <c r="B1847" s="16" t="str">
        <f>TEXT(PARTIDA[[#This Row],[PARTIDA]],"0000000000")</f>
        <v>2902410000</v>
      </c>
      <c r="C1847" s="16" t="s">
        <v>815</v>
      </c>
      <c r="D1847" s="16" t="s">
        <v>835</v>
      </c>
      <c r="E1847" s="16" t="s">
        <v>9465</v>
      </c>
      <c r="F1847" s="27" t="s">
        <v>10814</v>
      </c>
      <c r="G1847" s="27"/>
      <c r="H1847" s="16" t="str">
        <f>IF(ISBLANK(PARTIDAS!$G1847),PARTIDAS!$F1847,CONCATENATE(PARTIDAS!$F1847," (",PARTIDAS!$G1847,")"))</f>
        <v>Xilenos, o-Xileno</v>
      </c>
      <c r="I1847" s="16" t="s">
        <v>9427</v>
      </c>
    </row>
    <row r="1848" spans="1:9" x14ac:dyDescent="0.25">
      <c r="A1848" s="16" t="s">
        <v>2845</v>
      </c>
      <c r="B1848" s="16" t="str">
        <f>TEXT(PARTIDA[[#This Row],[PARTIDA]],"0000000000")</f>
        <v>2902420000</v>
      </c>
      <c r="C1848" s="16" t="s">
        <v>815</v>
      </c>
      <c r="D1848" s="16" t="s">
        <v>835</v>
      </c>
      <c r="E1848" s="16" t="s">
        <v>9465</v>
      </c>
      <c r="F1848" s="27" t="s">
        <v>10815</v>
      </c>
      <c r="G1848" s="27"/>
      <c r="H1848" s="16" t="str">
        <f>IF(ISBLANK(PARTIDAS!$G1848),PARTIDAS!$F1848,CONCATENATE(PARTIDAS!$F1848," (",PARTIDAS!$G1848,")"))</f>
        <v>Xilenos, m-Xileno</v>
      </c>
      <c r="I1848" s="16" t="s">
        <v>9427</v>
      </c>
    </row>
    <row r="1849" spans="1:9" x14ac:dyDescent="0.25">
      <c r="A1849" s="16" t="s">
        <v>2846</v>
      </c>
      <c r="B1849" s="16" t="str">
        <f>TEXT(PARTIDA[[#This Row],[PARTIDA]],"0000000000")</f>
        <v>2902430000</v>
      </c>
      <c r="C1849" s="16" t="s">
        <v>815</v>
      </c>
      <c r="D1849" s="16" t="s">
        <v>835</v>
      </c>
      <c r="E1849" s="16" t="s">
        <v>9465</v>
      </c>
      <c r="F1849" s="27" t="s">
        <v>10816</v>
      </c>
      <c r="G1849" s="27"/>
      <c r="H1849" s="16" t="str">
        <f>IF(ISBLANK(PARTIDAS!$G1849),PARTIDAS!$F1849,CONCATENATE(PARTIDAS!$F1849," (",PARTIDAS!$G1849,")"))</f>
        <v>Xilenos, p-Xileno</v>
      </c>
      <c r="I1849" s="16" t="s">
        <v>9427</v>
      </c>
    </row>
    <row r="1850" spans="1:9" x14ac:dyDescent="0.25">
      <c r="A1850" s="16" t="s">
        <v>2847</v>
      </c>
      <c r="B1850" s="16" t="str">
        <f>TEXT(PARTIDA[[#This Row],[PARTIDA]],"0000000000")</f>
        <v>2902440000</v>
      </c>
      <c r="C1850" s="16" t="s">
        <v>815</v>
      </c>
      <c r="D1850" s="16" t="s">
        <v>835</v>
      </c>
      <c r="E1850" s="16" t="s">
        <v>9465</v>
      </c>
      <c r="F1850" s="27" t="s">
        <v>10817</v>
      </c>
      <c r="G1850" s="27"/>
      <c r="H1850" s="16" t="str">
        <f>IF(ISBLANK(PARTIDAS!$G1850),PARTIDAS!$F1850,CONCATENATE(PARTIDAS!$F1850," (",PARTIDAS!$G1850,")"))</f>
        <v>Mezclas de isómeros del xileno</v>
      </c>
      <c r="I1850" s="16" t="s">
        <v>9427</v>
      </c>
    </row>
    <row r="1851" spans="1:9" x14ac:dyDescent="0.25">
      <c r="A1851" s="16" t="s">
        <v>2848</v>
      </c>
      <c r="B1851" s="16" t="str">
        <f>TEXT(PARTIDA[[#This Row],[PARTIDA]],"0000000000")</f>
        <v>2902500000</v>
      </c>
      <c r="C1851" s="16" t="s">
        <v>815</v>
      </c>
      <c r="D1851" s="16" t="s">
        <v>835</v>
      </c>
      <c r="E1851" s="16" t="s">
        <v>9465</v>
      </c>
      <c r="F1851" s="27" t="s">
        <v>10818</v>
      </c>
      <c r="G1851" s="27"/>
      <c r="H1851" s="16" t="str">
        <f>IF(ISBLANK(PARTIDAS!$G1851),PARTIDAS!$F1851,CONCATENATE(PARTIDAS!$F1851," (",PARTIDAS!$G1851,")"))</f>
        <v>Estireno</v>
      </c>
      <c r="I1851" s="16" t="s">
        <v>9427</v>
      </c>
    </row>
    <row r="1852" spans="1:9" x14ac:dyDescent="0.25">
      <c r="A1852" s="16" t="s">
        <v>2849</v>
      </c>
      <c r="B1852" s="16" t="str">
        <f>TEXT(PARTIDA[[#This Row],[PARTIDA]],"0000000000")</f>
        <v>2902600000</v>
      </c>
      <c r="C1852" s="16" t="s">
        <v>815</v>
      </c>
      <c r="D1852" s="16" t="s">
        <v>835</v>
      </c>
      <c r="E1852" s="16" t="s">
        <v>9465</v>
      </c>
      <c r="F1852" s="27" t="s">
        <v>10819</v>
      </c>
      <c r="G1852" s="27"/>
      <c r="H1852" s="16" t="str">
        <f>IF(ISBLANK(PARTIDAS!$G1852),PARTIDAS!$F1852,CONCATENATE(PARTIDAS!$F1852," (",PARTIDAS!$G1852,")"))</f>
        <v>Etilbenceno</v>
      </c>
      <c r="I1852" s="16" t="s">
        <v>9427</v>
      </c>
    </row>
    <row r="1853" spans="1:9" x14ac:dyDescent="0.25">
      <c r="A1853" s="16" t="s">
        <v>2850</v>
      </c>
      <c r="B1853" s="16" t="str">
        <f>TEXT(PARTIDA[[#This Row],[PARTIDA]],"0000000000")</f>
        <v>2902700000</v>
      </c>
      <c r="C1853" s="16" t="s">
        <v>815</v>
      </c>
      <c r="D1853" s="16" t="s">
        <v>835</v>
      </c>
      <c r="E1853" s="16" t="s">
        <v>9465</v>
      </c>
      <c r="F1853" s="27" t="s">
        <v>10820</v>
      </c>
      <c r="G1853" s="27"/>
      <c r="H1853" s="16" t="str">
        <f>IF(ISBLANK(PARTIDAS!$G1853),PARTIDAS!$F1853,CONCATENATE(PARTIDAS!$F1853," (",PARTIDAS!$G1853,")"))</f>
        <v>Cumeno</v>
      </c>
      <c r="I1853" s="16" t="s">
        <v>9427</v>
      </c>
    </row>
    <row r="1854" spans="1:9" x14ac:dyDescent="0.25">
      <c r="A1854" s="16" t="s">
        <v>2851</v>
      </c>
      <c r="B1854" s="16" t="str">
        <f>TEXT(PARTIDA[[#This Row],[PARTIDA]],"0000000000")</f>
        <v>2902901000</v>
      </c>
      <c r="C1854" s="16" t="s">
        <v>815</v>
      </c>
      <c r="D1854" s="16" t="s">
        <v>835</v>
      </c>
      <c r="E1854" s="16" t="s">
        <v>9465</v>
      </c>
      <c r="F1854" s="27" t="s">
        <v>10821</v>
      </c>
      <c r="G1854" s="27"/>
      <c r="H1854" s="16" t="str">
        <f>IF(ISBLANK(PARTIDAS!$G1854),PARTIDAS!$F1854,CONCATENATE(PARTIDAS!$F1854," (",PARTIDAS!$G1854,")"))</f>
        <v>Hidrocarburos cíclicos, naftaleno</v>
      </c>
      <c r="I1854" s="16" t="s">
        <v>9427</v>
      </c>
    </row>
    <row r="1855" spans="1:9" x14ac:dyDescent="0.25">
      <c r="A1855" s="16" t="s">
        <v>2852</v>
      </c>
      <c r="B1855" s="16" t="str">
        <f>TEXT(PARTIDA[[#This Row],[PARTIDA]],"0000000000")</f>
        <v>2902909000</v>
      </c>
      <c r="C1855" s="16" t="s">
        <v>815</v>
      </c>
      <c r="D1855" s="16" t="s">
        <v>835</v>
      </c>
      <c r="E1855" s="16" t="s">
        <v>9465</v>
      </c>
      <c r="F1855" s="27" t="s">
        <v>10822</v>
      </c>
      <c r="G1855" s="27"/>
      <c r="H1855" s="16" t="str">
        <f>IF(ISBLANK(PARTIDAS!$G1855),PARTIDAS!$F1855,CONCATENATE(PARTIDAS!$F1855," (",PARTIDAS!$G1855,")"))</f>
        <v>Hidrocarburos cíclicos (los demás)</v>
      </c>
      <c r="I1855" s="16" t="s">
        <v>9427</v>
      </c>
    </row>
    <row r="1856" spans="1:9" x14ac:dyDescent="0.25">
      <c r="A1856" s="16" t="s">
        <v>2853</v>
      </c>
      <c r="B1856" s="16" t="str">
        <f>TEXT(PARTIDA[[#This Row],[PARTIDA]],"0000000000")</f>
        <v>2903111000</v>
      </c>
      <c r="C1856" s="16" t="s">
        <v>815</v>
      </c>
      <c r="D1856" s="16" t="s">
        <v>835</v>
      </c>
      <c r="E1856" s="16" t="s">
        <v>9465</v>
      </c>
      <c r="F1856" s="27" t="s">
        <v>10823</v>
      </c>
      <c r="G1856" s="27"/>
      <c r="H1856" s="16" t="str">
        <f>IF(ISBLANK(PARTIDAS!$G1856),PARTIDAS!$F1856,CONCATENATE(PARTIDAS!$F1856," (",PARTIDAS!$G1856,")"))</f>
        <v>Clorometano (cloruro de metilo)</v>
      </c>
      <c r="I1856" s="16" t="s">
        <v>9427</v>
      </c>
    </row>
    <row r="1857" spans="1:9" x14ac:dyDescent="0.25">
      <c r="A1857" s="16" t="s">
        <v>2854</v>
      </c>
      <c r="B1857" s="16" t="str">
        <f>TEXT(PARTIDA[[#This Row],[PARTIDA]],"0000000000")</f>
        <v>2903112000</v>
      </c>
      <c r="C1857" s="16" t="s">
        <v>815</v>
      </c>
      <c r="D1857" s="16" t="s">
        <v>835</v>
      </c>
      <c r="E1857" s="16" t="s">
        <v>9465</v>
      </c>
      <c r="F1857" s="27" t="s">
        <v>10824</v>
      </c>
      <c r="G1857" s="27"/>
      <c r="H1857" s="16" t="str">
        <f>IF(ISBLANK(PARTIDAS!$G1857),PARTIDAS!$F1857,CONCATENATE(PARTIDAS!$F1857," (",PARTIDAS!$G1857,")"))</f>
        <v>Cloroetano (cloruro de etilo)</v>
      </c>
      <c r="I1857" s="16" t="s">
        <v>9427</v>
      </c>
    </row>
    <row r="1858" spans="1:9" x14ac:dyDescent="0.25">
      <c r="A1858" s="16" t="s">
        <v>2855</v>
      </c>
      <c r="B1858" s="16" t="str">
        <f>TEXT(PARTIDA[[#This Row],[PARTIDA]],"0000000000")</f>
        <v>2903120000</v>
      </c>
      <c r="C1858" s="16" t="s">
        <v>815</v>
      </c>
      <c r="D1858" s="16" t="s">
        <v>835</v>
      </c>
      <c r="E1858" s="16" t="s">
        <v>9465</v>
      </c>
      <c r="F1858" s="27" t="s">
        <v>10825</v>
      </c>
      <c r="G1858" s="27"/>
      <c r="H1858" s="16" t="str">
        <f>IF(ISBLANK(PARTIDAS!$G1858),PARTIDAS!$F1858,CONCATENATE(PARTIDAS!$F1858," (",PARTIDAS!$G1858,")"))</f>
        <v>Diclorometano (cloruro de metileno)</v>
      </c>
      <c r="I1858" s="16" t="s">
        <v>9427</v>
      </c>
    </row>
    <row r="1859" spans="1:9" x14ac:dyDescent="0.25">
      <c r="A1859" s="16" t="s">
        <v>2856</v>
      </c>
      <c r="B1859" s="16" t="str">
        <f>TEXT(PARTIDA[[#This Row],[PARTIDA]],"0000000000")</f>
        <v>2903130000</v>
      </c>
      <c r="C1859" s="16" t="s">
        <v>815</v>
      </c>
      <c r="D1859" s="16" t="s">
        <v>835</v>
      </c>
      <c r="E1859" s="16" t="s">
        <v>9465</v>
      </c>
      <c r="F1859" s="27" t="s">
        <v>10826</v>
      </c>
      <c r="G1859" s="27"/>
      <c r="H1859" s="16" t="str">
        <f>IF(ISBLANK(PARTIDAS!$G1859),PARTIDAS!$F1859,CONCATENATE(PARTIDAS!$F1859," (",PARTIDAS!$G1859,")"))</f>
        <v>Cloroformo (triclorometano)</v>
      </c>
      <c r="I1859" s="16" t="s">
        <v>9427</v>
      </c>
    </row>
    <row r="1860" spans="1:9" x14ac:dyDescent="0.25">
      <c r="A1860" s="16" t="s">
        <v>2857</v>
      </c>
      <c r="B1860" s="16" t="str">
        <f>TEXT(PARTIDA[[#This Row],[PARTIDA]],"0000000000")</f>
        <v>2903140000</v>
      </c>
      <c r="C1860" s="16" t="s">
        <v>815</v>
      </c>
      <c r="D1860" s="16" t="s">
        <v>835</v>
      </c>
      <c r="E1860" s="16" t="s">
        <v>9465</v>
      </c>
      <c r="F1860" s="27" t="s">
        <v>10827</v>
      </c>
      <c r="G1860" s="27"/>
      <c r="H1860" s="16" t="str">
        <f>IF(ISBLANK(PARTIDAS!$G1860),PARTIDAS!$F1860,CONCATENATE(PARTIDAS!$F1860," (",PARTIDAS!$G1860,")"))</f>
        <v>Tetracloruro de carbono</v>
      </c>
      <c r="I1860" s="16" t="s">
        <v>9427</v>
      </c>
    </row>
    <row r="1861" spans="1:9" x14ac:dyDescent="0.25">
      <c r="A1861" s="16" t="s">
        <v>2858</v>
      </c>
      <c r="B1861" s="16" t="str">
        <f>TEXT(PARTIDA[[#This Row],[PARTIDA]],"0000000000")</f>
        <v>2903150000</v>
      </c>
      <c r="C1861" s="16" t="s">
        <v>815</v>
      </c>
      <c r="D1861" s="16" t="s">
        <v>835</v>
      </c>
      <c r="E1861" s="16" t="s">
        <v>9465</v>
      </c>
      <c r="F1861" s="27" t="s">
        <v>10828</v>
      </c>
      <c r="G1861" s="27"/>
      <c r="H1861" s="16" t="str">
        <f>IF(ISBLANK(PARTIDAS!$G1861),PARTIDAS!$F1861,CONCATENATE(PARTIDAS!$F1861," (",PARTIDAS!$G1861,")"))</f>
        <v>Dicloruro de etileno (ISO) (1,2-dicloroetano)</v>
      </c>
      <c r="I1861" s="16" t="s">
        <v>9427</v>
      </c>
    </row>
    <row r="1862" spans="1:9" x14ac:dyDescent="0.25">
      <c r="A1862" s="16" t="s">
        <v>2859</v>
      </c>
      <c r="B1862" s="16" t="str">
        <f>TEXT(PARTIDA[[#This Row],[PARTIDA]],"0000000000")</f>
        <v>2903191000</v>
      </c>
      <c r="C1862" s="16" t="s">
        <v>815</v>
      </c>
      <c r="D1862" s="16" t="s">
        <v>835</v>
      </c>
      <c r="E1862" s="16" t="s">
        <v>9465</v>
      </c>
      <c r="F1862" s="27" t="s">
        <v>10829</v>
      </c>
      <c r="G1862" s="27"/>
      <c r="H1862" s="16" t="str">
        <f>IF(ISBLANK(PARTIDAS!$G1862),PARTIDAS!$F1862,CONCATENATE(PARTIDAS!$F1862," (",PARTIDAS!$G1862,")"))</f>
        <v>Derivados clorados de los hidrocarburos acíclicos saturados, 1,1,1-Tricloroetano (metil-cloroformo)</v>
      </c>
      <c r="I1862" s="16" t="s">
        <v>9427</v>
      </c>
    </row>
    <row r="1863" spans="1:9" x14ac:dyDescent="0.25">
      <c r="A1863" s="16" t="s">
        <v>2860</v>
      </c>
      <c r="B1863" s="16" t="str">
        <f>TEXT(PARTIDA[[#This Row],[PARTIDA]],"0000000000")</f>
        <v>2903199000</v>
      </c>
      <c r="C1863" s="16" t="s">
        <v>815</v>
      </c>
      <c r="D1863" s="16" t="s">
        <v>835</v>
      </c>
      <c r="E1863" s="16" t="s">
        <v>9465</v>
      </c>
      <c r="F1863" s="27" t="s">
        <v>10830</v>
      </c>
      <c r="G1863" s="27"/>
      <c r="H1863" s="16" t="str">
        <f>IF(ISBLANK(PARTIDAS!$G1863),PARTIDAS!$F1863,CONCATENATE(PARTIDAS!$F1863," (",PARTIDAS!$G1863,")"))</f>
        <v>Derivados clorados de los hidrocarburos acíclicos saturados (los demás)</v>
      </c>
      <c r="I1863" s="16" t="s">
        <v>9427</v>
      </c>
    </row>
    <row r="1864" spans="1:9" x14ac:dyDescent="0.25">
      <c r="A1864" s="16" t="s">
        <v>2861</v>
      </c>
      <c r="B1864" s="16" t="str">
        <f>TEXT(PARTIDA[[#This Row],[PARTIDA]],"0000000000")</f>
        <v>2903210000</v>
      </c>
      <c r="C1864" s="16" t="s">
        <v>815</v>
      </c>
      <c r="D1864" s="16" t="s">
        <v>835</v>
      </c>
      <c r="E1864" s="16" t="s">
        <v>9465</v>
      </c>
      <c r="F1864" s="27" t="s">
        <v>10831</v>
      </c>
      <c r="G1864" s="27"/>
      <c r="H1864" s="16" t="str">
        <f>IF(ISBLANK(PARTIDAS!$G1864),PARTIDAS!$F1864,CONCATENATE(PARTIDAS!$F1864," (",PARTIDAS!$G1864,")"))</f>
        <v>Cloruro de vinilo (cloroetileno)</v>
      </c>
      <c r="I1864" s="16" t="s">
        <v>9427</v>
      </c>
    </row>
    <row r="1865" spans="1:9" x14ac:dyDescent="0.25">
      <c r="A1865" s="16" t="s">
        <v>2862</v>
      </c>
      <c r="B1865" s="16" t="str">
        <f>TEXT(PARTIDA[[#This Row],[PARTIDA]],"0000000000")</f>
        <v>2903220000</v>
      </c>
      <c r="C1865" s="16" t="s">
        <v>815</v>
      </c>
      <c r="D1865" s="16" t="s">
        <v>835</v>
      </c>
      <c r="E1865" s="16" t="s">
        <v>9465</v>
      </c>
      <c r="F1865" s="27" t="s">
        <v>10832</v>
      </c>
      <c r="G1865" s="27"/>
      <c r="H1865" s="16" t="str">
        <f>IF(ISBLANK(PARTIDAS!$G1865),PARTIDAS!$F1865,CONCATENATE(PARTIDAS!$F1865," (",PARTIDAS!$G1865,")"))</f>
        <v>Derivados clorados de los hidrocarburos acíclicos no saturados, tricloroetileno</v>
      </c>
      <c r="I1865" s="16" t="s">
        <v>9427</v>
      </c>
    </row>
    <row r="1866" spans="1:9" x14ac:dyDescent="0.25">
      <c r="A1866" s="16" t="s">
        <v>2863</v>
      </c>
      <c r="B1866" s="16" t="str">
        <f>TEXT(PARTIDA[[#This Row],[PARTIDA]],"0000000000")</f>
        <v>2903230000</v>
      </c>
      <c r="C1866" s="16" t="s">
        <v>815</v>
      </c>
      <c r="D1866" s="16" t="s">
        <v>835</v>
      </c>
      <c r="E1866" s="16" t="s">
        <v>9465</v>
      </c>
      <c r="F1866" s="27" t="s">
        <v>10833</v>
      </c>
      <c r="G1866" s="27"/>
      <c r="H1866" s="16" t="str">
        <f>IF(ISBLANK(PARTIDAS!$G1866),PARTIDAS!$F1866,CONCATENATE(PARTIDAS!$F1866," (",PARTIDAS!$G1866,")"))</f>
        <v>Tetracloroetileno (percloroetileno)</v>
      </c>
      <c r="I1866" s="16" t="s">
        <v>9427</v>
      </c>
    </row>
    <row r="1867" spans="1:9" x14ac:dyDescent="0.25">
      <c r="A1867" s="16" t="s">
        <v>2864</v>
      </c>
      <c r="B1867" s="16" t="str">
        <f>TEXT(PARTIDA[[#This Row],[PARTIDA]],"0000000000")</f>
        <v>2903291000</v>
      </c>
      <c r="C1867" s="16" t="s">
        <v>815</v>
      </c>
      <c r="D1867" s="16" t="s">
        <v>835</v>
      </c>
      <c r="E1867" s="16" t="s">
        <v>9465</v>
      </c>
      <c r="F1867" s="27" t="s">
        <v>10834</v>
      </c>
      <c r="G1867" s="27"/>
      <c r="H1867" s="16" t="str">
        <f>IF(ISBLANK(PARTIDAS!$G1867),PARTIDAS!$F1867,CONCATENATE(PARTIDAS!$F1867," (",PARTIDAS!$G1867,")"))</f>
        <v>Cloruro de vinilideno (monómero)</v>
      </c>
      <c r="I1867" s="16" t="s">
        <v>9427</v>
      </c>
    </row>
    <row r="1868" spans="1:9" x14ac:dyDescent="0.25">
      <c r="A1868" s="16" t="s">
        <v>2865</v>
      </c>
      <c r="B1868" s="16" t="str">
        <f>TEXT(PARTIDA[[#This Row],[PARTIDA]],"0000000000")</f>
        <v>2903299000</v>
      </c>
      <c r="C1868" s="16" t="s">
        <v>815</v>
      </c>
      <c r="D1868" s="16" t="s">
        <v>835</v>
      </c>
      <c r="E1868" s="16" t="s">
        <v>9465</v>
      </c>
      <c r="F1868" s="27" t="s">
        <v>10835</v>
      </c>
      <c r="G1868" s="27"/>
      <c r="H1868" s="16" t="str">
        <f>IF(ISBLANK(PARTIDAS!$G1868),PARTIDAS!$F1868,CONCATENATE(PARTIDAS!$F1868," (",PARTIDAS!$G1868,")"))</f>
        <v>Derivados clorados de los hidrocarburos acíclicos no saturados (los demás)</v>
      </c>
      <c r="I1868" s="16" t="s">
        <v>9427</v>
      </c>
    </row>
    <row r="1869" spans="1:9" x14ac:dyDescent="0.25">
      <c r="A1869" s="16" t="s">
        <v>2866</v>
      </c>
      <c r="B1869" s="16" t="str">
        <f>TEXT(PARTIDA[[#This Row],[PARTIDA]],"0000000000")</f>
        <v>2903310000</v>
      </c>
      <c r="C1869" s="16" t="s">
        <v>815</v>
      </c>
      <c r="D1869" s="16" t="s">
        <v>835</v>
      </c>
      <c r="E1869" s="16" t="s">
        <v>9465</v>
      </c>
      <c r="F1869" s="27" t="s">
        <v>10836</v>
      </c>
      <c r="G1869" s="27"/>
      <c r="H1869" s="16" t="str">
        <f>IF(ISBLANK(PARTIDAS!$G1869),PARTIDAS!$F1869,CONCATENATE(PARTIDAS!$F1869," (",PARTIDAS!$G1869,")"))</f>
        <v>Dibromuro de etileno (ISO) (1,2‑dibromoetano)</v>
      </c>
      <c r="I1869" s="16" t="s">
        <v>9648</v>
      </c>
    </row>
    <row r="1870" spans="1:9" x14ac:dyDescent="0.25">
      <c r="A1870" s="16" t="s">
        <v>2867</v>
      </c>
      <c r="B1870" s="16" t="str">
        <f>TEXT(PARTIDA[[#This Row],[PARTIDA]],"0000000000")</f>
        <v>2903391000</v>
      </c>
      <c r="C1870" s="16" t="s">
        <v>815</v>
      </c>
      <c r="D1870" s="16" t="s">
        <v>835</v>
      </c>
      <c r="E1870" s="16" t="s">
        <v>9465</v>
      </c>
      <c r="F1870" s="27" t="s">
        <v>10837</v>
      </c>
      <c r="G1870" s="27"/>
      <c r="H1870" s="16" t="str">
        <f>IF(ISBLANK(PARTIDAS!$G1870),PARTIDAS!$F1870,CONCATENATE(PARTIDAS!$F1870," (",PARTIDAS!$G1870,")"))</f>
        <v>Bromometano (bromuro de metilo)</v>
      </c>
      <c r="I1870" s="16" t="s">
        <v>9648</v>
      </c>
    </row>
    <row r="1871" spans="1:9" x14ac:dyDescent="0.25">
      <c r="A1871" s="16" t="s">
        <v>2868</v>
      </c>
      <c r="B1871" s="16" t="str">
        <f>TEXT(PARTIDA[[#This Row],[PARTIDA]],"0000000000")</f>
        <v>2903392100</v>
      </c>
      <c r="C1871" s="16" t="s">
        <v>815</v>
      </c>
      <c r="D1871" s="16" t="s">
        <v>835</v>
      </c>
      <c r="E1871" s="16" t="s">
        <v>9465</v>
      </c>
      <c r="F1871" s="27" t="s">
        <v>10838</v>
      </c>
      <c r="G1871" s="27"/>
      <c r="H1871" s="16" t="str">
        <f>IF(ISBLANK(PARTIDAS!$G1871),PARTIDAS!$F1871,CONCATENATE(PARTIDAS!$F1871," (",PARTIDAS!$G1871,")"))</f>
        <v>Difluorometano</v>
      </c>
      <c r="I1871" s="16" t="s">
        <v>9648</v>
      </c>
    </row>
    <row r="1872" spans="1:9" x14ac:dyDescent="0.25">
      <c r="A1872" s="16" t="s">
        <v>2869</v>
      </c>
      <c r="B1872" s="16" t="str">
        <f>TEXT(PARTIDA[[#This Row],[PARTIDA]],"0000000000")</f>
        <v>2903392200</v>
      </c>
      <c r="C1872" s="16" t="s">
        <v>815</v>
      </c>
      <c r="D1872" s="16" t="s">
        <v>835</v>
      </c>
      <c r="E1872" s="16" t="s">
        <v>9465</v>
      </c>
      <c r="F1872" s="27" t="s">
        <v>10839</v>
      </c>
      <c r="G1872" s="27"/>
      <c r="H1872" s="16" t="str">
        <f>IF(ISBLANK(PARTIDAS!$G1872),PARTIDAS!$F1872,CONCATENATE(PARTIDAS!$F1872," (",PARTIDAS!$G1872,")"))</f>
        <v>Trifluorometano</v>
      </c>
      <c r="I1872" s="16" t="s">
        <v>9648</v>
      </c>
    </row>
    <row r="1873" spans="1:9" x14ac:dyDescent="0.25">
      <c r="A1873" s="16" t="s">
        <v>2870</v>
      </c>
      <c r="B1873" s="16" t="str">
        <f>TEXT(PARTIDA[[#This Row],[PARTIDA]],"0000000000")</f>
        <v>2903392300</v>
      </c>
      <c r="C1873" s="16" t="s">
        <v>815</v>
      </c>
      <c r="D1873" s="16" t="s">
        <v>835</v>
      </c>
      <c r="E1873" s="16" t="s">
        <v>9465</v>
      </c>
      <c r="F1873" s="27" t="s">
        <v>10840</v>
      </c>
      <c r="G1873" s="27"/>
      <c r="H1873" s="16" t="str">
        <f>IF(ISBLANK(PARTIDAS!$G1873),PARTIDAS!$F1873,CONCATENATE(PARTIDAS!$F1873," (",PARTIDAS!$G1873,")"))</f>
        <v>Difluoroetano</v>
      </c>
      <c r="I1873" s="16" t="s">
        <v>9648</v>
      </c>
    </row>
    <row r="1874" spans="1:9" x14ac:dyDescent="0.25">
      <c r="A1874" s="16" t="s">
        <v>2871</v>
      </c>
      <c r="B1874" s="16" t="str">
        <f>TEXT(PARTIDA[[#This Row],[PARTIDA]],"0000000000")</f>
        <v>2903392400</v>
      </c>
      <c r="C1874" s="16" t="s">
        <v>815</v>
      </c>
      <c r="D1874" s="16" t="s">
        <v>835</v>
      </c>
      <c r="E1874" s="16" t="s">
        <v>9465</v>
      </c>
      <c r="F1874" s="27" t="s">
        <v>10841</v>
      </c>
      <c r="G1874" s="27"/>
      <c r="H1874" s="16" t="str">
        <f>IF(ISBLANK(PARTIDAS!$G1874),PARTIDAS!$F1874,CONCATENATE(PARTIDAS!$F1874," (",PARTIDAS!$G1874,")"))</f>
        <v>Trifluoroetano</v>
      </c>
      <c r="I1874" s="16" t="s">
        <v>9648</v>
      </c>
    </row>
    <row r="1875" spans="1:9" x14ac:dyDescent="0.25">
      <c r="A1875" s="16" t="s">
        <v>2872</v>
      </c>
      <c r="B1875" s="16" t="str">
        <f>TEXT(PARTIDA[[#This Row],[PARTIDA]],"0000000000")</f>
        <v>2903392500</v>
      </c>
      <c r="C1875" s="16" t="s">
        <v>815</v>
      </c>
      <c r="D1875" s="16" t="s">
        <v>835</v>
      </c>
      <c r="E1875" s="16" t="s">
        <v>9465</v>
      </c>
      <c r="F1875" s="27" t="s">
        <v>10842</v>
      </c>
      <c r="G1875" s="27"/>
      <c r="H1875" s="16" t="str">
        <f>IF(ISBLANK(PARTIDAS!$G1875),PARTIDAS!$F1875,CONCATENATE(PARTIDAS!$F1875," (",PARTIDAS!$G1875,")"))</f>
        <v>Tetrafluoroetano</v>
      </c>
      <c r="I1875" s="16" t="s">
        <v>9648</v>
      </c>
    </row>
    <row r="1876" spans="1:9" x14ac:dyDescent="0.25">
      <c r="A1876" s="16" t="s">
        <v>2873</v>
      </c>
      <c r="B1876" s="16" t="str">
        <f>TEXT(PARTIDA[[#This Row],[PARTIDA]],"0000000000")</f>
        <v>2903392600</v>
      </c>
      <c r="C1876" s="16" t="s">
        <v>815</v>
      </c>
      <c r="D1876" s="16" t="s">
        <v>835</v>
      </c>
      <c r="E1876" s="16" t="s">
        <v>9465</v>
      </c>
      <c r="F1876" s="27" t="s">
        <v>10843</v>
      </c>
      <c r="G1876" s="27"/>
      <c r="H1876" s="16" t="str">
        <f>IF(ISBLANK(PARTIDAS!$G1876),PARTIDAS!$F1876,CONCATENATE(PARTIDAS!$F1876," (",PARTIDAS!$G1876,")"))</f>
        <v>Pentafluoroetano</v>
      </c>
      <c r="I1876" s="16" t="s">
        <v>9648</v>
      </c>
    </row>
    <row r="1877" spans="1:9" x14ac:dyDescent="0.25">
      <c r="A1877" s="16" t="s">
        <v>2874</v>
      </c>
      <c r="B1877" s="16" t="str">
        <f>TEXT(PARTIDA[[#This Row],[PARTIDA]],"0000000000")</f>
        <v>2903393000</v>
      </c>
      <c r="C1877" s="16" t="s">
        <v>815</v>
      </c>
      <c r="D1877" s="16" t="s">
        <v>835</v>
      </c>
      <c r="E1877" s="16" t="s">
        <v>9465</v>
      </c>
      <c r="F1877" s="27" t="s">
        <v>10844</v>
      </c>
      <c r="G1877" s="27"/>
      <c r="H1877" s="16" t="str">
        <f>IF(ISBLANK(PARTIDAS!$G1877),PARTIDAS!$F1877,CONCATENATE(PARTIDAS!$F1877," (",PARTIDAS!$G1877,")"))</f>
        <v>1,1,3,3,3-Pentafluoro-2-(trifluorometil)prop-1-eno</v>
      </c>
      <c r="I1877" s="16" t="s">
        <v>9648</v>
      </c>
    </row>
    <row r="1878" spans="1:9" x14ac:dyDescent="0.25">
      <c r="A1878" s="16" t="s">
        <v>2875</v>
      </c>
      <c r="B1878" s="16" t="str">
        <f>TEXT(PARTIDA[[#This Row],[PARTIDA]],"0000000000")</f>
        <v>2903399000</v>
      </c>
      <c r="C1878" s="16" t="s">
        <v>815</v>
      </c>
      <c r="D1878" s="16" t="s">
        <v>835</v>
      </c>
      <c r="E1878" s="16" t="s">
        <v>9465</v>
      </c>
      <c r="F1878" s="27" t="s">
        <v>10845</v>
      </c>
      <c r="G1878" s="27"/>
      <c r="H1878" s="16" t="str">
        <f>IF(ISBLANK(PARTIDAS!$G1878),PARTIDAS!$F1878,CONCATENATE(PARTIDAS!$F1878," (",PARTIDAS!$G1878,")"))</f>
        <v>Derivados halogenados de los hidrocarburos (los demás)</v>
      </c>
      <c r="I1878" s="16" t="s">
        <v>9648</v>
      </c>
    </row>
    <row r="1879" spans="1:9" x14ac:dyDescent="0.25">
      <c r="A1879" s="16" t="s">
        <v>10846</v>
      </c>
      <c r="B1879" s="16" t="str">
        <f>TEXT(PARTIDA[[#This Row],[PARTIDA]],"0000000000")</f>
        <v>2903410000</v>
      </c>
      <c r="C1879" s="16" t="s">
        <v>815</v>
      </c>
      <c r="D1879" s="16" t="s">
        <v>835</v>
      </c>
      <c r="E1879" s="16" t="s">
        <v>9465</v>
      </c>
      <c r="F1879" s="27" t="s">
        <v>10847</v>
      </c>
      <c r="G1879" s="27"/>
      <c r="H1879" s="16" t="str">
        <f>IF(ISBLANK(PARTIDAS!$G1879),PARTIDAS!$F1879,CONCATENATE(PARTIDAS!$F1879," (",PARTIDAS!$G1879,")"))</f>
        <v>Trifluorometano (HFC-23)</v>
      </c>
      <c r="I1879" s="16" t="s">
        <v>9427</v>
      </c>
    </row>
    <row r="1880" spans="1:9" x14ac:dyDescent="0.25">
      <c r="A1880" s="16" t="s">
        <v>10848</v>
      </c>
      <c r="B1880" s="16" t="str">
        <f>TEXT(PARTIDA[[#This Row],[PARTIDA]],"0000000000")</f>
        <v>2903420000</v>
      </c>
      <c r="C1880" s="16" t="s">
        <v>815</v>
      </c>
      <c r="D1880" s="16" t="s">
        <v>835</v>
      </c>
      <c r="E1880" s="16" t="s">
        <v>9465</v>
      </c>
      <c r="F1880" s="27" t="s">
        <v>10849</v>
      </c>
      <c r="G1880" s="27"/>
      <c r="H1880" s="16" t="str">
        <f>IF(ISBLANK(PARTIDAS!$G1880),PARTIDAS!$F1880,CONCATENATE(PARTIDAS!$F1880," (",PARTIDAS!$G1880,")"))</f>
        <v>Difluorometano (HFC-32)</v>
      </c>
      <c r="I1880" s="16" t="s">
        <v>9427</v>
      </c>
    </row>
    <row r="1881" spans="1:9" x14ac:dyDescent="0.25">
      <c r="A1881" s="16" t="s">
        <v>10850</v>
      </c>
      <c r="B1881" s="16" t="str">
        <f>TEXT(PARTIDA[[#This Row],[PARTIDA]],"0000000000")</f>
        <v>2903430000</v>
      </c>
      <c r="C1881" s="16" t="s">
        <v>815</v>
      </c>
      <c r="D1881" s="16" t="s">
        <v>835</v>
      </c>
      <c r="E1881" s="16" t="s">
        <v>9465</v>
      </c>
      <c r="F1881" s="27" t="s">
        <v>10851</v>
      </c>
      <c r="G1881" s="27"/>
      <c r="H1881" s="16" t="str">
        <f>IF(ISBLANK(PARTIDAS!$G1881),PARTIDAS!$F1881,CONCATENATE(PARTIDAS!$F1881," (",PARTIDAS!$G1881,")"))</f>
        <v>Fluorometano (HFC-41), 1,2-difluoroetano (HFC-152) y 1,1-difluoroetano (HFC-152a)</v>
      </c>
      <c r="I1881" s="16" t="s">
        <v>9427</v>
      </c>
    </row>
    <row r="1882" spans="1:9" x14ac:dyDescent="0.25">
      <c r="A1882" s="16" t="s">
        <v>10852</v>
      </c>
      <c r="B1882" s="16" t="str">
        <f>TEXT(PARTIDA[[#This Row],[PARTIDA]],"0000000000")</f>
        <v>2903440000</v>
      </c>
      <c r="C1882" s="16" t="s">
        <v>815</v>
      </c>
      <c r="D1882" s="16" t="s">
        <v>835</v>
      </c>
      <c r="E1882" s="16" t="s">
        <v>9465</v>
      </c>
      <c r="F1882" s="27" t="s">
        <v>10853</v>
      </c>
      <c r="G1882" s="27"/>
      <c r="H1882" s="16" t="str">
        <f>IF(ISBLANK(PARTIDAS!$G1882),PARTIDAS!$F1882,CONCATENATE(PARTIDAS!$F1882," (",PARTIDAS!$G1882,")"))</f>
        <v>Pentafluoroetano (HFC-125), 1,1,1-trifluoroetano (HFC-143a) y 1,1,2-trifluoroetano (HFC-143)</v>
      </c>
      <c r="I1882" s="16" t="s">
        <v>9427</v>
      </c>
    </row>
    <row r="1883" spans="1:9" x14ac:dyDescent="0.25">
      <c r="A1883" s="16" t="s">
        <v>10854</v>
      </c>
      <c r="B1883" s="16" t="str">
        <f>TEXT(PARTIDA[[#This Row],[PARTIDA]],"0000000000")</f>
        <v>2903450000</v>
      </c>
      <c r="C1883" s="16" t="s">
        <v>815</v>
      </c>
      <c r="D1883" s="16" t="s">
        <v>835</v>
      </c>
      <c r="E1883" s="16" t="s">
        <v>9465</v>
      </c>
      <c r="F1883" s="27" t="s">
        <v>10855</v>
      </c>
      <c r="G1883" s="27"/>
      <c r="H1883" s="16" t="str">
        <f>IF(ISBLANK(PARTIDAS!$G1883),PARTIDAS!$F1883,CONCATENATE(PARTIDAS!$F1883," (",PARTIDAS!$G1883,")"))</f>
        <v>Derivados fluorados de los hidrocarburos acíclicos saturados, 1,1,1,2-Tetrafluoroetano (HFC-134a) y 1,1,2,2-tetrafluoroetano (HFC-134)</v>
      </c>
      <c r="I1883" s="16" t="s">
        <v>9427</v>
      </c>
    </row>
    <row r="1884" spans="1:9" x14ac:dyDescent="0.25">
      <c r="A1884" s="16" t="s">
        <v>10856</v>
      </c>
      <c r="B1884" s="16" t="str">
        <f>TEXT(PARTIDA[[#This Row],[PARTIDA]],"0000000000")</f>
        <v>2903460000</v>
      </c>
      <c r="C1884" s="16" t="s">
        <v>815</v>
      </c>
      <c r="D1884" s="16" t="s">
        <v>835</v>
      </c>
      <c r="E1884" s="16" t="s">
        <v>9465</v>
      </c>
      <c r="F1884" s="27" t="s">
        <v>10857</v>
      </c>
      <c r="G1884" s="27"/>
      <c r="H1884" s="16" t="str">
        <f>IF(ISBLANK(PARTIDAS!$G1884),PARTIDAS!$F1884,CONCATENATE(PARTIDAS!$F1884," (",PARTIDAS!$G1884,")"))</f>
        <v>Derivados fluorados de los hidrocarburos acíclicos saturados, 1,1,1,2,3,3,3-Heptafluoropropano (HFC-227ea), 1,1,1,2,2,3-hexafluoropropano (HFC-236cb),</v>
      </c>
      <c r="I1884" s="16" t="s">
        <v>9427</v>
      </c>
    </row>
    <row r="1885" spans="1:9" x14ac:dyDescent="0.25">
      <c r="A1885" s="16" t="s">
        <v>10858</v>
      </c>
      <c r="B1885" s="16" t="str">
        <f>TEXT(PARTIDA[[#This Row],[PARTIDA]],"0000000000")</f>
        <v>2903470000</v>
      </c>
      <c r="C1885" s="16" t="s">
        <v>815</v>
      </c>
      <c r="D1885" s="16" t="s">
        <v>835</v>
      </c>
      <c r="E1885" s="16" t="s">
        <v>9465</v>
      </c>
      <c r="F1885" s="27" t="s">
        <v>10859</v>
      </c>
      <c r="G1885" s="27"/>
      <c r="H1885" s="16" t="str">
        <f>IF(ISBLANK(PARTIDAS!$G1885),PARTIDAS!$F1885,CONCATENATE(PARTIDAS!$F1885," (",PARTIDAS!$G1885,")"))</f>
        <v>Derivados fluorados de los hidrocarburos acíclicos saturados, 1,1,1,3,3-Pentafluoropropano (HFC-245fa) y 1,1,2,2,3-pentafluoropropano (HFC-245ca)</v>
      </c>
      <c r="I1885" s="16" t="s">
        <v>9427</v>
      </c>
    </row>
    <row r="1886" spans="1:9" x14ac:dyDescent="0.25">
      <c r="A1886" s="16" t="s">
        <v>10860</v>
      </c>
      <c r="B1886" s="16" t="str">
        <f>TEXT(PARTIDA[[#This Row],[PARTIDA]],"0000000000")</f>
        <v>2903480000</v>
      </c>
      <c r="C1886" s="16" t="s">
        <v>815</v>
      </c>
      <c r="D1886" s="16" t="s">
        <v>835</v>
      </c>
      <c r="E1886" s="16" t="s">
        <v>9465</v>
      </c>
      <c r="F1886" s="27" t="s">
        <v>10861</v>
      </c>
      <c r="G1886" s="27"/>
      <c r="H1886" s="16" t="str">
        <f>IF(ISBLANK(PARTIDAS!$G1886),PARTIDAS!$F1886,CONCATENATE(PARTIDAS!$F1886," (",PARTIDAS!$G1886,")"))</f>
        <v>Derivados fluorados de los hidrocarburos acíclicos saturados, 1,1,1,3,3-Pentafluorobutano (HFC-365mfc) y 1,1,1,2,2,3,4,5,5,5-decafluoropentano (HFC-43</v>
      </c>
      <c r="I1886" s="16" t="s">
        <v>9427</v>
      </c>
    </row>
    <row r="1887" spans="1:9" x14ac:dyDescent="0.25">
      <c r="A1887" s="16" t="s">
        <v>10862</v>
      </c>
      <c r="B1887" s="16" t="str">
        <f>TEXT(PARTIDA[[#This Row],[PARTIDA]],"0000000000")</f>
        <v>2903490000</v>
      </c>
      <c r="C1887" s="16" t="s">
        <v>815</v>
      </c>
      <c r="D1887" s="16" t="s">
        <v>835</v>
      </c>
      <c r="E1887" s="16" t="s">
        <v>9465</v>
      </c>
      <c r="F1887" s="27" t="s">
        <v>10863</v>
      </c>
      <c r="G1887" s="27"/>
      <c r="H1887" s="16" t="str">
        <f>IF(ISBLANK(PARTIDAS!$G1887),PARTIDAS!$F1887,CONCATENATE(PARTIDAS!$F1887," (",PARTIDAS!$G1887,")"))</f>
        <v>Derivados fluorados de los hidrocarburos acíclicos saturados (los demás)</v>
      </c>
      <c r="I1887" s="16" t="s">
        <v>9427</v>
      </c>
    </row>
    <row r="1888" spans="1:9" x14ac:dyDescent="0.25">
      <c r="A1888" s="16" t="s">
        <v>10864</v>
      </c>
      <c r="B1888" s="16" t="str">
        <f>TEXT(PARTIDA[[#This Row],[PARTIDA]],"0000000000")</f>
        <v>2903510000</v>
      </c>
      <c r="C1888" s="16" t="s">
        <v>815</v>
      </c>
      <c r="D1888" s="16" t="s">
        <v>835</v>
      </c>
      <c r="E1888" s="16" t="s">
        <v>9465</v>
      </c>
      <c r="F1888" s="27" t="s">
        <v>10865</v>
      </c>
      <c r="G1888" s="27"/>
      <c r="H1888" s="16" t="str">
        <f>IF(ISBLANK(PARTIDAS!$G1888),PARTIDAS!$F1888,CONCATENATE(PARTIDAS!$F1888," (",PARTIDAS!$G1888,")"))</f>
        <v>Derivados fluorados de los hidrocarburos acíclicos no saturados, 2,3,3,3-Tetrafluoropropeno (HFO-1234yf), 1,3,3,3-tetrafluoropropeno (HFO-1234ze) y (Z</v>
      </c>
      <c r="I1888" s="16" t="s">
        <v>9427</v>
      </c>
    </row>
    <row r="1889" spans="1:9" x14ac:dyDescent="0.25">
      <c r="A1889" s="16" t="s">
        <v>10866</v>
      </c>
      <c r="B1889" s="16" t="str">
        <f>TEXT(PARTIDA[[#This Row],[PARTIDA]],"0000000000")</f>
        <v>2903591000</v>
      </c>
      <c r="C1889" s="16" t="s">
        <v>815</v>
      </c>
      <c r="D1889" s="16" t="s">
        <v>835</v>
      </c>
      <c r="E1889" s="16" t="s">
        <v>9465</v>
      </c>
      <c r="F1889" s="27" t="s">
        <v>10867</v>
      </c>
      <c r="G1889" s="27"/>
      <c r="H1889" s="16" t="str">
        <f>IF(ISBLANK(PARTIDAS!$G1889),PARTIDAS!$F1889,CONCATENATE(PARTIDAS!$F1889," (",PARTIDAS!$G1889,")"))</f>
        <v>Derivados fluorados de los hidrocarburos acíclicos no saturados, 1,1,3,3,3-Pentafluoro-2-(trifluorometil)prop-1-eno</v>
      </c>
      <c r="I1889" s="16" t="s">
        <v>9427</v>
      </c>
    </row>
    <row r="1890" spans="1:9" x14ac:dyDescent="0.25">
      <c r="A1890" s="16" t="s">
        <v>10868</v>
      </c>
      <c r="B1890" s="16" t="str">
        <f>TEXT(PARTIDA[[#This Row],[PARTIDA]],"0000000000")</f>
        <v>2903599000</v>
      </c>
      <c r="C1890" s="16" t="s">
        <v>815</v>
      </c>
      <c r="D1890" s="16" t="s">
        <v>835</v>
      </c>
      <c r="E1890" s="16" t="s">
        <v>9465</v>
      </c>
      <c r="F1890" s="27" t="s">
        <v>10869</v>
      </c>
      <c r="G1890" s="27"/>
      <c r="H1890" s="16" t="str">
        <f>IF(ISBLANK(PARTIDAS!$G1890),PARTIDAS!$F1890,CONCATENATE(PARTIDAS!$F1890," (",PARTIDAS!$G1890,")"))</f>
        <v>Derivados fluorados de los hidrocarburos acíclicos no saturados (los demás)</v>
      </c>
      <c r="I1890" s="16" t="s">
        <v>9427</v>
      </c>
    </row>
    <row r="1891" spans="1:9" x14ac:dyDescent="0.25">
      <c r="A1891" s="16" t="s">
        <v>10870</v>
      </c>
      <c r="B1891" s="16" t="str">
        <f>TEXT(PARTIDA[[#This Row],[PARTIDA]],"0000000000")</f>
        <v>2903610000</v>
      </c>
      <c r="C1891" s="16" t="s">
        <v>815</v>
      </c>
      <c r="D1891" s="16" t="s">
        <v>835</v>
      </c>
      <c r="E1891" s="16" t="s">
        <v>9465</v>
      </c>
      <c r="F1891" s="27" t="s">
        <v>10871</v>
      </c>
      <c r="G1891" s="27"/>
      <c r="H1891" s="16" t="str">
        <f>IF(ISBLANK(PARTIDAS!$G1891),PARTIDAS!$F1891,CONCATENATE(PARTIDAS!$F1891," (",PARTIDAS!$G1891,")"))</f>
        <v>Bromuro de metilo (bromometano)</v>
      </c>
      <c r="I1891" s="16" t="s">
        <v>9427</v>
      </c>
    </row>
    <row r="1892" spans="1:9" x14ac:dyDescent="0.25">
      <c r="A1892" s="16" t="s">
        <v>10872</v>
      </c>
      <c r="B1892" s="16" t="str">
        <f>TEXT(PARTIDA[[#This Row],[PARTIDA]],"0000000000")</f>
        <v>2903620000</v>
      </c>
      <c r="C1892" s="16" t="s">
        <v>815</v>
      </c>
      <c r="D1892" s="16" t="s">
        <v>835</v>
      </c>
      <c r="E1892" s="16" t="s">
        <v>9465</v>
      </c>
      <c r="F1892" s="27" t="s">
        <v>10873</v>
      </c>
      <c r="G1892" s="27"/>
      <c r="H1892" s="16" t="str">
        <f>IF(ISBLANK(PARTIDAS!$G1892),PARTIDAS!$F1892,CONCATENATE(PARTIDAS!$F1892," (",PARTIDAS!$G1892,")"))</f>
        <v>Dibromuro de etileno (ISO) (1,2-dibromoetano)</v>
      </c>
      <c r="I1892" s="16" t="s">
        <v>9427</v>
      </c>
    </row>
    <row r="1893" spans="1:9" x14ac:dyDescent="0.25">
      <c r="A1893" s="16" t="s">
        <v>10874</v>
      </c>
      <c r="B1893" s="16" t="str">
        <f>TEXT(PARTIDA[[#This Row],[PARTIDA]],"0000000000")</f>
        <v>2903690000</v>
      </c>
      <c r="C1893" s="16" t="s">
        <v>815</v>
      </c>
      <c r="D1893" s="16" t="s">
        <v>835</v>
      </c>
      <c r="E1893" s="16" t="s">
        <v>9465</v>
      </c>
      <c r="F1893" s="27" t="s">
        <v>10875</v>
      </c>
      <c r="G1893" s="27"/>
      <c r="H1893" s="16" t="str">
        <f>IF(ISBLANK(PARTIDAS!$G1893),PARTIDAS!$F1893,CONCATENATE(PARTIDAS!$F1893," (",PARTIDAS!$G1893,")"))</f>
        <v>Derivados bromados o derivados yodados, de los hidrocarburos acíclicos (los demás)</v>
      </c>
      <c r="I1893" s="16" t="s">
        <v>9427</v>
      </c>
    </row>
    <row r="1894" spans="1:9" x14ac:dyDescent="0.25">
      <c r="A1894" s="16" t="s">
        <v>2876</v>
      </c>
      <c r="B1894" s="16" t="str">
        <f>TEXT(PARTIDA[[#This Row],[PARTIDA]],"0000000000")</f>
        <v>2903710000</v>
      </c>
      <c r="C1894" s="16" t="s">
        <v>815</v>
      </c>
      <c r="D1894" s="16" t="s">
        <v>835</v>
      </c>
      <c r="E1894" s="16" t="s">
        <v>9465</v>
      </c>
      <c r="F1894" s="27" t="s">
        <v>10876</v>
      </c>
      <c r="G1894" s="27"/>
      <c r="H1894" s="16" t="str">
        <f>IF(ISBLANK(PARTIDAS!$G1894),PARTIDAS!$F1894,CONCATENATE(PARTIDAS!$F1894," (",PARTIDAS!$G1894,")"))</f>
        <v>Clorodifluorometano (HCFC-22)</v>
      </c>
      <c r="I1894" s="16" t="s">
        <v>9427</v>
      </c>
    </row>
    <row r="1895" spans="1:9" x14ac:dyDescent="0.25">
      <c r="A1895" s="16" t="s">
        <v>2877</v>
      </c>
      <c r="B1895" s="16" t="str">
        <f>TEXT(PARTIDA[[#This Row],[PARTIDA]],"0000000000")</f>
        <v>2903720000</v>
      </c>
      <c r="C1895" s="16" t="s">
        <v>815</v>
      </c>
      <c r="D1895" s="16" t="s">
        <v>835</v>
      </c>
      <c r="E1895" s="16" t="s">
        <v>9465</v>
      </c>
      <c r="F1895" s="27" t="s">
        <v>10877</v>
      </c>
      <c r="G1895" s="27"/>
      <c r="H1895" s="16" t="str">
        <f>IF(ISBLANK(PARTIDAS!$G1895),PARTIDAS!$F1895,CONCATENATE(PARTIDAS!$F1895," (",PARTIDAS!$G1895,")"))</f>
        <v>Diclorotrifluoroetanos (HCFC-123)</v>
      </c>
      <c r="I1895" s="16" t="s">
        <v>9427</v>
      </c>
    </row>
    <row r="1896" spans="1:9" x14ac:dyDescent="0.25">
      <c r="A1896" s="16" t="s">
        <v>2878</v>
      </c>
      <c r="B1896" s="16" t="str">
        <f>TEXT(PARTIDA[[#This Row],[PARTIDA]],"0000000000")</f>
        <v>2903730000</v>
      </c>
      <c r="C1896" s="16" t="s">
        <v>815</v>
      </c>
      <c r="D1896" s="16" t="s">
        <v>835</v>
      </c>
      <c r="E1896" s="16" t="s">
        <v>9465</v>
      </c>
      <c r="F1896" s="27" t="s">
        <v>10878</v>
      </c>
      <c r="G1896" s="27"/>
      <c r="H1896" s="16" t="str">
        <f>IF(ISBLANK(PARTIDAS!$G1896),PARTIDAS!$F1896,CONCATENATE(PARTIDAS!$F1896," (",PARTIDAS!$G1896,")"))</f>
        <v>Diclorofluoroetanos (HCFC-141, 141b)</v>
      </c>
      <c r="I1896" s="16" t="s">
        <v>9427</v>
      </c>
    </row>
    <row r="1897" spans="1:9" x14ac:dyDescent="0.25">
      <c r="A1897" s="16" t="s">
        <v>2879</v>
      </c>
      <c r="B1897" s="16" t="str">
        <f>TEXT(PARTIDA[[#This Row],[PARTIDA]],"0000000000")</f>
        <v>2903740000</v>
      </c>
      <c r="C1897" s="16" t="s">
        <v>815</v>
      </c>
      <c r="D1897" s="16" t="s">
        <v>835</v>
      </c>
      <c r="E1897" s="16" t="s">
        <v>9465</v>
      </c>
      <c r="F1897" s="27" t="s">
        <v>10879</v>
      </c>
      <c r="G1897" s="27"/>
      <c r="H1897" s="16" t="str">
        <f>IF(ISBLANK(PARTIDAS!$G1897),PARTIDAS!$F1897,CONCATENATE(PARTIDAS!$F1897," (",PARTIDAS!$G1897,")"))</f>
        <v>Clorodifluoroetanos (HCFC-142, 142b)</v>
      </c>
      <c r="I1897" s="16" t="s">
        <v>9427</v>
      </c>
    </row>
    <row r="1898" spans="1:9" x14ac:dyDescent="0.25">
      <c r="A1898" s="16" t="s">
        <v>2880</v>
      </c>
      <c r="B1898" s="16" t="str">
        <f>TEXT(PARTIDA[[#This Row],[PARTIDA]],"0000000000")</f>
        <v>2903750000</v>
      </c>
      <c r="C1898" s="16" t="s">
        <v>815</v>
      </c>
      <c r="D1898" s="16" t="s">
        <v>835</v>
      </c>
      <c r="E1898" s="16" t="s">
        <v>9465</v>
      </c>
      <c r="F1898" s="27" t="s">
        <v>10880</v>
      </c>
      <c r="G1898" s="27"/>
      <c r="H1898" s="16" t="str">
        <f>IF(ISBLANK(PARTIDAS!$G1898),PARTIDAS!$F1898,CONCATENATE(PARTIDAS!$F1898," (",PARTIDAS!$G1898,")"))</f>
        <v>Dicloropentafluoropropanos (HCFC-225, 225ca, 225cb)</v>
      </c>
      <c r="I1898" s="16" t="s">
        <v>9427</v>
      </c>
    </row>
    <row r="1899" spans="1:9" x14ac:dyDescent="0.25">
      <c r="A1899" s="16" t="s">
        <v>2881</v>
      </c>
      <c r="B1899" s="16" t="str">
        <f>TEXT(PARTIDA[[#This Row],[PARTIDA]],"0000000000")</f>
        <v>2903760000</v>
      </c>
      <c r="C1899" s="16" t="s">
        <v>815</v>
      </c>
      <c r="D1899" s="16" t="s">
        <v>835</v>
      </c>
      <c r="E1899" s="16" t="s">
        <v>9465</v>
      </c>
      <c r="F1899" s="27" t="s">
        <v>10881</v>
      </c>
      <c r="G1899" s="27"/>
      <c r="H1899" s="16" t="str">
        <f>IF(ISBLANK(PARTIDAS!$G1899),PARTIDAS!$F1899,CONCATENATE(PARTIDAS!$F1899," (",PARTIDAS!$G1899,")"))</f>
        <v>Bromoclorodifluorometano (Halón-1211), bromotrifluorometano (Halón-1301) y dibromotetrafluoroetanos (Halón-2402)</v>
      </c>
      <c r="I1899" s="16" t="s">
        <v>9427</v>
      </c>
    </row>
    <row r="1900" spans="1:9" x14ac:dyDescent="0.25">
      <c r="A1900" s="16" t="s">
        <v>2882</v>
      </c>
      <c r="B1900" s="16" t="str">
        <f>TEXT(PARTIDA[[#This Row],[PARTIDA]],"0000000000")</f>
        <v>2903771100</v>
      </c>
      <c r="C1900" s="16" t="s">
        <v>815</v>
      </c>
      <c r="D1900" s="16" t="s">
        <v>835</v>
      </c>
      <c r="E1900" s="16" t="s">
        <v>9465</v>
      </c>
      <c r="F1900" s="27" t="s">
        <v>10882</v>
      </c>
      <c r="G1900" s="27"/>
      <c r="H1900" s="16" t="str">
        <f>IF(ISBLANK(PARTIDAS!$G1900),PARTIDAS!$F1900,CONCATENATE(PARTIDAS!$F1900," (",PARTIDAS!$G1900,")"))</f>
        <v>Clorofluorometanos, clorotrifluorometano</v>
      </c>
      <c r="I1900" s="16" t="s">
        <v>9427</v>
      </c>
    </row>
    <row r="1901" spans="1:9" x14ac:dyDescent="0.25">
      <c r="A1901" s="16" t="s">
        <v>2883</v>
      </c>
      <c r="B1901" s="16" t="str">
        <f>TEXT(PARTIDA[[#This Row],[PARTIDA]],"0000000000")</f>
        <v>2903771200</v>
      </c>
      <c r="C1901" s="16" t="s">
        <v>815</v>
      </c>
      <c r="D1901" s="16" t="s">
        <v>835</v>
      </c>
      <c r="E1901" s="16" t="s">
        <v>9465</v>
      </c>
      <c r="F1901" s="27" t="s">
        <v>10883</v>
      </c>
      <c r="G1901" s="27"/>
      <c r="H1901" s="16" t="str">
        <f>IF(ISBLANK(PARTIDAS!$G1901),PARTIDAS!$F1901,CONCATENATE(PARTIDAS!$F1901," (",PARTIDAS!$G1901,")"))</f>
        <v>Clorofluorometanos, diclorodifluorometano</v>
      </c>
      <c r="I1901" s="16" t="s">
        <v>9427</v>
      </c>
    </row>
    <row r="1902" spans="1:9" x14ac:dyDescent="0.25">
      <c r="A1902" s="16" t="s">
        <v>2884</v>
      </c>
      <c r="B1902" s="16" t="str">
        <f>TEXT(PARTIDA[[#This Row],[PARTIDA]],"0000000000")</f>
        <v>2903771300</v>
      </c>
      <c r="C1902" s="16" t="s">
        <v>815</v>
      </c>
      <c r="D1902" s="16" t="s">
        <v>835</v>
      </c>
      <c r="E1902" s="16" t="s">
        <v>9465</v>
      </c>
      <c r="F1902" s="27" t="s">
        <v>10884</v>
      </c>
      <c r="G1902" s="27"/>
      <c r="H1902" s="16" t="str">
        <f>IF(ISBLANK(PARTIDAS!$G1902),PARTIDAS!$F1902,CONCATENATE(PARTIDAS!$F1902," (",PARTIDAS!$G1902,")"))</f>
        <v>Clorofluorometanos, triclorofluorometano</v>
      </c>
      <c r="I1902" s="16" t="s">
        <v>9427</v>
      </c>
    </row>
    <row r="1903" spans="1:9" x14ac:dyDescent="0.25">
      <c r="A1903" s="16" t="s">
        <v>2885</v>
      </c>
      <c r="B1903" s="16" t="str">
        <f>TEXT(PARTIDA[[#This Row],[PARTIDA]],"0000000000")</f>
        <v>2903772100</v>
      </c>
      <c r="C1903" s="16" t="s">
        <v>815</v>
      </c>
      <c r="D1903" s="16" t="s">
        <v>835</v>
      </c>
      <c r="E1903" s="16" t="s">
        <v>9465</v>
      </c>
      <c r="F1903" s="27" t="s">
        <v>10885</v>
      </c>
      <c r="G1903" s="27"/>
      <c r="H1903" s="16" t="str">
        <f>IF(ISBLANK(PARTIDAS!$G1903),PARTIDAS!$F1903,CONCATENATE(PARTIDAS!$F1903," (",PARTIDAS!$G1903,")"))</f>
        <v>Clorofluoroetanos, cloropentafluoroetanos</v>
      </c>
      <c r="I1903" s="16" t="s">
        <v>9427</v>
      </c>
    </row>
    <row r="1904" spans="1:9" x14ac:dyDescent="0.25">
      <c r="A1904" s="16" t="s">
        <v>2886</v>
      </c>
      <c r="B1904" s="16" t="str">
        <f>TEXT(PARTIDA[[#This Row],[PARTIDA]],"0000000000")</f>
        <v>2903772200</v>
      </c>
      <c r="C1904" s="16" t="s">
        <v>815</v>
      </c>
      <c r="D1904" s="16" t="s">
        <v>835</v>
      </c>
      <c r="E1904" s="16" t="s">
        <v>9465</v>
      </c>
      <c r="F1904" s="27" t="s">
        <v>10886</v>
      </c>
      <c r="G1904" s="27"/>
      <c r="H1904" s="16" t="str">
        <f>IF(ISBLANK(PARTIDAS!$G1904),PARTIDAS!$F1904,CONCATENATE(PARTIDAS!$F1904," (",PARTIDAS!$G1904,")"))</f>
        <v>Clorofluoroetanos, diclorotetrafluoroetanos</v>
      </c>
      <c r="I1904" s="16" t="s">
        <v>9427</v>
      </c>
    </row>
    <row r="1905" spans="1:9" x14ac:dyDescent="0.25">
      <c r="A1905" s="16" t="s">
        <v>2887</v>
      </c>
      <c r="B1905" s="16" t="str">
        <f>TEXT(PARTIDA[[#This Row],[PARTIDA]],"0000000000")</f>
        <v>2903772300</v>
      </c>
      <c r="C1905" s="16" t="s">
        <v>815</v>
      </c>
      <c r="D1905" s="16" t="s">
        <v>835</v>
      </c>
      <c r="E1905" s="16" t="s">
        <v>9465</v>
      </c>
      <c r="F1905" s="27" t="s">
        <v>10887</v>
      </c>
      <c r="G1905" s="27"/>
      <c r="H1905" s="16" t="str">
        <f>IF(ISBLANK(PARTIDAS!$G1905),PARTIDAS!$F1905,CONCATENATE(PARTIDAS!$F1905," (",PARTIDAS!$G1905,")"))</f>
        <v>Clorofluoroetanos, triclorotrifluoroetanos</v>
      </c>
      <c r="I1905" s="16" t="s">
        <v>9427</v>
      </c>
    </row>
    <row r="1906" spans="1:9" x14ac:dyDescent="0.25">
      <c r="A1906" s="16" t="s">
        <v>2888</v>
      </c>
      <c r="B1906" s="16" t="str">
        <f>TEXT(PARTIDA[[#This Row],[PARTIDA]],"0000000000")</f>
        <v>2903772400</v>
      </c>
      <c r="C1906" s="16" t="s">
        <v>815</v>
      </c>
      <c r="D1906" s="16" t="s">
        <v>835</v>
      </c>
      <c r="E1906" s="16" t="s">
        <v>9465</v>
      </c>
      <c r="F1906" s="27" t="s">
        <v>10888</v>
      </c>
      <c r="G1906" s="27"/>
      <c r="H1906" s="16" t="str">
        <f>IF(ISBLANK(PARTIDAS!$G1906),PARTIDAS!$F1906,CONCATENATE(PARTIDAS!$F1906," (",PARTIDAS!$G1906,")"))</f>
        <v>Clorofluoroetanos, tetraclorodifluoroetanos</v>
      </c>
      <c r="I1906" s="16" t="s">
        <v>9427</v>
      </c>
    </row>
    <row r="1907" spans="1:9" x14ac:dyDescent="0.25">
      <c r="A1907" s="16" t="s">
        <v>2889</v>
      </c>
      <c r="B1907" s="16" t="str">
        <f>TEXT(PARTIDA[[#This Row],[PARTIDA]],"0000000000")</f>
        <v>2903772500</v>
      </c>
      <c r="C1907" s="16" t="s">
        <v>815</v>
      </c>
      <c r="D1907" s="16" t="s">
        <v>835</v>
      </c>
      <c r="E1907" s="16" t="s">
        <v>9465</v>
      </c>
      <c r="F1907" s="27" t="s">
        <v>10889</v>
      </c>
      <c r="G1907" s="27"/>
      <c r="H1907" s="16" t="str">
        <f>IF(ISBLANK(PARTIDAS!$G1907),PARTIDAS!$F1907,CONCATENATE(PARTIDAS!$F1907," (",PARTIDAS!$G1907,")"))</f>
        <v>Clorofluoroetanos, pentaclorofluoroetanos</v>
      </c>
      <c r="I1907" s="16" t="s">
        <v>9427</v>
      </c>
    </row>
    <row r="1908" spans="1:9" x14ac:dyDescent="0.25">
      <c r="A1908" s="16" t="s">
        <v>2890</v>
      </c>
      <c r="B1908" s="16" t="str">
        <f>TEXT(PARTIDA[[#This Row],[PARTIDA]],"0000000000")</f>
        <v>2903773100</v>
      </c>
      <c r="C1908" s="16" t="s">
        <v>815</v>
      </c>
      <c r="D1908" s="16" t="s">
        <v>835</v>
      </c>
      <c r="E1908" s="16" t="s">
        <v>9465</v>
      </c>
      <c r="F1908" s="27" t="s">
        <v>10890</v>
      </c>
      <c r="G1908" s="27"/>
      <c r="H1908" s="16" t="str">
        <f>IF(ISBLANK(PARTIDAS!$G1908),PARTIDAS!$F1908,CONCATENATE(PARTIDAS!$F1908," (",PARTIDAS!$G1908,")"))</f>
        <v>Clorofluoropropanos, cloroheptafluoropropanos</v>
      </c>
      <c r="I1908" s="16" t="s">
        <v>9427</v>
      </c>
    </row>
    <row r="1909" spans="1:9" x14ac:dyDescent="0.25">
      <c r="A1909" s="16" t="s">
        <v>2891</v>
      </c>
      <c r="B1909" s="16" t="str">
        <f>TEXT(PARTIDA[[#This Row],[PARTIDA]],"0000000000")</f>
        <v>2903773200</v>
      </c>
      <c r="C1909" s="16" t="s">
        <v>815</v>
      </c>
      <c r="D1909" s="16" t="s">
        <v>835</v>
      </c>
      <c r="E1909" s="16" t="s">
        <v>9465</v>
      </c>
      <c r="F1909" s="27" t="s">
        <v>10891</v>
      </c>
      <c r="G1909" s="27"/>
      <c r="H1909" s="16" t="str">
        <f>IF(ISBLANK(PARTIDAS!$G1909),PARTIDAS!$F1909,CONCATENATE(PARTIDAS!$F1909," (",PARTIDAS!$G1909,")"))</f>
        <v>Clorofluoropropanos, diclorohexafluoropropanos</v>
      </c>
      <c r="I1909" s="16" t="s">
        <v>9427</v>
      </c>
    </row>
    <row r="1910" spans="1:9" x14ac:dyDescent="0.25">
      <c r="A1910" s="16" t="s">
        <v>2892</v>
      </c>
      <c r="B1910" s="16" t="str">
        <f>TEXT(PARTIDA[[#This Row],[PARTIDA]],"0000000000")</f>
        <v>2903773300</v>
      </c>
      <c r="C1910" s="16" t="s">
        <v>815</v>
      </c>
      <c r="D1910" s="16" t="s">
        <v>835</v>
      </c>
      <c r="E1910" s="16" t="s">
        <v>9465</v>
      </c>
      <c r="F1910" s="27" t="s">
        <v>10892</v>
      </c>
      <c r="G1910" s="27"/>
      <c r="H1910" s="16" t="str">
        <f>IF(ISBLANK(PARTIDAS!$G1910),PARTIDAS!$F1910,CONCATENATE(PARTIDAS!$F1910," (",PARTIDAS!$G1910,")"))</f>
        <v>Clorofluoropropanos, tricloropentafluoropropanos</v>
      </c>
      <c r="I1910" s="16" t="s">
        <v>9427</v>
      </c>
    </row>
    <row r="1911" spans="1:9" x14ac:dyDescent="0.25">
      <c r="A1911" s="16" t="s">
        <v>2893</v>
      </c>
      <c r="B1911" s="16" t="str">
        <f>TEXT(PARTIDA[[#This Row],[PARTIDA]],"0000000000")</f>
        <v>2903773400</v>
      </c>
      <c r="C1911" s="16" t="s">
        <v>815</v>
      </c>
      <c r="D1911" s="16" t="s">
        <v>835</v>
      </c>
      <c r="E1911" s="16" t="s">
        <v>9465</v>
      </c>
      <c r="F1911" s="27" t="s">
        <v>10893</v>
      </c>
      <c r="G1911" s="27"/>
      <c r="H1911" s="16" t="str">
        <f>IF(ISBLANK(PARTIDAS!$G1911),PARTIDAS!$F1911,CONCATENATE(PARTIDAS!$F1911," (",PARTIDAS!$G1911,")"))</f>
        <v>Clorofluoropropanos, tetraclorotetrafluoropropanos</v>
      </c>
      <c r="I1911" s="16" t="s">
        <v>9427</v>
      </c>
    </row>
    <row r="1912" spans="1:9" x14ac:dyDescent="0.25">
      <c r="A1912" s="16" t="s">
        <v>2894</v>
      </c>
      <c r="B1912" s="16" t="str">
        <f>TEXT(PARTIDA[[#This Row],[PARTIDA]],"0000000000")</f>
        <v>2903773500</v>
      </c>
      <c r="C1912" s="16" t="s">
        <v>815</v>
      </c>
      <c r="D1912" s="16" t="s">
        <v>835</v>
      </c>
      <c r="E1912" s="16" t="s">
        <v>9465</v>
      </c>
      <c r="F1912" s="27" t="s">
        <v>10894</v>
      </c>
      <c r="G1912" s="27"/>
      <c r="H1912" s="16" t="str">
        <f>IF(ISBLANK(PARTIDAS!$G1912),PARTIDAS!$F1912,CONCATENATE(PARTIDAS!$F1912," (",PARTIDAS!$G1912,")"))</f>
        <v>Clorofluoropropanos, pentaclorotrifluoropropanos</v>
      </c>
      <c r="I1912" s="16" t="s">
        <v>9427</v>
      </c>
    </row>
    <row r="1913" spans="1:9" x14ac:dyDescent="0.25">
      <c r="A1913" s="16" t="s">
        <v>2895</v>
      </c>
      <c r="B1913" s="16" t="str">
        <f>TEXT(PARTIDA[[#This Row],[PARTIDA]],"0000000000")</f>
        <v>2903773600</v>
      </c>
      <c r="C1913" s="16" t="s">
        <v>815</v>
      </c>
      <c r="D1913" s="16" t="s">
        <v>835</v>
      </c>
      <c r="E1913" s="16" t="s">
        <v>9465</v>
      </c>
      <c r="F1913" s="27" t="s">
        <v>10895</v>
      </c>
      <c r="G1913" s="27"/>
      <c r="H1913" s="16" t="str">
        <f>IF(ISBLANK(PARTIDAS!$G1913),PARTIDAS!$F1913,CONCATENATE(PARTIDAS!$F1913," (",PARTIDAS!$G1913,")"))</f>
        <v>Clorofluoropropanos, hexaclorodifluoropropanos</v>
      </c>
      <c r="I1913" s="16" t="s">
        <v>9427</v>
      </c>
    </row>
    <row r="1914" spans="1:9" x14ac:dyDescent="0.25">
      <c r="A1914" s="16" t="s">
        <v>2896</v>
      </c>
      <c r="B1914" s="16" t="str">
        <f>TEXT(PARTIDA[[#This Row],[PARTIDA]],"0000000000")</f>
        <v>2903773700</v>
      </c>
      <c r="C1914" s="16" t="s">
        <v>815</v>
      </c>
      <c r="D1914" s="16" t="s">
        <v>835</v>
      </c>
      <c r="E1914" s="16" t="s">
        <v>9465</v>
      </c>
      <c r="F1914" s="27" t="s">
        <v>10896</v>
      </c>
      <c r="G1914" s="27"/>
      <c r="H1914" s="16" t="str">
        <f>IF(ISBLANK(PARTIDAS!$G1914),PARTIDAS!$F1914,CONCATENATE(PARTIDAS!$F1914," (",PARTIDAS!$G1914,")"))</f>
        <v>Clorofluoropropanos, heptaclorofluoropropanos</v>
      </c>
      <c r="I1914" s="16" t="s">
        <v>9427</v>
      </c>
    </row>
    <row r="1915" spans="1:9" x14ac:dyDescent="0.25">
      <c r="A1915" s="16" t="s">
        <v>2897</v>
      </c>
      <c r="B1915" s="16" t="str">
        <f>TEXT(PARTIDA[[#This Row],[PARTIDA]],"0000000000")</f>
        <v>2903779000</v>
      </c>
      <c r="C1915" s="16" t="s">
        <v>815</v>
      </c>
      <c r="D1915" s="16" t="s">
        <v>835</v>
      </c>
      <c r="E1915" s="16" t="s">
        <v>9465</v>
      </c>
      <c r="F1915" s="27" t="s">
        <v>10897</v>
      </c>
      <c r="G1915" s="27"/>
      <c r="H1915" s="16" t="str">
        <f>IF(ISBLANK(PARTIDAS!$G1915),PARTIDAS!$F1915,CONCATENATE(PARTIDAS!$F1915," (",PARTIDAS!$G1915,")"))</f>
        <v>Derivados halogenados de los hidrocarburos acíclicos con dos… (los demás)</v>
      </c>
      <c r="I1915" s="16" t="s">
        <v>9427</v>
      </c>
    </row>
    <row r="1916" spans="1:9" x14ac:dyDescent="0.25">
      <c r="A1916" s="16" t="s">
        <v>2898</v>
      </c>
      <c r="B1916" s="16" t="str">
        <f>TEXT(PARTIDA[[#This Row],[PARTIDA]],"0000000000")</f>
        <v>2903780000</v>
      </c>
      <c r="C1916" s="16" t="s">
        <v>815</v>
      </c>
      <c r="D1916" s="16" t="s">
        <v>835</v>
      </c>
      <c r="E1916" s="16" t="s">
        <v>9465</v>
      </c>
      <c r="F1916" s="27" t="s">
        <v>10898</v>
      </c>
      <c r="G1916" s="27"/>
      <c r="H1916" s="16" t="str">
        <f>IF(ISBLANK(PARTIDAS!$G1916),PARTIDAS!$F1916,CONCATENATE(PARTIDAS!$F1916," (",PARTIDAS!$G1916,")"))</f>
        <v>Derivados halogenados de los hidrocarburos acíclicos con dos… (los demás, derivados perhalogenados)</v>
      </c>
      <c r="I1916" s="16" t="s">
        <v>9427</v>
      </c>
    </row>
    <row r="1917" spans="1:9" x14ac:dyDescent="0.25">
      <c r="A1917" s="16" t="s">
        <v>2899</v>
      </c>
      <c r="B1917" s="16" t="str">
        <f>TEXT(PARTIDA[[#This Row],[PARTIDA]],"0000000000")</f>
        <v>2903791100</v>
      </c>
      <c r="C1917" s="16" t="s">
        <v>815</v>
      </c>
      <c r="D1917" s="16" t="s">
        <v>835</v>
      </c>
      <c r="E1917" s="16" t="s">
        <v>9465</v>
      </c>
      <c r="F1917" s="27" t="s">
        <v>10899</v>
      </c>
      <c r="G1917" s="27"/>
      <c r="H1917" s="16" t="str">
        <f>IF(ISBLANK(PARTIDAS!$G1917),PARTIDAS!$F1917,CONCATENATE(PARTIDAS!$F1917," (",PARTIDAS!$G1917,")"))</f>
        <v>Derivados halogenados de los hidrocarburos acíclicos con dos…, triclorofluoroetanos</v>
      </c>
      <c r="I1917" s="16" t="s">
        <v>9427</v>
      </c>
    </row>
    <row r="1918" spans="1:9" x14ac:dyDescent="0.25">
      <c r="A1918" s="16" t="s">
        <v>2900</v>
      </c>
      <c r="B1918" s="16" t="str">
        <f>TEXT(PARTIDA[[#This Row],[PARTIDA]],"0000000000")</f>
        <v>2903791200</v>
      </c>
      <c r="C1918" s="16" t="s">
        <v>815</v>
      </c>
      <c r="D1918" s="16" t="s">
        <v>835</v>
      </c>
      <c r="E1918" s="16" t="s">
        <v>9465</v>
      </c>
      <c r="F1918" s="27" t="s">
        <v>10900</v>
      </c>
      <c r="G1918" s="27"/>
      <c r="H1918" s="16" t="str">
        <f>IF(ISBLANK(PARTIDAS!$G1918),PARTIDAS!$F1918,CONCATENATE(PARTIDAS!$F1918," (",PARTIDAS!$G1918,")"))</f>
        <v>Derivados halogenados de los hidrocarburos acíclicos con dos…, clorotetrafluoroetanos</v>
      </c>
      <c r="I1918" s="16" t="s">
        <v>9427</v>
      </c>
    </row>
    <row r="1919" spans="1:9" x14ac:dyDescent="0.25">
      <c r="A1919" s="16" t="s">
        <v>2901</v>
      </c>
      <c r="B1919" s="16" t="str">
        <f>TEXT(PARTIDA[[#This Row],[PARTIDA]],"0000000000")</f>
        <v>2903791900</v>
      </c>
      <c r="C1919" s="16" t="s">
        <v>815</v>
      </c>
      <c r="D1919" s="16" t="s">
        <v>835</v>
      </c>
      <c r="E1919" s="16" t="s">
        <v>9465</v>
      </c>
      <c r="F1919" s="27" t="s">
        <v>10897</v>
      </c>
      <c r="G1919" s="27"/>
      <c r="H1919" s="16" t="str">
        <f>IF(ISBLANK(PARTIDAS!$G1919),PARTIDAS!$F1919,CONCATENATE(PARTIDAS!$F1919," (",PARTIDAS!$G1919,")"))</f>
        <v>Derivados halogenados de los hidrocarburos acíclicos con dos… (los demás)</v>
      </c>
      <c r="I1919" s="16" t="s">
        <v>9427</v>
      </c>
    </row>
    <row r="1920" spans="1:9" x14ac:dyDescent="0.25">
      <c r="A1920" s="16" t="s">
        <v>2902</v>
      </c>
      <c r="B1920" s="16" t="str">
        <f>TEXT(PARTIDA[[#This Row],[PARTIDA]],"0000000000")</f>
        <v>2903792000</v>
      </c>
      <c r="C1920" s="16" t="s">
        <v>815</v>
      </c>
      <c r="D1920" s="16" t="s">
        <v>835</v>
      </c>
      <c r="E1920" s="16" t="s">
        <v>9465</v>
      </c>
      <c r="F1920" s="27" t="s">
        <v>10901</v>
      </c>
      <c r="G1920" s="27"/>
      <c r="H1920" s="16" t="str">
        <f>IF(ISBLANK(PARTIDAS!$G1920),PARTIDAS!$F1920,CONCATENATE(PARTIDAS!$F1920," (",PARTIDAS!$G1920,")"))</f>
        <v>Derivados del metano, del etano o del propano, halogenados solamente con fluor y bromo</v>
      </c>
      <c r="I1920" s="16" t="s">
        <v>9427</v>
      </c>
    </row>
    <row r="1921" spans="1:9" x14ac:dyDescent="0.25">
      <c r="A1921" s="16" t="s">
        <v>2903</v>
      </c>
      <c r="B1921" s="16" t="str">
        <f>TEXT(PARTIDA[[#This Row],[PARTIDA]],"0000000000")</f>
        <v>2903799000</v>
      </c>
      <c r="C1921" s="16" t="s">
        <v>815</v>
      </c>
      <c r="D1921" s="16" t="s">
        <v>835</v>
      </c>
      <c r="E1921" s="16" t="s">
        <v>9465</v>
      </c>
      <c r="F1921" s="27" t="s">
        <v>10897</v>
      </c>
      <c r="G1921" s="27"/>
      <c r="H1921" s="16" t="str">
        <f>IF(ISBLANK(PARTIDAS!$G1921),PARTIDAS!$F1921,CONCATENATE(PARTIDAS!$F1921," (",PARTIDAS!$G1921,")"))</f>
        <v>Derivados halogenados de los hidrocarburos acíclicos con dos… (los demás)</v>
      </c>
      <c r="I1921" s="16" t="s">
        <v>9427</v>
      </c>
    </row>
    <row r="1922" spans="1:9" x14ac:dyDescent="0.25">
      <c r="A1922" s="16" t="s">
        <v>2904</v>
      </c>
      <c r="B1922" s="16" t="str">
        <f>TEXT(PARTIDA[[#This Row],[PARTIDA]],"0000000000")</f>
        <v>2903811000</v>
      </c>
      <c r="C1922" s="16" t="s">
        <v>815</v>
      </c>
      <c r="D1922" s="16" t="s">
        <v>835</v>
      </c>
      <c r="E1922" s="16" t="s">
        <v>9465</v>
      </c>
      <c r="F1922" s="27" t="s">
        <v>10902</v>
      </c>
      <c r="G1922" s="27"/>
      <c r="H1922" s="16" t="str">
        <f>IF(ISBLANK(PARTIDAS!$G1922),PARTIDAS!$F1922,CONCATENATE(PARTIDAS!$F1922," (",PARTIDAS!$G1922,")"))</f>
        <v>Lindano (ISO, DCI) isómero gamma</v>
      </c>
      <c r="I1922" s="16" t="s">
        <v>9427</v>
      </c>
    </row>
    <row r="1923" spans="1:9" x14ac:dyDescent="0.25">
      <c r="A1923" s="16" t="s">
        <v>2905</v>
      </c>
      <c r="B1923" s="16" t="str">
        <f>TEXT(PARTIDA[[#This Row],[PARTIDA]],"0000000000")</f>
        <v>2903812000</v>
      </c>
      <c r="C1923" s="16" t="s">
        <v>815</v>
      </c>
      <c r="D1923" s="16" t="s">
        <v>835</v>
      </c>
      <c r="E1923" s="16" t="s">
        <v>9465</v>
      </c>
      <c r="F1923" s="27" t="s">
        <v>10903</v>
      </c>
      <c r="G1923" s="27"/>
      <c r="H1923" s="16" t="str">
        <f>IF(ISBLANK(PARTIDAS!$G1923),PARTIDAS!$F1923,CONCATENATE(PARTIDAS!$F1923," (",PARTIDAS!$G1923,")"))</f>
        <v>Isómeros alfa, beta, delta</v>
      </c>
      <c r="I1923" s="16" t="s">
        <v>9427</v>
      </c>
    </row>
    <row r="1924" spans="1:9" x14ac:dyDescent="0.25">
      <c r="A1924" s="16" t="s">
        <v>2906</v>
      </c>
      <c r="B1924" s="16" t="str">
        <f>TEXT(PARTIDA[[#This Row],[PARTIDA]],"0000000000")</f>
        <v>2903819000</v>
      </c>
      <c r="C1924" s="16" t="s">
        <v>815</v>
      </c>
      <c r="D1924" s="16" t="s">
        <v>835</v>
      </c>
      <c r="E1924" s="16" t="s">
        <v>9465</v>
      </c>
      <c r="F1924" s="27" t="s">
        <v>10904</v>
      </c>
      <c r="G1924" s="27"/>
      <c r="H1924" s="16" t="str">
        <f>IF(ISBLANK(PARTIDAS!$G1924),PARTIDAS!$F1924,CONCATENATE(PARTIDAS!$F1924," (",PARTIDAS!$G1924,")"))</f>
        <v>Derivados halogenados de los hidrocarburos ciclánicos…, 1,2,3,4,5,6-Hexaclorociclohexano (HCH (ISO)), incluido el lindano… (los demás)</v>
      </c>
      <c r="I1924" s="16" t="s">
        <v>9427</v>
      </c>
    </row>
    <row r="1925" spans="1:9" x14ac:dyDescent="0.25">
      <c r="A1925" s="16" t="s">
        <v>2907</v>
      </c>
      <c r="B1925" s="16" t="str">
        <f>TEXT(PARTIDA[[#This Row],[PARTIDA]],"0000000000")</f>
        <v>2903821000</v>
      </c>
      <c r="C1925" s="16" t="s">
        <v>815</v>
      </c>
      <c r="D1925" s="16" t="s">
        <v>835</v>
      </c>
      <c r="E1925" s="16" t="s">
        <v>9465</v>
      </c>
      <c r="F1925" s="27" t="s">
        <v>10905</v>
      </c>
      <c r="G1925" s="27"/>
      <c r="H1925" s="16" t="str">
        <f>IF(ISBLANK(PARTIDAS!$G1925),PARTIDAS!$F1925,CONCATENATE(PARTIDAS!$F1925," (",PARTIDAS!$G1925,")"))</f>
        <v>Aldrina (ISO)</v>
      </c>
      <c r="I1925" s="16" t="s">
        <v>9427</v>
      </c>
    </row>
    <row r="1926" spans="1:9" x14ac:dyDescent="0.25">
      <c r="A1926" s="16" t="s">
        <v>2908</v>
      </c>
      <c r="B1926" s="16" t="str">
        <f>TEXT(PARTIDA[[#This Row],[PARTIDA]],"0000000000")</f>
        <v>2903822000</v>
      </c>
      <c r="C1926" s="16" t="s">
        <v>815</v>
      </c>
      <c r="D1926" s="16" t="s">
        <v>835</v>
      </c>
      <c r="E1926" s="16" t="s">
        <v>9465</v>
      </c>
      <c r="F1926" s="27" t="s">
        <v>10906</v>
      </c>
      <c r="G1926" s="27"/>
      <c r="H1926" s="16" t="str">
        <f>IF(ISBLANK(PARTIDAS!$G1926),PARTIDAS!$F1926,CONCATENATE(PARTIDAS!$F1926," (",PARTIDAS!$G1926,")"))</f>
        <v>Clordano (ISO)</v>
      </c>
      <c r="I1926" s="16" t="s">
        <v>9427</v>
      </c>
    </row>
    <row r="1927" spans="1:9" x14ac:dyDescent="0.25">
      <c r="A1927" s="16" t="s">
        <v>2909</v>
      </c>
      <c r="B1927" s="16" t="str">
        <f>TEXT(PARTIDA[[#This Row],[PARTIDA]],"0000000000")</f>
        <v>2903823000</v>
      </c>
      <c r="C1927" s="16" t="s">
        <v>815</v>
      </c>
      <c r="D1927" s="16" t="s">
        <v>835</v>
      </c>
      <c r="E1927" s="16" t="s">
        <v>9465</v>
      </c>
      <c r="F1927" s="27" t="s">
        <v>10907</v>
      </c>
      <c r="G1927" s="27"/>
      <c r="H1927" s="16" t="str">
        <f>IF(ISBLANK(PARTIDAS!$G1927),PARTIDAS!$F1927,CONCATENATE(PARTIDAS!$F1927," (",PARTIDAS!$G1927,")"))</f>
        <v>Heptacloro (ISO)</v>
      </c>
      <c r="I1927" s="16" t="s">
        <v>9427</v>
      </c>
    </row>
    <row r="1928" spans="1:9" x14ac:dyDescent="0.25">
      <c r="A1928" s="16" t="s">
        <v>2910</v>
      </c>
      <c r="B1928" s="16" t="str">
        <f>TEXT(PARTIDA[[#This Row],[PARTIDA]],"0000000000")</f>
        <v>2903830000</v>
      </c>
      <c r="C1928" s="16" t="s">
        <v>815</v>
      </c>
      <c r="D1928" s="16" t="s">
        <v>835</v>
      </c>
      <c r="E1928" s="16" t="s">
        <v>9465</v>
      </c>
      <c r="F1928" s="27" t="s">
        <v>10908</v>
      </c>
      <c r="G1928" s="27"/>
      <c r="H1928" s="16" t="str">
        <f>IF(ISBLANK(PARTIDAS!$G1928),PARTIDAS!$F1928,CONCATENATE(PARTIDAS!$F1928," (",PARTIDAS!$G1928,")"))</f>
        <v>Mirex (ISO)</v>
      </c>
      <c r="I1928" s="16" t="s">
        <v>9427</v>
      </c>
    </row>
    <row r="1929" spans="1:9" x14ac:dyDescent="0.25">
      <c r="A1929" s="16" t="s">
        <v>2911</v>
      </c>
      <c r="B1929" s="16" t="str">
        <f>TEXT(PARTIDA[[#This Row],[PARTIDA]],"0000000000")</f>
        <v>2903891000</v>
      </c>
      <c r="C1929" s="16" t="s">
        <v>815</v>
      </c>
      <c r="D1929" s="16" t="s">
        <v>835</v>
      </c>
      <c r="E1929" s="16" t="s">
        <v>9465</v>
      </c>
      <c r="F1929" s="27" t="s">
        <v>10909</v>
      </c>
      <c r="G1929" s="27"/>
      <c r="H1929" s="16" t="str">
        <f>IF(ISBLANK(PARTIDAS!$G1929),PARTIDAS!$F1929,CONCATENATE(PARTIDAS!$F1929," (",PARTIDAS!$G1929,")"))</f>
        <v>Canfecloro (toxafeno)</v>
      </c>
      <c r="I1929" s="16" t="s">
        <v>9427</v>
      </c>
    </row>
    <row r="1930" spans="1:9" x14ac:dyDescent="0.25">
      <c r="A1930" s="16" t="s">
        <v>2912</v>
      </c>
      <c r="B1930" s="16" t="str">
        <f>TEXT(PARTIDA[[#This Row],[PARTIDA]],"0000000000")</f>
        <v>2903899000</v>
      </c>
      <c r="C1930" s="16" t="s">
        <v>815</v>
      </c>
      <c r="D1930" s="16" t="s">
        <v>835</v>
      </c>
      <c r="E1930" s="16" t="s">
        <v>9465</v>
      </c>
      <c r="F1930" s="27" t="s">
        <v>10910</v>
      </c>
      <c r="G1930" s="27"/>
      <c r="H1930" s="16" t="str">
        <f>IF(ISBLANK(PARTIDAS!$G1930),PARTIDAS!$F1930,CONCATENATE(PARTIDAS!$F1930," (",PARTIDAS!$G1930,")"))</f>
        <v>Derivados halogenados de los hidrocarburos ciclánicos, ciclénicos o… (los demás)</v>
      </c>
      <c r="I1930" s="16" t="s">
        <v>9427</v>
      </c>
    </row>
    <row r="1931" spans="1:9" x14ac:dyDescent="0.25">
      <c r="A1931" s="16" t="s">
        <v>2913</v>
      </c>
      <c r="B1931" s="16" t="str">
        <f>TEXT(PARTIDA[[#This Row],[PARTIDA]],"0000000000")</f>
        <v>2903910000</v>
      </c>
      <c r="C1931" s="16" t="s">
        <v>815</v>
      </c>
      <c r="D1931" s="16" t="s">
        <v>835</v>
      </c>
      <c r="E1931" s="16" t="s">
        <v>9465</v>
      </c>
      <c r="F1931" s="27" t="s">
        <v>10911</v>
      </c>
      <c r="G1931" s="27"/>
      <c r="H1931" s="16" t="str">
        <f>IF(ISBLANK(PARTIDAS!$G1931),PARTIDAS!$F1931,CONCATENATE(PARTIDAS!$F1931," (",PARTIDAS!$G1931,")"))</f>
        <v>Clorobenceno, o-diclorobenceno y p-diclorobenceno</v>
      </c>
      <c r="I1931" s="16" t="s">
        <v>9427</v>
      </c>
    </row>
    <row r="1932" spans="1:9" x14ac:dyDescent="0.25">
      <c r="A1932" s="16" t="s">
        <v>2914</v>
      </c>
      <c r="B1932" s="16" t="str">
        <f>TEXT(PARTIDA[[#This Row],[PARTIDA]],"0000000000")</f>
        <v>2903921000</v>
      </c>
      <c r="C1932" s="16" t="s">
        <v>815</v>
      </c>
      <c r="D1932" s="16" t="s">
        <v>835</v>
      </c>
      <c r="E1932" s="16" t="s">
        <v>9465</v>
      </c>
      <c r="F1932" s="27" t="s">
        <v>10912</v>
      </c>
      <c r="G1932" s="27"/>
      <c r="H1932" s="16" t="str">
        <f>IF(ISBLANK(PARTIDAS!$G1932),PARTIDAS!$F1932,CONCATENATE(PARTIDAS!$F1932," (",PARTIDAS!$G1932,")"))</f>
        <v>Hexaclorobenceno (ISO)</v>
      </c>
      <c r="I1932" s="16" t="s">
        <v>9427</v>
      </c>
    </row>
    <row r="1933" spans="1:9" x14ac:dyDescent="0.25">
      <c r="A1933" s="16" t="s">
        <v>2915</v>
      </c>
      <c r="B1933" s="16" t="str">
        <f>TEXT(PARTIDA[[#This Row],[PARTIDA]],"0000000000")</f>
        <v>2903922000</v>
      </c>
      <c r="C1933" s="16" t="s">
        <v>815</v>
      </c>
      <c r="D1933" s="16" t="s">
        <v>835</v>
      </c>
      <c r="E1933" s="16" t="s">
        <v>9465</v>
      </c>
      <c r="F1933" s="27" t="s">
        <v>10913</v>
      </c>
      <c r="G1933" s="27"/>
      <c r="H1933" s="16" t="str">
        <f>IF(ISBLANK(PARTIDAS!$G1933),PARTIDAS!$F1933,CONCATENATE(PARTIDAS!$F1933," (",PARTIDAS!$G1933,")"))</f>
        <v>DDT (ISO) (clofenotano (DCI), 1,1,1-tricloro-2,2-bis(p-clorofenil)etano)</v>
      </c>
      <c r="I1933" s="16" t="s">
        <v>9427</v>
      </c>
    </row>
    <row r="1934" spans="1:9" x14ac:dyDescent="0.25">
      <c r="A1934" s="16" t="s">
        <v>2916</v>
      </c>
      <c r="B1934" s="16" t="str">
        <f>TEXT(PARTIDA[[#This Row],[PARTIDA]],"0000000000")</f>
        <v>2903930000</v>
      </c>
      <c r="C1934" s="16" t="s">
        <v>815</v>
      </c>
      <c r="D1934" s="16" t="s">
        <v>835</v>
      </c>
      <c r="E1934" s="16" t="s">
        <v>9465</v>
      </c>
      <c r="F1934" s="27" t="s">
        <v>10914</v>
      </c>
      <c r="G1934" s="27"/>
      <c r="H1934" s="16" t="str">
        <f>IF(ISBLANK(PARTIDAS!$G1934),PARTIDAS!$F1934,CONCATENATE(PARTIDAS!$F1934," (",PARTIDAS!$G1934,")"))</f>
        <v>Pentaclorobenceno (ISO)</v>
      </c>
      <c r="I1934" s="16" t="s">
        <v>9427</v>
      </c>
    </row>
    <row r="1935" spans="1:9" x14ac:dyDescent="0.25">
      <c r="A1935" s="16" t="s">
        <v>2917</v>
      </c>
      <c r="B1935" s="16" t="str">
        <f>TEXT(PARTIDA[[#This Row],[PARTIDA]],"0000000000")</f>
        <v>2903940000</v>
      </c>
      <c r="C1935" s="16" t="s">
        <v>815</v>
      </c>
      <c r="D1935" s="16" t="s">
        <v>835</v>
      </c>
      <c r="E1935" s="16" t="s">
        <v>9465</v>
      </c>
      <c r="F1935" s="27" t="s">
        <v>10915</v>
      </c>
      <c r="G1935" s="27"/>
      <c r="H1935" s="16" t="str">
        <f>IF(ISBLANK(PARTIDAS!$G1935),PARTIDAS!$F1935,CONCATENATE(PARTIDAS!$F1935," (",PARTIDAS!$G1935,")"))</f>
        <v>Derivados halogenados de los hidrocarburos aromáticos, hexabromobifenilos</v>
      </c>
      <c r="I1935" s="16" t="s">
        <v>9427</v>
      </c>
    </row>
    <row r="1936" spans="1:9" x14ac:dyDescent="0.25">
      <c r="A1936" s="16" t="s">
        <v>2918</v>
      </c>
      <c r="B1936" s="16" t="str">
        <f>TEXT(PARTIDA[[#This Row],[PARTIDA]],"0000000000")</f>
        <v>2903991000</v>
      </c>
      <c r="C1936" s="16" t="s">
        <v>815</v>
      </c>
      <c r="D1936" s="16" t="s">
        <v>835</v>
      </c>
      <c r="E1936" s="16" t="s">
        <v>9465</v>
      </c>
      <c r="F1936" s="27" t="s">
        <v>10916</v>
      </c>
      <c r="G1936" s="27"/>
      <c r="H1936" s="16" t="str">
        <f>IF(ISBLANK(PARTIDAS!$G1936),PARTIDAS!$F1936,CONCATENATE(PARTIDAS!$F1936," (",PARTIDAS!$G1936,")"))</f>
        <v>Derivados clorados</v>
      </c>
      <c r="I1936" s="16" t="s">
        <v>9427</v>
      </c>
    </row>
    <row r="1937" spans="1:9" x14ac:dyDescent="0.25">
      <c r="A1937" s="16" t="s">
        <v>2919</v>
      </c>
      <c r="B1937" s="16" t="str">
        <f>TEXT(PARTIDA[[#This Row],[PARTIDA]],"0000000000")</f>
        <v>2903992000</v>
      </c>
      <c r="C1937" s="16" t="s">
        <v>815</v>
      </c>
      <c r="D1937" s="16" t="s">
        <v>835</v>
      </c>
      <c r="E1937" s="16" t="s">
        <v>9465</v>
      </c>
      <c r="F1937" s="27" t="s">
        <v>10917</v>
      </c>
      <c r="G1937" s="27"/>
      <c r="H1937" s="16" t="str">
        <f>IF(ISBLANK(PARTIDAS!$G1937),PARTIDAS!$F1937,CONCATENATE(PARTIDAS!$F1937," (",PARTIDAS!$G1937,")"))</f>
        <v>Derivados fluorados</v>
      </c>
      <c r="I1937" s="16" t="s">
        <v>9427</v>
      </c>
    </row>
    <row r="1938" spans="1:9" x14ac:dyDescent="0.25">
      <c r="A1938" s="16" t="s">
        <v>2920</v>
      </c>
      <c r="B1938" s="16" t="str">
        <f>TEXT(PARTIDA[[#This Row],[PARTIDA]],"0000000000")</f>
        <v>2903993000</v>
      </c>
      <c r="C1938" s="16" t="s">
        <v>815</v>
      </c>
      <c r="D1938" s="16" t="s">
        <v>835</v>
      </c>
      <c r="E1938" s="16" t="s">
        <v>9465</v>
      </c>
      <c r="F1938" s="27" t="s">
        <v>10918</v>
      </c>
      <c r="G1938" s="27"/>
      <c r="H1938" s="16" t="str">
        <f>IF(ISBLANK(PARTIDAS!$G1938),PARTIDAS!$F1938,CONCATENATE(PARTIDAS!$F1938," (",PARTIDAS!$G1938,")"))</f>
        <v>Derivados bromados</v>
      </c>
      <c r="I1938" s="16" t="s">
        <v>9427</v>
      </c>
    </row>
    <row r="1939" spans="1:9" x14ac:dyDescent="0.25">
      <c r="A1939" s="16" t="s">
        <v>2921</v>
      </c>
      <c r="B1939" s="16" t="str">
        <f>TEXT(PARTIDA[[#This Row],[PARTIDA]],"0000000000")</f>
        <v>2903999000</v>
      </c>
      <c r="C1939" s="16" t="s">
        <v>815</v>
      </c>
      <c r="D1939" s="16" t="s">
        <v>835</v>
      </c>
      <c r="E1939" s="16" t="s">
        <v>9465</v>
      </c>
      <c r="F1939" s="27" t="s">
        <v>10919</v>
      </c>
      <c r="G1939" s="27"/>
      <c r="H1939" s="16" t="str">
        <f>IF(ISBLANK(PARTIDAS!$G1939),PARTIDAS!$F1939,CONCATENATE(PARTIDAS!$F1939," (",PARTIDAS!$G1939,")"))</f>
        <v>Derivados halogenados de los hidrocarburos aromáticos (los demás)</v>
      </c>
      <c r="I1939" s="16" t="s">
        <v>9427</v>
      </c>
    </row>
    <row r="1940" spans="1:9" x14ac:dyDescent="0.25">
      <c r="A1940" s="16" t="s">
        <v>2922</v>
      </c>
      <c r="B1940" s="16" t="str">
        <f>TEXT(PARTIDA[[#This Row],[PARTIDA]],"0000000000")</f>
        <v>2904101000</v>
      </c>
      <c r="C1940" s="16" t="s">
        <v>815</v>
      </c>
      <c r="D1940" s="16" t="s">
        <v>835</v>
      </c>
      <c r="E1940" s="16" t="s">
        <v>9465</v>
      </c>
      <c r="F1940" s="27" t="s">
        <v>10920</v>
      </c>
      <c r="G1940" s="27"/>
      <c r="H1940" s="16" t="str">
        <f>IF(ISBLANK(PARTIDAS!$G1940),PARTIDAS!$F1940,CONCATENATE(PARTIDAS!$F1940," (",PARTIDAS!$G1940,")"))</f>
        <v>Ácidos naftalenosulfónicos</v>
      </c>
      <c r="I1940" s="16" t="s">
        <v>9427</v>
      </c>
    </row>
    <row r="1941" spans="1:9" x14ac:dyDescent="0.25">
      <c r="A1941" s="16" t="s">
        <v>2923</v>
      </c>
      <c r="B1941" s="16" t="str">
        <f>TEXT(PARTIDA[[#This Row],[PARTIDA]],"0000000000")</f>
        <v>2904109000</v>
      </c>
      <c r="C1941" s="16" t="s">
        <v>815</v>
      </c>
      <c r="D1941" s="16" t="s">
        <v>835</v>
      </c>
      <c r="E1941" s="16" t="s">
        <v>9465</v>
      </c>
      <c r="F1941" s="27" t="s">
        <v>10921</v>
      </c>
      <c r="G1941" s="27"/>
      <c r="H1941" s="16" t="str">
        <f>IF(ISBLANK(PARTIDAS!$G1941),PARTIDAS!$F1941,CONCATENATE(PARTIDAS!$F1941," (",PARTIDAS!$G1941,")"))</f>
        <v>Derivados solamente sulfonados, sus sales y sus ésteres etílicos (los demás)</v>
      </c>
      <c r="I1941" s="16" t="s">
        <v>9427</v>
      </c>
    </row>
    <row r="1942" spans="1:9" x14ac:dyDescent="0.25">
      <c r="A1942" s="16" t="s">
        <v>2924</v>
      </c>
      <c r="B1942" s="16" t="str">
        <f>TEXT(PARTIDA[[#This Row],[PARTIDA]],"0000000000")</f>
        <v>2904201000</v>
      </c>
      <c r="C1942" s="16" t="s">
        <v>815</v>
      </c>
      <c r="D1942" s="16" t="s">
        <v>835</v>
      </c>
      <c r="E1942" s="16" t="s">
        <v>9465</v>
      </c>
      <c r="F1942" s="27" t="s">
        <v>10922</v>
      </c>
      <c r="G1942" s="27"/>
      <c r="H1942" s="16" t="str">
        <f>IF(ISBLANK(PARTIDAS!$G1942),PARTIDAS!$F1942,CONCATENATE(PARTIDAS!$F1942," (",PARTIDAS!$G1942,")"))</f>
        <v>Derivados solamente nitrados o solamente nitrosados, dinitrotolueno</v>
      </c>
      <c r="I1942" s="16" t="s">
        <v>9427</v>
      </c>
    </row>
    <row r="1943" spans="1:9" x14ac:dyDescent="0.25">
      <c r="A1943" s="16" t="s">
        <v>2925</v>
      </c>
      <c r="B1943" s="16" t="str">
        <f>TEXT(PARTIDA[[#This Row],[PARTIDA]],"0000000000")</f>
        <v>2904202000</v>
      </c>
      <c r="C1943" s="16" t="s">
        <v>815</v>
      </c>
      <c r="D1943" s="16" t="s">
        <v>835</v>
      </c>
      <c r="E1943" s="16" t="s">
        <v>9465</v>
      </c>
      <c r="F1943" s="27" t="s">
        <v>10923</v>
      </c>
      <c r="G1943" s="27"/>
      <c r="H1943" s="16" t="str">
        <f>IF(ISBLANK(PARTIDAS!$G1943),PARTIDAS!$F1943,CONCATENATE(PARTIDAS!$F1943," (",PARTIDAS!$G1943,")"))</f>
        <v>Trinitrotolueno (TNT)</v>
      </c>
      <c r="I1943" s="16" t="s">
        <v>9427</v>
      </c>
    </row>
    <row r="1944" spans="1:9" x14ac:dyDescent="0.25">
      <c r="A1944" s="16" t="s">
        <v>2926</v>
      </c>
      <c r="B1944" s="16" t="str">
        <f>TEXT(PARTIDA[[#This Row],[PARTIDA]],"0000000000")</f>
        <v>2904203000</v>
      </c>
      <c r="C1944" s="16" t="s">
        <v>815</v>
      </c>
      <c r="D1944" s="16" t="s">
        <v>835</v>
      </c>
      <c r="E1944" s="16" t="s">
        <v>9465</v>
      </c>
      <c r="F1944" s="27" t="s">
        <v>10924</v>
      </c>
      <c r="G1944" s="27"/>
      <c r="H1944" s="16" t="str">
        <f>IF(ISBLANK(PARTIDAS!$G1944),PARTIDAS!$F1944,CONCATENATE(PARTIDAS!$F1944," (",PARTIDAS!$G1944,")"))</f>
        <v>Trinitrobutilmetaxileno y dinitrobutilparacimeno</v>
      </c>
      <c r="I1944" s="16" t="s">
        <v>9427</v>
      </c>
    </row>
    <row r="1945" spans="1:9" x14ac:dyDescent="0.25">
      <c r="A1945" s="16" t="s">
        <v>2927</v>
      </c>
      <c r="B1945" s="16" t="str">
        <f>TEXT(PARTIDA[[#This Row],[PARTIDA]],"0000000000")</f>
        <v>2904204000</v>
      </c>
      <c r="C1945" s="16" t="s">
        <v>815</v>
      </c>
      <c r="D1945" s="16" t="s">
        <v>835</v>
      </c>
      <c r="E1945" s="16" t="s">
        <v>9465</v>
      </c>
      <c r="F1945" s="27" t="s">
        <v>10925</v>
      </c>
      <c r="G1945" s="27"/>
      <c r="H1945" s="16" t="str">
        <f>IF(ISBLANK(PARTIDAS!$G1945),PARTIDAS!$F1945,CONCATENATE(PARTIDAS!$F1945," (",PARTIDAS!$G1945,")"))</f>
        <v>Derivados solamente nitrados o solamente nitrosados, nitrobenceno</v>
      </c>
      <c r="I1945" s="16" t="s">
        <v>9427</v>
      </c>
    </row>
    <row r="1946" spans="1:9" x14ac:dyDescent="0.25">
      <c r="A1946" s="16" t="s">
        <v>2928</v>
      </c>
      <c r="B1946" s="16" t="str">
        <f>TEXT(PARTIDA[[#This Row],[PARTIDA]],"0000000000")</f>
        <v>2904209000</v>
      </c>
      <c r="C1946" s="16" t="s">
        <v>815</v>
      </c>
      <c r="D1946" s="16" t="s">
        <v>835</v>
      </c>
      <c r="E1946" s="16" t="s">
        <v>9465</v>
      </c>
      <c r="F1946" s="27" t="s">
        <v>10926</v>
      </c>
      <c r="G1946" s="27"/>
      <c r="H1946" s="16" t="str">
        <f>IF(ISBLANK(PARTIDAS!$G1946),PARTIDAS!$F1946,CONCATENATE(PARTIDAS!$F1946," (",PARTIDAS!$G1946,")"))</f>
        <v>Derivados solamente nitrados o solamente nitrosados (los demás)</v>
      </c>
      <c r="I1946" s="16" t="s">
        <v>9427</v>
      </c>
    </row>
    <row r="1947" spans="1:9" x14ac:dyDescent="0.25">
      <c r="A1947" s="16" t="s">
        <v>2929</v>
      </c>
      <c r="B1947" s="16" t="str">
        <f>TEXT(PARTIDA[[#This Row],[PARTIDA]],"0000000000")</f>
        <v>2904310000</v>
      </c>
      <c r="C1947" s="16" t="s">
        <v>815</v>
      </c>
      <c r="D1947" s="16" t="s">
        <v>835</v>
      </c>
      <c r="E1947" s="16" t="s">
        <v>9465</v>
      </c>
      <c r="F1947" s="27" t="s">
        <v>10927</v>
      </c>
      <c r="G1947" s="27"/>
      <c r="H1947" s="16" t="str">
        <f>IF(ISBLANK(PARTIDAS!$G1947),PARTIDAS!$F1947,CONCATENATE(PARTIDAS!$F1947," (",PARTIDAS!$G1947,")"))</f>
        <v>Ácido perfluorooctano sulfónico</v>
      </c>
      <c r="I1947" s="16" t="s">
        <v>9427</v>
      </c>
    </row>
    <row r="1948" spans="1:9" x14ac:dyDescent="0.25">
      <c r="A1948" s="16" t="s">
        <v>2930</v>
      </c>
      <c r="B1948" s="16" t="str">
        <f>TEXT(PARTIDA[[#This Row],[PARTIDA]],"0000000000")</f>
        <v>2904320000</v>
      </c>
      <c r="C1948" s="16" t="s">
        <v>815</v>
      </c>
      <c r="D1948" s="16" t="s">
        <v>835</v>
      </c>
      <c r="E1948" s="16" t="s">
        <v>9465</v>
      </c>
      <c r="F1948" s="27" t="s">
        <v>10928</v>
      </c>
      <c r="G1948" s="27"/>
      <c r="H1948" s="16" t="str">
        <f>IF(ISBLANK(PARTIDAS!$G1948),PARTIDAS!$F1948,CONCATENATE(PARTIDAS!$F1948," (",PARTIDAS!$G1948,")"))</f>
        <v>Perfluorooctano sulfonato de amonio</v>
      </c>
      <c r="I1948" s="16" t="s">
        <v>9427</v>
      </c>
    </row>
    <row r="1949" spans="1:9" x14ac:dyDescent="0.25">
      <c r="A1949" s="16" t="s">
        <v>2931</v>
      </c>
      <c r="B1949" s="16" t="str">
        <f>TEXT(PARTIDA[[#This Row],[PARTIDA]],"0000000000")</f>
        <v>2904330000</v>
      </c>
      <c r="C1949" s="16" t="s">
        <v>815</v>
      </c>
      <c r="D1949" s="16" t="s">
        <v>835</v>
      </c>
      <c r="E1949" s="16" t="s">
        <v>9465</v>
      </c>
      <c r="F1949" s="27" t="s">
        <v>10929</v>
      </c>
      <c r="G1949" s="27"/>
      <c r="H1949" s="16" t="str">
        <f>IF(ISBLANK(PARTIDAS!$G1949),PARTIDAS!$F1949,CONCATENATE(PARTIDAS!$F1949," (",PARTIDAS!$G1949,")"))</f>
        <v>Perfluorooctano sulfonato de litio</v>
      </c>
      <c r="I1949" s="16" t="s">
        <v>9427</v>
      </c>
    </row>
    <row r="1950" spans="1:9" x14ac:dyDescent="0.25">
      <c r="A1950" s="16" t="s">
        <v>2932</v>
      </c>
      <c r="B1950" s="16" t="str">
        <f>TEXT(PARTIDA[[#This Row],[PARTIDA]],"0000000000")</f>
        <v>2904340000</v>
      </c>
      <c r="C1950" s="16" t="s">
        <v>815</v>
      </c>
      <c r="D1950" s="16" t="s">
        <v>835</v>
      </c>
      <c r="E1950" s="16" t="s">
        <v>9465</v>
      </c>
      <c r="F1950" s="27" t="s">
        <v>10930</v>
      </c>
      <c r="G1950" s="27"/>
      <c r="H1950" s="16" t="str">
        <f>IF(ISBLANK(PARTIDAS!$G1950),PARTIDAS!$F1950,CONCATENATE(PARTIDAS!$F1950," (",PARTIDAS!$G1950,")"))</f>
        <v>Perfluorooctano sulfonato de potasio</v>
      </c>
      <c r="I1950" s="16" t="s">
        <v>9427</v>
      </c>
    </row>
    <row r="1951" spans="1:9" x14ac:dyDescent="0.25">
      <c r="A1951" s="16" t="s">
        <v>2933</v>
      </c>
      <c r="B1951" s="16" t="str">
        <f>TEXT(PARTIDA[[#This Row],[PARTIDA]],"0000000000")</f>
        <v>2904350000</v>
      </c>
      <c r="C1951" s="16" t="s">
        <v>815</v>
      </c>
      <c r="D1951" s="16" t="s">
        <v>835</v>
      </c>
      <c r="E1951" s="16" t="s">
        <v>9465</v>
      </c>
      <c r="F1951" s="27" t="s">
        <v>10931</v>
      </c>
      <c r="G1951" s="27"/>
      <c r="H1951" s="16" t="str">
        <f>IF(ISBLANK(PARTIDAS!$G1951),PARTIDAS!$F1951,CONCATENATE(PARTIDAS!$F1951," (",PARTIDAS!$G1951,")"))</f>
        <v>Ácido perfluorooctano sulfónico, sus sales y fluoruro de… (los demás, sales del ácido perfluorooctano sulfónico)</v>
      </c>
      <c r="I1951" s="16" t="s">
        <v>9427</v>
      </c>
    </row>
    <row r="1952" spans="1:9" x14ac:dyDescent="0.25">
      <c r="A1952" s="16" t="s">
        <v>2934</v>
      </c>
      <c r="B1952" s="16" t="str">
        <f>TEXT(PARTIDA[[#This Row],[PARTIDA]],"0000000000")</f>
        <v>2904360000</v>
      </c>
      <c r="C1952" s="16" t="s">
        <v>815</v>
      </c>
      <c r="D1952" s="16" t="s">
        <v>835</v>
      </c>
      <c r="E1952" s="16" t="s">
        <v>9465</v>
      </c>
      <c r="F1952" s="27" t="s">
        <v>10932</v>
      </c>
      <c r="G1952" s="27"/>
      <c r="H1952" s="16" t="str">
        <f>IF(ISBLANK(PARTIDAS!$G1952),PARTIDAS!$F1952,CONCATENATE(PARTIDAS!$F1952," (",PARTIDAS!$G1952,")"))</f>
        <v>Fluoruro de perfluorooctano sulfonilo</v>
      </c>
      <c r="I1952" s="16" t="s">
        <v>9427</v>
      </c>
    </row>
    <row r="1953" spans="1:9" x14ac:dyDescent="0.25">
      <c r="A1953" s="16" t="s">
        <v>2935</v>
      </c>
      <c r="B1953" s="16" t="str">
        <f>TEXT(PARTIDA[[#This Row],[PARTIDA]],"0000000000")</f>
        <v>2904910000</v>
      </c>
      <c r="C1953" s="16" t="s">
        <v>815</v>
      </c>
      <c r="D1953" s="16" t="s">
        <v>835</v>
      </c>
      <c r="E1953" s="16" t="s">
        <v>9465</v>
      </c>
      <c r="F1953" s="27" t="s">
        <v>10933</v>
      </c>
      <c r="G1953" s="27"/>
      <c r="H1953" s="16" t="str">
        <f>IF(ISBLANK(PARTIDAS!$G1953),PARTIDAS!$F1953,CONCATENATE(PARTIDAS!$F1953," (",PARTIDAS!$G1953,")"))</f>
        <v>Tricloronitrometano (cloropicrina)</v>
      </c>
      <c r="I1953" s="16" t="s">
        <v>9427</v>
      </c>
    </row>
    <row r="1954" spans="1:9" x14ac:dyDescent="0.25">
      <c r="A1954" s="16" t="s">
        <v>2936</v>
      </c>
      <c r="B1954" s="16" t="str">
        <f>TEXT(PARTIDA[[#This Row],[PARTIDA]],"0000000000")</f>
        <v>2904990000</v>
      </c>
      <c r="C1954" s="16" t="s">
        <v>815</v>
      </c>
      <c r="D1954" s="16" t="s">
        <v>835</v>
      </c>
      <c r="E1954" s="16" t="s">
        <v>9465</v>
      </c>
      <c r="F1954" s="27" t="s">
        <v>10934</v>
      </c>
      <c r="G1954" s="27"/>
      <c r="H1954" s="16" t="str">
        <f>IF(ISBLANK(PARTIDAS!$G1954),PARTIDAS!$F1954,CONCATENATE(PARTIDAS!$F1954," (",PARTIDAS!$G1954,")"))</f>
        <v>Derivados sulfonados, nitrados o nitrosados de los hidrocarburos… (los demás)</v>
      </c>
      <c r="I1954" s="16" t="s">
        <v>9427</v>
      </c>
    </row>
    <row r="1955" spans="1:9" x14ac:dyDescent="0.25">
      <c r="A1955" s="16" t="s">
        <v>2937</v>
      </c>
      <c r="B1955" s="16" t="str">
        <f>TEXT(PARTIDA[[#This Row],[PARTIDA]],"0000000000")</f>
        <v>2905110000</v>
      </c>
      <c r="C1955" s="16" t="s">
        <v>815</v>
      </c>
      <c r="D1955" s="16" t="s">
        <v>835</v>
      </c>
      <c r="E1955" s="16" t="s">
        <v>9465</v>
      </c>
      <c r="F1955" s="27" t="s">
        <v>10935</v>
      </c>
      <c r="G1955" s="27"/>
      <c r="H1955" s="16" t="str">
        <f>IF(ISBLANK(PARTIDAS!$G1955),PARTIDAS!$F1955,CONCATENATE(PARTIDAS!$F1955," (",PARTIDAS!$G1955,")"))</f>
        <v>Metanol (alcohol metílico)</v>
      </c>
      <c r="I1955" s="16" t="s">
        <v>9427</v>
      </c>
    </row>
    <row r="1956" spans="1:9" x14ac:dyDescent="0.25">
      <c r="A1956" s="16" t="s">
        <v>2938</v>
      </c>
      <c r="B1956" s="16" t="str">
        <f>TEXT(PARTIDA[[#This Row],[PARTIDA]],"0000000000")</f>
        <v>2905121000</v>
      </c>
      <c r="C1956" s="16" t="s">
        <v>815</v>
      </c>
      <c r="D1956" s="16" t="s">
        <v>835</v>
      </c>
      <c r="E1956" s="16" t="s">
        <v>9465</v>
      </c>
      <c r="F1956" s="27" t="s">
        <v>10936</v>
      </c>
      <c r="G1956" s="27"/>
      <c r="H1956" s="16" t="str">
        <f>IF(ISBLANK(PARTIDAS!$G1956),PARTIDAS!$F1956,CONCATENATE(PARTIDAS!$F1956," (",PARTIDAS!$G1956,")"))</f>
        <v>Alcohol propílico</v>
      </c>
      <c r="I1956" s="16" t="s">
        <v>9427</v>
      </c>
    </row>
    <row r="1957" spans="1:9" x14ac:dyDescent="0.25">
      <c r="A1957" s="16" t="s">
        <v>2939</v>
      </c>
      <c r="B1957" s="16" t="str">
        <f>TEXT(PARTIDA[[#This Row],[PARTIDA]],"0000000000")</f>
        <v>2905122000</v>
      </c>
      <c r="C1957" s="16" t="s">
        <v>815</v>
      </c>
      <c r="D1957" s="16" t="s">
        <v>835</v>
      </c>
      <c r="E1957" s="16" t="s">
        <v>9465</v>
      </c>
      <c r="F1957" s="27" t="s">
        <v>10937</v>
      </c>
      <c r="G1957" s="27"/>
      <c r="H1957" s="16" t="str">
        <f>IF(ISBLANK(PARTIDAS!$G1957),PARTIDAS!$F1957,CONCATENATE(PARTIDAS!$F1957," (",PARTIDAS!$G1957,")"))</f>
        <v>Alcohol isopropílico</v>
      </c>
      <c r="I1957" s="16" t="s">
        <v>9427</v>
      </c>
    </row>
    <row r="1958" spans="1:9" x14ac:dyDescent="0.25">
      <c r="A1958" s="16" t="s">
        <v>2940</v>
      </c>
      <c r="B1958" s="16" t="str">
        <f>TEXT(PARTIDA[[#This Row],[PARTIDA]],"0000000000")</f>
        <v>2905130000</v>
      </c>
      <c r="C1958" s="16" t="s">
        <v>815</v>
      </c>
      <c r="D1958" s="16" t="s">
        <v>835</v>
      </c>
      <c r="E1958" s="16" t="s">
        <v>9465</v>
      </c>
      <c r="F1958" s="27" t="s">
        <v>10938</v>
      </c>
      <c r="G1958" s="27"/>
      <c r="H1958" s="16" t="str">
        <f>IF(ISBLANK(PARTIDAS!$G1958),PARTIDAS!$F1958,CONCATENATE(PARTIDAS!$F1958," (",PARTIDAS!$G1958,")"))</f>
        <v>Butan-1-ol (alcohol n-butílico)</v>
      </c>
      <c r="I1958" s="16" t="s">
        <v>9427</v>
      </c>
    </row>
    <row r="1959" spans="1:9" x14ac:dyDescent="0.25">
      <c r="A1959" s="16" t="s">
        <v>2941</v>
      </c>
      <c r="B1959" s="16" t="str">
        <f>TEXT(PARTIDA[[#This Row],[PARTIDA]],"0000000000")</f>
        <v>2905141000</v>
      </c>
      <c r="C1959" s="16" t="s">
        <v>815</v>
      </c>
      <c r="D1959" s="16" t="s">
        <v>835</v>
      </c>
      <c r="E1959" s="16" t="s">
        <v>9465</v>
      </c>
      <c r="F1959" s="27" t="s">
        <v>10939</v>
      </c>
      <c r="G1959" s="27"/>
      <c r="H1959" s="16" t="str">
        <f>IF(ISBLANK(PARTIDAS!$G1959),PARTIDAS!$F1959,CONCATENATE(PARTIDAS!$F1959," (",PARTIDAS!$G1959,")"))</f>
        <v>Monoalcoholes saturados, isobutílico</v>
      </c>
      <c r="I1959" s="16" t="s">
        <v>9427</v>
      </c>
    </row>
    <row r="1960" spans="1:9" x14ac:dyDescent="0.25">
      <c r="A1960" s="16" t="s">
        <v>2942</v>
      </c>
      <c r="B1960" s="16" t="str">
        <f>TEXT(PARTIDA[[#This Row],[PARTIDA]],"0000000000")</f>
        <v>2905149000</v>
      </c>
      <c r="C1960" s="16" t="s">
        <v>815</v>
      </c>
      <c r="D1960" s="16" t="s">
        <v>835</v>
      </c>
      <c r="E1960" s="16" t="s">
        <v>9465</v>
      </c>
      <c r="F1960" s="27" t="s">
        <v>10940</v>
      </c>
      <c r="G1960" s="27"/>
      <c r="H1960" s="16" t="str">
        <f>IF(ISBLANK(PARTIDAS!$G1960),PARTIDAS!$F1960,CONCATENATE(PARTIDAS!$F1960," (",PARTIDAS!$G1960,")"))</f>
        <v>Monoalcoholes saturados (los demás)</v>
      </c>
      <c r="I1960" s="16" t="s">
        <v>9427</v>
      </c>
    </row>
    <row r="1961" spans="1:9" x14ac:dyDescent="0.25">
      <c r="A1961" s="16" t="s">
        <v>2943</v>
      </c>
      <c r="B1961" s="16" t="str">
        <f>TEXT(PARTIDA[[#This Row],[PARTIDA]],"0000000000")</f>
        <v>2905161000</v>
      </c>
      <c r="C1961" s="16" t="s">
        <v>815</v>
      </c>
      <c r="D1961" s="16" t="s">
        <v>835</v>
      </c>
      <c r="E1961" s="16" t="s">
        <v>9465</v>
      </c>
      <c r="F1961" s="27" t="s">
        <v>10941</v>
      </c>
      <c r="G1961" s="27"/>
      <c r="H1961" s="16" t="str">
        <f>IF(ISBLANK(PARTIDAS!$G1961),PARTIDAS!$F1961,CONCATENATE(PARTIDAS!$F1961," (",PARTIDAS!$G1961,")"))</f>
        <v>Octanol (alcohol octílico) y sus isómeros, 2-Etilhexanol</v>
      </c>
      <c r="I1961" s="16" t="s">
        <v>9427</v>
      </c>
    </row>
    <row r="1962" spans="1:9" x14ac:dyDescent="0.25">
      <c r="A1962" s="16" t="s">
        <v>2944</v>
      </c>
      <c r="B1962" s="16" t="str">
        <f>TEXT(PARTIDA[[#This Row],[PARTIDA]],"0000000000")</f>
        <v>2905169000</v>
      </c>
      <c r="C1962" s="16" t="s">
        <v>815</v>
      </c>
      <c r="D1962" s="16" t="s">
        <v>835</v>
      </c>
      <c r="E1962" s="16" t="s">
        <v>9465</v>
      </c>
      <c r="F1962" s="27" t="s">
        <v>10942</v>
      </c>
      <c r="G1962" s="27"/>
      <c r="H1962" s="16" t="str">
        <f>IF(ISBLANK(PARTIDAS!$G1962),PARTIDAS!$F1962,CONCATENATE(PARTIDAS!$F1962," (",PARTIDAS!$G1962,")"))</f>
        <v>Octanol (alcohol octílico) y sus isómeros (los demás, alcoholes octílicos)</v>
      </c>
      <c r="I1962" s="16" t="s">
        <v>9427</v>
      </c>
    </row>
    <row r="1963" spans="1:9" x14ac:dyDescent="0.25">
      <c r="A1963" s="16" t="s">
        <v>2945</v>
      </c>
      <c r="B1963" s="16" t="str">
        <f>TEXT(PARTIDA[[#This Row],[PARTIDA]],"0000000000")</f>
        <v>2905170000</v>
      </c>
      <c r="C1963" s="16" t="s">
        <v>815</v>
      </c>
      <c r="D1963" s="16" t="s">
        <v>835</v>
      </c>
      <c r="E1963" s="16" t="s">
        <v>9465</v>
      </c>
      <c r="F1963" s="27" t="s">
        <v>10943</v>
      </c>
      <c r="G1963" s="27"/>
      <c r="H1963" s="16" t="str">
        <f>IF(ISBLANK(PARTIDAS!$G1963),PARTIDAS!$F1963,CONCATENATE(PARTIDAS!$F1963," (",PARTIDAS!$G1963,")"))</f>
        <v>Dodecan-1-ol (alcohol laurílico), hexadecan-1-ol (alcohol cetílico) y octadecan-1-ol (alcohol estearílico)</v>
      </c>
      <c r="I1963" s="16" t="s">
        <v>9427</v>
      </c>
    </row>
    <row r="1964" spans="1:9" x14ac:dyDescent="0.25">
      <c r="A1964" s="16" t="s">
        <v>2946</v>
      </c>
      <c r="B1964" s="16" t="str">
        <f>TEXT(PARTIDA[[#This Row],[PARTIDA]],"0000000000")</f>
        <v>2905191000</v>
      </c>
      <c r="C1964" s="16" t="s">
        <v>815</v>
      </c>
      <c r="D1964" s="16" t="s">
        <v>835</v>
      </c>
      <c r="E1964" s="16" t="s">
        <v>9465</v>
      </c>
      <c r="F1964" s="27" t="s">
        <v>10944</v>
      </c>
      <c r="G1964" s="27"/>
      <c r="H1964" s="16" t="str">
        <f>IF(ISBLANK(PARTIDAS!$G1964),PARTIDAS!$F1964,CONCATENATE(PARTIDAS!$F1964," (",PARTIDAS!$G1964,")"))</f>
        <v>Monoalcoholes saturados, metilamílico</v>
      </c>
      <c r="I1964" s="16" t="s">
        <v>9427</v>
      </c>
    </row>
    <row r="1965" spans="1:9" x14ac:dyDescent="0.25">
      <c r="A1965" s="16" t="s">
        <v>2947</v>
      </c>
      <c r="B1965" s="16" t="str">
        <f>TEXT(PARTIDA[[#This Row],[PARTIDA]],"0000000000")</f>
        <v>2905192000</v>
      </c>
      <c r="C1965" s="16" t="s">
        <v>815</v>
      </c>
      <c r="D1965" s="16" t="s">
        <v>835</v>
      </c>
      <c r="E1965" s="16" t="s">
        <v>9465</v>
      </c>
      <c r="F1965" s="27" t="s">
        <v>10945</v>
      </c>
      <c r="G1965" s="27"/>
      <c r="H1965" s="16" t="str">
        <f>IF(ISBLANK(PARTIDAS!$G1965),PARTIDAS!$F1965,CONCATENATE(PARTIDAS!$F1965," (",PARTIDAS!$G1965,")"))</f>
        <v>Monoalcoholes saturados (los demás, alcoholes hexílicos (hexanoles); alcoholes heptílicos (heptanoles))</v>
      </c>
      <c r="I1965" s="16" t="s">
        <v>9427</v>
      </c>
    </row>
    <row r="1966" spans="1:9" x14ac:dyDescent="0.25">
      <c r="A1966" s="16" t="s">
        <v>2948</v>
      </c>
      <c r="B1966" s="16" t="str">
        <f>TEXT(PARTIDA[[#This Row],[PARTIDA]],"0000000000")</f>
        <v>2905193000</v>
      </c>
      <c r="C1966" s="16" t="s">
        <v>815</v>
      </c>
      <c r="D1966" s="16" t="s">
        <v>835</v>
      </c>
      <c r="E1966" s="16" t="s">
        <v>9465</v>
      </c>
      <c r="F1966" s="27" t="s">
        <v>10946</v>
      </c>
      <c r="G1966" s="27"/>
      <c r="H1966" s="16" t="str">
        <f>IF(ISBLANK(PARTIDAS!$G1966),PARTIDAS!$F1966,CONCATENATE(PARTIDAS!$F1966," (",PARTIDAS!$G1966,")"))</f>
        <v>Alcoholes nonílicos (nonanoles)</v>
      </c>
      <c r="I1966" s="16" t="s">
        <v>9427</v>
      </c>
    </row>
    <row r="1967" spans="1:9" x14ac:dyDescent="0.25">
      <c r="A1967" s="16" t="s">
        <v>2949</v>
      </c>
      <c r="B1967" s="16" t="str">
        <f>TEXT(PARTIDA[[#This Row],[PARTIDA]],"0000000000")</f>
        <v>2905194000</v>
      </c>
      <c r="C1967" s="16" t="s">
        <v>815</v>
      </c>
      <c r="D1967" s="16" t="s">
        <v>835</v>
      </c>
      <c r="E1967" s="16" t="s">
        <v>9465</v>
      </c>
      <c r="F1967" s="27" t="s">
        <v>10947</v>
      </c>
      <c r="G1967" s="27"/>
      <c r="H1967" s="16" t="str">
        <f>IF(ISBLANK(PARTIDAS!$G1967),PARTIDAS!$F1967,CONCATENATE(PARTIDAS!$F1967," (",PARTIDAS!$G1967,")"))</f>
        <v>Alcoholes decílicos (decanoles)</v>
      </c>
      <c r="I1967" s="16" t="s">
        <v>9427</v>
      </c>
    </row>
    <row r="1968" spans="1:9" x14ac:dyDescent="0.25">
      <c r="A1968" s="16" t="s">
        <v>2950</v>
      </c>
      <c r="B1968" s="16" t="str">
        <f>TEXT(PARTIDA[[#This Row],[PARTIDA]],"0000000000")</f>
        <v>2905195000</v>
      </c>
      <c r="C1968" s="16" t="s">
        <v>815</v>
      </c>
      <c r="D1968" s="16" t="s">
        <v>835</v>
      </c>
      <c r="E1968" s="16" t="s">
        <v>9465</v>
      </c>
      <c r="F1968" s="27" t="s">
        <v>10948</v>
      </c>
      <c r="G1968" s="27"/>
      <c r="H1968" s="16" t="str">
        <f>IF(ISBLANK(PARTIDAS!$G1968),PARTIDAS!$F1968,CONCATENATE(PARTIDAS!$F1968," (",PARTIDAS!$G1968,")"))</f>
        <v>Monoalcoholes saturados, 3,3-dimetilbutan-2-ol (alcohol pinacolílico)</v>
      </c>
      <c r="I1968" s="16" t="s">
        <v>9427</v>
      </c>
    </row>
    <row r="1969" spans="1:9" x14ac:dyDescent="0.25">
      <c r="A1969" s="16" t="s">
        <v>2951</v>
      </c>
      <c r="B1969" s="16" t="str">
        <f>TEXT(PARTIDA[[#This Row],[PARTIDA]],"0000000000")</f>
        <v>2905196000</v>
      </c>
      <c r="C1969" s="16" t="s">
        <v>815</v>
      </c>
      <c r="D1969" s="16" t="s">
        <v>835</v>
      </c>
      <c r="E1969" s="16" t="s">
        <v>9465</v>
      </c>
      <c r="F1969" s="27" t="s">
        <v>10949</v>
      </c>
      <c r="G1969" s="27"/>
      <c r="H1969" s="16" t="str">
        <f>IF(ISBLANK(PARTIDAS!$G1969),PARTIDAS!$F1969,CONCATENATE(PARTIDAS!$F1969," (",PARTIDAS!$G1969,")"))</f>
        <v>Pentanol (alcohol amílico) y sus isómeros</v>
      </c>
      <c r="I1969" s="16" t="s">
        <v>9427</v>
      </c>
    </row>
    <row r="1970" spans="1:9" x14ac:dyDescent="0.25">
      <c r="A1970" s="16" t="s">
        <v>2952</v>
      </c>
      <c r="B1970" s="16" t="str">
        <f>TEXT(PARTIDA[[#This Row],[PARTIDA]],"0000000000")</f>
        <v>2905199000</v>
      </c>
      <c r="C1970" s="16" t="s">
        <v>815</v>
      </c>
      <c r="D1970" s="16" t="s">
        <v>835</v>
      </c>
      <c r="E1970" s="16" t="s">
        <v>9465</v>
      </c>
      <c r="F1970" s="27" t="s">
        <v>10940</v>
      </c>
      <c r="G1970" s="27"/>
      <c r="H1970" s="16" t="str">
        <f>IF(ISBLANK(PARTIDAS!$G1970),PARTIDAS!$F1970,CONCATENATE(PARTIDAS!$F1970," (",PARTIDAS!$G1970,")"))</f>
        <v>Monoalcoholes saturados (los demás)</v>
      </c>
      <c r="I1970" s="16" t="s">
        <v>9427</v>
      </c>
    </row>
    <row r="1971" spans="1:9" x14ac:dyDescent="0.25">
      <c r="A1971" s="16" t="s">
        <v>2953</v>
      </c>
      <c r="B1971" s="16" t="str">
        <f>TEXT(PARTIDA[[#This Row],[PARTIDA]],"0000000000")</f>
        <v>2905220000</v>
      </c>
      <c r="C1971" s="16" t="s">
        <v>815</v>
      </c>
      <c r="D1971" s="16" t="s">
        <v>835</v>
      </c>
      <c r="E1971" s="16" t="s">
        <v>9465</v>
      </c>
      <c r="F1971" s="27" t="s">
        <v>10950</v>
      </c>
      <c r="G1971" s="27"/>
      <c r="H1971" s="16" t="str">
        <f>IF(ISBLANK(PARTIDAS!$G1971),PARTIDAS!$F1971,CONCATENATE(PARTIDAS!$F1971," (",PARTIDAS!$G1971,")"))</f>
        <v>Alcoholes terpénicos acíclicos</v>
      </c>
      <c r="I1971" s="16" t="s">
        <v>9427</v>
      </c>
    </row>
    <row r="1972" spans="1:9" x14ac:dyDescent="0.25">
      <c r="A1972" s="16" t="s">
        <v>2954</v>
      </c>
      <c r="B1972" s="16" t="str">
        <f>TEXT(PARTIDA[[#This Row],[PARTIDA]],"0000000000")</f>
        <v>2905290000</v>
      </c>
      <c r="C1972" s="16" t="s">
        <v>815</v>
      </c>
      <c r="D1972" s="16" t="s">
        <v>835</v>
      </c>
      <c r="E1972" s="16" t="s">
        <v>9465</v>
      </c>
      <c r="F1972" s="27" t="s">
        <v>10951</v>
      </c>
      <c r="G1972" s="27"/>
      <c r="H1972" s="16" t="str">
        <f>IF(ISBLANK(PARTIDAS!$G1972),PARTIDAS!$F1972,CONCATENATE(PARTIDAS!$F1972," (",PARTIDAS!$G1972,")"))</f>
        <v>Monoalcoholes no saturados (los demás)</v>
      </c>
      <c r="I1972" s="16" t="s">
        <v>9427</v>
      </c>
    </row>
    <row r="1973" spans="1:9" x14ac:dyDescent="0.25">
      <c r="A1973" s="16" t="s">
        <v>2955</v>
      </c>
      <c r="B1973" s="16" t="str">
        <f>TEXT(PARTIDA[[#This Row],[PARTIDA]],"0000000000")</f>
        <v>2905310000</v>
      </c>
      <c r="C1973" s="16" t="s">
        <v>815</v>
      </c>
      <c r="D1973" s="16" t="s">
        <v>835</v>
      </c>
      <c r="E1973" s="16" t="s">
        <v>9465</v>
      </c>
      <c r="F1973" s="27" t="s">
        <v>10952</v>
      </c>
      <c r="G1973" s="27"/>
      <c r="H1973" s="16" t="str">
        <f>IF(ISBLANK(PARTIDAS!$G1973),PARTIDAS!$F1973,CONCATENATE(PARTIDAS!$F1973," (",PARTIDAS!$G1973,")"))</f>
        <v>Etilenglicol (etanodiol)</v>
      </c>
      <c r="I1973" s="16" t="s">
        <v>9427</v>
      </c>
    </row>
    <row r="1974" spans="1:9" x14ac:dyDescent="0.25">
      <c r="A1974" s="16" t="s">
        <v>2956</v>
      </c>
      <c r="B1974" s="16" t="str">
        <f>TEXT(PARTIDA[[#This Row],[PARTIDA]],"0000000000")</f>
        <v>2905320000</v>
      </c>
      <c r="C1974" s="16" t="s">
        <v>815</v>
      </c>
      <c r="D1974" s="16" t="s">
        <v>835</v>
      </c>
      <c r="E1974" s="16" t="s">
        <v>9465</v>
      </c>
      <c r="F1974" s="27" t="s">
        <v>10953</v>
      </c>
      <c r="G1974" s="27"/>
      <c r="H1974" s="16" t="str">
        <f>IF(ISBLANK(PARTIDAS!$G1974),PARTIDAS!$F1974,CONCATENATE(PARTIDAS!$F1974," (",PARTIDAS!$G1974,")"))</f>
        <v>Propilenglicol (propano-1,2-diol)</v>
      </c>
      <c r="I1974" s="16" t="s">
        <v>9427</v>
      </c>
    </row>
    <row r="1975" spans="1:9" x14ac:dyDescent="0.25">
      <c r="A1975" s="16" t="s">
        <v>2957</v>
      </c>
      <c r="B1975" s="16" t="str">
        <f>TEXT(PARTIDA[[#This Row],[PARTIDA]],"0000000000")</f>
        <v>2905391000</v>
      </c>
      <c r="C1975" s="16" t="s">
        <v>815</v>
      </c>
      <c r="D1975" s="16" t="s">
        <v>835</v>
      </c>
      <c r="E1975" s="16" t="s">
        <v>9465</v>
      </c>
      <c r="F1975" s="27" t="s">
        <v>10954</v>
      </c>
      <c r="G1975" s="27"/>
      <c r="H1975" s="16" t="str">
        <f>IF(ISBLANK(PARTIDAS!$G1975),PARTIDAS!$F1975,CONCATENATE(PARTIDAS!$F1975," (",PARTIDAS!$G1975,")"))</f>
        <v>Butilenglicol (butanodiol)</v>
      </c>
      <c r="I1975" s="16" t="s">
        <v>9427</v>
      </c>
    </row>
    <row r="1976" spans="1:9" x14ac:dyDescent="0.25">
      <c r="A1976" s="16" t="s">
        <v>2958</v>
      </c>
      <c r="B1976" s="16" t="str">
        <f>TEXT(PARTIDA[[#This Row],[PARTIDA]],"0000000000")</f>
        <v>2905399000</v>
      </c>
      <c r="C1976" s="16" t="s">
        <v>815</v>
      </c>
      <c r="D1976" s="16" t="s">
        <v>835</v>
      </c>
      <c r="E1976" s="16" t="s">
        <v>9465</v>
      </c>
      <c r="F1976" s="27" t="s">
        <v>10955</v>
      </c>
      <c r="G1976" s="27"/>
      <c r="H1976" s="16" t="str">
        <f>IF(ISBLANK(PARTIDAS!$G1976),PARTIDAS!$F1976,CONCATENATE(PARTIDAS!$F1976," (",PARTIDAS!$G1976,")"))</f>
        <v>Dioles (los demás)</v>
      </c>
      <c r="I1976" s="16" t="s">
        <v>9427</v>
      </c>
    </row>
    <row r="1977" spans="1:9" x14ac:dyDescent="0.25">
      <c r="A1977" s="16" t="s">
        <v>2959</v>
      </c>
      <c r="B1977" s="16" t="str">
        <f>TEXT(PARTIDA[[#This Row],[PARTIDA]],"0000000000")</f>
        <v>2905410000</v>
      </c>
      <c r="C1977" s="16" t="s">
        <v>815</v>
      </c>
      <c r="D1977" s="16" t="s">
        <v>835</v>
      </c>
      <c r="E1977" s="16" t="s">
        <v>9465</v>
      </c>
      <c r="F1977" s="27" t="s">
        <v>10956</v>
      </c>
      <c r="G1977" s="27"/>
      <c r="H1977" s="16" t="str">
        <f>IF(ISBLANK(PARTIDAS!$G1977),PARTIDAS!$F1977,CONCATENATE(PARTIDAS!$F1977," (",PARTIDAS!$G1977,")"))</f>
        <v>Alcoholes acíclicos y sus derivados halogenados, sulfonados, nitrados…, 2-Etil-2-(hidroximetil)propano-1,3-diol (trimetilolpropano)</v>
      </c>
      <c r="I1977" s="16" t="s">
        <v>9427</v>
      </c>
    </row>
    <row r="1978" spans="1:9" x14ac:dyDescent="0.25">
      <c r="A1978" s="16" t="s">
        <v>2960</v>
      </c>
      <c r="B1978" s="16" t="str">
        <f>TEXT(PARTIDA[[#This Row],[PARTIDA]],"0000000000")</f>
        <v>2905420000</v>
      </c>
      <c r="C1978" s="16" t="s">
        <v>815</v>
      </c>
      <c r="D1978" s="16" t="s">
        <v>835</v>
      </c>
      <c r="E1978" s="16" t="s">
        <v>9465</v>
      </c>
      <c r="F1978" s="27" t="s">
        <v>10957</v>
      </c>
      <c r="G1978" s="27"/>
      <c r="H1978" s="16" t="str">
        <f>IF(ISBLANK(PARTIDAS!$G1978),PARTIDAS!$F1978,CONCATENATE(PARTIDAS!$F1978," (",PARTIDAS!$G1978,")"))</f>
        <v>Pentaeritritol (pentaeritrita)</v>
      </c>
      <c r="I1978" s="16" t="s">
        <v>9427</v>
      </c>
    </row>
    <row r="1979" spans="1:9" x14ac:dyDescent="0.25">
      <c r="A1979" s="16" t="s">
        <v>2961</v>
      </c>
      <c r="B1979" s="16" t="str">
        <f>TEXT(PARTIDA[[#This Row],[PARTIDA]],"0000000000")</f>
        <v>2905430000</v>
      </c>
      <c r="C1979" s="16" t="s">
        <v>815</v>
      </c>
      <c r="D1979" s="16" t="s">
        <v>835</v>
      </c>
      <c r="E1979" s="16" t="s">
        <v>9465</v>
      </c>
      <c r="F1979" s="27" t="s">
        <v>10958</v>
      </c>
      <c r="G1979" s="27"/>
      <c r="H1979" s="16" t="str">
        <f>IF(ISBLANK(PARTIDAS!$G1979),PARTIDAS!$F1979,CONCATENATE(PARTIDAS!$F1979," (",PARTIDAS!$G1979,")"))</f>
        <v>Alcoholes acíclicos y sus derivados halogenados, sulfonados, nitrados…, manitol</v>
      </c>
      <c r="I1979" s="16" t="s">
        <v>9427</v>
      </c>
    </row>
    <row r="1980" spans="1:9" x14ac:dyDescent="0.25">
      <c r="A1980" s="16" t="s">
        <v>2962</v>
      </c>
      <c r="B1980" s="16" t="str">
        <f>TEXT(PARTIDA[[#This Row],[PARTIDA]],"0000000000")</f>
        <v>2905440000</v>
      </c>
      <c r="C1980" s="16" t="s">
        <v>815</v>
      </c>
      <c r="D1980" s="16" t="s">
        <v>835</v>
      </c>
      <c r="E1980" s="16" t="s">
        <v>9465</v>
      </c>
      <c r="F1980" s="27" t="s">
        <v>10959</v>
      </c>
      <c r="G1980" s="27"/>
      <c r="H1980" s="16" t="str">
        <f>IF(ISBLANK(PARTIDAS!$G1980),PARTIDAS!$F1980,CONCATENATE(PARTIDAS!$F1980," (",PARTIDAS!$G1980,")"))</f>
        <v>D-glucitol (sorbitol)</v>
      </c>
      <c r="I1980" s="16" t="s">
        <v>9427</v>
      </c>
    </row>
    <row r="1981" spans="1:9" x14ac:dyDescent="0.25">
      <c r="A1981" s="16" t="s">
        <v>2963</v>
      </c>
      <c r="B1981" s="16" t="str">
        <f>TEXT(PARTIDA[[#This Row],[PARTIDA]],"0000000000")</f>
        <v>2905450000</v>
      </c>
      <c r="C1981" s="16" t="s">
        <v>815</v>
      </c>
      <c r="D1981" s="16" t="s">
        <v>835</v>
      </c>
      <c r="E1981" s="16" t="s">
        <v>9465</v>
      </c>
      <c r="F1981" s="27" t="s">
        <v>10960</v>
      </c>
      <c r="G1981" s="27"/>
      <c r="H1981" s="16" t="str">
        <f>IF(ISBLANK(PARTIDAS!$G1981),PARTIDAS!$F1981,CONCATENATE(PARTIDAS!$F1981," (",PARTIDAS!$G1981,")"))</f>
        <v>Alcoholes acíclicos y sus derivados halogenados, sulfonados, nitrados…, glicerol</v>
      </c>
      <c r="I1981" s="16" t="s">
        <v>9427</v>
      </c>
    </row>
    <row r="1982" spans="1:9" x14ac:dyDescent="0.25">
      <c r="A1982" s="16" t="s">
        <v>2964</v>
      </c>
      <c r="B1982" s="16" t="str">
        <f>TEXT(PARTIDA[[#This Row],[PARTIDA]],"0000000000")</f>
        <v>2905490000</v>
      </c>
      <c r="C1982" s="16" t="s">
        <v>815</v>
      </c>
      <c r="D1982" s="16" t="s">
        <v>835</v>
      </c>
      <c r="E1982" s="16" t="s">
        <v>9465</v>
      </c>
      <c r="F1982" s="27" t="s">
        <v>10961</v>
      </c>
      <c r="G1982" s="27"/>
      <c r="H1982" s="16" t="str">
        <f>IF(ISBLANK(PARTIDAS!$G1982),PARTIDAS!$F1982,CONCATENATE(PARTIDAS!$F1982," (",PARTIDAS!$G1982,")"))</f>
        <v>Alcoholes acíclicos y sus derivados halogenados, sulfonados, nitrados… (los demás)</v>
      </c>
      <c r="I1982" s="16" t="s">
        <v>9427</v>
      </c>
    </row>
    <row r="1983" spans="1:9" x14ac:dyDescent="0.25">
      <c r="A1983" s="16" t="s">
        <v>2965</v>
      </c>
      <c r="B1983" s="16" t="str">
        <f>TEXT(PARTIDA[[#This Row],[PARTIDA]],"0000000000")</f>
        <v>2905510000</v>
      </c>
      <c r="C1983" s="16" t="s">
        <v>815</v>
      </c>
      <c r="D1983" s="16" t="s">
        <v>835</v>
      </c>
      <c r="E1983" s="16" t="s">
        <v>9465</v>
      </c>
      <c r="F1983" s="27" t="s">
        <v>10962</v>
      </c>
      <c r="G1983" s="27"/>
      <c r="H1983" s="16" t="str">
        <f>IF(ISBLANK(PARTIDAS!$G1983),PARTIDAS!$F1983,CONCATENATE(PARTIDAS!$F1983," (",PARTIDAS!$G1983,")"))</f>
        <v>Etclorvinol (DCI)</v>
      </c>
      <c r="I1983" s="16" t="s">
        <v>9427</v>
      </c>
    </row>
    <row r="1984" spans="1:9" x14ac:dyDescent="0.25">
      <c r="A1984" s="16" t="s">
        <v>2966</v>
      </c>
      <c r="B1984" s="16" t="str">
        <f>TEXT(PARTIDA[[#This Row],[PARTIDA]],"0000000000")</f>
        <v>2905590000</v>
      </c>
      <c r="C1984" s="16" t="s">
        <v>815</v>
      </c>
      <c r="D1984" s="16" t="s">
        <v>835</v>
      </c>
      <c r="E1984" s="16" t="s">
        <v>9465</v>
      </c>
      <c r="F1984" s="27" t="s">
        <v>10963</v>
      </c>
      <c r="G1984" s="27"/>
      <c r="H1984" s="16" t="str">
        <f>IF(ISBLANK(PARTIDAS!$G1984),PARTIDAS!$F1984,CONCATENATE(PARTIDAS!$F1984," (",PARTIDAS!$G1984,")"))</f>
        <v>Derivados halogenados, sulfonados, nitrados o nitrosados de los… (los demás)</v>
      </c>
      <c r="I1984" s="16" t="s">
        <v>9427</v>
      </c>
    </row>
    <row r="1985" spans="1:9" x14ac:dyDescent="0.25">
      <c r="A1985" s="16" t="s">
        <v>2967</v>
      </c>
      <c r="B1985" s="16" t="str">
        <f>TEXT(PARTIDA[[#This Row],[PARTIDA]],"0000000000")</f>
        <v>2906110000</v>
      </c>
      <c r="C1985" s="16" t="s">
        <v>815</v>
      </c>
      <c r="D1985" s="16" t="s">
        <v>835</v>
      </c>
      <c r="E1985" s="16" t="s">
        <v>9465</v>
      </c>
      <c r="F1985" s="27" t="s">
        <v>10964</v>
      </c>
      <c r="G1985" s="27"/>
      <c r="H1985" s="16" t="str">
        <f>IF(ISBLANK(PARTIDAS!$G1985),PARTIDAS!$F1985,CONCATENATE(PARTIDAS!$F1985," (",PARTIDAS!$G1985,")"))</f>
        <v>Ciclánicos, ciclénicos o cicloterpénicos, mentol</v>
      </c>
      <c r="I1985" s="16" t="s">
        <v>9427</v>
      </c>
    </row>
    <row r="1986" spans="1:9" x14ac:dyDescent="0.25">
      <c r="A1986" s="16" t="s">
        <v>2968</v>
      </c>
      <c r="B1986" s="16" t="str">
        <f>TEXT(PARTIDA[[#This Row],[PARTIDA]],"0000000000")</f>
        <v>2906120000</v>
      </c>
      <c r="C1986" s="16" t="s">
        <v>815</v>
      </c>
      <c r="D1986" s="16" t="s">
        <v>835</v>
      </c>
      <c r="E1986" s="16" t="s">
        <v>9465</v>
      </c>
      <c r="F1986" s="27" t="s">
        <v>10965</v>
      </c>
      <c r="G1986" s="27"/>
      <c r="H1986" s="16" t="str">
        <f>IF(ISBLANK(PARTIDAS!$G1986),PARTIDAS!$F1986,CONCATENATE(PARTIDAS!$F1986," (",PARTIDAS!$G1986,")"))</f>
        <v>Ciclohexanol, metilciclohexanoles y dimetilciclohexanoles</v>
      </c>
      <c r="I1986" s="16" t="s">
        <v>9427</v>
      </c>
    </row>
    <row r="1987" spans="1:9" x14ac:dyDescent="0.25">
      <c r="A1987" s="16" t="s">
        <v>2969</v>
      </c>
      <c r="B1987" s="16" t="str">
        <f>TEXT(PARTIDA[[#This Row],[PARTIDA]],"0000000000")</f>
        <v>2906130000</v>
      </c>
      <c r="C1987" s="16" t="s">
        <v>815</v>
      </c>
      <c r="D1987" s="16" t="s">
        <v>835</v>
      </c>
      <c r="E1987" s="16" t="s">
        <v>9465</v>
      </c>
      <c r="F1987" s="27" t="s">
        <v>10966</v>
      </c>
      <c r="G1987" s="27"/>
      <c r="H1987" s="16" t="str">
        <f>IF(ISBLANK(PARTIDAS!$G1987),PARTIDAS!$F1987,CONCATENATE(PARTIDAS!$F1987," (",PARTIDAS!$G1987,")"))</f>
        <v>Esteroles e inositoles</v>
      </c>
      <c r="I1987" s="16" t="s">
        <v>9427</v>
      </c>
    </row>
    <row r="1988" spans="1:9" x14ac:dyDescent="0.25">
      <c r="A1988" s="16" t="s">
        <v>2970</v>
      </c>
      <c r="B1988" s="16" t="str">
        <f>TEXT(PARTIDA[[#This Row],[PARTIDA]],"0000000000")</f>
        <v>2906190000</v>
      </c>
      <c r="C1988" s="16" t="s">
        <v>815</v>
      </c>
      <c r="D1988" s="16" t="s">
        <v>835</v>
      </c>
      <c r="E1988" s="16" t="s">
        <v>9465</v>
      </c>
      <c r="F1988" s="27" t="s">
        <v>10811</v>
      </c>
      <c r="G1988" s="27"/>
      <c r="H1988" s="16" t="str">
        <f>IF(ISBLANK(PARTIDAS!$G1988),PARTIDAS!$F1988,CONCATENATE(PARTIDAS!$F1988," (",PARTIDAS!$G1988,")"))</f>
        <v>Ciclánicos, ciclénicos o cicloterpénicos (los demás)</v>
      </c>
      <c r="I1988" s="16" t="s">
        <v>9427</v>
      </c>
    </row>
    <row r="1989" spans="1:9" x14ac:dyDescent="0.25">
      <c r="A1989" s="16" t="s">
        <v>2971</v>
      </c>
      <c r="B1989" s="16" t="str">
        <f>TEXT(PARTIDA[[#This Row],[PARTIDA]],"0000000000")</f>
        <v>2906210000</v>
      </c>
      <c r="C1989" s="16" t="s">
        <v>815</v>
      </c>
      <c r="D1989" s="16" t="s">
        <v>835</v>
      </c>
      <c r="E1989" s="16" t="s">
        <v>9465</v>
      </c>
      <c r="F1989" s="27" t="s">
        <v>10967</v>
      </c>
      <c r="G1989" s="27"/>
      <c r="H1989" s="16" t="str">
        <f>IF(ISBLANK(PARTIDAS!$G1989),PARTIDAS!$F1989,CONCATENATE(PARTIDAS!$F1989," (",PARTIDAS!$G1989,")"))</f>
        <v>Alcohol bencílico</v>
      </c>
      <c r="I1989" s="16" t="s">
        <v>9427</v>
      </c>
    </row>
    <row r="1990" spans="1:9" x14ac:dyDescent="0.25">
      <c r="A1990" s="16" t="s">
        <v>2972</v>
      </c>
      <c r="B1990" s="16" t="str">
        <f>TEXT(PARTIDA[[#This Row],[PARTIDA]],"0000000000")</f>
        <v>2906290000</v>
      </c>
      <c r="C1990" s="16" t="s">
        <v>815</v>
      </c>
      <c r="D1990" s="16" t="s">
        <v>835</v>
      </c>
      <c r="E1990" s="16" t="s">
        <v>9465</v>
      </c>
      <c r="F1990" s="27" t="s">
        <v>10968</v>
      </c>
      <c r="G1990" s="27"/>
      <c r="H1990" s="16" t="str">
        <f>IF(ISBLANK(PARTIDAS!$G1990),PARTIDAS!$F1990,CONCATENATE(PARTIDAS!$F1990," (",PARTIDAS!$G1990,")"))</f>
        <v>Aromáticos (los demás)</v>
      </c>
      <c r="I1990" s="16" t="s">
        <v>9427</v>
      </c>
    </row>
    <row r="1991" spans="1:9" x14ac:dyDescent="0.25">
      <c r="A1991" s="16" t="s">
        <v>2973</v>
      </c>
      <c r="B1991" s="16" t="str">
        <f>TEXT(PARTIDA[[#This Row],[PARTIDA]],"0000000000")</f>
        <v>2907111000</v>
      </c>
      <c r="C1991" s="16" t="s">
        <v>815</v>
      </c>
      <c r="D1991" s="16" t="s">
        <v>835</v>
      </c>
      <c r="E1991" s="16" t="s">
        <v>9465</v>
      </c>
      <c r="F1991" s="27" t="s">
        <v>10969</v>
      </c>
      <c r="G1991" s="27"/>
      <c r="H1991" s="16" t="str">
        <f>IF(ISBLANK(PARTIDAS!$G1991),PARTIDAS!$F1991,CONCATENATE(PARTIDAS!$F1991," (",PARTIDAS!$G1991,")"))</f>
        <v>Fenol (hidroxibenceno)</v>
      </c>
      <c r="I1991" s="16" t="s">
        <v>9427</v>
      </c>
    </row>
    <row r="1992" spans="1:9" x14ac:dyDescent="0.25">
      <c r="A1992" s="16" t="s">
        <v>2974</v>
      </c>
      <c r="B1992" s="16" t="str">
        <f>TEXT(PARTIDA[[#This Row],[PARTIDA]],"0000000000")</f>
        <v>2907112000</v>
      </c>
      <c r="C1992" s="16" t="s">
        <v>815</v>
      </c>
      <c r="D1992" s="16" t="s">
        <v>835</v>
      </c>
      <c r="E1992" s="16" t="s">
        <v>9465</v>
      </c>
      <c r="F1992" s="27" t="s">
        <v>10970</v>
      </c>
      <c r="G1992" s="27"/>
      <c r="H1992" s="16" t="str">
        <f>IF(ISBLANK(PARTIDAS!$G1992),PARTIDAS!$F1992,CONCATENATE(PARTIDAS!$F1992," (",PARTIDAS!$G1992,")"))</f>
        <v>Fenol (hidroxibenceno) y sus sales, sales</v>
      </c>
      <c r="I1992" s="16" t="s">
        <v>9427</v>
      </c>
    </row>
    <row r="1993" spans="1:9" x14ac:dyDescent="0.25">
      <c r="A1993" s="16" t="s">
        <v>2975</v>
      </c>
      <c r="B1993" s="16" t="str">
        <f>TEXT(PARTIDA[[#This Row],[PARTIDA]],"0000000000")</f>
        <v>2907120000</v>
      </c>
      <c r="C1993" s="16" t="s">
        <v>815</v>
      </c>
      <c r="D1993" s="16" t="s">
        <v>835</v>
      </c>
      <c r="E1993" s="16" t="s">
        <v>9465</v>
      </c>
      <c r="F1993" s="27" t="s">
        <v>10971</v>
      </c>
      <c r="G1993" s="27"/>
      <c r="H1993" s="16" t="str">
        <f>IF(ISBLANK(PARTIDAS!$G1993),PARTIDAS!$F1993,CONCATENATE(PARTIDAS!$F1993," (",PARTIDAS!$G1993,")"))</f>
        <v>Cresoles y sus sales</v>
      </c>
      <c r="I1993" s="16" t="s">
        <v>9427</v>
      </c>
    </row>
    <row r="1994" spans="1:9" x14ac:dyDescent="0.25">
      <c r="A1994" s="16" t="s">
        <v>2976</v>
      </c>
      <c r="B1994" s="16" t="str">
        <f>TEXT(PARTIDA[[#This Row],[PARTIDA]],"0000000000")</f>
        <v>2907131000</v>
      </c>
      <c r="C1994" s="16" t="s">
        <v>815</v>
      </c>
      <c r="D1994" s="16" t="s">
        <v>835</v>
      </c>
      <c r="E1994" s="16" t="s">
        <v>9465</v>
      </c>
      <c r="F1994" s="27" t="s">
        <v>10972</v>
      </c>
      <c r="G1994" s="27"/>
      <c r="H1994" s="16" t="str">
        <f>IF(ISBLANK(PARTIDAS!$G1994),PARTIDAS!$F1994,CONCATENATE(PARTIDAS!$F1994," (",PARTIDAS!$G1994,")"))</f>
        <v>Octilfenol, nonilfenol y sus isómeros, nonilfenol</v>
      </c>
      <c r="I1994" s="16" t="s">
        <v>9427</v>
      </c>
    </row>
    <row r="1995" spans="1:9" x14ac:dyDescent="0.25">
      <c r="A1995" s="16" t="s">
        <v>2977</v>
      </c>
      <c r="B1995" s="16" t="str">
        <f>TEXT(PARTIDA[[#This Row],[PARTIDA]],"0000000000")</f>
        <v>2907139000</v>
      </c>
      <c r="C1995" s="16" t="s">
        <v>815</v>
      </c>
      <c r="D1995" s="16" t="s">
        <v>835</v>
      </c>
      <c r="E1995" s="16" t="s">
        <v>9465</v>
      </c>
      <c r="F1995" s="27" t="s">
        <v>10973</v>
      </c>
      <c r="G1995" s="27"/>
      <c r="H1995" s="16" t="str">
        <f>IF(ISBLANK(PARTIDAS!$G1995),PARTIDAS!$F1995,CONCATENATE(PARTIDAS!$F1995," (",PARTIDAS!$G1995,")"))</f>
        <v>Octilfenol, nonilfenol y sus isómeros (los demás)</v>
      </c>
      <c r="I1995" s="16" t="s">
        <v>9427</v>
      </c>
    </row>
    <row r="1996" spans="1:9" x14ac:dyDescent="0.25">
      <c r="A1996" s="16" t="s">
        <v>2978</v>
      </c>
      <c r="B1996" s="16" t="str">
        <f>TEXT(PARTIDA[[#This Row],[PARTIDA]],"0000000000")</f>
        <v>2907150000</v>
      </c>
      <c r="C1996" s="16" t="s">
        <v>815</v>
      </c>
      <c r="D1996" s="16" t="s">
        <v>835</v>
      </c>
      <c r="E1996" s="16" t="s">
        <v>9465</v>
      </c>
      <c r="F1996" s="27" t="s">
        <v>10974</v>
      </c>
      <c r="G1996" s="27"/>
      <c r="H1996" s="16" t="str">
        <f>IF(ISBLANK(PARTIDAS!$G1996),PARTIDAS!$F1996,CONCATENATE(PARTIDAS!$F1996," (",PARTIDAS!$G1996,")"))</f>
        <v>Naftoles y sus sales</v>
      </c>
      <c r="I1996" s="16" t="s">
        <v>9427</v>
      </c>
    </row>
    <row r="1997" spans="1:9" x14ac:dyDescent="0.25">
      <c r="A1997" s="16" t="s">
        <v>2979</v>
      </c>
      <c r="B1997" s="16" t="str">
        <f>TEXT(PARTIDA[[#This Row],[PARTIDA]],"0000000000")</f>
        <v>2907190000</v>
      </c>
      <c r="C1997" s="16" t="s">
        <v>815</v>
      </c>
      <c r="D1997" s="16" t="s">
        <v>835</v>
      </c>
      <c r="E1997" s="16" t="s">
        <v>9465</v>
      </c>
      <c r="F1997" s="27" t="s">
        <v>10975</v>
      </c>
      <c r="G1997" s="27"/>
      <c r="H1997" s="16" t="str">
        <f>IF(ISBLANK(PARTIDAS!$G1997),PARTIDAS!$F1997,CONCATENATE(PARTIDAS!$F1997," (",PARTIDAS!$G1997,")"))</f>
        <v>Monofenoles (los demás)</v>
      </c>
      <c r="I1997" s="16" t="s">
        <v>9427</v>
      </c>
    </row>
    <row r="1998" spans="1:9" x14ac:dyDescent="0.25">
      <c r="A1998" s="16" t="s">
        <v>2980</v>
      </c>
      <c r="B1998" s="16" t="str">
        <f>TEXT(PARTIDA[[#This Row],[PARTIDA]],"0000000000")</f>
        <v>2907210000</v>
      </c>
      <c r="C1998" s="16" t="s">
        <v>815</v>
      </c>
      <c r="D1998" s="16" t="s">
        <v>835</v>
      </c>
      <c r="E1998" s="16" t="s">
        <v>9465</v>
      </c>
      <c r="F1998" s="27" t="s">
        <v>10976</v>
      </c>
      <c r="G1998" s="27"/>
      <c r="H1998" s="16" t="str">
        <f>IF(ISBLANK(PARTIDAS!$G1998),PARTIDAS!$F1998,CONCATENATE(PARTIDAS!$F1998," (",PARTIDAS!$G1998,")"))</f>
        <v>Resorcinol y sus sales</v>
      </c>
      <c r="I1998" s="16" t="s">
        <v>9427</v>
      </c>
    </row>
    <row r="1999" spans="1:9" x14ac:dyDescent="0.25">
      <c r="A1999" s="16" t="s">
        <v>2981</v>
      </c>
      <c r="B1999" s="16" t="str">
        <f>TEXT(PARTIDA[[#This Row],[PARTIDA]],"0000000000")</f>
        <v>2907220000</v>
      </c>
      <c r="C1999" s="16" t="s">
        <v>815</v>
      </c>
      <c r="D1999" s="16" t="s">
        <v>835</v>
      </c>
      <c r="E1999" s="16" t="s">
        <v>9465</v>
      </c>
      <c r="F1999" s="27" t="s">
        <v>10977</v>
      </c>
      <c r="G1999" s="27"/>
      <c r="H1999" s="16" t="str">
        <f>IF(ISBLANK(PARTIDAS!$G1999),PARTIDAS!$F1999,CONCATENATE(PARTIDAS!$F1999," (",PARTIDAS!$G1999,")"))</f>
        <v>Hidroquinona y sus sales</v>
      </c>
      <c r="I1999" s="16" t="s">
        <v>9427</v>
      </c>
    </row>
    <row r="2000" spans="1:9" x14ac:dyDescent="0.25">
      <c r="A2000" s="16" t="s">
        <v>2982</v>
      </c>
      <c r="B2000" s="16" t="str">
        <f>TEXT(PARTIDA[[#This Row],[PARTIDA]],"0000000000")</f>
        <v>2907230000</v>
      </c>
      <c r="C2000" s="16" t="s">
        <v>815</v>
      </c>
      <c r="D2000" s="16" t="s">
        <v>835</v>
      </c>
      <c r="E2000" s="16" t="s">
        <v>9465</v>
      </c>
      <c r="F2000" s="27" t="s">
        <v>10978</v>
      </c>
      <c r="G2000" s="27"/>
      <c r="H2000" s="16" t="str">
        <f>IF(ISBLANK(PARTIDAS!$G2000),PARTIDAS!$F2000,CONCATENATE(PARTIDAS!$F2000," (",PARTIDAS!$G2000,")"))</f>
        <v>Polifenoles, 4,4'-Isopropilidendifenol (bisfenol A, difenilolpropano) y sus sales</v>
      </c>
      <c r="I2000" s="16" t="s">
        <v>9427</v>
      </c>
    </row>
    <row r="2001" spans="1:9" x14ac:dyDescent="0.25">
      <c r="A2001" s="16" t="s">
        <v>2983</v>
      </c>
      <c r="B2001" s="16" t="str">
        <f>TEXT(PARTIDA[[#This Row],[PARTIDA]],"0000000000")</f>
        <v>2907291000</v>
      </c>
      <c r="C2001" s="16" t="s">
        <v>815</v>
      </c>
      <c r="D2001" s="16" t="s">
        <v>835</v>
      </c>
      <c r="E2001" s="16" t="s">
        <v>9465</v>
      </c>
      <c r="F2001" s="27" t="s">
        <v>10979</v>
      </c>
      <c r="G2001" s="27"/>
      <c r="H2001" s="16" t="str">
        <f>IF(ISBLANK(PARTIDAS!$G2001),PARTIDAS!$F2001,CONCATENATE(PARTIDAS!$F2001," (",PARTIDAS!$G2001,")"))</f>
        <v>Polifenoles, fenoles-alcoholes</v>
      </c>
      <c r="I2001" s="16" t="s">
        <v>9427</v>
      </c>
    </row>
    <row r="2002" spans="1:9" x14ac:dyDescent="0.25">
      <c r="A2002" s="16" t="s">
        <v>2984</v>
      </c>
      <c r="B2002" s="16" t="str">
        <f>TEXT(PARTIDA[[#This Row],[PARTIDA]],"0000000000")</f>
        <v>2907299000</v>
      </c>
      <c r="C2002" s="16" t="s">
        <v>815</v>
      </c>
      <c r="D2002" s="16" t="s">
        <v>835</v>
      </c>
      <c r="E2002" s="16" t="s">
        <v>9465</v>
      </c>
      <c r="F2002" s="27" t="s">
        <v>10980</v>
      </c>
      <c r="G2002" s="27"/>
      <c r="H2002" s="16" t="str">
        <f>IF(ISBLANK(PARTIDAS!$G2002),PARTIDAS!$F2002,CONCATENATE(PARTIDAS!$F2002," (",PARTIDAS!$G2002,")"))</f>
        <v>Polifenoles (los demás)</v>
      </c>
      <c r="I2002" s="16" t="s">
        <v>9427</v>
      </c>
    </row>
    <row r="2003" spans="1:9" x14ac:dyDescent="0.25">
      <c r="A2003" s="16" t="s">
        <v>2985</v>
      </c>
      <c r="B2003" s="16" t="str">
        <f>TEXT(PARTIDA[[#This Row],[PARTIDA]],"0000000000")</f>
        <v>2908110000</v>
      </c>
      <c r="C2003" s="16" t="s">
        <v>815</v>
      </c>
      <c r="D2003" s="16" t="s">
        <v>835</v>
      </c>
      <c r="E2003" s="16" t="s">
        <v>9465</v>
      </c>
      <c r="F2003" s="27" t="s">
        <v>10981</v>
      </c>
      <c r="G2003" s="27"/>
      <c r="H2003" s="16" t="str">
        <f>IF(ISBLANK(PARTIDAS!$G2003),PARTIDAS!$F2003,CONCATENATE(PARTIDAS!$F2003," (",PARTIDAS!$G2003,")"))</f>
        <v>Pentaclorofenol (ISO)</v>
      </c>
      <c r="I2003" s="16" t="s">
        <v>9427</v>
      </c>
    </row>
    <row r="2004" spans="1:9" x14ac:dyDescent="0.25">
      <c r="A2004" s="16" t="s">
        <v>2986</v>
      </c>
      <c r="B2004" s="16" t="str">
        <f>TEXT(PARTIDA[[#This Row],[PARTIDA]],"0000000000")</f>
        <v>2908190000</v>
      </c>
      <c r="C2004" s="16" t="s">
        <v>815</v>
      </c>
      <c r="D2004" s="16" t="s">
        <v>835</v>
      </c>
      <c r="E2004" s="16" t="s">
        <v>9465</v>
      </c>
      <c r="F2004" s="27" t="s">
        <v>10982</v>
      </c>
      <c r="G2004" s="27"/>
      <c r="H2004" s="16" t="str">
        <f>IF(ISBLANK(PARTIDAS!$G2004),PARTIDAS!$F2004,CONCATENATE(PARTIDAS!$F2004," (",PARTIDAS!$G2004,")"))</f>
        <v>Derivados solamente halogenados y sus sales (los demás)</v>
      </c>
      <c r="I2004" s="16" t="s">
        <v>9427</v>
      </c>
    </row>
    <row r="2005" spans="1:9" x14ac:dyDescent="0.25">
      <c r="A2005" s="16" t="s">
        <v>2987</v>
      </c>
      <c r="B2005" s="16" t="str">
        <f>TEXT(PARTIDA[[#This Row],[PARTIDA]],"0000000000")</f>
        <v>2908910000</v>
      </c>
      <c r="C2005" s="16" t="s">
        <v>815</v>
      </c>
      <c r="D2005" s="16" t="s">
        <v>835</v>
      </c>
      <c r="E2005" s="16" t="s">
        <v>9465</v>
      </c>
      <c r="F2005" s="27" t="s">
        <v>10983</v>
      </c>
      <c r="G2005" s="27"/>
      <c r="H2005" s="16" t="str">
        <f>IF(ISBLANK(PARTIDAS!$G2005),PARTIDAS!$F2005,CONCATENATE(PARTIDAS!$F2005," (",PARTIDAS!$G2005,")"))</f>
        <v>Dinoseb (ISO) y sus sales</v>
      </c>
      <c r="I2005" s="16" t="s">
        <v>9427</v>
      </c>
    </row>
    <row r="2006" spans="1:9" x14ac:dyDescent="0.25">
      <c r="A2006" s="16" t="s">
        <v>2988</v>
      </c>
      <c r="B2006" s="16" t="str">
        <f>TEXT(PARTIDA[[#This Row],[PARTIDA]],"0000000000")</f>
        <v>2908920000</v>
      </c>
      <c r="C2006" s="16" t="s">
        <v>815</v>
      </c>
      <c r="D2006" s="16" t="s">
        <v>835</v>
      </c>
      <c r="E2006" s="16" t="s">
        <v>9465</v>
      </c>
      <c r="F2006" s="27" t="s">
        <v>10984</v>
      </c>
      <c r="G2006" s="27"/>
      <c r="H2006" s="16" t="str">
        <f>IF(ISBLANK(PARTIDAS!$G2006),PARTIDAS!$F2006,CONCATENATE(PARTIDAS!$F2006," (",PARTIDAS!$G2006,")"))</f>
        <v>Derivados halogenados, sulfonados, nitrados o nitrosados, de los…, 4,6-Dinitro-o-cresol (DNOC (ISO)) y sus sales</v>
      </c>
      <c r="I2006" s="16" t="s">
        <v>9427</v>
      </c>
    </row>
    <row r="2007" spans="1:9" x14ac:dyDescent="0.25">
      <c r="A2007" s="16" t="s">
        <v>2989</v>
      </c>
      <c r="B2007" s="16" t="str">
        <f>TEXT(PARTIDA[[#This Row],[PARTIDA]],"0000000000")</f>
        <v>2908991000</v>
      </c>
      <c r="C2007" s="16" t="s">
        <v>815</v>
      </c>
      <c r="D2007" s="16" t="s">
        <v>835</v>
      </c>
      <c r="E2007" s="16" t="s">
        <v>9465</v>
      </c>
      <c r="F2007" s="27" t="s">
        <v>10985</v>
      </c>
      <c r="G2007" s="27"/>
      <c r="H2007" s="16" t="str">
        <f>IF(ISBLANK(PARTIDAS!$G2007),PARTIDAS!$F2007,CONCATENATE(PARTIDAS!$F2007," (",PARTIDAS!$G2007,")"))</f>
        <v>Derivados solamente sulfonados, sus sales y sus ésteres</v>
      </c>
      <c r="I2007" s="16" t="s">
        <v>9427</v>
      </c>
    </row>
    <row r="2008" spans="1:9" x14ac:dyDescent="0.25">
      <c r="A2008" s="16" t="s">
        <v>2990</v>
      </c>
      <c r="B2008" s="16" t="str">
        <f>TEXT(PARTIDA[[#This Row],[PARTIDA]],"0000000000")</f>
        <v>2908992200</v>
      </c>
      <c r="C2008" s="16" t="s">
        <v>815</v>
      </c>
      <c r="D2008" s="16" t="s">
        <v>835</v>
      </c>
      <c r="E2008" s="16" t="s">
        <v>9465</v>
      </c>
      <c r="F2008" s="27" t="s">
        <v>10986</v>
      </c>
      <c r="G2008" s="27"/>
      <c r="H2008" s="16" t="str">
        <f>IF(ISBLANK(PARTIDAS!$G2008),PARTIDAS!$F2008,CONCATENATE(PARTIDAS!$F2008," (",PARTIDAS!$G2008,")"))</f>
        <v>Derivados solamente nitrados, sus sales y sus ésteres, dinitrofenol</v>
      </c>
      <c r="I2008" s="16" t="s">
        <v>9427</v>
      </c>
    </row>
    <row r="2009" spans="1:9" x14ac:dyDescent="0.25">
      <c r="A2009" s="16" t="s">
        <v>2991</v>
      </c>
      <c r="B2009" s="16" t="str">
        <f>TEXT(PARTIDA[[#This Row],[PARTIDA]],"0000000000")</f>
        <v>2908992300</v>
      </c>
      <c r="C2009" s="16" t="s">
        <v>815</v>
      </c>
      <c r="D2009" s="16" t="s">
        <v>835</v>
      </c>
      <c r="E2009" s="16" t="s">
        <v>9465</v>
      </c>
      <c r="F2009" s="27" t="s">
        <v>10987</v>
      </c>
      <c r="G2009" s="27"/>
      <c r="H2009" s="16" t="str">
        <f>IF(ISBLANK(PARTIDAS!$G2009),PARTIDAS!$F2009,CONCATENATE(PARTIDAS!$F2009," (",PARTIDAS!$G2009,")"))</f>
        <v>Ácido pícrico (trinitrofenol)</v>
      </c>
      <c r="I2009" s="16" t="s">
        <v>9427</v>
      </c>
    </row>
    <row r="2010" spans="1:9" x14ac:dyDescent="0.25">
      <c r="A2010" s="16" t="s">
        <v>2992</v>
      </c>
      <c r="B2010" s="16" t="str">
        <f>TEXT(PARTIDA[[#This Row],[PARTIDA]],"0000000000")</f>
        <v>2908992900</v>
      </c>
      <c r="C2010" s="16" t="s">
        <v>815</v>
      </c>
      <c r="D2010" s="16" t="s">
        <v>835</v>
      </c>
      <c r="E2010" s="16" t="s">
        <v>9465</v>
      </c>
      <c r="F2010" s="27" t="s">
        <v>10988</v>
      </c>
      <c r="G2010" s="27"/>
      <c r="H2010" s="16" t="str">
        <f>IF(ISBLANK(PARTIDAS!$G2010),PARTIDAS!$F2010,CONCATENATE(PARTIDAS!$F2010," (",PARTIDAS!$G2010,")"))</f>
        <v>Derivados solamente nitrados, sus sales y sus ésteres (los demás)</v>
      </c>
      <c r="I2010" s="16" t="s">
        <v>9427</v>
      </c>
    </row>
    <row r="2011" spans="1:9" x14ac:dyDescent="0.25">
      <c r="A2011" s="16" t="s">
        <v>2993</v>
      </c>
      <c r="B2011" s="16" t="str">
        <f>TEXT(PARTIDA[[#This Row],[PARTIDA]],"0000000000")</f>
        <v>2908999000</v>
      </c>
      <c r="C2011" s="16" t="s">
        <v>815</v>
      </c>
      <c r="D2011" s="16" t="s">
        <v>835</v>
      </c>
      <c r="E2011" s="16" t="s">
        <v>9465</v>
      </c>
      <c r="F2011" s="27" t="s">
        <v>10989</v>
      </c>
      <c r="G2011" s="27"/>
      <c r="H2011" s="16" t="str">
        <f>IF(ISBLANK(PARTIDAS!$G2011),PARTIDAS!$F2011,CONCATENATE(PARTIDAS!$F2011," (",PARTIDAS!$G2011,")"))</f>
        <v>Derivados halogenados, sulfonados, nitrados o nitrosados, de los… (los demás)</v>
      </c>
      <c r="I2011" s="16" t="s">
        <v>9427</v>
      </c>
    </row>
    <row r="2012" spans="1:9" x14ac:dyDescent="0.25">
      <c r="A2012" s="16" t="s">
        <v>2994</v>
      </c>
      <c r="B2012" s="16" t="str">
        <f>TEXT(PARTIDA[[#This Row],[PARTIDA]],"0000000000")</f>
        <v>2909110000</v>
      </c>
      <c r="C2012" s="16" t="s">
        <v>815</v>
      </c>
      <c r="D2012" s="16" t="s">
        <v>835</v>
      </c>
      <c r="E2012" s="16" t="s">
        <v>9465</v>
      </c>
      <c r="F2012" s="27" t="s">
        <v>10990</v>
      </c>
      <c r="G2012" s="27"/>
      <c r="H2012" s="16" t="str">
        <f>IF(ISBLANK(PARTIDAS!$G2012),PARTIDAS!$F2012,CONCATENATE(PARTIDAS!$F2012," (",PARTIDAS!$G2012,")"))</f>
        <v>Eter dietílico (óxido de dietilo)</v>
      </c>
      <c r="I2012" s="16" t="s">
        <v>9427</v>
      </c>
    </row>
    <row r="2013" spans="1:9" x14ac:dyDescent="0.25">
      <c r="A2013" s="16" t="s">
        <v>2995</v>
      </c>
      <c r="B2013" s="16" t="str">
        <f>TEXT(PARTIDA[[#This Row],[PARTIDA]],"0000000000")</f>
        <v>2909191000</v>
      </c>
      <c r="C2013" s="16" t="s">
        <v>815</v>
      </c>
      <c r="D2013" s="16" t="s">
        <v>835</v>
      </c>
      <c r="E2013" s="16" t="s">
        <v>9465</v>
      </c>
      <c r="F2013" s="27" t="s">
        <v>10991</v>
      </c>
      <c r="G2013" s="27"/>
      <c r="H2013" s="16" t="str">
        <f>IF(ISBLANK(PARTIDAS!$G2013),PARTIDAS!$F2013,CONCATENATE(PARTIDAS!$F2013," (",PARTIDAS!$G2013,")"))</f>
        <v>Metil terc-butil éter</v>
      </c>
      <c r="I2013" s="16" t="s">
        <v>9427</v>
      </c>
    </row>
    <row r="2014" spans="1:9" x14ac:dyDescent="0.25">
      <c r="A2014" s="16" t="s">
        <v>2996</v>
      </c>
      <c r="B2014" s="16" t="str">
        <f>TEXT(PARTIDA[[#This Row],[PARTIDA]],"0000000000")</f>
        <v>2909199000</v>
      </c>
      <c r="C2014" s="16" t="s">
        <v>815</v>
      </c>
      <c r="D2014" s="16" t="s">
        <v>835</v>
      </c>
      <c r="E2014" s="16" t="s">
        <v>9465</v>
      </c>
      <c r="F2014" s="27" t="s">
        <v>10992</v>
      </c>
      <c r="G2014" s="27"/>
      <c r="H2014" s="16" t="str">
        <f>IF(ISBLANK(PARTIDAS!$G2014),PARTIDAS!$F2014,CONCATENATE(PARTIDAS!$F2014," (",PARTIDAS!$G2014,")"))</f>
        <v>Éteres acíclicos y sus derivados halogenados, sulfonados, nitrados o… (los demás)</v>
      </c>
      <c r="I2014" s="16" t="s">
        <v>9427</v>
      </c>
    </row>
    <row r="2015" spans="1:9" x14ac:dyDescent="0.25">
      <c r="A2015" s="16" t="s">
        <v>2997</v>
      </c>
      <c r="B2015" s="16" t="str">
        <f>TEXT(PARTIDA[[#This Row],[PARTIDA]],"0000000000")</f>
        <v>2909200000</v>
      </c>
      <c r="C2015" s="16" t="s">
        <v>815</v>
      </c>
      <c r="D2015" s="16" t="s">
        <v>835</v>
      </c>
      <c r="E2015" s="16" t="s">
        <v>9465</v>
      </c>
      <c r="F2015" s="27" t="s">
        <v>10993</v>
      </c>
      <c r="G2015" s="27"/>
      <c r="H2015" s="16" t="str">
        <f>IF(ISBLANK(PARTIDAS!$G2015),PARTIDAS!$F2015,CONCATENATE(PARTIDAS!$F2015," (",PARTIDAS!$G2015,")"))</f>
        <v>Éteres ciclánicos, ciclénicos, cicloterpénicos, y sus derivados halogenados, sulfonados, nitrados o nitrosados</v>
      </c>
      <c r="I2015" s="16" t="s">
        <v>9427</v>
      </c>
    </row>
    <row r="2016" spans="1:9" x14ac:dyDescent="0.25">
      <c r="A2016" s="16" t="s">
        <v>2998</v>
      </c>
      <c r="B2016" s="16" t="str">
        <f>TEXT(PARTIDA[[#This Row],[PARTIDA]],"0000000000")</f>
        <v>2909301000</v>
      </c>
      <c r="C2016" s="16" t="s">
        <v>815</v>
      </c>
      <c r="D2016" s="16" t="s">
        <v>835</v>
      </c>
      <c r="E2016" s="16" t="s">
        <v>9465</v>
      </c>
      <c r="F2016" s="27" t="s">
        <v>10994</v>
      </c>
      <c r="G2016" s="27"/>
      <c r="H2016" s="16" t="str">
        <f>IF(ISBLANK(PARTIDAS!$G2016),PARTIDAS!$F2016,CONCATENATE(PARTIDAS!$F2016," (",PARTIDAS!$G2016,")"))</f>
        <v>Éteres aromáticos y sus derivados halogenados, sulfonados, nitrados o…, anetol</v>
      </c>
      <c r="I2016" s="16" t="s">
        <v>9427</v>
      </c>
    </row>
    <row r="2017" spans="1:9" x14ac:dyDescent="0.25">
      <c r="A2017" s="16" t="s">
        <v>2999</v>
      </c>
      <c r="B2017" s="16" t="str">
        <f>TEXT(PARTIDA[[#This Row],[PARTIDA]],"0000000000")</f>
        <v>2909309000</v>
      </c>
      <c r="C2017" s="16" t="s">
        <v>815</v>
      </c>
      <c r="D2017" s="16" t="s">
        <v>835</v>
      </c>
      <c r="E2017" s="16" t="s">
        <v>9465</v>
      </c>
      <c r="F2017" s="27" t="s">
        <v>10995</v>
      </c>
      <c r="G2017" s="27"/>
      <c r="H2017" s="16" t="str">
        <f>IF(ISBLANK(PARTIDAS!$G2017),PARTIDAS!$F2017,CONCATENATE(PARTIDAS!$F2017," (",PARTIDAS!$G2017,")"))</f>
        <v>Éteres aromáticos y sus derivados halogenados, sulfonados, nitrados o… (los demás)</v>
      </c>
      <c r="I2017" s="16" t="s">
        <v>9427</v>
      </c>
    </row>
    <row r="2018" spans="1:9" x14ac:dyDescent="0.25">
      <c r="A2018" s="16" t="s">
        <v>3000</v>
      </c>
      <c r="B2018" s="16" t="str">
        <f>TEXT(PARTIDA[[#This Row],[PARTIDA]],"0000000000")</f>
        <v>2909410000</v>
      </c>
      <c r="C2018" s="16" t="s">
        <v>815</v>
      </c>
      <c r="D2018" s="16" t="s">
        <v>835</v>
      </c>
      <c r="E2018" s="16" t="s">
        <v>9465</v>
      </c>
      <c r="F2018" s="27" t="s">
        <v>10996</v>
      </c>
      <c r="G2018" s="27"/>
      <c r="H2018" s="16" t="str">
        <f>IF(ISBLANK(PARTIDAS!$G2018),PARTIDAS!$F2018,CONCATENATE(PARTIDAS!$F2018," (",PARTIDAS!$G2018,")"))</f>
        <v>Éteres-alcoholes y sus derivados halogenados, sulfonados, nitrados o…, 2,2'-Oxidietanol (dietilenglicol)</v>
      </c>
      <c r="I2018" s="16" t="s">
        <v>9427</v>
      </c>
    </row>
    <row r="2019" spans="1:9" x14ac:dyDescent="0.25">
      <c r="A2019" s="16" t="s">
        <v>3001</v>
      </c>
      <c r="B2019" s="16" t="str">
        <f>TEXT(PARTIDA[[#This Row],[PARTIDA]],"0000000000")</f>
        <v>2909430000</v>
      </c>
      <c r="C2019" s="16" t="s">
        <v>815</v>
      </c>
      <c r="D2019" s="16" t="s">
        <v>835</v>
      </c>
      <c r="E2019" s="16" t="s">
        <v>9465</v>
      </c>
      <c r="F2019" s="27" t="s">
        <v>10997</v>
      </c>
      <c r="G2019" s="27"/>
      <c r="H2019" s="16" t="str">
        <f>IF(ISBLANK(PARTIDAS!$G2019),PARTIDAS!$F2019,CONCATENATE(PARTIDAS!$F2019," (",PARTIDAS!$G2019,")"))</f>
        <v>Éteres monobutílicos del etilenglicol o del dietilenglicol</v>
      </c>
      <c r="I2019" s="16" t="s">
        <v>9427</v>
      </c>
    </row>
    <row r="2020" spans="1:9" x14ac:dyDescent="0.25">
      <c r="A2020" s="16" t="s">
        <v>3002</v>
      </c>
      <c r="B2020" s="16" t="str">
        <f>TEXT(PARTIDA[[#This Row],[PARTIDA]],"0000000000")</f>
        <v>2909440000</v>
      </c>
      <c r="C2020" s="16" t="s">
        <v>815</v>
      </c>
      <c r="D2020" s="16" t="s">
        <v>835</v>
      </c>
      <c r="E2020" s="16" t="s">
        <v>9465</v>
      </c>
      <c r="F2020" s="27" t="s">
        <v>10998</v>
      </c>
      <c r="G2020" s="27"/>
      <c r="H2020" s="16" t="str">
        <f>IF(ISBLANK(PARTIDAS!$G2020),PARTIDAS!$F2020,CONCATENATE(PARTIDAS!$F2020," (",PARTIDAS!$G2020,")"))</f>
        <v>Éteres-alcoholes y sus derivados halogenados, sulfonados, nitrados o… (los demás, éteres monoalquílicos del etilenglicol o del dietilenglicol)</v>
      </c>
      <c r="I2020" s="16" t="s">
        <v>9427</v>
      </c>
    </row>
    <row r="2021" spans="1:9" x14ac:dyDescent="0.25">
      <c r="A2021" s="16" t="s">
        <v>3003</v>
      </c>
      <c r="B2021" s="16" t="str">
        <f>TEXT(PARTIDA[[#This Row],[PARTIDA]],"0000000000")</f>
        <v>2909491000</v>
      </c>
      <c r="C2021" s="16" t="s">
        <v>815</v>
      </c>
      <c r="D2021" s="16" t="s">
        <v>835</v>
      </c>
      <c r="E2021" s="16" t="s">
        <v>9465</v>
      </c>
      <c r="F2021" s="27" t="s">
        <v>10999</v>
      </c>
      <c r="G2021" s="27"/>
      <c r="H2021" s="16" t="str">
        <f>IF(ISBLANK(PARTIDAS!$G2021),PARTIDAS!$F2021,CONCATENATE(PARTIDAS!$F2021," (",PARTIDAS!$G2021,")"))</f>
        <v>Éteres-alcoholes y sus derivados halogenados, sulfonados, nitrados o…, dipropilenglicol</v>
      </c>
      <c r="I2021" s="16" t="s">
        <v>9427</v>
      </c>
    </row>
    <row r="2022" spans="1:9" x14ac:dyDescent="0.25">
      <c r="A2022" s="16" t="s">
        <v>3004</v>
      </c>
      <c r="B2022" s="16" t="str">
        <f>TEXT(PARTIDA[[#This Row],[PARTIDA]],"0000000000")</f>
        <v>2909492000</v>
      </c>
      <c r="C2022" s="16" t="s">
        <v>815</v>
      </c>
      <c r="D2022" s="16" t="s">
        <v>835</v>
      </c>
      <c r="E2022" s="16" t="s">
        <v>9465</v>
      </c>
      <c r="F2022" s="27" t="s">
        <v>11000</v>
      </c>
      <c r="G2022" s="27"/>
      <c r="H2022" s="16" t="str">
        <f>IF(ISBLANK(PARTIDAS!$G2022),PARTIDAS!$F2022,CONCATENATE(PARTIDAS!$F2022," (",PARTIDAS!$G2022,")"))</f>
        <v>Éteres-alcoholes y sus derivados halogenados, sulfonados, nitrados o…, trietilenglicol</v>
      </c>
      <c r="I2022" s="16" t="s">
        <v>9427</v>
      </c>
    </row>
    <row r="2023" spans="1:9" x14ac:dyDescent="0.25">
      <c r="A2023" s="16" t="s">
        <v>3005</v>
      </c>
      <c r="B2023" s="16" t="str">
        <f>TEXT(PARTIDA[[#This Row],[PARTIDA]],"0000000000")</f>
        <v>2909493000</v>
      </c>
      <c r="C2023" s="16" t="s">
        <v>815</v>
      </c>
      <c r="D2023" s="16" t="s">
        <v>835</v>
      </c>
      <c r="E2023" s="16" t="s">
        <v>9465</v>
      </c>
      <c r="F2023" s="27" t="s">
        <v>11001</v>
      </c>
      <c r="G2023" s="27"/>
      <c r="H2023" s="16" t="str">
        <f>IF(ISBLANK(PARTIDAS!$G2023),PARTIDAS!$F2023,CONCATENATE(PARTIDAS!$F2023," (",PARTIDAS!$G2023,")"))</f>
        <v>Éteres-alcoholes y sus derivados halogenados, sulfonados, nitrados o…, glicerilguayacol</v>
      </c>
      <c r="I2023" s="16" t="s">
        <v>9427</v>
      </c>
    </row>
    <row r="2024" spans="1:9" x14ac:dyDescent="0.25">
      <c r="A2024" s="16" t="s">
        <v>3006</v>
      </c>
      <c r="B2024" s="16" t="str">
        <f>TEXT(PARTIDA[[#This Row],[PARTIDA]],"0000000000")</f>
        <v>2909494000</v>
      </c>
      <c r="C2024" s="16" t="s">
        <v>815</v>
      </c>
      <c r="D2024" s="16" t="s">
        <v>835</v>
      </c>
      <c r="E2024" s="16" t="s">
        <v>9465</v>
      </c>
      <c r="F2024" s="27" t="s">
        <v>11002</v>
      </c>
      <c r="G2024" s="27"/>
      <c r="H2024" s="16" t="str">
        <f>IF(ISBLANK(PARTIDAS!$G2024),PARTIDAS!$F2024,CONCATENATE(PARTIDAS!$F2024," (",PARTIDAS!$G2024,")"))</f>
        <v>Éter metílico del propilenglicol</v>
      </c>
      <c r="I2024" s="16" t="s">
        <v>9427</v>
      </c>
    </row>
    <row r="2025" spans="1:9" x14ac:dyDescent="0.25">
      <c r="A2025" s="16" t="s">
        <v>3007</v>
      </c>
      <c r="B2025" s="16" t="str">
        <f>TEXT(PARTIDA[[#This Row],[PARTIDA]],"0000000000")</f>
        <v>2909495000</v>
      </c>
      <c r="C2025" s="16" t="s">
        <v>815</v>
      </c>
      <c r="D2025" s="16" t="s">
        <v>835</v>
      </c>
      <c r="E2025" s="16" t="s">
        <v>9465</v>
      </c>
      <c r="F2025" s="27" t="s">
        <v>11003</v>
      </c>
      <c r="G2025" s="27"/>
      <c r="H2025" s="16" t="str">
        <f>IF(ISBLANK(PARTIDAS!$G2025),PARTIDAS!$F2025,CONCATENATE(PARTIDAS!$F2025," (",PARTIDAS!$G2025,")"))</f>
        <v>Éteres-alcoholes y sus derivados halogenados, sulfonados, nitrados o… (los demás, éteres de los propilenglicoles)</v>
      </c>
      <c r="I2025" s="16" t="s">
        <v>9427</v>
      </c>
    </row>
    <row r="2026" spans="1:9" x14ac:dyDescent="0.25">
      <c r="A2026" s="16" t="s">
        <v>3008</v>
      </c>
      <c r="B2026" s="16" t="str">
        <f>TEXT(PARTIDA[[#This Row],[PARTIDA]],"0000000000")</f>
        <v>2909496000</v>
      </c>
      <c r="C2026" s="16" t="s">
        <v>815</v>
      </c>
      <c r="D2026" s="16" t="s">
        <v>835</v>
      </c>
      <c r="E2026" s="16" t="s">
        <v>9465</v>
      </c>
      <c r="F2026" s="27" t="s">
        <v>11004</v>
      </c>
      <c r="G2026" s="27"/>
      <c r="H2026" s="16" t="str">
        <f>IF(ISBLANK(PARTIDAS!$G2026),PARTIDAS!$F2026,CONCATENATE(PARTIDAS!$F2026," (",PARTIDAS!$G2026,")"))</f>
        <v>Éteres-alcoholes y sus derivados halogenados, sulfonados, nitrados o… (los demás, éteres de los etilenglicoles)</v>
      </c>
      <c r="I2026" s="16" t="s">
        <v>9427</v>
      </c>
    </row>
    <row r="2027" spans="1:9" x14ac:dyDescent="0.25">
      <c r="A2027" s="16" t="s">
        <v>3009</v>
      </c>
      <c r="B2027" s="16" t="str">
        <f>TEXT(PARTIDA[[#This Row],[PARTIDA]],"0000000000")</f>
        <v>2909499000</v>
      </c>
      <c r="C2027" s="16" t="s">
        <v>815</v>
      </c>
      <c r="D2027" s="16" t="s">
        <v>835</v>
      </c>
      <c r="E2027" s="16" t="s">
        <v>9465</v>
      </c>
      <c r="F2027" s="27" t="s">
        <v>11005</v>
      </c>
      <c r="G2027" s="27"/>
      <c r="H2027" s="16" t="str">
        <f>IF(ISBLANK(PARTIDAS!$G2027),PARTIDAS!$F2027,CONCATENATE(PARTIDAS!$F2027," (",PARTIDAS!$G2027,")"))</f>
        <v>Éteres-alcoholes y sus derivados halogenados, sulfonados, nitrados o… (los demás)</v>
      </c>
      <c r="I2027" s="16" t="s">
        <v>9427</v>
      </c>
    </row>
    <row r="2028" spans="1:9" x14ac:dyDescent="0.25">
      <c r="A2028" s="16" t="s">
        <v>3010</v>
      </c>
      <c r="B2028" s="16" t="str">
        <f>TEXT(PARTIDA[[#This Row],[PARTIDA]],"0000000000")</f>
        <v>2909501000</v>
      </c>
      <c r="C2028" s="16" t="s">
        <v>815</v>
      </c>
      <c r="D2028" s="16" t="s">
        <v>835</v>
      </c>
      <c r="E2028" s="16" t="s">
        <v>9465</v>
      </c>
      <c r="F2028" s="27" t="s">
        <v>11006</v>
      </c>
      <c r="G2028" s="27"/>
      <c r="H2028" s="16" t="str">
        <f>IF(ISBLANK(PARTIDAS!$G2028),PARTIDAS!$F2028,CONCATENATE(PARTIDAS!$F2028," (",PARTIDAS!$G2028,")"))</f>
        <v>Guayacol, eugenol e isoeugenol; sulfoguayacolato de potasio</v>
      </c>
      <c r="I2028" s="16" t="s">
        <v>9427</v>
      </c>
    </row>
    <row r="2029" spans="1:9" x14ac:dyDescent="0.25">
      <c r="A2029" s="16" t="s">
        <v>3011</v>
      </c>
      <c r="B2029" s="16" t="str">
        <f>TEXT(PARTIDA[[#This Row],[PARTIDA]],"0000000000")</f>
        <v>2909509000</v>
      </c>
      <c r="C2029" s="16" t="s">
        <v>815</v>
      </c>
      <c r="D2029" s="16" t="s">
        <v>835</v>
      </c>
      <c r="E2029" s="16" t="s">
        <v>9465</v>
      </c>
      <c r="F2029" s="27" t="s">
        <v>11007</v>
      </c>
      <c r="G2029" s="27"/>
      <c r="H2029" s="16" t="str">
        <f>IF(ISBLANK(PARTIDAS!$G2029),PARTIDAS!$F2029,CONCATENATE(PARTIDAS!$F2029," (",PARTIDAS!$G2029,")"))</f>
        <v>Éteres-fenoles, éteres-alcoholes-fenoles, y sus derivados… (los demás)</v>
      </c>
      <c r="I2029" s="16" t="s">
        <v>9427</v>
      </c>
    </row>
    <row r="2030" spans="1:9" x14ac:dyDescent="0.25">
      <c r="A2030" s="16" t="s">
        <v>3012</v>
      </c>
      <c r="B2030" s="16" t="str">
        <f>TEXT(PARTIDA[[#This Row],[PARTIDA]],"0000000000")</f>
        <v>2909601000</v>
      </c>
      <c r="C2030" s="16" t="s">
        <v>815</v>
      </c>
      <c r="D2030" s="16" t="s">
        <v>835</v>
      </c>
      <c r="E2030" s="16" t="s">
        <v>9465</v>
      </c>
      <c r="F2030" s="27" t="s">
        <v>11008</v>
      </c>
      <c r="G2030" s="27"/>
      <c r="H2030" s="16" t="str">
        <f>IF(ISBLANK(PARTIDAS!$G2030),PARTIDAS!$F2030,CONCATENATE(PARTIDAS!$F2030," (",PARTIDAS!$G2030,")"))</f>
        <v>Peróxido de metiletilcetona</v>
      </c>
      <c r="I2030" s="16" t="s">
        <v>9427</v>
      </c>
    </row>
    <row r="2031" spans="1:9" x14ac:dyDescent="0.25">
      <c r="A2031" s="16" t="s">
        <v>3013</v>
      </c>
      <c r="B2031" s="16" t="str">
        <f>TEXT(PARTIDA[[#This Row],[PARTIDA]],"0000000000")</f>
        <v>2909609000</v>
      </c>
      <c r="C2031" s="16" t="s">
        <v>815</v>
      </c>
      <c r="D2031" s="16" t="s">
        <v>835</v>
      </c>
      <c r="E2031" s="16" t="s">
        <v>9465</v>
      </c>
      <c r="F2031" s="27" t="s">
        <v>11009</v>
      </c>
      <c r="G2031" s="27"/>
      <c r="H2031" s="16" t="str">
        <f>IF(ISBLANK(PARTIDAS!$G2031),PARTIDAS!$F2031,CONCATENATE(PARTIDAS!$F2031," (",PARTIDAS!$G2031,")"))</f>
        <v>Peróxidos de alcoholes, peróxidos de éteres, peróxidos de acetales y… (los demás)</v>
      </c>
      <c r="I2031" s="16" t="s">
        <v>9427</v>
      </c>
    </row>
    <row r="2032" spans="1:9" x14ac:dyDescent="0.25">
      <c r="A2032" s="16" t="s">
        <v>3014</v>
      </c>
      <c r="B2032" s="16" t="str">
        <f>TEXT(PARTIDA[[#This Row],[PARTIDA]],"0000000000")</f>
        <v>2910100000</v>
      </c>
      <c r="C2032" s="16" t="s">
        <v>815</v>
      </c>
      <c r="D2032" s="16" t="s">
        <v>835</v>
      </c>
      <c r="E2032" s="16" t="s">
        <v>9465</v>
      </c>
      <c r="F2032" s="27" t="s">
        <v>11010</v>
      </c>
      <c r="G2032" s="27"/>
      <c r="H2032" s="16" t="str">
        <f>IF(ISBLANK(PARTIDAS!$G2032),PARTIDAS!$F2032,CONCATENATE(PARTIDAS!$F2032," (",PARTIDAS!$G2032,")"))</f>
        <v>Oxirano (óxido de etileno)</v>
      </c>
      <c r="I2032" s="16" t="s">
        <v>9427</v>
      </c>
    </row>
    <row r="2033" spans="1:9" x14ac:dyDescent="0.25">
      <c r="A2033" s="16" t="s">
        <v>3015</v>
      </c>
      <c r="B2033" s="16" t="str">
        <f>TEXT(PARTIDA[[#This Row],[PARTIDA]],"0000000000")</f>
        <v>2910200000</v>
      </c>
      <c r="C2033" s="16" t="s">
        <v>815</v>
      </c>
      <c r="D2033" s="16" t="s">
        <v>835</v>
      </c>
      <c r="E2033" s="16" t="s">
        <v>9465</v>
      </c>
      <c r="F2033" s="27" t="s">
        <v>11011</v>
      </c>
      <c r="G2033" s="27"/>
      <c r="H2033" s="16" t="str">
        <f>IF(ISBLANK(PARTIDAS!$G2033),PARTIDAS!$F2033,CONCATENATE(PARTIDAS!$F2033," (",PARTIDAS!$G2033,")"))</f>
        <v>Metiloxirano (óxido de propileno)</v>
      </c>
      <c r="I2033" s="16" t="s">
        <v>9427</v>
      </c>
    </row>
    <row r="2034" spans="1:9" x14ac:dyDescent="0.25">
      <c r="A2034" s="16" t="s">
        <v>3016</v>
      </c>
      <c r="B2034" s="16" t="str">
        <f>TEXT(PARTIDA[[#This Row],[PARTIDA]],"0000000000")</f>
        <v>2910300000</v>
      </c>
      <c r="C2034" s="16" t="s">
        <v>815</v>
      </c>
      <c r="D2034" s="16" t="s">
        <v>835</v>
      </c>
      <c r="E2034" s="16" t="s">
        <v>9465</v>
      </c>
      <c r="F2034" s="27" t="s">
        <v>11012</v>
      </c>
      <c r="G2034" s="27"/>
      <c r="H2034" s="16" t="str">
        <f>IF(ISBLANK(PARTIDAS!$G2034),PARTIDAS!$F2034,CONCATENATE(PARTIDAS!$F2034," (",PARTIDAS!$G2034,")"))</f>
        <v>Epóxidos, epoxialcoholes, epoxifenoles y epoxiéteres, con tres átomos…, 1-Cloro-2,3-epoxipropano (epiclorhidrina)</v>
      </c>
      <c r="I2034" s="16" t="s">
        <v>9427</v>
      </c>
    </row>
    <row r="2035" spans="1:9" x14ac:dyDescent="0.25">
      <c r="A2035" s="16" t="s">
        <v>3017</v>
      </c>
      <c r="B2035" s="16" t="str">
        <f>TEXT(PARTIDA[[#This Row],[PARTIDA]],"0000000000")</f>
        <v>2910400000</v>
      </c>
      <c r="C2035" s="16" t="s">
        <v>815</v>
      </c>
      <c r="D2035" s="16" t="s">
        <v>835</v>
      </c>
      <c r="E2035" s="16" t="s">
        <v>9465</v>
      </c>
      <c r="F2035" s="27" t="s">
        <v>11013</v>
      </c>
      <c r="G2035" s="27"/>
      <c r="H2035" s="16" t="str">
        <f>IF(ISBLANK(PARTIDAS!$G2035),PARTIDAS!$F2035,CONCATENATE(PARTIDAS!$F2035," (",PARTIDAS!$G2035,")"))</f>
        <v>Dieldrina (ISO, DCI)</v>
      </c>
      <c r="I2035" s="16" t="s">
        <v>9427</v>
      </c>
    </row>
    <row r="2036" spans="1:9" x14ac:dyDescent="0.25">
      <c r="A2036" s="16" t="s">
        <v>3018</v>
      </c>
      <c r="B2036" s="16" t="str">
        <f>TEXT(PARTIDA[[#This Row],[PARTIDA]],"0000000000")</f>
        <v>2910500000</v>
      </c>
      <c r="C2036" s="16" t="s">
        <v>815</v>
      </c>
      <c r="D2036" s="16" t="s">
        <v>835</v>
      </c>
      <c r="E2036" s="16" t="s">
        <v>9465</v>
      </c>
      <c r="F2036" s="27" t="s">
        <v>11014</v>
      </c>
      <c r="G2036" s="27"/>
      <c r="H2036" s="16" t="str">
        <f>IF(ISBLANK(PARTIDAS!$G2036),PARTIDAS!$F2036,CONCATENATE(PARTIDAS!$F2036," (",PARTIDAS!$G2036,")"))</f>
        <v>Endrina (ISO)</v>
      </c>
      <c r="I2036" s="16" t="s">
        <v>9427</v>
      </c>
    </row>
    <row r="2037" spans="1:9" x14ac:dyDescent="0.25">
      <c r="A2037" s="16" t="s">
        <v>3019</v>
      </c>
      <c r="B2037" s="16" t="str">
        <f>TEXT(PARTIDA[[#This Row],[PARTIDA]],"0000000000")</f>
        <v>2910900000</v>
      </c>
      <c r="C2037" s="16" t="s">
        <v>815</v>
      </c>
      <c r="D2037" s="16" t="s">
        <v>835</v>
      </c>
      <c r="E2037" s="16" t="s">
        <v>9465</v>
      </c>
      <c r="F2037" s="27" t="s">
        <v>11015</v>
      </c>
      <c r="G2037" s="27"/>
      <c r="H2037" s="16" t="str">
        <f>IF(ISBLANK(PARTIDAS!$G2037),PARTIDAS!$F2037,CONCATENATE(PARTIDAS!$F2037," (",PARTIDAS!$G2037,")"))</f>
        <v>Epóxidos, epoxialcoholes, epoxifenoles y epoxiéteres, con tres átomos… (los demás)</v>
      </c>
      <c r="I2037" s="16" t="s">
        <v>9427</v>
      </c>
    </row>
    <row r="2038" spans="1:9" x14ac:dyDescent="0.25">
      <c r="A2038" s="16" t="s">
        <v>3020</v>
      </c>
      <c r="B2038" s="16" t="str">
        <f>TEXT(PARTIDA[[#This Row],[PARTIDA]],"0000000000")</f>
        <v>2911000000</v>
      </c>
      <c r="C2038" s="16" t="s">
        <v>815</v>
      </c>
      <c r="D2038" s="16" t="s">
        <v>835</v>
      </c>
      <c r="E2038" s="16" t="s">
        <v>9465</v>
      </c>
      <c r="F2038" s="27" t="s">
        <v>3021</v>
      </c>
      <c r="G2038" s="27"/>
      <c r="H2038" s="16" t="str">
        <f>IF(ISBLANK(PARTIDAS!$G2038),PARTIDAS!$F2038,CONCATENATE(PARTIDAS!$F2038," (",PARTIDAS!$G2038,")"))</f>
        <v>Acetales y semiacetales, incluso con otras
funciones oxigenadas, y sus derivados
halogenados, sulfonados, nitrados o nitrosados.</v>
      </c>
      <c r="I2038" s="16" t="s">
        <v>9427</v>
      </c>
    </row>
    <row r="2039" spans="1:9" x14ac:dyDescent="0.25">
      <c r="A2039" s="16" t="s">
        <v>3022</v>
      </c>
      <c r="B2039" s="16" t="str">
        <f>TEXT(PARTIDA[[#This Row],[PARTIDA]],"0000000000")</f>
        <v>2912110000</v>
      </c>
      <c r="C2039" s="16" t="s">
        <v>815</v>
      </c>
      <c r="D2039" s="16" t="s">
        <v>835</v>
      </c>
      <c r="E2039" s="16" t="s">
        <v>9465</v>
      </c>
      <c r="F2039" s="27" t="s">
        <v>11016</v>
      </c>
      <c r="G2039" s="27"/>
      <c r="H2039" s="16" t="str">
        <f>IF(ISBLANK(PARTIDAS!$G2039),PARTIDAS!$F2039,CONCATENATE(PARTIDAS!$F2039," (",PARTIDAS!$G2039,")"))</f>
        <v>Metanal (formaldehído)</v>
      </c>
      <c r="I2039" s="16" t="s">
        <v>9427</v>
      </c>
    </row>
    <row r="2040" spans="1:9" x14ac:dyDescent="0.25">
      <c r="A2040" s="16" t="s">
        <v>3023</v>
      </c>
      <c r="B2040" s="16" t="str">
        <f>TEXT(PARTIDA[[#This Row],[PARTIDA]],"0000000000")</f>
        <v>2912120000</v>
      </c>
      <c r="C2040" s="16" t="s">
        <v>815</v>
      </c>
      <c r="D2040" s="16" t="s">
        <v>835</v>
      </c>
      <c r="E2040" s="16" t="s">
        <v>9465</v>
      </c>
      <c r="F2040" s="27" t="s">
        <v>11017</v>
      </c>
      <c r="G2040" s="27"/>
      <c r="H2040" s="16" t="str">
        <f>IF(ISBLANK(PARTIDAS!$G2040),PARTIDAS!$F2040,CONCATENATE(PARTIDAS!$F2040," (",PARTIDAS!$G2040,")"))</f>
        <v>Etanal (acetaldehído)</v>
      </c>
      <c r="I2040" s="16" t="s">
        <v>9427</v>
      </c>
    </row>
    <row r="2041" spans="1:9" x14ac:dyDescent="0.25">
      <c r="A2041" s="16" t="s">
        <v>3024</v>
      </c>
      <c r="B2041" s="16" t="str">
        <f>TEXT(PARTIDA[[#This Row],[PARTIDA]],"0000000000")</f>
        <v>2912192000</v>
      </c>
      <c r="C2041" s="16" t="s">
        <v>815</v>
      </c>
      <c r="D2041" s="16" t="s">
        <v>835</v>
      </c>
      <c r="E2041" s="16" t="s">
        <v>9465</v>
      </c>
      <c r="F2041" s="27" t="s">
        <v>11018</v>
      </c>
      <c r="G2041" s="27"/>
      <c r="H2041" s="16" t="str">
        <f>IF(ISBLANK(PARTIDAS!$G2041),PARTIDAS!$F2041,CONCATENATE(PARTIDAS!$F2041," (",PARTIDAS!$G2041,")"))</f>
        <v>Citral y citronelal</v>
      </c>
      <c r="I2041" s="16" t="s">
        <v>9427</v>
      </c>
    </row>
    <row r="2042" spans="1:9" x14ac:dyDescent="0.25">
      <c r="A2042" s="16" t="s">
        <v>3025</v>
      </c>
      <c r="B2042" s="16" t="str">
        <f>TEXT(PARTIDA[[#This Row],[PARTIDA]],"0000000000")</f>
        <v>2912193000</v>
      </c>
      <c r="C2042" s="16" t="s">
        <v>815</v>
      </c>
      <c r="D2042" s="16" t="s">
        <v>835</v>
      </c>
      <c r="E2042" s="16" t="s">
        <v>9465</v>
      </c>
      <c r="F2042" s="27" t="s">
        <v>11019</v>
      </c>
      <c r="G2042" s="27"/>
      <c r="H2042" s="16" t="str">
        <f>IF(ISBLANK(PARTIDAS!$G2042),PARTIDAS!$F2042,CONCATENATE(PARTIDAS!$F2042," (",PARTIDAS!$G2042,")"))</f>
        <v>Aldehídos acíclicos sin otras funciones oxigenadas, glutaraldehído</v>
      </c>
      <c r="I2042" s="16" t="s">
        <v>9427</v>
      </c>
    </row>
    <row r="2043" spans="1:9" x14ac:dyDescent="0.25">
      <c r="A2043" s="16" t="s">
        <v>3026</v>
      </c>
      <c r="B2043" s="16" t="str">
        <f>TEXT(PARTIDA[[#This Row],[PARTIDA]],"0000000000")</f>
        <v>2912199000</v>
      </c>
      <c r="C2043" s="16" t="s">
        <v>815</v>
      </c>
      <c r="D2043" s="16" t="s">
        <v>835</v>
      </c>
      <c r="E2043" s="16" t="s">
        <v>9465</v>
      </c>
      <c r="F2043" s="27" t="s">
        <v>11020</v>
      </c>
      <c r="G2043" s="27"/>
      <c r="H2043" s="16" t="str">
        <f>IF(ISBLANK(PARTIDAS!$G2043),PARTIDAS!$F2043,CONCATENATE(PARTIDAS!$F2043," (",PARTIDAS!$G2043,")"))</f>
        <v>Aldehídos acíclicos sin otras funciones oxigenadas (los demás)</v>
      </c>
      <c r="I2043" s="16" t="s">
        <v>9427</v>
      </c>
    </row>
    <row r="2044" spans="1:9" x14ac:dyDescent="0.25">
      <c r="A2044" s="16" t="s">
        <v>3027</v>
      </c>
      <c r="B2044" s="16" t="str">
        <f>TEXT(PARTIDA[[#This Row],[PARTIDA]],"0000000000")</f>
        <v>2912210000</v>
      </c>
      <c r="C2044" s="16" t="s">
        <v>815</v>
      </c>
      <c r="D2044" s="16" t="s">
        <v>835</v>
      </c>
      <c r="E2044" s="16" t="s">
        <v>9465</v>
      </c>
      <c r="F2044" s="27" t="s">
        <v>11021</v>
      </c>
      <c r="G2044" s="27"/>
      <c r="H2044" s="16" t="str">
        <f>IF(ISBLANK(PARTIDAS!$G2044),PARTIDAS!$F2044,CONCATENATE(PARTIDAS!$F2044," (",PARTIDAS!$G2044,")"))</f>
        <v>Benzaldehído (aldehído benzoico)</v>
      </c>
      <c r="I2044" s="16" t="s">
        <v>9427</v>
      </c>
    </row>
    <row r="2045" spans="1:9" x14ac:dyDescent="0.25">
      <c r="A2045" s="16" t="s">
        <v>3028</v>
      </c>
      <c r="B2045" s="16" t="str">
        <f>TEXT(PARTIDA[[#This Row],[PARTIDA]],"0000000000")</f>
        <v>2912291000</v>
      </c>
      <c r="C2045" s="16" t="s">
        <v>815</v>
      </c>
      <c r="D2045" s="16" t="s">
        <v>835</v>
      </c>
      <c r="E2045" s="16" t="s">
        <v>9465</v>
      </c>
      <c r="F2045" s="27" t="s">
        <v>11022</v>
      </c>
      <c r="G2045" s="27"/>
      <c r="H2045" s="16" t="str">
        <f>IF(ISBLANK(PARTIDAS!$G2045),PARTIDAS!$F2045,CONCATENATE(PARTIDAS!$F2045," (",PARTIDAS!$G2045,")"))</f>
        <v>Aldehídos cinámico y fenilacético</v>
      </c>
      <c r="I2045" s="16" t="s">
        <v>9427</v>
      </c>
    </row>
    <row r="2046" spans="1:9" x14ac:dyDescent="0.25">
      <c r="A2046" s="16" t="s">
        <v>3029</v>
      </c>
      <c r="B2046" s="16" t="str">
        <f>TEXT(PARTIDA[[#This Row],[PARTIDA]],"0000000000")</f>
        <v>2912299000</v>
      </c>
      <c r="C2046" s="16" t="s">
        <v>815</v>
      </c>
      <c r="D2046" s="16" t="s">
        <v>835</v>
      </c>
      <c r="E2046" s="16" t="s">
        <v>9465</v>
      </c>
      <c r="F2046" s="27" t="s">
        <v>11023</v>
      </c>
      <c r="G2046" s="27"/>
      <c r="H2046" s="16" t="str">
        <f>IF(ISBLANK(PARTIDAS!$G2046),PARTIDAS!$F2046,CONCATENATE(PARTIDAS!$F2046," (",PARTIDAS!$G2046,")"))</f>
        <v>Aldehídos cíclicos sin otras funciones oxigenadas (los demás)</v>
      </c>
      <c r="I2046" s="16" t="s">
        <v>9427</v>
      </c>
    </row>
    <row r="2047" spans="1:9" x14ac:dyDescent="0.25">
      <c r="A2047" s="16" t="s">
        <v>3030</v>
      </c>
      <c r="B2047" s="16" t="str">
        <f>TEXT(PARTIDA[[#This Row],[PARTIDA]],"0000000000")</f>
        <v>2912410000</v>
      </c>
      <c r="C2047" s="16" t="s">
        <v>815</v>
      </c>
      <c r="D2047" s="16" t="s">
        <v>835</v>
      </c>
      <c r="E2047" s="16" t="s">
        <v>9465</v>
      </c>
      <c r="F2047" s="27" t="s">
        <v>11024</v>
      </c>
      <c r="G2047" s="27"/>
      <c r="H2047" s="16" t="str">
        <f>IF(ISBLANK(PARTIDAS!$G2047),PARTIDAS!$F2047,CONCATENATE(PARTIDAS!$F2047," (",PARTIDAS!$G2047,")"))</f>
        <v>Vainillina (aldehído metilprotocatéquico)</v>
      </c>
      <c r="I2047" s="16" t="s">
        <v>9427</v>
      </c>
    </row>
    <row r="2048" spans="1:9" x14ac:dyDescent="0.25">
      <c r="A2048" s="16" t="s">
        <v>3031</v>
      </c>
      <c r="B2048" s="16" t="str">
        <f>TEXT(PARTIDA[[#This Row],[PARTIDA]],"0000000000")</f>
        <v>2912420000</v>
      </c>
      <c r="C2048" s="16" t="s">
        <v>815</v>
      </c>
      <c r="D2048" s="16" t="s">
        <v>835</v>
      </c>
      <c r="E2048" s="16" t="s">
        <v>9465</v>
      </c>
      <c r="F2048" s="27" t="s">
        <v>11025</v>
      </c>
      <c r="G2048" s="27"/>
      <c r="H2048" s="16" t="str">
        <f>IF(ISBLANK(PARTIDAS!$G2048),PARTIDAS!$F2048,CONCATENATE(PARTIDAS!$F2048," (",PARTIDAS!$G2048,")"))</f>
        <v>Etilvainillina (aldehído etilprotocatéquico)</v>
      </c>
      <c r="I2048" s="16" t="s">
        <v>9427</v>
      </c>
    </row>
    <row r="2049" spans="1:9" x14ac:dyDescent="0.25">
      <c r="A2049" s="16" t="s">
        <v>3032</v>
      </c>
      <c r="B2049" s="16" t="str">
        <f>TEXT(PARTIDA[[#This Row],[PARTIDA]],"0000000000")</f>
        <v>2912491000</v>
      </c>
      <c r="C2049" s="16" t="s">
        <v>815</v>
      </c>
      <c r="D2049" s="16" t="s">
        <v>835</v>
      </c>
      <c r="E2049" s="16" t="s">
        <v>9465</v>
      </c>
      <c r="F2049" s="27" t="s">
        <v>11026</v>
      </c>
      <c r="G2049" s="27"/>
      <c r="H2049" s="16" t="str">
        <f>IF(ISBLANK(PARTIDAS!$G2049),PARTIDAS!$F2049,CONCATENATE(PARTIDAS!$F2049," (",PARTIDAS!$G2049,")"))</f>
        <v>Aldehídos-alcoholes, aldehídos-éteres, aldehídos-fenoles y aldehídos…, aldehídos-alcoholes</v>
      </c>
      <c r="I2049" s="16" t="s">
        <v>9427</v>
      </c>
    </row>
    <row r="2050" spans="1:9" x14ac:dyDescent="0.25">
      <c r="A2050" s="16" t="s">
        <v>3033</v>
      </c>
      <c r="B2050" s="16" t="str">
        <f>TEXT(PARTIDA[[#This Row],[PARTIDA]],"0000000000")</f>
        <v>2912499000</v>
      </c>
      <c r="C2050" s="16" t="s">
        <v>815</v>
      </c>
      <c r="D2050" s="16" t="s">
        <v>835</v>
      </c>
      <c r="E2050" s="16" t="s">
        <v>9465</v>
      </c>
      <c r="F2050" s="27" t="s">
        <v>11027</v>
      </c>
      <c r="G2050" s="27"/>
      <c r="H2050" s="16" t="str">
        <f>IF(ISBLANK(PARTIDAS!$G2050),PARTIDAS!$F2050,CONCATENATE(PARTIDAS!$F2050," (",PARTIDAS!$G2050,")"))</f>
        <v>Aldehídos-alcoholes, aldehídos-éteres, aldehídos-fenoles y aldehídos… (los demás)</v>
      </c>
      <c r="I2050" s="16" t="s">
        <v>9427</v>
      </c>
    </row>
    <row r="2051" spans="1:9" x14ac:dyDescent="0.25">
      <c r="A2051" s="16" t="s">
        <v>3034</v>
      </c>
      <c r="B2051" s="16" t="str">
        <f>TEXT(PARTIDA[[#This Row],[PARTIDA]],"0000000000")</f>
        <v>2912500000</v>
      </c>
      <c r="C2051" s="16" t="s">
        <v>815</v>
      </c>
      <c r="D2051" s="16" t="s">
        <v>835</v>
      </c>
      <c r="E2051" s="16" t="s">
        <v>9465</v>
      </c>
      <c r="F2051" s="27" t="s">
        <v>11028</v>
      </c>
      <c r="G2051" s="27"/>
      <c r="H2051" s="16" t="str">
        <f>IF(ISBLANK(PARTIDAS!$G2051),PARTIDAS!$F2051,CONCATENATE(PARTIDAS!$F2051," (",PARTIDAS!$G2051,")"))</f>
        <v>Polímeros cíclicos de los aldehídos</v>
      </c>
      <c r="I2051" s="16" t="s">
        <v>9427</v>
      </c>
    </row>
    <row r="2052" spans="1:9" x14ac:dyDescent="0.25">
      <c r="A2052" s="16" t="s">
        <v>3035</v>
      </c>
      <c r="B2052" s="16" t="str">
        <f>TEXT(PARTIDA[[#This Row],[PARTIDA]],"0000000000")</f>
        <v>2912600000</v>
      </c>
      <c r="C2052" s="16" t="s">
        <v>815</v>
      </c>
      <c r="D2052" s="16" t="s">
        <v>835</v>
      </c>
      <c r="E2052" s="16" t="s">
        <v>9465</v>
      </c>
      <c r="F2052" s="27" t="s">
        <v>11029</v>
      </c>
      <c r="G2052" s="27"/>
      <c r="H2052" s="16" t="str">
        <f>IF(ISBLANK(PARTIDAS!$G2052),PARTIDAS!$F2052,CONCATENATE(PARTIDAS!$F2052," (",PARTIDAS!$G2052,")"))</f>
        <v>Paraformaldehído</v>
      </c>
      <c r="I2052" s="16" t="s">
        <v>9427</v>
      </c>
    </row>
    <row r="2053" spans="1:9" x14ac:dyDescent="0.25">
      <c r="A2053" s="16" t="s">
        <v>3036</v>
      </c>
      <c r="B2053" s="16" t="str">
        <f>TEXT(PARTIDA[[#This Row],[PARTIDA]],"0000000000")</f>
        <v>2913000000</v>
      </c>
      <c r="C2053" s="16" t="s">
        <v>815</v>
      </c>
      <c r="D2053" s="16" t="s">
        <v>835</v>
      </c>
      <c r="E2053" s="16" t="s">
        <v>9465</v>
      </c>
      <c r="F2053" s="27" t="s">
        <v>3037</v>
      </c>
      <c r="G2053" s="27"/>
      <c r="H2053" s="16" t="str">
        <f>IF(ISBLANK(PARTIDAS!$G2053),PARTIDAS!$F2053,CONCATENATE(PARTIDAS!$F2053," (",PARTIDAS!$G2053,")"))</f>
        <v>Derivados halogenados, sulfonados, nitrados o
nitrosados de los productos de la partida 29.12.</v>
      </c>
      <c r="I2053" s="16" t="s">
        <v>9427</v>
      </c>
    </row>
    <row r="2054" spans="1:9" x14ac:dyDescent="0.25">
      <c r="A2054" s="16" t="s">
        <v>3038</v>
      </c>
      <c r="B2054" s="16" t="str">
        <f>TEXT(PARTIDA[[#This Row],[PARTIDA]],"0000000000")</f>
        <v>2914110000</v>
      </c>
      <c r="C2054" s="16" t="s">
        <v>815</v>
      </c>
      <c r="D2054" s="16" t="s">
        <v>835</v>
      </c>
      <c r="E2054" s="16" t="s">
        <v>9465</v>
      </c>
      <c r="F2054" s="27" t="s">
        <v>11030</v>
      </c>
      <c r="G2054" s="27"/>
      <c r="H2054" s="16" t="str">
        <f>IF(ISBLANK(PARTIDAS!$G2054),PARTIDAS!$F2054,CONCATENATE(PARTIDAS!$F2054," (",PARTIDAS!$G2054,")"))</f>
        <v>Cetonas acíclicas sin otras funciones oxigenadas, acetona</v>
      </c>
      <c r="I2054" s="16" t="s">
        <v>9427</v>
      </c>
    </row>
    <row r="2055" spans="1:9" x14ac:dyDescent="0.25">
      <c r="A2055" s="16" t="s">
        <v>3039</v>
      </c>
      <c r="B2055" s="16" t="str">
        <f>TEXT(PARTIDA[[#This Row],[PARTIDA]],"0000000000")</f>
        <v>2914120000</v>
      </c>
      <c r="C2055" s="16" t="s">
        <v>815</v>
      </c>
      <c r="D2055" s="16" t="s">
        <v>835</v>
      </c>
      <c r="E2055" s="16" t="s">
        <v>9465</v>
      </c>
      <c r="F2055" s="27" t="s">
        <v>11031</v>
      </c>
      <c r="G2055" s="27"/>
      <c r="H2055" s="16" t="str">
        <f>IF(ISBLANK(PARTIDAS!$G2055),PARTIDAS!$F2055,CONCATENATE(PARTIDAS!$F2055," (",PARTIDAS!$G2055,")"))</f>
        <v>Butanona (metiletilcetona)</v>
      </c>
      <c r="I2055" s="16" t="s">
        <v>9427</v>
      </c>
    </row>
    <row r="2056" spans="1:9" x14ac:dyDescent="0.25">
      <c r="A2056" s="16" t="s">
        <v>3040</v>
      </c>
      <c r="B2056" s="16" t="str">
        <f>TEXT(PARTIDA[[#This Row],[PARTIDA]],"0000000000")</f>
        <v>2914130000</v>
      </c>
      <c r="C2056" s="16" t="s">
        <v>815</v>
      </c>
      <c r="D2056" s="16" t="s">
        <v>835</v>
      </c>
      <c r="E2056" s="16" t="s">
        <v>9465</v>
      </c>
      <c r="F2056" s="27" t="s">
        <v>11032</v>
      </c>
      <c r="G2056" s="27"/>
      <c r="H2056" s="16" t="str">
        <f>IF(ISBLANK(PARTIDAS!$G2056),PARTIDAS!$F2056,CONCATENATE(PARTIDAS!$F2056," (",PARTIDAS!$G2056,")"))</f>
        <v>Cetonas acíclicas sin otras funciones oxigenadas, 4-Metilpentan-2-ona (metilisobutilcetona)</v>
      </c>
      <c r="I2056" s="16" t="s">
        <v>9427</v>
      </c>
    </row>
    <row r="2057" spans="1:9" x14ac:dyDescent="0.25">
      <c r="A2057" s="16" t="s">
        <v>3041</v>
      </c>
      <c r="B2057" s="16" t="str">
        <f>TEXT(PARTIDA[[#This Row],[PARTIDA]],"0000000000")</f>
        <v>2914190000</v>
      </c>
      <c r="C2057" s="16" t="s">
        <v>815</v>
      </c>
      <c r="D2057" s="16" t="s">
        <v>835</v>
      </c>
      <c r="E2057" s="16" t="s">
        <v>9465</v>
      </c>
      <c r="F2057" s="27" t="s">
        <v>11033</v>
      </c>
      <c r="G2057" s="27"/>
      <c r="H2057" s="16" t="str">
        <f>IF(ISBLANK(PARTIDAS!$G2057),PARTIDAS!$F2057,CONCATENATE(PARTIDAS!$F2057," (",PARTIDAS!$G2057,")"))</f>
        <v>Cetonas acíclicas sin otras funciones oxigenadas (los demás)</v>
      </c>
      <c r="I2057" s="16" t="s">
        <v>9427</v>
      </c>
    </row>
    <row r="2058" spans="1:9" x14ac:dyDescent="0.25">
      <c r="A2058" s="16" t="s">
        <v>3042</v>
      </c>
      <c r="B2058" s="16" t="str">
        <f>TEXT(PARTIDA[[#This Row],[PARTIDA]],"0000000000")</f>
        <v>2914221000</v>
      </c>
      <c r="C2058" s="16" t="s">
        <v>815</v>
      </c>
      <c r="D2058" s="16" t="s">
        <v>835</v>
      </c>
      <c r="E2058" s="16" t="s">
        <v>9465</v>
      </c>
      <c r="F2058" s="27" t="s">
        <v>11034</v>
      </c>
      <c r="G2058" s="27"/>
      <c r="H2058" s="16" t="str">
        <f>IF(ISBLANK(PARTIDAS!$G2058),PARTIDAS!$F2058,CONCATENATE(PARTIDAS!$F2058," (",PARTIDAS!$G2058,")"))</f>
        <v>Ciclohexanona y metilciclohexanonas, ciclohexanona</v>
      </c>
      <c r="I2058" s="16" t="s">
        <v>9427</v>
      </c>
    </row>
    <row r="2059" spans="1:9" x14ac:dyDescent="0.25">
      <c r="A2059" s="16" t="s">
        <v>3043</v>
      </c>
      <c r="B2059" s="16" t="str">
        <f>TEXT(PARTIDA[[#This Row],[PARTIDA]],"0000000000")</f>
        <v>2914222000</v>
      </c>
      <c r="C2059" s="16" t="s">
        <v>815</v>
      </c>
      <c r="D2059" s="16" t="s">
        <v>835</v>
      </c>
      <c r="E2059" s="16" t="s">
        <v>9465</v>
      </c>
      <c r="F2059" s="27" t="s">
        <v>11035</v>
      </c>
      <c r="G2059" s="27"/>
      <c r="H2059" s="16" t="str">
        <f>IF(ISBLANK(PARTIDAS!$G2059),PARTIDAS!$F2059,CONCATENATE(PARTIDAS!$F2059," (",PARTIDAS!$G2059,")"))</f>
        <v>Ciclohexanona y metilciclohexanonas, metilciclohexanonas</v>
      </c>
      <c r="I2059" s="16" t="s">
        <v>9427</v>
      </c>
    </row>
    <row r="2060" spans="1:9" x14ac:dyDescent="0.25">
      <c r="A2060" s="16" t="s">
        <v>3044</v>
      </c>
      <c r="B2060" s="16" t="str">
        <f>TEXT(PARTIDA[[#This Row],[PARTIDA]],"0000000000")</f>
        <v>2914230000</v>
      </c>
      <c r="C2060" s="16" t="s">
        <v>815</v>
      </c>
      <c r="D2060" s="16" t="s">
        <v>835</v>
      </c>
      <c r="E2060" s="16" t="s">
        <v>9465</v>
      </c>
      <c r="F2060" s="27" t="s">
        <v>11036</v>
      </c>
      <c r="G2060" s="27"/>
      <c r="H2060" s="16" t="str">
        <f>IF(ISBLANK(PARTIDAS!$G2060),PARTIDAS!$F2060,CONCATENATE(PARTIDAS!$F2060," (",PARTIDAS!$G2060,")"))</f>
        <v>Iononas y metiliononas</v>
      </c>
      <c r="I2060" s="16" t="s">
        <v>9427</v>
      </c>
    </row>
    <row r="2061" spans="1:9" x14ac:dyDescent="0.25">
      <c r="A2061" s="16" t="s">
        <v>3045</v>
      </c>
      <c r="B2061" s="16" t="str">
        <f>TEXT(PARTIDA[[#This Row],[PARTIDA]],"0000000000")</f>
        <v>2914292000</v>
      </c>
      <c r="C2061" s="16" t="s">
        <v>815</v>
      </c>
      <c r="D2061" s="16" t="s">
        <v>835</v>
      </c>
      <c r="E2061" s="16" t="s">
        <v>9465</v>
      </c>
      <c r="F2061" s="27" t="s">
        <v>11037</v>
      </c>
      <c r="G2061" s="27"/>
      <c r="H2061" s="16" t="str">
        <f>IF(ISBLANK(PARTIDAS!$G2061),PARTIDAS!$F2061,CONCATENATE(PARTIDAS!$F2061," (",PARTIDAS!$G2061,")"))</f>
        <v>Cetonas ciclánicas, ciclénicas o cicloterpénicas, sin otras funciones…, isoforona</v>
      </c>
      <c r="I2061" s="16" t="s">
        <v>9427</v>
      </c>
    </row>
    <row r="2062" spans="1:9" x14ac:dyDescent="0.25">
      <c r="A2062" s="16" t="s">
        <v>3046</v>
      </c>
      <c r="B2062" s="16" t="str">
        <f>TEXT(PARTIDA[[#This Row],[PARTIDA]],"0000000000")</f>
        <v>2914293000</v>
      </c>
      <c r="C2062" s="16" t="s">
        <v>815</v>
      </c>
      <c r="D2062" s="16" t="s">
        <v>835</v>
      </c>
      <c r="E2062" s="16" t="s">
        <v>9465</v>
      </c>
      <c r="F2062" s="27" t="s">
        <v>11038</v>
      </c>
      <c r="G2062" s="27"/>
      <c r="H2062" s="16" t="str">
        <f>IF(ISBLANK(PARTIDAS!$G2062),PARTIDAS!$F2062,CONCATENATE(PARTIDAS!$F2062," (",PARTIDAS!$G2062,")"))</f>
        <v>Cetonas ciclánicas, ciclénicas o cicloterpénicas, sin otras funciones…, alcanfor</v>
      </c>
      <c r="I2062" s="16" t="s">
        <v>9427</v>
      </c>
    </row>
    <row r="2063" spans="1:9" x14ac:dyDescent="0.25">
      <c r="A2063" s="16" t="s">
        <v>3047</v>
      </c>
      <c r="B2063" s="16" t="str">
        <f>TEXT(PARTIDA[[#This Row],[PARTIDA]],"0000000000")</f>
        <v>2914299000</v>
      </c>
      <c r="C2063" s="16" t="s">
        <v>815</v>
      </c>
      <c r="D2063" s="16" t="s">
        <v>835</v>
      </c>
      <c r="E2063" s="16" t="s">
        <v>9465</v>
      </c>
      <c r="F2063" s="27" t="s">
        <v>11039</v>
      </c>
      <c r="G2063" s="27"/>
      <c r="H2063" s="16" t="str">
        <f>IF(ISBLANK(PARTIDAS!$G2063),PARTIDAS!$F2063,CONCATENATE(PARTIDAS!$F2063," (",PARTIDAS!$G2063,")"))</f>
        <v>Cetonas ciclánicas, ciclénicas o cicloterpénicas, sin otras funciones… (los demás)</v>
      </c>
      <c r="I2063" s="16" t="s">
        <v>9427</v>
      </c>
    </row>
    <row r="2064" spans="1:9" x14ac:dyDescent="0.25">
      <c r="A2064" s="16" t="s">
        <v>3048</v>
      </c>
      <c r="B2064" s="16" t="str">
        <f>TEXT(PARTIDA[[#This Row],[PARTIDA]],"0000000000")</f>
        <v>2914310000</v>
      </c>
      <c r="C2064" s="16" t="s">
        <v>815</v>
      </c>
      <c r="D2064" s="16" t="s">
        <v>835</v>
      </c>
      <c r="E2064" s="16" t="s">
        <v>9465</v>
      </c>
      <c r="F2064" s="27" t="s">
        <v>11040</v>
      </c>
      <c r="G2064" s="27"/>
      <c r="H2064" s="16" t="str">
        <f>IF(ISBLANK(PARTIDAS!$G2064),PARTIDAS!$F2064,CONCATENATE(PARTIDAS!$F2064," (",PARTIDAS!$G2064,")"))</f>
        <v>Fenilacetona (fenilpropan-2-ona)</v>
      </c>
      <c r="I2064" s="16" t="s">
        <v>9427</v>
      </c>
    </row>
    <row r="2065" spans="1:9" x14ac:dyDescent="0.25">
      <c r="A2065" s="16" t="s">
        <v>3049</v>
      </c>
      <c r="B2065" s="16" t="str">
        <f>TEXT(PARTIDA[[#This Row],[PARTIDA]],"0000000000")</f>
        <v>2914390000</v>
      </c>
      <c r="C2065" s="16" t="s">
        <v>815</v>
      </c>
      <c r="D2065" s="16" t="s">
        <v>835</v>
      </c>
      <c r="E2065" s="16" t="s">
        <v>9465</v>
      </c>
      <c r="F2065" s="27" t="s">
        <v>11041</v>
      </c>
      <c r="G2065" s="27"/>
      <c r="H2065" s="16" t="str">
        <f>IF(ISBLANK(PARTIDAS!$G2065),PARTIDAS!$F2065,CONCATENATE(PARTIDAS!$F2065," (",PARTIDAS!$G2065,")"))</f>
        <v>Cetonas aromáticas sin otras funciones oxigenadas (los demás)</v>
      </c>
      <c r="I2065" s="16" t="s">
        <v>9427</v>
      </c>
    </row>
    <row r="2066" spans="1:9" x14ac:dyDescent="0.25">
      <c r="A2066" s="16" t="s">
        <v>3050</v>
      </c>
      <c r="B2066" s="16" t="str">
        <f>TEXT(PARTIDA[[#This Row],[PARTIDA]],"0000000000")</f>
        <v>2914401000</v>
      </c>
      <c r="C2066" s="16" t="s">
        <v>815</v>
      </c>
      <c r="D2066" s="16" t="s">
        <v>835</v>
      </c>
      <c r="E2066" s="16" t="s">
        <v>9465</v>
      </c>
      <c r="F2066" s="27" t="s">
        <v>11042</v>
      </c>
      <c r="G2066" s="27"/>
      <c r="H2066" s="16" t="str">
        <f>IF(ISBLANK(PARTIDAS!$G2066),PARTIDAS!$F2066,CONCATENATE(PARTIDAS!$F2066," (",PARTIDAS!$G2066,")"))</f>
        <v>Cetonas-alcoholes y cetonas-aldehídos, 4-Hidroxi-4-metilpentan-2-ona (diacetona alcohol)</v>
      </c>
      <c r="I2066" s="16" t="s">
        <v>9427</v>
      </c>
    </row>
    <row r="2067" spans="1:9" x14ac:dyDescent="0.25">
      <c r="A2067" s="16" t="s">
        <v>3051</v>
      </c>
      <c r="B2067" s="16" t="str">
        <f>TEXT(PARTIDA[[#This Row],[PARTIDA]],"0000000000")</f>
        <v>2914409000</v>
      </c>
      <c r="C2067" s="16" t="s">
        <v>815</v>
      </c>
      <c r="D2067" s="16" t="s">
        <v>835</v>
      </c>
      <c r="E2067" s="16" t="s">
        <v>9465</v>
      </c>
      <c r="F2067" s="27" t="s">
        <v>11043</v>
      </c>
      <c r="G2067" s="27"/>
      <c r="H2067" s="16" t="str">
        <f>IF(ISBLANK(PARTIDAS!$G2067),PARTIDAS!$F2067,CONCATENATE(PARTIDAS!$F2067," (",PARTIDAS!$G2067,")"))</f>
        <v>Cetonas-alcoholes y cetonas-aldehídos (los demás)</v>
      </c>
      <c r="I2067" s="16" t="s">
        <v>9427</v>
      </c>
    </row>
    <row r="2068" spans="1:9" x14ac:dyDescent="0.25">
      <c r="A2068" s="16" t="s">
        <v>3052</v>
      </c>
      <c r="B2068" s="16" t="str">
        <f>TEXT(PARTIDA[[#This Row],[PARTIDA]],"0000000000")</f>
        <v>2914500000</v>
      </c>
      <c r="C2068" s="16" t="s">
        <v>815</v>
      </c>
      <c r="D2068" s="16" t="s">
        <v>835</v>
      </c>
      <c r="E2068" s="16" t="s">
        <v>9465</v>
      </c>
      <c r="F2068" s="27" t="s">
        <v>11044</v>
      </c>
      <c r="G2068" s="27"/>
      <c r="H2068" s="16" t="str">
        <f>IF(ISBLANK(PARTIDAS!$G2068),PARTIDAS!$F2068,CONCATENATE(PARTIDAS!$F2068," (",PARTIDAS!$G2068,")"))</f>
        <v>Cetonas-fenoles y cetonas con otras funciones oxigenadas</v>
      </c>
      <c r="I2068" s="16" t="s">
        <v>9427</v>
      </c>
    </row>
    <row r="2069" spans="1:9" x14ac:dyDescent="0.25">
      <c r="A2069" s="16" t="s">
        <v>3053</v>
      </c>
      <c r="B2069" s="16" t="str">
        <f>TEXT(PARTIDA[[#This Row],[PARTIDA]],"0000000000")</f>
        <v>2914610000</v>
      </c>
      <c r="C2069" s="16" t="s">
        <v>815</v>
      </c>
      <c r="D2069" s="16" t="s">
        <v>835</v>
      </c>
      <c r="E2069" s="16" t="s">
        <v>9465</v>
      </c>
      <c r="F2069" s="27" t="s">
        <v>11045</v>
      </c>
      <c r="G2069" s="27"/>
      <c r="H2069" s="16" t="str">
        <f>IF(ISBLANK(PARTIDAS!$G2069),PARTIDAS!$F2069,CONCATENATE(PARTIDAS!$F2069," (",PARTIDAS!$G2069,")"))</f>
        <v>Quinonas, antraquinona</v>
      </c>
      <c r="I2069" s="16" t="s">
        <v>9427</v>
      </c>
    </row>
    <row r="2070" spans="1:9" x14ac:dyDescent="0.25">
      <c r="A2070" s="16" t="s">
        <v>3054</v>
      </c>
      <c r="B2070" s="16" t="str">
        <f>TEXT(PARTIDA[[#This Row],[PARTIDA]],"0000000000")</f>
        <v>2914620000</v>
      </c>
      <c r="C2070" s="16" t="s">
        <v>815</v>
      </c>
      <c r="D2070" s="16" t="s">
        <v>835</v>
      </c>
      <c r="E2070" s="16" t="s">
        <v>9465</v>
      </c>
      <c r="F2070" s="27" t="s">
        <v>11046</v>
      </c>
      <c r="G2070" s="27"/>
      <c r="H2070" s="16" t="str">
        <f>IF(ISBLANK(PARTIDAS!$G2070),PARTIDAS!$F2070,CONCATENATE(PARTIDAS!$F2070," (",PARTIDAS!$G2070,")"))</f>
        <v>Coenzima Q10 (ubidecarenona (DCI))</v>
      </c>
      <c r="I2070" s="16" t="s">
        <v>9427</v>
      </c>
    </row>
    <row r="2071" spans="1:9" x14ac:dyDescent="0.25">
      <c r="A2071" s="16" t="s">
        <v>3055</v>
      </c>
      <c r="B2071" s="16" t="str">
        <f>TEXT(PARTIDA[[#This Row],[PARTIDA]],"0000000000")</f>
        <v>2914690000</v>
      </c>
      <c r="C2071" s="16" t="s">
        <v>815</v>
      </c>
      <c r="D2071" s="16" t="s">
        <v>835</v>
      </c>
      <c r="E2071" s="16" t="s">
        <v>9465</v>
      </c>
      <c r="F2071" s="27" t="s">
        <v>11047</v>
      </c>
      <c r="G2071" s="27"/>
      <c r="H2071" s="16" t="str">
        <f>IF(ISBLANK(PARTIDAS!$G2071),PARTIDAS!$F2071,CONCATENATE(PARTIDAS!$F2071," (",PARTIDAS!$G2071,")"))</f>
        <v>Quinonas (los demás)</v>
      </c>
      <c r="I2071" s="16" t="s">
        <v>9427</v>
      </c>
    </row>
    <row r="2072" spans="1:9" x14ac:dyDescent="0.25">
      <c r="A2072" s="16" t="s">
        <v>3056</v>
      </c>
      <c r="B2072" s="16" t="str">
        <f>TEXT(PARTIDA[[#This Row],[PARTIDA]],"0000000000")</f>
        <v>2914710000</v>
      </c>
      <c r="C2072" s="16" t="s">
        <v>815</v>
      </c>
      <c r="D2072" s="16" t="s">
        <v>835</v>
      </c>
      <c r="E2072" s="16" t="s">
        <v>9465</v>
      </c>
      <c r="F2072" s="27" t="s">
        <v>11048</v>
      </c>
      <c r="G2072" s="27"/>
      <c r="H2072" s="16" t="str">
        <f>IF(ISBLANK(PARTIDAS!$G2072),PARTIDAS!$F2072,CONCATENATE(PARTIDAS!$F2072," (",PARTIDAS!$G2072,")"))</f>
        <v>Clordecona (ISO)</v>
      </c>
      <c r="I2072" s="16" t="s">
        <v>9427</v>
      </c>
    </row>
    <row r="2073" spans="1:9" x14ac:dyDescent="0.25">
      <c r="A2073" s="16" t="s">
        <v>3057</v>
      </c>
      <c r="B2073" s="16" t="str">
        <f>TEXT(PARTIDA[[#This Row],[PARTIDA]],"0000000000")</f>
        <v>2914790000</v>
      </c>
      <c r="C2073" s="16" t="s">
        <v>815</v>
      </c>
      <c r="D2073" s="16" t="s">
        <v>835</v>
      </c>
      <c r="E2073" s="16" t="s">
        <v>9465</v>
      </c>
      <c r="F2073" s="27" t="s">
        <v>11049</v>
      </c>
      <c r="G2073" s="27"/>
      <c r="H2073" s="16" t="str">
        <f>IF(ISBLANK(PARTIDAS!$G2073),PARTIDAS!$F2073,CONCATENATE(PARTIDAS!$F2073," (",PARTIDAS!$G2073,")"))</f>
        <v>Derivados halogenados, sulfonados, nitrados o nitrosados (los demás)</v>
      </c>
      <c r="I2073" s="16" t="s">
        <v>9427</v>
      </c>
    </row>
    <row r="2074" spans="1:9" x14ac:dyDescent="0.25">
      <c r="A2074" s="16" t="s">
        <v>3058</v>
      </c>
      <c r="B2074" s="16" t="str">
        <f>TEXT(PARTIDA[[#This Row],[PARTIDA]],"0000000000")</f>
        <v>2915110000</v>
      </c>
      <c r="C2074" s="16" t="s">
        <v>815</v>
      </c>
      <c r="D2074" s="16" t="s">
        <v>835</v>
      </c>
      <c r="E2074" s="16" t="s">
        <v>9465</v>
      </c>
      <c r="F2074" s="27" t="s">
        <v>11050</v>
      </c>
      <c r="G2074" s="27"/>
      <c r="H2074" s="16" t="str">
        <f>IF(ISBLANK(PARTIDAS!$G2074),PARTIDAS!$F2074,CONCATENATE(PARTIDAS!$F2074," (",PARTIDAS!$G2074,")"))</f>
        <v>Ácido fórmico</v>
      </c>
      <c r="I2074" s="16" t="s">
        <v>9427</v>
      </c>
    </row>
    <row r="2075" spans="1:9" x14ac:dyDescent="0.25">
      <c r="A2075" s="16" t="s">
        <v>3059</v>
      </c>
      <c r="B2075" s="16" t="str">
        <f>TEXT(PARTIDA[[#This Row],[PARTIDA]],"0000000000")</f>
        <v>2915121000</v>
      </c>
      <c r="C2075" s="16" t="s">
        <v>815</v>
      </c>
      <c r="D2075" s="16" t="s">
        <v>835</v>
      </c>
      <c r="E2075" s="16" t="s">
        <v>9465</v>
      </c>
      <c r="F2075" s="27" t="s">
        <v>11051</v>
      </c>
      <c r="G2075" s="27"/>
      <c r="H2075" s="16" t="str">
        <f>IF(ISBLANK(PARTIDAS!$G2075),PARTIDAS!$F2075,CONCATENATE(PARTIDAS!$F2075," (",PARTIDAS!$G2075,")"))</f>
        <v>Formiato de sodio</v>
      </c>
      <c r="I2075" s="16" t="s">
        <v>9427</v>
      </c>
    </row>
    <row r="2076" spans="1:9" x14ac:dyDescent="0.25">
      <c r="A2076" s="16" t="s">
        <v>3060</v>
      </c>
      <c r="B2076" s="16" t="str">
        <f>TEXT(PARTIDA[[#This Row],[PARTIDA]],"0000000000")</f>
        <v>2915129000</v>
      </c>
      <c r="C2076" s="16" t="s">
        <v>815</v>
      </c>
      <c r="D2076" s="16" t="s">
        <v>835</v>
      </c>
      <c r="E2076" s="16" t="s">
        <v>9465</v>
      </c>
      <c r="F2076" s="27" t="s">
        <v>11052</v>
      </c>
      <c r="G2076" s="27"/>
      <c r="H2076" s="16" t="str">
        <f>IF(ISBLANK(PARTIDAS!$G2076),PARTIDAS!$F2076,CONCATENATE(PARTIDAS!$F2076," (",PARTIDAS!$G2076,")"))</f>
        <v>Sales del ácido fórmico (los demás)</v>
      </c>
      <c r="I2076" s="16" t="s">
        <v>9427</v>
      </c>
    </row>
    <row r="2077" spans="1:9" x14ac:dyDescent="0.25">
      <c r="A2077" s="16" t="s">
        <v>3061</v>
      </c>
      <c r="B2077" s="16" t="str">
        <f>TEXT(PARTIDA[[#This Row],[PARTIDA]],"0000000000")</f>
        <v>2915130000</v>
      </c>
      <c r="C2077" s="16" t="s">
        <v>815</v>
      </c>
      <c r="D2077" s="16" t="s">
        <v>835</v>
      </c>
      <c r="E2077" s="16" t="s">
        <v>9465</v>
      </c>
      <c r="F2077" s="27" t="s">
        <v>11053</v>
      </c>
      <c r="G2077" s="27"/>
      <c r="H2077" s="16" t="str">
        <f>IF(ISBLANK(PARTIDAS!$G2077),PARTIDAS!$F2077,CONCATENATE(PARTIDAS!$F2077," (",PARTIDAS!$G2077,")"))</f>
        <v>Ésteres del ácido fórmico</v>
      </c>
      <c r="I2077" s="16" t="s">
        <v>9427</v>
      </c>
    </row>
    <row r="2078" spans="1:9" x14ac:dyDescent="0.25">
      <c r="A2078" s="16" t="s">
        <v>3062</v>
      </c>
      <c r="B2078" s="16" t="str">
        <f>TEXT(PARTIDA[[#This Row],[PARTIDA]],"0000000000")</f>
        <v>2915210000</v>
      </c>
      <c r="C2078" s="16" t="s">
        <v>815</v>
      </c>
      <c r="D2078" s="16" t="s">
        <v>835</v>
      </c>
      <c r="E2078" s="16" t="s">
        <v>9465</v>
      </c>
      <c r="F2078" s="27" t="s">
        <v>11054</v>
      </c>
      <c r="G2078" s="27"/>
      <c r="H2078" s="16" t="str">
        <f>IF(ISBLANK(PARTIDAS!$G2078),PARTIDAS!$F2078,CONCATENATE(PARTIDAS!$F2078," (",PARTIDAS!$G2078,")"))</f>
        <v>Ácido acético</v>
      </c>
      <c r="I2078" s="16" t="s">
        <v>9427</v>
      </c>
    </row>
    <row r="2079" spans="1:9" x14ac:dyDescent="0.25">
      <c r="A2079" s="16" t="s">
        <v>3063</v>
      </c>
      <c r="B2079" s="16" t="str">
        <f>TEXT(PARTIDA[[#This Row],[PARTIDA]],"0000000000")</f>
        <v>2915240000</v>
      </c>
      <c r="C2079" s="16" t="s">
        <v>815</v>
      </c>
      <c r="D2079" s="16" t="s">
        <v>835</v>
      </c>
      <c r="E2079" s="16" t="s">
        <v>9465</v>
      </c>
      <c r="F2079" s="27" t="s">
        <v>11055</v>
      </c>
      <c r="G2079" s="27"/>
      <c r="H2079" s="16" t="str">
        <f>IF(ISBLANK(PARTIDAS!$G2079),PARTIDAS!$F2079,CONCATENATE(PARTIDAS!$F2079," (",PARTIDAS!$G2079,")"))</f>
        <v>Anhídrido acético</v>
      </c>
      <c r="I2079" s="16" t="s">
        <v>9427</v>
      </c>
    </row>
    <row r="2080" spans="1:9" x14ac:dyDescent="0.25">
      <c r="A2080" s="16" t="s">
        <v>3064</v>
      </c>
      <c r="B2080" s="16" t="str">
        <f>TEXT(PARTIDA[[#This Row],[PARTIDA]],"0000000000")</f>
        <v>2915291000</v>
      </c>
      <c r="C2080" s="16" t="s">
        <v>815</v>
      </c>
      <c r="D2080" s="16" t="s">
        <v>835</v>
      </c>
      <c r="E2080" s="16" t="s">
        <v>9465</v>
      </c>
      <c r="F2080" s="27" t="s">
        <v>11056</v>
      </c>
      <c r="G2080" s="27"/>
      <c r="H2080" s="16" t="str">
        <f>IF(ISBLANK(PARTIDAS!$G2080),PARTIDAS!$F2080,CONCATENATE(PARTIDAS!$F2080," (",PARTIDAS!$G2080,")"))</f>
        <v>Acetatos de calcio, plomo, cobre, cromo, aluminio o hierro</v>
      </c>
      <c r="I2080" s="16" t="s">
        <v>9427</v>
      </c>
    </row>
    <row r="2081" spans="1:9" x14ac:dyDescent="0.25">
      <c r="A2081" s="16" t="s">
        <v>3065</v>
      </c>
      <c r="B2081" s="16" t="str">
        <f>TEXT(PARTIDA[[#This Row],[PARTIDA]],"0000000000")</f>
        <v>2915292000</v>
      </c>
      <c r="C2081" s="16" t="s">
        <v>815</v>
      </c>
      <c r="D2081" s="16" t="s">
        <v>835</v>
      </c>
      <c r="E2081" s="16" t="s">
        <v>9465</v>
      </c>
      <c r="F2081" s="27" t="s">
        <v>11057</v>
      </c>
      <c r="G2081" s="27"/>
      <c r="H2081" s="16" t="str">
        <f>IF(ISBLANK(PARTIDAS!$G2081),PARTIDAS!$F2081,CONCATENATE(PARTIDAS!$F2081," (",PARTIDAS!$G2081,")"))</f>
        <v>Acetato de sodio</v>
      </c>
      <c r="I2081" s="16" t="s">
        <v>9427</v>
      </c>
    </row>
    <row r="2082" spans="1:9" x14ac:dyDescent="0.25">
      <c r="A2082" s="16" t="s">
        <v>3066</v>
      </c>
      <c r="B2082" s="16" t="str">
        <f>TEXT(PARTIDA[[#This Row],[PARTIDA]],"0000000000")</f>
        <v>2915299010</v>
      </c>
      <c r="C2082" s="16" t="s">
        <v>815</v>
      </c>
      <c r="D2082" s="16" t="s">
        <v>835</v>
      </c>
      <c r="E2082" s="16" t="s">
        <v>9465</v>
      </c>
      <c r="F2082" s="27" t="s">
        <v>11058</v>
      </c>
      <c r="G2082" s="27"/>
      <c r="H2082" s="16" t="str">
        <f>IF(ISBLANK(PARTIDAS!$G2082),PARTIDAS!$F2082,CONCATENATE(PARTIDAS!$F2082," (",PARTIDAS!$G2082,")"))</f>
        <v>Acetato de cobalto</v>
      </c>
      <c r="I2082" s="16" t="s">
        <v>9427</v>
      </c>
    </row>
    <row r="2083" spans="1:9" x14ac:dyDescent="0.25">
      <c r="A2083" s="16" t="s">
        <v>3067</v>
      </c>
      <c r="B2083" s="16" t="str">
        <f>TEXT(PARTIDA[[#This Row],[PARTIDA]],"0000000000")</f>
        <v>2915299090</v>
      </c>
      <c r="C2083" s="16" t="s">
        <v>815</v>
      </c>
      <c r="D2083" s="16" t="s">
        <v>835</v>
      </c>
      <c r="E2083" s="16" t="s">
        <v>9465</v>
      </c>
      <c r="F2083" s="27" t="s">
        <v>11059</v>
      </c>
      <c r="G2083" s="27"/>
      <c r="H2083" s="16" t="str">
        <f>IF(ISBLANK(PARTIDAS!$G2083),PARTIDAS!$F2083,CONCATENATE(PARTIDAS!$F2083," (",PARTIDAS!$G2083,")"))</f>
        <v>Ácido acético y sus sales (los demás)</v>
      </c>
      <c r="I2083" s="16" t="s">
        <v>9427</v>
      </c>
    </row>
    <row r="2084" spans="1:9" x14ac:dyDescent="0.25">
      <c r="A2084" s="16" t="s">
        <v>3068</v>
      </c>
      <c r="B2084" s="16" t="str">
        <f>TEXT(PARTIDA[[#This Row],[PARTIDA]],"0000000000")</f>
        <v>2915310000</v>
      </c>
      <c r="C2084" s="16" t="s">
        <v>815</v>
      </c>
      <c r="D2084" s="16" t="s">
        <v>835</v>
      </c>
      <c r="E2084" s="16" t="s">
        <v>9465</v>
      </c>
      <c r="F2084" s="27" t="s">
        <v>11060</v>
      </c>
      <c r="G2084" s="27"/>
      <c r="H2084" s="16" t="str">
        <f>IF(ISBLANK(PARTIDAS!$G2084),PARTIDAS!$F2084,CONCATENATE(PARTIDAS!$F2084," (",PARTIDAS!$G2084,")"))</f>
        <v>Acetato de etilo</v>
      </c>
      <c r="I2084" s="16" t="s">
        <v>9427</v>
      </c>
    </row>
    <row r="2085" spans="1:9" x14ac:dyDescent="0.25">
      <c r="A2085" s="16" t="s">
        <v>3069</v>
      </c>
      <c r="B2085" s="16" t="str">
        <f>TEXT(PARTIDA[[#This Row],[PARTIDA]],"0000000000")</f>
        <v>2915320000</v>
      </c>
      <c r="C2085" s="16" t="s">
        <v>815</v>
      </c>
      <c r="D2085" s="16" t="s">
        <v>835</v>
      </c>
      <c r="E2085" s="16" t="s">
        <v>9465</v>
      </c>
      <c r="F2085" s="27" t="s">
        <v>11061</v>
      </c>
      <c r="G2085" s="27"/>
      <c r="H2085" s="16" t="str">
        <f>IF(ISBLANK(PARTIDAS!$G2085),PARTIDAS!$F2085,CONCATENATE(PARTIDAS!$F2085," (",PARTIDAS!$G2085,")"))</f>
        <v>Acetato de vinilo</v>
      </c>
      <c r="I2085" s="16" t="s">
        <v>9427</v>
      </c>
    </row>
    <row r="2086" spans="1:9" x14ac:dyDescent="0.25">
      <c r="A2086" s="16" t="s">
        <v>3070</v>
      </c>
      <c r="B2086" s="16" t="str">
        <f>TEXT(PARTIDA[[#This Row],[PARTIDA]],"0000000000")</f>
        <v>2915330000</v>
      </c>
      <c r="C2086" s="16" t="s">
        <v>815</v>
      </c>
      <c r="D2086" s="16" t="s">
        <v>835</v>
      </c>
      <c r="E2086" s="16" t="s">
        <v>9465</v>
      </c>
      <c r="F2086" s="27" t="s">
        <v>11062</v>
      </c>
      <c r="G2086" s="27"/>
      <c r="H2086" s="16" t="str">
        <f>IF(ISBLANK(PARTIDAS!$G2086),PARTIDAS!$F2086,CONCATENATE(PARTIDAS!$F2086," (",PARTIDAS!$G2086,")"))</f>
        <v>Acetato de n-butilo</v>
      </c>
      <c r="I2086" s="16" t="s">
        <v>9427</v>
      </c>
    </row>
    <row r="2087" spans="1:9" x14ac:dyDescent="0.25">
      <c r="A2087" s="16" t="s">
        <v>3071</v>
      </c>
      <c r="B2087" s="16" t="str">
        <f>TEXT(PARTIDA[[#This Row],[PARTIDA]],"0000000000")</f>
        <v>2915360000</v>
      </c>
      <c r="C2087" s="16" t="s">
        <v>815</v>
      </c>
      <c r="D2087" s="16" t="s">
        <v>835</v>
      </c>
      <c r="E2087" s="16" t="s">
        <v>9465</v>
      </c>
      <c r="F2087" s="27" t="s">
        <v>11063</v>
      </c>
      <c r="G2087" s="27"/>
      <c r="H2087" s="16" t="str">
        <f>IF(ISBLANK(PARTIDAS!$G2087),PARTIDAS!$F2087,CONCATENATE(PARTIDAS!$F2087," (",PARTIDAS!$G2087,")"))</f>
        <v>Acetato de dinoseb (ISO)</v>
      </c>
      <c r="I2087" s="16" t="s">
        <v>9427</v>
      </c>
    </row>
    <row r="2088" spans="1:9" x14ac:dyDescent="0.25">
      <c r="A2088" s="16" t="s">
        <v>3072</v>
      </c>
      <c r="B2088" s="16" t="str">
        <f>TEXT(PARTIDA[[#This Row],[PARTIDA]],"0000000000")</f>
        <v>2915391000</v>
      </c>
      <c r="C2088" s="16" t="s">
        <v>815</v>
      </c>
      <c r="D2088" s="16" t="s">
        <v>835</v>
      </c>
      <c r="E2088" s="16" t="s">
        <v>9465</v>
      </c>
      <c r="F2088" s="27" t="s">
        <v>11064</v>
      </c>
      <c r="G2088" s="27"/>
      <c r="H2088" s="16" t="str">
        <f>IF(ISBLANK(PARTIDAS!$G2088),PARTIDAS!$F2088,CONCATENATE(PARTIDAS!$F2088," (",PARTIDAS!$G2088,")"))</f>
        <v>Acetato de 2-etoxietilo</v>
      </c>
      <c r="I2088" s="16" t="s">
        <v>9427</v>
      </c>
    </row>
    <row r="2089" spans="1:9" x14ac:dyDescent="0.25">
      <c r="A2089" s="16" t="s">
        <v>3073</v>
      </c>
      <c r="B2089" s="16" t="str">
        <f>TEXT(PARTIDA[[#This Row],[PARTIDA]],"0000000000")</f>
        <v>2915392100</v>
      </c>
      <c r="C2089" s="16" t="s">
        <v>815</v>
      </c>
      <c r="D2089" s="16" t="s">
        <v>835</v>
      </c>
      <c r="E2089" s="16" t="s">
        <v>9465</v>
      </c>
      <c r="F2089" s="27" t="s">
        <v>11065</v>
      </c>
      <c r="G2089" s="27"/>
      <c r="H2089" s="16" t="str">
        <f>IF(ISBLANK(PARTIDAS!$G2089),PARTIDAS!$F2089,CONCATENATE(PARTIDAS!$F2089," (",PARTIDAS!$G2089,")"))</f>
        <v>Acetato de propilo</v>
      </c>
      <c r="I2089" s="16" t="s">
        <v>9427</v>
      </c>
    </row>
    <row r="2090" spans="1:9" x14ac:dyDescent="0.25">
      <c r="A2090" s="16" t="s">
        <v>3074</v>
      </c>
      <c r="B2090" s="16" t="str">
        <f>TEXT(PARTIDA[[#This Row],[PARTIDA]],"0000000000")</f>
        <v>2915392200</v>
      </c>
      <c r="C2090" s="16" t="s">
        <v>815</v>
      </c>
      <c r="D2090" s="16" t="s">
        <v>835</v>
      </c>
      <c r="E2090" s="16" t="s">
        <v>9465</v>
      </c>
      <c r="F2090" s="27" t="s">
        <v>11066</v>
      </c>
      <c r="G2090" s="27"/>
      <c r="H2090" s="16" t="str">
        <f>IF(ISBLANK(PARTIDAS!$G2090),PARTIDAS!$F2090,CONCATENATE(PARTIDAS!$F2090," (",PARTIDAS!$G2090,")"))</f>
        <v>Acetato de isopropilo</v>
      </c>
      <c r="I2090" s="16" t="s">
        <v>9427</v>
      </c>
    </row>
    <row r="2091" spans="1:9" x14ac:dyDescent="0.25">
      <c r="A2091" s="16" t="s">
        <v>3075</v>
      </c>
      <c r="B2091" s="16" t="str">
        <f>TEXT(PARTIDA[[#This Row],[PARTIDA]],"0000000000")</f>
        <v>2915393000</v>
      </c>
      <c r="C2091" s="16" t="s">
        <v>815</v>
      </c>
      <c r="D2091" s="16" t="s">
        <v>835</v>
      </c>
      <c r="E2091" s="16" t="s">
        <v>9465</v>
      </c>
      <c r="F2091" s="27" t="s">
        <v>11067</v>
      </c>
      <c r="G2091" s="27"/>
      <c r="H2091" s="16" t="str">
        <f>IF(ISBLANK(PARTIDAS!$G2091),PARTIDAS!$F2091,CONCATENATE(PARTIDAS!$F2091," (",PARTIDAS!$G2091,")"))</f>
        <v>Acetatos de amilo y de isoamilo</v>
      </c>
      <c r="I2091" s="16" t="s">
        <v>9427</v>
      </c>
    </row>
    <row r="2092" spans="1:9" x14ac:dyDescent="0.25">
      <c r="A2092" s="16" t="s">
        <v>3076</v>
      </c>
      <c r="B2092" s="16" t="str">
        <f>TEXT(PARTIDA[[#This Row],[PARTIDA]],"0000000000")</f>
        <v>2915399000</v>
      </c>
      <c r="C2092" s="16" t="s">
        <v>815</v>
      </c>
      <c r="D2092" s="16" t="s">
        <v>835</v>
      </c>
      <c r="E2092" s="16" t="s">
        <v>9465</v>
      </c>
      <c r="F2092" s="27" t="s">
        <v>11068</v>
      </c>
      <c r="G2092" s="27"/>
      <c r="H2092" s="16" t="str">
        <f>IF(ISBLANK(PARTIDAS!$G2092),PARTIDAS!$F2092,CONCATENATE(PARTIDAS!$F2092," (",PARTIDAS!$G2092,")"))</f>
        <v>Ésteres del ácido acético (los demás)</v>
      </c>
      <c r="I2092" s="16" t="s">
        <v>9427</v>
      </c>
    </row>
    <row r="2093" spans="1:9" x14ac:dyDescent="0.25">
      <c r="A2093" s="16" t="s">
        <v>3077</v>
      </c>
      <c r="B2093" s="16" t="str">
        <f>TEXT(PARTIDA[[#This Row],[PARTIDA]],"0000000000")</f>
        <v>2915401000</v>
      </c>
      <c r="C2093" s="16" t="s">
        <v>815</v>
      </c>
      <c r="D2093" s="16" t="s">
        <v>835</v>
      </c>
      <c r="E2093" s="16" t="s">
        <v>9465</v>
      </c>
      <c r="F2093" s="27" t="s">
        <v>11069</v>
      </c>
      <c r="G2093" s="27"/>
      <c r="H2093" s="16" t="str">
        <f>IF(ISBLANK(PARTIDAS!$G2093),PARTIDAS!$F2093,CONCATENATE(PARTIDAS!$F2093," (",PARTIDAS!$G2093,")"))</f>
        <v>Ácidos mono-, di- o tricloroacéticos, sus sales y sus ésteres, ácidos</v>
      </c>
      <c r="I2093" s="16" t="s">
        <v>9427</v>
      </c>
    </row>
    <row r="2094" spans="1:9" x14ac:dyDescent="0.25">
      <c r="A2094" s="16" t="s">
        <v>3078</v>
      </c>
      <c r="B2094" s="16" t="str">
        <f>TEXT(PARTIDA[[#This Row],[PARTIDA]],"0000000000")</f>
        <v>2915402000</v>
      </c>
      <c r="C2094" s="16" t="s">
        <v>815</v>
      </c>
      <c r="D2094" s="16" t="s">
        <v>835</v>
      </c>
      <c r="E2094" s="16" t="s">
        <v>9465</v>
      </c>
      <c r="F2094" s="27" t="s">
        <v>11070</v>
      </c>
      <c r="G2094" s="27"/>
      <c r="H2094" s="16" t="str">
        <f>IF(ISBLANK(PARTIDAS!$G2094),PARTIDAS!$F2094,CONCATENATE(PARTIDAS!$F2094," (",PARTIDAS!$G2094,")"))</f>
        <v>Sales y ésteres</v>
      </c>
      <c r="I2094" s="16" t="s">
        <v>9427</v>
      </c>
    </row>
    <row r="2095" spans="1:9" x14ac:dyDescent="0.25">
      <c r="A2095" s="16" t="s">
        <v>3079</v>
      </c>
      <c r="B2095" s="16" t="str">
        <f>TEXT(PARTIDA[[#This Row],[PARTIDA]],"0000000000")</f>
        <v>2915501000</v>
      </c>
      <c r="C2095" s="16" t="s">
        <v>815</v>
      </c>
      <c r="D2095" s="16" t="s">
        <v>835</v>
      </c>
      <c r="E2095" s="16" t="s">
        <v>9465</v>
      </c>
      <c r="F2095" s="27" t="s">
        <v>11071</v>
      </c>
      <c r="G2095" s="27"/>
      <c r="H2095" s="16" t="str">
        <f>IF(ISBLANK(PARTIDAS!$G2095),PARTIDAS!$F2095,CONCATENATE(PARTIDAS!$F2095," (",PARTIDAS!$G2095,")"))</f>
        <v>Ácido propiónico</v>
      </c>
      <c r="I2095" s="16" t="s">
        <v>9427</v>
      </c>
    </row>
    <row r="2096" spans="1:9" x14ac:dyDescent="0.25">
      <c r="A2096" s="16" t="s">
        <v>3080</v>
      </c>
      <c r="B2096" s="16" t="str">
        <f>TEXT(PARTIDA[[#This Row],[PARTIDA]],"0000000000")</f>
        <v>2915502100</v>
      </c>
      <c r="C2096" s="16" t="s">
        <v>815</v>
      </c>
      <c r="D2096" s="16" t="s">
        <v>835</v>
      </c>
      <c r="E2096" s="16" t="s">
        <v>9465</v>
      </c>
      <c r="F2096" s="27" t="s">
        <v>11072</v>
      </c>
      <c r="G2096" s="27"/>
      <c r="H2096" s="16" t="str">
        <f>IF(ISBLANK(PARTIDAS!$G2096),PARTIDAS!$F2096,CONCATENATE(PARTIDAS!$F2096," (",PARTIDAS!$G2096,")"))</f>
        <v>Sales y ésteres, sales</v>
      </c>
      <c r="I2096" s="16" t="s">
        <v>9427</v>
      </c>
    </row>
    <row r="2097" spans="1:9" x14ac:dyDescent="0.25">
      <c r="A2097" s="16" t="s">
        <v>3081</v>
      </c>
      <c r="B2097" s="16" t="str">
        <f>TEXT(PARTIDA[[#This Row],[PARTIDA]],"0000000000")</f>
        <v>2915502200</v>
      </c>
      <c r="C2097" s="16" t="s">
        <v>815</v>
      </c>
      <c r="D2097" s="16" t="s">
        <v>835</v>
      </c>
      <c r="E2097" s="16" t="s">
        <v>9465</v>
      </c>
      <c r="F2097" s="27" t="s">
        <v>11073</v>
      </c>
      <c r="G2097" s="27"/>
      <c r="H2097" s="16" t="str">
        <f>IF(ISBLANK(PARTIDAS!$G2097),PARTIDAS!$F2097,CONCATENATE(PARTIDAS!$F2097," (",PARTIDAS!$G2097,")"))</f>
        <v>Sales y ésteres, ésteres</v>
      </c>
      <c r="I2097" s="16" t="s">
        <v>9427</v>
      </c>
    </row>
    <row r="2098" spans="1:9" x14ac:dyDescent="0.25">
      <c r="A2098" s="16" t="s">
        <v>3082</v>
      </c>
      <c r="B2098" s="16" t="str">
        <f>TEXT(PARTIDA[[#This Row],[PARTIDA]],"0000000000")</f>
        <v>2915601100</v>
      </c>
      <c r="C2098" s="16" t="s">
        <v>815</v>
      </c>
      <c r="D2098" s="16" t="s">
        <v>835</v>
      </c>
      <c r="E2098" s="16" t="s">
        <v>9465</v>
      </c>
      <c r="F2098" s="27" t="s">
        <v>11074</v>
      </c>
      <c r="G2098" s="27"/>
      <c r="H2098" s="16" t="str">
        <f>IF(ISBLANK(PARTIDAS!$G2098),PARTIDAS!$F2098,CONCATENATE(PARTIDAS!$F2098," (",PARTIDAS!$G2098,")"))</f>
        <v>Ácidos butanoicos</v>
      </c>
      <c r="I2098" s="16" t="s">
        <v>9427</v>
      </c>
    </row>
    <row r="2099" spans="1:9" x14ac:dyDescent="0.25">
      <c r="A2099" s="16" t="s">
        <v>3083</v>
      </c>
      <c r="B2099" s="16" t="str">
        <f>TEXT(PARTIDA[[#This Row],[PARTIDA]],"0000000000")</f>
        <v>2915601900</v>
      </c>
      <c r="C2099" s="16" t="s">
        <v>815</v>
      </c>
      <c r="D2099" s="16" t="s">
        <v>835</v>
      </c>
      <c r="E2099" s="16" t="s">
        <v>9465</v>
      </c>
      <c r="F2099" s="27" t="s">
        <v>11075</v>
      </c>
      <c r="G2099" s="27"/>
      <c r="H2099" s="16" t="str">
        <f>IF(ISBLANK(PARTIDAS!$G2099),PARTIDAS!$F2099,CONCATENATE(PARTIDAS!$F2099," (",PARTIDAS!$G2099,")"))</f>
        <v>Ácidos butanoicos, sus sales y sus ésteres (los demás)</v>
      </c>
      <c r="I2099" s="16" t="s">
        <v>9427</v>
      </c>
    </row>
    <row r="2100" spans="1:9" x14ac:dyDescent="0.25">
      <c r="A2100" s="16" t="s">
        <v>3084</v>
      </c>
      <c r="B2100" s="16" t="str">
        <f>TEXT(PARTIDA[[#This Row],[PARTIDA]],"0000000000")</f>
        <v>2915602000</v>
      </c>
      <c r="C2100" s="16" t="s">
        <v>815</v>
      </c>
      <c r="D2100" s="16" t="s">
        <v>835</v>
      </c>
      <c r="E2100" s="16" t="s">
        <v>9465</v>
      </c>
      <c r="F2100" s="27" t="s">
        <v>11076</v>
      </c>
      <c r="G2100" s="27"/>
      <c r="H2100" s="16" t="str">
        <f>IF(ISBLANK(PARTIDAS!$G2100),PARTIDAS!$F2100,CONCATENATE(PARTIDAS!$F2100," (",PARTIDAS!$G2100,")"))</f>
        <v>Ácidos pentanoicos, sus sales y sus ésteres</v>
      </c>
      <c r="I2100" s="16" t="s">
        <v>9427</v>
      </c>
    </row>
    <row r="2101" spans="1:9" x14ac:dyDescent="0.25">
      <c r="A2101" s="16" t="s">
        <v>3085</v>
      </c>
      <c r="B2101" s="16" t="str">
        <f>TEXT(PARTIDA[[#This Row],[PARTIDA]],"0000000000")</f>
        <v>2915701000</v>
      </c>
      <c r="C2101" s="16" t="s">
        <v>815</v>
      </c>
      <c r="D2101" s="16" t="s">
        <v>835</v>
      </c>
      <c r="E2101" s="16" t="s">
        <v>9465</v>
      </c>
      <c r="F2101" s="27" t="s">
        <v>11077</v>
      </c>
      <c r="G2101" s="27"/>
      <c r="H2101" s="16" t="str">
        <f>IF(ISBLANK(PARTIDAS!$G2101),PARTIDAS!$F2101,CONCATENATE(PARTIDAS!$F2101," (",PARTIDAS!$G2101,")"))</f>
        <v>Ácido palmítico, sus sales y sus ésteres</v>
      </c>
      <c r="I2101" s="16" t="s">
        <v>9427</v>
      </c>
    </row>
    <row r="2102" spans="1:9" x14ac:dyDescent="0.25">
      <c r="A2102" s="16" t="s">
        <v>3086</v>
      </c>
      <c r="B2102" s="16" t="str">
        <f>TEXT(PARTIDA[[#This Row],[PARTIDA]],"0000000000")</f>
        <v>2915702100</v>
      </c>
      <c r="C2102" s="16" t="s">
        <v>815</v>
      </c>
      <c r="D2102" s="16" t="s">
        <v>835</v>
      </c>
      <c r="E2102" s="16" t="s">
        <v>9465</v>
      </c>
      <c r="F2102" s="27" t="s">
        <v>11078</v>
      </c>
      <c r="G2102" s="27"/>
      <c r="H2102" s="16" t="str">
        <f>IF(ISBLANK(PARTIDAS!$G2102),PARTIDAS!$F2102,CONCATENATE(PARTIDAS!$F2102," (",PARTIDAS!$G2102,")"))</f>
        <v>Ácido esteárico</v>
      </c>
      <c r="I2102" s="16" t="s">
        <v>9427</v>
      </c>
    </row>
    <row r="2103" spans="1:9" x14ac:dyDescent="0.25">
      <c r="A2103" s="16" t="s">
        <v>3087</v>
      </c>
      <c r="B2103" s="16" t="str">
        <f>TEXT(PARTIDA[[#This Row],[PARTIDA]],"0000000000")</f>
        <v>2915702200</v>
      </c>
      <c r="C2103" s="16" t="s">
        <v>815</v>
      </c>
      <c r="D2103" s="16" t="s">
        <v>835</v>
      </c>
      <c r="E2103" s="16" t="s">
        <v>9465</v>
      </c>
      <c r="F2103" s="27" t="s">
        <v>11079</v>
      </c>
      <c r="G2103" s="27"/>
      <c r="H2103" s="16" t="str">
        <f>IF(ISBLANK(PARTIDAS!$G2103),PARTIDAS!$F2103,CONCATENATE(PARTIDAS!$F2103," (",PARTIDAS!$G2103,")"))</f>
        <v>Ácido esteárico, sus sales y sus ésteres, sales</v>
      </c>
      <c r="I2103" s="16" t="s">
        <v>9427</v>
      </c>
    </row>
    <row r="2104" spans="1:9" x14ac:dyDescent="0.25">
      <c r="A2104" s="16" t="s">
        <v>3088</v>
      </c>
      <c r="B2104" s="16" t="str">
        <f>TEXT(PARTIDA[[#This Row],[PARTIDA]],"0000000000")</f>
        <v>2915702900</v>
      </c>
      <c r="C2104" s="16" t="s">
        <v>815</v>
      </c>
      <c r="D2104" s="16" t="s">
        <v>835</v>
      </c>
      <c r="E2104" s="16" t="s">
        <v>9465</v>
      </c>
      <c r="F2104" s="27" t="s">
        <v>11080</v>
      </c>
      <c r="G2104" s="27"/>
      <c r="H2104" s="16" t="str">
        <f>IF(ISBLANK(PARTIDAS!$G2104),PARTIDAS!$F2104,CONCATENATE(PARTIDAS!$F2104," (",PARTIDAS!$G2104,")"))</f>
        <v>Ácido esteárico, sus sales y sus ésteres, ésteres</v>
      </c>
      <c r="I2104" s="16" t="s">
        <v>9427</v>
      </c>
    </row>
    <row r="2105" spans="1:9" x14ac:dyDescent="0.25">
      <c r="A2105" s="16" t="s">
        <v>3089</v>
      </c>
      <c r="B2105" s="16" t="str">
        <f>TEXT(PARTIDA[[#This Row],[PARTIDA]],"0000000000")</f>
        <v>2915902000</v>
      </c>
      <c r="C2105" s="16" t="s">
        <v>815</v>
      </c>
      <c r="D2105" s="16" t="s">
        <v>835</v>
      </c>
      <c r="E2105" s="16" t="s">
        <v>9465</v>
      </c>
      <c r="F2105" s="27" t="s">
        <v>11081</v>
      </c>
      <c r="G2105" s="27"/>
      <c r="H2105" s="16" t="str">
        <f>IF(ISBLANK(PARTIDAS!$G2105),PARTIDAS!$F2105,CONCATENATE(PARTIDAS!$F2105," (",PARTIDAS!$G2105,")"))</f>
        <v>Ácidos bromoacéticos</v>
      </c>
      <c r="I2105" s="16" t="s">
        <v>9427</v>
      </c>
    </row>
    <row r="2106" spans="1:9" x14ac:dyDescent="0.25">
      <c r="A2106" s="16" t="s">
        <v>3090</v>
      </c>
      <c r="B2106" s="16" t="str">
        <f>TEXT(PARTIDA[[#This Row],[PARTIDA]],"0000000000")</f>
        <v>2915903100</v>
      </c>
      <c r="C2106" s="16" t="s">
        <v>815</v>
      </c>
      <c r="D2106" s="16" t="s">
        <v>835</v>
      </c>
      <c r="E2106" s="16" t="s">
        <v>9465</v>
      </c>
      <c r="F2106" s="27" t="s">
        <v>11082</v>
      </c>
      <c r="G2106" s="27"/>
      <c r="H2106" s="16" t="str">
        <f>IF(ISBLANK(PARTIDAS!$G2106),PARTIDAS!$F2106,CONCATENATE(PARTIDAS!$F2106," (",PARTIDAS!$G2106,")"))</f>
        <v>Cloruro de acetilo</v>
      </c>
      <c r="I2106" s="16" t="s">
        <v>9427</v>
      </c>
    </row>
    <row r="2107" spans="1:9" x14ac:dyDescent="0.25">
      <c r="A2107" s="16" t="s">
        <v>3091</v>
      </c>
      <c r="B2107" s="16" t="str">
        <f>TEXT(PARTIDA[[#This Row],[PARTIDA]],"0000000000")</f>
        <v>2915903900</v>
      </c>
      <c r="C2107" s="16" t="s">
        <v>815</v>
      </c>
      <c r="D2107" s="16" t="s">
        <v>835</v>
      </c>
      <c r="E2107" s="16" t="s">
        <v>9465</v>
      </c>
      <c r="F2107" s="27" t="s">
        <v>11083</v>
      </c>
      <c r="G2107" s="27"/>
      <c r="H2107" s="16" t="str">
        <f>IF(ISBLANK(PARTIDAS!$G2107),PARTIDAS!$F2107,CONCATENATE(PARTIDAS!$F2107," (",PARTIDAS!$G2107,")"))</f>
        <v>Ácidos monocarboxílicos acíclicos saturados y sus anhídridos… (los demás)</v>
      </c>
      <c r="I2107" s="16" t="s">
        <v>9427</v>
      </c>
    </row>
    <row r="2108" spans="1:9" x14ac:dyDescent="0.25">
      <c r="A2108" s="16" t="s">
        <v>3092</v>
      </c>
      <c r="B2108" s="16" t="str">
        <f>TEXT(PARTIDA[[#This Row],[PARTIDA]],"0000000000")</f>
        <v>2915904000</v>
      </c>
      <c r="C2108" s="16" t="s">
        <v>815</v>
      </c>
      <c r="D2108" s="16" t="s">
        <v>835</v>
      </c>
      <c r="E2108" s="16" t="s">
        <v>9465</v>
      </c>
      <c r="F2108" s="27" t="s">
        <v>11084</v>
      </c>
      <c r="G2108" s="27"/>
      <c r="H2108" s="16" t="str">
        <f>IF(ISBLANK(PARTIDAS!$G2108),PARTIDAS!$F2108,CONCATENATE(PARTIDAS!$F2108," (",PARTIDAS!$G2108,")"))</f>
        <v>Octanoato de estaño</v>
      </c>
      <c r="I2108" s="16" t="s">
        <v>9427</v>
      </c>
    </row>
    <row r="2109" spans="1:9" x14ac:dyDescent="0.25">
      <c r="A2109" s="16" t="s">
        <v>3093</v>
      </c>
      <c r="B2109" s="16" t="str">
        <f>TEXT(PARTIDA[[#This Row],[PARTIDA]],"0000000000")</f>
        <v>2915905000</v>
      </c>
      <c r="C2109" s="16" t="s">
        <v>815</v>
      </c>
      <c r="D2109" s="16" t="s">
        <v>835</v>
      </c>
      <c r="E2109" s="16" t="s">
        <v>9465</v>
      </c>
      <c r="F2109" s="27" t="s">
        <v>11085</v>
      </c>
      <c r="G2109" s="27"/>
      <c r="H2109" s="16" t="str">
        <f>IF(ISBLANK(PARTIDAS!$G2109),PARTIDAS!$F2109,CONCATENATE(PARTIDAS!$F2109," (",PARTIDAS!$G2109,")"))</f>
        <v>Ácido láurico</v>
      </c>
      <c r="I2109" s="16" t="s">
        <v>9427</v>
      </c>
    </row>
    <row r="2110" spans="1:9" x14ac:dyDescent="0.25">
      <c r="A2110" s="16" t="s">
        <v>3094</v>
      </c>
      <c r="B2110" s="16" t="str">
        <f>TEXT(PARTIDA[[#This Row],[PARTIDA]],"0000000000")</f>
        <v>2915909000</v>
      </c>
      <c r="C2110" s="16" t="s">
        <v>815</v>
      </c>
      <c r="D2110" s="16" t="s">
        <v>835</v>
      </c>
      <c r="E2110" s="16" t="s">
        <v>9465</v>
      </c>
      <c r="F2110" s="27" t="s">
        <v>11083</v>
      </c>
      <c r="G2110" s="27"/>
      <c r="H2110" s="16" t="str">
        <f>IF(ISBLANK(PARTIDAS!$G2110),PARTIDAS!$F2110,CONCATENATE(PARTIDAS!$F2110," (",PARTIDAS!$G2110,")"))</f>
        <v>Ácidos monocarboxílicos acíclicos saturados y sus anhídridos… (los demás)</v>
      </c>
      <c r="I2110" s="16" t="s">
        <v>9427</v>
      </c>
    </row>
    <row r="2111" spans="1:9" x14ac:dyDescent="0.25">
      <c r="A2111" s="16" t="s">
        <v>3095</v>
      </c>
      <c r="B2111" s="16" t="str">
        <f>TEXT(PARTIDA[[#This Row],[PARTIDA]],"0000000000")</f>
        <v>2916111000</v>
      </c>
      <c r="C2111" s="16" t="s">
        <v>815</v>
      </c>
      <c r="D2111" s="16" t="s">
        <v>835</v>
      </c>
      <c r="E2111" s="16" t="s">
        <v>9465</v>
      </c>
      <c r="F2111" s="27" t="s">
        <v>11086</v>
      </c>
      <c r="G2111" s="27"/>
      <c r="H2111" s="16" t="str">
        <f>IF(ISBLANK(PARTIDAS!$G2111),PARTIDAS!$F2111,CONCATENATE(PARTIDAS!$F2111," (",PARTIDAS!$G2111,")"))</f>
        <v>Ácido acrílico</v>
      </c>
      <c r="I2111" s="16" t="s">
        <v>9427</v>
      </c>
    </row>
    <row r="2112" spans="1:9" x14ac:dyDescent="0.25">
      <c r="A2112" s="16" t="s">
        <v>3096</v>
      </c>
      <c r="B2112" s="16" t="str">
        <f>TEXT(PARTIDA[[#This Row],[PARTIDA]],"0000000000")</f>
        <v>2916112000</v>
      </c>
      <c r="C2112" s="16" t="s">
        <v>815</v>
      </c>
      <c r="D2112" s="16" t="s">
        <v>835</v>
      </c>
      <c r="E2112" s="16" t="s">
        <v>9465</v>
      </c>
      <c r="F2112" s="27" t="s">
        <v>11087</v>
      </c>
      <c r="G2112" s="27"/>
      <c r="H2112" s="16" t="str">
        <f>IF(ISBLANK(PARTIDAS!$G2112),PARTIDAS!$F2112,CONCATENATE(PARTIDAS!$F2112," (",PARTIDAS!$G2112,")"))</f>
        <v>Ácido acrílico y sus sales, sales</v>
      </c>
      <c r="I2112" s="16" t="s">
        <v>9427</v>
      </c>
    </row>
    <row r="2113" spans="1:9" x14ac:dyDescent="0.25">
      <c r="A2113" s="16" t="s">
        <v>3097</v>
      </c>
      <c r="B2113" s="16" t="str">
        <f>TEXT(PARTIDA[[#This Row],[PARTIDA]],"0000000000")</f>
        <v>2916121000</v>
      </c>
      <c r="C2113" s="16" t="s">
        <v>815</v>
      </c>
      <c r="D2113" s="16" t="s">
        <v>835</v>
      </c>
      <c r="E2113" s="16" t="s">
        <v>9465</v>
      </c>
      <c r="F2113" s="27" t="s">
        <v>11088</v>
      </c>
      <c r="G2113" s="27"/>
      <c r="H2113" s="16" t="str">
        <f>IF(ISBLANK(PARTIDAS!$G2113),PARTIDAS!$F2113,CONCATENATE(PARTIDAS!$F2113," (",PARTIDAS!$G2113,")"))</f>
        <v>Acrilato de butilo</v>
      </c>
      <c r="I2113" s="16" t="s">
        <v>9427</v>
      </c>
    </row>
    <row r="2114" spans="1:9" x14ac:dyDescent="0.25">
      <c r="A2114" s="16" t="s">
        <v>3098</v>
      </c>
      <c r="B2114" s="16" t="str">
        <f>TEXT(PARTIDA[[#This Row],[PARTIDA]],"0000000000")</f>
        <v>2916129000</v>
      </c>
      <c r="C2114" s="16" t="s">
        <v>815</v>
      </c>
      <c r="D2114" s="16" t="s">
        <v>835</v>
      </c>
      <c r="E2114" s="16" t="s">
        <v>9465</v>
      </c>
      <c r="F2114" s="27" t="s">
        <v>11089</v>
      </c>
      <c r="G2114" s="27"/>
      <c r="H2114" s="16" t="str">
        <f>IF(ISBLANK(PARTIDAS!$G2114),PARTIDAS!$F2114,CONCATENATE(PARTIDAS!$F2114," (",PARTIDAS!$G2114,")"))</f>
        <v>Ésteres del ácido acrílico (los demás)</v>
      </c>
      <c r="I2114" s="16" t="s">
        <v>9427</v>
      </c>
    </row>
    <row r="2115" spans="1:9" x14ac:dyDescent="0.25">
      <c r="A2115" s="16" t="s">
        <v>3099</v>
      </c>
      <c r="B2115" s="16" t="str">
        <f>TEXT(PARTIDA[[#This Row],[PARTIDA]],"0000000000")</f>
        <v>2916130000</v>
      </c>
      <c r="C2115" s="16" t="s">
        <v>815</v>
      </c>
      <c r="D2115" s="16" t="s">
        <v>835</v>
      </c>
      <c r="E2115" s="16" t="s">
        <v>9465</v>
      </c>
      <c r="F2115" s="27" t="s">
        <v>11090</v>
      </c>
      <c r="G2115" s="27"/>
      <c r="H2115" s="16" t="str">
        <f>IF(ISBLANK(PARTIDAS!$G2115),PARTIDAS!$F2115,CONCATENATE(PARTIDAS!$F2115," (",PARTIDAS!$G2115,")"))</f>
        <v>Ácido metacrílico y sus sales</v>
      </c>
      <c r="I2115" s="16" t="s">
        <v>9427</v>
      </c>
    </row>
    <row r="2116" spans="1:9" x14ac:dyDescent="0.25">
      <c r="A2116" s="16" t="s">
        <v>3100</v>
      </c>
      <c r="B2116" s="16" t="str">
        <f>TEXT(PARTIDA[[#This Row],[PARTIDA]],"0000000000")</f>
        <v>2916141000</v>
      </c>
      <c r="C2116" s="16" t="s">
        <v>815</v>
      </c>
      <c r="D2116" s="16" t="s">
        <v>835</v>
      </c>
      <c r="E2116" s="16" t="s">
        <v>9465</v>
      </c>
      <c r="F2116" s="27" t="s">
        <v>11091</v>
      </c>
      <c r="G2116" s="27"/>
      <c r="H2116" s="16" t="str">
        <f>IF(ISBLANK(PARTIDAS!$G2116),PARTIDAS!$F2116,CONCATENATE(PARTIDAS!$F2116," (",PARTIDAS!$G2116,")"))</f>
        <v>Metacrilato de metilo</v>
      </c>
      <c r="I2116" s="16" t="s">
        <v>9427</v>
      </c>
    </row>
    <row r="2117" spans="1:9" x14ac:dyDescent="0.25">
      <c r="A2117" s="16" t="s">
        <v>3101</v>
      </c>
      <c r="B2117" s="16" t="str">
        <f>TEXT(PARTIDA[[#This Row],[PARTIDA]],"0000000000")</f>
        <v>2916149000</v>
      </c>
      <c r="C2117" s="16" t="s">
        <v>815</v>
      </c>
      <c r="D2117" s="16" t="s">
        <v>835</v>
      </c>
      <c r="E2117" s="16" t="s">
        <v>9465</v>
      </c>
      <c r="F2117" s="27" t="s">
        <v>11092</v>
      </c>
      <c r="G2117" s="27"/>
      <c r="H2117" s="16" t="str">
        <f>IF(ISBLANK(PARTIDAS!$G2117),PARTIDAS!$F2117,CONCATENATE(PARTIDAS!$F2117," (",PARTIDAS!$G2117,")"))</f>
        <v>Ésteres del ácido metacrílico (los demás)</v>
      </c>
      <c r="I2117" s="16" t="s">
        <v>9427</v>
      </c>
    </row>
    <row r="2118" spans="1:9" x14ac:dyDescent="0.25">
      <c r="A2118" s="16" t="s">
        <v>3102</v>
      </c>
      <c r="B2118" s="16" t="str">
        <f>TEXT(PARTIDA[[#This Row],[PARTIDA]],"0000000000")</f>
        <v>2916151000</v>
      </c>
      <c r="C2118" s="16" t="s">
        <v>815</v>
      </c>
      <c r="D2118" s="16" t="s">
        <v>835</v>
      </c>
      <c r="E2118" s="16" t="s">
        <v>9465</v>
      </c>
      <c r="F2118" s="27" t="s">
        <v>9414</v>
      </c>
      <c r="G2118" s="27"/>
      <c r="H2118" s="16" t="str">
        <f>IF(ISBLANK(PARTIDAS!$G2118),PARTIDAS!$F2118,CONCATENATE(PARTIDAS!$F2118," (",PARTIDAS!$G2118,")"))</f>
        <v>Ácido oleico</v>
      </c>
      <c r="I2118" s="16" t="s">
        <v>9427</v>
      </c>
    </row>
    <row r="2119" spans="1:9" x14ac:dyDescent="0.25">
      <c r="A2119" s="16" t="s">
        <v>3103</v>
      </c>
      <c r="B2119" s="16" t="str">
        <f>TEXT(PARTIDA[[#This Row],[PARTIDA]],"0000000000")</f>
        <v>2916152000</v>
      </c>
      <c r="C2119" s="16" t="s">
        <v>815</v>
      </c>
      <c r="D2119" s="16" t="s">
        <v>835</v>
      </c>
      <c r="E2119" s="16" t="s">
        <v>9465</v>
      </c>
      <c r="F2119" s="27" t="s">
        <v>11093</v>
      </c>
      <c r="G2119" s="27"/>
      <c r="H2119" s="16" t="str">
        <f>IF(ISBLANK(PARTIDAS!$G2119),PARTIDAS!$F2119,CONCATENATE(PARTIDAS!$F2119," (",PARTIDAS!$G2119,")"))</f>
        <v>Sales y ésteres del ácido oleico</v>
      </c>
      <c r="I2119" s="16" t="s">
        <v>9427</v>
      </c>
    </row>
    <row r="2120" spans="1:9" x14ac:dyDescent="0.25">
      <c r="A2120" s="16" t="s">
        <v>3104</v>
      </c>
      <c r="B2120" s="16" t="str">
        <f>TEXT(PARTIDA[[#This Row],[PARTIDA]],"0000000000")</f>
        <v>2916159000</v>
      </c>
      <c r="C2120" s="16" t="s">
        <v>815</v>
      </c>
      <c r="D2120" s="16" t="s">
        <v>835</v>
      </c>
      <c r="E2120" s="16" t="s">
        <v>9465</v>
      </c>
      <c r="F2120" s="27" t="s">
        <v>11094</v>
      </c>
      <c r="G2120" s="27"/>
      <c r="H2120" s="16" t="str">
        <f>IF(ISBLANK(PARTIDAS!$G2120),PARTIDAS!$F2120,CONCATENATE(PARTIDAS!$F2120," (",PARTIDAS!$G2120,")"))</f>
        <v>Ácidos oleico, linoleico o linolénico, sus sales y sus ésteres (los demás)</v>
      </c>
      <c r="I2120" s="16" t="s">
        <v>9427</v>
      </c>
    </row>
    <row r="2121" spans="1:9" x14ac:dyDescent="0.25">
      <c r="A2121" s="16" t="s">
        <v>3105</v>
      </c>
      <c r="B2121" s="16" t="str">
        <f>TEXT(PARTIDA[[#This Row],[PARTIDA]],"0000000000")</f>
        <v>2916160000</v>
      </c>
      <c r="C2121" s="16" t="s">
        <v>815</v>
      </c>
      <c r="D2121" s="16" t="s">
        <v>835</v>
      </c>
      <c r="E2121" s="16" t="s">
        <v>9465</v>
      </c>
      <c r="F2121" s="27" t="s">
        <v>11095</v>
      </c>
      <c r="G2121" s="27"/>
      <c r="H2121" s="16" t="str">
        <f>IF(ISBLANK(PARTIDAS!$G2121),PARTIDAS!$F2121,CONCATENATE(PARTIDAS!$F2121," (",PARTIDAS!$G2121,")"))</f>
        <v>Binapacril (ISO)</v>
      </c>
      <c r="I2121" s="16" t="s">
        <v>9427</v>
      </c>
    </row>
    <row r="2122" spans="1:9" x14ac:dyDescent="0.25">
      <c r="A2122" s="16" t="s">
        <v>3106</v>
      </c>
      <c r="B2122" s="16" t="str">
        <f>TEXT(PARTIDA[[#This Row],[PARTIDA]],"0000000000")</f>
        <v>2916191000</v>
      </c>
      <c r="C2122" s="16" t="s">
        <v>815</v>
      </c>
      <c r="D2122" s="16" t="s">
        <v>835</v>
      </c>
      <c r="E2122" s="16" t="s">
        <v>9465</v>
      </c>
      <c r="F2122" s="27" t="s">
        <v>11096</v>
      </c>
      <c r="G2122" s="27"/>
      <c r="H2122" s="16" t="str">
        <f>IF(ISBLANK(PARTIDAS!$G2122),PARTIDAS!$F2122,CONCATENATE(PARTIDAS!$F2122," (",PARTIDAS!$G2122,")"))</f>
        <v>Ácido sórbico y sus sales</v>
      </c>
      <c r="I2122" s="16" t="s">
        <v>9427</v>
      </c>
    </row>
    <row r="2123" spans="1:9" x14ac:dyDescent="0.25">
      <c r="A2123" s="16" t="s">
        <v>3107</v>
      </c>
      <c r="B2123" s="16" t="str">
        <f>TEXT(PARTIDA[[#This Row],[PARTIDA]],"0000000000")</f>
        <v>2916192000</v>
      </c>
      <c r="C2123" s="16" t="s">
        <v>815</v>
      </c>
      <c r="D2123" s="16" t="s">
        <v>835</v>
      </c>
      <c r="E2123" s="16" t="s">
        <v>9465</v>
      </c>
      <c r="F2123" s="27" t="s">
        <v>11097</v>
      </c>
      <c r="G2123" s="27"/>
      <c r="H2123" s="16" t="str">
        <f>IF(ISBLANK(PARTIDAS!$G2123),PARTIDAS!$F2123,CONCATENATE(PARTIDAS!$F2123," (",PARTIDAS!$G2123,")"))</f>
        <v>Derivados del ácido acrílico</v>
      </c>
      <c r="I2123" s="16" t="s">
        <v>9427</v>
      </c>
    </row>
    <row r="2124" spans="1:9" x14ac:dyDescent="0.25">
      <c r="A2124" s="16" t="s">
        <v>3108</v>
      </c>
      <c r="B2124" s="16" t="str">
        <f>TEXT(PARTIDA[[#This Row],[PARTIDA]],"0000000000")</f>
        <v>2916199000</v>
      </c>
      <c r="C2124" s="16" t="s">
        <v>815</v>
      </c>
      <c r="D2124" s="16" t="s">
        <v>835</v>
      </c>
      <c r="E2124" s="16" t="s">
        <v>9465</v>
      </c>
      <c r="F2124" s="27" t="s">
        <v>11098</v>
      </c>
      <c r="G2124" s="27"/>
      <c r="H2124" s="16" t="str">
        <f>IF(ISBLANK(PARTIDAS!$G2124),PARTIDAS!$F2124,CONCATENATE(PARTIDAS!$F2124," (",PARTIDAS!$G2124,")"))</f>
        <v>Ácidos monocarboxílicos acíclicos no saturados, sus anhídridos… (los demás)</v>
      </c>
      <c r="I2124" s="16" t="s">
        <v>9427</v>
      </c>
    </row>
    <row r="2125" spans="1:9" x14ac:dyDescent="0.25">
      <c r="A2125" s="16" t="s">
        <v>3109</v>
      </c>
      <c r="B2125" s="16" t="str">
        <f>TEXT(PARTIDA[[#This Row],[PARTIDA]],"0000000000")</f>
        <v>2916201000</v>
      </c>
      <c r="C2125" s="16" t="s">
        <v>815</v>
      </c>
      <c r="D2125" s="16" t="s">
        <v>835</v>
      </c>
      <c r="E2125" s="16" t="s">
        <v>9465</v>
      </c>
      <c r="F2125" s="27" t="s">
        <v>11099</v>
      </c>
      <c r="G2125" s="27"/>
      <c r="H2125" s="16" t="str">
        <f>IF(ISBLANK(PARTIDAS!$G2125),PARTIDAS!$F2125,CONCATENATE(PARTIDAS!$F2125," (",PARTIDAS!$G2125,")"))</f>
        <v>Aletrina (ISO)</v>
      </c>
      <c r="I2125" s="16" t="s">
        <v>9427</v>
      </c>
    </row>
    <row r="2126" spans="1:9" x14ac:dyDescent="0.25">
      <c r="A2126" s="16" t="s">
        <v>3110</v>
      </c>
      <c r="B2126" s="16" t="str">
        <f>TEXT(PARTIDA[[#This Row],[PARTIDA]],"0000000000")</f>
        <v>2916202000</v>
      </c>
      <c r="C2126" s="16" t="s">
        <v>815</v>
      </c>
      <c r="D2126" s="16" t="s">
        <v>835</v>
      </c>
      <c r="E2126" s="16" t="s">
        <v>9465</v>
      </c>
      <c r="F2126" s="27" t="s">
        <v>11100</v>
      </c>
      <c r="G2126" s="27"/>
      <c r="H2126" s="16" t="str">
        <f>IF(ISBLANK(PARTIDAS!$G2126),PARTIDAS!$F2126,CONCATENATE(PARTIDAS!$F2126," (",PARTIDAS!$G2126,")"))</f>
        <v>Permetrina (ISO) (DCI)</v>
      </c>
      <c r="I2126" s="16" t="s">
        <v>9427</v>
      </c>
    </row>
    <row r="2127" spans="1:9" x14ac:dyDescent="0.25">
      <c r="A2127" s="16" t="s">
        <v>3111</v>
      </c>
      <c r="B2127" s="16" t="str">
        <f>TEXT(PARTIDA[[#This Row],[PARTIDA]],"0000000000")</f>
        <v>2916209000</v>
      </c>
      <c r="C2127" s="16" t="s">
        <v>815</v>
      </c>
      <c r="D2127" s="16" t="s">
        <v>835</v>
      </c>
      <c r="E2127" s="16" t="s">
        <v>9465</v>
      </c>
      <c r="F2127" s="27" t="s">
        <v>11101</v>
      </c>
      <c r="G2127" s="27"/>
      <c r="H2127" s="16" t="str">
        <f>IF(ISBLANK(PARTIDAS!$G2127),PARTIDAS!$F2127,CONCATENATE(PARTIDAS!$F2127," (",PARTIDAS!$G2127,")"))</f>
        <v>Ácidos monocarboxílicos ciclánicos, ciclénicos o cicloterpénicos, sus… (los demás)</v>
      </c>
      <c r="I2127" s="16" t="s">
        <v>9427</v>
      </c>
    </row>
    <row r="2128" spans="1:9" x14ac:dyDescent="0.25">
      <c r="A2128" s="16" t="s">
        <v>3112</v>
      </c>
      <c r="B2128" s="16" t="str">
        <f>TEXT(PARTIDA[[#This Row],[PARTIDA]],"0000000000")</f>
        <v>2916311000</v>
      </c>
      <c r="C2128" s="16" t="s">
        <v>815</v>
      </c>
      <c r="D2128" s="16" t="s">
        <v>835</v>
      </c>
      <c r="E2128" s="16" t="s">
        <v>9465</v>
      </c>
      <c r="F2128" s="27" t="s">
        <v>11102</v>
      </c>
      <c r="G2128" s="27"/>
      <c r="H2128" s="16" t="str">
        <f>IF(ISBLANK(PARTIDAS!$G2128),PARTIDAS!$F2128,CONCATENATE(PARTIDAS!$F2128," (",PARTIDAS!$G2128,")"))</f>
        <v>Ácido benzoico</v>
      </c>
      <c r="I2128" s="16" t="s">
        <v>9427</v>
      </c>
    </row>
    <row r="2129" spans="1:9" x14ac:dyDescent="0.25">
      <c r="A2129" s="16" t="s">
        <v>3113</v>
      </c>
      <c r="B2129" s="16" t="str">
        <f>TEXT(PARTIDA[[#This Row],[PARTIDA]],"0000000000")</f>
        <v>2916313000</v>
      </c>
      <c r="C2129" s="16" t="s">
        <v>815</v>
      </c>
      <c r="D2129" s="16" t="s">
        <v>835</v>
      </c>
      <c r="E2129" s="16" t="s">
        <v>9465</v>
      </c>
      <c r="F2129" s="27" t="s">
        <v>11103</v>
      </c>
      <c r="G2129" s="27"/>
      <c r="H2129" s="16" t="str">
        <f>IF(ISBLANK(PARTIDAS!$G2129),PARTIDAS!$F2129,CONCATENATE(PARTIDAS!$F2129," (",PARTIDAS!$G2129,")"))</f>
        <v>Benzoato de sodio</v>
      </c>
      <c r="I2129" s="16" t="s">
        <v>9427</v>
      </c>
    </row>
    <row r="2130" spans="1:9" x14ac:dyDescent="0.25">
      <c r="A2130" s="16" t="s">
        <v>3114</v>
      </c>
      <c r="B2130" s="16" t="str">
        <f>TEXT(PARTIDA[[#This Row],[PARTIDA]],"0000000000")</f>
        <v>2916314000</v>
      </c>
      <c r="C2130" s="16" t="s">
        <v>815</v>
      </c>
      <c r="D2130" s="16" t="s">
        <v>835</v>
      </c>
      <c r="E2130" s="16" t="s">
        <v>9465</v>
      </c>
      <c r="F2130" s="27" t="s">
        <v>11104</v>
      </c>
      <c r="G2130" s="27"/>
      <c r="H2130" s="16" t="str">
        <f>IF(ISBLANK(PARTIDAS!$G2130),PARTIDAS!$F2130,CONCATENATE(PARTIDAS!$F2130," (",PARTIDAS!$G2130,")"))</f>
        <v>Benzoato de naftilo, benzoato de amonio, benzoato de potasio, benzoato de calcio, benzoato de metilo y benzoato de etilo</v>
      </c>
      <c r="I2130" s="16" t="s">
        <v>9427</v>
      </c>
    </row>
    <row r="2131" spans="1:9" x14ac:dyDescent="0.25">
      <c r="A2131" s="16" t="s">
        <v>3115</v>
      </c>
      <c r="B2131" s="16" t="str">
        <f>TEXT(PARTIDA[[#This Row],[PARTIDA]],"0000000000")</f>
        <v>2916319000</v>
      </c>
      <c r="C2131" s="16" t="s">
        <v>815</v>
      </c>
      <c r="D2131" s="16" t="s">
        <v>835</v>
      </c>
      <c r="E2131" s="16" t="s">
        <v>9465</v>
      </c>
      <c r="F2131" s="27" t="s">
        <v>11105</v>
      </c>
      <c r="G2131" s="27"/>
      <c r="H2131" s="16" t="str">
        <f>IF(ISBLANK(PARTIDAS!$G2131),PARTIDAS!$F2131,CONCATENATE(PARTIDAS!$F2131," (",PARTIDAS!$G2131,")"))</f>
        <v>Ácido benzoico, sus sales y sus ésteres (los demás)</v>
      </c>
      <c r="I2131" s="16" t="s">
        <v>9427</v>
      </c>
    </row>
    <row r="2132" spans="1:9" x14ac:dyDescent="0.25">
      <c r="A2132" s="16" t="s">
        <v>3116</v>
      </c>
      <c r="B2132" s="16" t="str">
        <f>TEXT(PARTIDA[[#This Row],[PARTIDA]],"0000000000")</f>
        <v>2916321000</v>
      </c>
      <c r="C2132" s="16" t="s">
        <v>815</v>
      </c>
      <c r="D2132" s="16" t="s">
        <v>835</v>
      </c>
      <c r="E2132" s="16" t="s">
        <v>9465</v>
      </c>
      <c r="F2132" s="27" t="s">
        <v>11106</v>
      </c>
      <c r="G2132" s="27"/>
      <c r="H2132" s="16" t="str">
        <f>IF(ISBLANK(PARTIDAS!$G2132),PARTIDAS!$F2132,CONCATENATE(PARTIDAS!$F2132," (",PARTIDAS!$G2132,")"))</f>
        <v>Peróxido de benzoilo</v>
      </c>
      <c r="I2132" s="16" t="s">
        <v>9427</v>
      </c>
    </row>
    <row r="2133" spans="1:9" x14ac:dyDescent="0.25">
      <c r="A2133" s="16" t="s">
        <v>3117</v>
      </c>
      <c r="B2133" s="16" t="str">
        <f>TEXT(PARTIDA[[#This Row],[PARTIDA]],"0000000000")</f>
        <v>2916322000</v>
      </c>
      <c r="C2133" s="16" t="s">
        <v>815</v>
      </c>
      <c r="D2133" s="16" t="s">
        <v>835</v>
      </c>
      <c r="E2133" s="16" t="s">
        <v>9465</v>
      </c>
      <c r="F2133" s="27" t="s">
        <v>11107</v>
      </c>
      <c r="G2133" s="27"/>
      <c r="H2133" s="16" t="str">
        <f>IF(ISBLANK(PARTIDAS!$G2133),PARTIDAS!$F2133,CONCATENATE(PARTIDAS!$F2133," (",PARTIDAS!$G2133,")"))</f>
        <v>Cloruro de benzoilo</v>
      </c>
      <c r="I2133" s="16" t="s">
        <v>9427</v>
      </c>
    </row>
    <row r="2134" spans="1:9" x14ac:dyDescent="0.25">
      <c r="A2134" s="16" t="s">
        <v>3118</v>
      </c>
      <c r="B2134" s="16" t="str">
        <f>TEXT(PARTIDA[[#This Row],[PARTIDA]],"0000000000")</f>
        <v>2916340000</v>
      </c>
      <c r="C2134" s="16" t="s">
        <v>815</v>
      </c>
      <c r="D2134" s="16" t="s">
        <v>835</v>
      </c>
      <c r="E2134" s="16" t="s">
        <v>9465</v>
      </c>
      <c r="F2134" s="27" t="s">
        <v>11108</v>
      </c>
      <c r="G2134" s="27"/>
      <c r="H2134" s="16" t="str">
        <f>IF(ISBLANK(PARTIDAS!$G2134),PARTIDAS!$F2134,CONCATENATE(PARTIDAS!$F2134," (",PARTIDAS!$G2134,")"))</f>
        <v>Ácido fenilacético y sus sales</v>
      </c>
      <c r="I2134" s="16" t="s">
        <v>9427</v>
      </c>
    </row>
    <row r="2135" spans="1:9" x14ac:dyDescent="0.25">
      <c r="A2135" s="16" t="s">
        <v>3119</v>
      </c>
      <c r="B2135" s="16" t="str">
        <f>TEXT(PARTIDA[[#This Row],[PARTIDA]],"0000000000")</f>
        <v>2916390000</v>
      </c>
      <c r="C2135" s="16" t="s">
        <v>815</v>
      </c>
      <c r="D2135" s="16" t="s">
        <v>835</v>
      </c>
      <c r="E2135" s="16" t="s">
        <v>9465</v>
      </c>
      <c r="F2135" s="27" t="s">
        <v>11109</v>
      </c>
      <c r="G2135" s="27"/>
      <c r="H2135" s="16" t="str">
        <f>IF(ISBLANK(PARTIDAS!$G2135),PARTIDAS!$F2135,CONCATENATE(PARTIDAS!$F2135," (",PARTIDAS!$G2135,")"))</f>
        <v>Ácidos monocarboxílicos aromáticos, sus anhídridos, halogenuros… (los demás)</v>
      </c>
      <c r="I2135" s="16" t="s">
        <v>9427</v>
      </c>
    </row>
    <row r="2136" spans="1:9" x14ac:dyDescent="0.25">
      <c r="A2136" s="16" t="s">
        <v>3120</v>
      </c>
      <c r="B2136" s="16" t="str">
        <f>TEXT(PARTIDA[[#This Row],[PARTIDA]],"0000000000")</f>
        <v>2917111000</v>
      </c>
      <c r="C2136" s="16" t="s">
        <v>815</v>
      </c>
      <c r="D2136" s="16" t="s">
        <v>835</v>
      </c>
      <c r="E2136" s="16" t="s">
        <v>9465</v>
      </c>
      <c r="F2136" s="27" t="s">
        <v>11110</v>
      </c>
      <c r="G2136" s="27"/>
      <c r="H2136" s="16" t="str">
        <f>IF(ISBLANK(PARTIDAS!$G2136),PARTIDAS!$F2136,CONCATENATE(PARTIDAS!$F2136," (",PARTIDAS!$G2136,")"))</f>
        <v>Ácido oxálico</v>
      </c>
      <c r="I2136" s="16" t="s">
        <v>9427</v>
      </c>
    </row>
    <row r="2137" spans="1:9" x14ac:dyDescent="0.25">
      <c r="A2137" s="16" t="s">
        <v>3121</v>
      </c>
      <c r="B2137" s="16" t="str">
        <f>TEXT(PARTIDA[[#This Row],[PARTIDA]],"0000000000")</f>
        <v>2917112000</v>
      </c>
      <c r="C2137" s="16" t="s">
        <v>815</v>
      </c>
      <c r="D2137" s="16" t="s">
        <v>835</v>
      </c>
      <c r="E2137" s="16" t="s">
        <v>9465</v>
      </c>
      <c r="F2137" s="27" t="s">
        <v>11070</v>
      </c>
      <c r="G2137" s="27"/>
      <c r="H2137" s="16" t="str">
        <f>IF(ISBLANK(PARTIDAS!$G2137),PARTIDAS!$F2137,CONCATENATE(PARTIDAS!$F2137," (",PARTIDAS!$G2137,")"))</f>
        <v>Sales y ésteres</v>
      </c>
      <c r="I2137" s="16" t="s">
        <v>9427</v>
      </c>
    </row>
    <row r="2138" spans="1:9" x14ac:dyDescent="0.25">
      <c r="A2138" s="16" t="s">
        <v>3122</v>
      </c>
      <c r="B2138" s="16" t="str">
        <f>TEXT(PARTIDA[[#This Row],[PARTIDA]],"0000000000")</f>
        <v>2917121000</v>
      </c>
      <c r="C2138" s="16" t="s">
        <v>815</v>
      </c>
      <c r="D2138" s="16" t="s">
        <v>835</v>
      </c>
      <c r="E2138" s="16" t="s">
        <v>9465</v>
      </c>
      <c r="F2138" s="27" t="s">
        <v>11111</v>
      </c>
      <c r="G2138" s="27"/>
      <c r="H2138" s="16" t="str">
        <f>IF(ISBLANK(PARTIDAS!$G2138),PARTIDAS!$F2138,CONCATENATE(PARTIDAS!$F2138," (",PARTIDAS!$G2138,")"))</f>
        <v>Ácido adípico</v>
      </c>
      <c r="I2138" s="16" t="s">
        <v>9427</v>
      </c>
    </row>
    <row r="2139" spans="1:9" x14ac:dyDescent="0.25">
      <c r="A2139" s="16" t="s">
        <v>3123</v>
      </c>
      <c r="B2139" s="16" t="str">
        <f>TEXT(PARTIDA[[#This Row],[PARTIDA]],"0000000000")</f>
        <v>2917122000</v>
      </c>
      <c r="C2139" s="16" t="s">
        <v>815</v>
      </c>
      <c r="D2139" s="16" t="s">
        <v>835</v>
      </c>
      <c r="E2139" s="16" t="s">
        <v>9465</v>
      </c>
      <c r="F2139" s="27" t="s">
        <v>11070</v>
      </c>
      <c r="G2139" s="27"/>
      <c r="H2139" s="16" t="str">
        <f>IF(ISBLANK(PARTIDAS!$G2139),PARTIDAS!$F2139,CONCATENATE(PARTIDAS!$F2139," (",PARTIDAS!$G2139,")"))</f>
        <v>Sales y ésteres</v>
      </c>
      <c r="I2139" s="16" t="s">
        <v>9427</v>
      </c>
    </row>
    <row r="2140" spans="1:9" x14ac:dyDescent="0.25">
      <c r="A2140" s="16" t="s">
        <v>3124</v>
      </c>
      <c r="B2140" s="16" t="str">
        <f>TEXT(PARTIDA[[#This Row],[PARTIDA]],"0000000000")</f>
        <v>2917131000</v>
      </c>
      <c r="C2140" s="16" t="s">
        <v>815</v>
      </c>
      <c r="D2140" s="16" t="s">
        <v>835</v>
      </c>
      <c r="E2140" s="16" t="s">
        <v>9465</v>
      </c>
      <c r="F2140" s="27" t="s">
        <v>11112</v>
      </c>
      <c r="G2140" s="27"/>
      <c r="H2140" s="16" t="str">
        <f>IF(ISBLANK(PARTIDAS!$G2140),PARTIDAS!$F2140,CONCATENATE(PARTIDAS!$F2140," (",PARTIDAS!$G2140,")"))</f>
        <v>Ácido azelaico (DCI), sus sales y sus ésteres</v>
      </c>
      <c r="I2140" s="16" t="s">
        <v>9427</v>
      </c>
    </row>
    <row r="2141" spans="1:9" x14ac:dyDescent="0.25">
      <c r="A2141" s="16" t="s">
        <v>3125</v>
      </c>
      <c r="B2141" s="16" t="str">
        <f>TEXT(PARTIDA[[#This Row],[PARTIDA]],"0000000000")</f>
        <v>2917132000</v>
      </c>
      <c r="C2141" s="16" t="s">
        <v>815</v>
      </c>
      <c r="D2141" s="16" t="s">
        <v>835</v>
      </c>
      <c r="E2141" s="16" t="s">
        <v>9465</v>
      </c>
      <c r="F2141" s="27" t="s">
        <v>11113</v>
      </c>
      <c r="G2141" s="27"/>
      <c r="H2141" s="16" t="str">
        <f>IF(ISBLANK(PARTIDAS!$G2141),PARTIDAS!$F2141,CONCATENATE(PARTIDAS!$F2141," (",PARTIDAS!$G2141,")"))</f>
        <v>Ácido sebácico, sus sales y sus ésteres</v>
      </c>
      <c r="I2141" s="16" t="s">
        <v>9427</v>
      </c>
    </row>
    <row r="2142" spans="1:9" x14ac:dyDescent="0.25">
      <c r="A2142" s="16" t="s">
        <v>3126</v>
      </c>
      <c r="B2142" s="16" t="str">
        <f>TEXT(PARTIDA[[#This Row],[PARTIDA]],"0000000000")</f>
        <v>2917140000</v>
      </c>
      <c r="C2142" s="16" t="s">
        <v>815</v>
      </c>
      <c r="D2142" s="16" t="s">
        <v>835</v>
      </c>
      <c r="E2142" s="16" t="s">
        <v>9465</v>
      </c>
      <c r="F2142" s="27" t="s">
        <v>11114</v>
      </c>
      <c r="G2142" s="27"/>
      <c r="H2142" s="16" t="str">
        <f>IF(ISBLANK(PARTIDAS!$G2142),PARTIDAS!$F2142,CONCATENATE(PARTIDAS!$F2142," (",PARTIDAS!$G2142,")"))</f>
        <v>Anhídrido maleico</v>
      </c>
      <c r="I2142" s="16" t="s">
        <v>9427</v>
      </c>
    </row>
    <row r="2143" spans="1:9" x14ac:dyDescent="0.25">
      <c r="A2143" s="16" t="s">
        <v>3127</v>
      </c>
      <c r="B2143" s="16" t="str">
        <f>TEXT(PARTIDA[[#This Row],[PARTIDA]],"0000000000")</f>
        <v>2917191000</v>
      </c>
      <c r="C2143" s="16" t="s">
        <v>815</v>
      </c>
      <c r="D2143" s="16" t="s">
        <v>835</v>
      </c>
      <c r="E2143" s="16" t="s">
        <v>9465</v>
      </c>
      <c r="F2143" s="27" t="s">
        <v>11115</v>
      </c>
      <c r="G2143" s="27"/>
      <c r="H2143" s="16" t="str">
        <f>IF(ISBLANK(PARTIDAS!$G2143),PARTIDAS!$F2143,CONCATENATE(PARTIDAS!$F2143," (",PARTIDAS!$G2143,")"))</f>
        <v>Ácido maleico</v>
      </c>
      <c r="I2143" s="16" t="s">
        <v>9427</v>
      </c>
    </row>
    <row r="2144" spans="1:9" x14ac:dyDescent="0.25">
      <c r="A2144" s="16" t="s">
        <v>3128</v>
      </c>
      <c r="B2144" s="16" t="str">
        <f>TEXT(PARTIDA[[#This Row],[PARTIDA]],"0000000000")</f>
        <v>2917192000</v>
      </c>
      <c r="C2144" s="16" t="s">
        <v>815</v>
      </c>
      <c r="D2144" s="16" t="s">
        <v>835</v>
      </c>
      <c r="E2144" s="16" t="s">
        <v>9465</v>
      </c>
      <c r="F2144" s="27" t="s">
        <v>11116</v>
      </c>
      <c r="G2144" s="27"/>
      <c r="H2144" s="16" t="str">
        <f>IF(ISBLANK(PARTIDAS!$G2144),PARTIDAS!$F2144,CONCATENATE(PARTIDAS!$F2144," (",PARTIDAS!$G2144,")"))</f>
        <v>Sales, ésteres y demás derivados del ácido maleico</v>
      </c>
      <c r="I2144" s="16" t="s">
        <v>9427</v>
      </c>
    </row>
    <row r="2145" spans="1:9" x14ac:dyDescent="0.25">
      <c r="A2145" s="16" t="s">
        <v>3129</v>
      </c>
      <c r="B2145" s="16" t="str">
        <f>TEXT(PARTIDA[[#This Row],[PARTIDA]],"0000000000")</f>
        <v>2917193000</v>
      </c>
      <c r="C2145" s="16" t="s">
        <v>815</v>
      </c>
      <c r="D2145" s="16" t="s">
        <v>835</v>
      </c>
      <c r="E2145" s="16" t="s">
        <v>9465</v>
      </c>
      <c r="F2145" s="27" t="s">
        <v>11117</v>
      </c>
      <c r="G2145" s="27"/>
      <c r="H2145" s="16" t="str">
        <f>IF(ISBLANK(PARTIDAS!$G2145),PARTIDAS!$F2145,CONCATENATE(PARTIDAS!$F2145," (",PARTIDAS!$G2145,")"))</f>
        <v>Ácido fumárico</v>
      </c>
      <c r="I2145" s="16" t="s">
        <v>9427</v>
      </c>
    </row>
    <row r="2146" spans="1:9" x14ac:dyDescent="0.25">
      <c r="A2146" s="16" t="s">
        <v>3130</v>
      </c>
      <c r="B2146" s="16" t="str">
        <f>TEXT(PARTIDA[[#This Row],[PARTIDA]],"0000000000")</f>
        <v>2917199000</v>
      </c>
      <c r="C2146" s="16" t="s">
        <v>815</v>
      </c>
      <c r="D2146" s="16" t="s">
        <v>835</v>
      </c>
      <c r="E2146" s="16" t="s">
        <v>9465</v>
      </c>
      <c r="F2146" s="27" t="s">
        <v>11118</v>
      </c>
      <c r="G2146" s="27"/>
      <c r="H2146" s="16" t="str">
        <f>IF(ISBLANK(PARTIDAS!$G2146),PARTIDAS!$F2146,CONCATENATE(PARTIDAS!$F2146," (",PARTIDAS!$G2146,")"))</f>
        <v>Ácidos policarboxílicos acíclicos, sus anhídridos, halogenuros… (los demás)</v>
      </c>
      <c r="I2146" s="16" t="s">
        <v>9427</v>
      </c>
    </row>
    <row r="2147" spans="1:9" x14ac:dyDescent="0.25">
      <c r="A2147" s="16" t="s">
        <v>3131</v>
      </c>
      <c r="B2147" s="16" t="str">
        <f>TEXT(PARTIDA[[#This Row],[PARTIDA]],"0000000000")</f>
        <v>2917200000</v>
      </c>
      <c r="C2147" s="16" t="s">
        <v>815</v>
      </c>
      <c r="D2147" s="16" t="s">
        <v>835</v>
      </c>
      <c r="E2147" s="16" t="s">
        <v>9465</v>
      </c>
      <c r="F2147" s="27" t="s">
        <v>11119</v>
      </c>
      <c r="G2147" s="27"/>
      <c r="H2147" s="16" t="str">
        <f>IF(ISBLANK(PARTIDAS!$G2147),PARTIDAS!$F2147,CONCATENATE(PARTIDAS!$F2147," (",PARTIDAS!$G2147,")"))</f>
        <v>Ácidos policarboxílicos ciclánicos, ciclénicos o cicloterpénicos, sus anhídridos, halogenuros, peróxidos, peroxiácidos y sus derivados</v>
      </c>
      <c r="I2147" s="16" t="s">
        <v>9427</v>
      </c>
    </row>
    <row r="2148" spans="1:9" x14ac:dyDescent="0.25">
      <c r="A2148" s="16" t="s">
        <v>3132</v>
      </c>
      <c r="B2148" s="16" t="str">
        <f>TEXT(PARTIDA[[#This Row],[PARTIDA]],"0000000000")</f>
        <v>2917320000</v>
      </c>
      <c r="C2148" s="16" t="s">
        <v>815</v>
      </c>
      <c r="D2148" s="16" t="s">
        <v>835</v>
      </c>
      <c r="E2148" s="16" t="s">
        <v>9465</v>
      </c>
      <c r="F2148" s="27" t="s">
        <v>11120</v>
      </c>
      <c r="G2148" s="27"/>
      <c r="H2148" s="16" t="str">
        <f>IF(ISBLANK(PARTIDAS!$G2148),PARTIDAS!$F2148,CONCATENATE(PARTIDAS!$F2148," (",PARTIDAS!$G2148,")"))</f>
        <v>Ortoftalatos de dioctilo</v>
      </c>
      <c r="I2148" s="16" t="s">
        <v>9427</v>
      </c>
    </row>
    <row r="2149" spans="1:9" x14ac:dyDescent="0.25">
      <c r="A2149" s="16" t="s">
        <v>3133</v>
      </c>
      <c r="B2149" s="16" t="str">
        <f>TEXT(PARTIDA[[#This Row],[PARTIDA]],"0000000000")</f>
        <v>2917330000</v>
      </c>
      <c r="C2149" s="16" t="s">
        <v>815</v>
      </c>
      <c r="D2149" s="16" t="s">
        <v>835</v>
      </c>
      <c r="E2149" s="16" t="s">
        <v>9465</v>
      </c>
      <c r="F2149" s="27" t="s">
        <v>11121</v>
      </c>
      <c r="G2149" s="27"/>
      <c r="H2149" s="16" t="str">
        <f>IF(ISBLANK(PARTIDAS!$G2149),PARTIDAS!$F2149,CONCATENATE(PARTIDAS!$F2149," (",PARTIDAS!$G2149,")"))</f>
        <v>Ortoftalatos de dinonilo o de didecilo</v>
      </c>
      <c r="I2149" s="16" t="s">
        <v>9427</v>
      </c>
    </row>
    <row r="2150" spans="1:9" x14ac:dyDescent="0.25">
      <c r="A2150" s="16" t="s">
        <v>3134</v>
      </c>
      <c r="B2150" s="16" t="str">
        <f>TEXT(PARTIDA[[#This Row],[PARTIDA]],"0000000000")</f>
        <v>2917341000</v>
      </c>
      <c r="C2150" s="16" t="s">
        <v>815</v>
      </c>
      <c r="D2150" s="16" t="s">
        <v>835</v>
      </c>
      <c r="E2150" s="16" t="s">
        <v>9465</v>
      </c>
      <c r="F2150" s="27" t="s">
        <v>11122</v>
      </c>
      <c r="G2150" s="27"/>
      <c r="H2150" s="16" t="str">
        <f>IF(ISBLANK(PARTIDAS!$G2150),PARTIDAS!$F2150,CONCATENATE(PARTIDAS!$F2150," (",PARTIDAS!$G2150,")"))</f>
        <v>Ortoftalatos de dimetilo o de dietilo</v>
      </c>
      <c r="I2150" s="16" t="s">
        <v>9427</v>
      </c>
    </row>
    <row r="2151" spans="1:9" x14ac:dyDescent="0.25">
      <c r="A2151" s="16" t="s">
        <v>3135</v>
      </c>
      <c r="B2151" s="16" t="str">
        <f>TEXT(PARTIDA[[#This Row],[PARTIDA]],"0000000000")</f>
        <v>2917342000</v>
      </c>
      <c r="C2151" s="16" t="s">
        <v>815</v>
      </c>
      <c r="D2151" s="16" t="s">
        <v>835</v>
      </c>
      <c r="E2151" s="16" t="s">
        <v>9465</v>
      </c>
      <c r="F2151" s="27" t="s">
        <v>11123</v>
      </c>
      <c r="G2151" s="27"/>
      <c r="H2151" s="16" t="str">
        <f>IF(ISBLANK(PARTIDAS!$G2151),PARTIDAS!$F2151,CONCATENATE(PARTIDAS!$F2151," (",PARTIDAS!$G2151,")"))</f>
        <v>Ortoftalatos de dibutilo</v>
      </c>
      <c r="I2151" s="16" t="s">
        <v>9427</v>
      </c>
    </row>
    <row r="2152" spans="1:9" x14ac:dyDescent="0.25">
      <c r="A2152" s="16" t="s">
        <v>3136</v>
      </c>
      <c r="B2152" s="16" t="str">
        <f>TEXT(PARTIDA[[#This Row],[PARTIDA]],"0000000000")</f>
        <v>2917349000</v>
      </c>
      <c r="C2152" s="16" t="s">
        <v>815</v>
      </c>
      <c r="D2152" s="16" t="s">
        <v>835</v>
      </c>
      <c r="E2152" s="16" t="s">
        <v>9465</v>
      </c>
      <c r="F2152" s="27" t="s">
        <v>11124</v>
      </c>
      <c r="G2152" s="27"/>
      <c r="H2152" s="16" t="str">
        <f>IF(ISBLANK(PARTIDAS!$G2152),PARTIDAS!$F2152,CONCATENATE(PARTIDAS!$F2152," (",PARTIDAS!$G2152,")"))</f>
        <v>Ácidos policarboxílicos aromáticos, sus anhídridos, halogenuros… (los demás)</v>
      </c>
      <c r="I2152" s="16" t="s">
        <v>9427</v>
      </c>
    </row>
    <row r="2153" spans="1:9" x14ac:dyDescent="0.25">
      <c r="A2153" s="16" t="s">
        <v>3137</v>
      </c>
      <c r="B2153" s="16" t="str">
        <f>TEXT(PARTIDA[[#This Row],[PARTIDA]],"0000000000")</f>
        <v>2917350000</v>
      </c>
      <c r="C2153" s="16" t="s">
        <v>815</v>
      </c>
      <c r="D2153" s="16" t="s">
        <v>835</v>
      </c>
      <c r="E2153" s="16" t="s">
        <v>9465</v>
      </c>
      <c r="F2153" s="27" t="s">
        <v>11125</v>
      </c>
      <c r="G2153" s="27"/>
      <c r="H2153" s="16" t="str">
        <f>IF(ISBLANK(PARTIDAS!$G2153),PARTIDAS!$F2153,CONCATENATE(PARTIDAS!$F2153," (",PARTIDAS!$G2153,")"))</f>
        <v>Anhídrido ftálico</v>
      </c>
      <c r="I2153" s="16" t="s">
        <v>9427</v>
      </c>
    </row>
    <row r="2154" spans="1:9" x14ac:dyDescent="0.25">
      <c r="A2154" s="16" t="s">
        <v>3138</v>
      </c>
      <c r="B2154" s="16" t="str">
        <f>TEXT(PARTIDA[[#This Row],[PARTIDA]],"0000000000")</f>
        <v>2917361000</v>
      </c>
      <c r="C2154" s="16" t="s">
        <v>815</v>
      </c>
      <c r="D2154" s="16" t="s">
        <v>835</v>
      </c>
      <c r="E2154" s="16" t="s">
        <v>9465</v>
      </c>
      <c r="F2154" s="27" t="s">
        <v>11126</v>
      </c>
      <c r="G2154" s="27"/>
      <c r="H2154" s="16" t="str">
        <f>IF(ISBLANK(PARTIDAS!$G2154),PARTIDAS!$F2154,CONCATENATE(PARTIDAS!$F2154," (",PARTIDAS!$G2154,")"))</f>
        <v>Ácido tereftálico</v>
      </c>
      <c r="I2154" s="16" t="s">
        <v>9427</v>
      </c>
    </row>
    <row r="2155" spans="1:9" x14ac:dyDescent="0.25">
      <c r="A2155" s="16" t="s">
        <v>3139</v>
      </c>
      <c r="B2155" s="16" t="str">
        <f>TEXT(PARTIDA[[#This Row],[PARTIDA]],"0000000000")</f>
        <v>2917362000</v>
      </c>
      <c r="C2155" s="16" t="s">
        <v>815</v>
      </c>
      <c r="D2155" s="16" t="s">
        <v>835</v>
      </c>
      <c r="E2155" s="16" t="s">
        <v>9465</v>
      </c>
      <c r="F2155" s="27" t="s">
        <v>11127</v>
      </c>
      <c r="G2155" s="27"/>
      <c r="H2155" s="16" t="str">
        <f>IF(ISBLANK(PARTIDAS!$G2155),PARTIDAS!$F2155,CONCATENATE(PARTIDAS!$F2155," (",PARTIDAS!$G2155,")"))</f>
        <v>Ácido tereftálico y sus sales, sales</v>
      </c>
      <c r="I2155" s="16" t="s">
        <v>9427</v>
      </c>
    </row>
    <row r="2156" spans="1:9" x14ac:dyDescent="0.25">
      <c r="A2156" s="16" t="s">
        <v>3140</v>
      </c>
      <c r="B2156" s="16" t="str">
        <f>TEXT(PARTIDA[[#This Row],[PARTIDA]],"0000000000")</f>
        <v>2917370000</v>
      </c>
      <c r="C2156" s="16" t="s">
        <v>815</v>
      </c>
      <c r="D2156" s="16" t="s">
        <v>835</v>
      </c>
      <c r="E2156" s="16" t="s">
        <v>9465</v>
      </c>
      <c r="F2156" s="27" t="s">
        <v>11128</v>
      </c>
      <c r="G2156" s="27"/>
      <c r="H2156" s="16" t="str">
        <f>IF(ISBLANK(PARTIDAS!$G2156),PARTIDAS!$F2156,CONCATENATE(PARTIDAS!$F2156," (",PARTIDAS!$G2156,")"))</f>
        <v>Tereftalato de dimetilo</v>
      </c>
      <c r="I2156" s="16" t="s">
        <v>9427</v>
      </c>
    </row>
    <row r="2157" spans="1:9" x14ac:dyDescent="0.25">
      <c r="A2157" s="16" t="s">
        <v>3141</v>
      </c>
      <c r="B2157" s="16" t="str">
        <f>TEXT(PARTIDA[[#This Row],[PARTIDA]],"0000000000")</f>
        <v>2917392000</v>
      </c>
      <c r="C2157" s="16" t="s">
        <v>815</v>
      </c>
      <c r="D2157" s="16" t="s">
        <v>835</v>
      </c>
      <c r="E2157" s="16" t="s">
        <v>9465</v>
      </c>
      <c r="F2157" s="27" t="s">
        <v>11129</v>
      </c>
      <c r="G2157" s="27"/>
      <c r="H2157" s="16" t="str">
        <f>IF(ISBLANK(PARTIDAS!$G2157),PARTIDAS!$F2157,CONCATENATE(PARTIDAS!$F2157," (",PARTIDAS!$G2157,")"))</f>
        <v>Ácido ortoftálico y sus sales</v>
      </c>
      <c r="I2157" s="16" t="s">
        <v>9427</v>
      </c>
    </row>
    <row r="2158" spans="1:9" x14ac:dyDescent="0.25">
      <c r="A2158" s="16" t="s">
        <v>3142</v>
      </c>
      <c r="B2158" s="16" t="str">
        <f>TEXT(PARTIDA[[#This Row],[PARTIDA]],"0000000000")</f>
        <v>2917393000</v>
      </c>
      <c r="C2158" s="16" t="s">
        <v>815</v>
      </c>
      <c r="D2158" s="16" t="s">
        <v>835</v>
      </c>
      <c r="E2158" s="16" t="s">
        <v>9465</v>
      </c>
      <c r="F2158" s="27" t="s">
        <v>11130</v>
      </c>
      <c r="G2158" s="27"/>
      <c r="H2158" s="16" t="str">
        <f>IF(ISBLANK(PARTIDAS!$G2158),PARTIDAS!$F2158,CONCATENATE(PARTIDAS!$F2158," (",PARTIDAS!$G2158,")"))</f>
        <v>Ácido isoftálico, sus ésteres y sus sales</v>
      </c>
      <c r="I2158" s="16" t="s">
        <v>9427</v>
      </c>
    </row>
    <row r="2159" spans="1:9" x14ac:dyDescent="0.25">
      <c r="A2159" s="16" t="s">
        <v>3143</v>
      </c>
      <c r="B2159" s="16" t="str">
        <f>TEXT(PARTIDA[[#This Row],[PARTIDA]],"0000000000")</f>
        <v>2917394000</v>
      </c>
      <c r="C2159" s="16" t="s">
        <v>815</v>
      </c>
      <c r="D2159" s="16" t="s">
        <v>835</v>
      </c>
      <c r="E2159" s="16" t="s">
        <v>9465</v>
      </c>
      <c r="F2159" s="27" t="s">
        <v>11131</v>
      </c>
      <c r="G2159" s="27"/>
      <c r="H2159" s="16" t="str">
        <f>IF(ISBLANK(PARTIDAS!$G2159),PARTIDAS!$F2159,CONCATENATE(PARTIDAS!$F2159," (",PARTIDAS!$G2159,")"))</f>
        <v>Anhídrido trimelítico</v>
      </c>
      <c r="I2159" s="16" t="s">
        <v>9427</v>
      </c>
    </row>
    <row r="2160" spans="1:9" x14ac:dyDescent="0.25">
      <c r="A2160" s="16" t="s">
        <v>3144</v>
      </c>
      <c r="B2160" s="16" t="str">
        <f>TEXT(PARTIDA[[#This Row],[PARTIDA]],"0000000000")</f>
        <v>2917399000</v>
      </c>
      <c r="C2160" s="16" t="s">
        <v>815</v>
      </c>
      <c r="D2160" s="16" t="s">
        <v>835</v>
      </c>
      <c r="E2160" s="16" t="s">
        <v>9465</v>
      </c>
      <c r="F2160" s="27" t="s">
        <v>11124</v>
      </c>
      <c r="G2160" s="27"/>
      <c r="H2160" s="16" t="str">
        <f>IF(ISBLANK(PARTIDAS!$G2160),PARTIDAS!$F2160,CONCATENATE(PARTIDAS!$F2160," (",PARTIDAS!$G2160,")"))</f>
        <v>Ácidos policarboxílicos aromáticos, sus anhídridos, halogenuros… (los demás)</v>
      </c>
      <c r="I2160" s="16" t="s">
        <v>9427</v>
      </c>
    </row>
    <row r="2161" spans="1:9" x14ac:dyDescent="0.25">
      <c r="A2161" s="16" t="s">
        <v>3145</v>
      </c>
      <c r="B2161" s="16" t="str">
        <f>TEXT(PARTIDA[[#This Row],[PARTIDA]],"0000000000")</f>
        <v>2918111000</v>
      </c>
      <c r="C2161" s="16" t="s">
        <v>815</v>
      </c>
      <c r="D2161" s="16" t="s">
        <v>835</v>
      </c>
      <c r="E2161" s="16" t="s">
        <v>9465</v>
      </c>
      <c r="F2161" s="27" t="s">
        <v>11132</v>
      </c>
      <c r="G2161" s="27"/>
      <c r="H2161" s="16" t="str">
        <f>IF(ISBLANK(PARTIDAS!$G2161),PARTIDAS!$F2161,CONCATENATE(PARTIDAS!$F2161," (",PARTIDAS!$G2161,")"))</f>
        <v>Ácido láctico</v>
      </c>
      <c r="I2161" s="16" t="s">
        <v>9427</v>
      </c>
    </row>
    <row r="2162" spans="1:9" x14ac:dyDescent="0.25">
      <c r="A2162" s="16" t="s">
        <v>3146</v>
      </c>
      <c r="B2162" s="16" t="str">
        <f>TEXT(PARTIDA[[#This Row],[PARTIDA]],"0000000000")</f>
        <v>2918112000</v>
      </c>
      <c r="C2162" s="16" t="s">
        <v>815</v>
      </c>
      <c r="D2162" s="16" t="s">
        <v>835</v>
      </c>
      <c r="E2162" s="16" t="s">
        <v>9465</v>
      </c>
      <c r="F2162" s="27" t="s">
        <v>11133</v>
      </c>
      <c r="G2162" s="27"/>
      <c r="H2162" s="16" t="str">
        <f>IF(ISBLANK(PARTIDAS!$G2162),PARTIDAS!$F2162,CONCATENATE(PARTIDAS!$F2162," (",PARTIDAS!$G2162,")"))</f>
        <v>Lactato de calcio</v>
      </c>
      <c r="I2162" s="16" t="s">
        <v>9427</v>
      </c>
    </row>
    <row r="2163" spans="1:9" x14ac:dyDescent="0.25">
      <c r="A2163" s="16" t="s">
        <v>3147</v>
      </c>
      <c r="B2163" s="16" t="str">
        <f>TEXT(PARTIDA[[#This Row],[PARTIDA]],"0000000000")</f>
        <v>2918119000</v>
      </c>
      <c r="C2163" s="16" t="s">
        <v>815</v>
      </c>
      <c r="D2163" s="16" t="s">
        <v>835</v>
      </c>
      <c r="E2163" s="16" t="s">
        <v>9465</v>
      </c>
      <c r="F2163" s="27" t="s">
        <v>11134</v>
      </c>
      <c r="G2163" s="27"/>
      <c r="H2163" s="16" t="str">
        <f>IF(ISBLANK(PARTIDAS!$G2163),PARTIDAS!$F2163,CONCATENATE(PARTIDAS!$F2163," (",PARTIDAS!$G2163,")"))</f>
        <v>Ácido láctico, sus sales y sus ésteres (los demás)</v>
      </c>
      <c r="I2163" s="16" t="s">
        <v>9427</v>
      </c>
    </row>
    <row r="2164" spans="1:9" x14ac:dyDescent="0.25">
      <c r="A2164" s="16" t="s">
        <v>3148</v>
      </c>
      <c r="B2164" s="16" t="str">
        <f>TEXT(PARTIDA[[#This Row],[PARTIDA]],"0000000000")</f>
        <v>2918120000</v>
      </c>
      <c r="C2164" s="16" t="s">
        <v>815</v>
      </c>
      <c r="D2164" s="16" t="s">
        <v>835</v>
      </c>
      <c r="E2164" s="16" t="s">
        <v>9465</v>
      </c>
      <c r="F2164" s="27" t="s">
        <v>11135</v>
      </c>
      <c r="G2164" s="27"/>
      <c r="H2164" s="16" t="str">
        <f>IF(ISBLANK(PARTIDAS!$G2164),PARTIDAS!$F2164,CONCATENATE(PARTIDAS!$F2164," (",PARTIDAS!$G2164,")"))</f>
        <v>Ácido tartárico</v>
      </c>
      <c r="I2164" s="16" t="s">
        <v>9427</v>
      </c>
    </row>
    <row r="2165" spans="1:9" x14ac:dyDescent="0.25">
      <c r="A2165" s="16" t="s">
        <v>3149</v>
      </c>
      <c r="B2165" s="16" t="str">
        <f>TEXT(PARTIDA[[#This Row],[PARTIDA]],"0000000000")</f>
        <v>2918130000</v>
      </c>
      <c r="C2165" s="16" t="s">
        <v>815</v>
      </c>
      <c r="D2165" s="16" t="s">
        <v>835</v>
      </c>
      <c r="E2165" s="16" t="s">
        <v>9465</v>
      </c>
      <c r="F2165" s="27" t="s">
        <v>11136</v>
      </c>
      <c r="G2165" s="27"/>
      <c r="H2165" s="16" t="str">
        <f>IF(ISBLANK(PARTIDAS!$G2165),PARTIDAS!$F2165,CONCATENATE(PARTIDAS!$F2165," (",PARTIDAS!$G2165,")"))</f>
        <v>Sales y ésteres del ácido tartárico</v>
      </c>
      <c r="I2165" s="16" t="s">
        <v>9427</v>
      </c>
    </row>
    <row r="2166" spans="1:9" x14ac:dyDescent="0.25">
      <c r="A2166" s="16" t="s">
        <v>3150</v>
      </c>
      <c r="B2166" s="16" t="str">
        <f>TEXT(PARTIDA[[#This Row],[PARTIDA]],"0000000000")</f>
        <v>2918140000</v>
      </c>
      <c r="C2166" s="16" t="s">
        <v>815</v>
      </c>
      <c r="D2166" s="16" t="s">
        <v>835</v>
      </c>
      <c r="E2166" s="16" t="s">
        <v>9465</v>
      </c>
      <c r="F2166" s="27" t="s">
        <v>11137</v>
      </c>
      <c r="G2166" s="27"/>
      <c r="H2166" s="16" t="str">
        <f>IF(ISBLANK(PARTIDAS!$G2166),PARTIDAS!$F2166,CONCATENATE(PARTIDAS!$F2166," (",PARTIDAS!$G2166,")"))</f>
        <v>Ácido cítrico</v>
      </c>
      <c r="I2166" s="16" t="s">
        <v>9427</v>
      </c>
    </row>
    <row r="2167" spans="1:9" x14ac:dyDescent="0.25">
      <c r="A2167" s="16" t="s">
        <v>3151</v>
      </c>
      <c r="B2167" s="16" t="str">
        <f>TEXT(PARTIDA[[#This Row],[PARTIDA]],"0000000000")</f>
        <v>2918153000</v>
      </c>
      <c r="C2167" s="16" t="s">
        <v>815</v>
      </c>
      <c r="D2167" s="16" t="s">
        <v>835</v>
      </c>
      <c r="E2167" s="16" t="s">
        <v>9465</v>
      </c>
      <c r="F2167" s="27" t="s">
        <v>11138</v>
      </c>
      <c r="G2167" s="27"/>
      <c r="H2167" s="16" t="str">
        <f>IF(ISBLANK(PARTIDAS!$G2167),PARTIDAS!$F2167,CONCATENATE(PARTIDAS!$F2167," (",PARTIDAS!$G2167,")"))</f>
        <v>Citrato de sodio</v>
      </c>
      <c r="I2167" s="16" t="s">
        <v>9427</v>
      </c>
    </row>
    <row r="2168" spans="1:9" x14ac:dyDescent="0.25">
      <c r="A2168" s="16" t="s">
        <v>3152</v>
      </c>
      <c r="B2168" s="16" t="str">
        <f>TEXT(PARTIDA[[#This Row],[PARTIDA]],"0000000000")</f>
        <v>2918159000</v>
      </c>
      <c r="C2168" s="16" t="s">
        <v>815</v>
      </c>
      <c r="D2168" s="16" t="s">
        <v>835</v>
      </c>
      <c r="E2168" s="16" t="s">
        <v>9465</v>
      </c>
      <c r="F2168" s="27" t="s">
        <v>11139</v>
      </c>
      <c r="G2168" s="27"/>
      <c r="H2168" s="16" t="str">
        <f>IF(ISBLANK(PARTIDAS!$G2168),PARTIDAS!$F2168,CONCATENATE(PARTIDAS!$F2168," (",PARTIDAS!$G2168,")"))</f>
        <v>Sales y ésteres del ácido cítrico (los demás)</v>
      </c>
      <c r="I2168" s="16" t="s">
        <v>9427</v>
      </c>
    </row>
    <row r="2169" spans="1:9" x14ac:dyDescent="0.25">
      <c r="A2169" s="16" t="s">
        <v>3153</v>
      </c>
      <c r="B2169" s="16" t="str">
        <f>TEXT(PARTIDA[[#This Row],[PARTIDA]],"0000000000")</f>
        <v>2918161000</v>
      </c>
      <c r="C2169" s="16" t="s">
        <v>815</v>
      </c>
      <c r="D2169" s="16" t="s">
        <v>835</v>
      </c>
      <c r="E2169" s="16" t="s">
        <v>9465</v>
      </c>
      <c r="F2169" s="27" t="s">
        <v>11140</v>
      </c>
      <c r="G2169" s="27"/>
      <c r="H2169" s="16" t="str">
        <f>IF(ISBLANK(PARTIDAS!$G2169),PARTIDAS!$F2169,CONCATENATE(PARTIDAS!$F2169," (",PARTIDAS!$G2169,")"))</f>
        <v>Ácido glucónico</v>
      </c>
      <c r="I2169" s="16" t="s">
        <v>9427</v>
      </c>
    </row>
    <row r="2170" spans="1:9" x14ac:dyDescent="0.25">
      <c r="A2170" s="16" t="s">
        <v>3154</v>
      </c>
      <c r="B2170" s="16" t="str">
        <f>TEXT(PARTIDA[[#This Row],[PARTIDA]],"0000000000")</f>
        <v>2918162000</v>
      </c>
      <c r="C2170" s="16" t="s">
        <v>815</v>
      </c>
      <c r="D2170" s="16" t="s">
        <v>835</v>
      </c>
      <c r="E2170" s="16" t="s">
        <v>9465</v>
      </c>
      <c r="F2170" s="27" t="s">
        <v>11141</v>
      </c>
      <c r="G2170" s="27"/>
      <c r="H2170" s="16" t="str">
        <f>IF(ISBLANK(PARTIDAS!$G2170),PARTIDAS!$F2170,CONCATENATE(PARTIDAS!$F2170," (",PARTIDAS!$G2170,")"))</f>
        <v>Gluconato de calcio</v>
      </c>
      <c r="I2170" s="16" t="s">
        <v>9427</v>
      </c>
    </row>
    <row r="2171" spans="1:9" x14ac:dyDescent="0.25">
      <c r="A2171" s="16" t="s">
        <v>3155</v>
      </c>
      <c r="B2171" s="16" t="str">
        <f>TEXT(PARTIDA[[#This Row],[PARTIDA]],"0000000000")</f>
        <v>2918163000</v>
      </c>
      <c r="C2171" s="16" t="s">
        <v>815</v>
      </c>
      <c r="D2171" s="16" t="s">
        <v>835</v>
      </c>
      <c r="E2171" s="16" t="s">
        <v>9465</v>
      </c>
      <c r="F2171" s="27" t="s">
        <v>11142</v>
      </c>
      <c r="G2171" s="27"/>
      <c r="H2171" s="16" t="str">
        <f>IF(ISBLANK(PARTIDAS!$G2171),PARTIDAS!$F2171,CONCATENATE(PARTIDAS!$F2171," (",PARTIDAS!$G2171,")"))</f>
        <v>Gluconato de sodio</v>
      </c>
      <c r="I2171" s="16" t="s">
        <v>9427</v>
      </c>
    </row>
    <row r="2172" spans="1:9" x14ac:dyDescent="0.25">
      <c r="A2172" s="16" t="s">
        <v>3156</v>
      </c>
      <c r="B2172" s="16" t="str">
        <f>TEXT(PARTIDA[[#This Row],[PARTIDA]],"0000000000")</f>
        <v>2918169000</v>
      </c>
      <c r="C2172" s="16" t="s">
        <v>815</v>
      </c>
      <c r="D2172" s="16" t="s">
        <v>835</v>
      </c>
      <c r="E2172" s="16" t="s">
        <v>9465</v>
      </c>
      <c r="F2172" s="27" t="s">
        <v>11143</v>
      </c>
      <c r="G2172" s="27"/>
      <c r="H2172" s="16" t="str">
        <f>IF(ISBLANK(PARTIDAS!$G2172),PARTIDAS!$F2172,CONCATENATE(PARTIDAS!$F2172," (",PARTIDAS!$G2172,")"))</f>
        <v>Ácido glucónico, sus sales y sus ésteres (los demás)</v>
      </c>
      <c r="I2172" s="16" t="s">
        <v>9427</v>
      </c>
    </row>
    <row r="2173" spans="1:9" x14ac:dyDescent="0.25">
      <c r="A2173" s="16" t="s">
        <v>3157</v>
      </c>
      <c r="B2173" s="16" t="str">
        <f>TEXT(PARTIDA[[#This Row],[PARTIDA]],"0000000000")</f>
        <v>2918170000</v>
      </c>
      <c r="C2173" s="16" t="s">
        <v>815</v>
      </c>
      <c r="D2173" s="16" t="s">
        <v>835</v>
      </c>
      <c r="E2173" s="16" t="s">
        <v>9465</v>
      </c>
      <c r="F2173" s="27" t="s">
        <v>11144</v>
      </c>
      <c r="G2173" s="27"/>
      <c r="H2173" s="16" t="str">
        <f>IF(ISBLANK(PARTIDAS!$G2173),PARTIDAS!$F2173,CONCATENATE(PARTIDAS!$F2173," (",PARTIDAS!$G2173,")"))</f>
        <v>Ácido 2,2-difenil-2-hidroxiacético (ácido bencílico)</v>
      </c>
      <c r="I2173" s="16" t="s">
        <v>9427</v>
      </c>
    </row>
    <row r="2174" spans="1:9" x14ac:dyDescent="0.25">
      <c r="A2174" s="16" t="s">
        <v>3158</v>
      </c>
      <c r="B2174" s="16" t="str">
        <f>TEXT(PARTIDA[[#This Row],[PARTIDA]],"0000000000")</f>
        <v>2918180000</v>
      </c>
      <c r="C2174" s="16" t="s">
        <v>815</v>
      </c>
      <c r="D2174" s="16" t="s">
        <v>835</v>
      </c>
      <c r="E2174" s="16" t="s">
        <v>9465</v>
      </c>
      <c r="F2174" s="27" t="s">
        <v>11145</v>
      </c>
      <c r="G2174" s="27"/>
      <c r="H2174" s="16" t="str">
        <f>IF(ISBLANK(PARTIDAS!$G2174),PARTIDAS!$F2174,CONCATENATE(PARTIDAS!$F2174," (",PARTIDAS!$G2174,")"))</f>
        <v>Clorobencilato (ISO)</v>
      </c>
      <c r="I2174" s="16" t="s">
        <v>9427</v>
      </c>
    </row>
    <row r="2175" spans="1:9" x14ac:dyDescent="0.25">
      <c r="A2175" s="16" t="s">
        <v>3159</v>
      </c>
      <c r="B2175" s="16" t="str">
        <f>TEXT(PARTIDA[[#This Row],[PARTIDA]],"0000000000")</f>
        <v>2918192000</v>
      </c>
      <c r="C2175" s="16" t="s">
        <v>815</v>
      </c>
      <c r="D2175" s="16" t="s">
        <v>835</v>
      </c>
      <c r="E2175" s="16" t="s">
        <v>9465</v>
      </c>
      <c r="F2175" s="27" t="s">
        <v>11146</v>
      </c>
      <c r="G2175" s="27"/>
      <c r="H2175" s="16" t="str">
        <f>IF(ISBLANK(PARTIDAS!$G2175),PARTIDAS!$F2175,CONCATENATE(PARTIDAS!$F2175," (",PARTIDAS!$G2175,")"))</f>
        <v>Derivados del ácido glucónico</v>
      </c>
      <c r="I2175" s="16" t="s">
        <v>9427</v>
      </c>
    </row>
    <row r="2176" spans="1:9" x14ac:dyDescent="0.25">
      <c r="A2176" s="16" t="s">
        <v>3160</v>
      </c>
      <c r="B2176" s="16" t="str">
        <f>TEXT(PARTIDA[[#This Row],[PARTIDA]],"0000000000")</f>
        <v>2918199000</v>
      </c>
      <c r="C2176" s="16" t="s">
        <v>815</v>
      </c>
      <c r="D2176" s="16" t="s">
        <v>835</v>
      </c>
      <c r="E2176" s="16" t="s">
        <v>9465</v>
      </c>
      <c r="F2176" s="27" t="s">
        <v>11147</v>
      </c>
      <c r="G2176" s="27"/>
      <c r="H2176" s="16" t="str">
        <f>IF(ISBLANK(PARTIDAS!$G2176),PARTIDAS!$F2176,CONCATENATE(PARTIDAS!$F2176," (",PARTIDAS!$G2176,")"))</f>
        <v>Ácidos carboxílicos con función alcohol, pero sin otra función… (los demás)</v>
      </c>
      <c r="I2176" s="16" t="s">
        <v>9427</v>
      </c>
    </row>
    <row r="2177" spans="1:9" x14ac:dyDescent="0.25">
      <c r="A2177" s="16" t="s">
        <v>3161</v>
      </c>
      <c r="B2177" s="16" t="str">
        <f>TEXT(PARTIDA[[#This Row],[PARTIDA]],"0000000000")</f>
        <v>2918211000</v>
      </c>
      <c r="C2177" s="16" t="s">
        <v>815</v>
      </c>
      <c r="D2177" s="16" t="s">
        <v>835</v>
      </c>
      <c r="E2177" s="16" t="s">
        <v>9465</v>
      </c>
      <c r="F2177" s="27" t="s">
        <v>11148</v>
      </c>
      <c r="G2177" s="27"/>
      <c r="H2177" s="16" t="str">
        <f>IF(ISBLANK(PARTIDAS!$G2177),PARTIDAS!$F2177,CONCATENATE(PARTIDAS!$F2177," (",PARTIDAS!$G2177,")"))</f>
        <v>Ácido salicílico</v>
      </c>
      <c r="I2177" s="16" t="s">
        <v>9427</v>
      </c>
    </row>
    <row r="2178" spans="1:9" x14ac:dyDescent="0.25">
      <c r="A2178" s="16" t="s">
        <v>3162</v>
      </c>
      <c r="B2178" s="16" t="str">
        <f>TEXT(PARTIDA[[#This Row],[PARTIDA]],"0000000000")</f>
        <v>2918212000</v>
      </c>
      <c r="C2178" s="16" t="s">
        <v>815</v>
      </c>
      <c r="D2178" s="16" t="s">
        <v>835</v>
      </c>
      <c r="E2178" s="16" t="s">
        <v>9465</v>
      </c>
      <c r="F2178" s="27" t="s">
        <v>11149</v>
      </c>
      <c r="G2178" s="27"/>
      <c r="H2178" s="16" t="str">
        <f>IF(ISBLANK(PARTIDAS!$G2178),PARTIDAS!$F2178,CONCATENATE(PARTIDAS!$F2178," (",PARTIDAS!$G2178,")"))</f>
        <v>Ácido salicílico y sus sales, sales</v>
      </c>
      <c r="I2178" s="16" t="s">
        <v>9427</v>
      </c>
    </row>
    <row r="2179" spans="1:9" x14ac:dyDescent="0.25">
      <c r="A2179" s="16" t="s">
        <v>3163</v>
      </c>
      <c r="B2179" s="16" t="str">
        <f>TEXT(PARTIDA[[#This Row],[PARTIDA]],"0000000000")</f>
        <v>2918221000</v>
      </c>
      <c r="C2179" s="16" t="s">
        <v>815</v>
      </c>
      <c r="D2179" s="16" t="s">
        <v>835</v>
      </c>
      <c r="E2179" s="16" t="s">
        <v>9465</v>
      </c>
      <c r="F2179" s="27" t="s">
        <v>11150</v>
      </c>
      <c r="G2179" s="27"/>
      <c r="H2179" s="16" t="str">
        <f>IF(ISBLANK(PARTIDAS!$G2179),PARTIDAS!$F2179,CONCATENATE(PARTIDAS!$F2179," (",PARTIDAS!$G2179,")"))</f>
        <v>Ácido o-acetilsalicílico</v>
      </c>
      <c r="I2179" s="16" t="s">
        <v>9427</v>
      </c>
    </row>
    <row r="2180" spans="1:9" x14ac:dyDescent="0.25">
      <c r="A2180" s="16" t="s">
        <v>3164</v>
      </c>
      <c r="B2180" s="16" t="str">
        <f>TEXT(PARTIDA[[#This Row],[PARTIDA]],"0000000000")</f>
        <v>2918222000</v>
      </c>
      <c r="C2180" s="16" t="s">
        <v>815</v>
      </c>
      <c r="D2180" s="16" t="s">
        <v>835</v>
      </c>
      <c r="E2180" s="16" t="s">
        <v>9465</v>
      </c>
      <c r="F2180" s="27" t="s">
        <v>11070</v>
      </c>
      <c r="G2180" s="27"/>
      <c r="H2180" s="16" t="str">
        <f>IF(ISBLANK(PARTIDAS!$G2180),PARTIDAS!$F2180,CONCATENATE(PARTIDAS!$F2180," (",PARTIDAS!$G2180,")"))</f>
        <v>Sales y ésteres</v>
      </c>
      <c r="I2180" s="16" t="s">
        <v>9427</v>
      </c>
    </row>
    <row r="2181" spans="1:9" x14ac:dyDescent="0.25">
      <c r="A2181" s="16" t="s">
        <v>3165</v>
      </c>
      <c r="B2181" s="16" t="str">
        <f>TEXT(PARTIDA[[#This Row],[PARTIDA]],"0000000000")</f>
        <v>2918230000</v>
      </c>
      <c r="C2181" s="16" t="s">
        <v>815</v>
      </c>
      <c r="D2181" s="16" t="s">
        <v>835</v>
      </c>
      <c r="E2181" s="16" t="s">
        <v>9465</v>
      </c>
      <c r="F2181" s="27" t="s">
        <v>11151</v>
      </c>
      <c r="G2181" s="27"/>
      <c r="H2181" s="16" t="str">
        <f>IF(ISBLANK(PARTIDAS!$G2181),PARTIDAS!$F2181,CONCATENATE(PARTIDAS!$F2181," (",PARTIDAS!$G2181,")"))</f>
        <v>Ácidos carboxílicos con función fenol, pero sin otra función… (los demás, ésteres del ácido salicílico y sus sales)</v>
      </c>
      <c r="I2181" s="16" t="s">
        <v>9427</v>
      </c>
    </row>
    <row r="2182" spans="1:9" x14ac:dyDescent="0.25">
      <c r="A2182" s="16" t="s">
        <v>3166</v>
      </c>
      <c r="B2182" s="16" t="str">
        <f>TEXT(PARTIDA[[#This Row],[PARTIDA]],"0000000000")</f>
        <v>2918291100</v>
      </c>
      <c r="C2182" s="16" t="s">
        <v>815</v>
      </c>
      <c r="D2182" s="16" t="s">
        <v>835</v>
      </c>
      <c r="E2182" s="16" t="s">
        <v>9465</v>
      </c>
      <c r="F2182" s="27" t="s">
        <v>11152</v>
      </c>
      <c r="G2182" s="27"/>
      <c r="H2182" s="16" t="str">
        <f>IF(ISBLANK(PARTIDAS!$G2182),PARTIDAS!$F2182,CONCATENATE(PARTIDAS!$F2182," (",PARTIDAS!$G2182,")"))</f>
        <v>P-Hidroxibenzoato de metilo</v>
      </c>
      <c r="I2182" s="16" t="s">
        <v>9427</v>
      </c>
    </row>
    <row r="2183" spans="1:9" x14ac:dyDescent="0.25">
      <c r="A2183" s="16" t="s">
        <v>3167</v>
      </c>
      <c r="B2183" s="16" t="str">
        <f>TEXT(PARTIDA[[#This Row],[PARTIDA]],"0000000000")</f>
        <v>2918291200</v>
      </c>
      <c r="C2183" s="16" t="s">
        <v>815</v>
      </c>
      <c r="D2183" s="16" t="s">
        <v>835</v>
      </c>
      <c r="E2183" s="16" t="s">
        <v>9465</v>
      </c>
      <c r="F2183" s="27" t="s">
        <v>11153</v>
      </c>
      <c r="G2183" s="27"/>
      <c r="H2183" s="16" t="str">
        <f>IF(ISBLANK(PARTIDAS!$G2183),PARTIDAS!$F2183,CONCATENATE(PARTIDAS!$F2183," (",PARTIDAS!$G2183,")"))</f>
        <v>P-Hidroxibenzoato de propilo</v>
      </c>
      <c r="I2183" s="16" t="s">
        <v>9427</v>
      </c>
    </row>
    <row r="2184" spans="1:9" x14ac:dyDescent="0.25">
      <c r="A2184" s="16" t="s">
        <v>3168</v>
      </c>
      <c r="B2184" s="16" t="str">
        <f>TEXT(PARTIDA[[#This Row],[PARTIDA]],"0000000000")</f>
        <v>2918291900</v>
      </c>
      <c r="C2184" s="16" t="s">
        <v>815</v>
      </c>
      <c r="D2184" s="16" t="s">
        <v>835</v>
      </c>
      <c r="E2184" s="16" t="s">
        <v>9465</v>
      </c>
      <c r="F2184" s="27" t="s">
        <v>11154</v>
      </c>
      <c r="G2184" s="27"/>
      <c r="H2184" s="16" t="str">
        <f>IF(ISBLANK(PARTIDAS!$G2184),PARTIDAS!$F2184,CONCATENATE(PARTIDAS!$F2184," (",PARTIDAS!$G2184,")"))</f>
        <v>Ácido p-Hidroxibenzoico, sus sales y sus ésteres (los demás)</v>
      </c>
      <c r="I2184" s="16" t="s">
        <v>9427</v>
      </c>
    </row>
    <row r="2185" spans="1:9" x14ac:dyDescent="0.25">
      <c r="A2185" s="16" t="s">
        <v>3169</v>
      </c>
      <c r="B2185" s="16" t="str">
        <f>TEXT(PARTIDA[[#This Row],[PARTIDA]],"0000000000")</f>
        <v>2918299000</v>
      </c>
      <c r="C2185" s="16" t="s">
        <v>815</v>
      </c>
      <c r="D2185" s="16" t="s">
        <v>835</v>
      </c>
      <c r="E2185" s="16" t="s">
        <v>9465</v>
      </c>
      <c r="F2185" s="27" t="s">
        <v>11155</v>
      </c>
      <c r="G2185" s="27"/>
      <c r="H2185" s="16" t="str">
        <f>IF(ISBLANK(PARTIDAS!$G2185),PARTIDAS!$F2185,CONCATENATE(PARTIDAS!$F2185," (",PARTIDAS!$G2185,")"))</f>
        <v>Ácidos carboxílicos con función fenol, pero sin otra función… (los demás)</v>
      </c>
      <c r="I2185" s="16" t="s">
        <v>9427</v>
      </c>
    </row>
    <row r="2186" spans="1:9" x14ac:dyDescent="0.25">
      <c r="A2186" s="16" t="s">
        <v>3170</v>
      </c>
      <c r="B2186" s="16" t="str">
        <f>TEXT(PARTIDA[[#This Row],[PARTIDA]],"0000000000")</f>
        <v>2918300000</v>
      </c>
      <c r="C2186" s="16" t="s">
        <v>815</v>
      </c>
      <c r="D2186" s="16" t="s">
        <v>835</v>
      </c>
      <c r="E2186" s="16" t="s">
        <v>9465</v>
      </c>
      <c r="F2186" s="27" t="s">
        <v>11156</v>
      </c>
      <c r="G2186" s="27"/>
      <c r="H2186" s="16" t="str">
        <f>IF(ISBLANK(PARTIDAS!$G2186),PARTIDAS!$F2186,CONCATENATE(PARTIDAS!$F2186," (",PARTIDAS!$G2186,")"))</f>
        <v>Ácidos carboxílicos con función aldehído o cetona, pero sin otra función oxigenada, sus anhídridos, halogenuros, peróxidos, peroxiácidos y sus derivad</v>
      </c>
      <c r="I2186" s="16" t="s">
        <v>9427</v>
      </c>
    </row>
    <row r="2187" spans="1:9" x14ac:dyDescent="0.25">
      <c r="A2187" s="16" t="s">
        <v>3171</v>
      </c>
      <c r="B2187" s="16" t="str">
        <f>TEXT(PARTIDA[[#This Row],[PARTIDA]],"0000000000")</f>
        <v>2918910000</v>
      </c>
      <c r="C2187" s="16" t="s">
        <v>815</v>
      </c>
      <c r="D2187" s="16" t="s">
        <v>835</v>
      </c>
      <c r="E2187" s="16" t="s">
        <v>9465</v>
      </c>
      <c r="F2187" s="27" t="s">
        <v>11157</v>
      </c>
      <c r="G2187" s="27"/>
      <c r="H2187" s="16" t="str">
        <f>IF(ISBLANK(PARTIDAS!$G2187),PARTIDAS!$F2187,CONCATENATE(PARTIDAS!$F2187," (",PARTIDAS!$G2187,")"))</f>
        <v>Ácidos carboxílicos con funciones oxigenadas suplementarias y sus…, 2,4,5-T (ISO) (ácido 2,4,5-triclorofenoxiacético), sus sales y sus ésteres</v>
      </c>
      <c r="I2187" s="16" t="s">
        <v>9427</v>
      </c>
    </row>
    <row r="2188" spans="1:9" x14ac:dyDescent="0.25">
      <c r="A2188" s="16" t="s">
        <v>3172</v>
      </c>
      <c r="B2188" s="16" t="str">
        <f>TEXT(PARTIDA[[#This Row],[PARTIDA]],"0000000000")</f>
        <v>2918991100</v>
      </c>
      <c r="C2188" s="16" t="s">
        <v>815</v>
      </c>
      <c r="D2188" s="16" t="s">
        <v>835</v>
      </c>
      <c r="E2188" s="16" t="s">
        <v>9465</v>
      </c>
      <c r="F2188" s="27" t="s">
        <v>11158</v>
      </c>
      <c r="G2188" s="27"/>
      <c r="H2188" s="16" t="str">
        <f>IF(ISBLANK(PARTIDAS!$G2188),PARTIDAS!$F2188,CONCATENATE(PARTIDAS!$F2188," (",PARTIDAS!$G2188,")"))</f>
        <v>Ácidos carboxílicos con funciones oxigenadas…, 2,4-D (ISO) (ácido 2,4-diclorofenoxiacético) y sus sales, 2,4-D (ISO)</v>
      </c>
      <c r="I2188" s="16" t="s">
        <v>9427</v>
      </c>
    </row>
    <row r="2189" spans="1:9" x14ac:dyDescent="0.25">
      <c r="A2189" s="16" t="s">
        <v>3173</v>
      </c>
      <c r="B2189" s="16" t="str">
        <f>TEXT(PARTIDA[[#This Row],[PARTIDA]],"0000000000")</f>
        <v>2918991200</v>
      </c>
      <c r="C2189" s="16" t="s">
        <v>815</v>
      </c>
      <c r="D2189" s="16" t="s">
        <v>835</v>
      </c>
      <c r="E2189" s="16" t="s">
        <v>9465</v>
      </c>
      <c r="F2189" s="27" t="s">
        <v>11159</v>
      </c>
      <c r="G2189" s="27"/>
      <c r="H2189" s="16" t="str">
        <f>IF(ISBLANK(PARTIDAS!$G2189),PARTIDAS!$F2189,CONCATENATE(PARTIDAS!$F2189," (",PARTIDAS!$G2189,")"))</f>
        <v>Ácidos carboxílicos con funciones oxigenadas…, 2,4-D (ISO) (ácido 2,4-diclorofenoxiacético) y sus sales, sales</v>
      </c>
      <c r="I2189" s="16" t="s">
        <v>9427</v>
      </c>
    </row>
    <row r="2190" spans="1:9" x14ac:dyDescent="0.25">
      <c r="A2190" s="16" t="s">
        <v>3174</v>
      </c>
      <c r="B2190" s="16" t="str">
        <f>TEXT(PARTIDA[[#This Row],[PARTIDA]],"0000000000")</f>
        <v>2918992000</v>
      </c>
      <c r="C2190" s="16" t="s">
        <v>815</v>
      </c>
      <c r="D2190" s="16" t="s">
        <v>835</v>
      </c>
      <c r="E2190" s="16" t="s">
        <v>9465</v>
      </c>
      <c r="F2190" s="27" t="s">
        <v>11160</v>
      </c>
      <c r="G2190" s="27"/>
      <c r="H2190" s="16" t="str">
        <f>IF(ISBLANK(PARTIDAS!$G2190),PARTIDAS!$F2190,CONCATENATE(PARTIDAS!$F2190," (",PARTIDAS!$G2190,")"))</f>
        <v>Ésteres del 2,4-D</v>
      </c>
      <c r="I2190" s="16" t="s">
        <v>9427</v>
      </c>
    </row>
    <row r="2191" spans="1:9" x14ac:dyDescent="0.25">
      <c r="A2191" s="16" t="s">
        <v>3175</v>
      </c>
      <c r="B2191" s="16" t="str">
        <f>TEXT(PARTIDA[[#This Row],[PARTIDA]],"0000000000")</f>
        <v>2918993000</v>
      </c>
      <c r="C2191" s="16" t="s">
        <v>815</v>
      </c>
      <c r="D2191" s="16" t="s">
        <v>835</v>
      </c>
      <c r="E2191" s="16" t="s">
        <v>9465</v>
      </c>
      <c r="F2191" s="27" t="s">
        <v>11161</v>
      </c>
      <c r="G2191" s="27"/>
      <c r="H2191" s="16" t="str">
        <f>IF(ISBLANK(PARTIDAS!$G2191),PARTIDAS!$F2191,CONCATENATE(PARTIDAS!$F2191," (",PARTIDAS!$G2191,")"))</f>
        <v>Dicamba (ISO)</v>
      </c>
      <c r="I2191" s="16" t="s">
        <v>9427</v>
      </c>
    </row>
    <row r="2192" spans="1:9" x14ac:dyDescent="0.25">
      <c r="A2192" s="16" t="s">
        <v>3176</v>
      </c>
      <c r="B2192" s="16" t="str">
        <f>TEXT(PARTIDA[[#This Row],[PARTIDA]],"0000000000")</f>
        <v>2918994000</v>
      </c>
      <c r="C2192" s="16" t="s">
        <v>815</v>
      </c>
      <c r="D2192" s="16" t="s">
        <v>835</v>
      </c>
      <c r="E2192" s="16" t="s">
        <v>9465</v>
      </c>
      <c r="F2192" s="27" t="s">
        <v>11162</v>
      </c>
      <c r="G2192" s="27"/>
      <c r="H2192" s="16" t="str">
        <f>IF(ISBLANK(PARTIDAS!$G2192),PARTIDAS!$F2192,CONCATENATE(PARTIDAS!$F2192," (",PARTIDAS!$G2192,")"))</f>
        <v>MCPA (ISO)</v>
      </c>
      <c r="I2192" s="16" t="s">
        <v>9427</v>
      </c>
    </row>
    <row r="2193" spans="1:9" x14ac:dyDescent="0.25">
      <c r="A2193" s="16" t="s">
        <v>3177</v>
      </c>
      <c r="B2193" s="16" t="str">
        <f>TEXT(PARTIDA[[#This Row],[PARTIDA]],"0000000000")</f>
        <v>2918995000</v>
      </c>
      <c r="C2193" s="16" t="s">
        <v>815</v>
      </c>
      <c r="D2193" s="16" t="s">
        <v>835</v>
      </c>
      <c r="E2193" s="16" t="s">
        <v>9465</v>
      </c>
      <c r="F2193" s="27" t="s">
        <v>11163</v>
      </c>
      <c r="G2193" s="27"/>
      <c r="H2193" s="16" t="str">
        <f>IF(ISBLANK(PARTIDAS!$G2193),PARTIDAS!$F2193,CONCATENATE(PARTIDAS!$F2193," (",PARTIDAS!$G2193,")"))</f>
        <v>Ácidos carboxílicos con funciones oxigenadas suplementarias y sus…, 2,4-DB (Ácido 4-(2,4-diclorofenoxi) butírico)</v>
      </c>
      <c r="I2193" s="16" t="s">
        <v>9427</v>
      </c>
    </row>
    <row r="2194" spans="1:9" x14ac:dyDescent="0.25">
      <c r="A2194" s="16" t="s">
        <v>3178</v>
      </c>
      <c r="B2194" s="16" t="str">
        <f>TEXT(PARTIDA[[#This Row],[PARTIDA]],"0000000000")</f>
        <v>2918996000</v>
      </c>
      <c r="C2194" s="16" t="s">
        <v>815</v>
      </c>
      <c r="D2194" s="16" t="s">
        <v>835</v>
      </c>
      <c r="E2194" s="16" t="s">
        <v>9465</v>
      </c>
      <c r="F2194" s="27" t="s">
        <v>11164</v>
      </c>
      <c r="G2194" s="27"/>
      <c r="H2194" s="16" t="str">
        <f>IF(ISBLANK(PARTIDAS!$G2194),PARTIDAS!$F2194,CONCATENATE(PARTIDAS!$F2194," (",PARTIDAS!$G2194,")"))</f>
        <v>Diclorprop (ISO)</v>
      </c>
      <c r="I2194" s="16" t="s">
        <v>9427</v>
      </c>
    </row>
    <row r="2195" spans="1:9" x14ac:dyDescent="0.25">
      <c r="A2195" s="16" t="s">
        <v>3179</v>
      </c>
      <c r="B2195" s="16" t="str">
        <f>TEXT(PARTIDA[[#This Row],[PARTIDA]],"0000000000")</f>
        <v>2918997000</v>
      </c>
      <c r="C2195" s="16" t="s">
        <v>815</v>
      </c>
      <c r="D2195" s="16" t="s">
        <v>835</v>
      </c>
      <c r="E2195" s="16" t="s">
        <v>9465</v>
      </c>
      <c r="F2195" s="27" t="s">
        <v>11165</v>
      </c>
      <c r="G2195" s="27"/>
      <c r="H2195" s="16" t="str">
        <f>IF(ISBLANK(PARTIDAS!$G2195),PARTIDAS!$F2195,CONCATENATE(PARTIDAS!$F2195," (",PARTIDAS!$G2195,")"))</f>
        <v>Diclofop-metilo (2-(4-(2,4-diclorofenoxi)fenoxi) propionato de metilo)</v>
      </c>
      <c r="I2195" s="16" t="s">
        <v>9427</v>
      </c>
    </row>
    <row r="2196" spans="1:9" x14ac:dyDescent="0.25">
      <c r="A2196" s="16" t="s">
        <v>3180</v>
      </c>
      <c r="B2196" s="16" t="str">
        <f>TEXT(PARTIDA[[#This Row],[PARTIDA]],"0000000000")</f>
        <v>2918999100</v>
      </c>
      <c r="C2196" s="16" t="s">
        <v>815</v>
      </c>
      <c r="D2196" s="16" t="s">
        <v>835</v>
      </c>
      <c r="E2196" s="16" t="s">
        <v>9465</v>
      </c>
      <c r="F2196" s="27" t="s">
        <v>11166</v>
      </c>
      <c r="G2196" s="27"/>
      <c r="H2196" s="16" t="str">
        <f>IF(ISBLANK(PARTIDAS!$G2196),PARTIDAS!$F2196,CONCATENATE(PARTIDAS!$F2196," (",PARTIDAS!$G2196,")"))</f>
        <v>Naproxeno sódico</v>
      </c>
      <c r="I2196" s="16" t="s">
        <v>9427</v>
      </c>
    </row>
    <row r="2197" spans="1:9" x14ac:dyDescent="0.25">
      <c r="A2197" s="16" t="s">
        <v>3181</v>
      </c>
      <c r="B2197" s="16" t="str">
        <f>TEXT(PARTIDA[[#This Row],[PARTIDA]],"0000000000")</f>
        <v>2918999200</v>
      </c>
      <c r="C2197" s="16" t="s">
        <v>815</v>
      </c>
      <c r="D2197" s="16" t="s">
        <v>835</v>
      </c>
      <c r="E2197" s="16" t="s">
        <v>9465</v>
      </c>
      <c r="F2197" s="27" t="s">
        <v>11167</v>
      </c>
      <c r="G2197" s="27"/>
      <c r="H2197" s="16" t="str">
        <f>IF(ISBLANK(PARTIDAS!$G2197),PARTIDAS!$F2197,CONCATENATE(PARTIDAS!$F2197," (",PARTIDAS!$G2197,")"))</f>
        <v>Ácido 2,4 diclorofenoxipropiónico</v>
      </c>
      <c r="I2197" s="16" t="s">
        <v>9427</v>
      </c>
    </row>
    <row r="2198" spans="1:9" x14ac:dyDescent="0.25">
      <c r="A2198" s="16" t="s">
        <v>3182</v>
      </c>
      <c r="B2198" s="16" t="str">
        <f>TEXT(PARTIDA[[#This Row],[PARTIDA]],"0000000000")</f>
        <v>2918999900</v>
      </c>
      <c r="C2198" s="16" t="s">
        <v>815</v>
      </c>
      <c r="D2198" s="16" t="s">
        <v>835</v>
      </c>
      <c r="E2198" s="16" t="s">
        <v>9465</v>
      </c>
      <c r="F2198" s="27" t="s">
        <v>11168</v>
      </c>
      <c r="G2198" s="27"/>
      <c r="H2198" s="16" t="str">
        <f>IF(ISBLANK(PARTIDAS!$G2198),PARTIDAS!$F2198,CONCATENATE(PARTIDAS!$F2198," (",PARTIDAS!$G2198,")"))</f>
        <v>Ácidos carboxílicos con funciones oxigenadas suplementarias y sus… (los demás)</v>
      </c>
      <c r="I2198" s="16" t="s">
        <v>9427</v>
      </c>
    </row>
    <row r="2199" spans="1:9" x14ac:dyDescent="0.25">
      <c r="A2199" s="16" t="s">
        <v>3183</v>
      </c>
      <c r="B2199" s="16" t="str">
        <f>TEXT(PARTIDA[[#This Row],[PARTIDA]],"0000000000")</f>
        <v>2919100000</v>
      </c>
      <c r="C2199" s="16" t="s">
        <v>815</v>
      </c>
      <c r="D2199" s="16" t="s">
        <v>835</v>
      </c>
      <c r="E2199" s="16" t="s">
        <v>9465</v>
      </c>
      <c r="F2199" s="27" t="s">
        <v>11169</v>
      </c>
      <c r="G2199" s="27"/>
      <c r="H2199" s="16" t="str">
        <f>IF(ISBLANK(PARTIDAS!$G2199),PARTIDAS!$F2199,CONCATENATE(PARTIDAS!$F2199," (",PARTIDAS!$G2199,")"))</f>
        <v>Fosfato de tris(2,3-dibromopropilo)</v>
      </c>
      <c r="I2199" s="16" t="s">
        <v>9427</v>
      </c>
    </row>
    <row r="2200" spans="1:9" x14ac:dyDescent="0.25">
      <c r="A2200" s="16" t="s">
        <v>3184</v>
      </c>
      <c r="B2200" s="16" t="str">
        <f>TEXT(PARTIDA[[#This Row],[PARTIDA]],"0000000000")</f>
        <v>2919901100</v>
      </c>
      <c r="C2200" s="16" t="s">
        <v>815</v>
      </c>
      <c r="D2200" s="16" t="s">
        <v>835</v>
      </c>
      <c r="E2200" s="16" t="s">
        <v>9465</v>
      </c>
      <c r="F2200" s="27" t="s">
        <v>11170</v>
      </c>
      <c r="G2200" s="27"/>
      <c r="H2200" s="16" t="str">
        <f>IF(ISBLANK(PARTIDAS!$G2200),PARTIDAS!$F2200,CONCATENATE(PARTIDAS!$F2200," (",PARTIDAS!$G2200,")"))</f>
        <v>Glicerofosfato de sodio</v>
      </c>
      <c r="I2200" s="16" t="s">
        <v>9427</v>
      </c>
    </row>
    <row r="2201" spans="1:9" x14ac:dyDescent="0.25">
      <c r="A2201" s="16" t="s">
        <v>3185</v>
      </c>
      <c r="B2201" s="16" t="str">
        <f>TEXT(PARTIDA[[#This Row],[PARTIDA]],"0000000000")</f>
        <v>2919901900</v>
      </c>
      <c r="C2201" s="16" t="s">
        <v>815</v>
      </c>
      <c r="D2201" s="16" t="s">
        <v>835</v>
      </c>
      <c r="E2201" s="16" t="s">
        <v>9465</v>
      </c>
      <c r="F2201" s="27" t="s">
        <v>11171</v>
      </c>
      <c r="G2201" s="27"/>
      <c r="H2201" s="16" t="str">
        <f>IF(ISBLANK(PARTIDAS!$G2201),PARTIDAS!$F2201,CONCATENATE(PARTIDAS!$F2201," (",PARTIDAS!$G2201,")"))</f>
        <v>Ácido glicerofosfórico, sus sales y derivados (los demás)</v>
      </c>
      <c r="I2201" s="16" t="s">
        <v>9427</v>
      </c>
    </row>
    <row r="2202" spans="1:9" x14ac:dyDescent="0.25">
      <c r="A2202" s="16" t="s">
        <v>3186</v>
      </c>
      <c r="B2202" s="16" t="str">
        <f>TEXT(PARTIDA[[#This Row],[PARTIDA]],"0000000000")</f>
        <v>2919902000</v>
      </c>
      <c r="C2202" s="16" t="s">
        <v>815</v>
      </c>
      <c r="D2202" s="16" t="s">
        <v>835</v>
      </c>
      <c r="E2202" s="16" t="s">
        <v>9465</v>
      </c>
      <c r="F2202" s="27" t="s">
        <v>11172</v>
      </c>
      <c r="G2202" s="27"/>
      <c r="H2202" s="16" t="str">
        <f>IF(ISBLANK(PARTIDAS!$G2202),PARTIDAS!$F2202,CONCATENATE(PARTIDAS!$F2202," (",PARTIDAS!$G2202,")"))</f>
        <v>Dimetil-dicloro-vinil-fosfato (DDVP)</v>
      </c>
      <c r="I2202" s="16" t="s">
        <v>9427</v>
      </c>
    </row>
    <row r="2203" spans="1:9" x14ac:dyDescent="0.25">
      <c r="A2203" s="16" t="s">
        <v>3187</v>
      </c>
      <c r="B2203" s="16" t="str">
        <f>TEXT(PARTIDA[[#This Row],[PARTIDA]],"0000000000")</f>
        <v>2919903000</v>
      </c>
      <c r="C2203" s="16" t="s">
        <v>815</v>
      </c>
      <c r="D2203" s="16" t="s">
        <v>835</v>
      </c>
      <c r="E2203" s="16" t="s">
        <v>9465</v>
      </c>
      <c r="F2203" s="27" t="s">
        <v>11173</v>
      </c>
      <c r="G2203" s="27"/>
      <c r="H2203" s="16" t="str">
        <f>IF(ISBLANK(PARTIDAS!$G2203),PARTIDAS!$F2203,CONCATENATE(PARTIDAS!$F2203," (",PARTIDAS!$G2203,")"))</f>
        <v>Clorfenvinfos (ISO)</v>
      </c>
      <c r="I2203" s="16" t="s">
        <v>9427</v>
      </c>
    </row>
    <row r="2204" spans="1:9" x14ac:dyDescent="0.25">
      <c r="A2204" s="16" t="s">
        <v>3188</v>
      </c>
      <c r="B2204" s="16" t="str">
        <f>TEXT(PARTIDA[[#This Row],[PARTIDA]],"0000000000")</f>
        <v>2919909000</v>
      </c>
      <c r="C2204" s="16" t="s">
        <v>815</v>
      </c>
      <c r="D2204" s="16" t="s">
        <v>835</v>
      </c>
      <c r="E2204" s="16" t="s">
        <v>9465</v>
      </c>
      <c r="F2204" s="27" t="s">
        <v>11174</v>
      </c>
      <c r="G2204" s="27"/>
      <c r="H2204" s="16" t="str">
        <f>IF(ISBLANK(PARTIDAS!$G2204),PARTIDAS!$F2204,CONCATENATE(PARTIDAS!$F2204," (",PARTIDAS!$G2204,")"))</f>
        <v>Ésteres fosfóricos y sus sales, incluidos los lactofosfatos (los demás)</v>
      </c>
      <c r="I2204" s="16" t="s">
        <v>9427</v>
      </c>
    </row>
    <row r="2205" spans="1:9" x14ac:dyDescent="0.25">
      <c r="A2205" s="16" t="s">
        <v>3189</v>
      </c>
      <c r="B2205" s="16" t="str">
        <f>TEXT(PARTIDA[[#This Row],[PARTIDA]],"0000000000")</f>
        <v>2920111000</v>
      </c>
      <c r="C2205" s="16" t="s">
        <v>815</v>
      </c>
      <c r="D2205" s="16" t="s">
        <v>835</v>
      </c>
      <c r="E2205" s="16" t="s">
        <v>9465</v>
      </c>
      <c r="F2205" s="27" t="s">
        <v>11175</v>
      </c>
      <c r="G2205" s="27"/>
      <c r="H2205" s="16" t="str">
        <f>IF(ISBLANK(PARTIDAS!$G2205),PARTIDAS!$F2205,CONCATENATE(PARTIDAS!$F2205," (",PARTIDAS!$G2205,")"))</f>
        <v>Paratión (ISO) (paratión etílico)</v>
      </c>
      <c r="I2205" s="16" t="s">
        <v>9427</v>
      </c>
    </row>
    <row r="2206" spans="1:9" x14ac:dyDescent="0.25">
      <c r="A2206" s="16" t="s">
        <v>3190</v>
      </c>
      <c r="B2206" s="16" t="str">
        <f>TEXT(PARTIDA[[#This Row],[PARTIDA]],"0000000000")</f>
        <v>2920112000</v>
      </c>
      <c r="C2206" s="16" t="s">
        <v>815</v>
      </c>
      <c r="D2206" s="16" t="s">
        <v>835</v>
      </c>
      <c r="E2206" s="16" t="s">
        <v>9465</v>
      </c>
      <c r="F2206" s="27" t="s">
        <v>11176</v>
      </c>
      <c r="G2206" s="27"/>
      <c r="H2206" s="16" t="str">
        <f>IF(ISBLANK(PARTIDAS!$G2206),PARTIDAS!$F2206,CONCATENATE(PARTIDAS!$F2206," (",PARTIDAS!$G2206,")"))</f>
        <v>Paratión-metilo (ISO) (metil paratión)</v>
      </c>
      <c r="I2206" s="16" t="s">
        <v>9427</v>
      </c>
    </row>
    <row r="2207" spans="1:9" x14ac:dyDescent="0.25">
      <c r="A2207" s="16" t="s">
        <v>3191</v>
      </c>
      <c r="B2207" s="16" t="str">
        <f>TEXT(PARTIDA[[#This Row],[PARTIDA]],"0000000000")</f>
        <v>2920192000</v>
      </c>
      <c r="C2207" s="16" t="s">
        <v>815</v>
      </c>
      <c r="D2207" s="16" t="s">
        <v>835</v>
      </c>
      <c r="E2207" s="16" t="s">
        <v>9465</v>
      </c>
      <c r="F2207" s="27" t="s">
        <v>11177</v>
      </c>
      <c r="G2207" s="27"/>
      <c r="H2207" s="16" t="str">
        <f>IF(ISBLANK(PARTIDAS!$G2207),PARTIDAS!$F2207,CONCATENATE(PARTIDAS!$F2207," (",PARTIDAS!$G2207,")"))</f>
        <v>Benzotíofosfato de O-etil-o-p-nitrofenilo (EPN)</v>
      </c>
      <c r="I2207" s="16" t="s">
        <v>9427</v>
      </c>
    </row>
    <row r="2208" spans="1:9" x14ac:dyDescent="0.25">
      <c r="A2208" s="16" t="s">
        <v>3192</v>
      </c>
      <c r="B2208" s="16" t="str">
        <f>TEXT(PARTIDA[[#This Row],[PARTIDA]],"0000000000")</f>
        <v>2920199000</v>
      </c>
      <c r="C2208" s="16" t="s">
        <v>815</v>
      </c>
      <c r="D2208" s="16" t="s">
        <v>835</v>
      </c>
      <c r="E2208" s="16" t="s">
        <v>9465</v>
      </c>
      <c r="F2208" s="27" t="s">
        <v>11178</v>
      </c>
      <c r="G2208" s="27"/>
      <c r="H2208" s="16" t="str">
        <f>IF(ISBLANK(PARTIDAS!$G2208),PARTIDAS!$F2208,CONCATENATE(PARTIDAS!$F2208," (",PARTIDAS!$G2208,")"))</f>
        <v>Ésteres tiofosfóricos (fosforotioatos) y sus sales (los demás)</v>
      </c>
      <c r="I2208" s="16" t="s">
        <v>9427</v>
      </c>
    </row>
    <row r="2209" spans="1:9" x14ac:dyDescent="0.25">
      <c r="A2209" s="16" t="s">
        <v>3193</v>
      </c>
      <c r="B2209" s="16" t="str">
        <f>TEXT(PARTIDA[[#This Row],[PARTIDA]],"0000000000")</f>
        <v>2920210000</v>
      </c>
      <c r="C2209" s="16" t="s">
        <v>815</v>
      </c>
      <c r="D2209" s="16" t="s">
        <v>835</v>
      </c>
      <c r="E2209" s="16" t="s">
        <v>9465</v>
      </c>
      <c r="F2209" s="27" t="s">
        <v>11179</v>
      </c>
      <c r="G2209" s="27"/>
      <c r="H2209" s="16" t="str">
        <f>IF(ISBLANK(PARTIDAS!$G2209),PARTIDAS!$F2209,CONCATENATE(PARTIDAS!$F2209," (",PARTIDAS!$G2209,")"))</f>
        <v>Fosfito de dimetilo</v>
      </c>
      <c r="I2209" s="16" t="s">
        <v>9427</v>
      </c>
    </row>
    <row r="2210" spans="1:9" x14ac:dyDescent="0.25">
      <c r="A2210" s="16" t="s">
        <v>3194</v>
      </c>
      <c r="B2210" s="16" t="str">
        <f>TEXT(PARTIDA[[#This Row],[PARTIDA]],"0000000000")</f>
        <v>2920220000</v>
      </c>
      <c r="C2210" s="16" t="s">
        <v>815</v>
      </c>
      <c r="D2210" s="16" t="s">
        <v>835</v>
      </c>
      <c r="E2210" s="16" t="s">
        <v>9465</v>
      </c>
      <c r="F2210" s="27" t="s">
        <v>11180</v>
      </c>
      <c r="G2210" s="27"/>
      <c r="H2210" s="16" t="str">
        <f>IF(ISBLANK(PARTIDAS!$G2210),PARTIDAS!$F2210,CONCATENATE(PARTIDAS!$F2210," (",PARTIDAS!$G2210,")"))</f>
        <v>Fosfito de dietilo</v>
      </c>
      <c r="I2210" s="16" t="s">
        <v>9427</v>
      </c>
    </row>
    <row r="2211" spans="1:9" x14ac:dyDescent="0.25">
      <c r="A2211" s="16" t="s">
        <v>3195</v>
      </c>
      <c r="B2211" s="16" t="str">
        <f>TEXT(PARTIDA[[#This Row],[PARTIDA]],"0000000000")</f>
        <v>2920230000</v>
      </c>
      <c r="C2211" s="16" t="s">
        <v>815</v>
      </c>
      <c r="D2211" s="16" t="s">
        <v>835</v>
      </c>
      <c r="E2211" s="16" t="s">
        <v>9465</v>
      </c>
      <c r="F2211" s="27" t="s">
        <v>11181</v>
      </c>
      <c r="G2211" s="27"/>
      <c r="H2211" s="16" t="str">
        <f>IF(ISBLANK(PARTIDAS!$G2211),PARTIDAS!$F2211,CONCATENATE(PARTIDAS!$F2211," (",PARTIDAS!$G2211,")"))</f>
        <v>Fosfito de trimetilo</v>
      </c>
      <c r="I2211" s="16" t="s">
        <v>9427</v>
      </c>
    </row>
    <row r="2212" spans="1:9" x14ac:dyDescent="0.25">
      <c r="A2212" s="16" t="s">
        <v>3196</v>
      </c>
      <c r="B2212" s="16" t="str">
        <f>TEXT(PARTIDA[[#This Row],[PARTIDA]],"0000000000")</f>
        <v>2920240000</v>
      </c>
      <c r="C2212" s="16" t="s">
        <v>815</v>
      </c>
      <c r="D2212" s="16" t="s">
        <v>835</v>
      </c>
      <c r="E2212" s="16" t="s">
        <v>9465</v>
      </c>
      <c r="F2212" s="27" t="s">
        <v>11182</v>
      </c>
      <c r="G2212" s="27"/>
      <c r="H2212" s="16" t="str">
        <f>IF(ISBLANK(PARTIDAS!$G2212),PARTIDAS!$F2212,CONCATENATE(PARTIDAS!$F2212," (",PARTIDAS!$G2212,")"))</f>
        <v>Fosfito de trietilo</v>
      </c>
      <c r="I2212" s="16" t="s">
        <v>9427</v>
      </c>
    </row>
    <row r="2213" spans="1:9" x14ac:dyDescent="0.25">
      <c r="A2213" s="16" t="s">
        <v>3197</v>
      </c>
      <c r="B2213" s="16" t="str">
        <f>TEXT(PARTIDA[[#This Row],[PARTIDA]],"0000000000")</f>
        <v>2920290000</v>
      </c>
      <c r="C2213" s="16" t="s">
        <v>815</v>
      </c>
      <c r="D2213" s="16" t="s">
        <v>835</v>
      </c>
      <c r="E2213" s="16" t="s">
        <v>9465</v>
      </c>
      <c r="F2213" s="27" t="s">
        <v>11183</v>
      </c>
      <c r="G2213" s="27"/>
      <c r="H2213" s="16" t="str">
        <f>IF(ISBLANK(PARTIDAS!$G2213),PARTIDAS!$F2213,CONCATENATE(PARTIDAS!$F2213," (",PARTIDAS!$G2213,")"))</f>
        <v>Ésteres de fosfitos y sus sales (los demás)</v>
      </c>
      <c r="I2213" s="16" t="s">
        <v>9427</v>
      </c>
    </row>
    <row r="2214" spans="1:9" x14ac:dyDescent="0.25">
      <c r="A2214" s="16" t="s">
        <v>3198</v>
      </c>
      <c r="B2214" s="16" t="str">
        <f>TEXT(PARTIDA[[#This Row],[PARTIDA]],"0000000000")</f>
        <v>2920300000</v>
      </c>
      <c r="C2214" s="16" t="s">
        <v>815</v>
      </c>
      <c r="D2214" s="16" t="s">
        <v>835</v>
      </c>
      <c r="E2214" s="16" t="s">
        <v>9465</v>
      </c>
      <c r="F2214" s="27" t="s">
        <v>11184</v>
      </c>
      <c r="G2214" s="27"/>
      <c r="H2214" s="16" t="str">
        <f>IF(ISBLANK(PARTIDAS!$G2214),PARTIDAS!$F2214,CONCATENATE(PARTIDAS!$F2214," (",PARTIDAS!$G2214,")"))</f>
        <v>Endosulfán (ISO)</v>
      </c>
      <c r="I2214" s="16" t="s">
        <v>9427</v>
      </c>
    </row>
    <row r="2215" spans="1:9" x14ac:dyDescent="0.25">
      <c r="A2215" s="16" t="s">
        <v>3199</v>
      </c>
      <c r="B2215" s="16" t="str">
        <f>TEXT(PARTIDA[[#This Row],[PARTIDA]],"0000000000")</f>
        <v>2920901000</v>
      </c>
      <c r="C2215" s="16" t="s">
        <v>815</v>
      </c>
      <c r="D2215" s="16" t="s">
        <v>835</v>
      </c>
      <c r="E2215" s="16" t="s">
        <v>9465</v>
      </c>
      <c r="F2215" s="27" t="s">
        <v>11185</v>
      </c>
      <c r="G2215" s="27"/>
      <c r="H2215" s="16" t="str">
        <f>IF(ISBLANK(PARTIDAS!$G2215),PARTIDAS!$F2215,CONCATENATE(PARTIDAS!$F2215," (",PARTIDAS!$G2215,")"))</f>
        <v>Nitroglicerina (nitroglicerol)</v>
      </c>
      <c r="I2215" s="16" t="s">
        <v>9427</v>
      </c>
    </row>
    <row r="2216" spans="1:9" x14ac:dyDescent="0.25">
      <c r="A2216" s="16" t="s">
        <v>3200</v>
      </c>
      <c r="B2216" s="16" t="str">
        <f>TEXT(PARTIDA[[#This Row],[PARTIDA]],"0000000000")</f>
        <v>2920902000</v>
      </c>
      <c r="C2216" s="16" t="s">
        <v>815</v>
      </c>
      <c r="D2216" s="16" t="s">
        <v>835</v>
      </c>
      <c r="E2216" s="16" t="s">
        <v>9465</v>
      </c>
      <c r="F2216" s="27" t="s">
        <v>11186</v>
      </c>
      <c r="G2216" s="27"/>
      <c r="H2216" s="16" t="str">
        <f>IF(ISBLANK(PARTIDAS!$G2216),PARTIDAS!$F2216,CONCATENATE(PARTIDAS!$F2216," (",PARTIDAS!$G2216,")"))</f>
        <v>Pentrita (tetranitropentaeritritol)</v>
      </c>
      <c r="I2216" s="16" t="s">
        <v>9427</v>
      </c>
    </row>
    <row r="2217" spans="1:9" x14ac:dyDescent="0.25">
      <c r="A2217" s="16" t="s">
        <v>3201</v>
      </c>
      <c r="B2217" s="16" t="str">
        <f>TEXT(PARTIDA[[#This Row],[PARTIDA]],"0000000000")</f>
        <v>2920909000</v>
      </c>
      <c r="C2217" s="16" t="s">
        <v>815</v>
      </c>
      <c r="D2217" s="16" t="s">
        <v>835</v>
      </c>
      <c r="E2217" s="16" t="s">
        <v>9465</v>
      </c>
      <c r="F2217" s="27" t="s">
        <v>11187</v>
      </c>
      <c r="G2217" s="27"/>
      <c r="H2217" s="16" t="str">
        <f>IF(ISBLANK(PARTIDAS!$G2217),PARTIDAS!$F2217,CONCATENATE(PARTIDAS!$F2217," (",PARTIDAS!$G2217,")"))</f>
        <v>Ésteres de los demás ácidos inorgánicos de los no metales (los demás)</v>
      </c>
      <c r="I2217" s="16" t="s">
        <v>9427</v>
      </c>
    </row>
    <row r="2218" spans="1:9" x14ac:dyDescent="0.25">
      <c r="A2218" s="16" t="s">
        <v>3202</v>
      </c>
      <c r="B2218" s="16" t="str">
        <f>TEXT(PARTIDA[[#This Row],[PARTIDA]],"0000000000")</f>
        <v>2921110000</v>
      </c>
      <c r="C2218" s="16" t="s">
        <v>815</v>
      </c>
      <c r="D2218" s="16" t="s">
        <v>835</v>
      </c>
      <c r="E2218" s="16" t="s">
        <v>9465</v>
      </c>
      <c r="F2218" s="27" t="s">
        <v>11188</v>
      </c>
      <c r="G2218" s="27"/>
      <c r="H2218" s="16" t="str">
        <f>IF(ISBLANK(PARTIDAS!$G2218),PARTIDAS!$F2218,CONCATENATE(PARTIDAS!$F2218," (",PARTIDAS!$G2218,")"))</f>
        <v>Mono-, di- o trimetilamina y sus sales</v>
      </c>
      <c r="I2218" s="16" t="s">
        <v>9427</v>
      </c>
    </row>
    <row r="2219" spans="1:9" x14ac:dyDescent="0.25">
      <c r="A2219" s="16" t="s">
        <v>3203</v>
      </c>
      <c r="B2219" s="16" t="str">
        <f>TEXT(PARTIDA[[#This Row],[PARTIDA]],"0000000000")</f>
        <v>2921120000</v>
      </c>
      <c r="C2219" s="16" t="s">
        <v>815</v>
      </c>
      <c r="D2219" s="16" t="s">
        <v>835</v>
      </c>
      <c r="E2219" s="16" t="s">
        <v>9465</v>
      </c>
      <c r="F2219" s="27" t="s">
        <v>11189</v>
      </c>
      <c r="G2219" s="27"/>
      <c r="H2219" s="16" t="str">
        <f>IF(ISBLANK(PARTIDAS!$G2219),PARTIDAS!$F2219,CONCATENATE(PARTIDAS!$F2219," (",PARTIDAS!$G2219,")"))</f>
        <v>Clorhidrato de 2-cloroetil (N,N-dimetilamina)</v>
      </c>
      <c r="I2219" s="16" t="s">
        <v>9427</v>
      </c>
    </row>
    <row r="2220" spans="1:9" x14ac:dyDescent="0.25">
      <c r="A2220" s="16" t="s">
        <v>3204</v>
      </c>
      <c r="B2220" s="16" t="str">
        <f>TEXT(PARTIDA[[#This Row],[PARTIDA]],"0000000000")</f>
        <v>2921130000</v>
      </c>
      <c r="C2220" s="16" t="s">
        <v>815</v>
      </c>
      <c r="D2220" s="16" t="s">
        <v>835</v>
      </c>
      <c r="E2220" s="16" t="s">
        <v>9465</v>
      </c>
      <c r="F2220" s="27" t="s">
        <v>11190</v>
      </c>
      <c r="G2220" s="27"/>
      <c r="H2220" s="16" t="str">
        <f>IF(ISBLANK(PARTIDAS!$G2220),PARTIDAS!$F2220,CONCATENATE(PARTIDAS!$F2220," (",PARTIDAS!$G2220,")"))</f>
        <v>Clorhidrato de 2-cloroetil (N,N-dietilamina)</v>
      </c>
      <c r="I2220" s="16" t="s">
        <v>9427</v>
      </c>
    </row>
    <row r="2221" spans="1:9" x14ac:dyDescent="0.25">
      <c r="A2221" s="16" t="s">
        <v>3205</v>
      </c>
      <c r="B2221" s="16" t="str">
        <f>TEXT(PARTIDA[[#This Row],[PARTIDA]],"0000000000")</f>
        <v>2921140000</v>
      </c>
      <c r="C2221" s="16" t="s">
        <v>815</v>
      </c>
      <c r="D2221" s="16" t="s">
        <v>835</v>
      </c>
      <c r="E2221" s="16" t="s">
        <v>9465</v>
      </c>
      <c r="F2221" s="27" t="s">
        <v>11191</v>
      </c>
      <c r="G2221" s="27"/>
      <c r="H2221" s="16" t="str">
        <f>IF(ISBLANK(PARTIDAS!$G2221),PARTIDAS!$F2221,CONCATENATE(PARTIDAS!$F2221," (",PARTIDAS!$G2221,")"))</f>
        <v>Clorhidrato de 2-cloroetil (N,N-diisopropilamina)</v>
      </c>
      <c r="I2221" s="16" t="s">
        <v>9427</v>
      </c>
    </row>
    <row r="2222" spans="1:9" x14ac:dyDescent="0.25">
      <c r="A2222" s="16" t="s">
        <v>3206</v>
      </c>
      <c r="B2222" s="16" t="str">
        <f>TEXT(PARTIDA[[#This Row],[PARTIDA]],"0000000000")</f>
        <v>2921191000</v>
      </c>
      <c r="C2222" s="16" t="s">
        <v>815</v>
      </c>
      <c r="D2222" s="16" t="s">
        <v>835</v>
      </c>
      <c r="E2222" s="16" t="s">
        <v>9465</v>
      </c>
      <c r="F2222" s="27" t="s">
        <v>11192</v>
      </c>
      <c r="G2222" s="27"/>
      <c r="H2222" s="16" t="str">
        <f>IF(ISBLANK(PARTIDAS!$G2222),PARTIDAS!$F2222,CONCATENATE(PARTIDAS!$F2222," (",PARTIDAS!$G2222,")"))</f>
        <v>Monoaminas acíclicas y sus derivados, bis(2-cloroetil)etilamina</v>
      </c>
      <c r="I2222" s="16" t="s">
        <v>9427</v>
      </c>
    </row>
    <row r="2223" spans="1:9" x14ac:dyDescent="0.25">
      <c r="A2223" s="16" t="s">
        <v>3207</v>
      </c>
      <c r="B2223" s="16" t="str">
        <f>TEXT(PARTIDA[[#This Row],[PARTIDA]],"0000000000")</f>
        <v>2921192000</v>
      </c>
      <c r="C2223" s="16" t="s">
        <v>815</v>
      </c>
      <c r="D2223" s="16" t="s">
        <v>835</v>
      </c>
      <c r="E2223" s="16" t="s">
        <v>9465</v>
      </c>
      <c r="F2223" s="27" t="s">
        <v>11193</v>
      </c>
      <c r="G2223" s="27"/>
      <c r="H2223" s="16" t="str">
        <f>IF(ISBLANK(PARTIDAS!$G2223),PARTIDAS!$F2223,CONCATENATE(PARTIDAS!$F2223," (",PARTIDAS!$G2223,")"))</f>
        <v>Clormetina (DCI) (bis(2-cloro-etil)metilamina)</v>
      </c>
      <c r="I2223" s="16" t="s">
        <v>9427</v>
      </c>
    </row>
    <row r="2224" spans="1:9" x14ac:dyDescent="0.25">
      <c r="A2224" s="16" t="s">
        <v>3208</v>
      </c>
      <c r="B2224" s="16" t="str">
        <f>TEXT(PARTIDA[[#This Row],[PARTIDA]],"0000000000")</f>
        <v>2921193000</v>
      </c>
      <c r="C2224" s="16" t="s">
        <v>815</v>
      </c>
      <c r="D2224" s="16" t="s">
        <v>835</v>
      </c>
      <c r="E2224" s="16" t="s">
        <v>9465</v>
      </c>
      <c r="F2224" s="27" t="s">
        <v>11194</v>
      </c>
      <c r="G2224" s="27"/>
      <c r="H2224" s="16" t="str">
        <f>IF(ISBLANK(PARTIDAS!$G2224),PARTIDAS!$F2224,CONCATENATE(PARTIDAS!$F2224," (",PARTIDAS!$G2224,")"))</f>
        <v>Triclormetina (DCI) (tris(2-cloroetil)amina)</v>
      </c>
      <c r="I2224" s="16" t="s">
        <v>9427</v>
      </c>
    </row>
    <row r="2225" spans="1:9" x14ac:dyDescent="0.25">
      <c r="A2225" s="16" t="s">
        <v>3209</v>
      </c>
      <c r="B2225" s="16" t="str">
        <f>TEXT(PARTIDA[[#This Row],[PARTIDA]],"0000000000")</f>
        <v>2921194100</v>
      </c>
      <c r="C2225" s="16" t="s">
        <v>815</v>
      </c>
      <c r="D2225" s="16" t="s">
        <v>835</v>
      </c>
      <c r="E2225" s="16" t="s">
        <v>9465</v>
      </c>
      <c r="F2225" s="27" t="s">
        <v>11195</v>
      </c>
      <c r="G2225" s="27"/>
      <c r="H2225" s="16" t="str">
        <f>IF(ISBLANK(PARTIDAS!$G2225),PARTIDAS!$F2225,CONCATENATE(PARTIDAS!$F2225," (",PARTIDAS!$G2225,")"))</f>
        <v>N,N-dialquil (metil, etil, n-propil o isopropil)2-cloroetilaminas y…, 2-Cloro N,N – dimetiletilamina hidrocloruro (DMC)</v>
      </c>
      <c r="I2225" s="16" t="s">
        <v>9427</v>
      </c>
    </row>
    <row r="2226" spans="1:9" x14ac:dyDescent="0.25">
      <c r="A2226" s="16" t="s">
        <v>3210</v>
      </c>
      <c r="B2226" s="16" t="str">
        <f>TEXT(PARTIDA[[#This Row],[PARTIDA]],"0000000000")</f>
        <v>2921194200</v>
      </c>
      <c r="C2226" s="16" t="s">
        <v>815</v>
      </c>
      <c r="D2226" s="16" t="s">
        <v>835</v>
      </c>
      <c r="E2226" s="16" t="s">
        <v>9465</v>
      </c>
      <c r="F2226" s="27" t="s">
        <v>11196</v>
      </c>
      <c r="G2226" s="27"/>
      <c r="H2226" s="16" t="str">
        <f>IF(ISBLANK(PARTIDAS!$G2226),PARTIDAS!$F2226,CONCATENATE(PARTIDAS!$F2226," (",PARTIDAS!$G2226,")"))</f>
        <v>N,N-dialquil (metil, etil, n-propil o isopropil)2-cloroetilaminas y…, 2-Clorotrietilamina clorhidrato</v>
      </c>
      <c r="I2226" s="16" t="s">
        <v>9427</v>
      </c>
    </row>
    <row r="2227" spans="1:9" x14ac:dyDescent="0.25">
      <c r="A2227" s="16" t="s">
        <v>3211</v>
      </c>
      <c r="B2227" s="16" t="str">
        <f>TEXT(PARTIDA[[#This Row],[PARTIDA]],"0000000000")</f>
        <v>2921194900</v>
      </c>
      <c r="C2227" s="16" t="s">
        <v>815</v>
      </c>
      <c r="D2227" s="16" t="s">
        <v>835</v>
      </c>
      <c r="E2227" s="16" t="s">
        <v>9465</v>
      </c>
      <c r="F2227" s="27" t="s">
        <v>11197</v>
      </c>
      <c r="G2227" s="27"/>
      <c r="H2227" s="16" t="str">
        <f>IF(ISBLANK(PARTIDAS!$G2227),PARTIDAS!$F2227,CONCATENATE(PARTIDAS!$F2227," (",PARTIDAS!$G2227,")"))</f>
        <v>N,N-dialquil (metil, etil, n-propil o isopropil)2-cloroetilaminas y… (los demás)</v>
      </c>
      <c r="I2227" s="16" t="s">
        <v>9427</v>
      </c>
    </row>
    <row r="2228" spans="1:9" x14ac:dyDescent="0.25">
      <c r="A2228" s="16" t="s">
        <v>3212</v>
      </c>
      <c r="B2228" s="16" t="str">
        <f>TEXT(PARTIDA[[#This Row],[PARTIDA]],"0000000000")</f>
        <v>2921195000</v>
      </c>
      <c r="C2228" s="16" t="s">
        <v>815</v>
      </c>
      <c r="D2228" s="16" t="s">
        <v>835</v>
      </c>
      <c r="E2228" s="16" t="s">
        <v>9465</v>
      </c>
      <c r="F2228" s="27" t="s">
        <v>11198</v>
      </c>
      <c r="G2228" s="27"/>
      <c r="H2228" s="16" t="str">
        <f>IF(ISBLANK(PARTIDAS!$G2228),PARTIDAS!$F2228,CONCATENATE(PARTIDAS!$F2228," (",PARTIDAS!$G2228,")"))</f>
        <v>Dietilamina y sus sales</v>
      </c>
      <c r="I2228" s="16" t="s">
        <v>9427</v>
      </c>
    </row>
    <row r="2229" spans="1:9" x14ac:dyDescent="0.25">
      <c r="A2229" s="16" t="s">
        <v>3213</v>
      </c>
      <c r="B2229" s="16" t="str">
        <f>TEXT(PARTIDA[[#This Row],[PARTIDA]],"0000000000")</f>
        <v>2921199000</v>
      </c>
      <c r="C2229" s="16" t="s">
        <v>815</v>
      </c>
      <c r="D2229" s="16" t="s">
        <v>835</v>
      </c>
      <c r="E2229" s="16" t="s">
        <v>9465</v>
      </c>
      <c r="F2229" s="27" t="s">
        <v>11199</v>
      </c>
      <c r="G2229" s="27"/>
      <c r="H2229" s="16" t="str">
        <f>IF(ISBLANK(PARTIDAS!$G2229),PARTIDAS!$F2229,CONCATENATE(PARTIDAS!$F2229," (",PARTIDAS!$G2229,")"))</f>
        <v>Monoaminas acíclicas y sus derivados (los demás)</v>
      </c>
      <c r="I2229" s="16" t="s">
        <v>9427</v>
      </c>
    </row>
    <row r="2230" spans="1:9" x14ac:dyDescent="0.25">
      <c r="A2230" s="16" t="s">
        <v>3214</v>
      </c>
      <c r="B2230" s="16" t="str">
        <f>TEXT(PARTIDA[[#This Row],[PARTIDA]],"0000000000")</f>
        <v>2921210000</v>
      </c>
      <c r="C2230" s="16" t="s">
        <v>815</v>
      </c>
      <c r="D2230" s="16" t="s">
        <v>835</v>
      </c>
      <c r="E2230" s="16" t="s">
        <v>9465</v>
      </c>
      <c r="F2230" s="27" t="s">
        <v>11200</v>
      </c>
      <c r="G2230" s="27"/>
      <c r="H2230" s="16" t="str">
        <f>IF(ISBLANK(PARTIDAS!$G2230),PARTIDAS!$F2230,CONCATENATE(PARTIDAS!$F2230," (",PARTIDAS!$G2230,")"))</f>
        <v>Etilendiamina y sus sales</v>
      </c>
      <c r="I2230" s="16" t="s">
        <v>9427</v>
      </c>
    </row>
    <row r="2231" spans="1:9" x14ac:dyDescent="0.25">
      <c r="A2231" s="16" t="s">
        <v>3215</v>
      </c>
      <c r="B2231" s="16" t="str">
        <f>TEXT(PARTIDA[[#This Row],[PARTIDA]],"0000000000")</f>
        <v>2921220000</v>
      </c>
      <c r="C2231" s="16" t="s">
        <v>815</v>
      </c>
      <c r="D2231" s="16" t="s">
        <v>835</v>
      </c>
      <c r="E2231" s="16" t="s">
        <v>9465</v>
      </c>
      <c r="F2231" s="27" t="s">
        <v>11201</v>
      </c>
      <c r="G2231" s="27"/>
      <c r="H2231" s="16" t="str">
        <f>IF(ISBLANK(PARTIDAS!$G2231),PARTIDAS!$F2231,CONCATENATE(PARTIDAS!$F2231," (",PARTIDAS!$G2231,")"))</f>
        <v>Hexametilendiamina y sus sales</v>
      </c>
      <c r="I2231" s="16" t="s">
        <v>9427</v>
      </c>
    </row>
    <row r="2232" spans="1:9" x14ac:dyDescent="0.25">
      <c r="A2232" s="16" t="s">
        <v>3216</v>
      </c>
      <c r="B2232" s="16" t="str">
        <f>TEXT(PARTIDA[[#This Row],[PARTIDA]],"0000000000")</f>
        <v>2921290000</v>
      </c>
      <c r="C2232" s="16" t="s">
        <v>815</v>
      </c>
      <c r="D2232" s="16" t="s">
        <v>835</v>
      </c>
      <c r="E2232" s="16" t="s">
        <v>9465</v>
      </c>
      <c r="F2232" s="27" t="s">
        <v>11202</v>
      </c>
      <c r="G2232" s="27"/>
      <c r="H2232" s="16" t="str">
        <f>IF(ISBLANK(PARTIDAS!$G2232),PARTIDAS!$F2232,CONCATENATE(PARTIDAS!$F2232," (",PARTIDAS!$G2232,")"))</f>
        <v>Poliaminas acíclicas y sus derivados (los demás)</v>
      </c>
      <c r="I2232" s="16" t="s">
        <v>9427</v>
      </c>
    </row>
    <row r="2233" spans="1:9" x14ac:dyDescent="0.25">
      <c r="A2233" s="16" t="s">
        <v>3217</v>
      </c>
      <c r="B2233" s="16" t="str">
        <f>TEXT(PARTIDA[[#This Row],[PARTIDA]],"0000000000")</f>
        <v>2921300000</v>
      </c>
      <c r="C2233" s="16" t="s">
        <v>815</v>
      </c>
      <c r="D2233" s="16" t="s">
        <v>835</v>
      </c>
      <c r="E2233" s="16" t="s">
        <v>9465</v>
      </c>
      <c r="F2233" s="27" t="s">
        <v>11203</v>
      </c>
      <c r="G2233" s="27"/>
      <c r="H2233" s="16" t="str">
        <f>IF(ISBLANK(PARTIDAS!$G2233),PARTIDAS!$F2233,CONCATENATE(PARTIDAS!$F2233," (",PARTIDAS!$G2233,")"))</f>
        <v>Monoaminas y poliaminas, ciclánicas, ciclénicas o cicloterpénicas, y sus derivados; sales de estos productos</v>
      </c>
      <c r="I2233" s="16" t="s">
        <v>9427</v>
      </c>
    </row>
    <row r="2234" spans="1:9" x14ac:dyDescent="0.25">
      <c r="A2234" s="16" t="s">
        <v>3218</v>
      </c>
      <c r="B2234" s="16" t="str">
        <f>TEXT(PARTIDA[[#This Row],[PARTIDA]],"0000000000")</f>
        <v>2921410000</v>
      </c>
      <c r="C2234" s="16" t="s">
        <v>815</v>
      </c>
      <c r="D2234" s="16" t="s">
        <v>835</v>
      </c>
      <c r="E2234" s="16" t="s">
        <v>9465</v>
      </c>
      <c r="F2234" s="27" t="s">
        <v>11204</v>
      </c>
      <c r="G2234" s="27"/>
      <c r="H2234" s="16" t="str">
        <f>IF(ISBLANK(PARTIDAS!$G2234),PARTIDAS!$F2234,CONCATENATE(PARTIDAS!$F2234," (",PARTIDAS!$G2234,")"))</f>
        <v>Anilina y sus sales</v>
      </c>
      <c r="I2234" s="16" t="s">
        <v>9427</v>
      </c>
    </row>
    <row r="2235" spans="1:9" x14ac:dyDescent="0.25">
      <c r="A2235" s="16" t="s">
        <v>3219</v>
      </c>
      <c r="B2235" s="16" t="str">
        <f>TEXT(PARTIDA[[#This Row],[PARTIDA]],"0000000000")</f>
        <v>2921421000</v>
      </c>
      <c r="C2235" s="16" t="s">
        <v>815</v>
      </c>
      <c r="D2235" s="16" t="s">
        <v>835</v>
      </c>
      <c r="E2235" s="16" t="s">
        <v>9465</v>
      </c>
      <c r="F2235" s="27" t="s">
        <v>11205</v>
      </c>
      <c r="G2235" s="27"/>
      <c r="H2235" s="16" t="str">
        <f>IF(ISBLANK(PARTIDAS!$G2235),PARTIDAS!$F2235,CONCATENATE(PARTIDAS!$F2235," (",PARTIDAS!$G2235,")"))</f>
        <v>Derivados de la anilina y sus sales, cloroanilinas</v>
      </c>
      <c r="I2235" s="16" t="s">
        <v>9427</v>
      </c>
    </row>
    <row r="2236" spans="1:9" x14ac:dyDescent="0.25">
      <c r="A2236" s="16" t="s">
        <v>3220</v>
      </c>
      <c r="B2236" s="16" t="str">
        <f>TEXT(PARTIDA[[#This Row],[PARTIDA]],"0000000000")</f>
        <v>2921422000</v>
      </c>
      <c r="C2236" s="16" t="s">
        <v>815</v>
      </c>
      <c r="D2236" s="16" t="s">
        <v>835</v>
      </c>
      <c r="E2236" s="16" t="s">
        <v>9465</v>
      </c>
      <c r="F2236" s="27" t="s">
        <v>11206</v>
      </c>
      <c r="G2236" s="27"/>
      <c r="H2236" s="16" t="str">
        <f>IF(ISBLANK(PARTIDAS!$G2236),PARTIDAS!$F2236,CONCATENATE(PARTIDAS!$F2236," (",PARTIDAS!$G2236,")"))</f>
        <v>N-metil-N,2,4,6-tetranitroanilina (tetril)</v>
      </c>
      <c r="I2236" s="16" t="s">
        <v>9427</v>
      </c>
    </row>
    <row r="2237" spans="1:9" x14ac:dyDescent="0.25">
      <c r="A2237" s="16" t="s">
        <v>3221</v>
      </c>
      <c r="B2237" s="16" t="str">
        <f>TEXT(PARTIDA[[#This Row],[PARTIDA]],"0000000000")</f>
        <v>2921429000</v>
      </c>
      <c r="C2237" s="16" t="s">
        <v>815</v>
      </c>
      <c r="D2237" s="16" t="s">
        <v>835</v>
      </c>
      <c r="E2237" s="16" t="s">
        <v>9465</v>
      </c>
      <c r="F2237" s="27" t="s">
        <v>11207</v>
      </c>
      <c r="G2237" s="27"/>
      <c r="H2237" s="16" t="str">
        <f>IF(ISBLANK(PARTIDAS!$G2237),PARTIDAS!$F2237,CONCATENATE(PARTIDAS!$F2237," (",PARTIDAS!$G2237,")"))</f>
        <v>Derivados de la anilina y sus sales (los demás)</v>
      </c>
      <c r="I2237" s="16" t="s">
        <v>9427</v>
      </c>
    </row>
    <row r="2238" spans="1:9" x14ac:dyDescent="0.25">
      <c r="A2238" s="16" t="s">
        <v>3222</v>
      </c>
      <c r="B2238" s="16" t="str">
        <f>TEXT(PARTIDA[[#This Row],[PARTIDA]],"0000000000")</f>
        <v>2921430000</v>
      </c>
      <c r="C2238" s="16" t="s">
        <v>815</v>
      </c>
      <c r="D2238" s="16" t="s">
        <v>835</v>
      </c>
      <c r="E2238" s="16" t="s">
        <v>9465</v>
      </c>
      <c r="F2238" s="27" t="s">
        <v>11208</v>
      </c>
      <c r="G2238" s="27"/>
      <c r="H2238" s="16" t="str">
        <f>IF(ISBLANK(PARTIDAS!$G2238),PARTIDAS!$F2238,CONCATENATE(PARTIDAS!$F2238," (",PARTIDAS!$G2238,")"))</f>
        <v>Toluidinas y sus derivados; sales de estos productos</v>
      </c>
      <c r="I2238" s="16" t="s">
        <v>9427</v>
      </c>
    </row>
    <row r="2239" spans="1:9" x14ac:dyDescent="0.25">
      <c r="A2239" s="16" t="s">
        <v>3223</v>
      </c>
      <c r="B2239" s="16" t="str">
        <f>TEXT(PARTIDA[[#This Row],[PARTIDA]],"0000000000")</f>
        <v>2921440000</v>
      </c>
      <c r="C2239" s="16" t="s">
        <v>815</v>
      </c>
      <c r="D2239" s="16" t="s">
        <v>835</v>
      </c>
      <c r="E2239" s="16" t="s">
        <v>9465</v>
      </c>
      <c r="F2239" s="27" t="s">
        <v>11209</v>
      </c>
      <c r="G2239" s="27"/>
      <c r="H2239" s="16" t="str">
        <f>IF(ISBLANK(PARTIDAS!$G2239),PARTIDAS!$F2239,CONCATENATE(PARTIDAS!$F2239," (",PARTIDAS!$G2239,")"))</f>
        <v>Difenilamina y sus derivados; sales de estos productos</v>
      </c>
      <c r="I2239" s="16" t="s">
        <v>9427</v>
      </c>
    </row>
    <row r="2240" spans="1:9" x14ac:dyDescent="0.25">
      <c r="A2240" s="16" t="s">
        <v>3224</v>
      </c>
      <c r="B2240" s="16" t="str">
        <f>TEXT(PARTIDA[[#This Row],[PARTIDA]],"0000000000")</f>
        <v>2921450000</v>
      </c>
      <c r="C2240" s="16" t="s">
        <v>815</v>
      </c>
      <c r="D2240" s="16" t="s">
        <v>835</v>
      </c>
      <c r="E2240" s="16" t="s">
        <v>9465</v>
      </c>
      <c r="F2240" s="27" t="s">
        <v>11210</v>
      </c>
      <c r="G2240" s="27"/>
      <c r="H2240" s="16" t="str">
        <f>IF(ISBLANK(PARTIDAS!$G2240),PARTIDAS!$F2240,CONCATENATE(PARTIDAS!$F2240," (",PARTIDAS!$G2240,")"))</f>
        <v>Monoaminas aromáticas y sus derivados, 1-Naftilamina (alfa-naftilamina), 2-naftilamina (beta-naftilamina), y sus derivados; sales de estos productos</v>
      </c>
      <c r="I2240" s="16" t="s">
        <v>9427</v>
      </c>
    </row>
    <row r="2241" spans="1:9" x14ac:dyDescent="0.25">
      <c r="A2241" s="16" t="s">
        <v>3225</v>
      </c>
      <c r="B2241" s="16" t="str">
        <f>TEXT(PARTIDA[[#This Row],[PARTIDA]],"0000000000")</f>
        <v>2921461000</v>
      </c>
      <c r="C2241" s="16" t="s">
        <v>815</v>
      </c>
      <c r="D2241" s="16" t="s">
        <v>835</v>
      </c>
      <c r="E2241" s="16" t="s">
        <v>9465</v>
      </c>
      <c r="F2241" s="27" t="s">
        <v>11211</v>
      </c>
      <c r="G2241" s="27"/>
      <c r="H2241" s="16" t="str">
        <f>IF(ISBLANK(PARTIDAS!$G2241),PARTIDAS!$F2241,CONCATENATE(PARTIDAS!$F2241," (",PARTIDAS!$G2241,")"))</f>
        <v>Anfetamina (DCI)</v>
      </c>
      <c r="I2241" s="16" t="s">
        <v>9427</v>
      </c>
    </row>
    <row r="2242" spans="1:9" x14ac:dyDescent="0.25">
      <c r="A2242" s="16" t="s">
        <v>3226</v>
      </c>
      <c r="B2242" s="16" t="str">
        <f>TEXT(PARTIDA[[#This Row],[PARTIDA]],"0000000000")</f>
        <v>2921462000</v>
      </c>
      <c r="C2242" s="16" t="s">
        <v>815</v>
      </c>
      <c r="D2242" s="16" t="s">
        <v>835</v>
      </c>
      <c r="E2242" s="16" t="s">
        <v>9465</v>
      </c>
      <c r="F2242" s="27" t="s">
        <v>11212</v>
      </c>
      <c r="G2242" s="27"/>
      <c r="H2242" s="16" t="str">
        <f>IF(ISBLANK(PARTIDAS!$G2242),PARTIDAS!$F2242,CONCATENATE(PARTIDAS!$F2242," (",PARTIDAS!$G2242,")"))</f>
        <v>Benzfetamina (DCI), dexanfetamina (DCI), etilanfetamina (DCI) y fencanfamina (DCI)</v>
      </c>
      <c r="I2242" s="16" t="s">
        <v>9427</v>
      </c>
    </row>
    <row r="2243" spans="1:9" x14ac:dyDescent="0.25">
      <c r="A2243" s="16" t="s">
        <v>3227</v>
      </c>
      <c r="B2243" s="16" t="str">
        <f>TEXT(PARTIDA[[#This Row],[PARTIDA]],"0000000000")</f>
        <v>2921463000</v>
      </c>
      <c r="C2243" s="16" t="s">
        <v>815</v>
      </c>
      <c r="D2243" s="16" t="s">
        <v>835</v>
      </c>
      <c r="E2243" s="16" t="s">
        <v>9465</v>
      </c>
      <c r="F2243" s="27" t="s">
        <v>11213</v>
      </c>
      <c r="G2243" s="27"/>
      <c r="H2243" s="16" t="str">
        <f>IF(ISBLANK(PARTIDAS!$G2243),PARTIDAS!$F2243,CONCATENATE(PARTIDAS!$F2243," (",PARTIDAS!$G2243,")"))</f>
        <v>Lefetamina (DCI), levanfetamina (DCI), mefenorex (DCI) y fentermina (DCI)</v>
      </c>
      <c r="I2243" s="16" t="s">
        <v>9427</v>
      </c>
    </row>
    <row r="2244" spans="1:9" x14ac:dyDescent="0.25">
      <c r="A2244" s="16" t="s">
        <v>3228</v>
      </c>
      <c r="B2244" s="16" t="str">
        <f>TEXT(PARTIDA[[#This Row],[PARTIDA]],"0000000000")</f>
        <v>2921469000</v>
      </c>
      <c r="C2244" s="16" t="s">
        <v>815</v>
      </c>
      <c r="D2244" s="16" t="s">
        <v>835</v>
      </c>
      <c r="E2244" s="16" t="s">
        <v>9465</v>
      </c>
      <c r="F2244" s="27" t="s">
        <v>11214</v>
      </c>
      <c r="G2244" s="27"/>
      <c r="H2244" s="16" t="str">
        <f>IF(ISBLANK(PARTIDAS!$G2244),PARTIDAS!$F2244,CONCATENATE(PARTIDAS!$F2244," (",PARTIDAS!$G2244,")"))</f>
        <v>Anfetamina (DCI), benzfetamina (DCI), dexanfetamina (DCI)… (los demás)</v>
      </c>
      <c r="I2244" s="16" t="s">
        <v>9427</v>
      </c>
    </row>
    <row r="2245" spans="1:9" x14ac:dyDescent="0.25">
      <c r="A2245" s="16" t="s">
        <v>3229</v>
      </c>
      <c r="B2245" s="16" t="str">
        <f>TEXT(PARTIDA[[#This Row],[PARTIDA]],"0000000000")</f>
        <v>2921491000</v>
      </c>
      <c r="C2245" s="16" t="s">
        <v>815</v>
      </c>
      <c r="D2245" s="16" t="s">
        <v>835</v>
      </c>
      <c r="E2245" s="16" t="s">
        <v>9465</v>
      </c>
      <c r="F2245" s="27" t="s">
        <v>11215</v>
      </c>
      <c r="G2245" s="27"/>
      <c r="H2245" s="16" t="str">
        <f>IF(ISBLANK(PARTIDAS!$G2245),PARTIDAS!$F2245,CONCATENATE(PARTIDAS!$F2245," (",PARTIDAS!$G2245,")"))</f>
        <v>Monoaminas aromáticas y sus derivados, xilidinas</v>
      </c>
      <c r="I2245" s="16" t="s">
        <v>9427</v>
      </c>
    </row>
    <row r="2246" spans="1:9" x14ac:dyDescent="0.25">
      <c r="A2246" s="16" t="s">
        <v>3230</v>
      </c>
      <c r="B2246" s="16" t="str">
        <f>TEXT(PARTIDA[[#This Row],[PARTIDA]],"0000000000")</f>
        <v>2921499000</v>
      </c>
      <c r="C2246" s="16" t="s">
        <v>815</v>
      </c>
      <c r="D2246" s="16" t="s">
        <v>835</v>
      </c>
      <c r="E2246" s="16" t="s">
        <v>9465</v>
      </c>
      <c r="F2246" s="27" t="s">
        <v>11216</v>
      </c>
      <c r="G2246" s="27"/>
      <c r="H2246" s="16" t="str">
        <f>IF(ISBLANK(PARTIDAS!$G2246),PARTIDAS!$F2246,CONCATENATE(PARTIDAS!$F2246," (",PARTIDAS!$G2246,")"))</f>
        <v>Monoaminas aromáticas y sus derivados (los demás)</v>
      </c>
      <c r="I2246" s="16" t="s">
        <v>9427</v>
      </c>
    </row>
    <row r="2247" spans="1:9" x14ac:dyDescent="0.25">
      <c r="A2247" s="16" t="s">
        <v>3231</v>
      </c>
      <c r="B2247" s="16" t="str">
        <f>TEXT(PARTIDA[[#This Row],[PARTIDA]],"0000000000")</f>
        <v>2921510000</v>
      </c>
      <c r="C2247" s="16" t="s">
        <v>815</v>
      </c>
      <c r="D2247" s="16" t="s">
        <v>835</v>
      </c>
      <c r="E2247" s="16" t="s">
        <v>9465</v>
      </c>
      <c r="F2247" s="27" t="s">
        <v>11217</v>
      </c>
      <c r="G2247" s="27"/>
      <c r="H2247" s="16" t="str">
        <f>IF(ISBLANK(PARTIDAS!$G2247),PARTIDAS!$F2247,CONCATENATE(PARTIDAS!$F2247," (",PARTIDAS!$G2247,")"))</f>
        <v>O-, m- y p-Fenilendiamina, diaminotoluenos, y sus derivados; sales de estos productos</v>
      </c>
      <c r="I2247" s="16" t="s">
        <v>9427</v>
      </c>
    </row>
    <row r="2248" spans="1:9" x14ac:dyDescent="0.25">
      <c r="A2248" s="16" t="s">
        <v>3232</v>
      </c>
      <c r="B2248" s="16" t="str">
        <f>TEXT(PARTIDA[[#This Row],[PARTIDA]],"0000000000")</f>
        <v>2921590000</v>
      </c>
      <c r="C2248" s="16" t="s">
        <v>815</v>
      </c>
      <c r="D2248" s="16" t="s">
        <v>835</v>
      </c>
      <c r="E2248" s="16" t="s">
        <v>9465</v>
      </c>
      <c r="F2248" s="27" t="s">
        <v>11218</v>
      </c>
      <c r="G2248" s="27"/>
      <c r="H2248" s="16" t="str">
        <f>IF(ISBLANK(PARTIDAS!$G2248),PARTIDAS!$F2248,CONCATENATE(PARTIDAS!$F2248," (",PARTIDAS!$G2248,")"))</f>
        <v>Poliaminas aromáticas y sus derivados (los demás)</v>
      </c>
      <c r="I2248" s="16" t="s">
        <v>9427</v>
      </c>
    </row>
    <row r="2249" spans="1:9" x14ac:dyDescent="0.25">
      <c r="A2249" s="16" t="s">
        <v>3233</v>
      </c>
      <c r="B2249" s="16" t="str">
        <f>TEXT(PARTIDA[[#This Row],[PARTIDA]],"0000000000")</f>
        <v>2922111000</v>
      </c>
      <c r="C2249" s="16" t="s">
        <v>815</v>
      </c>
      <c r="D2249" s="16" t="s">
        <v>835</v>
      </c>
      <c r="E2249" s="16" t="s">
        <v>9465</v>
      </c>
      <c r="F2249" s="27" t="s">
        <v>11219</v>
      </c>
      <c r="G2249" s="27"/>
      <c r="H2249" s="16" t="str">
        <f>IF(ISBLANK(PARTIDAS!$G2249),PARTIDAS!$F2249,CONCATENATE(PARTIDAS!$F2249," (",PARTIDAS!$G2249,")"))</f>
        <v>Monoetanolamina y sus sales, monoetanolamina</v>
      </c>
      <c r="I2249" s="16" t="s">
        <v>9427</v>
      </c>
    </row>
    <row r="2250" spans="1:9" x14ac:dyDescent="0.25">
      <c r="A2250" s="16" t="s">
        <v>3234</v>
      </c>
      <c r="B2250" s="16" t="str">
        <f>TEXT(PARTIDA[[#This Row],[PARTIDA]],"0000000000")</f>
        <v>2922112000</v>
      </c>
      <c r="C2250" s="16" t="s">
        <v>815</v>
      </c>
      <c r="D2250" s="16" t="s">
        <v>835</v>
      </c>
      <c r="E2250" s="16" t="s">
        <v>9465</v>
      </c>
      <c r="F2250" s="27" t="s">
        <v>11220</v>
      </c>
      <c r="G2250" s="27"/>
      <c r="H2250" s="16" t="str">
        <f>IF(ISBLANK(PARTIDAS!$G2250),PARTIDAS!$F2250,CONCATENATE(PARTIDAS!$F2250," (",PARTIDAS!$G2250,")"))</f>
        <v>Monoetanolamina y sus sales, sales</v>
      </c>
      <c r="I2250" s="16" t="s">
        <v>9427</v>
      </c>
    </row>
    <row r="2251" spans="1:9" x14ac:dyDescent="0.25">
      <c r="A2251" s="16" t="s">
        <v>3235</v>
      </c>
      <c r="B2251" s="16" t="str">
        <f>TEXT(PARTIDA[[#This Row],[PARTIDA]],"0000000000")</f>
        <v>2922121000</v>
      </c>
      <c r="C2251" s="16" t="s">
        <v>815</v>
      </c>
      <c r="D2251" s="16" t="s">
        <v>835</v>
      </c>
      <c r="E2251" s="16" t="s">
        <v>9465</v>
      </c>
      <c r="F2251" s="27" t="s">
        <v>11221</v>
      </c>
      <c r="G2251" s="27"/>
      <c r="H2251" s="16" t="str">
        <f>IF(ISBLANK(PARTIDAS!$G2251),PARTIDAS!$F2251,CONCATENATE(PARTIDAS!$F2251," (",PARTIDAS!$G2251,")"))</f>
        <v>Dietanolamina y sus sales, dietanolamina</v>
      </c>
      <c r="I2251" s="16" t="s">
        <v>9427</v>
      </c>
    </row>
    <row r="2252" spans="1:9" x14ac:dyDescent="0.25">
      <c r="A2252" s="16" t="s">
        <v>3236</v>
      </c>
      <c r="B2252" s="16" t="str">
        <f>TEXT(PARTIDA[[#This Row],[PARTIDA]],"0000000000")</f>
        <v>2922122000</v>
      </c>
      <c r="C2252" s="16" t="s">
        <v>815</v>
      </c>
      <c r="D2252" s="16" t="s">
        <v>835</v>
      </c>
      <c r="E2252" s="16" t="s">
        <v>9465</v>
      </c>
      <c r="F2252" s="27" t="s">
        <v>11222</v>
      </c>
      <c r="G2252" s="27"/>
      <c r="H2252" s="16" t="str">
        <f>IF(ISBLANK(PARTIDAS!$G2252),PARTIDAS!$F2252,CONCATENATE(PARTIDAS!$F2252," (",PARTIDAS!$G2252,")"))</f>
        <v>Dietanolamina y sus sales, sales</v>
      </c>
      <c r="I2252" s="16" t="s">
        <v>9427</v>
      </c>
    </row>
    <row r="2253" spans="1:9" x14ac:dyDescent="0.25">
      <c r="A2253" s="16" t="s">
        <v>3237</v>
      </c>
      <c r="B2253" s="16" t="str">
        <f>TEXT(PARTIDA[[#This Row],[PARTIDA]],"0000000000")</f>
        <v>2922141000</v>
      </c>
      <c r="C2253" s="16" t="s">
        <v>815</v>
      </c>
      <c r="D2253" s="16" t="s">
        <v>835</v>
      </c>
      <c r="E2253" s="16" t="s">
        <v>9465</v>
      </c>
      <c r="F2253" s="27" t="s">
        <v>11223</v>
      </c>
      <c r="G2253" s="27"/>
      <c r="H2253" s="16" t="str">
        <f>IF(ISBLANK(PARTIDAS!$G2253),PARTIDAS!$F2253,CONCATENATE(PARTIDAS!$F2253," (",PARTIDAS!$G2253,")"))</f>
        <v>Dextropropoxifeno (DCI)</v>
      </c>
      <c r="I2253" s="16" t="s">
        <v>9427</v>
      </c>
    </row>
    <row r="2254" spans="1:9" x14ac:dyDescent="0.25">
      <c r="A2254" s="16" t="s">
        <v>3238</v>
      </c>
      <c r="B2254" s="16" t="str">
        <f>TEXT(PARTIDA[[#This Row],[PARTIDA]],"0000000000")</f>
        <v>2922142000</v>
      </c>
      <c r="C2254" s="16" t="s">
        <v>815</v>
      </c>
      <c r="D2254" s="16" t="s">
        <v>835</v>
      </c>
      <c r="E2254" s="16" t="s">
        <v>9465</v>
      </c>
      <c r="F2254" s="27" t="s">
        <v>11224</v>
      </c>
      <c r="G2254" s="27"/>
      <c r="H2254" s="16" t="str">
        <f>IF(ISBLANK(PARTIDAS!$G2254),PARTIDAS!$F2254,CONCATENATE(PARTIDAS!$F2254," (",PARTIDAS!$G2254,")"))</f>
        <v>Dextropropoxifeno (DCI) y sus sales, sales</v>
      </c>
      <c r="I2254" s="16" t="s">
        <v>9427</v>
      </c>
    </row>
    <row r="2255" spans="1:9" x14ac:dyDescent="0.25">
      <c r="A2255" s="16" t="s">
        <v>3239</v>
      </c>
      <c r="B2255" s="16" t="str">
        <f>TEXT(PARTIDA[[#This Row],[PARTIDA]],"0000000000")</f>
        <v>2922150000</v>
      </c>
      <c r="C2255" s="16" t="s">
        <v>815</v>
      </c>
      <c r="D2255" s="16" t="s">
        <v>835</v>
      </c>
      <c r="E2255" s="16" t="s">
        <v>9465</v>
      </c>
      <c r="F2255" s="27" t="s">
        <v>11225</v>
      </c>
      <c r="G2255" s="27"/>
      <c r="H2255" s="16" t="str">
        <f>IF(ISBLANK(PARTIDAS!$G2255),PARTIDAS!$F2255,CONCATENATE(PARTIDAS!$F2255," (",PARTIDAS!$G2255,")"))</f>
        <v>Amino-alcoholes, trietanolamina</v>
      </c>
      <c r="I2255" s="16" t="s">
        <v>9427</v>
      </c>
    </row>
    <row r="2256" spans="1:9" x14ac:dyDescent="0.25">
      <c r="A2256" s="16" t="s">
        <v>3240</v>
      </c>
      <c r="B2256" s="16" t="str">
        <f>TEXT(PARTIDA[[#This Row],[PARTIDA]],"0000000000")</f>
        <v>2922160000</v>
      </c>
      <c r="C2256" s="16" t="s">
        <v>815</v>
      </c>
      <c r="D2256" s="16" t="s">
        <v>835</v>
      </c>
      <c r="E2256" s="16" t="s">
        <v>9465</v>
      </c>
      <c r="F2256" s="27" t="s">
        <v>11226</v>
      </c>
      <c r="G2256" s="27"/>
      <c r="H2256" s="16" t="str">
        <f>IF(ISBLANK(PARTIDAS!$G2256),PARTIDAS!$F2256,CONCATENATE(PARTIDAS!$F2256," (",PARTIDAS!$G2256,")"))</f>
        <v>Perfluorooctano sulfonato de dietanolamonio</v>
      </c>
      <c r="I2256" s="16" t="s">
        <v>9427</v>
      </c>
    </row>
    <row r="2257" spans="1:9" x14ac:dyDescent="0.25">
      <c r="A2257" s="16" t="s">
        <v>3241</v>
      </c>
      <c r="B2257" s="16" t="str">
        <f>TEXT(PARTIDA[[#This Row],[PARTIDA]],"0000000000")</f>
        <v>2922171000</v>
      </c>
      <c r="C2257" s="16" t="s">
        <v>815</v>
      </c>
      <c r="D2257" s="16" t="s">
        <v>835</v>
      </c>
      <c r="E2257" s="16" t="s">
        <v>9465</v>
      </c>
      <c r="F2257" s="27" t="s">
        <v>11227</v>
      </c>
      <c r="G2257" s="27"/>
      <c r="H2257" s="16" t="str">
        <f>IF(ISBLANK(PARTIDAS!$G2257),PARTIDAS!$F2257,CONCATENATE(PARTIDAS!$F2257," (",PARTIDAS!$G2257,")"))</f>
        <v>Metildietanolamina y etildietanolamina, metildietanolamina</v>
      </c>
      <c r="I2257" s="16" t="s">
        <v>9427</v>
      </c>
    </row>
    <row r="2258" spans="1:9" x14ac:dyDescent="0.25">
      <c r="A2258" s="16" t="s">
        <v>3242</v>
      </c>
      <c r="B2258" s="16" t="str">
        <f>TEXT(PARTIDA[[#This Row],[PARTIDA]],"0000000000")</f>
        <v>2922172000</v>
      </c>
      <c r="C2258" s="16" t="s">
        <v>815</v>
      </c>
      <c r="D2258" s="16" t="s">
        <v>835</v>
      </c>
      <c r="E2258" s="16" t="s">
        <v>9465</v>
      </c>
      <c r="F2258" s="27" t="s">
        <v>11228</v>
      </c>
      <c r="G2258" s="27"/>
      <c r="H2258" s="16" t="str">
        <f>IF(ISBLANK(PARTIDAS!$G2258),PARTIDAS!$F2258,CONCATENATE(PARTIDAS!$F2258," (",PARTIDAS!$G2258,")"))</f>
        <v>Metildietanolamina y etildietanolamina, etildietanolamina</v>
      </c>
      <c r="I2258" s="16" t="s">
        <v>9427</v>
      </c>
    </row>
    <row r="2259" spans="1:9" x14ac:dyDescent="0.25">
      <c r="A2259" s="16" t="s">
        <v>3243</v>
      </c>
      <c r="B2259" s="16" t="str">
        <f>TEXT(PARTIDA[[#This Row],[PARTIDA]],"0000000000")</f>
        <v>2922180000</v>
      </c>
      <c r="C2259" s="16" t="s">
        <v>815</v>
      </c>
      <c r="D2259" s="16" t="s">
        <v>835</v>
      </c>
      <c r="E2259" s="16" t="s">
        <v>9465</v>
      </c>
      <c r="F2259" s="27" t="s">
        <v>11229</v>
      </c>
      <c r="G2259" s="27"/>
      <c r="H2259" s="16" t="str">
        <f>IF(ISBLANK(PARTIDAS!$G2259),PARTIDAS!$F2259,CONCATENATE(PARTIDAS!$F2259," (",PARTIDAS!$G2259,")"))</f>
        <v>Amino-alcoholes, 2-(N,N-Diisopropilamino)etanol</v>
      </c>
      <c r="I2259" s="16" t="s">
        <v>9427</v>
      </c>
    </row>
    <row r="2260" spans="1:9" x14ac:dyDescent="0.25">
      <c r="A2260" s="16" t="s">
        <v>3244</v>
      </c>
      <c r="B2260" s="16" t="str">
        <f>TEXT(PARTIDA[[#This Row],[PARTIDA]],"0000000000")</f>
        <v>2922192100</v>
      </c>
      <c r="C2260" s="16" t="s">
        <v>815</v>
      </c>
      <c r="D2260" s="16" t="s">
        <v>835</v>
      </c>
      <c r="E2260" s="16" t="s">
        <v>9465</v>
      </c>
      <c r="F2260" s="27" t="s">
        <v>11230</v>
      </c>
      <c r="G2260" s="27"/>
      <c r="H2260" s="16" t="str">
        <f>IF(ISBLANK(PARTIDAS!$G2260),PARTIDAS!$F2260,CONCATENATE(PARTIDAS!$F2260," (",PARTIDAS!$G2260,")"))</f>
        <v>N,N-dimetil-2-aminoetanol y sus sales protonadas</v>
      </c>
      <c r="I2260" s="16" t="s">
        <v>9427</v>
      </c>
    </row>
    <row r="2261" spans="1:9" x14ac:dyDescent="0.25">
      <c r="A2261" s="16" t="s">
        <v>3245</v>
      </c>
      <c r="B2261" s="16" t="str">
        <f>TEXT(PARTIDA[[#This Row],[PARTIDA]],"0000000000")</f>
        <v>2922192200</v>
      </c>
      <c r="C2261" s="16" t="s">
        <v>815</v>
      </c>
      <c r="D2261" s="16" t="s">
        <v>835</v>
      </c>
      <c r="E2261" s="16" t="s">
        <v>9465</v>
      </c>
      <c r="F2261" s="27" t="s">
        <v>11231</v>
      </c>
      <c r="G2261" s="27"/>
      <c r="H2261" s="16" t="str">
        <f>IF(ISBLANK(PARTIDAS!$G2261),PARTIDAS!$F2261,CONCATENATE(PARTIDAS!$F2261," (",PARTIDAS!$G2261,")"))</f>
        <v>N,N-dietil-2-aminoetanol y sus sales protonadas</v>
      </c>
      <c r="I2261" s="16" t="s">
        <v>9427</v>
      </c>
    </row>
    <row r="2262" spans="1:9" x14ac:dyDescent="0.25">
      <c r="A2262" s="16" t="s">
        <v>3246</v>
      </c>
      <c r="B2262" s="16" t="str">
        <f>TEXT(PARTIDA[[#This Row],[PARTIDA]],"0000000000")</f>
        <v>2922192900</v>
      </c>
      <c r="C2262" s="16" t="s">
        <v>815</v>
      </c>
      <c r="D2262" s="16" t="s">
        <v>835</v>
      </c>
      <c r="E2262" s="16" t="s">
        <v>9465</v>
      </c>
      <c r="F2262" s="27" t="s">
        <v>11232</v>
      </c>
      <c r="G2262" s="27"/>
      <c r="H2262" s="16" t="str">
        <f>IF(ISBLANK(PARTIDAS!$G2262),PARTIDAS!$F2262,CONCATENATE(PARTIDAS!$F2262," (",PARTIDAS!$G2262,")"))</f>
        <v>N,N-dialquil (metil, etil, n-propil o isopropil)-2-aminoetanoles y… (los demás)</v>
      </c>
      <c r="I2262" s="16" t="s">
        <v>9427</v>
      </c>
    </row>
    <row r="2263" spans="1:9" x14ac:dyDescent="0.25">
      <c r="A2263" s="16" t="s">
        <v>3247</v>
      </c>
      <c r="B2263" s="16" t="str">
        <f>TEXT(PARTIDA[[#This Row],[PARTIDA]],"0000000000")</f>
        <v>2922195000</v>
      </c>
      <c r="C2263" s="16" t="s">
        <v>815</v>
      </c>
      <c r="D2263" s="16" t="s">
        <v>835</v>
      </c>
      <c r="E2263" s="16" t="s">
        <v>9465</v>
      </c>
      <c r="F2263" s="27" t="s">
        <v>11233</v>
      </c>
      <c r="G2263" s="27"/>
      <c r="H2263" s="16" t="str">
        <f>IF(ISBLANK(PARTIDAS!$G2263),PARTIDAS!$F2263,CONCATENATE(PARTIDAS!$F2263," (",PARTIDAS!$G2263,")"))</f>
        <v>Sales de trietanolamina</v>
      </c>
      <c r="I2263" s="16" t="s">
        <v>9427</v>
      </c>
    </row>
    <row r="2264" spans="1:9" x14ac:dyDescent="0.25">
      <c r="A2264" s="16" t="s">
        <v>3248</v>
      </c>
      <c r="B2264" s="16" t="str">
        <f>TEXT(PARTIDA[[#This Row],[PARTIDA]],"0000000000")</f>
        <v>2922199000</v>
      </c>
      <c r="C2264" s="16" t="s">
        <v>815</v>
      </c>
      <c r="D2264" s="16" t="s">
        <v>835</v>
      </c>
      <c r="E2264" s="16" t="s">
        <v>9465</v>
      </c>
      <c r="F2264" s="27" t="s">
        <v>11234</v>
      </c>
      <c r="G2264" s="27"/>
      <c r="H2264" s="16" t="str">
        <f>IF(ISBLANK(PARTIDAS!$G2264),PARTIDAS!$F2264,CONCATENATE(PARTIDAS!$F2264," (",PARTIDAS!$G2264,")"))</f>
        <v>Amino-alcoholes (los demás)</v>
      </c>
      <c r="I2264" s="16" t="s">
        <v>9427</v>
      </c>
    </row>
    <row r="2265" spans="1:9" x14ac:dyDescent="0.25">
      <c r="A2265" s="16" t="s">
        <v>3249</v>
      </c>
      <c r="B2265" s="16" t="str">
        <f>TEXT(PARTIDA[[#This Row],[PARTIDA]],"0000000000")</f>
        <v>2922210000</v>
      </c>
      <c r="C2265" s="16" t="s">
        <v>815</v>
      </c>
      <c r="D2265" s="16" t="s">
        <v>835</v>
      </c>
      <c r="E2265" s="16" t="s">
        <v>9465</v>
      </c>
      <c r="F2265" s="27" t="s">
        <v>11235</v>
      </c>
      <c r="G2265" s="27"/>
      <c r="H2265" s="16" t="str">
        <f>IF(ISBLANK(PARTIDAS!$G2265),PARTIDAS!$F2265,CONCATENATE(PARTIDAS!$F2265," (",PARTIDAS!$G2265,")"))</f>
        <v>Ácidos aminohidroxinaftalensulfónicos y sus sales</v>
      </c>
      <c r="I2265" s="16" t="s">
        <v>9427</v>
      </c>
    </row>
    <row r="2266" spans="1:9" x14ac:dyDescent="0.25">
      <c r="A2266" s="16" t="s">
        <v>3250</v>
      </c>
      <c r="B2266" s="16" t="str">
        <f>TEXT(PARTIDA[[#This Row],[PARTIDA]],"0000000000")</f>
        <v>2922290000</v>
      </c>
      <c r="C2266" s="16" t="s">
        <v>815</v>
      </c>
      <c r="D2266" s="16" t="s">
        <v>835</v>
      </c>
      <c r="E2266" s="16" t="s">
        <v>9465</v>
      </c>
      <c r="F2266" s="27" t="s">
        <v>11236</v>
      </c>
      <c r="G2266" s="27"/>
      <c r="H2266" s="16" t="str">
        <f>IF(ISBLANK(PARTIDAS!$G2266),PARTIDAS!$F2266,CONCATENATE(PARTIDAS!$F2266," (",PARTIDAS!$G2266,")"))</f>
        <v>Amino-naftoles y demás amino-fenoles (los demás)</v>
      </c>
      <c r="I2266" s="16" t="s">
        <v>9427</v>
      </c>
    </row>
    <row r="2267" spans="1:9" x14ac:dyDescent="0.25">
      <c r="A2267" s="16" t="s">
        <v>3251</v>
      </c>
      <c r="B2267" s="16" t="str">
        <f>TEXT(PARTIDA[[#This Row],[PARTIDA]],"0000000000")</f>
        <v>2922311000</v>
      </c>
      <c r="C2267" s="16" t="s">
        <v>815</v>
      </c>
      <c r="D2267" s="16" t="s">
        <v>835</v>
      </c>
      <c r="E2267" s="16" t="s">
        <v>9465</v>
      </c>
      <c r="F2267" s="27" t="s">
        <v>11237</v>
      </c>
      <c r="G2267" s="27"/>
      <c r="H2267" s="16" t="str">
        <f>IF(ISBLANK(PARTIDAS!$G2267),PARTIDAS!$F2267,CONCATENATE(PARTIDAS!$F2267," (",PARTIDAS!$G2267,")"))</f>
        <v>Anfepramona (DCI)</v>
      </c>
      <c r="I2267" s="16" t="s">
        <v>9427</v>
      </c>
    </row>
    <row r="2268" spans="1:9" x14ac:dyDescent="0.25">
      <c r="A2268" s="16" t="s">
        <v>3252</v>
      </c>
      <c r="B2268" s="16" t="str">
        <f>TEXT(PARTIDA[[#This Row],[PARTIDA]],"0000000000")</f>
        <v>2922312000</v>
      </c>
      <c r="C2268" s="16" t="s">
        <v>815</v>
      </c>
      <c r="D2268" s="16" t="s">
        <v>835</v>
      </c>
      <c r="E2268" s="16" t="s">
        <v>9465</v>
      </c>
      <c r="F2268" s="27" t="s">
        <v>11238</v>
      </c>
      <c r="G2268" s="27"/>
      <c r="H2268" s="16" t="str">
        <f>IF(ISBLANK(PARTIDAS!$G2268),PARTIDAS!$F2268,CONCATENATE(PARTIDAS!$F2268," (",PARTIDAS!$G2268,")"))</f>
        <v>Metadona (DCI)</v>
      </c>
      <c r="I2268" s="16" t="s">
        <v>9427</v>
      </c>
    </row>
    <row r="2269" spans="1:9" x14ac:dyDescent="0.25">
      <c r="A2269" s="16" t="s">
        <v>3253</v>
      </c>
      <c r="B2269" s="16" t="str">
        <f>TEXT(PARTIDA[[#This Row],[PARTIDA]],"0000000000")</f>
        <v>2922313000</v>
      </c>
      <c r="C2269" s="16" t="s">
        <v>815</v>
      </c>
      <c r="D2269" s="16" t="s">
        <v>835</v>
      </c>
      <c r="E2269" s="16" t="s">
        <v>9465</v>
      </c>
      <c r="F2269" s="27" t="s">
        <v>11239</v>
      </c>
      <c r="G2269" s="27"/>
      <c r="H2269" s="16" t="str">
        <f>IF(ISBLANK(PARTIDAS!$G2269),PARTIDAS!$F2269,CONCATENATE(PARTIDAS!$F2269," (",PARTIDAS!$G2269,")"))</f>
        <v>Normetadona (DCI)</v>
      </c>
      <c r="I2269" s="16" t="s">
        <v>9427</v>
      </c>
    </row>
    <row r="2270" spans="1:9" x14ac:dyDescent="0.25">
      <c r="A2270" s="16" t="s">
        <v>3254</v>
      </c>
      <c r="B2270" s="16" t="str">
        <f>TEXT(PARTIDA[[#This Row],[PARTIDA]],"0000000000")</f>
        <v>2922319000</v>
      </c>
      <c r="C2270" s="16" t="s">
        <v>815</v>
      </c>
      <c r="D2270" s="16" t="s">
        <v>835</v>
      </c>
      <c r="E2270" s="16" t="s">
        <v>9465</v>
      </c>
      <c r="F2270" s="27" t="s">
        <v>11240</v>
      </c>
      <c r="G2270" s="27"/>
      <c r="H2270" s="16" t="str">
        <f>IF(ISBLANK(PARTIDAS!$G2270),PARTIDAS!$F2270,CONCATENATE(PARTIDAS!$F2270," (",PARTIDAS!$G2270,")"))</f>
        <v>Anfepramona (DCI), metadona (DCI) y normetadona (DCI) (los demás)</v>
      </c>
      <c r="I2270" s="16" t="s">
        <v>9427</v>
      </c>
    </row>
    <row r="2271" spans="1:9" x14ac:dyDescent="0.25">
      <c r="A2271" s="16" t="s">
        <v>3255</v>
      </c>
      <c r="B2271" s="16" t="str">
        <f>TEXT(PARTIDA[[#This Row],[PARTIDA]],"0000000000")</f>
        <v>2922390000</v>
      </c>
      <c r="C2271" s="16" t="s">
        <v>815</v>
      </c>
      <c r="D2271" s="16" t="s">
        <v>835</v>
      </c>
      <c r="E2271" s="16" t="s">
        <v>9465</v>
      </c>
      <c r="F2271" s="27" t="s">
        <v>11241</v>
      </c>
      <c r="G2271" s="27"/>
      <c r="H2271" s="16" t="str">
        <f>IF(ISBLANK(PARTIDAS!$G2271),PARTIDAS!$F2271,CONCATENATE(PARTIDAS!$F2271," (",PARTIDAS!$G2271,")"))</f>
        <v>Amino-aldehídos, amino-cetonas y amino-quinonas (los demás)</v>
      </c>
      <c r="I2271" s="16" t="s">
        <v>9427</v>
      </c>
    </row>
    <row r="2272" spans="1:9" x14ac:dyDescent="0.25">
      <c r="A2272" s="16" t="s">
        <v>3256</v>
      </c>
      <c r="B2272" s="16" t="str">
        <f>TEXT(PARTIDA[[#This Row],[PARTIDA]],"0000000000")</f>
        <v>2922410000</v>
      </c>
      <c r="C2272" s="16" t="s">
        <v>815</v>
      </c>
      <c r="D2272" s="16" t="s">
        <v>835</v>
      </c>
      <c r="E2272" s="16" t="s">
        <v>9465</v>
      </c>
      <c r="F2272" s="27" t="s">
        <v>11242</v>
      </c>
      <c r="G2272" s="27"/>
      <c r="H2272" s="16" t="str">
        <f>IF(ISBLANK(PARTIDAS!$G2272),PARTIDAS!$F2272,CONCATENATE(PARTIDAS!$F2272," (",PARTIDAS!$G2272,")"))</f>
        <v>Lisina y sus ésteres; sales de estos productos</v>
      </c>
      <c r="I2272" s="16" t="s">
        <v>9427</v>
      </c>
    </row>
    <row r="2273" spans="1:9" x14ac:dyDescent="0.25">
      <c r="A2273" s="16" t="s">
        <v>3257</v>
      </c>
      <c r="B2273" s="16" t="str">
        <f>TEXT(PARTIDA[[#This Row],[PARTIDA]],"0000000000")</f>
        <v>2922421000</v>
      </c>
      <c r="C2273" s="16" t="s">
        <v>815</v>
      </c>
      <c r="D2273" s="16" t="s">
        <v>835</v>
      </c>
      <c r="E2273" s="16" t="s">
        <v>9465</v>
      </c>
      <c r="F2273" s="27" t="s">
        <v>9238</v>
      </c>
      <c r="G2273" s="27"/>
      <c r="H2273" s="16" t="str">
        <f>IF(ISBLANK(PARTIDAS!$G2273),PARTIDAS!$F2273,CONCATENATE(PARTIDAS!$F2273," (",PARTIDAS!$G2273,")"))</f>
        <v>Glutamato monosódico</v>
      </c>
      <c r="I2273" s="16" t="s">
        <v>9477</v>
      </c>
    </row>
    <row r="2274" spans="1:9" x14ac:dyDescent="0.25">
      <c r="A2274" s="16" t="s">
        <v>3258</v>
      </c>
      <c r="B2274" s="16" t="str">
        <f>TEXT(PARTIDA[[#This Row],[PARTIDA]],"0000000000")</f>
        <v>2922429000</v>
      </c>
      <c r="C2274" s="16" t="s">
        <v>815</v>
      </c>
      <c r="D2274" s="16" t="s">
        <v>835</v>
      </c>
      <c r="E2274" s="16" t="s">
        <v>9465</v>
      </c>
      <c r="F2274" s="27" t="s">
        <v>11243</v>
      </c>
      <c r="G2274" s="27"/>
      <c r="H2274" s="16" t="str">
        <f>IF(ISBLANK(PARTIDAS!$G2274),PARTIDAS!$F2274,CONCATENATE(PARTIDAS!$F2274," (",PARTIDAS!$G2274,")"))</f>
        <v>Ácido glutámico y sus sales (los demás)</v>
      </c>
      <c r="I2274" s="16" t="s">
        <v>9427</v>
      </c>
    </row>
    <row r="2275" spans="1:9" x14ac:dyDescent="0.25">
      <c r="A2275" s="16" t="s">
        <v>3259</v>
      </c>
      <c r="B2275" s="16" t="str">
        <f>TEXT(PARTIDA[[#This Row],[PARTIDA]],"0000000000")</f>
        <v>2922430000</v>
      </c>
      <c r="C2275" s="16" t="s">
        <v>815</v>
      </c>
      <c r="D2275" s="16" t="s">
        <v>835</v>
      </c>
      <c r="E2275" s="16" t="s">
        <v>9465</v>
      </c>
      <c r="F2275" s="27" t="s">
        <v>11244</v>
      </c>
      <c r="G2275" s="27"/>
      <c r="H2275" s="16" t="str">
        <f>IF(ISBLANK(PARTIDAS!$G2275),PARTIDAS!$F2275,CONCATENATE(PARTIDAS!$F2275," (",PARTIDAS!$G2275,")"))</f>
        <v>Ácido antranílico y sus sales</v>
      </c>
      <c r="I2275" s="16" t="s">
        <v>9427</v>
      </c>
    </row>
    <row r="2276" spans="1:9" x14ac:dyDescent="0.25">
      <c r="A2276" s="16" t="s">
        <v>3260</v>
      </c>
      <c r="B2276" s="16" t="str">
        <f>TEXT(PARTIDA[[#This Row],[PARTIDA]],"0000000000")</f>
        <v>2922441000</v>
      </c>
      <c r="C2276" s="16" t="s">
        <v>815</v>
      </c>
      <c r="D2276" s="16" t="s">
        <v>835</v>
      </c>
      <c r="E2276" s="16" t="s">
        <v>9465</v>
      </c>
      <c r="F2276" s="27" t="s">
        <v>11245</v>
      </c>
      <c r="G2276" s="27"/>
      <c r="H2276" s="16" t="str">
        <f>IF(ISBLANK(PARTIDAS!$G2276),PARTIDAS!$F2276,CONCATENATE(PARTIDAS!$F2276," (",PARTIDAS!$G2276,")"))</f>
        <v>Tilidina (DCI)</v>
      </c>
      <c r="I2276" s="16" t="s">
        <v>9427</v>
      </c>
    </row>
    <row r="2277" spans="1:9" x14ac:dyDescent="0.25">
      <c r="A2277" s="16" t="s">
        <v>3261</v>
      </c>
      <c r="B2277" s="16" t="str">
        <f>TEXT(PARTIDA[[#This Row],[PARTIDA]],"0000000000")</f>
        <v>2922449000</v>
      </c>
      <c r="C2277" s="16" t="s">
        <v>815</v>
      </c>
      <c r="D2277" s="16" t="s">
        <v>835</v>
      </c>
      <c r="E2277" s="16" t="s">
        <v>9465</v>
      </c>
      <c r="F2277" s="27" t="s">
        <v>11246</v>
      </c>
      <c r="G2277" s="27"/>
      <c r="H2277" s="16" t="str">
        <f>IF(ISBLANK(PARTIDAS!$G2277),PARTIDAS!$F2277,CONCATENATE(PARTIDAS!$F2277," (",PARTIDAS!$G2277,")"))</f>
        <v>Tilidina (DCI) y sus sales (los demás)</v>
      </c>
      <c r="I2277" s="16" t="s">
        <v>9427</v>
      </c>
    </row>
    <row r="2278" spans="1:9" x14ac:dyDescent="0.25">
      <c r="A2278" s="16" t="s">
        <v>3262</v>
      </c>
      <c r="B2278" s="16" t="str">
        <f>TEXT(PARTIDA[[#This Row],[PARTIDA]],"0000000000")</f>
        <v>2922491000</v>
      </c>
      <c r="C2278" s="16" t="s">
        <v>815</v>
      </c>
      <c r="D2278" s="16" t="s">
        <v>835</v>
      </c>
      <c r="E2278" s="16" t="s">
        <v>9465</v>
      </c>
      <c r="F2278" s="27" t="s">
        <v>11247</v>
      </c>
      <c r="G2278" s="27"/>
      <c r="H2278" s="16" t="str">
        <f>IF(ISBLANK(PARTIDAS!$G2278),PARTIDAS!$F2278,CONCATENATE(PARTIDAS!$F2278," (",PARTIDAS!$G2278,")"))</f>
        <v>Glicina (DCI), sus sales y ésteres</v>
      </c>
      <c r="I2278" s="16" t="s">
        <v>9427</v>
      </c>
    </row>
    <row r="2279" spans="1:9" x14ac:dyDescent="0.25">
      <c r="A2279" s="16" t="s">
        <v>3263</v>
      </c>
      <c r="B2279" s="16" t="str">
        <f>TEXT(PARTIDA[[#This Row],[PARTIDA]],"0000000000")</f>
        <v>2922493000</v>
      </c>
      <c r="C2279" s="16" t="s">
        <v>815</v>
      </c>
      <c r="D2279" s="16" t="s">
        <v>835</v>
      </c>
      <c r="E2279" s="16" t="s">
        <v>9465</v>
      </c>
      <c r="F2279" s="27" t="s">
        <v>11248</v>
      </c>
      <c r="G2279" s="27"/>
      <c r="H2279" s="16" t="str">
        <f>IF(ISBLANK(PARTIDAS!$G2279),PARTIDAS!$F2279,CONCATENATE(PARTIDAS!$F2279," (",PARTIDAS!$G2279,")"))</f>
        <v>Alaninas (DCI), fenilalanina (DCI), leucina (DCI), isoleucina (DCI) y ácido aspártico (DCI)</v>
      </c>
      <c r="I2279" s="16" t="s">
        <v>9427</v>
      </c>
    </row>
    <row r="2280" spans="1:9" x14ac:dyDescent="0.25">
      <c r="A2280" s="16" t="s">
        <v>3264</v>
      </c>
      <c r="B2280" s="16" t="str">
        <f>TEXT(PARTIDA[[#This Row],[PARTIDA]],"0000000000")</f>
        <v>2922494100</v>
      </c>
      <c r="C2280" s="16" t="s">
        <v>815</v>
      </c>
      <c r="D2280" s="16" t="s">
        <v>835</v>
      </c>
      <c r="E2280" s="16" t="s">
        <v>9465</v>
      </c>
      <c r="F2280" s="27" t="s">
        <v>11249</v>
      </c>
      <c r="G2280" s="27"/>
      <c r="H2280" s="16" t="str">
        <f>IF(ISBLANK(PARTIDAS!$G2280),PARTIDAS!$F2280,CONCATENATE(PARTIDAS!$F2280," (",PARTIDAS!$G2280,")"))</f>
        <v>Ácido etilendiaminotetracético (EDTA) (ácido edético (DCI))</v>
      </c>
      <c r="I2280" s="16" t="s">
        <v>9427</v>
      </c>
    </row>
    <row r="2281" spans="1:9" x14ac:dyDescent="0.25">
      <c r="A2281" s="16" t="s">
        <v>3265</v>
      </c>
      <c r="B2281" s="16" t="str">
        <f>TEXT(PARTIDA[[#This Row],[PARTIDA]],"0000000000")</f>
        <v>2922494200</v>
      </c>
      <c r="C2281" s="16" t="s">
        <v>815</v>
      </c>
      <c r="D2281" s="16" t="s">
        <v>835</v>
      </c>
      <c r="E2281" s="16" t="s">
        <v>9465</v>
      </c>
      <c r="F2281" s="27" t="s">
        <v>11250</v>
      </c>
      <c r="G2281" s="27"/>
      <c r="H2281" s="16" t="str">
        <f>IF(ISBLANK(PARTIDAS!$G2281),PARTIDAS!$F2281,CONCATENATE(PARTIDAS!$F2281," (",PARTIDAS!$G2281,")"))</f>
        <v>Ácido etilendiaminotetracético (EDTA) y sus sales, sales</v>
      </c>
      <c r="I2281" s="16" t="s">
        <v>9427</v>
      </c>
    </row>
    <row r="2282" spans="1:9" x14ac:dyDescent="0.25">
      <c r="A2282" s="16" t="s">
        <v>3266</v>
      </c>
      <c r="B2282" s="16" t="str">
        <f>TEXT(PARTIDA[[#This Row],[PARTIDA]],"0000000000")</f>
        <v>2922499000</v>
      </c>
      <c r="C2282" s="16" t="s">
        <v>815</v>
      </c>
      <c r="D2282" s="16" t="s">
        <v>835</v>
      </c>
      <c r="E2282" s="16" t="s">
        <v>9465</v>
      </c>
      <c r="F2282" s="27" t="s">
        <v>3267</v>
      </c>
      <c r="G2282" s="27"/>
      <c r="H2282" s="16" t="str">
        <f>IF(ISBLANK(PARTIDAS!$G2282),PARTIDAS!$F2282,CONCATENATE(PARTIDAS!$F2282," (",PARTIDAS!$G2282,")"))</f>
        <v>Aditivos químicos</v>
      </c>
      <c r="I2282" s="16" t="s">
        <v>9427</v>
      </c>
    </row>
    <row r="2283" spans="1:9" x14ac:dyDescent="0.25">
      <c r="A2283" s="16" t="s">
        <v>3268</v>
      </c>
      <c r="B2283" s="16" t="str">
        <f>TEXT(PARTIDA[[#This Row],[PARTIDA]],"0000000000")</f>
        <v>2922503000</v>
      </c>
      <c r="C2283" s="16" t="s">
        <v>815</v>
      </c>
      <c r="D2283" s="16" t="s">
        <v>835</v>
      </c>
      <c r="E2283" s="16" t="s">
        <v>9465</v>
      </c>
      <c r="F2283" s="27" t="s">
        <v>11251</v>
      </c>
      <c r="G2283" s="27"/>
      <c r="H2283" s="16" t="str">
        <f>IF(ISBLANK(PARTIDAS!$G2283),PARTIDAS!$F2283,CONCATENATE(PARTIDAS!$F2283," (",PARTIDAS!$G2283,")"))</f>
        <v>Amino-alcoholes-fenoles, aminoácidos-fenoles y demás compuestos…, 2-Amino-1-(2,5-dimetoxi-4-metil)-fenilpropano (STP, DOM)</v>
      </c>
      <c r="I2283" s="16" t="s">
        <v>9427</v>
      </c>
    </row>
    <row r="2284" spans="1:9" x14ac:dyDescent="0.25">
      <c r="A2284" s="16" t="s">
        <v>3269</v>
      </c>
      <c r="B2284" s="16" t="str">
        <f>TEXT(PARTIDA[[#This Row],[PARTIDA]],"0000000000")</f>
        <v>2922504000</v>
      </c>
      <c r="C2284" s="16" t="s">
        <v>815</v>
      </c>
      <c r="D2284" s="16" t="s">
        <v>835</v>
      </c>
      <c r="E2284" s="16" t="s">
        <v>9465</v>
      </c>
      <c r="F2284" s="27" t="s">
        <v>11252</v>
      </c>
      <c r="G2284" s="27"/>
      <c r="H2284" s="16" t="str">
        <f>IF(ISBLANK(PARTIDAS!$G2284),PARTIDAS!$F2284,CONCATENATE(PARTIDAS!$F2284," (",PARTIDAS!$G2284,")"))</f>
        <v>Aminoácidos-fenoles, sus sales y derivados</v>
      </c>
      <c r="I2284" s="16" t="s">
        <v>9427</v>
      </c>
    </row>
    <row r="2285" spans="1:9" x14ac:dyDescent="0.25">
      <c r="A2285" s="16" t="s">
        <v>3270</v>
      </c>
      <c r="B2285" s="16" t="str">
        <f>TEXT(PARTIDA[[#This Row],[PARTIDA]],"0000000000")</f>
        <v>2922509000</v>
      </c>
      <c r="C2285" s="16" t="s">
        <v>815</v>
      </c>
      <c r="D2285" s="16" t="s">
        <v>835</v>
      </c>
      <c r="E2285" s="16" t="s">
        <v>9465</v>
      </c>
      <c r="F2285" s="27" t="s">
        <v>11253</v>
      </c>
      <c r="G2285" s="27"/>
      <c r="H2285" s="16" t="str">
        <f>IF(ISBLANK(PARTIDAS!$G2285),PARTIDAS!$F2285,CONCATENATE(PARTIDAS!$F2285," (",PARTIDAS!$G2285,")"))</f>
        <v>Amino-alcoholes-fenoles, aminoácidos-fenoles y demás compuestos… (los demás)</v>
      </c>
      <c r="I2285" s="16" t="s">
        <v>9427</v>
      </c>
    </row>
    <row r="2286" spans="1:9" x14ac:dyDescent="0.25">
      <c r="A2286" s="16" t="s">
        <v>3271</v>
      </c>
      <c r="B2286" s="16" t="str">
        <f>TEXT(PARTIDA[[#This Row],[PARTIDA]],"0000000000")</f>
        <v>2923100000</v>
      </c>
      <c r="C2286" s="16" t="s">
        <v>815</v>
      </c>
      <c r="D2286" s="16" t="s">
        <v>835</v>
      </c>
      <c r="E2286" s="16" t="s">
        <v>9465</v>
      </c>
      <c r="F2286" s="27" t="s">
        <v>11254</v>
      </c>
      <c r="G2286" s="27"/>
      <c r="H2286" s="16" t="str">
        <f>IF(ISBLANK(PARTIDAS!$G2286),PARTIDAS!$F2286,CONCATENATE(PARTIDAS!$F2286," (",PARTIDAS!$G2286,")"))</f>
        <v>Colina y sus sales</v>
      </c>
      <c r="I2286" s="16" t="s">
        <v>9427</v>
      </c>
    </row>
    <row r="2287" spans="1:9" x14ac:dyDescent="0.25">
      <c r="A2287" s="16" t="s">
        <v>3272</v>
      </c>
      <c r="B2287" s="16" t="str">
        <f>TEXT(PARTIDA[[#This Row],[PARTIDA]],"0000000000")</f>
        <v>2923200000</v>
      </c>
      <c r="C2287" s="16" t="s">
        <v>815</v>
      </c>
      <c r="D2287" s="16" t="s">
        <v>835</v>
      </c>
      <c r="E2287" s="16" t="s">
        <v>9465</v>
      </c>
      <c r="F2287" s="27" t="s">
        <v>11255</v>
      </c>
      <c r="G2287" s="27"/>
      <c r="H2287" s="16" t="str">
        <f>IF(ISBLANK(PARTIDAS!$G2287),PARTIDAS!$F2287,CONCATENATE(PARTIDAS!$F2287," (",PARTIDAS!$G2287,")"))</f>
        <v>Lecitinas y demás fosfoaminolípidos</v>
      </c>
      <c r="I2287" s="16" t="s">
        <v>9427</v>
      </c>
    </row>
    <row r="2288" spans="1:9" x14ac:dyDescent="0.25">
      <c r="A2288" s="16" t="s">
        <v>3273</v>
      </c>
      <c r="B2288" s="16" t="str">
        <f>TEXT(PARTIDA[[#This Row],[PARTIDA]],"0000000000")</f>
        <v>2923300000</v>
      </c>
      <c r="C2288" s="16" t="s">
        <v>815</v>
      </c>
      <c r="D2288" s="16" t="s">
        <v>835</v>
      </c>
      <c r="E2288" s="16" t="s">
        <v>9465</v>
      </c>
      <c r="F2288" s="27" t="s">
        <v>11256</v>
      </c>
      <c r="G2288" s="27"/>
      <c r="H2288" s="16" t="str">
        <f>IF(ISBLANK(PARTIDAS!$G2288),PARTIDAS!$F2288,CONCATENATE(PARTIDAS!$F2288," (",PARTIDAS!$G2288,")"))</f>
        <v>Perfluorooctano sulfonato de tetraetilamonio</v>
      </c>
      <c r="I2288" s="16" t="s">
        <v>9427</v>
      </c>
    </row>
    <row r="2289" spans="1:9" x14ac:dyDescent="0.25">
      <c r="A2289" s="16" t="s">
        <v>3274</v>
      </c>
      <c r="B2289" s="16" t="str">
        <f>TEXT(PARTIDA[[#This Row],[PARTIDA]],"0000000000")</f>
        <v>2923400000</v>
      </c>
      <c r="C2289" s="16" t="s">
        <v>815</v>
      </c>
      <c r="D2289" s="16" t="s">
        <v>835</v>
      </c>
      <c r="E2289" s="16" t="s">
        <v>9465</v>
      </c>
      <c r="F2289" s="27" t="s">
        <v>11257</v>
      </c>
      <c r="G2289" s="27"/>
      <c r="H2289" s="16" t="str">
        <f>IF(ISBLANK(PARTIDAS!$G2289),PARTIDAS!$F2289,CONCATENATE(PARTIDAS!$F2289," (",PARTIDAS!$G2289,")"))</f>
        <v>Perfluorooctano sulfonato de didecildimetilamonio</v>
      </c>
      <c r="I2289" s="16" t="s">
        <v>9427</v>
      </c>
    </row>
    <row r="2290" spans="1:9" x14ac:dyDescent="0.25">
      <c r="A2290" s="16" t="s">
        <v>3275</v>
      </c>
      <c r="B2290" s="16" t="str">
        <f>TEXT(PARTIDA[[#This Row],[PARTIDA]],"0000000000")</f>
        <v>2923901000</v>
      </c>
      <c r="C2290" s="16" t="s">
        <v>815</v>
      </c>
      <c r="D2290" s="16" t="s">
        <v>835</v>
      </c>
      <c r="E2290" s="16" t="s">
        <v>9465</v>
      </c>
      <c r="F2290" s="27" t="s">
        <v>11258</v>
      </c>
      <c r="G2290" s="27"/>
      <c r="H2290" s="16" t="str">
        <f>IF(ISBLANK(PARTIDAS!$G2290),PARTIDAS!$F2290,CONCATENATE(PARTIDAS!$F2290," (",PARTIDAS!$G2290,")"))</f>
        <v>Derivados de la colina</v>
      </c>
      <c r="I2290" s="16" t="s">
        <v>9427</v>
      </c>
    </row>
    <row r="2291" spans="1:9" x14ac:dyDescent="0.25">
      <c r="A2291" s="16" t="s">
        <v>3276</v>
      </c>
      <c r="B2291" s="16" t="str">
        <f>TEXT(PARTIDA[[#This Row],[PARTIDA]],"0000000000")</f>
        <v>2923909000</v>
      </c>
      <c r="C2291" s="16" t="s">
        <v>815</v>
      </c>
      <c r="D2291" s="16" t="s">
        <v>835</v>
      </c>
      <c r="E2291" s="16" t="s">
        <v>9465</v>
      </c>
      <c r="F2291" s="27" t="s">
        <v>11259</v>
      </c>
      <c r="G2291" s="27"/>
      <c r="H2291" s="16" t="str">
        <f>IF(ISBLANK(PARTIDAS!$G2291),PARTIDAS!$F2291,CONCATENATE(PARTIDAS!$F2291," (",PARTIDAS!$G2291,")"))</f>
        <v>Sales e hidróxidos de amonio cuaternario (los demás)</v>
      </c>
      <c r="I2291" s="16" t="s">
        <v>9427</v>
      </c>
    </row>
    <row r="2292" spans="1:9" x14ac:dyDescent="0.25">
      <c r="A2292" s="16" t="s">
        <v>3277</v>
      </c>
      <c r="B2292" s="16" t="str">
        <f>TEXT(PARTIDA[[#This Row],[PARTIDA]],"0000000000")</f>
        <v>2924110000</v>
      </c>
      <c r="C2292" s="16" t="s">
        <v>815</v>
      </c>
      <c r="D2292" s="16" t="s">
        <v>835</v>
      </c>
      <c r="E2292" s="16" t="s">
        <v>9465</v>
      </c>
      <c r="F2292" s="27" t="s">
        <v>11260</v>
      </c>
      <c r="G2292" s="27"/>
      <c r="H2292" s="16" t="str">
        <f>IF(ISBLANK(PARTIDAS!$G2292),PARTIDAS!$F2292,CONCATENATE(PARTIDAS!$F2292," (",PARTIDAS!$G2292,")"))</f>
        <v>Meprobamato (DCI)</v>
      </c>
      <c r="I2292" s="16" t="s">
        <v>9427</v>
      </c>
    </row>
    <row r="2293" spans="1:9" x14ac:dyDescent="0.25">
      <c r="A2293" s="16" t="s">
        <v>3278</v>
      </c>
      <c r="B2293" s="16" t="str">
        <f>TEXT(PARTIDA[[#This Row],[PARTIDA]],"0000000000")</f>
        <v>2924120000</v>
      </c>
      <c r="C2293" s="16" t="s">
        <v>815</v>
      </c>
      <c r="D2293" s="16" t="s">
        <v>835</v>
      </c>
      <c r="E2293" s="16" t="s">
        <v>9465</v>
      </c>
      <c r="F2293" s="27" t="s">
        <v>11261</v>
      </c>
      <c r="G2293" s="27"/>
      <c r="H2293" s="16" t="str">
        <f>IF(ISBLANK(PARTIDAS!$G2293),PARTIDAS!$F2293,CONCATENATE(PARTIDAS!$F2293," (",PARTIDAS!$G2293,")"))</f>
        <v>Fluoroacetamida (ISO), fosfamidón (ISO) y monocrotofós (ISO)</v>
      </c>
      <c r="I2293" s="16" t="s">
        <v>9427</v>
      </c>
    </row>
    <row r="2294" spans="1:9" x14ac:dyDescent="0.25">
      <c r="A2294" s="16" t="s">
        <v>3279</v>
      </c>
      <c r="B2294" s="16" t="str">
        <f>TEXT(PARTIDA[[#This Row],[PARTIDA]],"0000000000")</f>
        <v>2924190000</v>
      </c>
      <c r="C2294" s="16" t="s">
        <v>815</v>
      </c>
      <c r="D2294" s="16" t="s">
        <v>835</v>
      </c>
      <c r="E2294" s="16" t="s">
        <v>9465</v>
      </c>
      <c r="F2294" s="27" t="s">
        <v>11262</v>
      </c>
      <c r="G2294" s="27"/>
      <c r="H2294" s="16" t="str">
        <f>IF(ISBLANK(PARTIDAS!$G2294),PARTIDAS!$F2294,CONCATENATE(PARTIDAS!$F2294," (",PARTIDAS!$G2294,")"))</f>
        <v>Amidas acíclicas (incluidos los carbamatos) y sus derivados (los demás)</v>
      </c>
      <c r="I2294" s="16" t="s">
        <v>9427</v>
      </c>
    </row>
    <row r="2295" spans="1:9" x14ac:dyDescent="0.25">
      <c r="A2295" s="16" t="s">
        <v>3280</v>
      </c>
      <c r="B2295" s="16" t="str">
        <f>TEXT(PARTIDA[[#This Row],[PARTIDA]],"0000000000")</f>
        <v>2924211000</v>
      </c>
      <c r="C2295" s="16" t="s">
        <v>815</v>
      </c>
      <c r="D2295" s="16" t="s">
        <v>835</v>
      </c>
      <c r="E2295" s="16" t="s">
        <v>9465</v>
      </c>
      <c r="F2295" s="27" t="s">
        <v>11263</v>
      </c>
      <c r="G2295" s="27"/>
      <c r="H2295" s="16" t="str">
        <f>IF(ISBLANK(PARTIDAS!$G2295),PARTIDAS!$F2295,CONCATENATE(PARTIDAS!$F2295," (",PARTIDAS!$G2295,")"))</f>
        <v>Diuron (ISO)</v>
      </c>
      <c r="I2295" s="16" t="s">
        <v>9427</v>
      </c>
    </row>
    <row r="2296" spans="1:9" x14ac:dyDescent="0.25">
      <c r="A2296" s="16" t="s">
        <v>3281</v>
      </c>
      <c r="B2296" s="16" t="str">
        <f>TEXT(PARTIDA[[#This Row],[PARTIDA]],"0000000000")</f>
        <v>2924219000</v>
      </c>
      <c r="C2296" s="16" t="s">
        <v>815</v>
      </c>
      <c r="D2296" s="16" t="s">
        <v>835</v>
      </c>
      <c r="E2296" s="16" t="s">
        <v>9465</v>
      </c>
      <c r="F2296" s="27" t="s">
        <v>11264</v>
      </c>
      <c r="G2296" s="27"/>
      <c r="H2296" s="16" t="str">
        <f>IF(ISBLANK(PARTIDAS!$G2296),PARTIDAS!$F2296,CONCATENATE(PARTIDAS!$F2296," (",PARTIDAS!$G2296,")"))</f>
        <v>Ureínas y sus derivados (los demás)</v>
      </c>
      <c r="I2296" s="16" t="s">
        <v>9427</v>
      </c>
    </row>
    <row r="2297" spans="1:9" x14ac:dyDescent="0.25">
      <c r="A2297" s="16" t="s">
        <v>3282</v>
      </c>
      <c r="B2297" s="16" t="str">
        <f>TEXT(PARTIDA[[#This Row],[PARTIDA]],"0000000000")</f>
        <v>2924230000</v>
      </c>
      <c r="C2297" s="16" t="s">
        <v>815</v>
      </c>
      <c r="D2297" s="16" t="s">
        <v>835</v>
      </c>
      <c r="E2297" s="16" t="s">
        <v>9465</v>
      </c>
      <c r="F2297" s="27" t="s">
        <v>11265</v>
      </c>
      <c r="G2297" s="27"/>
      <c r="H2297" s="16" t="str">
        <f>IF(ISBLANK(PARTIDAS!$G2297),PARTIDAS!$F2297,CONCATENATE(PARTIDAS!$F2297," (",PARTIDAS!$G2297,")"))</f>
        <v>Ácido 2-acetamidobenzoico (ácido N-acetilantranílico) y sus sales</v>
      </c>
      <c r="I2297" s="16" t="s">
        <v>9427</v>
      </c>
    </row>
    <row r="2298" spans="1:9" x14ac:dyDescent="0.25">
      <c r="A2298" s="16" t="s">
        <v>3283</v>
      </c>
      <c r="B2298" s="16" t="str">
        <f>TEXT(PARTIDA[[#This Row],[PARTIDA]],"0000000000")</f>
        <v>2924240000</v>
      </c>
      <c r="C2298" s="16" t="s">
        <v>815</v>
      </c>
      <c r="D2298" s="16" t="s">
        <v>835</v>
      </c>
      <c r="E2298" s="16" t="s">
        <v>9465</v>
      </c>
      <c r="F2298" s="27" t="s">
        <v>11266</v>
      </c>
      <c r="G2298" s="27"/>
      <c r="H2298" s="16" t="str">
        <f>IF(ISBLANK(PARTIDAS!$G2298),PARTIDAS!$F2298,CONCATENATE(PARTIDAS!$F2298," (",PARTIDAS!$G2298,")"))</f>
        <v>Etinamato (DCI)</v>
      </c>
      <c r="I2298" s="16" t="s">
        <v>9427</v>
      </c>
    </row>
    <row r="2299" spans="1:9" x14ac:dyDescent="0.25">
      <c r="A2299" s="16" t="s">
        <v>3284</v>
      </c>
      <c r="B2299" s="16" t="str">
        <f>TEXT(PARTIDA[[#This Row],[PARTIDA]],"0000000000")</f>
        <v>2924250000</v>
      </c>
      <c r="C2299" s="16" t="s">
        <v>815</v>
      </c>
      <c r="D2299" s="16" t="s">
        <v>835</v>
      </c>
      <c r="E2299" s="16" t="s">
        <v>9465</v>
      </c>
      <c r="F2299" s="27" t="s">
        <v>11267</v>
      </c>
      <c r="G2299" s="27"/>
      <c r="H2299" s="16" t="str">
        <f>IF(ISBLANK(PARTIDAS!$G2299),PARTIDAS!$F2299,CONCATENATE(PARTIDAS!$F2299," (",PARTIDAS!$G2299,")"))</f>
        <v>Alaclor (ISO)</v>
      </c>
      <c r="I2299" s="16" t="s">
        <v>9427</v>
      </c>
    </row>
    <row r="2300" spans="1:9" x14ac:dyDescent="0.25">
      <c r="A2300" s="16" t="s">
        <v>3285</v>
      </c>
      <c r="B2300" s="16" t="str">
        <f>TEXT(PARTIDA[[#This Row],[PARTIDA]],"0000000000")</f>
        <v>2924291000</v>
      </c>
      <c r="C2300" s="16" t="s">
        <v>815</v>
      </c>
      <c r="D2300" s="16" t="s">
        <v>835</v>
      </c>
      <c r="E2300" s="16" t="s">
        <v>9465</v>
      </c>
      <c r="F2300" s="27" t="s">
        <v>11268</v>
      </c>
      <c r="G2300" s="27"/>
      <c r="H2300" s="16" t="str">
        <f>IF(ISBLANK(PARTIDAS!$G2300),PARTIDAS!$F2300,CONCATENATE(PARTIDAS!$F2300," (",PARTIDAS!$G2300,")"))</f>
        <v>Acetil-p-aminofenol (paracetamol) (DCI)</v>
      </c>
      <c r="I2300" s="16" t="s">
        <v>9427</v>
      </c>
    </row>
    <row r="2301" spans="1:9" x14ac:dyDescent="0.25">
      <c r="A2301" s="16" t="s">
        <v>3286</v>
      </c>
      <c r="B2301" s="16" t="str">
        <f>TEXT(PARTIDA[[#This Row],[PARTIDA]],"0000000000")</f>
        <v>2924292000</v>
      </c>
      <c r="C2301" s="16" t="s">
        <v>815</v>
      </c>
      <c r="D2301" s="16" t="s">
        <v>835</v>
      </c>
      <c r="E2301" s="16" t="s">
        <v>9465</v>
      </c>
      <c r="F2301" s="27" t="s">
        <v>11269</v>
      </c>
      <c r="G2301" s="27"/>
      <c r="H2301" s="16" t="str">
        <f>IF(ISBLANK(PARTIDAS!$G2301),PARTIDAS!$F2301,CONCATENATE(PARTIDAS!$F2301," (",PARTIDAS!$G2301,")"))</f>
        <v>Lidocaína (DCI)</v>
      </c>
      <c r="I2301" s="16" t="s">
        <v>9427</v>
      </c>
    </row>
    <row r="2302" spans="1:9" x14ac:dyDescent="0.25">
      <c r="A2302" s="16" t="s">
        <v>3287</v>
      </c>
      <c r="B2302" s="16" t="str">
        <f>TEXT(PARTIDA[[#This Row],[PARTIDA]],"0000000000")</f>
        <v>2924293000</v>
      </c>
      <c r="C2302" s="16" t="s">
        <v>815</v>
      </c>
      <c r="D2302" s="16" t="s">
        <v>835</v>
      </c>
      <c r="E2302" s="16" t="s">
        <v>9465</v>
      </c>
      <c r="F2302" s="27" t="s">
        <v>11270</v>
      </c>
      <c r="G2302" s="27"/>
      <c r="H2302" s="16" t="str">
        <f>IF(ISBLANK(PARTIDAS!$G2302),PARTIDAS!$F2302,CONCATENATE(PARTIDAS!$F2302," (",PARTIDAS!$G2302,")"))</f>
        <v>Carbaril (ISO), carbarilo (DCI)</v>
      </c>
      <c r="I2302" s="16" t="s">
        <v>9427</v>
      </c>
    </row>
    <row r="2303" spans="1:9" x14ac:dyDescent="0.25">
      <c r="A2303" s="16" t="s">
        <v>3288</v>
      </c>
      <c r="B2303" s="16" t="str">
        <f>TEXT(PARTIDA[[#This Row],[PARTIDA]],"0000000000")</f>
        <v>2924294000</v>
      </c>
      <c r="C2303" s="16" t="s">
        <v>815</v>
      </c>
      <c r="D2303" s="16" t="s">
        <v>835</v>
      </c>
      <c r="E2303" s="16" t="s">
        <v>9465</v>
      </c>
      <c r="F2303" s="27" t="s">
        <v>11271</v>
      </c>
      <c r="G2303" s="27"/>
      <c r="H2303" s="16" t="str">
        <f>IF(ISBLANK(PARTIDAS!$G2303),PARTIDAS!$F2303,CONCATENATE(PARTIDAS!$F2303," (",PARTIDAS!$G2303,")"))</f>
        <v>Propanil (ISO)</v>
      </c>
      <c r="I2303" s="16" t="s">
        <v>9427</v>
      </c>
    </row>
    <row r="2304" spans="1:9" x14ac:dyDescent="0.25">
      <c r="A2304" s="16" t="s">
        <v>3289</v>
      </c>
      <c r="B2304" s="16" t="str">
        <f>TEXT(PARTIDA[[#This Row],[PARTIDA]],"0000000000")</f>
        <v>2924295000</v>
      </c>
      <c r="C2304" s="16" t="s">
        <v>815</v>
      </c>
      <c r="D2304" s="16" t="s">
        <v>835</v>
      </c>
      <c r="E2304" s="16" t="s">
        <v>9465</v>
      </c>
      <c r="F2304" s="27" t="s">
        <v>11272</v>
      </c>
      <c r="G2304" s="27"/>
      <c r="H2304" s="16" t="str">
        <f>IF(ISBLANK(PARTIDAS!$G2304),PARTIDAS!$F2304,CONCATENATE(PARTIDAS!$F2304," (",PARTIDAS!$G2304,")"))</f>
        <v>Metalaxyl (ISO)</v>
      </c>
      <c r="I2304" s="16" t="s">
        <v>9427</v>
      </c>
    </row>
    <row r="2305" spans="1:9" x14ac:dyDescent="0.25">
      <c r="A2305" s="16" t="s">
        <v>3290</v>
      </c>
      <c r="B2305" s="16" t="str">
        <f>TEXT(PARTIDA[[#This Row],[PARTIDA]],"0000000000")</f>
        <v>2924296000</v>
      </c>
      <c r="C2305" s="16" t="s">
        <v>815</v>
      </c>
      <c r="D2305" s="16" t="s">
        <v>835</v>
      </c>
      <c r="E2305" s="16" t="s">
        <v>9465</v>
      </c>
      <c r="F2305" s="27" t="s">
        <v>11273</v>
      </c>
      <c r="G2305" s="27"/>
      <c r="H2305" s="16" t="str">
        <f>IF(ISBLANK(PARTIDAS!$G2305),PARTIDAS!$F2305,CONCATENATE(PARTIDAS!$F2305," (",PARTIDAS!$G2305,")"))</f>
        <v>Aspartamo (DCI)</v>
      </c>
      <c r="I2305" s="16" t="s">
        <v>9427</v>
      </c>
    </row>
    <row r="2306" spans="1:9" x14ac:dyDescent="0.25">
      <c r="A2306" s="16" t="s">
        <v>3291</v>
      </c>
      <c r="B2306" s="16" t="str">
        <f>TEXT(PARTIDA[[#This Row],[PARTIDA]],"0000000000")</f>
        <v>2924297000</v>
      </c>
      <c r="C2306" s="16" t="s">
        <v>815</v>
      </c>
      <c r="D2306" s="16" t="s">
        <v>835</v>
      </c>
      <c r="E2306" s="16" t="s">
        <v>9465</v>
      </c>
      <c r="F2306" s="27" t="s">
        <v>11274</v>
      </c>
      <c r="G2306" s="27"/>
      <c r="H2306" s="16" t="str">
        <f>IF(ISBLANK(PARTIDAS!$G2306),PARTIDAS!$F2306,CONCATENATE(PARTIDAS!$F2306," (",PARTIDAS!$G2306,")"))</f>
        <v>Atenolol (DCI)</v>
      </c>
      <c r="I2306" s="16" t="s">
        <v>9427</v>
      </c>
    </row>
    <row r="2307" spans="1:9" x14ac:dyDescent="0.25">
      <c r="A2307" s="16" t="s">
        <v>3292</v>
      </c>
      <c r="B2307" s="16" t="str">
        <f>TEXT(PARTIDA[[#This Row],[PARTIDA]],"0000000000")</f>
        <v>2924298000</v>
      </c>
      <c r="C2307" s="16" t="s">
        <v>815</v>
      </c>
      <c r="D2307" s="16" t="s">
        <v>835</v>
      </c>
      <c r="E2307" s="16" t="s">
        <v>9465</v>
      </c>
      <c r="F2307" s="27" t="s">
        <v>11275</v>
      </c>
      <c r="G2307" s="27"/>
      <c r="H2307" s="16" t="str">
        <f>IF(ISBLANK(PARTIDAS!$G2307),PARTIDAS!$F2307,CONCATENATE(PARTIDAS!$F2307," (",PARTIDAS!$G2307,")"))</f>
        <v>Butacloro (2’-cloro-2’,6’ dietil-N-(butoximetil) acetanilida)</v>
      </c>
      <c r="I2307" s="16" t="s">
        <v>9427</v>
      </c>
    </row>
    <row r="2308" spans="1:9" x14ac:dyDescent="0.25">
      <c r="A2308" s="16" t="s">
        <v>3293</v>
      </c>
      <c r="B2308" s="16" t="str">
        <f>TEXT(PARTIDA[[#This Row],[PARTIDA]],"0000000000")</f>
        <v>2924299000</v>
      </c>
      <c r="C2308" s="16" t="s">
        <v>815</v>
      </c>
      <c r="D2308" s="16" t="s">
        <v>835</v>
      </c>
      <c r="E2308" s="16" t="s">
        <v>9465</v>
      </c>
      <c r="F2308" s="27" t="s">
        <v>11276</v>
      </c>
      <c r="G2308" s="27"/>
      <c r="H2308" s="16" t="str">
        <f>IF(ISBLANK(PARTIDAS!$G2308),PARTIDAS!$F2308,CONCATENATE(PARTIDAS!$F2308," (",PARTIDAS!$G2308,")"))</f>
        <v>Amidas cíclicas (incluidos los carbamatos) y sus derivados (los demás)</v>
      </c>
      <c r="I2308" s="16" t="s">
        <v>9427</v>
      </c>
    </row>
    <row r="2309" spans="1:9" x14ac:dyDescent="0.25">
      <c r="A2309" s="16" t="s">
        <v>3294</v>
      </c>
      <c r="B2309" s="16" t="str">
        <f>TEXT(PARTIDA[[#This Row],[PARTIDA]],"0000000000")</f>
        <v>2925110000</v>
      </c>
      <c r="C2309" s="16" t="s">
        <v>815</v>
      </c>
      <c r="D2309" s="16" t="s">
        <v>835</v>
      </c>
      <c r="E2309" s="16" t="s">
        <v>9465</v>
      </c>
      <c r="F2309" s="27" t="s">
        <v>11277</v>
      </c>
      <c r="G2309" s="27"/>
      <c r="H2309" s="16" t="str">
        <f>IF(ISBLANK(PARTIDAS!$G2309),PARTIDAS!$F2309,CONCATENATE(PARTIDAS!$F2309," (",PARTIDAS!$G2309,")"))</f>
        <v>Sacarina y sus sales</v>
      </c>
      <c r="I2309" s="16" t="s">
        <v>9427</v>
      </c>
    </row>
    <row r="2310" spans="1:9" x14ac:dyDescent="0.25">
      <c r="A2310" s="16" t="s">
        <v>3295</v>
      </c>
      <c r="B2310" s="16" t="str">
        <f>TEXT(PARTIDA[[#This Row],[PARTIDA]],"0000000000")</f>
        <v>2925120000</v>
      </c>
      <c r="C2310" s="16" t="s">
        <v>815</v>
      </c>
      <c r="D2310" s="16" t="s">
        <v>835</v>
      </c>
      <c r="E2310" s="16" t="s">
        <v>9465</v>
      </c>
      <c r="F2310" s="27" t="s">
        <v>11278</v>
      </c>
      <c r="G2310" s="27"/>
      <c r="H2310" s="16" t="str">
        <f>IF(ISBLANK(PARTIDAS!$G2310),PARTIDAS!$F2310,CONCATENATE(PARTIDAS!$F2310," (",PARTIDAS!$G2310,")"))</f>
        <v>Glutetimida (DCI)</v>
      </c>
      <c r="I2310" s="16" t="s">
        <v>9427</v>
      </c>
    </row>
    <row r="2311" spans="1:9" x14ac:dyDescent="0.25">
      <c r="A2311" s="16" t="s">
        <v>3296</v>
      </c>
      <c r="B2311" s="16" t="str">
        <f>TEXT(PARTIDA[[#This Row],[PARTIDA]],"0000000000")</f>
        <v>2925190000</v>
      </c>
      <c r="C2311" s="16" t="s">
        <v>815</v>
      </c>
      <c r="D2311" s="16" t="s">
        <v>835</v>
      </c>
      <c r="E2311" s="16" t="s">
        <v>9465</v>
      </c>
      <c r="F2311" s="27" t="s">
        <v>11279</v>
      </c>
      <c r="G2311" s="27"/>
      <c r="H2311" s="16" t="str">
        <f>IF(ISBLANK(PARTIDAS!$G2311),PARTIDAS!$F2311,CONCATENATE(PARTIDAS!$F2311," (",PARTIDAS!$G2311,")"))</f>
        <v>Imidas y sus derivados (los demás)</v>
      </c>
      <c r="I2311" s="16" t="s">
        <v>9427</v>
      </c>
    </row>
    <row r="2312" spans="1:9" x14ac:dyDescent="0.25">
      <c r="A2312" s="16" t="s">
        <v>3297</v>
      </c>
      <c r="B2312" s="16" t="str">
        <f>TEXT(PARTIDA[[#This Row],[PARTIDA]],"0000000000")</f>
        <v>2925210000</v>
      </c>
      <c r="C2312" s="16" t="s">
        <v>815</v>
      </c>
      <c r="D2312" s="16" t="s">
        <v>835</v>
      </c>
      <c r="E2312" s="16" t="s">
        <v>9465</v>
      </c>
      <c r="F2312" s="27" t="s">
        <v>11280</v>
      </c>
      <c r="G2312" s="27"/>
      <c r="H2312" s="16" t="str">
        <f>IF(ISBLANK(PARTIDAS!$G2312),PARTIDAS!$F2312,CONCATENATE(PARTIDAS!$F2312," (",PARTIDAS!$G2312,")"))</f>
        <v>Clordimeformo (ISO)</v>
      </c>
      <c r="I2312" s="16" t="s">
        <v>9427</v>
      </c>
    </row>
    <row r="2313" spans="1:9" x14ac:dyDescent="0.25">
      <c r="A2313" s="16" t="s">
        <v>3298</v>
      </c>
      <c r="B2313" s="16" t="str">
        <f>TEXT(PARTIDA[[#This Row],[PARTIDA]],"0000000000")</f>
        <v>2925291000</v>
      </c>
      <c r="C2313" s="16" t="s">
        <v>815</v>
      </c>
      <c r="D2313" s="16" t="s">
        <v>835</v>
      </c>
      <c r="E2313" s="16" t="s">
        <v>9465</v>
      </c>
      <c r="F2313" s="27" t="s">
        <v>11281</v>
      </c>
      <c r="G2313" s="27"/>
      <c r="H2313" s="16" t="str">
        <f>IF(ISBLANK(PARTIDAS!$G2313),PARTIDAS!$F2313,CONCATENATE(PARTIDAS!$F2313," (",PARTIDAS!$G2313,")"))</f>
        <v>Guanidinas, derivados y sales</v>
      </c>
      <c r="I2313" s="16" t="s">
        <v>9427</v>
      </c>
    </row>
    <row r="2314" spans="1:9" x14ac:dyDescent="0.25">
      <c r="A2314" s="16" t="s">
        <v>3299</v>
      </c>
      <c r="B2314" s="16" t="str">
        <f>TEXT(PARTIDA[[#This Row],[PARTIDA]],"0000000000")</f>
        <v>2925299000</v>
      </c>
      <c r="C2314" s="16" t="s">
        <v>815</v>
      </c>
      <c r="D2314" s="16" t="s">
        <v>835</v>
      </c>
      <c r="E2314" s="16" t="s">
        <v>9465</v>
      </c>
      <c r="F2314" s="27" t="s">
        <v>11282</v>
      </c>
      <c r="G2314" s="27"/>
      <c r="H2314" s="16" t="str">
        <f>IF(ISBLANK(PARTIDAS!$G2314),PARTIDAS!$F2314,CONCATENATE(PARTIDAS!$F2314," (",PARTIDAS!$G2314,")"))</f>
        <v>Iminas y sus derivados (los demás)</v>
      </c>
      <c r="I2314" s="16" t="s">
        <v>9427</v>
      </c>
    </row>
    <row r="2315" spans="1:9" x14ac:dyDescent="0.25">
      <c r="A2315" s="16" t="s">
        <v>3300</v>
      </c>
      <c r="B2315" s="16" t="str">
        <f>TEXT(PARTIDA[[#This Row],[PARTIDA]],"0000000000")</f>
        <v>2926100000</v>
      </c>
      <c r="C2315" s="16" t="s">
        <v>815</v>
      </c>
      <c r="D2315" s="16" t="s">
        <v>835</v>
      </c>
      <c r="E2315" s="16" t="s">
        <v>9465</v>
      </c>
      <c r="F2315" s="27" t="s">
        <v>11283</v>
      </c>
      <c r="G2315" s="27"/>
      <c r="H2315" s="16" t="str">
        <f>IF(ISBLANK(PARTIDAS!$G2315),PARTIDAS!$F2315,CONCATENATE(PARTIDAS!$F2315," (",PARTIDAS!$G2315,")"))</f>
        <v>Acrilonitrilo</v>
      </c>
      <c r="I2315" s="16" t="s">
        <v>9427</v>
      </c>
    </row>
    <row r="2316" spans="1:9" x14ac:dyDescent="0.25">
      <c r="A2316" s="16" t="s">
        <v>3301</v>
      </c>
      <c r="B2316" s="16" t="str">
        <f>TEXT(PARTIDA[[#This Row],[PARTIDA]],"0000000000")</f>
        <v>2926200000</v>
      </c>
      <c r="C2316" s="16" t="s">
        <v>815</v>
      </c>
      <c r="D2316" s="16" t="s">
        <v>835</v>
      </c>
      <c r="E2316" s="16" t="s">
        <v>9465</v>
      </c>
      <c r="F2316" s="27" t="s">
        <v>11284</v>
      </c>
      <c r="G2316" s="27"/>
      <c r="H2316" s="16" t="str">
        <f>IF(ISBLANK(PARTIDAS!$G2316),PARTIDAS!$F2316,CONCATENATE(PARTIDAS!$F2316," (",PARTIDAS!$G2316,")"))</f>
        <v>Compuestos con función nitrilo, 1-Cianoguanidina (diciandiamida)</v>
      </c>
      <c r="I2316" s="16" t="s">
        <v>9427</v>
      </c>
    </row>
    <row r="2317" spans="1:9" x14ac:dyDescent="0.25">
      <c r="A2317" s="16" t="s">
        <v>3302</v>
      </c>
      <c r="B2317" s="16" t="str">
        <f>TEXT(PARTIDA[[#This Row],[PARTIDA]],"0000000000")</f>
        <v>2926301000</v>
      </c>
      <c r="C2317" s="16" t="s">
        <v>815</v>
      </c>
      <c r="D2317" s="16" t="s">
        <v>835</v>
      </c>
      <c r="E2317" s="16" t="s">
        <v>9465</v>
      </c>
      <c r="F2317" s="27" t="s">
        <v>11285</v>
      </c>
      <c r="G2317" s="27"/>
      <c r="H2317" s="16" t="str">
        <f>IF(ISBLANK(PARTIDAS!$G2317),PARTIDAS!$F2317,CONCATENATE(PARTIDAS!$F2317," (",PARTIDAS!$G2317,")"))</f>
        <v>Fenproporex (DCI) y sus sales</v>
      </c>
      <c r="I2317" s="16" t="s">
        <v>9427</v>
      </c>
    </row>
    <row r="2318" spans="1:9" x14ac:dyDescent="0.25">
      <c r="A2318" s="16" t="s">
        <v>3303</v>
      </c>
      <c r="B2318" s="16" t="str">
        <f>TEXT(PARTIDA[[#This Row],[PARTIDA]],"0000000000")</f>
        <v>2926302000</v>
      </c>
      <c r="C2318" s="16" t="s">
        <v>815</v>
      </c>
      <c r="D2318" s="16" t="s">
        <v>835</v>
      </c>
      <c r="E2318" s="16" t="s">
        <v>9465</v>
      </c>
      <c r="F2318" s="27" t="s">
        <v>11286</v>
      </c>
      <c r="G2318" s="27"/>
      <c r="H2318" s="16" t="str">
        <f>IF(ISBLANK(PARTIDAS!$G2318),PARTIDAS!$F2318,CONCATENATE(PARTIDAS!$F2318," (",PARTIDAS!$G2318,")"))</f>
        <v>Intermedio de la metadona (DCI) (4-ciano-2-dimetilamino-4,4-difenilbutano)</v>
      </c>
      <c r="I2318" s="16" t="s">
        <v>9427</v>
      </c>
    </row>
    <row r="2319" spans="1:9" x14ac:dyDescent="0.25">
      <c r="A2319" s="16" t="s">
        <v>3304</v>
      </c>
      <c r="B2319" s="16" t="str">
        <f>TEXT(PARTIDA[[#This Row],[PARTIDA]],"0000000000")</f>
        <v>2926400000</v>
      </c>
      <c r="C2319" s="16" t="s">
        <v>815</v>
      </c>
      <c r="D2319" s="16" t="s">
        <v>835</v>
      </c>
      <c r="E2319" s="16" t="s">
        <v>9465</v>
      </c>
      <c r="F2319" s="27" t="s">
        <v>11287</v>
      </c>
      <c r="G2319" s="27"/>
      <c r="H2319" s="16" t="str">
        <f>IF(ISBLANK(PARTIDAS!$G2319),PARTIDAS!$F2319,CONCATENATE(PARTIDAS!$F2319," (",PARTIDAS!$G2319,")"))</f>
        <v>Alfa-Fenilacetoacetonitrilo</v>
      </c>
      <c r="I2319" s="16" t="s">
        <v>9427</v>
      </c>
    </row>
    <row r="2320" spans="1:9" x14ac:dyDescent="0.25">
      <c r="A2320" s="16" t="s">
        <v>3305</v>
      </c>
      <c r="B2320" s="16" t="str">
        <f>TEXT(PARTIDA[[#This Row],[PARTIDA]],"0000000000")</f>
        <v>2926902000</v>
      </c>
      <c r="C2320" s="16" t="s">
        <v>815</v>
      </c>
      <c r="D2320" s="16" t="s">
        <v>835</v>
      </c>
      <c r="E2320" s="16" t="s">
        <v>9465</v>
      </c>
      <c r="F2320" s="27" t="s">
        <v>11288</v>
      </c>
      <c r="G2320" s="27"/>
      <c r="H2320" s="16" t="str">
        <f>IF(ISBLANK(PARTIDAS!$G2320),PARTIDAS!$F2320,CONCATENATE(PARTIDAS!$F2320," (",PARTIDAS!$G2320,")"))</f>
        <v>Compuestos con función nitrilo, acetonitrilo</v>
      </c>
      <c r="I2320" s="16" t="s">
        <v>9427</v>
      </c>
    </row>
    <row r="2321" spans="1:9" x14ac:dyDescent="0.25">
      <c r="A2321" s="16" t="s">
        <v>3306</v>
      </c>
      <c r="B2321" s="16" t="str">
        <f>TEXT(PARTIDA[[#This Row],[PARTIDA]],"0000000000")</f>
        <v>2926903000</v>
      </c>
      <c r="C2321" s="16" t="s">
        <v>815</v>
      </c>
      <c r="D2321" s="16" t="s">
        <v>835</v>
      </c>
      <c r="E2321" s="16" t="s">
        <v>9465</v>
      </c>
      <c r="F2321" s="27" t="s">
        <v>11289</v>
      </c>
      <c r="G2321" s="27"/>
      <c r="H2321" s="16" t="str">
        <f>IF(ISBLANK(PARTIDAS!$G2321),PARTIDAS!$F2321,CONCATENATE(PARTIDAS!$F2321," (",PARTIDAS!$G2321,")"))</f>
        <v>Cianhidrina de acetona</v>
      </c>
      <c r="I2321" s="16" t="s">
        <v>9427</v>
      </c>
    </row>
    <row r="2322" spans="1:9" x14ac:dyDescent="0.25">
      <c r="A2322" s="16" t="s">
        <v>3307</v>
      </c>
      <c r="B2322" s="16" t="str">
        <f>TEXT(PARTIDA[[#This Row],[PARTIDA]],"0000000000")</f>
        <v>2926904000</v>
      </c>
      <c r="C2322" s="16" t="s">
        <v>815</v>
      </c>
      <c r="D2322" s="16" t="s">
        <v>835</v>
      </c>
      <c r="E2322" s="16" t="s">
        <v>9465</v>
      </c>
      <c r="F2322" s="27" t="s">
        <v>11290</v>
      </c>
      <c r="G2322" s="27"/>
      <c r="H2322" s="16" t="str">
        <f>IF(ISBLANK(PARTIDAS!$G2322),PARTIDAS!$F2322,CONCATENATE(PARTIDAS!$F2322," (",PARTIDAS!$G2322,")"))</f>
        <v>Compuestos con función nitrilo, 2-Ciano-N-[(etilamino)carbonil]-2-(metoxiamino) acetamida (cymoxanil)</v>
      </c>
      <c r="I2322" s="16" t="s">
        <v>9427</v>
      </c>
    </row>
    <row r="2323" spans="1:9" x14ac:dyDescent="0.25">
      <c r="A2323" s="16" t="s">
        <v>3308</v>
      </c>
      <c r="B2323" s="16" t="str">
        <f>TEXT(PARTIDA[[#This Row],[PARTIDA]],"0000000000")</f>
        <v>2926905000</v>
      </c>
      <c r="C2323" s="16" t="s">
        <v>815</v>
      </c>
      <c r="D2323" s="16" t="s">
        <v>835</v>
      </c>
      <c r="E2323" s="16" t="s">
        <v>9465</v>
      </c>
      <c r="F2323" s="27" t="s">
        <v>11291</v>
      </c>
      <c r="G2323" s="27"/>
      <c r="H2323" s="16" t="str">
        <f>IF(ISBLANK(PARTIDAS!$G2323),PARTIDAS!$F2323,CONCATENATE(PARTIDAS!$F2323," (",PARTIDAS!$G2323,")"))</f>
        <v>Compuestos con función nitrilo, cipermetrina</v>
      </c>
      <c r="I2323" s="16" t="s">
        <v>9427</v>
      </c>
    </row>
    <row r="2324" spans="1:9" x14ac:dyDescent="0.25">
      <c r="A2324" s="16" t="s">
        <v>3309</v>
      </c>
      <c r="B2324" s="16" t="str">
        <f>TEXT(PARTIDA[[#This Row],[PARTIDA]],"0000000000")</f>
        <v>2926909000</v>
      </c>
      <c r="C2324" s="16" t="s">
        <v>815</v>
      </c>
      <c r="D2324" s="16" t="s">
        <v>835</v>
      </c>
      <c r="E2324" s="16" t="s">
        <v>9465</v>
      </c>
      <c r="F2324" s="27" t="s">
        <v>11292</v>
      </c>
      <c r="G2324" s="27"/>
      <c r="H2324" s="16" t="str">
        <f>IF(ISBLANK(PARTIDAS!$G2324),PARTIDAS!$F2324,CONCATENATE(PARTIDAS!$F2324," (",PARTIDAS!$G2324,")"))</f>
        <v>Compuestos con función nitrilo (los demás)</v>
      </c>
      <c r="I2324" s="16" t="s">
        <v>9427</v>
      </c>
    </row>
    <row r="2325" spans="1:9" x14ac:dyDescent="0.25">
      <c r="A2325" s="16" t="s">
        <v>3310</v>
      </c>
      <c r="B2325" s="16" t="str">
        <f>TEXT(PARTIDA[[#This Row],[PARTIDA]],"0000000000")</f>
        <v>2927000000</v>
      </c>
      <c r="C2325" s="16" t="s">
        <v>815</v>
      </c>
      <c r="D2325" s="16" t="s">
        <v>835</v>
      </c>
      <c r="E2325" s="16" t="s">
        <v>9465</v>
      </c>
      <c r="F2325" s="27" t="s">
        <v>3311</v>
      </c>
      <c r="G2325" s="27"/>
      <c r="H2325" s="16" t="str">
        <f>IF(ISBLANK(PARTIDAS!$G2325),PARTIDAS!$F2325,CONCATENATE(PARTIDAS!$F2325," (",PARTIDAS!$G2325,")"))</f>
        <v>Compuestos diazoicos, azoicos o azoxi.</v>
      </c>
      <c r="I2325" s="16" t="s">
        <v>9427</v>
      </c>
    </row>
    <row r="2326" spans="1:9" x14ac:dyDescent="0.25">
      <c r="A2326" s="16" t="s">
        <v>3312</v>
      </c>
      <c r="B2326" s="16" t="str">
        <f>TEXT(PARTIDA[[#This Row],[PARTIDA]],"0000000000")</f>
        <v>2928001000</v>
      </c>
      <c r="C2326" s="16" t="s">
        <v>815</v>
      </c>
      <c r="D2326" s="16" t="s">
        <v>835</v>
      </c>
      <c r="E2326" s="16" t="s">
        <v>9465</v>
      </c>
      <c r="F2326" s="27" t="s">
        <v>11293</v>
      </c>
      <c r="G2326" s="27"/>
      <c r="H2326" s="16" t="str">
        <f>IF(ISBLANK(PARTIDAS!$G2326),PARTIDAS!$F2326,CONCATENATE(PARTIDAS!$F2326," (",PARTIDAS!$G2326,")"))</f>
        <v>Etil-metil-cetoxima (butanona oxima)</v>
      </c>
      <c r="I2326" s="16" t="s">
        <v>9427</v>
      </c>
    </row>
    <row r="2327" spans="1:9" x14ac:dyDescent="0.25">
      <c r="A2327" s="16" t="s">
        <v>3313</v>
      </c>
      <c r="B2327" s="16" t="str">
        <f>TEXT(PARTIDA[[#This Row],[PARTIDA]],"0000000000")</f>
        <v>2928002000</v>
      </c>
      <c r="C2327" s="16" t="s">
        <v>815</v>
      </c>
      <c r="D2327" s="16" t="s">
        <v>835</v>
      </c>
      <c r="E2327" s="16" t="s">
        <v>9465</v>
      </c>
      <c r="F2327" s="27" t="s">
        <v>11294</v>
      </c>
      <c r="G2327" s="27"/>
      <c r="H2327" s="16" t="str">
        <f>IF(ISBLANK(PARTIDAS!$G2327),PARTIDAS!$F2327,CONCATENATE(PARTIDAS!$F2327," (",PARTIDAS!$G2327,")"))</f>
        <v>Foxima (ISO)(DCI)</v>
      </c>
      <c r="I2327" s="16" t="s">
        <v>9427</v>
      </c>
    </row>
    <row r="2328" spans="1:9" x14ac:dyDescent="0.25">
      <c r="A2328" s="16" t="s">
        <v>3314</v>
      </c>
      <c r="B2328" s="16" t="str">
        <f>TEXT(PARTIDA[[#This Row],[PARTIDA]],"0000000000")</f>
        <v>2928009000</v>
      </c>
      <c r="C2328" s="16" t="s">
        <v>815</v>
      </c>
      <c r="D2328" s="16" t="s">
        <v>835</v>
      </c>
      <c r="E2328" s="16" t="s">
        <v>9465</v>
      </c>
      <c r="F2328" s="27" t="s">
        <v>11295</v>
      </c>
      <c r="G2328" s="27"/>
      <c r="H2328" s="16" t="str">
        <f>IF(ISBLANK(PARTIDAS!$G2328),PARTIDAS!$F2328,CONCATENATE(PARTIDAS!$F2328," (",PARTIDAS!$G2328,")"))</f>
        <v>Compuestos con función nitrilo. 2928.00 Derivados orgánicos de la… (los demás)</v>
      </c>
      <c r="I2328" s="16" t="s">
        <v>9427</v>
      </c>
    </row>
    <row r="2329" spans="1:9" x14ac:dyDescent="0.25">
      <c r="A2329" s="16" t="s">
        <v>3315</v>
      </c>
      <c r="B2329" s="16" t="str">
        <f>TEXT(PARTIDA[[#This Row],[PARTIDA]],"0000000000")</f>
        <v>2929101000</v>
      </c>
      <c r="C2329" s="16" t="s">
        <v>815</v>
      </c>
      <c r="D2329" s="16" t="s">
        <v>835</v>
      </c>
      <c r="E2329" s="16" t="s">
        <v>9465</v>
      </c>
      <c r="F2329" s="27" t="s">
        <v>11296</v>
      </c>
      <c r="G2329" s="27"/>
      <c r="H2329" s="16" t="str">
        <f>IF(ISBLANK(PARTIDAS!$G2329),PARTIDAS!$F2329,CONCATENATE(PARTIDAS!$F2329," (",PARTIDAS!$G2329,")"))</f>
        <v>Isocianatos, toluen-diisocianato</v>
      </c>
      <c r="I2329" s="16" t="s">
        <v>9427</v>
      </c>
    </row>
    <row r="2330" spans="1:9" x14ac:dyDescent="0.25">
      <c r="A2330" s="16" t="s">
        <v>3316</v>
      </c>
      <c r="B2330" s="16" t="str">
        <f>TEXT(PARTIDA[[#This Row],[PARTIDA]],"0000000000")</f>
        <v>2929109000</v>
      </c>
      <c r="C2330" s="16" t="s">
        <v>815</v>
      </c>
      <c r="D2330" s="16" t="s">
        <v>835</v>
      </c>
      <c r="E2330" s="16" t="s">
        <v>9465</v>
      </c>
      <c r="F2330" s="27" t="s">
        <v>11297</v>
      </c>
      <c r="G2330" s="27"/>
      <c r="H2330" s="16" t="str">
        <f>IF(ISBLANK(PARTIDAS!$G2330),PARTIDAS!$F2330,CONCATENATE(PARTIDAS!$F2330," (",PARTIDAS!$G2330,")"))</f>
        <v>Isocianatos (los demás)</v>
      </c>
      <c r="I2330" s="16" t="s">
        <v>9427</v>
      </c>
    </row>
    <row r="2331" spans="1:9" x14ac:dyDescent="0.25">
      <c r="A2331" s="16" t="s">
        <v>3317</v>
      </c>
      <c r="B2331" s="16" t="str">
        <f>TEXT(PARTIDA[[#This Row],[PARTIDA]],"0000000000")</f>
        <v>2929901000</v>
      </c>
      <c r="C2331" s="16" t="s">
        <v>815</v>
      </c>
      <c r="D2331" s="16" t="s">
        <v>835</v>
      </c>
      <c r="E2331" s="16" t="s">
        <v>9465</v>
      </c>
      <c r="F2331" s="27" t="s">
        <v>11298</v>
      </c>
      <c r="G2331" s="27"/>
      <c r="H2331" s="16" t="str">
        <f>IF(ISBLANK(PARTIDAS!$G2331),PARTIDAS!$F2331,CONCATENATE(PARTIDAS!$F2331," (",PARTIDAS!$G2331,")"))</f>
        <v>Dihalogenuros de N,N-diaquil (metil, etil, n-propil o isopropil) fosforamidatos</v>
      </c>
      <c r="I2331" s="16" t="s">
        <v>9427</v>
      </c>
    </row>
    <row r="2332" spans="1:9" x14ac:dyDescent="0.25">
      <c r="A2332" s="16" t="s">
        <v>3318</v>
      </c>
      <c r="B2332" s="16" t="str">
        <f>TEXT(PARTIDA[[#This Row],[PARTIDA]],"0000000000")</f>
        <v>2929902000</v>
      </c>
      <c r="C2332" s="16" t="s">
        <v>815</v>
      </c>
      <c r="D2332" s="16" t="s">
        <v>835</v>
      </c>
      <c r="E2332" s="16" t="s">
        <v>9465</v>
      </c>
      <c r="F2332" s="27" t="s">
        <v>11299</v>
      </c>
      <c r="G2332" s="27"/>
      <c r="H2332" s="16" t="str">
        <f>IF(ISBLANK(PARTIDAS!$G2332),PARTIDAS!$F2332,CONCATENATE(PARTIDAS!$F2332," (",PARTIDAS!$G2332,")"))</f>
        <v>N,N-dialquil (metil, etil, n-propil o isopropil) fosforamidatos de dialquilo (metilo, etilo, n-propilo o isopropilo)</v>
      </c>
      <c r="I2332" s="16" t="s">
        <v>9427</v>
      </c>
    </row>
    <row r="2333" spans="1:9" x14ac:dyDescent="0.25">
      <c r="A2333" s="16" t="s">
        <v>3319</v>
      </c>
      <c r="B2333" s="16" t="str">
        <f>TEXT(PARTIDA[[#This Row],[PARTIDA]],"0000000000")</f>
        <v>2929903000</v>
      </c>
      <c r="C2333" s="16" t="s">
        <v>815</v>
      </c>
      <c r="D2333" s="16" t="s">
        <v>835</v>
      </c>
      <c r="E2333" s="16" t="s">
        <v>9465</v>
      </c>
      <c r="F2333" s="27" t="s">
        <v>11300</v>
      </c>
      <c r="G2333" s="27"/>
      <c r="H2333" s="16" t="str">
        <f>IF(ISBLANK(PARTIDAS!$G2333),PARTIDAS!$F2333,CONCATENATE(PARTIDAS!$F2333," (",PARTIDAS!$G2333,")"))</f>
        <v>Ciclamato de sodio (DCI)</v>
      </c>
      <c r="I2333" s="16" t="s">
        <v>9427</v>
      </c>
    </row>
    <row r="2334" spans="1:9" x14ac:dyDescent="0.25">
      <c r="A2334" s="16" t="s">
        <v>3320</v>
      </c>
      <c r="B2334" s="16" t="str">
        <f>TEXT(PARTIDA[[#This Row],[PARTIDA]],"0000000000")</f>
        <v>2929909000</v>
      </c>
      <c r="C2334" s="16" t="s">
        <v>815</v>
      </c>
      <c r="D2334" s="16" t="s">
        <v>835</v>
      </c>
      <c r="E2334" s="16" t="s">
        <v>9465</v>
      </c>
      <c r="F2334" s="27" t="s">
        <v>11301</v>
      </c>
      <c r="G2334" s="27"/>
      <c r="H2334" s="16" t="str">
        <f>IF(ISBLANK(PARTIDAS!$G2334),PARTIDAS!$F2334,CONCATENATE(PARTIDAS!$F2334," (",PARTIDAS!$G2334,")"))</f>
        <v>Compuestos con otras funciones nitrogenadas (los demás)</v>
      </c>
      <c r="I2334" s="16" t="s">
        <v>9427</v>
      </c>
    </row>
    <row r="2335" spans="1:9" x14ac:dyDescent="0.25">
      <c r="A2335" s="16" t="s">
        <v>11302</v>
      </c>
      <c r="B2335" s="16" t="str">
        <f>TEXT(PARTIDA[[#This Row],[PARTIDA]],"0000000000")</f>
        <v>2930100000</v>
      </c>
      <c r="C2335" s="16" t="s">
        <v>815</v>
      </c>
      <c r="D2335" s="16" t="s">
        <v>835</v>
      </c>
      <c r="E2335" s="16" t="s">
        <v>9465</v>
      </c>
      <c r="F2335" s="27" t="s">
        <v>11303</v>
      </c>
      <c r="G2335" s="27"/>
      <c r="H2335" s="16" t="str">
        <f>IF(ISBLANK(PARTIDAS!$G2335),PARTIDAS!$F2335,CONCATENATE(PARTIDAS!$F2335," (",PARTIDAS!$G2335,")"))</f>
        <v>Tiocompuestos orgánicos, 2-(N,N-Dimetilamino)etanotiol</v>
      </c>
      <c r="I2335" s="16" t="s">
        <v>9427</v>
      </c>
    </row>
    <row r="2336" spans="1:9" x14ac:dyDescent="0.25">
      <c r="A2336" s="16" t="s">
        <v>3321</v>
      </c>
      <c r="B2336" s="16" t="str">
        <f>TEXT(PARTIDA[[#This Row],[PARTIDA]],"0000000000")</f>
        <v>2930201000</v>
      </c>
      <c r="C2336" s="16" t="s">
        <v>815</v>
      </c>
      <c r="D2336" s="16" t="s">
        <v>835</v>
      </c>
      <c r="E2336" s="16" t="s">
        <v>9465</v>
      </c>
      <c r="F2336" s="27" t="s">
        <v>11304</v>
      </c>
      <c r="G2336" s="27"/>
      <c r="H2336" s="16" t="str">
        <f>IF(ISBLANK(PARTIDAS!$G2336),PARTIDAS!$F2336,CONCATENATE(PARTIDAS!$F2336," (",PARTIDAS!$G2336,")"))</f>
        <v>Tiocarbamatos y ditiocarbamatos, etildipropiltiocarbamato</v>
      </c>
      <c r="I2336" s="16" t="s">
        <v>9427</v>
      </c>
    </row>
    <row r="2337" spans="1:9" x14ac:dyDescent="0.25">
      <c r="A2337" s="16" t="s">
        <v>3322</v>
      </c>
      <c r="B2337" s="16" t="str">
        <f>TEXT(PARTIDA[[#This Row],[PARTIDA]],"0000000000")</f>
        <v>2930202000</v>
      </c>
      <c r="C2337" s="16" t="s">
        <v>815</v>
      </c>
      <c r="D2337" s="16" t="s">
        <v>835</v>
      </c>
      <c r="E2337" s="16" t="s">
        <v>9465</v>
      </c>
      <c r="F2337" s="27" t="s">
        <v>11305</v>
      </c>
      <c r="G2337" s="27"/>
      <c r="H2337" s="16" t="str">
        <f>IF(ISBLANK(PARTIDAS!$G2337),PARTIDAS!$F2337,CONCATENATE(PARTIDAS!$F2337," (",PARTIDAS!$G2337,")"))</f>
        <v>Butilato (ISO), tiobencarb, vernolato</v>
      </c>
      <c r="I2337" s="16" t="s">
        <v>9427</v>
      </c>
    </row>
    <row r="2338" spans="1:9" x14ac:dyDescent="0.25">
      <c r="A2338" s="16" t="s">
        <v>3323</v>
      </c>
      <c r="B2338" s="16" t="str">
        <f>TEXT(PARTIDA[[#This Row],[PARTIDA]],"0000000000")</f>
        <v>2930209000</v>
      </c>
      <c r="C2338" s="16" t="s">
        <v>815</v>
      </c>
      <c r="D2338" s="16" t="s">
        <v>835</v>
      </c>
      <c r="E2338" s="16" t="s">
        <v>9465</v>
      </c>
      <c r="F2338" s="27" t="s">
        <v>11306</v>
      </c>
      <c r="G2338" s="27"/>
      <c r="H2338" s="16" t="str">
        <f>IF(ISBLANK(PARTIDAS!$G2338),PARTIDAS!$F2338,CONCATENATE(PARTIDAS!$F2338," (",PARTIDAS!$G2338,")"))</f>
        <v>Tiocarbamatos y ditiocarbamatos (los demás)</v>
      </c>
      <c r="I2338" s="16" t="s">
        <v>9427</v>
      </c>
    </row>
    <row r="2339" spans="1:9" x14ac:dyDescent="0.25">
      <c r="A2339" s="16" t="s">
        <v>3324</v>
      </c>
      <c r="B2339" s="16" t="str">
        <f>TEXT(PARTIDA[[#This Row],[PARTIDA]],"0000000000")</f>
        <v>2930301000</v>
      </c>
      <c r="C2339" s="16" t="s">
        <v>815</v>
      </c>
      <c r="D2339" s="16" t="s">
        <v>835</v>
      </c>
      <c r="E2339" s="16" t="s">
        <v>9465</v>
      </c>
      <c r="F2339" s="27" t="s">
        <v>11307</v>
      </c>
      <c r="G2339" s="27"/>
      <c r="H2339" s="16" t="str">
        <f>IF(ISBLANK(PARTIDAS!$G2339),PARTIDAS!$F2339,CONCATENATE(PARTIDAS!$F2339," (",PARTIDAS!$G2339,")"))</f>
        <v>Disulfuro de tetrametiltiourama (ISO) (DCI)</v>
      </c>
      <c r="I2339" s="16" t="s">
        <v>9427</v>
      </c>
    </row>
    <row r="2340" spans="1:9" x14ac:dyDescent="0.25">
      <c r="A2340" s="16" t="s">
        <v>3325</v>
      </c>
      <c r="B2340" s="16" t="str">
        <f>TEXT(PARTIDA[[#This Row],[PARTIDA]],"0000000000")</f>
        <v>2930309000</v>
      </c>
      <c r="C2340" s="16" t="s">
        <v>815</v>
      </c>
      <c r="D2340" s="16" t="s">
        <v>835</v>
      </c>
      <c r="E2340" s="16" t="s">
        <v>9465</v>
      </c>
      <c r="F2340" s="27" t="s">
        <v>11308</v>
      </c>
      <c r="G2340" s="27"/>
      <c r="H2340" s="16" t="str">
        <f>IF(ISBLANK(PARTIDAS!$G2340),PARTIDAS!$F2340,CONCATENATE(PARTIDAS!$F2340," (",PARTIDAS!$G2340,")"))</f>
        <v>Mono-, di- o tetrasulfuros de tiourama (los demás)</v>
      </c>
      <c r="I2340" s="16" t="s">
        <v>9427</v>
      </c>
    </row>
    <row r="2341" spans="1:9" x14ac:dyDescent="0.25">
      <c r="A2341" s="16" t="s">
        <v>3326</v>
      </c>
      <c r="B2341" s="16" t="str">
        <f>TEXT(PARTIDA[[#This Row],[PARTIDA]],"0000000000")</f>
        <v>2930400000</v>
      </c>
      <c r="C2341" s="16" t="s">
        <v>815</v>
      </c>
      <c r="D2341" s="16" t="s">
        <v>835</v>
      </c>
      <c r="E2341" s="16" t="s">
        <v>9465</v>
      </c>
      <c r="F2341" s="27" t="s">
        <v>11309</v>
      </c>
      <c r="G2341" s="27"/>
      <c r="H2341" s="16" t="str">
        <f>IF(ISBLANK(PARTIDAS!$G2341),PARTIDAS!$F2341,CONCATENATE(PARTIDAS!$F2341," (",PARTIDAS!$G2341,")"))</f>
        <v>Metionina</v>
      </c>
      <c r="I2341" s="16" t="s">
        <v>9427</v>
      </c>
    </row>
    <row r="2342" spans="1:9" x14ac:dyDescent="0.25">
      <c r="A2342" s="16" t="s">
        <v>3327</v>
      </c>
      <c r="B2342" s="16" t="str">
        <f>TEXT(PARTIDA[[#This Row],[PARTIDA]],"0000000000")</f>
        <v>2930600000</v>
      </c>
      <c r="C2342" s="16" t="s">
        <v>815</v>
      </c>
      <c r="D2342" s="16" t="s">
        <v>835</v>
      </c>
      <c r="E2342" s="16" t="s">
        <v>9465</v>
      </c>
      <c r="F2342" s="27" t="s">
        <v>11310</v>
      </c>
      <c r="G2342" s="27"/>
      <c r="H2342" s="16" t="str">
        <f>IF(ISBLANK(PARTIDAS!$G2342),PARTIDAS!$F2342,CONCATENATE(PARTIDAS!$F2342," (",PARTIDAS!$G2342,")"))</f>
        <v>Tiocompuestos orgánicos, 2-(N,N-Dietilamino)etanotiol</v>
      </c>
      <c r="I2342" s="16" t="s">
        <v>9427</v>
      </c>
    </row>
    <row r="2343" spans="1:9" x14ac:dyDescent="0.25">
      <c r="A2343" s="16" t="s">
        <v>3328</v>
      </c>
      <c r="B2343" s="16" t="str">
        <f>TEXT(PARTIDA[[#This Row],[PARTIDA]],"0000000000")</f>
        <v>2930700000</v>
      </c>
      <c r="C2343" s="16" t="s">
        <v>815</v>
      </c>
      <c r="D2343" s="16" t="s">
        <v>835</v>
      </c>
      <c r="E2343" s="16" t="s">
        <v>9465</v>
      </c>
      <c r="F2343" s="27" t="s">
        <v>11311</v>
      </c>
      <c r="G2343" s="27"/>
      <c r="H2343" s="16" t="str">
        <f>IF(ISBLANK(PARTIDAS!$G2343),PARTIDAS!$F2343,CONCATENATE(PARTIDAS!$F2343," (",PARTIDAS!$G2343,")"))</f>
        <v>Sulfuro de bis(2-hidroxietilo) (tiodiglicol (DCI))</v>
      </c>
      <c r="I2343" s="16" t="s">
        <v>9427</v>
      </c>
    </row>
    <row r="2344" spans="1:9" x14ac:dyDescent="0.25">
      <c r="A2344" s="16" t="s">
        <v>3329</v>
      </c>
      <c r="B2344" s="16" t="str">
        <f>TEXT(PARTIDA[[#This Row],[PARTIDA]],"0000000000")</f>
        <v>2930800000</v>
      </c>
      <c r="C2344" s="16" t="s">
        <v>815</v>
      </c>
      <c r="D2344" s="16" t="s">
        <v>835</v>
      </c>
      <c r="E2344" s="16" t="s">
        <v>9465</v>
      </c>
      <c r="F2344" s="27" t="s">
        <v>11312</v>
      </c>
      <c r="G2344" s="27"/>
      <c r="H2344" s="16" t="str">
        <f>IF(ISBLANK(PARTIDAS!$G2344),PARTIDAS!$F2344,CONCATENATE(PARTIDAS!$F2344," (",PARTIDAS!$G2344,")"))</f>
        <v>Aldicarb (ISO), captafol (ISO) y metamidofos (ISO)</v>
      </c>
      <c r="I2344" s="16" t="s">
        <v>9427</v>
      </c>
    </row>
    <row r="2345" spans="1:9" x14ac:dyDescent="0.25">
      <c r="A2345" s="16" t="s">
        <v>3330</v>
      </c>
      <c r="B2345" s="16" t="str">
        <f>TEXT(PARTIDA[[#This Row],[PARTIDA]],"0000000000")</f>
        <v>2930901100</v>
      </c>
      <c r="C2345" s="16" t="s">
        <v>815</v>
      </c>
      <c r="D2345" s="16" t="s">
        <v>835</v>
      </c>
      <c r="E2345" s="16" t="s">
        <v>9465</v>
      </c>
      <c r="F2345" s="27" t="s">
        <v>11313</v>
      </c>
      <c r="G2345" s="27"/>
      <c r="H2345" s="16" t="str">
        <f>IF(ISBLANK(PARTIDAS!$G2345),PARTIDAS!$F2345,CONCATENATE(PARTIDAS!$F2345," (",PARTIDAS!$G2345,")"))</f>
        <v>Metiltiofanato (ISO)</v>
      </c>
      <c r="I2345" s="16" t="s">
        <v>9427</v>
      </c>
    </row>
    <row r="2346" spans="1:9" x14ac:dyDescent="0.25">
      <c r="A2346" s="16" t="s">
        <v>3331</v>
      </c>
      <c r="B2346" s="16" t="str">
        <f>TEXT(PARTIDA[[#This Row],[PARTIDA]],"0000000000")</f>
        <v>2930901900</v>
      </c>
      <c r="C2346" s="16" t="s">
        <v>815</v>
      </c>
      <c r="D2346" s="16" t="s">
        <v>835</v>
      </c>
      <c r="E2346" s="16" t="s">
        <v>9465</v>
      </c>
      <c r="F2346" s="27" t="s">
        <v>11314</v>
      </c>
      <c r="G2346" s="27"/>
      <c r="H2346" s="16" t="str">
        <f>IF(ISBLANK(PARTIDAS!$G2346),PARTIDAS!$F2346,CONCATENATE(PARTIDAS!$F2346," (",PARTIDAS!$G2346,")"))</f>
        <v>Tioamidas (los demás)</v>
      </c>
      <c r="I2346" s="16" t="s">
        <v>9427</v>
      </c>
    </row>
    <row r="2347" spans="1:9" x14ac:dyDescent="0.25">
      <c r="A2347" s="16" t="s">
        <v>3332</v>
      </c>
      <c r="B2347" s="16" t="str">
        <f>TEXT(PARTIDA[[#This Row],[PARTIDA]],"0000000000")</f>
        <v>2930902100</v>
      </c>
      <c r="C2347" s="16" t="s">
        <v>815</v>
      </c>
      <c r="D2347" s="16" t="s">
        <v>835</v>
      </c>
      <c r="E2347" s="16" t="s">
        <v>9465</v>
      </c>
      <c r="F2347" s="27" t="s">
        <v>11315</v>
      </c>
      <c r="G2347" s="27"/>
      <c r="H2347" s="16" t="str">
        <f>IF(ISBLANK(PARTIDAS!$G2347),PARTIDAS!$F2347,CONCATENATE(PARTIDAS!$F2347," (",PARTIDAS!$G2347,")"))</f>
        <v>N,N-Dialquil (metil, etil, n-propil, o isopropil) aminoetano-2-tioles y sus sales protonadas</v>
      </c>
      <c r="I2347" s="16" t="s">
        <v>9427</v>
      </c>
    </row>
    <row r="2348" spans="1:9" x14ac:dyDescent="0.25">
      <c r="A2348" s="16" t="s">
        <v>3333</v>
      </c>
      <c r="B2348" s="16" t="str">
        <f>TEXT(PARTIDA[[#This Row],[PARTIDA]],"0000000000")</f>
        <v>2930902900</v>
      </c>
      <c r="C2348" s="16" t="s">
        <v>815</v>
      </c>
      <c r="D2348" s="16" t="s">
        <v>835</v>
      </c>
      <c r="E2348" s="16" t="s">
        <v>9465</v>
      </c>
      <c r="F2348" s="27" t="s">
        <v>11316</v>
      </c>
      <c r="G2348" s="27"/>
      <c r="H2348" s="16" t="str">
        <f>IF(ISBLANK(PARTIDAS!$G2348),PARTIDAS!$F2348,CONCATENATE(PARTIDAS!$F2348," (",PARTIDAS!$G2348,")"))</f>
        <v>Tioles (mercaptanos) (los demás)</v>
      </c>
      <c r="I2348" s="16" t="s">
        <v>9427</v>
      </c>
    </row>
    <row r="2349" spans="1:9" x14ac:dyDescent="0.25">
      <c r="A2349" s="16" t="s">
        <v>3334</v>
      </c>
      <c r="B2349" s="16" t="str">
        <f>TEXT(PARTIDA[[#This Row],[PARTIDA]],"0000000000")</f>
        <v>2930903000</v>
      </c>
      <c r="C2349" s="16" t="s">
        <v>815</v>
      </c>
      <c r="D2349" s="16" t="s">
        <v>835</v>
      </c>
      <c r="E2349" s="16" t="s">
        <v>9465</v>
      </c>
      <c r="F2349" s="27" t="s">
        <v>11317</v>
      </c>
      <c r="G2349" s="27"/>
      <c r="H2349" s="16" t="str">
        <f>IF(ISBLANK(PARTIDAS!$G2349),PARTIDAS!$F2349,CONCATENATE(PARTIDAS!$F2349," (",PARTIDAS!$G2349,")"))</f>
        <v>Malatión (ISO)</v>
      </c>
      <c r="I2349" s="16" t="s">
        <v>9427</v>
      </c>
    </row>
    <row r="2350" spans="1:9" x14ac:dyDescent="0.25">
      <c r="A2350" s="16" t="s">
        <v>3335</v>
      </c>
      <c r="B2350" s="16" t="str">
        <f>TEXT(PARTIDA[[#This Row],[PARTIDA]],"0000000000")</f>
        <v>2930905100</v>
      </c>
      <c r="C2350" s="16" t="s">
        <v>815</v>
      </c>
      <c r="D2350" s="16" t="s">
        <v>835</v>
      </c>
      <c r="E2350" s="16" t="s">
        <v>9465</v>
      </c>
      <c r="F2350" s="27" t="s">
        <v>11318</v>
      </c>
      <c r="G2350" s="27"/>
      <c r="H2350" s="16" t="str">
        <f>IF(ISBLANK(PARTIDAS!$G2350),PARTIDAS!$F2350,CONCATENATE(PARTIDAS!$F2350," (",PARTIDAS!$G2350,")"))</f>
        <v>Isopropilxantato de sodio (ISO)</v>
      </c>
      <c r="I2350" s="16" t="s">
        <v>9427</v>
      </c>
    </row>
    <row r="2351" spans="1:9" x14ac:dyDescent="0.25">
      <c r="A2351" s="16" t="s">
        <v>3336</v>
      </c>
      <c r="B2351" s="16" t="str">
        <f>TEXT(PARTIDA[[#This Row],[PARTIDA]],"0000000000")</f>
        <v>2930905900</v>
      </c>
      <c r="C2351" s="16" t="s">
        <v>815</v>
      </c>
      <c r="D2351" s="16" t="s">
        <v>835</v>
      </c>
      <c r="E2351" s="16" t="s">
        <v>9465</v>
      </c>
      <c r="F2351" s="27" t="s">
        <v>11319</v>
      </c>
      <c r="G2351" s="27"/>
      <c r="H2351" s="16" t="str">
        <f>IF(ISBLANK(PARTIDAS!$G2351),PARTIDAS!$F2351,CONCATENATE(PARTIDAS!$F2351," (",PARTIDAS!$G2351,")"))</f>
        <v>Ditiocarbonatos (xantatos y xantogenatos) (los demás)</v>
      </c>
      <c r="I2351" s="16" t="s">
        <v>9427</v>
      </c>
    </row>
    <row r="2352" spans="1:9" x14ac:dyDescent="0.25">
      <c r="A2352" s="16" t="s">
        <v>3337</v>
      </c>
      <c r="B2352" s="16" t="str">
        <f>TEXT(PARTIDA[[#This Row],[PARTIDA]],"0000000000")</f>
        <v>2930907000</v>
      </c>
      <c r="C2352" s="16" t="s">
        <v>815</v>
      </c>
      <c r="D2352" s="16" t="s">
        <v>835</v>
      </c>
      <c r="E2352" s="16" t="s">
        <v>9465</v>
      </c>
      <c r="F2352" s="27" t="s">
        <v>11320</v>
      </c>
      <c r="G2352" s="27"/>
      <c r="H2352" s="16" t="str">
        <f>IF(ISBLANK(PARTIDAS!$G2352),PARTIDAS!$F2352,CONCATENATE(PARTIDAS!$F2352," (",PARTIDAS!$G2352,")"))</f>
        <v>Fosforotioato de O,O-dietilo y de S-[2-(dietilamino) etilo], y sus sales alquiladas o protonadas</v>
      </c>
      <c r="I2352" s="16" t="s">
        <v>9427</v>
      </c>
    </row>
    <row r="2353" spans="1:9" x14ac:dyDescent="0.25">
      <c r="A2353" s="16" t="s">
        <v>3338</v>
      </c>
      <c r="B2353" s="16" t="str">
        <f>TEXT(PARTIDA[[#This Row],[PARTIDA]],"0000000000")</f>
        <v>2930908000</v>
      </c>
      <c r="C2353" s="16" t="s">
        <v>815</v>
      </c>
      <c r="D2353" s="16" t="s">
        <v>835</v>
      </c>
      <c r="E2353" s="16" t="s">
        <v>9465</v>
      </c>
      <c r="F2353" s="27" t="s">
        <v>11321</v>
      </c>
      <c r="G2353" s="27"/>
      <c r="H2353" s="16" t="str">
        <f>IF(ISBLANK(PARTIDAS!$G2353),PARTIDAS!$F2353,CONCATENATE(PARTIDAS!$F2353," (",PARTIDAS!$G2353,")"))</f>
        <v>Etilditiofosfonato de O-etilo y de S-fenilo (fonofós)</v>
      </c>
      <c r="I2353" s="16" t="s">
        <v>9427</v>
      </c>
    </row>
    <row r="2354" spans="1:9" x14ac:dyDescent="0.25">
      <c r="A2354" s="16" t="s">
        <v>3339</v>
      </c>
      <c r="B2354" s="16" t="str">
        <f>TEXT(PARTIDA[[#This Row],[PARTIDA]],"0000000000")</f>
        <v>2930909200</v>
      </c>
      <c r="C2354" s="16" t="s">
        <v>815</v>
      </c>
      <c r="D2354" s="16" t="s">
        <v>835</v>
      </c>
      <c r="E2354" s="16" t="s">
        <v>9465</v>
      </c>
      <c r="F2354" s="27" t="s">
        <v>11322</v>
      </c>
      <c r="G2354" s="27"/>
      <c r="H2354" s="16" t="str">
        <f>IF(ISBLANK(PARTIDAS!$G2354),PARTIDAS!$F2354,CONCATENATE(PARTIDAS!$F2354," (",PARTIDAS!$G2354,")"))</f>
        <v>Sales, ésteres y derivados de la metionina</v>
      </c>
      <c r="I2354" s="16" t="s">
        <v>9427</v>
      </c>
    </row>
    <row r="2355" spans="1:9" x14ac:dyDescent="0.25">
      <c r="A2355" s="16" t="s">
        <v>3340</v>
      </c>
      <c r="B2355" s="16" t="str">
        <f>TEXT(PARTIDA[[#This Row],[PARTIDA]],"0000000000")</f>
        <v>2930909310</v>
      </c>
      <c r="C2355" s="16" t="s">
        <v>815</v>
      </c>
      <c r="D2355" s="16" t="s">
        <v>835</v>
      </c>
      <c r="E2355" s="16" t="s">
        <v>9465</v>
      </c>
      <c r="F2355" s="27" t="s">
        <v>11323</v>
      </c>
      <c r="G2355" s="27"/>
      <c r="H2355" s="16" t="str">
        <f>IF(ISBLANK(PARTIDAS!$G2355),PARTIDAS!$F2355,CONCATENATE(PARTIDAS!$F2355," (",PARTIDAS!$G2355,")"))</f>
        <v>Dimetoato (ISO)</v>
      </c>
      <c r="I2355" s="16" t="s">
        <v>9427</v>
      </c>
    </row>
    <row r="2356" spans="1:9" x14ac:dyDescent="0.25">
      <c r="A2356" s="16" t="s">
        <v>3341</v>
      </c>
      <c r="B2356" s="16" t="str">
        <f>TEXT(PARTIDA[[#This Row],[PARTIDA]],"0000000000")</f>
        <v>2930909320</v>
      </c>
      <c r="C2356" s="16" t="s">
        <v>815</v>
      </c>
      <c r="D2356" s="16" t="s">
        <v>835</v>
      </c>
      <c r="E2356" s="16" t="s">
        <v>9465</v>
      </c>
      <c r="F2356" s="27" t="s">
        <v>11324</v>
      </c>
      <c r="G2356" s="27"/>
      <c r="H2356" s="16" t="str">
        <f>IF(ISBLANK(PARTIDAS!$G2356),PARTIDAS!$F2356,CONCATENATE(PARTIDAS!$F2356," (",PARTIDAS!$G2356,")"))</f>
        <v>Fenthión (ISO)</v>
      </c>
      <c r="I2356" s="16" t="s">
        <v>9427</v>
      </c>
    </row>
    <row r="2357" spans="1:9" x14ac:dyDescent="0.25">
      <c r="A2357" s="16" t="s">
        <v>3342</v>
      </c>
      <c r="B2357" s="16" t="str">
        <f>TEXT(PARTIDA[[#This Row],[PARTIDA]],"0000000000")</f>
        <v>2930909400</v>
      </c>
      <c r="C2357" s="16" t="s">
        <v>815</v>
      </c>
      <c r="D2357" s="16" t="s">
        <v>835</v>
      </c>
      <c r="E2357" s="16" t="s">
        <v>9465</v>
      </c>
      <c r="F2357" s="27" t="s">
        <v>11325</v>
      </c>
      <c r="G2357" s="27"/>
      <c r="H2357" s="16" t="str">
        <f>IF(ISBLANK(PARTIDAS!$G2357),PARTIDAS!$F2357,CONCATENATE(PARTIDAS!$F2357," (",PARTIDAS!$G2357,")"))</f>
        <v>Hidrogenoalquil (metil, etil, n-propil o isopropil) fosfonotioatos de [S-2-(dialquil(metil, etil, n-propil o isopropil)amino)etilo], sus ésteres de O-</v>
      </c>
      <c r="I2357" s="16" t="s">
        <v>9427</v>
      </c>
    </row>
    <row r="2358" spans="1:9" x14ac:dyDescent="0.25">
      <c r="A2358" s="16" t="s">
        <v>3343</v>
      </c>
      <c r="B2358" s="16" t="str">
        <f>TEXT(PARTIDA[[#This Row],[PARTIDA]],"0000000000")</f>
        <v>2930909500</v>
      </c>
      <c r="C2358" s="16" t="s">
        <v>815</v>
      </c>
      <c r="D2358" s="16" t="s">
        <v>835</v>
      </c>
      <c r="E2358" s="16" t="s">
        <v>9465</v>
      </c>
      <c r="F2358" s="27" t="s">
        <v>11326</v>
      </c>
      <c r="G2358" s="27"/>
      <c r="H2358" s="16" t="str">
        <f>IF(ISBLANK(PARTIDAS!$G2358),PARTIDAS!$F2358,CONCATENATE(PARTIDAS!$F2358," (",PARTIDAS!$G2358,")"))</f>
        <v>Sulfuro de 2-cloroetilo y de clorometilo; sulfuro de bis(2-cloroetilo)</v>
      </c>
      <c r="I2358" s="16" t="s">
        <v>9427</v>
      </c>
    </row>
    <row r="2359" spans="1:9" x14ac:dyDescent="0.25">
      <c r="A2359" s="16" t="s">
        <v>3344</v>
      </c>
      <c r="B2359" s="16" t="str">
        <f>TEXT(PARTIDA[[#This Row],[PARTIDA]],"0000000000")</f>
        <v>2930909600</v>
      </c>
      <c r="C2359" s="16" t="s">
        <v>815</v>
      </c>
      <c r="D2359" s="16" t="s">
        <v>835</v>
      </c>
      <c r="E2359" s="16" t="s">
        <v>9465</v>
      </c>
      <c r="F2359" s="27" t="s">
        <v>11327</v>
      </c>
      <c r="G2359" s="27"/>
      <c r="H2359" s="16" t="str">
        <f>IF(ISBLANK(PARTIDAS!$G2359),PARTIDAS!$F2359,CONCATENATE(PARTIDAS!$F2359," (",PARTIDAS!$G2359,")"))</f>
        <v>Bis(2-cloroetiltio)metano; 1,2-bis(2-cloroetiltio)etano; 1,3-bis(2-cloroetiltio)-n-propano; 1,4-bis(2-cloroetiltio)-n-butano; 1,5-bis(2-cloroetiltio)-</v>
      </c>
      <c r="I2359" s="16" t="s">
        <v>9427</v>
      </c>
    </row>
    <row r="2360" spans="1:9" x14ac:dyDescent="0.25">
      <c r="A2360" s="16" t="s">
        <v>3345</v>
      </c>
      <c r="B2360" s="16" t="str">
        <f>TEXT(PARTIDA[[#This Row],[PARTIDA]],"0000000000")</f>
        <v>2930909700</v>
      </c>
      <c r="C2360" s="16" t="s">
        <v>815</v>
      </c>
      <c r="D2360" s="16" t="s">
        <v>835</v>
      </c>
      <c r="E2360" s="16" t="s">
        <v>9465</v>
      </c>
      <c r="F2360" s="27" t="s">
        <v>11328</v>
      </c>
      <c r="G2360" s="27"/>
      <c r="H2360" s="16" t="str">
        <f>IF(ISBLANK(PARTIDAS!$G2360),PARTIDAS!$F2360,CONCATENATE(PARTIDAS!$F2360," (",PARTIDAS!$G2360,")"))</f>
        <v>Óxido de bis-(2-cloro-etiltiometilo); óxido de bis-(2-cloroetiltioetilo)</v>
      </c>
      <c r="I2360" s="16" t="s">
        <v>9427</v>
      </c>
    </row>
    <row r="2361" spans="1:9" x14ac:dyDescent="0.25">
      <c r="A2361" s="16" t="s">
        <v>3346</v>
      </c>
      <c r="B2361" s="16" t="str">
        <f>TEXT(PARTIDA[[#This Row],[PARTIDA]],"0000000000")</f>
        <v>2930909800</v>
      </c>
      <c r="C2361" s="16" t="s">
        <v>815</v>
      </c>
      <c r="D2361" s="16" t="s">
        <v>835</v>
      </c>
      <c r="E2361" s="16" t="s">
        <v>9465</v>
      </c>
      <c r="F2361" s="27" t="s">
        <v>11329</v>
      </c>
      <c r="G2361" s="27"/>
      <c r="H2361" s="16" t="str">
        <f>IF(ISBLANK(PARTIDAS!$G2361),PARTIDAS!$F2361,CONCATENATE(PARTIDAS!$F2361," (",PARTIDAS!$G2361,")"))</f>
        <v>Tiocompuestos orgánicos (los demás, que contengan un átomo de fósforo unido a un grupo metilo, etilo, n-propilo o isopropilo, sin otros átomos de carb</v>
      </c>
      <c r="I2361" s="16" t="s">
        <v>9427</v>
      </c>
    </row>
    <row r="2362" spans="1:9" x14ac:dyDescent="0.25">
      <c r="A2362" s="16" t="s">
        <v>3347</v>
      </c>
      <c r="B2362" s="16" t="str">
        <f>TEXT(PARTIDA[[#This Row],[PARTIDA]],"0000000000")</f>
        <v>2930909900</v>
      </c>
      <c r="C2362" s="16" t="s">
        <v>815</v>
      </c>
      <c r="D2362" s="16" t="s">
        <v>835</v>
      </c>
      <c r="E2362" s="16" t="s">
        <v>9465</v>
      </c>
      <c r="F2362" s="27" t="s">
        <v>11330</v>
      </c>
      <c r="G2362" s="27"/>
      <c r="H2362" s="16" t="str">
        <f>IF(ISBLANK(PARTIDAS!$G2362),PARTIDAS!$F2362,CONCATENATE(PARTIDAS!$F2362," (",PARTIDAS!$G2362,")"))</f>
        <v>Tiocompuestos orgánicos (los demás)</v>
      </c>
      <c r="I2362" s="16" t="s">
        <v>9427</v>
      </c>
    </row>
    <row r="2363" spans="1:9" x14ac:dyDescent="0.25">
      <c r="A2363" s="16" t="s">
        <v>3348</v>
      </c>
      <c r="B2363" s="16" t="str">
        <f>TEXT(PARTIDA[[#This Row],[PARTIDA]],"0000000000")</f>
        <v>2931100000</v>
      </c>
      <c r="C2363" s="16" t="s">
        <v>815</v>
      </c>
      <c r="D2363" s="16" t="s">
        <v>835</v>
      </c>
      <c r="E2363" s="16" t="s">
        <v>9465</v>
      </c>
      <c r="F2363" s="27" t="s">
        <v>11331</v>
      </c>
      <c r="G2363" s="27"/>
      <c r="H2363" s="16" t="str">
        <f>IF(ISBLANK(PARTIDAS!$G2363),PARTIDAS!$F2363,CONCATENATE(PARTIDAS!$F2363," (",PARTIDAS!$G2363,")"))</f>
        <v>Tetrametilplomo y tetraetilplomo</v>
      </c>
      <c r="I2363" s="16" t="s">
        <v>9427</v>
      </c>
    </row>
    <row r="2364" spans="1:9" x14ac:dyDescent="0.25">
      <c r="A2364" s="16" t="s">
        <v>3349</v>
      </c>
      <c r="B2364" s="16" t="str">
        <f>TEXT(PARTIDA[[#This Row],[PARTIDA]],"0000000000")</f>
        <v>2931200000</v>
      </c>
      <c r="C2364" s="16" t="s">
        <v>815</v>
      </c>
      <c r="D2364" s="16" t="s">
        <v>835</v>
      </c>
      <c r="E2364" s="16" t="s">
        <v>9465</v>
      </c>
      <c r="F2364" s="27" t="s">
        <v>11332</v>
      </c>
      <c r="G2364" s="27"/>
      <c r="H2364" s="16" t="str">
        <f>IF(ISBLANK(PARTIDAS!$G2364),PARTIDAS!$F2364,CONCATENATE(PARTIDAS!$F2364," (",PARTIDAS!$G2364,")"))</f>
        <v>Compuestos de tributilestaño</v>
      </c>
      <c r="I2364" s="16" t="s">
        <v>9427</v>
      </c>
    </row>
    <row r="2365" spans="1:9" x14ac:dyDescent="0.25">
      <c r="A2365" s="16" t="s">
        <v>3350</v>
      </c>
      <c r="B2365" s="16" t="str">
        <f>TEXT(PARTIDA[[#This Row],[PARTIDA]],"0000000000")</f>
        <v>2931310000</v>
      </c>
      <c r="C2365" s="16" t="s">
        <v>815</v>
      </c>
      <c r="D2365" s="16" t="s">
        <v>835</v>
      </c>
      <c r="E2365" s="16" t="s">
        <v>9465</v>
      </c>
      <c r="F2365" s="27" t="s">
        <v>11333</v>
      </c>
      <c r="G2365" s="27"/>
      <c r="H2365" s="16" t="str">
        <f>IF(ISBLANK(PARTIDAS!$G2365),PARTIDAS!$F2365,CONCATENATE(PARTIDAS!$F2365," (",PARTIDAS!$G2365,")"))</f>
        <v>Metilfosfonato de dimetilo</v>
      </c>
      <c r="I2365" s="16" t="s">
        <v>9648</v>
      </c>
    </row>
    <row r="2366" spans="1:9" x14ac:dyDescent="0.25">
      <c r="A2366" s="16" t="s">
        <v>3351</v>
      </c>
      <c r="B2366" s="16" t="str">
        <f>TEXT(PARTIDA[[#This Row],[PARTIDA]],"0000000000")</f>
        <v>2931320000</v>
      </c>
      <c r="C2366" s="16" t="s">
        <v>815</v>
      </c>
      <c r="D2366" s="16" t="s">
        <v>835</v>
      </c>
      <c r="E2366" s="16" t="s">
        <v>9465</v>
      </c>
      <c r="F2366" s="27" t="s">
        <v>11334</v>
      </c>
      <c r="G2366" s="27"/>
      <c r="H2366" s="16" t="str">
        <f>IF(ISBLANK(PARTIDAS!$G2366),PARTIDAS!$F2366,CONCATENATE(PARTIDAS!$F2366," (",PARTIDAS!$G2366,")"))</f>
        <v>Propilfosfonato de dimetilo</v>
      </c>
      <c r="I2366" s="16" t="s">
        <v>9648</v>
      </c>
    </row>
    <row r="2367" spans="1:9" x14ac:dyDescent="0.25">
      <c r="A2367" s="16" t="s">
        <v>3352</v>
      </c>
      <c r="B2367" s="16" t="str">
        <f>TEXT(PARTIDA[[#This Row],[PARTIDA]],"0000000000")</f>
        <v>2931330000</v>
      </c>
      <c r="C2367" s="16" t="s">
        <v>815</v>
      </c>
      <c r="D2367" s="16" t="s">
        <v>835</v>
      </c>
      <c r="E2367" s="16" t="s">
        <v>9465</v>
      </c>
      <c r="F2367" s="27" t="s">
        <v>11335</v>
      </c>
      <c r="G2367" s="27"/>
      <c r="H2367" s="16" t="str">
        <f>IF(ISBLANK(PARTIDAS!$G2367),PARTIDAS!$F2367,CONCATENATE(PARTIDAS!$F2367," (",PARTIDAS!$G2367,")"))</f>
        <v>Etilfosfonato de dietilo</v>
      </c>
      <c r="I2367" s="16" t="s">
        <v>9648</v>
      </c>
    </row>
    <row r="2368" spans="1:9" x14ac:dyDescent="0.25">
      <c r="A2368" s="16" t="s">
        <v>3353</v>
      </c>
      <c r="B2368" s="16" t="str">
        <f>TEXT(PARTIDA[[#This Row],[PARTIDA]],"0000000000")</f>
        <v>2931340000</v>
      </c>
      <c r="C2368" s="16" t="s">
        <v>815</v>
      </c>
      <c r="D2368" s="16" t="s">
        <v>835</v>
      </c>
      <c r="E2368" s="16" t="s">
        <v>9465</v>
      </c>
      <c r="F2368" s="27" t="s">
        <v>11336</v>
      </c>
      <c r="G2368" s="27"/>
      <c r="H2368" s="16" t="str">
        <f>IF(ISBLANK(PARTIDAS!$G2368),PARTIDAS!$F2368,CONCATENATE(PARTIDAS!$F2368," (",PARTIDAS!$G2368,")"))</f>
        <v>3-(Trihidroxisilil)propil metilfosfonato de sodio</v>
      </c>
      <c r="I2368" s="16" t="s">
        <v>9648</v>
      </c>
    </row>
    <row r="2369" spans="1:9" x14ac:dyDescent="0.25">
      <c r="A2369" s="16" t="s">
        <v>3354</v>
      </c>
      <c r="B2369" s="16" t="str">
        <f>TEXT(PARTIDA[[#This Row],[PARTIDA]],"0000000000")</f>
        <v>2931350000</v>
      </c>
      <c r="C2369" s="16" t="s">
        <v>815</v>
      </c>
      <c r="D2369" s="16" t="s">
        <v>835</v>
      </c>
      <c r="E2369" s="16" t="s">
        <v>9465</v>
      </c>
      <c r="F2369" s="27" t="s">
        <v>11337</v>
      </c>
      <c r="G2369" s="27"/>
      <c r="H2369" s="16" t="str">
        <f>IF(ISBLANK(PARTIDAS!$G2369),PARTIDAS!$F2369,CONCATENATE(PARTIDAS!$F2369," (",PARTIDAS!$G2369,")"))</f>
        <v>2,4,6-Trióxido de 2,4,6-tripropil-1,3,5,2,4,6-trioxatrifosfinano</v>
      </c>
      <c r="I2369" s="16" t="s">
        <v>9648</v>
      </c>
    </row>
    <row r="2370" spans="1:9" x14ac:dyDescent="0.25">
      <c r="A2370" s="16" t="s">
        <v>3355</v>
      </c>
      <c r="B2370" s="16" t="str">
        <f>TEXT(PARTIDA[[#This Row],[PARTIDA]],"0000000000")</f>
        <v>2931360000</v>
      </c>
      <c r="C2370" s="16" t="s">
        <v>815</v>
      </c>
      <c r="D2370" s="16" t="s">
        <v>835</v>
      </c>
      <c r="E2370" s="16" t="s">
        <v>9465</v>
      </c>
      <c r="F2370" s="27" t="s">
        <v>11338</v>
      </c>
      <c r="G2370" s="27"/>
      <c r="H2370" s="16" t="str">
        <f>IF(ISBLANK(PARTIDAS!$G2370),PARTIDAS!$F2370,CONCATENATE(PARTIDAS!$F2370," (",PARTIDAS!$G2370,")"))</f>
        <v>Metilfosfonato de (5-etil-2-metil-2-óxido-1,3,2-dioxafosfinan-5-il)metil metilo</v>
      </c>
      <c r="I2370" s="16" t="s">
        <v>9648</v>
      </c>
    </row>
    <row r="2371" spans="1:9" x14ac:dyDescent="0.25">
      <c r="A2371" s="16" t="s">
        <v>3356</v>
      </c>
      <c r="B2371" s="16" t="str">
        <f>TEXT(PARTIDA[[#This Row],[PARTIDA]],"0000000000")</f>
        <v>2931370000</v>
      </c>
      <c r="C2371" s="16" t="s">
        <v>815</v>
      </c>
      <c r="D2371" s="16" t="s">
        <v>835</v>
      </c>
      <c r="E2371" s="16" t="s">
        <v>9465</v>
      </c>
      <c r="F2371" s="27" t="s">
        <v>11339</v>
      </c>
      <c r="G2371" s="27"/>
      <c r="H2371" s="16" t="str">
        <f>IF(ISBLANK(PARTIDAS!$G2371),PARTIDAS!$F2371,CONCATENATE(PARTIDAS!$F2371," (",PARTIDAS!$G2371,")"))</f>
        <v>Metilfosfonato de bis[(5-etil-2-metil-2-óxido-1,3,2-dioxafosfinan-5-il)metilo]</v>
      </c>
      <c r="I2371" s="16" t="s">
        <v>9648</v>
      </c>
    </row>
    <row r="2372" spans="1:9" x14ac:dyDescent="0.25">
      <c r="A2372" s="16" t="s">
        <v>3357</v>
      </c>
      <c r="B2372" s="16" t="str">
        <f>TEXT(PARTIDA[[#This Row],[PARTIDA]],"0000000000")</f>
        <v>2931380000</v>
      </c>
      <c r="C2372" s="16" t="s">
        <v>815</v>
      </c>
      <c r="D2372" s="16" t="s">
        <v>835</v>
      </c>
      <c r="E2372" s="16" t="s">
        <v>9465</v>
      </c>
      <c r="F2372" s="27" t="s">
        <v>11340</v>
      </c>
      <c r="G2372" s="27"/>
      <c r="H2372" s="16" t="str">
        <f>IF(ISBLANK(PARTIDAS!$G2372),PARTIDAS!$F2372,CONCATENATE(PARTIDAS!$F2372," (",PARTIDAS!$G2372,")"))</f>
        <v>Sal del ácido metilfosfónico y de (aminoiminometil)urea (1 : 1)</v>
      </c>
      <c r="I2372" s="16" t="s">
        <v>9648</v>
      </c>
    </row>
    <row r="2373" spans="1:9" x14ac:dyDescent="0.25">
      <c r="A2373" s="16" t="s">
        <v>3358</v>
      </c>
      <c r="B2373" s="16" t="str">
        <f>TEXT(PARTIDA[[#This Row],[PARTIDA]],"0000000000")</f>
        <v>2931391100</v>
      </c>
      <c r="C2373" s="16" t="s">
        <v>815</v>
      </c>
      <c r="D2373" s="16" t="s">
        <v>835</v>
      </c>
      <c r="E2373" s="16" t="s">
        <v>9465</v>
      </c>
      <c r="F2373" s="27" t="s">
        <v>11341</v>
      </c>
      <c r="G2373" s="27"/>
      <c r="H2373" s="16" t="str">
        <f>IF(ISBLANK(PARTIDAS!$G2373),PARTIDAS!$F2373,CONCATENATE(PARTIDAS!$F2373," (",PARTIDAS!$G2373,")"))</f>
        <v>Glyfosato (ISO)</v>
      </c>
      <c r="I2373" s="16" t="s">
        <v>9648</v>
      </c>
    </row>
    <row r="2374" spans="1:9" x14ac:dyDescent="0.25">
      <c r="A2374" s="16" t="s">
        <v>3359</v>
      </c>
      <c r="B2374" s="16" t="str">
        <f>TEXT(PARTIDA[[#This Row],[PARTIDA]],"0000000000")</f>
        <v>2931391200</v>
      </c>
      <c r="C2374" s="16" t="s">
        <v>815</v>
      </c>
      <c r="D2374" s="16" t="s">
        <v>835</v>
      </c>
      <c r="E2374" s="16" t="s">
        <v>9465</v>
      </c>
      <c r="F2374" s="27" t="s">
        <v>11342</v>
      </c>
      <c r="G2374" s="27"/>
      <c r="H2374" s="16" t="str">
        <f>IF(ISBLANK(PARTIDAS!$G2374),PARTIDAS!$F2374,CONCATENATE(PARTIDAS!$F2374," (",PARTIDAS!$G2374,")"))</f>
        <v>Sales</v>
      </c>
      <c r="I2374" s="16" t="s">
        <v>9648</v>
      </c>
    </row>
    <row r="2375" spans="1:9" x14ac:dyDescent="0.25">
      <c r="A2375" s="16" t="s">
        <v>3360</v>
      </c>
      <c r="B2375" s="16" t="str">
        <f>TEXT(PARTIDA[[#This Row],[PARTIDA]],"0000000000")</f>
        <v>2931392000</v>
      </c>
      <c r="C2375" s="16" t="s">
        <v>815</v>
      </c>
      <c r="D2375" s="16" t="s">
        <v>835</v>
      </c>
      <c r="E2375" s="16" t="s">
        <v>9465</v>
      </c>
      <c r="F2375" s="27" t="s">
        <v>11343</v>
      </c>
      <c r="G2375" s="27"/>
      <c r="H2375" s="16" t="str">
        <f>IF(ISBLANK(PARTIDAS!$G2375),PARTIDAS!$F2375,CONCATENATE(PARTIDAS!$F2375," (",PARTIDAS!$G2375,")"))</f>
        <v>Alquil (metil, etil, n-propil o isopropil) fosfonofluoridatos de O-alquilo (hasta 10 carbonos, incluyendo cicloalquilos)</v>
      </c>
      <c r="I2375" s="16" t="s">
        <v>9648</v>
      </c>
    </row>
    <row r="2376" spans="1:9" x14ac:dyDescent="0.25">
      <c r="A2376" s="16" t="s">
        <v>3361</v>
      </c>
      <c r="B2376" s="16" t="str">
        <f>TEXT(PARTIDA[[#This Row],[PARTIDA]],"0000000000")</f>
        <v>2931399100</v>
      </c>
      <c r="C2376" s="16" t="s">
        <v>815</v>
      </c>
      <c r="D2376" s="16" t="s">
        <v>835</v>
      </c>
      <c r="E2376" s="16" t="s">
        <v>9465</v>
      </c>
      <c r="F2376" s="27" t="s">
        <v>11344</v>
      </c>
      <c r="G2376" s="27"/>
      <c r="H2376" s="16" t="str">
        <f>IF(ISBLANK(PARTIDAS!$G2376),PARTIDAS!$F2376,CONCATENATE(PARTIDAS!$F2376," (",PARTIDAS!$G2376,")"))</f>
        <v>Triclorfón (ISO)</v>
      </c>
      <c r="I2376" s="16" t="s">
        <v>9648</v>
      </c>
    </row>
    <row r="2377" spans="1:9" x14ac:dyDescent="0.25">
      <c r="A2377" s="16" t="s">
        <v>3362</v>
      </c>
      <c r="B2377" s="16" t="str">
        <f>TEXT(PARTIDA[[#This Row],[PARTIDA]],"0000000000")</f>
        <v>2931399200</v>
      </c>
      <c r="C2377" s="16" t="s">
        <v>815</v>
      </c>
      <c r="D2377" s="16" t="s">
        <v>835</v>
      </c>
      <c r="E2377" s="16" t="s">
        <v>9465</v>
      </c>
      <c r="F2377" s="27" t="s">
        <v>11345</v>
      </c>
      <c r="G2377" s="27"/>
      <c r="H2377" s="16" t="str">
        <f>IF(ISBLANK(PARTIDAS!$G2377),PARTIDAS!$F2377,CONCATENATE(PARTIDAS!$F2377," (",PARTIDAS!$G2377,")"))</f>
        <v>N-N-dialquil (metil, etil, n-propil o isopropil) fosforoamidocianidatos de O-alquilo (hasta 10 carbonos, incluyendo cicloalquilos)</v>
      </c>
      <c r="I2377" s="16" t="s">
        <v>9648</v>
      </c>
    </row>
    <row r="2378" spans="1:9" x14ac:dyDescent="0.25">
      <c r="A2378" s="16" t="s">
        <v>3363</v>
      </c>
      <c r="B2378" s="16" t="str">
        <f>TEXT(PARTIDA[[#This Row],[PARTIDA]],"0000000000")</f>
        <v>2931399300</v>
      </c>
      <c r="C2378" s="16" t="s">
        <v>815</v>
      </c>
      <c r="D2378" s="16" t="s">
        <v>835</v>
      </c>
      <c r="E2378" s="16" t="s">
        <v>9465</v>
      </c>
      <c r="F2378" s="27" t="s">
        <v>11346</v>
      </c>
      <c r="G2378" s="27"/>
      <c r="H2378" s="16" t="str">
        <f>IF(ISBLANK(PARTIDAS!$G2378),PARTIDAS!$F2378,CONCATENATE(PARTIDAS!$F2378," (",PARTIDAS!$G2378,")"))</f>
        <v>Difluoruros de alquil (metil, etil, n-propil o isopropil)fosfonilo</v>
      </c>
      <c r="I2378" s="16" t="s">
        <v>9648</v>
      </c>
    </row>
    <row r="2379" spans="1:9" x14ac:dyDescent="0.25">
      <c r="A2379" s="16" t="s">
        <v>3364</v>
      </c>
      <c r="B2379" s="16" t="str">
        <f>TEXT(PARTIDA[[#This Row],[PARTIDA]],"0000000000")</f>
        <v>2931399400</v>
      </c>
      <c r="C2379" s="16" t="s">
        <v>815</v>
      </c>
      <c r="D2379" s="16" t="s">
        <v>835</v>
      </c>
      <c r="E2379" s="16" t="s">
        <v>9465</v>
      </c>
      <c r="F2379" s="27" t="s">
        <v>11347</v>
      </c>
      <c r="G2379" s="27"/>
      <c r="H2379" s="16" t="str">
        <f>IF(ISBLANK(PARTIDAS!$G2379),PARTIDAS!$F2379,CONCATENATE(PARTIDAS!$F2379," (",PARTIDAS!$G2379,")"))</f>
        <v>Hidrogenoalquil (metil, etil, n-propil o isopropil)fosfonitos de [O-2-(dialquil(metil, etil, n-propil o isopropil)amino)etilo]; sus ésteres de O-alquilo (hasta 10 carbonos, incluyendo cicloalquilos); sus sales alquiladas o protonadas</v>
      </c>
      <c r="I2379" s="16" t="s">
        <v>9648</v>
      </c>
    </row>
    <row r="2380" spans="1:9" x14ac:dyDescent="0.25">
      <c r="A2380" s="16" t="s">
        <v>3365</v>
      </c>
      <c r="B2380" s="16" t="str">
        <f>TEXT(PARTIDA[[#This Row],[PARTIDA]],"0000000000")</f>
        <v>2931399500</v>
      </c>
      <c r="C2380" s="16" t="s">
        <v>815</v>
      </c>
      <c r="D2380" s="16" t="s">
        <v>835</v>
      </c>
      <c r="E2380" s="16" t="s">
        <v>9465</v>
      </c>
      <c r="F2380" s="27" t="s">
        <v>11348</v>
      </c>
      <c r="G2380" s="27"/>
      <c r="H2380" s="16" t="str">
        <f>IF(ISBLANK(PARTIDAS!$G2380),PARTIDAS!$F2380,CONCATENATE(PARTIDAS!$F2380," (",PARTIDAS!$G2380,")"))</f>
        <v>Metilfosfonocloridato de O-isopropilo; metilfosfonocloridato de O-pinacolilo</v>
      </c>
      <c r="I2380" s="16" t="s">
        <v>9648</v>
      </c>
    </row>
    <row r="2381" spans="1:9" x14ac:dyDescent="0.25">
      <c r="A2381" s="16" t="s">
        <v>3366</v>
      </c>
      <c r="B2381" s="16" t="str">
        <f>TEXT(PARTIDA[[#This Row],[PARTIDA]],"0000000000")</f>
        <v>2931399600</v>
      </c>
      <c r="C2381" s="16" t="s">
        <v>815</v>
      </c>
      <c r="D2381" s="16" t="s">
        <v>835</v>
      </c>
      <c r="E2381" s="16" t="s">
        <v>9465</v>
      </c>
      <c r="F2381" s="27" t="s">
        <v>11349</v>
      </c>
      <c r="G2381" s="27"/>
      <c r="H2381" s="16" t="str">
        <f>IF(ISBLANK(PARTIDAS!$G2381),PARTIDAS!$F2381,CONCATENATE(PARTIDAS!$F2381," (",PARTIDAS!$G2381,")"))</f>
        <v>Los demás compuestos órgano-inorgánicos (los demás)</v>
      </c>
      <c r="I2381" s="16" t="s">
        <v>9648</v>
      </c>
    </row>
    <row r="2382" spans="1:9" x14ac:dyDescent="0.25">
      <c r="A2382" s="16" t="s">
        <v>3367</v>
      </c>
      <c r="B2382" s="16" t="str">
        <f>TEXT(PARTIDA[[#This Row],[PARTIDA]],"0000000000")</f>
        <v>2931399900</v>
      </c>
      <c r="C2382" s="16" t="s">
        <v>815</v>
      </c>
      <c r="D2382" s="16" t="s">
        <v>835</v>
      </c>
      <c r="E2382" s="16" t="s">
        <v>9465</v>
      </c>
      <c r="F2382" s="27" t="s">
        <v>11349</v>
      </c>
      <c r="G2382" s="27"/>
      <c r="H2382" s="16" t="str">
        <f>IF(ISBLANK(PARTIDAS!$G2382),PARTIDAS!$F2382,CONCATENATE(PARTIDAS!$F2382," (",PARTIDAS!$G2382,")"))</f>
        <v>Los demás compuestos órgano-inorgánicos (los demás)</v>
      </c>
      <c r="I2382" s="16" t="s">
        <v>9648</v>
      </c>
    </row>
    <row r="2383" spans="1:9" x14ac:dyDescent="0.25">
      <c r="A2383" s="16" t="s">
        <v>11350</v>
      </c>
      <c r="B2383" s="16" t="str">
        <f>TEXT(PARTIDA[[#This Row],[PARTIDA]],"0000000000")</f>
        <v>2931410000</v>
      </c>
      <c r="C2383" s="16" t="s">
        <v>815</v>
      </c>
      <c r="D2383" s="16" t="s">
        <v>835</v>
      </c>
      <c r="E2383" s="16" t="s">
        <v>9465</v>
      </c>
      <c r="F2383" s="27" t="s">
        <v>11333</v>
      </c>
      <c r="G2383" s="27"/>
      <c r="H2383" s="16" t="str">
        <f>IF(ISBLANK(PARTIDAS!$G2383),PARTIDAS!$F2383,CONCATENATE(PARTIDAS!$F2383," (",PARTIDAS!$G2383,")"))</f>
        <v>Metilfosfonato de dimetilo</v>
      </c>
      <c r="I2383" s="16" t="s">
        <v>9427</v>
      </c>
    </row>
    <row r="2384" spans="1:9" x14ac:dyDescent="0.25">
      <c r="A2384" s="16" t="s">
        <v>11351</v>
      </c>
      <c r="B2384" s="16" t="str">
        <f>TEXT(PARTIDA[[#This Row],[PARTIDA]],"0000000000")</f>
        <v>2931420000</v>
      </c>
      <c r="C2384" s="16" t="s">
        <v>815</v>
      </c>
      <c r="D2384" s="16" t="s">
        <v>835</v>
      </c>
      <c r="E2384" s="16" t="s">
        <v>9465</v>
      </c>
      <c r="F2384" s="27" t="s">
        <v>11334</v>
      </c>
      <c r="G2384" s="27"/>
      <c r="H2384" s="16" t="str">
        <f>IF(ISBLANK(PARTIDAS!$G2384),PARTIDAS!$F2384,CONCATENATE(PARTIDAS!$F2384," (",PARTIDAS!$G2384,")"))</f>
        <v>Propilfosfonato de dimetilo</v>
      </c>
      <c r="I2384" s="16" t="s">
        <v>9427</v>
      </c>
    </row>
    <row r="2385" spans="1:9" x14ac:dyDescent="0.25">
      <c r="A2385" s="16" t="s">
        <v>11352</v>
      </c>
      <c r="B2385" s="16" t="str">
        <f>TEXT(PARTIDA[[#This Row],[PARTIDA]],"0000000000")</f>
        <v>2931430000</v>
      </c>
      <c r="C2385" s="16" t="s">
        <v>815</v>
      </c>
      <c r="D2385" s="16" t="s">
        <v>835</v>
      </c>
      <c r="E2385" s="16" t="s">
        <v>9465</v>
      </c>
      <c r="F2385" s="27" t="s">
        <v>11335</v>
      </c>
      <c r="G2385" s="27"/>
      <c r="H2385" s="16" t="str">
        <f>IF(ISBLANK(PARTIDAS!$G2385),PARTIDAS!$F2385,CONCATENATE(PARTIDAS!$F2385," (",PARTIDAS!$G2385,")"))</f>
        <v>Etilfosfonato de dietilo</v>
      </c>
      <c r="I2385" s="16" t="s">
        <v>9427</v>
      </c>
    </row>
    <row r="2386" spans="1:9" x14ac:dyDescent="0.25">
      <c r="A2386" s="16" t="s">
        <v>11353</v>
      </c>
      <c r="B2386" s="16" t="str">
        <f>TEXT(PARTIDA[[#This Row],[PARTIDA]],"0000000000")</f>
        <v>2931440000</v>
      </c>
      <c r="C2386" s="16" t="s">
        <v>815</v>
      </c>
      <c r="D2386" s="16" t="s">
        <v>835</v>
      </c>
      <c r="E2386" s="16" t="s">
        <v>9465</v>
      </c>
      <c r="F2386" s="27" t="s">
        <v>11354</v>
      </c>
      <c r="G2386" s="27"/>
      <c r="H2386" s="16" t="str">
        <f>IF(ISBLANK(PARTIDAS!$G2386),PARTIDAS!$F2386,CONCATENATE(PARTIDAS!$F2386," (",PARTIDAS!$G2386,")"))</f>
        <v>Ácido metilfosfónico</v>
      </c>
      <c r="I2386" s="16" t="s">
        <v>9427</v>
      </c>
    </row>
    <row r="2387" spans="1:9" x14ac:dyDescent="0.25">
      <c r="A2387" s="16" t="s">
        <v>11355</v>
      </c>
      <c r="B2387" s="16" t="str">
        <f>TEXT(PARTIDA[[#This Row],[PARTIDA]],"0000000000")</f>
        <v>2931450000</v>
      </c>
      <c r="C2387" s="16" t="s">
        <v>815</v>
      </c>
      <c r="D2387" s="16" t="s">
        <v>835</v>
      </c>
      <c r="E2387" s="16" t="s">
        <v>9465</v>
      </c>
      <c r="F2387" s="27" t="s">
        <v>11356</v>
      </c>
      <c r="G2387" s="27"/>
      <c r="H2387" s="16" t="str">
        <f>IF(ISBLANK(PARTIDAS!$G2387),PARTIDAS!$F2387,CONCATENATE(PARTIDAS!$F2387," (",PARTIDAS!$G2387,")"))</f>
        <v>Sal de ácido metilfosfónico y de (aminoiminometil)urea (1 : 1)</v>
      </c>
      <c r="I2387" s="16" t="s">
        <v>9427</v>
      </c>
    </row>
    <row r="2388" spans="1:9" x14ac:dyDescent="0.25">
      <c r="A2388" s="16" t="s">
        <v>11357</v>
      </c>
      <c r="B2388" s="16" t="str">
        <f>TEXT(PARTIDA[[#This Row],[PARTIDA]],"0000000000")</f>
        <v>2931460000</v>
      </c>
      <c r="C2388" s="16" t="s">
        <v>815</v>
      </c>
      <c r="D2388" s="16" t="s">
        <v>835</v>
      </c>
      <c r="E2388" s="16" t="s">
        <v>9465</v>
      </c>
      <c r="F2388" s="27" t="s">
        <v>11358</v>
      </c>
      <c r="G2388" s="27"/>
      <c r="H2388" s="16" t="str">
        <f>IF(ISBLANK(PARTIDAS!$G2388),PARTIDAS!$F2388,CONCATENATE(PARTIDAS!$F2388," (",PARTIDAS!$G2388,")"))</f>
        <v>Derivados órgano-fosforados no halogenados, 2,4,6-Trióxido de 2,4,6-tripropil-1,3,5,2,4,6-trioxatrifosfinano</v>
      </c>
      <c r="I2388" s="16" t="s">
        <v>9427</v>
      </c>
    </row>
    <row r="2389" spans="1:9" x14ac:dyDescent="0.25">
      <c r="A2389" s="16" t="s">
        <v>11359</v>
      </c>
      <c r="B2389" s="16" t="str">
        <f>TEXT(PARTIDA[[#This Row],[PARTIDA]],"0000000000")</f>
        <v>2931470000</v>
      </c>
      <c r="C2389" s="16" t="s">
        <v>815</v>
      </c>
      <c r="D2389" s="16" t="s">
        <v>835</v>
      </c>
      <c r="E2389" s="16" t="s">
        <v>9465</v>
      </c>
      <c r="F2389" s="27" t="s">
        <v>11360</v>
      </c>
      <c r="G2389" s="27"/>
      <c r="H2389" s="16" t="str">
        <f>IF(ISBLANK(PARTIDAS!$G2389),PARTIDAS!$F2389,CONCATENATE(PARTIDAS!$F2389," (",PARTIDAS!$G2389,")"))</f>
        <v>Metilfosfonato de (5-etil-2-metil-2-óxido-1,3,2-dioxafosfinano-5-il)metil metilo</v>
      </c>
      <c r="I2389" s="16" t="s">
        <v>9427</v>
      </c>
    </row>
    <row r="2390" spans="1:9" x14ac:dyDescent="0.25">
      <c r="A2390" s="16" t="s">
        <v>11361</v>
      </c>
      <c r="B2390" s="16" t="str">
        <f>TEXT(PARTIDA[[#This Row],[PARTIDA]],"0000000000")</f>
        <v>2931480000</v>
      </c>
      <c r="C2390" s="16" t="s">
        <v>815</v>
      </c>
      <c r="D2390" s="16" t="s">
        <v>835</v>
      </c>
      <c r="E2390" s="16" t="s">
        <v>9465</v>
      </c>
      <c r="F2390" s="27" t="s">
        <v>11362</v>
      </c>
      <c r="G2390" s="27"/>
      <c r="H2390" s="16" t="str">
        <f>IF(ISBLANK(PARTIDAS!$G2390),PARTIDAS!$F2390,CONCATENATE(PARTIDAS!$F2390," (",PARTIDAS!$G2390,")"))</f>
        <v>Derivados órgano-fosforados no halogenados, 3,9-Dióxido de 3,9-dimetil-2,4,8,10-tetraoxa-3,9-difosfaspiro[5.5] undecano</v>
      </c>
      <c r="I2390" s="16" t="s">
        <v>9427</v>
      </c>
    </row>
    <row r="2391" spans="1:9" x14ac:dyDescent="0.25">
      <c r="A2391" s="16" t="s">
        <v>11363</v>
      </c>
      <c r="B2391" s="16" t="str">
        <f>TEXT(PARTIDA[[#This Row],[PARTIDA]],"0000000000")</f>
        <v>2931491100</v>
      </c>
      <c r="C2391" s="16" t="s">
        <v>815</v>
      </c>
      <c r="D2391" s="16" t="s">
        <v>835</v>
      </c>
      <c r="E2391" s="16" t="s">
        <v>9465</v>
      </c>
      <c r="F2391" s="27" t="s">
        <v>11341</v>
      </c>
      <c r="G2391" s="27"/>
      <c r="H2391" s="16" t="str">
        <f>IF(ISBLANK(PARTIDAS!$G2391),PARTIDAS!$F2391,CONCATENATE(PARTIDAS!$F2391," (",PARTIDAS!$G2391,")"))</f>
        <v>Glyfosato (ISO)</v>
      </c>
      <c r="I2391" s="16" t="s">
        <v>9427</v>
      </c>
    </row>
    <row r="2392" spans="1:9" x14ac:dyDescent="0.25">
      <c r="A2392" s="16" t="s">
        <v>11364</v>
      </c>
      <c r="B2392" s="16" t="str">
        <f>TEXT(PARTIDA[[#This Row],[PARTIDA]],"0000000000")</f>
        <v>2931491200</v>
      </c>
      <c r="C2392" s="16" t="s">
        <v>815</v>
      </c>
      <c r="D2392" s="16" t="s">
        <v>835</v>
      </c>
      <c r="E2392" s="16" t="s">
        <v>9465</v>
      </c>
      <c r="F2392" s="27" t="s">
        <v>11365</v>
      </c>
      <c r="G2392" s="27"/>
      <c r="H2392" s="16" t="str">
        <f>IF(ISBLANK(PARTIDAS!$G2392),PARTIDAS!$F2392,CONCATENATE(PARTIDAS!$F2392," (",PARTIDAS!$G2392,")"))</f>
        <v>Glyfosato (ISO) (N-(fosfonometil) glicina) y sus sales, sales</v>
      </c>
      <c r="I2392" s="16" t="s">
        <v>9427</v>
      </c>
    </row>
    <row r="2393" spans="1:9" x14ac:dyDescent="0.25">
      <c r="A2393" s="16" t="s">
        <v>11366</v>
      </c>
      <c r="B2393" s="16" t="str">
        <f>TEXT(PARTIDA[[#This Row],[PARTIDA]],"0000000000")</f>
        <v>2931492000</v>
      </c>
      <c r="C2393" s="16" t="s">
        <v>815</v>
      </c>
      <c r="D2393" s="16" t="s">
        <v>835</v>
      </c>
      <c r="E2393" s="16" t="s">
        <v>9465</v>
      </c>
      <c r="F2393" s="27" t="s">
        <v>11345</v>
      </c>
      <c r="G2393" s="27"/>
      <c r="H2393" s="16" t="str">
        <f>IF(ISBLANK(PARTIDAS!$G2393),PARTIDAS!$F2393,CONCATENATE(PARTIDAS!$F2393," (",PARTIDAS!$G2393,")"))</f>
        <v>N-N-dialquil (metil, etil, n-propil o isopropil) fosforoamidocianidatos de O-alquilo (hasta 10 carbonos, incluyendo cicloalquilos)</v>
      </c>
      <c r="I2393" s="16" t="s">
        <v>9427</v>
      </c>
    </row>
    <row r="2394" spans="1:9" x14ac:dyDescent="0.25">
      <c r="A2394" s="16" t="s">
        <v>11367</v>
      </c>
      <c r="B2394" s="16" t="str">
        <f>TEXT(PARTIDA[[#This Row],[PARTIDA]],"0000000000")</f>
        <v>2931493000</v>
      </c>
      <c r="C2394" s="16" t="s">
        <v>815</v>
      </c>
      <c r="D2394" s="16" t="s">
        <v>835</v>
      </c>
      <c r="E2394" s="16" t="s">
        <v>9465</v>
      </c>
      <c r="F2394" s="27" t="s">
        <v>11368</v>
      </c>
      <c r="G2394" s="27"/>
      <c r="H2394" s="16" t="str">
        <f>IF(ISBLANK(PARTIDAS!$G2394),PARTIDAS!$F2394,CONCATENATE(PARTIDAS!$F2394," (",PARTIDAS!$G2394,")"))</f>
        <v>Hidrogenoalquil (metil, etil, n-propil o isopropil)fosfonitos de [O-2- (dialquil(metil, etil, n-propil o isopropil)amino)etilo]; sus ésteres de O-alqu</v>
      </c>
      <c r="I2394" s="16" t="s">
        <v>9427</v>
      </c>
    </row>
    <row r="2395" spans="1:9" x14ac:dyDescent="0.25">
      <c r="A2395" s="16" t="s">
        <v>11369</v>
      </c>
      <c r="B2395" s="16" t="str">
        <f>TEXT(PARTIDA[[#This Row],[PARTIDA]],"0000000000")</f>
        <v>2931494000</v>
      </c>
      <c r="C2395" s="16" t="s">
        <v>815</v>
      </c>
      <c r="D2395" s="16" t="s">
        <v>835</v>
      </c>
      <c r="E2395" s="16" t="s">
        <v>9465</v>
      </c>
      <c r="F2395" s="27" t="s">
        <v>11370</v>
      </c>
      <c r="G2395" s="27"/>
      <c r="H2395" s="16" t="str">
        <f>IF(ISBLANK(PARTIDAS!$G2395),PARTIDAS!$F2395,CONCATENATE(PARTIDAS!$F2395," (",PARTIDAS!$G2395,")"))</f>
        <v>Derivados órgano-fosforados no halogenados (los demás, que contengan un átomo de fósforo unido a un grupo metilo,etilo, n-propilo o isopropilo, sin ot</v>
      </c>
      <c r="I2395" s="16" t="s">
        <v>9427</v>
      </c>
    </row>
    <row r="2396" spans="1:9" x14ac:dyDescent="0.25">
      <c r="A2396" s="16" t="s">
        <v>11371</v>
      </c>
      <c r="B2396" s="16" t="str">
        <f>TEXT(PARTIDA[[#This Row],[PARTIDA]],"0000000000")</f>
        <v>2931499000</v>
      </c>
      <c r="C2396" s="16" t="s">
        <v>815</v>
      </c>
      <c r="D2396" s="16" t="s">
        <v>835</v>
      </c>
      <c r="E2396" s="16" t="s">
        <v>9465</v>
      </c>
      <c r="F2396" s="27" t="s">
        <v>11372</v>
      </c>
      <c r="G2396" s="27"/>
      <c r="H2396" s="16" t="str">
        <f>IF(ISBLANK(PARTIDAS!$G2396),PARTIDAS!$F2396,CONCATENATE(PARTIDAS!$F2396," (",PARTIDAS!$G2396,")"))</f>
        <v>Derivados órgano-fosforados no halogenados (los demás)</v>
      </c>
      <c r="I2396" s="16" t="s">
        <v>9427</v>
      </c>
    </row>
    <row r="2397" spans="1:9" x14ac:dyDescent="0.25">
      <c r="A2397" s="16" t="s">
        <v>11373</v>
      </c>
      <c r="B2397" s="16" t="str">
        <f>TEXT(PARTIDA[[#This Row],[PARTIDA]],"0000000000")</f>
        <v>2931510000</v>
      </c>
      <c r="C2397" s="16" t="s">
        <v>815</v>
      </c>
      <c r="D2397" s="16" t="s">
        <v>835</v>
      </c>
      <c r="E2397" s="16" t="s">
        <v>9465</v>
      </c>
      <c r="F2397" s="27" t="s">
        <v>11374</v>
      </c>
      <c r="G2397" s="27"/>
      <c r="H2397" s="16" t="str">
        <f>IF(ISBLANK(PARTIDAS!$G2397),PARTIDAS!$F2397,CONCATENATE(PARTIDAS!$F2397," (",PARTIDAS!$G2397,")"))</f>
        <v>Dicloruro metilfosfónico</v>
      </c>
      <c r="I2397" s="16" t="s">
        <v>9427</v>
      </c>
    </row>
    <row r="2398" spans="1:9" x14ac:dyDescent="0.25">
      <c r="A2398" s="16" t="s">
        <v>11375</v>
      </c>
      <c r="B2398" s="16" t="str">
        <f>TEXT(PARTIDA[[#This Row],[PARTIDA]],"0000000000")</f>
        <v>2931520000</v>
      </c>
      <c r="C2398" s="16" t="s">
        <v>815</v>
      </c>
      <c r="D2398" s="16" t="s">
        <v>835</v>
      </c>
      <c r="E2398" s="16" t="s">
        <v>9465</v>
      </c>
      <c r="F2398" s="27" t="s">
        <v>11376</v>
      </c>
      <c r="G2398" s="27"/>
      <c r="H2398" s="16" t="str">
        <f>IF(ISBLANK(PARTIDAS!$G2398),PARTIDAS!$F2398,CONCATENATE(PARTIDAS!$F2398," (",PARTIDAS!$G2398,")"))</f>
        <v>Dicloruro propilfosfónico</v>
      </c>
      <c r="I2398" s="16" t="s">
        <v>9427</v>
      </c>
    </row>
    <row r="2399" spans="1:9" x14ac:dyDescent="0.25">
      <c r="A2399" s="16" t="s">
        <v>11377</v>
      </c>
      <c r="B2399" s="16" t="str">
        <f>TEXT(PARTIDA[[#This Row],[PARTIDA]],"0000000000")</f>
        <v>2931530000</v>
      </c>
      <c r="C2399" s="16" t="s">
        <v>815</v>
      </c>
      <c r="D2399" s="16" t="s">
        <v>835</v>
      </c>
      <c r="E2399" s="16" t="s">
        <v>9465</v>
      </c>
      <c r="F2399" s="27" t="s">
        <v>11378</v>
      </c>
      <c r="G2399" s="27"/>
      <c r="H2399" s="16" t="str">
        <f>IF(ISBLANK(PARTIDAS!$G2399),PARTIDAS!$F2399,CONCATENATE(PARTIDAS!$F2399," (",PARTIDAS!$G2399,")"))</f>
        <v>Metilfosfonotionato de O-(3-cloropropil)-O-[4-nitro-3-(trifluorometil)fenilo]</v>
      </c>
      <c r="I2399" s="16" t="s">
        <v>9427</v>
      </c>
    </row>
    <row r="2400" spans="1:9" x14ac:dyDescent="0.25">
      <c r="A2400" s="16" t="s">
        <v>11379</v>
      </c>
      <c r="B2400" s="16" t="str">
        <f>TEXT(PARTIDA[[#This Row],[PARTIDA]],"0000000000")</f>
        <v>2931540000</v>
      </c>
      <c r="C2400" s="16" t="s">
        <v>815</v>
      </c>
      <c r="D2400" s="16" t="s">
        <v>835</v>
      </c>
      <c r="E2400" s="16" t="s">
        <v>9465</v>
      </c>
      <c r="F2400" s="27" t="s">
        <v>11344</v>
      </c>
      <c r="G2400" s="27"/>
      <c r="H2400" s="16" t="str">
        <f>IF(ISBLANK(PARTIDAS!$G2400),PARTIDAS!$F2400,CONCATENATE(PARTIDAS!$F2400," (",PARTIDAS!$G2400,")"))</f>
        <v>Triclorfón (ISO)</v>
      </c>
      <c r="I2400" s="16" t="s">
        <v>9427</v>
      </c>
    </row>
    <row r="2401" spans="1:9" x14ac:dyDescent="0.25">
      <c r="A2401" s="16" t="s">
        <v>11380</v>
      </c>
      <c r="B2401" s="16" t="str">
        <f>TEXT(PARTIDA[[#This Row],[PARTIDA]],"0000000000")</f>
        <v>2931591000</v>
      </c>
      <c r="C2401" s="16" t="s">
        <v>815</v>
      </c>
      <c r="D2401" s="16" t="s">
        <v>835</v>
      </c>
      <c r="E2401" s="16" t="s">
        <v>9465</v>
      </c>
      <c r="F2401" s="27" t="s">
        <v>11343</v>
      </c>
      <c r="G2401" s="27"/>
      <c r="H2401" s="16" t="str">
        <f>IF(ISBLANK(PARTIDAS!$G2401),PARTIDAS!$F2401,CONCATENATE(PARTIDAS!$F2401," (",PARTIDAS!$G2401,")"))</f>
        <v>Alquil (metil, etil, n-propil o isopropil) fosfonofluoridatos de O-alquilo (hasta 10 carbonos, incluyendo cicloalquilos)</v>
      </c>
      <c r="I2401" s="16" t="s">
        <v>9427</v>
      </c>
    </row>
    <row r="2402" spans="1:9" x14ac:dyDescent="0.25">
      <c r="A2402" s="16" t="s">
        <v>11381</v>
      </c>
      <c r="B2402" s="16" t="str">
        <f>TEXT(PARTIDA[[#This Row],[PARTIDA]],"0000000000")</f>
        <v>2931592000</v>
      </c>
      <c r="C2402" s="16" t="s">
        <v>815</v>
      </c>
      <c r="D2402" s="16" t="s">
        <v>835</v>
      </c>
      <c r="E2402" s="16" t="s">
        <v>9465</v>
      </c>
      <c r="F2402" s="27" t="s">
        <v>11346</v>
      </c>
      <c r="G2402" s="27"/>
      <c r="H2402" s="16" t="str">
        <f>IF(ISBLANK(PARTIDAS!$G2402),PARTIDAS!$F2402,CONCATENATE(PARTIDAS!$F2402," (",PARTIDAS!$G2402,")"))</f>
        <v>Difluoruros de alquil (metil, etil, n-propil o isopropil)fosfonilo</v>
      </c>
      <c r="I2402" s="16" t="s">
        <v>9427</v>
      </c>
    </row>
    <row r="2403" spans="1:9" x14ac:dyDescent="0.25">
      <c r="A2403" s="16" t="s">
        <v>11382</v>
      </c>
      <c r="B2403" s="16" t="str">
        <f>TEXT(PARTIDA[[#This Row],[PARTIDA]],"0000000000")</f>
        <v>2931593000</v>
      </c>
      <c r="C2403" s="16" t="s">
        <v>815</v>
      </c>
      <c r="D2403" s="16" t="s">
        <v>835</v>
      </c>
      <c r="E2403" s="16" t="s">
        <v>9465</v>
      </c>
      <c r="F2403" s="27" t="s">
        <v>11348</v>
      </c>
      <c r="G2403" s="27"/>
      <c r="H2403" s="16" t="str">
        <f>IF(ISBLANK(PARTIDAS!$G2403),PARTIDAS!$F2403,CONCATENATE(PARTIDAS!$F2403," (",PARTIDAS!$G2403,")"))</f>
        <v>Metilfosfonocloridato de O-isopropilo; metilfosfonocloridato de O-pinacolilo</v>
      </c>
      <c r="I2403" s="16" t="s">
        <v>9427</v>
      </c>
    </row>
    <row r="2404" spans="1:9" x14ac:dyDescent="0.25">
      <c r="A2404" s="16" t="s">
        <v>11383</v>
      </c>
      <c r="B2404" s="16" t="str">
        <f>TEXT(PARTIDA[[#This Row],[PARTIDA]],"0000000000")</f>
        <v>2931599000</v>
      </c>
      <c r="C2404" s="16" t="s">
        <v>815</v>
      </c>
      <c r="D2404" s="16" t="s">
        <v>835</v>
      </c>
      <c r="E2404" s="16" t="s">
        <v>9465</v>
      </c>
      <c r="F2404" s="27" t="s">
        <v>11384</v>
      </c>
      <c r="G2404" s="27"/>
      <c r="H2404" s="16" t="str">
        <f>IF(ISBLANK(PARTIDAS!$G2404),PARTIDAS!$F2404,CONCATENATE(PARTIDAS!$F2404," (",PARTIDAS!$G2404,")"))</f>
        <v>Derivados órgano- fosforados halogenados (los demás)</v>
      </c>
      <c r="I2404" s="16" t="s">
        <v>9427</v>
      </c>
    </row>
    <row r="2405" spans="1:9" x14ac:dyDescent="0.25">
      <c r="A2405" s="16" t="s">
        <v>3368</v>
      </c>
      <c r="B2405" s="16" t="str">
        <f>TEXT(PARTIDA[[#This Row],[PARTIDA]],"0000000000")</f>
        <v>2931901000</v>
      </c>
      <c r="C2405" s="16" t="s">
        <v>815</v>
      </c>
      <c r="D2405" s="16" t="s">
        <v>835</v>
      </c>
      <c r="E2405" s="16" t="s">
        <v>9465</v>
      </c>
      <c r="F2405" s="27" t="s">
        <v>11385</v>
      </c>
      <c r="G2405" s="27"/>
      <c r="H2405" s="16" t="str">
        <f>IF(ISBLANK(PARTIDAS!$G2405),PARTIDAS!$F2405,CONCATENATE(PARTIDAS!$F2405," (",PARTIDAS!$G2405,")"))</f>
        <v>Productos químicos orgánicos, 2-clorovinildicloroarsina; bis(2-clorovinil)cloroarsina; tris(2-clorovinil)arsina</v>
      </c>
      <c r="I2405" s="16" t="s">
        <v>9427</v>
      </c>
    </row>
    <row r="2406" spans="1:9" x14ac:dyDescent="0.25">
      <c r="A2406" s="16" t="s">
        <v>3369</v>
      </c>
      <c r="B2406" s="16" t="str">
        <f>TEXT(PARTIDA[[#This Row],[PARTIDA]],"0000000000")</f>
        <v>2931909000</v>
      </c>
      <c r="C2406" s="16" t="s">
        <v>815</v>
      </c>
      <c r="D2406" s="16" t="s">
        <v>835</v>
      </c>
      <c r="E2406" s="16" t="s">
        <v>9465</v>
      </c>
      <c r="F2406" s="27" t="s">
        <v>11386</v>
      </c>
      <c r="G2406" s="27"/>
      <c r="H2406" s="16" t="str">
        <f>IF(ISBLANK(PARTIDAS!$G2406),PARTIDAS!$F2406,CONCATENATE(PARTIDAS!$F2406," (",PARTIDAS!$G2406,")"))</f>
        <v>Productos químicos orgánicos (los demás)</v>
      </c>
      <c r="I2406" s="16" t="s">
        <v>9427</v>
      </c>
    </row>
    <row r="2407" spans="1:9" x14ac:dyDescent="0.25">
      <c r="A2407" s="16" t="s">
        <v>3370</v>
      </c>
      <c r="B2407" s="16" t="str">
        <f>TEXT(PARTIDA[[#This Row],[PARTIDA]],"0000000000")</f>
        <v>2932110000</v>
      </c>
      <c r="C2407" s="16" t="s">
        <v>815</v>
      </c>
      <c r="D2407" s="16" t="s">
        <v>835</v>
      </c>
      <c r="E2407" s="16" t="s">
        <v>9465</v>
      </c>
      <c r="F2407" s="27" t="s">
        <v>11387</v>
      </c>
      <c r="G2407" s="27"/>
      <c r="H2407" s="16" t="str">
        <f>IF(ISBLANK(PARTIDAS!$G2407),PARTIDAS!$F2407,CONCATENATE(PARTIDAS!$F2407," (",PARTIDAS!$G2407,")"))</f>
        <v>Compuestos cuya estructura contenga uno o más ciclos furano (incluso…, tetrahidrofurano</v>
      </c>
      <c r="I2407" s="16" t="s">
        <v>9427</v>
      </c>
    </row>
    <row r="2408" spans="1:9" x14ac:dyDescent="0.25">
      <c r="A2408" s="16" t="s">
        <v>3371</v>
      </c>
      <c r="B2408" s="16" t="str">
        <f>TEXT(PARTIDA[[#This Row],[PARTIDA]],"0000000000")</f>
        <v>2932120000</v>
      </c>
      <c r="C2408" s="16" t="s">
        <v>815</v>
      </c>
      <c r="D2408" s="16" t="s">
        <v>835</v>
      </c>
      <c r="E2408" s="16" t="s">
        <v>9465</v>
      </c>
      <c r="F2408" s="27" t="s">
        <v>11388</v>
      </c>
      <c r="G2408" s="27"/>
      <c r="H2408" s="16" t="str">
        <f>IF(ISBLANK(PARTIDAS!$G2408),PARTIDAS!$F2408,CONCATENATE(PARTIDAS!$F2408," (",PARTIDAS!$G2408,")"))</f>
        <v>Compuestos cuya estructura contenga uno o más ciclos furano (incluso…, 2-Furaldehído (furfural)</v>
      </c>
      <c r="I2408" s="16" t="s">
        <v>9427</v>
      </c>
    </row>
    <row r="2409" spans="1:9" x14ac:dyDescent="0.25">
      <c r="A2409" s="16" t="s">
        <v>3372</v>
      </c>
      <c r="B2409" s="16" t="str">
        <f>TEXT(PARTIDA[[#This Row],[PARTIDA]],"0000000000")</f>
        <v>2932131000</v>
      </c>
      <c r="C2409" s="16" t="s">
        <v>815</v>
      </c>
      <c r="D2409" s="16" t="s">
        <v>835</v>
      </c>
      <c r="E2409" s="16" t="s">
        <v>9465</v>
      </c>
      <c r="F2409" s="27" t="s">
        <v>11389</v>
      </c>
      <c r="G2409" s="27"/>
      <c r="H2409" s="16" t="str">
        <f>IF(ISBLANK(PARTIDAS!$G2409),PARTIDAS!$F2409,CONCATENATE(PARTIDAS!$F2409," (",PARTIDAS!$G2409,")"))</f>
        <v>Alcohol furfurílico</v>
      </c>
      <c r="I2409" s="16" t="s">
        <v>9427</v>
      </c>
    </row>
    <row r="2410" spans="1:9" x14ac:dyDescent="0.25">
      <c r="A2410" s="16" t="s">
        <v>3373</v>
      </c>
      <c r="B2410" s="16" t="str">
        <f>TEXT(PARTIDA[[#This Row],[PARTIDA]],"0000000000")</f>
        <v>2932132000</v>
      </c>
      <c r="C2410" s="16" t="s">
        <v>815</v>
      </c>
      <c r="D2410" s="16" t="s">
        <v>835</v>
      </c>
      <c r="E2410" s="16" t="s">
        <v>9465</v>
      </c>
      <c r="F2410" s="27" t="s">
        <v>11390</v>
      </c>
      <c r="G2410" s="27"/>
      <c r="H2410" s="16" t="str">
        <f>IF(ISBLANK(PARTIDAS!$G2410),PARTIDAS!$F2410,CONCATENATE(PARTIDAS!$F2410," (",PARTIDAS!$G2410,")"))</f>
        <v>Alcohol tetrahidrofurfurílico</v>
      </c>
      <c r="I2410" s="16" t="s">
        <v>9427</v>
      </c>
    </row>
    <row r="2411" spans="1:9" x14ac:dyDescent="0.25">
      <c r="A2411" s="16" t="s">
        <v>3374</v>
      </c>
      <c r="B2411" s="16" t="str">
        <f>TEXT(PARTIDA[[#This Row],[PARTIDA]],"0000000000")</f>
        <v>2932140000</v>
      </c>
      <c r="C2411" s="16" t="s">
        <v>815</v>
      </c>
      <c r="D2411" s="16" t="s">
        <v>835</v>
      </c>
      <c r="E2411" s="16" t="s">
        <v>9465</v>
      </c>
      <c r="F2411" s="27" t="s">
        <v>11391</v>
      </c>
      <c r="G2411" s="27"/>
      <c r="H2411" s="16" t="str">
        <f>IF(ISBLANK(PARTIDAS!$G2411),PARTIDAS!$F2411,CONCATENATE(PARTIDAS!$F2411," (",PARTIDAS!$G2411,")"))</f>
        <v>Compuestos cuya estructura contenga uno o más ciclos furano (incluso…, sucralosa</v>
      </c>
      <c r="I2411" s="16" t="s">
        <v>9427</v>
      </c>
    </row>
    <row r="2412" spans="1:9" x14ac:dyDescent="0.25">
      <c r="A2412" s="16" t="s">
        <v>3375</v>
      </c>
      <c r="B2412" s="16" t="str">
        <f>TEXT(PARTIDA[[#This Row],[PARTIDA]],"0000000000")</f>
        <v>2932190000</v>
      </c>
      <c r="C2412" s="16" t="s">
        <v>815</v>
      </c>
      <c r="D2412" s="16" t="s">
        <v>835</v>
      </c>
      <c r="E2412" s="16" t="s">
        <v>9465</v>
      </c>
      <c r="F2412" s="27" t="s">
        <v>11392</v>
      </c>
      <c r="G2412" s="27"/>
      <c r="H2412" s="16" t="str">
        <f>IF(ISBLANK(PARTIDAS!$G2412),PARTIDAS!$F2412,CONCATENATE(PARTIDAS!$F2412," (",PARTIDAS!$G2412,")"))</f>
        <v>Compuestos cuya estructura contenga uno o más ciclos furano (incluso… (los demás)</v>
      </c>
      <c r="I2412" s="16" t="s">
        <v>9427</v>
      </c>
    </row>
    <row r="2413" spans="1:9" x14ac:dyDescent="0.25">
      <c r="A2413" s="16" t="s">
        <v>3376</v>
      </c>
      <c r="B2413" s="16" t="str">
        <f>TEXT(PARTIDA[[#This Row],[PARTIDA]],"0000000000")</f>
        <v>2932201000</v>
      </c>
      <c r="C2413" s="16" t="s">
        <v>815</v>
      </c>
      <c r="D2413" s="16" t="s">
        <v>835</v>
      </c>
      <c r="E2413" s="16" t="s">
        <v>9465</v>
      </c>
      <c r="F2413" s="27" t="s">
        <v>11393</v>
      </c>
      <c r="G2413" s="27"/>
      <c r="H2413" s="16" t="str">
        <f>IF(ISBLANK(PARTIDAS!$G2413),PARTIDAS!$F2413,CONCATENATE(PARTIDAS!$F2413," (",PARTIDAS!$G2413,")"))</f>
        <v>Cumarina, metilcumarinas y etilcumarinas</v>
      </c>
      <c r="I2413" s="16" t="s">
        <v>9427</v>
      </c>
    </row>
    <row r="2414" spans="1:9" x14ac:dyDescent="0.25">
      <c r="A2414" s="16" t="s">
        <v>3377</v>
      </c>
      <c r="B2414" s="16" t="str">
        <f>TEXT(PARTIDA[[#This Row],[PARTIDA]],"0000000000")</f>
        <v>2932209100</v>
      </c>
      <c r="C2414" s="16" t="s">
        <v>815</v>
      </c>
      <c r="D2414" s="16" t="s">
        <v>835</v>
      </c>
      <c r="E2414" s="16" t="s">
        <v>9465</v>
      </c>
      <c r="F2414" s="27" t="s">
        <v>11394</v>
      </c>
      <c r="G2414" s="27"/>
      <c r="H2414" s="16" t="str">
        <f>IF(ISBLANK(PARTIDAS!$G2414),PARTIDAS!$F2414,CONCATENATE(PARTIDAS!$F2414," (",PARTIDAS!$G2414,")"))</f>
        <v>Warfarina (ISO) (DCI)</v>
      </c>
      <c r="I2414" s="16" t="s">
        <v>9427</v>
      </c>
    </row>
    <row r="2415" spans="1:9" x14ac:dyDescent="0.25">
      <c r="A2415" s="16" t="s">
        <v>3378</v>
      </c>
      <c r="B2415" s="16" t="str">
        <f>TEXT(PARTIDA[[#This Row],[PARTIDA]],"0000000000")</f>
        <v>2932209900</v>
      </c>
      <c r="C2415" s="16" t="s">
        <v>815</v>
      </c>
      <c r="D2415" s="16" t="s">
        <v>835</v>
      </c>
      <c r="E2415" s="16" t="s">
        <v>9465</v>
      </c>
      <c r="F2415" s="27" t="s">
        <v>11395</v>
      </c>
      <c r="G2415" s="27"/>
      <c r="H2415" s="16" t="str">
        <f>IF(ISBLANK(PARTIDAS!$G2415),PARTIDAS!$F2415,CONCATENATE(PARTIDAS!$F2415," (",PARTIDAS!$G2415,")"))</f>
        <v>Lactonas (los demás)</v>
      </c>
      <c r="I2415" s="16" t="s">
        <v>9427</v>
      </c>
    </row>
    <row r="2416" spans="1:9" x14ac:dyDescent="0.25">
      <c r="A2416" s="16" t="s">
        <v>3379</v>
      </c>
      <c r="B2416" s="16" t="str">
        <f>TEXT(PARTIDA[[#This Row],[PARTIDA]],"0000000000")</f>
        <v>2932910000</v>
      </c>
      <c r="C2416" s="16" t="s">
        <v>815</v>
      </c>
      <c r="D2416" s="16" t="s">
        <v>835</v>
      </c>
      <c r="E2416" s="16" t="s">
        <v>9465</v>
      </c>
      <c r="F2416" s="27" t="s">
        <v>11396</v>
      </c>
      <c r="G2416" s="27"/>
      <c r="H2416" s="16" t="str">
        <f>IF(ISBLANK(PARTIDAS!$G2416),PARTIDAS!$F2416,CONCATENATE(PARTIDAS!$F2416," (",PARTIDAS!$G2416,")"))</f>
        <v>Compuestos heterocíclicos con heteroátomo(s) de oxígeno exclusivamente, isosafrol</v>
      </c>
      <c r="I2416" s="16" t="s">
        <v>9427</v>
      </c>
    </row>
    <row r="2417" spans="1:9" x14ac:dyDescent="0.25">
      <c r="A2417" s="16" t="s">
        <v>3380</v>
      </c>
      <c r="B2417" s="16" t="str">
        <f>TEXT(PARTIDA[[#This Row],[PARTIDA]],"0000000000")</f>
        <v>2932920000</v>
      </c>
      <c r="C2417" s="16" t="s">
        <v>815</v>
      </c>
      <c r="D2417" s="16" t="s">
        <v>835</v>
      </c>
      <c r="E2417" s="16" t="s">
        <v>9465</v>
      </c>
      <c r="F2417" s="27" t="s">
        <v>11397</v>
      </c>
      <c r="G2417" s="27"/>
      <c r="H2417" s="16" t="str">
        <f>IF(ISBLANK(PARTIDAS!$G2417),PARTIDAS!$F2417,CONCATENATE(PARTIDAS!$F2417," (",PARTIDAS!$G2417,")"))</f>
        <v>Compuestos heterocíclicos con heteroátomo(s) de oxígeno exclusivamente, 1-(1,3-Benzodioxol-5-il)propan-2-ona</v>
      </c>
      <c r="I2417" s="16" t="s">
        <v>9427</v>
      </c>
    </row>
    <row r="2418" spans="1:9" x14ac:dyDescent="0.25">
      <c r="A2418" s="16" t="s">
        <v>3381</v>
      </c>
      <c r="B2418" s="16" t="str">
        <f>TEXT(PARTIDA[[#This Row],[PARTIDA]],"0000000000")</f>
        <v>2932930000</v>
      </c>
      <c r="C2418" s="16" t="s">
        <v>815</v>
      </c>
      <c r="D2418" s="16" t="s">
        <v>835</v>
      </c>
      <c r="E2418" s="16" t="s">
        <v>9465</v>
      </c>
      <c r="F2418" s="27" t="s">
        <v>11398</v>
      </c>
      <c r="G2418" s="27"/>
      <c r="H2418" s="16" t="str">
        <f>IF(ISBLANK(PARTIDAS!$G2418),PARTIDAS!$F2418,CONCATENATE(PARTIDAS!$F2418," (",PARTIDAS!$G2418,")"))</f>
        <v>Compuestos heterocíclicos con heteroátomo(s) de oxígeno exclusivamente, piperonal</v>
      </c>
      <c r="I2418" s="16" t="s">
        <v>9427</v>
      </c>
    </row>
    <row r="2419" spans="1:9" x14ac:dyDescent="0.25">
      <c r="A2419" s="16" t="s">
        <v>3382</v>
      </c>
      <c r="B2419" s="16" t="str">
        <f>TEXT(PARTIDA[[#This Row],[PARTIDA]],"0000000000")</f>
        <v>2932940000</v>
      </c>
      <c r="C2419" s="16" t="s">
        <v>815</v>
      </c>
      <c r="D2419" s="16" t="s">
        <v>835</v>
      </c>
      <c r="E2419" s="16" t="s">
        <v>9465</v>
      </c>
      <c r="F2419" s="27" t="s">
        <v>11399</v>
      </c>
      <c r="G2419" s="27"/>
      <c r="H2419" s="16" t="str">
        <f>IF(ISBLANK(PARTIDAS!$G2419),PARTIDAS!$F2419,CONCATENATE(PARTIDAS!$F2419," (",PARTIDAS!$G2419,")"))</f>
        <v>Compuestos heterocíclicos con heteroátomo(s) de oxígeno exclusivamente, safrol</v>
      </c>
      <c r="I2419" s="16" t="s">
        <v>9427</v>
      </c>
    </row>
    <row r="2420" spans="1:9" x14ac:dyDescent="0.25">
      <c r="A2420" s="16" t="s">
        <v>3383</v>
      </c>
      <c r="B2420" s="16" t="str">
        <f>TEXT(PARTIDA[[#This Row],[PARTIDA]],"0000000000")</f>
        <v>2932950000</v>
      </c>
      <c r="C2420" s="16" t="s">
        <v>815</v>
      </c>
      <c r="D2420" s="16" t="s">
        <v>835</v>
      </c>
      <c r="E2420" s="16" t="s">
        <v>9465</v>
      </c>
      <c r="F2420" s="27" t="s">
        <v>11400</v>
      </c>
      <c r="G2420" s="27"/>
      <c r="H2420" s="16" t="str">
        <f>IF(ISBLANK(PARTIDAS!$G2420),PARTIDAS!$F2420,CONCATENATE(PARTIDAS!$F2420," (",PARTIDAS!$G2420,")"))</f>
        <v>Tetrahidrocannabinoles (todos los isómeros)</v>
      </c>
      <c r="I2420" s="16" t="s">
        <v>9427</v>
      </c>
    </row>
    <row r="2421" spans="1:9" x14ac:dyDescent="0.25">
      <c r="A2421" s="16" t="s">
        <v>11401</v>
      </c>
      <c r="B2421" s="16" t="str">
        <f>TEXT(PARTIDA[[#This Row],[PARTIDA]],"0000000000")</f>
        <v>2932960000</v>
      </c>
      <c r="C2421" s="16" t="s">
        <v>815</v>
      </c>
      <c r="D2421" s="16" t="s">
        <v>835</v>
      </c>
      <c r="E2421" s="16" t="s">
        <v>9465</v>
      </c>
      <c r="F2421" s="27" t="s">
        <v>11402</v>
      </c>
      <c r="G2421" s="27"/>
      <c r="H2421" s="16" t="str">
        <f>IF(ISBLANK(PARTIDAS!$G2421),PARTIDAS!$F2421,CONCATENATE(PARTIDAS!$F2421," (",PARTIDAS!$G2421,")"))</f>
        <v>Carbofurano (carbofurán) (ISO)</v>
      </c>
      <c r="I2421" s="16" t="s">
        <v>9427</v>
      </c>
    </row>
    <row r="2422" spans="1:9" x14ac:dyDescent="0.25">
      <c r="A2422" s="16" t="s">
        <v>3384</v>
      </c>
      <c r="B2422" s="16" t="str">
        <f>TEXT(PARTIDA[[#This Row],[PARTIDA]],"0000000000")</f>
        <v>2932991000</v>
      </c>
      <c r="C2422" s="16" t="s">
        <v>815</v>
      </c>
      <c r="D2422" s="16" t="s">
        <v>835</v>
      </c>
      <c r="E2422" s="16" t="s">
        <v>9465</v>
      </c>
      <c r="F2422" s="27" t="s">
        <v>11403</v>
      </c>
      <c r="G2422" s="27"/>
      <c r="H2422" s="16" t="str">
        <f>IF(ISBLANK(PARTIDAS!$G2422),PARTIDAS!$F2422,CONCATENATE(PARTIDAS!$F2422," (",PARTIDAS!$G2422,")"))</f>
        <v>Butóxido de piperonilo</v>
      </c>
      <c r="I2422" s="16" t="s">
        <v>9427</v>
      </c>
    </row>
    <row r="2423" spans="1:9" x14ac:dyDescent="0.25">
      <c r="A2423" s="16" t="s">
        <v>3385</v>
      </c>
      <c r="B2423" s="16" t="str">
        <f>TEXT(PARTIDA[[#This Row],[PARTIDA]],"0000000000")</f>
        <v>2932992000</v>
      </c>
      <c r="C2423" s="16" t="s">
        <v>815</v>
      </c>
      <c r="D2423" s="16" t="s">
        <v>835</v>
      </c>
      <c r="E2423" s="16" t="s">
        <v>9465</v>
      </c>
      <c r="F2423" s="27" t="s">
        <v>11404</v>
      </c>
      <c r="G2423" s="27"/>
      <c r="H2423" s="16" t="str">
        <f>IF(ISBLANK(PARTIDAS!$G2423),PARTIDAS!$F2423,CONCATENATE(PARTIDAS!$F2423," (",PARTIDAS!$G2423,")"))</f>
        <v>Compuestos heterocíclicos con heteroátomo(s) de oxígeno exclusivamente, eucaliptol</v>
      </c>
      <c r="I2423" s="16" t="s">
        <v>9427</v>
      </c>
    </row>
    <row r="2424" spans="1:9" x14ac:dyDescent="0.25">
      <c r="A2424" s="16" t="s">
        <v>3386</v>
      </c>
      <c r="B2424" s="16" t="str">
        <f>TEXT(PARTIDA[[#This Row],[PARTIDA]],"0000000000")</f>
        <v>2932994000</v>
      </c>
      <c r="C2424" s="16" t="s">
        <v>815</v>
      </c>
      <c r="D2424" s="16" t="s">
        <v>835</v>
      </c>
      <c r="E2424" s="16" t="s">
        <v>9465</v>
      </c>
      <c r="F2424" s="27" t="s">
        <v>11405</v>
      </c>
      <c r="G2424" s="27"/>
      <c r="H2424" s="16" t="str">
        <f>IF(ISBLANK(PARTIDAS!$G2424),PARTIDAS!$F2424,CONCATENATE(PARTIDAS!$F2424," (",PARTIDAS!$G2424,")"))</f>
        <v>Carbofuran (ISO)</v>
      </c>
      <c r="I2424" s="16" t="s">
        <v>9648</v>
      </c>
    </row>
    <row r="2425" spans="1:9" x14ac:dyDescent="0.25">
      <c r="A2425" s="16" t="s">
        <v>3387</v>
      </c>
      <c r="B2425" s="16" t="str">
        <f>TEXT(PARTIDA[[#This Row],[PARTIDA]],"0000000000")</f>
        <v>2932999000</v>
      </c>
      <c r="C2425" s="16" t="s">
        <v>815</v>
      </c>
      <c r="D2425" s="16" t="s">
        <v>835</v>
      </c>
      <c r="E2425" s="16" t="s">
        <v>9465</v>
      </c>
      <c r="F2425" s="27" t="s">
        <v>11406</v>
      </c>
      <c r="G2425" s="27"/>
      <c r="H2425" s="16" t="str">
        <f>IF(ISBLANK(PARTIDAS!$G2425),PARTIDAS!$F2425,CONCATENATE(PARTIDAS!$F2425," (",PARTIDAS!$G2425,")"))</f>
        <v>Compuestos heterocíclicos con heteroátomo(s) de oxígeno exclusivamente (los demás)</v>
      </c>
      <c r="I2425" s="16" t="s">
        <v>9427</v>
      </c>
    </row>
    <row r="2426" spans="1:9" x14ac:dyDescent="0.25">
      <c r="A2426" s="16" t="s">
        <v>3388</v>
      </c>
      <c r="B2426" s="16" t="str">
        <f>TEXT(PARTIDA[[#This Row],[PARTIDA]],"0000000000")</f>
        <v>2933111000</v>
      </c>
      <c r="C2426" s="16" t="s">
        <v>815</v>
      </c>
      <c r="D2426" s="16" t="s">
        <v>835</v>
      </c>
      <c r="E2426" s="16" t="s">
        <v>9465</v>
      </c>
      <c r="F2426" s="27" t="s">
        <v>11407</v>
      </c>
      <c r="G2426" s="27"/>
      <c r="H2426" s="16" t="str">
        <f>IF(ISBLANK(PARTIDAS!$G2426),PARTIDAS!$F2426,CONCATENATE(PARTIDAS!$F2426," (",PARTIDAS!$G2426,")"))</f>
        <v>Fenazona (DCI) (antipirina)</v>
      </c>
      <c r="I2426" s="16" t="s">
        <v>9427</v>
      </c>
    </row>
    <row r="2427" spans="1:9" x14ac:dyDescent="0.25">
      <c r="A2427" s="16" t="s">
        <v>3389</v>
      </c>
      <c r="B2427" s="16" t="str">
        <f>TEXT(PARTIDA[[#This Row],[PARTIDA]],"0000000000")</f>
        <v>2933113000</v>
      </c>
      <c r="C2427" s="16" t="s">
        <v>815</v>
      </c>
      <c r="D2427" s="16" t="s">
        <v>835</v>
      </c>
      <c r="E2427" s="16" t="s">
        <v>9465</v>
      </c>
      <c r="F2427" s="27" t="s">
        <v>11408</v>
      </c>
      <c r="G2427" s="27"/>
      <c r="H2427" s="16" t="str">
        <f>IF(ISBLANK(PARTIDAS!$G2427),PARTIDAS!$F2427,CONCATENATE(PARTIDAS!$F2427," (",PARTIDAS!$G2427,")"))</f>
        <v>Dipirona (4-Metilamino-1,5 dimetil-2-fenil-3-pirazolona metansulfonato de sodio)</v>
      </c>
      <c r="I2427" s="16" t="s">
        <v>9427</v>
      </c>
    </row>
    <row r="2428" spans="1:9" x14ac:dyDescent="0.25">
      <c r="A2428" s="16" t="s">
        <v>3390</v>
      </c>
      <c r="B2428" s="16" t="str">
        <f>TEXT(PARTIDA[[#This Row],[PARTIDA]],"0000000000")</f>
        <v>2933119000</v>
      </c>
      <c r="C2428" s="16" t="s">
        <v>815</v>
      </c>
      <c r="D2428" s="16" t="s">
        <v>835</v>
      </c>
      <c r="E2428" s="16" t="s">
        <v>9465</v>
      </c>
      <c r="F2428" s="27" t="s">
        <v>11409</v>
      </c>
      <c r="G2428" s="27"/>
      <c r="H2428" s="16" t="str">
        <f>IF(ISBLANK(PARTIDAS!$G2428),PARTIDAS!$F2428,CONCATENATE(PARTIDAS!$F2428," (",PARTIDAS!$G2428,")"))</f>
        <v>Fenazona (antipirina) y sus derivados (los demás)</v>
      </c>
      <c r="I2428" s="16" t="s">
        <v>9427</v>
      </c>
    </row>
    <row r="2429" spans="1:9" x14ac:dyDescent="0.25">
      <c r="A2429" s="16" t="s">
        <v>3391</v>
      </c>
      <c r="B2429" s="16" t="str">
        <f>TEXT(PARTIDA[[#This Row],[PARTIDA]],"0000000000")</f>
        <v>2933191000</v>
      </c>
      <c r="C2429" s="16" t="s">
        <v>815</v>
      </c>
      <c r="D2429" s="16" t="s">
        <v>835</v>
      </c>
      <c r="E2429" s="16" t="s">
        <v>9465</v>
      </c>
      <c r="F2429" s="27" t="s">
        <v>11410</v>
      </c>
      <c r="G2429" s="27"/>
      <c r="H2429" s="16" t="str">
        <f>IF(ISBLANK(PARTIDAS!$G2429),PARTIDAS!$F2429,CONCATENATE(PARTIDAS!$F2429," (",PARTIDAS!$G2429,")"))</f>
        <v>Fenilbutazona (DCI)</v>
      </c>
      <c r="I2429" s="16" t="s">
        <v>9427</v>
      </c>
    </row>
    <row r="2430" spans="1:9" x14ac:dyDescent="0.25">
      <c r="A2430" s="16" t="s">
        <v>3392</v>
      </c>
      <c r="B2430" s="16" t="str">
        <f>TEXT(PARTIDA[[#This Row],[PARTIDA]],"0000000000")</f>
        <v>2933199000</v>
      </c>
      <c r="C2430" s="16" t="s">
        <v>815</v>
      </c>
      <c r="D2430" s="16" t="s">
        <v>835</v>
      </c>
      <c r="E2430" s="16" t="s">
        <v>9465</v>
      </c>
      <c r="F2430" s="27" t="s">
        <v>11411</v>
      </c>
      <c r="G2430" s="27"/>
      <c r="H2430" s="16" t="str">
        <f>IF(ISBLANK(PARTIDAS!$G2430),PARTIDAS!$F2430,CONCATENATE(PARTIDAS!$F2430," (",PARTIDAS!$G2430,")"))</f>
        <v>Compuestos cuya estructura contenga uno o más ciclos pirazol (incluso… (los demás)</v>
      </c>
      <c r="I2430" s="16" t="s">
        <v>9427</v>
      </c>
    </row>
    <row r="2431" spans="1:9" x14ac:dyDescent="0.25">
      <c r="A2431" s="16" t="s">
        <v>3393</v>
      </c>
      <c r="B2431" s="16" t="str">
        <f>TEXT(PARTIDA[[#This Row],[PARTIDA]],"0000000000")</f>
        <v>2933210000</v>
      </c>
      <c r="C2431" s="16" t="s">
        <v>815</v>
      </c>
      <c r="D2431" s="16" t="s">
        <v>835</v>
      </c>
      <c r="E2431" s="16" t="s">
        <v>9465</v>
      </c>
      <c r="F2431" s="27" t="s">
        <v>11412</v>
      </c>
      <c r="G2431" s="27"/>
      <c r="H2431" s="16" t="str">
        <f>IF(ISBLANK(PARTIDAS!$G2431),PARTIDAS!$F2431,CONCATENATE(PARTIDAS!$F2431," (",PARTIDAS!$G2431,")"))</f>
        <v>Hidantoína y sus derivados</v>
      </c>
      <c r="I2431" s="16" t="s">
        <v>9427</v>
      </c>
    </row>
    <row r="2432" spans="1:9" x14ac:dyDescent="0.25">
      <c r="A2432" s="16" t="s">
        <v>3394</v>
      </c>
      <c r="B2432" s="16" t="str">
        <f>TEXT(PARTIDA[[#This Row],[PARTIDA]],"0000000000")</f>
        <v>2933290000</v>
      </c>
      <c r="C2432" s="16" t="s">
        <v>815</v>
      </c>
      <c r="D2432" s="16" t="s">
        <v>835</v>
      </c>
      <c r="E2432" s="16" t="s">
        <v>9465</v>
      </c>
      <c r="F2432" s="27" t="s">
        <v>11413</v>
      </c>
      <c r="G2432" s="27"/>
      <c r="H2432" s="16" t="str">
        <f>IF(ISBLANK(PARTIDAS!$G2432),PARTIDAS!$F2432,CONCATENATE(PARTIDAS!$F2432," (",PARTIDAS!$G2432,")"))</f>
        <v>Compuestos cuya estructura contenga uno o más ciclos imidazol… (los demás)</v>
      </c>
      <c r="I2432" s="16" t="s">
        <v>9427</v>
      </c>
    </row>
    <row r="2433" spans="1:9" x14ac:dyDescent="0.25">
      <c r="A2433" s="16" t="s">
        <v>3395</v>
      </c>
      <c r="B2433" s="16" t="str">
        <f>TEXT(PARTIDA[[#This Row],[PARTIDA]],"0000000000")</f>
        <v>2933310000</v>
      </c>
      <c r="C2433" s="16" t="s">
        <v>815</v>
      </c>
      <c r="D2433" s="16" t="s">
        <v>835</v>
      </c>
      <c r="E2433" s="16" t="s">
        <v>9465</v>
      </c>
      <c r="F2433" s="27" t="s">
        <v>11414</v>
      </c>
      <c r="G2433" s="27"/>
      <c r="H2433" s="16" t="str">
        <f>IF(ISBLANK(PARTIDAS!$G2433),PARTIDAS!$F2433,CONCATENATE(PARTIDAS!$F2433," (",PARTIDAS!$G2433,")"))</f>
        <v>Piridina y sus sales</v>
      </c>
      <c r="I2433" s="16" t="s">
        <v>9427</v>
      </c>
    </row>
    <row r="2434" spans="1:9" x14ac:dyDescent="0.25">
      <c r="A2434" s="16" t="s">
        <v>3396</v>
      </c>
      <c r="B2434" s="16" t="str">
        <f>TEXT(PARTIDA[[#This Row],[PARTIDA]],"0000000000")</f>
        <v>2933320000</v>
      </c>
      <c r="C2434" s="16" t="s">
        <v>815</v>
      </c>
      <c r="D2434" s="16" t="s">
        <v>835</v>
      </c>
      <c r="E2434" s="16" t="s">
        <v>9465</v>
      </c>
      <c r="F2434" s="27" t="s">
        <v>11415</v>
      </c>
      <c r="G2434" s="27"/>
      <c r="H2434" s="16" t="str">
        <f>IF(ISBLANK(PARTIDAS!$G2434),PARTIDAS!$F2434,CONCATENATE(PARTIDAS!$F2434," (",PARTIDAS!$G2434,")"))</f>
        <v>Piperidina y sus sales</v>
      </c>
      <c r="I2434" s="16" t="s">
        <v>9427</v>
      </c>
    </row>
    <row r="2435" spans="1:9" x14ac:dyDescent="0.25">
      <c r="A2435" s="16" t="s">
        <v>3397</v>
      </c>
      <c r="B2435" s="16" t="str">
        <f>TEXT(PARTIDA[[#This Row],[PARTIDA]],"0000000000")</f>
        <v>2933331000</v>
      </c>
      <c r="C2435" s="16" t="s">
        <v>815</v>
      </c>
      <c r="D2435" s="16" t="s">
        <v>835</v>
      </c>
      <c r="E2435" s="16" t="s">
        <v>9465</v>
      </c>
      <c r="F2435" s="27" t="s">
        <v>11416</v>
      </c>
      <c r="G2435" s="27"/>
      <c r="H2435" s="16" t="str">
        <f>IF(ISBLANK(PARTIDAS!$G2435),PARTIDAS!$F2435,CONCATENATE(PARTIDAS!$F2435," (",PARTIDAS!$G2435,")"))</f>
        <v>Bromazepam (DCI)</v>
      </c>
      <c r="I2435" s="16" t="s">
        <v>9427</v>
      </c>
    </row>
    <row r="2436" spans="1:9" x14ac:dyDescent="0.25">
      <c r="A2436" s="16" t="s">
        <v>3398</v>
      </c>
      <c r="B2436" s="16" t="str">
        <f>TEXT(PARTIDA[[#This Row],[PARTIDA]],"0000000000")</f>
        <v>2933332000</v>
      </c>
      <c r="C2436" s="16" t="s">
        <v>815</v>
      </c>
      <c r="D2436" s="16" t="s">
        <v>835</v>
      </c>
      <c r="E2436" s="16" t="s">
        <v>9465</v>
      </c>
      <c r="F2436" s="27" t="s">
        <v>11417</v>
      </c>
      <c r="G2436" s="27"/>
      <c r="H2436" s="16" t="str">
        <f>IF(ISBLANK(PARTIDAS!$G2436),PARTIDAS!$F2436,CONCATENATE(PARTIDAS!$F2436," (",PARTIDAS!$G2436,")"))</f>
        <v>Fentanilo (DCI)</v>
      </c>
      <c r="I2436" s="16" t="s">
        <v>9427</v>
      </c>
    </row>
    <row r="2437" spans="1:9" x14ac:dyDescent="0.25">
      <c r="A2437" s="16" t="s">
        <v>3399</v>
      </c>
      <c r="B2437" s="16" t="str">
        <f>TEXT(PARTIDA[[#This Row],[PARTIDA]],"0000000000")</f>
        <v>2933333000</v>
      </c>
      <c r="C2437" s="16" t="s">
        <v>815</v>
      </c>
      <c r="D2437" s="16" t="s">
        <v>835</v>
      </c>
      <c r="E2437" s="16" t="s">
        <v>9465</v>
      </c>
      <c r="F2437" s="27" t="s">
        <v>11418</v>
      </c>
      <c r="G2437" s="27"/>
      <c r="H2437" s="16" t="str">
        <f>IF(ISBLANK(PARTIDAS!$G2437),PARTIDAS!$F2437,CONCATENATE(PARTIDAS!$F2437," (",PARTIDAS!$G2437,")"))</f>
        <v>Petidina (DCI)</v>
      </c>
      <c r="I2437" s="16" t="s">
        <v>9427</v>
      </c>
    </row>
    <row r="2438" spans="1:9" x14ac:dyDescent="0.25">
      <c r="A2438" s="16" t="s">
        <v>3400</v>
      </c>
      <c r="B2438" s="16" t="str">
        <f>TEXT(PARTIDA[[#This Row],[PARTIDA]],"0000000000")</f>
        <v>2933334000</v>
      </c>
      <c r="C2438" s="16" t="s">
        <v>815</v>
      </c>
      <c r="D2438" s="16" t="s">
        <v>835</v>
      </c>
      <c r="E2438" s="16" t="s">
        <v>9465</v>
      </c>
      <c r="F2438" s="27" t="s">
        <v>11419</v>
      </c>
      <c r="G2438" s="27"/>
      <c r="H2438" s="16" t="str">
        <f>IF(ISBLANK(PARTIDAS!$G2438),PARTIDAS!$F2438,CONCATENATE(PARTIDAS!$F2438," (",PARTIDAS!$G2438,")"))</f>
        <v>Intermedio A de la petidina (DCI): (4-ciano-1-metil-4-fenil-piperidina o 1-metil-4-fenil-4 cianopiperidina)</v>
      </c>
      <c r="I2438" s="16" t="s">
        <v>9427</v>
      </c>
    </row>
    <row r="2439" spans="1:9" x14ac:dyDescent="0.25">
      <c r="A2439" s="16" t="s">
        <v>3401</v>
      </c>
      <c r="B2439" s="16" t="str">
        <f>TEXT(PARTIDA[[#This Row],[PARTIDA]],"0000000000")</f>
        <v>2933335000</v>
      </c>
      <c r="C2439" s="16" t="s">
        <v>815</v>
      </c>
      <c r="D2439" s="16" t="s">
        <v>835</v>
      </c>
      <c r="E2439" s="16" t="s">
        <v>9465</v>
      </c>
      <c r="F2439" s="27" t="s">
        <v>11420</v>
      </c>
      <c r="G2439" s="27"/>
      <c r="H2439" s="16" t="str">
        <f>IF(ISBLANK(PARTIDAS!$G2439),PARTIDAS!$F2439,CONCATENATE(PARTIDAS!$F2439," (",PARTIDAS!$G2439,")"))</f>
        <v>Alfentanilo (DCI), anileridina (DCI), bezitramida (DCI), difenoxilato (DCI), difenoxina (DCI), dipipanona (DCI), fenciclidina (DCI) (PCP), fenoperidin</v>
      </c>
      <c r="I2439" s="16" t="s">
        <v>9427</v>
      </c>
    </row>
    <row r="2440" spans="1:9" x14ac:dyDescent="0.25">
      <c r="A2440" s="16" t="s">
        <v>3402</v>
      </c>
      <c r="B2440" s="16" t="str">
        <f>TEXT(PARTIDA[[#This Row],[PARTIDA]],"0000000000")</f>
        <v>2933339000</v>
      </c>
      <c r="C2440" s="16" t="s">
        <v>815</v>
      </c>
      <c r="D2440" s="16" t="s">
        <v>835</v>
      </c>
      <c r="E2440" s="16" t="s">
        <v>9465</v>
      </c>
      <c r="F2440" s="27" t="s">
        <v>11421</v>
      </c>
      <c r="G2440" s="27"/>
      <c r="H2440" s="16" t="str">
        <f>IF(ISBLANK(PARTIDAS!$G2440),PARTIDAS!$F2440,CONCATENATE(PARTIDAS!$F2440," (",PARTIDAS!$G2440,")"))</f>
        <v>Alfentanilo (DCI), anileridina (DCI), bezitramida (DCI), bromazepam… (los demás)</v>
      </c>
      <c r="I2440" s="16" t="s">
        <v>9427</v>
      </c>
    </row>
    <row r="2441" spans="1:9" x14ac:dyDescent="0.25">
      <c r="A2441" s="16" t="s">
        <v>11422</v>
      </c>
      <c r="B2441" s="16" t="str">
        <f>TEXT(PARTIDA[[#This Row],[PARTIDA]],"0000000000")</f>
        <v>2933340000</v>
      </c>
      <c r="C2441" s="16" t="s">
        <v>815</v>
      </c>
      <c r="D2441" s="16" t="s">
        <v>835</v>
      </c>
      <c r="E2441" s="16" t="s">
        <v>9465</v>
      </c>
      <c r="F2441" s="27" t="s">
        <v>11423</v>
      </c>
      <c r="G2441" s="27"/>
      <c r="H2441" s="16" t="str">
        <f>IF(ISBLANK(PARTIDAS!$G2441),PARTIDAS!$F2441,CONCATENATE(PARTIDAS!$F2441," (",PARTIDAS!$G2441,")"))</f>
        <v>Compuestos cuya estructura contenga un ciclo piridina (incluso… (los demás, fentanilos y sus derivados)</v>
      </c>
      <c r="I2441" s="16" t="s">
        <v>9427</v>
      </c>
    </row>
    <row r="2442" spans="1:9" x14ac:dyDescent="0.25">
      <c r="A2442" s="16" t="s">
        <v>11424</v>
      </c>
      <c r="B2442" s="16" t="str">
        <f>TEXT(PARTIDA[[#This Row],[PARTIDA]],"0000000000")</f>
        <v>2933350000</v>
      </c>
      <c r="C2442" s="16" t="s">
        <v>815</v>
      </c>
      <c r="D2442" s="16" t="s">
        <v>835</v>
      </c>
      <c r="E2442" s="16" t="s">
        <v>9465</v>
      </c>
      <c r="F2442" s="27" t="s">
        <v>11425</v>
      </c>
      <c r="G2442" s="27"/>
      <c r="H2442" s="16" t="str">
        <f>IF(ISBLANK(PARTIDAS!$G2442),PARTIDAS!$F2442,CONCATENATE(PARTIDAS!$F2442," (",PARTIDAS!$G2442,")"))</f>
        <v>Compuestos cuya estructura contenga un ciclo piridina (incluso…, quinuclidin-3-ol</v>
      </c>
      <c r="I2442" s="16" t="s">
        <v>9427</v>
      </c>
    </row>
    <row r="2443" spans="1:9" x14ac:dyDescent="0.25">
      <c r="A2443" s="16" t="s">
        <v>11426</v>
      </c>
      <c r="B2443" s="16" t="str">
        <f>TEXT(PARTIDA[[#This Row],[PARTIDA]],"0000000000")</f>
        <v>2933360000</v>
      </c>
      <c r="C2443" s="16" t="s">
        <v>815</v>
      </c>
      <c r="D2443" s="16" t="s">
        <v>835</v>
      </c>
      <c r="E2443" s="16" t="s">
        <v>9465</v>
      </c>
      <c r="F2443" s="27" t="s">
        <v>11427</v>
      </c>
      <c r="G2443" s="27"/>
      <c r="H2443" s="16" t="str">
        <f>IF(ISBLANK(PARTIDAS!$G2443),PARTIDAS!$F2443,CONCATENATE(PARTIDAS!$F2443," (",PARTIDAS!$G2443,")"))</f>
        <v>Compuestos cuya estructura contenga un ciclo piridina (incluso…, 4-Anilino-N-fenetilpiperidina (ANPP)</v>
      </c>
      <c r="I2443" s="16" t="s">
        <v>9427</v>
      </c>
    </row>
    <row r="2444" spans="1:9" x14ac:dyDescent="0.25">
      <c r="A2444" s="16" t="s">
        <v>11428</v>
      </c>
      <c r="B2444" s="16" t="str">
        <f>TEXT(PARTIDA[[#This Row],[PARTIDA]],"0000000000")</f>
        <v>2933370000</v>
      </c>
      <c r="C2444" s="16" t="s">
        <v>815</v>
      </c>
      <c r="D2444" s="16" t="s">
        <v>835</v>
      </c>
      <c r="E2444" s="16" t="s">
        <v>9465</v>
      </c>
      <c r="F2444" s="27" t="s">
        <v>11429</v>
      </c>
      <c r="G2444" s="27"/>
      <c r="H2444" s="16" t="str">
        <f>IF(ISBLANK(PARTIDAS!$G2444),PARTIDAS!$F2444,CONCATENATE(PARTIDAS!$F2444," (",PARTIDAS!$G2444,")"))</f>
        <v>N-Fenetil-4piperidona (NPP)</v>
      </c>
      <c r="I2444" s="16" t="s">
        <v>9427</v>
      </c>
    </row>
    <row r="2445" spans="1:9" x14ac:dyDescent="0.25">
      <c r="A2445" s="16" t="s">
        <v>3403</v>
      </c>
      <c r="B2445" s="16" t="str">
        <f>TEXT(PARTIDA[[#This Row],[PARTIDA]],"0000000000")</f>
        <v>2933391100</v>
      </c>
      <c r="C2445" s="16" t="s">
        <v>815</v>
      </c>
      <c r="D2445" s="16" t="s">
        <v>835</v>
      </c>
      <c r="E2445" s="16" t="s">
        <v>9465</v>
      </c>
      <c r="F2445" s="27" t="s">
        <v>11430</v>
      </c>
      <c r="G2445" s="27"/>
      <c r="H2445" s="16" t="str">
        <f>IF(ISBLANK(PARTIDAS!$G2445),PARTIDAS!$F2445,CONCATENATE(PARTIDAS!$F2445," (",PARTIDAS!$G2445,")"))</f>
        <v>Picloram (ISO)</v>
      </c>
      <c r="I2445" s="16" t="s">
        <v>9427</v>
      </c>
    </row>
    <row r="2446" spans="1:9" x14ac:dyDescent="0.25">
      <c r="A2446" s="16" t="s">
        <v>3404</v>
      </c>
      <c r="B2446" s="16" t="str">
        <f>TEXT(PARTIDA[[#This Row],[PARTIDA]],"0000000000")</f>
        <v>2933391200</v>
      </c>
      <c r="C2446" s="16" t="s">
        <v>815</v>
      </c>
      <c r="D2446" s="16" t="s">
        <v>835</v>
      </c>
      <c r="E2446" s="16" t="s">
        <v>9465</v>
      </c>
      <c r="F2446" s="27" t="s">
        <v>11431</v>
      </c>
      <c r="G2446" s="27"/>
      <c r="H2446" s="16" t="str">
        <f>IF(ISBLANK(PARTIDAS!$G2446),PARTIDAS!$F2446,CONCATENATE(PARTIDAS!$F2446," (",PARTIDAS!$G2446,")"))</f>
        <v>Picloram (ISO) y sus sales, sales</v>
      </c>
      <c r="I2446" s="16" t="s">
        <v>9427</v>
      </c>
    </row>
    <row r="2447" spans="1:9" x14ac:dyDescent="0.25">
      <c r="A2447" s="16" t="s">
        <v>3405</v>
      </c>
      <c r="B2447" s="16" t="str">
        <f>TEXT(PARTIDA[[#This Row],[PARTIDA]],"0000000000")</f>
        <v>2933392000</v>
      </c>
      <c r="C2447" s="16" t="s">
        <v>815</v>
      </c>
      <c r="D2447" s="16" t="s">
        <v>835</v>
      </c>
      <c r="E2447" s="16" t="s">
        <v>9465</v>
      </c>
      <c r="F2447" s="27" t="s">
        <v>11432</v>
      </c>
      <c r="G2447" s="27"/>
      <c r="H2447" s="16" t="str">
        <f>IF(ISBLANK(PARTIDAS!$G2447),PARTIDAS!$F2447,CONCATENATE(PARTIDAS!$F2447," (",PARTIDAS!$G2447,")"))</f>
        <v>Dicloruro de paraquat</v>
      </c>
      <c r="I2447" s="16" t="s">
        <v>9427</v>
      </c>
    </row>
    <row r="2448" spans="1:9" x14ac:dyDescent="0.25">
      <c r="A2448" s="16" t="s">
        <v>3406</v>
      </c>
      <c r="B2448" s="16" t="str">
        <f>TEXT(PARTIDA[[#This Row],[PARTIDA]],"0000000000")</f>
        <v>2933393000</v>
      </c>
      <c r="C2448" s="16" t="s">
        <v>815</v>
      </c>
      <c r="D2448" s="16" t="s">
        <v>835</v>
      </c>
      <c r="E2448" s="16" t="s">
        <v>9465</v>
      </c>
      <c r="F2448" s="27" t="s">
        <v>11433</v>
      </c>
      <c r="G2448" s="27"/>
      <c r="H2448" s="16" t="str">
        <f>IF(ISBLANK(PARTIDAS!$G2448),PARTIDAS!$F2448,CONCATENATE(PARTIDAS!$F2448," (",PARTIDAS!$G2448,")"))</f>
        <v>Hidracida del ácido isonicotínico</v>
      </c>
      <c r="I2448" s="16" t="s">
        <v>9427</v>
      </c>
    </row>
    <row r="2449" spans="1:9" x14ac:dyDescent="0.25">
      <c r="A2449" s="16" t="s">
        <v>3407</v>
      </c>
      <c r="B2449" s="16" t="str">
        <f>TEXT(PARTIDA[[#This Row],[PARTIDA]],"0000000000")</f>
        <v>2933396000</v>
      </c>
      <c r="C2449" s="16" t="s">
        <v>815</v>
      </c>
      <c r="D2449" s="16" t="s">
        <v>835</v>
      </c>
      <c r="E2449" s="16" t="s">
        <v>9465</v>
      </c>
      <c r="F2449" s="27" t="s">
        <v>11434</v>
      </c>
      <c r="G2449" s="27"/>
      <c r="H2449" s="16" t="str">
        <f>IF(ISBLANK(PARTIDAS!$G2449),PARTIDAS!$F2449,CONCATENATE(PARTIDAS!$F2449," (",PARTIDAS!$G2449,")"))</f>
        <v>Benzilato de 3-quinuclidinilo</v>
      </c>
      <c r="I2449" s="16" t="s">
        <v>9427</v>
      </c>
    </row>
    <row r="2450" spans="1:9" x14ac:dyDescent="0.25">
      <c r="A2450" s="16" t="s">
        <v>3408</v>
      </c>
      <c r="B2450" s="16" t="str">
        <f>TEXT(PARTIDA[[#This Row],[PARTIDA]],"0000000000")</f>
        <v>2933397000</v>
      </c>
      <c r="C2450" s="16" t="s">
        <v>815</v>
      </c>
      <c r="D2450" s="16" t="s">
        <v>835</v>
      </c>
      <c r="E2450" s="16" t="s">
        <v>9465</v>
      </c>
      <c r="F2450" s="27" t="s">
        <v>11435</v>
      </c>
      <c r="G2450" s="27"/>
      <c r="H2450" s="16" t="str">
        <f>IF(ISBLANK(PARTIDAS!$G2450),PARTIDAS!$F2450,CONCATENATE(PARTIDAS!$F2450," (",PARTIDAS!$G2450,")"))</f>
        <v>Quinuclidin-3-ol</v>
      </c>
      <c r="I2450" s="16" t="s">
        <v>9648</v>
      </c>
    </row>
    <row r="2451" spans="1:9" x14ac:dyDescent="0.25">
      <c r="A2451" s="16" t="s">
        <v>3409</v>
      </c>
      <c r="B2451" s="16" t="str">
        <f>TEXT(PARTIDA[[#This Row],[PARTIDA]],"0000000000")</f>
        <v>2933399000</v>
      </c>
      <c r="C2451" s="16" t="s">
        <v>815</v>
      </c>
      <c r="D2451" s="16" t="s">
        <v>835</v>
      </c>
      <c r="E2451" s="16" t="s">
        <v>9465</v>
      </c>
      <c r="F2451" s="27" t="s">
        <v>11436</v>
      </c>
      <c r="G2451" s="27"/>
      <c r="H2451" s="16" t="str">
        <f>IF(ISBLANK(PARTIDAS!$G2451),PARTIDAS!$F2451,CONCATENATE(PARTIDAS!$F2451," (",PARTIDAS!$G2451,")"))</f>
        <v>Compuestos cuya estructura contenga un ciclo piridina (incluso… (los demás)</v>
      </c>
      <c r="I2451" s="16" t="s">
        <v>9427</v>
      </c>
    </row>
    <row r="2452" spans="1:9" x14ac:dyDescent="0.25">
      <c r="A2452" s="16" t="s">
        <v>3410</v>
      </c>
      <c r="B2452" s="16" t="str">
        <f>TEXT(PARTIDA[[#This Row],[PARTIDA]],"0000000000")</f>
        <v>2933410000</v>
      </c>
      <c r="C2452" s="16" t="s">
        <v>815</v>
      </c>
      <c r="D2452" s="16" t="s">
        <v>835</v>
      </c>
      <c r="E2452" s="16" t="s">
        <v>9465</v>
      </c>
      <c r="F2452" s="27" t="s">
        <v>11437</v>
      </c>
      <c r="G2452" s="27"/>
      <c r="H2452" s="16" t="str">
        <f>IF(ISBLANK(PARTIDAS!$G2452),PARTIDAS!$F2452,CONCATENATE(PARTIDAS!$F2452," (",PARTIDAS!$G2452,")"))</f>
        <v>Levorfanol (DCI) y sus sales</v>
      </c>
      <c r="I2452" s="16" t="s">
        <v>9427</v>
      </c>
    </row>
    <row r="2453" spans="1:9" x14ac:dyDescent="0.25">
      <c r="A2453" s="16" t="s">
        <v>3411</v>
      </c>
      <c r="B2453" s="16" t="str">
        <f>TEXT(PARTIDA[[#This Row],[PARTIDA]],"0000000000")</f>
        <v>2933491000</v>
      </c>
      <c r="C2453" s="16" t="s">
        <v>815</v>
      </c>
      <c r="D2453" s="16" t="s">
        <v>835</v>
      </c>
      <c r="E2453" s="16" t="s">
        <v>9465</v>
      </c>
      <c r="F2453" s="27" t="s">
        <v>11438</v>
      </c>
      <c r="G2453" s="27"/>
      <c r="H2453" s="16" t="str">
        <f>IF(ISBLANK(PARTIDAS!$G2453),PARTIDAS!$F2453,CONCATENATE(PARTIDAS!$F2453," (",PARTIDAS!$G2453,")"))</f>
        <v>Compuestos cuya estructura contenga ciclos quinoleína o isoquinoleína…, 6-Etoxi-1,2-dihidro-2,2,4-trimetilquinolina (etoxiquina)</v>
      </c>
      <c r="I2453" s="16" t="s">
        <v>9427</v>
      </c>
    </row>
    <row r="2454" spans="1:9" x14ac:dyDescent="0.25">
      <c r="A2454" s="16" t="s">
        <v>3412</v>
      </c>
      <c r="B2454" s="16" t="str">
        <f>TEXT(PARTIDA[[#This Row],[PARTIDA]],"0000000000")</f>
        <v>2933499000</v>
      </c>
      <c r="C2454" s="16" t="s">
        <v>815</v>
      </c>
      <c r="D2454" s="16" t="s">
        <v>835</v>
      </c>
      <c r="E2454" s="16" t="s">
        <v>9465</v>
      </c>
      <c r="F2454" s="27" t="s">
        <v>11439</v>
      </c>
      <c r="G2454" s="27"/>
      <c r="H2454" s="16" t="str">
        <f>IF(ISBLANK(PARTIDAS!$G2454),PARTIDAS!$F2454,CONCATENATE(PARTIDAS!$F2454," (",PARTIDAS!$G2454,")"))</f>
        <v>Compuestos cuya estructura contenga ciclos quinoleína o isoquinoleína… (los demás)</v>
      </c>
      <c r="I2454" s="16" t="s">
        <v>9427</v>
      </c>
    </row>
    <row r="2455" spans="1:9" x14ac:dyDescent="0.25">
      <c r="A2455" s="16" t="s">
        <v>3413</v>
      </c>
      <c r="B2455" s="16" t="str">
        <f>TEXT(PARTIDA[[#This Row],[PARTIDA]],"0000000000")</f>
        <v>2933520000</v>
      </c>
      <c r="C2455" s="16" t="s">
        <v>815</v>
      </c>
      <c r="D2455" s="16" t="s">
        <v>835</v>
      </c>
      <c r="E2455" s="16" t="s">
        <v>9465</v>
      </c>
      <c r="F2455" s="27" t="s">
        <v>11440</v>
      </c>
      <c r="G2455" s="27"/>
      <c r="H2455" s="16" t="str">
        <f>IF(ISBLANK(PARTIDAS!$G2455),PARTIDAS!$F2455,CONCATENATE(PARTIDAS!$F2455," (",PARTIDAS!$G2455,")"))</f>
        <v>Malonilurea (ácido barbitúrico) y sus sales</v>
      </c>
      <c r="I2455" s="16" t="s">
        <v>9427</v>
      </c>
    </row>
    <row r="2456" spans="1:9" x14ac:dyDescent="0.25">
      <c r="A2456" s="16" t="s">
        <v>3414</v>
      </c>
      <c r="B2456" s="16" t="str">
        <f>TEXT(PARTIDA[[#This Row],[PARTIDA]],"0000000000")</f>
        <v>2933531000</v>
      </c>
      <c r="C2456" s="16" t="s">
        <v>815</v>
      </c>
      <c r="D2456" s="16" t="s">
        <v>835</v>
      </c>
      <c r="E2456" s="16" t="s">
        <v>9465</v>
      </c>
      <c r="F2456" s="27" t="s">
        <v>11441</v>
      </c>
      <c r="G2456" s="27"/>
      <c r="H2456" s="16" t="str">
        <f>IF(ISBLANK(PARTIDAS!$G2456),PARTIDAS!$F2456,CONCATENATE(PARTIDAS!$F2456," (",PARTIDAS!$G2456,")"))</f>
        <v>Fenobarbital (DCI)</v>
      </c>
      <c r="I2456" s="16" t="s">
        <v>9427</v>
      </c>
    </row>
    <row r="2457" spans="1:9" x14ac:dyDescent="0.25">
      <c r="A2457" s="16" t="s">
        <v>3415</v>
      </c>
      <c r="B2457" s="16" t="str">
        <f>TEXT(PARTIDA[[#This Row],[PARTIDA]],"0000000000")</f>
        <v>2933532000</v>
      </c>
      <c r="C2457" s="16" t="s">
        <v>815</v>
      </c>
      <c r="D2457" s="16" t="s">
        <v>835</v>
      </c>
      <c r="E2457" s="16" t="s">
        <v>9465</v>
      </c>
      <c r="F2457" s="27" t="s">
        <v>11442</v>
      </c>
      <c r="G2457" s="27"/>
      <c r="H2457" s="16" t="str">
        <f>IF(ISBLANK(PARTIDAS!$G2457),PARTIDAS!$F2457,CONCATENATE(PARTIDAS!$F2457," (",PARTIDAS!$G2457,")"))</f>
        <v>Alobarbital (DCI), amobarbital (DCI), barbital (DCI), butalbital (DCI) y butobarbital</v>
      </c>
      <c r="I2457" s="16" t="s">
        <v>9427</v>
      </c>
    </row>
    <row r="2458" spans="1:9" x14ac:dyDescent="0.25">
      <c r="A2458" s="16" t="s">
        <v>3416</v>
      </c>
      <c r="B2458" s="16" t="str">
        <f>TEXT(PARTIDA[[#This Row],[PARTIDA]],"0000000000")</f>
        <v>2933533000</v>
      </c>
      <c r="C2458" s="16" t="s">
        <v>815</v>
      </c>
      <c r="D2458" s="16" t="s">
        <v>835</v>
      </c>
      <c r="E2458" s="16" t="s">
        <v>9465</v>
      </c>
      <c r="F2458" s="27" t="s">
        <v>11443</v>
      </c>
      <c r="G2458" s="27"/>
      <c r="H2458" s="16" t="str">
        <f>IF(ISBLANK(PARTIDAS!$G2458),PARTIDAS!$F2458,CONCATENATE(PARTIDAS!$F2458," (",PARTIDAS!$G2458,")"))</f>
        <v>Ciclobarbital (DCI), metilfenobarbital (DCI) y pentobarbital (DCI)</v>
      </c>
      <c r="I2458" s="16" t="s">
        <v>9427</v>
      </c>
    </row>
    <row r="2459" spans="1:9" x14ac:dyDescent="0.25">
      <c r="A2459" s="16" t="s">
        <v>3417</v>
      </c>
      <c r="B2459" s="16" t="str">
        <f>TEXT(PARTIDA[[#This Row],[PARTIDA]],"0000000000")</f>
        <v>2933534000</v>
      </c>
      <c r="C2459" s="16" t="s">
        <v>815</v>
      </c>
      <c r="D2459" s="16" t="s">
        <v>835</v>
      </c>
      <c r="E2459" s="16" t="s">
        <v>9465</v>
      </c>
      <c r="F2459" s="27" t="s">
        <v>11444</v>
      </c>
      <c r="G2459" s="27"/>
      <c r="H2459" s="16" t="str">
        <f>IF(ISBLANK(PARTIDAS!$G2459),PARTIDAS!$F2459,CONCATENATE(PARTIDAS!$F2459," (",PARTIDAS!$G2459,")"))</f>
        <v>Secbutabarbital (DCI), secobarbital (DCI) y vinilbital (DCI)</v>
      </c>
      <c r="I2459" s="16" t="s">
        <v>9427</v>
      </c>
    </row>
    <row r="2460" spans="1:9" x14ac:dyDescent="0.25">
      <c r="A2460" s="16" t="s">
        <v>3418</v>
      </c>
      <c r="B2460" s="16" t="str">
        <f>TEXT(PARTIDA[[#This Row],[PARTIDA]],"0000000000")</f>
        <v>2933539000</v>
      </c>
      <c r="C2460" s="16" t="s">
        <v>815</v>
      </c>
      <c r="D2460" s="16" t="s">
        <v>835</v>
      </c>
      <c r="E2460" s="16" t="s">
        <v>9465</v>
      </c>
      <c r="F2460" s="27" t="s">
        <v>11445</v>
      </c>
      <c r="G2460" s="27"/>
      <c r="H2460" s="16" t="str">
        <f>IF(ISBLANK(PARTIDAS!$G2460),PARTIDAS!$F2460,CONCATENATE(PARTIDAS!$F2460," (",PARTIDAS!$G2460,")"))</f>
        <v>Alobarbital (DCI), amobarbital (DCI), barbital (DCI), butalbital… (los demás)</v>
      </c>
      <c r="I2460" s="16" t="s">
        <v>9427</v>
      </c>
    </row>
    <row r="2461" spans="1:9" x14ac:dyDescent="0.25">
      <c r="A2461" s="16" t="s">
        <v>3419</v>
      </c>
      <c r="B2461" s="16" t="str">
        <f>TEXT(PARTIDA[[#This Row],[PARTIDA]],"0000000000")</f>
        <v>2933540000</v>
      </c>
      <c r="C2461" s="16" t="s">
        <v>815</v>
      </c>
      <c r="D2461" s="16" t="s">
        <v>835</v>
      </c>
      <c r="E2461" s="16" t="s">
        <v>9465</v>
      </c>
      <c r="F2461" s="27" t="s">
        <v>11446</v>
      </c>
      <c r="G2461" s="27"/>
      <c r="H2461" s="16" t="str">
        <f>IF(ISBLANK(PARTIDAS!$G2461),PARTIDAS!$F2461,CONCATENATE(PARTIDAS!$F2461," (",PARTIDAS!$G2461,")"))</f>
        <v>Compuestos cuya estructura contenga uno o más ciclos pirimidina… (los demás, derivados de la malonilurea (ácido barbitúrico); sales de estos productos</v>
      </c>
      <c r="I2461" s="16" t="s">
        <v>9427</v>
      </c>
    </row>
    <row r="2462" spans="1:9" x14ac:dyDescent="0.25">
      <c r="A2462" s="16" t="s">
        <v>3420</v>
      </c>
      <c r="B2462" s="16" t="str">
        <f>TEXT(PARTIDA[[#This Row],[PARTIDA]],"0000000000")</f>
        <v>2933551000</v>
      </c>
      <c r="C2462" s="16" t="s">
        <v>815</v>
      </c>
      <c r="D2462" s="16" t="s">
        <v>835</v>
      </c>
      <c r="E2462" s="16" t="s">
        <v>9465</v>
      </c>
      <c r="F2462" s="27" t="s">
        <v>11447</v>
      </c>
      <c r="G2462" s="27"/>
      <c r="H2462" s="16" t="str">
        <f>IF(ISBLANK(PARTIDAS!$G2462),PARTIDAS!$F2462,CONCATENATE(PARTIDAS!$F2462," (",PARTIDAS!$G2462,")"))</f>
        <v>Loprazolam (DCI)</v>
      </c>
      <c r="I2462" s="16" t="s">
        <v>9427</v>
      </c>
    </row>
    <row r="2463" spans="1:9" x14ac:dyDescent="0.25">
      <c r="A2463" s="16" t="s">
        <v>3421</v>
      </c>
      <c r="B2463" s="16" t="str">
        <f>TEXT(PARTIDA[[#This Row],[PARTIDA]],"0000000000")</f>
        <v>2933552000</v>
      </c>
      <c r="C2463" s="16" t="s">
        <v>815</v>
      </c>
      <c r="D2463" s="16" t="s">
        <v>835</v>
      </c>
      <c r="E2463" s="16" t="s">
        <v>9465</v>
      </c>
      <c r="F2463" s="27" t="s">
        <v>11448</v>
      </c>
      <c r="G2463" s="27"/>
      <c r="H2463" s="16" t="str">
        <f>IF(ISBLANK(PARTIDAS!$G2463),PARTIDAS!$F2463,CONCATENATE(PARTIDAS!$F2463," (",PARTIDAS!$G2463,")"))</f>
        <v>Meclocualona (DCI)</v>
      </c>
      <c r="I2463" s="16" t="s">
        <v>9427</v>
      </c>
    </row>
    <row r="2464" spans="1:9" x14ac:dyDescent="0.25">
      <c r="A2464" s="16" t="s">
        <v>3422</v>
      </c>
      <c r="B2464" s="16" t="str">
        <f>TEXT(PARTIDA[[#This Row],[PARTIDA]],"0000000000")</f>
        <v>2933553000</v>
      </c>
      <c r="C2464" s="16" t="s">
        <v>815</v>
      </c>
      <c r="D2464" s="16" t="s">
        <v>835</v>
      </c>
      <c r="E2464" s="16" t="s">
        <v>9465</v>
      </c>
      <c r="F2464" s="27" t="s">
        <v>11449</v>
      </c>
      <c r="G2464" s="27"/>
      <c r="H2464" s="16" t="str">
        <f>IF(ISBLANK(PARTIDAS!$G2464),PARTIDAS!$F2464,CONCATENATE(PARTIDAS!$F2464," (",PARTIDAS!$G2464,")"))</f>
        <v>Metacualona (DCI)</v>
      </c>
      <c r="I2464" s="16" t="s">
        <v>9427</v>
      </c>
    </row>
    <row r="2465" spans="1:9" x14ac:dyDescent="0.25">
      <c r="A2465" s="16" t="s">
        <v>3423</v>
      </c>
      <c r="B2465" s="16" t="str">
        <f>TEXT(PARTIDA[[#This Row],[PARTIDA]],"0000000000")</f>
        <v>2933554000</v>
      </c>
      <c r="C2465" s="16" t="s">
        <v>815</v>
      </c>
      <c r="D2465" s="16" t="s">
        <v>835</v>
      </c>
      <c r="E2465" s="16" t="s">
        <v>9465</v>
      </c>
      <c r="F2465" s="27" t="s">
        <v>11450</v>
      </c>
      <c r="G2465" s="27"/>
      <c r="H2465" s="16" t="str">
        <f>IF(ISBLANK(PARTIDAS!$G2465),PARTIDAS!$F2465,CONCATENATE(PARTIDAS!$F2465," (",PARTIDAS!$G2465,")"))</f>
        <v>Zipeprol (DCI)</v>
      </c>
      <c r="I2465" s="16" t="s">
        <v>9427</v>
      </c>
    </row>
    <row r="2466" spans="1:9" x14ac:dyDescent="0.25">
      <c r="A2466" s="16" t="s">
        <v>3424</v>
      </c>
      <c r="B2466" s="16" t="str">
        <f>TEXT(PARTIDA[[#This Row],[PARTIDA]],"0000000000")</f>
        <v>2933559000</v>
      </c>
      <c r="C2466" s="16" t="s">
        <v>815</v>
      </c>
      <c r="D2466" s="16" t="s">
        <v>835</v>
      </c>
      <c r="E2466" s="16" t="s">
        <v>9465</v>
      </c>
      <c r="F2466" s="27" t="s">
        <v>11451</v>
      </c>
      <c r="G2466" s="27"/>
      <c r="H2466" s="16" t="str">
        <f>IF(ISBLANK(PARTIDAS!$G2466),PARTIDAS!$F2466,CONCATENATE(PARTIDAS!$F2466," (",PARTIDAS!$G2466,")"))</f>
        <v>Loprazolam (DCI), meclocualona (DCI), metacualona (DCI) y zipeprol… (los demás)</v>
      </c>
      <c r="I2466" s="16" t="s">
        <v>9427</v>
      </c>
    </row>
    <row r="2467" spans="1:9" x14ac:dyDescent="0.25">
      <c r="A2467" s="16" t="s">
        <v>3425</v>
      </c>
      <c r="B2467" s="16" t="str">
        <f>TEXT(PARTIDA[[#This Row],[PARTIDA]],"0000000000")</f>
        <v>2933591000</v>
      </c>
      <c r="C2467" s="16" t="s">
        <v>815</v>
      </c>
      <c r="D2467" s="16" t="s">
        <v>835</v>
      </c>
      <c r="E2467" s="16" t="s">
        <v>9465</v>
      </c>
      <c r="F2467" s="27" t="s">
        <v>11452</v>
      </c>
      <c r="G2467" s="27"/>
      <c r="H2467" s="16" t="str">
        <f>IF(ISBLANK(PARTIDAS!$G2467),PARTIDAS!$F2467,CONCATENATE(PARTIDAS!$F2467," (",PARTIDAS!$G2467,")"))</f>
        <v>Piperazina (dietilendiamina) y 2,5-dimetil-piperazina (dimetil-2,5-dietilendiamina)</v>
      </c>
      <c r="I2467" s="16" t="s">
        <v>9648</v>
      </c>
    </row>
    <row r="2468" spans="1:9" x14ac:dyDescent="0.25">
      <c r="A2468" s="16" t="s">
        <v>11453</v>
      </c>
      <c r="B2468" s="16" t="str">
        <f>TEXT(PARTIDA[[#This Row],[PARTIDA]],"0000000000")</f>
        <v>2933591100</v>
      </c>
      <c r="C2468" s="16" t="s">
        <v>815</v>
      </c>
      <c r="D2468" s="16" t="s">
        <v>835</v>
      </c>
      <c r="E2468" s="16" t="s">
        <v>9465</v>
      </c>
      <c r="F2468" s="27" t="s">
        <v>11452</v>
      </c>
      <c r="G2468" s="27"/>
      <c r="H2468" s="16" t="str">
        <f>IF(ISBLANK(PARTIDAS!$G2468),PARTIDAS!$F2468,CONCATENATE(PARTIDAS!$F2468," (",PARTIDAS!$G2468,")"))</f>
        <v>Piperazina (dietilendiamina) y 2,5-dimetil-piperazina (dimetil-2,5-dietilendiamina)</v>
      </c>
      <c r="I2468" s="16" t="s">
        <v>9427</v>
      </c>
    </row>
    <row r="2469" spans="1:9" x14ac:dyDescent="0.25">
      <c r="A2469" s="16" t="s">
        <v>11454</v>
      </c>
      <c r="B2469" s="16" t="str">
        <f>TEXT(PARTIDA[[#This Row],[PARTIDA]],"0000000000")</f>
        <v>2933591200</v>
      </c>
      <c r="C2469" s="16" t="s">
        <v>815</v>
      </c>
      <c r="D2469" s="16" t="s">
        <v>835</v>
      </c>
      <c r="E2469" s="16" t="s">
        <v>9465</v>
      </c>
      <c r="F2469" s="27" t="s">
        <v>11455</v>
      </c>
      <c r="G2469" s="27"/>
      <c r="H2469" s="16" t="str">
        <f>IF(ISBLANK(PARTIDAS!$G2469),PARTIDAS!$F2469,CONCATENATE(PARTIDAS!$F2469," (",PARTIDAS!$G2469,")"))</f>
        <v>Ciprofloxacina (DCI) y sus sales</v>
      </c>
      <c r="I2469" s="16" t="s">
        <v>9427</v>
      </c>
    </row>
    <row r="2470" spans="1:9" x14ac:dyDescent="0.25">
      <c r="A2470" s="16" t="s">
        <v>11456</v>
      </c>
      <c r="B2470" s="16" t="str">
        <f>TEXT(PARTIDA[[#This Row],[PARTIDA]],"0000000000")</f>
        <v>2933591300</v>
      </c>
      <c r="C2470" s="16" t="s">
        <v>815</v>
      </c>
      <c r="D2470" s="16" t="s">
        <v>835</v>
      </c>
      <c r="E2470" s="16" t="s">
        <v>9465</v>
      </c>
      <c r="F2470" s="27" t="s">
        <v>11457</v>
      </c>
      <c r="G2470" s="27"/>
      <c r="H2470" s="16" t="str">
        <f>IF(ISBLANK(PARTIDAS!$G2470),PARTIDAS!$F2470,CONCATENATE(PARTIDAS!$F2470," (",PARTIDAS!$G2470,")"))</f>
        <v>Hidroxizina (DCI)</v>
      </c>
      <c r="I2470" s="16" t="s">
        <v>9427</v>
      </c>
    </row>
    <row r="2471" spans="1:9" x14ac:dyDescent="0.25">
      <c r="A2471" s="16" t="s">
        <v>11458</v>
      </c>
      <c r="B2471" s="16" t="str">
        <f>TEXT(PARTIDA[[#This Row],[PARTIDA]],"0000000000")</f>
        <v>2933591900</v>
      </c>
      <c r="C2471" s="16" t="s">
        <v>815</v>
      </c>
      <c r="D2471" s="16" t="s">
        <v>835</v>
      </c>
      <c r="E2471" s="16" t="s">
        <v>9465</v>
      </c>
      <c r="F2471" s="27" t="s">
        <v>11459</v>
      </c>
      <c r="G2471" s="27"/>
      <c r="H2471" s="16" t="str">
        <f>IF(ISBLANK(PARTIDAS!$G2471),PARTIDAS!$F2471,CONCATENATE(PARTIDAS!$F2471," (",PARTIDAS!$G2471,")"))</f>
        <v>Piperazina y sus derivados (los demás)</v>
      </c>
      <c r="I2471" s="16" t="s">
        <v>9427</v>
      </c>
    </row>
    <row r="2472" spans="1:9" x14ac:dyDescent="0.25">
      <c r="A2472" s="16" t="s">
        <v>3426</v>
      </c>
      <c r="B2472" s="16" t="str">
        <f>TEXT(PARTIDA[[#This Row],[PARTIDA]],"0000000000")</f>
        <v>2933592000</v>
      </c>
      <c r="C2472" s="16" t="s">
        <v>815</v>
      </c>
      <c r="D2472" s="16" t="s">
        <v>835</v>
      </c>
      <c r="E2472" s="16" t="s">
        <v>9465</v>
      </c>
      <c r="F2472" s="27" t="s">
        <v>11460</v>
      </c>
      <c r="G2472" s="27"/>
      <c r="H2472" s="16" t="str">
        <f>IF(ISBLANK(PARTIDAS!$G2472),PARTIDAS!$F2472,CONCATENATE(PARTIDAS!$F2472," (",PARTIDAS!$G2472,")"))</f>
        <v>Amprolio (DCI)</v>
      </c>
      <c r="I2472" s="16" t="s">
        <v>9427</v>
      </c>
    </row>
    <row r="2473" spans="1:9" x14ac:dyDescent="0.25">
      <c r="A2473" s="16" t="s">
        <v>3427</v>
      </c>
      <c r="B2473" s="16" t="str">
        <f>TEXT(PARTIDA[[#This Row],[PARTIDA]],"0000000000")</f>
        <v>2933593000</v>
      </c>
      <c r="C2473" s="16" t="s">
        <v>815</v>
      </c>
      <c r="D2473" s="16" t="s">
        <v>835</v>
      </c>
      <c r="E2473" s="16" t="s">
        <v>9465</v>
      </c>
      <c r="F2473" s="27" t="s">
        <v>11461</v>
      </c>
      <c r="G2473" s="27"/>
      <c r="H2473" s="16" t="str">
        <f>IF(ISBLANK(PARTIDAS!$G2473),PARTIDAS!$F2473,CONCATENATE(PARTIDAS!$F2473," (",PARTIDAS!$G2473,")"))</f>
        <v>Compuestos heterocíclicos con heteroátomo(s) de nitrógeno exclusivamen (los demás)</v>
      </c>
      <c r="I2473" s="16" t="s">
        <v>9648</v>
      </c>
    </row>
    <row r="2474" spans="1:9" x14ac:dyDescent="0.25">
      <c r="A2474" s="16" t="s">
        <v>3428</v>
      </c>
      <c r="B2474" s="16" t="str">
        <f>TEXT(PARTIDA[[#This Row],[PARTIDA]],"0000000000")</f>
        <v>2933594000</v>
      </c>
      <c r="C2474" s="16" t="s">
        <v>815</v>
      </c>
      <c r="D2474" s="16" t="s">
        <v>835</v>
      </c>
      <c r="E2474" s="16" t="s">
        <v>9465</v>
      </c>
      <c r="F2474" s="27" t="s">
        <v>11462</v>
      </c>
      <c r="G2474" s="27"/>
      <c r="H2474" s="16" t="str">
        <f>IF(ISBLANK(PARTIDAS!$G2474),PARTIDAS!$F2474,CONCATENATE(PARTIDAS!$F2474," (",PARTIDAS!$G2474,")"))</f>
        <v>Tiopental sódico (DCI)</v>
      </c>
      <c r="I2474" s="16" t="s">
        <v>9427</v>
      </c>
    </row>
    <row r="2475" spans="1:9" x14ac:dyDescent="0.25">
      <c r="A2475" s="16" t="s">
        <v>3429</v>
      </c>
      <c r="B2475" s="16" t="str">
        <f>TEXT(PARTIDA[[#This Row],[PARTIDA]],"0000000000")</f>
        <v>2933595000</v>
      </c>
      <c r="C2475" s="16" t="s">
        <v>815</v>
      </c>
      <c r="D2475" s="16" t="s">
        <v>835</v>
      </c>
      <c r="E2475" s="16" t="s">
        <v>9465</v>
      </c>
      <c r="F2475" s="27" t="s">
        <v>11455</v>
      </c>
      <c r="G2475" s="27"/>
      <c r="H2475" s="16" t="str">
        <f>IF(ISBLANK(PARTIDAS!$G2475),PARTIDAS!$F2475,CONCATENATE(PARTIDAS!$F2475," (",PARTIDAS!$G2475,")"))</f>
        <v>Ciprofloxacina (DCI) y sus sales</v>
      </c>
      <c r="I2475" s="16" t="s">
        <v>9648</v>
      </c>
    </row>
    <row r="2476" spans="1:9" x14ac:dyDescent="0.25">
      <c r="A2476" s="16" t="s">
        <v>3430</v>
      </c>
      <c r="B2476" s="16" t="str">
        <f>TEXT(PARTIDA[[#This Row],[PARTIDA]],"0000000000")</f>
        <v>2933596000</v>
      </c>
      <c r="C2476" s="16" t="s">
        <v>815</v>
      </c>
      <c r="D2476" s="16" t="s">
        <v>835</v>
      </c>
      <c r="E2476" s="16" t="s">
        <v>9465</v>
      </c>
      <c r="F2476" s="27" t="s">
        <v>11457</v>
      </c>
      <c r="G2476" s="27"/>
      <c r="H2476" s="16" t="str">
        <f>IF(ISBLANK(PARTIDAS!$G2476),PARTIDAS!$F2476,CONCATENATE(PARTIDAS!$F2476," (",PARTIDAS!$G2476,")"))</f>
        <v>Hidroxizina (DCI)</v>
      </c>
      <c r="I2476" s="16" t="s">
        <v>9648</v>
      </c>
    </row>
    <row r="2477" spans="1:9" x14ac:dyDescent="0.25">
      <c r="A2477" s="16" t="s">
        <v>3431</v>
      </c>
      <c r="B2477" s="16" t="str">
        <f>TEXT(PARTIDA[[#This Row],[PARTIDA]],"0000000000")</f>
        <v>2933599000</v>
      </c>
      <c r="C2477" s="16" t="s">
        <v>815</v>
      </c>
      <c r="D2477" s="16" t="s">
        <v>835</v>
      </c>
      <c r="E2477" s="16" t="s">
        <v>9465</v>
      </c>
      <c r="F2477" s="27" t="s">
        <v>11463</v>
      </c>
      <c r="G2477" s="27"/>
      <c r="H2477" s="16" t="str">
        <f>IF(ISBLANK(PARTIDAS!$G2477),PARTIDAS!$F2477,CONCATENATE(PARTIDAS!$F2477," (",PARTIDAS!$G2477,")"))</f>
        <v>Compuestos cuya estructura contenga uno o más ciclos pirimidina… (los demás)</v>
      </c>
      <c r="I2477" s="16" t="s">
        <v>9427</v>
      </c>
    </row>
    <row r="2478" spans="1:9" x14ac:dyDescent="0.25">
      <c r="A2478" s="16" t="s">
        <v>3432</v>
      </c>
      <c r="B2478" s="16" t="str">
        <f>TEXT(PARTIDA[[#This Row],[PARTIDA]],"0000000000")</f>
        <v>2933610000</v>
      </c>
      <c r="C2478" s="16" t="s">
        <v>815</v>
      </c>
      <c r="D2478" s="16" t="s">
        <v>835</v>
      </c>
      <c r="E2478" s="16" t="s">
        <v>9465</v>
      </c>
      <c r="F2478" s="27" t="s">
        <v>11464</v>
      </c>
      <c r="G2478" s="27"/>
      <c r="H2478" s="16" t="str">
        <f>IF(ISBLANK(PARTIDAS!$G2478),PARTIDAS!$F2478,CONCATENATE(PARTIDAS!$F2478," (",PARTIDAS!$G2478,")"))</f>
        <v>Compuestos cuya estructura contenga uno o más ciclos triazina…, melamina</v>
      </c>
      <c r="I2478" s="16" t="s">
        <v>9427</v>
      </c>
    </row>
    <row r="2479" spans="1:9" x14ac:dyDescent="0.25">
      <c r="A2479" s="16" t="s">
        <v>3433</v>
      </c>
      <c r="B2479" s="16" t="str">
        <f>TEXT(PARTIDA[[#This Row],[PARTIDA]],"0000000000")</f>
        <v>2933691000</v>
      </c>
      <c r="C2479" s="16" t="s">
        <v>815</v>
      </c>
      <c r="D2479" s="16" t="s">
        <v>835</v>
      </c>
      <c r="E2479" s="16" t="s">
        <v>9465</v>
      </c>
      <c r="F2479" s="27" t="s">
        <v>11465</v>
      </c>
      <c r="G2479" s="27"/>
      <c r="H2479" s="16" t="str">
        <f>IF(ISBLANK(PARTIDAS!$G2479),PARTIDAS!$F2479,CONCATENATE(PARTIDAS!$F2479," (",PARTIDAS!$G2479,")"))</f>
        <v>Atrazina (ISO)</v>
      </c>
      <c r="I2479" s="16" t="s">
        <v>9427</v>
      </c>
    </row>
    <row r="2480" spans="1:9" x14ac:dyDescent="0.25">
      <c r="A2480" s="16" t="s">
        <v>3434</v>
      </c>
      <c r="B2480" s="16" t="str">
        <f>TEXT(PARTIDA[[#This Row],[PARTIDA]],"0000000000")</f>
        <v>2933699000</v>
      </c>
      <c r="C2480" s="16" t="s">
        <v>815</v>
      </c>
      <c r="D2480" s="16" t="s">
        <v>835</v>
      </c>
      <c r="E2480" s="16" t="s">
        <v>9465</v>
      </c>
      <c r="F2480" s="27" t="s">
        <v>11466</v>
      </c>
      <c r="G2480" s="27"/>
      <c r="H2480" s="16" t="str">
        <f>IF(ISBLANK(PARTIDAS!$G2480),PARTIDAS!$F2480,CONCATENATE(PARTIDAS!$F2480," (",PARTIDAS!$G2480,")"))</f>
        <v>Compuestos cuya estructura contenga uno o más ciclos triazina… (los demás)</v>
      </c>
      <c r="I2480" s="16" t="s">
        <v>9427</v>
      </c>
    </row>
    <row r="2481" spans="1:9" x14ac:dyDescent="0.25">
      <c r="A2481" s="16" t="s">
        <v>3435</v>
      </c>
      <c r="B2481" s="16" t="str">
        <f>TEXT(PARTIDA[[#This Row],[PARTIDA]],"0000000000")</f>
        <v>2933710000</v>
      </c>
      <c r="C2481" s="16" t="s">
        <v>815</v>
      </c>
      <c r="D2481" s="16" t="s">
        <v>835</v>
      </c>
      <c r="E2481" s="16" t="s">
        <v>9465</v>
      </c>
      <c r="F2481" s="27" t="s">
        <v>11467</v>
      </c>
      <c r="G2481" s="27"/>
      <c r="H2481" s="16" t="str">
        <f>IF(ISBLANK(PARTIDAS!$G2481),PARTIDAS!$F2481,CONCATENATE(PARTIDAS!$F2481," (",PARTIDAS!$G2481,")"))</f>
        <v>Lactamas, 6-Hexanolactama (épsilon-caprolactama)</v>
      </c>
      <c r="I2481" s="16" t="s">
        <v>9427</v>
      </c>
    </row>
    <row r="2482" spans="1:9" x14ac:dyDescent="0.25">
      <c r="A2482" s="16" t="s">
        <v>3436</v>
      </c>
      <c r="B2482" s="16" t="str">
        <f>TEXT(PARTIDA[[#This Row],[PARTIDA]],"0000000000")</f>
        <v>2933720000</v>
      </c>
      <c r="C2482" s="16" t="s">
        <v>815</v>
      </c>
      <c r="D2482" s="16" t="s">
        <v>835</v>
      </c>
      <c r="E2482" s="16" t="s">
        <v>9465</v>
      </c>
      <c r="F2482" s="27" t="s">
        <v>11468</v>
      </c>
      <c r="G2482" s="27"/>
      <c r="H2482" s="16" t="str">
        <f>IF(ISBLANK(PARTIDAS!$G2482),PARTIDAS!$F2482,CONCATENATE(PARTIDAS!$F2482," (",PARTIDAS!$G2482,")"))</f>
        <v>Clobazam (DCI) y metiprilona (DCI)</v>
      </c>
      <c r="I2482" s="16" t="s">
        <v>9427</v>
      </c>
    </row>
    <row r="2483" spans="1:9" x14ac:dyDescent="0.25">
      <c r="A2483" s="16" t="s">
        <v>3437</v>
      </c>
      <c r="B2483" s="16" t="str">
        <f>TEXT(PARTIDA[[#This Row],[PARTIDA]],"0000000000")</f>
        <v>2933791000</v>
      </c>
      <c r="C2483" s="16" t="s">
        <v>815</v>
      </c>
      <c r="D2483" s="16" t="s">
        <v>835</v>
      </c>
      <c r="E2483" s="16" t="s">
        <v>9465</v>
      </c>
      <c r="F2483" s="27" t="s">
        <v>11469</v>
      </c>
      <c r="G2483" s="27"/>
      <c r="H2483" s="16" t="str">
        <f>IF(ISBLANK(PARTIDAS!$G2483),PARTIDAS!$F2483,CONCATENATE(PARTIDAS!$F2483," (",PARTIDAS!$G2483,")"))</f>
        <v>Primidona (DCI)</v>
      </c>
      <c r="I2483" s="16" t="s">
        <v>9427</v>
      </c>
    </row>
    <row r="2484" spans="1:9" x14ac:dyDescent="0.25">
      <c r="A2484" s="16" t="s">
        <v>3438</v>
      </c>
      <c r="B2484" s="16" t="str">
        <f>TEXT(PARTIDA[[#This Row],[PARTIDA]],"0000000000")</f>
        <v>2933799000</v>
      </c>
      <c r="C2484" s="16" t="s">
        <v>815</v>
      </c>
      <c r="D2484" s="16" t="s">
        <v>835</v>
      </c>
      <c r="E2484" s="16" t="s">
        <v>9465</v>
      </c>
      <c r="F2484" s="27" t="s">
        <v>11470</v>
      </c>
      <c r="G2484" s="27"/>
      <c r="H2484" s="16" t="str">
        <f>IF(ISBLANK(PARTIDAS!$G2484),PARTIDAS!$F2484,CONCATENATE(PARTIDAS!$F2484," (",PARTIDAS!$G2484,")"))</f>
        <v>Lactamas (los demás)</v>
      </c>
      <c r="I2484" s="16" t="s">
        <v>9427</v>
      </c>
    </row>
    <row r="2485" spans="1:9" x14ac:dyDescent="0.25">
      <c r="A2485" s="16" t="s">
        <v>3439</v>
      </c>
      <c r="B2485" s="16" t="str">
        <f>TEXT(PARTIDA[[#This Row],[PARTIDA]],"0000000000")</f>
        <v>2933911000</v>
      </c>
      <c r="C2485" s="16" t="s">
        <v>815</v>
      </c>
      <c r="D2485" s="16" t="s">
        <v>835</v>
      </c>
      <c r="E2485" s="16" t="s">
        <v>9465</v>
      </c>
      <c r="F2485" s="27" t="s">
        <v>11471</v>
      </c>
      <c r="G2485" s="27"/>
      <c r="H2485" s="16" t="str">
        <f>IF(ISBLANK(PARTIDAS!$G2485),PARTIDAS!$F2485,CONCATENATE(PARTIDAS!$F2485," (",PARTIDAS!$G2485,")"))</f>
        <v>Alprazolam (DCI)</v>
      </c>
      <c r="I2485" s="16" t="s">
        <v>9427</v>
      </c>
    </row>
    <row r="2486" spans="1:9" x14ac:dyDescent="0.25">
      <c r="A2486" s="16" t="s">
        <v>3440</v>
      </c>
      <c r="B2486" s="16" t="str">
        <f>TEXT(PARTIDA[[#This Row],[PARTIDA]],"0000000000")</f>
        <v>2933912000</v>
      </c>
      <c r="C2486" s="16" t="s">
        <v>815</v>
      </c>
      <c r="D2486" s="16" t="s">
        <v>835</v>
      </c>
      <c r="E2486" s="16" t="s">
        <v>9465</v>
      </c>
      <c r="F2486" s="27" t="s">
        <v>11472</v>
      </c>
      <c r="G2486" s="27"/>
      <c r="H2486" s="16" t="str">
        <f>IF(ISBLANK(PARTIDAS!$G2486),PARTIDAS!$F2486,CONCATENATE(PARTIDAS!$F2486," (",PARTIDAS!$G2486,")"))</f>
        <v>Diazepam (DCI)</v>
      </c>
      <c r="I2486" s="16" t="s">
        <v>9427</v>
      </c>
    </row>
    <row r="2487" spans="1:9" x14ac:dyDescent="0.25">
      <c r="A2487" s="16" t="s">
        <v>3441</v>
      </c>
      <c r="B2487" s="16" t="str">
        <f>TEXT(PARTIDA[[#This Row],[PARTIDA]],"0000000000")</f>
        <v>2933913000</v>
      </c>
      <c r="C2487" s="16" t="s">
        <v>815</v>
      </c>
      <c r="D2487" s="16" t="s">
        <v>835</v>
      </c>
      <c r="E2487" s="16" t="s">
        <v>9465</v>
      </c>
      <c r="F2487" s="27" t="s">
        <v>11473</v>
      </c>
      <c r="G2487" s="27"/>
      <c r="H2487" s="16" t="str">
        <f>IF(ISBLANK(PARTIDAS!$G2487),PARTIDAS!$F2487,CONCATENATE(PARTIDAS!$F2487," (",PARTIDAS!$G2487,")"))</f>
        <v>Lorazepam (DCI)</v>
      </c>
      <c r="I2487" s="16" t="s">
        <v>9427</v>
      </c>
    </row>
    <row r="2488" spans="1:9" x14ac:dyDescent="0.25">
      <c r="A2488" s="16" t="s">
        <v>3442</v>
      </c>
      <c r="B2488" s="16" t="str">
        <f>TEXT(PARTIDA[[#This Row],[PARTIDA]],"0000000000")</f>
        <v>2933914000</v>
      </c>
      <c r="C2488" s="16" t="s">
        <v>815</v>
      </c>
      <c r="D2488" s="16" t="s">
        <v>835</v>
      </c>
      <c r="E2488" s="16" t="s">
        <v>9465</v>
      </c>
      <c r="F2488" s="27" t="s">
        <v>11474</v>
      </c>
      <c r="G2488" s="27"/>
      <c r="H2488" s="16" t="str">
        <f>IF(ISBLANK(PARTIDAS!$G2488),PARTIDAS!$F2488,CONCATENATE(PARTIDAS!$F2488," (",PARTIDAS!$G2488,")"))</f>
        <v>Triazolam (DCI)</v>
      </c>
      <c r="I2488" s="16" t="s">
        <v>9427</v>
      </c>
    </row>
    <row r="2489" spans="1:9" x14ac:dyDescent="0.25">
      <c r="A2489" s="16" t="s">
        <v>3443</v>
      </c>
      <c r="B2489" s="16" t="str">
        <f>TEXT(PARTIDA[[#This Row],[PARTIDA]],"0000000000")</f>
        <v>2933915000</v>
      </c>
      <c r="C2489" s="16" t="s">
        <v>815</v>
      </c>
      <c r="D2489" s="16" t="s">
        <v>835</v>
      </c>
      <c r="E2489" s="16" t="s">
        <v>9465</v>
      </c>
      <c r="F2489" s="27" t="s">
        <v>11475</v>
      </c>
      <c r="G2489" s="27"/>
      <c r="H2489" s="16" t="str">
        <f>IF(ISBLANK(PARTIDAS!$G2489),PARTIDAS!$F2489,CONCATENATE(PARTIDAS!$F2489," (",PARTIDAS!$G2489,")"))</f>
        <v>Camazepam (DCI), clordiazepóxido (DCI), clonazepam (DCI), clorazepato, delorazepam (DCI), estazolam (DCI), fludiazepam (DCI) y flunitrazepam (DCI)</v>
      </c>
      <c r="I2489" s="16" t="s">
        <v>9427</v>
      </c>
    </row>
    <row r="2490" spans="1:9" x14ac:dyDescent="0.25">
      <c r="A2490" s="16" t="s">
        <v>3444</v>
      </c>
      <c r="B2490" s="16" t="str">
        <f>TEXT(PARTIDA[[#This Row],[PARTIDA]],"0000000000")</f>
        <v>2933916000</v>
      </c>
      <c r="C2490" s="16" t="s">
        <v>815</v>
      </c>
      <c r="D2490" s="16" t="s">
        <v>835</v>
      </c>
      <c r="E2490" s="16" t="s">
        <v>9465</v>
      </c>
      <c r="F2490" s="27" t="s">
        <v>11476</v>
      </c>
      <c r="G2490" s="27"/>
      <c r="H2490" s="16" t="str">
        <f>IF(ISBLANK(PARTIDAS!$G2490),PARTIDAS!$F2490,CONCATENATE(PARTIDAS!$F2490," (",PARTIDAS!$G2490,")"))</f>
        <v>Flurazepam (DCI), halazepam (DCI), loflazepato de etilo (DCI), lormetazepam (DCI), mazindol (DCI), medazepam (DCI), midazolam (DCI), nimetazepam (DCI)</v>
      </c>
      <c r="I2490" s="16" t="s">
        <v>9427</v>
      </c>
    </row>
    <row r="2491" spans="1:9" x14ac:dyDescent="0.25">
      <c r="A2491" s="16" t="s">
        <v>3445</v>
      </c>
      <c r="B2491" s="16" t="str">
        <f>TEXT(PARTIDA[[#This Row],[PARTIDA]],"0000000000")</f>
        <v>2933917000</v>
      </c>
      <c r="C2491" s="16" t="s">
        <v>815</v>
      </c>
      <c r="D2491" s="16" t="s">
        <v>835</v>
      </c>
      <c r="E2491" s="16" t="s">
        <v>9465</v>
      </c>
      <c r="F2491" s="27" t="s">
        <v>11477</v>
      </c>
      <c r="G2491" s="27"/>
      <c r="H2491" s="16" t="str">
        <f>IF(ISBLANK(PARTIDAS!$G2491),PARTIDAS!$F2491,CONCATENATE(PARTIDAS!$F2491," (",PARTIDAS!$G2491,")"))</f>
        <v>Nitrazepam (DCI), nordazepam (DCI), oxazepam (DCI), pinazepam (DCI), prazepam (DCI), pirovalerona (DCI), temazepam (DCI) y tetrazepam (DCI)</v>
      </c>
      <c r="I2491" s="16" t="s">
        <v>9427</v>
      </c>
    </row>
    <row r="2492" spans="1:9" x14ac:dyDescent="0.25">
      <c r="A2492" s="16" t="s">
        <v>3446</v>
      </c>
      <c r="B2492" s="16" t="str">
        <f>TEXT(PARTIDA[[#This Row],[PARTIDA]],"0000000000")</f>
        <v>2933919000</v>
      </c>
      <c r="C2492" s="16" t="s">
        <v>815</v>
      </c>
      <c r="D2492" s="16" t="s">
        <v>835</v>
      </c>
      <c r="E2492" s="16" t="s">
        <v>9465</v>
      </c>
      <c r="F2492" s="27" t="s">
        <v>11478</v>
      </c>
      <c r="G2492" s="27"/>
      <c r="H2492" s="16" t="str">
        <f>IF(ISBLANK(PARTIDAS!$G2492),PARTIDAS!$F2492,CONCATENATE(PARTIDAS!$F2492," (",PARTIDAS!$G2492,")"))</f>
        <v>Alprazolam (DCI), camazepam (DCI), clonazepam (DCI), clorazepato… (los demás)</v>
      </c>
      <c r="I2492" s="16" t="s">
        <v>9427</v>
      </c>
    </row>
    <row r="2493" spans="1:9" x14ac:dyDescent="0.25">
      <c r="A2493" s="16" t="s">
        <v>3447</v>
      </c>
      <c r="B2493" s="16" t="str">
        <f>TEXT(PARTIDA[[#This Row],[PARTIDA]],"0000000000")</f>
        <v>2933920000</v>
      </c>
      <c r="C2493" s="16" t="s">
        <v>815</v>
      </c>
      <c r="D2493" s="16" t="s">
        <v>835</v>
      </c>
      <c r="E2493" s="16" t="s">
        <v>9465</v>
      </c>
      <c r="F2493" s="27" t="s">
        <v>11479</v>
      </c>
      <c r="G2493" s="27"/>
      <c r="H2493" s="16" t="str">
        <f>IF(ISBLANK(PARTIDAS!$G2493),PARTIDAS!$F2493,CONCATENATE(PARTIDAS!$F2493," (",PARTIDAS!$G2493,")"))</f>
        <v>Azinfos-metil (ISO)</v>
      </c>
      <c r="I2493" s="16" t="s">
        <v>9427</v>
      </c>
    </row>
    <row r="2494" spans="1:9" x14ac:dyDescent="0.25">
      <c r="A2494" s="16" t="s">
        <v>3448</v>
      </c>
      <c r="B2494" s="16" t="str">
        <f>TEXT(PARTIDA[[#This Row],[PARTIDA]],"0000000000")</f>
        <v>2933991000</v>
      </c>
      <c r="C2494" s="16" t="s">
        <v>815</v>
      </c>
      <c r="D2494" s="16" t="s">
        <v>835</v>
      </c>
      <c r="E2494" s="16" t="s">
        <v>9465</v>
      </c>
      <c r="F2494" s="27" t="s">
        <v>11480</v>
      </c>
      <c r="G2494" s="27"/>
      <c r="H2494" s="16" t="str">
        <f>IF(ISBLANK(PARTIDAS!$G2494),PARTIDAS!$F2494,CONCATENATE(PARTIDAS!$F2494," (",PARTIDAS!$G2494,")"))</f>
        <v>Parbendazol (DCI)</v>
      </c>
      <c r="I2494" s="16" t="s">
        <v>9427</v>
      </c>
    </row>
    <row r="2495" spans="1:9" x14ac:dyDescent="0.25">
      <c r="A2495" s="16" t="s">
        <v>3449</v>
      </c>
      <c r="B2495" s="16" t="str">
        <f>TEXT(PARTIDA[[#This Row],[PARTIDA]],"0000000000")</f>
        <v>2933992000</v>
      </c>
      <c r="C2495" s="16" t="s">
        <v>815</v>
      </c>
      <c r="D2495" s="16" t="s">
        <v>835</v>
      </c>
      <c r="E2495" s="16" t="s">
        <v>9465</v>
      </c>
      <c r="F2495" s="27" t="s">
        <v>11481</v>
      </c>
      <c r="G2495" s="27"/>
      <c r="H2495" s="16" t="str">
        <f>IF(ISBLANK(PARTIDAS!$G2495),PARTIDAS!$F2495,CONCATENATE(PARTIDAS!$F2495," (",PARTIDAS!$G2495,")"))</f>
        <v>Albendazol (DCI)</v>
      </c>
      <c r="I2495" s="16" t="s">
        <v>9427</v>
      </c>
    </row>
    <row r="2496" spans="1:9" x14ac:dyDescent="0.25">
      <c r="A2496" s="16" t="s">
        <v>3450</v>
      </c>
      <c r="B2496" s="16" t="str">
        <f>TEXT(PARTIDA[[#This Row],[PARTIDA]],"0000000000")</f>
        <v>2933999010</v>
      </c>
      <c r="C2496" s="16" t="s">
        <v>815</v>
      </c>
      <c r="D2496" s="16" t="s">
        <v>835</v>
      </c>
      <c r="E2496" s="16" t="s">
        <v>9465</v>
      </c>
      <c r="F2496" s="27" t="s">
        <v>11482</v>
      </c>
      <c r="G2496" s="27"/>
      <c r="H2496" s="16" t="str">
        <f>IF(ISBLANK(PARTIDAS!$G2496),PARTIDAS!$F2496,CONCATENATE(PARTIDAS!$F2496," (",PARTIDAS!$G2496,")"))</f>
        <v>Compuestos heterocíclicos con heteroátomo(s) de nitrógeno…, triadimefón</v>
      </c>
      <c r="I2496" s="16" t="s">
        <v>9427</v>
      </c>
    </row>
    <row r="2497" spans="1:9" x14ac:dyDescent="0.25">
      <c r="A2497" s="16" t="s">
        <v>3451</v>
      </c>
      <c r="B2497" s="16" t="str">
        <f>TEXT(PARTIDA[[#This Row],[PARTIDA]],"0000000000")</f>
        <v>2933999090</v>
      </c>
      <c r="C2497" s="16" t="s">
        <v>815</v>
      </c>
      <c r="D2497" s="16" t="s">
        <v>835</v>
      </c>
      <c r="E2497" s="16" t="s">
        <v>9465</v>
      </c>
      <c r="F2497" s="27" t="s">
        <v>11483</v>
      </c>
      <c r="G2497" s="27"/>
      <c r="H2497" s="16" t="str">
        <f>IF(ISBLANK(PARTIDAS!$G2497),PARTIDAS!$F2497,CONCATENATE(PARTIDAS!$F2497," (",PARTIDAS!$G2497,")"))</f>
        <v>Compuestos heterocíclicos con heteroátomo(s) de nitrógeno… (los demás)</v>
      </c>
      <c r="I2497" s="16" t="s">
        <v>9427</v>
      </c>
    </row>
    <row r="2498" spans="1:9" x14ac:dyDescent="0.25">
      <c r="A2498" s="16" t="s">
        <v>3452</v>
      </c>
      <c r="B2498" s="16" t="str">
        <f>TEXT(PARTIDA[[#This Row],[PARTIDA]],"0000000000")</f>
        <v>2934101000</v>
      </c>
      <c r="C2498" s="16" t="s">
        <v>815</v>
      </c>
      <c r="D2498" s="16" t="s">
        <v>835</v>
      </c>
      <c r="E2498" s="16" t="s">
        <v>9465</v>
      </c>
      <c r="F2498" s="27" t="s">
        <v>11484</v>
      </c>
      <c r="G2498" s="27"/>
      <c r="H2498" s="16" t="str">
        <f>IF(ISBLANK(PARTIDAS!$G2498),PARTIDAS!$F2498,CONCATENATE(PARTIDAS!$F2498," (",PARTIDAS!$G2498,")"))</f>
        <v>Tiabendazol (ISO)</v>
      </c>
      <c r="I2498" s="16" t="s">
        <v>9427</v>
      </c>
    </row>
    <row r="2499" spans="1:9" x14ac:dyDescent="0.25">
      <c r="A2499" s="16" t="s">
        <v>3453</v>
      </c>
      <c r="B2499" s="16" t="str">
        <f>TEXT(PARTIDA[[#This Row],[PARTIDA]],"0000000000")</f>
        <v>2934109000</v>
      </c>
      <c r="C2499" s="16" t="s">
        <v>815</v>
      </c>
      <c r="D2499" s="16" t="s">
        <v>835</v>
      </c>
      <c r="E2499" s="16" t="s">
        <v>9465</v>
      </c>
      <c r="F2499" s="27" t="s">
        <v>11485</v>
      </c>
      <c r="G2499" s="27"/>
      <c r="H2499" s="16" t="str">
        <f>IF(ISBLANK(PARTIDAS!$G2499),PARTIDAS!$F2499,CONCATENATE(PARTIDAS!$F2499," (",PARTIDAS!$G2499,")"))</f>
        <v>Compuestos cuya estructura contenga uno o más ciclos tiazol (incluso… (los demás)</v>
      </c>
      <c r="I2499" s="16" t="s">
        <v>9427</v>
      </c>
    </row>
    <row r="2500" spans="1:9" x14ac:dyDescent="0.25">
      <c r="A2500" s="16" t="s">
        <v>3454</v>
      </c>
      <c r="B2500" s="16" t="str">
        <f>TEXT(PARTIDA[[#This Row],[PARTIDA]],"0000000000")</f>
        <v>2934200010</v>
      </c>
      <c r="C2500" s="16" t="s">
        <v>815</v>
      </c>
      <c r="D2500" s="16" t="s">
        <v>835</v>
      </c>
      <c r="E2500" s="16" t="s">
        <v>9465</v>
      </c>
      <c r="F2500" s="27" t="s">
        <v>11486</v>
      </c>
      <c r="G2500" s="27"/>
      <c r="H2500" s="16" t="str">
        <f>IF(ISBLANK(PARTIDAS!$G2500),PARTIDAS!$F2500,CONCATENATE(PARTIDAS!$F2500," (",PARTIDAS!$G2500,")"))</f>
        <v>Compuestos cuya estructura contenga ciclos benzotiazol (incluso…, mercaptobenzotiazol</v>
      </c>
      <c r="I2500" s="16" t="s">
        <v>9427</v>
      </c>
    </row>
    <row r="2501" spans="1:9" x14ac:dyDescent="0.25">
      <c r="A2501" s="16" t="s">
        <v>3455</v>
      </c>
      <c r="B2501" s="16" t="str">
        <f>TEXT(PARTIDA[[#This Row],[PARTIDA]],"0000000000")</f>
        <v>2934200090</v>
      </c>
      <c r="C2501" s="16" t="s">
        <v>815</v>
      </c>
      <c r="D2501" s="16" t="s">
        <v>835</v>
      </c>
      <c r="E2501" s="16" t="s">
        <v>9465</v>
      </c>
      <c r="F2501" s="27" t="s">
        <v>11487</v>
      </c>
      <c r="G2501" s="27"/>
      <c r="H2501" s="16" t="str">
        <f>IF(ISBLANK(PARTIDAS!$G2501),PARTIDAS!$F2501,CONCATENATE(PARTIDAS!$F2501," (",PARTIDAS!$G2501,")"))</f>
        <v>Compuestos cuya estructura contenga ciclos benzotiazol (incluso… (los demás)</v>
      </c>
      <c r="I2501" s="16" t="s">
        <v>9427</v>
      </c>
    </row>
    <row r="2502" spans="1:9" x14ac:dyDescent="0.25">
      <c r="A2502" s="16" t="s">
        <v>3456</v>
      </c>
      <c r="B2502" s="16" t="str">
        <f>TEXT(PARTIDA[[#This Row],[PARTIDA]],"0000000000")</f>
        <v>2934300010</v>
      </c>
      <c r="C2502" s="16" t="s">
        <v>815</v>
      </c>
      <c r="D2502" s="16" t="s">
        <v>835</v>
      </c>
      <c r="E2502" s="16" t="s">
        <v>9465</v>
      </c>
      <c r="F2502" s="27" t="s">
        <v>11488</v>
      </c>
      <c r="G2502" s="27"/>
      <c r="H2502" s="16" t="str">
        <f>IF(ISBLANK(PARTIDAS!$G2502),PARTIDAS!$F2502,CONCATENATE(PARTIDAS!$F2502," (",PARTIDAS!$G2502,")"))</f>
        <v>Compuestos cuya estructura contenga ciclos fenotiazina (incluso…, fenotiazina</v>
      </c>
      <c r="I2502" s="16" t="s">
        <v>9427</v>
      </c>
    </row>
    <row r="2503" spans="1:9" x14ac:dyDescent="0.25">
      <c r="A2503" s="16" t="s">
        <v>3457</v>
      </c>
      <c r="B2503" s="16" t="str">
        <f>TEXT(PARTIDA[[#This Row],[PARTIDA]],"0000000000")</f>
        <v>2934300090</v>
      </c>
      <c r="C2503" s="16" t="s">
        <v>815</v>
      </c>
      <c r="D2503" s="16" t="s">
        <v>835</v>
      </c>
      <c r="E2503" s="16" t="s">
        <v>9465</v>
      </c>
      <c r="F2503" s="27" t="s">
        <v>11489</v>
      </c>
      <c r="G2503" s="27"/>
      <c r="H2503" s="16" t="str">
        <f>IF(ISBLANK(PARTIDAS!$G2503),PARTIDAS!$F2503,CONCATENATE(PARTIDAS!$F2503," (",PARTIDAS!$G2503,")"))</f>
        <v>Compuestos cuya estructura contenga ciclos fenotiazina (incluso… (los demás)</v>
      </c>
      <c r="I2503" s="16" t="s">
        <v>9427</v>
      </c>
    </row>
    <row r="2504" spans="1:9" x14ac:dyDescent="0.25">
      <c r="A2504" s="16" t="s">
        <v>3458</v>
      </c>
      <c r="B2504" s="16" t="str">
        <f>TEXT(PARTIDA[[#This Row],[PARTIDA]],"0000000000")</f>
        <v>2934911000</v>
      </c>
      <c r="C2504" s="16" t="s">
        <v>815</v>
      </c>
      <c r="D2504" s="16" t="s">
        <v>835</v>
      </c>
      <c r="E2504" s="16" t="s">
        <v>9465</v>
      </c>
      <c r="F2504" s="27" t="s">
        <v>11490</v>
      </c>
      <c r="G2504" s="27"/>
      <c r="H2504" s="16" t="str">
        <f>IF(ISBLANK(PARTIDAS!$G2504),PARTIDAS!$F2504,CONCATENATE(PARTIDAS!$F2504," (",PARTIDAS!$G2504,")"))</f>
        <v>Aminorex (DCI), brotizolam (DCI), clotiazepam (DCI), cloxazolam (DCI) y dextromoramida (DCI)</v>
      </c>
      <c r="I2504" s="16" t="s">
        <v>9427</v>
      </c>
    </row>
    <row r="2505" spans="1:9" x14ac:dyDescent="0.25">
      <c r="A2505" s="16" t="s">
        <v>3459</v>
      </c>
      <c r="B2505" s="16" t="str">
        <f>TEXT(PARTIDA[[#This Row],[PARTIDA]],"0000000000")</f>
        <v>2934912000</v>
      </c>
      <c r="C2505" s="16" t="s">
        <v>815</v>
      </c>
      <c r="D2505" s="16" t="s">
        <v>835</v>
      </c>
      <c r="E2505" s="16" t="s">
        <v>9465</v>
      </c>
      <c r="F2505" s="27" t="s">
        <v>11491</v>
      </c>
      <c r="G2505" s="27"/>
      <c r="H2505" s="16" t="str">
        <f>IF(ISBLANK(PARTIDAS!$G2505),PARTIDAS!$F2505,CONCATENATE(PARTIDAS!$F2505," (",PARTIDAS!$G2505,")"))</f>
        <v>Haloxazolam (DCI), ketazolam (DCI), mesocarbo (DCI), oxazolam (DCI) y pemolina (DCI)</v>
      </c>
      <c r="I2505" s="16" t="s">
        <v>9427</v>
      </c>
    </row>
    <row r="2506" spans="1:9" x14ac:dyDescent="0.25">
      <c r="A2506" s="16" t="s">
        <v>3460</v>
      </c>
      <c r="B2506" s="16" t="str">
        <f>TEXT(PARTIDA[[#This Row],[PARTIDA]],"0000000000")</f>
        <v>2934913000</v>
      </c>
      <c r="C2506" s="16" t="s">
        <v>815</v>
      </c>
      <c r="D2506" s="16" t="s">
        <v>835</v>
      </c>
      <c r="E2506" s="16" t="s">
        <v>9465</v>
      </c>
      <c r="F2506" s="27" t="s">
        <v>11492</v>
      </c>
      <c r="G2506" s="27"/>
      <c r="H2506" s="16" t="str">
        <f>IF(ISBLANK(PARTIDAS!$G2506),PARTIDAS!$F2506,CONCATENATE(PARTIDAS!$F2506," (",PARTIDAS!$G2506,")"))</f>
        <v>Fenmetrazina (DCI), fendimetrazina (DCI) y sufentanil (DCI)</v>
      </c>
      <c r="I2506" s="16" t="s">
        <v>9427</v>
      </c>
    </row>
    <row r="2507" spans="1:9" x14ac:dyDescent="0.25">
      <c r="A2507" s="16" t="s">
        <v>3461</v>
      </c>
      <c r="B2507" s="16" t="str">
        <f>TEXT(PARTIDA[[#This Row],[PARTIDA]],"0000000000")</f>
        <v>2934919000</v>
      </c>
      <c r="C2507" s="16" t="s">
        <v>815</v>
      </c>
      <c r="D2507" s="16" t="s">
        <v>835</v>
      </c>
      <c r="E2507" s="16" t="s">
        <v>9465</v>
      </c>
      <c r="F2507" s="27" t="s">
        <v>11493</v>
      </c>
      <c r="G2507" s="27"/>
      <c r="H2507" s="16" t="str">
        <f>IF(ISBLANK(PARTIDAS!$G2507),PARTIDAS!$F2507,CONCATENATE(PARTIDAS!$F2507," (",PARTIDAS!$G2507,")"))</f>
        <v>Aminorex (DCI), brotizolam (DCI), clotiazepam (DCI), cloxazolam… (los demás)</v>
      </c>
      <c r="I2507" s="16" t="s">
        <v>9427</v>
      </c>
    </row>
    <row r="2508" spans="1:9" x14ac:dyDescent="0.25">
      <c r="A2508" s="16" t="s">
        <v>11494</v>
      </c>
      <c r="B2508" s="16" t="str">
        <f>TEXT(PARTIDA[[#This Row],[PARTIDA]],"0000000000")</f>
        <v>2934920000</v>
      </c>
      <c r="C2508" s="16" t="s">
        <v>815</v>
      </c>
      <c r="D2508" s="16" t="s">
        <v>835</v>
      </c>
      <c r="E2508" s="16" t="s">
        <v>9465</v>
      </c>
      <c r="F2508" s="27" t="s">
        <v>11495</v>
      </c>
      <c r="G2508" s="27"/>
      <c r="H2508" s="16" t="str">
        <f>IF(ISBLANK(PARTIDAS!$G2508),PARTIDAS!$F2508,CONCATENATE(PARTIDAS!$F2508," (",PARTIDAS!$G2508,")"))</f>
        <v>Ácidos nucleicos y sus sales, aunque no sean de constitución química… (los demás, fentanilos y sus derivados)</v>
      </c>
      <c r="I2508" s="16" t="s">
        <v>9427</v>
      </c>
    </row>
    <row r="2509" spans="1:9" x14ac:dyDescent="0.25">
      <c r="A2509" s="16" t="s">
        <v>3462</v>
      </c>
      <c r="B2509" s="16" t="str">
        <f>TEXT(PARTIDA[[#This Row],[PARTIDA]],"0000000000")</f>
        <v>2934991000</v>
      </c>
      <c r="C2509" s="16" t="s">
        <v>815</v>
      </c>
      <c r="D2509" s="16" t="s">
        <v>835</v>
      </c>
      <c r="E2509" s="16" t="s">
        <v>9465</v>
      </c>
      <c r="F2509" s="27" t="s">
        <v>11496</v>
      </c>
      <c r="G2509" s="27"/>
      <c r="H2509" s="16" t="str">
        <f>IF(ISBLANK(PARTIDAS!$G2509),PARTIDAS!$F2509,CONCATENATE(PARTIDAS!$F2509," (",PARTIDAS!$G2509,")"))</f>
        <v>Sultonas y sultamas</v>
      </c>
      <c r="I2509" s="16" t="s">
        <v>9427</v>
      </c>
    </row>
    <row r="2510" spans="1:9" x14ac:dyDescent="0.25">
      <c r="A2510" s="16" t="s">
        <v>3463</v>
      </c>
      <c r="B2510" s="16" t="str">
        <f>TEXT(PARTIDA[[#This Row],[PARTIDA]],"0000000000")</f>
        <v>2934992000</v>
      </c>
      <c r="C2510" s="16" t="s">
        <v>815</v>
      </c>
      <c r="D2510" s="16" t="s">
        <v>835</v>
      </c>
      <c r="E2510" s="16" t="s">
        <v>9465</v>
      </c>
      <c r="F2510" s="27" t="s">
        <v>11497</v>
      </c>
      <c r="G2510" s="27"/>
      <c r="H2510" s="16" t="str">
        <f>IF(ISBLANK(PARTIDAS!$G2510),PARTIDAS!$F2510,CONCATENATE(PARTIDAS!$F2510," (",PARTIDAS!$G2510,")"))</f>
        <v>Ácido 6-aminopenicilánico</v>
      </c>
      <c r="I2510" s="16" t="s">
        <v>9427</v>
      </c>
    </row>
    <row r="2511" spans="1:9" x14ac:dyDescent="0.25">
      <c r="A2511" s="16" t="s">
        <v>3464</v>
      </c>
      <c r="B2511" s="16" t="str">
        <f>TEXT(PARTIDA[[#This Row],[PARTIDA]],"0000000000")</f>
        <v>2934993000</v>
      </c>
      <c r="C2511" s="16" t="s">
        <v>815</v>
      </c>
      <c r="D2511" s="16" t="s">
        <v>835</v>
      </c>
      <c r="E2511" s="16" t="s">
        <v>9465</v>
      </c>
      <c r="F2511" s="27" t="s">
        <v>11498</v>
      </c>
      <c r="G2511" s="27"/>
      <c r="H2511" s="16" t="str">
        <f>IF(ISBLANK(PARTIDAS!$G2511),PARTIDAS!$F2511,CONCATENATE(PARTIDAS!$F2511," (",PARTIDAS!$G2511,")"))</f>
        <v>Ácidos nucleicos y sus sales</v>
      </c>
      <c r="I2511" s="16" t="s">
        <v>9427</v>
      </c>
    </row>
    <row r="2512" spans="1:9" x14ac:dyDescent="0.25">
      <c r="A2512" s="16" t="s">
        <v>3465</v>
      </c>
      <c r="B2512" s="16" t="str">
        <f>TEXT(PARTIDA[[#This Row],[PARTIDA]],"0000000000")</f>
        <v>2934994000</v>
      </c>
      <c r="C2512" s="16" t="s">
        <v>815</v>
      </c>
      <c r="D2512" s="16" t="s">
        <v>835</v>
      </c>
      <c r="E2512" s="16" t="s">
        <v>9465</v>
      </c>
      <c r="F2512" s="27" t="s">
        <v>11499</v>
      </c>
      <c r="G2512" s="27"/>
      <c r="H2512" s="16" t="str">
        <f>IF(ISBLANK(PARTIDAS!$G2512),PARTIDAS!$F2512,CONCATENATE(PARTIDAS!$F2512," (",PARTIDAS!$G2512,")"))</f>
        <v>Levamisol (DCI)</v>
      </c>
      <c r="I2512" s="16" t="s">
        <v>9427</v>
      </c>
    </row>
    <row r="2513" spans="1:9" x14ac:dyDescent="0.25">
      <c r="A2513" s="16" t="s">
        <v>3466</v>
      </c>
      <c r="B2513" s="16" t="str">
        <f>TEXT(PARTIDA[[#This Row],[PARTIDA]],"0000000000")</f>
        <v>2934999000</v>
      </c>
      <c r="C2513" s="16" t="s">
        <v>815</v>
      </c>
      <c r="D2513" s="16" t="s">
        <v>835</v>
      </c>
      <c r="E2513" s="16" t="s">
        <v>9465</v>
      </c>
      <c r="F2513" s="27" t="s">
        <v>11500</v>
      </c>
      <c r="G2513" s="27"/>
      <c r="H2513" s="16" t="str">
        <f>IF(ISBLANK(PARTIDAS!$G2513),PARTIDAS!$F2513,CONCATENATE(PARTIDAS!$F2513," (",PARTIDAS!$G2513,")"))</f>
        <v>Ácidos nucleicos y sus sales, aunque no sean de constitución química… (los demás)</v>
      </c>
      <c r="I2513" s="16" t="s">
        <v>9427</v>
      </c>
    </row>
    <row r="2514" spans="1:9" x14ac:dyDescent="0.25">
      <c r="A2514" s="16" t="s">
        <v>3467</v>
      </c>
      <c r="B2514" s="16" t="str">
        <f>TEXT(PARTIDA[[#This Row],[PARTIDA]],"0000000000")</f>
        <v>2935100000</v>
      </c>
      <c r="C2514" s="16" t="s">
        <v>815</v>
      </c>
      <c r="D2514" s="16" t="s">
        <v>835</v>
      </c>
      <c r="E2514" s="16" t="s">
        <v>9465</v>
      </c>
      <c r="F2514" s="27" t="s">
        <v>11501</v>
      </c>
      <c r="G2514" s="27"/>
      <c r="H2514" s="16" t="str">
        <f>IF(ISBLANK(PARTIDAS!$G2514),PARTIDAS!$F2514,CONCATENATE(PARTIDAS!$F2514," (",PARTIDAS!$G2514,")"))</f>
        <v>N-Metilperfluorooctano sulfonamida</v>
      </c>
      <c r="I2514" s="16" t="s">
        <v>9427</v>
      </c>
    </row>
    <row r="2515" spans="1:9" x14ac:dyDescent="0.25">
      <c r="A2515" s="16" t="s">
        <v>3468</v>
      </c>
      <c r="B2515" s="16" t="str">
        <f>TEXT(PARTIDA[[#This Row],[PARTIDA]],"0000000000")</f>
        <v>2935200000</v>
      </c>
      <c r="C2515" s="16" t="s">
        <v>815</v>
      </c>
      <c r="D2515" s="16" t="s">
        <v>835</v>
      </c>
      <c r="E2515" s="16" t="s">
        <v>9465</v>
      </c>
      <c r="F2515" s="27" t="s">
        <v>11502</v>
      </c>
      <c r="G2515" s="27"/>
      <c r="H2515" s="16" t="str">
        <f>IF(ISBLANK(PARTIDAS!$G2515),PARTIDAS!$F2515,CONCATENATE(PARTIDAS!$F2515," (",PARTIDAS!$G2515,")"))</f>
        <v>N-Etilperfluorooctano sulfonamida</v>
      </c>
      <c r="I2515" s="16" t="s">
        <v>9427</v>
      </c>
    </row>
    <row r="2516" spans="1:9" x14ac:dyDescent="0.25">
      <c r="A2516" s="16" t="s">
        <v>3469</v>
      </c>
      <c r="B2516" s="16" t="str">
        <f>TEXT(PARTIDA[[#This Row],[PARTIDA]],"0000000000")</f>
        <v>2935300000</v>
      </c>
      <c r="C2516" s="16" t="s">
        <v>815</v>
      </c>
      <c r="D2516" s="16" t="s">
        <v>835</v>
      </c>
      <c r="E2516" s="16" t="s">
        <v>9465</v>
      </c>
      <c r="F2516" s="27" t="s">
        <v>11503</v>
      </c>
      <c r="G2516" s="27"/>
      <c r="H2516" s="16" t="str">
        <f>IF(ISBLANK(PARTIDAS!$G2516),PARTIDAS!$F2516,CONCATENATE(PARTIDAS!$F2516," (",PARTIDAS!$G2516,")"))</f>
        <v>N-Etil-N-(2-hidroxietil)perfluorooctano sulfonamida</v>
      </c>
      <c r="I2516" s="16" t="s">
        <v>9427</v>
      </c>
    </row>
    <row r="2517" spans="1:9" x14ac:dyDescent="0.25">
      <c r="A2517" s="16" t="s">
        <v>3470</v>
      </c>
      <c r="B2517" s="16" t="str">
        <f>TEXT(PARTIDA[[#This Row],[PARTIDA]],"0000000000")</f>
        <v>2935400000</v>
      </c>
      <c r="C2517" s="16" t="s">
        <v>815</v>
      </c>
      <c r="D2517" s="16" t="s">
        <v>835</v>
      </c>
      <c r="E2517" s="16" t="s">
        <v>9465</v>
      </c>
      <c r="F2517" s="27" t="s">
        <v>11504</v>
      </c>
      <c r="G2517" s="27"/>
      <c r="H2517" s="16" t="str">
        <f>IF(ISBLANK(PARTIDAS!$G2517),PARTIDAS!$F2517,CONCATENATE(PARTIDAS!$F2517," (",PARTIDAS!$G2517,")"))</f>
        <v>N-(2-Hidroxietil)-N-metilperfluorooctano sulfonamida</v>
      </c>
      <c r="I2517" s="16" t="s">
        <v>9427</v>
      </c>
    </row>
    <row r="2518" spans="1:9" x14ac:dyDescent="0.25">
      <c r="A2518" s="16" t="s">
        <v>3471</v>
      </c>
      <c r="B2518" s="16" t="str">
        <f>TEXT(PARTIDA[[#This Row],[PARTIDA]],"0000000000")</f>
        <v>2935500000</v>
      </c>
      <c r="C2518" s="16" t="s">
        <v>815</v>
      </c>
      <c r="D2518" s="16" t="s">
        <v>835</v>
      </c>
      <c r="E2518" s="16" t="s">
        <v>9465</v>
      </c>
      <c r="F2518" s="27" t="s">
        <v>11505</v>
      </c>
      <c r="G2518" s="27"/>
      <c r="H2518" s="16" t="str">
        <f>IF(ISBLANK(PARTIDAS!$G2518),PARTIDAS!$F2518,CONCATENATE(PARTIDAS!$F2518," (",PARTIDAS!$G2518,")"))</f>
        <v>Sulfonamidas (los demás, perfluorooctano sulfonamidas)</v>
      </c>
      <c r="I2518" s="16" t="s">
        <v>9427</v>
      </c>
    </row>
    <row r="2519" spans="1:9" x14ac:dyDescent="0.25">
      <c r="A2519" s="16" t="s">
        <v>3472</v>
      </c>
      <c r="B2519" s="16" t="str">
        <f>TEXT(PARTIDA[[#This Row],[PARTIDA]],"0000000000")</f>
        <v>2935901000</v>
      </c>
      <c r="C2519" s="16" t="s">
        <v>815</v>
      </c>
      <c r="D2519" s="16" t="s">
        <v>835</v>
      </c>
      <c r="E2519" s="16" t="s">
        <v>9465</v>
      </c>
      <c r="F2519" s="27" t="s">
        <v>11506</v>
      </c>
      <c r="G2519" s="27"/>
      <c r="H2519" s="16" t="str">
        <f>IF(ISBLANK(PARTIDAS!$G2519),PARTIDAS!$F2519,CONCATENATE(PARTIDAS!$F2519," (",PARTIDAS!$G2519,")"))</f>
        <v>Sulpirida (DCI)</v>
      </c>
      <c r="I2519" s="16" t="s">
        <v>9427</v>
      </c>
    </row>
    <row r="2520" spans="1:9" x14ac:dyDescent="0.25">
      <c r="A2520" s="16" t="s">
        <v>3473</v>
      </c>
      <c r="B2520" s="16" t="str">
        <f>TEXT(PARTIDA[[#This Row],[PARTIDA]],"0000000000")</f>
        <v>2935909000</v>
      </c>
      <c r="C2520" s="16" t="s">
        <v>815</v>
      </c>
      <c r="D2520" s="16" t="s">
        <v>835</v>
      </c>
      <c r="E2520" s="16" t="s">
        <v>9465</v>
      </c>
      <c r="F2520" s="27" t="s">
        <v>11507</v>
      </c>
      <c r="G2520" s="27"/>
      <c r="H2520" s="16" t="str">
        <f>IF(ISBLANK(PARTIDAS!$G2520),PARTIDAS!$F2520,CONCATENATE(PARTIDAS!$F2520," (",PARTIDAS!$G2520,")"))</f>
        <v>Sulfonamidas (los demás)</v>
      </c>
      <c r="I2520" s="16" t="s">
        <v>9427</v>
      </c>
    </row>
    <row r="2521" spans="1:9" x14ac:dyDescent="0.25">
      <c r="A2521" s="16" t="s">
        <v>3474</v>
      </c>
      <c r="B2521" s="16" t="str">
        <f>TEXT(PARTIDA[[#This Row],[PARTIDA]],"0000000000")</f>
        <v>2936210000</v>
      </c>
      <c r="C2521" s="16" t="s">
        <v>815</v>
      </c>
      <c r="D2521" s="16" t="s">
        <v>835</v>
      </c>
      <c r="E2521" s="16" t="s">
        <v>9465</v>
      </c>
      <c r="F2521" s="27" t="s">
        <v>11508</v>
      </c>
      <c r="G2521" s="27"/>
      <c r="H2521" s="16" t="str">
        <f>IF(ISBLANK(PARTIDAS!$G2521),PARTIDAS!$F2521,CONCATENATE(PARTIDAS!$F2521," (",PARTIDAS!$G2521,")"))</f>
        <v>Vitaminas A y sus derivados</v>
      </c>
      <c r="I2521" s="16" t="s">
        <v>9427</v>
      </c>
    </row>
    <row r="2522" spans="1:9" x14ac:dyDescent="0.25">
      <c r="A2522" s="16" t="s">
        <v>3475</v>
      </c>
      <c r="B2522" s="16" t="str">
        <f>TEXT(PARTIDA[[#This Row],[PARTIDA]],"0000000000")</f>
        <v>2936220000</v>
      </c>
      <c r="C2522" s="16" t="s">
        <v>815</v>
      </c>
      <c r="D2522" s="16" t="s">
        <v>835</v>
      </c>
      <c r="E2522" s="16" t="s">
        <v>9465</v>
      </c>
      <c r="F2522" s="27" t="s">
        <v>11509</v>
      </c>
      <c r="G2522" s="27"/>
      <c r="H2522" s="16" t="str">
        <f>IF(ISBLANK(PARTIDAS!$G2522),PARTIDAS!$F2522,CONCATENATE(PARTIDAS!$F2522," (",PARTIDAS!$G2522,")"))</f>
        <v>Vitamina B1 y sus derivados</v>
      </c>
      <c r="I2522" s="16" t="s">
        <v>9427</v>
      </c>
    </row>
    <row r="2523" spans="1:9" x14ac:dyDescent="0.25">
      <c r="A2523" s="16" t="s">
        <v>3476</v>
      </c>
      <c r="B2523" s="16" t="str">
        <f>TEXT(PARTIDA[[#This Row],[PARTIDA]],"0000000000")</f>
        <v>2936230000</v>
      </c>
      <c r="C2523" s="16" t="s">
        <v>815</v>
      </c>
      <c r="D2523" s="16" t="s">
        <v>835</v>
      </c>
      <c r="E2523" s="16" t="s">
        <v>9465</v>
      </c>
      <c r="F2523" s="27" t="s">
        <v>11510</v>
      </c>
      <c r="G2523" s="27"/>
      <c r="H2523" s="16" t="str">
        <f>IF(ISBLANK(PARTIDAS!$G2523),PARTIDAS!$F2523,CONCATENATE(PARTIDAS!$F2523," (",PARTIDAS!$G2523,")"))</f>
        <v>Vitamina B2 y sus derivados</v>
      </c>
      <c r="I2523" s="16" t="s">
        <v>9427</v>
      </c>
    </row>
    <row r="2524" spans="1:9" x14ac:dyDescent="0.25">
      <c r="A2524" s="16" t="s">
        <v>3477</v>
      </c>
      <c r="B2524" s="16" t="str">
        <f>TEXT(PARTIDA[[#This Row],[PARTIDA]],"0000000000")</f>
        <v>2936240000</v>
      </c>
      <c r="C2524" s="16" t="s">
        <v>815</v>
      </c>
      <c r="D2524" s="16" t="s">
        <v>835</v>
      </c>
      <c r="E2524" s="16" t="s">
        <v>9465</v>
      </c>
      <c r="F2524" s="27" t="s">
        <v>11511</v>
      </c>
      <c r="G2524" s="27"/>
      <c r="H2524" s="16" t="str">
        <f>IF(ISBLANK(PARTIDAS!$G2524),PARTIDAS!$F2524,CONCATENATE(PARTIDAS!$F2524," (",PARTIDAS!$G2524,")"))</f>
        <v>Ácido D- o DL-pantoténico (vitamina B5) y sus derivados</v>
      </c>
      <c r="I2524" s="16" t="s">
        <v>9427</v>
      </c>
    </row>
    <row r="2525" spans="1:9" x14ac:dyDescent="0.25">
      <c r="A2525" s="16" t="s">
        <v>3478</v>
      </c>
      <c r="B2525" s="16" t="str">
        <f>TEXT(PARTIDA[[#This Row],[PARTIDA]],"0000000000")</f>
        <v>2936250000</v>
      </c>
      <c r="C2525" s="16" t="s">
        <v>815</v>
      </c>
      <c r="D2525" s="16" t="s">
        <v>835</v>
      </c>
      <c r="E2525" s="16" t="s">
        <v>9465</v>
      </c>
      <c r="F2525" s="27" t="s">
        <v>11512</v>
      </c>
      <c r="G2525" s="27"/>
      <c r="H2525" s="16" t="str">
        <f>IF(ISBLANK(PARTIDAS!$G2525),PARTIDAS!$F2525,CONCATENATE(PARTIDAS!$F2525," (",PARTIDAS!$G2525,")"))</f>
        <v>Vitamina B6 y sus derivados</v>
      </c>
      <c r="I2525" s="16" t="s">
        <v>9427</v>
      </c>
    </row>
    <row r="2526" spans="1:9" x14ac:dyDescent="0.25">
      <c r="A2526" s="16" t="s">
        <v>3479</v>
      </c>
      <c r="B2526" s="16" t="str">
        <f>TEXT(PARTIDA[[#This Row],[PARTIDA]],"0000000000")</f>
        <v>2936260000</v>
      </c>
      <c r="C2526" s="16" t="s">
        <v>815</v>
      </c>
      <c r="D2526" s="16" t="s">
        <v>835</v>
      </c>
      <c r="E2526" s="16" t="s">
        <v>9465</v>
      </c>
      <c r="F2526" s="27" t="s">
        <v>11513</v>
      </c>
      <c r="G2526" s="27"/>
      <c r="H2526" s="16" t="str">
        <f>IF(ISBLANK(PARTIDAS!$G2526),PARTIDAS!$F2526,CONCATENATE(PARTIDAS!$F2526," (",PARTIDAS!$G2526,")"))</f>
        <v>Vitamina B12 y sus derivados</v>
      </c>
      <c r="I2526" s="16" t="s">
        <v>9427</v>
      </c>
    </row>
    <row r="2527" spans="1:9" x14ac:dyDescent="0.25">
      <c r="A2527" s="16" t="s">
        <v>3480</v>
      </c>
      <c r="B2527" s="16" t="str">
        <f>TEXT(PARTIDA[[#This Row],[PARTIDA]],"0000000000")</f>
        <v>2936270000</v>
      </c>
      <c r="C2527" s="16" t="s">
        <v>815</v>
      </c>
      <c r="D2527" s="16" t="s">
        <v>835</v>
      </c>
      <c r="E2527" s="16" t="s">
        <v>9465</v>
      </c>
      <c r="F2527" s="27" t="s">
        <v>11514</v>
      </c>
      <c r="G2527" s="27"/>
      <c r="H2527" s="16" t="str">
        <f>IF(ISBLANK(PARTIDAS!$G2527),PARTIDAS!$F2527,CONCATENATE(PARTIDAS!$F2527," (",PARTIDAS!$G2527,")"))</f>
        <v>Vitamina C y sus derivados</v>
      </c>
      <c r="I2527" s="16" t="s">
        <v>9427</v>
      </c>
    </row>
    <row r="2528" spans="1:9" x14ac:dyDescent="0.25">
      <c r="A2528" s="16" t="s">
        <v>3481</v>
      </c>
      <c r="B2528" s="16" t="str">
        <f>TEXT(PARTIDA[[#This Row],[PARTIDA]],"0000000000")</f>
        <v>2936280000</v>
      </c>
      <c r="C2528" s="16" t="s">
        <v>815</v>
      </c>
      <c r="D2528" s="16" t="s">
        <v>835</v>
      </c>
      <c r="E2528" s="16" t="s">
        <v>9465</v>
      </c>
      <c r="F2528" s="27" t="s">
        <v>11515</v>
      </c>
      <c r="G2528" s="27"/>
      <c r="H2528" s="16" t="str">
        <f>IF(ISBLANK(PARTIDAS!$G2528),PARTIDAS!$F2528,CONCATENATE(PARTIDAS!$F2528," (",PARTIDAS!$G2528,")"))</f>
        <v>Vitamina E y sus derivados</v>
      </c>
      <c r="I2528" s="16" t="s">
        <v>9427</v>
      </c>
    </row>
    <row r="2529" spans="1:9" x14ac:dyDescent="0.25">
      <c r="A2529" s="16" t="s">
        <v>3482</v>
      </c>
      <c r="B2529" s="16" t="str">
        <f>TEXT(PARTIDA[[#This Row],[PARTIDA]],"0000000000")</f>
        <v>2936291000</v>
      </c>
      <c r="C2529" s="16" t="s">
        <v>815</v>
      </c>
      <c r="D2529" s="16" t="s">
        <v>835</v>
      </c>
      <c r="E2529" s="16" t="s">
        <v>9465</v>
      </c>
      <c r="F2529" s="27" t="s">
        <v>11516</v>
      </c>
      <c r="G2529" s="27"/>
      <c r="H2529" s="16" t="str">
        <f>IF(ISBLANK(PARTIDAS!$G2529),PARTIDAS!$F2529,CONCATENATE(PARTIDAS!$F2529," (",PARTIDAS!$G2529,")"))</f>
        <v>Vitamina B9 y sus derivados</v>
      </c>
      <c r="I2529" s="16" t="s">
        <v>9427</v>
      </c>
    </row>
    <row r="2530" spans="1:9" x14ac:dyDescent="0.25">
      <c r="A2530" s="16" t="s">
        <v>3483</v>
      </c>
      <c r="B2530" s="16" t="str">
        <f>TEXT(PARTIDA[[#This Row],[PARTIDA]],"0000000000")</f>
        <v>2936292000</v>
      </c>
      <c r="C2530" s="16" t="s">
        <v>815</v>
      </c>
      <c r="D2530" s="16" t="s">
        <v>835</v>
      </c>
      <c r="E2530" s="16" t="s">
        <v>9465</v>
      </c>
      <c r="F2530" s="27" t="s">
        <v>11517</v>
      </c>
      <c r="G2530" s="27"/>
      <c r="H2530" s="16" t="str">
        <f>IF(ISBLANK(PARTIDAS!$G2530),PARTIDAS!$F2530,CONCATENATE(PARTIDAS!$F2530," (",PARTIDAS!$G2530,")"))</f>
        <v>Vitamina K y sus derivados</v>
      </c>
      <c r="I2530" s="16" t="s">
        <v>9427</v>
      </c>
    </row>
    <row r="2531" spans="1:9" x14ac:dyDescent="0.25">
      <c r="A2531" s="16" t="s">
        <v>3484</v>
      </c>
      <c r="B2531" s="16" t="str">
        <f>TEXT(PARTIDA[[#This Row],[PARTIDA]],"0000000000")</f>
        <v>2936293000</v>
      </c>
      <c r="C2531" s="16" t="s">
        <v>815</v>
      </c>
      <c r="D2531" s="16" t="s">
        <v>835</v>
      </c>
      <c r="E2531" s="16" t="s">
        <v>9465</v>
      </c>
      <c r="F2531" s="27" t="s">
        <v>11518</v>
      </c>
      <c r="G2531" s="27"/>
      <c r="H2531" s="16" t="str">
        <f>IF(ISBLANK(PARTIDAS!$G2531),PARTIDAS!$F2531,CONCATENATE(PARTIDAS!$F2531," (",PARTIDAS!$G2531,")"))</f>
        <v>Vitamina PP y sus derivados</v>
      </c>
      <c r="I2531" s="16" t="s">
        <v>9427</v>
      </c>
    </row>
    <row r="2532" spans="1:9" x14ac:dyDescent="0.25">
      <c r="A2532" s="16" t="s">
        <v>3485</v>
      </c>
      <c r="B2532" s="16" t="str">
        <f>TEXT(PARTIDA[[#This Row],[PARTIDA]],"0000000000")</f>
        <v>2936299000</v>
      </c>
      <c r="C2532" s="16" t="s">
        <v>815</v>
      </c>
      <c r="D2532" s="16" t="s">
        <v>835</v>
      </c>
      <c r="E2532" s="16" t="s">
        <v>9465</v>
      </c>
      <c r="F2532" s="27" t="s">
        <v>11519</v>
      </c>
      <c r="G2532" s="27"/>
      <c r="H2532" s="16" t="str">
        <f>IF(ISBLANK(PARTIDAS!$G2532),PARTIDAS!$F2532,CONCATENATE(PARTIDAS!$F2532," (",PARTIDAS!$G2532,")"))</f>
        <v>Vitaminas y sus derivados, sin mezclar (los demás, vitaminas y sus derivados)</v>
      </c>
      <c r="I2532" s="16" t="s">
        <v>9427</v>
      </c>
    </row>
    <row r="2533" spans="1:9" x14ac:dyDescent="0.25">
      <c r="A2533" s="16" t="s">
        <v>3486</v>
      </c>
      <c r="B2533" s="16" t="str">
        <f>TEXT(PARTIDA[[#This Row],[PARTIDA]],"0000000000")</f>
        <v>2936900000</v>
      </c>
      <c r="C2533" s="16" t="s">
        <v>815</v>
      </c>
      <c r="D2533" s="16" t="s">
        <v>835</v>
      </c>
      <c r="E2533" s="16" t="s">
        <v>9465</v>
      </c>
      <c r="F2533" s="27" t="s">
        <v>11520</v>
      </c>
      <c r="G2533" s="27"/>
      <c r="H2533" s="16" t="str">
        <f>IF(ISBLANK(PARTIDAS!$G2533),PARTIDAS!$F2533,CONCATENATE(PARTIDAS!$F2533," (",PARTIDAS!$G2533,")"))</f>
        <v>Provitaminas y vitaminas, naturales o reproducidas por síntesis… (los demás, incluidos los concentrados naturales)</v>
      </c>
      <c r="I2533" s="16" t="s">
        <v>9427</v>
      </c>
    </row>
    <row r="2534" spans="1:9" x14ac:dyDescent="0.25">
      <c r="A2534" s="16" t="s">
        <v>3487</v>
      </c>
      <c r="B2534" s="16" t="str">
        <f>TEXT(PARTIDA[[#This Row],[PARTIDA]],"0000000000")</f>
        <v>2937110000</v>
      </c>
      <c r="C2534" s="16" t="s">
        <v>815</v>
      </c>
      <c r="D2534" s="16" t="s">
        <v>835</v>
      </c>
      <c r="E2534" s="16" t="s">
        <v>9465</v>
      </c>
      <c r="F2534" s="27" t="s">
        <v>11521</v>
      </c>
      <c r="G2534" s="27"/>
      <c r="H2534" s="16" t="str">
        <f>IF(ISBLANK(PARTIDAS!$G2534),PARTIDAS!$F2534,CONCATENATE(PARTIDAS!$F2534," (",PARTIDAS!$G2534,")"))</f>
        <v>Somatotropina, sus derivados y análogos estructurales</v>
      </c>
      <c r="I2534" s="16" t="s">
        <v>9427</v>
      </c>
    </row>
    <row r="2535" spans="1:9" x14ac:dyDescent="0.25">
      <c r="A2535" s="16" t="s">
        <v>3488</v>
      </c>
      <c r="B2535" s="16" t="str">
        <f>TEXT(PARTIDA[[#This Row],[PARTIDA]],"0000000000")</f>
        <v>2937120000</v>
      </c>
      <c r="C2535" s="16" t="s">
        <v>815</v>
      </c>
      <c r="D2535" s="16" t="s">
        <v>835</v>
      </c>
      <c r="E2535" s="16" t="s">
        <v>9465</v>
      </c>
      <c r="F2535" s="27" t="s">
        <v>11522</v>
      </c>
      <c r="G2535" s="27"/>
      <c r="H2535" s="16" t="str">
        <f>IF(ISBLANK(PARTIDAS!$G2535),PARTIDAS!$F2535,CONCATENATE(PARTIDAS!$F2535," (",PARTIDAS!$G2535,")"))</f>
        <v>Insulina y sus sales</v>
      </c>
      <c r="I2535" s="16" t="s">
        <v>9427</v>
      </c>
    </row>
    <row r="2536" spans="1:9" x14ac:dyDescent="0.25">
      <c r="A2536" s="16" t="s">
        <v>3489</v>
      </c>
      <c r="B2536" s="16" t="str">
        <f>TEXT(PARTIDA[[#This Row],[PARTIDA]],"0000000000")</f>
        <v>2937191000</v>
      </c>
      <c r="C2536" s="16" t="s">
        <v>815</v>
      </c>
      <c r="D2536" s="16" t="s">
        <v>835</v>
      </c>
      <c r="E2536" s="16" t="s">
        <v>9465</v>
      </c>
      <c r="F2536" s="27" t="s">
        <v>11523</v>
      </c>
      <c r="G2536" s="27"/>
      <c r="H2536" s="16" t="str">
        <f>IF(ISBLANK(PARTIDAS!$G2536),PARTIDAS!$F2536,CONCATENATE(PARTIDAS!$F2536," (",PARTIDAS!$G2536,")"))</f>
        <v>Oxitocina (DCI)</v>
      </c>
      <c r="I2536" s="16" t="s">
        <v>9427</v>
      </c>
    </row>
    <row r="2537" spans="1:9" x14ac:dyDescent="0.25">
      <c r="A2537" s="16" t="s">
        <v>3490</v>
      </c>
      <c r="B2537" s="16" t="str">
        <f>TEXT(PARTIDA[[#This Row],[PARTIDA]],"0000000000")</f>
        <v>2937199000</v>
      </c>
      <c r="C2537" s="16" t="s">
        <v>815</v>
      </c>
      <c r="D2537" s="16" t="s">
        <v>835</v>
      </c>
      <c r="E2537" s="16" t="s">
        <v>9465</v>
      </c>
      <c r="F2537" s="27" t="s">
        <v>11524</v>
      </c>
      <c r="G2537" s="27"/>
      <c r="H2537" s="16" t="str">
        <f>IF(ISBLANK(PARTIDAS!$G2537),PARTIDAS!$F2537,CONCATENATE(PARTIDAS!$F2537," (",PARTIDAS!$G2537,")"))</f>
        <v>Hormonas polipeptídicas, hormonas proteicas y hormonas… (los demás)</v>
      </c>
      <c r="I2537" s="16" t="s">
        <v>9427</v>
      </c>
    </row>
    <row r="2538" spans="1:9" x14ac:dyDescent="0.25">
      <c r="A2538" s="16" t="s">
        <v>3491</v>
      </c>
      <c r="B2538" s="16" t="str">
        <f>TEXT(PARTIDA[[#This Row],[PARTIDA]],"0000000000")</f>
        <v>2937211000</v>
      </c>
      <c r="C2538" s="16" t="s">
        <v>815</v>
      </c>
      <c r="D2538" s="16" t="s">
        <v>835</v>
      </c>
      <c r="E2538" s="16" t="s">
        <v>9465</v>
      </c>
      <c r="F2538" s="27" t="s">
        <v>11525</v>
      </c>
      <c r="G2538" s="27"/>
      <c r="H2538" s="16" t="str">
        <f>IF(ISBLANK(PARTIDAS!$G2538),PARTIDAS!$F2538,CONCATENATE(PARTIDAS!$F2538," (",PARTIDAS!$G2538,")"))</f>
        <v>Cortisona, hidrocortisona, prednisona (dehidrocortisona) y…, hidrocortisona</v>
      </c>
      <c r="I2538" s="16" t="s">
        <v>9427</v>
      </c>
    </row>
    <row r="2539" spans="1:9" x14ac:dyDescent="0.25">
      <c r="A2539" s="16" t="s">
        <v>3492</v>
      </c>
      <c r="B2539" s="16" t="str">
        <f>TEXT(PARTIDA[[#This Row],[PARTIDA]],"0000000000")</f>
        <v>2937212000</v>
      </c>
      <c r="C2539" s="16" t="s">
        <v>815</v>
      </c>
      <c r="D2539" s="16" t="s">
        <v>835</v>
      </c>
      <c r="E2539" s="16" t="s">
        <v>9465</v>
      </c>
      <c r="F2539" s="27" t="s">
        <v>11526</v>
      </c>
      <c r="G2539" s="27"/>
      <c r="H2539" s="16" t="str">
        <f>IF(ISBLANK(PARTIDAS!$G2539),PARTIDAS!$F2539,CONCATENATE(PARTIDAS!$F2539," (",PARTIDAS!$G2539,")"))</f>
        <v>Prednisolona (DCI) (dehidrohidrocortisona)</v>
      </c>
      <c r="I2539" s="16" t="s">
        <v>9427</v>
      </c>
    </row>
    <row r="2540" spans="1:9" x14ac:dyDescent="0.25">
      <c r="A2540" s="16" t="s">
        <v>3493</v>
      </c>
      <c r="B2540" s="16" t="str">
        <f>TEXT(PARTIDA[[#This Row],[PARTIDA]],"0000000000")</f>
        <v>2937219010</v>
      </c>
      <c r="C2540" s="16" t="s">
        <v>815</v>
      </c>
      <c r="D2540" s="16" t="s">
        <v>835</v>
      </c>
      <c r="E2540" s="16" t="s">
        <v>9465</v>
      </c>
      <c r="F2540" s="27" t="s">
        <v>11527</v>
      </c>
      <c r="G2540" s="27"/>
      <c r="H2540" s="16" t="str">
        <f>IF(ISBLANK(PARTIDAS!$G2540),PARTIDAS!$F2540,CONCATENATE(PARTIDAS!$F2540," (",PARTIDAS!$G2540,")"))</f>
        <v>Prednisona (dehidrocortisona)</v>
      </c>
      <c r="I2540" s="16" t="s">
        <v>9427</v>
      </c>
    </row>
    <row r="2541" spans="1:9" x14ac:dyDescent="0.25">
      <c r="A2541" s="16" t="s">
        <v>3494</v>
      </c>
      <c r="B2541" s="16" t="str">
        <f>TEXT(PARTIDA[[#This Row],[PARTIDA]],"0000000000")</f>
        <v>2937219020</v>
      </c>
      <c r="C2541" s="16" t="s">
        <v>815</v>
      </c>
      <c r="D2541" s="16" t="s">
        <v>835</v>
      </c>
      <c r="E2541" s="16" t="s">
        <v>9465</v>
      </c>
      <c r="F2541" s="27" t="s">
        <v>11528</v>
      </c>
      <c r="G2541" s="27"/>
      <c r="H2541" s="16" t="str">
        <f>IF(ISBLANK(PARTIDAS!$G2541),PARTIDAS!$F2541,CONCATENATE(PARTIDAS!$F2541," (",PARTIDAS!$G2541,")"))</f>
        <v>Cortisona, hidrocortisona, prednisona (dehidrocortisona) y…, cortisona</v>
      </c>
      <c r="I2541" s="16" t="s">
        <v>9427</v>
      </c>
    </row>
    <row r="2542" spans="1:9" x14ac:dyDescent="0.25">
      <c r="A2542" s="16" t="s">
        <v>3495</v>
      </c>
      <c r="B2542" s="16" t="str">
        <f>TEXT(PARTIDA[[#This Row],[PARTIDA]],"0000000000")</f>
        <v>2937221000</v>
      </c>
      <c r="C2542" s="16" t="s">
        <v>815</v>
      </c>
      <c r="D2542" s="16" t="s">
        <v>835</v>
      </c>
      <c r="E2542" s="16" t="s">
        <v>9465</v>
      </c>
      <c r="F2542" s="27" t="s">
        <v>11529</v>
      </c>
      <c r="G2542" s="27"/>
      <c r="H2542" s="16" t="str">
        <f>IF(ISBLANK(PARTIDAS!$G2542),PARTIDAS!$F2542,CONCATENATE(PARTIDAS!$F2542," (",PARTIDAS!$G2542,")"))</f>
        <v>Betametasona (DCI)</v>
      </c>
      <c r="I2542" s="16" t="s">
        <v>9427</v>
      </c>
    </row>
    <row r="2543" spans="1:9" x14ac:dyDescent="0.25">
      <c r="A2543" s="16" t="s">
        <v>3496</v>
      </c>
      <c r="B2543" s="16" t="str">
        <f>TEXT(PARTIDA[[#This Row],[PARTIDA]],"0000000000")</f>
        <v>2937222000</v>
      </c>
      <c r="C2543" s="16" t="s">
        <v>815</v>
      </c>
      <c r="D2543" s="16" t="s">
        <v>835</v>
      </c>
      <c r="E2543" s="16" t="s">
        <v>9465</v>
      </c>
      <c r="F2543" s="27" t="s">
        <v>11530</v>
      </c>
      <c r="G2543" s="27"/>
      <c r="H2543" s="16" t="str">
        <f>IF(ISBLANK(PARTIDAS!$G2543),PARTIDAS!$F2543,CONCATENATE(PARTIDAS!$F2543," (",PARTIDAS!$G2543,")"))</f>
        <v>Dexametasona (DCI)</v>
      </c>
      <c r="I2543" s="16" t="s">
        <v>9427</v>
      </c>
    </row>
    <row r="2544" spans="1:9" x14ac:dyDescent="0.25">
      <c r="A2544" s="16" t="s">
        <v>3497</v>
      </c>
      <c r="B2544" s="16" t="str">
        <f>TEXT(PARTIDA[[#This Row],[PARTIDA]],"0000000000")</f>
        <v>2937223000</v>
      </c>
      <c r="C2544" s="16" t="s">
        <v>815</v>
      </c>
      <c r="D2544" s="16" t="s">
        <v>835</v>
      </c>
      <c r="E2544" s="16" t="s">
        <v>9465</v>
      </c>
      <c r="F2544" s="27" t="s">
        <v>11531</v>
      </c>
      <c r="G2544" s="27"/>
      <c r="H2544" s="16" t="str">
        <f>IF(ISBLANK(PARTIDAS!$G2544),PARTIDAS!$F2544,CONCATENATE(PARTIDAS!$F2544," (",PARTIDAS!$G2544,")"))</f>
        <v>Triamcinolona (DCI)</v>
      </c>
      <c r="I2544" s="16" t="s">
        <v>9427</v>
      </c>
    </row>
    <row r="2545" spans="1:9" x14ac:dyDescent="0.25">
      <c r="A2545" s="16" t="s">
        <v>3498</v>
      </c>
      <c r="B2545" s="16" t="str">
        <f>TEXT(PARTIDA[[#This Row],[PARTIDA]],"0000000000")</f>
        <v>2937224000</v>
      </c>
      <c r="C2545" s="16" t="s">
        <v>815</v>
      </c>
      <c r="D2545" s="16" t="s">
        <v>835</v>
      </c>
      <c r="E2545" s="16" t="s">
        <v>9465</v>
      </c>
      <c r="F2545" s="27" t="s">
        <v>11532</v>
      </c>
      <c r="G2545" s="27"/>
      <c r="H2545" s="16" t="str">
        <f>IF(ISBLANK(PARTIDAS!$G2545),PARTIDAS!$F2545,CONCATENATE(PARTIDAS!$F2545," (",PARTIDAS!$G2545,")"))</f>
        <v>Fluocinonida (DCI)</v>
      </c>
      <c r="I2545" s="16" t="s">
        <v>9427</v>
      </c>
    </row>
    <row r="2546" spans="1:9" x14ac:dyDescent="0.25">
      <c r="A2546" s="16" t="s">
        <v>3499</v>
      </c>
      <c r="B2546" s="16" t="str">
        <f>TEXT(PARTIDA[[#This Row],[PARTIDA]],"0000000000")</f>
        <v>2937229010</v>
      </c>
      <c r="C2546" s="16" t="s">
        <v>815</v>
      </c>
      <c r="D2546" s="16" t="s">
        <v>835</v>
      </c>
      <c r="E2546" s="16" t="s">
        <v>9465</v>
      </c>
      <c r="F2546" s="27" t="s">
        <v>11533</v>
      </c>
      <c r="G2546" s="27"/>
      <c r="H2546" s="16" t="str">
        <f>IF(ISBLANK(PARTIDAS!$G2546),PARTIDAS!$F2546,CONCATENATE(PARTIDAS!$F2546," (",PARTIDAS!$G2546,")"))</f>
        <v>Derivados halogenados de las hormonas corticosteroides, de la hidrocortisona</v>
      </c>
      <c r="I2546" s="16" t="s">
        <v>9427</v>
      </c>
    </row>
    <row r="2547" spans="1:9" x14ac:dyDescent="0.25">
      <c r="A2547" s="16" t="s">
        <v>3500</v>
      </c>
      <c r="B2547" s="16" t="str">
        <f>TEXT(PARTIDA[[#This Row],[PARTIDA]],"0000000000")</f>
        <v>2937229090</v>
      </c>
      <c r="C2547" s="16" t="s">
        <v>815</v>
      </c>
      <c r="D2547" s="16" t="s">
        <v>835</v>
      </c>
      <c r="E2547" s="16" t="s">
        <v>9465</v>
      </c>
      <c r="F2547" s="27" t="s">
        <v>11534</v>
      </c>
      <c r="G2547" s="27"/>
      <c r="H2547" s="16" t="str">
        <f>IF(ISBLANK(PARTIDAS!$G2547),PARTIDAS!$F2547,CONCATENATE(PARTIDAS!$F2547," (",PARTIDAS!$G2547,")"))</f>
        <v>Derivados halogenados de las hormonas corticosteroides (los demás)</v>
      </c>
      <c r="I2547" s="16" t="s">
        <v>9427</v>
      </c>
    </row>
    <row r="2548" spans="1:9" x14ac:dyDescent="0.25">
      <c r="A2548" s="16" t="s">
        <v>3501</v>
      </c>
      <c r="B2548" s="16" t="str">
        <f>TEXT(PARTIDA[[#This Row],[PARTIDA]],"0000000000")</f>
        <v>2937231000</v>
      </c>
      <c r="C2548" s="16" t="s">
        <v>815</v>
      </c>
      <c r="D2548" s="16" t="s">
        <v>835</v>
      </c>
      <c r="E2548" s="16" t="s">
        <v>9465</v>
      </c>
      <c r="F2548" s="27" t="s">
        <v>11535</v>
      </c>
      <c r="G2548" s="27"/>
      <c r="H2548" s="16" t="str">
        <f>IF(ISBLANK(PARTIDAS!$G2548),PARTIDAS!$F2548,CONCATENATE(PARTIDAS!$F2548," (",PARTIDAS!$G2548,")"))</f>
        <v>Progesterona (DCI) y sus derivados</v>
      </c>
      <c r="I2548" s="16" t="s">
        <v>9427</v>
      </c>
    </row>
    <row r="2549" spans="1:9" x14ac:dyDescent="0.25">
      <c r="A2549" s="16" t="s">
        <v>3502</v>
      </c>
      <c r="B2549" s="16" t="str">
        <f>TEXT(PARTIDA[[#This Row],[PARTIDA]],"0000000000")</f>
        <v>2937232000</v>
      </c>
      <c r="C2549" s="16" t="s">
        <v>815</v>
      </c>
      <c r="D2549" s="16" t="s">
        <v>835</v>
      </c>
      <c r="E2549" s="16" t="s">
        <v>9465</v>
      </c>
      <c r="F2549" s="27" t="s">
        <v>11536</v>
      </c>
      <c r="G2549" s="27"/>
      <c r="H2549" s="16" t="str">
        <f>IF(ISBLANK(PARTIDAS!$G2549),PARTIDAS!$F2549,CONCATENATE(PARTIDAS!$F2549," (",PARTIDAS!$G2549,")"))</f>
        <v>Estriol (hidrato de foliculina)</v>
      </c>
      <c r="I2549" s="16" t="s">
        <v>9427</v>
      </c>
    </row>
    <row r="2550" spans="1:9" x14ac:dyDescent="0.25">
      <c r="A2550" s="16" t="s">
        <v>3503</v>
      </c>
      <c r="B2550" s="16" t="str">
        <f>TEXT(PARTIDA[[#This Row],[PARTIDA]],"0000000000")</f>
        <v>2937239000</v>
      </c>
      <c r="C2550" s="16" t="s">
        <v>815</v>
      </c>
      <c r="D2550" s="16" t="s">
        <v>835</v>
      </c>
      <c r="E2550" s="16" t="s">
        <v>9465</v>
      </c>
      <c r="F2550" s="27" t="s">
        <v>11537</v>
      </c>
      <c r="G2550" s="27"/>
      <c r="H2550" s="16" t="str">
        <f>IF(ISBLANK(PARTIDAS!$G2550),PARTIDAS!$F2550,CONCATENATE(PARTIDAS!$F2550," (",PARTIDAS!$G2550,")"))</f>
        <v>Estrógenos y progestógenos (los demás)</v>
      </c>
      <c r="I2550" s="16" t="s">
        <v>9427</v>
      </c>
    </row>
    <row r="2551" spans="1:9" x14ac:dyDescent="0.25">
      <c r="A2551" s="16" t="s">
        <v>3504</v>
      </c>
      <c r="B2551" s="16" t="str">
        <f>TEXT(PARTIDA[[#This Row],[PARTIDA]],"0000000000")</f>
        <v>2937291000</v>
      </c>
      <c r="C2551" s="16" t="s">
        <v>815</v>
      </c>
      <c r="D2551" s="16" t="s">
        <v>835</v>
      </c>
      <c r="E2551" s="16" t="s">
        <v>9465</v>
      </c>
      <c r="F2551" s="27" t="s">
        <v>11538</v>
      </c>
      <c r="G2551" s="27"/>
      <c r="H2551" s="16" t="str">
        <f>IF(ISBLANK(PARTIDAS!$G2551),PARTIDAS!$F2551,CONCATENATE(PARTIDAS!$F2551," (",PARTIDAS!$G2551,")"))</f>
        <v>Ciproterona (DCI)</v>
      </c>
      <c r="I2551" s="16" t="s">
        <v>9427</v>
      </c>
    </row>
    <row r="2552" spans="1:9" x14ac:dyDescent="0.25">
      <c r="A2552" s="16" t="s">
        <v>3505</v>
      </c>
      <c r="B2552" s="16" t="str">
        <f>TEXT(PARTIDA[[#This Row],[PARTIDA]],"0000000000")</f>
        <v>2937292000</v>
      </c>
      <c r="C2552" s="16" t="s">
        <v>815</v>
      </c>
      <c r="D2552" s="16" t="s">
        <v>835</v>
      </c>
      <c r="E2552" s="16" t="s">
        <v>9465</v>
      </c>
      <c r="F2552" s="27" t="s">
        <v>11539</v>
      </c>
      <c r="G2552" s="27"/>
      <c r="H2552" s="16" t="str">
        <f>IF(ISBLANK(PARTIDAS!$G2552),PARTIDAS!$F2552,CONCATENATE(PARTIDAS!$F2552," (",PARTIDAS!$G2552,")"))</f>
        <v>Finasteride (DCI)</v>
      </c>
      <c r="I2552" s="16" t="s">
        <v>9427</v>
      </c>
    </row>
    <row r="2553" spans="1:9" x14ac:dyDescent="0.25">
      <c r="A2553" s="16" t="s">
        <v>3506</v>
      </c>
      <c r="B2553" s="16" t="str">
        <f>TEXT(PARTIDA[[#This Row],[PARTIDA]],"0000000000")</f>
        <v>2937299010</v>
      </c>
      <c r="C2553" s="16" t="s">
        <v>815</v>
      </c>
      <c r="D2553" s="16" t="s">
        <v>835</v>
      </c>
      <c r="E2553" s="16" t="s">
        <v>9465</v>
      </c>
      <c r="F2553" s="27" t="s">
        <v>11540</v>
      </c>
      <c r="G2553" s="27"/>
      <c r="H2553" s="16" t="str">
        <f>IF(ISBLANK(PARTIDAS!$G2553),PARTIDAS!$F2553,CONCATENATE(PARTIDAS!$F2553," (",PARTIDAS!$G2553,")"))</f>
        <v>Corticosterona y sus ésteres</v>
      </c>
      <c r="I2553" s="16" t="s">
        <v>9427</v>
      </c>
    </row>
    <row r="2554" spans="1:9" x14ac:dyDescent="0.25">
      <c r="A2554" s="16" t="s">
        <v>3507</v>
      </c>
      <c r="B2554" s="16" t="str">
        <f>TEXT(PARTIDA[[#This Row],[PARTIDA]],"0000000000")</f>
        <v>2937299020</v>
      </c>
      <c r="C2554" s="16" t="s">
        <v>815</v>
      </c>
      <c r="D2554" s="16" t="s">
        <v>835</v>
      </c>
      <c r="E2554" s="16" t="s">
        <v>9465</v>
      </c>
      <c r="F2554" s="27" t="s">
        <v>11541</v>
      </c>
      <c r="G2554" s="27"/>
      <c r="H2554" s="16" t="str">
        <f>IF(ISBLANK(PARTIDAS!$G2554),PARTIDAS!$F2554,CONCATENATE(PARTIDAS!$F2554," (",PARTIDAS!$G2554,")"))</f>
        <v>Pregnenolona (DCI) y epoxipregnenolona</v>
      </c>
      <c r="I2554" s="16" t="s">
        <v>9427</v>
      </c>
    </row>
    <row r="2555" spans="1:9" x14ac:dyDescent="0.25">
      <c r="A2555" s="16" t="s">
        <v>3508</v>
      </c>
      <c r="B2555" s="16" t="str">
        <f>TEXT(PARTIDA[[#This Row],[PARTIDA]],"0000000000")</f>
        <v>2937299030</v>
      </c>
      <c r="C2555" s="16" t="s">
        <v>815</v>
      </c>
      <c r="D2555" s="16" t="s">
        <v>835</v>
      </c>
      <c r="E2555" s="16" t="s">
        <v>9465</v>
      </c>
      <c r="F2555" s="27" t="s">
        <v>11542</v>
      </c>
      <c r="G2555" s="27"/>
      <c r="H2555" s="16" t="str">
        <f>IF(ISBLANK(PARTIDAS!$G2555),PARTIDAS!$F2555,CONCATENATE(PARTIDAS!$F2555," (",PARTIDAS!$G2555,")"))</f>
        <v>Ésteres y sales de la hidrocortisona</v>
      </c>
      <c r="I2555" s="16" t="s">
        <v>9427</v>
      </c>
    </row>
    <row r="2556" spans="1:9" x14ac:dyDescent="0.25">
      <c r="A2556" s="16" t="s">
        <v>3509</v>
      </c>
      <c r="B2556" s="16" t="str">
        <f>TEXT(PARTIDA[[#This Row],[PARTIDA]],"0000000000")</f>
        <v>2937299040</v>
      </c>
      <c r="C2556" s="16" t="s">
        <v>815</v>
      </c>
      <c r="D2556" s="16" t="s">
        <v>835</v>
      </c>
      <c r="E2556" s="16" t="s">
        <v>9465</v>
      </c>
      <c r="F2556" s="27" t="s">
        <v>11543</v>
      </c>
      <c r="G2556" s="27"/>
      <c r="H2556" s="16" t="str">
        <f>IF(ISBLANK(PARTIDAS!$G2556),PARTIDAS!$F2556,CONCATENATE(PARTIDAS!$F2556," (",PARTIDAS!$G2556,")"))</f>
        <v>Acetato de desoxicorticosterona (DCIM); acetato de cloroprednisona (DCIM)</v>
      </c>
      <c r="I2556" s="16" t="s">
        <v>9427</v>
      </c>
    </row>
    <row r="2557" spans="1:9" x14ac:dyDescent="0.25">
      <c r="A2557" s="16" t="s">
        <v>3510</v>
      </c>
      <c r="B2557" s="16" t="str">
        <f>TEXT(PARTIDA[[#This Row],[PARTIDA]],"0000000000")</f>
        <v>2937299090</v>
      </c>
      <c r="C2557" s="16" t="s">
        <v>815</v>
      </c>
      <c r="D2557" s="16" t="s">
        <v>835</v>
      </c>
      <c r="E2557" s="16" t="s">
        <v>9465</v>
      </c>
      <c r="F2557" s="27" t="s">
        <v>11544</v>
      </c>
      <c r="G2557" s="27"/>
      <c r="H2557" s="16" t="str">
        <f>IF(ISBLANK(PARTIDAS!$G2557),PARTIDAS!$F2557,CONCATENATE(PARTIDAS!$F2557," (",PARTIDAS!$G2557,")"))</f>
        <v>Hormonas esteroideas, sus derivados y análogos estructurales (los demás)</v>
      </c>
      <c r="I2557" s="16" t="s">
        <v>9427</v>
      </c>
    </row>
    <row r="2558" spans="1:9" x14ac:dyDescent="0.25">
      <c r="A2558" s="16" t="s">
        <v>3511</v>
      </c>
      <c r="B2558" s="16" t="str">
        <f>TEXT(PARTIDA[[#This Row],[PARTIDA]],"0000000000")</f>
        <v>2937500000</v>
      </c>
      <c r="C2558" s="16" t="s">
        <v>815</v>
      </c>
      <c r="D2558" s="16" t="s">
        <v>835</v>
      </c>
      <c r="E2558" s="16" t="s">
        <v>9465</v>
      </c>
      <c r="F2558" s="27" t="s">
        <v>11545</v>
      </c>
      <c r="G2558" s="27"/>
      <c r="H2558" s="16" t="str">
        <f>IF(ISBLANK(PARTIDAS!$G2558),PARTIDAS!$F2558,CONCATENATE(PARTIDAS!$F2558," (",PARTIDAS!$G2558,")"))</f>
        <v>Prostaglandinas, tromboxanos y leucotrienos, sus derivados y análogos estructurales</v>
      </c>
      <c r="I2558" s="16" t="s">
        <v>9427</v>
      </c>
    </row>
    <row r="2559" spans="1:9" x14ac:dyDescent="0.25">
      <c r="A2559" s="16" t="s">
        <v>3512</v>
      </c>
      <c r="B2559" s="16" t="str">
        <f>TEXT(PARTIDA[[#This Row],[PARTIDA]],"0000000000")</f>
        <v>2937900000</v>
      </c>
      <c r="C2559" s="16" t="s">
        <v>815</v>
      </c>
      <c r="D2559" s="16" t="s">
        <v>835</v>
      </c>
      <c r="E2559" s="16" t="s">
        <v>9465</v>
      </c>
      <c r="F2559" s="27" t="s">
        <v>11546</v>
      </c>
      <c r="G2559" s="27"/>
      <c r="H2559" s="16" t="str">
        <f>IF(ISBLANK(PARTIDAS!$G2559),PARTIDAS!$F2559,CONCATENATE(PARTIDAS!$F2559," (",PARTIDAS!$G2559,")"))</f>
        <v>Hormonas, prostaglandinas, tromboxanos y leucotrienos, naturales o… (los demás)</v>
      </c>
      <c r="I2559" s="16" t="s">
        <v>9427</v>
      </c>
    </row>
    <row r="2560" spans="1:9" x14ac:dyDescent="0.25">
      <c r="A2560" s="16" t="s">
        <v>3513</v>
      </c>
      <c r="B2560" s="16" t="str">
        <f>TEXT(PARTIDA[[#This Row],[PARTIDA]],"0000000000")</f>
        <v>2938100000</v>
      </c>
      <c r="C2560" s="16" t="s">
        <v>815</v>
      </c>
      <c r="D2560" s="16" t="s">
        <v>835</v>
      </c>
      <c r="E2560" s="16" t="s">
        <v>9465</v>
      </c>
      <c r="F2560" s="27" t="s">
        <v>11547</v>
      </c>
      <c r="G2560" s="27"/>
      <c r="H2560" s="16" t="str">
        <f>IF(ISBLANK(PARTIDAS!$G2560),PARTIDAS!$F2560,CONCATENATE(PARTIDAS!$F2560," (",PARTIDAS!$G2560,")"))</f>
        <v>Rutósido (rutina) y sus derivados</v>
      </c>
      <c r="I2560" s="16" t="s">
        <v>9427</v>
      </c>
    </row>
    <row r="2561" spans="1:9" x14ac:dyDescent="0.25">
      <c r="A2561" s="16" t="s">
        <v>3514</v>
      </c>
      <c r="B2561" s="16" t="str">
        <f>TEXT(PARTIDA[[#This Row],[PARTIDA]],"0000000000")</f>
        <v>2938902000</v>
      </c>
      <c r="C2561" s="16" t="s">
        <v>815</v>
      </c>
      <c r="D2561" s="16" t="s">
        <v>835</v>
      </c>
      <c r="E2561" s="16" t="s">
        <v>9465</v>
      </c>
      <c r="F2561" s="27" t="s">
        <v>11548</v>
      </c>
      <c r="G2561" s="27"/>
      <c r="H2561" s="16" t="str">
        <f>IF(ISBLANK(PARTIDAS!$G2561),PARTIDAS!$F2561,CONCATENATE(PARTIDAS!$F2561," (",PARTIDAS!$G2561,")"))</f>
        <v>Heterósidos, naturales o reproducidos por síntesis, sus sales…, saponinas</v>
      </c>
      <c r="I2561" s="16" t="s">
        <v>9427</v>
      </c>
    </row>
    <row r="2562" spans="1:9" x14ac:dyDescent="0.25">
      <c r="A2562" s="16" t="s">
        <v>3515</v>
      </c>
      <c r="B2562" s="16" t="str">
        <f>TEXT(PARTIDA[[#This Row],[PARTIDA]],"0000000000")</f>
        <v>2938909000</v>
      </c>
      <c r="C2562" s="16" t="s">
        <v>815</v>
      </c>
      <c r="D2562" s="16" t="s">
        <v>835</v>
      </c>
      <c r="E2562" s="16" t="s">
        <v>9465</v>
      </c>
      <c r="F2562" s="27" t="s">
        <v>11549</v>
      </c>
      <c r="G2562" s="27"/>
      <c r="H2562" s="16" t="str">
        <f>IF(ISBLANK(PARTIDAS!$G2562),PARTIDAS!$F2562,CONCATENATE(PARTIDAS!$F2562," (",PARTIDAS!$G2562,")"))</f>
        <v>Heterósidos, naturales o reproducidos por síntesis, sus sales… (los demás)</v>
      </c>
      <c r="I2562" s="16" t="s">
        <v>9427</v>
      </c>
    </row>
    <row r="2563" spans="1:9" x14ac:dyDescent="0.25">
      <c r="A2563" s="16" t="s">
        <v>3516</v>
      </c>
      <c r="B2563" s="16" t="str">
        <f>TEXT(PARTIDA[[#This Row],[PARTIDA]],"0000000000")</f>
        <v>2939111000</v>
      </c>
      <c r="C2563" s="16" t="s">
        <v>815</v>
      </c>
      <c r="D2563" s="16" t="s">
        <v>835</v>
      </c>
      <c r="E2563" s="16" t="s">
        <v>9465</v>
      </c>
      <c r="F2563" s="27" t="s">
        <v>11550</v>
      </c>
      <c r="G2563" s="27"/>
      <c r="H2563" s="16" t="str">
        <f>IF(ISBLANK(PARTIDAS!$G2563),PARTIDAS!$F2563,CONCATENATE(PARTIDAS!$F2563," (",PARTIDAS!$G2563,")"))</f>
        <v>Concentrado de paja de adormidera y sus sales</v>
      </c>
      <c r="I2563" s="16" t="s">
        <v>9427</v>
      </c>
    </row>
    <row r="2564" spans="1:9" x14ac:dyDescent="0.25">
      <c r="A2564" s="16" t="s">
        <v>3517</v>
      </c>
      <c r="B2564" s="16" t="str">
        <f>TEXT(PARTIDA[[#This Row],[PARTIDA]],"0000000000")</f>
        <v>2939112000</v>
      </c>
      <c r="C2564" s="16" t="s">
        <v>815</v>
      </c>
      <c r="D2564" s="16" t="s">
        <v>835</v>
      </c>
      <c r="E2564" s="16" t="s">
        <v>9465</v>
      </c>
      <c r="F2564" s="27" t="s">
        <v>11551</v>
      </c>
      <c r="G2564" s="27"/>
      <c r="H2564" s="16" t="str">
        <f>IF(ISBLANK(PARTIDAS!$G2564),PARTIDAS!$F2564,CONCATENATE(PARTIDAS!$F2564," (",PARTIDAS!$G2564,")"))</f>
        <v>Codeína y sus sales</v>
      </c>
      <c r="I2564" s="16" t="s">
        <v>9427</v>
      </c>
    </row>
    <row r="2565" spans="1:9" x14ac:dyDescent="0.25">
      <c r="A2565" s="16" t="s">
        <v>3518</v>
      </c>
      <c r="B2565" s="16" t="str">
        <f>TEXT(PARTIDA[[#This Row],[PARTIDA]],"0000000000")</f>
        <v>2939113000</v>
      </c>
      <c r="C2565" s="16" t="s">
        <v>815</v>
      </c>
      <c r="D2565" s="16" t="s">
        <v>835</v>
      </c>
      <c r="E2565" s="16" t="s">
        <v>9465</v>
      </c>
      <c r="F2565" s="27" t="s">
        <v>11552</v>
      </c>
      <c r="G2565" s="27"/>
      <c r="H2565" s="16" t="str">
        <f>IF(ISBLANK(PARTIDAS!$G2565),PARTIDAS!$F2565,CONCATENATE(PARTIDAS!$F2565," (",PARTIDAS!$G2565,")"))</f>
        <v>Dihidrocodeína (DCI) y sus sales</v>
      </c>
      <c r="I2565" s="16" t="s">
        <v>9427</v>
      </c>
    </row>
    <row r="2566" spans="1:9" x14ac:dyDescent="0.25">
      <c r="A2566" s="16" t="s">
        <v>3519</v>
      </c>
      <c r="B2566" s="16" t="str">
        <f>TEXT(PARTIDA[[#This Row],[PARTIDA]],"0000000000")</f>
        <v>2939114000</v>
      </c>
      <c r="C2566" s="16" t="s">
        <v>815</v>
      </c>
      <c r="D2566" s="16" t="s">
        <v>835</v>
      </c>
      <c r="E2566" s="16" t="s">
        <v>9465</v>
      </c>
      <c r="F2566" s="27" t="s">
        <v>11553</v>
      </c>
      <c r="G2566" s="27"/>
      <c r="H2566" s="16" t="str">
        <f>IF(ISBLANK(PARTIDAS!$G2566),PARTIDAS!$F2566,CONCATENATE(PARTIDAS!$F2566," (",PARTIDAS!$G2566,")"))</f>
        <v>Heroína y sus sales</v>
      </c>
      <c r="I2566" s="16" t="s">
        <v>9427</v>
      </c>
    </row>
    <row r="2567" spans="1:9" x14ac:dyDescent="0.25">
      <c r="A2567" s="16" t="s">
        <v>3520</v>
      </c>
      <c r="B2567" s="16" t="str">
        <f>TEXT(PARTIDA[[#This Row],[PARTIDA]],"0000000000")</f>
        <v>2939115000</v>
      </c>
      <c r="C2567" s="16" t="s">
        <v>815</v>
      </c>
      <c r="D2567" s="16" t="s">
        <v>835</v>
      </c>
      <c r="E2567" s="16" t="s">
        <v>9465</v>
      </c>
      <c r="F2567" s="27" t="s">
        <v>11554</v>
      </c>
      <c r="G2567" s="27"/>
      <c r="H2567" s="16" t="str">
        <f>IF(ISBLANK(PARTIDAS!$G2567),PARTIDAS!$F2567,CONCATENATE(PARTIDAS!$F2567," (",PARTIDAS!$G2567,")"))</f>
        <v>Morfina y sus sales</v>
      </c>
      <c r="I2567" s="16" t="s">
        <v>9427</v>
      </c>
    </row>
    <row r="2568" spans="1:9" x14ac:dyDescent="0.25">
      <c r="A2568" s="16" t="s">
        <v>3521</v>
      </c>
      <c r="B2568" s="16" t="str">
        <f>TEXT(PARTIDA[[#This Row],[PARTIDA]],"0000000000")</f>
        <v>2939116000</v>
      </c>
      <c r="C2568" s="16" t="s">
        <v>815</v>
      </c>
      <c r="D2568" s="16" t="s">
        <v>835</v>
      </c>
      <c r="E2568" s="16" t="s">
        <v>9465</v>
      </c>
      <c r="F2568" s="27" t="s">
        <v>11555</v>
      </c>
      <c r="G2568" s="27"/>
      <c r="H2568" s="16" t="str">
        <f>IF(ISBLANK(PARTIDAS!$G2568),PARTIDAS!$F2568,CONCATENATE(PARTIDAS!$F2568," (",PARTIDAS!$G2568,")"))</f>
        <v>Buprenorfina (DCI), etilmorfina, etorfina (DCI), hidrocodona (DCI), hidromorfona (DCI); sales de estos productos</v>
      </c>
      <c r="I2568" s="16" t="s">
        <v>9427</v>
      </c>
    </row>
    <row r="2569" spans="1:9" x14ac:dyDescent="0.25">
      <c r="A2569" s="16" t="s">
        <v>3522</v>
      </c>
      <c r="B2569" s="16" t="str">
        <f>TEXT(PARTIDA[[#This Row],[PARTIDA]],"0000000000")</f>
        <v>2939117000</v>
      </c>
      <c r="C2569" s="16" t="s">
        <v>815</v>
      </c>
      <c r="D2569" s="16" t="s">
        <v>835</v>
      </c>
      <c r="E2569" s="16" t="s">
        <v>9465</v>
      </c>
      <c r="F2569" s="27" t="s">
        <v>11556</v>
      </c>
      <c r="G2569" s="27"/>
      <c r="H2569" s="16" t="str">
        <f>IF(ISBLANK(PARTIDAS!$G2569),PARTIDAS!$F2569,CONCATENATE(PARTIDAS!$F2569," (",PARTIDAS!$G2569,")"))</f>
        <v>Folcodina (DCI), nicomorfina (DCI), oxicodona (DCI), oximorfona (DCI), tebacona (DCI) y tebaína; sales de estos productos</v>
      </c>
      <c r="I2569" s="16" t="s">
        <v>9427</v>
      </c>
    </row>
    <row r="2570" spans="1:9" x14ac:dyDescent="0.25">
      <c r="A2570" s="16" t="s">
        <v>3523</v>
      </c>
      <c r="B2570" s="16" t="str">
        <f>TEXT(PARTIDA[[#This Row],[PARTIDA]],"0000000000")</f>
        <v>2939191000</v>
      </c>
      <c r="C2570" s="16" t="s">
        <v>815</v>
      </c>
      <c r="D2570" s="16" t="s">
        <v>835</v>
      </c>
      <c r="E2570" s="16" t="s">
        <v>9465</v>
      </c>
      <c r="F2570" s="27" t="s">
        <v>11557</v>
      </c>
      <c r="G2570" s="27"/>
      <c r="H2570" s="16" t="str">
        <f>IF(ISBLANK(PARTIDAS!$G2570),PARTIDAS!$F2570,CONCATENATE(PARTIDAS!$F2570," (",PARTIDAS!$G2570,")"))</f>
        <v>Papaverina, sus sales y derivados</v>
      </c>
      <c r="I2570" s="16" t="s">
        <v>9427</v>
      </c>
    </row>
    <row r="2571" spans="1:9" x14ac:dyDescent="0.25">
      <c r="A2571" s="16" t="s">
        <v>3524</v>
      </c>
      <c r="B2571" s="16" t="str">
        <f>TEXT(PARTIDA[[#This Row],[PARTIDA]],"0000000000")</f>
        <v>2939199000</v>
      </c>
      <c r="C2571" s="16" t="s">
        <v>815</v>
      </c>
      <c r="D2571" s="16" t="s">
        <v>835</v>
      </c>
      <c r="E2571" s="16" t="s">
        <v>9465</v>
      </c>
      <c r="F2571" s="27" t="s">
        <v>11558</v>
      </c>
      <c r="G2571" s="27"/>
      <c r="H2571" s="16" t="str">
        <f>IF(ISBLANK(PARTIDAS!$G2571),PARTIDAS!$F2571,CONCATENATE(PARTIDAS!$F2571," (",PARTIDAS!$G2571,")"))</f>
        <v>Alcaloides del opio y sus derivados (los demás)</v>
      </c>
      <c r="I2571" s="16" t="s">
        <v>9427</v>
      </c>
    </row>
    <row r="2572" spans="1:9" x14ac:dyDescent="0.25">
      <c r="A2572" s="16" t="s">
        <v>3525</v>
      </c>
      <c r="B2572" s="16" t="str">
        <f>TEXT(PARTIDA[[#This Row],[PARTIDA]],"0000000000")</f>
        <v>2939200000</v>
      </c>
      <c r="C2572" s="16" t="s">
        <v>815</v>
      </c>
      <c r="D2572" s="16" t="s">
        <v>835</v>
      </c>
      <c r="E2572" s="16" t="s">
        <v>9465</v>
      </c>
      <c r="F2572" s="27" t="s">
        <v>11559</v>
      </c>
      <c r="G2572" s="27"/>
      <c r="H2572" s="16" t="str">
        <f>IF(ISBLANK(PARTIDAS!$G2572),PARTIDAS!$F2572,CONCATENATE(PARTIDAS!$F2572," (",PARTIDAS!$G2572,")"))</f>
        <v>Alcaloides de la quina (chinchona) y sus derivados; sales de estos productos</v>
      </c>
      <c r="I2572" s="16" t="s">
        <v>9427</v>
      </c>
    </row>
    <row r="2573" spans="1:9" x14ac:dyDescent="0.25">
      <c r="A2573" s="16" t="s">
        <v>3526</v>
      </c>
      <c r="B2573" s="16" t="str">
        <f>TEXT(PARTIDA[[#This Row],[PARTIDA]],"0000000000")</f>
        <v>2939300000</v>
      </c>
      <c r="C2573" s="16" t="s">
        <v>815</v>
      </c>
      <c r="D2573" s="16" t="s">
        <v>835</v>
      </c>
      <c r="E2573" s="16" t="s">
        <v>9465</v>
      </c>
      <c r="F2573" s="27" t="s">
        <v>11560</v>
      </c>
      <c r="G2573" s="27"/>
      <c r="H2573" s="16" t="str">
        <f>IF(ISBLANK(PARTIDAS!$G2573),PARTIDAS!$F2573,CONCATENATE(PARTIDAS!$F2573," (",PARTIDAS!$G2573,")"))</f>
        <v>Cafeína y sus sales</v>
      </c>
      <c r="I2573" s="16" t="s">
        <v>9427</v>
      </c>
    </row>
    <row r="2574" spans="1:9" x14ac:dyDescent="0.25">
      <c r="A2574" s="16" t="s">
        <v>3527</v>
      </c>
      <c r="B2574" s="16" t="str">
        <f>TEXT(PARTIDA[[#This Row],[PARTIDA]],"0000000000")</f>
        <v>2939410000</v>
      </c>
      <c r="C2574" s="16" t="s">
        <v>815</v>
      </c>
      <c r="D2574" s="16" t="s">
        <v>835</v>
      </c>
      <c r="E2574" s="16" t="s">
        <v>9465</v>
      </c>
      <c r="F2574" s="27" t="s">
        <v>11561</v>
      </c>
      <c r="G2574" s="27"/>
      <c r="H2574" s="16" t="str">
        <f>IF(ISBLANK(PARTIDAS!$G2574),PARTIDAS!$F2574,CONCATENATE(PARTIDAS!$F2574," (",PARTIDAS!$G2574,")"))</f>
        <v>Efedrina y sus sales</v>
      </c>
      <c r="I2574" s="16" t="s">
        <v>9427</v>
      </c>
    </row>
    <row r="2575" spans="1:9" x14ac:dyDescent="0.25">
      <c r="A2575" s="16" t="s">
        <v>3528</v>
      </c>
      <c r="B2575" s="16" t="str">
        <f>TEXT(PARTIDA[[#This Row],[PARTIDA]],"0000000000")</f>
        <v>2939420000</v>
      </c>
      <c r="C2575" s="16" t="s">
        <v>815</v>
      </c>
      <c r="D2575" s="16" t="s">
        <v>835</v>
      </c>
      <c r="E2575" s="16" t="s">
        <v>9465</v>
      </c>
      <c r="F2575" s="27" t="s">
        <v>11562</v>
      </c>
      <c r="G2575" s="27"/>
      <c r="H2575" s="16" t="str">
        <f>IF(ISBLANK(PARTIDAS!$G2575),PARTIDAS!$F2575,CONCATENATE(PARTIDAS!$F2575," (",PARTIDAS!$G2575,")"))</f>
        <v>Seudoefedrina (DCI) y sus sales</v>
      </c>
      <c r="I2575" s="16" t="s">
        <v>9427</v>
      </c>
    </row>
    <row r="2576" spans="1:9" x14ac:dyDescent="0.25">
      <c r="A2576" s="16" t="s">
        <v>3529</v>
      </c>
      <c r="B2576" s="16" t="str">
        <f>TEXT(PARTIDA[[#This Row],[PARTIDA]],"0000000000")</f>
        <v>2939430000</v>
      </c>
      <c r="C2576" s="16" t="s">
        <v>815</v>
      </c>
      <c r="D2576" s="16" t="s">
        <v>835</v>
      </c>
      <c r="E2576" s="16" t="s">
        <v>9465</v>
      </c>
      <c r="F2576" s="27" t="s">
        <v>11563</v>
      </c>
      <c r="G2576" s="27"/>
      <c r="H2576" s="16" t="str">
        <f>IF(ISBLANK(PARTIDAS!$G2576),PARTIDAS!$F2576,CONCATENATE(PARTIDAS!$F2576," (",PARTIDAS!$G2576,")"))</f>
        <v>Catina (DCI) y sus sales</v>
      </c>
      <c r="I2576" s="16" t="s">
        <v>9427</v>
      </c>
    </row>
    <row r="2577" spans="1:9" x14ac:dyDescent="0.25">
      <c r="A2577" s="16" t="s">
        <v>3530</v>
      </c>
      <c r="B2577" s="16" t="str">
        <f>TEXT(PARTIDA[[#This Row],[PARTIDA]],"0000000000")</f>
        <v>2939440000</v>
      </c>
      <c r="C2577" s="16" t="s">
        <v>815</v>
      </c>
      <c r="D2577" s="16" t="s">
        <v>835</v>
      </c>
      <c r="E2577" s="16" t="s">
        <v>9465</v>
      </c>
      <c r="F2577" s="27" t="s">
        <v>11564</v>
      </c>
      <c r="G2577" s="27"/>
      <c r="H2577" s="16" t="str">
        <f>IF(ISBLANK(PARTIDAS!$G2577),PARTIDAS!$F2577,CONCATENATE(PARTIDAS!$F2577," (",PARTIDAS!$G2577,")"))</f>
        <v>Norefedrina y sus sales</v>
      </c>
      <c r="I2577" s="16" t="s">
        <v>9427</v>
      </c>
    </row>
    <row r="2578" spans="1:9" x14ac:dyDescent="0.25">
      <c r="A2578" s="16" t="s">
        <v>11565</v>
      </c>
      <c r="B2578" s="16" t="str">
        <f>TEXT(PARTIDA[[#This Row],[PARTIDA]],"0000000000")</f>
        <v>2939451000</v>
      </c>
      <c r="C2578" s="16" t="s">
        <v>815</v>
      </c>
      <c r="D2578" s="16" t="s">
        <v>835</v>
      </c>
      <c r="E2578" s="16" t="s">
        <v>9465</v>
      </c>
      <c r="F2578" s="27" t="s">
        <v>11566</v>
      </c>
      <c r="G2578" s="27"/>
      <c r="H2578" s="16" t="str">
        <f>IF(ISBLANK(PARTIDAS!$G2578),PARTIDAS!$F2578,CONCATENATE(PARTIDAS!$F2578," (",PARTIDAS!$G2578,")"))</f>
        <v>Levometanfetamina y sus sales</v>
      </c>
      <c r="I2578" s="16" t="s">
        <v>9427</v>
      </c>
    </row>
    <row r="2579" spans="1:9" x14ac:dyDescent="0.25">
      <c r="A2579" s="16" t="s">
        <v>11567</v>
      </c>
      <c r="B2579" s="16" t="str">
        <f>TEXT(PARTIDA[[#This Row],[PARTIDA]],"0000000000")</f>
        <v>2939452000</v>
      </c>
      <c r="C2579" s="16" t="s">
        <v>815</v>
      </c>
      <c r="D2579" s="16" t="s">
        <v>835</v>
      </c>
      <c r="E2579" s="16" t="s">
        <v>9465</v>
      </c>
      <c r="F2579" s="27" t="s">
        <v>11568</v>
      </c>
      <c r="G2579" s="27"/>
      <c r="H2579" s="16" t="str">
        <f>IF(ISBLANK(PARTIDAS!$G2579),PARTIDAS!$F2579,CONCATENATE(PARTIDAS!$F2579," (",PARTIDAS!$G2579,")"))</f>
        <v>Metanfetamina (DCI) y sus sales</v>
      </c>
      <c r="I2579" s="16" t="s">
        <v>9427</v>
      </c>
    </row>
    <row r="2580" spans="1:9" x14ac:dyDescent="0.25">
      <c r="A2580" s="16" t="s">
        <v>11569</v>
      </c>
      <c r="B2580" s="16" t="str">
        <f>TEXT(PARTIDA[[#This Row],[PARTIDA]],"0000000000")</f>
        <v>2939453000</v>
      </c>
      <c r="C2580" s="16" t="s">
        <v>815</v>
      </c>
      <c r="D2580" s="16" t="s">
        <v>835</v>
      </c>
      <c r="E2580" s="16" t="s">
        <v>9465</v>
      </c>
      <c r="F2580" s="27" t="s">
        <v>11570</v>
      </c>
      <c r="G2580" s="27"/>
      <c r="H2580" s="16" t="str">
        <f>IF(ISBLANK(PARTIDAS!$G2580),PARTIDAS!$F2580,CONCATENATE(PARTIDAS!$F2580," (",PARTIDAS!$G2580,")"))</f>
        <v>Racemato de metanfetamina y sus sales</v>
      </c>
      <c r="I2580" s="16" t="s">
        <v>9427</v>
      </c>
    </row>
    <row r="2581" spans="1:9" x14ac:dyDescent="0.25">
      <c r="A2581" s="16" t="s">
        <v>3531</v>
      </c>
      <c r="B2581" s="16" t="str">
        <f>TEXT(PARTIDA[[#This Row],[PARTIDA]],"0000000000")</f>
        <v>2939490000</v>
      </c>
      <c r="C2581" s="16" t="s">
        <v>815</v>
      </c>
      <c r="D2581" s="16" t="s">
        <v>835</v>
      </c>
      <c r="E2581" s="16" t="s">
        <v>9465</v>
      </c>
      <c r="F2581" s="27" t="s">
        <v>11571</v>
      </c>
      <c r="G2581" s="27"/>
      <c r="H2581" s="16" t="str">
        <f>IF(ISBLANK(PARTIDAS!$G2581),PARTIDAS!$F2581,CONCATENATE(PARTIDAS!$F2581," (",PARTIDAS!$G2581,")"))</f>
        <v>Alcaloides, naturales o reproducidos por síntesis, sus sales, éteres,  (los demás)</v>
      </c>
      <c r="I2581" s="16" t="s">
        <v>9648</v>
      </c>
    </row>
    <row r="2582" spans="1:9" x14ac:dyDescent="0.25">
      <c r="A2582" s="16" t="s">
        <v>11572</v>
      </c>
      <c r="B2582" s="16" t="str">
        <f>TEXT(PARTIDA[[#This Row],[PARTIDA]],"0000000000")</f>
        <v>2939491000</v>
      </c>
      <c r="C2582" s="16" t="s">
        <v>815</v>
      </c>
      <c r="D2582" s="16" t="s">
        <v>835</v>
      </c>
      <c r="E2582" s="16" t="s">
        <v>9465</v>
      </c>
      <c r="F2582" s="27" t="s">
        <v>11573</v>
      </c>
      <c r="G2582" s="27"/>
      <c r="H2582" s="16" t="str">
        <f>IF(ISBLANK(PARTIDAS!$G2582),PARTIDAS!$F2582,CONCATENATE(PARTIDAS!$F2582," (",PARTIDAS!$G2582,")"))</f>
        <v>Ésteres y demás derivados de la levometanfetamina</v>
      </c>
      <c r="I2582" s="16" t="s">
        <v>9427</v>
      </c>
    </row>
    <row r="2583" spans="1:9" x14ac:dyDescent="0.25">
      <c r="A2583" s="16" t="s">
        <v>11574</v>
      </c>
      <c r="B2583" s="16" t="str">
        <f>TEXT(PARTIDA[[#This Row],[PARTIDA]],"0000000000")</f>
        <v>2939492000</v>
      </c>
      <c r="C2583" s="16" t="s">
        <v>815</v>
      </c>
      <c r="D2583" s="16" t="s">
        <v>835</v>
      </c>
      <c r="E2583" s="16" t="s">
        <v>9465</v>
      </c>
      <c r="F2583" s="27" t="s">
        <v>11575</v>
      </c>
      <c r="G2583" s="27"/>
      <c r="H2583" s="16" t="str">
        <f>IF(ISBLANK(PARTIDAS!$G2583),PARTIDAS!$F2583,CONCATENATE(PARTIDAS!$F2583," (",PARTIDAS!$G2583,")"))</f>
        <v>Ésteres y demás derivados de la metanfetamina (DCI)</v>
      </c>
      <c r="I2583" s="16" t="s">
        <v>9427</v>
      </c>
    </row>
    <row r="2584" spans="1:9" x14ac:dyDescent="0.25">
      <c r="A2584" s="16" t="s">
        <v>11576</v>
      </c>
      <c r="B2584" s="16" t="str">
        <f>TEXT(PARTIDA[[#This Row],[PARTIDA]],"0000000000")</f>
        <v>2939493000</v>
      </c>
      <c r="C2584" s="16" t="s">
        <v>815</v>
      </c>
      <c r="D2584" s="16" t="s">
        <v>835</v>
      </c>
      <c r="E2584" s="16" t="s">
        <v>9465</v>
      </c>
      <c r="F2584" s="27" t="s">
        <v>11577</v>
      </c>
      <c r="G2584" s="27"/>
      <c r="H2584" s="16" t="str">
        <f>IF(ISBLANK(PARTIDAS!$G2584),PARTIDAS!$F2584,CONCATENATE(PARTIDAS!$F2584," (",PARTIDAS!$G2584,")"))</f>
        <v>Ésteres y demás derivados de racemato de metanfetamina</v>
      </c>
      <c r="I2584" s="16" t="s">
        <v>9427</v>
      </c>
    </row>
    <row r="2585" spans="1:9" x14ac:dyDescent="0.25">
      <c r="A2585" s="16" t="s">
        <v>11578</v>
      </c>
      <c r="B2585" s="16" t="str">
        <f>TEXT(PARTIDA[[#This Row],[PARTIDA]],"0000000000")</f>
        <v>2939499000</v>
      </c>
      <c r="C2585" s="16" t="s">
        <v>815</v>
      </c>
      <c r="D2585" s="16" t="s">
        <v>835</v>
      </c>
      <c r="E2585" s="16" t="s">
        <v>9465</v>
      </c>
      <c r="F2585" s="27" t="s">
        <v>11579</v>
      </c>
      <c r="G2585" s="27"/>
      <c r="H2585" s="16" t="str">
        <f>IF(ISBLANK(PARTIDAS!$G2585),PARTIDAS!$F2585,CONCATENATE(PARTIDAS!$F2585," (",PARTIDAS!$G2585,")"))</f>
        <v>Alcaloides de la efedra y sus derivados (los demás)</v>
      </c>
      <c r="I2585" s="16" t="s">
        <v>9427</v>
      </c>
    </row>
    <row r="2586" spans="1:9" x14ac:dyDescent="0.25">
      <c r="A2586" s="16" t="s">
        <v>3532</v>
      </c>
      <c r="B2586" s="16" t="str">
        <f>TEXT(PARTIDA[[#This Row],[PARTIDA]],"0000000000")</f>
        <v>2939510000</v>
      </c>
      <c r="C2586" s="16" t="s">
        <v>815</v>
      </c>
      <c r="D2586" s="16" t="s">
        <v>835</v>
      </c>
      <c r="E2586" s="16" t="s">
        <v>9465</v>
      </c>
      <c r="F2586" s="27" t="s">
        <v>11580</v>
      </c>
      <c r="G2586" s="27"/>
      <c r="H2586" s="16" t="str">
        <f>IF(ISBLANK(PARTIDAS!$G2586),PARTIDAS!$F2586,CONCATENATE(PARTIDAS!$F2586," (",PARTIDAS!$G2586,")"))</f>
        <v>Fenetilina (DCI) y sus sales</v>
      </c>
      <c r="I2586" s="16" t="s">
        <v>9427</v>
      </c>
    </row>
    <row r="2587" spans="1:9" x14ac:dyDescent="0.25">
      <c r="A2587" s="16" t="s">
        <v>3533</v>
      </c>
      <c r="B2587" s="16" t="str">
        <f>TEXT(PARTIDA[[#This Row],[PARTIDA]],"0000000000")</f>
        <v>2939590000</v>
      </c>
      <c r="C2587" s="16" t="s">
        <v>815</v>
      </c>
      <c r="D2587" s="16" t="s">
        <v>835</v>
      </c>
      <c r="E2587" s="16" t="s">
        <v>9465</v>
      </c>
      <c r="F2587" s="27" t="s">
        <v>11581</v>
      </c>
      <c r="G2587" s="27"/>
      <c r="H2587" s="16" t="str">
        <f>IF(ISBLANK(PARTIDAS!$G2587),PARTIDAS!$F2587,CONCATENATE(PARTIDAS!$F2587," (",PARTIDAS!$G2587,")"))</f>
        <v>Teofilina y aminofilina (teofilina-etilendiamina) y sus derivados (los demás)</v>
      </c>
      <c r="I2587" s="16" t="s">
        <v>9427</v>
      </c>
    </row>
    <row r="2588" spans="1:9" x14ac:dyDescent="0.25">
      <c r="A2588" s="16" t="s">
        <v>3534</v>
      </c>
      <c r="B2588" s="16" t="str">
        <f>TEXT(PARTIDA[[#This Row],[PARTIDA]],"0000000000")</f>
        <v>2939610000</v>
      </c>
      <c r="C2588" s="16" t="s">
        <v>815</v>
      </c>
      <c r="D2588" s="16" t="s">
        <v>835</v>
      </c>
      <c r="E2588" s="16" t="s">
        <v>9465</v>
      </c>
      <c r="F2588" s="27" t="s">
        <v>11582</v>
      </c>
      <c r="G2588" s="27"/>
      <c r="H2588" s="16" t="str">
        <f>IF(ISBLANK(PARTIDAS!$G2588),PARTIDAS!$F2588,CONCATENATE(PARTIDAS!$F2588," (",PARTIDAS!$G2588,")"))</f>
        <v>Ergometrina (DCI) y sus sales</v>
      </c>
      <c r="I2588" s="16" t="s">
        <v>9427</v>
      </c>
    </row>
    <row r="2589" spans="1:9" x14ac:dyDescent="0.25">
      <c r="A2589" s="16" t="s">
        <v>3535</v>
      </c>
      <c r="B2589" s="16" t="str">
        <f>TEXT(PARTIDA[[#This Row],[PARTIDA]],"0000000000")</f>
        <v>2939620000</v>
      </c>
      <c r="C2589" s="16" t="s">
        <v>815</v>
      </c>
      <c r="D2589" s="16" t="s">
        <v>835</v>
      </c>
      <c r="E2589" s="16" t="s">
        <v>9465</v>
      </c>
      <c r="F2589" s="27" t="s">
        <v>11583</v>
      </c>
      <c r="G2589" s="27"/>
      <c r="H2589" s="16" t="str">
        <f>IF(ISBLANK(PARTIDAS!$G2589),PARTIDAS!$F2589,CONCATENATE(PARTIDAS!$F2589," (",PARTIDAS!$G2589,")"))</f>
        <v>Ergotamina (DCI) y sus sales</v>
      </c>
      <c r="I2589" s="16" t="s">
        <v>9427</v>
      </c>
    </row>
    <row r="2590" spans="1:9" x14ac:dyDescent="0.25">
      <c r="A2590" s="16" t="s">
        <v>3536</v>
      </c>
      <c r="B2590" s="16" t="str">
        <f>TEXT(PARTIDA[[#This Row],[PARTIDA]],"0000000000")</f>
        <v>2939630000</v>
      </c>
      <c r="C2590" s="16" t="s">
        <v>815</v>
      </c>
      <c r="D2590" s="16" t="s">
        <v>835</v>
      </c>
      <c r="E2590" s="16" t="s">
        <v>9465</v>
      </c>
      <c r="F2590" s="27" t="s">
        <v>11584</v>
      </c>
      <c r="G2590" s="27"/>
      <c r="H2590" s="16" t="str">
        <f>IF(ISBLANK(PARTIDAS!$G2590),PARTIDAS!$F2590,CONCATENATE(PARTIDAS!$F2590," (",PARTIDAS!$G2590,")"))</f>
        <v>Ácido lisérgico y sus sales</v>
      </c>
      <c r="I2590" s="16" t="s">
        <v>9427</v>
      </c>
    </row>
    <row r="2591" spans="1:9" x14ac:dyDescent="0.25">
      <c r="A2591" s="16" t="s">
        <v>3537</v>
      </c>
      <c r="B2591" s="16" t="str">
        <f>TEXT(PARTIDA[[#This Row],[PARTIDA]],"0000000000")</f>
        <v>2939690000</v>
      </c>
      <c r="C2591" s="16" t="s">
        <v>815</v>
      </c>
      <c r="D2591" s="16" t="s">
        <v>835</v>
      </c>
      <c r="E2591" s="16" t="s">
        <v>9465</v>
      </c>
      <c r="F2591" s="27" t="s">
        <v>11585</v>
      </c>
      <c r="G2591" s="27"/>
      <c r="H2591" s="16" t="str">
        <f>IF(ISBLANK(PARTIDAS!$G2591),PARTIDAS!$F2591,CONCATENATE(PARTIDAS!$F2591," (",PARTIDAS!$G2591,")"))</f>
        <v>Alcaloides del cornezuelo del centeno y sus derivados (los demás)</v>
      </c>
      <c r="I2591" s="16" t="s">
        <v>9427</v>
      </c>
    </row>
    <row r="2592" spans="1:9" x14ac:dyDescent="0.25">
      <c r="A2592" s="16" t="s">
        <v>3538</v>
      </c>
      <c r="B2592" s="16" t="str">
        <f>TEXT(PARTIDA[[#This Row],[PARTIDA]],"0000000000")</f>
        <v>2939711000</v>
      </c>
      <c r="C2592" s="16" t="s">
        <v>815</v>
      </c>
      <c r="D2592" s="16" t="s">
        <v>835</v>
      </c>
      <c r="E2592" s="16" t="s">
        <v>9465</v>
      </c>
      <c r="F2592" s="27" t="s">
        <v>11586</v>
      </c>
      <c r="G2592" s="27"/>
      <c r="H2592" s="16" t="str">
        <f>IF(ISBLANK(PARTIDAS!$G2592),PARTIDAS!$F2592,CONCATENATE(PARTIDAS!$F2592," (",PARTIDAS!$G2592,")"))</f>
        <v>Cocaína; sus sales, ésteres y demás derivados</v>
      </c>
      <c r="I2592" s="16" t="s">
        <v>9648</v>
      </c>
    </row>
    <row r="2593" spans="1:9" x14ac:dyDescent="0.25">
      <c r="A2593" s="16" t="s">
        <v>3539</v>
      </c>
      <c r="B2593" s="16" t="str">
        <f>TEXT(PARTIDA[[#This Row],[PARTIDA]],"0000000000")</f>
        <v>2939712000</v>
      </c>
      <c r="C2593" s="16" t="s">
        <v>815</v>
      </c>
      <c r="D2593" s="16" t="s">
        <v>835</v>
      </c>
      <c r="E2593" s="16" t="s">
        <v>9465</v>
      </c>
      <c r="F2593" s="27" t="s">
        <v>11587</v>
      </c>
      <c r="G2593" s="27"/>
      <c r="H2593" s="16" t="str">
        <f>IF(ISBLANK(PARTIDAS!$G2593),PARTIDAS!$F2593,CONCATENATE(PARTIDAS!$F2593," (",PARTIDAS!$G2593,")"))</f>
        <v>Ecgonina; sus sales, ésteres y demás derivados</v>
      </c>
      <c r="I2593" s="16" t="s">
        <v>9648</v>
      </c>
    </row>
    <row r="2594" spans="1:9" x14ac:dyDescent="0.25">
      <c r="A2594" s="16" t="s">
        <v>3540</v>
      </c>
      <c r="B2594" s="16" t="str">
        <f>TEXT(PARTIDA[[#This Row],[PARTIDA]],"0000000000")</f>
        <v>2939713010</v>
      </c>
      <c r="C2594" s="16" t="s">
        <v>815</v>
      </c>
      <c r="D2594" s="16" t="s">
        <v>835</v>
      </c>
      <c r="E2594" s="16" t="s">
        <v>9465</v>
      </c>
      <c r="F2594" s="27" t="s">
        <v>11588</v>
      </c>
      <c r="G2594" s="27"/>
      <c r="H2594" s="16" t="str">
        <f>IF(ISBLANK(PARTIDAS!$G2594),PARTIDAS!$F2594,CONCATENATE(PARTIDAS!$F2594," (",PARTIDAS!$G2594,")"))</f>
        <v>Levometanfetamina</v>
      </c>
      <c r="I2594" s="16" t="s">
        <v>9648</v>
      </c>
    </row>
    <row r="2595" spans="1:9" x14ac:dyDescent="0.25">
      <c r="A2595" s="16" t="s">
        <v>3541</v>
      </c>
      <c r="B2595" s="16" t="str">
        <f>TEXT(PARTIDA[[#This Row],[PARTIDA]],"0000000000")</f>
        <v>2939713020</v>
      </c>
      <c r="C2595" s="16" t="s">
        <v>815</v>
      </c>
      <c r="D2595" s="16" t="s">
        <v>835</v>
      </c>
      <c r="E2595" s="16" t="s">
        <v>9465</v>
      </c>
      <c r="F2595" s="27" t="s">
        <v>11589</v>
      </c>
      <c r="G2595" s="27"/>
      <c r="H2595" s="16" t="str">
        <f>IF(ISBLANK(PARTIDAS!$G2595),PARTIDAS!$F2595,CONCATENATE(PARTIDAS!$F2595," (",PARTIDAS!$G2595,")"))</f>
        <v>Sales, ésteres y demás derivados</v>
      </c>
      <c r="I2595" s="16" t="s">
        <v>9648</v>
      </c>
    </row>
    <row r="2596" spans="1:9" x14ac:dyDescent="0.25">
      <c r="A2596" s="16" t="s">
        <v>3542</v>
      </c>
      <c r="B2596" s="16" t="str">
        <f>TEXT(PARTIDA[[#This Row],[PARTIDA]],"0000000000")</f>
        <v>2939714010</v>
      </c>
      <c r="C2596" s="16" t="s">
        <v>815</v>
      </c>
      <c r="D2596" s="16" t="s">
        <v>835</v>
      </c>
      <c r="E2596" s="16" t="s">
        <v>9465</v>
      </c>
      <c r="F2596" s="27" t="s">
        <v>11590</v>
      </c>
      <c r="G2596" s="27"/>
      <c r="H2596" s="16" t="str">
        <f>IF(ISBLANK(PARTIDAS!$G2596),PARTIDAS!$F2596,CONCATENATE(PARTIDAS!$F2596," (",PARTIDAS!$G2596,")"))</f>
        <v>Metanfetamina (DCI)</v>
      </c>
      <c r="I2596" s="16" t="s">
        <v>9648</v>
      </c>
    </row>
    <row r="2597" spans="1:9" x14ac:dyDescent="0.25">
      <c r="A2597" s="16" t="s">
        <v>3543</v>
      </c>
      <c r="B2597" s="16" t="str">
        <f>TEXT(PARTIDA[[#This Row],[PARTIDA]],"0000000000")</f>
        <v>2939714020</v>
      </c>
      <c r="C2597" s="16" t="s">
        <v>815</v>
      </c>
      <c r="D2597" s="16" t="s">
        <v>835</v>
      </c>
      <c r="E2597" s="16" t="s">
        <v>9465</v>
      </c>
      <c r="F2597" s="27" t="s">
        <v>11589</v>
      </c>
      <c r="G2597" s="27"/>
      <c r="H2597" s="16" t="str">
        <f>IF(ISBLANK(PARTIDAS!$G2597),PARTIDAS!$F2597,CONCATENATE(PARTIDAS!$F2597," (",PARTIDAS!$G2597,")"))</f>
        <v>Sales, ésteres y demás derivados</v>
      </c>
      <c r="I2597" s="16" t="s">
        <v>9648</v>
      </c>
    </row>
    <row r="2598" spans="1:9" x14ac:dyDescent="0.25">
      <c r="A2598" s="16" t="s">
        <v>3544</v>
      </c>
      <c r="B2598" s="16" t="str">
        <f>TEXT(PARTIDA[[#This Row],[PARTIDA]],"0000000000")</f>
        <v>2939715010</v>
      </c>
      <c r="C2598" s="16" t="s">
        <v>815</v>
      </c>
      <c r="D2598" s="16" t="s">
        <v>835</v>
      </c>
      <c r="E2598" s="16" t="s">
        <v>9465</v>
      </c>
      <c r="F2598" s="27" t="s">
        <v>11591</v>
      </c>
      <c r="G2598" s="27"/>
      <c r="H2598" s="16" t="str">
        <f>IF(ISBLANK(PARTIDAS!$G2598),PARTIDAS!$F2598,CONCATENATE(PARTIDAS!$F2598," (",PARTIDAS!$G2598,")"))</f>
        <v>Racemato de metanfetamina</v>
      </c>
      <c r="I2598" s="16" t="s">
        <v>9648</v>
      </c>
    </row>
    <row r="2599" spans="1:9" x14ac:dyDescent="0.25">
      <c r="A2599" s="16" t="s">
        <v>3545</v>
      </c>
      <c r="B2599" s="16" t="str">
        <f>TEXT(PARTIDA[[#This Row],[PARTIDA]],"0000000000")</f>
        <v>2939715020</v>
      </c>
      <c r="C2599" s="16" t="s">
        <v>815</v>
      </c>
      <c r="D2599" s="16" t="s">
        <v>835</v>
      </c>
      <c r="E2599" s="16" t="s">
        <v>9465</v>
      </c>
      <c r="F2599" s="27" t="s">
        <v>11589</v>
      </c>
      <c r="G2599" s="27"/>
      <c r="H2599" s="16" t="str">
        <f>IF(ISBLANK(PARTIDAS!$G2599),PARTIDAS!$F2599,CONCATENATE(PARTIDAS!$F2599," (",PARTIDAS!$G2599,")"))</f>
        <v>Sales, ésteres y demás derivados</v>
      </c>
      <c r="I2599" s="16" t="s">
        <v>9648</v>
      </c>
    </row>
    <row r="2600" spans="1:9" x14ac:dyDescent="0.25">
      <c r="A2600" s="16" t="s">
        <v>11592</v>
      </c>
      <c r="B2600" s="16" t="str">
        <f>TEXT(PARTIDA[[#This Row],[PARTIDA]],"0000000000")</f>
        <v>2939721000</v>
      </c>
      <c r="C2600" s="16" t="s">
        <v>815</v>
      </c>
      <c r="D2600" s="16" t="s">
        <v>835</v>
      </c>
      <c r="E2600" s="16" t="s">
        <v>9465</v>
      </c>
      <c r="F2600" s="27" t="s">
        <v>11586</v>
      </c>
      <c r="G2600" s="27"/>
      <c r="H2600" s="16" t="str">
        <f>IF(ISBLANK(PARTIDAS!$G2600),PARTIDAS!$F2600,CONCATENATE(PARTIDAS!$F2600," (",PARTIDAS!$G2600,")"))</f>
        <v>Cocaína; sus sales, ésteres y demás derivados</v>
      </c>
      <c r="I2600" s="16" t="s">
        <v>9427</v>
      </c>
    </row>
    <row r="2601" spans="1:9" x14ac:dyDescent="0.25">
      <c r="A2601" s="16" t="s">
        <v>11593</v>
      </c>
      <c r="B2601" s="16" t="str">
        <f>TEXT(PARTIDA[[#This Row],[PARTIDA]],"0000000000")</f>
        <v>2939722000</v>
      </c>
      <c r="C2601" s="16" t="s">
        <v>815</v>
      </c>
      <c r="D2601" s="16" t="s">
        <v>835</v>
      </c>
      <c r="E2601" s="16" t="s">
        <v>9465</v>
      </c>
      <c r="F2601" s="27" t="s">
        <v>11587</v>
      </c>
      <c r="G2601" s="27"/>
      <c r="H2601" s="16" t="str">
        <f>IF(ISBLANK(PARTIDAS!$G2601),PARTIDAS!$F2601,CONCATENATE(PARTIDAS!$F2601," (",PARTIDAS!$G2601,")"))</f>
        <v>Ecgonina; sus sales, ésteres y demás derivados</v>
      </c>
      <c r="I2601" s="16" t="s">
        <v>9427</v>
      </c>
    </row>
    <row r="2602" spans="1:9" x14ac:dyDescent="0.25">
      <c r="A2602" s="16" t="s">
        <v>3546</v>
      </c>
      <c r="B2602" s="16" t="str">
        <f>TEXT(PARTIDA[[#This Row],[PARTIDA]],"0000000000")</f>
        <v>2939791000</v>
      </c>
      <c r="C2602" s="16" t="s">
        <v>815</v>
      </c>
      <c r="D2602" s="16" t="s">
        <v>835</v>
      </c>
      <c r="E2602" s="16" t="s">
        <v>9465</v>
      </c>
      <c r="F2602" s="27" t="s">
        <v>11594</v>
      </c>
      <c r="G2602" s="27"/>
      <c r="H2602" s="16" t="str">
        <f>IF(ISBLANK(PARTIDAS!$G2602),PARTIDAS!$F2602,CONCATENATE(PARTIDAS!$F2602," (",PARTIDAS!$G2602,")"))</f>
        <v>Escopolamina; sus sales y derivados</v>
      </c>
      <c r="I2602" s="16" t="s">
        <v>9427</v>
      </c>
    </row>
    <row r="2603" spans="1:9" x14ac:dyDescent="0.25">
      <c r="A2603" s="16" t="s">
        <v>3547</v>
      </c>
      <c r="B2603" s="16" t="str">
        <f>TEXT(PARTIDA[[#This Row],[PARTIDA]],"0000000000")</f>
        <v>2939799000</v>
      </c>
      <c r="C2603" s="16" t="s">
        <v>815</v>
      </c>
      <c r="D2603" s="16" t="s">
        <v>835</v>
      </c>
      <c r="E2603" s="16" t="s">
        <v>9465</v>
      </c>
      <c r="F2603" s="27" t="s">
        <v>11595</v>
      </c>
      <c r="G2603" s="27"/>
      <c r="H2603" s="16" t="str">
        <f>IF(ISBLANK(PARTIDAS!$G2603),PARTIDAS!$F2603,CONCATENATE(PARTIDAS!$F2603," (",PARTIDAS!$G2603,")"))</f>
        <v>Alcaloides, naturales o reproducidos por síntesis, sus sales, éteres… (los demás)</v>
      </c>
      <c r="I2603" s="16" t="s">
        <v>9427</v>
      </c>
    </row>
    <row r="2604" spans="1:9" x14ac:dyDescent="0.25">
      <c r="A2604" s="16" t="s">
        <v>3548</v>
      </c>
      <c r="B2604" s="16" t="str">
        <f>TEXT(PARTIDA[[#This Row],[PARTIDA]],"0000000000")</f>
        <v>2939800000</v>
      </c>
      <c r="C2604" s="16" t="s">
        <v>815</v>
      </c>
      <c r="D2604" s="16" t="s">
        <v>835</v>
      </c>
      <c r="E2604" s="16" t="s">
        <v>9465</v>
      </c>
      <c r="F2604" s="27" t="s">
        <v>11595</v>
      </c>
      <c r="G2604" s="27"/>
      <c r="H2604" s="16" t="str">
        <f>IF(ISBLANK(PARTIDAS!$G2604),PARTIDAS!$F2604,CONCATENATE(PARTIDAS!$F2604," (",PARTIDAS!$G2604,")"))</f>
        <v>Alcaloides, naturales o reproducidos por síntesis, sus sales, éteres… (los demás)</v>
      </c>
      <c r="I2604" s="16" t="s">
        <v>9427</v>
      </c>
    </row>
    <row r="2605" spans="1:9" x14ac:dyDescent="0.25">
      <c r="A2605" s="16" t="s">
        <v>3549</v>
      </c>
      <c r="B2605" s="16" t="str">
        <f>TEXT(PARTIDA[[#This Row],[PARTIDA]],"0000000000")</f>
        <v>2940000000</v>
      </c>
      <c r="C2605" s="16" t="s">
        <v>815</v>
      </c>
      <c r="D2605" s="16" t="s">
        <v>835</v>
      </c>
      <c r="E2605" s="16" t="s">
        <v>9465</v>
      </c>
      <c r="F2605" s="27" t="s">
        <v>3550</v>
      </c>
      <c r="G2605" s="27"/>
      <c r="H2605" s="16" t="str">
        <f>IF(ISBLANK(PARTIDAS!$G2605),PARTIDAS!$F2605,CONCATENATE(PARTIDAS!$F2605," (",PARTIDAS!$G2605,")"))</f>
        <v>Azúcares químicamente puros, excepto la
sacarosa, lactosa, maltosa, glucosa y fructosa
(levulosa); éteres, acetales y ésteres de azúcares
y sus sales, excepto los productos de las partidas
29.37, 29.38 ó 29.39.</v>
      </c>
      <c r="I2605" s="16" t="s">
        <v>9427</v>
      </c>
    </row>
    <row r="2606" spans="1:9" x14ac:dyDescent="0.25">
      <c r="A2606" s="16" t="s">
        <v>3551</v>
      </c>
      <c r="B2606" s="16" t="str">
        <f>TEXT(PARTIDA[[#This Row],[PARTIDA]],"0000000000")</f>
        <v>2941101000</v>
      </c>
      <c r="C2606" s="16" t="s">
        <v>815</v>
      </c>
      <c r="D2606" s="16" t="s">
        <v>835</v>
      </c>
      <c r="E2606" s="16" t="s">
        <v>9465</v>
      </c>
      <c r="F2606" s="27" t="s">
        <v>11596</v>
      </c>
      <c r="G2606" s="27"/>
      <c r="H2606" s="16" t="str">
        <f>IF(ISBLANK(PARTIDAS!$G2606),PARTIDAS!$F2606,CONCATENATE(PARTIDAS!$F2606," (",PARTIDAS!$G2606,")"))</f>
        <v>Ampicilina (DCI) y sus sales</v>
      </c>
      <c r="I2606" s="16" t="s">
        <v>9427</v>
      </c>
    </row>
    <row r="2607" spans="1:9" x14ac:dyDescent="0.25">
      <c r="A2607" s="16" t="s">
        <v>3552</v>
      </c>
      <c r="B2607" s="16" t="str">
        <f>TEXT(PARTIDA[[#This Row],[PARTIDA]],"0000000000")</f>
        <v>2941102000</v>
      </c>
      <c r="C2607" s="16" t="s">
        <v>815</v>
      </c>
      <c r="D2607" s="16" t="s">
        <v>835</v>
      </c>
      <c r="E2607" s="16" t="s">
        <v>9465</v>
      </c>
      <c r="F2607" s="27" t="s">
        <v>11597</v>
      </c>
      <c r="G2607" s="27"/>
      <c r="H2607" s="16" t="str">
        <f>IF(ISBLANK(PARTIDAS!$G2607),PARTIDAS!$F2607,CONCATENATE(PARTIDAS!$F2607," (",PARTIDAS!$G2607,")"))</f>
        <v>Amoxicilina (DCI) y sus sales</v>
      </c>
      <c r="I2607" s="16" t="s">
        <v>9427</v>
      </c>
    </row>
    <row r="2608" spans="1:9" x14ac:dyDescent="0.25">
      <c r="A2608" s="16" t="s">
        <v>3553</v>
      </c>
      <c r="B2608" s="16" t="str">
        <f>TEXT(PARTIDA[[#This Row],[PARTIDA]],"0000000000")</f>
        <v>2941103000</v>
      </c>
      <c r="C2608" s="16" t="s">
        <v>815</v>
      </c>
      <c r="D2608" s="16" t="s">
        <v>835</v>
      </c>
      <c r="E2608" s="16" t="s">
        <v>9465</v>
      </c>
      <c r="F2608" s="27" t="s">
        <v>11598</v>
      </c>
      <c r="G2608" s="27"/>
      <c r="H2608" s="16" t="str">
        <f>IF(ISBLANK(PARTIDAS!$G2608),PARTIDAS!$F2608,CONCATENATE(PARTIDAS!$F2608," (",PARTIDAS!$G2608,")"))</f>
        <v>Oxacilina (DCI), cloxacilina (DCI), dicloxacilina (DCI) y sus sales</v>
      </c>
      <c r="I2608" s="16" t="s">
        <v>9427</v>
      </c>
    </row>
    <row r="2609" spans="1:9" x14ac:dyDescent="0.25">
      <c r="A2609" s="16" t="s">
        <v>3554</v>
      </c>
      <c r="B2609" s="16" t="str">
        <f>TEXT(PARTIDA[[#This Row],[PARTIDA]],"0000000000")</f>
        <v>2941104000</v>
      </c>
      <c r="C2609" s="16" t="s">
        <v>815</v>
      </c>
      <c r="D2609" s="16" t="s">
        <v>835</v>
      </c>
      <c r="E2609" s="16" t="s">
        <v>9465</v>
      </c>
      <c r="F2609" s="27" t="s">
        <v>11599</v>
      </c>
      <c r="G2609" s="27"/>
      <c r="H2609" s="16" t="str">
        <f>IF(ISBLANK(PARTIDAS!$G2609),PARTIDAS!$F2609,CONCATENATE(PARTIDAS!$F2609," (",PARTIDAS!$G2609,")"))</f>
        <v>Derivados de ampicilina, amoxicilina y dicloxacilina</v>
      </c>
      <c r="I2609" s="16" t="s">
        <v>9427</v>
      </c>
    </row>
    <row r="2610" spans="1:9" x14ac:dyDescent="0.25">
      <c r="A2610" s="16" t="s">
        <v>3555</v>
      </c>
      <c r="B2610" s="16" t="str">
        <f>TEXT(PARTIDA[[#This Row],[PARTIDA]],"0000000000")</f>
        <v>2941109000</v>
      </c>
      <c r="C2610" s="16" t="s">
        <v>815</v>
      </c>
      <c r="D2610" s="16" t="s">
        <v>835</v>
      </c>
      <c r="E2610" s="16" t="s">
        <v>9465</v>
      </c>
      <c r="F2610" s="27" t="s">
        <v>11600</v>
      </c>
      <c r="G2610" s="27"/>
      <c r="H2610" s="16" t="str">
        <f>IF(ISBLANK(PARTIDAS!$G2610),PARTIDAS!$F2610,CONCATENATE(PARTIDAS!$F2610," (",PARTIDAS!$G2610,")"))</f>
        <v>Penicilinas y sus derivados con la estructura del ácido penicilánico (los demás)</v>
      </c>
      <c r="I2610" s="16" t="s">
        <v>9427</v>
      </c>
    </row>
    <row r="2611" spans="1:9" x14ac:dyDescent="0.25">
      <c r="A2611" s="16" t="s">
        <v>3556</v>
      </c>
      <c r="B2611" s="16" t="str">
        <f>TEXT(PARTIDA[[#This Row],[PARTIDA]],"0000000000")</f>
        <v>2941200000</v>
      </c>
      <c r="C2611" s="16" t="s">
        <v>815</v>
      </c>
      <c r="D2611" s="16" t="s">
        <v>835</v>
      </c>
      <c r="E2611" s="16" t="s">
        <v>9465</v>
      </c>
      <c r="F2611" s="27" t="s">
        <v>11601</v>
      </c>
      <c r="G2611" s="27"/>
      <c r="H2611" s="16" t="str">
        <f>IF(ISBLANK(PARTIDAS!$G2611),PARTIDAS!$F2611,CONCATENATE(PARTIDAS!$F2611," (",PARTIDAS!$G2611,")"))</f>
        <v>Estreptomicinas y sus derivados; sales de estos productos</v>
      </c>
      <c r="I2611" s="16" t="s">
        <v>9427</v>
      </c>
    </row>
    <row r="2612" spans="1:9" x14ac:dyDescent="0.25">
      <c r="A2612" s="16" t="s">
        <v>3557</v>
      </c>
      <c r="B2612" s="16" t="str">
        <f>TEXT(PARTIDA[[#This Row],[PARTIDA]],"0000000000")</f>
        <v>2941301000</v>
      </c>
      <c r="C2612" s="16" t="s">
        <v>815</v>
      </c>
      <c r="D2612" s="16" t="s">
        <v>835</v>
      </c>
      <c r="E2612" s="16" t="s">
        <v>9465</v>
      </c>
      <c r="F2612" s="27" t="s">
        <v>11602</v>
      </c>
      <c r="G2612" s="27"/>
      <c r="H2612" s="16" t="str">
        <f>IF(ISBLANK(PARTIDAS!$G2612),PARTIDAS!$F2612,CONCATENATE(PARTIDAS!$F2612," (",PARTIDAS!$G2612,")"))</f>
        <v>Oxitetraciclina (ISO) (DCI) y sus derivados; sales de estos productos</v>
      </c>
      <c r="I2612" s="16" t="s">
        <v>9427</v>
      </c>
    </row>
    <row r="2613" spans="1:9" x14ac:dyDescent="0.25">
      <c r="A2613" s="16" t="s">
        <v>3558</v>
      </c>
      <c r="B2613" s="16" t="str">
        <f>TEXT(PARTIDA[[#This Row],[PARTIDA]],"0000000000")</f>
        <v>2941302000</v>
      </c>
      <c r="C2613" s="16" t="s">
        <v>815</v>
      </c>
      <c r="D2613" s="16" t="s">
        <v>835</v>
      </c>
      <c r="E2613" s="16" t="s">
        <v>9465</v>
      </c>
      <c r="F2613" s="27" t="s">
        <v>11603</v>
      </c>
      <c r="G2613" s="27"/>
      <c r="H2613" s="16" t="str">
        <f>IF(ISBLANK(PARTIDAS!$G2613),PARTIDAS!$F2613,CONCATENATE(PARTIDAS!$F2613," (",PARTIDAS!$G2613,")"))</f>
        <v>Clorotetraciclina y sus derivados; sales de estos productos</v>
      </c>
      <c r="I2613" s="16" t="s">
        <v>9427</v>
      </c>
    </row>
    <row r="2614" spans="1:9" x14ac:dyDescent="0.25">
      <c r="A2614" s="16" t="s">
        <v>3559</v>
      </c>
      <c r="B2614" s="16" t="str">
        <f>TEXT(PARTIDA[[#This Row],[PARTIDA]],"0000000000")</f>
        <v>2941309000</v>
      </c>
      <c r="C2614" s="16" t="s">
        <v>815</v>
      </c>
      <c r="D2614" s="16" t="s">
        <v>835</v>
      </c>
      <c r="E2614" s="16" t="s">
        <v>9465</v>
      </c>
      <c r="F2614" s="27" t="s">
        <v>11604</v>
      </c>
      <c r="G2614" s="27"/>
      <c r="H2614" s="16" t="str">
        <f>IF(ISBLANK(PARTIDAS!$G2614),PARTIDAS!$F2614,CONCATENATE(PARTIDAS!$F2614," (",PARTIDAS!$G2614,")"))</f>
        <v>Tetraciclinas y sus derivados (los demás)</v>
      </c>
      <c r="I2614" s="16" t="s">
        <v>9427</v>
      </c>
    </row>
    <row r="2615" spans="1:9" x14ac:dyDescent="0.25">
      <c r="A2615" s="16" t="s">
        <v>3560</v>
      </c>
      <c r="B2615" s="16" t="str">
        <f>TEXT(PARTIDA[[#This Row],[PARTIDA]],"0000000000")</f>
        <v>2941400000</v>
      </c>
      <c r="C2615" s="16" t="s">
        <v>815</v>
      </c>
      <c r="D2615" s="16" t="s">
        <v>835</v>
      </c>
      <c r="E2615" s="16" t="s">
        <v>9465</v>
      </c>
      <c r="F2615" s="27" t="s">
        <v>11605</v>
      </c>
      <c r="G2615" s="27"/>
      <c r="H2615" s="16" t="str">
        <f>IF(ISBLANK(PARTIDAS!$G2615),PARTIDAS!$F2615,CONCATENATE(PARTIDAS!$F2615," (",PARTIDAS!$G2615,")"))</f>
        <v>Cloranfenicol y sus derivados; sales de estos productos</v>
      </c>
      <c r="I2615" s="16" t="s">
        <v>9427</v>
      </c>
    </row>
    <row r="2616" spans="1:9" x14ac:dyDescent="0.25">
      <c r="A2616" s="16" t="s">
        <v>3561</v>
      </c>
      <c r="B2616" s="16" t="str">
        <f>TEXT(PARTIDA[[#This Row],[PARTIDA]],"0000000000")</f>
        <v>2941500000</v>
      </c>
      <c r="C2616" s="16" t="s">
        <v>815</v>
      </c>
      <c r="D2616" s="16" t="s">
        <v>835</v>
      </c>
      <c r="E2616" s="16" t="s">
        <v>9465</v>
      </c>
      <c r="F2616" s="27" t="s">
        <v>11606</v>
      </c>
      <c r="G2616" s="27"/>
      <c r="H2616" s="16" t="str">
        <f>IF(ISBLANK(PARTIDAS!$G2616),PARTIDAS!$F2616,CONCATENATE(PARTIDAS!$F2616," (",PARTIDAS!$G2616,")"))</f>
        <v>Eritromicina y sus derivados; sales de estos productos</v>
      </c>
      <c r="I2616" s="16" t="s">
        <v>9427</v>
      </c>
    </row>
    <row r="2617" spans="1:9" x14ac:dyDescent="0.25">
      <c r="A2617" s="16" t="s">
        <v>3562</v>
      </c>
      <c r="B2617" s="16" t="str">
        <f>TEXT(PARTIDA[[#This Row],[PARTIDA]],"0000000000")</f>
        <v>2941901000</v>
      </c>
      <c r="C2617" s="16" t="s">
        <v>815</v>
      </c>
      <c r="D2617" s="16" t="s">
        <v>835</v>
      </c>
      <c r="E2617" s="16" t="s">
        <v>9465</v>
      </c>
      <c r="F2617" s="27" t="s">
        <v>11607</v>
      </c>
      <c r="G2617" s="27"/>
      <c r="H2617" s="16" t="str">
        <f>IF(ISBLANK(PARTIDAS!$G2617),PARTIDAS!$F2617,CONCATENATE(PARTIDAS!$F2617," (",PARTIDAS!$G2617,")"))</f>
        <v>Neomicina (DCI) y sus derivados; sales de estos productos</v>
      </c>
      <c r="I2617" s="16" t="s">
        <v>9427</v>
      </c>
    </row>
    <row r="2618" spans="1:9" x14ac:dyDescent="0.25">
      <c r="A2618" s="16" t="s">
        <v>3563</v>
      </c>
      <c r="B2618" s="16" t="str">
        <f>TEXT(PARTIDA[[#This Row],[PARTIDA]],"0000000000")</f>
        <v>2941902000</v>
      </c>
      <c r="C2618" s="16" t="s">
        <v>815</v>
      </c>
      <c r="D2618" s="16" t="s">
        <v>835</v>
      </c>
      <c r="E2618" s="16" t="s">
        <v>9465</v>
      </c>
      <c r="F2618" s="27" t="s">
        <v>11608</v>
      </c>
      <c r="G2618" s="27"/>
      <c r="H2618" s="16" t="str">
        <f>IF(ISBLANK(PARTIDAS!$G2618),PARTIDAS!$F2618,CONCATENATE(PARTIDAS!$F2618," (",PARTIDAS!$G2618,")"))</f>
        <v>Actinomicina y sus derivados; sales de estos productos</v>
      </c>
      <c r="I2618" s="16" t="s">
        <v>9427</v>
      </c>
    </row>
    <row r="2619" spans="1:9" x14ac:dyDescent="0.25">
      <c r="A2619" s="16" t="s">
        <v>3564</v>
      </c>
      <c r="B2619" s="16" t="str">
        <f>TEXT(PARTIDA[[#This Row],[PARTIDA]],"0000000000")</f>
        <v>2941903000</v>
      </c>
      <c r="C2619" s="16" t="s">
        <v>815</v>
      </c>
      <c r="D2619" s="16" t="s">
        <v>835</v>
      </c>
      <c r="E2619" s="16" t="s">
        <v>9465</v>
      </c>
      <c r="F2619" s="27" t="s">
        <v>11609</v>
      </c>
      <c r="G2619" s="27"/>
      <c r="H2619" s="16" t="str">
        <f>IF(ISBLANK(PARTIDAS!$G2619),PARTIDAS!$F2619,CONCATENATE(PARTIDAS!$F2619," (",PARTIDAS!$G2619,")"))</f>
        <v>Bacitracina (DCI) y sus derivados; sales de estos productos</v>
      </c>
      <c r="I2619" s="16" t="s">
        <v>9427</v>
      </c>
    </row>
    <row r="2620" spans="1:9" x14ac:dyDescent="0.25">
      <c r="A2620" s="16" t="s">
        <v>3565</v>
      </c>
      <c r="B2620" s="16" t="str">
        <f>TEXT(PARTIDA[[#This Row],[PARTIDA]],"0000000000")</f>
        <v>2941904000</v>
      </c>
      <c r="C2620" s="16" t="s">
        <v>815</v>
      </c>
      <c r="D2620" s="16" t="s">
        <v>835</v>
      </c>
      <c r="E2620" s="16" t="s">
        <v>9465</v>
      </c>
      <c r="F2620" s="27" t="s">
        <v>11610</v>
      </c>
      <c r="G2620" s="27"/>
      <c r="H2620" s="16" t="str">
        <f>IF(ISBLANK(PARTIDAS!$G2620),PARTIDAS!$F2620,CONCATENATE(PARTIDAS!$F2620," (",PARTIDAS!$G2620,")"))</f>
        <v>Gramicidina (DCI) y sus derivados; sales de estos productos</v>
      </c>
      <c r="I2620" s="16" t="s">
        <v>9427</v>
      </c>
    </row>
    <row r="2621" spans="1:9" x14ac:dyDescent="0.25">
      <c r="A2621" s="16" t="s">
        <v>3566</v>
      </c>
      <c r="B2621" s="16" t="str">
        <f>TEXT(PARTIDA[[#This Row],[PARTIDA]],"0000000000")</f>
        <v>2941905000</v>
      </c>
      <c r="C2621" s="16" t="s">
        <v>815</v>
      </c>
      <c r="D2621" s="16" t="s">
        <v>835</v>
      </c>
      <c r="E2621" s="16" t="s">
        <v>9465</v>
      </c>
      <c r="F2621" s="27" t="s">
        <v>11611</v>
      </c>
      <c r="G2621" s="27"/>
      <c r="H2621" s="16" t="str">
        <f>IF(ISBLANK(PARTIDAS!$G2621),PARTIDAS!$F2621,CONCATENATE(PARTIDAS!$F2621," (",PARTIDAS!$G2621,")"))</f>
        <v>Tirotricina (DCI) y sus derivados; sales de estos productos</v>
      </c>
      <c r="I2621" s="16" t="s">
        <v>9427</v>
      </c>
    </row>
    <row r="2622" spans="1:9" x14ac:dyDescent="0.25">
      <c r="A2622" s="16" t="s">
        <v>3567</v>
      </c>
      <c r="B2622" s="16" t="str">
        <f>TEXT(PARTIDA[[#This Row],[PARTIDA]],"0000000000")</f>
        <v>2941906010</v>
      </c>
      <c r="C2622" s="16" t="s">
        <v>815</v>
      </c>
      <c r="D2622" s="16" t="s">
        <v>835</v>
      </c>
      <c r="E2622" s="16" t="s">
        <v>9465</v>
      </c>
      <c r="F2622" s="27" t="s">
        <v>11612</v>
      </c>
      <c r="G2622" s="27"/>
      <c r="H2622" s="16" t="str">
        <f>IF(ISBLANK(PARTIDAS!$G2622),PARTIDAS!$F2622,CONCATENATE(PARTIDAS!$F2622," (",PARTIDAS!$G2622,")"))</f>
        <v>Cefalexina (DCI)</v>
      </c>
      <c r="I2622" s="16" t="s">
        <v>9427</v>
      </c>
    </row>
    <row r="2623" spans="1:9" x14ac:dyDescent="0.25">
      <c r="A2623" s="16" t="s">
        <v>3568</v>
      </c>
      <c r="B2623" s="16" t="str">
        <f>TEXT(PARTIDA[[#This Row],[PARTIDA]],"0000000000")</f>
        <v>2941906090</v>
      </c>
      <c r="C2623" s="16" t="s">
        <v>815</v>
      </c>
      <c r="D2623" s="16" t="s">
        <v>835</v>
      </c>
      <c r="E2623" s="16" t="s">
        <v>9465</v>
      </c>
      <c r="F2623" s="27" t="s">
        <v>11613</v>
      </c>
      <c r="G2623" s="27"/>
      <c r="H2623" s="16" t="str">
        <f>IF(ISBLANK(PARTIDAS!$G2623),PARTIDAS!$F2623,CONCATENATE(PARTIDAS!$F2623," (",PARTIDAS!$G2623,")"))</f>
        <v>Cefalexina (DCI) y sus derivados (los demás)</v>
      </c>
      <c r="I2623" s="16" t="s">
        <v>9427</v>
      </c>
    </row>
    <row r="2624" spans="1:9" x14ac:dyDescent="0.25">
      <c r="A2624" s="16" t="s">
        <v>3569</v>
      </c>
      <c r="B2624" s="16" t="str">
        <f>TEXT(PARTIDA[[#This Row],[PARTIDA]],"0000000000")</f>
        <v>2941909000</v>
      </c>
      <c r="C2624" s="16" t="s">
        <v>815</v>
      </c>
      <c r="D2624" s="16" t="s">
        <v>835</v>
      </c>
      <c r="E2624" s="16" t="s">
        <v>9465</v>
      </c>
      <c r="F2624" s="27" t="s">
        <v>11614</v>
      </c>
      <c r="G2624" s="27"/>
      <c r="H2624" s="16" t="str">
        <f>IF(ISBLANK(PARTIDAS!$G2624),PARTIDAS!$F2624,CONCATENATE(PARTIDAS!$F2624," (",PARTIDAS!$G2624,")"))</f>
        <v>Antibióticos (los demás)</v>
      </c>
      <c r="I2624" s="16" t="s">
        <v>9427</v>
      </c>
    </row>
    <row r="2625" spans="1:9" x14ac:dyDescent="0.25">
      <c r="A2625" s="16" t="s">
        <v>3570</v>
      </c>
      <c r="B2625" s="16" t="str">
        <f>TEXT(PARTIDA[[#This Row],[PARTIDA]],"0000000000")</f>
        <v>2942000000</v>
      </c>
      <c r="C2625" s="16" t="s">
        <v>815</v>
      </c>
      <c r="D2625" s="16" t="s">
        <v>835</v>
      </c>
      <c r="E2625" s="16" t="s">
        <v>9465</v>
      </c>
      <c r="F2625" s="27" t="s">
        <v>3571</v>
      </c>
      <c r="G2625" s="27"/>
      <c r="H2625" s="16" t="str">
        <f>IF(ISBLANK(PARTIDAS!$G2625),PARTIDAS!$F2625,CONCATENATE(PARTIDAS!$F2625," (",PARTIDAS!$G2625,")"))</f>
        <v>Los demás compuestos orgánicos.</v>
      </c>
      <c r="I2625" s="16" t="s">
        <v>9427</v>
      </c>
    </row>
    <row r="2626" spans="1:9" x14ac:dyDescent="0.25">
      <c r="A2626" s="16" t="s">
        <v>3572</v>
      </c>
      <c r="B2626" s="16" t="str">
        <f>TEXT(PARTIDA[[#This Row],[PARTIDA]],"0000000000")</f>
        <v>3001201000</v>
      </c>
      <c r="C2626" s="16" t="s">
        <v>786</v>
      </c>
      <c r="D2626" s="16" t="s">
        <v>787</v>
      </c>
      <c r="E2626" s="16" t="s">
        <v>9433</v>
      </c>
      <c r="F2626" s="27" t="s">
        <v>11615</v>
      </c>
      <c r="G2626" s="27"/>
      <c r="H2626" s="16" t="str">
        <f>IF(ISBLANK(PARTIDAS!$G2626),PARTIDAS!$F2626,CONCATENATE(PARTIDAS!$F2626," (",PARTIDAS!$G2626,")"))</f>
        <v>Extractos de glándulas o de otros órganos o de sus secreciones, de hígado</v>
      </c>
      <c r="I2626" s="16" t="s">
        <v>9427</v>
      </c>
    </row>
    <row r="2627" spans="1:9" x14ac:dyDescent="0.25">
      <c r="A2627" s="16" t="s">
        <v>3573</v>
      </c>
      <c r="B2627" s="16" t="str">
        <f>TEXT(PARTIDA[[#This Row],[PARTIDA]],"0000000000")</f>
        <v>3001202000</v>
      </c>
      <c r="C2627" s="16" t="s">
        <v>786</v>
      </c>
      <c r="D2627" s="16" t="s">
        <v>787</v>
      </c>
      <c r="E2627" s="16" t="s">
        <v>9433</v>
      </c>
      <c r="F2627" s="27" t="s">
        <v>11616</v>
      </c>
      <c r="G2627" s="27"/>
      <c r="H2627" s="16" t="str">
        <f>IF(ISBLANK(PARTIDAS!$G2627),PARTIDAS!$F2627,CONCATENATE(PARTIDAS!$F2627," (",PARTIDAS!$G2627,")"))</f>
        <v>Extractos de glándulas o de otros órganos o de sus secreciones, de bilis</v>
      </c>
      <c r="I2627" s="16" t="s">
        <v>9427</v>
      </c>
    </row>
    <row r="2628" spans="1:9" x14ac:dyDescent="0.25">
      <c r="A2628" s="16" t="s">
        <v>3574</v>
      </c>
      <c r="B2628" s="16" t="str">
        <f>TEXT(PARTIDA[[#This Row],[PARTIDA]],"0000000000")</f>
        <v>3001209000</v>
      </c>
      <c r="C2628" s="16" t="s">
        <v>786</v>
      </c>
      <c r="D2628" s="16" t="s">
        <v>787</v>
      </c>
      <c r="E2628" s="16" t="s">
        <v>9433</v>
      </c>
      <c r="F2628" s="27" t="s">
        <v>11617</v>
      </c>
      <c r="G2628" s="27"/>
      <c r="H2628" s="16" t="str">
        <f>IF(ISBLANK(PARTIDAS!$G2628),PARTIDAS!$F2628,CONCATENATE(PARTIDAS!$F2628," (",PARTIDAS!$G2628,")"))</f>
        <v>Extractos de glándulas o de otros órganos o de sus secreciones (los demás)</v>
      </c>
      <c r="I2628" s="16" t="s">
        <v>9427</v>
      </c>
    </row>
    <row r="2629" spans="1:9" x14ac:dyDescent="0.25">
      <c r="A2629" s="16" t="s">
        <v>3575</v>
      </c>
      <c r="B2629" s="16" t="str">
        <f>TEXT(PARTIDA[[#This Row],[PARTIDA]],"0000000000")</f>
        <v>3001901000</v>
      </c>
      <c r="C2629" s="16" t="s">
        <v>786</v>
      </c>
      <c r="D2629" s="16" t="s">
        <v>787</v>
      </c>
      <c r="E2629" s="16" t="s">
        <v>9433</v>
      </c>
      <c r="F2629" s="27" t="s">
        <v>11618</v>
      </c>
      <c r="G2629" s="27"/>
      <c r="H2629" s="16" t="str">
        <f>IF(ISBLANK(PARTIDAS!$G2629),PARTIDAS!$F2629,CONCATENATE(PARTIDAS!$F2629," (",PARTIDAS!$G2629,")"))</f>
        <v>Heparina y sus sales</v>
      </c>
      <c r="I2629" s="16" t="s">
        <v>9427</v>
      </c>
    </row>
    <row r="2630" spans="1:9" x14ac:dyDescent="0.25">
      <c r="A2630" s="16" t="s">
        <v>3576</v>
      </c>
      <c r="B2630" s="16" t="str">
        <f>TEXT(PARTIDA[[#This Row],[PARTIDA]],"0000000000")</f>
        <v>3001909000</v>
      </c>
      <c r="C2630" s="16" t="s">
        <v>786</v>
      </c>
      <c r="D2630" s="16" t="s">
        <v>787</v>
      </c>
      <c r="E2630" s="16" t="s">
        <v>9433</v>
      </c>
      <c r="F2630" s="27" t="s">
        <v>11619</v>
      </c>
      <c r="G2630" s="27"/>
      <c r="H2630" s="16" t="str">
        <f>IF(ISBLANK(PARTIDAS!$G2630),PARTIDAS!$F2630,CONCATENATE(PARTIDAS!$F2630," (",PARTIDAS!$G2630,")"))</f>
        <v>Glándulas y demás órganos para usos opoterápicos, desecados, incluso… (los demás)</v>
      </c>
      <c r="I2630" s="16" t="s">
        <v>9427</v>
      </c>
    </row>
    <row r="2631" spans="1:9" x14ac:dyDescent="0.25">
      <c r="A2631" s="16" t="s">
        <v>3577</v>
      </c>
      <c r="B2631" s="16" t="str">
        <f>TEXT(PARTIDA[[#This Row],[PARTIDA]],"0000000000")</f>
        <v>3002110000</v>
      </c>
      <c r="C2631" s="16" t="s">
        <v>786</v>
      </c>
      <c r="D2631" s="16" t="s">
        <v>787</v>
      </c>
      <c r="E2631" s="16" t="s">
        <v>9433</v>
      </c>
      <c r="F2631" s="27" t="s">
        <v>11620</v>
      </c>
      <c r="G2631" s="27"/>
      <c r="H2631" s="16" t="str">
        <f>IF(ISBLANK(PARTIDAS!$G2631),PARTIDAS!$F2631,CONCATENATE(PARTIDAS!$F2631," (",PARTIDAS!$G2631,")"))</f>
        <v>Kit para el diagnóstico de la malaria (paludismo)</v>
      </c>
      <c r="I2631" s="16" t="s">
        <v>9648</v>
      </c>
    </row>
    <row r="2632" spans="1:9" x14ac:dyDescent="0.25">
      <c r="A2632" s="16" t="s">
        <v>3578</v>
      </c>
      <c r="B2632" s="16" t="str">
        <f>TEXT(PARTIDA[[#This Row],[PARTIDA]],"0000000000")</f>
        <v>3002121100</v>
      </c>
      <c r="C2632" s="16" t="s">
        <v>786</v>
      </c>
      <c r="D2632" s="16" t="s">
        <v>787</v>
      </c>
      <c r="E2632" s="16" t="s">
        <v>9433</v>
      </c>
      <c r="F2632" s="27" t="s">
        <v>11621</v>
      </c>
      <c r="G2632" s="27"/>
      <c r="H2632" s="16" t="str">
        <f>IF(ISBLANK(PARTIDAS!$G2632),PARTIDAS!$F2632,CONCATENATE(PARTIDAS!$F2632," (",PARTIDAS!$G2632,")"))</f>
        <v>Antisueros (sueros con anticuerpos), antiofídico</v>
      </c>
      <c r="I2632" s="16" t="s">
        <v>9427</v>
      </c>
    </row>
    <row r="2633" spans="1:9" x14ac:dyDescent="0.25">
      <c r="A2633" s="16" t="s">
        <v>3579</v>
      </c>
      <c r="B2633" s="16" t="str">
        <f>TEXT(PARTIDA[[#This Row],[PARTIDA]],"0000000000")</f>
        <v>3002121200</v>
      </c>
      <c r="C2633" s="16" t="s">
        <v>786</v>
      </c>
      <c r="D2633" s="16" t="s">
        <v>787</v>
      </c>
      <c r="E2633" s="16" t="s">
        <v>9433</v>
      </c>
      <c r="F2633" s="27" t="s">
        <v>3580</v>
      </c>
      <c r="G2633" s="27"/>
      <c r="H2633" s="16" t="str">
        <f>IF(ISBLANK(PARTIDAS!$G2633),PARTIDAS!$F2633,CONCATENATE(PARTIDAS!$F2633," (",PARTIDAS!$G2633,")"))</f>
        <v>Suero antidiftérico</v>
      </c>
      <c r="I2633" s="16" t="s">
        <v>9427</v>
      </c>
    </row>
    <row r="2634" spans="1:9" x14ac:dyDescent="0.25">
      <c r="A2634" s="16" t="s">
        <v>3581</v>
      </c>
      <c r="B2634" s="16" t="str">
        <f>TEXT(PARTIDA[[#This Row],[PARTIDA]],"0000000000")</f>
        <v>3002121300</v>
      </c>
      <c r="C2634" s="16" t="s">
        <v>786</v>
      </c>
      <c r="D2634" s="16" t="s">
        <v>787</v>
      </c>
      <c r="E2634" s="16" t="s">
        <v>9433</v>
      </c>
      <c r="F2634" s="27" t="s">
        <v>11622</v>
      </c>
      <c r="G2634" s="27"/>
      <c r="H2634" s="16" t="str">
        <f>IF(ISBLANK(PARTIDAS!$G2634),PARTIDAS!$F2634,CONCATENATE(PARTIDAS!$F2634," (",PARTIDAS!$G2634,")"))</f>
        <v>Antisueros (sueros con anticuerpos), antitetánico</v>
      </c>
      <c r="I2634" s="16" t="s">
        <v>9427</v>
      </c>
    </row>
    <row r="2635" spans="1:9" x14ac:dyDescent="0.25">
      <c r="A2635" s="16" t="s">
        <v>3582</v>
      </c>
      <c r="B2635" s="16" t="str">
        <f>TEXT(PARTIDA[[#This Row],[PARTIDA]],"0000000000")</f>
        <v>3002121900</v>
      </c>
      <c r="C2635" s="16" t="s">
        <v>786</v>
      </c>
      <c r="D2635" s="16" t="s">
        <v>787</v>
      </c>
      <c r="E2635" s="16" t="s">
        <v>9433</v>
      </c>
      <c r="F2635" s="27" t="s">
        <v>3583</v>
      </c>
      <c r="G2635" s="27"/>
      <c r="H2635" s="16" t="str">
        <f>IF(ISBLANK(PARTIDAS!$G2635),PARTIDAS!$F2635,CONCATENATE(PARTIDAS!$F2635," (",PARTIDAS!$G2635,")"))</f>
        <v>Productos farmacéuticos</v>
      </c>
      <c r="I2635" s="16" t="s">
        <v>9427</v>
      </c>
    </row>
    <row r="2636" spans="1:9" x14ac:dyDescent="0.25">
      <c r="A2636" s="16" t="s">
        <v>3584</v>
      </c>
      <c r="B2636" s="16" t="str">
        <f>TEXT(PARTIDA[[#This Row],[PARTIDA]],"0000000000")</f>
        <v>3002122100</v>
      </c>
      <c r="C2636" s="16" t="s">
        <v>786</v>
      </c>
      <c r="D2636" s="16" t="s">
        <v>787</v>
      </c>
      <c r="E2636" s="16" t="s">
        <v>9433</v>
      </c>
      <c r="F2636" s="27" t="s">
        <v>11623</v>
      </c>
      <c r="G2636" s="27"/>
      <c r="H2636" s="16" t="str">
        <f>IF(ISBLANK(PARTIDAS!$G2636),PARTIDAS!$F2636,CONCATENATE(PARTIDAS!$F2636," (",PARTIDAS!$G2636,")"))</f>
        <v>Plasma humano</v>
      </c>
      <c r="I2636" s="16" t="s">
        <v>9427</v>
      </c>
    </row>
    <row r="2637" spans="1:9" x14ac:dyDescent="0.25">
      <c r="A2637" s="16" t="s">
        <v>3585</v>
      </c>
      <c r="B2637" s="16" t="str">
        <f>TEXT(PARTIDA[[#This Row],[PARTIDA]],"0000000000")</f>
        <v>3002122900</v>
      </c>
      <c r="C2637" s="16" t="s">
        <v>786</v>
      </c>
      <c r="D2637" s="16" t="s">
        <v>787</v>
      </c>
      <c r="E2637" s="16" t="s">
        <v>9433</v>
      </c>
      <c r="F2637" s="27" t="s">
        <v>11624</v>
      </c>
      <c r="G2637" s="27"/>
      <c r="H2637" s="16" t="str">
        <f>IF(ISBLANK(PARTIDAS!$G2637),PARTIDAS!$F2637,CONCATENATE(PARTIDAS!$F2637," (",PARTIDAS!$G2637,")"))</f>
        <v>Antisueros (sueros con anticuerpos) y demás fracciones de la sangre (los demás)</v>
      </c>
      <c r="I2637" s="16" t="s">
        <v>9427</v>
      </c>
    </row>
    <row r="2638" spans="1:9" x14ac:dyDescent="0.25">
      <c r="A2638" s="16" t="s">
        <v>3586</v>
      </c>
      <c r="B2638" s="16" t="str">
        <f>TEXT(PARTIDA[[#This Row],[PARTIDA]],"0000000000")</f>
        <v>3002131000</v>
      </c>
      <c r="C2638" s="16" t="s">
        <v>786</v>
      </c>
      <c r="D2638" s="16" t="s">
        <v>787</v>
      </c>
      <c r="E2638" s="16" t="s">
        <v>9433</v>
      </c>
      <c r="F2638" s="27" t="s">
        <v>11625</v>
      </c>
      <c r="G2638" s="27"/>
      <c r="H2638" s="16" t="str">
        <f>IF(ISBLANK(PARTIDAS!$G2638),PARTIDAS!$F2638,CONCATENATE(PARTIDAS!$F2638," (",PARTIDAS!$G2638,")"))</f>
        <v>Productos inmunológicos sin mezclar, sin dosificar ni acondicionar…, para tratamiento oncológico o VIH</v>
      </c>
      <c r="I2638" s="16" t="s">
        <v>9427</v>
      </c>
    </row>
    <row r="2639" spans="1:9" x14ac:dyDescent="0.25">
      <c r="A2639" s="16" t="s">
        <v>3587</v>
      </c>
      <c r="B2639" s="16" t="str">
        <f>TEXT(PARTIDA[[#This Row],[PARTIDA]],"0000000000")</f>
        <v>3002132000</v>
      </c>
      <c r="C2639" s="16" t="s">
        <v>786</v>
      </c>
      <c r="D2639" s="16" t="s">
        <v>787</v>
      </c>
      <c r="E2639" s="16" t="s">
        <v>9433</v>
      </c>
      <c r="F2639" s="27" t="s">
        <v>11626</v>
      </c>
      <c r="G2639" s="27"/>
      <c r="H2639" s="16" t="str">
        <f>IF(ISBLANK(PARTIDAS!$G2639),PARTIDAS!$F2639,CONCATENATE(PARTIDAS!$F2639," (",PARTIDAS!$G2639,")"))</f>
        <v>Reactivos de laboratorio o de diagnóstico que no se empleen en el paciente</v>
      </c>
      <c r="I2639" s="16" t="s">
        <v>9648</v>
      </c>
    </row>
    <row r="2640" spans="1:9" x14ac:dyDescent="0.25">
      <c r="A2640" s="16" t="s">
        <v>3588</v>
      </c>
      <c r="B2640" s="16" t="str">
        <f>TEXT(PARTIDA[[#This Row],[PARTIDA]],"0000000000")</f>
        <v>3002139000</v>
      </c>
      <c r="C2640" s="16" t="s">
        <v>786</v>
      </c>
      <c r="D2640" s="16" t="s">
        <v>787</v>
      </c>
      <c r="E2640" s="16" t="s">
        <v>9433</v>
      </c>
      <c r="F2640" s="27" t="s">
        <v>11627</v>
      </c>
      <c r="G2640" s="27"/>
      <c r="H2640" s="16" t="str">
        <f>IF(ISBLANK(PARTIDAS!$G2640),PARTIDAS!$F2640,CONCATENATE(PARTIDAS!$F2640," (",PARTIDAS!$G2640,")"))</f>
        <v>Productos inmunológicos sin mezclar, sin dosificar ni acondicionar… (los demás)</v>
      </c>
      <c r="I2640" s="16" t="s">
        <v>9427</v>
      </c>
    </row>
    <row r="2641" spans="1:9" x14ac:dyDescent="0.25">
      <c r="A2641" s="16" t="s">
        <v>3589</v>
      </c>
      <c r="B2641" s="16" t="str">
        <f>TEXT(PARTIDA[[#This Row],[PARTIDA]],"0000000000")</f>
        <v>3002141000</v>
      </c>
      <c r="C2641" s="16" t="s">
        <v>786</v>
      </c>
      <c r="D2641" s="16" t="s">
        <v>787</v>
      </c>
      <c r="E2641" s="16" t="s">
        <v>9433</v>
      </c>
      <c r="F2641" s="27" t="s">
        <v>11628</v>
      </c>
      <c r="G2641" s="27"/>
      <c r="H2641" s="16" t="str">
        <f>IF(ISBLANK(PARTIDAS!$G2641),PARTIDAS!$F2641,CONCATENATE(PARTIDAS!$F2641," (",PARTIDAS!$G2641,")"))</f>
        <v>Productos inmunológicos mezclados, sin dosificar ni acondicionar para…, para tratamiento oncológico o VIH</v>
      </c>
      <c r="I2641" s="16" t="s">
        <v>9427</v>
      </c>
    </row>
    <row r="2642" spans="1:9" x14ac:dyDescent="0.25">
      <c r="A2642" s="16" t="s">
        <v>3590</v>
      </c>
      <c r="B2642" s="16" t="str">
        <f>TEXT(PARTIDA[[#This Row],[PARTIDA]],"0000000000")</f>
        <v>3002142000</v>
      </c>
      <c r="C2642" s="16" t="s">
        <v>786</v>
      </c>
      <c r="D2642" s="16" t="s">
        <v>787</v>
      </c>
      <c r="E2642" s="16" t="s">
        <v>9433</v>
      </c>
      <c r="F2642" s="27" t="s">
        <v>11626</v>
      </c>
      <c r="G2642" s="27"/>
      <c r="H2642" s="16" t="str">
        <f>IF(ISBLANK(PARTIDAS!$G2642),PARTIDAS!$F2642,CONCATENATE(PARTIDAS!$F2642," (",PARTIDAS!$G2642,")"))</f>
        <v>Reactivos de laboratorio o de diagnóstico que no se empleen en el paciente</v>
      </c>
      <c r="I2642" s="16" t="s">
        <v>9648</v>
      </c>
    </row>
    <row r="2643" spans="1:9" x14ac:dyDescent="0.25">
      <c r="A2643" s="16" t="s">
        <v>3591</v>
      </c>
      <c r="B2643" s="16" t="str">
        <f>TEXT(PARTIDA[[#This Row],[PARTIDA]],"0000000000")</f>
        <v>3002149000</v>
      </c>
      <c r="C2643" s="16" t="s">
        <v>786</v>
      </c>
      <c r="D2643" s="16" t="s">
        <v>787</v>
      </c>
      <c r="E2643" s="16" t="s">
        <v>9433</v>
      </c>
      <c r="F2643" s="27" t="s">
        <v>11629</v>
      </c>
      <c r="G2643" s="27"/>
      <c r="H2643" s="16" t="str">
        <f>IF(ISBLANK(PARTIDAS!$G2643),PARTIDAS!$F2643,CONCATENATE(PARTIDAS!$F2643," (",PARTIDAS!$G2643,")"))</f>
        <v>Productos inmunológicos mezclados, sin dosificar ni acondicionar para… (los demás)</v>
      </c>
      <c r="I2643" s="16" t="s">
        <v>9427</v>
      </c>
    </row>
    <row r="2644" spans="1:9" x14ac:dyDescent="0.25">
      <c r="A2644" s="16" t="s">
        <v>3592</v>
      </c>
      <c r="B2644" s="16" t="str">
        <f>TEXT(PARTIDA[[#This Row],[PARTIDA]],"0000000000")</f>
        <v>3002151000</v>
      </c>
      <c r="C2644" s="16" t="s">
        <v>786</v>
      </c>
      <c r="D2644" s="16" t="s">
        <v>787</v>
      </c>
      <c r="E2644" s="16" t="s">
        <v>9433</v>
      </c>
      <c r="F2644" s="27" t="s">
        <v>11630</v>
      </c>
      <c r="G2644" s="27"/>
      <c r="H2644" s="16" t="str">
        <f>IF(ISBLANK(PARTIDAS!$G2644),PARTIDAS!$F2644,CONCATENATE(PARTIDAS!$F2644," (",PARTIDAS!$G2644,")"))</f>
        <v>Productos inmunológicos dosificados o acondicionados para la venta al…, para tratamiento oncológico o VIH</v>
      </c>
      <c r="I2644" s="16" t="s">
        <v>9427</v>
      </c>
    </row>
    <row r="2645" spans="1:9" x14ac:dyDescent="0.25">
      <c r="A2645" s="16" t="s">
        <v>3593</v>
      </c>
      <c r="B2645" s="16" t="str">
        <f>TEXT(PARTIDA[[#This Row],[PARTIDA]],"0000000000")</f>
        <v>3002152000</v>
      </c>
      <c r="C2645" s="16" t="s">
        <v>786</v>
      </c>
      <c r="D2645" s="16" t="s">
        <v>787</v>
      </c>
      <c r="E2645" s="16" t="s">
        <v>9433</v>
      </c>
      <c r="F2645" s="27" t="s">
        <v>11626</v>
      </c>
      <c r="G2645" s="27"/>
      <c r="H2645" s="16" t="str">
        <f>IF(ISBLANK(PARTIDAS!$G2645),PARTIDAS!$F2645,CONCATENATE(PARTIDAS!$F2645," (",PARTIDAS!$G2645,")"))</f>
        <v>Reactivos de laboratorio o de diagnóstico que no se empleen en el paciente</v>
      </c>
      <c r="I2645" s="16" t="s">
        <v>9648</v>
      </c>
    </row>
    <row r="2646" spans="1:9" x14ac:dyDescent="0.25">
      <c r="A2646" s="16" t="s">
        <v>3594</v>
      </c>
      <c r="B2646" s="16" t="str">
        <f>TEXT(PARTIDA[[#This Row],[PARTIDA]],"0000000000")</f>
        <v>3002159000</v>
      </c>
      <c r="C2646" s="16" t="s">
        <v>786</v>
      </c>
      <c r="D2646" s="16" t="s">
        <v>787</v>
      </c>
      <c r="E2646" s="16" t="s">
        <v>9433</v>
      </c>
      <c r="F2646" s="27" t="s">
        <v>11631</v>
      </c>
      <c r="G2646" s="27"/>
      <c r="H2646" s="16" t="str">
        <f>IF(ISBLANK(PARTIDAS!$G2646),PARTIDAS!$F2646,CONCATENATE(PARTIDAS!$F2646," (",PARTIDAS!$G2646,")"))</f>
        <v>Productos inmunológicos dosificados o acondicionados para la venta al… (los demás)</v>
      </c>
      <c r="I2646" s="16" t="s">
        <v>9427</v>
      </c>
    </row>
    <row r="2647" spans="1:9" x14ac:dyDescent="0.25">
      <c r="A2647" s="16" t="s">
        <v>3595</v>
      </c>
      <c r="B2647" s="16" t="str">
        <f>TEXT(PARTIDA[[#This Row],[PARTIDA]],"0000000000")</f>
        <v>3002191000</v>
      </c>
      <c r="C2647" s="16" t="s">
        <v>786</v>
      </c>
      <c r="D2647" s="16" t="s">
        <v>787</v>
      </c>
      <c r="E2647" s="16" t="s">
        <v>9433</v>
      </c>
      <c r="F2647" s="27" t="s">
        <v>11632</v>
      </c>
      <c r="G2647" s="27"/>
      <c r="H2647" s="16" t="str">
        <f>IF(ISBLANK(PARTIDAS!$G2647),PARTIDAS!$F2647,CONCATENATE(PARTIDAS!$F2647," (",PARTIDAS!$G2647,")"))</f>
        <v>Para tratamiento oncológico o VIH</v>
      </c>
      <c r="I2647" s="16" t="s">
        <v>9648</v>
      </c>
    </row>
    <row r="2648" spans="1:9" x14ac:dyDescent="0.25">
      <c r="A2648" s="16" t="s">
        <v>3596</v>
      </c>
      <c r="B2648" s="16" t="str">
        <f>TEXT(PARTIDA[[#This Row],[PARTIDA]],"0000000000")</f>
        <v>3002192000</v>
      </c>
      <c r="C2648" s="16" t="s">
        <v>786</v>
      </c>
      <c r="D2648" s="16" t="s">
        <v>787</v>
      </c>
      <c r="E2648" s="16" t="s">
        <v>9433</v>
      </c>
      <c r="F2648" s="27" t="s">
        <v>11626</v>
      </c>
      <c r="G2648" s="27"/>
      <c r="H2648" s="16" t="str">
        <f>IF(ISBLANK(PARTIDAS!$G2648),PARTIDAS!$F2648,CONCATENATE(PARTIDAS!$F2648," (",PARTIDAS!$G2648,")"))</f>
        <v>Reactivos de laboratorio o de diagnóstico que no se empleen en el paciente</v>
      </c>
      <c r="I2648" s="16" t="s">
        <v>9648</v>
      </c>
    </row>
    <row r="2649" spans="1:9" x14ac:dyDescent="0.25">
      <c r="A2649" s="16" t="s">
        <v>3597</v>
      </c>
      <c r="B2649" s="16" t="str">
        <f>TEXT(PARTIDA[[#This Row],[PARTIDA]],"0000000000")</f>
        <v>3002199000</v>
      </c>
      <c r="C2649" s="16" t="s">
        <v>786</v>
      </c>
      <c r="D2649" s="16" t="s">
        <v>787</v>
      </c>
      <c r="E2649" s="16" t="s">
        <v>9433</v>
      </c>
      <c r="F2649" s="27" t="s">
        <v>11633</v>
      </c>
      <c r="G2649" s="27"/>
      <c r="H2649" s="16" t="str">
        <f>IF(ISBLANK(PARTIDAS!$G2649),PARTIDAS!$F2649,CONCATENATE(PARTIDAS!$F2649," (",PARTIDAS!$G2649,")"))</f>
        <v>Sangre humana; sangre animal preparada para usos terapéuticos, profilá (los demás)</v>
      </c>
      <c r="I2649" s="16" t="s">
        <v>9648</v>
      </c>
    </row>
    <row r="2650" spans="1:9" x14ac:dyDescent="0.25">
      <c r="A2650" s="16" t="s">
        <v>3598</v>
      </c>
      <c r="B2650" s="16" t="str">
        <f>TEXT(PARTIDA[[#This Row],[PARTIDA]],"0000000000")</f>
        <v>3002201000</v>
      </c>
      <c r="C2650" s="16" t="s">
        <v>786</v>
      </c>
      <c r="D2650" s="16" t="s">
        <v>787</v>
      </c>
      <c r="E2650" s="16" t="s">
        <v>9433</v>
      </c>
      <c r="F2650" s="27" t="s">
        <v>11634</v>
      </c>
      <c r="G2650" s="27"/>
      <c r="H2650" s="16" t="str">
        <f>IF(ISBLANK(PARTIDAS!$G2650),PARTIDAS!$F2650,CONCATENATE(PARTIDAS!$F2650," (",PARTIDAS!$G2650,")"))</f>
        <v>Vacuna antipoliomielítica</v>
      </c>
      <c r="I2650" s="16" t="s">
        <v>9648</v>
      </c>
    </row>
    <row r="2651" spans="1:9" x14ac:dyDescent="0.25">
      <c r="A2651" s="16" t="s">
        <v>3599</v>
      </c>
      <c r="B2651" s="16" t="str">
        <f>TEXT(PARTIDA[[#This Row],[PARTIDA]],"0000000000")</f>
        <v>3002202000</v>
      </c>
      <c r="C2651" s="16" t="s">
        <v>786</v>
      </c>
      <c r="D2651" s="16" t="s">
        <v>787</v>
      </c>
      <c r="E2651" s="16" t="s">
        <v>9433</v>
      </c>
      <c r="F2651" s="27" t="s">
        <v>11635</v>
      </c>
      <c r="G2651" s="27"/>
      <c r="H2651" s="16" t="str">
        <f>IF(ISBLANK(PARTIDAS!$G2651),PARTIDAS!$F2651,CONCATENATE(PARTIDAS!$F2651," (",PARTIDAS!$G2651,")"))</f>
        <v>Vacuna antirrábica</v>
      </c>
      <c r="I2651" s="16" t="s">
        <v>9648</v>
      </c>
    </row>
    <row r="2652" spans="1:9" x14ac:dyDescent="0.25">
      <c r="A2652" s="16" t="s">
        <v>3600</v>
      </c>
      <c r="B2652" s="16" t="str">
        <f>TEXT(PARTIDA[[#This Row],[PARTIDA]],"0000000000")</f>
        <v>3002203000</v>
      </c>
      <c r="C2652" s="16" t="s">
        <v>786</v>
      </c>
      <c r="D2652" s="16" t="s">
        <v>787</v>
      </c>
      <c r="E2652" s="16" t="s">
        <v>9433</v>
      </c>
      <c r="F2652" s="27" t="s">
        <v>11636</v>
      </c>
      <c r="G2652" s="27"/>
      <c r="H2652" s="16" t="str">
        <f>IF(ISBLANK(PARTIDAS!$G2652),PARTIDAS!$F2652,CONCATENATE(PARTIDAS!$F2652," (",PARTIDAS!$G2652,")"))</f>
        <v>Vacuna antisarampionosa</v>
      </c>
      <c r="I2652" s="16" t="s">
        <v>9648</v>
      </c>
    </row>
    <row r="2653" spans="1:9" x14ac:dyDescent="0.25">
      <c r="A2653" s="16" t="s">
        <v>3601</v>
      </c>
      <c r="B2653" s="16" t="str">
        <f>TEXT(PARTIDA[[#This Row],[PARTIDA]],"0000000000")</f>
        <v>3002209000</v>
      </c>
      <c r="C2653" s="16" t="s">
        <v>786</v>
      </c>
      <c r="D2653" s="16" t="s">
        <v>787</v>
      </c>
      <c r="E2653" s="16" t="s">
        <v>9433</v>
      </c>
      <c r="F2653" s="27" t="s">
        <v>11633</v>
      </c>
      <c r="G2653" s="27"/>
      <c r="H2653" s="16" t="str">
        <f>IF(ISBLANK(PARTIDAS!$G2653),PARTIDAS!$F2653,CONCATENATE(PARTIDAS!$F2653," (",PARTIDAS!$G2653,")"))</f>
        <v>Sangre humana; sangre animal preparada para usos terapéuticos, profilá (los demás)</v>
      </c>
      <c r="I2653" s="16" t="s">
        <v>9648</v>
      </c>
    </row>
    <row r="2654" spans="1:9" x14ac:dyDescent="0.25">
      <c r="A2654" s="16" t="s">
        <v>3602</v>
      </c>
      <c r="B2654" s="16" t="str">
        <f>TEXT(PARTIDA[[#This Row],[PARTIDA]],"0000000000")</f>
        <v>3002301000</v>
      </c>
      <c r="C2654" s="16" t="s">
        <v>786</v>
      </c>
      <c r="D2654" s="16" t="s">
        <v>787</v>
      </c>
      <c r="E2654" s="16" t="s">
        <v>9433</v>
      </c>
      <c r="F2654" s="27" t="s">
        <v>11637</v>
      </c>
      <c r="G2654" s="27"/>
      <c r="H2654" s="16" t="str">
        <f>IF(ISBLANK(PARTIDAS!$G2654),PARTIDAS!$F2654,CONCATENATE(PARTIDAS!$F2654," (",PARTIDAS!$G2654,")"))</f>
        <v>Antiaftosa</v>
      </c>
      <c r="I2654" s="16" t="s">
        <v>9648</v>
      </c>
    </row>
    <row r="2655" spans="1:9" x14ac:dyDescent="0.25">
      <c r="A2655" s="16" t="s">
        <v>3603</v>
      </c>
      <c r="B2655" s="16" t="str">
        <f>TEXT(PARTIDA[[#This Row],[PARTIDA]],"0000000000")</f>
        <v>3002309000</v>
      </c>
      <c r="C2655" s="16" t="s">
        <v>786</v>
      </c>
      <c r="D2655" s="16" t="s">
        <v>787</v>
      </c>
      <c r="E2655" s="16" t="s">
        <v>9433</v>
      </c>
      <c r="F2655" s="27" t="s">
        <v>11633</v>
      </c>
      <c r="G2655" s="27"/>
      <c r="H2655" s="16" t="str">
        <f>IF(ISBLANK(PARTIDAS!$G2655),PARTIDAS!$F2655,CONCATENATE(PARTIDAS!$F2655," (",PARTIDAS!$G2655,")"))</f>
        <v>Sangre humana; sangre animal preparada para usos terapéuticos, profilá (los demás)</v>
      </c>
      <c r="I2655" s="16" t="s">
        <v>9648</v>
      </c>
    </row>
    <row r="2656" spans="1:9" x14ac:dyDescent="0.25">
      <c r="A2656" s="16" t="s">
        <v>11638</v>
      </c>
      <c r="B2656" s="16" t="str">
        <f>TEXT(PARTIDA[[#This Row],[PARTIDA]],"0000000000")</f>
        <v>3002411000</v>
      </c>
      <c r="C2656" s="16" t="s">
        <v>786</v>
      </c>
      <c r="D2656" s="16" t="s">
        <v>787</v>
      </c>
      <c r="E2656" s="16" t="s">
        <v>9433</v>
      </c>
      <c r="F2656" s="27" t="s">
        <v>11639</v>
      </c>
      <c r="G2656" s="27"/>
      <c r="H2656" s="16" t="str">
        <f>IF(ISBLANK(PARTIDAS!$G2656),PARTIDAS!$F2656,CONCATENATE(PARTIDAS!$F2656," (",PARTIDAS!$G2656,")"))</f>
        <v>Vacunas para uso en medicina humana, antipoliomielítica</v>
      </c>
      <c r="I2656" s="16" t="s">
        <v>9427</v>
      </c>
    </row>
    <row r="2657" spans="1:9" x14ac:dyDescent="0.25">
      <c r="A2657" s="16" t="s">
        <v>11640</v>
      </c>
      <c r="B2657" s="16" t="str">
        <f>TEXT(PARTIDA[[#This Row],[PARTIDA]],"0000000000")</f>
        <v>3002412000</v>
      </c>
      <c r="C2657" s="16" t="s">
        <v>786</v>
      </c>
      <c r="D2657" s="16" t="s">
        <v>787</v>
      </c>
      <c r="E2657" s="16" t="s">
        <v>9433</v>
      </c>
      <c r="F2657" s="27" t="s">
        <v>11641</v>
      </c>
      <c r="G2657" s="27"/>
      <c r="H2657" s="16" t="str">
        <f>IF(ISBLANK(PARTIDAS!$G2657),PARTIDAS!$F2657,CONCATENATE(PARTIDAS!$F2657," (",PARTIDAS!$G2657,")"))</f>
        <v>Vacunas para uso en medicina humana, antirrábica</v>
      </c>
      <c r="I2657" s="16" t="s">
        <v>9427</v>
      </c>
    </row>
    <row r="2658" spans="1:9" x14ac:dyDescent="0.25">
      <c r="A2658" s="16" t="s">
        <v>11642</v>
      </c>
      <c r="B2658" s="16" t="str">
        <f>TEXT(PARTIDA[[#This Row],[PARTIDA]],"0000000000")</f>
        <v>3002413000</v>
      </c>
      <c r="C2658" s="16" t="s">
        <v>786</v>
      </c>
      <c r="D2658" s="16" t="s">
        <v>787</v>
      </c>
      <c r="E2658" s="16" t="s">
        <v>9433</v>
      </c>
      <c r="F2658" s="27" t="s">
        <v>11643</v>
      </c>
      <c r="G2658" s="27"/>
      <c r="H2658" s="16" t="str">
        <f>IF(ISBLANK(PARTIDAS!$G2658),PARTIDAS!$F2658,CONCATENATE(PARTIDAS!$F2658," (",PARTIDAS!$G2658,")"))</f>
        <v>Vacunas para uso en medicina humana, antisarampionosa</v>
      </c>
      <c r="I2658" s="16" t="s">
        <v>9427</v>
      </c>
    </row>
    <row r="2659" spans="1:9" x14ac:dyDescent="0.25">
      <c r="A2659" s="16" t="s">
        <v>11644</v>
      </c>
      <c r="B2659" s="16" t="str">
        <f>TEXT(PARTIDA[[#This Row],[PARTIDA]],"0000000000")</f>
        <v>3002414000</v>
      </c>
      <c r="C2659" s="16" t="s">
        <v>786</v>
      </c>
      <c r="D2659" s="16" t="s">
        <v>787</v>
      </c>
      <c r="E2659" s="16" t="s">
        <v>9433</v>
      </c>
      <c r="F2659" s="27" t="s">
        <v>11645</v>
      </c>
      <c r="G2659" s="27"/>
      <c r="H2659" s="16" t="str">
        <f>IF(ISBLANK(PARTIDAS!$G2659),PARTIDAS!$F2659,CONCATENATE(PARTIDAS!$F2659," (",PARTIDAS!$G2659,")"))</f>
        <v>Vacunas para uso en medicina humana, antiCOVID-19</v>
      </c>
      <c r="I2659" s="16" t="s">
        <v>9427</v>
      </c>
    </row>
    <row r="2660" spans="1:9" x14ac:dyDescent="0.25">
      <c r="A2660" s="16" t="s">
        <v>11646</v>
      </c>
      <c r="B2660" s="16" t="str">
        <f>TEXT(PARTIDA[[#This Row],[PARTIDA]],"0000000000")</f>
        <v>3002419000</v>
      </c>
      <c r="C2660" s="16" t="s">
        <v>786</v>
      </c>
      <c r="D2660" s="16" t="s">
        <v>787</v>
      </c>
      <c r="E2660" s="16" t="s">
        <v>9433</v>
      </c>
      <c r="F2660" s="27" t="s">
        <v>11647</v>
      </c>
      <c r="G2660" s="27"/>
      <c r="H2660" s="16" t="str">
        <f>IF(ISBLANK(PARTIDAS!$G2660),PARTIDAS!$F2660,CONCATENATE(PARTIDAS!$F2660," (",PARTIDAS!$G2660,")"))</f>
        <v>Vacunas para uso en medicina humana (los demás)</v>
      </c>
      <c r="I2660" s="16" t="s">
        <v>9427</v>
      </c>
    </row>
    <row r="2661" spans="1:9" x14ac:dyDescent="0.25">
      <c r="A2661" s="16" t="s">
        <v>11648</v>
      </c>
      <c r="B2661" s="16" t="str">
        <f>TEXT(PARTIDA[[#This Row],[PARTIDA]],"0000000000")</f>
        <v>3002421000</v>
      </c>
      <c r="C2661" s="16" t="s">
        <v>786</v>
      </c>
      <c r="D2661" s="16" t="s">
        <v>787</v>
      </c>
      <c r="E2661" s="16" t="s">
        <v>9433</v>
      </c>
      <c r="F2661" s="27" t="s">
        <v>11649</v>
      </c>
      <c r="G2661" s="27"/>
      <c r="H2661" s="16" t="str">
        <f>IF(ISBLANK(PARTIDAS!$G2661),PARTIDAS!$F2661,CONCATENATE(PARTIDAS!$F2661," (",PARTIDAS!$G2661,")"))</f>
        <v>Vacunas para uso en medicina veterinaria, antiaftosa</v>
      </c>
      <c r="I2661" s="16" t="s">
        <v>9427</v>
      </c>
    </row>
    <row r="2662" spans="1:9" x14ac:dyDescent="0.25">
      <c r="A2662" s="16" t="s">
        <v>11650</v>
      </c>
      <c r="B2662" s="16" t="str">
        <f>TEXT(PARTIDA[[#This Row],[PARTIDA]],"0000000000")</f>
        <v>3002429000</v>
      </c>
      <c r="C2662" s="16" t="s">
        <v>786</v>
      </c>
      <c r="D2662" s="16" t="s">
        <v>787</v>
      </c>
      <c r="E2662" s="16" t="s">
        <v>9433</v>
      </c>
      <c r="F2662" s="27" t="s">
        <v>11651</v>
      </c>
      <c r="G2662" s="27"/>
      <c r="H2662" s="16" t="str">
        <f>IF(ISBLANK(PARTIDAS!$G2662),PARTIDAS!$F2662,CONCATENATE(PARTIDAS!$F2662," (",PARTIDAS!$G2662,")"))</f>
        <v>Vacunas para uso en medicina veterinaria (los demás)</v>
      </c>
      <c r="I2662" s="16" t="s">
        <v>9427</v>
      </c>
    </row>
    <row r="2663" spans="1:9" x14ac:dyDescent="0.25">
      <c r="A2663" s="16" t="s">
        <v>11652</v>
      </c>
      <c r="B2663" s="16" t="str">
        <f>TEXT(PARTIDA[[#This Row],[PARTIDA]],"0000000000")</f>
        <v>3002491000</v>
      </c>
      <c r="C2663" s="16" t="s">
        <v>786</v>
      </c>
      <c r="D2663" s="16" t="s">
        <v>787</v>
      </c>
      <c r="E2663" s="16" t="s">
        <v>9433</v>
      </c>
      <c r="F2663" s="27" t="s">
        <v>11653</v>
      </c>
      <c r="G2663" s="27"/>
      <c r="H2663" s="16" t="str">
        <f>IF(ISBLANK(PARTIDAS!$G2663),PARTIDAS!$F2663,CONCATENATE(PARTIDAS!$F2663," (",PARTIDAS!$G2663,")"))</f>
        <v>Cultivos de microorganismos</v>
      </c>
      <c r="I2663" s="16" t="s">
        <v>9427</v>
      </c>
    </row>
    <row r="2664" spans="1:9" x14ac:dyDescent="0.25">
      <c r="A2664" s="16" t="s">
        <v>11654</v>
      </c>
      <c r="B2664" s="16" t="str">
        <f>TEXT(PARTIDA[[#This Row],[PARTIDA]],"0000000000")</f>
        <v>3002492000</v>
      </c>
      <c r="C2664" s="16" t="s">
        <v>786</v>
      </c>
      <c r="D2664" s="16" t="s">
        <v>787</v>
      </c>
      <c r="E2664" s="16" t="s">
        <v>9433</v>
      </c>
      <c r="F2664" s="27" t="s">
        <v>11655</v>
      </c>
      <c r="G2664" s="27"/>
      <c r="H2664" s="16" t="str">
        <f>IF(ISBLANK(PARTIDAS!$G2664),PARTIDAS!$F2664,CONCATENATE(PARTIDAS!$F2664," (",PARTIDAS!$G2664,")"))</f>
        <v>Vacunas, toxinas, cultivos de microorganismos, saxitoxina</v>
      </c>
      <c r="I2664" s="16" t="s">
        <v>9427</v>
      </c>
    </row>
    <row r="2665" spans="1:9" x14ac:dyDescent="0.25">
      <c r="A2665" s="16" t="s">
        <v>11656</v>
      </c>
      <c r="B2665" s="16" t="str">
        <f>TEXT(PARTIDA[[#This Row],[PARTIDA]],"0000000000")</f>
        <v>3002493000</v>
      </c>
      <c r="C2665" s="16" t="s">
        <v>786</v>
      </c>
      <c r="D2665" s="16" t="s">
        <v>787</v>
      </c>
      <c r="E2665" s="16" t="s">
        <v>9433</v>
      </c>
      <c r="F2665" s="27" t="s">
        <v>11657</v>
      </c>
      <c r="G2665" s="27"/>
      <c r="H2665" s="16" t="str">
        <f>IF(ISBLANK(PARTIDAS!$G2665),PARTIDAS!$F2665,CONCATENATE(PARTIDAS!$F2665," (",PARTIDAS!$G2665,")"))</f>
        <v>Vacunas, toxinas, cultivos de microorganismos, ricina</v>
      </c>
      <c r="I2665" s="16" t="s">
        <v>9427</v>
      </c>
    </row>
    <row r="2666" spans="1:9" x14ac:dyDescent="0.25">
      <c r="A2666" s="16" t="s">
        <v>11658</v>
      </c>
      <c r="B2666" s="16" t="str">
        <f>TEXT(PARTIDA[[#This Row],[PARTIDA]],"0000000000")</f>
        <v>3002499000</v>
      </c>
      <c r="C2666" s="16" t="s">
        <v>786</v>
      </c>
      <c r="D2666" s="16" t="s">
        <v>787</v>
      </c>
      <c r="E2666" s="16" t="s">
        <v>9433</v>
      </c>
      <c r="F2666" s="27" t="s">
        <v>11659</v>
      </c>
      <c r="G2666" s="27"/>
      <c r="H2666" s="16" t="str">
        <f>IF(ISBLANK(PARTIDAS!$G2666),PARTIDAS!$F2666,CONCATENATE(PARTIDAS!$F2666," (",PARTIDAS!$G2666,")"))</f>
        <v>Vacunas, toxinas, cultivos de microorganismos (los demás)</v>
      </c>
      <c r="I2666" s="16" t="s">
        <v>9427</v>
      </c>
    </row>
    <row r="2667" spans="1:9" x14ac:dyDescent="0.25">
      <c r="A2667" s="16" t="s">
        <v>11660</v>
      </c>
      <c r="B2667" s="16" t="str">
        <f>TEXT(PARTIDA[[#This Row],[PARTIDA]],"0000000000")</f>
        <v>3002510000</v>
      </c>
      <c r="C2667" s="16" t="s">
        <v>786</v>
      </c>
      <c r="D2667" s="16" t="s">
        <v>787</v>
      </c>
      <c r="E2667" s="16" t="s">
        <v>9433</v>
      </c>
      <c r="F2667" s="27" t="s">
        <v>11661</v>
      </c>
      <c r="G2667" s="27"/>
      <c r="H2667" s="16" t="str">
        <f>IF(ISBLANK(PARTIDAS!$G2667),PARTIDAS!$F2667,CONCATENATE(PARTIDAS!$F2667," (",PARTIDAS!$G2667,")"))</f>
        <v>Productos de terapia celular</v>
      </c>
      <c r="I2667" s="16" t="s">
        <v>9427</v>
      </c>
    </row>
    <row r="2668" spans="1:9" x14ac:dyDescent="0.25">
      <c r="A2668" s="16" t="s">
        <v>11662</v>
      </c>
      <c r="B2668" s="16" t="str">
        <f>TEXT(PARTIDA[[#This Row],[PARTIDA]],"0000000000")</f>
        <v>3002590000</v>
      </c>
      <c r="C2668" s="16" t="s">
        <v>786</v>
      </c>
      <c r="D2668" s="16" t="s">
        <v>787</v>
      </c>
      <c r="E2668" s="16" t="s">
        <v>9433</v>
      </c>
      <c r="F2668" s="27" t="s">
        <v>11663</v>
      </c>
      <c r="G2668" s="27"/>
      <c r="H2668" s="16" t="str">
        <f>IF(ISBLANK(PARTIDAS!$G2668),PARTIDAS!$F2668,CONCATENATE(PARTIDAS!$F2668," (",PARTIDAS!$G2668,")"))</f>
        <v>Cultivos de células, incluso modificadas (los demás)</v>
      </c>
      <c r="I2668" s="16" t="s">
        <v>9427</v>
      </c>
    </row>
    <row r="2669" spans="1:9" x14ac:dyDescent="0.25">
      <c r="A2669" s="16" t="s">
        <v>3604</v>
      </c>
      <c r="B2669" s="16" t="str">
        <f>TEXT(PARTIDA[[#This Row],[PARTIDA]],"0000000000")</f>
        <v>3002901000</v>
      </c>
      <c r="C2669" s="16" t="s">
        <v>786</v>
      </c>
      <c r="D2669" s="16" t="s">
        <v>787</v>
      </c>
      <c r="E2669" s="16" t="s">
        <v>9433</v>
      </c>
      <c r="F2669" s="27" t="s">
        <v>11653</v>
      </c>
      <c r="G2669" s="27"/>
      <c r="H2669" s="16" t="str">
        <f>IF(ISBLANK(PARTIDAS!$G2669),PARTIDAS!$F2669,CONCATENATE(PARTIDAS!$F2669," (",PARTIDAS!$G2669,")"))</f>
        <v>Cultivos de microorganismos</v>
      </c>
      <c r="I2669" s="16" t="s">
        <v>9648</v>
      </c>
    </row>
    <row r="2670" spans="1:9" x14ac:dyDescent="0.25">
      <c r="A2670" s="16" t="s">
        <v>3605</v>
      </c>
      <c r="B2670" s="16" t="str">
        <f>TEXT(PARTIDA[[#This Row],[PARTIDA]],"0000000000")</f>
        <v>3002902000</v>
      </c>
      <c r="C2670" s="16" t="s">
        <v>786</v>
      </c>
      <c r="D2670" s="16" t="s">
        <v>787</v>
      </c>
      <c r="E2670" s="16" t="s">
        <v>9433</v>
      </c>
      <c r="F2670" s="27" t="s">
        <v>11626</v>
      </c>
      <c r="G2670" s="27"/>
      <c r="H2670" s="16" t="str">
        <f>IF(ISBLANK(PARTIDAS!$G2670),PARTIDAS!$F2670,CONCATENATE(PARTIDAS!$F2670," (",PARTIDAS!$G2670,")"))</f>
        <v>Reactivos de laboratorio o de diagnóstico que no se empleen en el paciente</v>
      </c>
      <c r="I2670" s="16" t="s">
        <v>9648</v>
      </c>
    </row>
    <row r="2671" spans="1:9" x14ac:dyDescent="0.25">
      <c r="A2671" s="16" t="s">
        <v>3606</v>
      </c>
      <c r="B2671" s="16" t="str">
        <f>TEXT(PARTIDA[[#This Row],[PARTIDA]],"0000000000")</f>
        <v>3002903000</v>
      </c>
      <c r="C2671" s="16" t="s">
        <v>786</v>
      </c>
      <c r="D2671" s="16" t="s">
        <v>787</v>
      </c>
      <c r="E2671" s="16" t="s">
        <v>9433</v>
      </c>
      <c r="F2671" s="27" t="s">
        <v>11664</v>
      </c>
      <c r="G2671" s="27"/>
      <c r="H2671" s="16" t="str">
        <f>IF(ISBLANK(PARTIDAS!$G2671),PARTIDAS!$F2671,CONCATENATE(PARTIDAS!$F2671," (",PARTIDAS!$G2671,")"))</f>
        <v>Sangre humana</v>
      </c>
      <c r="I2671" s="16" t="s">
        <v>9427</v>
      </c>
    </row>
    <row r="2672" spans="1:9" x14ac:dyDescent="0.25">
      <c r="A2672" s="16" t="s">
        <v>3607</v>
      </c>
      <c r="B2672" s="16" t="str">
        <f>TEXT(PARTIDA[[#This Row],[PARTIDA]],"0000000000")</f>
        <v>3002904000</v>
      </c>
      <c r="C2672" s="16" t="s">
        <v>786</v>
      </c>
      <c r="D2672" s="16" t="s">
        <v>787</v>
      </c>
      <c r="E2672" s="16" t="s">
        <v>9433</v>
      </c>
      <c r="F2672" s="27" t="s">
        <v>11665</v>
      </c>
      <c r="G2672" s="27"/>
      <c r="H2672" s="16" t="str">
        <f>IF(ISBLANK(PARTIDAS!$G2672),PARTIDAS!$F2672,CONCATENATE(PARTIDAS!$F2672," (",PARTIDAS!$G2672,")"))</f>
        <v>Saxitoxina</v>
      </c>
      <c r="I2672" s="16" t="s">
        <v>9648</v>
      </c>
    </row>
    <row r="2673" spans="1:9" x14ac:dyDescent="0.25">
      <c r="A2673" s="16" t="s">
        <v>3608</v>
      </c>
      <c r="B2673" s="16" t="str">
        <f>TEXT(PARTIDA[[#This Row],[PARTIDA]],"0000000000")</f>
        <v>3002905000</v>
      </c>
      <c r="C2673" s="16" t="s">
        <v>786</v>
      </c>
      <c r="D2673" s="16" t="s">
        <v>787</v>
      </c>
      <c r="E2673" s="16" t="s">
        <v>9433</v>
      </c>
      <c r="F2673" s="27" t="s">
        <v>11666</v>
      </c>
      <c r="G2673" s="27"/>
      <c r="H2673" s="16" t="str">
        <f>IF(ISBLANK(PARTIDAS!$G2673),PARTIDAS!$F2673,CONCATENATE(PARTIDAS!$F2673," (",PARTIDAS!$G2673,")"))</f>
        <v>Ricina</v>
      </c>
      <c r="I2673" s="16" t="s">
        <v>9648</v>
      </c>
    </row>
    <row r="2674" spans="1:9" x14ac:dyDescent="0.25">
      <c r="A2674" s="16" t="s">
        <v>3609</v>
      </c>
      <c r="B2674" s="16" t="str">
        <f>TEXT(PARTIDA[[#This Row],[PARTIDA]],"0000000000")</f>
        <v>3002909000</v>
      </c>
      <c r="C2674" s="16" t="s">
        <v>786</v>
      </c>
      <c r="D2674" s="16" t="s">
        <v>787</v>
      </c>
      <c r="E2674" s="16" t="s">
        <v>9433</v>
      </c>
      <c r="F2674" s="27" t="s">
        <v>11667</v>
      </c>
      <c r="G2674" s="27"/>
      <c r="H2674" s="16" t="str">
        <f>IF(ISBLANK(PARTIDAS!$G2674),PARTIDAS!$F2674,CONCATENATE(PARTIDAS!$F2674," (",PARTIDAS!$G2674,")"))</f>
        <v>Sangre humana (los demás)</v>
      </c>
      <c r="I2674" s="16" t="s">
        <v>9427</v>
      </c>
    </row>
    <row r="2675" spans="1:9" x14ac:dyDescent="0.25">
      <c r="A2675" s="16" t="s">
        <v>3610</v>
      </c>
      <c r="B2675" s="16" t="str">
        <f>TEXT(PARTIDA[[#This Row],[PARTIDA]],"0000000000")</f>
        <v>3003100000</v>
      </c>
      <c r="C2675" s="16" t="s">
        <v>786</v>
      </c>
      <c r="D2675" s="16" t="s">
        <v>787</v>
      </c>
      <c r="E2675" s="16" t="s">
        <v>9433</v>
      </c>
      <c r="F2675" s="27" t="s">
        <v>11668</v>
      </c>
      <c r="G2675" s="27"/>
      <c r="H2675" s="16" t="str">
        <f>IF(ISBLANK(PARTIDAS!$G2675),PARTIDAS!$F2675,CONCATENATE(PARTIDAS!$F2675," (",PARTIDAS!$G2675,")"))</f>
        <v>Medicamentos, que contengan penicilinas o derivados de estos productos con la estructura del ácido penicilánico, o estreptomicinas o derivados de esto</v>
      </c>
      <c r="I2675" s="16" t="s">
        <v>9427</v>
      </c>
    </row>
    <row r="2676" spans="1:9" x14ac:dyDescent="0.25">
      <c r="A2676" s="16" t="s">
        <v>3611</v>
      </c>
      <c r="B2676" s="16" t="str">
        <f>TEXT(PARTIDA[[#This Row],[PARTIDA]],"0000000000")</f>
        <v>3003200000</v>
      </c>
      <c r="C2676" s="16" t="s">
        <v>786</v>
      </c>
      <c r="D2676" s="16" t="s">
        <v>787</v>
      </c>
      <c r="E2676" s="16" t="s">
        <v>9433</v>
      </c>
      <c r="F2676" s="27" t="s">
        <v>11669</v>
      </c>
      <c r="G2676" s="27"/>
      <c r="H2676" s="16" t="str">
        <f>IF(ISBLANK(PARTIDAS!$G2676),PARTIDAS!$F2676,CONCATENATE(PARTIDAS!$F2676," (",PARTIDAS!$G2676,")"))</f>
        <v>Medicamentos (los demás, que contengan antibióticos)</v>
      </c>
      <c r="I2676" s="16" t="s">
        <v>9427</v>
      </c>
    </row>
    <row r="2677" spans="1:9" x14ac:dyDescent="0.25">
      <c r="A2677" s="16" t="s">
        <v>3612</v>
      </c>
      <c r="B2677" s="16" t="str">
        <f>TEXT(PARTIDA[[#This Row],[PARTIDA]],"0000000000")</f>
        <v>3003310000</v>
      </c>
      <c r="C2677" s="16" t="s">
        <v>786</v>
      </c>
      <c r="D2677" s="16" t="s">
        <v>787</v>
      </c>
      <c r="E2677" s="16" t="s">
        <v>9433</v>
      </c>
      <c r="F2677" s="27" t="s">
        <v>11670</v>
      </c>
      <c r="G2677" s="27"/>
      <c r="H2677" s="16" t="str">
        <f>IF(ISBLANK(PARTIDAS!$G2677),PARTIDAS!$F2677,CONCATENATE(PARTIDAS!$F2677," (",PARTIDAS!$G2677,")"))</f>
        <v>Medicamentos, que contengan insulina</v>
      </c>
      <c r="I2677" s="16" t="s">
        <v>9427</v>
      </c>
    </row>
    <row r="2678" spans="1:9" x14ac:dyDescent="0.25">
      <c r="A2678" s="16" t="s">
        <v>3613</v>
      </c>
      <c r="B2678" s="16" t="str">
        <f>TEXT(PARTIDA[[#This Row],[PARTIDA]],"0000000000")</f>
        <v>3003390000</v>
      </c>
      <c r="C2678" s="16" t="s">
        <v>786</v>
      </c>
      <c r="D2678" s="16" t="s">
        <v>787</v>
      </c>
      <c r="E2678" s="16" t="s">
        <v>9433</v>
      </c>
      <c r="F2678" s="27" t="s">
        <v>11671</v>
      </c>
      <c r="G2678" s="27"/>
      <c r="H2678" s="16" t="str">
        <f>IF(ISBLANK(PARTIDAS!$G2678),PARTIDAS!$F2678,CONCATENATE(PARTIDAS!$F2678," (",PARTIDAS!$G2678,")"))</f>
        <v>Medicamentos (los demás)</v>
      </c>
      <c r="I2678" s="16" t="s">
        <v>9427</v>
      </c>
    </row>
    <row r="2679" spans="1:9" x14ac:dyDescent="0.25">
      <c r="A2679" s="16" t="s">
        <v>3614</v>
      </c>
      <c r="B2679" s="16" t="str">
        <f>TEXT(PARTIDA[[#This Row],[PARTIDA]],"0000000000")</f>
        <v>3003410000</v>
      </c>
      <c r="C2679" s="16" t="s">
        <v>786</v>
      </c>
      <c r="D2679" s="16" t="s">
        <v>787</v>
      </c>
      <c r="E2679" s="16" t="s">
        <v>9433</v>
      </c>
      <c r="F2679" s="27" t="s">
        <v>11672</v>
      </c>
      <c r="G2679" s="27"/>
      <c r="H2679" s="16" t="str">
        <f>IF(ISBLANK(PARTIDAS!$G2679),PARTIDAS!$F2679,CONCATENATE(PARTIDAS!$F2679," (",PARTIDAS!$G2679,")"))</f>
        <v>Medicamentos, que contengan efedrina o sus sales</v>
      </c>
      <c r="I2679" s="16" t="s">
        <v>9427</v>
      </c>
    </row>
    <row r="2680" spans="1:9" x14ac:dyDescent="0.25">
      <c r="A2680" s="16" t="s">
        <v>3615</v>
      </c>
      <c r="B2680" s="16" t="str">
        <f>TEXT(PARTIDA[[#This Row],[PARTIDA]],"0000000000")</f>
        <v>3003420000</v>
      </c>
      <c r="C2680" s="16" t="s">
        <v>786</v>
      </c>
      <c r="D2680" s="16" t="s">
        <v>787</v>
      </c>
      <c r="E2680" s="16" t="s">
        <v>9433</v>
      </c>
      <c r="F2680" s="27" t="s">
        <v>11673</v>
      </c>
      <c r="G2680" s="27"/>
      <c r="H2680" s="16" t="str">
        <f>IF(ISBLANK(PARTIDAS!$G2680),PARTIDAS!$F2680,CONCATENATE(PARTIDAS!$F2680," (",PARTIDAS!$G2680,")"))</f>
        <v>Medicamentos, que contengan seudoefedrina (DCI) o sus sales</v>
      </c>
      <c r="I2680" s="16" t="s">
        <v>9427</v>
      </c>
    </row>
    <row r="2681" spans="1:9" x14ac:dyDescent="0.25">
      <c r="A2681" s="16" t="s">
        <v>3616</v>
      </c>
      <c r="B2681" s="16" t="str">
        <f>TEXT(PARTIDA[[#This Row],[PARTIDA]],"0000000000")</f>
        <v>3003430000</v>
      </c>
      <c r="C2681" s="16" t="s">
        <v>786</v>
      </c>
      <c r="D2681" s="16" t="s">
        <v>787</v>
      </c>
      <c r="E2681" s="16" t="s">
        <v>9433</v>
      </c>
      <c r="F2681" s="27" t="s">
        <v>11674</v>
      </c>
      <c r="G2681" s="27"/>
      <c r="H2681" s="16" t="str">
        <f>IF(ISBLANK(PARTIDAS!$G2681),PARTIDAS!$F2681,CONCATENATE(PARTIDAS!$F2681," (",PARTIDAS!$G2681,")"))</f>
        <v>Medicamentos, que contengan norefedrina o sus sales</v>
      </c>
      <c r="I2681" s="16" t="s">
        <v>9427</v>
      </c>
    </row>
    <row r="2682" spans="1:9" x14ac:dyDescent="0.25">
      <c r="A2682" s="16" t="s">
        <v>3617</v>
      </c>
      <c r="B2682" s="16" t="str">
        <f>TEXT(PARTIDA[[#This Row],[PARTIDA]],"0000000000")</f>
        <v>3003490000</v>
      </c>
      <c r="C2682" s="16" t="s">
        <v>786</v>
      </c>
      <c r="D2682" s="16" t="s">
        <v>787</v>
      </c>
      <c r="E2682" s="16" t="s">
        <v>9433</v>
      </c>
      <c r="F2682" s="27" t="s">
        <v>11671</v>
      </c>
      <c r="G2682" s="27"/>
      <c r="H2682" s="16" t="str">
        <f>IF(ISBLANK(PARTIDAS!$G2682),PARTIDAS!$F2682,CONCATENATE(PARTIDAS!$F2682," (",PARTIDAS!$G2682,")"))</f>
        <v>Medicamentos (los demás)</v>
      </c>
      <c r="I2682" s="16" t="s">
        <v>9427</v>
      </c>
    </row>
    <row r="2683" spans="1:9" x14ac:dyDescent="0.25">
      <c r="A2683" s="16" t="s">
        <v>3618</v>
      </c>
      <c r="B2683" s="16" t="str">
        <f>TEXT(PARTIDA[[#This Row],[PARTIDA]],"0000000000")</f>
        <v>3003600000</v>
      </c>
      <c r="C2683" s="16" t="s">
        <v>786</v>
      </c>
      <c r="D2683" s="16" t="s">
        <v>787</v>
      </c>
      <c r="E2683" s="16" t="s">
        <v>9433</v>
      </c>
      <c r="F2683" s="27" t="s">
        <v>11675</v>
      </c>
      <c r="G2683" s="27"/>
      <c r="H2683" s="16" t="str">
        <f>IF(ISBLANK(PARTIDAS!$G2683),PARTIDAS!$F2683,CONCATENATE(PARTIDAS!$F2683," (",PARTIDAS!$G2683,")"))</f>
        <v>Medicamentos (los demás, que contengan los principios activos contra la malaria (paludismo) descritos en la Nota 2 de subpartida del presente Capítulo</v>
      </c>
      <c r="I2683" s="16" t="s">
        <v>9427</v>
      </c>
    </row>
    <row r="2684" spans="1:9" x14ac:dyDescent="0.25">
      <c r="A2684" s="16" t="s">
        <v>3619</v>
      </c>
      <c r="B2684" s="16" t="str">
        <f>TEXT(PARTIDA[[#This Row],[PARTIDA]],"0000000000")</f>
        <v>3003901000</v>
      </c>
      <c r="C2684" s="16" t="s">
        <v>786</v>
      </c>
      <c r="D2684" s="16" t="s">
        <v>787</v>
      </c>
      <c r="E2684" s="16" t="s">
        <v>9433</v>
      </c>
      <c r="F2684" s="27" t="s">
        <v>9297</v>
      </c>
      <c r="G2684" s="27"/>
      <c r="H2684" s="16" t="str">
        <f>IF(ISBLANK(PARTIDAS!$G2684),PARTIDAS!$F2684,CONCATENATE(PARTIDAS!$F2684," (",PARTIDAS!$G2684,")"))</f>
        <v>Medicamentos, para uso humano</v>
      </c>
      <c r="I2684" s="16" t="s">
        <v>9427</v>
      </c>
    </row>
    <row r="2685" spans="1:9" x14ac:dyDescent="0.25">
      <c r="A2685" s="16" t="s">
        <v>3620</v>
      </c>
      <c r="B2685" s="16" t="str">
        <f>TEXT(PARTIDA[[#This Row],[PARTIDA]],"0000000000")</f>
        <v>3003902000</v>
      </c>
      <c r="C2685" s="16" t="s">
        <v>786</v>
      </c>
      <c r="D2685" s="16" t="s">
        <v>787</v>
      </c>
      <c r="E2685" s="16" t="s">
        <v>9433</v>
      </c>
      <c r="F2685" s="27" t="s">
        <v>11676</v>
      </c>
      <c r="G2685" s="27"/>
      <c r="H2685" s="16" t="str">
        <f>IF(ISBLANK(PARTIDAS!$G2685),PARTIDAS!$F2685,CONCATENATE(PARTIDAS!$F2685," (",PARTIDAS!$G2685,")"))</f>
        <v>Medicamentos, para uso veterinario</v>
      </c>
      <c r="I2685" s="16" t="s">
        <v>9427</v>
      </c>
    </row>
    <row r="2686" spans="1:9" x14ac:dyDescent="0.25">
      <c r="A2686" s="16" t="s">
        <v>3621</v>
      </c>
      <c r="B2686" s="16" t="str">
        <f>TEXT(PARTIDA[[#This Row],[PARTIDA]],"0000000000")</f>
        <v>3004101000</v>
      </c>
      <c r="C2686" s="16" t="s">
        <v>786</v>
      </c>
      <c r="D2686" s="16" t="s">
        <v>787</v>
      </c>
      <c r="E2686" s="16" t="s">
        <v>9433</v>
      </c>
      <c r="F2686" s="27" t="s">
        <v>11677</v>
      </c>
      <c r="G2686" s="27"/>
      <c r="H2686" s="16" t="str">
        <f>IF(ISBLANK(PARTIDAS!$G2686),PARTIDAS!$F2686,CONCATENATE(PARTIDAS!$F2686," (",PARTIDAS!$G2686,")"))</f>
        <v>Medicamentos, que contengan penicilinas o derivados de estos productos con la…, para uso humano</v>
      </c>
      <c r="I2686" s="16" t="s">
        <v>9427</v>
      </c>
    </row>
    <row r="2687" spans="1:9" x14ac:dyDescent="0.25">
      <c r="A2687" s="16" t="s">
        <v>3622</v>
      </c>
      <c r="B2687" s="16" t="str">
        <f>TEXT(PARTIDA[[#This Row],[PARTIDA]],"0000000000")</f>
        <v>3004102000</v>
      </c>
      <c r="C2687" s="16" t="s">
        <v>786</v>
      </c>
      <c r="D2687" s="16" t="s">
        <v>787</v>
      </c>
      <c r="E2687" s="16" t="s">
        <v>9433</v>
      </c>
      <c r="F2687" s="27" t="s">
        <v>11678</v>
      </c>
      <c r="G2687" s="27"/>
      <c r="H2687" s="16" t="str">
        <f>IF(ISBLANK(PARTIDAS!$G2687),PARTIDAS!$F2687,CONCATENATE(PARTIDAS!$F2687," (",PARTIDAS!$G2687,")"))</f>
        <v>Medicamentos, que contengan penicilinas o derivados de estos productos con la…, para uso veterinario</v>
      </c>
      <c r="I2687" s="16" t="s">
        <v>9427</v>
      </c>
    </row>
    <row r="2688" spans="1:9" x14ac:dyDescent="0.25">
      <c r="A2688" s="16" t="s">
        <v>3623</v>
      </c>
      <c r="B2688" s="16" t="str">
        <f>TEXT(PARTIDA[[#This Row],[PARTIDA]],"0000000000")</f>
        <v>3004201100</v>
      </c>
      <c r="C2688" s="16" t="s">
        <v>786</v>
      </c>
      <c r="D2688" s="16" t="s">
        <v>787</v>
      </c>
      <c r="E2688" s="16" t="s">
        <v>9433</v>
      </c>
      <c r="F2688" s="27" t="s">
        <v>11679</v>
      </c>
      <c r="G2688" s="27"/>
      <c r="H2688" s="16" t="str">
        <f>IF(ISBLANK(PARTIDAS!$G2688),PARTIDAS!$F2688,CONCATENATE(PARTIDAS!$F2688," (",PARTIDAS!$G2688,")"))</f>
        <v>Medicamentos, para uso humano, para tratamiento oncológico o VIH</v>
      </c>
      <c r="I2688" s="16" t="s">
        <v>9427</v>
      </c>
    </row>
    <row r="2689" spans="1:9" x14ac:dyDescent="0.25">
      <c r="A2689" s="16" t="s">
        <v>3624</v>
      </c>
      <c r="B2689" s="16" t="str">
        <f>TEXT(PARTIDA[[#This Row],[PARTIDA]],"0000000000")</f>
        <v>3004201900</v>
      </c>
      <c r="C2689" s="16" t="s">
        <v>786</v>
      </c>
      <c r="D2689" s="16" t="s">
        <v>787</v>
      </c>
      <c r="E2689" s="16" t="s">
        <v>9433</v>
      </c>
      <c r="F2689" s="27" t="s">
        <v>11680</v>
      </c>
      <c r="G2689" s="27"/>
      <c r="H2689" s="16" t="str">
        <f>IF(ISBLANK(PARTIDAS!$G2689),PARTIDAS!$F2689,CONCATENATE(PARTIDAS!$F2689," (",PARTIDAS!$G2689,")"))</f>
        <v>Medicamentos, para uso humano (los demás)</v>
      </c>
      <c r="I2689" s="16" t="s">
        <v>9427</v>
      </c>
    </row>
    <row r="2690" spans="1:9" x14ac:dyDescent="0.25">
      <c r="A2690" s="16" t="s">
        <v>3625</v>
      </c>
      <c r="B2690" s="16" t="str">
        <f>TEXT(PARTIDA[[#This Row],[PARTIDA]],"0000000000")</f>
        <v>3004202000</v>
      </c>
      <c r="C2690" s="16" t="s">
        <v>786</v>
      </c>
      <c r="D2690" s="16" t="s">
        <v>787</v>
      </c>
      <c r="E2690" s="16" t="s">
        <v>9433</v>
      </c>
      <c r="F2690" s="27" t="s">
        <v>11676</v>
      </c>
      <c r="G2690" s="27"/>
      <c r="H2690" s="16" t="str">
        <f>IF(ISBLANK(PARTIDAS!$G2690),PARTIDAS!$F2690,CONCATENATE(PARTIDAS!$F2690," (",PARTIDAS!$G2690,")"))</f>
        <v>Medicamentos, para uso veterinario</v>
      </c>
      <c r="I2690" s="16" t="s">
        <v>9427</v>
      </c>
    </row>
    <row r="2691" spans="1:9" x14ac:dyDescent="0.25">
      <c r="A2691" s="16" t="s">
        <v>3626</v>
      </c>
      <c r="B2691" s="16" t="str">
        <f>TEXT(PARTIDA[[#This Row],[PARTIDA]],"0000000000")</f>
        <v>3004310000</v>
      </c>
      <c r="C2691" s="16" t="s">
        <v>786</v>
      </c>
      <c r="D2691" s="16" t="s">
        <v>787</v>
      </c>
      <c r="E2691" s="16" t="s">
        <v>9433</v>
      </c>
      <c r="F2691" s="27" t="s">
        <v>11670</v>
      </c>
      <c r="G2691" s="27"/>
      <c r="H2691" s="16" t="str">
        <f>IF(ISBLANK(PARTIDAS!$G2691),PARTIDAS!$F2691,CONCATENATE(PARTIDAS!$F2691," (",PARTIDAS!$G2691,")"))</f>
        <v>Medicamentos, que contengan insulina</v>
      </c>
      <c r="I2691" s="16" t="s">
        <v>9427</v>
      </c>
    </row>
    <row r="2692" spans="1:9" x14ac:dyDescent="0.25">
      <c r="A2692" s="16" t="s">
        <v>3627</v>
      </c>
      <c r="B2692" s="16" t="str">
        <f>TEXT(PARTIDA[[#This Row],[PARTIDA]],"0000000000")</f>
        <v>3004321100</v>
      </c>
      <c r="C2692" s="16" t="s">
        <v>786</v>
      </c>
      <c r="D2692" s="16" t="s">
        <v>787</v>
      </c>
      <c r="E2692" s="16" t="s">
        <v>9433</v>
      </c>
      <c r="F2692" s="27" t="s">
        <v>11681</v>
      </c>
      <c r="G2692" s="27"/>
      <c r="H2692" s="16" t="str">
        <f>IF(ISBLANK(PARTIDAS!$G2692),PARTIDAS!$F2692,CONCATENATE(PARTIDAS!$F2692," (",PARTIDAS!$G2692,")"))</f>
        <v>Medicamentos, que contengan hormonas corticosteroides, sus derivados…, para uso humano, para tratamiento oncológico o VIH</v>
      </c>
      <c r="I2692" s="16" t="s">
        <v>9427</v>
      </c>
    </row>
    <row r="2693" spans="1:9" x14ac:dyDescent="0.25">
      <c r="A2693" s="16" t="s">
        <v>3628</v>
      </c>
      <c r="B2693" s="16" t="str">
        <f>TEXT(PARTIDA[[#This Row],[PARTIDA]],"0000000000")</f>
        <v>3004321900</v>
      </c>
      <c r="C2693" s="16" t="s">
        <v>786</v>
      </c>
      <c r="D2693" s="16" t="s">
        <v>787</v>
      </c>
      <c r="E2693" s="16" t="s">
        <v>9433</v>
      </c>
      <c r="F2693" s="27" t="s">
        <v>11682</v>
      </c>
      <c r="G2693" s="27"/>
      <c r="H2693" s="16" t="str">
        <f>IF(ISBLANK(PARTIDAS!$G2693),PARTIDAS!$F2693,CONCATENATE(PARTIDAS!$F2693," (",PARTIDAS!$G2693,")"))</f>
        <v>Medicamentos, que contengan hormonas corticosteroides, sus derivados…, para uso humano (los demás)</v>
      </c>
      <c r="I2693" s="16" t="s">
        <v>9427</v>
      </c>
    </row>
    <row r="2694" spans="1:9" x14ac:dyDescent="0.25">
      <c r="A2694" s="16" t="s">
        <v>3629</v>
      </c>
      <c r="B2694" s="16" t="str">
        <f>TEXT(PARTIDA[[#This Row],[PARTIDA]],"0000000000")</f>
        <v>3004322000</v>
      </c>
      <c r="C2694" s="16" t="s">
        <v>786</v>
      </c>
      <c r="D2694" s="16" t="s">
        <v>787</v>
      </c>
      <c r="E2694" s="16" t="s">
        <v>9433</v>
      </c>
      <c r="F2694" s="27" t="s">
        <v>11683</v>
      </c>
      <c r="G2694" s="27"/>
      <c r="H2694" s="16" t="str">
        <f>IF(ISBLANK(PARTIDAS!$G2694),PARTIDAS!$F2694,CONCATENATE(PARTIDAS!$F2694," (",PARTIDAS!$G2694,")"))</f>
        <v>Medicamentos, que contengan hormonas corticosteroides, sus derivados o análogos…, para uso veterinario</v>
      </c>
      <c r="I2694" s="16" t="s">
        <v>9427</v>
      </c>
    </row>
    <row r="2695" spans="1:9" x14ac:dyDescent="0.25">
      <c r="A2695" s="16" t="s">
        <v>3630</v>
      </c>
      <c r="B2695" s="16" t="str">
        <f>TEXT(PARTIDA[[#This Row],[PARTIDA]],"0000000000")</f>
        <v>3004391100</v>
      </c>
      <c r="C2695" s="16" t="s">
        <v>786</v>
      </c>
      <c r="D2695" s="16" t="s">
        <v>787</v>
      </c>
      <c r="E2695" s="16" t="s">
        <v>9433</v>
      </c>
      <c r="F2695" s="27" t="s">
        <v>11679</v>
      </c>
      <c r="G2695" s="27"/>
      <c r="H2695" s="16" t="str">
        <f>IF(ISBLANK(PARTIDAS!$G2695),PARTIDAS!$F2695,CONCATENATE(PARTIDAS!$F2695," (",PARTIDAS!$G2695,")"))</f>
        <v>Medicamentos, para uso humano, para tratamiento oncológico o VIH</v>
      </c>
      <c r="I2695" s="16" t="s">
        <v>9427</v>
      </c>
    </row>
    <row r="2696" spans="1:9" x14ac:dyDescent="0.25">
      <c r="A2696" s="16" t="s">
        <v>3631</v>
      </c>
      <c r="B2696" s="16" t="str">
        <f>TEXT(PARTIDA[[#This Row],[PARTIDA]],"0000000000")</f>
        <v>3004391900</v>
      </c>
      <c r="C2696" s="16" t="s">
        <v>786</v>
      </c>
      <c r="D2696" s="16" t="s">
        <v>787</v>
      </c>
      <c r="E2696" s="16" t="s">
        <v>9433</v>
      </c>
      <c r="F2696" s="27" t="s">
        <v>11680</v>
      </c>
      <c r="G2696" s="27"/>
      <c r="H2696" s="16" t="str">
        <f>IF(ISBLANK(PARTIDAS!$G2696),PARTIDAS!$F2696,CONCATENATE(PARTIDAS!$F2696," (",PARTIDAS!$G2696,")"))</f>
        <v>Medicamentos, para uso humano (los demás)</v>
      </c>
      <c r="I2696" s="16" t="s">
        <v>9427</v>
      </c>
    </row>
    <row r="2697" spans="1:9" x14ac:dyDescent="0.25">
      <c r="A2697" s="16" t="s">
        <v>3632</v>
      </c>
      <c r="B2697" s="16" t="str">
        <f>TEXT(PARTIDA[[#This Row],[PARTIDA]],"0000000000")</f>
        <v>3004392000</v>
      </c>
      <c r="C2697" s="16" t="s">
        <v>786</v>
      </c>
      <c r="D2697" s="16" t="s">
        <v>787</v>
      </c>
      <c r="E2697" s="16" t="s">
        <v>9433</v>
      </c>
      <c r="F2697" s="27" t="s">
        <v>11676</v>
      </c>
      <c r="G2697" s="27"/>
      <c r="H2697" s="16" t="str">
        <f>IF(ISBLANK(PARTIDAS!$G2697),PARTIDAS!$F2697,CONCATENATE(PARTIDAS!$F2697," (",PARTIDAS!$G2697,")"))</f>
        <v>Medicamentos, para uso veterinario</v>
      </c>
      <c r="I2697" s="16" t="s">
        <v>9427</v>
      </c>
    </row>
    <row r="2698" spans="1:9" x14ac:dyDescent="0.25">
      <c r="A2698" s="16" t="s">
        <v>3633</v>
      </c>
      <c r="B2698" s="16" t="str">
        <f>TEXT(PARTIDA[[#This Row],[PARTIDA]],"0000000000")</f>
        <v>3004411000</v>
      </c>
      <c r="C2698" s="16" t="s">
        <v>786</v>
      </c>
      <c r="D2698" s="16" t="s">
        <v>787</v>
      </c>
      <c r="E2698" s="16" t="s">
        <v>9433</v>
      </c>
      <c r="F2698" s="27" t="s">
        <v>11684</v>
      </c>
      <c r="G2698" s="27"/>
      <c r="H2698" s="16" t="str">
        <f>IF(ISBLANK(PARTIDAS!$G2698),PARTIDAS!$F2698,CONCATENATE(PARTIDAS!$F2698," (",PARTIDAS!$G2698,")"))</f>
        <v>Medicamentos, que contengan efedrina o sus sales, para uso humano</v>
      </c>
      <c r="I2698" s="16" t="s">
        <v>9427</v>
      </c>
    </row>
    <row r="2699" spans="1:9" x14ac:dyDescent="0.25">
      <c r="A2699" s="16" t="s">
        <v>3634</v>
      </c>
      <c r="B2699" s="16" t="str">
        <f>TEXT(PARTIDA[[#This Row],[PARTIDA]],"0000000000")</f>
        <v>3004412000</v>
      </c>
      <c r="C2699" s="16" t="s">
        <v>786</v>
      </c>
      <c r="D2699" s="16" t="s">
        <v>787</v>
      </c>
      <c r="E2699" s="16" t="s">
        <v>9433</v>
      </c>
      <c r="F2699" s="27" t="s">
        <v>11685</v>
      </c>
      <c r="G2699" s="27"/>
      <c r="H2699" s="16" t="str">
        <f>IF(ISBLANK(PARTIDAS!$G2699),PARTIDAS!$F2699,CONCATENATE(PARTIDAS!$F2699," (",PARTIDAS!$G2699,")"))</f>
        <v>Medicamentos, que contengan efedrina o sus sales, para uso veterinario</v>
      </c>
      <c r="I2699" s="16" t="s">
        <v>9427</v>
      </c>
    </row>
    <row r="2700" spans="1:9" x14ac:dyDescent="0.25">
      <c r="A2700" s="16" t="s">
        <v>3635</v>
      </c>
      <c r="B2700" s="16" t="str">
        <f>TEXT(PARTIDA[[#This Row],[PARTIDA]],"0000000000")</f>
        <v>3004421000</v>
      </c>
      <c r="C2700" s="16" t="s">
        <v>786</v>
      </c>
      <c r="D2700" s="16" t="s">
        <v>787</v>
      </c>
      <c r="E2700" s="16" t="s">
        <v>9433</v>
      </c>
      <c r="F2700" s="27" t="s">
        <v>11686</v>
      </c>
      <c r="G2700" s="27"/>
      <c r="H2700" s="16" t="str">
        <f>IF(ISBLANK(PARTIDAS!$G2700),PARTIDAS!$F2700,CONCATENATE(PARTIDAS!$F2700," (",PARTIDAS!$G2700,")"))</f>
        <v>Medicamentos, que contengan seudoefedrina (DCI) o sus sales, para uso humano</v>
      </c>
      <c r="I2700" s="16" t="s">
        <v>9427</v>
      </c>
    </row>
    <row r="2701" spans="1:9" x14ac:dyDescent="0.25">
      <c r="A2701" s="16" t="s">
        <v>3636</v>
      </c>
      <c r="B2701" s="16" t="str">
        <f>TEXT(PARTIDA[[#This Row],[PARTIDA]],"0000000000")</f>
        <v>3004422000</v>
      </c>
      <c r="C2701" s="16" t="s">
        <v>786</v>
      </c>
      <c r="D2701" s="16" t="s">
        <v>787</v>
      </c>
      <c r="E2701" s="16" t="s">
        <v>9433</v>
      </c>
      <c r="F2701" s="27" t="s">
        <v>11687</v>
      </c>
      <c r="G2701" s="27"/>
      <c r="H2701" s="16" t="str">
        <f>IF(ISBLANK(PARTIDAS!$G2701),PARTIDAS!$F2701,CONCATENATE(PARTIDAS!$F2701," (",PARTIDAS!$G2701,")"))</f>
        <v>Medicamentos, que contengan seudoefedrina (DCI) o sus sales, para uso veterinario</v>
      </c>
      <c r="I2701" s="16" t="s">
        <v>9427</v>
      </c>
    </row>
    <row r="2702" spans="1:9" x14ac:dyDescent="0.25">
      <c r="A2702" s="16" t="s">
        <v>3637</v>
      </c>
      <c r="B2702" s="16" t="str">
        <f>TEXT(PARTIDA[[#This Row],[PARTIDA]],"0000000000")</f>
        <v>3004431000</v>
      </c>
      <c r="C2702" s="16" t="s">
        <v>786</v>
      </c>
      <c r="D2702" s="16" t="s">
        <v>787</v>
      </c>
      <c r="E2702" s="16" t="s">
        <v>9433</v>
      </c>
      <c r="F2702" s="27" t="s">
        <v>11688</v>
      </c>
      <c r="G2702" s="27"/>
      <c r="H2702" s="16" t="str">
        <f>IF(ISBLANK(PARTIDAS!$G2702),PARTIDAS!$F2702,CONCATENATE(PARTIDAS!$F2702," (",PARTIDAS!$G2702,")"))</f>
        <v>Medicamentos, que contengan norefedrina o sus sales, para uso humano</v>
      </c>
      <c r="I2702" s="16" t="s">
        <v>9427</v>
      </c>
    </row>
    <row r="2703" spans="1:9" x14ac:dyDescent="0.25">
      <c r="A2703" s="16" t="s">
        <v>3638</v>
      </c>
      <c r="B2703" s="16" t="str">
        <f>TEXT(PARTIDA[[#This Row],[PARTIDA]],"0000000000")</f>
        <v>3004432000</v>
      </c>
      <c r="C2703" s="16" t="s">
        <v>786</v>
      </c>
      <c r="D2703" s="16" t="s">
        <v>787</v>
      </c>
      <c r="E2703" s="16" t="s">
        <v>9433</v>
      </c>
      <c r="F2703" s="27" t="s">
        <v>11689</v>
      </c>
      <c r="G2703" s="27"/>
      <c r="H2703" s="16" t="str">
        <f>IF(ISBLANK(PARTIDAS!$G2703),PARTIDAS!$F2703,CONCATENATE(PARTIDAS!$F2703," (",PARTIDAS!$G2703,")"))</f>
        <v>Medicamentos, que contengan norefedrina o sus sales, para uso veterinario</v>
      </c>
      <c r="I2703" s="16" t="s">
        <v>9427</v>
      </c>
    </row>
    <row r="2704" spans="1:9" x14ac:dyDescent="0.25">
      <c r="A2704" s="16" t="s">
        <v>3639</v>
      </c>
      <c r="B2704" s="16" t="str">
        <f>TEXT(PARTIDA[[#This Row],[PARTIDA]],"0000000000")</f>
        <v>3004491000</v>
      </c>
      <c r="C2704" s="16" t="s">
        <v>786</v>
      </c>
      <c r="D2704" s="16" t="s">
        <v>787</v>
      </c>
      <c r="E2704" s="16" t="s">
        <v>9433</v>
      </c>
      <c r="F2704" s="27" t="s">
        <v>9297</v>
      </c>
      <c r="G2704" s="27"/>
      <c r="H2704" s="16" t="str">
        <f>IF(ISBLANK(PARTIDAS!$G2704),PARTIDAS!$F2704,CONCATENATE(PARTIDAS!$F2704," (",PARTIDAS!$G2704,")"))</f>
        <v>Medicamentos, para uso humano</v>
      </c>
      <c r="I2704" s="16" t="s">
        <v>9427</v>
      </c>
    </row>
    <row r="2705" spans="1:9" x14ac:dyDescent="0.25">
      <c r="A2705" s="16" t="s">
        <v>3640</v>
      </c>
      <c r="B2705" s="16" t="str">
        <f>TEXT(PARTIDA[[#This Row],[PARTIDA]],"0000000000")</f>
        <v>3004492000</v>
      </c>
      <c r="C2705" s="16" t="s">
        <v>786</v>
      </c>
      <c r="D2705" s="16" t="s">
        <v>787</v>
      </c>
      <c r="E2705" s="16" t="s">
        <v>9433</v>
      </c>
      <c r="F2705" s="27" t="s">
        <v>11676</v>
      </c>
      <c r="G2705" s="27"/>
      <c r="H2705" s="16" t="str">
        <f>IF(ISBLANK(PARTIDAS!$G2705),PARTIDAS!$F2705,CONCATENATE(PARTIDAS!$F2705," (",PARTIDAS!$G2705,")"))</f>
        <v>Medicamentos, para uso veterinario</v>
      </c>
      <c r="I2705" s="16" t="s">
        <v>9427</v>
      </c>
    </row>
    <row r="2706" spans="1:9" x14ac:dyDescent="0.25">
      <c r="A2706" s="16" t="s">
        <v>3641</v>
      </c>
      <c r="B2706" s="16" t="str">
        <f>TEXT(PARTIDA[[#This Row],[PARTIDA]],"0000000000")</f>
        <v>3004501000</v>
      </c>
      <c r="C2706" s="16" t="s">
        <v>786</v>
      </c>
      <c r="D2706" s="16" t="s">
        <v>787</v>
      </c>
      <c r="E2706" s="16" t="s">
        <v>9433</v>
      </c>
      <c r="F2706" s="27" t="s">
        <v>9297</v>
      </c>
      <c r="G2706" s="27"/>
      <c r="H2706" s="16" t="str">
        <f>IF(ISBLANK(PARTIDAS!$G2706),PARTIDAS!$F2706,CONCATENATE(PARTIDAS!$F2706," (",PARTIDAS!$G2706,")"))</f>
        <v>Medicamentos, para uso humano</v>
      </c>
      <c r="I2706" s="16" t="s">
        <v>9477</v>
      </c>
    </row>
    <row r="2707" spans="1:9" x14ac:dyDescent="0.25">
      <c r="A2707" s="16" t="s">
        <v>3642</v>
      </c>
      <c r="B2707" s="16" t="str">
        <f>TEXT(PARTIDA[[#This Row],[PARTIDA]],"0000000000")</f>
        <v>3004502000</v>
      </c>
      <c r="C2707" s="16" t="s">
        <v>786</v>
      </c>
      <c r="D2707" s="16" t="s">
        <v>787</v>
      </c>
      <c r="E2707" s="16" t="s">
        <v>9433</v>
      </c>
      <c r="F2707" s="27" t="s">
        <v>11676</v>
      </c>
      <c r="G2707" s="27"/>
      <c r="H2707" s="16" t="str">
        <f>IF(ISBLANK(PARTIDAS!$G2707),PARTIDAS!$F2707,CONCATENATE(PARTIDAS!$F2707," (",PARTIDAS!$G2707,")"))</f>
        <v>Medicamentos, para uso veterinario</v>
      </c>
      <c r="I2707" s="16" t="s">
        <v>9427</v>
      </c>
    </row>
    <row r="2708" spans="1:9" x14ac:dyDescent="0.25">
      <c r="A2708" s="16" t="s">
        <v>3643</v>
      </c>
      <c r="B2708" s="16" t="str">
        <f>TEXT(PARTIDA[[#This Row],[PARTIDA]],"0000000000")</f>
        <v>3004600000</v>
      </c>
      <c r="C2708" s="16" t="s">
        <v>786</v>
      </c>
      <c r="D2708" s="16" t="s">
        <v>787</v>
      </c>
      <c r="E2708" s="16" t="s">
        <v>9433</v>
      </c>
      <c r="F2708" s="27" t="s">
        <v>11675</v>
      </c>
      <c r="G2708" s="27"/>
      <c r="H2708" s="16" t="str">
        <f>IF(ISBLANK(PARTIDAS!$G2708),PARTIDAS!$F2708,CONCATENATE(PARTIDAS!$F2708," (",PARTIDAS!$G2708,")"))</f>
        <v>Medicamentos (los demás, que contengan los principios activos contra la malaria (paludismo) descritos en la Nota 2 de subpartida del presente Capítulo</v>
      </c>
      <c r="I2708" s="16" t="s">
        <v>9427</v>
      </c>
    </row>
    <row r="2709" spans="1:9" x14ac:dyDescent="0.25">
      <c r="A2709" s="16" t="s">
        <v>3644</v>
      </c>
      <c r="B2709" s="16" t="str">
        <f>TEXT(PARTIDA[[#This Row],[PARTIDA]],"0000000000")</f>
        <v>3004901000</v>
      </c>
      <c r="C2709" s="16" t="s">
        <v>786</v>
      </c>
      <c r="D2709" s="16" t="s">
        <v>787</v>
      </c>
      <c r="E2709" s="16" t="s">
        <v>9433</v>
      </c>
      <c r="F2709" s="27" t="s">
        <v>11690</v>
      </c>
      <c r="G2709" s="27"/>
      <c r="H2709" s="16" t="str">
        <f>IF(ISBLANK(PARTIDAS!$G2709),PARTIDAS!$F2709,CONCATENATE(PARTIDAS!$F2709," (",PARTIDAS!$G2709,")"))</f>
        <v>Sustitutos sintéticos del plasma humano</v>
      </c>
      <c r="I2709" s="16" t="s">
        <v>9427</v>
      </c>
    </row>
    <row r="2710" spans="1:9" x14ac:dyDescent="0.25">
      <c r="A2710" s="16" t="s">
        <v>3645</v>
      </c>
      <c r="B2710" s="16" t="str">
        <f>TEXT(PARTIDA[[#This Row],[PARTIDA]],"0000000000")</f>
        <v>3004902100</v>
      </c>
      <c r="C2710" s="16" t="s">
        <v>786</v>
      </c>
      <c r="D2710" s="16" t="s">
        <v>787</v>
      </c>
      <c r="E2710" s="16" t="s">
        <v>9433</v>
      </c>
      <c r="F2710" s="27" t="s">
        <v>11691</v>
      </c>
      <c r="G2710" s="27"/>
      <c r="H2710" s="16" t="str">
        <f>IF(ISBLANK(PARTIDAS!$G2710),PARTIDAS!$F2710,CONCATENATE(PARTIDAS!$F2710," (",PARTIDAS!$G2710,")"))</f>
        <v>Medicamentos, anestésicos</v>
      </c>
      <c r="I2710" s="16" t="s">
        <v>9427</v>
      </c>
    </row>
    <row r="2711" spans="1:9" x14ac:dyDescent="0.25">
      <c r="A2711" s="16" t="s">
        <v>3646</v>
      </c>
      <c r="B2711" s="16" t="str">
        <f>TEXT(PARTIDA[[#This Row],[PARTIDA]],"0000000000")</f>
        <v>3004902200</v>
      </c>
      <c r="C2711" s="16" t="s">
        <v>786</v>
      </c>
      <c r="D2711" s="16" t="s">
        <v>787</v>
      </c>
      <c r="E2711" s="16" t="s">
        <v>9433</v>
      </c>
      <c r="F2711" s="27" t="s">
        <v>11692</v>
      </c>
      <c r="G2711" s="27"/>
      <c r="H2711" s="16" t="str">
        <f>IF(ISBLANK(PARTIDAS!$G2711),PARTIDAS!$F2711,CONCATENATE(PARTIDAS!$F2711," (",PARTIDAS!$G2711,")"))</f>
        <v>Parches impregnados con nitroglicerina</v>
      </c>
      <c r="I2711" s="16" t="s">
        <v>9427</v>
      </c>
    </row>
    <row r="2712" spans="1:9" x14ac:dyDescent="0.25">
      <c r="A2712" s="16" t="s">
        <v>3647</v>
      </c>
      <c r="B2712" s="16" t="str">
        <f>TEXT(PARTIDA[[#This Row],[PARTIDA]],"0000000000")</f>
        <v>3004902300</v>
      </c>
      <c r="C2712" s="16" t="s">
        <v>786</v>
      </c>
      <c r="D2712" s="16" t="s">
        <v>787</v>
      </c>
      <c r="E2712" s="16" t="s">
        <v>9433</v>
      </c>
      <c r="F2712" s="27" t="s">
        <v>11693</v>
      </c>
      <c r="G2712" s="27"/>
      <c r="H2712" s="16" t="str">
        <f>IF(ISBLANK(PARTIDAS!$G2712),PARTIDAS!$F2712,CONCATENATE(PARTIDAS!$F2712," (",PARTIDAS!$G2712,")"))</f>
        <v>Medicamentos, para la alimentación vía parenteral</v>
      </c>
      <c r="I2712" s="16" t="s">
        <v>9427</v>
      </c>
    </row>
    <row r="2713" spans="1:9" x14ac:dyDescent="0.25">
      <c r="A2713" s="16" t="s">
        <v>3648</v>
      </c>
      <c r="B2713" s="16" t="str">
        <f>TEXT(PARTIDA[[#This Row],[PARTIDA]],"0000000000")</f>
        <v>3004902400</v>
      </c>
      <c r="C2713" s="16" t="s">
        <v>786</v>
      </c>
      <c r="D2713" s="16" t="s">
        <v>787</v>
      </c>
      <c r="E2713" s="16" t="s">
        <v>9433</v>
      </c>
      <c r="F2713" s="27" t="s">
        <v>11694</v>
      </c>
      <c r="G2713" s="27"/>
      <c r="H2713" s="16" t="str">
        <f>IF(ISBLANK(PARTIDAS!$G2713),PARTIDAS!$F2713,CONCATENATE(PARTIDAS!$F2713," (",PARTIDAS!$G2713,")"))</f>
        <v>Medicamentos, para tratamiento oncológico o VIH</v>
      </c>
      <c r="I2713" s="16" t="s">
        <v>9427</v>
      </c>
    </row>
    <row r="2714" spans="1:9" x14ac:dyDescent="0.25">
      <c r="A2714" s="16" t="s">
        <v>3649</v>
      </c>
      <c r="B2714" s="16" t="str">
        <f>TEXT(PARTIDA[[#This Row],[PARTIDA]],"0000000000")</f>
        <v>3004902900</v>
      </c>
      <c r="C2714" s="16" t="s">
        <v>786</v>
      </c>
      <c r="D2714" s="16" t="s">
        <v>787</v>
      </c>
      <c r="E2714" s="16" t="s">
        <v>9433</v>
      </c>
      <c r="F2714" s="27" t="s">
        <v>11671</v>
      </c>
      <c r="G2714" s="27"/>
      <c r="H2714" s="16" t="str">
        <f>IF(ISBLANK(PARTIDAS!$G2714),PARTIDAS!$F2714,CONCATENATE(PARTIDAS!$F2714," (",PARTIDAS!$G2714,")"))</f>
        <v>Medicamentos (los demás)</v>
      </c>
      <c r="I2714" s="16" t="s">
        <v>9427</v>
      </c>
    </row>
    <row r="2715" spans="1:9" x14ac:dyDescent="0.25">
      <c r="A2715" s="16" t="s">
        <v>3650</v>
      </c>
      <c r="B2715" s="16" t="str">
        <f>TEXT(PARTIDA[[#This Row],[PARTIDA]],"0000000000")</f>
        <v>3004903000</v>
      </c>
      <c r="C2715" s="16" t="s">
        <v>786</v>
      </c>
      <c r="D2715" s="16" t="s">
        <v>787</v>
      </c>
      <c r="E2715" s="16" t="s">
        <v>9433</v>
      </c>
      <c r="F2715" s="27" t="s">
        <v>9295</v>
      </c>
      <c r="G2715" s="27"/>
      <c r="H2715" s="16" t="str">
        <f>IF(ISBLANK(PARTIDAS!$G2715),PARTIDAS!$F2715,CONCATENATE(PARTIDAS!$F2715," (",PARTIDAS!$G2715,")"))</f>
        <v>Medicamentos (los demás, medicamentos para uso veterinario)</v>
      </c>
      <c r="I2715" s="16" t="s">
        <v>9477</v>
      </c>
    </row>
    <row r="2716" spans="1:9" x14ac:dyDescent="0.25">
      <c r="A2716" s="16" t="s">
        <v>3651</v>
      </c>
      <c r="B2716" s="16" t="str">
        <f>TEXT(PARTIDA[[#This Row],[PARTIDA]],"0000000000")</f>
        <v>3005101000</v>
      </c>
      <c r="C2716" s="16" t="s">
        <v>786</v>
      </c>
      <c r="D2716" s="16" t="s">
        <v>787</v>
      </c>
      <c r="E2716" s="16" t="s">
        <v>9433</v>
      </c>
      <c r="F2716" s="27" t="s">
        <v>11695</v>
      </c>
      <c r="G2716" s="27"/>
      <c r="H2716" s="16" t="str">
        <f>IF(ISBLANK(PARTIDAS!$G2716),PARTIDAS!$F2716,CONCATENATE(PARTIDAS!$F2716," (",PARTIDAS!$G2716,")"))</f>
        <v>Esparadrapos y venditas</v>
      </c>
      <c r="I2716" s="16" t="s">
        <v>9427</v>
      </c>
    </row>
    <row r="2717" spans="1:9" x14ac:dyDescent="0.25">
      <c r="A2717" s="16" t="s">
        <v>3652</v>
      </c>
      <c r="B2717" s="16" t="str">
        <f>TEXT(PARTIDA[[#This Row],[PARTIDA]],"0000000000")</f>
        <v>3005109000</v>
      </c>
      <c r="C2717" s="16" t="s">
        <v>786</v>
      </c>
      <c r="D2717" s="16" t="s">
        <v>787</v>
      </c>
      <c r="E2717" s="16" t="s">
        <v>9433</v>
      </c>
      <c r="F2717" s="27" t="s">
        <v>11696</v>
      </c>
      <c r="G2717" s="27"/>
      <c r="H2717" s="16" t="str">
        <f>IF(ISBLANK(PARTIDAS!$G2717),PARTIDAS!$F2717,CONCATENATE(PARTIDAS!$F2717," (",PARTIDAS!$G2717,")"))</f>
        <v>Apósitos y demás artículos, con una capa adhesiva (los demás)</v>
      </c>
      <c r="I2717" s="16" t="s">
        <v>9427</v>
      </c>
    </row>
    <row r="2718" spans="1:9" x14ac:dyDescent="0.25">
      <c r="A2718" s="16" t="s">
        <v>3653</v>
      </c>
      <c r="B2718" s="16" t="str">
        <f>TEXT(PARTIDA[[#This Row],[PARTIDA]],"0000000000")</f>
        <v>3005901000</v>
      </c>
      <c r="C2718" s="16" t="s">
        <v>786</v>
      </c>
      <c r="D2718" s="16" t="s">
        <v>787</v>
      </c>
      <c r="E2718" s="16" t="s">
        <v>9433</v>
      </c>
      <c r="F2718" s="27" t="s">
        <v>11697</v>
      </c>
      <c r="G2718" s="27"/>
      <c r="H2718" s="16" t="str">
        <f>IF(ISBLANK(PARTIDAS!$G2718),PARTIDAS!$F2718,CONCATENATE(PARTIDAS!$F2718," (",PARTIDAS!$G2718,")"))</f>
        <v>Algodón hidrófilo</v>
      </c>
      <c r="I2718" s="16" t="s">
        <v>9427</v>
      </c>
    </row>
    <row r="2719" spans="1:9" x14ac:dyDescent="0.25">
      <c r="A2719" s="16" t="s">
        <v>3654</v>
      </c>
      <c r="B2719" s="16" t="str">
        <f>TEXT(PARTIDA[[#This Row],[PARTIDA]],"0000000000")</f>
        <v>3005902000</v>
      </c>
      <c r="C2719" s="16" t="s">
        <v>786</v>
      </c>
      <c r="D2719" s="16" t="s">
        <v>787</v>
      </c>
      <c r="E2719" s="16" t="s">
        <v>9433</v>
      </c>
      <c r="F2719" s="27" t="s">
        <v>11698</v>
      </c>
      <c r="G2719" s="27"/>
      <c r="H2719" s="16" t="str">
        <f>IF(ISBLANK(PARTIDAS!$G2719),PARTIDAS!$F2719,CONCATENATE(PARTIDAS!$F2719," (",PARTIDAS!$G2719,")"))</f>
        <v>Guatas, gasas, vendas y artículos análogos (por ejemplo, vendas</v>
      </c>
      <c r="I2719" s="16" t="s">
        <v>9427</v>
      </c>
    </row>
    <row r="2720" spans="1:9" x14ac:dyDescent="0.25">
      <c r="A2720" s="16" t="s">
        <v>3655</v>
      </c>
      <c r="B2720" s="16" t="str">
        <f>TEXT(PARTIDA[[#This Row],[PARTIDA]],"0000000000")</f>
        <v>3005903100</v>
      </c>
      <c r="C2720" s="16" t="s">
        <v>786</v>
      </c>
      <c r="D2720" s="16" t="s">
        <v>787</v>
      </c>
      <c r="E2720" s="16" t="s">
        <v>9433</v>
      </c>
      <c r="F2720" s="27" t="s">
        <v>11699</v>
      </c>
      <c r="G2720" s="27"/>
      <c r="H2720" s="16" t="str">
        <f>IF(ISBLANK(PARTIDAS!$G2720),PARTIDAS!$F2720,CONCATENATE(PARTIDAS!$F2720," (",PARTIDAS!$G2720,")"))</f>
        <v>Impregnadas de yeso u otras substancias propias para el tratamiento de fracturas</v>
      </c>
      <c r="I2720" s="16" t="s">
        <v>9427</v>
      </c>
    </row>
    <row r="2721" spans="1:9" x14ac:dyDescent="0.25">
      <c r="A2721" s="16" t="s">
        <v>3656</v>
      </c>
      <c r="B2721" s="16" t="str">
        <f>TEXT(PARTIDA[[#This Row],[PARTIDA]],"0000000000")</f>
        <v>3005903900</v>
      </c>
      <c r="C2721" s="16" t="s">
        <v>786</v>
      </c>
      <c r="D2721" s="16" t="s">
        <v>787</v>
      </c>
      <c r="E2721" s="16" t="s">
        <v>9433</v>
      </c>
      <c r="F2721" s="27" t="s">
        <v>11700</v>
      </c>
      <c r="G2721" s="27"/>
      <c r="H2721" s="16" t="str">
        <f>IF(ISBLANK(PARTIDAS!$G2721),PARTIDAS!$F2721,CONCATENATE(PARTIDAS!$F2721," (",PARTIDAS!$G2721,")"))</f>
        <v>Gasas (los demás)</v>
      </c>
      <c r="I2721" s="16" t="s">
        <v>9427</v>
      </c>
    </row>
    <row r="2722" spans="1:9" x14ac:dyDescent="0.25">
      <c r="A2722" s="16" t="s">
        <v>3657</v>
      </c>
      <c r="B2722" s="16" t="str">
        <f>TEXT(PARTIDA[[#This Row],[PARTIDA]],"0000000000")</f>
        <v>3005909000</v>
      </c>
      <c r="C2722" s="16" t="s">
        <v>786</v>
      </c>
      <c r="D2722" s="16" t="s">
        <v>787</v>
      </c>
      <c r="E2722" s="16" t="s">
        <v>9433</v>
      </c>
      <c r="F2722" s="27" t="s">
        <v>11701</v>
      </c>
      <c r="G2722" s="27"/>
      <c r="H2722" s="16" t="str">
        <f>IF(ISBLANK(PARTIDAS!$G2722),PARTIDAS!$F2722,CONCATENATE(PARTIDAS!$F2722," (",PARTIDAS!$G2722,")"))</f>
        <v>Guatas, gasas, vendas y artículos análogos (por ejemplo (los demás)</v>
      </c>
      <c r="I2722" s="16" t="s">
        <v>9427</v>
      </c>
    </row>
    <row r="2723" spans="1:9" x14ac:dyDescent="0.25">
      <c r="A2723" s="16" t="s">
        <v>3658</v>
      </c>
      <c r="B2723" s="16" t="str">
        <f>TEXT(PARTIDA[[#This Row],[PARTIDA]],"0000000000")</f>
        <v>3006101000</v>
      </c>
      <c r="C2723" s="16" t="s">
        <v>786</v>
      </c>
      <c r="D2723" s="16" t="s">
        <v>787</v>
      </c>
      <c r="E2723" s="16" t="s">
        <v>9433</v>
      </c>
      <c r="F2723" s="27" t="s">
        <v>11702</v>
      </c>
      <c r="G2723" s="27"/>
      <c r="H2723" s="16" t="str">
        <f>IF(ISBLANK(PARTIDAS!$G2723),PARTIDAS!$F2723,CONCATENATE(PARTIDAS!$F2723," (",PARTIDAS!$G2723,")"))</f>
        <v>Catguts estériles y ligaduras estériles similares, para suturas quirúrgicas (incluidos los hilos reabsorbibles estériles para cirugía u odontología)</v>
      </c>
      <c r="I2723" s="16" t="s">
        <v>9427</v>
      </c>
    </row>
    <row r="2724" spans="1:9" x14ac:dyDescent="0.25">
      <c r="A2724" s="16" t="s">
        <v>3659</v>
      </c>
      <c r="B2724" s="16" t="str">
        <f>TEXT(PARTIDA[[#This Row],[PARTIDA]],"0000000000")</f>
        <v>3006102000</v>
      </c>
      <c r="C2724" s="16" t="s">
        <v>786</v>
      </c>
      <c r="D2724" s="16" t="s">
        <v>787</v>
      </c>
      <c r="E2724" s="16" t="s">
        <v>9433</v>
      </c>
      <c r="F2724" s="27" t="s">
        <v>11703</v>
      </c>
      <c r="G2724" s="27"/>
      <c r="H2724" s="16" t="str">
        <f>IF(ISBLANK(PARTIDAS!$G2724),PARTIDAS!$F2724,CONCATENATE(PARTIDAS!$F2724," (",PARTIDAS!$G2724,")"))</f>
        <v>Adhesivos estériles para tejidos orgánicos</v>
      </c>
      <c r="I2724" s="16" t="s">
        <v>9427</v>
      </c>
    </row>
    <row r="2725" spans="1:9" x14ac:dyDescent="0.25">
      <c r="A2725" s="16" t="s">
        <v>3660</v>
      </c>
      <c r="B2725" s="16" t="str">
        <f>TEXT(PARTIDA[[#This Row],[PARTIDA]],"0000000000")</f>
        <v>3006109000</v>
      </c>
      <c r="C2725" s="16" t="s">
        <v>786</v>
      </c>
      <c r="D2725" s="16" t="s">
        <v>787</v>
      </c>
      <c r="E2725" s="16" t="s">
        <v>9433</v>
      </c>
      <c r="F2725" s="27" t="s">
        <v>11704</v>
      </c>
      <c r="G2725" s="27"/>
      <c r="H2725" s="16" t="str">
        <f>IF(ISBLANK(PARTIDAS!$G2725),PARTIDAS!$F2725,CONCATENATE(PARTIDAS!$F2725," (",PARTIDAS!$G2725,")"))</f>
        <v>Catguts estériles y ligaduras estériles similares, para suturas… (los demás)</v>
      </c>
      <c r="I2725" s="16" t="s">
        <v>9427</v>
      </c>
    </row>
    <row r="2726" spans="1:9" x14ac:dyDescent="0.25">
      <c r="A2726" s="16" t="s">
        <v>3661</v>
      </c>
      <c r="B2726" s="16" t="str">
        <f>TEXT(PARTIDA[[#This Row],[PARTIDA]],"0000000000")</f>
        <v>3006200000</v>
      </c>
      <c r="C2726" s="16" t="s">
        <v>786</v>
      </c>
      <c r="D2726" s="16" t="s">
        <v>787</v>
      </c>
      <c r="E2726" s="16" t="s">
        <v>9433</v>
      </c>
      <c r="F2726" s="27" t="s">
        <v>11705</v>
      </c>
      <c r="G2726" s="27"/>
      <c r="H2726" s="16" t="str">
        <f>IF(ISBLANK(PARTIDAS!$G2726),PARTIDAS!$F2726,CONCATENATE(PARTIDAS!$F2726," (",PARTIDAS!$G2726,")"))</f>
        <v>Reactivos para la determinación de los grupos o de los factores sanguíneos</v>
      </c>
      <c r="I2726" s="16" t="s">
        <v>9648</v>
      </c>
    </row>
    <row r="2727" spans="1:9" x14ac:dyDescent="0.25">
      <c r="A2727" s="16" t="s">
        <v>3662</v>
      </c>
      <c r="B2727" s="16" t="str">
        <f>TEXT(PARTIDA[[#This Row],[PARTIDA]],"0000000000")</f>
        <v>3006301000</v>
      </c>
      <c r="C2727" s="16" t="s">
        <v>786</v>
      </c>
      <c r="D2727" s="16" t="s">
        <v>787</v>
      </c>
      <c r="E2727" s="16" t="s">
        <v>9433</v>
      </c>
      <c r="F2727" s="27" t="s">
        <v>11706</v>
      </c>
      <c r="G2727" s="27"/>
      <c r="H2727" s="16" t="str">
        <f>IF(ISBLANK(PARTIDAS!$G2727),PARTIDAS!$F2727,CONCATENATE(PARTIDAS!$F2727," (",PARTIDAS!$G2727,")"))</f>
        <v>Preparaciones opacificantes a base de sulfato de bario</v>
      </c>
      <c r="I2727" s="16" t="s">
        <v>9427</v>
      </c>
    </row>
    <row r="2728" spans="1:9" x14ac:dyDescent="0.25">
      <c r="A2728" s="16" t="s">
        <v>3663</v>
      </c>
      <c r="B2728" s="16" t="str">
        <f>TEXT(PARTIDA[[#This Row],[PARTIDA]],"0000000000")</f>
        <v>3006302000</v>
      </c>
      <c r="C2728" s="16" t="s">
        <v>786</v>
      </c>
      <c r="D2728" s="16" t="s">
        <v>787</v>
      </c>
      <c r="E2728" s="16" t="s">
        <v>9433</v>
      </c>
      <c r="F2728" s="27" t="s">
        <v>11707</v>
      </c>
      <c r="G2728" s="27"/>
      <c r="H2728" s="16" t="str">
        <f>IF(ISBLANK(PARTIDAS!$G2728),PARTIDAS!$F2728,CONCATENATE(PARTIDAS!$F2728," (",PARTIDAS!$G2728,")"))</f>
        <v>Preparaciones opacificantes para exámenes radiológicos (los demás, preparaciones opacificantes)</v>
      </c>
      <c r="I2728" s="16" t="s">
        <v>9427</v>
      </c>
    </row>
    <row r="2729" spans="1:9" x14ac:dyDescent="0.25">
      <c r="A2729" s="16" t="s">
        <v>3664</v>
      </c>
      <c r="B2729" s="16" t="str">
        <f>TEXT(PARTIDA[[#This Row],[PARTIDA]],"0000000000")</f>
        <v>3006303000</v>
      </c>
      <c r="C2729" s="16" t="s">
        <v>786</v>
      </c>
      <c r="D2729" s="16" t="s">
        <v>787</v>
      </c>
      <c r="E2729" s="16" t="s">
        <v>9433</v>
      </c>
      <c r="F2729" s="27" t="s">
        <v>11708</v>
      </c>
      <c r="G2729" s="27"/>
      <c r="H2729" s="16" t="str">
        <f>IF(ISBLANK(PARTIDAS!$G2729),PARTIDAS!$F2729,CONCATENATE(PARTIDAS!$F2729," (",PARTIDAS!$G2729,")"))</f>
        <v>Reactivos de diagnóstico</v>
      </c>
      <c r="I2729" s="16" t="s">
        <v>9427</v>
      </c>
    </row>
    <row r="2730" spans="1:9" x14ac:dyDescent="0.25">
      <c r="A2730" s="16" t="s">
        <v>3665</v>
      </c>
      <c r="B2730" s="16" t="str">
        <f>TEXT(PARTIDA[[#This Row],[PARTIDA]],"0000000000")</f>
        <v>3006401000</v>
      </c>
      <c r="C2730" s="16" t="s">
        <v>786</v>
      </c>
      <c r="D2730" s="16" t="s">
        <v>787</v>
      </c>
      <c r="E2730" s="16" t="s">
        <v>9433</v>
      </c>
      <c r="F2730" s="27" t="s">
        <v>11709</v>
      </c>
      <c r="G2730" s="27"/>
      <c r="H2730" s="16" t="str">
        <f>IF(ISBLANK(PARTIDAS!$G2730),PARTIDAS!$F2730,CONCATENATE(PARTIDAS!$F2730," (",PARTIDAS!$G2730,")"))</f>
        <v>Cementos y demás productos de obturación dental</v>
      </c>
      <c r="I2730" s="16" t="s">
        <v>9427</v>
      </c>
    </row>
    <row r="2731" spans="1:9" x14ac:dyDescent="0.25">
      <c r="A2731" s="16" t="s">
        <v>3666</v>
      </c>
      <c r="B2731" s="16" t="str">
        <f>TEXT(PARTIDA[[#This Row],[PARTIDA]],"0000000000")</f>
        <v>3006402000</v>
      </c>
      <c r="C2731" s="16" t="s">
        <v>786</v>
      </c>
      <c r="D2731" s="16" t="s">
        <v>787</v>
      </c>
      <c r="E2731" s="16" t="s">
        <v>9433</v>
      </c>
      <c r="F2731" s="27" t="s">
        <v>11710</v>
      </c>
      <c r="G2731" s="27"/>
      <c r="H2731" s="16" t="str">
        <f>IF(ISBLANK(PARTIDAS!$G2731),PARTIDAS!$F2731,CONCATENATE(PARTIDAS!$F2731," (",PARTIDAS!$G2731,")"))</f>
        <v>Cementos para la refección de huesos</v>
      </c>
      <c r="I2731" s="16" t="s">
        <v>9427</v>
      </c>
    </row>
    <row r="2732" spans="1:9" x14ac:dyDescent="0.25">
      <c r="A2732" s="16" t="s">
        <v>3667</v>
      </c>
      <c r="B2732" s="16" t="str">
        <f>TEXT(PARTIDA[[#This Row],[PARTIDA]],"0000000000")</f>
        <v>3006500000</v>
      </c>
      <c r="C2732" s="16" t="s">
        <v>786</v>
      </c>
      <c r="D2732" s="16" t="s">
        <v>787</v>
      </c>
      <c r="E2732" s="16" t="s">
        <v>9433</v>
      </c>
      <c r="F2732" s="27" t="s">
        <v>3668</v>
      </c>
      <c r="G2732" s="27"/>
      <c r="H2732" s="16" t="str">
        <f>IF(ISBLANK(PARTIDAS!$G2732),PARTIDAS!$F2732,CONCATENATE(PARTIDAS!$F2732," (",PARTIDAS!$G2732,")"))</f>
        <v>Botiquines equipados para primeros auxilios</v>
      </c>
      <c r="I2732" s="16" t="s">
        <v>9427</v>
      </c>
    </row>
    <row r="2733" spans="1:9" x14ac:dyDescent="0.25">
      <c r="A2733" s="16" t="s">
        <v>3669</v>
      </c>
      <c r="B2733" s="16" t="str">
        <f>TEXT(PARTIDA[[#This Row],[PARTIDA]],"0000000000")</f>
        <v>3006600000</v>
      </c>
      <c r="C2733" s="16" t="s">
        <v>786</v>
      </c>
      <c r="D2733" s="16" t="s">
        <v>787</v>
      </c>
      <c r="E2733" s="16" t="s">
        <v>9433</v>
      </c>
      <c r="F2733" s="27" t="s">
        <v>11711</v>
      </c>
      <c r="G2733" s="27"/>
      <c r="H2733" s="16" t="str">
        <f>IF(ISBLANK(PARTIDAS!$G2733),PARTIDAS!$F2733,CONCATENATE(PARTIDAS!$F2733," (",PARTIDAS!$G2733,")"))</f>
        <v>Preparaciones químicas anticonceptivas a base de hormonas, de otros productos de la partida 29.37 o de espermicidas</v>
      </c>
      <c r="I2733" s="16" t="s">
        <v>9427</v>
      </c>
    </row>
    <row r="2734" spans="1:9" x14ac:dyDescent="0.25">
      <c r="A2734" s="16" t="s">
        <v>3670</v>
      </c>
      <c r="B2734" s="16" t="str">
        <f>TEXT(PARTIDA[[#This Row],[PARTIDA]],"0000000000")</f>
        <v>3006700000</v>
      </c>
      <c r="C2734" s="16" t="s">
        <v>786</v>
      </c>
      <c r="D2734" s="16" t="s">
        <v>787</v>
      </c>
      <c r="E2734" s="16" t="s">
        <v>9433</v>
      </c>
      <c r="F2734" s="27" t="s">
        <v>11712</v>
      </c>
      <c r="G2734" s="27"/>
      <c r="H2734" s="16" t="str">
        <f>IF(ISBLANK(PARTIDAS!$G2734),PARTIDAS!$F2734,CONCATENATE(PARTIDAS!$F2734," (",PARTIDAS!$G2734,")"))</f>
        <v xml:space="preserve">Preparaciones en forma de gel, concebidas para ser utilizadas en medicina o veterinaria como lubricante para ciertas partes del cuerpo en operaciones </v>
      </c>
      <c r="I2734" s="16" t="s">
        <v>9427</v>
      </c>
    </row>
    <row r="2735" spans="1:9" x14ac:dyDescent="0.25">
      <c r="A2735" s="16" t="s">
        <v>3671</v>
      </c>
      <c r="B2735" s="16" t="str">
        <f>TEXT(PARTIDA[[#This Row],[PARTIDA]],"0000000000")</f>
        <v>3006910000</v>
      </c>
      <c r="C2735" s="16" t="s">
        <v>786</v>
      </c>
      <c r="D2735" s="16" t="s">
        <v>787</v>
      </c>
      <c r="E2735" s="16" t="s">
        <v>9433</v>
      </c>
      <c r="F2735" s="27" t="s">
        <v>11713</v>
      </c>
      <c r="G2735" s="27"/>
      <c r="H2735" s="16" t="str">
        <f>IF(ISBLANK(PARTIDAS!$G2735),PARTIDAS!$F2735,CONCATENATE(PARTIDAS!$F2735," (",PARTIDAS!$G2735,")"))</f>
        <v>Dispositivos identificables para uso en estomas</v>
      </c>
      <c r="I2735" s="16" t="s">
        <v>9427</v>
      </c>
    </row>
    <row r="2736" spans="1:9" x14ac:dyDescent="0.25">
      <c r="A2736" s="16" t="s">
        <v>3672</v>
      </c>
      <c r="B2736" s="16" t="str">
        <f>TEXT(PARTIDA[[#This Row],[PARTIDA]],"0000000000")</f>
        <v>3006920000</v>
      </c>
      <c r="C2736" s="16" t="s">
        <v>786</v>
      </c>
      <c r="D2736" s="16" t="s">
        <v>787</v>
      </c>
      <c r="E2736" s="16" t="s">
        <v>9433</v>
      </c>
      <c r="F2736" s="27" t="s">
        <v>11714</v>
      </c>
      <c r="G2736" s="27"/>
      <c r="H2736" s="16" t="str">
        <f>IF(ISBLANK(PARTIDAS!$G2736),PARTIDAS!$F2736,CONCATENATE(PARTIDAS!$F2736," (",PARTIDAS!$G2736,")"))</f>
        <v>Desechos farmacéuticos</v>
      </c>
      <c r="I2736" s="16" t="s">
        <v>9427</v>
      </c>
    </row>
    <row r="2737" spans="1:9" x14ac:dyDescent="0.25">
      <c r="A2737" s="16" t="s">
        <v>11715</v>
      </c>
      <c r="B2737" s="16" t="str">
        <f>TEXT(PARTIDA[[#This Row],[PARTIDA]],"0000000000")</f>
        <v>3006930000</v>
      </c>
      <c r="C2737" s="16" t="s">
        <v>786</v>
      </c>
      <c r="D2737" s="16" t="s">
        <v>787</v>
      </c>
      <c r="E2737" s="16" t="s">
        <v>9433</v>
      </c>
      <c r="F2737" s="27" t="s">
        <v>11716</v>
      </c>
      <c r="G2737" s="27"/>
      <c r="H2737" s="16" t="str">
        <f>IF(ISBLANK(PARTIDAS!$G2737),PARTIDAS!$F2737,CONCATENATE(PARTIDAS!$F2737," (",PARTIDAS!$G2737,")"))</f>
        <v>Placebos y kits para ensayos clínicos ciegos (o doble ciego), destinados para ensayos clínicos reconocidos, presentados en forma de dosis</v>
      </c>
      <c r="I2737" s="16" t="s">
        <v>9427</v>
      </c>
    </row>
    <row r="2738" spans="1:9" x14ac:dyDescent="0.25">
      <c r="A2738" s="16" t="s">
        <v>3673</v>
      </c>
      <c r="B2738" s="16" t="str">
        <f>TEXT(PARTIDA[[#This Row],[PARTIDA]],"0000000000")</f>
        <v>3101001000</v>
      </c>
      <c r="C2738" s="16" t="s">
        <v>815</v>
      </c>
      <c r="D2738" s="16" t="s">
        <v>825</v>
      </c>
      <c r="E2738" s="16" t="s">
        <v>9455</v>
      </c>
      <c r="F2738" s="27" t="s">
        <v>11717</v>
      </c>
      <c r="G2738" s="27"/>
      <c r="H2738" s="16" t="str">
        <f>IF(ISBLANK(PARTIDAS!$G2738),PARTIDAS!$F2738,CONCATENATE(PARTIDAS!$F2738," (",PARTIDAS!$G2738,")"))</f>
        <v>Guano de aves marinas</v>
      </c>
      <c r="I2738" s="16" t="s">
        <v>9427</v>
      </c>
    </row>
    <row r="2739" spans="1:9" x14ac:dyDescent="0.25">
      <c r="A2739" s="16" t="s">
        <v>3674</v>
      </c>
      <c r="B2739" s="16" t="str">
        <f>TEXT(PARTIDA[[#This Row],[PARTIDA]],"0000000000")</f>
        <v>3101009000</v>
      </c>
      <c r="C2739" s="16" t="s">
        <v>815</v>
      </c>
      <c r="D2739" s="16" t="s">
        <v>825</v>
      </c>
      <c r="E2739" s="16" t="s">
        <v>9455</v>
      </c>
      <c r="F2739" s="27" t="s">
        <v>11718</v>
      </c>
      <c r="G2739" s="27"/>
      <c r="H2739" s="16" t="str">
        <f>IF(ISBLANK(PARTIDAS!$G2739),PARTIDAS!$F2739,CONCATENATE(PARTIDAS!$F2739," (",PARTIDAS!$G2739,")"))</f>
        <v>Abonos (los demás)</v>
      </c>
      <c r="I2739" s="16" t="s">
        <v>9427</v>
      </c>
    </row>
    <row r="2740" spans="1:9" x14ac:dyDescent="0.25">
      <c r="A2740" s="16" t="s">
        <v>3675</v>
      </c>
      <c r="B2740" s="16" t="str">
        <f>TEXT(PARTIDA[[#This Row],[PARTIDA]],"0000000000")</f>
        <v>3102101000</v>
      </c>
      <c r="C2740" s="16" t="s">
        <v>815</v>
      </c>
      <c r="D2740" s="16" t="s">
        <v>825</v>
      </c>
      <c r="E2740" s="16" t="s">
        <v>9455</v>
      </c>
      <c r="F2740" s="27" t="s">
        <v>9403</v>
      </c>
      <c r="G2740" s="27"/>
      <c r="H2740" s="16" t="str">
        <f>IF(ISBLANK(PARTIDAS!$G2740),PARTIDAS!$F2740,CONCATENATE(PARTIDAS!$F2740," (",PARTIDAS!$G2740,")"))</f>
        <v>Urea, incluso en disolución acuosa, con un porcentaje de nitrógeno superior o igual a 45,0 % pero inferior o igual a 46,6 % en peso</v>
      </c>
      <c r="I2740" s="16" t="s">
        <v>9477</v>
      </c>
    </row>
    <row r="2741" spans="1:9" x14ac:dyDescent="0.25">
      <c r="A2741" s="16" t="s">
        <v>3676</v>
      </c>
      <c r="B2741" s="16" t="str">
        <f>TEXT(PARTIDA[[#This Row],[PARTIDA]],"0000000000")</f>
        <v>3102109000</v>
      </c>
      <c r="C2741" s="16" t="s">
        <v>815</v>
      </c>
      <c r="D2741" s="16" t="s">
        <v>825</v>
      </c>
      <c r="E2741" s="16" t="s">
        <v>9455</v>
      </c>
      <c r="F2741" s="27" t="s">
        <v>11719</v>
      </c>
      <c r="G2741" s="27"/>
      <c r="H2741" s="16" t="str">
        <f>IF(ISBLANK(PARTIDAS!$G2741),PARTIDAS!$F2741,CONCATENATE(PARTIDAS!$F2741," (",PARTIDAS!$G2741,")"))</f>
        <v>Urea, incluso en disolución acuosa (los demás)</v>
      </c>
      <c r="I2741" s="16" t="s">
        <v>9427</v>
      </c>
    </row>
    <row r="2742" spans="1:9" x14ac:dyDescent="0.25">
      <c r="A2742" s="16" t="s">
        <v>3677</v>
      </c>
      <c r="B2742" s="16" t="str">
        <f>TEXT(PARTIDA[[#This Row],[PARTIDA]],"0000000000")</f>
        <v>3102210000</v>
      </c>
      <c r="C2742" s="16" t="s">
        <v>815</v>
      </c>
      <c r="D2742" s="16" t="s">
        <v>825</v>
      </c>
      <c r="E2742" s="16" t="s">
        <v>9455</v>
      </c>
      <c r="F2742" s="27" t="s">
        <v>11720</v>
      </c>
      <c r="G2742" s="27"/>
      <c r="H2742" s="16" t="str">
        <f>IF(ISBLANK(PARTIDAS!$G2742),PARTIDAS!$F2742,CONCATENATE(PARTIDAS!$F2742," (",PARTIDAS!$G2742,")"))</f>
        <v>Sulfato de amonio</v>
      </c>
      <c r="I2742" s="16" t="s">
        <v>9427</v>
      </c>
    </row>
    <row r="2743" spans="1:9" x14ac:dyDescent="0.25">
      <c r="A2743" s="16" t="s">
        <v>3678</v>
      </c>
      <c r="B2743" s="16" t="str">
        <f>TEXT(PARTIDA[[#This Row],[PARTIDA]],"0000000000")</f>
        <v>3102290000</v>
      </c>
      <c r="C2743" s="16" t="s">
        <v>815</v>
      </c>
      <c r="D2743" s="16" t="s">
        <v>825</v>
      </c>
      <c r="E2743" s="16" t="s">
        <v>9455</v>
      </c>
      <c r="F2743" s="27" t="s">
        <v>11721</v>
      </c>
      <c r="G2743" s="27"/>
      <c r="H2743" s="16" t="str">
        <f>IF(ISBLANK(PARTIDAS!$G2743),PARTIDAS!$F2743,CONCATENATE(PARTIDAS!$F2743," (",PARTIDAS!$G2743,")"))</f>
        <v>Sulfato de amonio (los demás)</v>
      </c>
      <c r="I2743" s="16" t="s">
        <v>9427</v>
      </c>
    </row>
    <row r="2744" spans="1:9" x14ac:dyDescent="0.25">
      <c r="A2744" s="16" t="s">
        <v>3679</v>
      </c>
      <c r="B2744" s="16" t="str">
        <f>TEXT(PARTIDA[[#This Row],[PARTIDA]],"0000000000")</f>
        <v>3102300010</v>
      </c>
      <c r="C2744" s="16" t="s">
        <v>815</v>
      </c>
      <c r="D2744" s="16" t="s">
        <v>825</v>
      </c>
      <c r="E2744" s="16" t="s">
        <v>9455</v>
      </c>
      <c r="F2744" s="27" t="s">
        <v>11722</v>
      </c>
      <c r="G2744" s="27"/>
      <c r="H2744" s="16" t="str">
        <f>IF(ISBLANK(PARTIDAS!$G2744),PARTIDAS!$F2744,CONCATENATE(PARTIDAS!$F2744," (",PARTIDAS!$G2744,")"))</f>
        <v>Nitrato de amonio, incluso en disolución acuosa, con un contenido de nitrógeno total inferior o igual a 34,5 % y densidad aparente superior a 0,85 g/m</v>
      </c>
      <c r="I2744" s="16" t="s">
        <v>9427</v>
      </c>
    </row>
    <row r="2745" spans="1:9" x14ac:dyDescent="0.25">
      <c r="A2745" s="16" t="s">
        <v>3680</v>
      </c>
      <c r="B2745" s="16" t="str">
        <f>TEXT(PARTIDA[[#This Row],[PARTIDA]],"0000000000")</f>
        <v>3102300020</v>
      </c>
      <c r="C2745" s="16" t="s">
        <v>815</v>
      </c>
      <c r="D2745" s="16" t="s">
        <v>825</v>
      </c>
      <c r="E2745" s="16" t="s">
        <v>9455</v>
      </c>
      <c r="F2745" s="27" t="s">
        <v>11723</v>
      </c>
      <c r="G2745" s="27"/>
      <c r="H2745" s="16" t="str">
        <f>IF(ISBLANK(PARTIDAS!$G2745),PARTIDAS!$F2745,CONCATENATE(PARTIDAS!$F2745," (",PARTIDAS!$G2745,")"))</f>
        <v>Con un contenido de nitrógeno total superior o igual a 34,5% y densidad aparente superior o igual a 0,65 g/ml e inferior o igual a 0,85 g/ml (grado anfo)</v>
      </c>
      <c r="I2745" s="16" t="s">
        <v>9648</v>
      </c>
    </row>
    <row r="2746" spans="1:9" x14ac:dyDescent="0.25">
      <c r="A2746" s="16" t="s">
        <v>3681</v>
      </c>
      <c r="B2746" s="16" t="str">
        <f>TEXT(PARTIDA[[#This Row],[PARTIDA]],"0000000000")</f>
        <v>3102300090</v>
      </c>
      <c r="C2746" s="16" t="s">
        <v>815</v>
      </c>
      <c r="D2746" s="16" t="s">
        <v>825</v>
      </c>
      <c r="E2746" s="16" t="s">
        <v>9455</v>
      </c>
      <c r="F2746" s="27" t="s">
        <v>11724</v>
      </c>
      <c r="G2746" s="27"/>
      <c r="H2746" s="16" t="str">
        <f>IF(ISBLANK(PARTIDAS!$G2746),PARTIDAS!$F2746,CONCATENATE(PARTIDAS!$F2746," (",PARTIDAS!$G2746,")"))</f>
        <v>Nitrato de amonio, incluso en disolución acuosa (los demás)</v>
      </c>
      <c r="I2746" s="16" t="s">
        <v>9427</v>
      </c>
    </row>
    <row r="2747" spans="1:9" x14ac:dyDescent="0.25">
      <c r="A2747" s="16" t="s">
        <v>3682</v>
      </c>
      <c r="B2747" s="16" t="str">
        <f>TEXT(PARTIDA[[#This Row],[PARTIDA]],"0000000000")</f>
        <v>3102400000</v>
      </c>
      <c r="C2747" s="16" t="s">
        <v>815</v>
      </c>
      <c r="D2747" s="16" t="s">
        <v>825</v>
      </c>
      <c r="E2747" s="16" t="s">
        <v>9455</v>
      </c>
      <c r="F2747" s="27" t="s">
        <v>11725</v>
      </c>
      <c r="G2747" s="27"/>
      <c r="H2747" s="16" t="str">
        <f>IF(ISBLANK(PARTIDAS!$G2747),PARTIDAS!$F2747,CONCATENATE(PARTIDAS!$F2747," (",PARTIDAS!$G2747,")"))</f>
        <v>Mezclas de nitrato de amonio con carbonato de calcio u otras materias inorgánicas sin poder fertilizante</v>
      </c>
      <c r="I2747" s="16" t="s">
        <v>9427</v>
      </c>
    </row>
    <row r="2748" spans="1:9" x14ac:dyDescent="0.25">
      <c r="A2748" s="16" t="s">
        <v>3683</v>
      </c>
      <c r="B2748" s="16" t="str">
        <f>TEXT(PARTIDA[[#This Row],[PARTIDA]],"0000000000")</f>
        <v>3102500000</v>
      </c>
      <c r="C2748" s="16" t="s">
        <v>815</v>
      </c>
      <c r="D2748" s="16" t="s">
        <v>825</v>
      </c>
      <c r="E2748" s="16" t="s">
        <v>9455</v>
      </c>
      <c r="F2748" s="27" t="s">
        <v>11726</v>
      </c>
      <c r="G2748" s="27"/>
      <c r="H2748" s="16" t="str">
        <f>IF(ISBLANK(PARTIDAS!$G2748),PARTIDAS!$F2748,CONCATENATE(PARTIDAS!$F2748," (",PARTIDAS!$G2748,")"))</f>
        <v>Nitrato de sodio</v>
      </c>
      <c r="I2748" s="16" t="s">
        <v>9427</v>
      </c>
    </row>
    <row r="2749" spans="1:9" x14ac:dyDescent="0.25">
      <c r="A2749" s="16" t="s">
        <v>3684</v>
      </c>
      <c r="B2749" s="16" t="str">
        <f>TEXT(PARTIDA[[#This Row],[PARTIDA]],"0000000000")</f>
        <v>3102600000</v>
      </c>
      <c r="C2749" s="16" t="s">
        <v>815</v>
      </c>
      <c r="D2749" s="16" t="s">
        <v>825</v>
      </c>
      <c r="E2749" s="16" t="s">
        <v>9455</v>
      </c>
      <c r="F2749" s="27" t="s">
        <v>11727</v>
      </c>
      <c r="G2749" s="27"/>
      <c r="H2749" s="16" t="str">
        <f>IF(ISBLANK(PARTIDAS!$G2749),PARTIDAS!$F2749,CONCATENATE(PARTIDAS!$F2749," (",PARTIDAS!$G2749,")"))</f>
        <v>Sales dobles y mezclas entre sí de nitrato de calcio y nitrato de amonio</v>
      </c>
      <c r="I2749" s="16" t="s">
        <v>9427</v>
      </c>
    </row>
    <row r="2750" spans="1:9" x14ac:dyDescent="0.25">
      <c r="A2750" s="16" t="s">
        <v>3685</v>
      </c>
      <c r="B2750" s="16" t="str">
        <f>TEXT(PARTIDA[[#This Row],[PARTIDA]],"0000000000")</f>
        <v>3102800000</v>
      </c>
      <c r="C2750" s="16" t="s">
        <v>815</v>
      </c>
      <c r="D2750" s="16" t="s">
        <v>825</v>
      </c>
      <c r="E2750" s="16" t="s">
        <v>9455</v>
      </c>
      <c r="F2750" s="27" t="s">
        <v>11728</v>
      </c>
      <c r="G2750" s="27"/>
      <c r="H2750" s="16" t="str">
        <f>IF(ISBLANK(PARTIDAS!$G2750),PARTIDAS!$F2750,CONCATENATE(PARTIDAS!$F2750," (",PARTIDAS!$G2750,")"))</f>
        <v>Mezclas de urea con nitrato de amonio en disolución acuosa o amoniacal</v>
      </c>
      <c r="I2750" s="16" t="s">
        <v>9427</v>
      </c>
    </row>
    <row r="2751" spans="1:9" x14ac:dyDescent="0.25">
      <c r="A2751" s="16" t="s">
        <v>3686</v>
      </c>
      <c r="B2751" s="16" t="str">
        <f>TEXT(PARTIDA[[#This Row],[PARTIDA]],"0000000000")</f>
        <v>3102901000</v>
      </c>
      <c r="C2751" s="16" t="s">
        <v>815</v>
      </c>
      <c r="D2751" s="16" t="s">
        <v>825</v>
      </c>
      <c r="E2751" s="16" t="s">
        <v>9455</v>
      </c>
      <c r="F2751" s="27" t="s">
        <v>11729</v>
      </c>
      <c r="G2751" s="27"/>
      <c r="H2751" s="16" t="str">
        <f>IF(ISBLANK(PARTIDAS!$G2751),PARTIDAS!$F2751,CONCATENATE(PARTIDAS!$F2751," (",PARTIDAS!$G2751,")"))</f>
        <v>Mezclas de nitrato de calcio con nitrato de magnesio</v>
      </c>
      <c r="I2751" s="16" t="s">
        <v>9427</v>
      </c>
    </row>
    <row r="2752" spans="1:9" x14ac:dyDescent="0.25">
      <c r="A2752" s="16" t="s">
        <v>3687</v>
      </c>
      <c r="B2752" s="16" t="str">
        <f>TEXT(PARTIDA[[#This Row],[PARTIDA]],"0000000000")</f>
        <v>3102909000</v>
      </c>
      <c r="C2752" s="16" t="s">
        <v>815</v>
      </c>
      <c r="D2752" s="16" t="s">
        <v>825</v>
      </c>
      <c r="E2752" s="16" t="s">
        <v>9455</v>
      </c>
      <c r="F2752" s="27" t="s">
        <v>11730</v>
      </c>
      <c r="G2752" s="27"/>
      <c r="H2752" s="16" t="str">
        <f>IF(ISBLANK(PARTIDAS!$G2752),PARTIDAS!$F2752,CONCATENATE(PARTIDAS!$F2752," (",PARTIDAS!$G2752,")"))</f>
        <v>Abonos minerales o químicos nitrogenados (los demás)</v>
      </c>
      <c r="I2752" s="16" t="s">
        <v>9427</v>
      </c>
    </row>
    <row r="2753" spans="1:9" x14ac:dyDescent="0.25">
      <c r="A2753" s="16" t="s">
        <v>3688</v>
      </c>
      <c r="B2753" s="16" t="str">
        <f>TEXT(PARTIDA[[#This Row],[PARTIDA]],"0000000000")</f>
        <v>3103110000</v>
      </c>
      <c r="C2753" s="16" t="s">
        <v>815</v>
      </c>
      <c r="D2753" s="16" t="s">
        <v>825</v>
      </c>
      <c r="E2753" s="16" t="s">
        <v>9455</v>
      </c>
      <c r="F2753" s="27" t="s">
        <v>11731</v>
      </c>
      <c r="G2753" s="27"/>
      <c r="H2753" s="16" t="str">
        <f>IF(ISBLANK(PARTIDAS!$G2753),PARTIDAS!$F2753,CONCATENATE(PARTIDAS!$F2753," (",PARTIDAS!$G2753,")"))</f>
        <v>Superfosfatos, con un contenido de pentóxido de difósforo (P2O5) superior o igual al 35 % en peso</v>
      </c>
      <c r="I2753" s="16" t="s">
        <v>9427</v>
      </c>
    </row>
    <row r="2754" spans="1:9" x14ac:dyDescent="0.25">
      <c r="A2754" s="16" t="s">
        <v>3689</v>
      </c>
      <c r="B2754" s="16" t="str">
        <f>TEXT(PARTIDA[[#This Row],[PARTIDA]],"0000000000")</f>
        <v>3103190000</v>
      </c>
      <c r="C2754" s="16" t="s">
        <v>815</v>
      </c>
      <c r="D2754" s="16" t="s">
        <v>825</v>
      </c>
      <c r="E2754" s="16" t="s">
        <v>9455</v>
      </c>
      <c r="F2754" s="27" t="s">
        <v>11732</v>
      </c>
      <c r="G2754" s="27"/>
      <c r="H2754" s="16" t="str">
        <f>IF(ISBLANK(PARTIDAS!$G2754),PARTIDAS!$F2754,CONCATENATE(PARTIDAS!$F2754," (",PARTIDAS!$G2754,")"))</f>
        <v>Superfosfatos (los demás)</v>
      </c>
      <c r="I2754" s="16" t="s">
        <v>9427</v>
      </c>
    </row>
    <row r="2755" spans="1:9" x14ac:dyDescent="0.25">
      <c r="A2755" s="16" t="s">
        <v>3690</v>
      </c>
      <c r="B2755" s="16" t="str">
        <f>TEXT(PARTIDA[[#This Row],[PARTIDA]],"0000000000")</f>
        <v>3103900010</v>
      </c>
      <c r="C2755" s="16" t="s">
        <v>815</v>
      </c>
      <c r="D2755" s="16" t="s">
        <v>825</v>
      </c>
      <c r="E2755" s="16" t="s">
        <v>9455</v>
      </c>
      <c r="F2755" s="27" t="s">
        <v>11733</v>
      </c>
      <c r="G2755" s="27"/>
      <c r="H2755" s="16" t="str">
        <f>IF(ISBLANK(PARTIDAS!$G2755),PARTIDAS!$F2755,CONCATENATE(PARTIDAS!$F2755," (",PARTIDAS!$G2755,")"))</f>
        <v>Escorias de desfosforación</v>
      </c>
      <c r="I2755" s="16" t="s">
        <v>9427</v>
      </c>
    </row>
    <row r="2756" spans="1:9" x14ac:dyDescent="0.25">
      <c r="A2756" s="16" t="s">
        <v>3691</v>
      </c>
      <c r="B2756" s="16" t="str">
        <f>TEXT(PARTIDA[[#This Row],[PARTIDA]],"0000000000")</f>
        <v>3103900090</v>
      </c>
      <c r="C2756" s="16" t="s">
        <v>815</v>
      </c>
      <c r="D2756" s="16" t="s">
        <v>825</v>
      </c>
      <c r="E2756" s="16" t="s">
        <v>9455</v>
      </c>
      <c r="F2756" s="27" t="s">
        <v>11734</v>
      </c>
      <c r="G2756" s="27"/>
      <c r="H2756" s="16" t="str">
        <f>IF(ISBLANK(PARTIDAS!$G2756),PARTIDAS!$F2756,CONCATENATE(PARTIDAS!$F2756," (",PARTIDAS!$G2756,")"))</f>
        <v>Abonos minerales o químicos fosfatados (los demás)</v>
      </c>
      <c r="I2756" s="16" t="s">
        <v>9427</v>
      </c>
    </row>
    <row r="2757" spans="1:9" x14ac:dyDescent="0.25">
      <c r="A2757" s="16" t="s">
        <v>3692</v>
      </c>
      <c r="B2757" s="16" t="str">
        <f>TEXT(PARTIDA[[#This Row],[PARTIDA]],"0000000000")</f>
        <v>3104202000</v>
      </c>
      <c r="C2757" s="16" t="s">
        <v>815</v>
      </c>
      <c r="D2757" s="16" t="s">
        <v>825</v>
      </c>
      <c r="E2757" s="16" t="s">
        <v>9455</v>
      </c>
      <c r="F2757" s="27" t="s">
        <v>9205</v>
      </c>
      <c r="G2757" s="27"/>
      <c r="H2757" s="16" t="str">
        <f>IF(ISBLANK(PARTIDAS!$G2757),PARTIDAS!$F2757,CONCATENATE(PARTIDAS!$F2757," (",PARTIDAS!$G2757,")"))</f>
        <v>Cloruro de potasio, con un contenido de potasio, superior o igual a 58,0 % pero inferior o igual a 63,1 % en peso, expresado en óxido de potasio</v>
      </c>
      <c r="I2757" s="16" t="s">
        <v>9477</v>
      </c>
    </row>
    <row r="2758" spans="1:9" x14ac:dyDescent="0.25">
      <c r="A2758" s="16" t="s">
        <v>3693</v>
      </c>
      <c r="B2758" s="16" t="str">
        <f>TEXT(PARTIDA[[#This Row],[PARTIDA]],"0000000000")</f>
        <v>3104209000</v>
      </c>
      <c r="C2758" s="16" t="s">
        <v>815</v>
      </c>
      <c r="D2758" s="16" t="s">
        <v>825</v>
      </c>
      <c r="E2758" s="16" t="s">
        <v>9455</v>
      </c>
      <c r="F2758" s="27" t="s">
        <v>11735</v>
      </c>
      <c r="G2758" s="27"/>
      <c r="H2758" s="16" t="str">
        <f>IF(ISBLANK(PARTIDAS!$G2758),PARTIDAS!$F2758,CONCATENATE(PARTIDAS!$F2758," (",PARTIDAS!$G2758,")"))</f>
        <v>Cloruro de potasio (los demás)</v>
      </c>
      <c r="I2758" s="16" t="s">
        <v>9427</v>
      </c>
    </row>
    <row r="2759" spans="1:9" x14ac:dyDescent="0.25">
      <c r="A2759" s="16" t="s">
        <v>3694</v>
      </c>
      <c r="B2759" s="16" t="str">
        <f>TEXT(PARTIDA[[#This Row],[PARTIDA]],"0000000000")</f>
        <v>3104300000</v>
      </c>
      <c r="C2759" s="16" t="s">
        <v>815</v>
      </c>
      <c r="D2759" s="16" t="s">
        <v>825</v>
      </c>
      <c r="E2759" s="16" t="s">
        <v>9455</v>
      </c>
      <c r="F2759" s="27" t="s">
        <v>11736</v>
      </c>
      <c r="G2759" s="27"/>
      <c r="H2759" s="16" t="str">
        <f>IF(ISBLANK(PARTIDAS!$G2759),PARTIDAS!$F2759,CONCATENATE(PARTIDAS!$F2759," (",PARTIDAS!$G2759,")"))</f>
        <v>Sulfato de potasio</v>
      </c>
      <c r="I2759" s="16" t="s">
        <v>9427</v>
      </c>
    </row>
    <row r="2760" spans="1:9" x14ac:dyDescent="0.25">
      <c r="A2760" s="16" t="s">
        <v>3695</v>
      </c>
      <c r="B2760" s="16" t="str">
        <f>TEXT(PARTIDA[[#This Row],[PARTIDA]],"0000000000")</f>
        <v>3104901000</v>
      </c>
      <c r="C2760" s="16" t="s">
        <v>815</v>
      </c>
      <c r="D2760" s="16" t="s">
        <v>825</v>
      </c>
      <c r="E2760" s="16" t="s">
        <v>9455</v>
      </c>
      <c r="F2760" s="27" t="s">
        <v>11737</v>
      </c>
      <c r="G2760" s="27"/>
      <c r="H2760" s="16" t="str">
        <f>IF(ISBLANK(PARTIDAS!$G2760),PARTIDAS!$F2760,CONCATENATE(PARTIDAS!$F2760," (",PARTIDAS!$G2760,")"))</f>
        <v>Sulfato de magnesio y potasio</v>
      </c>
      <c r="I2760" s="16" t="s">
        <v>9427</v>
      </c>
    </row>
    <row r="2761" spans="1:9" x14ac:dyDescent="0.25">
      <c r="A2761" s="16" t="s">
        <v>3696</v>
      </c>
      <c r="B2761" s="16" t="str">
        <f>TEXT(PARTIDA[[#This Row],[PARTIDA]],"0000000000")</f>
        <v>3104909010</v>
      </c>
      <c r="C2761" s="16" t="s">
        <v>815</v>
      </c>
      <c r="D2761" s="16" t="s">
        <v>825</v>
      </c>
      <c r="E2761" s="16" t="s">
        <v>9455</v>
      </c>
      <c r="F2761" s="27" t="s">
        <v>11738</v>
      </c>
      <c r="G2761" s="27"/>
      <c r="H2761" s="16" t="str">
        <f>IF(ISBLANK(PARTIDAS!$G2761),PARTIDAS!$F2761,CONCATENATE(PARTIDAS!$F2761," (",PARTIDAS!$G2761,")"))</f>
        <v>Carnalita, silvinita y demás sales de potasio, naturales, en bruto</v>
      </c>
      <c r="I2761" s="16" t="s">
        <v>9427</v>
      </c>
    </row>
    <row r="2762" spans="1:9" x14ac:dyDescent="0.25">
      <c r="A2762" s="16" t="s">
        <v>3697</v>
      </c>
      <c r="B2762" s="16" t="str">
        <f>TEXT(PARTIDA[[#This Row],[PARTIDA]],"0000000000")</f>
        <v>3104909090</v>
      </c>
      <c r="C2762" s="16" t="s">
        <v>815</v>
      </c>
      <c r="D2762" s="16" t="s">
        <v>825</v>
      </c>
      <c r="E2762" s="16" t="s">
        <v>9455</v>
      </c>
      <c r="F2762" s="27" t="s">
        <v>11739</v>
      </c>
      <c r="G2762" s="27"/>
      <c r="H2762" s="16" t="str">
        <f>IF(ISBLANK(PARTIDAS!$G2762),PARTIDAS!$F2762,CONCATENATE(PARTIDAS!$F2762," (",PARTIDAS!$G2762,")"))</f>
        <v>Abonos minerales o químicos potásicos (los demás)</v>
      </c>
      <c r="I2762" s="16" t="s">
        <v>9427</v>
      </c>
    </row>
    <row r="2763" spans="1:9" x14ac:dyDescent="0.25">
      <c r="A2763" s="16" t="s">
        <v>3698</v>
      </c>
      <c r="B2763" s="16" t="str">
        <f>TEXT(PARTIDA[[#This Row],[PARTIDA]],"0000000000")</f>
        <v>3105100000</v>
      </c>
      <c r="C2763" s="16" t="s">
        <v>815</v>
      </c>
      <c r="D2763" s="16" t="s">
        <v>825</v>
      </c>
      <c r="E2763" s="16" t="s">
        <v>9455</v>
      </c>
      <c r="F2763" s="27" t="s">
        <v>11740</v>
      </c>
      <c r="G2763" s="27"/>
      <c r="H2763" s="16" t="str">
        <f>IF(ISBLANK(PARTIDAS!$G2763),PARTIDAS!$F2763,CONCATENATE(PARTIDAS!$F2763," (",PARTIDAS!$G2763,")"))</f>
        <v>Productos de este Capítulo en tabletas o formas similares o en envases de un peso bruto inferior o igual a 10 kg</v>
      </c>
      <c r="I2763" s="16" t="s">
        <v>9427</v>
      </c>
    </row>
    <row r="2764" spans="1:9" x14ac:dyDescent="0.25">
      <c r="A2764" s="16" t="s">
        <v>3699</v>
      </c>
      <c r="B2764" s="16" t="str">
        <f>TEXT(PARTIDA[[#This Row],[PARTIDA]],"0000000000")</f>
        <v>3105200000</v>
      </c>
      <c r="C2764" s="16" t="s">
        <v>815</v>
      </c>
      <c r="D2764" s="16" t="s">
        <v>825</v>
      </c>
      <c r="E2764" s="16" t="s">
        <v>9455</v>
      </c>
      <c r="F2764" s="27" t="s">
        <v>11741</v>
      </c>
      <c r="G2764" s="27"/>
      <c r="H2764" s="16" t="str">
        <f>IF(ISBLANK(PARTIDAS!$G2764),PARTIDAS!$F2764,CONCATENATE(PARTIDAS!$F2764," (",PARTIDAS!$G2764,")"))</f>
        <v>Abonos minerales o químicos con los tres elementos fertilizantes: nitrógeno, fósforo y potasio</v>
      </c>
      <c r="I2764" s="16" t="s">
        <v>9427</v>
      </c>
    </row>
    <row r="2765" spans="1:9" x14ac:dyDescent="0.25">
      <c r="A2765" s="16" t="s">
        <v>3700</v>
      </c>
      <c r="B2765" s="16" t="str">
        <f>TEXT(PARTIDA[[#This Row],[PARTIDA]],"0000000000")</f>
        <v>3105300000</v>
      </c>
      <c r="C2765" s="16" t="s">
        <v>815</v>
      </c>
      <c r="D2765" s="16" t="s">
        <v>825</v>
      </c>
      <c r="E2765" s="16" t="s">
        <v>9455</v>
      </c>
      <c r="F2765" s="27" t="s">
        <v>11742</v>
      </c>
      <c r="G2765" s="27"/>
      <c r="H2765" s="16" t="str">
        <f>IF(ISBLANK(PARTIDAS!$G2765),PARTIDAS!$F2765,CONCATENATE(PARTIDAS!$F2765," (",PARTIDAS!$G2765,")"))</f>
        <v>Hidrogenoortofosfato de diamonio (fosfato diamónico)</v>
      </c>
      <c r="I2765" s="16" t="s">
        <v>9427</v>
      </c>
    </row>
    <row r="2766" spans="1:9" x14ac:dyDescent="0.25">
      <c r="A2766" s="16" t="s">
        <v>3701</v>
      </c>
      <c r="B2766" s="16" t="str">
        <f>TEXT(PARTIDA[[#This Row],[PARTIDA]],"0000000000")</f>
        <v>3105400000</v>
      </c>
      <c r="C2766" s="16" t="s">
        <v>815</v>
      </c>
      <c r="D2766" s="16" t="s">
        <v>825</v>
      </c>
      <c r="E2766" s="16" t="s">
        <v>9455</v>
      </c>
      <c r="F2766" s="27" t="s">
        <v>11743</v>
      </c>
      <c r="G2766" s="27"/>
      <c r="H2766" s="16" t="str">
        <f>IF(ISBLANK(PARTIDAS!$G2766),PARTIDAS!$F2766,CONCATENATE(PARTIDAS!$F2766," (",PARTIDAS!$G2766,")"))</f>
        <v>Dihidrogenoortofosfato de amonio (fosfato monoamónico), incluso mezclado con el hidrogenoortofosfato de diamonio (fosfato diamónico)</v>
      </c>
      <c r="I2766" s="16" t="s">
        <v>9427</v>
      </c>
    </row>
    <row r="2767" spans="1:9" x14ac:dyDescent="0.25">
      <c r="A2767" s="16" t="s">
        <v>3702</v>
      </c>
      <c r="B2767" s="16" t="str">
        <f>TEXT(PARTIDA[[#This Row],[PARTIDA]],"0000000000")</f>
        <v>3105510000</v>
      </c>
      <c r="C2767" s="16" t="s">
        <v>815</v>
      </c>
      <c r="D2767" s="16" t="s">
        <v>825</v>
      </c>
      <c r="E2767" s="16" t="s">
        <v>9455</v>
      </c>
      <c r="F2767" s="27" t="s">
        <v>11744</v>
      </c>
      <c r="G2767" s="27"/>
      <c r="H2767" s="16" t="str">
        <f>IF(ISBLANK(PARTIDAS!$G2767),PARTIDAS!$F2767,CONCATENATE(PARTIDAS!$F2767," (",PARTIDAS!$G2767,")"))</f>
        <v>Abonos minerales o químicos, con dos o tres de los elementos…, que contengan nitratos y fosfatos</v>
      </c>
      <c r="I2767" s="16" t="s">
        <v>9427</v>
      </c>
    </row>
    <row r="2768" spans="1:9" x14ac:dyDescent="0.25">
      <c r="A2768" s="16" t="s">
        <v>3703</v>
      </c>
      <c r="B2768" s="16" t="str">
        <f>TEXT(PARTIDA[[#This Row],[PARTIDA]],"0000000000")</f>
        <v>3105590000</v>
      </c>
      <c r="C2768" s="16" t="s">
        <v>815</v>
      </c>
      <c r="D2768" s="16" t="s">
        <v>825</v>
      </c>
      <c r="E2768" s="16" t="s">
        <v>9455</v>
      </c>
      <c r="F2768" s="27" t="s">
        <v>11745</v>
      </c>
      <c r="G2768" s="27"/>
      <c r="H2768" s="16" t="str">
        <f>IF(ISBLANK(PARTIDAS!$G2768),PARTIDAS!$F2768,CONCATENATE(PARTIDAS!$F2768," (",PARTIDAS!$G2768,")"))</f>
        <v>Abonos minerales o químicos, con dos o tres de los elementos… (los demás)</v>
      </c>
      <c r="I2768" s="16" t="s">
        <v>9427</v>
      </c>
    </row>
    <row r="2769" spans="1:9" x14ac:dyDescent="0.25">
      <c r="A2769" s="16" t="s">
        <v>3704</v>
      </c>
      <c r="B2769" s="16" t="str">
        <f>TEXT(PARTIDA[[#This Row],[PARTIDA]],"0000000000")</f>
        <v>3105600000</v>
      </c>
      <c r="C2769" s="16" t="s">
        <v>815</v>
      </c>
      <c r="D2769" s="16" t="s">
        <v>825</v>
      </c>
      <c r="E2769" s="16" t="s">
        <v>9455</v>
      </c>
      <c r="F2769" s="27" t="s">
        <v>11746</v>
      </c>
      <c r="G2769" s="27"/>
      <c r="H2769" s="16" t="str">
        <f>IF(ISBLANK(PARTIDAS!$G2769),PARTIDAS!$F2769,CONCATENATE(PARTIDAS!$F2769," (",PARTIDAS!$G2769,")"))</f>
        <v>Abonos minerales o químicos con los dos elementos fertilizantes: fósforo y potasio</v>
      </c>
      <c r="I2769" s="16" t="s">
        <v>9427</v>
      </c>
    </row>
    <row r="2770" spans="1:9" x14ac:dyDescent="0.25">
      <c r="A2770" s="16" t="s">
        <v>3705</v>
      </c>
      <c r="B2770" s="16" t="str">
        <f>TEXT(PARTIDA[[#This Row],[PARTIDA]],"0000000000")</f>
        <v>3105901000</v>
      </c>
      <c r="C2770" s="16" t="s">
        <v>815</v>
      </c>
      <c r="D2770" s="16" t="s">
        <v>825</v>
      </c>
      <c r="E2770" s="16" t="s">
        <v>9455</v>
      </c>
      <c r="F2770" s="27" t="s">
        <v>11747</v>
      </c>
      <c r="G2770" s="27"/>
      <c r="H2770" s="16" t="str">
        <f>IF(ISBLANK(PARTIDAS!$G2770),PARTIDAS!$F2770,CONCATENATE(PARTIDAS!$F2770," (",PARTIDAS!$G2770,")"))</f>
        <v>Nitrato sódico potásico (salitre)</v>
      </c>
      <c r="I2770" s="16" t="s">
        <v>9427</v>
      </c>
    </row>
    <row r="2771" spans="1:9" x14ac:dyDescent="0.25">
      <c r="A2771" s="16" t="s">
        <v>3706</v>
      </c>
      <c r="B2771" s="16" t="str">
        <f>TEXT(PARTIDA[[#This Row],[PARTIDA]],"0000000000")</f>
        <v>3105902000</v>
      </c>
      <c r="C2771" s="16" t="s">
        <v>815</v>
      </c>
      <c r="D2771" s="16" t="s">
        <v>825</v>
      </c>
      <c r="E2771" s="16" t="s">
        <v>9455</v>
      </c>
      <c r="F2771" s="27" t="s">
        <v>11748</v>
      </c>
      <c r="G2771" s="27"/>
      <c r="H2771" s="16" t="str">
        <f>IF(ISBLANK(PARTIDAS!$G2771),PARTIDAS!$F2771,CONCATENATE(PARTIDAS!$F2771," (",PARTIDAS!$G2771,")"))</f>
        <v>Abonos minerales o químicos, con dos o tres de los elementos… (los demás, abonos minerales o químicos con los dos elementos fertilizantes: nitrógeno y</v>
      </c>
      <c r="I2771" s="16" t="s">
        <v>9427</v>
      </c>
    </row>
    <row r="2772" spans="1:9" x14ac:dyDescent="0.25">
      <c r="A2772" s="16" t="s">
        <v>3707</v>
      </c>
      <c r="B2772" s="16" t="str">
        <f>TEXT(PARTIDA[[#This Row],[PARTIDA]],"0000000000")</f>
        <v>3105909000</v>
      </c>
      <c r="C2772" s="16" t="s">
        <v>815</v>
      </c>
      <c r="D2772" s="16" t="s">
        <v>825</v>
      </c>
      <c r="E2772" s="16" t="s">
        <v>9455</v>
      </c>
      <c r="F2772" s="27" t="s">
        <v>11745</v>
      </c>
      <c r="G2772" s="27"/>
      <c r="H2772" s="16" t="str">
        <f>IF(ISBLANK(PARTIDAS!$G2772),PARTIDAS!$F2772,CONCATENATE(PARTIDAS!$F2772," (",PARTIDAS!$G2772,")"))</f>
        <v>Abonos minerales o químicos, con dos o tres de los elementos… (los demás)</v>
      </c>
      <c r="I2772" s="16" t="s">
        <v>9427</v>
      </c>
    </row>
    <row r="2773" spans="1:9" x14ac:dyDescent="0.25">
      <c r="A2773" s="16" t="s">
        <v>3708</v>
      </c>
      <c r="B2773" s="16" t="str">
        <f>TEXT(PARTIDA[[#This Row],[PARTIDA]],"0000000000")</f>
        <v>3201100000</v>
      </c>
      <c r="C2773" s="16" t="s">
        <v>815</v>
      </c>
      <c r="D2773" s="16" t="s">
        <v>835</v>
      </c>
      <c r="E2773" s="16" t="s">
        <v>9467</v>
      </c>
      <c r="F2773" s="27" t="s">
        <v>11749</v>
      </c>
      <c r="G2773" s="27"/>
      <c r="H2773" s="16" t="str">
        <f>IF(ISBLANK(PARTIDAS!$G2773),PARTIDAS!$F2773,CONCATENATE(PARTIDAS!$F2773," (",PARTIDAS!$G2773,")"))</f>
        <v>Extracto de quebracho</v>
      </c>
      <c r="I2773" s="16" t="s">
        <v>9427</v>
      </c>
    </row>
    <row r="2774" spans="1:9" x14ac:dyDescent="0.25">
      <c r="A2774" s="16" t="s">
        <v>3709</v>
      </c>
      <c r="B2774" s="16" t="str">
        <f>TEXT(PARTIDA[[#This Row],[PARTIDA]],"0000000000")</f>
        <v>3201200000</v>
      </c>
      <c r="C2774" s="16" t="s">
        <v>815</v>
      </c>
      <c r="D2774" s="16" t="s">
        <v>835</v>
      </c>
      <c r="E2774" s="16" t="s">
        <v>9467</v>
      </c>
      <c r="F2774" s="27" t="s">
        <v>11750</v>
      </c>
      <c r="G2774" s="27"/>
      <c r="H2774" s="16" t="str">
        <f>IF(ISBLANK(PARTIDAS!$G2774),PARTIDAS!$F2774,CONCATENATE(PARTIDAS!$F2774," (",PARTIDAS!$G2774,")"))</f>
        <v>Extracto de mimosa (acacia)</v>
      </c>
      <c r="I2774" s="16" t="s">
        <v>9427</v>
      </c>
    </row>
    <row r="2775" spans="1:9" x14ac:dyDescent="0.25">
      <c r="A2775" s="16" t="s">
        <v>3710</v>
      </c>
      <c r="B2775" s="16" t="str">
        <f>TEXT(PARTIDA[[#This Row],[PARTIDA]],"0000000000")</f>
        <v>3201902000</v>
      </c>
      <c r="C2775" s="16" t="s">
        <v>815</v>
      </c>
      <c r="D2775" s="16" t="s">
        <v>835</v>
      </c>
      <c r="E2775" s="16" t="s">
        <v>9467</v>
      </c>
      <c r="F2775" s="27" t="s">
        <v>11751</v>
      </c>
      <c r="G2775" s="27"/>
      <c r="H2775" s="16" t="str">
        <f>IF(ISBLANK(PARTIDAS!$G2775),PARTIDAS!$F2775,CONCATENATE(PARTIDAS!$F2775," (",PARTIDAS!$G2775,")"))</f>
        <v>Tanino de quebracho</v>
      </c>
      <c r="I2775" s="16" t="s">
        <v>9427</v>
      </c>
    </row>
    <row r="2776" spans="1:9" x14ac:dyDescent="0.25">
      <c r="A2776" s="16" t="s">
        <v>3711</v>
      </c>
      <c r="B2776" s="16" t="str">
        <f>TEXT(PARTIDA[[#This Row],[PARTIDA]],"0000000000")</f>
        <v>3201903000</v>
      </c>
      <c r="C2776" s="16" t="s">
        <v>815</v>
      </c>
      <c r="D2776" s="16" t="s">
        <v>835</v>
      </c>
      <c r="E2776" s="16" t="s">
        <v>9467</v>
      </c>
      <c r="F2776" s="27" t="s">
        <v>11752</v>
      </c>
      <c r="G2776" s="27"/>
      <c r="H2776" s="16" t="str">
        <f>IF(ISBLANK(PARTIDAS!$G2776),PARTIDAS!$F2776,CONCATENATE(PARTIDAS!$F2776," (",PARTIDAS!$G2776,")"))</f>
        <v>Extractos de roble o de castaño</v>
      </c>
      <c r="I2776" s="16" t="s">
        <v>9427</v>
      </c>
    </row>
    <row r="2777" spans="1:9" x14ac:dyDescent="0.25">
      <c r="A2777" s="16" t="s">
        <v>3712</v>
      </c>
      <c r="B2777" s="16" t="str">
        <f>TEXT(PARTIDA[[#This Row],[PARTIDA]],"0000000000")</f>
        <v>3201909010</v>
      </c>
      <c r="C2777" s="16" t="s">
        <v>815</v>
      </c>
      <c r="D2777" s="16" t="s">
        <v>835</v>
      </c>
      <c r="E2777" s="16" t="s">
        <v>9467</v>
      </c>
      <c r="F2777" s="27" t="s">
        <v>11753</v>
      </c>
      <c r="G2777" s="27"/>
      <c r="H2777" s="16" t="str">
        <f>IF(ISBLANK(PARTIDAS!$G2777),PARTIDAS!$F2777,CONCATENATE(PARTIDAS!$F2777," (",PARTIDAS!$G2777,")"))</f>
        <v>Extractos de mangle o de dividivi</v>
      </c>
      <c r="I2777" s="16" t="s">
        <v>9427</v>
      </c>
    </row>
    <row r="2778" spans="1:9" x14ac:dyDescent="0.25">
      <c r="A2778" s="16" t="s">
        <v>3713</v>
      </c>
      <c r="B2778" s="16" t="str">
        <f>TEXT(PARTIDA[[#This Row],[PARTIDA]],"0000000000")</f>
        <v>3201909090</v>
      </c>
      <c r="C2778" s="16" t="s">
        <v>815</v>
      </c>
      <c r="D2778" s="16" t="s">
        <v>835</v>
      </c>
      <c r="E2778" s="16" t="s">
        <v>9467</v>
      </c>
      <c r="F2778" s="27" t="s">
        <v>3714</v>
      </c>
      <c r="G2778" s="27"/>
      <c r="H2778" s="16" t="str">
        <f>IF(ISBLANK(PARTIDAS!$G2778),PARTIDAS!$F2778,CONCATENATE(PARTIDAS!$F2778," (",PARTIDAS!$G2778,")"))</f>
        <v>Productos químicos</v>
      </c>
      <c r="I2778" s="16" t="s">
        <v>9427</v>
      </c>
    </row>
    <row r="2779" spans="1:9" x14ac:dyDescent="0.25">
      <c r="A2779" s="16" t="s">
        <v>3715</v>
      </c>
      <c r="B2779" s="16" t="str">
        <f>TEXT(PARTIDA[[#This Row],[PARTIDA]],"0000000000")</f>
        <v>3202100000</v>
      </c>
      <c r="C2779" s="16" t="s">
        <v>815</v>
      </c>
      <c r="D2779" s="16" t="s">
        <v>835</v>
      </c>
      <c r="E2779" s="16" t="s">
        <v>9467</v>
      </c>
      <c r="F2779" s="27" t="s">
        <v>11754</v>
      </c>
      <c r="G2779" s="27"/>
      <c r="H2779" s="16" t="str">
        <f>IF(ISBLANK(PARTIDAS!$G2779),PARTIDAS!$F2779,CONCATENATE(PARTIDAS!$F2779," (",PARTIDAS!$G2779,")"))</f>
        <v>Productos curtientes orgánicos sintéticos</v>
      </c>
      <c r="I2779" s="16" t="s">
        <v>9427</v>
      </c>
    </row>
    <row r="2780" spans="1:9" x14ac:dyDescent="0.25">
      <c r="A2780" s="16" t="s">
        <v>3716</v>
      </c>
      <c r="B2780" s="16" t="str">
        <f>TEXT(PARTIDA[[#This Row],[PARTIDA]],"0000000000")</f>
        <v>3202901000</v>
      </c>
      <c r="C2780" s="16" t="s">
        <v>815</v>
      </c>
      <c r="D2780" s="16" t="s">
        <v>835</v>
      </c>
      <c r="E2780" s="16" t="s">
        <v>9467</v>
      </c>
      <c r="F2780" s="27" t="s">
        <v>1839</v>
      </c>
      <c r="G2780" s="27" t="s">
        <v>1472</v>
      </c>
      <c r="H2780" s="16" t="str">
        <f>IF(ISBLANK(PARTIDAS!$G2780),PARTIDAS!$F2780,CONCATENATE(PARTIDAS!$F2780," (",PARTIDAS!$G2780,")"))</f>
        <v>Tara en polvo (Verificar)</v>
      </c>
      <c r="I2780" s="16" t="s">
        <v>9427</v>
      </c>
    </row>
    <row r="2781" spans="1:9" x14ac:dyDescent="0.25">
      <c r="A2781" s="16" t="s">
        <v>3717</v>
      </c>
      <c r="B2781" s="16" t="str">
        <f>TEXT(PARTIDA[[#This Row],[PARTIDA]],"0000000000")</f>
        <v>3202909000</v>
      </c>
      <c r="C2781" s="16" t="s">
        <v>815</v>
      </c>
      <c r="D2781" s="16" t="s">
        <v>835</v>
      </c>
      <c r="E2781" s="16" t="s">
        <v>9467</v>
      </c>
      <c r="F2781" s="27" t="s">
        <v>11755</v>
      </c>
      <c r="G2781" s="27"/>
      <c r="H2781" s="16" t="str">
        <f>IF(ISBLANK(PARTIDAS!$G2781),PARTIDAS!$F2781,CONCATENATE(PARTIDAS!$F2781," (",PARTIDAS!$G2781,")"))</f>
        <v>Productos curtientes orgánicos sintéticos (los demás)</v>
      </c>
      <c r="I2781" s="16" t="s">
        <v>9427</v>
      </c>
    </row>
    <row r="2782" spans="1:9" x14ac:dyDescent="0.25">
      <c r="A2782" s="16" t="s">
        <v>3718</v>
      </c>
      <c r="B2782" s="16" t="str">
        <f>TEXT(PARTIDA[[#This Row],[PARTIDA]],"0000000000")</f>
        <v>3203001100</v>
      </c>
      <c r="C2782" s="16" t="s">
        <v>815</v>
      </c>
      <c r="D2782" s="16" t="s">
        <v>835</v>
      </c>
      <c r="E2782" s="16" t="s">
        <v>9467</v>
      </c>
      <c r="F2782" s="27" t="s">
        <v>11756</v>
      </c>
      <c r="G2782" s="27"/>
      <c r="H2782" s="16" t="str">
        <f>IF(ISBLANK(PARTIDAS!$G2782),PARTIDAS!$F2782,CONCATENATE(PARTIDAS!$F2782," (",PARTIDAS!$G2782,")"))</f>
        <v>Productos curtientes orgánicos sintéticos, de origen vegetal, de campeche</v>
      </c>
      <c r="I2782" s="16" t="s">
        <v>9427</v>
      </c>
    </row>
    <row r="2783" spans="1:9" x14ac:dyDescent="0.25">
      <c r="A2783" s="16" t="s">
        <v>3719</v>
      </c>
      <c r="B2783" s="16" t="str">
        <f>TEXT(PARTIDA[[#This Row],[PARTIDA]],"0000000000")</f>
        <v>3203001200</v>
      </c>
      <c r="C2783" s="16" t="s">
        <v>815</v>
      </c>
      <c r="D2783" s="16" t="s">
        <v>835</v>
      </c>
      <c r="E2783" s="16" t="s">
        <v>9467</v>
      </c>
      <c r="F2783" s="27" t="s">
        <v>11757</v>
      </c>
      <c r="G2783" s="27"/>
      <c r="H2783" s="16" t="str">
        <f>IF(ISBLANK(PARTIDAS!$G2783),PARTIDAS!$F2783,CONCATENATE(PARTIDAS!$F2783," (",PARTIDAS!$G2783,")"))</f>
        <v>Productos curtientes orgánicos sintéticos, de origen vegetal, clorofilas</v>
      </c>
      <c r="I2783" s="16" t="s">
        <v>9427</v>
      </c>
    </row>
    <row r="2784" spans="1:9" x14ac:dyDescent="0.25">
      <c r="A2784" s="16" t="s">
        <v>3720</v>
      </c>
      <c r="B2784" s="16" t="str">
        <f>TEXT(PARTIDA[[#This Row],[PARTIDA]],"0000000000")</f>
        <v>3203001300</v>
      </c>
      <c r="C2784" s="16" t="s">
        <v>815</v>
      </c>
      <c r="D2784" s="16" t="s">
        <v>835</v>
      </c>
      <c r="E2784" s="16" t="s">
        <v>9467</v>
      </c>
      <c r="F2784" s="27" t="s">
        <v>11758</v>
      </c>
      <c r="G2784" s="27"/>
      <c r="H2784" s="16" t="str">
        <f>IF(ISBLANK(PARTIDAS!$G2784),PARTIDAS!$F2784,CONCATENATE(PARTIDAS!$F2784," (",PARTIDAS!$G2784,")"))</f>
        <v>Indigo natural</v>
      </c>
      <c r="I2784" s="16" t="s">
        <v>9427</v>
      </c>
    </row>
    <row r="2785" spans="1:9" x14ac:dyDescent="0.25">
      <c r="A2785" s="16" t="s">
        <v>3721</v>
      </c>
      <c r="B2785" s="16" t="str">
        <f>TEXT(PARTIDA[[#This Row],[PARTIDA]],"0000000000")</f>
        <v>3203001400</v>
      </c>
      <c r="C2785" s="16" t="s">
        <v>815</v>
      </c>
      <c r="D2785" s="16" t="s">
        <v>835</v>
      </c>
      <c r="E2785" s="16" t="s">
        <v>9467</v>
      </c>
      <c r="F2785" s="27" t="s">
        <v>11759</v>
      </c>
      <c r="G2785" s="27"/>
      <c r="H2785" s="16" t="str">
        <f>IF(ISBLANK(PARTIDAS!$G2785),PARTIDAS!$F2785,CONCATENATE(PARTIDAS!$F2785," (",PARTIDAS!$G2785,")"))</f>
        <v>Productos curtientes orgánicos sintéticos, de origen vegetal, de achiote (onoto, bija)</v>
      </c>
      <c r="I2785" s="16" t="s">
        <v>9427</v>
      </c>
    </row>
    <row r="2786" spans="1:9" x14ac:dyDescent="0.25">
      <c r="A2786" s="16" t="s">
        <v>3722</v>
      </c>
      <c r="B2786" s="16" t="str">
        <f>TEXT(PARTIDA[[#This Row],[PARTIDA]],"0000000000")</f>
        <v>3203001500</v>
      </c>
      <c r="C2786" s="16" t="s">
        <v>815</v>
      </c>
      <c r="D2786" s="16" t="s">
        <v>835</v>
      </c>
      <c r="E2786" s="16" t="s">
        <v>9467</v>
      </c>
      <c r="F2786" s="27" t="s">
        <v>11760</v>
      </c>
      <c r="G2786" s="27"/>
      <c r="H2786" s="16" t="str">
        <f>IF(ISBLANK(PARTIDAS!$G2786),PARTIDAS!$F2786,CONCATENATE(PARTIDAS!$F2786," (",PARTIDAS!$G2786,")"))</f>
        <v>Productos curtientes orgánicos sintéticos, de origen vegetal, de marigold (xantófila)</v>
      </c>
      <c r="I2786" s="16" t="s">
        <v>9427</v>
      </c>
    </row>
    <row r="2787" spans="1:9" x14ac:dyDescent="0.25">
      <c r="A2787" s="16" t="s">
        <v>3723</v>
      </c>
      <c r="B2787" s="16" t="str">
        <f>TEXT(PARTIDA[[#This Row],[PARTIDA]],"0000000000")</f>
        <v>3203001600</v>
      </c>
      <c r="C2787" s="16" t="s">
        <v>815</v>
      </c>
      <c r="D2787" s="16" t="s">
        <v>835</v>
      </c>
      <c r="E2787" s="16" t="s">
        <v>9467</v>
      </c>
      <c r="F2787" s="27" t="s">
        <v>11761</v>
      </c>
      <c r="G2787" s="27"/>
      <c r="H2787" s="16" t="str">
        <f>IF(ISBLANK(PARTIDAS!$G2787),PARTIDAS!$F2787,CONCATENATE(PARTIDAS!$F2787," (",PARTIDAS!$G2787,")"))</f>
        <v>Productos curtientes orgánicos sintéticos, de origen vegetal, de maíz morado (antocianina)</v>
      </c>
      <c r="I2787" s="16" t="s">
        <v>9427</v>
      </c>
    </row>
    <row r="2788" spans="1:9" x14ac:dyDescent="0.25">
      <c r="A2788" s="16" t="s">
        <v>3724</v>
      </c>
      <c r="B2788" s="16" t="str">
        <f>TEXT(PARTIDA[[#This Row],[PARTIDA]],"0000000000")</f>
        <v>3203001700</v>
      </c>
      <c r="C2788" s="16" t="s">
        <v>815</v>
      </c>
      <c r="D2788" s="16" t="s">
        <v>835</v>
      </c>
      <c r="E2788" s="16" t="s">
        <v>9467</v>
      </c>
      <c r="F2788" s="27" t="s">
        <v>11762</v>
      </c>
      <c r="G2788" s="27"/>
      <c r="H2788" s="16" t="str">
        <f>IF(ISBLANK(PARTIDAS!$G2788),PARTIDAS!$F2788,CONCATENATE(PARTIDAS!$F2788," (",PARTIDAS!$G2788,")"))</f>
        <v>Productos curtientes orgánicos sintéticos, de origen vegetal, de cúrcuma (curcumina)</v>
      </c>
      <c r="I2788" s="16" t="s">
        <v>9427</v>
      </c>
    </row>
    <row r="2789" spans="1:9" x14ac:dyDescent="0.25">
      <c r="A2789" s="16" t="s">
        <v>3725</v>
      </c>
      <c r="B2789" s="16" t="str">
        <f>TEXT(PARTIDA[[#This Row],[PARTIDA]],"0000000000")</f>
        <v>3203001900</v>
      </c>
      <c r="C2789" s="16" t="s">
        <v>815</v>
      </c>
      <c r="D2789" s="16" t="s">
        <v>835</v>
      </c>
      <c r="E2789" s="16" t="s">
        <v>9467</v>
      </c>
      <c r="F2789" s="27" t="s">
        <v>11763</v>
      </c>
      <c r="G2789" s="27"/>
      <c r="H2789" s="16" t="str">
        <f>IF(ISBLANK(PARTIDAS!$G2789),PARTIDAS!$F2789,CONCATENATE(PARTIDAS!$F2789," (",PARTIDAS!$G2789,")"))</f>
        <v>Productos curtientes orgánicos sintéticos, de origen vegetal (los demás)</v>
      </c>
      <c r="I2789" s="16" t="s">
        <v>9427</v>
      </c>
    </row>
    <row r="2790" spans="1:9" x14ac:dyDescent="0.25">
      <c r="A2790" s="16" t="s">
        <v>3726</v>
      </c>
      <c r="B2790" s="16" t="str">
        <f>TEXT(PARTIDA[[#This Row],[PARTIDA]],"0000000000")</f>
        <v>3203002100</v>
      </c>
      <c r="C2790" s="16" t="s">
        <v>815</v>
      </c>
      <c r="D2790" s="16" t="s">
        <v>835</v>
      </c>
      <c r="E2790" s="16" t="s">
        <v>9467</v>
      </c>
      <c r="F2790" s="27" t="s">
        <v>11764</v>
      </c>
      <c r="G2790" s="27"/>
      <c r="H2790" s="16" t="str">
        <f>IF(ISBLANK(PARTIDAS!$G2790),PARTIDAS!$F2790,CONCATENATE(PARTIDAS!$F2790," (",PARTIDAS!$G2790,")"))</f>
        <v>Productos curtientes orgánicos sintéticos, de origen animal, de cochinilla</v>
      </c>
      <c r="I2790" s="16" t="s">
        <v>9427</v>
      </c>
    </row>
    <row r="2791" spans="1:9" x14ac:dyDescent="0.25">
      <c r="A2791" s="16" t="s">
        <v>3727</v>
      </c>
      <c r="B2791" s="16" t="str">
        <f>TEXT(PARTIDA[[#This Row],[PARTIDA]],"0000000000")</f>
        <v>3203002900</v>
      </c>
      <c r="C2791" s="16" t="s">
        <v>815</v>
      </c>
      <c r="D2791" s="16" t="s">
        <v>835</v>
      </c>
      <c r="E2791" s="16" t="s">
        <v>9467</v>
      </c>
      <c r="F2791" s="27" t="s">
        <v>11765</v>
      </c>
      <c r="G2791" s="27"/>
      <c r="H2791" s="16" t="str">
        <f>IF(ISBLANK(PARTIDAS!$G2791),PARTIDAS!$F2791,CONCATENATE(PARTIDAS!$F2791," (",PARTIDAS!$G2791,")"))</f>
        <v>Productos curtientes orgánicos sintéticos, de origen animal (los demás)</v>
      </c>
      <c r="I2791" s="16" t="s">
        <v>9427</v>
      </c>
    </row>
    <row r="2792" spans="1:9" x14ac:dyDescent="0.25">
      <c r="A2792" s="16" t="s">
        <v>3728</v>
      </c>
      <c r="B2792" s="16" t="str">
        <f>TEXT(PARTIDA[[#This Row],[PARTIDA]],"0000000000")</f>
        <v>3204110000</v>
      </c>
      <c r="C2792" s="16" t="s">
        <v>815</v>
      </c>
      <c r="D2792" s="16" t="s">
        <v>835</v>
      </c>
      <c r="E2792" s="16" t="s">
        <v>9467</v>
      </c>
      <c r="F2792" s="27" t="s">
        <v>11766</v>
      </c>
      <c r="G2792" s="27"/>
      <c r="H2792" s="16" t="str">
        <f>IF(ISBLANK(PARTIDAS!$G2792),PARTIDAS!$F2792,CONCATENATE(PARTIDAS!$F2792," (",PARTIDAS!$G2792,")"))</f>
        <v>Colorantes dispersos y preparaciones a base de estos colorantes</v>
      </c>
      <c r="I2792" s="16" t="s">
        <v>9427</v>
      </c>
    </row>
    <row r="2793" spans="1:9" x14ac:dyDescent="0.25">
      <c r="A2793" s="16" t="s">
        <v>3729</v>
      </c>
      <c r="B2793" s="16" t="str">
        <f>TEXT(PARTIDA[[#This Row],[PARTIDA]],"0000000000")</f>
        <v>3204120000</v>
      </c>
      <c r="C2793" s="16" t="s">
        <v>815</v>
      </c>
      <c r="D2793" s="16" t="s">
        <v>835</v>
      </c>
      <c r="E2793" s="16" t="s">
        <v>9467</v>
      </c>
      <c r="F2793" s="27" t="s">
        <v>11767</v>
      </c>
      <c r="G2793" s="27"/>
      <c r="H2793" s="16" t="str">
        <f>IF(ISBLANK(PARTIDAS!$G2793),PARTIDAS!$F2793,CONCATENATE(PARTIDAS!$F2793," (",PARTIDAS!$G2793,")"))</f>
        <v>Colorantes ácidos, incluso metalizados, y preparaciones a base de estos colorantes; colorantes para mordiente y preparaciones a base de estos colorant</v>
      </c>
      <c r="I2793" s="16" t="s">
        <v>9427</v>
      </c>
    </row>
    <row r="2794" spans="1:9" x14ac:dyDescent="0.25">
      <c r="A2794" s="16" t="s">
        <v>3730</v>
      </c>
      <c r="B2794" s="16" t="str">
        <f>TEXT(PARTIDA[[#This Row],[PARTIDA]],"0000000000")</f>
        <v>3204130000</v>
      </c>
      <c r="C2794" s="16" t="s">
        <v>815</v>
      </c>
      <c r="D2794" s="16" t="s">
        <v>835</v>
      </c>
      <c r="E2794" s="16" t="s">
        <v>9467</v>
      </c>
      <c r="F2794" s="27" t="s">
        <v>11768</v>
      </c>
      <c r="G2794" s="27"/>
      <c r="H2794" s="16" t="str">
        <f>IF(ISBLANK(PARTIDAS!$G2794),PARTIDAS!$F2794,CONCATENATE(PARTIDAS!$F2794," (",PARTIDAS!$G2794,")"))</f>
        <v>Colorantes básicos y preparaciones a base de estos colorantes</v>
      </c>
      <c r="I2794" s="16" t="s">
        <v>9427</v>
      </c>
    </row>
    <row r="2795" spans="1:9" x14ac:dyDescent="0.25">
      <c r="A2795" s="16" t="s">
        <v>3731</v>
      </c>
      <c r="B2795" s="16" t="str">
        <f>TEXT(PARTIDA[[#This Row],[PARTIDA]],"0000000000")</f>
        <v>3204140000</v>
      </c>
      <c r="C2795" s="16" t="s">
        <v>815</v>
      </c>
      <c r="D2795" s="16" t="s">
        <v>835</v>
      </c>
      <c r="E2795" s="16" t="s">
        <v>9467</v>
      </c>
      <c r="F2795" s="27" t="s">
        <v>11769</v>
      </c>
      <c r="G2795" s="27"/>
      <c r="H2795" s="16" t="str">
        <f>IF(ISBLANK(PARTIDAS!$G2795),PARTIDAS!$F2795,CONCATENATE(PARTIDAS!$F2795," (",PARTIDAS!$G2795,")"))</f>
        <v>Colorantes directos y preparaciones a base de estos colorantes</v>
      </c>
      <c r="I2795" s="16" t="s">
        <v>9427</v>
      </c>
    </row>
    <row r="2796" spans="1:9" x14ac:dyDescent="0.25">
      <c r="A2796" s="16" t="s">
        <v>3732</v>
      </c>
      <c r="B2796" s="16" t="str">
        <f>TEXT(PARTIDA[[#This Row],[PARTIDA]],"0000000000")</f>
        <v>3204151000</v>
      </c>
      <c r="C2796" s="16" t="s">
        <v>815</v>
      </c>
      <c r="D2796" s="16" t="s">
        <v>835</v>
      </c>
      <c r="E2796" s="16" t="s">
        <v>9467</v>
      </c>
      <c r="F2796" s="27" t="s">
        <v>11770</v>
      </c>
      <c r="G2796" s="27"/>
      <c r="H2796" s="16" t="str">
        <f>IF(ISBLANK(PARTIDAS!$G2796),PARTIDAS!$F2796,CONCATENATE(PARTIDAS!$F2796," (",PARTIDAS!$G2796,")"))</f>
        <v>Indigo sintético</v>
      </c>
      <c r="I2796" s="16" t="s">
        <v>9427</v>
      </c>
    </row>
    <row r="2797" spans="1:9" x14ac:dyDescent="0.25">
      <c r="A2797" s="16" t="s">
        <v>3733</v>
      </c>
      <c r="B2797" s="16" t="str">
        <f>TEXT(PARTIDA[[#This Row],[PARTIDA]],"0000000000")</f>
        <v>3204159000</v>
      </c>
      <c r="C2797" s="16" t="s">
        <v>815</v>
      </c>
      <c r="D2797" s="16" t="s">
        <v>835</v>
      </c>
      <c r="E2797" s="16" t="s">
        <v>9467</v>
      </c>
      <c r="F2797" s="27" t="s">
        <v>11771</v>
      </c>
      <c r="G2797" s="27"/>
      <c r="H2797" s="16" t="str">
        <f>IF(ISBLANK(PARTIDAS!$G2797),PARTIDAS!$F2797,CONCATENATE(PARTIDAS!$F2797," (",PARTIDAS!$G2797,")"))</f>
        <v>Colorantes a la tina o a la cuba (incluidos los utilizables… (los demás)</v>
      </c>
      <c r="I2797" s="16" t="s">
        <v>9427</v>
      </c>
    </row>
    <row r="2798" spans="1:9" x14ac:dyDescent="0.25">
      <c r="A2798" s="16" t="s">
        <v>3734</v>
      </c>
      <c r="B2798" s="16" t="str">
        <f>TEXT(PARTIDA[[#This Row],[PARTIDA]],"0000000000")</f>
        <v>3204160000</v>
      </c>
      <c r="C2798" s="16" t="s">
        <v>815</v>
      </c>
      <c r="D2798" s="16" t="s">
        <v>835</v>
      </c>
      <c r="E2798" s="16" t="s">
        <v>9467</v>
      </c>
      <c r="F2798" s="27" t="s">
        <v>11772</v>
      </c>
      <c r="G2798" s="27"/>
      <c r="H2798" s="16" t="str">
        <f>IF(ISBLANK(PARTIDAS!$G2798),PARTIDAS!$F2798,CONCATENATE(PARTIDAS!$F2798," (",PARTIDAS!$G2798,")"))</f>
        <v>Colorantes reactivos y preparaciones a base de estos colorantes</v>
      </c>
      <c r="I2798" s="16" t="s">
        <v>9427</v>
      </c>
    </row>
    <row r="2799" spans="1:9" x14ac:dyDescent="0.25">
      <c r="A2799" s="16" t="s">
        <v>3735</v>
      </c>
      <c r="B2799" s="16" t="str">
        <f>TEXT(PARTIDA[[#This Row],[PARTIDA]],"0000000000")</f>
        <v>3204170000</v>
      </c>
      <c r="C2799" s="16" t="s">
        <v>815</v>
      </c>
      <c r="D2799" s="16" t="s">
        <v>835</v>
      </c>
      <c r="E2799" s="16" t="s">
        <v>9467</v>
      </c>
      <c r="F2799" s="27" t="s">
        <v>11773</v>
      </c>
      <c r="G2799" s="27"/>
      <c r="H2799" s="16" t="str">
        <f>IF(ISBLANK(PARTIDAS!$G2799),PARTIDAS!$F2799,CONCATENATE(PARTIDAS!$F2799," (",PARTIDAS!$G2799,")"))</f>
        <v>Colorantes pigmentarios y preparaciones a base de estos colorantes</v>
      </c>
      <c r="I2799" s="16" t="s">
        <v>9427</v>
      </c>
    </row>
    <row r="2800" spans="1:9" x14ac:dyDescent="0.25">
      <c r="A2800" s="16" t="s">
        <v>11774</v>
      </c>
      <c r="B2800" s="16" t="str">
        <f>TEXT(PARTIDA[[#This Row],[PARTIDA]],"0000000000")</f>
        <v>3204180000</v>
      </c>
      <c r="C2800" s="16" t="s">
        <v>815</v>
      </c>
      <c r="D2800" s="16" t="s">
        <v>835</v>
      </c>
      <c r="E2800" s="16" t="s">
        <v>9467</v>
      </c>
      <c r="F2800" s="27" t="s">
        <v>11775</v>
      </c>
      <c r="G2800" s="27"/>
      <c r="H2800" s="16" t="str">
        <f>IF(ISBLANK(PARTIDAS!$G2800),PARTIDAS!$F2800,CONCATENATE(PARTIDAS!$F2800," (",PARTIDAS!$G2800,")"))</f>
        <v>Colorantes carotenoides y preparaciones a base de estos colorantes</v>
      </c>
      <c r="I2800" s="16" t="s">
        <v>9427</v>
      </c>
    </row>
    <row r="2801" spans="1:9" x14ac:dyDescent="0.25">
      <c r="A2801" s="16" t="s">
        <v>11776</v>
      </c>
      <c r="B2801" s="16" t="str">
        <f>TEXT(PARTIDA[[#This Row],[PARTIDA]],"0000000000")</f>
        <v>3204190000</v>
      </c>
      <c r="C2801" s="16" t="s">
        <v>815</v>
      </c>
      <c r="D2801" s="16" t="s">
        <v>835</v>
      </c>
      <c r="E2801" s="16" t="s">
        <v>9467</v>
      </c>
      <c r="F2801" s="27" t="s">
        <v>11777</v>
      </c>
      <c r="G2801" s="27"/>
      <c r="H2801" s="16" t="str">
        <f>IF(ISBLANK(PARTIDAS!$G2801),PARTIDAS!$F2801,CONCATENATE(PARTIDAS!$F2801," (",PARTIDAS!$G2801,")"))</f>
        <v>Materias colorantes orgánicas sintéticas y preparaciones a que se… (los demás, incluidas las mezclas de materias colorantes de dos o más de las subpar</v>
      </c>
      <c r="I2801" s="16" t="s">
        <v>9427</v>
      </c>
    </row>
    <row r="2802" spans="1:9" x14ac:dyDescent="0.25">
      <c r="A2802" s="16" t="s">
        <v>3736</v>
      </c>
      <c r="B2802" s="16" t="str">
        <f>TEXT(PARTIDA[[#This Row],[PARTIDA]],"0000000000")</f>
        <v>3204191000</v>
      </c>
      <c r="C2802" s="16" t="s">
        <v>815</v>
      </c>
      <c r="D2802" s="16" t="s">
        <v>835</v>
      </c>
      <c r="E2802" s="16" t="s">
        <v>9467</v>
      </c>
      <c r="F2802" s="27" t="s">
        <v>11778</v>
      </c>
      <c r="G2802" s="27"/>
      <c r="H2802" s="16" t="str">
        <f>IF(ISBLANK(PARTIDAS!$G2802),PARTIDAS!$F2802,CONCATENATE(PARTIDAS!$F2802," (",PARTIDAS!$G2802,")"))</f>
        <v>Preparaciones a base de carotenoides sintéticos</v>
      </c>
      <c r="I2802" s="16" t="s">
        <v>9648</v>
      </c>
    </row>
    <row r="2803" spans="1:9" x14ac:dyDescent="0.25">
      <c r="A2803" s="16" t="s">
        <v>3737</v>
      </c>
      <c r="B2803" s="16" t="str">
        <f>TEXT(PARTIDA[[#This Row],[PARTIDA]],"0000000000")</f>
        <v>3204199000</v>
      </c>
      <c r="C2803" s="16" t="s">
        <v>815</v>
      </c>
      <c r="D2803" s="16" t="s">
        <v>835</v>
      </c>
      <c r="E2803" s="16" t="s">
        <v>9467</v>
      </c>
      <c r="F2803" s="27" t="s">
        <v>11779</v>
      </c>
      <c r="G2803" s="27"/>
      <c r="H2803" s="16" t="str">
        <f>IF(ISBLANK(PARTIDAS!$G2803),PARTIDAS!$F2803,CONCATENATE(PARTIDAS!$F2803," (",PARTIDAS!$G2803,")"))</f>
        <v>Materias colorantes orgánicas sintéticas, aunque sean de constitución  (los demás)</v>
      </c>
      <c r="I2803" s="16" t="s">
        <v>9648</v>
      </c>
    </row>
    <row r="2804" spans="1:9" x14ac:dyDescent="0.25">
      <c r="A2804" s="16" t="s">
        <v>3738</v>
      </c>
      <c r="B2804" s="16" t="str">
        <f>TEXT(PARTIDA[[#This Row],[PARTIDA]],"0000000000")</f>
        <v>3204200000</v>
      </c>
      <c r="C2804" s="16" t="s">
        <v>815</v>
      </c>
      <c r="D2804" s="16" t="s">
        <v>835</v>
      </c>
      <c r="E2804" s="16" t="s">
        <v>9467</v>
      </c>
      <c r="F2804" s="27" t="s">
        <v>11780</v>
      </c>
      <c r="G2804" s="27"/>
      <c r="H2804" s="16" t="str">
        <f>IF(ISBLANK(PARTIDAS!$G2804),PARTIDAS!$F2804,CONCATENATE(PARTIDAS!$F2804," (",PARTIDAS!$G2804,")"))</f>
        <v>Productos orgánicos sintéticos de los tipos utilizados para el avivado fluorescente</v>
      </c>
      <c r="I2804" s="16" t="s">
        <v>9427</v>
      </c>
    </row>
    <row r="2805" spans="1:9" x14ac:dyDescent="0.25">
      <c r="A2805" s="16" t="s">
        <v>3739</v>
      </c>
      <c r="B2805" s="16" t="str">
        <f>TEXT(PARTIDA[[#This Row],[PARTIDA]],"0000000000")</f>
        <v>3204900000</v>
      </c>
      <c r="C2805" s="16" t="s">
        <v>815</v>
      </c>
      <c r="D2805" s="16" t="s">
        <v>835</v>
      </c>
      <c r="E2805" s="16" t="s">
        <v>9467</v>
      </c>
      <c r="F2805" s="27" t="s">
        <v>11781</v>
      </c>
      <c r="G2805" s="27"/>
      <c r="H2805" s="16" t="str">
        <f>IF(ISBLANK(PARTIDAS!$G2805),PARTIDAS!$F2805,CONCATENATE(PARTIDAS!$F2805," (",PARTIDAS!$G2805,")"))</f>
        <v>Materias colorantes orgánicas sintéticas, aunque sean de constitución… (los demás)</v>
      </c>
      <c r="I2805" s="16" t="s">
        <v>9427</v>
      </c>
    </row>
    <row r="2806" spans="1:9" x14ac:dyDescent="0.25">
      <c r="A2806" s="16" t="s">
        <v>3740</v>
      </c>
      <c r="B2806" s="16" t="str">
        <f>TEXT(PARTIDA[[#This Row],[PARTIDA]],"0000000000")</f>
        <v>3205000000</v>
      </c>
      <c r="C2806" s="16" t="s">
        <v>815</v>
      </c>
      <c r="D2806" s="16" t="s">
        <v>835</v>
      </c>
      <c r="E2806" s="16" t="s">
        <v>9467</v>
      </c>
      <c r="F2806" s="27" t="s">
        <v>3741</v>
      </c>
      <c r="G2806" s="27"/>
      <c r="H2806" s="16" t="str">
        <f>IF(ISBLANK(PARTIDAS!$G2806),PARTIDAS!$F2806,CONCATENATE(PARTIDAS!$F2806," (",PARTIDAS!$G2806,")"))</f>
        <v>Lacas colorantes; preparaciones a que se refiere
la Nota 3 de este Capítulo a base de lacas
colorantes.</v>
      </c>
      <c r="I2806" s="16" t="s">
        <v>9427</v>
      </c>
    </row>
    <row r="2807" spans="1:9" x14ac:dyDescent="0.25">
      <c r="A2807" s="16" t="s">
        <v>3742</v>
      </c>
      <c r="B2807" s="16" t="str">
        <f>TEXT(PARTIDA[[#This Row],[PARTIDA]],"0000000000")</f>
        <v>3206110000</v>
      </c>
      <c r="C2807" s="16" t="s">
        <v>815</v>
      </c>
      <c r="D2807" s="16" t="s">
        <v>835</v>
      </c>
      <c r="E2807" s="16" t="s">
        <v>9467</v>
      </c>
      <c r="F2807" s="27" t="s">
        <v>11782</v>
      </c>
      <c r="G2807" s="27"/>
      <c r="H2807" s="16" t="str">
        <f>IF(ISBLANK(PARTIDAS!$G2807),PARTIDAS!$F2807,CONCATENATE(PARTIDAS!$F2807," (",PARTIDAS!$G2807,")"))</f>
        <v>Pigmentos y preparaciones a base de dióxido de titanio, con un contenido de dióxido de titanio superior o igual al 80 % en peso, calculado sobre mater</v>
      </c>
      <c r="I2807" s="16" t="s">
        <v>9427</v>
      </c>
    </row>
    <row r="2808" spans="1:9" x14ac:dyDescent="0.25">
      <c r="A2808" s="16" t="s">
        <v>3743</v>
      </c>
      <c r="B2808" s="16" t="str">
        <f>TEXT(PARTIDA[[#This Row],[PARTIDA]],"0000000000")</f>
        <v>3206190000</v>
      </c>
      <c r="C2808" s="16" t="s">
        <v>815</v>
      </c>
      <c r="D2808" s="16" t="s">
        <v>835</v>
      </c>
      <c r="E2808" s="16" t="s">
        <v>9467</v>
      </c>
      <c r="F2808" s="27" t="s">
        <v>11783</v>
      </c>
      <c r="G2808" s="27"/>
      <c r="H2808" s="16" t="str">
        <f>IF(ISBLANK(PARTIDAS!$G2808),PARTIDAS!$F2808,CONCATENATE(PARTIDAS!$F2808," (",PARTIDAS!$G2808,")"))</f>
        <v>Pigmentos y preparaciones a base de dióxido de titanio (los demás)</v>
      </c>
      <c r="I2808" s="16" t="s">
        <v>9427</v>
      </c>
    </row>
    <row r="2809" spans="1:9" x14ac:dyDescent="0.25">
      <c r="A2809" s="16" t="s">
        <v>3744</v>
      </c>
      <c r="B2809" s="16" t="str">
        <f>TEXT(PARTIDA[[#This Row],[PARTIDA]],"0000000000")</f>
        <v>3206200000</v>
      </c>
      <c r="C2809" s="16" t="s">
        <v>815</v>
      </c>
      <c r="D2809" s="16" t="s">
        <v>835</v>
      </c>
      <c r="E2809" s="16" t="s">
        <v>9467</v>
      </c>
      <c r="F2809" s="27" t="s">
        <v>11784</v>
      </c>
      <c r="G2809" s="27"/>
      <c r="H2809" s="16" t="str">
        <f>IF(ISBLANK(PARTIDAS!$G2809),PARTIDAS!$F2809,CONCATENATE(PARTIDAS!$F2809," (",PARTIDAS!$G2809,")"))</f>
        <v>Pigmentos y preparaciones a base de compuestos de cromo</v>
      </c>
      <c r="I2809" s="16" t="s">
        <v>9427</v>
      </c>
    </row>
    <row r="2810" spans="1:9" x14ac:dyDescent="0.25">
      <c r="A2810" s="16" t="s">
        <v>3745</v>
      </c>
      <c r="B2810" s="16" t="str">
        <f>TEXT(PARTIDA[[#This Row],[PARTIDA]],"0000000000")</f>
        <v>3206410000</v>
      </c>
      <c r="C2810" s="16" t="s">
        <v>815</v>
      </c>
      <c r="D2810" s="16" t="s">
        <v>835</v>
      </c>
      <c r="E2810" s="16" t="s">
        <v>9467</v>
      </c>
      <c r="F2810" s="27" t="s">
        <v>11785</v>
      </c>
      <c r="G2810" s="27"/>
      <c r="H2810" s="16" t="str">
        <f>IF(ISBLANK(PARTIDAS!$G2810),PARTIDAS!$F2810,CONCATENATE(PARTIDAS!$F2810," (",PARTIDAS!$G2810,")"))</f>
        <v>Ultramar y sus preparaciones</v>
      </c>
      <c r="I2810" s="16" t="s">
        <v>9427</v>
      </c>
    </row>
    <row r="2811" spans="1:9" x14ac:dyDescent="0.25">
      <c r="A2811" s="16" t="s">
        <v>3746</v>
      </c>
      <c r="B2811" s="16" t="str">
        <f>TEXT(PARTIDA[[#This Row],[PARTIDA]],"0000000000")</f>
        <v>3206420000</v>
      </c>
      <c r="C2811" s="16" t="s">
        <v>815</v>
      </c>
      <c r="D2811" s="16" t="s">
        <v>835</v>
      </c>
      <c r="E2811" s="16" t="s">
        <v>9467</v>
      </c>
      <c r="F2811" s="27" t="s">
        <v>11786</v>
      </c>
      <c r="G2811" s="27"/>
      <c r="H2811" s="16" t="str">
        <f>IF(ISBLANK(PARTIDAS!$G2811),PARTIDAS!$F2811,CONCATENATE(PARTIDAS!$F2811," (",PARTIDAS!$G2811,")"))</f>
        <v>Litopón y demás pigmentos y preparaciones a base de sulfuro de cinc</v>
      </c>
      <c r="I2811" s="16" t="s">
        <v>9427</v>
      </c>
    </row>
    <row r="2812" spans="1:9" x14ac:dyDescent="0.25">
      <c r="A2812" s="16" t="s">
        <v>3747</v>
      </c>
      <c r="B2812" s="16" t="str">
        <f>TEXT(PARTIDA[[#This Row],[PARTIDA]],"0000000000")</f>
        <v>3206491000</v>
      </c>
      <c r="C2812" s="16" t="s">
        <v>815</v>
      </c>
      <c r="D2812" s="16" t="s">
        <v>835</v>
      </c>
      <c r="E2812" s="16" t="s">
        <v>9467</v>
      </c>
      <c r="F2812" s="27" t="s">
        <v>11787</v>
      </c>
      <c r="G2812" s="27"/>
      <c r="H2812" s="16" t="str">
        <f>IF(ISBLANK(PARTIDAS!$G2812),PARTIDAS!$F2812,CONCATENATE(PARTIDAS!$F2812," (",PARTIDAS!$G2812,")"))</f>
        <v>Dispersiones concentradas de los demás pigmentos, en plástico, caucho u otros medios</v>
      </c>
      <c r="I2812" s="16" t="s">
        <v>9648</v>
      </c>
    </row>
    <row r="2813" spans="1:9" x14ac:dyDescent="0.25">
      <c r="A2813" s="16" t="s">
        <v>3748</v>
      </c>
      <c r="B2813" s="16" t="str">
        <f>TEXT(PARTIDA[[#This Row],[PARTIDA]],"0000000000")</f>
        <v>3206492000</v>
      </c>
      <c r="C2813" s="16" t="s">
        <v>815</v>
      </c>
      <c r="D2813" s="16" t="s">
        <v>835</v>
      </c>
      <c r="E2813" s="16" t="s">
        <v>9467</v>
      </c>
      <c r="F2813" s="27" t="s">
        <v>11788</v>
      </c>
      <c r="G2813" s="27"/>
      <c r="H2813" s="16" t="str">
        <f>IF(ISBLANK(PARTIDAS!$G2813),PARTIDAS!$F2813,CONCATENATE(PARTIDAS!$F2813," (",PARTIDAS!$G2813,")"))</f>
        <v>Pigmentos y preparaciones a base de compuestos de cadmio</v>
      </c>
      <c r="I2813" s="16" t="s">
        <v>9427</v>
      </c>
    </row>
    <row r="2814" spans="1:9" x14ac:dyDescent="0.25">
      <c r="A2814" s="16" t="s">
        <v>3749</v>
      </c>
      <c r="B2814" s="16" t="str">
        <f>TEXT(PARTIDA[[#This Row],[PARTIDA]],"0000000000")</f>
        <v>3206493000</v>
      </c>
      <c r="C2814" s="16" t="s">
        <v>815</v>
      </c>
      <c r="D2814" s="16" t="s">
        <v>835</v>
      </c>
      <c r="E2814" s="16" t="s">
        <v>9467</v>
      </c>
      <c r="F2814" s="27" t="s">
        <v>11789</v>
      </c>
      <c r="G2814" s="27"/>
      <c r="H2814" s="16" t="str">
        <f>IF(ISBLANK(PARTIDAS!$G2814),PARTIDAS!$F2814,CONCATENATE(PARTIDAS!$F2814," (",PARTIDAS!$G2814,")"))</f>
        <v>Pigmentos y preparaciones a base de hexacianoferratos (ferrocianuros o ferricianuros)</v>
      </c>
      <c r="I2814" s="16" t="s">
        <v>9427</v>
      </c>
    </row>
    <row r="2815" spans="1:9" x14ac:dyDescent="0.25">
      <c r="A2815" s="16" t="s">
        <v>11790</v>
      </c>
      <c r="B2815" s="16" t="str">
        <f>TEXT(PARTIDA[[#This Row],[PARTIDA]],"0000000000")</f>
        <v>3206494000</v>
      </c>
      <c r="C2815" s="16" t="s">
        <v>815</v>
      </c>
      <c r="D2815" s="16" t="s">
        <v>835</v>
      </c>
      <c r="E2815" s="16" t="s">
        <v>9467</v>
      </c>
      <c r="F2815" s="27" t="s">
        <v>11791</v>
      </c>
      <c r="G2815" s="27"/>
      <c r="H2815" s="16" t="str">
        <f>IF(ISBLANK(PARTIDAS!$G2815),PARTIDAS!$F2815,CONCATENATE(PARTIDAS!$F2815," (",PARTIDAS!$G2815,")"))</f>
        <v>Pigmentos y preparaciones a base de negros de origen mineral</v>
      </c>
      <c r="I2815" s="16" t="s">
        <v>9427</v>
      </c>
    </row>
    <row r="2816" spans="1:9" x14ac:dyDescent="0.25">
      <c r="A2816" s="16" t="s">
        <v>11792</v>
      </c>
      <c r="B2816" s="16" t="str">
        <f>TEXT(PARTIDA[[#This Row],[PARTIDA]],"0000000000")</f>
        <v>3206499000</v>
      </c>
      <c r="C2816" s="16" t="s">
        <v>815</v>
      </c>
      <c r="D2816" s="16" t="s">
        <v>835</v>
      </c>
      <c r="E2816" s="16" t="s">
        <v>9467</v>
      </c>
      <c r="F2816" s="27" t="s">
        <v>11793</v>
      </c>
      <c r="G2816" s="27"/>
      <c r="H2816" s="16" t="str">
        <f>IF(ISBLANK(PARTIDAS!$G2816),PARTIDAS!$F2816,CONCATENATE(PARTIDAS!$F2816," (",PARTIDAS!$G2816,")"))</f>
        <v>Extractos curtientes o tintóreos (los demás)</v>
      </c>
      <c r="I2816" s="16" t="s">
        <v>9427</v>
      </c>
    </row>
    <row r="2817" spans="1:9" x14ac:dyDescent="0.25">
      <c r="A2817" s="16" t="s">
        <v>3750</v>
      </c>
      <c r="B2817" s="16" t="str">
        <f>TEXT(PARTIDA[[#This Row],[PARTIDA]],"0000000000")</f>
        <v>3206499100</v>
      </c>
      <c r="C2817" s="16" t="s">
        <v>815</v>
      </c>
      <c r="D2817" s="16" t="s">
        <v>835</v>
      </c>
      <c r="E2817" s="16" t="s">
        <v>9467</v>
      </c>
      <c r="F2817" s="27" t="s">
        <v>11794</v>
      </c>
      <c r="G2817" s="27"/>
      <c r="H2817" s="16" t="str">
        <f>IF(ISBLANK(PARTIDAS!$G2817),PARTIDAS!$F2817,CONCATENATE(PARTIDAS!$F2817," (",PARTIDAS!$G2817,")"))</f>
        <v>Negros de origen mineral</v>
      </c>
      <c r="I2817" s="16" t="s">
        <v>9648</v>
      </c>
    </row>
    <row r="2818" spans="1:9" x14ac:dyDescent="0.25">
      <c r="A2818" s="16" t="s">
        <v>3751</v>
      </c>
      <c r="B2818" s="16" t="str">
        <f>TEXT(PARTIDA[[#This Row],[PARTIDA]],"0000000000")</f>
        <v>3206499900</v>
      </c>
      <c r="C2818" s="16" t="s">
        <v>815</v>
      </c>
      <c r="D2818" s="16" t="s">
        <v>835</v>
      </c>
      <c r="E2818" s="16" t="s">
        <v>9467</v>
      </c>
      <c r="F2818" s="27" t="s">
        <v>11795</v>
      </c>
      <c r="G2818" s="27"/>
      <c r="H2818" s="16" t="str">
        <f>IF(ISBLANK(PARTIDAS!$G2818),PARTIDAS!$F2818,CONCATENATE(PARTIDAS!$F2818," (",PARTIDAS!$G2818,")"))</f>
        <v>Las demás materias colorantes; preparaciones a que se refiere la Nota  (los demás)</v>
      </c>
      <c r="I2818" s="16" t="s">
        <v>9648</v>
      </c>
    </row>
    <row r="2819" spans="1:9" x14ac:dyDescent="0.25">
      <c r="A2819" s="16" t="s">
        <v>3752</v>
      </c>
      <c r="B2819" s="16" t="str">
        <f>TEXT(PARTIDA[[#This Row],[PARTIDA]],"0000000000")</f>
        <v>3206500000</v>
      </c>
      <c r="C2819" s="16" t="s">
        <v>815</v>
      </c>
      <c r="D2819" s="16" t="s">
        <v>835</v>
      </c>
      <c r="E2819" s="16" t="s">
        <v>9467</v>
      </c>
      <c r="F2819" s="27" t="s">
        <v>11796</v>
      </c>
      <c r="G2819" s="27"/>
      <c r="H2819" s="16" t="str">
        <f>IF(ISBLANK(PARTIDAS!$G2819),PARTIDAS!$F2819,CONCATENATE(PARTIDAS!$F2819," (",PARTIDAS!$G2819,")"))</f>
        <v>Productos inorgánicos de los tipos utilizados como luminóforos</v>
      </c>
      <c r="I2819" s="16" t="s">
        <v>9427</v>
      </c>
    </row>
    <row r="2820" spans="1:9" x14ac:dyDescent="0.25">
      <c r="A2820" s="16" t="s">
        <v>3753</v>
      </c>
      <c r="B2820" s="16" t="str">
        <f>TEXT(PARTIDA[[#This Row],[PARTIDA]],"0000000000")</f>
        <v>3207100000</v>
      </c>
      <c r="C2820" s="16" t="s">
        <v>815</v>
      </c>
      <c r="D2820" s="16" t="s">
        <v>835</v>
      </c>
      <c r="E2820" s="16" t="s">
        <v>9467</v>
      </c>
      <c r="F2820" s="27" t="s">
        <v>11797</v>
      </c>
      <c r="G2820" s="27"/>
      <c r="H2820" s="16" t="str">
        <f>IF(ISBLANK(PARTIDAS!$G2820),PARTIDAS!$F2820,CONCATENATE(PARTIDAS!$F2820," (",PARTIDAS!$G2820,")"))</f>
        <v>Pigmentos, opacificantes y colores preparados y preparaciones similares</v>
      </c>
      <c r="I2820" s="16" t="s">
        <v>9427</v>
      </c>
    </row>
    <row r="2821" spans="1:9" x14ac:dyDescent="0.25">
      <c r="A2821" s="16" t="s">
        <v>3754</v>
      </c>
      <c r="B2821" s="16" t="str">
        <f>TEXT(PARTIDA[[#This Row],[PARTIDA]],"0000000000")</f>
        <v>3207201000</v>
      </c>
      <c r="C2821" s="16" t="s">
        <v>815</v>
      </c>
      <c r="D2821" s="16" t="s">
        <v>835</v>
      </c>
      <c r="E2821" s="16" t="s">
        <v>9467</v>
      </c>
      <c r="F2821" s="27" t="s">
        <v>11798</v>
      </c>
      <c r="G2821" s="27"/>
      <c r="H2821" s="16" t="str">
        <f>IF(ISBLANK(PARTIDAS!$G2821),PARTIDAS!$F2821,CONCATENATE(PARTIDAS!$F2821," (",PARTIDAS!$G2821,")"))</f>
        <v>Composiciones vitrificables</v>
      </c>
      <c r="I2821" s="16" t="s">
        <v>9427</v>
      </c>
    </row>
    <row r="2822" spans="1:9" x14ac:dyDescent="0.25">
      <c r="A2822" s="16" t="s">
        <v>3755</v>
      </c>
      <c r="B2822" s="16" t="str">
        <f>TEXT(PARTIDA[[#This Row],[PARTIDA]],"0000000000")</f>
        <v>3207209000</v>
      </c>
      <c r="C2822" s="16" t="s">
        <v>815</v>
      </c>
      <c r="D2822" s="16" t="s">
        <v>835</v>
      </c>
      <c r="E2822" s="16" t="s">
        <v>9467</v>
      </c>
      <c r="F2822" s="27" t="s">
        <v>11799</v>
      </c>
      <c r="G2822" s="27"/>
      <c r="H2822" s="16" t="str">
        <f>IF(ISBLANK(PARTIDAS!$G2822),PARTIDAS!$F2822,CONCATENATE(PARTIDAS!$F2822," (",PARTIDAS!$G2822,")"))</f>
        <v>Composiciones vitrificables, engobes y preparaciones similares (los demás)</v>
      </c>
      <c r="I2822" s="16" t="s">
        <v>9427</v>
      </c>
    </row>
    <row r="2823" spans="1:9" x14ac:dyDescent="0.25">
      <c r="A2823" s="16" t="s">
        <v>3756</v>
      </c>
      <c r="B2823" s="16" t="str">
        <f>TEXT(PARTIDA[[#This Row],[PARTIDA]],"0000000000")</f>
        <v>3207300000</v>
      </c>
      <c r="C2823" s="16" t="s">
        <v>815</v>
      </c>
      <c r="D2823" s="16" t="s">
        <v>835</v>
      </c>
      <c r="E2823" s="16" t="s">
        <v>9467</v>
      </c>
      <c r="F2823" s="27" t="s">
        <v>11800</v>
      </c>
      <c r="G2823" s="27"/>
      <c r="H2823" s="16" t="str">
        <f>IF(ISBLANK(PARTIDAS!$G2823),PARTIDAS!$F2823,CONCATENATE(PARTIDAS!$F2823," (",PARTIDAS!$G2823,")"))</f>
        <v>Abrillantadores (lustres) líquidos y preparaciones similares</v>
      </c>
      <c r="I2823" s="16" t="s">
        <v>9427</v>
      </c>
    </row>
    <row r="2824" spans="1:9" x14ac:dyDescent="0.25">
      <c r="A2824" s="16" t="s">
        <v>3757</v>
      </c>
      <c r="B2824" s="16" t="str">
        <f>TEXT(PARTIDA[[#This Row],[PARTIDA]],"0000000000")</f>
        <v>3207401000</v>
      </c>
      <c r="C2824" s="16" t="s">
        <v>815</v>
      </c>
      <c r="D2824" s="16" t="s">
        <v>835</v>
      </c>
      <c r="E2824" s="16" t="s">
        <v>9467</v>
      </c>
      <c r="F2824" s="27" t="s">
        <v>11801</v>
      </c>
      <c r="G2824" s="27"/>
      <c r="H2824" s="16" t="str">
        <f>IF(ISBLANK(PARTIDAS!$G2824),PARTIDAS!$F2824,CONCATENATE(PARTIDAS!$F2824," (",PARTIDAS!$G2824,")"))</f>
        <v>Frita de vidrio</v>
      </c>
      <c r="I2824" s="16" t="s">
        <v>9427</v>
      </c>
    </row>
    <row r="2825" spans="1:9" x14ac:dyDescent="0.25">
      <c r="A2825" s="16" t="s">
        <v>3758</v>
      </c>
      <c r="B2825" s="16" t="str">
        <f>TEXT(PARTIDA[[#This Row],[PARTIDA]],"0000000000")</f>
        <v>3207409000</v>
      </c>
      <c r="C2825" s="16" t="s">
        <v>815</v>
      </c>
      <c r="D2825" s="16" t="s">
        <v>835</v>
      </c>
      <c r="E2825" s="16" t="s">
        <v>9467</v>
      </c>
      <c r="F2825" s="27" t="s">
        <v>11802</v>
      </c>
      <c r="G2825" s="27"/>
      <c r="H2825" s="16" t="str">
        <f>IF(ISBLANK(PARTIDAS!$G2825),PARTIDAS!$F2825,CONCATENATE(PARTIDAS!$F2825," (",PARTIDAS!$G2825,")"))</f>
        <v>Frita de vidrio y demás vidrios, en polvo, gránulos, copos o… (los demás)</v>
      </c>
      <c r="I2825" s="16" t="s">
        <v>9427</v>
      </c>
    </row>
    <row r="2826" spans="1:9" x14ac:dyDescent="0.25">
      <c r="A2826" s="16" t="s">
        <v>3759</v>
      </c>
      <c r="B2826" s="16" t="str">
        <f>TEXT(PARTIDA[[#This Row],[PARTIDA]],"0000000000")</f>
        <v>3208100000</v>
      </c>
      <c r="C2826" s="16" t="s">
        <v>815</v>
      </c>
      <c r="D2826" s="16" t="s">
        <v>835</v>
      </c>
      <c r="E2826" s="16" t="s">
        <v>9467</v>
      </c>
      <c r="F2826" s="27" t="s">
        <v>11803</v>
      </c>
      <c r="G2826" s="27"/>
      <c r="H2826" s="16" t="str">
        <f>IF(ISBLANK(PARTIDAS!$G2826),PARTIDAS!$F2826,CONCATENATE(PARTIDAS!$F2826," (",PARTIDAS!$G2826,")"))</f>
        <v>Pinturas y barnices a base de polímeros sintéticos o naturales…, a base de poliésteres</v>
      </c>
      <c r="I2826" s="16" t="s">
        <v>9427</v>
      </c>
    </row>
    <row r="2827" spans="1:9" x14ac:dyDescent="0.25">
      <c r="A2827" s="16" t="s">
        <v>3760</v>
      </c>
      <c r="B2827" s="16" t="str">
        <f>TEXT(PARTIDA[[#This Row],[PARTIDA]],"0000000000")</f>
        <v>3208200000</v>
      </c>
      <c r="C2827" s="16" t="s">
        <v>815</v>
      </c>
      <c r="D2827" s="16" t="s">
        <v>835</v>
      </c>
      <c r="E2827" s="16" t="s">
        <v>9467</v>
      </c>
      <c r="F2827" s="27" t="s">
        <v>11804</v>
      </c>
      <c r="G2827" s="27"/>
      <c r="H2827" s="16" t="str">
        <f>IF(ISBLANK(PARTIDAS!$G2827),PARTIDAS!$F2827,CONCATENATE(PARTIDAS!$F2827," (",PARTIDAS!$G2827,")"))</f>
        <v>Pinturas y barnices a base de polímeros sintéticos o naturales…, a base de polímeros acrílicos o vinílicos</v>
      </c>
      <c r="I2827" s="16" t="s">
        <v>9427</v>
      </c>
    </row>
    <row r="2828" spans="1:9" x14ac:dyDescent="0.25">
      <c r="A2828" s="16" t="s">
        <v>3761</v>
      </c>
      <c r="B2828" s="16" t="str">
        <f>TEXT(PARTIDA[[#This Row],[PARTIDA]],"0000000000")</f>
        <v>3208900000</v>
      </c>
      <c r="C2828" s="16" t="s">
        <v>815</v>
      </c>
      <c r="D2828" s="16" t="s">
        <v>835</v>
      </c>
      <c r="E2828" s="16" t="s">
        <v>9467</v>
      </c>
      <c r="F2828" s="27" t="s">
        <v>11805</v>
      </c>
      <c r="G2828" s="27"/>
      <c r="H2828" s="16" t="str">
        <f>IF(ISBLANK(PARTIDAS!$G2828),PARTIDAS!$F2828,CONCATENATE(PARTIDAS!$F2828," (",PARTIDAS!$G2828,")"))</f>
        <v>Pinturas y barnices a base de polímeros sintéticos o naturales… (los demás)</v>
      </c>
      <c r="I2828" s="16" t="s">
        <v>9427</v>
      </c>
    </row>
    <row r="2829" spans="1:9" x14ac:dyDescent="0.25">
      <c r="A2829" s="16" t="s">
        <v>3762</v>
      </c>
      <c r="B2829" s="16" t="str">
        <f>TEXT(PARTIDA[[#This Row],[PARTIDA]],"0000000000")</f>
        <v>3209100000</v>
      </c>
      <c r="C2829" s="16" t="s">
        <v>815</v>
      </c>
      <c r="D2829" s="16" t="s">
        <v>835</v>
      </c>
      <c r="E2829" s="16" t="s">
        <v>9467</v>
      </c>
      <c r="F2829" s="27" t="s">
        <v>11804</v>
      </c>
      <c r="G2829" s="27"/>
      <c r="H2829" s="16" t="str">
        <f>IF(ISBLANK(PARTIDAS!$G2829),PARTIDAS!$F2829,CONCATENATE(PARTIDAS!$F2829," (",PARTIDAS!$G2829,")"))</f>
        <v>Pinturas y barnices a base de polímeros sintéticos o naturales…, a base de polímeros acrílicos o vinílicos</v>
      </c>
      <c r="I2829" s="16" t="s">
        <v>9427</v>
      </c>
    </row>
    <row r="2830" spans="1:9" x14ac:dyDescent="0.25">
      <c r="A2830" s="16" t="s">
        <v>3763</v>
      </c>
      <c r="B2830" s="16" t="str">
        <f>TEXT(PARTIDA[[#This Row],[PARTIDA]],"0000000000")</f>
        <v>3209900000</v>
      </c>
      <c r="C2830" s="16" t="s">
        <v>815</v>
      </c>
      <c r="D2830" s="16" t="s">
        <v>835</v>
      </c>
      <c r="E2830" s="16" t="s">
        <v>9467</v>
      </c>
      <c r="F2830" s="27" t="s">
        <v>11805</v>
      </c>
      <c r="G2830" s="27"/>
      <c r="H2830" s="16" t="str">
        <f>IF(ISBLANK(PARTIDAS!$G2830),PARTIDAS!$F2830,CONCATENATE(PARTIDAS!$F2830," (",PARTIDAS!$G2830,")"))</f>
        <v>Pinturas y barnices a base de polímeros sintéticos o naturales… (los demás)</v>
      </c>
      <c r="I2830" s="16" t="s">
        <v>9427</v>
      </c>
    </row>
    <row r="2831" spans="1:9" x14ac:dyDescent="0.25">
      <c r="A2831" s="16" t="s">
        <v>3764</v>
      </c>
      <c r="B2831" s="16" t="str">
        <f>TEXT(PARTIDA[[#This Row],[PARTIDA]],"0000000000")</f>
        <v>3210001000</v>
      </c>
      <c r="C2831" s="16" t="s">
        <v>815</v>
      </c>
      <c r="D2831" s="16" t="s">
        <v>835</v>
      </c>
      <c r="E2831" s="16" t="s">
        <v>9467</v>
      </c>
      <c r="F2831" s="27" t="s">
        <v>11806</v>
      </c>
      <c r="G2831" s="27"/>
      <c r="H2831" s="16" t="str">
        <f>IF(ISBLANK(PARTIDAS!$G2831),PARTIDAS!$F2831,CONCATENATE(PARTIDAS!$F2831," (",PARTIDAS!$G2831,")"))</f>
        <v>Pinturas marinas anticorrosivas y antiincrustantes</v>
      </c>
      <c r="I2831" s="16" t="s">
        <v>9427</v>
      </c>
    </row>
    <row r="2832" spans="1:9" x14ac:dyDescent="0.25">
      <c r="A2832" s="16" t="s">
        <v>3765</v>
      </c>
      <c r="B2832" s="16" t="str">
        <f>TEXT(PARTIDA[[#This Row],[PARTIDA]],"0000000000")</f>
        <v>3210002000</v>
      </c>
      <c r="C2832" s="16" t="s">
        <v>815</v>
      </c>
      <c r="D2832" s="16" t="s">
        <v>835</v>
      </c>
      <c r="E2832" s="16" t="s">
        <v>9467</v>
      </c>
      <c r="F2832" s="27" t="s">
        <v>11807</v>
      </c>
      <c r="G2832" s="27"/>
      <c r="H2832" s="16" t="str">
        <f>IF(ISBLANK(PARTIDAS!$G2832),PARTIDAS!$F2832,CONCATENATE(PARTIDAS!$F2832," (",PARTIDAS!$G2832,")"))</f>
        <v>Pigmentos al agua de los tipos utilizados para el acabado del cuero</v>
      </c>
      <c r="I2832" s="16" t="s">
        <v>9427</v>
      </c>
    </row>
    <row r="2833" spans="1:9" x14ac:dyDescent="0.25">
      <c r="A2833" s="16" t="s">
        <v>3766</v>
      </c>
      <c r="B2833" s="16" t="str">
        <f>TEXT(PARTIDA[[#This Row],[PARTIDA]],"0000000000")</f>
        <v>3210009000</v>
      </c>
      <c r="C2833" s="16" t="s">
        <v>815</v>
      </c>
      <c r="D2833" s="16" t="s">
        <v>835</v>
      </c>
      <c r="E2833" s="16" t="s">
        <v>9467</v>
      </c>
      <c r="F2833" s="27" t="s">
        <v>11805</v>
      </c>
      <c r="G2833" s="27"/>
      <c r="H2833" s="16" t="str">
        <f>IF(ISBLANK(PARTIDAS!$G2833),PARTIDAS!$F2833,CONCATENATE(PARTIDAS!$F2833," (",PARTIDAS!$G2833,")"))</f>
        <v>Pinturas y barnices a base de polímeros sintéticos o naturales… (los demás)</v>
      </c>
      <c r="I2833" s="16" t="s">
        <v>9427</v>
      </c>
    </row>
    <row r="2834" spans="1:9" x14ac:dyDescent="0.25">
      <c r="A2834" s="16" t="s">
        <v>3767</v>
      </c>
      <c r="B2834" s="16" t="str">
        <f>TEXT(PARTIDA[[#This Row],[PARTIDA]],"0000000000")</f>
        <v>3211000000</v>
      </c>
      <c r="C2834" s="16" t="s">
        <v>815</v>
      </c>
      <c r="D2834" s="16" t="s">
        <v>835</v>
      </c>
      <c r="E2834" s="16" t="s">
        <v>9467</v>
      </c>
      <c r="F2834" s="27" t="s">
        <v>3768</v>
      </c>
      <c r="G2834" s="27"/>
      <c r="H2834" s="16" t="str">
        <f>IF(ISBLANK(PARTIDAS!$G2834),PARTIDAS!$F2834,CONCATENATE(PARTIDAS!$F2834," (",PARTIDAS!$G2834,")"))</f>
        <v>Secativos preparados.</v>
      </c>
      <c r="I2834" s="16" t="s">
        <v>9427</v>
      </c>
    </row>
    <row r="2835" spans="1:9" x14ac:dyDescent="0.25">
      <c r="A2835" s="16" t="s">
        <v>3769</v>
      </c>
      <c r="B2835" s="16" t="str">
        <f>TEXT(PARTIDA[[#This Row],[PARTIDA]],"0000000000")</f>
        <v>3212100000</v>
      </c>
      <c r="C2835" s="16" t="s">
        <v>815</v>
      </c>
      <c r="D2835" s="16" t="s">
        <v>835</v>
      </c>
      <c r="E2835" s="16" t="s">
        <v>9467</v>
      </c>
      <c r="F2835" s="27" t="s">
        <v>11808</v>
      </c>
      <c r="G2835" s="27"/>
      <c r="H2835" s="16" t="str">
        <f>IF(ISBLANK(PARTIDAS!$G2835),PARTIDAS!$F2835,CONCATENATE(PARTIDAS!$F2835," (",PARTIDAS!$G2835,")"))</f>
        <v>Hojas para el marcado a fuego</v>
      </c>
      <c r="I2835" s="16" t="s">
        <v>9427</v>
      </c>
    </row>
    <row r="2836" spans="1:9" x14ac:dyDescent="0.25">
      <c r="A2836" s="16" t="s">
        <v>3770</v>
      </c>
      <c r="B2836" s="16" t="str">
        <f>TEXT(PARTIDA[[#This Row],[PARTIDA]],"0000000000")</f>
        <v>3212901000</v>
      </c>
      <c r="C2836" s="16" t="s">
        <v>815</v>
      </c>
      <c r="D2836" s="16" t="s">
        <v>835</v>
      </c>
      <c r="E2836" s="16" t="s">
        <v>9467</v>
      </c>
      <c r="F2836" s="27" t="s">
        <v>11809</v>
      </c>
      <c r="G2836" s="27"/>
      <c r="H2836" s="16" t="str">
        <f>IF(ISBLANK(PARTIDAS!$G2836),PARTIDAS!$F2836,CONCATENATE(PARTIDAS!$F2836," (",PARTIDAS!$G2836,")"))</f>
        <v>Pigmentos (incluidos el polvo y escamillas metálicos) dispersos en medios no acuosos, líquidos o en pasta, de los tipos utilizados para la fabricación</v>
      </c>
      <c r="I2836" s="16" t="s">
        <v>9427</v>
      </c>
    </row>
    <row r="2837" spans="1:9" x14ac:dyDescent="0.25">
      <c r="A2837" s="16" t="s">
        <v>3771</v>
      </c>
      <c r="B2837" s="16" t="str">
        <f>TEXT(PARTIDA[[#This Row],[PARTIDA]],"0000000000")</f>
        <v>3212902000</v>
      </c>
      <c r="C2837" s="16" t="s">
        <v>815</v>
      </c>
      <c r="D2837" s="16" t="s">
        <v>835</v>
      </c>
      <c r="E2837" s="16" t="s">
        <v>9467</v>
      </c>
      <c r="F2837" s="27" t="s">
        <v>11810</v>
      </c>
      <c r="G2837" s="27"/>
      <c r="H2837" s="16" t="str">
        <f>IF(ISBLANK(PARTIDAS!$G2837),PARTIDAS!$F2837,CONCATENATE(PARTIDAS!$F2837," (",PARTIDAS!$G2837,")"))</f>
        <v>Tintes y demás materias colorantes presentados en formas o en envases para la venta al por menor</v>
      </c>
      <c r="I2837" s="16" t="s">
        <v>9427</v>
      </c>
    </row>
    <row r="2838" spans="1:9" x14ac:dyDescent="0.25">
      <c r="A2838" s="16" t="s">
        <v>3772</v>
      </c>
      <c r="B2838" s="16" t="str">
        <f>TEXT(PARTIDA[[#This Row],[PARTIDA]],"0000000000")</f>
        <v>3213101000</v>
      </c>
      <c r="C2838" s="16" t="s">
        <v>815</v>
      </c>
      <c r="D2838" s="16" t="s">
        <v>835</v>
      </c>
      <c r="E2838" s="16" t="s">
        <v>9467</v>
      </c>
      <c r="F2838" s="27" t="s">
        <v>11811</v>
      </c>
      <c r="G2838" s="27"/>
      <c r="H2838" s="16" t="str">
        <f>IF(ISBLANK(PARTIDAS!$G2838),PARTIDAS!$F2838,CONCATENATE(PARTIDAS!$F2838," (",PARTIDAS!$G2838,")"))</f>
        <v>Pinturas al agua (témpera, acuarela)</v>
      </c>
      <c r="I2838" s="16" t="s">
        <v>9427</v>
      </c>
    </row>
    <row r="2839" spans="1:9" x14ac:dyDescent="0.25">
      <c r="A2839" s="16" t="s">
        <v>3773</v>
      </c>
      <c r="B2839" s="16" t="str">
        <f>TEXT(PARTIDA[[#This Row],[PARTIDA]],"0000000000")</f>
        <v>3213109000</v>
      </c>
      <c r="C2839" s="16" t="s">
        <v>815</v>
      </c>
      <c r="D2839" s="16" t="s">
        <v>835</v>
      </c>
      <c r="E2839" s="16" t="s">
        <v>9467</v>
      </c>
      <c r="F2839" s="27" t="s">
        <v>11812</v>
      </c>
      <c r="G2839" s="27"/>
      <c r="H2839" s="16" t="str">
        <f>IF(ISBLANK(PARTIDAS!$G2839),PARTIDAS!$F2839,CONCATENATE(PARTIDAS!$F2839," (",PARTIDAS!$G2839,")"))</f>
        <v>Colores en surtidos (los demás)</v>
      </c>
      <c r="I2839" s="16" t="s">
        <v>9427</v>
      </c>
    </row>
    <row r="2840" spans="1:9" x14ac:dyDescent="0.25">
      <c r="A2840" s="16" t="s">
        <v>3774</v>
      </c>
      <c r="B2840" s="16" t="str">
        <f>TEXT(PARTIDA[[#This Row],[PARTIDA]],"0000000000")</f>
        <v>3213900000</v>
      </c>
      <c r="C2840" s="16" t="s">
        <v>815</v>
      </c>
      <c r="D2840" s="16" t="s">
        <v>835</v>
      </c>
      <c r="E2840" s="16" t="s">
        <v>9467</v>
      </c>
      <c r="F2840" s="27" t="s">
        <v>11813</v>
      </c>
      <c r="G2840" s="27"/>
      <c r="H2840" s="16" t="str">
        <f>IF(ISBLANK(PARTIDAS!$G2840),PARTIDAS!$F2840,CONCATENATE(PARTIDAS!$F2840," (",PARTIDAS!$G2840,")"))</f>
        <v>Colores para la pintura artística, la enseñanza, la pintura de… (los demás)</v>
      </c>
      <c r="I2840" s="16" t="s">
        <v>9427</v>
      </c>
    </row>
    <row r="2841" spans="1:9" x14ac:dyDescent="0.25">
      <c r="A2841" s="16" t="s">
        <v>3775</v>
      </c>
      <c r="B2841" s="16" t="str">
        <f>TEXT(PARTIDA[[#This Row],[PARTIDA]],"0000000000")</f>
        <v>3214101000</v>
      </c>
      <c r="C2841" s="16" t="s">
        <v>815</v>
      </c>
      <c r="D2841" s="16" t="s">
        <v>835</v>
      </c>
      <c r="E2841" s="16" t="s">
        <v>9467</v>
      </c>
      <c r="F2841" s="27" t="s">
        <v>11814</v>
      </c>
      <c r="G2841" s="27"/>
      <c r="H2841" s="16" t="str">
        <f>IF(ISBLANK(PARTIDAS!$G2841),PARTIDAS!$F2841,CONCATENATE(PARTIDAS!$F2841," (",PARTIDAS!$G2841,")"))</f>
        <v>Masilla, cementos de resina y demás mástiques</v>
      </c>
      <c r="I2841" s="16" t="s">
        <v>9427</v>
      </c>
    </row>
    <row r="2842" spans="1:9" x14ac:dyDescent="0.25">
      <c r="A2842" s="16" t="s">
        <v>3776</v>
      </c>
      <c r="B2842" s="16" t="str">
        <f>TEXT(PARTIDA[[#This Row],[PARTIDA]],"0000000000")</f>
        <v>3214102000</v>
      </c>
      <c r="C2842" s="16" t="s">
        <v>815</v>
      </c>
      <c r="D2842" s="16" t="s">
        <v>835</v>
      </c>
      <c r="E2842" s="16" t="s">
        <v>9467</v>
      </c>
      <c r="F2842" s="27" t="s">
        <v>11815</v>
      </c>
      <c r="G2842" s="27"/>
      <c r="H2842" s="16" t="str">
        <f>IF(ISBLANK(PARTIDAS!$G2842),PARTIDAS!$F2842,CONCATENATE(PARTIDAS!$F2842," (",PARTIDAS!$G2842,")"))</f>
        <v>Plastes (enduidos) utilizados en pintura</v>
      </c>
      <c r="I2842" s="16" t="s">
        <v>9427</v>
      </c>
    </row>
    <row r="2843" spans="1:9" x14ac:dyDescent="0.25">
      <c r="A2843" s="16" t="s">
        <v>3777</v>
      </c>
      <c r="B2843" s="16" t="str">
        <f>TEXT(PARTIDA[[#This Row],[PARTIDA]],"0000000000")</f>
        <v>3214900000</v>
      </c>
      <c r="C2843" s="16" t="s">
        <v>815</v>
      </c>
      <c r="D2843" s="16" t="s">
        <v>835</v>
      </c>
      <c r="E2843" s="16" t="s">
        <v>9467</v>
      </c>
      <c r="F2843" s="27" t="s">
        <v>11816</v>
      </c>
      <c r="G2843" s="27"/>
      <c r="H2843" s="16" t="str">
        <f>IF(ISBLANK(PARTIDAS!$G2843),PARTIDAS!$F2843,CONCATENATE(PARTIDAS!$F2843," (",PARTIDAS!$G2843,")"))</f>
        <v>Masilla, cementos de resina y demás mástiques (los demás)</v>
      </c>
      <c r="I2843" s="16" t="s">
        <v>9427</v>
      </c>
    </row>
    <row r="2844" spans="1:9" x14ac:dyDescent="0.25">
      <c r="A2844" s="16" t="s">
        <v>3778</v>
      </c>
      <c r="B2844" s="16" t="str">
        <f>TEXT(PARTIDA[[#This Row],[PARTIDA]],"0000000000")</f>
        <v>3215110000</v>
      </c>
      <c r="C2844" s="16" t="s">
        <v>815</v>
      </c>
      <c r="D2844" s="16" t="s">
        <v>835</v>
      </c>
      <c r="E2844" s="16" t="s">
        <v>9467</v>
      </c>
      <c r="F2844" s="27" t="s">
        <v>11817</v>
      </c>
      <c r="G2844" s="27"/>
      <c r="H2844" s="16" t="str">
        <f>IF(ISBLANK(PARTIDAS!$G2844),PARTIDAS!$F2844,CONCATENATE(PARTIDAS!$F2844," (",PARTIDAS!$G2844,")"))</f>
        <v>Tintas de imprimir, negras</v>
      </c>
      <c r="I2844" s="16" t="s">
        <v>9427</v>
      </c>
    </row>
    <row r="2845" spans="1:9" x14ac:dyDescent="0.25">
      <c r="A2845" s="16" t="s">
        <v>3779</v>
      </c>
      <c r="B2845" s="16" t="str">
        <f>TEXT(PARTIDA[[#This Row],[PARTIDA]],"0000000000")</f>
        <v>3215190000</v>
      </c>
      <c r="C2845" s="16" t="s">
        <v>815</v>
      </c>
      <c r="D2845" s="16" t="s">
        <v>835</v>
      </c>
      <c r="E2845" s="16" t="s">
        <v>9467</v>
      </c>
      <c r="F2845" s="27" t="s">
        <v>11818</v>
      </c>
      <c r="G2845" s="27"/>
      <c r="H2845" s="16" t="str">
        <f>IF(ISBLANK(PARTIDAS!$G2845),PARTIDAS!$F2845,CONCATENATE(PARTIDAS!$F2845," (",PARTIDAS!$G2845,")"))</f>
        <v>Tintas de imprimir (los demás)</v>
      </c>
      <c r="I2845" s="16" t="s">
        <v>9427</v>
      </c>
    </row>
    <row r="2846" spans="1:9" x14ac:dyDescent="0.25">
      <c r="A2846" s="16" t="s">
        <v>3780</v>
      </c>
      <c r="B2846" s="16" t="str">
        <f>TEXT(PARTIDA[[#This Row],[PARTIDA]],"0000000000")</f>
        <v>3215901000</v>
      </c>
      <c r="C2846" s="16" t="s">
        <v>815</v>
      </c>
      <c r="D2846" s="16" t="s">
        <v>835</v>
      </c>
      <c r="E2846" s="16" t="s">
        <v>9467</v>
      </c>
      <c r="F2846" s="27" t="s">
        <v>11819</v>
      </c>
      <c r="G2846" s="27"/>
      <c r="H2846" s="16" t="str">
        <f>IF(ISBLANK(PARTIDAS!$G2846),PARTIDAS!$F2846,CONCATENATE(PARTIDAS!$F2846," (",PARTIDAS!$G2846,")"))</f>
        <v>Tintas de imprimir, tintas de escribir o dibujar y demás tintas…, para copiadoras hectográficas y mimeógrafos</v>
      </c>
      <c r="I2846" s="16" t="s">
        <v>9427</v>
      </c>
    </row>
    <row r="2847" spans="1:9" x14ac:dyDescent="0.25">
      <c r="A2847" s="16" t="s">
        <v>3781</v>
      </c>
      <c r="B2847" s="16" t="str">
        <f>TEXT(PARTIDA[[#This Row],[PARTIDA]],"0000000000")</f>
        <v>3215902000</v>
      </c>
      <c r="C2847" s="16" t="s">
        <v>815</v>
      </c>
      <c r="D2847" s="16" t="s">
        <v>835</v>
      </c>
      <c r="E2847" s="16" t="s">
        <v>9467</v>
      </c>
      <c r="F2847" s="27" t="s">
        <v>11820</v>
      </c>
      <c r="G2847" s="27"/>
      <c r="H2847" s="16" t="str">
        <f>IF(ISBLANK(PARTIDAS!$G2847),PARTIDAS!$F2847,CONCATENATE(PARTIDAS!$F2847," (",PARTIDAS!$G2847,")"))</f>
        <v>Tintas de imprimir, tintas de escribir o dibujar y demás tintas…, para bolígrafos</v>
      </c>
      <c r="I2847" s="16" t="s">
        <v>9427</v>
      </c>
    </row>
    <row r="2848" spans="1:9" x14ac:dyDescent="0.25">
      <c r="A2848" s="16" t="s">
        <v>3782</v>
      </c>
      <c r="B2848" s="16" t="str">
        <f>TEXT(PARTIDA[[#This Row],[PARTIDA]],"0000000000")</f>
        <v>3215909000</v>
      </c>
      <c r="C2848" s="16" t="s">
        <v>815</v>
      </c>
      <c r="D2848" s="16" t="s">
        <v>835</v>
      </c>
      <c r="E2848" s="16" t="s">
        <v>9467</v>
      </c>
      <c r="F2848" s="27" t="s">
        <v>11821</v>
      </c>
      <c r="G2848" s="27"/>
      <c r="H2848" s="16" t="str">
        <f>IF(ISBLANK(PARTIDAS!$G2848),PARTIDAS!$F2848,CONCATENATE(PARTIDAS!$F2848," (",PARTIDAS!$G2848,")"))</f>
        <v>Tintas de imprimir, tintas de escribir o dibujar y demás tintas… (los demás)</v>
      </c>
      <c r="I2848" s="16" t="s">
        <v>9427</v>
      </c>
    </row>
    <row r="2849" spans="1:9" x14ac:dyDescent="0.25">
      <c r="A2849" s="16" t="s">
        <v>3783</v>
      </c>
      <c r="B2849" s="16" t="str">
        <f>TEXT(PARTIDA[[#This Row],[PARTIDA]],"0000000000")</f>
        <v>3301120000</v>
      </c>
      <c r="C2849" s="16" t="s">
        <v>815</v>
      </c>
      <c r="D2849" s="16" t="s">
        <v>835</v>
      </c>
      <c r="E2849" s="16" t="s">
        <v>9465</v>
      </c>
      <c r="F2849" s="27" t="s">
        <v>11822</v>
      </c>
      <c r="G2849" s="27"/>
      <c r="H2849" s="16" t="str">
        <f>IF(ISBLANK(PARTIDAS!$G2849),PARTIDAS!$F2849,CONCATENATE(PARTIDAS!$F2849," (",PARTIDAS!$G2849,")"))</f>
        <v>Aceites esenciales de agrios (cítricos), de naranja</v>
      </c>
      <c r="I2849" s="16" t="s">
        <v>9427</v>
      </c>
    </row>
    <row r="2850" spans="1:9" x14ac:dyDescent="0.25">
      <c r="A2850" s="16" t="s">
        <v>3784</v>
      </c>
      <c r="B2850" s="16" t="str">
        <f>TEXT(PARTIDA[[#This Row],[PARTIDA]],"0000000000")</f>
        <v>3301130000</v>
      </c>
      <c r="C2850" s="16" t="s">
        <v>815</v>
      </c>
      <c r="D2850" s="16" t="s">
        <v>835</v>
      </c>
      <c r="E2850" s="16" t="s">
        <v>9465</v>
      </c>
      <c r="F2850" s="27" t="s">
        <v>11823</v>
      </c>
      <c r="G2850" s="27"/>
      <c r="H2850" s="16" t="str">
        <f>IF(ISBLANK(PARTIDAS!$G2850),PARTIDAS!$F2850,CONCATENATE(PARTIDAS!$F2850," (",PARTIDAS!$G2850,")"))</f>
        <v>Aceites esenciales de agrios (cítricos), de limón</v>
      </c>
      <c r="I2850" s="16" t="s">
        <v>9427</v>
      </c>
    </row>
    <row r="2851" spans="1:9" x14ac:dyDescent="0.25">
      <c r="A2851" s="16" t="s">
        <v>3785</v>
      </c>
      <c r="B2851" s="16" t="str">
        <f>TEXT(PARTIDA[[#This Row],[PARTIDA]],"0000000000")</f>
        <v>3301191000</v>
      </c>
      <c r="C2851" s="16" t="s">
        <v>815</v>
      </c>
      <c r="D2851" s="16" t="s">
        <v>835</v>
      </c>
      <c r="E2851" s="16" t="s">
        <v>9465</v>
      </c>
      <c r="F2851" s="27" t="s">
        <v>11824</v>
      </c>
      <c r="G2851" s="27"/>
      <c r="H2851" s="16" t="str">
        <f>IF(ISBLANK(PARTIDAS!$G2851),PARTIDAS!$F2851,CONCATENATE(PARTIDAS!$F2851," (",PARTIDAS!$G2851,")"))</f>
        <v>Aceites esenciales de agrios (cítricos), de lima (Citrus aurantifolia, Citrus latifolia)</v>
      </c>
      <c r="I2851" s="16" t="s">
        <v>9427</v>
      </c>
    </row>
    <row r="2852" spans="1:9" x14ac:dyDescent="0.25">
      <c r="A2852" s="16" t="s">
        <v>3786</v>
      </c>
      <c r="B2852" s="16" t="str">
        <f>TEXT(PARTIDA[[#This Row],[PARTIDA]],"0000000000")</f>
        <v>3301199000</v>
      </c>
      <c r="C2852" s="16" t="s">
        <v>815</v>
      </c>
      <c r="D2852" s="16" t="s">
        <v>835</v>
      </c>
      <c r="E2852" s="16" t="s">
        <v>9465</v>
      </c>
      <c r="F2852" s="27" t="s">
        <v>11825</v>
      </c>
      <c r="G2852" s="27"/>
      <c r="H2852" s="16" t="str">
        <f>IF(ISBLANK(PARTIDAS!$G2852),PARTIDAS!$F2852,CONCATENATE(PARTIDAS!$F2852," (",PARTIDAS!$G2852,")"))</f>
        <v>Aceites esenciales de agrios (cítricos) (los demás)</v>
      </c>
      <c r="I2852" s="16" t="s">
        <v>9427</v>
      </c>
    </row>
    <row r="2853" spans="1:9" x14ac:dyDescent="0.25">
      <c r="A2853" s="16" t="s">
        <v>3787</v>
      </c>
      <c r="B2853" s="16" t="str">
        <f>TEXT(PARTIDA[[#This Row],[PARTIDA]],"0000000000")</f>
        <v>3301240000</v>
      </c>
      <c r="C2853" s="16" t="s">
        <v>815</v>
      </c>
      <c r="D2853" s="16" t="s">
        <v>835</v>
      </c>
      <c r="E2853" s="16" t="s">
        <v>9465</v>
      </c>
      <c r="F2853" s="27" t="s">
        <v>11826</v>
      </c>
      <c r="G2853" s="27"/>
      <c r="H2853" s="16" t="str">
        <f>IF(ISBLANK(PARTIDAS!$G2853),PARTIDAS!$F2853,CONCATENATE(PARTIDAS!$F2853," (",PARTIDAS!$G2853,")"))</f>
        <v>Aceites esenciales, de menta piperita (Mentha piperita)</v>
      </c>
      <c r="I2853" s="16" t="s">
        <v>9427</v>
      </c>
    </row>
    <row r="2854" spans="1:9" x14ac:dyDescent="0.25">
      <c r="A2854" s="16" t="s">
        <v>3788</v>
      </c>
      <c r="B2854" s="16" t="str">
        <f>TEXT(PARTIDA[[#This Row],[PARTIDA]],"0000000000")</f>
        <v>3301250000</v>
      </c>
      <c r="C2854" s="16" t="s">
        <v>815</v>
      </c>
      <c r="D2854" s="16" t="s">
        <v>835</v>
      </c>
      <c r="E2854" s="16" t="s">
        <v>9465</v>
      </c>
      <c r="F2854" s="27" t="s">
        <v>11827</v>
      </c>
      <c r="G2854" s="27"/>
      <c r="H2854" s="16" t="str">
        <f>IF(ISBLANK(PARTIDAS!$G2854),PARTIDAS!$F2854,CONCATENATE(PARTIDAS!$F2854," (",PARTIDAS!$G2854,")"))</f>
        <v>Aceites esenciales, de las demás mentas</v>
      </c>
      <c r="I2854" s="16" t="s">
        <v>9427</v>
      </c>
    </row>
    <row r="2855" spans="1:9" x14ac:dyDescent="0.25">
      <c r="A2855" s="16" t="s">
        <v>3789</v>
      </c>
      <c r="B2855" s="16" t="str">
        <f>TEXT(PARTIDA[[#This Row],[PARTIDA]],"0000000000")</f>
        <v>3301291000</v>
      </c>
      <c r="C2855" s="16" t="s">
        <v>815</v>
      </c>
      <c r="D2855" s="16" t="s">
        <v>835</v>
      </c>
      <c r="E2855" s="16" t="s">
        <v>9465</v>
      </c>
      <c r="F2855" s="27" t="s">
        <v>11828</v>
      </c>
      <c r="G2855" s="27"/>
      <c r="H2855" s="16" t="str">
        <f>IF(ISBLANK(PARTIDAS!$G2855),PARTIDAS!$F2855,CONCATENATE(PARTIDAS!$F2855," (",PARTIDAS!$G2855,")"))</f>
        <v>Aceites esenciales, de anís</v>
      </c>
      <c r="I2855" s="16" t="s">
        <v>9427</v>
      </c>
    </row>
    <row r="2856" spans="1:9" x14ac:dyDescent="0.25">
      <c r="A2856" s="16" t="s">
        <v>3790</v>
      </c>
      <c r="B2856" s="16" t="str">
        <f>TEXT(PARTIDA[[#This Row],[PARTIDA]],"0000000000")</f>
        <v>3301292000</v>
      </c>
      <c r="C2856" s="16" t="s">
        <v>815</v>
      </c>
      <c r="D2856" s="16" t="s">
        <v>835</v>
      </c>
      <c r="E2856" s="16" t="s">
        <v>9465</v>
      </c>
      <c r="F2856" s="27" t="s">
        <v>11829</v>
      </c>
      <c r="G2856" s="27"/>
      <c r="H2856" s="16" t="str">
        <f>IF(ISBLANK(PARTIDAS!$G2856),PARTIDAS!$F2856,CONCATENATE(PARTIDAS!$F2856," (",PARTIDAS!$G2856,")"))</f>
        <v>Aceites esenciales, de eucalipto</v>
      </c>
      <c r="I2856" s="16" t="s">
        <v>9427</v>
      </c>
    </row>
    <row r="2857" spans="1:9" x14ac:dyDescent="0.25">
      <c r="A2857" s="16" t="s">
        <v>3791</v>
      </c>
      <c r="B2857" s="16" t="str">
        <f>TEXT(PARTIDA[[#This Row],[PARTIDA]],"0000000000")</f>
        <v>3301293000</v>
      </c>
      <c r="C2857" s="16" t="s">
        <v>815</v>
      </c>
      <c r="D2857" s="16" t="s">
        <v>835</v>
      </c>
      <c r="E2857" s="16" t="s">
        <v>9465</v>
      </c>
      <c r="F2857" s="27" t="s">
        <v>11830</v>
      </c>
      <c r="G2857" s="27"/>
      <c r="H2857" s="16" t="str">
        <f>IF(ISBLANK(PARTIDAS!$G2857),PARTIDAS!$F2857,CONCATENATE(PARTIDAS!$F2857," (",PARTIDAS!$G2857,")"))</f>
        <v>Aceites esenciales, de lavanda (espliego) o de lavandín</v>
      </c>
      <c r="I2857" s="16" t="s">
        <v>9427</v>
      </c>
    </row>
    <row r="2858" spans="1:9" x14ac:dyDescent="0.25">
      <c r="A2858" s="16" t="s">
        <v>3792</v>
      </c>
      <c r="B2858" s="16" t="str">
        <f>TEXT(PARTIDA[[#This Row],[PARTIDA]],"0000000000")</f>
        <v>3301299000</v>
      </c>
      <c r="C2858" s="16" t="s">
        <v>815</v>
      </c>
      <c r="D2858" s="16" t="s">
        <v>835</v>
      </c>
      <c r="E2858" s="16" t="s">
        <v>9465</v>
      </c>
      <c r="F2858" s="27" t="s">
        <v>3793</v>
      </c>
      <c r="G2858" s="27" t="s">
        <v>1472</v>
      </c>
      <c r="H2858" s="16" t="str">
        <f>IF(ISBLANK(PARTIDAS!$G2858),PARTIDAS!$F2858,CONCATENATE(PARTIDAS!$F2858," (",PARTIDAS!$G2858,")"))</f>
        <v>Aceite de palo de rosa (Verificar)</v>
      </c>
      <c r="I2858" s="16" t="s">
        <v>9427</v>
      </c>
    </row>
    <row r="2859" spans="1:9" x14ac:dyDescent="0.25">
      <c r="A2859" s="16" t="s">
        <v>3794</v>
      </c>
      <c r="B2859" s="16" t="str">
        <f>TEXT(PARTIDA[[#This Row],[PARTIDA]],"0000000000")</f>
        <v>3301300000</v>
      </c>
      <c r="C2859" s="16" t="s">
        <v>815</v>
      </c>
      <c r="D2859" s="16" t="s">
        <v>835</v>
      </c>
      <c r="E2859" s="16" t="s">
        <v>9465</v>
      </c>
      <c r="F2859" s="27" t="s">
        <v>11831</v>
      </c>
      <c r="G2859" s="27"/>
      <c r="H2859" s="16" t="str">
        <f>IF(ISBLANK(PARTIDAS!$G2859),PARTIDAS!$F2859,CONCATENATE(PARTIDAS!$F2859," (",PARTIDAS!$G2859,")"))</f>
        <v>Resinoides</v>
      </c>
      <c r="I2859" s="16" t="s">
        <v>9427</v>
      </c>
    </row>
    <row r="2860" spans="1:9" x14ac:dyDescent="0.25">
      <c r="A2860" s="16" t="s">
        <v>3795</v>
      </c>
      <c r="B2860" s="16" t="str">
        <f>TEXT(PARTIDA[[#This Row],[PARTIDA]],"0000000000")</f>
        <v>3301901000</v>
      </c>
      <c r="C2860" s="16" t="s">
        <v>815</v>
      </c>
      <c r="D2860" s="16" t="s">
        <v>835</v>
      </c>
      <c r="E2860" s="16" t="s">
        <v>9465</v>
      </c>
      <c r="F2860" s="27" t="s">
        <v>3796</v>
      </c>
      <c r="G2860" s="27" t="s">
        <v>852</v>
      </c>
      <c r="H2860" s="16" t="str">
        <f>IF(ISBLANK(PARTIDAS!$G2860),PARTIDAS!$F2860,CONCATENATE(PARTIDAS!$F2860," (",PARTIDAS!$G2860,")"))</f>
        <v>Aceites esenciales (Especificar)</v>
      </c>
      <c r="I2860" s="16" t="s">
        <v>9427</v>
      </c>
    </row>
    <row r="2861" spans="1:9" x14ac:dyDescent="0.25">
      <c r="A2861" s="16" t="s">
        <v>3797</v>
      </c>
      <c r="B2861" s="16" t="str">
        <f>TEXT(PARTIDA[[#This Row],[PARTIDA]],"0000000000")</f>
        <v>3301902000</v>
      </c>
      <c r="C2861" s="16" t="s">
        <v>815</v>
      </c>
      <c r="D2861" s="16" t="s">
        <v>835</v>
      </c>
      <c r="E2861" s="16" t="s">
        <v>9465</v>
      </c>
      <c r="F2861" s="27" t="s">
        <v>11832</v>
      </c>
      <c r="G2861" s="27"/>
      <c r="H2861" s="16" t="str">
        <f>IF(ISBLANK(PARTIDAS!$G2861),PARTIDAS!$F2861,CONCATENATE(PARTIDAS!$F2861," (",PARTIDAS!$G2861,")"))</f>
        <v>Oleorresinas de extracción</v>
      </c>
      <c r="I2861" s="16" t="s">
        <v>9427</v>
      </c>
    </row>
    <row r="2862" spans="1:9" x14ac:dyDescent="0.25">
      <c r="A2862" s="16" t="s">
        <v>3798</v>
      </c>
      <c r="B2862" s="16" t="str">
        <f>TEXT(PARTIDA[[#This Row],[PARTIDA]],"0000000000")</f>
        <v>3301909000</v>
      </c>
      <c r="C2862" s="16" t="s">
        <v>815</v>
      </c>
      <c r="D2862" s="16" t="s">
        <v>835</v>
      </c>
      <c r="E2862" s="16" t="s">
        <v>9465</v>
      </c>
      <c r="F2862" s="27" t="s">
        <v>3799</v>
      </c>
      <c r="G2862" s="27" t="s">
        <v>852</v>
      </c>
      <c r="H2862" s="16" t="str">
        <f>IF(ISBLANK(PARTIDAS!$G2862),PARTIDAS!$F2862,CONCATENATE(PARTIDAS!$F2862," (",PARTIDAS!$G2862,")"))</f>
        <v>Aceites (Especificar)</v>
      </c>
      <c r="I2862" s="16" t="s">
        <v>9427</v>
      </c>
    </row>
    <row r="2863" spans="1:9" x14ac:dyDescent="0.25">
      <c r="A2863" s="16" t="s">
        <v>3800</v>
      </c>
      <c r="B2863" s="16" t="str">
        <f>TEXT(PARTIDA[[#This Row],[PARTIDA]],"0000000000")</f>
        <v>3302101000</v>
      </c>
      <c r="C2863" s="16" t="s">
        <v>815</v>
      </c>
      <c r="D2863" s="16" t="s">
        <v>835</v>
      </c>
      <c r="E2863" s="16" t="s">
        <v>9465</v>
      </c>
      <c r="F2863" s="27" t="s">
        <v>11833</v>
      </c>
      <c r="G2863" s="27"/>
      <c r="H2863" s="16" t="str">
        <f>IF(ISBLANK(PARTIDAS!$G2863),PARTIDAS!$F2863,CONCATENATE(PARTIDAS!$F2863," (",PARTIDAS!$G2863,")"))</f>
        <v>Mezclas de sustancias odoríferas y mezclas (incluidas…, de los tipos utilizados en las industrias alimentarias o de bebidas, cuyo grado alcohólico vol</v>
      </c>
      <c r="I2863" s="16" t="s">
        <v>9427</v>
      </c>
    </row>
    <row r="2864" spans="1:9" x14ac:dyDescent="0.25">
      <c r="A2864" s="16" t="s">
        <v>3801</v>
      </c>
      <c r="B2864" s="16" t="str">
        <f>TEXT(PARTIDA[[#This Row],[PARTIDA]],"0000000000")</f>
        <v>3302109000</v>
      </c>
      <c r="C2864" s="16" t="s">
        <v>815</v>
      </c>
      <c r="D2864" s="16" t="s">
        <v>835</v>
      </c>
      <c r="E2864" s="16" t="s">
        <v>9465</v>
      </c>
      <c r="F2864" s="27" t="s">
        <v>2183</v>
      </c>
      <c r="G2864" s="27"/>
      <c r="H2864" s="16" t="str">
        <f>IF(ISBLANK(PARTIDAS!$G2864),PARTIDAS!$F2864,CONCATENATE(PARTIDAS!$F2864," (",PARTIDAS!$G2864,")"))</f>
        <v>Postres</v>
      </c>
      <c r="I2864" s="16" t="s">
        <v>9427</v>
      </c>
    </row>
    <row r="2865" spans="1:9" x14ac:dyDescent="0.25">
      <c r="A2865" s="16" t="s">
        <v>3802</v>
      </c>
      <c r="B2865" s="16" t="str">
        <f>TEXT(PARTIDA[[#This Row],[PARTIDA]],"0000000000")</f>
        <v>3302900000</v>
      </c>
      <c r="C2865" s="16" t="s">
        <v>815</v>
      </c>
      <c r="D2865" s="16" t="s">
        <v>835</v>
      </c>
      <c r="E2865" s="16" t="s">
        <v>9465</v>
      </c>
      <c r="F2865" s="27" t="s">
        <v>11834</v>
      </c>
      <c r="G2865" s="27"/>
      <c r="H2865" s="16" t="str">
        <f>IF(ISBLANK(PARTIDAS!$G2865),PARTIDAS!$F2865,CONCATENATE(PARTIDAS!$F2865," (",PARTIDAS!$G2865,")"))</f>
        <v>Mezclas de sustancias odoríferas y mezclas (incluidas las… (los demás)</v>
      </c>
      <c r="I2865" s="16" t="s">
        <v>9427</v>
      </c>
    </row>
    <row r="2866" spans="1:9" x14ac:dyDescent="0.25">
      <c r="A2866" s="16" t="s">
        <v>3803</v>
      </c>
      <c r="B2866" s="16" t="str">
        <f>TEXT(PARTIDA[[#This Row],[PARTIDA]],"0000000000")</f>
        <v>3303000000</v>
      </c>
      <c r="C2866" s="16" t="s">
        <v>786</v>
      </c>
      <c r="D2866" s="16" t="s">
        <v>787</v>
      </c>
      <c r="E2866" s="16" t="s">
        <v>9433</v>
      </c>
      <c r="F2866" s="27" t="s">
        <v>3804</v>
      </c>
      <c r="G2866" s="27"/>
      <c r="H2866" s="16" t="str">
        <f>IF(ISBLANK(PARTIDAS!$G2866),PARTIDAS!$F2866,CONCATENATE(PARTIDAS!$F2866," (",PARTIDAS!$G2866,")"))</f>
        <v>Perfumes</v>
      </c>
      <c r="I2866" s="16" t="s">
        <v>9427</v>
      </c>
    </row>
    <row r="2867" spans="1:9" x14ac:dyDescent="0.25">
      <c r="A2867" s="16" t="s">
        <v>3805</v>
      </c>
      <c r="B2867" s="16" t="str">
        <f>TEXT(PARTIDA[[#This Row],[PARTIDA]],"0000000000")</f>
        <v>3304100000</v>
      </c>
      <c r="C2867" s="16" t="s">
        <v>786</v>
      </c>
      <c r="D2867" s="16" t="s">
        <v>787</v>
      </c>
      <c r="E2867" s="16" t="s">
        <v>9433</v>
      </c>
      <c r="F2867" s="27" t="s">
        <v>11835</v>
      </c>
      <c r="G2867" s="27"/>
      <c r="H2867" s="16" t="str">
        <f>IF(ISBLANK(PARTIDAS!$G2867),PARTIDAS!$F2867,CONCATENATE(PARTIDAS!$F2867," (",PARTIDAS!$G2867,")"))</f>
        <v>Preparaciones para el maquillaje de los labios</v>
      </c>
      <c r="I2867" s="16" t="s">
        <v>9427</v>
      </c>
    </row>
    <row r="2868" spans="1:9" x14ac:dyDescent="0.25">
      <c r="A2868" s="16" t="s">
        <v>3806</v>
      </c>
      <c r="B2868" s="16" t="str">
        <f>TEXT(PARTIDA[[#This Row],[PARTIDA]],"0000000000")</f>
        <v>3304200000</v>
      </c>
      <c r="C2868" s="16" t="s">
        <v>786</v>
      </c>
      <c r="D2868" s="16" t="s">
        <v>787</v>
      </c>
      <c r="E2868" s="16" t="s">
        <v>9433</v>
      </c>
      <c r="F2868" s="27" t="s">
        <v>11836</v>
      </c>
      <c r="G2868" s="27"/>
      <c r="H2868" s="16" t="str">
        <f>IF(ISBLANK(PARTIDAS!$G2868),PARTIDAS!$F2868,CONCATENATE(PARTIDAS!$F2868," (",PARTIDAS!$G2868,")"))</f>
        <v>Preparaciones para el maquillaje de los ojos</v>
      </c>
      <c r="I2868" s="16" t="s">
        <v>9427</v>
      </c>
    </row>
    <row r="2869" spans="1:9" x14ac:dyDescent="0.25">
      <c r="A2869" s="16" t="s">
        <v>3807</v>
      </c>
      <c r="B2869" s="16" t="str">
        <f>TEXT(PARTIDA[[#This Row],[PARTIDA]],"0000000000")</f>
        <v>3304300000</v>
      </c>
      <c r="C2869" s="16" t="s">
        <v>786</v>
      </c>
      <c r="D2869" s="16" t="s">
        <v>787</v>
      </c>
      <c r="E2869" s="16" t="s">
        <v>9433</v>
      </c>
      <c r="F2869" s="27" t="s">
        <v>11837</v>
      </c>
      <c r="G2869" s="27"/>
      <c r="H2869" s="16" t="str">
        <f>IF(ISBLANK(PARTIDAS!$G2869),PARTIDAS!$F2869,CONCATENATE(PARTIDAS!$F2869," (",PARTIDAS!$G2869,")"))</f>
        <v>Preparaciones para manicuras o pedicuros</v>
      </c>
      <c r="I2869" s="16" t="s">
        <v>9427</v>
      </c>
    </row>
    <row r="2870" spans="1:9" x14ac:dyDescent="0.25">
      <c r="A2870" s="16" t="s">
        <v>3808</v>
      </c>
      <c r="B2870" s="16" t="str">
        <f>TEXT(PARTIDA[[#This Row],[PARTIDA]],"0000000000")</f>
        <v>3304910000</v>
      </c>
      <c r="C2870" s="16" t="s">
        <v>786</v>
      </c>
      <c r="D2870" s="16" t="s">
        <v>787</v>
      </c>
      <c r="E2870" s="16" t="s">
        <v>9433</v>
      </c>
      <c r="F2870" s="27" t="s">
        <v>11838</v>
      </c>
      <c r="G2870" s="27"/>
      <c r="H2870" s="16" t="str">
        <f>IF(ISBLANK(PARTIDAS!$G2870),PARTIDAS!$F2870,CONCATENATE(PARTIDAS!$F2870," (",PARTIDAS!$G2870,")"))</f>
        <v>Polvos, incluidos los compactos</v>
      </c>
      <c r="I2870" s="16" t="s">
        <v>9427</v>
      </c>
    </row>
    <row r="2871" spans="1:9" x14ac:dyDescent="0.25">
      <c r="A2871" s="16" t="s">
        <v>3809</v>
      </c>
      <c r="B2871" s="16" t="str">
        <f>TEXT(PARTIDA[[#This Row],[PARTIDA]],"0000000000")</f>
        <v>3304990000</v>
      </c>
      <c r="C2871" s="16" t="s">
        <v>786</v>
      </c>
      <c r="D2871" s="16" t="s">
        <v>787</v>
      </c>
      <c r="E2871" s="16" t="s">
        <v>9433</v>
      </c>
      <c r="F2871" s="27" t="s">
        <v>3810</v>
      </c>
      <c r="G2871" s="27" t="s">
        <v>852</v>
      </c>
      <c r="H2871" s="16" t="str">
        <f>IF(ISBLANK(PARTIDAS!$G2871),PARTIDAS!$F2871,CONCATENATE(PARTIDAS!$F2871," (",PARTIDAS!$G2871,")"))</f>
        <v>Maquillaje (Especificar)</v>
      </c>
      <c r="I2871" s="16" t="s">
        <v>9477</v>
      </c>
    </row>
    <row r="2872" spans="1:9" x14ac:dyDescent="0.25">
      <c r="A2872" s="16" t="s">
        <v>3811</v>
      </c>
      <c r="B2872" s="16" t="str">
        <f>TEXT(PARTIDA[[#This Row],[PARTIDA]],"0000000000")</f>
        <v>3305100000</v>
      </c>
      <c r="C2872" s="16" t="s">
        <v>786</v>
      </c>
      <c r="D2872" s="16" t="s">
        <v>787</v>
      </c>
      <c r="E2872" s="16" t="s">
        <v>9433</v>
      </c>
      <c r="F2872" s="27" t="s">
        <v>9198</v>
      </c>
      <c r="G2872" s="27"/>
      <c r="H2872" s="16" t="str">
        <f>IF(ISBLANK(PARTIDAS!$G2872),PARTIDAS!$F2872,CONCATENATE(PARTIDAS!$F2872," (",PARTIDAS!$G2872,")"))</f>
        <v>Champúes</v>
      </c>
      <c r="I2872" s="16" t="s">
        <v>9477</v>
      </c>
    </row>
    <row r="2873" spans="1:9" x14ac:dyDescent="0.25">
      <c r="A2873" s="16" t="s">
        <v>3812</v>
      </c>
      <c r="B2873" s="16" t="str">
        <f>TEXT(PARTIDA[[#This Row],[PARTIDA]],"0000000000")</f>
        <v>3305200000</v>
      </c>
      <c r="C2873" s="16" t="s">
        <v>786</v>
      </c>
      <c r="D2873" s="16" t="s">
        <v>787</v>
      </c>
      <c r="E2873" s="16" t="s">
        <v>9433</v>
      </c>
      <c r="F2873" s="27" t="s">
        <v>11839</v>
      </c>
      <c r="G2873" s="27"/>
      <c r="H2873" s="16" t="str">
        <f>IF(ISBLANK(PARTIDAS!$G2873),PARTIDAS!$F2873,CONCATENATE(PARTIDAS!$F2873," (",PARTIDAS!$G2873,")"))</f>
        <v>Preparaciones para ondulación o desrizado permanentes</v>
      </c>
      <c r="I2873" s="16" t="s">
        <v>9427</v>
      </c>
    </row>
    <row r="2874" spans="1:9" x14ac:dyDescent="0.25">
      <c r="A2874" s="16" t="s">
        <v>3813</v>
      </c>
      <c r="B2874" s="16" t="str">
        <f>TEXT(PARTIDA[[#This Row],[PARTIDA]],"0000000000")</f>
        <v>3305300000</v>
      </c>
      <c r="C2874" s="16" t="s">
        <v>786</v>
      </c>
      <c r="D2874" s="16" t="s">
        <v>787</v>
      </c>
      <c r="E2874" s="16" t="s">
        <v>9433</v>
      </c>
      <c r="F2874" s="27" t="s">
        <v>11840</v>
      </c>
      <c r="G2874" s="27"/>
      <c r="H2874" s="16" t="str">
        <f>IF(ISBLANK(PARTIDAS!$G2874),PARTIDAS!$F2874,CONCATENATE(PARTIDAS!$F2874," (",PARTIDAS!$G2874,")"))</f>
        <v>Lacas para el cabello</v>
      </c>
      <c r="I2874" s="16" t="s">
        <v>9427</v>
      </c>
    </row>
    <row r="2875" spans="1:9" x14ac:dyDescent="0.25">
      <c r="A2875" s="16" t="s">
        <v>3814</v>
      </c>
      <c r="B2875" s="16" t="str">
        <f>TEXT(PARTIDA[[#This Row],[PARTIDA]],"0000000000")</f>
        <v>3305900000</v>
      </c>
      <c r="C2875" s="16" t="s">
        <v>786</v>
      </c>
      <c r="D2875" s="16" t="s">
        <v>787</v>
      </c>
      <c r="E2875" s="16" t="s">
        <v>9433</v>
      </c>
      <c r="F2875" s="27" t="s">
        <v>11841</v>
      </c>
      <c r="G2875" s="27"/>
      <c r="H2875" s="16" t="str">
        <f>IF(ISBLANK(PARTIDAS!$G2875),PARTIDAS!$F2875,CONCATENATE(PARTIDAS!$F2875," (",PARTIDAS!$G2875,")"))</f>
        <v>Preparaciones capilares (los demás)</v>
      </c>
      <c r="I2875" s="16" t="s">
        <v>9427</v>
      </c>
    </row>
    <row r="2876" spans="1:9" x14ac:dyDescent="0.25">
      <c r="A2876" s="16" t="s">
        <v>3815</v>
      </c>
      <c r="B2876" s="16" t="str">
        <f>TEXT(PARTIDA[[#This Row],[PARTIDA]],"0000000000")</f>
        <v>3306100000</v>
      </c>
      <c r="C2876" s="16" t="s">
        <v>786</v>
      </c>
      <c r="D2876" s="16" t="s">
        <v>787</v>
      </c>
      <c r="E2876" s="16" t="s">
        <v>9433</v>
      </c>
      <c r="F2876" s="27" t="s">
        <v>11842</v>
      </c>
      <c r="G2876" s="27"/>
      <c r="H2876" s="16" t="str">
        <f>IF(ISBLANK(PARTIDAS!$G2876),PARTIDAS!$F2876,CONCATENATE(PARTIDAS!$F2876," (",PARTIDAS!$G2876,")"))</f>
        <v>Dentífricos</v>
      </c>
      <c r="I2876" s="16" t="s">
        <v>9427</v>
      </c>
    </row>
    <row r="2877" spans="1:9" x14ac:dyDescent="0.25">
      <c r="A2877" s="16" t="s">
        <v>3816</v>
      </c>
      <c r="B2877" s="16" t="str">
        <f>TEXT(PARTIDA[[#This Row],[PARTIDA]],"0000000000")</f>
        <v>3306200000</v>
      </c>
      <c r="C2877" s="16" t="s">
        <v>786</v>
      </c>
      <c r="D2877" s="16" t="s">
        <v>787</v>
      </c>
      <c r="E2877" s="16" t="s">
        <v>9433</v>
      </c>
      <c r="F2877" s="27" t="s">
        <v>11843</v>
      </c>
      <c r="G2877" s="27"/>
      <c r="H2877" s="16" t="str">
        <f>IF(ISBLANK(PARTIDAS!$G2877),PARTIDAS!$F2877,CONCATENATE(PARTIDAS!$F2877," (",PARTIDAS!$G2877,")"))</f>
        <v>Hilo utilizado para limpieza de los espacios interdentales (hilo dental)</v>
      </c>
      <c r="I2877" s="16" t="s">
        <v>9427</v>
      </c>
    </row>
    <row r="2878" spans="1:9" x14ac:dyDescent="0.25">
      <c r="A2878" s="16" t="s">
        <v>3817</v>
      </c>
      <c r="B2878" s="16" t="str">
        <f>TEXT(PARTIDA[[#This Row],[PARTIDA]],"0000000000")</f>
        <v>3306900000</v>
      </c>
      <c r="C2878" s="16" t="s">
        <v>786</v>
      </c>
      <c r="D2878" s="16" t="s">
        <v>787</v>
      </c>
      <c r="E2878" s="16" t="s">
        <v>9433</v>
      </c>
      <c r="F2878" s="27" t="s">
        <v>11844</v>
      </c>
      <c r="G2878" s="27"/>
      <c r="H2878" s="16" t="str">
        <f>IF(ISBLANK(PARTIDAS!$G2878),PARTIDAS!$F2878,CONCATENATE(PARTIDAS!$F2878," (",PARTIDAS!$G2878,")"))</f>
        <v>Preparaciones para higiene bucal o dental, incluidos los polvos y… (los demás)</v>
      </c>
      <c r="I2878" s="16" t="s">
        <v>9427</v>
      </c>
    </row>
    <row r="2879" spans="1:9" x14ac:dyDescent="0.25">
      <c r="A2879" s="16" t="s">
        <v>3818</v>
      </c>
      <c r="B2879" s="16" t="str">
        <f>TEXT(PARTIDA[[#This Row],[PARTIDA]],"0000000000")</f>
        <v>3307100000</v>
      </c>
      <c r="C2879" s="16" t="s">
        <v>786</v>
      </c>
      <c r="D2879" s="16" t="s">
        <v>787</v>
      </c>
      <c r="E2879" s="16" t="s">
        <v>9433</v>
      </c>
      <c r="F2879" s="27" t="s">
        <v>11845</v>
      </c>
      <c r="G2879" s="27"/>
      <c r="H2879" s="16" t="str">
        <f>IF(ISBLANK(PARTIDAS!$G2879),PARTIDAS!$F2879,CONCATENATE(PARTIDAS!$F2879," (",PARTIDAS!$G2879,")"))</f>
        <v>Preparaciones para afeitar o para antes o después del afeitado</v>
      </c>
      <c r="I2879" s="16" t="s">
        <v>9427</v>
      </c>
    </row>
    <row r="2880" spans="1:9" x14ac:dyDescent="0.25">
      <c r="A2880" s="16" t="s">
        <v>3819</v>
      </c>
      <c r="B2880" s="16" t="str">
        <f>TEXT(PARTIDA[[#This Row],[PARTIDA]],"0000000000")</f>
        <v>3307200000</v>
      </c>
      <c r="C2880" s="16" t="s">
        <v>786</v>
      </c>
      <c r="D2880" s="16" t="s">
        <v>787</v>
      </c>
      <c r="E2880" s="16" t="s">
        <v>9433</v>
      </c>
      <c r="F2880" s="27" t="s">
        <v>3820</v>
      </c>
      <c r="G2880" s="27"/>
      <c r="H2880" s="16" t="str">
        <f>IF(ISBLANK(PARTIDAS!$G2880),PARTIDAS!$F2880,CONCATENATE(PARTIDAS!$F2880," (",PARTIDAS!$G2880,")"))</f>
        <v>Desodorantes</v>
      </c>
      <c r="I2880" s="16" t="s">
        <v>9477</v>
      </c>
    </row>
    <row r="2881" spans="1:9" x14ac:dyDescent="0.25">
      <c r="A2881" s="16" t="s">
        <v>3821</v>
      </c>
      <c r="B2881" s="16" t="str">
        <f>TEXT(PARTIDA[[#This Row],[PARTIDA]],"0000000000")</f>
        <v>3307300000</v>
      </c>
      <c r="C2881" s="16" t="s">
        <v>786</v>
      </c>
      <c r="D2881" s="16" t="s">
        <v>787</v>
      </c>
      <c r="E2881" s="16" t="s">
        <v>9433</v>
      </c>
      <c r="F2881" s="27" t="s">
        <v>11846</v>
      </c>
      <c r="G2881" s="27"/>
      <c r="H2881" s="16" t="str">
        <f>IF(ISBLANK(PARTIDAS!$G2881),PARTIDAS!$F2881,CONCATENATE(PARTIDAS!$F2881," (",PARTIDAS!$G2881,")"))</f>
        <v>Sales perfumadas y demás preparaciones para el baño</v>
      </c>
      <c r="I2881" s="16" t="s">
        <v>9427</v>
      </c>
    </row>
    <row r="2882" spans="1:9" x14ac:dyDescent="0.25">
      <c r="A2882" s="16" t="s">
        <v>3822</v>
      </c>
      <c r="B2882" s="16" t="str">
        <f>TEXT(PARTIDA[[#This Row],[PARTIDA]],"0000000000")</f>
        <v>3307410000</v>
      </c>
      <c r="C2882" s="16" t="s">
        <v>786</v>
      </c>
      <c r="D2882" s="16" t="s">
        <v>787</v>
      </c>
      <c r="E2882" s="16" t="s">
        <v>9433</v>
      </c>
      <c r="F2882" s="27" t="s">
        <v>3823</v>
      </c>
      <c r="G2882" s="27"/>
      <c r="H2882" s="16" t="str">
        <f>IF(ISBLANK(PARTIDAS!$G2882),PARTIDAS!$F2882,CONCATENATE(PARTIDAS!$F2882," (",PARTIDAS!$G2882,")"))</f>
        <v>Varillas de incienso</v>
      </c>
      <c r="I2882" s="16" t="s">
        <v>9427</v>
      </c>
    </row>
    <row r="2883" spans="1:9" x14ac:dyDescent="0.25">
      <c r="A2883" s="16" t="s">
        <v>3824</v>
      </c>
      <c r="B2883" s="16" t="str">
        <f>TEXT(PARTIDA[[#This Row],[PARTIDA]],"0000000000")</f>
        <v>3307490000</v>
      </c>
      <c r="C2883" s="16" t="s">
        <v>786</v>
      </c>
      <c r="D2883" s="16" t="s">
        <v>787</v>
      </c>
      <c r="E2883" s="16" t="s">
        <v>9433</v>
      </c>
      <c r="F2883" s="27" t="s">
        <v>3796</v>
      </c>
      <c r="G2883" s="27" t="s">
        <v>852</v>
      </c>
      <c r="H2883" s="16" t="str">
        <f>IF(ISBLANK(PARTIDAS!$G2883),PARTIDAS!$F2883,CONCATENATE(PARTIDAS!$F2883," (",PARTIDAS!$G2883,")"))</f>
        <v>Aceites esenciales (Especificar)</v>
      </c>
      <c r="I2883" s="16" t="s">
        <v>9427</v>
      </c>
    </row>
    <row r="2884" spans="1:9" x14ac:dyDescent="0.25">
      <c r="A2884" s="16" t="s">
        <v>3825</v>
      </c>
      <c r="B2884" s="16" t="str">
        <f>TEXT(PARTIDA[[#This Row],[PARTIDA]],"0000000000")</f>
        <v>3307901000</v>
      </c>
      <c r="C2884" s="16" t="s">
        <v>786</v>
      </c>
      <c r="D2884" s="16" t="s">
        <v>787</v>
      </c>
      <c r="E2884" s="16" t="s">
        <v>9433</v>
      </c>
      <c r="F2884" s="27" t="s">
        <v>11847</v>
      </c>
      <c r="G2884" s="27"/>
      <c r="H2884" s="16" t="str">
        <f>IF(ISBLANK(PARTIDAS!$G2884),PARTIDAS!$F2884,CONCATENATE(PARTIDAS!$F2884," (",PARTIDAS!$G2884,")"))</f>
        <v>Disoluciones para lentes de contacto o para ojos artificiales</v>
      </c>
      <c r="I2884" s="16" t="s">
        <v>9427</v>
      </c>
    </row>
    <row r="2885" spans="1:9" x14ac:dyDescent="0.25">
      <c r="A2885" s="16" t="s">
        <v>3826</v>
      </c>
      <c r="B2885" s="16" t="str">
        <f>TEXT(PARTIDA[[#This Row],[PARTIDA]],"0000000000")</f>
        <v>3307909000</v>
      </c>
      <c r="C2885" s="16" t="s">
        <v>786</v>
      </c>
      <c r="D2885" s="16" t="s">
        <v>787</v>
      </c>
      <c r="E2885" s="16" t="s">
        <v>9433</v>
      </c>
      <c r="F2885" s="27" t="s">
        <v>11848</v>
      </c>
      <c r="G2885" s="27"/>
      <c r="H2885" s="16" t="str">
        <f>IF(ISBLANK(PARTIDAS!$G2885),PARTIDAS!$F2885,CONCATENATE(PARTIDAS!$F2885," (",PARTIDAS!$G2885,")"))</f>
        <v>Preparaciones para afeitar o para antes o después del afeitado… (los demás)</v>
      </c>
      <c r="I2885" s="16" t="s">
        <v>9427</v>
      </c>
    </row>
    <row r="2886" spans="1:9" x14ac:dyDescent="0.25">
      <c r="A2886" s="16" t="s">
        <v>3827</v>
      </c>
      <c r="B2886" s="16" t="str">
        <f>TEXT(PARTIDA[[#This Row],[PARTIDA]],"0000000000")</f>
        <v>3401110000</v>
      </c>
      <c r="C2886" s="16" t="s">
        <v>786</v>
      </c>
      <c r="D2886" s="16" t="s">
        <v>787</v>
      </c>
      <c r="E2886" s="16" t="s">
        <v>9433</v>
      </c>
      <c r="F2886" s="27" t="s">
        <v>3828</v>
      </c>
      <c r="G2886" s="27"/>
      <c r="H2886" s="16" t="str">
        <f>IF(ISBLANK(PARTIDAS!$G2886),PARTIDAS!$F2886,CONCATENATE(PARTIDAS!$F2886," (",PARTIDAS!$G2886,")"))</f>
        <v>Jabones</v>
      </c>
      <c r="I2886" s="16" t="s">
        <v>9477</v>
      </c>
    </row>
    <row r="2887" spans="1:9" x14ac:dyDescent="0.25">
      <c r="A2887" s="16" t="s">
        <v>3829</v>
      </c>
      <c r="B2887" s="16" t="str">
        <f>TEXT(PARTIDA[[#This Row],[PARTIDA]],"0000000000")</f>
        <v>3401191000</v>
      </c>
      <c r="C2887" s="16" t="s">
        <v>786</v>
      </c>
      <c r="D2887" s="16" t="s">
        <v>787</v>
      </c>
      <c r="E2887" s="16" t="s">
        <v>9433</v>
      </c>
      <c r="F2887" s="27" t="s">
        <v>11849</v>
      </c>
      <c r="G2887" s="27"/>
      <c r="H2887" s="16" t="str">
        <f>IF(ISBLANK(PARTIDAS!$G2887),PARTIDAS!$F2887,CONCATENATE(PARTIDAS!$F2887," (",PARTIDAS!$G2887,")"))</f>
        <v>Jabón, productos y preparaciones orgánicos tensoactivos, en barras…, en barras, panes, trozos o piezas troqueladas o moldeadas</v>
      </c>
      <c r="I2887" s="16" t="s">
        <v>9427</v>
      </c>
    </row>
    <row r="2888" spans="1:9" x14ac:dyDescent="0.25">
      <c r="A2888" s="16" t="s">
        <v>3830</v>
      </c>
      <c r="B2888" s="16" t="str">
        <f>TEXT(PARTIDA[[#This Row],[PARTIDA]],"0000000000")</f>
        <v>3401199000</v>
      </c>
      <c r="C2888" s="16" t="s">
        <v>786</v>
      </c>
      <c r="D2888" s="16" t="s">
        <v>787</v>
      </c>
      <c r="E2888" s="16" t="s">
        <v>9433</v>
      </c>
      <c r="F2888" s="27" t="s">
        <v>11850</v>
      </c>
      <c r="G2888" s="27"/>
      <c r="H2888" s="16" t="str">
        <f>IF(ISBLANK(PARTIDAS!$G2888),PARTIDAS!$F2888,CONCATENATE(PARTIDAS!$F2888," (",PARTIDAS!$G2888,")"))</f>
        <v>Jabón, productos y preparaciones orgánicos tensoactivos, en barras… (los demás)</v>
      </c>
      <c r="I2888" s="16" t="s">
        <v>9427</v>
      </c>
    </row>
    <row r="2889" spans="1:9" x14ac:dyDescent="0.25">
      <c r="A2889" s="16" t="s">
        <v>3831</v>
      </c>
      <c r="B2889" s="16" t="str">
        <f>TEXT(PARTIDA[[#This Row],[PARTIDA]],"0000000000")</f>
        <v>3401200000</v>
      </c>
      <c r="C2889" s="16" t="s">
        <v>786</v>
      </c>
      <c r="D2889" s="16" t="s">
        <v>787</v>
      </c>
      <c r="E2889" s="16" t="s">
        <v>9433</v>
      </c>
      <c r="F2889" s="27" t="s">
        <v>11851</v>
      </c>
      <c r="G2889" s="27"/>
      <c r="H2889" s="16" t="str">
        <f>IF(ISBLANK(PARTIDAS!$G2889),PARTIDAS!$F2889,CONCATENATE(PARTIDAS!$F2889," (",PARTIDAS!$G2889,")"))</f>
        <v>Jabón en otras formas</v>
      </c>
      <c r="I2889" s="16" t="s">
        <v>9427</v>
      </c>
    </row>
    <row r="2890" spans="1:9" x14ac:dyDescent="0.25">
      <c r="A2890" s="16" t="s">
        <v>3832</v>
      </c>
      <c r="B2890" s="16" t="str">
        <f>TEXT(PARTIDA[[#This Row],[PARTIDA]],"0000000000")</f>
        <v>3401300000</v>
      </c>
      <c r="C2890" s="16" t="s">
        <v>786</v>
      </c>
      <c r="D2890" s="16" t="s">
        <v>787</v>
      </c>
      <c r="E2890" s="16" t="s">
        <v>9433</v>
      </c>
      <c r="F2890" s="27" t="s">
        <v>11852</v>
      </c>
      <c r="G2890" s="27"/>
      <c r="H2890" s="16" t="str">
        <f>IF(ISBLANK(PARTIDAS!$G2890),PARTIDAS!$F2890,CONCATENATE(PARTIDAS!$F2890," (",PARTIDAS!$G2890,")"))</f>
        <v>Productos y preparaciones orgánicos tensoactivos para el lavado de la piel, líquidos o en crema, acondicionados para la venta al por menor, aunque con</v>
      </c>
      <c r="I2890" s="16" t="s">
        <v>9427</v>
      </c>
    </row>
    <row r="2891" spans="1:9" x14ac:dyDescent="0.25">
      <c r="A2891" s="16" t="s">
        <v>3833</v>
      </c>
      <c r="B2891" s="16" t="str">
        <f>TEXT(PARTIDA[[#This Row],[PARTIDA]],"0000000000")</f>
        <v>3402111000</v>
      </c>
      <c r="C2891" s="16" t="s">
        <v>786</v>
      </c>
      <c r="D2891" s="16" t="s">
        <v>787</v>
      </c>
      <c r="E2891" s="16" t="s">
        <v>9433</v>
      </c>
      <c r="F2891" s="27" t="s">
        <v>11853</v>
      </c>
      <c r="G2891" s="27"/>
      <c r="H2891" s="16" t="str">
        <f>IF(ISBLANK(PARTIDAS!$G2891),PARTIDAS!$F2891,CONCATENATE(PARTIDAS!$F2891," (",PARTIDAS!$G2891,")"))</f>
        <v>Sulfatos o sulfonatos de alcoholes grasos</v>
      </c>
      <c r="I2891" s="16" t="s">
        <v>9648</v>
      </c>
    </row>
    <row r="2892" spans="1:9" x14ac:dyDescent="0.25">
      <c r="A2892" s="16" t="s">
        <v>3834</v>
      </c>
      <c r="B2892" s="16" t="str">
        <f>TEXT(PARTIDA[[#This Row],[PARTIDA]],"0000000000")</f>
        <v>3402119000</v>
      </c>
      <c r="C2892" s="16" t="s">
        <v>786</v>
      </c>
      <c r="D2892" s="16" t="s">
        <v>787</v>
      </c>
      <c r="E2892" s="16" t="s">
        <v>9433</v>
      </c>
      <c r="F2892" s="27" t="s">
        <v>11854</v>
      </c>
      <c r="G2892" s="27"/>
      <c r="H2892" s="16" t="str">
        <f>IF(ISBLANK(PARTIDAS!$G2892),PARTIDAS!$F2892,CONCATENATE(PARTIDAS!$F2892," (",PARTIDAS!$G2892,")"))</f>
        <v>Agentes de superficie orgánicos (excepto el jabón); preparaciones tens (los demás)</v>
      </c>
      <c r="I2892" s="16" t="s">
        <v>9648</v>
      </c>
    </row>
    <row r="2893" spans="1:9" x14ac:dyDescent="0.25">
      <c r="A2893" s="16" t="s">
        <v>3835</v>
      </c>
      <c r="B2893" s="16" t="str">
        <f>TEXT(PARTIDA[[#This Row],[PARTIDA]],"0000000000")</f>
        <v>3402121000</v>
      </c>
      <c r="C2893" s="16" t="s">
        <v>786</v>
      </c>
      <c r="D2893" s="16" t="s">
        <v>787</v>
      </c>
      <c r="E2893" s="16" t="s">
        <v>9433</v>
      </c>
      <c r="F2893" s="27" t="s">
        <v>11855</v>
      </c>
      <c r="G2893" s="27"/>
      <c r="H2893" s="16" t="str">
        <f>IF(ISBLANK(PARTIDAS!$G2893),PARTIDAS!$F2893,CONCATENATE(PARTIDAS!$F2893," (",PARTIDAS!$G2893,")"))</f>
        <v>Sales de aminas grasas</v>
      </c>
      <c r="I2893" s="16" t="s">
        <v>9648</v>
      </c>
    </row>
    <row r="2894" spans="1:9" x14ac:dyDescent="0.25">
      <c r="A2894" s="16" t="s">
        <v>3836</v>
      </c>
      <c r="B2894" s="16" t="str">
        <f>TEXT(PARTIDA[[#This Row],[PARTIDA]],"0000000000")</f>
        <v>3402129000</v>
      </c>
      <c r="C2894" s="16" t="s">
        <v>786</v>
      </c>
      <c r="D2894" s="16" t="s">
        <v>787</v>
      </c>
      <c r="E2894" s="16" t="s">
        <v>9433</v>
      </c>
      <c r="F2894" s="27" t="s">
        <v>11854</v>
      </c>
      <c r="G2894" s="27"/>
      <c r="H2894" s="16" t="str">
        <f>IF(ISBLANK(PARTIDAS!$G2894),PARTIDAS!$F2894,CONCATENATE(PARTIDAS!$F2894," (",PARTIDAS!$G2894,")"))</f>
        <v>Agentes de superficie orgánicos (excepto el jabón); preparaciones tens (los demás)</v>
      </c>
      <c r="I2894" s="16" t="s">
        <v>9648</v>
      </c>
    </row>
    <row r="2895" spans="1:9" x14ac:dyDescent="0.25">
      <c r="A2895" s="16" t="s">
        <v>3837</v>
      </c>
      <c r="B2895" s="16" t="str">
        <f>TEXT(PARTIDA[[#This Row],[PARTIDA]],"0000000000")</f>
        <v>3402131000</v>
      </c>
      <c r="C2895" s="16" t="s">
        <v>786</v>
      </c>
      <c r="D2895" s="16" t="s">
        <v>787</v>
      </c>
      <c r="E2895" s="16" t="s">
        <v>9433</v>
      </c>
      <c r="F2895" s="27" t="s">
        <v>11856</v>
      </c>
      <c r="G2895" s="27"/>
      <c r="H2895" s="16" t="str">
        <f>IF(ISBLANK(PARTIDAS!$G2895),PARTIDAS!$F2895,CONCATENATE(PARTIDAS!$F2895," (",PARTIDAS!$G2895,")"))</f>
        <v>Obtenidos por condensación del óxido de etileno con mezclas de alcoholes lineales de once carbones o más</v>
      </c>
      <c r="I2895" s="16" t="s">
        <v>9648</v>
      </c>
    </row>
    <row r="2896" spans="1:9" x14ac:dyDescent="0.25">
      <c r="A2896" s="16" t="s">
        <v>3838</v>
      </c>
      <c r="B2896" s="16" t="str">
        <f>TEXT(PARTIDA[[#This Row],[PARTIDA]],"0000000000")</f>
        <v>3402139000</v>
      </c>
      <c r="C2896" s="16" t="s">
        <v>786</v>
      </c>
      <c r="D2896" s="16" t="s">
        <v>787</v>
      </c>
      <c r="E2896" s="16" t="s">
        <v>9433</v>
      </c>
      <c r="F2896" s="27" t="s">
        <v>11854</v>
      </c>
      <c r="G2896" s="27"/>
      <c r="H2896" s="16" t="str">
        <f>IF(ISBLANK(PARTIDAS!$G2896),PARTIDAS!$F2896,CONCATENATE(PARTIDAS!$F2896," (",PARTIDAS!$G2896,")"))</f>
        <v>Agentes de superficie orgánicos (excepto el jabón); preparaciones tens (los demás)</v>
      </c>
      <c r="I2896" s="16" t="s">
        <v>9648</v>
      </c>
    </row>
    <row r="2897" spans="1:9" x14ac:dyDescent="0.25">
      <c r="A2897" s="16" t="s">
        <v>3839</v>
      </c>
      <c r="B2897" s="16" t="str">
        <f>TEXT(PARTIDA[[#This Row],[PARTIDA]],"0000000000")</f>
        <v>3402191000</v>
      </c>
      <c r="C2897" s="16" t="s">
        <v>786</v>
      </c>
      <c r="D2897" s="16" t="s">
        <v>787</v>
      </c>
      <c r="E2897" s="16" t="s">
        <v>9433</v>
      </c>
      <c r="F2897" s="27" t="s">
        <v>11857</v>
      </c>
      <c r="G2897" s="27"/>
      <c r="H2897" s="16" t="str">
        <f>IF(ISBLANK(PARTIDAS!$G2897),PARTIDAS!$F2897,CONCATENATE(PARTIDAS!$F2897," (",PARTIDAS!$G2897,")"))</f>
        <v>Proteínas alquilbetaínicas o sulfobetaínicas</v>
      </c>
      <c r="I2897" s="16" t="s">
        <v>9648</v>
      </c>
    </row>
    <row r="2898" spans="1:9" x14ac:dyDescent="0.25">
      <c r="A2898" s="16" t="s">
        <v>3840</v>
      </c>
      <c r="B2898" s="16" t="str">
        <f>TEXT(PARTIDA[[#This Row],[PARTIDA]],"0000000000")</f>
        <v>3402199000</v>
      </c>
      <c r="C2898" s="16" t="s">
        <v>786</v>
      </c>
      <c r="D2898" s="16" t="s">
        <v>787</v>
      </c>
      <c r="E2898" s="16" t="s">
        <v>9433</v>
      </c>
      <c r="F2898" s="27" t="s">
        <v>11854</v>
      </c>
      <c r="G2898" s="27"/>
      <c r="H2898" s="16" t="str">
        <f>IF(ISBLANK(PARTIDAS!$G2898),PARTIDAS!$F2898,CONCATENATE(PARTIDAS!$F2898," (",PARTIDAS!$G2898,")"))</f>
        <v>Agentes de superficie orgánicos (excepto el jabón); preparaciones tens (los demás)</v>
      </c>
      <c r="I2898" s="16" t="s">
        <v>9648</v>
      </c>
    </row>
    <row r="2899" spans="1:9" x14ac:dyDescent="0.25">
      <c r="A2899" s="16" t="s">
        <v>3841</v>
      </c>
      <c r="B2899" s="16" t="str">
        <f>TEXT(PARTIDA[[#This Row],[PARTIDA]],"0000000000")</f>
        <v>3402200000</v>
      </c>
      <c r="C2899" s="16" t="s">
        <v>786</v>
      </c>
      <c r="D2899" s="16" t="s">
        <v>787</v>
      </c>
      <c r="E2899" s="16" t="s">
        <v>9433</v>
      </c>
      <c r="F2899" s="27" t="s">
        <v>9357</v>
      </c>
      <c r="G2899" s="27"/>
      <c r="H2899" s="16" t="str">
        <f>IF(ISBLANK(PARTIDAS!$G2899),PARTIDAS!$F2899,CONCATENATE(PARTIDAS!$F2899," (",PARTIDAS!$G2899,")"))</f>
        <v>Preparaciones acondicionadas para la venta al por menor</v>
      </c>
      <c r="I2899" s="16" t="s">
        <v>9648</v>
      </c>
    </row>
    <row r="2900" spans="1:9" x14ac:dyDescent="0.25">
      <c r="A2900" s="16" t="s">
        <v>11858</v>
      </c>
      <c r="B2900" s="16" t="str">
        <f>TEXT(PARTIDA[[#This Row],[PARTIDA]],"0000000000")</f>
        <v>3402310000</v>
      </c>
      <c r="C2900" s="16" t="s">
        <v>786</v>
      </c>
      <c r="D2900" s="16" t="s">
        <v>787</v>
      </c>
      <c r="E2900" s="16" t="s">
        <v>9433</v>
      </c>
      <c r="F2900" s="27" t="s">
        <v>11859</v>
      </c>
      <c r="G2900" s="27"/>
      <c r="H2900" s="16" t="str">
        <f>IF(ISBLANK(PARTIDAS!$G2900),PARTIDAS!$F2900,CONCATENATE(PARTIDAS!$F2900," (",PARTIDAS!$G2900,")"))</f>
        <v>Ácidos alquilbenceno sulfónicos lineales y sus sales</v>
      </c>
      <c r="I2900" s="16" t="s">
        <v>9427</v>
      </c>
    </row>
    <row r="2901" spans="1:9" x14ac:dyDescent="0.25">
      <c r="A2901" s="16" t="s">
        <v>11860</v>
      </c>
      <c r="B2901" s="16" t="str">
        <f>TEXT(PARTIDA[[#This Row],[PARTIDA]],"0000000000")</f>
        <v>3402391000</v>
      </c>
      <c r="C2901" s="16" t="s">
        <v>786</v>
      </c>
      <c r="D2901" s="16" t="s">
        <v>787</v>
      </c>
      <c r="E2901" s="16" t="s">
        <v>9433</v>
      </c>
      <c r="F2901" s="27" t="s">
        <v>11853</v>
      </c>
      <c r="G2901" s="27"/>
      <c r="H2901" s="16" t="str">
        <f>IF(ISBLANK(PARTIDAS!$G2901),PARTIDAS!$F2901,CONCATENATE(PARTIDAS!$F2901," (",PARTIDAS!$G2901,")"))</f>
        <v>Sulfatos o sulfonatos de alcoholes grasos</v>
      </c>
      <c r="I2901" s="16" t="s">
        <v>9427</v>
      </c>
    </row>
    <row r="2902" spans="1:9" x14ac:dyDescent="0.25">
      <c r="A2902" s="16" t="s">
        <v>11861</v>
      </c>
      <c r="B2902" s="16" t="str">
        <f>TEXT(PARTIDA[[#This Row],[PARTIDA]],"0000000000")</f>
        <v>3402399000</v>
      </c>
      <c r="C2902" s="16" t="s">
        <v>786</v>
      </c>
      <c r="D2902" s="16" t="s">
        <v>787</v>
      </c>
      <c r="E2902" s="16" t="s">
        <v>9433</v>
      </c>
      <c r="F2902" s="27" t="s">
        <v>11862</v>
      </c>
      <c r="G2902" s="27"/>
      <c r="H2902" s="16" t="str">
        <f>IF(ISBLANK(PARTIDAS!$G2902),PARTIDAS!$F2902,CONCATENATE(PARTIDAS!$F2902," (",PARTIDAS!$G2902,")"))</f>
        <v>Agentes de superficie orgánicos aniónicos, incluso acondicionados… (los demás)</v>
      </c>
      <c r="I2902" s="16" t="s">
        <v>9427</v>
      </c>
    </row>
    <row r="2903" spans="1:9" x14ac:dyDescent="0.25">
      <c r="A2903" s="16" t="s">
        <v>11863</v>
      </c>
      <c r="B2903" s="16" t="str">
        <f>TEXT(PARTIDA[[#This Row],[PARTIDA]],"0000000000")</f>
        <v>3402411000</v>
      </c>
      <c r="C2903" s="16" t="s">
        <v>786</v>
      </c>
      <c r="D2903" s="16" t="s">
        <v>787</v>
      </c>
      <c r="E2903" s="16" t="s">
        <v>9433</v>
      </c>
      <c r="F2903" s="27" t="s">
        <v>11855</v>
      </c>
      <c r="G2903" s="27"/>
      <c r="H2903" s="16" t="str">
        <f>IF(ISBLANK(PARTIDAS!$G2903),PARTIDAS!$F2903,CONCATENATE(PARTIDAS!$F2903," (",PARTIDAS!$G2903,")"))</f>
        <v>Sales de aminas grasas</v>
      </c>
      <c r="I2903" s="16" t="s">
        <v>9427</v>
      </c>
    </row>
    <row r="2904" spans="1:9" x14ac:dyDescent="0.25">
      <c r="A2904" s="16" t="s">
        <v>11864</v>
      </c>
      <c r="B2904" s="16" t="str">
        <f>TEXT(PARTIDA[[#This Row],[PARTIDA]],"0000000000")</f>
        <v>3402419000</v>
      </c>
      <c r="C2904" s="16" t="s">
        <v>786</v>
      </c>
      <c r="D2904" s="16" t="s">
        <v>787</v>
      </c>
      <c r="E2904" s="16" t="s">
        <v>9433</v>
      </c>
      <c r="F2904" s="27" t="s">
        <v>11865</v>
      </c>
      <c r="G2904" s="27"/>
      <c r="H2904" s="16" t="str">
        <f>IF(ISBLANK(PARTIDAS!$G2904),PARTIDAS!$F2904,CONCATENATE(PARTIDAS!$F2904," (",PARTIDAS!$G2904,")"))</f>
        <v>Catiónicos (los demás)</v>
      </c>
      <c r="I2904" s="16" t="s">
        <v>9427</v>
      </c>
    </row>
    <row r="2905" spans="1:9" x14ac:dyDescent="0.25">
      <c r="A2905" s="16" t="s">
        <v>11866</v>
      </c>
      <c r="B2905" s="16" t="str">
        <f>TEXT(PARTIDA[[#This Row],[PARTIDA]],"0000000000")</f>
        <v>3402421000</v>
      </c>
      <c r="C2905" s="16" t="s">
        <v>786</v>
      </c>
      <c r="D2905" s="16" t="s">
        <v>787</v>
      </c>
      <c r="E2905" s="16" t="s">
        <v>9433</v>
      </c>
      <c r="F2905" s="27" t="s">
        <v>11856</v>
      </c>
      <c r="G2905" s="27"/>
      <c r="H2905" s="16" t="str">
        <f>IF(ISBLANK(PARTIDAS!$G2905),PARTIDAS!$F2905,CONCATENATE(PARTIDAS!$F2905," (",PARTIDAS!$G2905,")"))</f>
        <v>Obtenidos por condensación del óxido de etileno con mezclas de alcoholes lineales de once carbones o más</v>
      </c>
      <c r="I2905" s="16" t="s">
        <v>9427</v>
      </c>
    </row>
    <row r="2906" spans="1:9" x14ac:dyDescent="0.25">
      <c r="A2906" s="16" t="s">
        <v>11867</v>
      </c>
      <c r="B2906" s="16" t="str">
        <f>TEXT(PARTIDA[[#This Row],[PARTIDA]],"0000000000")</f>
        <v>3402429000</v>
      </c>
      <c r="C2906" s="16" t="s">
        <v>786</v>
      </c>
      <c r="D2906" s="16" t="s">
        <v>787</v>
      </c>
      <c r="E2906" s="16" t="s">
        <v>9433</v>
      </c>
      <c r="F2906" s="27" t="s">
        <v>11868</v>
      </c>
      <c r="G2906" s="27"/>
      <c r="H2906" s="16" t="str">
        <f>IF(ISBLANK(PARTIDAS!$G2906),PARTIDAS!$F2906,CONCATENATE(PARTIDAS!$F2906," (",PARTIDAS!$G2906,")"))</f>
        <v>No iónicos (los demás)</v>
      </c>
      <c r="I2906" s="16" t="s">
        <v>9427</v>
      </c>
    </row>
    <row r="2907" spans="1:9" x14ac:dyDescent="0.25">
      <c r="A2907" s="16" t="s">
        <v>11869</v>
      </c>
      <c r="B2907" s="16" t="str">
        <f>TEXT(PARTIDA[[#This Row],[PARTIDA]],"0000000000")</f>
        <v>3402491000</v>
      </c>
      <c r="C2907" s="16" t="s">
        <v>786</v>
      </c>
      <c r="D2907" s="16" t="s">
        <v>787</v>
      </c>
      <c r="E2907" s="16" t="s">
        <v>9433</v>
      </c>
      <c r="F2907" s="27" t="s">
        <v>11857</v>
      </c>
      <c r="G2907" s="27"/>
      <c r="H2907" s="16" t="str">
        <f>IF(ISBLANK(PARTIDAS!$G2907),PARTIDAS!$F2907,CONCATENATE(PARTIDAS!$F2907," (",PARTIDAS!$G2907,")"))</f>
        <v>Proteínas alquilbetaínicas o sulfobetaínicas</v>
      </c>
      <c r="I2907" s="16" t="s">
        <v>9427</v>
      </c>
    </row>
    <row r="2908" spans="1:9" x14ac:dyDescent="0.25">
      <c r="A2908" s="16" t="s">
        <v>11870</v>
      </c>
      <c r="B2908" s="16" t="str">
        <f>TEXT(PARTIDA[[#This Row],[PARTIDA]],"0000000000")</f>
        <v>3402499000</v>
      </c>
      <c r="C2908" s="16" t="s">
        <v>786</v>
      </c>
      <c r="D2908" s="16" t="s">
        <v>787</v>
      </c>
      <c r="E2908" s="16" t="s">
        <v>9433</v>
      </c>
      <c r="F2908" s="27" t="s">
        <v>11871</v>
      </c>
      <c r="G2908" s="27"/>
      <c r="H2908" s="16" t="str">
        <f>IF(ISBLANK(PARTIDAS!$G2908),PARTIDAS!$F2908,CONCATENATE(PARTIDAS!$F2908," (",PARTIDAS!$G2908,")"))</f>
        <v>Agentes de superficie orgánicos (los demás)</v>
      </c>
      <c r="I2908" s="16" t="s">
        <v>9427</v>
      </c>
    </row>
    <row r="2909" spans="1:9" x14ac:dyDescent="0.25">
      <c r="A2909" s="16" t="s">
        <v>9117</v>
      </c>
      <c r="B2909" s="16" t="str">
        <f>TEXT(PARTIDA[[#This Row],[PARTIDA]],"0000000000")</f>
        <v>3402500000</v>
      </c>
      <c r="C2909" s="16" t="s">
        <v>786</v>
      </c>
      <c r="D2909" s="16" t="s">
        <v>787</v>
      </c>
      <c r="E2909" s="16" t="s">
        <v>9433</v>
      </c>
      <c r="F2909" s="27" t="s">
        <v>9357</v>
      </c>
      <c r="G2909" s="27"/>
      <c r="H2909" s="16" t="str">
        <f>IF(ISBLANK(PARTIDAS!$G2909),PARTIDAS!$F2909,CONCATENATE(PARTIDAS!$F2909," (",PARTIDAS!$G2909,")"))</f>
        <v>Preparaciones acondicionadas para la venta al por menor</v>
      </c>
      <c r="I2909" s="16" t="s">
        <v>9477</v>
      </c>
    </row>
    <row r="2910" spans="1:9" x14ac:dyDescent="0.25">
      <c r="A2910" s="16" t="s">
        <v>3842</v>
      </c>
      <c r="B2910" s="16" t="str">
        <f>TEXT(PARTIDA[[#This Row],[PARTIDA]],"0000000000")</f>
        <v>3402901000</v>
      </c>
      <c r="C2910" s="16" t="s">
        <v>786</v>
      </c>
      <c r="D2910" s="16" t="s">
        <v>787</v>
      </c>
      <c r="E2910" s="16" t="s">
        <v>9433</v>
      </c>
      <c r="F2910" s="27" t="s">
        <v>11872</v>
      </c>
      <c r="G2910" s="27"/>
      <c r="H2910" s="16" t="str">
        <f>IF(ISBLANK(PARTIDAS!$G2910),PARTIDAS!$F2910,CONCATENATE(PARTIDAS!$F2910," (",PARTIDAS!$G2910,")"))</f>
        <v>Detergentes para la industria textil</v>
      </c>
      <c r="I2910" s="16" t="s">
        <v>9427</v>
      </c>
    </row>
    <row r="2911" spans="1:9" x14ac:dyDescent="0.25">
      <c r="A2911" s="16" t="s">
        <v>3843</v>
      </c>
      <c r="B2911" s="16" t="str">
        <f>TEXT(PARTIDA[[#This Row],[PARTIDA]],"0000000000")</f>
        <v>3402909100</v>
      </c>
      <c r="C2911" s="16" t="s">
        <v>786</v>
      </c>
      <c r="D2911" s="16" t="s">
        <v>787</v>
      </c>
      <c r="E2911" s="16" t="s">
        <v>9433</v>
      </c>
      <c r="F2911" s="27" t="s">
        <v>11873</v>
      </c>
      <c r="G2911" s="27"/>
      <c r="H2911" s="16" t="str">
        <f>IF(ISBLANK(PARTIDAS!$G2911),PARTIDAS!$F2911,CONCATENATE(PARTIDAS!$F2911," (",PARTIDAS!$G2911,")"))</f>
        <v>Preparaciones tensoactivas a base de nonyl oxibenceno sulfonato de sodio</v>
      </c>
      <c r="I2911" s="16" t="s">
        <v>9427</v>
      </c>
    </row>
    <row r="2912" spans="1:9" x14ac:dyDescent="0.25">
      <c r="A2912" s="16" t="s">
        <v>3844</v>
      </c>
      <c r="B2912" s="16" t="str">
        <f>TEXT(PARTIDA[[#This Row],[PARTIDA]],"0000000000")</f>
        <v>3402909900</v>
      </c>
      <c r="C2912" s="16" t="s">
        <v>786</v>
      </c>
      <c r="D2912" s="16" t="s">
        <v>787</v>
      </c>
      <c r="E2912" s="16" t="s">
        <v>9433</v>
      </c>
      <c r="F2912" s="27" t="s">
        <v>3845</v>
      </c>
      <c r="G2912" s="27"/>
      <c r="H2912" s="16" t="str">
        <f>IF(ISBLANK(PARTIDAS!$G2912),PARTIDAS!$F2912,CONCATENATE(PARTIDAS!$F2912," (",PARTIDAS!$G2912,")"))</f>
        <v>Productos de limpieza</v>
      </c>
      <c r="I2912" s="16" t="s">
        <v>9427</v>
      </c>
    </row>
    <row r="2913" spans="1:9" x14ac:dyDescent="0.25">
      <c r="A2913" s="16" t="s">
        <v>3846</v>
      </c>
      <c r="B2913" s="16" t="str">
        <f>TEXT(PARTIDA[[#This Row],[PARTIDA]],"0000000000")</f>
        <v>3403110000</v>
      </c>
      <c r="C2913" s="16" t="s">
        <v>815</v>
      </c>
      <c r="D2913" s="16" t="s">
        <v>835</v>
      </c>
      <c r="E2913" s="16" t="s">
        <v>9467</v>
      </c>
      <c r="F2913" s="27" t="s">
        <v>11874</v>
      </c>
      <c r="G2913" s="27"/>
      <c r="H2913" s="16" t="str">
        <f>IF(ISBLANK(PARTIDAS!$G2913),PARTIDAS!$F2913,CONCATENATE(PARTIDAS!$F2913," (",PARTIDAS!$G2913,")"))</f>
        <v>Preparaciones para el tratamiento de materias textiles, cueros y pieles, peletería u otras materias</v>
      </c>
      <c r="I2913" s="16" t="s">
        <v>9427</v>
      </c>
    </row>
    <row r="2914" spans="1:9" x14ac:dyDescent="0.25">
      <c r="A2914" s="16" t="s">
        <v>3847</v>
      </c>
      <c r="B2914" s="16" t="str">
        <f>TEXT(PARTIDA[[#This Row],[PARTIDA]],"0000000000")</f>
        <v>3403190000</v>
      </c>
      <c r="C2914" s="16" t="s">
        <v>815</v>
      </c>
      <c r="D2914" s="16" t="s">
        <v>835</v>
      </c>
      <c r="E2914" s="16" t="s">
        <v>9467</v>
      </c>
      <c r="F2914" s="27" t="s">
        <v>3848</v>
      </c>
      <c r="G2914" s="27" t="s">
        <v>1472</v>
      </c>
      <c r="H2914" s="16" t="str">
        <f>IF(ISBLANK(PARTIDAS!$G2914),PARTIDAS!$F2914,CONCATENATE(PARTIDAS!$F2914," (",PARTIDAS!$G2914,")"))</f>
        <v>Lubricante (Verificar)</v>
      </c>
      <c r="I2914" s="16" t="s">
        <v>9427</v>
      </c>
    </row>
    <row r="2915" spans="1:9" x14ac:dyDescent="0.25">
      <c r="A2915" s="16" t="s">
        <v>3849</v>
      </c>
      <c r="B2915" s="16" t="str">
        <f>TEXT(PARTIDA[[#This Row],[PARTIDA]],"0000000000")</f>
        <v>3403910000</v>
      </c>
      <c r="C2915" s="16" t="s">
        <v>815</v>
      </c>
      <c r="D2915" s="16" t="s">
        <v>835</v>
      </c>
      <c r="E2915" s="16" t="s">
        <v>9467</v>
      </c>
      <c r="F2915" s="27" t="s">
        <v>11874</v>
      </c>
      <c r="G2915" s="27"/>
      <c r="H2915" s="16" t="str">
        <f>IF(ISBLANK(PARTIDAS!$G2915),PARTIDAS!$F2915,CONCATENATE(PARTIDAS!$F2915," (",PARTIDAS!$G2915,")"))</f>
        <v>Preparaciones para el tratamiento de materias textiles, cueros y pieles, peletería u otras materias</v>
      </c>
      <c r="I2915" s="16" t="s">
        <v>9427</v>
      </c>
    </row>
    <row r="2916" spans="1:9" x14ac:dyDescent="0.25">
      <c r="A2916" s="16" t="s">
        <v>3850</v>
      </c>
      <c r="B2916" s="16" t="str">
        <f>TEXT(PARTIDA[[#This Row],[PARTIDA]],"0000000000")</f>
        <v>3403990000</v>
      </c>
      <c r="C2916" s="16" t="s">
        <v>815</v>
      </c>
      <c r="D2916" s="16" t="s">
        <v>835</v>
      </c>
      <c r="E2916" s="16" t="s">
        <v>9467</v>
      </c>
      <c r="F2916" s="27" t="s">
        <v>3845</v>
      </c>
      <c r="G2916" s="27"/>
      <c r="H2916" s="16" t="str">
        <f>IF(ISBLANK(PARTIDAS!$G2916),PARTIDAS!$F2916,CONCATENATE(PARTIDAS!$F2916," (",PARTIDAS!$G2916,")"))</f>
        <v>Productos de limpieza</v>
      </c>
      <c r="I2916" s="16" t="s">
        <v>9427</v>
      </c>
    </row>
    <row r="2917" spans="1:9" x14ac:dyDescent="0.25">
      <c r="A2917" s="16" t="s">
        <v>3851</v>
      </c>
      <c r="B2917" s="16" t="str">
        <f>TEXT(PARTIDA[[#This Row],[PARTIDA]],"0000000000")</f>
        <v>3404200000</v>
      </c>
      <c r="C2917" s="16" t="s">
        <v>815</v>
      </c>
      <c r="D2917" s="16" t="s">
        <v>835</v>
      </c>
      <c r="E2917" s="16" t="s">
        <v>9467</v>
      </c>
      <c r="F2917" s="27" t="s">
        <v>11875</v>
      </c>
      <c r="G2917" s="27"/>
      <c r="H2917" s="16" t="str">
        <f>IF(ISBLANK(PARTIDAS!$G2917),PARTIDAS!$F2917,CONCATENATE(PARTIDAS!$F2917," (",PARTIDAS!$G2917,")"))</f>
        <v>Ceras artificiales y ceras preparadas, de poli(oxietileno) (polietilenglicol)</v>
      </c>
      <c r="I2917" s="16" t="s">
        <v>9427</v>
      </c>
    </row>
    <row r="2918" spans="1:9" x14ac:dyDescent="0.25">
      <c r="A2918" s="16" t="s">
        <v>3852</v>
      </c>
      <c r="B2918" s="16" t="str">
        <f>TEXT(PARTIDA[[#This Row],[PARTIDA]],"0000000000")</f>
        <v>3404903000</v>
      </c>
      <c r="C2918" s="16" t="s">
        <v>815</v>
      </c>
      <c r="D2918" s="16" t="s">
        <v>835</v>
      </c>
      <c r="E2918" s="16" t="s">
        <v>9467</v>
      </c>
      <c r="F2918" s="27" t="s">
        <v>11876</v>
      </c>
      <c r="G2918" s="27"/>
      <c r="H2918" s="16" t="str">
        <f>IF(ISBLANK(PARTIDAS!$G2918),PARTIDAS!$F2918,CONCATENATE(PARTIDAS!$F2918," (",PARTIDAS!$G2918,")"))</f>
        <v>Ceras artificiales y ceras preparadas, de lignito modificado químicamente</v>
      </c>
      <c r="I2918" s="16" t="s">
        <v>9427</v>
      </c>
    </row>
    <row r="2919" spans="1:9" x14ac:dyDescent="0.25">
      <c r="A2919" s="16" t="s">
        <v>3853</v>
      </c>
      <c r="B2919" s="16" t="str">
        <f>TEXT(PARTIDA[[#This Row],[PARTIDA]],"0000000000")</f>
        <v>3404904010</v>
      </c>
      <c r="C2919" s="16" t="s">
        <v>815</v>
      </c>
      <c r="D2919" s="16" t="s">
        <v>835</v>
      </c>
      <c r="E2919" s="16" t="s">
        <v>9467</v>
      </c>
      <c r="F2919" s="27" t="s">
        <v>11877</v>
      </c>
      <c r="G2919" s="27"/>
      <c r="H2919" s="16" t="str">
        <f>IF(ISBLANK(PARTIDAS!$G2919),PARTIDAS!$F2919,CONCATENATE(PARTIDAS!$F2919," (",PARTIDAS!$G2919,")"))</f>
        <v>Ceras artificiales y ceras preparadas, de polietileno, artificiales</v>
      </c>
      <c r="I2919" s="16" t="s">
        <v>9427</v>
      </c>
    </row>
    <row r="2920" spans="1:9" x14ac:dyDescent="0.25">
      <c r="A2920" s="16" t="s">
        <v>3854</v>
      </c>
      <c r="B2920" s="16" t="str">
        <f>TEXT(PARTIDA[[#This Row],[PARTIDA]],"0000000000")</f>
        <v>3404904020</v>
      </c>
      <c r="C2920" s="16" t="s">
        <v>815</v>
      </c>
      <c r="D2920" s="16" t="s">
        <v>835</v>
      </c>
      <c r="E2920" s="16" t="s">
        <v>9467</v>
      </c>
      <c r="F2920" s="27" t="s">
        <v>11878</v>
      </c>
      <c r="G2920" s="27"/>
      <c r="H2920" s="16" t="str">
        <f>IF(ISBLANK(PARTIDAS!$G2920),PARTIDAS!$F2920,CONCATENATE(PARTIDAS!$F2920," (",PARTIDAS!$G2920,")"))</f>
        <v>Ceras artificiales y ceras preparadas, de polietileno, preparadas</v>
      </c>
      <c r="I2920" s="16" t="s">
        <v>9427</v>
      </c>
    </row>
    <row r="2921" spans="1:9" x14ac:dyDescent="0.25">
      <c r="A2921" s="16" t="s">
        <v>3855</v>
      </c>
      <c r="B2921" s="16" t="str">
        <f>TEXT(PARTIDA[[#This Row],[PARTIDA]],"0000000000")</f>
        <v>3404909010</v>
      </c>
      <c r="C2921" s="16" t="s">
        <v>815</v>
      </c>
      <c r="D2921" s="16" t="s">
        <v>835</v>
      </c>
      <c r="E2921" s="16" t="s">
        <v>9467</v>
      </c>
      <c r="F2921" s="27" t="s">
        <v>11879</v>
      </c>
      <c r="G2921" s="27"/>
      <c r="H2921" s="16" t="str">
        <f>IF(ISBLANK(PARTIDAS!$G2921),PARTIDAS!$F2921,CONCATENATE(PARTIDAS!$F2921," (",PARTIDAS!$G2921,")"))</f>
        <v>Ceras artificiales y ceras preparadas, artificiales</v>
      </c>
      <c r="I2921" s="16" t="s">
        <v>9427</v>
      </c>
    </row>
    <row r="2922" spans="1:9" x14ac:dyDescent="0.25">
      <c r="A2922" s="16" t="s">
        <v>3856</v>
      </c>
      <c r="B2922" s="16" t="str">
        <f>TEXT(PARTIDA[[#This Row],[PARTIDA]],"0000000000")</f>
        <v>3404909020</v>
      </c>
      <c r="C2922" s="16" t="s">
        <v>815</v>
      </c>
      <c r="D2922" s="16" t="s">
        <v>835</v>
      </c>
      <c r="E2922" s="16" t="s">
        <v>9467</v>
      </c>
      <c r="F2922" s="27" t="s">
        <v>11880</v>
      </c>
      <c r="G2922" s="27"/>
      <c r="H2922" s="16" t="str">
        <f>IF(ISBLANK(PARTIDAS!$G2922),PARTIDAS!$F2922,CONCATENATE(PARTIDAS!$F2922," (",PARTIDAS!$G2922,")"))</f>
        <v>Ceras artificiales y ceras preparadas, preparadas</v>
      </c>
      <c r="I2922" s="16" t="s">
        <v>9427</v>
      </c>
    </row>
    <row r="2923" spans="1:9" x14ac:dyDescent="0.25">
      <c r="A2923" s="16" t="s">
        <v>3857</v>
      </c>
      <c r="B2923" s="16" t="str">
        <f>TEXT(PARTIDA[[#This Row],[PARTIDA]],"0000000000")</f>
        <v>3405100000</v>
      </c>
      <c r="C2923" s="16" t="s">
        <v>786</v>
      </c>
      <c r="D2923" s="16" t="s">
        <v>787</v>
      </c>
      <c r="E2923" s="16" t="s">
        <v>9433</v>
      </c>
      <c r="F2923" s="27" t="s">
        <v>11881</v>
      </c>
      <c r="G2923" s="27"/>
      <c r="H2923" s="16" t="str">
        <f>IF(ISBLANK(PARTIDAS!$G2923),PARTIDAS!$F2923,CONCATENATE(PARTIDAS!$F2923," (",PARTIDAS!$G2923,")"))</f>
        <v>Betunes, cremas y preparaciones similares para el calzado o para cueros y pieles</v>
      </c>
      <c r="I2923" s="16" t="s">
        <v>9427</v>
      </c>
    </row>
    <row r="2924" spans="1:9" x14ac:dyDescent="0.25">
      <c r="A2924" s="16" t="s">
        <v>3858</v>
      </c>
      <c r="B2924" s="16" t="str">
        <f>TEXT(PARTIDA[[#This Row],[PARTIDA]],"0000000000")</f>
        <v>3405200000</v>
      </c>
      <c r="C2924" s="16" t="s">
        <v>786</v>
      </c>
      <c r="D2924" s="16" t="s">
        <v>787</v>
      </c>
      <c r="E2924" s="16" t="s">
        <v>9433</v>
      </c>
      <c r="F2924" s="27" t="s">
        <v>11882</v>
      </c>
      <c r="G2924" s="27"/>
      <c r="H2924" s="16" t="str">
        <f>IF(ISBLANK(PARTIDAS!$G2924),PARTIDAS!$F2924,CONCATENATE(PARTIDAS!$F2924," (",PARTIDAS!$G2924,")"))</f>
        <v>Encáusticos y preparaciones similares para la conservación de muebles de madera, parqués u otras manufacturas de madera</v>
      </c>
      <c r="I2924" s="16" t="s">
        <v>9427</v>
      </c>
    </row>
    <row r="2925" spans="1:9" x14ac:dyDescent="0.25">
      <c r="A2925" s="16" t="s">
        <v>3859</v>
      </c>
      <c r="B2925" s="16" t="str">
        <f>TEXT(PARTIDA[[#This Row],[PARTIDA]],"0000000000")</f>
        <v>3405300000</v>
      </c>
      <c r="C2925" s="16" t="s">
        <v>786</v>
      </c>
      <c r="D2925" s="16" t="s">
        <v>787</v>
      </c>
      <c r="E2925" s="16" t="s">
        <v>9433</v>
      </c>
      <c r="F2925" s="27" t="s">
        <v>11883</v>
      </c>
      <c r="G2925" s="27"/>
      <c r="H2925" s="16" t="str">
        <f>IF(ISBLANK(PARTIDAS!$G2925),PARTIDAS!$F2925,CONCATENATE(PARTIDAS!$F2925," (",PARTIDAS!$G2925,")"))</f>
        <v>Abrillantadores (lustres) y preparaciones similares para carrocerías, excepto las preparaciones para lustrar metal</v>
      </c>
      <c r="I2925" s="16" t="s">
        <v>9427</v>
      </c>
    </row>
    <row r="2926" spans="1:9" x14ac:dyDescent="0.25">
      <c r="A2926" s="16" t="s">
        <v>3860</v>
      </c>
      <c r="B2926" s="16" t="str">
        <f>TEXT(PARTIDA[[#This Row],[PARTIDA]],"0000000000")</f>
        <v>3405400000</v>
      </c>
      <c r="C2926" s="16" t="s">
        <v>786</v>
      </c>
      <c r="D2926" s="16" t="s">
        <v>787</v>
      </c>
      <c r="E2926" s="16" t="s">
        <v>9433</v>
      </c>
      <c r="F2926" s="27" t="s">
        <v>11884</v>
      </c>
      <c r="G2926" s="27"/>
      <c r="H2926" s="16" t="str">
        <f>IF(ISBLANK(PARTIDAS!$G2926),PARTIDAS!$F2926,CONCATENATE(PARTIDAS!$F2926," (",PARTIDAS!$G2926,")"))</f>
        <v>Pastas, polvos y demás preparaciones para fregar</v>
      </c>
      <c r="I2926" s="16" t="s">
        <v>9427</v>
      </c>
    </row>
    <row r="2927" spans="1:9" x14ac:dyDescent="0.25">
      <c r="A2927" s="16" t="s">
        <v>3861</v>
      </c>
      <c r="B2927" s="16" t="str">
        <f>TEXT(PARTIDA[[#This Row],[PARTIDA]],"0000000000")</f>
        <v>3405900000</v>
      </c>
      <c r="C2927" s="16" t="s">
        <v>786</v>
      </c>
      <c r="D2927" s="16" t="s">
        <v>787</v>
      </c>
      <c r="E2927" s="16" t="s">
        <v>9433</v>
      </c>
      <c r="F2927" s="27" t="s">
        <v>11885</v>
      </c>
      <c r="G2927" s="27"/>
      <c r="H2927" s="16" t="str">
        <f>IF(ISBLANK(PARTIDAS!$G2927),PARTIDAS!$F2927,CONCATENATE(PARTIDAS!$F2927," (",PARTIDAS!$G2927,")"))</f>
        <v>Betunes y cremas para el calzado, encáusticos, abrillantadores… (los demás)</v>
      </c>
      <c r="I2927" s="16" t="s">
        <v>9427</v>
      </c>
    </row>
    <row r="2928" spans="1:9" x14ac:dyDescent="0.25">
      <c r="A2928" s="16" t="s">
        <v>3862</v>
      </c>
      <c r="B2928" s="16" t="str">
        <f>TEXT(PARTIDA[[#This Row],[PARTIDA]],"0000000000")</f>
        <v>3406000000</v>
      </c>
      <c r="C2928" s="16" t="s">
        <v>786</v>
      </c>
      <c r="D2928" s="16" t="s">
        <v>787</v>
      </c>
      <c r="E2928" s="16" t="s">
        <v>9433</v>
      </c>
      <c r="F2928" s="27" t="s">
        <v>3863</v>
      </c>
      <c r="G2928" s="27"/>
      <c r="H2928" s="16" t="str">
        <f>IF(ISBLANK(PARTIDAS!$G2928),PARTIDAS!$F2928,CONCATENATE(PARTIDAS!$F2928," (",PARTIDAS!$G2928,")"))</f>
        <v>Velas, cirios y artículos similares.</v>
      </c>
      <c r="I2928" s="16" t="s">
        <v>9427</v>
      </c>
    </row>
    <row r="2929" spans="1:9" x14ac:dyDescent="0.25">
      <c r="A2929" s="16" t="s">
        <v>3864</v>
      </c>
      <c r="B2929" s="16" t="str">
        <f>TEXT(PARTIDA[[#This Row],[PARTIDA]],"0000000000")</f>
        <v>3407001000</v>
      </c>
      <c r="C2929" s="16" t="s">
        <v>815</v>
      </c>
      <c r="D2929" s="16" t="s">
        <v>835</v>
      </c>
      <c r="E2929" s="16" t="s">
        <v>9467</v>
      </c>
      <c r="F2929" s="27" t="s">
        <v>11886</v>
      </c>
      <c r="G2929" s="27"/>
      <c r="H2929" s="16" t="str">
        <f>IF(ISBLANK(PARTIDAS!$G2929),PARTIDAS!$F2929,CONCATENATE(PARTIDAS!$F2929," (",PARTIDAS!$G2929,")"))</f>
        <v>Pastas para modelar</v>
      </c>
      <c r="I2929" s="16" t="s">
        <v>9427</v>
      </c>
    </row>
    <row r="2930" spans="1:9" x14ac:dyDescent="0.25">
      <c r="A2930" s="16" t="s">
        <v>3865</v>
      </c>
      <c r="B2930" s="16" t="str">
        <f>TEXT(PARTIDA[[#This Row],[PARTIDA]],"0000000000")</f>
        <v>3407002000</v>
      </c>
      <c r="C2930" s="16" t="s">
        <v>815</v>
      </c>
      <c r="D2930" s="16" t="s">
        <v>835</v>
      </c>
      <c r="E2930" s="16" t="s">
        <v>9467</v>
      </c>
      <c r="F2930" s="27" t="s">
        <v>11887</v>
      </c>
      <c r="G2930" s="27"/>
      <c r="H2930" s="16" t="str">
        <f>IF(ISBLANK(PARTIDAS!$G2930),PARTIDAS!$F2930,CONCATENATE(PARTIDAS!$F2930," (",PARTIDAS!$G2930,")"))</f>
        <v>«Ceras para odontología» o «compuestos para impresión dental»</v>
      </c>
      <c r="I2930" s="16" t="s">
        <v>9427</v>
      </c>
    </row>
    <row r="2931" spans="1:9" x14ac:dyDescent="0.25">
      <c r="A2931" s="16" t="s">
        <v>3866</v>
      </c>
      <c r="B2931" s="16" t="str">
        <f>TEXT(PARTIDA[[#This Row],[PARTIDA]],"0000000000")</f>
        <v>3407009000</v>
      </c>
      <c r="C2931" s="16" t="s">
        <v>815</v>
      </c>
      <c r="D2931" s="16" t="s">
        <v>835</v>
      </c>
      <c r="E2931" s="16" t="s">
        <v>9467</v>
      </c>
      <c r="F2931" s="27" t="s">
        <v>11888</v>
      </c>
      <c r="G2931" s="27"/>
      <c r="H2931" s="16" t="str">
        <f>IF(ISBLANK(PARTIDAS!$G2931),PARTIDAS!$F2931,CONCATENATE(PARTIDAS!$F2931," (",PARTIDAS!$G2931,")"))</f>
        <v>Betunes y cremas para el calzado, encáusticos, abrillantadores… (los demás, preparaciones para odontología a base de yeso fraguable)</v>
      </c>
      <c r="I2931" s="16" t="s">
        <v>9427</v>
      </c>
    </row>
    <row r="2932" spans="1:9" x14ac:dyDescent="0.25">
      <c r="A2932" s="16" t="s">
        <v>3867</v>
      </c>
      <c r="B2932" s="16" t="str">
        <f>TEXT(PARTIDA[[#This Row],[PARTIDA]],"0000000000")</f>
        <v>3501100000</v>
      </c>
      <c r="C2932" s="16" t="s">
        <v>815</v>
      </c>
      <c r="D2932" s="16" t="s">
        <v>835</v>
      </c>
      <c r="E2932" s="16" t="s">
        <v>9467</v>
      </c>
      <c r="F2932" s="27" t="s">
        <v>11889</v>
      </c>
      <c r="G2932" s="27"/>
      <c r="H2932" s="16" t="str">
        <f>IF(ISBLANK(PARTIDAS!$G2932),PARTIDAS!$F2932,CONCATENATE(PARTIDAS!$F2932," (",PARTIDAS!$G2932,")"))</f>
        <v>Caseína</v>
      </c>
      <c r="I2932" s="16" t="s">
        <v>9427</v>
      </c>
    </row>
    <row r="2933" spans="1:9" x14ac:dyDescent="0.25">
      <c r="A2933" s="16" t="s">
        <v>3868</v>
      </c>
      <c r="B2933" s="16" t="str">
        <f>TEXT(PARTIDA[[#This Row],[PARTIDA]],"0000000000")</f>
        <v>3501901000</v>
      </c>
      <c r="C2933" s="16" t="s">
        <v>815</v>
      </c>
      <c r="D2933" s="16" t="s">
        <v>835</v>
      </c>
      <c r="E2933" s="16" t="s">
        <v>9467</v>
      </c>
      <c r="F2933" s="27" t="s">
        <v>11890</v>
      </c>
      <c r="G2933" s="27"/>
      <c r="H2933" s="16" t="str">
        <f>IF(ISBLANK(PARTIDAS!$G2933),PARTIDAS!$F2933,CONCATENATE(PARTIDAS!$F2933," (",PARTIDAS!$G2933,")"))</f>
        <v>Colas de caseína</v>
      </c>
      <c r="I2933" s="16" t="s">
        <v>9427</v>
      </c>
    </row>
    <row r="2934" spans="1:9" x14ac:dyDescent="0.25">
      <c r="A2934" s="16" t="s">
        <v>3869</v>
      </c>
      <c r="B2934" s="16" t="str">
        <f>TEXT(PARTIDA[[#This Row],[PARTIDA]],"0000000000")</f>
        <v>3501909000</v>
      </c>
      <c r="C2934" s="16" t="s">
        <v>815</v>
      </c>
      <c r="D2934" s="16" t="s">
        <v>835</v>
      </c>
      <c r="E2934" s="16" t="s">
        <v>9467</v>
      </c>
      <c r="F2934" s="27" t="s">
        <v>11891</v>
      </c>
      <c r="G2934" s="27"/>
      <c r="H2934" s="16" t="str">
        <f>IF(ISBLANK(PARTIDAS!$G2934),PARTIDAS!$F2934,CONCATENATE(PARTIDAS!$F2934," (",PARTIDAS!$G2934,")"))</f>
        <v>Caseína, caseinatos y demás derivados de la caseína (los demás)</v>
      </c>
      <c r="I2934" s="16" t="s">
        <v>9427</v>
      </c>
    </row>
    <row r="2935" spans="1:9" x14ac:dyDescent="0.25">
      <c r="A2935" s="16" t="s">
        <v>3870</v>
      </c>
      <c r="B2935" s="16" t="str">
        <f>TEXT(PARTIDA[[#This Row],[PARTIDA]],"0000000000")</f>
        <v>3502110000</v>
      </c>
      <c r="C2935" s="16" t="s">
        <v>815</v>
      </c>
      <c r="D2935" s="16" t="s">
        <v>835</v>
      </c>
      <c r="E2935" s="16" t="s">
        <v>9467</v>
      </c>
      <c r="F2935" s="27" t="s">
        <v>11892</v>
      </c>
      <c r="G2935" s="27"/>
      <c r="H2935" s="16" t="str">
        <f>IF(ISBLANK(PARTIDAS!$G2935),PARTIDAS!$F2935,CONCATENATE(PARTIDAS!$F2935," (",PARTIDAS!$G2935,")"))</f>
        <v>Ovoalbúmina, seca</v>
      </c>
      <c r="I2935" s="16" t="s">
        <v>9427</v>
      </c>
    </row>
    <row r="2936" spans="1:9" x14ac:dyDescent="0.25">
      <c r="A2936" s="16" t="s">
        <v>3871</v>
      </c>
      <c r="B2936" s="16" t="str">
        <f>TEXT(PARTIDA[[#This Row],[PARTIDA]],"0000000000")</f>
        <v>3502190000</v>
      </c>
      <c r="C2936" s="16" t="s">
        <v>815</v>
      </c>
      <c r="D2936" s="16" t="s">
        <v>835</v>
      </c>
      <c r="E2936" s="16" t="s">
        <v>9467</v>
      </c>
      <c r="F2936" s="27" t="s">
        <v>11893</v>
      </c>
      <c r="G2936" s="27"/>
      <c r="H2936" s="16" t="str">
        <f>IF(ISBLANK(PARTIDAS!$G2936),PARTIDAS!$F2936,CONCATENATE(PARTIDAS!$F2936," (",PARTIDAS!$G2936,")"))</f>
        <v>Ovoalbúmina (los demás)</v>
      </c>
      <c r="I2936" s="16" t="s">
        <v>9427</v>
      </c>
    </row>
    <row r="2937" spans="1:9" x14ac:dyDescent="0.25">
      <c r="A2937" s="16" t="s">
        <v>3872</v>
      </c>
      <c r="B2937" s="16" t="str">
        <f>TEXT(PARTIDA[[#This Row],[PARTIDA]],"0000000000")</f>
        <v>3502200000</v>
      </c>
      <c r="C2937" s="16" t="s">
        <v>815</v>
      </c>
      <c r="D2937" s="16" t="s">
        <v>835</v>
      </c>
      <c r="E2937" s="16" t="s">
        <v>9467</v>
      </c>
      <c r="F2937" s="27" t="s">
        <v>11894</v>
      </c>
      <c r="G2937" s="27"/>
      <c r="H2937" s="16" t="str">
        <f>IF(ISBLANK(PARTIDAS!$G2937),PARTIDAS!$F2937,CONCATENATE(PARTIDAS!$F2937," (",PARTIDAS!$G2937,")"))</f>
        <v>Lactoalbúmina, incluidos los concentrados de dos o más proteínas del lactosuero</v>
      </c>
      <c r="I2937" s="16" t="s">
        <v>9427</v>
      </c>
    </row>
    <row r="2938" spans="1:9" x14ac:dyDescent="0.25">
      <c r="A2938" s="16" t="s">
        <v>3873</v>
      </c>
      <c r="B2938" s="16" t="str">
        <f>TEXT(PARTIDA[[#This Row],[PARTIDA]],"0000000000")</f>
        <v>3502901000</v>
      </c>
      <c r="C2938" s="16" t="s">
        <v>815</v>
      </c>
      <c r="D2938" s="16" t="s">
        <v>835</v>
      </c>
      <c r="E2938" s="16" t="s">
        <v>9467</v>
      </c>
      <c r="F2938" s="27" t="s">
        <v>11895</v>
      </c>
      <c r="G2938" s="27"/>
      <c r="H2938" s="16" t="str">
        <f>IF(ISBLANK(PARTIDAS!$G2938),PARTIDAS!$F2938,CONCATENATE(PARTIDAS!$F2938," (",PARTIDAS!$G2938,")"))</f>
        <v>Albúminas (incluidos los concentrados de varias proteínas del…, albúminas</v>
      </c>
      <c r="I2938" s="16" t="s">
        <v>9427</v>
      </c>
    </row>
    <row r="2939" spans="1:9" x14ac:dyDescent="0.25">
      <c r="A2939" s="16" t="s">
        <v>3874</v>
      </c>
      <c r="B2939" s="16" t="str">
        <f>TEXT(PARTIDA[[#This Row],[PARTIDA]],"0000000000")</f>
        <v>3502909000</v>
      </c>
      <c r="C2939" s="16" t="s">
        <v>815</v>
      </c>
      <c r="D2939" s="16" t="s">
        <v>835</v>
      </c>
      <c r="E2939" s="16" t="s">
        <v>9467</v>
      </c>
      <c r="F2939" s="27" t="s">
        <v>11896</v>
      </c>
      <c r="G2939" s="27"/>
      <c r="H2939" s="16" t="str">
        <f>IF(ISBLANK(PARTIDAS!$G2939),PARTIDAS!$F2939,CONCATENATE(PARTIDAS!$F2939," (",PARTIDAS!$G2939,")"))</f>
        <v>Albuminatos y demás derivados de las albúminas</v>
      </c>
      <c r="I2939" s="16" t="s">
        <v>9427</v>
      </c>
    </row>
    <row r="2940" spans="1:9" x14ac:dyDescent="0.25">
      <c r="A2940" s="16" t="s">
        <v>3875</v>
      </c>
      <c r="B2940" s="16" t="str">
        <f>TEXT(PARTIDA[[#This Row],[PARTIDA]],"0000000000")</f>
        <v>3503001000</v>
      </c>
      <c r="C2940" s="16" t="s">
        <v>815</v>
      </c>
      <c r="D2940" s="16" t="s">
        <v>835</v>
      </c>
      <c r="E2940" s="16" t="s">
        <v>9467</v>
      </c>
      <c r="F2940" s="27" t="s">
        <v>11897</v>
      </c>
      <c r="G2940" s="27"/>
      <c r="H2940" s="16" t="str">
        <f>IF(ISBLANK(PARTIDAS!$G2940),PARTIDAS!$F2940,CONCATENATE(PARTIDAS!$F2940," (",PARTIDAS!$G2940,")"))</f>
        <v>Gelatinas y sus derivados</v>
      </c>
      <c r="I2940" s="16" t="s">
        <v>9427</v>
      </c>
    </row>
    <row r="2941" spans="1:9" x14ac:dyDescent="0.25">
      <c r="A2941" s="16" t="s">
        <v>3876</v>
      </c>
      <c r="B2941" s="16" t="str">
        <f>TEXT(PARTIDA[[#This Row],[PARTIDA]],"0000000000")</f>
        <v>3503002000</v>
      </c>
      <c r="C2941" s="16" t="s">
        <v>815</v>
      </c>
      <c r="D2941" s="16" t="s">
        <v>835</v>
      </c>
      <c r="E2941" s="16" t="s">
        <v>9467</v>
      </c>
      <c r="F2941" s="27" t="s">
        <v>11898</v>
      </c>
      <c r="G2941" s="27"/>
      <c r="H2941" s="16" t="str">
        <f>IF(ISBLANK(PARTIDAS!$G2941),PARTIDAS!$F2941,CONCATENATE(PARTIDAS!$F2941," (",PARTIDAS!$G2941,")"))</f>
        <v>Ictiocola; demás colas de origen animal</v>
      </c>
      <c r="I2941" s="16" t="s">
        <v>9427</v>
      </c>
    </row>
    <row r="2942" spans="1:9" x14ac:dyDescent="0.25">
      <c r="A2942" s="16" t="s">
        <v>3877</v>
      </c>
      <c r="B2942" s="16" t="str">
        <f>TEXT(PARTIDA[[#This Row],[PARTIDA]],"0000000000")</f>
        <v>3504001000</v>
      </c>
      <c r="C2942" s="16" t="s">
        <v>815</v>
      </c>
      <c r="D2942" s="16" t="s">
        <v>835</v>
      </c>
      <c r="E2942" s="16" t="s">
        <v>9467</v>
      </c>
      <c r="F2942" s="27" t="s">
        <v>11899</v>
      </c>
      <c r="G2942" s="27"/>
      <c r="H2942" s="16" t="str">
        <f>IF(ISBLANK(PARTIDAS!$G2942),PARTIDAS!$F2942,CONCATENATE(PARTIDAS!$F2942," (",PARTIDAS!$G2942,")"))</f>
        <v>Peptonas y sus derivados</v>
      </c>
      <c r="I2942" s="16" t="s">
        <v>9427</v>
      </c>
    </row>
    <row r="2943" spans="1:9" x14ac:dyDescent="0.25">
      <c r="A2943" s="16" t="s">
        <v>3878</v>
      </c>
      <c r="B2943" s="16" t="str">
        <f>TEXT(PARTIDA[[#This Row],[PARTIDA]],"0000000000")</f>
        <v>3504009000</v>
      </c>
      <c r="C2943" s="16" t="s">
        <v>815</v>
      </c>
      <c r="D2943" s="16" t="s">
        <v>835</v>
      </c>
      <c r="E2943" s="16" t="s">
        <v>9467</v>
      </c>
      <c r="F2943" s="27" t="s">
        <v>11900</v>
      </c>
      <c r="G2943" s="27"/>
      <c r="H2943" s="16" t="str">
        <f>IF(ISBLANK(PARTIDAS!$G2943),PARTIDAS!$F2943,CONCATENATE(PARTIDAS!$F2943," (",PARTIDAS!$G2943,")"))</f>
        <v>Albúminas (incluidos los concentrados de varias proteínas del… (los demás)</v>
      </c>
      <c r="I2943" s="16" t="s">
        <v>9427</v>
      </c>
    </row>
    <row r="2944" spans="1:9" x14ac:dyDescent="0.25">
      <c r="A2944" s="16" t="s">
        <v>3879</v>
      </c>
      <c r="B2944" s="16" t="str">
        <f>TEXT(PARTIDA[[#This Row],[PARTIDA]],"0000000000")</f>
        <v>3505100000</v>
      </c>
      <c r="C2944" s="16" t="s">
        <v>815</v>
      </c>
      <c r="D2944" s="16" t="s">
        <v>835</v>
      </c>
      <c r="E2944" s="16" t="s">
        <v>9467</v>
      </c>
      <c r="F2944" s="27" t="s">
        <v>3880</v>
      </c>
      <c r="G2944" s="27" t="s">
        <v>852</v>
      </c>
      <c r="H2944" s="16" t="str">
        <f>IF(ISBLANK(PARTIDAS!$G2944),PARTIDAS!$F2944,CONCATENATE(PARTIDAS!$F2944," (",PARTIDAS!$G2944,")"))</f>
        <v>Harinas y almidones (Especificar)</v>
      </c>
      <c r="I2944" s="16" t="s">
        <v>9427</v>
      </c>
    </row>
    <row r="2945" spans="1:9" x14ac:dyDescent="0.25">
      <c r="A2945" s="16" t="s">
        <v>3881</v>
      </c>
      <c r="B2945" s="16" t="str">
        <f>TEXT(PARTIDA[[#This Row],[PARTIDA]],"0000000000")</f>
        <v>3505200000</v>
      </c>
      <c r="C2945" s="16" t="s">
        <v>815</v>
      </c>
      <c r="D2945" s="16" t="s">
        <v>835</v>
      </c>
      <c r="E2945" s="16" t="s">
        <v>9467</v>
      </c>
      <c r="F2945" s="27" t="s">
        <v>11901</v>
      </c>
      <c r="G2945" s="27"/>
      <c r="H2945" s="16" t="str">
        <f>IF(ISBLANK(PARTIDAS!$G2945),PARTIDAS!$F2945,CONCATENATE(PARTIDAS!$F2945," (",PARTIDAS!$G2945,")"))</f>
        <v>Colas</v>
      </c>
      <c r="I2945" s="16" t="s">
        <v>9427</v>
      </c>
    </row>
    <row r="2946" spans="1:9" x14ac:dyDescent="0.25">
      <c r="A2946" s="16" t="s">
        <v>3882</v>
      </c>
      <c r="B2946" s="16" t="str">
        <f>TEXT(PARTIDA[[#This Row],[PARTIDA]],"0000000000")</f>
        <v>3506100000</v>
      </c>
      <c r="C2946" s="16" t="s">
        <v>815</v>
      </c>
      <c r="D2946" s="16" t="s">
        <v>835</v>
      </c>
      <c r="E2946" s="16" t="s">
        <v>9467</v>
      </c>
      <c r="F2946" s="27" t="s">
        <v>3883</v>
      </c>
      <c r="G2946" s="27"/>
      <c r="H2946" s="16" t="str">
        <f>IF(ISBLANK(PARTIDAS!$G2946),PARTIDAS!$F2946,CONCATENATE(PARTIDAS!$F2946," (",PARTIDAS!$G2946,")"))</f>
        <v>Pegamento</v>
      </c>
      <c r="I2946" s="16" t="s">
        <v>9427</v>
      </c>
    </row>
    <row r="2947" spans="1:9" x14ac:dyDescent="0.25">
      <c r="A2947" s="16" t="s">
        <v>3884</v>
      </c>
      <c r="B2947" s="16" t="str">
        <f>TEXT(PARTIDA[[#This Row],[PARTIDA]],"0000000000")</f>
        <v>3506910000</v>
      </c>
      <c r="C2947" s="16" t="s">
        <v>815</v>
      </c>
      <c r="D2947" s="16" t="s">
        <v>835</v>
      </c>
      <c r="E2947" s="16" t="s">
        <v>9467</v>
      </c>
      <c r="F2947" s="27" t="s">
        <v>11902</v>
      </c>
      <c r="G2947" s="27"/>
      <c r="H2947" s="16" t="str">
        <f>IF(ISBLANK(PARTIDAS!$G2947),PARTIDAS!$F2947,CONCATENATE(PARTIDAS!$F2947," (",PARTIDAS!$G2947,")"))</f>
        <v>Adhesivos a base de polímeros de las partidas 39.01 a 39.13 o de caucho</v>
      </c>
      <c r="I2947" s="16" t="s">
        <v>9427</v>
      </c>
    </row>
    <row r="2948" spans="1:9" x14ac:dyDescent="0.25">
      <c r="A2948" s="16" t="s">
        <v>3885</v>
      </c>
      <c r="B2948" s="16" t="str">
        <f>TEXT(PARTIDA[[#This Row],[PARTIDA]],"0000000000")</f>
        <v>3506990000</v>
      </c>
      <c r="C2948" s="16" t="s">
        <v>815</v>
      </c>
      <c r="D2948" s="16" t="s">
        <v>835</v>
      </c>
      <c r="E2948" s="16" t="s">
        <v>9467</v>
      </c>
      <c r="F2948" s="27" t="s">
        <v>11903</v>
      </c>
      <c r="G2948" s="27"/>
      <c r="H2948" s="16" t="str">
        <f>IF(ISBLANK(PARTIDAS!$G2948),PARTIDAS!$F2948,CONCATENATE(PARTIDAS!$F2948," (",PARTIDAS!$G2948,")"))</f>
        <v>Colas y demás adhesivos preparados, no expresados ni comprendidos en… (los demás)</v>
      </c>
      <c r="I2948" s="16" t="s">
        <v>9427</v>
      </c>
    </row>
    <row r="2949" spans="1:9" x14ac:dyDescent="0.25">
      <c r="A2949" s="16" t="s">
        <v>3886</v>
      </c>
      <c r="B2949" s="16" t="str">
        <f>TEXT(PARTIDA[[#This Row],[PARTIDA]],"0000000000")</f>
        <v>3507100000</v>
      </c>
      <c r="C2949" s="16" t="s">
        <v>815</v>
      </c>
      <c r="D2949" s="16" t="s">
        <v>835</v>
      </c>
      <c r="E2949" s="16" t="s">
        <v>9467</v>
      </c>
      <c r="F2949" s="27" t="s">
        <v>11904</v>
      </c>
      <c r="G2949" s="27"/>
      <c r="H2949" s="16" t="str">
        <f>IF(ISBLANK(PARTIDAS!$G2949),PARTIDAS!$F2949,CONCATENATE(PARTIDAS!$F2949," (",PARTIDAS!$G2949,")"))</f>
        <v>Cuajo y sus concentrados</v>
      </c>
      <c r="I2949" s="16" t="s">
        <v>9427</v>
      </c>
    </row>
    <row r="2950" spans="1:9" x14ac:dyDescent="0.25">
      <c r="A2950" s="16" t="s">
        <v>3887</v>
      </c>
      <c r="B2950" s="16" t="str">
        <f>TEXT(PARTIDA[[#This Row],[PARTIDA]],"0000000000")</f>
        <v>3507901300</v>
      </c>
      <c r="C2950" s="16" t="s">
        <v>815</v>
      </c>
      <c r="D2950" s="16" t="s">
        <v>835</v>
      </c>
      <c r="E2950" s="16" t="s">
        <v>9467</v>
      </c>
      <c r="F2950" s="27" t="s">
        <v>11905</v>
      </c>
      <c r="G2950" s="27"/>
      <c r="H2950" s="16" t="str">
        <f>IF(ISBLANK(PARTIDAS!$G2950),PARTIDAS!$F2950,CONCATENATE(PARTIDAS!$F2950," (",PARTIDAS!$G2950,")"))</f>
        <v>Enzimas pancreáticas y sus concentrados, pancreatina</v>
      </c>
      <c r="I2950" s="16" t="s">
        <v>9427</v>
      </c>
    </row>
    <row r="2951" spans="1:9" x14ac:dyDescent="0.25">
      <c r="A2951" s="16" t="s">
        <v>3888</v>
      </c>
      <c r="B2951" s="16" t="str">
        <f>TEXT(PARTIDA[[#This Row],[PARTIDA]],"0000000000")</f>
        <v>3507901900</v>
      </c>
      <c r="C2951" s="16" t="s">
        <v>815</v>
      </c>
      <c r="D2951" s="16" t="s">
        <v>835</v>
      </c>
      <c r="E2951" s="16" t="s">
        <v>9467</v>
      </c>
      <c r="F2951" s="27" t="s">
        <v>11906</v>
      </c>
      <c r="G2951" s="27"/>
      <c r="H2951" s="16" t="str">
        <f>IF(ISBLANK(PARTIDAS!$G2951),PARTIDAS!$F2951,CONCATENATE(PARTIDAS!$F2951," (",PARTIDAS!$G2951,")"))</f>
        <v>Enzimas pancreáticas y sus concentrados (los demás)</v>
      </c>
      <c r="I2951" s="16" t="s">
        <v>9427</v>
      </c>
    </row>
    <row r="2952" spans="1:9" x14ac:dyDescent="0.25">
      <c r="A2952" s="16" t="s">
        <v>3889</v>
      </c>
      <c r="B2952" s="16" t="str">
        <f>TEXT(PARTIDA[[#This Row],[PARTIDA]],"0000000000")</f>
        <v>3507903000</v>
      </c>
      <c r="C2952" s="16" t="s">
        <v>815</v>
      </c>
      <c r="D2952" s="16" t="s">
        <v>835</v>
      </c>
      <c r="E2952" s="16" t="s">
        <v>9467</v>
      </c>
      <c r="F2952" s="27" t="s">
        <v>11907</v>
      </c>
      <c r="G2952" s="27"/>
      <c r="H2952" s="16" t="str">
        <f>IF(ISBLANK(PARTIDAS!$G2952),PARTIDAS!$F2952,CONCATENATE(PARTIDAS!$F2952," (",PARTIDAS!$G2952,")"))</f>
        <v>Enzimas; preparaciones enzimáticas no expresadas ni comprendidas en…, papaína</v>
      </c>
      <c r="I2952" s="16" t="s">
        <v>9427</v>
      </c>
    </row>
    <row r="2953" spans="1:9" x14ac:dyDescent="0.25">
      <c r="A2953" s="16" t="s">
        <v>3890</v>
      </c>
      <c r="B2953" s="16" t="str">
        <f>TEXT(PARTIDA[[#This Row],[PARTIDA]],"0000000000")</f>
        <v>3507904000</v>
      </c>
      <c r="C2953" s="16" t="s">
        <v>815</v>
      </c>
      <c r="D2953" s="16" t="s">
        <v>835</v>
      </c>
      <c r="E2953" s="16" t="s">
        <v>9467</v>
      </c>
      <c r="F2953" s="27" t="s">
        <v>11908</v>
      </c>
      <c r="G2953" s="27"/>
      <c r="H2953" s="16" t="str">
        <f>IF(ISBLANK(PARTIDAS!$G2953),PARTIDAS!$F2953,CONCATENATE(PARTIDAS!$F2953," (",PARTIDAS!$G2953,")"))</f>
        <v>Enzimas; preparaciones enzimáticas no expresadas ni comprendidas en… (los demás, enzimas y sus concentrados)</v>
      </c>
      <c r="I2953" s="16" t="s">
        <v>9427</v>
      </c>
    </row>
    <row r="2954" spans="1:9" x14ac:dyDescent="0.25">
      <c r="A2954" s="16" t="s">
        <v>3891</v>
      </c>
      <c r="B2954" s="16" t="str">
        <f>TEXT(PARTIDA[[#This Row],[PARTIDA]],"0000000000")</f>
        <v>3507905000</v>
      </c>
      <c r="C2954" s="16" t="s">
        <v>815</v>
      </c>
      <c r="D2954" s="16" t="s">
        <v>835</v>
      </c>
      <c r="E2954" s="16" t="s">
        <v>9467</v>
      </c>
      <c r="F2954" s="27" t="s">
        <v>11909</v>
      </c>
      <c r="G2954" s="27"/>
      <c r="H2954" s="16" t="str">
        <f>IF(ISBLANK(PARTIDAS!$G2954),PARTIDAS!$F2954,CONCATENATE(PARTIDAS!$F2954," (",PARTIDAS!$G2954,")"))</f>
        <v>Preparaciones enzimáticas para ablandar la carne</v>
      </c>
      <c r="I2954" s="16" t="s">
        <v>9427</v>
      </c>
    </row>
    <row r="2955" spans="1:9" x14ac:dyDescent="0.25">
      <c r="A2955" s="16" t="s">
        <v>3892</v>
      </c>
      <c r="B2955" s="16" t="str">
        <f>TEXT(PARTIDA[[#This Row],[PARTIDA]],"0000000000")</f>
        <v>3507906000</v>
      </c>
      <c r="C2955" s="16" t="s">
        <v>815</v>
      </c>
      <c r="D2955" s="16" t="s">
        <v>835</v>
      </c>
      <c r="E2955" s="16" t="s">
        <v>9467</v>
      </c>
      <c r="F2955" s="27" t="s">
        <v>11910</v>
      </c>
      <c r="G2955" s="27"/>
      <c r="H2955" s="16" t="str">
        <f>IF(ISBLANK(PARTIDAS!$G2955),PARTIDAS!$F2955,CONCATENATE(PARTIDAS!$F2955," (",PARTIDAS!$G2955,")"))</f>
        <v>Preparaciones enzimáticas para clarificar bebidas</v>
      </c>
      <c r="I2955" s="16" t="s">
        <v>9427</v>
      </c>
    </row>
    <row r="2956" spans="1:9" x14ac:dyDescent="0.25">
      <c r="A2956" s="16" t="s">
        <v>3893</v>
      </c>
      <c r="B2956" s="16" t="str">
        <f>TEXT(PARTIDA[[#This Row],[PARTIDA]],"0000000000")</f>
        <v>3507909000</v>
      </c>
      <c r="C2956" s="16" t="s">
        <v>815</v>
      </c>
      <c r="D2956" s="16" t="s">
        <v>835</v>
      </c>
      <c r="E2956" s="16" t="s">
        <v>9467</v>
      </c>
      <c r="F2956" s="27" t="s">
        <v>11911</v>
      </c>
      <c r="G2956" s="27"/>
      <c r="H2956" s="16" t="str">
        <f>IF(ISBLANK(PARTIDAS!$G2956),PARTIDAS!$F2956,CONCATENATE(PARTIDAS!$F2956," (",PARTIDAS!$G2956,")"))</f>
        <v>Enzimas; preparaciones enzimáticas no expresadas ni comprendidas en… (los demás)</v>
      </c>
      <c r="I2956" s="16" t="s">
        <v>9427</v>
      </c>
    </row>
    <row r="2957" spans="1:9" x14ac:dyDescent="0.25">
      <c r="A2957" s="16" t="s">
        <v>3894</v>
      </c>
      <c r="B2957" s="16" t="str">
        <f>TEXT(PARTIDA[[#This Row],[PARTIDA]],"0000000000")</f>
        <v>3601000000</v>
      </c>
      <c r="C2957" s="16" t="s">
        <v>815</v>
      </c>
      <c r="D2957" s="16" t="s">
        <v>835</v>
      </c>
      <c r="E2957" s="16" t="s">
        <v>9467</v>
      </c>
      <c r="F2957" s="27" t="s">
        <v>3895</v>
      </c>
      <c r="G2957" s="27"/>
      <c r="H2957" s="16" t="str">
        <f>IF(ISBLANK(PARTIDAS!$G2957),PARTIDAS!$F2957,CONCATENATE(PARTIDAS!$F2957," (",PARTIDAS!$G2957,")"))</f>
        <v>Pólvora.</v>
      </c>
      <c r="I2957" s="16" t="s">
        <v>9427</v>
      </c>
    </row>
    <row r="2958" spans="1:9" x14ac:dyDescent="0.25">
      <c r="A2958" s="16" t="s">
        <v>3896</v>
      </c>
      <c r="B2958" s="16" t="str">
        <f>TEXT(PARTIDA[[#This Row],[PARTIDA]],"0000000000")</f>
        <v>3602001100</v>
      </c>
      <c r="C2958" s="16" t="s">
        <v>815</v>
      </c>
      <c r="D2958" s="16" t="s">
        <v>835</v>
      </c>
      <c r="E2958" s="16" t="s">
        <v>9467</v>
      </c>
      <c r="F2958" s="27" t="s">
        <v>11912</v>
      </c>
      <c r="G2958" s="27"/>
      <c r="H2958" s="16" t="str">
        <f>IF(ISBLANK(PARTIDAS!$G2958),PARTIDAS!$F2958,CONCATENATE(PARTIDAS!$F2958," (",PARTIDAS!$G2958,")"))</f>
        <v>Pólvora y explosivos, a base de derivados nitrados orgánicos, dinamitas</v>
      </c>
      <c r="I2958" s="16" t="s">
        <v>9427</v>
      </c>
    </row>
    <row r="2959" spans="1:9" x14ac:dyDescent="0.25">
      <c r="A2959" s="16" t="s">
        <v>3897</v>
      </c>
      <c r="B2959" s="16" t="str">
        <f>TEXT(PARTIDA[[#This Row],[PARTIDA]],"0000000000")</f>
        <v>3602001900</v>
      </c>
      <c r="C2959" s="16" t="s">
        <v>815</v>
      </c>
      <c r="D2959" s="16" t="s">
        <v>835</v>
      </c>
      <c r="E2959" s="16" t="s">
        <v>9467</v>
      </c>
      <c r="F2959" s="27" t="s">
        <v>11913</v>
      </c>
      <c r="G2959" s="27"/>
      <c r="H2959" s="16" t="str">
        <f>IF(ISBLANK(PARTIDAS!$G2959),PARTIDAS!$F2959,CONCATENATE(PARTIDAS!$F2959," (",PARTIDAS!$G2959,")"))</f>
        <v>Pólvora y explosivos, a base de derivados nitrados orgánicos (los demás)</v>
      </c>
      <c r="I2959" s="16" t="s">
        <v>9427</v>
      </c>
    </row>
    <row r="2960" spans="1:9" x14ac:dyDescent="0.25">
      <c r="A2960" s="16" t="s">
        <v>3898</v>
      </c>
      <c r="B2960" s="16" t="str">
        <f>TEXT(PARTIDA[[#This Row],[PARTIDA]],"0000000000")</f>
        <v>3602002000</v>
      </c>
      <c r="C2960" s="16" t="s">
        <v>815</v>
      </c>
      <c r="D2960" s="16" t="s">
        <v>835</v>
      </c>
      <c r="E2960" s="16" t="s">
        <v>9467</v>
      </c>
      <c r="F2960" s="27" t="s">
        <v>11914</v>
      </c>
      <c r="G2960" s="27"/>
      <c r="H2960" s="16" t="str">
        <f>IF(ISBLANK(PARTIDAS!$G2960),PARTIDAS!$F2960,CONCATENATE(PARTIDAS!$F2960," (",PARTIDAS!$G2960,")"))</f>
        <v>A base de nitrato de amonio</v>
      </c>
      <c r="I2960" s="16" t="s">
        <v>9648</v>
      </c>
    </row>
    <row r="2961" spans="1:9" x14ac:dyDescent="0.25">
      <c r="A2961" s="16" t="s">
        <v>11915</v>
      </c>
      <c r="B2961" s="16" t="str">
        <f>TEXT(PARTIDA[[#This Row],[PARTIDA]],"0000000000")</f>
        <v>3602002010</v>
      </c>
      <c r="C2961" s="16" t="s">
        <v>815</v>
      </c>
      <c r="D2961" s="16" t="s">
        <v>835</v>
      </c>
      <c r="E2961" s="16" t="s">
        <v>9467</v>
      </c>
      <c r="F2961" s="27" t="s">
        <v>11916</v>
      </c>
      <c r="G2961" s="27"/>
      <c r="H2961" s="16" t="str">
        <f>IF(ISBLANK(PARTIDAS!$G2961),PARTIDAS!$F2961,CONCATENATE(PARTIDAS!$F2961," (",PARTIDAS!$G2961,")"))</f>
        <v xml:space="preserve">Pólvora y explosivos, a base de nitrato de amonio, con un contenido de nitrógeno total superior o igual a 34,5 % y densidad aparente superior o igual </v>
      </c>
      <c r="I2961" s="16" t="s">
        <v>9427</v>
      </c>
    </row>
    <row r="2962" spans="1:9" x14ac:dyDescent="0.25">
      <c r="A2962" s="16" t="s">
        <v>11917</v>
      </c>
      <c r="B2962" s="16" t="str">
        <f>TEXT(PARTIDA[[#This Row],[PARTIDA]],"0000000000")</f>
        <v>3602002090</v>
      </c>
      <c r="C2962" s="16" t="s">
        <v>815</v>
      </c>
      <c r="D2962" s="16" t="s">
        <v>835</v>
      </c>
      <c r="E2962" s="16" t="s">
        <v>9467</v>
      </c>
      <c r="F2962" s="27" t="s">
        <v>11918</v>
      </c>
      <c r="G2962" s="27"/>
      <c r="H2962" s="16" t="str">
        <f>IF(ISBLANK(PARTIDAS!$G2962),PARTIDAS!$F2962,CONCATENATE(PARTIDAS!$F2962," (",PARTIDAS!$G2962,")"))</f>
        <v>Pólvora y explosivos, a base de nitrato de amonio (los demás)</v>
      </c>
      <c r="I2962" s="16" t="s">
        <v>9427</v>
      </c>
    </row>
    <row r="2963" spans="1:9" x14ac:dyDescent="0.25">
      <c r="A2963" s="16" t="s">
        <v>3899</v>
      </c>
      <c r="B2963" s="16" t="str">
        <f>TEXT(PARTIDA[[#This Row],[PARTIDA]],"0000000000")</f>
        <v>3602009000</v>
      </c>
      <c r="C2963" s="16" t="s">
        <v>815</v>
      </c>
      <c r="D2963" s="16" t="s">
        <v>835</v>
      </c>
      <c r="E2963" s="16" t="s">
        <v>9467</v>
      </c>
      <c r="F2963" s="27" t="s">
        <v>11919</v>
      </c>
      <c r="G2963" s="27"/>
      <c r="H2963" s="16" t="str">
        <f>IF(ISBLANK(PARTIDAS!$G2963),PARTIDAS!$F2963,CONCATENATE(PARTIDAS!$F2963," (",PARTIDAS!$G2963,")"))</f>
        <v>Pólvora y explosivos (los demás)</v>
      </c>
      <c r="I2963" s="16" t="s">
        <v>9427</v>
      </c>
    </row>
    <row r="2964" spans="1:9" x14ac:dyDescent="0.25">
      <c r="A2964" s="16" t="s">
        <v>3900</v>
      </c>
      <c r="B2964" s="16" t="str">
        <f>TEXT(PARTIDA[[#This Row],[PARTIDA]],"0000000000")</f>
        <v>3603001000</v>
      </c>
      <c r="C2964" s="16" t="s">
        <v>815</v>
      </c>
      <c r="D2964" s="16" t="s">
        <v>835</v>
      </c>
      <c r="E2964" s="16" t="s">
        <v>9467</v>
      </c>
      <c r="F2964" s="27" t="s">
        <v>11920</v>
      </c>
      <c r="G2964" s="27"/>
      <c r="H2964" s="16" t="str">
        <f>IF(ISBLANK(PARTIDAS!$G2964),PARTIDAS!$F2964,CONCATENATE(PARTIDAS!$F2964," (",PARTIDAS!$G2964,")"))</f>
        <v>Mechas de seguridad</v>
      </c>
      <c r="I2964" s="16" t="s">
        <v>9648</v>
      </c>
    </row>
    <row r="2965" spans="1:9" x14ac:dyDescent="0.25">
      <c r="A2965" s="16" t="s">
        <v>3901</v>
      </c>
      <c r="B2965" s="16" t="str">
        <f>TEXT(PARTIDA[[#This Row],[PARTIDA]],"0000000000")</f>
        <v>3603002000</v>
      </c>
      <c r="C2965" s="16" t="s">
        <v>815</v>
      </c>
      <c r="D2965" s="16" t="s">
        <v>835</v>
      </c>
      <c r="E2965" s="16" t="s">
        <v>9467</v>
      </c>
      <c r="F2965" s="27" t="s">
        <v>11921</v>
      </c>
      <c r="G2965" s="27"/>
      <c r="H2965" s="16" t="str">
        <f>IF(ISBLANK(PARTIDAS!$G2965),PARTIDAS!$F2965,CONCATENATE(PARTIDAS!$F2965," (",PARTIDAS!$G2965,")"))</f>
        <v>Cordones detonantes</v>
      </c>
      <c r="I2965" s="16" t="s">
        <v>9648</v>
      </c>
    </row>
    <row r="2966" spans="1:9" x14ac:dyDescent="0.25">
      <c r="A2966" s="16" t="s">
        <v>3902</v>
      </c>
      <c r="B2966" s="16" t="str">
        <f>TEXT(PARTIDA[[#This Row],[PARTIDA]],"0000000000")</f>
        <v>3603003000</v>
      </c>
      <c r="C2966" s="16" t="s">
        <v>815</v>
      </c>
      <c r="D2966" s="16" t="s">
        <v>835</v>
      </c>
      <c r="E2966" s="16" t="s">
        <v>9467</v>
      </c>
      <c r="F2966" s="27" t="s">
        <v>11922</v>
      </c>
      <c r="G2966" s="27"/>
      <c r="H2966" s="16" t="str">
        <f>IF(ISBLANK(PARTIDAS!$G2966),PARTIDAS!$F2966,CONCATENATE(PARTIDAS!$F2966," (",PARTIDAS!$G2966,")"))</f>
        <v>Cebos</v>
      </c>
      <c r="I2966" s="16" t="s">
        <v>9648</v>
      </c>
    </row>
    <row r="2967" spans="1:9" x14ac:dyDescent="0.25">
      <c r="A2967" s="16" t="s">
        <v>3903</v>
      </c>
      <c r="B2967" s="16" t="str">
        <f>TEXT(PARTIDA[[#This Row],[PARTIDA]],"0000000000")</f>
        <v>3603004000</v>
      </c>
      <c r="C2967" s="16" t="s">
        <v>815</v>
      </c>
      <c r="D2967" s="16" t="s">
        <v>835</v>
      </c>
      <c r="E2967" s="16" t="s">
        <v>9467</v>
      </c>
      <c r="F2967" s="27" t="s">
        <v>11923</v>
      </c>
      <c r="G2967" s="27"/>
      <c r="H2967" s="16" t="str">
        <f>IF(ISBLANK(PARTIDAS!$G2967),PARTIDAS!$F2967,CONCATENATE(PARTIDAS!$F2967," (",PARTIDAS!$G2967,")"))</f>
        <v>Cápsulas fulminantes</v>
      </c>
      <c r="I2967" s="16" t="s">
        <v>9648</v>
      </c>
    </row>
    <row r="2968" spans="1:9" x14ac:dyDescent="0.25">
      <c r="A2968" s="16" t="s">
        <v>3904</v>
      </c>
      <c r="B2968" s="16" t="str">
        <f>TEXT(PARTIDA[[#This Row],[PARTIDA]],"0000000000")</f>
        <v>3603005000</v>
      </c>
      <c r="C2968" s="16" t="s">
        <v>815</v>
      </c>
      <c r="D2968" s="16" t="s">
        <v>835</v>
      </c>
      <c r="E2968" s="16" t="s">
        <v>9467</v>
      </c>
      <c r="F2968" s="27" t="s">
        <v>11924</v>
      </c>
      <c r="G2968" s="27"/>
      <c r="H2968" s="16" t="str">
        <f>IF(ISBLANK(PARTIDAS!$G2968),PARTIDAS!$F2968,CONCATENATE(PARTIDAS!$F2968," (",PARTIDAS!$G2968,")"))</f>
        <v>Inflamadores</v>
      </c>
      <c r="I2968" s="16" t="s">
        <v>9648</v>
      </c>
    </row>
    <row r="2969" spans="1:9" x14ac:dyDescent="0.25">
      <c r="A2969" s="16" t="s">
        <v>3905</v>
      </c>
      <c r="B2969" s="16" t="str">
        <f>TEXT(PARTIDA[[#This Row],[PARTIDA]],"0000000000")</f>
        <v>3603006000</v>
      </c>
      <c r="C2969" s="16" t="s">
        <v>815</v>
      </c>
      <c r="D2969" s="16" t="s">
        <v>835</v>
      </c>
      <c r="E2969" s="16" t="s">
        <v>9467</v>
      </c>
      <c r="F2969" s="27" t="s">
        <v>11925</v>
      </c>
      <c r="G2969" s="27"/>
      <c r="H2969" s="16" t="str">
        <f>IF(ISBLANK(PARTIDAS!$G2969),PARTIDAS!$F2969,CONCATENATE(PARTIDAS!$F2969," (",PARTIDAS!$G2969,")"))</f>
        <v>Detonadores eléctricos</v>
      </c>
      <c r="I2969" s="16" t="s">
        <v>9648</v>
      </c>
    </row>
    <row r="2970" spans="1:9" x14ac:dyDescent="0.25">
      <c r="A2970" s="16" t="s">
        <v>11926</v>
      </c>
      <c r="B2970" s="16" t="str">
        <f>TEXT(PARTIDA[[#This Row],[PARTIDA]],"0000000000")</f>
        <v>3603100000</v>
      </c>
      <c r="C2970" s="16" t="s">
        <v>815</v>
      </c>
      <c r="D2970" s="16" t="s">
        <v>835</v>
      </c>
      <c r="E2970" s="16" t="s">
        <v>9467</v>
      </c>
      <c r="F2970" s="27" t="s">
        <v>11920</v>
      </c>
      <c r="G2970" s="27"/>
      <c r="H2970" s="16" t="str">
        <f>IF(ISBLANK(PARTIDAS!$G2970),PARTIDAS!$F2970,CONCATENATE(PARTIDAS!$F2970," (",PARTIDAS!$G2970,")"))</f>
        <v>Mechas de seguridad</v>
      </c>
      <c r="I2970" s="16" t="s">
        <v>9427</v>
      </c>
    </row>
    <row r="2971" spans="1:9" x14ac:dyDescent="0.25">
      <c r="A2971" s="16" t="s">
        <v>11927</v>
      </c>
      <c r="B2971" s="16" t="str">
        <f>TEXT(PARTIDA[[#This Row],[PARTIDA]],"0000000000")</f>
        <v>3603200000</v>
      </c>
      <c r="C2971" s="16" t="s">
        <v>815</v>
      </c>
      <c r="D2971" s="16" t="s">
        <v>835</v>
      </c>
      <c r="E2971" s="16" t="s">
        <v>9467</v>
      </c>
      <c r="F2971" s="27" t="s">
        <v>11921</v>
      </c>
      <c r="G2971" s="27"/>
      <c r="H2971" s="16" t="str">
        <f>IF(ISBLANK(PARTIDAS!$G2971),PARTIDAS!$F2971,CONCATENATE(PARTIDAS!$F2971," (",PARTIDAS!$G2971,")"))</f>
        <v>Cordones detonantes</v>
      </c>
      <c r="I2971" s="16" t="s">
        <v>9427</v>
      </c>
    </row>
    <row r="2972" spans="1:9" x14ac:dyDescent="0.25">
      <c r="A2972" s="16" t="s">
        <v>11928</v>
      </c>
      <c r="B2972" s="16" t="str">
        <f>TEXT(PARTIDA[[#This Row],[PARTIDA]],"0000000000")</f>
        <v>3603300000</v>
      </c>
      <c r="C2972" s="16" t="s">
        <v>815</v>
      </c>
      <c r="D2972" s="16" t="s">
        <v>835</v>
      </c>
      <c r="E2972" s="16" t="s">
        <v>9467</v>
      </c>
      <c r="F2972" s="27" t="s">
        <v>11929</v>
      </c>
      <c r="G2972" s="27"/>
      <c r="H2972" s="16" t="str">
        <f>IF(ISBLANK(PARTIDAS!$G2972),PARTIDAS!$F2972,CONCATENATE(PARTIDAS!$F2972," (",PARTIDAS!$G2972,")"))</f>
        <v>Cebos fulminantes</v>
      </c>
      <c r="I2972" s="16" t="s">
        <v>9427</v>
      </c>
    </row>
    <row r="2973" spans="1:9" x14ac:dyDescent="0.25">
      <c r="A2973" s="16" t="s">
        <v>11930</v>
      </c>
      <c r="B2973" s="16" t="str">
        <f>TEXT(PARTIDA[[#This Row],[PARTIDA]],"0000000000")</f>
        <v>3603400000</v>
      </c>
      <c r="C2973" s="16" t="s">
        <v>815</v>
      </c>
      <c r="D2973" s="16" t="s">
        <v>835</v>
      </c>
      <c r="E2973" s="16" t="s">
        <v>9467</v>
      </c>
      <c r="F2973" s="27" t="s">
        <v>11923</v>
      </c>
      <c r="G2973" s="27"/>
      <c r="H2973" s="16" t="str">
        <f>IF(ISBLANK(PARTIDAS!$G2973),PARTIDAS!$F2973,CONCATENATE(PARTIDAS!$F2973," (",PARTIDAS!$G2973,")"))</f>
        <v>Cápsulas fulminantes</v>
      </c>
      <c r="I2973" s="16" t="s">
        <v>9427</v>
      </c>
    </row>
    <row r="2974" spans="1:9" x14ac:dyDescent="0.25">
      <c r="A2974" s="16" t="s">
        <v>11931</v>
      </c>
      <c r="B2974" s="16" t="str">
        <f>TEXT(PARTIDA[[#This Row],[PARTIDA]],"0000000000")</f>
        <v>3603500000</v>
      </c>
      <c r="C2974" s="16" t="s">
        <v>815</v>
      </c>
      <c r="D2974" s="16" t="s">
        <v>835</v>
      </c>
      <c r="E2974" s="16" t="s">
        <v>9467</v>
      </c>
      <c r="F2974" s="27" t="s">
        <v>11924</v>
      </c>
      <c r="G2974" s="27"/>
      <c r="H2974" s="16" t="str">
        <f>IF(ISBLANK(PARTIDAS!$G2974),PARTIDAS!$F2974,CONCATENATE(PARTIDAS!$F2974," (",PARTIDAS!$G2974,")"))</f>
        <v>Inflamadores</v>
      </c>
      <c r="I2974" s="16" t="s">
        <v>9427</v>
      </c>
    </row>
    <row r="2975" spans="1:9" x14ac:dyDescent="0.25">
      <c r="A2975" s="16" t="s">
        <v>11932</v>
      </c>
      <c r="B2975" s="16" t="str">
        <f>TEXT(PARTIDA[[#This Row],[PARTIDA]],"0000000000")</f>
        <v>3603600000</v>
      </c>
      <c r="C2975" s="16" t="s">
        <v>815</v>
      </c>
      <c r="D2975" s="16" t="s">
        <v>835</v>
      </c>
      <c r="E2975" s="16" t="s">
        <v>9467</v>
      </c>
      <c r="F2975" s="27" t="s">
        <v>11925</v>
      </c>
      <c r="G2975" s="27"/>
      <c r="H2975" s="16" t="str">
        <f>IF(ISBLANK(PARTIDAS!$G2975),PARTIDAS!$F2975,CONCATENATE(PARTIDAS!$F2975," (",PARTIDAS!$G2975,")"))</f>
        <v>Detonadores eléctricos</v>
      </c>
      <c r="I2975" s="16" t="s">
        <v>9427</v>
      </c>
    </row>
    <row r="2976" spans="1:9" x14ac:dyDescent="0.25">
      <c r="A2976" s="16" t="s">
        <v>3906</v>
      </c>
      <c r="B2976" s="16" t="str">
        <f>TEXT(PARTIDA[[#This Row],[PARTIDA]],"0000000000")</f>
        <v>3604100000</v>
      </c>
      <c r="C2976" s="16" t="s">
        <v>815</v>
      </c>
      <c r="D2976" s="16" t="s">
        <v>835</v>
      </c>
      <c r="E2976" s="16" t="s">
        <v>9467</v>
      </c>
      <c r="F2976" s="27" t="s">
        <v>11933</v>
      </c>
      <c r="G2976" s="27"/>
      <c r="H2976" s="16" t="str">
        <f>IF(ISBLANK(PARTIDAS!$G2976),PARTIDAS!$F2976,CONCATENATE(PARTIDAS!$F2976," (",PARTIDAS!$G2976,")"))</f>
        <v>Artículos para fuegos artificiales</v>
      </c>
      <c r="I2976" s="16" t="s">
        <v>9427</v>
      </c>
    </row>
    <row r="2977" spans="1:9" x14ac:dyDescent="0.25">
      <c r="A2977" s="16" t="s">
        <v>3907</v>
      </c>
      <c r="B2977" s="16" t="str">
        <f>TEXT(PARTIDA[[#This Row],[PARTIDA]],"0000000000")</f>
        <v>3604900000</v>
      </c>
      <c r="C2977" s="16" t="s">
        <v>815</v>
      </c>
      <c r="D2977" s="16" t="s">
        <v>835</v>
      </c>
      <c r="E2977" s="16" t="s">
        <v>9467</v>
      </c>
      <c r="F2977" s="27" t="s">
        <v>11934</v>
      </c>
      <c r="G2977" s="27"/>
      <c r="H2977" s="16" t="str">
        <f>IF(ISBLANK(PARTIDAS!$G2977),PARTIDAS!$F2977,CONCATENATE(PARTIDAS!$F2977," (",PARTIDAS!$G2977,")"))</f>
        <v>Artículos para fuegos artificiales, cohetes de señales o granífugos y… (los demás)</v>
      </c>
      <c r="I2977" s="16" t="s">
        <v>9427</v>
      </c>
    </row>
    <row r="2978" spans="1:9" x14ac:dyDescent="0.25">
      <c r="A2978" s="16" t="s">
        <v>3908</v>
      </c>
      <c r="B2978" s="16" t="str">
        <f>TEXT(PARTIDA[[#This Row],[PARTIDA]],"0000000000")</f>
        <v>3605000000</v>
      </c>
      <c r="C2978" s="16" t="s">
        <v>815</v>
      </c>
      <c r="D2978" s="16" t="s">
        <v>835</v>
      </c>
      <c r="E2978" s="16" t="s">
        <v>9467</v>
      </c>
      <c r="F2978" s="27" t="s">
        <v>3909</v>
      </c>
      <c r="G2978" s="27"/>
      <c r="H2978" s="16" t="str">
        <f>IF(ISBLANK(PARTIDAS!$G2978),PARTIDAS!$F2978,CONCATENATE(PARTIDAS!$F2978," (",PARTIDAS!$G2978,")"))</f>
        <v>Fósforos (cerillas), excepto los artículos de
pirotecnia de la partida 36.04.</v>
      </c>
      <c r="I2978" s="16" t="s">
        <v>9427</v>
      </c>
    </row>
    <row r="2979" spans="1:9" x14ac:dyDescent="0.25">
      <c r="A2979" s="16" t="s">
        <v>3910</v>
      </c>
      <c r="B2979" s="16" t="str">
        <f>TEXT(PARTIDA[[#This Row],[PARTIDA]],"0000000000")</f>
        <v>3606100000</v>
      </c>
      <c r="C2979" s="16" t="s">
        <v>815</v>
      </c>
      <c r="D2979" s="16" t="s">
        <v>835</v>
      </c>
      <c r="E2979" s="16" t="s">
        <v>9467</v>
      </c>
      <c r="F2979" s="27" t="s">
        <v>11935</v>
      </c>
      <c r="G2979" s="27"/>
      <c r="H2979" s="16" t="str">
        <f>IF(ISBLANK(PARTIDAS!$G2979),PARTIDAS!$F2979,CONCATENATE(PARTIDAS!$F2979," (",PARTIDAS!$G2979,")"))</f>
        <v>Combustibles líquidos y gases combustibles licuados en recipientes de los tipos 3utilizados para cargar o recargar encendedores o mecheros, de capacid</v>
      </c>
      <c r="I2979" s="16" t="s">
        <v>9427</v>
      </c>
    </row>
    <row r="2980" spans="1:9" x14ac:dyDescent="0.25">
      <c r="A2980" s="16" t="s">
        <v>3911</v>
      </c>
      <c r="B2980" s="16" t="str">
        <f>TEXT(PARTIDA[[#This Row],[PARTIDA]],"0000000000")</f>
        <v>3606900010</v>
      </c>
      <c r="C2980" s="16" t="s">
        <v>815</v>
      </c>
      <c r="D2980" s="16" t="s">
        <v>835</v>
      </c>
      <c r="E2980" s="16" t="s">
        <v>9467</v>
      </c>
      <c r="F2980" s="27" t="s">
        <v>11936</v>
      </c>
      <c r="G2980" s="27"/>
      <c r="H2980" s="16" t="str">
        <f>IF(ISBLANK(PARTIDAS!$G2980),PARTIDAS!$F2980,CONCATENATE(PARTIDAS!$F2980," (",PARTIDAS!$G2980,")"))</f>
        <v>Ferrocerio y demás aleaciones pirofóricas en cualquier forma</v>
      </c>
      <c r="I2980" s="16" t="s">
        <v>9427</v>
      </c>
    </row>
    <row r="2981" spans="1:9" x14ac:dyDescent="0.25">
      <c r="A2981" s="16" t="s">
        <v>3912</v>
      </c>
      <c r="B2981" s="16" t="str">
        <f>TEXT(PARTIDA[[#This Row],[PARTIDA]],"0000000000")</f>
        <v>3606900090</v>
      </c>
      <c r="C2981" s="16" t="s">
        <v>815</v>
      </c>
      <c r="D2981" s="16" t="s">
        <v>835</v>
      </c>
      <c r="E2981" s="16" t="s">
        <v>9467</v>
      </c>
      <c r="F2981" s="27" t="s">
        <v>11937</v>
      </c>
      <c r="G2981" s="27"/>
      <c r="H2981" s="16" t="str">
        <f>IF(ISBLANK(PARTIDAS!$G2981),PARTIDAS!$F2981,CONCATENATE(PARTIDAS!$F2981," (",PARTIDAS!$G2981,")"))</f>
        <v>Ferrocerio y demás aleaciones pirofóricas en cualquier forma (los demás)</v>
      </c>
      <c r="I2981" s="16" t="s">
        <v>9427</v>
      </c>
    </row>
    <row r="2982" spans="1:9" x14ac:dyDescent="0.25">
      <c r="A2982" s="16" t="s">
        <v>3913</v>
      </c>
      <c r="B2982" s="16" t="str">
        <f>TEXT(PARTIDA[[#This Row],[PARTIDA]],"0000000000")</f>
        <v>3701100000</v>
      </c>
      <c r="C2982" s="16" t="s">
        <v>815</v>
      </c>
      <c r="D2982" s="16" t="s">
        <v>835</v>
      </c>
      <c r="E2982" s="16" t="s">
        <v>9467</v>
      </c>
      <c r="F2982" s="27" t="s">
        <v>11938</v>
      </c>
      <c r="G2982" s="27"/>
      <c r="H2982" s="16" t="str">
        <f>IF(ISBLANK(PARTIDAS!$G2982),PARTIDAS!$F2982,CONCATENATE(PARTIDAS!$F2982," (",PARTIDAS!$G2982,")"))</f>
        <v>Placas y películas planas, fotográficas, sensibilizadas, sin…, para rayos X</v>
      </c>
      <c r="I2982" s="16" t="s">
        <v>9427</v>
      </c>
    </row>
    <row r="2983" spans="1:9" x14ac:dyDescent="0.25">
      <c r="A2983" s="16" t="s">
        <v>3914</v>
      </c>
      <c r="B2983" s="16" t="str">
        <f>TEXT(PARTIDA[[#This Row],[PARTIDA]],"0000000000")</f>
        <v>3701200000</v>
      </c>
      <c r="C2983" s="16" t="s">
        <v>815</v>
      </c>
      <c r="D2983" s="16" t="s">
        <v>835</v>
      </c>
      <c r="E2983" s="16" t="s">
        <v>9467</v>
      </c>
      <c r="F2983" s="27" t="s">
        <v>11939</v>
      </c>
      <c r="G2983" s="27"/>
      <c r="H2983" s="16" t="str">
        <f>IF(ISBLANK(PARTIDAS!$G2983),PARTIDAS!$F2983,CONCATENATE(PARTIDAS!$F2983," (",PARTIDAS!$G2983,")"))</f>
        <v>Películas autorrevelables</v>
      </c>
      <c r="I2983" s="16" t="s">
        <v>9427</v>
      </c>
    </row>
    <row r="2984" spans="1:9" x14ac:dyDescent="0.25">
      <c r="A2984" s="16" t="s">
        <v>3915</v>
      </c>
      <c r="B2984" s="16" t="str">
        <f>TEXT(PARTIDA[[#This Row],[PARTIDA]],"0000000000")</f>
        <v>3701301000</v>
      </c>
      <c r="C2984" s="16" t="s">
        <v>815</v>
      </c>
      <c r="D2984" s="16" t="s">
        <v>835</v>
      </c>
      <c r="E2984" s="16" t="s">
        <v>9467</v>
      </c>
      <c r="F2984" s="27" t="s">
        <v>3916</v>
      </c>
      <c r="G2984" s="27"/>
      <c r="H2984" s="16" t="str">
        <f>IF(ISBLANK(PARTIDAS!$G2984),PARTIDAS!$F2984,CONCATENATE(PARTIDAS!$F2984," (",PARTIDAS!$G2984,")"))</f>
        <v>Placas metálicas para artes gráficas</v>
      </c>
      <c r="I2984" s="16" t="s">
        <v>9427</v>
      </c>
    </row>
    <row r="2985" spans="1:9" x14ac:dyDescent="0.25">
      <c r="A2985" s="16" t="s">
        <v>3917</v>
      </c>
      <c r="B2985" s="16" t="str">
        <f>TEXT(PARTIDA[[#This Row],[PARTIDA]],"0000000000")</f>
        <v>3701309000</v>
      </c>
      <c r="C2985" s="16" t="s">
        <v>815</v>
      </c>
      <c r="D2985" s="16" t="s">
        <v>835</v>
      </c>
      <c r="E2985" s="16" t="s">
        <v>9467</v>
      </c>
      <c r="F2985" s="27" t="s">
        <v>11940</v>
      </c>
      <c r="G2985" s="27"/>
      <c r="H2985" s="16" t="str">
        <f>IF(ISBLANK(PARTIDAS!$G2985),PARTIDAS!$F2985,CONCATENATE(PARTIDAS!$F2985," (",PARTIDAS!$G2985,")"))</f>
        <v>Placas y películas planas, fotográficas, sensibilizadas, sin… (los demás)</v>
      </c>
      <c r="I2985" s="16" t="s">
        <v>9427</v>
      </c>
    </row>
    <row r="2986" spans="1:9" x14ac:dyDescent="0.25">
      <c r="A2986" s="16" t="s">
        <v>3918</v>
      </c>
      <c r="B2986" s="16" t="str">
        <f>TEXT(PARTIDA[[#This Row],[PARTIDA]],"0000000000")</f>
        <v>3701910000</v>
      </c>
      <c r="C2986" s="16" t="s">
        <v>815</v>
      </c>
      <c r="D2986" s="16" t="s">
        <v>835</v>
      </c>
      <c r="E2986" s="16" t="s">
        <v>9467</v>
      </c>
      <c r="F2986" s="27" t="s">
        <v>11941</v>
      </c>
      <c r="G2986" s="27"/>
      <c r="H2986" s="16" t="str">
        <f>IF(ISBLANK(PARTIDAS!$G2986),PARTIDAS!$F2986,CONCATENATE(PARTIDAS!$F2986," (",PARTIDAS!$G2986,")"))</f>
        <v>Placas y películas planas, fotográficas, sensibilizadas, sin…, para fotografía en colores (policroma)</v>
      </c>
      <c r="I2986" s="16" t="s">
        <v>9427</v>
      </c>
    </row>
    <row r="2987" spans="1:9" x14ac:dyDescent="0.25">
      <c r="A2987" s="16" t="s">
        <v>3919</v>
      </c>
      <c r="B2987" s="16" t="str">
        <f>TEXT(PARTIDA[[#This Row],[PARTIDA]],"0000000000")</f>
        <v>3701990000</v>
      </c>
      <c r="C2987" s="16" t="s">
        <v>815</v>
      </c>
      <c r="D2987" s="16" t="s">
        <v>835</v>
      </c>
      <c r="E2987" s="16" t="s">
        <v>9467</v>
      </c>
      <c r="F2987" s="27" t="s">
        <v>11940</v>
      </c>
      <c r="G2987" s="27"/>
      <c r="H2987" s="16" t="str">
        <f>IF(ISBLANK(PARTIDAS!$G2987),PARTIDAS!$F2987,CONCATENATE(PARTIDAS!$F2987," (",PARTIDAS!$G2987,")"))</f>
        <v>Placas y películas planas, fotográficas, sensibilizadas, sin… (los demás)</v>
      </c>
      <c r="I2987" s="16" t="s">
        <v>9427</v>
      </c>
    </row>
    <row r="2988" spans="1:9" x14ac:dyDescent="0.25">
      <c r="A2988" s="16" t="s">
        <v>3920</v>
      </c>
      <c r="B2988" s="16" t="str">
        <f>TEXT(PARTIDA[[#This Row],[PARTIDA]],"0000000000")</f>
        <v>3702100000</v>
      </c>
      <c r="C2988" s="16" t="s">
        <v>815</v>
      </c>
      <c r="D2988" s="16" t="s">
        <v>835</v>
      </c>
      <c r="E2988" s="16" t="s">
        <v>9467</v>
      </c>
      <c r="F2988" s="27" t="s">
        <v>11942</v>
      </c>
      <c r="G2988" s="27"/>
      <c r="H2988" s="16" t="str">
        <f>IF(ISBLANK(PARTIDAS!$G2988),PARTIDAS!$F2988,CONCATENATE(PARTIDAS!$F2988," (",PARTIDAS!$G2988,")"))</f>
        <v>Películas fotográficas en rollos, sensibilizadas, sin impresionar, para rayos X</v>
      </c>
      <c r="I2988" s="16" t="s">
        <v>9427</v>
      </c>
    </row>
    <row r="2989" spans="1:9" x14ac:dyDescent="0.25">
      <c r="A2989" s="16" t="s">
        <v>3921</v>
      </c>
      <c r="B2989" s="16" t="str">
        <f>TEXT(PARTIDA[[#This Row],[PARTIDA]],"0000000000")</f>
        <v>3702310000</v>
      </c>
      <c r="C2989" s="16" t="s">
        <v>815</v>
      </c>
      <c r="D2989" s="16" t="s">
        <v>835</v>
      </c>
      <c r="E2989" s="16" t="s">
        <v>9467</v>
      </c>
      <c r="F2989" s="27" t="s">
        <v>11943</v>
      </c>
      <c r="G2989" s="27"/>
      <c r="H2989" s="16" t="str">
        <f>IF(ISBLANK(PARTIDAS!$G2989),PARTIDAS!$F2989,CONCATENATE(PARTIDAS!$F2989," (",PARTIDAS!$G2989,")"))</f>
        <v>Películas fotográficas en rollos, sensibilizadas, sin impresionar, para fotografía en colores (policroma)</v>
      </c>
      <c r="I2989" s="16" t="s">
        <v>9427</v>
      </c>
    </row>
    <row r="2990" spans="1:9" x14ac:dyDescent="0.25">
      <c r="A2990" s="16" t="s">
        <v>3922</v>
      </c>
      <c r="B2990" s="16" t="str">
        <f>TEXT(PARTIDA[[#This Row],[PARTIDA]],"0000000000")</f>
        <v>3702320000</v>
      </c>
      <c r="C2990" s="16" t="s">
        <v>815</v>
      </c>
      <c r="D2990" s="16" t="s">
        <v>835</v>
      </c>
      <c r="E2990" s="16" t="s">
        <v>9467</v>
      </c>
      <c r="F2990" s="27" t="s">
        <v>11944</v>
      </c>
      <c r="G2990" s="27"/>
      <c r="H2990" s="16" t="str">
        <f>IF(ISBLANK(PARTIDAS!$G2990),PARTIDAS!$F2990,CONCATENATE(PARTIDAS!$F2990," (",PARTIDAS!$G2990,")"))</f>
        <v>Películas fotográficas en rollos, sensibilizadas, sin impresionar (los demás, con emulsión de halogenuros de plata)</v>
      </c>
      <c r="I2990" s="16" t="s">
        <v>9427</v>
      </c>
    </row>
    <row r="2991" spans="1:9" x14ac:dyDescent="0.25">
      <c r="A2991" s="16" t="s">
        <v>3923</v>
      </c>
      <c r="B2991" s="16" t="str">
        <f>TEXT(PARTIDA[[#This Row],[PARTIDA]],"0000000000")</f>
        <v>3702390000</v>
      </c>
      <c r="C2991" s="16" t="s">
        <v>815</v>
      </c>
      <c r="D2991" s="16" t="s">
        <v>835</v>
      </c>
      <c r="E2991" s="16" t="s">
        <v>9467</v>
      </c>
      <c r="F2991" s="27" t="s">
        <v>11945</v>
      </c>
      <c r="G2991" s="27"/>
      <c r="H2991" s="16" t="str">
        <f>IF(ISBLANK(PARTIDAS!$G2991),PARTIDAS!$F2991,CONCATENATE(PARTIDAS!$F2991," (",PARTIDAS!$G2991,")"))</f>
        <v>Películas fotográficas en rollos, sensibilizadas, sin impresionar (los demás)</v>
      </c>
      <c r="I2991" s="16" t="s">
        <v>9427</v>
      </c>
    </row>
    <row r="2992" spans="1:9" x14ac:dyDescent="0.25">
      <c r="A2992" s="16" t="s">
        <v>3924</v>
      </c>
      <c r="B2992" s="16" t="str">
        <f>TEXT(PARTIDA[[#This Row],[PARTIDA]],"0000000000")</f>
        <v>3702410000</v>
      </c>
      <c r="C2992" s="16" t="s">
        <v>815</v>
      </c>
      <c r="D2992" s="16" t="s">
        <v>835</v>
      </c>
      <c r="E2992" s="16" t="s">
        <v>9467</v>
      </c>
      <c r="F2992" s="27" t="s">
        <v>11946</v>
      </c>
      <c r="G2992" s="27"/>
      <c r="H2992" s="16" t="str">
        <f>IF(ISBLANK(PARTIDAS!$G2992),PARTIDAS!$F2992,CONCATENATE(PARTIDAS!$F2992," (",PARTIDAS!$G2992,")"))</f>
        <v>Películas fotográficas en rollos, sensibilizadas, sin impresionar, de anchura superior a 610 mm y longitud superior a 200 m, para fotografía en colore</v>
      </c>
      <c r="I2992" s="16" t="s">
        <v>9427</v>
      </c>
    </row>
    <row r="2993" spans="1:9" x14ac:dyDescent="0.25">
      <c r="A2993" s="16" t="s">
        <v>3925</v>
      </c>
      <c r="B2993" s="16" t="str">
        <f>TEXT(PARTIDA[[#This Row],[PARTIDA]],"0000000000")</f>
        <v>3702420000</v>
      </c>
      <c r="C2993" s="16" t="s">
        <v>815</v>
      </c>
      <c r="D2993" s="16" t="s">
        <v>835</v>
      </c>
      <c r="E2993" s="16" t="s">
        <v>9467</v>
      </c>
      <c r="F2993" s="27" t="s">
        <v>11947</v>
      </c>
      <c r="G2993" s="27"/>
      <c r="H2993" s="16" t="str">
        <f>IF(ISBLANK(PARTIDAS!$G2993),PARTIDAS!$F2993,CONCATENATE(PARTIDAS!$F2993," (",PARTIDAS!$G2993,")"))</f>
        <v>Películas fotográficas en rollos, sensibilizadas, sin impresionar, de anchura superior a 610 mm y longitud superior a 200 m, excepto para fotografía e</v>
      </c>
      <c r="I2993" s="16" t="s">
        <v>9427</v>
      </c>
    </row>
    <row r="2994" spans="1:9" x14ac:dyDescent="0.25">
      <c r="A2994" s="16" t="s">
        <v>3926</v>
      </c>
      <c r="B2994" s="16" t="str">
        <f>TEXT(PARTIDA[[#This Row],[PARTIDA]],"0000000000")</f>
        <v>3702430000</v>
      </c>
      <c r="C2994" s="16" t="s">
        <v>815</v>
      </c>
      <c r="D2994" s="16" t="s">
        <v>835</v>
      </c>
      <c r="E2994" s="16" t="s">
        <v>9467</v>
      </c>
      <c r="F2994" s="27" t="s">
        <v>11948</v>
      </c>
      <c r="G2994" s="27"/>
      <c r="H2994" s="16" t="str">
        <f>IF(ISBLANK(PARTIDAS!$G2994),PARTIDAS!$F2994,CONCATENATE(PARTIDAS!$F2994," (",PARTIDAS!$G2994,")"))</f>
        <v>Películas fotográficas en rollos, sensibilizadas, sin impresionar, de anchura superior a 610 mm y de longitud inferior o igual a 200 m</v>
      </c>
      <c r="I2994" s="16" t="s">
        <v>9427</v>
      </c>
    </row>
    <row r="2995" spans="1:9" x14ac:dyDescent="0.25">
      <c r="A2995" s="16" t="s">
        <v>3927</v>
      </c>
      <c r="B2995" s="16" t="str">
        <f>TEXT(PARTIDA[[#This Row],[PARTIDA]],"0000000000")</f>
        <v>3702440000</v>
      </c>
      <c r="C2995" s="16" t="s">
        <v>815</v>
      </c>
      <c r="D2995" s="16" t="s">
        <v>835</v>
      </c>
      <c r="E2995" s="16" t="s">
        <v>9467</v>
      </c>
      <c r="F2995" s="27" t="s">
        <v>11949</v>
      </c>
      <c r="G2995" s="27"/>
      <c r="H2995" s="16" t="str">
        <f>IF(ISBLANK(PARTIDAS!$G2995),PARTIDAS!$F2995,CONCATENATE(PARTIDAS!$F2995," (",PARTIDAS!$G2995,")"))</f>
        <v>Películas fotográficas en rollos, sensibilizadas, sin impresionar, de anchura superior a 105 mm pero inferior o igual a 610 mm</v>
      </c>
      <c r="I2995" s="16" t="s">
        <v>9427</v>
      </c>
    </row>
    <row r="2996" spans="1:9" x14ac:dyDescent="0.25">
      <c r="A2996" s="16" t="s">
        <v>3928</v>
      </c>
      <c r="B2996" s="16" t="str">
        <f>TEXT(PARTIDA[[#This Row],[PARTIDA]],"0000000000")</f>
        <v>3702520000</v>
      </c>
      <c r="C2996" s="16" t="s">
        <v>815</v>
      </c>
      <c r="D2996" s="16" t="s">
        <v>835</v>
      </c>
      <c r="E2996" s="16" t="s">
        <v>9467</v>
      </c>
      <c r="F2996" s="27" t="s">
        <v>11950</v>
      </c>
      <c r="G2996" s="27"/>
      <c r="H2996" s="16" t="str">
        <f>IF(ISBLANK(PARTIDAS!$G2996),PARTIDAS!$F2996,CONCATENATE(PARTIDAS!$F2996," (",PARTIDAS!$G2996,")"))</f>
        <v>Películas fotográficas en rollos, sensibilizadas, sin impresionar, de anchura inferior o igual a 16 mm</v>
      </c>
      <c r="I2996" s="16" t="s">
        <v>9427</v>
      </c>
    </row>
    <row r="2997" spans="1:9" x14ac:dyDescent="0.25">
      <c r="A2997" s="16" t="s">
        <v>3929</v>
      </c>
      <c r="B2997" s="16" t="str">
        <f>TEXT(PARTIDA[[#This Row],[PARTIDA]],"0000000000")</f>
        <v>3702530000</v>
      </c>
      <c r="C2997" s="16" t="s">
        <v>815</v>
      </c>
      <c r="D2997" s="16" t="s">
        <v>835</v>
      </c>
      <c r="E2997" s="16" t="s">
        <v>9467</v>
      </c>
      <c r="F2997" s="27" t="s">
        <v>11951</v>
      </c>
      <c r="G2997" s="27"/>
      <c r="H2997" s="16" t="str">
        <f>IF(ISBLANK(PARTIDAS!$G2997),PARTIDAS!$F2997,CONCATENATE(PARTIDAS!$F2997," (",PARTIDAS!$G2997,")"))</f>
        <v>Películas fotográficas en rollos, sensibilizadas, sin impresionar, de anchura superior a 16 mm pero inferior o igual a 35 mm y longitud inferior o igu</v>
      </c>
      <c r="I2997" s="16" t="s">
        <v>9427</v>
      </c>
    </row>
    <row r="2998" spans="1:9" x14ac:dyDescent="0.25">
      <c r="A2998" s="16" t="s">
        <v>3930</v>
      </c>
      <c r="B2998" s="16" t="str">
        <f>TEXT(PARTIDA[[#This Row],[PARTIDA]],"0000000000")</f>
        <v>3702540000</v>
      </c>
      <c r="C2998" s="16" t="s">
        <v>815</v>
      </c>
      <c r="D2998" s="16" t="s">
        <v>835</v>
      </c>
      <c r="E2998" s="16" t="s">
        <v>9467</v>
      </c>
      <c r="F2998" s="27" t="s">
        <v>11951</v>
      </c>
      <c r="G2998" s="27"/>
      <c r="H2998" s="16" t="str">
        <f>IF(ISBLANK(PARTIDAS!$G2998),PARTIDAS!$F2998,CONCATENATE(PARTIDAS!$F2998," (",PARTIDAS!$G2998,")"))</f>
        <v>Películas fotográficas en rollos, sensibilizadas, sin impresionar, de anchura superior a 16 mm pero inferior o igual a 35 mm y longitud inferior o igu</v>
      </c>
      <c r="I2998" s="16" t="s">
        <v>9427</v>
      </c>
    </row>
    <row r="2999" spans="1:9" x14ac:dyDescent="0.25">
      <c r="A2999" s="16" t="s">
        <v>3931</v>
      </c>
      <c r="B2999" s="16" t="str">
        <f>TEXT(PARTIDA[[#This Row],[PARTIDA]],"0000000000")</f>
        <v>3702550000</v>
      </c>
      <c r="C2999" s="16" t="s">
        <v>815</v>
      </c>
      <c r="D2999" s="16" t="s">
        <v>835</v>
      </c>
      <c r="E2999" s="16" t="s">
        <v>9467</v>
      </c>
      <c r="F2999" s="27" t="s">
        <v>11952</v>
      </c>
      <c r="G2999" s="27"/>
      <c r="H2999" s="16" t="str">
        <f>IF(ISBLANK(PARTIDAS!$G2999),PARTIDAS!$F2999,CONCATENATE(PARTIDAS!$F2999," (",PARTIDAS!$G2999,")"))</f>
        <v xml:space="preserve">Películas fotográficas en rollos, sensibilizadas, sin impresionar, de anchura superior a 16 mm pero inferior o igual a 35 mm y longitud superior a 30 </v>
      </c>
      <c r="I2999" s="16" t="s">
        <v>9427</v>
      </c>
    </row>
    <row r="3000" spans="1:9" x14ac:dyDescent="0.25">
      <c r="A3000" s="16" t="s">
        <v>3932</v>
      </c>
      <c r="B3000" s="16" t="str">
        <f>TEXT(PARTIDA[[#This Row],[PARTIDA]],"0000000000")</f>
        <v>3702560000</v>
      </c>
      <c r="C3000" s="16" t="s">
        <v>815</v>
      </c>
      <c r="D3000" s="16" t="s">
        <v>835</v>
      </c>
      <c r="E3000" s="16" t="s">
        <v>9467</v>
      </c>
      <c r="F3000" s="27" t="s">
        <v>11953</v>
      </c>
      <c r="G3000" s="27"/>
      <c r="H3000" s="16" t="str">
        <f>IF(ISBLANK(PARTIDAS!$G3000),PARTIDAS!$F3000,CONCATENATE(PARTIDAS!$F3000," (",PARTIDAS!$G3000,")"))</f>
        <v>Películas fotográficas en rollos, sensibilizadas, sin impresionar, de anchura superior a 35 mm</v>
      </c>
      <c r="I3000" s="16" t="s">
        <v>9427</v>
      </c>
    </row>
    <row r="3001" spans="1:9" x14ac:dyDescent="0.25">
      <c r="A3001" s="16" t="s">
        <v>3933</v>
      </c>
      <c r="B3001" s="16" t="str">
        <f>TEXT(PARTIDA[[#This Row],[PARTIDA]],"0000000000")</f>
        <v>3702960000</v>
      </c>
      <c r="C3001" s="16" t="s">
        <v>815</v>
      </c>
      <c r="D3001" s="16" t="s">
        <v>835</v>
      </c>
      <c r="E3001" s="16" t="s">
        <v>9467</v>
      </c>
      <c r="F3001" s="27" t="s">
        <v>11954</v>
      </c>
      <c r="G3001" s="27"/>
      <c r="H3001" s="16" t="str">
        <f>IF(ISBLANK(PARTIDAS!$G3001),PARTIDAS!$F3001,CONCATENATE(PARTIDAS!$F3001," (",PARTIDAS!$G3001,")"))</f>
        <v>Películas fotográficas en rollos, sensibilizadas, sin impresionar, de anchura inferior o igual a 35 mm y longitud inferior o igual a 30 m</v>
      </c>
      <c r="I3001" s="16" t="s">
        <v>9427</v>
      </c>
    </row>
    <row r="3002" spans="1:9" x14ac:dyDescent="0.25">
      <c r="A3002" s="16" t="s">
        <v>3934</v>
      </c>
      <c r="B3002" s="16" t="str">
        <f>TEXT(PARTIDA[[#This Row],[PARTIDA]],"0000000000")</f>
        <v>3702970000</v>
      </c>
      <c r="C3002" s="16" t="s">
        <v>815</v>
      </c>
      <c r="D3002" s="16" t="s">
        <v>835</v>
      </c>
      <c r="E3002" s="16" t="s">
        <v>9467</v>
      </c>
      <c r="F3002" s="27" t="s">
        <v>11955</v>
      </c>
      <c r="G3002" s="27"/>
      <c r="H3002" s="16" t="str">
        <f>IF(ISBLANK(PARTIDAS!$G3002),PARTIDAS!$F3002,CONCATENATE(PARTIDAS!$F3002," (",PARTIDAS!$G3002,")"))</f>
        <v>Películas fotográficas en rollos, sensibilizadas, sin impresionar, de anchura inferior o igual a 35 mm y longitud superior a 30 m</v>
      </c>
      <c r="I3002" s="16" t="s">
        <v>9427</v>
      </c>
    </row>
    <row r="3003" spans="1:9" x14ac:dyDescent="0.25">
      <c r="A3003" s="16" t="s">
        <v>3935</v>
      </c>
      <c r="B3003" s="16" t="str">
        <f>TEXT(PARTIDA[[#This Row],[PARTIDA]],"0000000000")</f>
        <v>3702980000</v>
      </c>
      <c r="C3003" s="16" t="s">
        <v>815</v>
      </c>
      <c r="D3003" s="16" t="s">
        <v>835</v>
      </c>
      <c r="E3003" s="16" t="s">
        <v>9467</v>
      </c>
      <c r="F3003" s="27" t="s">
        <v>11953</v>
      </c>
      <c r="G3003" s="27"/>
      <c r="H3003" s="16" t="str">
        <f>IF(ISBLANK(PARTIDAS!$G3003),PARTIDAS!$F3003,CONCATENATE(PARTIDAS!$F3003," (",PARTIDAS!$G3003,")"))</f>
        <v>Películas fotográficas en rollos, sensibilizadas, sin impresionar, de anchura superior a 35 mm</v>
      </c>
      <c r="I3003" s="16" t="s">
        <v>9427</v>
      </c>
    </row>
    <row r="3004" spans="1:9" x14ac:dyDescent="0.25">
      <c r="A3004" s="16" t="s">
        <v>3936</v>
      </c>
      <c r="B3004" s="16" t="str">
        <f>TEXT(PARTIDA[[#This Row],[PARTIDA]],"0000000000")</f>
        <v>3703100000</v>
      </c>
      <c r="C3004" s="16" t="s">
        <v>815</v>
      </c>
      <c r="D3004" s="16" t="s">
        <v>835</v>
      </c>
      <c r="E3004" s="16" t="s">
        <v>9467</v>
      </c>
      <c r="F3004" s="27" t="s">
        <v>11956</v>
      </c>
      <c r="G3004" s="27"/>
      <c r="H3004" s="16" t="str">
        <f>IF(ISBLANK(PARTIDAS!$G3004),PARTIDAS!$F3004,CONCATENATE(PARTIDAS!$F3004," (",PARTIDAS!$G3004,")"))</f>
        <v>Papel, cartón y textiles, fotográficos, sensibilizados, sin…, en rollos de anchura superior a 610 mm</v>
      </c>
      <c r="I3004" s="16" t="s">
        <v>9427</v>
      </c>
    </row>
    <row r="3005" spans="1:9" x14ac:dyDescent="0.25">
      <c r="A3005" s="16" t="s">
        <v>3937</v>
      </c>
      <c r="B3005" s="16" t="str">
        <f>TEXT(PARTIDA[[#This Row],[PARTIDA]],"0000000000")</f>
        <v>3703200000</v>
      </c>
      <c r="C3005" s="16" t="s">
        <v>815</v>
      </c>
      <c r="D3005" s="16" t="s">
        <v>835</v>
      </c>
      <c r="E3005" s="16" t="s">
        <v>9467</v>
      </c>
      <c r="F3005" s="27" t="s">
        <v>11957</v>
      </c>
      <c r="G3005" s="27"/>
      <c r="H3005" s="16" t="str">
        <f>IF(ISBLANK(PARTIDAS!$G3005),PARTIDAS!$F3005,CONCATENATE(PARTIDAS!$F3005," (",PARTIDAS!$G3005,")"))</f>
        <v>Papel, cartón y textiles, fotográficos, sensibilizados, sin… (los demás, para fotografía en colores (policroma))</v>
      </c>
      <c r="I3005" s="16" t="s">
        <v>9427</v>
      </c>
    </row>
    <row r="3006" spans="1:9" x14ac:dyDescent="0.25">
      <c r="A3006" s="16" t="s">
        <v>3938</v>
      </c>
      <c r="B3006" s="16" t="str">
        <f>TEXT(PARTIDA[[#This Row],[PARTIDA]],"0000000000")</f>
        <v>3703900000</v>
      </c>
      <c r="C3006" s="16" t="s">
        <v>815</v>
      </c>
      <c r="D3006" s="16" t="s">
        <v>835</v>
      </c>
      <c r="E3006" s="16" t="s">
        <v>9467</v>
      </c>
      <c r="F3006" s="27" t="s">
        <v>11958</v>
      </c>
      <c r="G3006" s="27"/>
      <c r="H3006" s="16" t="str">
        <f>IF(ISBLANK(PARTIDAS!$G3006),PARTIDAS!$F3006,CONCATENATE(PARTIDAS!$F3006," (",PARTIDAS!$G3006,")"))</f>
        <v>Papel, cartón y textiles, fotográficos, sensibilizados, sin… (los demás)</v>
      </c>
      <c r="I3006" s="16" t="s">
        <v>9427</v>
      </c>
    </row>
    <row r="3007" spans="1:9" x14ac:dyDescent="0.25">
      <c r="A3007" s="16" t="s">
        <v>3939</v>
      </c>
      <c r="B3007" s="16" t="str">
        <f>TEXT(PARTIDA[[#This Row],[PARTIDA]],"0000000000")</f>
        <v>3704000000</v>
      </c>
      <c r="C3007" s="16" t="s">
        <v>815</v>
      </c>
      <c r="D3007" s="16" t="s">
        <v>835</v>
      </c>
      <c r="E3007" s="16" t="s">
        <v>9467</v>
      </c>
      <c r="F3007" s="27" t="s">
        <v>3940</v>
      </c>
      <c r="G3007" s="27"/>
      <c r="H3007" s="16" t="str">
        <f>IF(ISBLANK(PARTIDAS!$G3007),PARTIDAS!$F3007,CONCATENATE(PARTIDAS!$F3007," (",PARTIDAS!$G3007,")"))</f>
        <v>Placas, películas, papel, cartón y textiles,
fotográficos, impresionados pero sin revelar.</v>
      </c>
      <c r="I3007" s="16" t="s">
        <v>9427</v>
      </c>
    </row>
    <row r="3008" spans="1:9" x14ac:dyDescent="0.25">
      <c r="A3008" s="16" t="s">
        <v>3941</v>
      </c>
      <c r="B3008" s="16" t="str">
        <f>TEXT(PARTIDA[[#This Row],[PARTIDA]],"0000000000")</f>
        <v>3705000010</v>
      </c>
      <c r="C3008" s="16" t="s">
        <v>815</v>
      </c>
      <c r="D3008" s="16" t="s">
        <v>835</v>
      </c>
      <c r="E3008" s="16" t="s">
        <v>9467</v>
      </c>
      <c r="F3008" s="27" t="s">
        <v>11959</v>
      </c>
      <c r="G3008" s="27"/>
      <c r="H3008" s="16" t="str">
        <f>IF(ISBLANK(PARTIDAS!$G3008),PARTIDAS!$F3008,CONCATENATE(PARTIDAS!$F3008," (",PARTIDAS!$G3008,")"))</f>
        <v>Papel, cartón y textiles, fotográficos, sensibilizados, sin…, para la reproducción offset</v>
      </c>
      <c r="I3008" s="16" t="s">
        <v>9427</v>
      </c>
    </row>
    <row r="3009" spans="1:9" x14ac:dyDescent="0.25">
      <c r="A3009" s="16" t="s">
        <v>3942</v>
      </c>
      <c r="B3009" s="16" t="str">
        <f>TEXT(PARTIDA[[#This Row],[PARTIDA]],"0000000000")</f>
        <v>3705000090</v>
      </c>
      <c r="C3009" s="16" t="s">
        <v>815</v>
      </c>
      <c r="D3009" s="16" t="s">
        <v>835</v>
      </c>
      <c r="E3009" s="16" t="s">
        <v>9467</v>
      </c>
      <c r="F3009" s="27" t="s">
        <v>11958</v>
      </c>
      <c r="G3009" s="27"/>
      <c r="H3009" s="16" t="str">
        <f>IF(ISBLANK(PARTIDAS!$G3009),PARTIDAS!$F3009,CONCATENATE(PARTIDAS!$F3009," (",PARTIDAS!$G3009,")"))</f>
        <v>Papel, cartón y textiles, fotográficos, sensibilizados, sin… (los demás)</v>
      </c>
      <c r="I3009" s="16" t="s">
        <v>9427</v>
      </c>
    </row>
    <row r="3010" spans="1:9" x14ac:dyDescent="0.25">
      <c r="A3010" s="16" t="s">
        <v>3943</v>
      </c>
      <c r="B3010" s="16" t="str">
        <f>TEXT(PARTIDA[[#This Row],[PARTIDA]],"0000000000")</f>
        <v>3706100000</v>
      </c>
      <c r="C3010" s="16" t="s">
        <v>815</v>
      </c>
      <c r="D3010" s="16" t="s">
        <v>835</v>
      </c>
      <c r="E3010" s="16" t="s">
        <v>9467</v>
      </c>
      <c r="F3010" s="27" t="s">
        <v>11960</v>
      </c>
      <c r="G3010" s="27"/>
      <c r="H3010" s="16" t="str">
        <f>IF(ISBLANK(PARTIDAS!$G3010),PARTIDAS!$F3010,CONCATENATE(PARTIDAS!$F3010," (",PARTIDAS!$G3010,")"))</f>
        <v>Películas cinematográficas (filmes), impresionadas y reveladas, con…, de anchura superior o igual a 35 mm</v>
      </c>
      <c r="I3010" s="16" t="s">
        <v>9427</v>
      </c>
    </row>
    <row r="3011" spans="1:9" x14ac:dyDescent="0.25">
      <c r="A3011" s="16" t="s">
        <v>3944</v>
      </c>
      <c r="B3011" s="16" t="str">
        <f>TEXT(PARTIDA[[#This Row],[PARTIDA]],"0000000000")</f>
        <v>3706900000</v>
      </c>
      <c r="C3011" s="16" t="s">
        <v>815</v>
      </c>
      <c r="D3011" s="16" t="s">
        <v>835</v>
      </c>
      <c r="E3011" s="16" t="s">
        <v>9467</v>
      </c>
      <c r="F3011" s="27" t="s">
        <v>11961</v>
      </c>
      <c r="G3011" s="27"/>
      <c r="H3011" s="16" t="str">
        <f>IF(ISBLANK(PARTIDAS!$G3011),PARTIDAS!$F3011,CONCATENATE(PARTIDAS!$F3011," (",PARTIDAS!$G3011,")"))</f>
        <v>Películas cinematográficas (filmes), impresionadas y reveladas, con… (los demás)</v>
      </c>
      <c r="I3011" s="16" t="s">
        <v>9427</v>
      </c>
    </row>
    <row r="3012" spans="1:9" x14ac:dyDescent="0.25">
      <c r="A3012" s="16" t="s">
        <v>3945</v>
      </c>
      <c r="B3012" s="16" t="str">
        <f>TEXT(PARTIDA[[#This Row],[PARTIDA]],"0000000000")</f>
        <v>3707100000</v>
      </c>
      <c r="C3012" s="16" t="s">
        <v>815</v>
      </c>
      <c r="D3012" s="16" t="s">
        <v>835</v>
      </c>
      <c r="E3012" s="16" t="s">
        <v>9467</v>
      </c>
      <c r="F3012" s="27" t="s">
        <v>11962</v>
      </c>
      <c r="G3012" s="27"/>
      <c r="H3012" s="16" t="str">
        <f>IF(ISBLANK(PARTIDAS!$G3012),PARTIDAS!$F3012,CONCATENATE(PARTIDAS!$F3012," (",PARTIDAS!$G3012,")"))</f>
        <v>Emulsiones para sensibilizar superficies</v>
      </c>
      <c r="I3012" s="16" t="s">
        <v>9427</v>
      </c>
    </row>
    <row r="3013" spans="1:9" x14ac:dyDescent="0.25">
      <c r="A3013" s="16" t="s">
        <v>3946</v>
      </c>
      <c r="B3013" s="16" t="str">
        <f>TEXT(PARTIDA[[#This Row],[PARTIDA]],"0000000000")</f>
        <v>3707900000</v>
      </c>
      <c r="C3013" s="16" t="s">
        <v>815</v>
      </c>
      <c r="D3013" s="16" t="s">
        <v>835</v>
      </c>
      <c r="E3013" s="16" t="s">
        <v>9467</v>
      </c>
      <c r="F3013" s="27" t="s">
        <v>11963</v>
      </c>
      <c r="G3013" s="27"/>
      <c r="H3013" s="16" t="str">
        <f>IF(ISBLANK(PARTIDAS!$G3013),PARTIDAS!$F3013,CONCATENATE(PARTIDAS!$F3013," (",PARTIDAS!$G3013,")"))</f>
        <v>Preparaciones químicas para uso fotográfico (los demás)</v>
      </c>
      <c r="I3013" s="16" t="s">
        <v>9427</v>
      </c>
    </row>
    <row r="3014" spans="1:9" x14ac:dyDescent="0.25">
      <c r="A3014" s="16" t="s">
        <v>3947</v>
      </c>
      <c r="B3014" s="16" t="str">
        <f>TEXT(PARTIDA[[#This Row],[PARTIDA]],"0000000000")</f>
        <v>3801100000</v>
      </c>
      <c r="C3014" s="16" t="s">
        <v>815</v>
      </c>
      <c r="D3014" s="16" t="s">
        <v>835</v>
      </c>
      <c r="E3014" s="16" t="s">
        <v>9467</v>
      </c>
      <c r="F3014" s="27" t="s">
        <v>11964</v>
      </c>
      <c r="G3014" s="27"/>
      <c r="H3014" s="16" t="str">
        <f>IF(ISBLANK(PARTIDAS!$G3014),PARTIDAS!$F3014,CONCATENATE(PARTIDAS!$F3014," (",PARTIDAS!$G3014,")"))</f>
        <v>Grafito artificial</v>
      </c>
      <c r="I3014" s="16" t="s">
        <v>9427</v>
      </c>
    </row>
    <row r="3015" spans="1:9" x14ac:dyDescent="0.25">
      <c r="A3015" s="16" t="s">
        <v>3948</v>
      </c>
      <c r="B3015" s="16" t="str">
        <f>TEXT(PARTIDA[[#This Row],[PARTIDA]],"0000000000")</f>
        <v>3801200000</v>
      </c>
      <c r="C3015" s="16" t="s">
        <v>815</v>
      </c>
      <c r="D3015" s="16" t="s">
        <v>835</v>
      </c>
      <c r="E3015" s="16" t="s">
        <v>9467</v>
      </c>
      <c r="F3015" s="27" t="s">
        <v>11965</v>
      </c>
      <c r="G3015" s="27"/>
      <c r="H3015" s="16" t="str">
        <f>IF(ISBLANK(PARTIDAS!$G3015),PARTIDAS!$F3015,CONCATENATE(PARTIDAS!$F3015," (",PARTIDAS!$G3015,")"))</f>
        <v>Grafito coloidal o semicoloidal</v>
      </c>
      <c r="I3015" s="16" t="s">
        <v>9427</v>
      </c>
    </row>
    <row r="3016" spans="1:9" x14ac:dyDescent="0.25">
      <c r="A3016" s="16" t="s">
        <v>3949</v>
      </c>
      <c r="B3016" s="16" t="str">
        <f>TEXT(PARTIDA[[#This Row],[PARTIDA]],"0000000000")</f>
        <v>3801300000</v>
      </c>
      <c r="C3016" s="16" t="s">
        <v>815</v>
      </c>
      <c r="D3016" s="16" t="s">
        <v>835</v>
      </c>
      <c r="E3016" s="16" t="s">
        <v>9467</v>
      </c>
      <c r="F3016" s="27" t="s">
        <v>11966</v>
      </c>
      <c r="G3016" s="27"/>
      <c r="H3016" s="16" t="str">
        <f>IF(ISBLANK(PARTIDAS!$G3016),PARTIDAS!$F3016,CONCATENATE(PARTIDAS!$F3016," (",PARTIDAS!$G3016,")"))</f>
        <v>Pastas carbonosas para electrodos y pastas similares para el revestimiento interior de hornos</v>
      </c>
      <c r="I3016" s="16" t="s">
        <v>9427</v>
      </c>
    </row>
    <row r="3017" spans="1:9" x14ac:dyDescent="0.25">
      <c r="A3017" s="16" t="s">
        <v>3950</v>
      </c>
      <c r="B3017" s="16" t="str">
        <f>TEXT(PARTIDA[[#This Row],[PARTIDA]],"0000000000")</f>
        <v>3801900000</v>
      </c>
      <c r="C3017" s="16" t="s">
        <v>815</v>
      </c>
      <c r="D3017" s="16" t="s">
        <v>835</v>
      </c>
      <c r="E3017" s="16" t="s">
        <v>9467</v>
      </c>
      <c r="F3017" s="27" t="s">
        <v>11967</v>
      </c>
      <c r="G3017" s="27"/>
      <c r="H3017" s="16" t="str">
        <f>IF(ISBLANK(PARTIDAS!$G3017),PARTIDAS!$F3017,CONCATENATE(PARTIDAS!$F3017," (",PARTIDAS!$G3017,")"))</f>
        <v>Grafito artificial (los demás)</v>
      </c>
      <c r="I3017" s="16" t="s">
        <v>9427</v>
      </c>
    </row>
    <row r="3018" spans="1:9" x14ac:dyDescent="0.25">
      <c r="A3018" s="16" t="s">
        <v>3951</v>
      </c>
      <c r="B3018" s="16" t="str">
        <f>TEXT(PARTIDA[[#This Row],[PARTIDA]],"0000000000")</f>
        <v>3802100000</v>
      </c>
      <c r="C3018" s="16" t="s">
        <v>815</v>
      </c>
      <c r="D3018" s="16" t="s">
        <v>835</v>
      </c>
      <c r="E3018" s="16" t="s">
        <v>9467</v>
      </c>
      <c r="F3018" s="27" t="s">
        <v>11968</v>
      </c>
      <c r="G3018" s="27"/>
      <c r="H3018" s="16" t="str">
        <f>IF(ISBLANK(PARTIDAS!$G3018),PARTIDAS!$F3018,CONCATENATE(PARTIDAS!$F3018," (",PARTIDAS!$G3018,")"))</f>
        <v>Carbón activado</v>
      </c>
      <c r="I3018" s="16" t="s">
        <v>9427</v>
      </c>
    </row>
    <row r="3019" spans="1:9" x14ac:dyDescent="0.25">
      <c r="A3019" s="16" t="s">
        <v>3952</v>
      </c>
      <c r="B3019" s="16" t="str">
        <f>TEXT(PARTIDA[[#This Row],[PARTIDA]],"0000000000")</f>
        <v>3802901000</v>
      </c>
      <c r="C3019" s="16" t="s">
        <v>815</v>
      </c>
      <c r="D3019" s="16" t="s">
        <v>835</v>
      </c>
      <c r="E3019" s="16" t="s">
        <v>9467</v>
      </c>
      <c r="F3019" s="27" t="s">
        <v>11969</v>
      </c>
      <c r="G3019" s="27"/>
      <c r="H3019" s="16" t="str">
        <f>IF(ISBLANK(PARTIDAS!$G3019),PARTIDAS!$F3019,CONCATENATE(PARTIDAS!$F3019," (",PARTIDAS!$G3019,")"))</f>
        <v>Harinas silíceas fósiles (por ejemplo: «Kieselguhr», tripolita, diatomita) activadas</v>
      </c>
      <c r="I3019" s="16" t="s">
        <v>9427</v>
      </c>
    </row>
    <row r="3020" spans="1:9" x14ac:dyDescent="0.25">
      <c r="A3020" s="16" t="s">
        <v>3953</v>
      </c>
      <c r="B3020" s="16" t="str">
        <f>TEXT(PARTIDA[[#This Row],[PARTIDA]],"0000000000")</f>
        <v>3802902000</v>
      </c>
      <c r="C3020" s="16" t="s">
        <v>815</v>
      </c>
      <c r="D3020" s="16" t="s">
        <v>835</v>
      </c>
      <c r="E3020" s="16" t="s">
        <v>9467</v>
      </c>
      <c r="F3020" s="27" t="s">
        <v>11970</v>
      </c>
      <c r="G3020" s="27"/>
      <c r="H3020" s="16" t="str">
        <f>IF(ISBLANK(PARTIDAS!$G3020),PARTIDAS!$F3020,CONCATENATE(PARTIDAS!$F3020," (",PARTIDAS!$G3020,")"))</f>
        <v>Negro de origen animal, incluido el agotado</v>
      </c>
      <c r="I3020" s="16" t="s">
        <v>9427</v>
      </c>
    </row>
    <row r="3021" spans="1:9" x14ac:dyDescent="0.25">
      <c r="A3021" s="16" t="s">
        <v>3954</v>
      </c>
      <c r="B3021" s="16" t="str">
        <f>TEXT(PARTIDA[[#This Row],[PARTIDA]],"0000000000")</f>
        <v>3802909000</v>
      </c>
      <c r="C3021" s="16" t="s">
        <v>815</v>
      </c>
      <c r="D3021" s="16" t="s">
        <v>835</v>
      </c>
      <c r="E3021" s="16" t="s">
        <v>9467</v>
      </c>
      <c r="F3021" s="27" t="s">
        <v>11971</v>
      </c>
      <c r="G3021" s="27"/>
      <c r="H3021" s="16" t="str">
        <f>IF(ISBLANK(PARTIDAS!$G3021),PARTIDAS!$F3021,CONCATENATE(PARTIDAS!$F3021," (",PARTIDAS!$G3021,")"))</f>
        <v>Carbón activado (los demás)</v>
      </c>
      <c r="I3021" s="16" t="s">
        <v>9427</v>
      </c>
    </row>
    <row r="3022" spans="1:9" x14ac:dyDescent="0.25">
      <c r="A3022" s="16" t="s">
        <v>3955</v>
      </c>
      <c r="B3022" s="16" t="str">
        <f>TEXT(PARTIDA[[#This Row],[PARTIDA]],"0000000000")</f>
        <v>3803000000</v>
      </c>
      <c r="C3022" s="16" t="s">
        <v>815</v>
      </c>
      <c r="D3022" s="16" t="s">
        <v>835</v>
      </c>
      <c r="E3022" s="16" t="s">
        <v>9467</v>
      </c>
      <c r="F3022" s="27" t="s">
        <v>3956</v>
      </c>
      <c r="G3022" s="27"/>
      <c r="H3022" s="16" t="str">
        <f>IF(ISBLANK(PARTIDAS!$G3022),PARTIDAS!$F3022,CONCATENATE(PARTIDAS!$F3022," (",PARTIDAS!$G3022,")"))</f>
        <v>«Tall oil», incluso refinado.</v>
      </c>
      <c r="I3022" s="16" t="s">
        <v>9427</v>
      </c>
    </row>
    <row r="3023" spans="1:9" x14ac:dyDescent="0.25">
      <c r="A3023" s="16" t="s">
        <v>3957</v>
      </c>
      <c r="B3023" s="16" t="str">
        <f>TEXT(PARTIDA[[#This Row],[PARTIDA]],"0000000000")</f>
        <v>3804001000</v>
      </c>
      <c r="C3023" s="16" t="s">
        <v>815</v>
      </c>
      <c r="D3023" s="16" t="s">
        <v>835</v>
      </c>
      <c r="E3023" s="16" t="s">
        <v>9467</v>
      </c>
      <c r="F3023" s="27" t="s">
        <v>11972</v>
      </c>
      <c r="G3023" s="27"/>
      <c r="H3023" s="16" t="str">
        <f>IF(ISBLANK(PARTIDAS!$G3023),PARTIDAS!$F3023,CONCATENATE(PARTIDAS!$F3023," (",PARTIDAS!$G3023,")"))</f>
        <v>Lignosulfitos, incluidos los lignosulfonatos</v>
      </c>
      <c r="I3023" s="16" t="s">
        <v>9427</v>
      </c>
    </row>
    <row r="3024" spans="1:9" x14ac:dyDescent="0.25">
      <c r="A3024" s="16" t="s">
        <v>3958</v>
      </c>
      <c r="B3024" s="16" t="str">
        <f>TEXT(PARTIDA[[#This Row],[PARTIDA]],"0000000000")</f>
        <v>3804009000</v>
      </c>
      <c r="C3024" s="16" t="s">
        <v>815</v>
      </c>
      <c r="D3024" s="16" t="s">
        <v>835</v>
      </c>
      <c r="E3024" s="16" t="s">
        <v>9467</v>
      </c>
      <c r="F3024" s="27" t="s">
        <v>11971</v>
      </c>
      <c r="G3024" s="27"/>
      <c r="H3024" s="16" t="str">
        <f>IF(ISBLANK(PARTIDAS!$G3024),PARTIDAS!$F3024,CONCATENATE(PARTIDAS!$F3024," (",PARTIDAS!$G3024,")"))</f>
        <v>Carbón activado (los demás)</v>
      </c>
      <c r="I3024" s="16" t="s">
        <v>9427</v>
      </c>
    </row>
    <row r="3025" spans="1:9" x14ac:dyDescent="0.25">
      <c r="A3025" s="16" t="s">
        <v>3959</v>
      </c>
      <c r="B3025" s="16" t="str">
        <f>TEXT(PARTIDA[[#This Row],[PARTIDA]],"0000000000")</f>
        <v>3805100000</v>
      </c>
      <c r="C3025" s="16" t="s">
        <v>815</v>
      </c>
      <c r="D3025" s="16" t="s">
        <v>835</v>
      </c>
      <c r="E3025" s="16" t="s">
        <v>9467</v>
      </c>
      <c r="F3025" s="27" t="s">
        <v>11973</v>
      </c>
      <c r="G3025" s="27"/>
      <c r="H3025" s="16" t="str">
        <f>IF(ISBLANK(PARTIDAS!$G3025),PARTIDAS!$F3025,CONCATENATE(PARTIDAS!$F3025," (",PARTIDAS!$G3025,")"))</f>
        <v>Esencias de trementina, de madera de pino o de pasta celulósica al sulfato (sulfato de trementina)</v>
      </c>
      <c r="I3025" s="16" t="s">
        <v>9427</v>
      </c>
    </row>
    <row r="3026" spans="1:9" x14ac:dyDescent="0.25">
      <c r="A3026" s="16" t="s">
        <v>3960</v>
      </c>
      <c r="B3026" s="16" t="str">
        <f>TEXT(PARTIDA[[#This Row],[PARTIDA]],"0000000000")</f>
        <v>3805901000</v>
      </c>
      <c r="C3026" s="16" t="s">
        <v>815</v>
      </c>
      <c r="D3026" s="16" t="s">
        <v>835</v>
      </c>
      <c r="E3026" s="16" t="s">
        <v>9467</v>
      </c>
      <c r="F3026" s="27" t="s">
        <v>11974</v>
      </c>
      <c r="G3026" s="27"/>
      <c r="H3026" s="16" t="str">
        <f>IF(ISBLANK(PARTIDAS!$G3026),PARTIDAS!$F3026,CONCATENATE(PARTIDAS!$F3026," (",PARTIDAS!$G3026,")"))</f>
        <v>Aceite de pino</v>
      </c>
      <c r="I3026" s="16" t="s">
        <v>9427</v>
      </c>
    </row>
    <row r="3027" spans="1:9" x14ac:dyDescent="0.25">
      <c r="A3027" s="16" t="s">
        <v>3961</v>
      </c>
      <c r="B3027" s="16" t="str">
        <f>TEXT(PARTIDA[[#This Row],[PARTIDA]],"0000000000")</f>
        <v>3805909000</v>
      </c>
      <c r="C3027" s="16" t="s">
        <v>815</v>
      </c>
      <c r="D3027" s="16" t="s">
        <v>835</v>
      </c>
      <c r="E3027" s="16" t="s">
        <v>9467</v>
      </c>
      <c r="F3027" s="27" t="s">
        <v>11975</v>
      </c>
      <c r="G3027" s="27"/>
      <c r="H3027" s="16" t="str">
        <f>IF(ISBLANK(PARTIDAS!$G3027),PARTIDAS!$F3027,CONCATENATE(PARTIDAS!$F3027," (",PARTIDAS!$G3027,")"))</f>
        <v>Esencias de trementina, de madera de pino o de pasta celulósica al… (los demás)</v>
      </c>
      <c r="I3027" s="16" t="s">
        <v>9427</v>
      </c>
    </row>
    <row r="3028" spans="1:9" x14ac:dyDescent="0.25">
      <c r="A3028" s="16" t="s">
        <v>3962</v>
      </c>
      <c r="B3028" s="16" t="str">
        <f>TEXT(PARTIDA[[#This Row],[PARTIDA]],"0000000000")</f>
        <v>3806100000</v>
      </c>
      <c r="C3028" s="16" t="s">
        <v>815</v>
      </c>
      <c r="D3028" s="16" t="s">
        <v>835</v>
      </c>
      <c r="E3028" s="16" t="s">
        <v>9467</v>
      </c>
      <c r="F3028" s="27" t="s">
        <v>11976</v>
      </c>
      <c r="G3028" s="27"/>
      <c r="H3028" s="16" t="str">
        <f>IF(ISBLANK(PARTIDAS!$G3028),PARTIDAS!$F3028,CONCATENATE(PARTIDAS!$F3028," (",PARTIDAS!$G3028,")"))</f>
        <v>Colofonias y ácidos resínicos</v>
      </c>
      <c r="I3028" s="16" t="s">
        <v>9427</v>
      </c>
    </row>
    <row r="3029" spans="1:9" x14ac:dyDescent="0.25">
      <c r="A3029" s="16" t="s">
        <v>3963</v>
      </c>
      <c r="B3029" s="16" t="str">
        <f>TEXT(PARTIDA[[#This Row],[PARTIDA]],"0000000000")</f>
        <v>3806200000</v>
      </c>
      <c r="C3029" s="16" t="s">
        <v>815</v>
      </c>
      <c r="D3029" s="16" t="s">
        <v>835</v>
      </c>
      <c r="E3029" s="16" t="s">
        <v>9467</v>
      </c>
      <c r="F3029" s="27" t="s">
        <v>11977</v>
      </c>
      <c r="G3029" s="27"/>
      <c r="H3029" s="16" t="str">
        <f>IF(ISBLANK(PARTIDAS!$G3029),PARTIDAS!$F3029,CONCATENATE(PARTIDAS!$F3029," (",PARTIDAS!$G3029,")"))</f>
        <v>Sales de colofonias, de ácidos resínicos o de derivados de colofonias o de ácidos resínicos, excepto las sales de aductos de colofonias</v>
      </c>
      <c r="I3029" s="16" t="s">
        <v>9427</v>
      </c>
    </row>
    <row r="3030" spans="1:9" x14ac:dyDescent="0.25">
      <c r="A3030" s="16" t="s">
        <v>3964</v>
      </c>
      <c r="B3030" s="16" t="str">
        <f>TEXT(PARTIDA[[#This Row],[PARTIDA]],"0000000000")</f>
        <v>3806300000</v>
      </c>
      <c r="C3030" s="16" t="s">
        <v>815</v>
      </c>
      <c r="D3030" s="16" t="s">
        <v>835</v>
      </c>
      <c r="E3030" s="16" t="s">
        <v>9467</v>
      </c>
      <c r="F3030" s="27" t="s">
        <v>11978</v>
      </c>
      <c r="G3030" s="27"/>
      <c r="H3030" s="16" t="str">
        <f>IF(ISBLANK(PARTIDAS!$G3030),PARTIDAS!$F3030,CONCATENATE(PARTIDAS!$F3030," (",PARTIDAS!$G3030,")"))</f>
        <v>Gomas éster</v>
      </c>
      <c r="I3030" s="16" t="s">
        <v>9427</v>
      </c>
    </row>
    <row r="3031" spans="1:9" x14ac:dyDescent="0.25">
      <c r="A3031" s="16" t="s">
        <v>3965</v>
      </c>
      <c r="B3031" s="16" t="str">
        <f>TEXT(PARTIDA[[#This Row],[PARTIDA]],"0000000000")</f>
        <v>3806903000</v>
      </c>
      <c r="C3031" s="16" t="s">
        <v>815</v>
      </c>
      <c r="D3031" s="16" t="s">
        <v>835</v>
      </c>
      <c r="E3031" s="16" t="s">
        <v>9467</v>
      </c>
      <c r="F3031" s="27" t="s">
        <v>11979</v>
      </c>
      <c r="G3031" s="27"/>
      <c r="H3031" s="16" t="str">
        <f>IF(ISBLANK(PARTIDAS!$G3031),PARTIDAS!$F3031,CONCATENATE(PARTIDAS!$F3031," (",PARTIDAS!$G3031,")"))</f>
        <v>Esencia y aceites de colofonia</v>
      </c>
      <c r="I3031" s="16" t="s">
        <v>9427</v>
      </c>
    </row>
    <row r="3032" spans="1:9" x14ac:dyDescent="0.25">
      <c r="A3032" s="16" t="s">
        <v>3966</v>
      </c>
      <c r="B3032" s="16" t="str">
        <f>TEXT(PARTIDA[[#This Row],[PARTIDA]],"0000000000")</f>
        <v>3806904000</v>
      </c>
      <c r="C3032" s="16" t="s">
        <v>815</v>
      </c>
      <c r="D3032" s="16" t="s">
        <v>835</v>
      </c>
      <c r="E3032" s="16" t="s">
        <v>9467</v>
      </c>
      <c r="F3032" s="27" t="s">
        <v>11980</v>
      </c>
      <c r="G3032" s="27"/>
      <c r="H3032" s="16" t="str">
        <f>IF(ISBLANK(PARTIDAS!$G3032),PARTIDAS!$F3032,CONCATENATE(PARTIDAS!$F3032," (",PARTIDAS!$G3032,")"))</f>
        <v>Gomas fundidas</v>
      </c>
      <c r="I3032" s="16" t="s">
        <v>9427</v>
      </c>
    </row>
    <row r="3033" spans="1:9" x14ac:dyDescent="0.25">
      <c r="A3033" s="16" t="s">
        <v>3967</v>
      </c>
      <c r="B3033" s="16" t="str">
        <f>TEXT(PARTIDA[[#This Row],[PARTIDA]],"0000000000")</f>
        <v>3806909000</v>
      </c>
      <c r="C3033" s="16" t="s">
        <v>815</v>
      </c>
      <c r="D3033" s="16" t="s">
        <v>835</v>
      </c>
      <c r="E3033" s="16" t="s">
        <v>9467</v>
      </c>
      <c r="F3033" s="27" t="s">
        <v>11981</v>
      </c>
      <c r="G3033" s="27"/>
      <c r="H3033" s="16" t="str">
        <f>IF(ISBLANK(PARTIDAS!$G3033),PARTIDAS!$F3033,CONCATENATE(PARTIDAS!$F3033," (",PARTIDAS!$G3033,")"))</f>
        <v>Colofonias y ácidos resínicos, y sus derivados (los demás)</v>
      </c>
      <c r="I3033" s="16" t="s">
        <v>9427</v>
      </c>
    </row>
    <row r="3034" spans="1:9" x14ac:dyDescent="0.25">
      <c r="A3034" s="16" t="s">
        <v>3968</v>
      </c>
      <c r="B3034" s="16" t="str">
        <f>TEXT(PARTIDA[[#This Row],[PARTIDA]],"0000000000")</f>
        <v>3807000000</v>
      </c>
      <c r="C3034" s="16" t="s">
        <v>815</v>
      </c>
      <c r="D3034" s="16" t="s">
        <v>835</v>
      </c>
      <c r="E3034" s="16" t="s">
        <v>9467</v>
      </c>
      <c r="F3034" s="27" t="s">
        <v>3969</v>
      </c>
      <c r="G3034" s="27"/>
      <c r="H3034" s="16" t="str">
        <f>IF(ISBLANK(PARTIDAS!$G3034),PARTIDAS!$F3034,CONCATENATE(PARTIDAS!$F3034," (",PARTIDAS!$G3034,")"))</f>
        <v>Alquitranes de
madera</v>
      </c>
      <c r="I3034" s="16" t="s">
        <v>9427</v>
      </c>
    </row>
    <row r="3035" spans="1:9" x14ac:dyDescent="0.25">
      <c r="A3035" s="16" t="s">
        <v>3970</v>
      </c>
      <c r="B3035" s="16" t="str">
        <f>TEXT(PARTIDA[[#This Row],[PARTIDA]],"0000000000")</f>
        <v>3808520000</v>
      </c>
      <c r="C3035" s="16" t="s">
        <v>815</v>
      </c>
      <c r="D3035" s="16" t="s">
        <v>825</v>
      </c>
      <c r="E3035" s="16" t="s">
        <v>9455</v>
      </c>
      <c r="F3035" s="27" t="s">
        <v>11982</v>
      </c>
      <c r="G3035" s="27"/>
      <c r="H3035" s="16" t="str">
        <f>IF(ISBLANK(PARTIDAS!$G3035),PARTIDAS!$F3035,CONCATENATE(PARTIDAS!$F3035," (",PARTIDAS!$G3035,")"))</f>
        <v>DDT (ISO) (clofenotano (DCI)), acondicionado en envases con un contenido en peso neto inferior o igual a 300 g</v>
      </c>
      <c r="I3035" s="16" t="s">
        <v>9427</v>
      </c>
    </row>
    <row r="3036" spans="1:9" x14ac:dyDescent="0.25">
      <c r="A3036" s="16" t="s">
        <v>3971</v>
      </c>
      <c r="B3036" s="16" t="str">
        <f>TEXT(PARTIDA[[#This Row],[PARTIDA]],"0000000000")</f>
        <v>3808590010</v>
      </c>
      <c r="C3036" s="16" t="s">
        <v>815</v>
      </c>
      <c r="D3036" s="16" t="s">
        <v>825</v>
      </c>
      <c r="E3036" s="16" t="s">
        <v>9455</v>
      </c>
      <c r="F3036" s="27" t="s">
        <v>11983</v>
      </c>
      <c r="G3036" s="27"/>
      <c r="H3036" s="16" t="str">
        <f>IF(ISBLANK(PARTIDAS!$G3036),PARTIDAS!$F3036,CONCATENATE(PARTIDAS!$F3036," (",PARTIDAS!$G3036,")"))</f>
        <v>Insecticidas presentados en formas o envases para la venta al por menor o en artículos</v>
      </c>
      <c r="I3036" s="16" t="s">
        <v>9648</v>
      </c>
    </row>
    <row r="3037" spans="1:9" x14ac:dyDescent="0.25">
      <c r="A3037" s="16" t="s">
        <v>3972</v>
      </c>
      <c r="B3037" s="16" t="str">
        <f>TEXT(PARTIDA[[#This Row],[PARTIDA]],"0000000000")</f>
        <v>3808590020</v>
      </c>
      <c r="C3037" s="16" t="s">
        <v>815</v>
      </c>
      <c r="D3037" s="16" t="s">
        <v>825</v>
      </c>
      <c r="E3037" s="16" t="s">
        <v>9455</v>
      </c>
      <c r="F3037" s="27" t="s">
        <v>11984</v>
      </c>
      <c r="G3037" s="27"/>
      <c r="H3037" s="16" t="str">
        <f>IF(ISBLANK(PARTIDAS!$G3037),PARTIDAS!$F3037,CONCATENATE(PARTIDAS!$F3037," (",PARTIDAS!$G3037,")"))</f>
        <v>Insecticidas, raticidas y demás antirroedores, fungicidas, herbicidas (los demás)</v>
      </c>
      <c r="I3037" s="16" t="s">
        <v>9648</v>
      </c>
    </row>
    <row r="3038" spans="1:9" x14ac:dyDescent="0.25">
      <c r="A3038" s="16" t="s">
        <v>3973</v>
      </c>
      <c r="B3038" s="16" t="str">
        <f>TEXT(PARTIDA[[#This Row],[PARTIDA]],"0000000000")</f>
        <v>3808590090</v>
      </c>
      <c r="C3038" s="16" t="s">
        <v>815</v>
      </c>
      <c r="D3038" s="16" t="s">
        <v>825</v>
      </c>
      <c r="E3038" s="16" t="s">
        <v>9455</v>
      </c>
      <c r="F3038" s="27" t="s">
        <v>11984</v>
      </c>
      <c r="G3038" s="27"/>
      <c r="H3038" s="16" t="str">
        <f>IF(ISBLANK(PARTIDAS!$G3038),PARTIDAS!$F3038,CONCATENATE(PARTIDAS!$F3038," (",PARTIDAS!$G3038,")"))</f>
        <v>Insecticidas, raticidas y demás antirroedores, fungicidas, herbicidas (los demás)</v>
      </c>
      <c r="I3038" s="16" t="s">
        <v>9648</v>
      </c>
    </row>
    <row r="3039" spans="1:9" x14ac:dyDescent="0.25">
      <c r="A3039" s="16" t="s">
        <v>11985</v>
      </c>
      <c r="B3039" s="16" t="str">
        <f>TEXT(PARTIDA[[#This Row],[PARTIDA]],"0000000000")</f>
        <v>3808591100</v>
      </c>
      <c r="C3039" s="16" t="s">
        <v>815</v>
      </c>
      <c r="D3039" s="16" t="s">
        <v>825</v>
      </c>
      <c r="E3039" s="16" t="s">
        <v>9455</v>
      </c>
      <c r="F3039" s="27" t="s">
        <v>11986</v>
      </c>
      <c r="G3039" s="27"/>
      <c r="H3039" s="16" t="str">
        <f>IF(ISBLANK(PARTIDAS!$G3039),PARTIDAS!$F3039,CONCATENATE(PARTIDAS!$F3039," (",PARTIDAS!$G3039,")"))</f>
        <v>Insecticidas que contengan carbofurano, presentados en formas o en envases para la venta al por menor o en artículos</v>
      </c>
      <c r="I3039" s="16" t="s">
        <v>9427</v>
      </c>
    </row>
    <row r="3040" spans="1:9" x14ac:dyDescent="0.25">
      <c r="A3040" s="16" t="s">
        <v>11987</v>
      </c>
      <c r="B3040" s="16" t="str">
        <f>TEXT(PARTIDA[[#This Row],[PARTIDA]],"0000000000")</f>
        <v>3808591900</v>
      </c>
      <c r="C3040" s="16" t="s">
        <v>815</v>
      </c>
      <c r="D3040" s="16" t="s">
        <v>825</v>
      </c>
      <c r="E3040" s="16" t="s">
        <v>9455</v>
      </c>
      <c r="F3040" s="27" t="s">
        <v>11988</v>
      </c>
      <c r="G3040" s="27"/>
      <c r="H3040" s="16" t="str">
        <f>IF(ISBLANK(PARTIDAS!$G3040),PARTIDAS!$F3040,CONCATENATE(PARTIDAS!$F3040," (",PARTIDAS!$G3040,")"))</f>
        <v>Insecticidas que contengan carbofurano (los demás)</v>
      </c>
      <c r="I3040" s="16" t="s">
        <v>9427</v>
      </c>
    </row>
    <row r="3041" spans="1:9" x14ac:dyDescent="0.25">
      <c r="A3041" s="16" t="s">
        <v>11989</v>
      </c>
      <c r="B3041" s="16" t="str">
        <f>TEXT(PARTIDA[[#This Row],[PARTIDA]],"0000000000")</f>
        <v>3808599011</v>
      </c>
      <c r="C3041" s="16" t="s">
        <v>815</v>
      </c>
      <c r="D3041" s="16" t="s">
        <v>825</v>
      </c>
      <c r="E3041" s="16" t="s">
        <v>9455</v>
      </c>
      <c r="F3041" s="27" t="s">
        <v>11990</v>
      </c>
      <c r="G3041" s="27"/>
      <c r="H3041" s="16" t="str">
        <f>IF(ISBLANK(PARTIDAS!$G3041),PARTIDAS!$F3041,CONCATENATE(PARTIDAS!$F3041," (",PARTIDAS!$G3041,")"))</f>
        <v>Insecticidas, presentados en formas o en envases para la venta al por menor o en artículos</v>
      </c>
      <c r="I3041" s="16" t="s">
        <v>9427</v>
      </c>
    </row>
    <row r="3042" spans="1:9" x14ac:dyDescent="0.25">
      <c r="A3042" s="16" t="s">
        <v>11991</v>
      </c>
      <c r="B3042" s="16" t="str">
        <f>TEXT(PARTIDA[[#This Row],[PARTIDA]],"0000000000")</f>
        <v>3808599019</v>
      </c>
      <c r="C3042" s="16" t="s">
        <v>815</v>
      </c>
      <c r="D3042" s="16" t="s">
        <v>825</v>
      </c>
      <c r="E3042" s="16" t="s">
        <v>9455</v>
      </c>
      <c r="F3042" s="27" t="s">
        <v>11992</v>
      </c>
      <c r="G3042" s="27"/>
      <c r="H3042" s="16" t="str">
        <f>IF(ISBLANK(PARTIDAS!$G3042),PARTIDAS!$F3042,CONCATENATE(PARTIDAS!$F3042," (",PARTIDAS!$G3042,")"))</f>
        <v>Insecticidas (los demás)</v>
      </c>
      <c r="I3042" s="16" t="s">
        <v>9427</v>
      </c>
    </row>
    <row r="3043" spans="1:9" x14ac:dyDescent="0.25">
      <c r="A3043" s="16" t="s">
        <v>11993</v>
      </c>
      <c r="B3043" s="16" t="str">
        <f>TEXT(PARTIDA[[#This Row],[PARTIDA]],"0000000000")</f>
        <v>3808599090</v>
      </c>
      <c r="C3043" s="16" t="s">
        <v>815</v>
      </c>
      <c r="D3043" s="16" t="s">
        <v>825</v>
      </c>
      <c r="E3043" s="16" t="s">
        <v>9455</v>
      </c>
      <c r="F3043" s="27" t="s">
        <v>11994</v>
      </c>
      <c r="G3043" s="27"/>
      <c r="H3043" s="16" t="str">
        <f>IF(ISBLANK(PARTIDAS!$G3043),PARTIDAS!$F3043,CONCATENATE(PARTIDAS!$F3043," (",PARTIDAS!$G3043,")"))</f>
        <v>Productos mencionados en la Nota 1 de subpartida de este Capítulo (los demás)</v>
      </c>
      <c r="I3043" s="16" t="s">
        <v>9427</v>
      </c>
    </row>
    <row r="3044" spans="1:9" x14ac:dyDescent="0.25">
      <c r="A3044" s="16" t="s">
        <v>3974</v>
      </c>
      <c r="B3044" s="16" t="str">
        <f>TEXT(PARTIDA[[#This Row],[PARTIDA]],"0000000000")</f>
        <v>3808610000</v>
      </c>
      <c r="C3044" s="16" t="s">
        <v>815</v>
      </c>
      <c r="D3044" s="16" t="s">
        <v>825</v>
      </c>
      <c r="E3044" s="16" t="s">
        <v>9455</v>
      </c>
      <c r="F3044" s="27" t="s">
        <v>11995</v>
      </c>
      <c r="G3044" s="27"/>
      <c r="H3044" s="16" t="str">
        <f>IF(ISBLANK(PARTIDAS!$G3044),PARTIDAS!$F3044,CONCATENATE(PARTIDAS!$F3044," (",PARTIDAS!$G3044,")"))</f>
        <v>Productos mencionados en la Nota 2 de subpartida de este Capítulo, acondicionados en envases con un contenido en peso neto inferior o igual a 300 g</v>
      </c>
      <c r="I3044" s="16" t="s">
        <v>9427</v>
      </c>
    </row>
    <row r="3045" spans="1:9" x14ac:dyDescent="0.25">
      <c r="A3045" s="16" t="s">
        <v>3975</v>
      </c>
      <c r="B3045" s="16" t="str">
        <f>TEXT(PARTIDA[[#This Row],[PARTIDA]],"0000000000")</f>
        <v>3808620000</v>
      </c>
      <c r="C3045" s="16" t="s">
        <v>815</v>
      </c>
      <c r="D3045" s="16" t="s">
        <v>825</v>
      </c>
      <c r="E3045" s="16" t="s">
        <v>9455</v>
      </c>
      <c r="F3045" s="27" t="s">
        <v>11996</v>
      </c>
      <c r="G3045" s="27"/>
      <c r="H3045" s="16" t="str">
        <f>IF(ISBLANK(PARTIDAS!$G3045),PARTIDAS!$F3045,CONCATENATE(PARTIDAS!$F3045," (",PARTIDAS!$G3045,")"))</f>
        <v>Productos mencionados en la Nota 2 de subpartida de este Capítulo, acondicionados en envases con un contenido en peso neto superior a 300 g pero infer</v>
      </c>
      <c r="I3045" s="16" t="s">
        <v>9427</v>
      </c>
    </row>
    <row r="3046" spans="1:9" x14ac:dyDescent="0.25">
      <c r="A3046" s="16" t="s">
        <v>3976</v>
      </c>
      <c r="B3046" s="16" t="str">
        <f>TEXT(PARTIDA[[#This Row],[PARTIDA]],"0000000000")</f>
        <v>3808690000</v>
      </c>
      <c r="C3046" s="16" t="s">
        <v>815</v>
      </c>
      <c r="D3046" s="16" t="s">
        <v>825</v>
      </c>
      <c r="E3046" s="16" t="s">
        <v>9455</v>
      </c>
      <c r="F3046" s="27" t="s">
        <v>11997</v>
      </c>
      <c r="G3046" s="27"/>
      <c r="H3046" s="16" t="str">
        <f>IF(ISBLANK(PARTIDAS!$G3046),PARTIDAS!$F3046,CONCATENATE(PARTIDAS!$F3046," (",PARTIDAS!$G3046,")"))</f>
        <v>Productos mencionados en la Nota 2 de subpartida de este Capítulo (los demás)</v>
      </c>
      <c r="I3046" s="16" t="s">
        <v>9427</v>
      </c>
    </row>
    <row r="3047" spans="1:9" x14ac:dyDescent="0.25">
      <c r="A3047" s="16" t="s">
        <v>3977</v>
      </c>
      <c r="B3047" s="16" t="str">
        <f>TEXT(PARTIDA[[#This Row],[PARTIDA]],"0000000000")</f>
        <v>3808911200</v>
      </c>
      <c r="C3047" s="16" t="s">
        <v>815</v>
      </c>
      <c r="D3047" s="16" t="s">
        <v>825</v>
      </c>
      <c r="E3047" s="16" t="s">
        <v>9455</v>
      </c>
      <c r="F3047" s="27" t="s">
        <v>11998</v>
      </c>
      <c r="G3047" s="27"/>
      <c r="H3047" s="16" t="str">
        <f>IF(ISBLANK(PARTIDAS!$G3047),PARTIDAS!$F3047,CONCATENATE(PARTIDAS!$F3047," (",PARTIDAS!$G3047,")"))</f>
        <v>Insecticidas, presentados en formas o en envases para la venta al por menor o en…, que contengan bromometano (bromuro de metilo) o bromoclorometano</v>
      </c>
      <c r="I3047" s="16" t="s">
        <v>9427</v>
      </c>
    </row>
    <row r="3048" spans="1:9" x14ac:dyDescent="0.25">
      <c r="A3048" s="16" t="s">
        <v>3978</v>
      </c>
      <c r="B3048" s="16" t="str">
        <f>TEXT(PARTIDA[[#This Row],[PARTIDA]],"0000000000")</f>
        <v>3808911400</v>
      </c>
      <c r="C3048" s="16" t="s">
        <v>815</v>
      </c>
      <c r="D3048" s="16" t="s">
        <v>825</v>
      </c>
      <c r="E3048" s="16" t="s">
        <v>9455</v>
      </c>
      <c r="F3048" s="27" t="s">
        <v>11999</v>
      </c>
      <c r="G3048" s="27"/>
      <c r="H3048" s="16" t="str">
        <f>IF(ISBLANK(PARTIDAS!$G3048),PARTIDAS!$F3048,CONCATENATE(PARTIDAS!$F3048," (",PARTIDAS!$G3048,")"))</f>
        <v>Insecticidas, presentados en formas o en envases para la venta al por menor o en…, que contengan permetrina o cipermetrina o demás sustitutos sintétic</v>
      </c>
      <c r="I3048" s="16" t="s">
        <v>9427</v>
      </c>
    </row>
    <row r="3049" spans="1:9" x14ac:dyDescent="0.25">
      <c r="A3049" s="16" t="s">
        <v>3979</v>
      </c>
      <c r="B3049" s="16" t="str">
        <f>TEXT(PARTIDA[[#This Row],[PARTIDA]],"0000000000")</f>
        <v>3808911500</v>
      </c>
      <c r="C3049" s="16" t="s">
        <v>815</v>
      </c>
      <c r="D3049" s="16" t="s">
        <v>825</v>
      </c>
      <c r="E3049" s="16" t="s">
        <v>9455</v>
      </c>
      <c r="F3049" s="27" t="s">
        <v>12000</v>
      </c>
      <c r="G3049" s="27"/>
      <c r="H3049" s="16" t="str">
        <f>IF(ISBLANK(PARTIDAS!$G3049),PARTIDAS!$F3049,CONCATENATE(PARTIDAS!$F3049," (",PARTIDAS!$G3049,")"))</f>
        <v>Insecticidas, presentados en formas o en envases para la venta al por menor o en…, que contengan mirex o endrina</v>
      </c>
      <c r="I3049" s="16" t="s">
        <v>9427</v>
      </c>
    </row>
    <row r="3050" spans="1:9" x14ac:dyDescent="0.25">
      <c r="A3050" s="16" t="s">
        <v>3980</v>
      </c>
      <c r="B3050" s="16" t="str">
        <f>TEXT(PARTIDA[[#This Row],[PARTIDA]],"0000000000")</f>
        <v>3808911900</v>
      </c>
      <c r="C3050" s="16" t="s">
        <v>815</v>
      </c>
      <c r="D3050" s="16" t="s">
        <v>825</v>
      </c>
      <c r="E3050" s="16" t="s">
        <v>9455</v>
      </c>
      <c r="F3050" s="27" t="s">
        <v>12001</v>
      </c>
      <c r="G3050" s="27"/>
      <c r="H3050" s="16" t="str">
        <f>IF(ISBLANK(PARTIDAS!$G3050),PARTIDAS!$F3050,CONCATENATE(PARTIDAS!$F3050," (",PARTIDAS!$G3050,")"))</f>
        <v>Insecticidas, presentados en formas o en envases para la venta al por menor o en… (los demás)</v>
      </c>
      <c r="I3050" s="16" t="s">
        <v>9427</v>
      </c>
    </row>
    <row r="3051" spans="1:9" x14ac:dyDescent="0.25">
      <c r="A3051" s="16" t="s">
        <v>3981</v>
      </c>
      <c r="B3051" s="16" t="str">
        <f>TEXT(PARTIDA[[#This Row],[PARTIDA]],"0000000000")</f>
        <v>3808919100</v>
      </c>
      <c r="C3051" s="16" t="s">
        <v>815</v>
      </c>
      <c r="D3051" s="16" t="s">
        <v>825</v>
      </c>
      <c r="E3051" s="16" t="s">
        <v>9455</v>
      </c>
      <c r="F3051" s="27" t="s">
        <v>12002</v>
      </c>
      <c r="G3051" s="27"/>
      <c r="H3051" s="16" t="str">
        <f>IF(ISBLANK(PARTIDAS!$G3051),PARTIDAS!$F3051,CONCATENATE(PARTIDAS!$F3051," (",PARTIDAS!$G3051,")"))</f>
        <v>Insecticidas, que contengan piretro natural (piretrinas)</v>
      </c>
      <c r="I3051" s="16" t="s">
        <v>9427</v>
      </c>
    </row>
    <row r="3052" spans="1:9" x14ac:dyDescent="0.25">
      <c r="A3052" s="16" t="s">
        <v>3982</v>
      </c>
      <c r="B3052" s="16" t="str">
        <f>TEXT(PARTIDA[[#This Row],[PARTIDA]],"0000000000")</f>
        <v>3808919300</v>
      </c>
      <c r="C3052" s="16" t="s">
        <v>815</v>
      </c>
      <c r="D3052" s="16" t="s">
        <v>825</v>
      </c>
      <c r="E3052" s="16" t="s">
        <v>9455</v>
      </c>
      <c r="F3052" s="27" t="s">
        <v>12003</v>
      </c>
      <c r="G3052" s="27"/>
      <c r="H3052" s="16" t="str">
        <f>IF(ISBLANK(PARTIDAS!$G3052),PARTIDAS!$F3052,CONCATENATE(PARTIDAS!$F3052," (",PARTIDAS!$G3052,")"))</f>
        <v>Que contengan carbofurano, excepto la mezcla mencionada en la Nota 1 de subpartida de este Capitulo</v>
      </c>
      <c r="I3052" s="16" t="s">
        <v>9648</v>
      </c>
    </row>
    <row r="3053" spans="1:9" x14ac:dyDescent="0.25">
      <c r="A3053" s="16" t="s">
        <v>3983</v>
      </c>
      <c r="B3053" s="16" t="str">
        <f>TEXT(PARTIDA[[#This Row],[PARTIDA]],"0000000000")</f>
        <v>3808919400</v>
      </c>
      <c r="C3053" s="16" t="s">
        <v>815</v>
      </c>
      <c r="D3053" s="16" t="s">
        <v>825</v>
      </c>
      <c r="E3053" s="16" t="s">
        <v>9455</v>
      </c>
      <c r="F3053" s="27" t="s">
        <v>12004</v>
      </c>
      <c r="G3053" s="27"/>
      <c r="H3053" s="16" t="str">
        <f>IF(ISBLANK(PARTIDAS!$G3053),PARTIDAS!$F3053,CONCATENATE(PARTIDAS!$F3053," (",PARTIDAS!$G3053,")"))</f>
        <v>Insecticidas, que contengan dimetoato</v>
      </c>
      <c r="I3053" s="16" t="s">
        <v>9427</v>
      </c>
    </row>
    <row r="3054" spans="1:9" x14ac:dyDescent="0.25">
      <c r="A3054" s="16" t="s">
        <v>3984</v>
      </c>
      <c r="B3054" s="16" t="str">
        <f>TEXT(PARTIDA[[#This Row],[PARTIDA]],"0000000000")</f>
        <v>3808919500</v>
      </c>
      <c r="C3054" s="16" t="s">
        <v>815</v>
      </c>
      <c r="D3054" s="16" t="s">
        <v>825</v>
      </c>
      <c r="E3054" s="16" t="s">
        <v>9455</v>
      </c>
      <c r="F3054" s="27" t="s">
        <v>12005</v>
      </c>
      <c r="G3054" s="27"/>
      <c r="H3054" s="16" t="str">
        <f>IF(ISBLANK(PARTIDAS!$G3054),PARTIDAS!$F3054,CONCATENATE(PARTIDAS!$F3054," (",PARTIDAS!$G3054,")"))</f>
        <v>Insecticidas, que contengan bromometano (bromuro de metilo) o bromoclorometano</v>
      </c>
      <c r="I3054" s="16" t="s">
        <v>9427</v>
      </c>
    </row>
    <row r="3055" spans="1:9" x14ac:dyDescent="0.25">
      <c r="A3055" s="16" t="s">
        <v>3985</v>
      </c>
      <c r="B3055" s="16" t="str">
        <f>TEXT(PARTIDA[[#This Row],[PARTIDA]],"0000000000")</f>
        <v>3808919700</v>
      </c>
      <c r="C3055" s="16" t="s">
        <v>815</v>
      </c>
      <c r="D3055" s="16" t="s">
        <v>825</v>
      </c>
      <c r="E3055" s="16" t="s">
        <v>9455</v>
      </c>
      <c r="F3055" s="27" t="s">
        <v>12006</v>
      </c>
      <c r="G3055" s="27"/>
      <c r="H3055" s="16" t="str">
        <f>IF(ISBLANK(PARTIDAS!$G3055),PARTIDAS!$F3055,CONCATENATE(PARTIDAS!$F3055," (",PARTIDAS!$G3055,")"))</f>
        <v>Insecticidas, que contengan permetrina o cipermetrina o demás sustitutos sintéticos del piretro (piretroides)</v>
      </c>
      <c r="I3055" s="16" t="s">
        <v>9427</v>
      </c>
    </row>
    <row r="3056" spans="1:9" x14ac:dyDescent="0.25">
      <c r="A3056" s="16" t="s">
        <v>3986</v>
      </c>
      <c r="B3056" s="16" t="str">
        <f>TEXT(PARTIDA[[#This Row],[PARTIDA]],"0000000000")</f>
        <v>3808919800</v>
      </c>
      <c r="C3056" s="16" t="s">
        <v>815</v>
      </c>
      <c r="D3056" s="16" t="s">
        <v>825</v>
      </c>
      <c r="E3056" s="16" t="s">
        <v>9455</v>
      </c>
      <c r="F3056" s="27" t="s">
        <v>12007</v>
      </c>
      <c r="G3056" s="27"/>
      <c r="H3056" s="16" t="str">
        <f>IF(ISBLANK(PARTIDAS!$G3056),PARTIDAS!$F3056,CONCATENATE(PARTIDAS!$F3056," (",PARTIDAS!$G3056,")"))</f>
        <v>Insecticidas, que contengan mirex o endrina</v>
      </c>
      <c r="I3056" s="16" t="s">
        <v>9427</v>
      </c>
    </row>
    <row r="3057" spans="1:9" x14ac:dyDescent="0.25">
      <c r="A3057" s="16" t="s">
        <v>3987</v>
      </c>
      <c r="B3057" s="16" t="str">
        <f>TEXT(PARTIDA[[#This Row],[PARTIDA]],"0000000000")</f>
        <v>3808919900</v>
      </c>
      <c r="C3057" s="16" t="s">
        <v>815</v>
      </c>
      <c r="D3057" s="16" t="s">
        <v>825</v>
      </c>
      <c r="E3057" s="16" t="s">
        <v>9455</v>
      </c>
      <c r="F3057" s="27" t="s">
        <v>11992</v>
      </c>
      <c r="G3057" s="27"/>
      <c r="H3057" s="16" t="str">
        <f>IF(ISBLANK(PARTIDAS!$G3057),PARTIDAS!$F3057,CONCATENATE(PARTIDAS!$F3057," (",PARTIDAS!$G3057,")"))</f>
        <v>Insecticidas (los demás)</v>
      </c>
      <c r="I3057" s="16" t="s">
        <v>9427</v>
      </c>
    </row>
    <row r="3058" spans="1:9" x14ac:dyDescent="0.25">
      <c r="A3058" s="16" t="s">
        <v>3988</v>
      </c>
      <c r="B3058" s="16" t="str">
        <f>TEXT(PARTIDA[[#This Row],[PARTIDA]],"0000000000")</f>
        <v>3808921100</v>
      </c>
      <c r="C3058" s="16" t="s">
        <v>815</v>
      </c>
      <c r="D3058" s="16" t="s">
        <v>825</v>
      </c>
      <c r="E3058" s="16" t="s">
        <v>9455</v>
      </c>
      <c r="F3058" s="27" t="s">
        <v>12008</v>
      </c>
      <c r="G3058" s="27"/>
      <c r="H3058" s="16" t="str">
        <f>IF(ISBLANK(PARTIDAS!$G3058),PARTIDAS!$F3058,CONCATENATE(PARTIDAS!$F3058," (",PARTIDAS!$G3058,")"))</f>
        <v>Fungicidas, presentados en formas o en envases para la venta al por menor o en…, que contengan bromometano (bromuro de metilo) o bromoclorometano</v>
      </c>
      <c r="I3058" s="16" t="s">
        <v>9427</v>
      </c>
    </row>
    <row r="3059" spans="1:9" x14ac:dyDescent="0.25">
      <c r="A3059" s="16" t="s">
        <v>3989</v>
      </c>
      <c r="B3059" s="16" t="str">
        <f>TEXT(PARTIDA[[#This Row],[PARTIDA]],"0000000000")</f>
        <v>3808921200</v>
      </c>
      <c r="C3059" s="16" t="s">
        <v>815</v>
      </c>
      <c r="D3059" s="16" t="s">
        <v>825</v>
      </c>
      <c r="E3059" s="16" t="s">
        <v>9455</v>
      </c>
      <c r="F3059" s="27" t="s">
        <v>12009</v>
      </c>
      <c r="G3059" s="27"/>
      <c r="H3059" s="16" t="str">
        <f>IF(ISBLANK(PARTIDAS!$G3059),PARTIDAS!$F3059,CONCATENATE(PARTIDAS!$F3059," (",PARTIDAS!$G3059,")"))</f>
        <v>Fungicidas, presentados en formas o en envases para la venta al por menor o en…, que contengan mancozeb, maneb, propineb o zineb</v>
      </c>
      <c r="I3059" s="16" t="s">
        <v>9427</v>
      </c>
    </row>
    <row r="3060" spans="1:9" x14ac:dyDescent="0.25">
      <c r="A3060" s="16" t="s">
        <v>3990</v>
      </c>
      <c r="B3060" s="16" t="str">
        <f>TEXT(PARTIDA[[#This Row],[PARTIDA]],"0000000000")</f>
        <v>3808921900</v>
      </c>
      <c r="C3060" s="16" t="s">
        <v>815</v>
      </c>
      <c r="D3060" s="16" t="s">
        <v>825</v>
      </c>
      <c r="E3060" s="16" t="s">
        <v>9455</v>
      </c>
      <c r="F3060" s="27" t="s">
        <v>12010</v>
      </c>
      <c r="G3060" s="27"/>
      <c r="H3060" s="16" t="str">
        <f>IF(ISBLANK(PARTIDAS!$G3060),PARTIDAS!$F3060,CONCATENATE(PARTIDAS!$F3060," (",PARTIDAS!$G3060,")"))</f>
        <v>Fungicidas, presentados en formas o en envases para la venta al por menor o en… (los demás)</v>
      </c>
      <c r="I3060" s="16" t="s">
        <v>9427</v>
      </c>
    </row>
    <row r="3061" spans="1:9" x14ac:dyDescent="0.25">
      <c r="A3061" s="16" t="s">
        <v>3991</v>
      </c>
      <c r="B3061" s="16" t="str">
        <f>TEXT(PARTIDA[[#This Row],[PARTIDA]],"0000000000")</f>
        <v>3808929100</v>
      </c>
      <c r="C3061" s="16" t="s">
        <v>815</v>
      </c>
      <c r="D3061" s="16" t="s">
        <v>825</v>
      </c>
      <c r="E3061" s="16" t="s">
        <v>9455</v>
      </c>
      <c r="F3061" s="27" t="s">
        <v>12011</v>
      </c>
      <c r="G3061" s="27"/>
      <c r="H3061" s="16" t="str">
        <f>IF(ISBLANK(PARTIDAS!$G3061),PARTIDAS!$F3061,CONCATENATE(PARTIDAS!$F3061," (",PARTIDAS!$G3061,")"))</f>
        <v>Fungicidas, que contengan compuestos de cobre</v>
      </c>
      <c r="I3061" s="16" t="s">
        <v>9427</v>
      </c>
    </row>
    <row r="3062" spans="1:9" x14ac:dyDescent="0.25">
      <c r="A3062" s="16" t="s">
        <v>3992</v>
      </c>
      <c r="B3062" s="16" t="str">
        <f>TEXT(PARTIDA[[#This Row],[PARTIDA]],"0000000000")</f>
        <v>3808929200</v>
      </c>
      <c r="C3062" s="16" t="s">
        <v>815</v>
      </c>
      <c r="D3062" s="16" t="s">
        <v>825</v>
      </c>
      <c r="E3062" s="16" t="s">
        <v>9455</v>
      </c>
      <c r="F3062" s="27" t="s">
        <v>12012</v>
      </c>
      <c r="G3062" s="27"/>
      <c r="H3062" s="16" t="str">
        <f>IF(ISBLANK(PARTIDAS!$G3062),PARTIDAS!$F3062,CONCATENATE(PARTIDAS!$F3062," (",PARTIDAS!$G3062,")"))</f>
        <v>Fungicidas, que contengan mancozeb, maneb, propineb o zineb</v>
      </c>
      <c r="I3062" s="16" t="s">
        <v>9427</v>
      </c>
    </row>
    <row r="3063" spans="1:9" x14ac:dyDescent="0.25">
      <c r="A3063" s="16" t="s">
        <v>3993</v>
      </c>
      <c r="B3063" s="16" t="str">
        <f>TEXT(PARTIDA[[#This Row],[PARTIDA]],"0000000000")</f>
        <v>3808929300</v>
      </c>
      <c r="C3063" s="16" t="s">
        <v>815</v>
      </c>
      <c r="D3063" s="16" t="s">
        <v>825</v>
      </c>
      <c r="E3063" s="16" t="s">
        <v>9455</v>
      </c>
      <c r="F3063" s="27" t="s">
        <v>12013</v>
      </c>
      <c r="G3063" s="27"/>
      <c r="H3063" s="16" t="str">
        <f>IF(ISBLANK(PARTIDAS!$G3063),PARTIDAS!$F3063,CONCATENATE(PARTIDAS!$F3063," (",PARTIDAS!$G3063,")"))</f>
        <v>Fungicidas, que contengan bromometano (bromuro de metilo) o bromoclorometano</v>
      </c>
      <c r="I3063" s="16" t="s">
        <v>9427</v>
      </c>
    </row>
    <row r="3064" spans="1:9" x14ac:dyDescent="0.25">
      <c r="A3064" s="16" t="s">
        <v>3994</v>
      </c>
      <c r="B3064" s="16" t="str">
        <f>TEXT(PARTIDA[[#This Row],[PARTIDA]],"0000000000")</f>
        <v>3808929400</v>
      </c>
      <c r="C3064" s="16" t="s">
        <v>815</v>
      </c>
      <c r="D3064" s="16" t="s">
        <v>825</v>
      </c>
      <c r="E3064" s="16" t="s">
        <v>9455</v>
      </c>
      <c r="F3064" s="27" t="s">
        <v>12014</v>
      </c>
      <c r="G3064" s="27"/>
      <c r="H3064" s="16" t="str">
        <f>IF(ISBLANK(PARTIDAS!$G3064),PARTIDAS!$F3064,CONCATENATE(PARTIDAS!$F3064," (",PARTIDAS!$G3064,")"))</f>
        <v>Fungicidas, que contengan pyrazofos</v>
      </c>
      <c r="I3064" s="16" t="s">
        <v>9427</v>
      </c>
    </row>
    <row r="3065" spans="1:9" x14ac:dyDescent="0.25">
      <c r="A3065" s="16" t="s">
        <v>3995</v>
      </c>
      <c r="B3065" s="16" t="str">
        <f>TEXT(PARTIDA[[#This Row],[PARTIDA]],"0000000000")</f>
        <v>3808929900</v>
      </c>
      <c r="C3065" s="16" t="s">
        <v>815</v>
      </c>
      <c r="D3065" s="16" t="s">
        <v>825</v>
      </c>
      <c r="E3065" s="16" t="s">
        <v>9455</v>
      </c>
      <c r="F3065" s="27" t="s">
        <v>12015</v>
      </c>
      <c r="G3065" s="27"/>
      <c r="H3065" s="16" t="str">
        <f>IF(ISBLANK(PARTIDAS!$G3065),PARTIDAS!$F3065,CONCATENATE(PARTIDAS!$F3065," (",PARTIDAS!$G3065,")"))</f>
        <v>Fungicidas (los demás)</v>
      </c>
      <c r="I3065" s="16" t="s">
        <v>9427</v>
      </c>
    </row>
    <row r="3066" spans="1:9" x14ac:dyDescent="0.25">
      <c r="A3066" s="16" t="s">
        <v>3996</v>
      </c>
      <c r="B3066" s="16" t="str">
        <f>TEXT(PARTIDA[[#This Row],[PARTIDA]],"0000000000")</f>
        <v>3808931100</v>
      </c>
      <c r="C3066" s="16" t="s">
        <v>815</v>
      </c>
      <c r="D3066" s="16" t="s">
        <v>825</v>
      </c>
      <c r="E3066" s="16" t="s">
        <v>9455</v>
      </c>
      <c r="F3066" s="27" t="s">
        <v>12016</v>
      </c>
      <c r="G3066" s="27"/>
      <c r="H3066" s="16" t="str">
        <f>IF(ISBLANK(PARTIDAS!$G3066),PARTIDAS!$F3066,CONCATENATE(PARTIDAS!$F3066," (",PARTIDAS!$G3066,")"))</f>
        <v xml:space="preserve">Herbicidas, inhibidores de germinación y reguladores…, presentados en formas o en envases para la venta al por menor o en…, que contengan bromometano </v>
      </c>
      <c r="I3066" s="16" t="s">
        <v>9427</v>
      </c>
    </row>
    <row r="3067" spans="1:9" x14ac:dyDescent="0.25">
      <c r="A3067" s="16" t="s">
        <v>3997</v>
      </c>
      <c r="B3067" s="16" t="str">
        <f>TEXT(PARTIDA[[#This Row],[PARTIDA]],"0000000000")</f>
        <v>3808931900</v>
      </c>
      <c r="C3067" s="16" t="s">
        <v>815</v>
      </c>
      <c r="D3067" s="16" t="s">
        <v>825</v>
      </c>
      <c r="E3067" s="16" t="s">
        <v>9455</v>
      </c>
      <c r="F3067" s="27" t="s">
        <v>12017</v>
      </c>
      <c r="G3067" s="27"/>
      <c r="H3067" s="16" t="str">
        <f>IF(ISBLANK(PARTIDAS!$G3067),PARTIDAS!$F3067,CONCATENATE(PARTIDAS!$F3067," (",PARTIDAS!$G3067,")"))</f>
        <v>Herbicidas, inhibidores de germinación y reguladores…, presentados en formas o en envases para la venta al por menor o en… (los demás)</v>
      </c>
      <c r="I3067" s="16" t="s">
        <v>9427</v>
      </c>
    </row>
    <row r="3068" spans="1:9" x14ac:dyDescent="0.25">
      <c r="A3068" s="16" t="s">
        <v>3998</v>
      </c>
      <c r="B3068" s="16" t="str">
        <f>TEXT(PARTIDA[[#This Row],[PARTIDA]],"0000000000")</f>
        <v>3808939100</v>
      </c>
      <c r="C3068" s="16" t="s">
        <v>815</v>
      </c>
      <c r="D3068" s="16" t="s">
        <v>825</v>
      </c>
      <c r="E3068" s="16" t="s">
        <v>9455</v>
      </c>
      <c r="F3068" s="27" t="s">
        <v>12018</v>
      </c>
      <c r="G3068" s="27"/>
      <c r="H3068" s="16" t="str">
        <f>IF(ISBLANK(PARTIDAS!$G3068),PARTIDAS!$F3068,CONCATENATE(PARTIDAS!$F3068," (",PARTIDAS!$G3068,")"))</f>
        <v>Herbicidas, inhibidores de germinación y reguladores del crecimiento…, que contengan bromometano (bromuro de metilo) o bromoclorometano</v>
      </c>
      <c r="I3068" s="16" t="s">
        <v>9427</v>
      </c>
    </row>
    <row r="3069" spans="1:9" x14ac:dyDescent="0.25">
      <c r="A3069" s="16" t="s">
        <v>3999</v>
      </c>
      <c r="B3069" s="16" t="str">
        <f>TEXT(PARTIDA[[#This Row],[PARTIDA]],"0000000000")</f>
        <v>3808939300</v>
      </c>
      <c r="C3069" s="16" t="s">
        <v>815</v>
      </c>
      <c r="D3069" s="16" t="s">
        <v>825</v>
      </c>
      <c r="E3069" s="16" t="s">
        <v>9455</v>
      </c>
      <c r="F3069" s="27" t="s">
        <v>12019</v>
      </c>
      <c r="G3069" s="27"/>
      <c r="H3069" s="16" t="str">
        <f>IF(ISBLANK(PARTIDAS!$G3069),PARTIDAS!$F3069,CONCATENATE(PARTIDAS!$F3069," (",PARTIDAS!$G3069,")"))</f>
        <v>Herbicidas, inhibidores de germinación y reguladores del crecimiento…, que contengan butaclor</v>
      </c>
      <c r="I3069" s="16" t="s">
        <v>9427</v>
      </c>
    </row>
    <row r="3070" spans="1:9" x14ac:dyDescent="0.25">
      <c r="A3070" s="16" t="s">
        <v>4000</v>
      </c>
      <c r="B3070" s="16" t="str">
        <f>TEXT(PARTIDA[[#This Row],[PARTIDA]],"0000000000")</f>
        <v>3808939900</v>
      </c>
      <c r="C3070" s="16" t="s">
        <v>815</v>
      </c>
      <c r="D3070" s="16" t="s">
        <v>825</v>
      </c>
      <c r="E3070" s="16" t="s">
        <v>9455</v>
      </c>
      <c r="F3070" s="27" t="s">
        <v>12020</v>
      </c>
      <c r="G3070" s="27"/>
      <c r="H3070" s="16" t="str">
        <f>IF(ISBLANK(PARTIDAS!$G3070),PARTIDAS!$F3070,CONCATENATE(PARTIDAS!$F3070," (",PARTIDAS!$G3070,")"))</f>
        <v>Herbicidas, inhibidores de germinación y reguladores del crecimiento… (los demás)</v>
      </c>
      <c r="I3070" s="16" t="s">
        <v>9427</v>
      </c>
    </row>
    <row r="3071" spans="1:9" x14ac:dyDescent="0.25">
      <c r="A3071" s="16" t="s">
        <v>4001</v>
      </c>
      <c r="B3071" s="16" t="str">
        <f>TEXT(PARTIDA[[#This Row],[PARTIDA]],"0000000000")</f>
        <v>3808941100</v>
      </c>
      <c r="C3071" s="16" t="s">
        <v>815</v>
      </c>
      <c r="D3071" s="16" t="s">
        <v>825</v>
      </c>
      <c r="E3071" s="16" t="s">
        <v>9455</v>
      </c>
      <c r="F3071" s="27" t="s">
        <v>12021</v>
      </c>
      <c r="G3071" s="27"/>
      <c r="H3071" s="16" t="str">
        <f>IF(ISBLANK(PARTIDAS!$G3071),PARTIDAS!$F3071,CONCATENATE(PARTIDAS!$F3071," (",PARTIDAS!$G3071,")"))</f>
        <v>Desinfectantes, presentados en formas o en envases para la venta al por menor o en…, que contengan bromometano (bromuro de metilo) o bromoclorometano</v>
      </c>
      <c r="I3071" s="16" t="s">
        <v>9427</v>
      </c>
    </row>
    <row r="3072" spans="1:9" x14ac:dyDescent="0.25">
      <c r="A3072" s="16" t="s">
        <v>4002</v>
      </c>
      <c r="B3072" s="16" t="str">
        <f>TEXT(PARTIDA[[#This Row],[PARTIDA]],"0000000000")</f>
        <v>3808941900</v>
      </c>
      <c r="C3072" s="16" t="s">
        <v>815</v>
      </c>
      <c r="D3072" s="16" t="s">
        <v>825</v>
      </c>
      <c r="E3072" s="16" t="s">
        <v>9455</v>
      </c>
      <c r="F3072" s="27" t="s">
        <v>12022</v>
      </c>
      <c r="G3072" s="27"/>
      <c r="H3072" s="16" t="str">
        <f>IF(ISBLANK(PARTIDAS!$G3072),PARTIDAS!$F3072,CONCATENATE(PARTIDAS!$F3072," (",PARTIDAS!$G3072,")"))</f>
        <v>Desinfectantes, presentados en formas o en envases para la venta al por menor o en… (los demás)</v>
      </c>
      <c r="I3072" s="16" t="s">
        <v>9427</v>
      </c>
    </row>
    <row r="3073" spans="1:9" x14ac:dyDescent="0.25">
      <c r="A3073" s="16" t="s">
        <v>4003</v>
      </c>
      <c r="B3073" s="16" t="str">
        <f>TEXT(PARTIDA[[#This Row],[PARTIDA]],"0000000000")</f>
        <v>3808949100</v>
      </c>
      <c r="C3073" s="16" t="s">
        <v>815</v>
      </c>
      <c r="D3073" s="16" t="s">
        <v>825</v>
      </c>
      <c r="E3073" s="16" t="s">
        <v>9455</v>
      </c>
      <c r="F3073" s="27" t="s">
        <v>12023</v>
      </c>
      <c r="G3073" s="27"/>
      <c r="H3073" s="16" t="str">
        <f>IF(ISBLANK(PARTIDAS!$G3073),PARTIDAS!$F3073,CONCATENATE(PARTIDAS!$F3073," (",PARTIDAS!$G3073,")"))</f>
        <v>Desinfectantes, que contengan bromometano (bromuro de metilo) o bromoclorometano</v>
      </c>
      <c r="I3073" s="16" t="s">
        <v>9427</v>
      </c>
    </row>
    <row r="3074" spans="1:9" x14ac:dyDescent="0.25">
      <c r="A3074" s="16" t="s">
        <v>4004</v>
      </c>
      <c r="B3074" s="16" t="str">
        <f>TEXT(PARTIDA[[#This Row],[PARTIDA]],"0000000000")</f>
        <v>3808949900</v>
      </c>
      <c r="C3074" s="16" t="s">
        <v>815</v>
      </c>
      <c r="D3074" s="16" t="s">
        <v>825</v>
      </c>
      <c r="E3074" s="16" t="s">
        <v>9455</v>
      </c>
      <c r="F3074" s="27" t="s">
        <v>12024</v>
      </c>
      <c r="G3074" s="27"/>
      <c r="H3074" s="16" t="str">
        <f>IF(ISBLANK(PARTIDAS!$G3074),PARTIDAS!$F3074,CONCATENATE(PARTIDAS!$F3074," (",PARTIDAS!$G3074,")"))</f>
        <v>Desinfectantes (los demás)</v>
      </c>
      <c r="I3074" s="16" t="s">
        <v>9427</v>
      </c>
    </row>
    <row r="3075" spans="1:9" x14ac:dyDescent="0.25">
      <c r="A3075" s="16" t="s">
        <v>4005</v>
      </c>
      <c r="B3075" s="16" t="str">
        <f>TEXT(PARTIDA[[#This Row],[PARTIDA]],"0000000000")</f>
        <v>3808991100</v>
      </c>
      <c r="C3075" s="16" t="s">
        <v>815</v>
      </c>
      <c r="D3075" s="16" t="s">
        <v>825</v>
      </c>
      <c r="E3075" s="16" t="s">
        <v>9455</v>
      </c>
      <c r="F3075" s="27" t="s">
        <v>12025</v>
      </c>
      <c r="G3075" s="27"/>
      <c r="H3075" s="16" t="str">
        <f>IF(ISBLANK(PARTIDAS!$G3075),PARTIDAS!$F3075,CONCATENATE(PARTIDAS!$F3075," (",PARTIDAS!$G3075,")"))</f>
        <v>Insecticidas, raticidas y demás antirroedores…, presentados en formas o en envases para la venta al por menor o en…, que contengan bromometano (bromur</v>
      </c>
      <c r="I3075" s="16" t="s">
        <v>9427</v>
      </c>
    </row>
    <row r="3076" spans="1:9" x14ac:dyDescent="0.25">
      <c r="A3076" s="16" t="s">
        <v>4006</v>
      </c>
      <c r="B3076" s="16" t="str">
        <f>TEXT(PARTIDA[[#This Row],[PARTIDA]],"0000000000")</f>
        <v>3808991900</v>
      </c>
      <c r="C3076" s="16" t="s">
        <v>815</v>
      </c>
      <c r="D3076" s="16" t="s">
        <v>825</v>
      </c>
      <c r="E3076" s="16" t="s">
        <v>9455</v>
      </c>
      <c r="F3076" s="27" t="s">
        <v>12026</v>
      </c>
      <c r="G3076" s="27"/>
      <c r="H3076" s="16" t="str">
        <f>IF(ISBLANK(PARTIDAS!$G3076),PARTIDAS!$F3076,CONCATENATE(PARTIDAS!$F3076," (",PARTIDAS!$G3076,")"))</f>
        <v>Insecticidas, raticidas y demás antirroedores…, presentados en formas o en envases para la venta al por menor o en… (los demás)</v>
      </c>
      <c r="I3076" s="16" t="s">
        <v>9427</v>
      </c>
    </row>
    <row r="3077" spans="1:9" x14ac:dyDescent="0.25">
      <c r="A3077" s="16" t="s">
        <v>4007</v>
      </c>
      <c r="B3077" s="16" t="str">
        <f>TEXT(PARTIDA[[#This Row],[PARTIDA]],"0000000000")</f>
        <v>3808999100</v>
      </c>
      <c r="C3077" s="16" t="s">
        <v>815</v>
      </c>
      <c r="D3077" s="16" t="s">
        <v>825</v>
      </c>
      <c r="E3077" s="16" t="s">
        <v>9455</v>
      </c>
      <c r="F3077" s="27" t="s">
        <v>12027</v>
      </c>
      <c r="G3077" s="27"/>
      <c r="H3077" s="16" t="str">
        <f>IF(ISBLANK(PARTIDAS!$G3077),PARTIDAS!$F3077,CONCATENATE(PARTIDAS!$F3077," (",PARTIDAS!$G3077,")"))</f>
        <v>Insecticidas, raticidas y demás antirroedores, fungicidas…, que contengan bromometano (bromuro de metilo) o bromoclorometano</v>
      </c>
      <c r="I3077" s="16" t="s">
        <v>9427</v>
      </c>
    </row>
    <row r="3078" spans="1:9" x14ac:dyDescent="0.25">
      <c r="A3078" s="16" t="s">
        <v>4008</v>
      </c>
      <c r="B3078" s="16" t="str">
        <f>TEXT(PARTIDA[[#This Row],[PARTIDA]],"0000000000")</f>
        <v>3808999900</v>
      </c>
      <c r="C3078" s="16" t="s">
        <v>815</v>
      </c>
      <c r="D3078" s="16" t="s">
        <v>825</v>
      </c>
      <c r="E3078" s="16" t="s">
        <v>9455</v>
      </c>
      <c r="F3078" s="27" t="s">
        <v>12028</v>
      </c>
      <c r="G3078" s="27"/>
      <c r="H3078" s="16" t="str">
        <f>IF(ISBLANK(PARTIDAS!$G3078),PARTIDAS!$F3078,CONCATENATE(PARTIDAS!$F3078," (",PARTIDAS!$G3078,")"))</f>
        <v>Insecticidas, raticidas y demás antirroedores, fungicidas… (los demás)</v>
      </c>
      <c r="I3078" s="16" t="s">
        <v>9427</v>
      </c>
    </row>
    <row r="3079" spans="1:9" x14ac:dyDescent="0.25">
      <c r="A3079" s="16" t="s">
        <v>4009</v>
      </c>
      <c r="B3079" s="16" t="str">
        <f>TEXT(PARTIDA[[#This Row],[PARTIDA]],"0000000000")</f>
        <v>3809100000</v>
      </c>
      <c r="C3079" s="16" t="s">
        <v>815</v>
      </c>
      <c r="D3079" s="16" t="s">
        <v>835</v>
      </c>
      <c r="E3079" s="16" t="s">
        <v>9467</v>
      </c>
      <c r="F3079" s="27" t="s">
        <v>12029</v>
      </c>
      <c r="G3079" s="27"/>
      <c r="H3079" s="16" t="str">
        <f>IF(ISBLANK(PARTIDAS!$G3079),PARTIDAS!$F3079,CONCATENATE(PARTIDAS!$F3079," (",PARTIDAS!$G3079,")"))</f>
        <v>Aprestos y productos de acabado, aceleradores de tintura o de…, a base de materias amiláceas</v>
      </c>
      <c r="I3079" s="16" t="s">
        <v>9427</v>
      </c>
    </row>
    <row r="3080" spans="1:9" x14ac:dyDescent="0.25">
      <c r="A3080" s="16" t="s">
        <v>4010</v>
      </c>
      <c r="B3080" s="16" t="str">
        <f>TEXT(PARTIDA[[#This Row],[PARTIDA]],"0000000000")</f>
        <v>3809910000</v>
      </c>
      <c r="C3080" s="16" t="s">
        <v>815</v>
      </c>
      <c r="D3080" s="16" t="s">
        <v>835</v>
      </c>
      <c r="E3080" s="16" t="s">
        <v>9467</v>
      </c>
      <c r="F3080" s="27" t="s">
        <v>12030</v>
      </c>
      <c r="G3080" s="27"/>
      <c r="H3080" s="16" t="str">
        <f>IF(ISBLANK(PARTIDAS!$G3080),PARTIDAS!$F3080,CONCATENATE(PARTIDAS!$F3080," (",PARTIDAS!$G3080,")"))</f>
        <v>Aprestos y productos de acabado, aceleradores de tintura o de…, de los tipos utilizados en la industria textil o industrias similares</v>
      </c>
      <c r="I3080" s="16" t="s">
        <v>9427</v>
      </c>
    </row>
    <row r="3081" spans="1:9" x14ac:dyDescent="0.25">
      <c r="A3081" s="16" t="s">
        <v>4011</v>
      </c>
      <c r="B3081" s="16" t="str">
        <f>TEXT(PARTIDA[[#This Row],[PARTIDA]],"0000000000")</f>
        <v>3809920000</v>
      </c>
      <c r="C3081" s="16" t="s">
        <v>815</v>
      </c>
      <c r="D3081" s="16" t="s">
        <v>835</v>
      </c>
      <c r="E3081" s="16" t="s">
        <v>9467</v>
      </c>
      <c r="F3081" s="27" t="s">
        <v>12031</v>
      </c>
      <c r="G3081" s="27"/>
      <c r="H3081" s="16" t="str">
        <f>IF(ISBLANK(PARTIDAS!$G3081),PARTIDAS!$F3081,CONCATENATE(PARTIDAS!$F3081," (",PARTIDAS!$G3081,")"))</f>
        <v>Aprestos y productos de acabado, aceleradores de tintura o de…, de los tipos utilizados en la industria del papel o industrias similares</v>
      </c>
      <c r="I3081" s="16" t="s">
        <v>9427</v>
      </c>
    </row>
    <row r="3082" spans="1:9" x14ac:dyDescent="0.25">
      <c r="A3082" s="16" t="s">
        <v>4012</v>
      </c>
      <c r="B3082" s="16" t="str">
        <f>TEXT(PARTIDA[[#This Row],[PARTIDA]],"0000000000")</f>
        <v>3809930000</v>
      </c>
      <c r="C3082" s="16" t="s">
        <v>815</v>
      </c>
      <c r="D3082" s="16" t="s">
        <v>835</v>
      </c>
      <c r="E3082" s="16" t="s">
        <v>9467</v>
      </c>
      <c r="F3082" s="27" t="s">
        <v>12032</v>
      </c>
      <c r="G3082" s="27"/>
      <c r="H3082" s="16" t="str">
        <f>IF(ISBLANK(PARTIDAS!$G3082),PARTIDAS!$F3082,CONCATENATE(PARTIDAS!$F3082," (",PARTIDAS!$G3082,")"))</f>
        <v>Aprestos y productos de acabado, aceleradores de tintura o de…, de los tipos utilizados en la industria del cuero o industrias similares</v>
      </c>
      <c r="I3082" s="16" t="s">
        <v>9427</v>
      </c>
    </row>
    <row r="3083" spans="1:9" x14ac:dyDescent="0.25">
      <c r="A3083" s="16" t="s">
        <v>4013</v>
      </c>
      <c r="B3083" s="16" t="str">
        <f>TEXT(PARTIDA[[#This Row],[PARTIDA]],"0000000000")</f>
        <v>3810101000</v>
      </c>
      <c r="C3083" s="16" t="s">
        <v>815</v>
      </c>
      <c r="D3083" s="16" t="s">
        <v>835</v>
      </c>
      <c r="E3083" s="16" t="s">
        <v>9467</v>
      </c>
      <c r="F3083" s="27" t="s">
        <v>12033</v>
      </c>
      <c r="G3083" s="27"/>
      <c r="H3083" s="16" t="str">
        <f>IF(ISBLANK(PARTIDAS!$G3083),PARTIDAS!$F3083,CONCATENATE(PARTIDAS!$F3083," (",PARTIDAS!$G3083,")"))</f>
        <v>Preparaciones para el decapado de metal</v>
      </c>
      <c r="I3083" s="16" t="s">
        <v>9427</v>
      </c>
    </row>
    <row r="3084" spans="1:9" x14ac:dyDescent="0.25">
      <c r="A3084" s="16" t="s">
        <v>4014</v>
      </c>
      <c r="B3084" s="16" t="str">
        <f>TEXT(PARTIDA[[#This Row],[PARTIDA]],"0000000000")</f>
        <v>3810102000</v>
      </c>
      <c r="C3084" s="16" t="s">
        <v>815</v>
      </c>
      <c r="D3084" s="16" t="s">
        <v>835</v>
      </c>
      <c r="E3084" s="16" t="s">
        <v>9467</v>
      </c>
      <c r="F3084" s="27" t="s">
        <v>12034</v>
      </c>
      <c r="G3084" s="27"/>
      <c r="H3084" s="16" t="str">
        <f>IF(ISBLANK(PARTIDAS!$G3084),PARTIDAS!$F3084,CONCATENATE(PARTIDAS!$F3084," (",PARTIDAS!$G3084,")"))</f>
        <v>Pastas y polvos para soldar a base de aleaciones de estaño, de plomo o de antimonio</v>
      </c>
      <c r="I3084" s="16" t="s">
        <v>9427</v>
      </c>
    </row>
    <row r="3085" spans="1:9" x14ac:dyDescent="0.25">
      <c r="A3085" s="16" t="s">
        <v>4015</v>
      </c>
      <c r="B3085" s="16" t="str">
        <f>TEXT(PARTIDA[[#This Row],[PARTIDA]],"0000000000")</f>
        <v>3810109000</v>
      </c>
      <c r="C3085" s="16" t="s">
        <v>815</v>
      </c>
      <c r="D3085" s="16" t="s">
        <v>835</v>
      </c>
      <c r="E3085" s="16" t="s">
        <v>9467</v>
      </c>
      <c r="F3085" s="27" t="s">
        <v>12035</v>
      </c>
      <c r="G3085" s="27"/>
      <c r="H3085" s="16" t="str">
        <f>IF(ISBLANK(PARTIDAS!$G3085),PARTIDAS!$F3085,CONCATENATE(PARTIDAS!$F3085," (",PARTIDAS!$G3085,")"))</f>
        <v>Preparaciones para el decapado de metal (los demás)</v>
      </c>
      <c r="I3085" s="16" t="s">
        <v>9427</v>
      </c>
    </row>
    <row r="3086" spans="1:9" x14ac:dyDescent="0.25">
      <c r="A3086" s="16" t="s">
        <v>4016</v>
      </c>
      <c r="B3086" s="16" t="str">
        <f>TEXT(PARTIDA[[#This Row],[PARTIDA]],"0000000000")</f>
        <v>3810901000</v>
      </c>
      <c r="C3086" s="16" t="s">
        <v>815</v>
      </c>
      <c r="D3086" s="16" t="s">
        <v>835</v>
      </c>
      <c r="E3086" s="16" t="s">
        <v>9467</v>
      </c>
      <c r="F3086" s="27" t="s">
        <v>12036</v>
      </c>
      <c r="G3086" s="27"/>
      <c r="H3086" s="16" t="str">
        <f>IF(ISBLANK(PARTIDAS!$G3086),PARTIDAS!$F3086,CONCATENATE(PARTIDAS!$F3086," (",PARTIDAS!$G3086,")"))</f>
        <v>Flujos y demás preparaciones auxiliares para soldar metal</v>
      </c>
      <c r="I3086" s="16" t="s">
        <v>9427</v>
      </c>
    </row>
    <row r="3087" spans="1:9" x14ac:dyDescent="0.25">
      <c r="A3087" s="16" t="s">
        <v>4017</v>
      </c>
      <c r="B3087" s="16" t="str">
        <f>TEXT(PARTIDA[[#This Row],[PARTIDA]],"0000000000")</f>
        <v>3810902000</v>
      </c>
      <c r="C3087" s="16" t="s">
        <v>815</v>
      </c>
      <c r="D3087" s="16" t="s">
        <v>835</v>
      </c>
      <c r="E3087" s="16" t="s">
        <v>9467</v>
      </c>
      <c r="F3087" s="27" t="s">
        <v>12037</v>
      </c>
      <c r="G3087" s="27"/>
      <c r="H3087" s="16" t="str">
        <f>IF(ISBLANK(PARTIDAS!$G3087),PARTIDAS!$F3087,CONCATENATE(PARTIDAS!$F3087," (",PARTIDAS!$G3087,")"))</f>
        <v>Preparaciones de los tipos utilizados para recubrir o rellenar electrodos o varillas de soldadura</v>
      </c>
      <c r="I3087" s="16" t="s">
        <v>9427</v>
      </c>
    </row>
    <row r="3088" spans="1:9" x14ac:dyDescent="0.25">
      <c r="A3088" s="16" t="s">
        <v>4018</v>
      </c>
      <c r="B3088" s="16" t="str">
        <f>TEXT(PARTIDA[[#This Row],[PARTIDA]],"0000000000")</f>
        <v>3811110000</v>
      </c>
      <c r="C3088" s="16" t="s">
        <v>815</v>
      </c>
      <c r="D3088" s="16" t="s">
        <v>835</v>
      </c>
      <c r="E3088" s="16" t="s">
        <v>9467</v>
      </c>
      <c r="F3088" s="27" t="s">
        <v>12038</v>
      </c>
      <c r="G3088" s="27"/>
      <c r="H3088" s="16" t="str">
        <f>IF(ISBLANK(PARTIDAS!$G3088),PARTIDAS!$F3088,CONCATENATE(PARTIDAS!$F3088," (",PARTIDAS!$G3088,")"))</f>
        <v>Preparaciones antidetonantes, a base de compuestos de plomo</v>
      </c>
      <c r="I3088" s="16" t="s">
        <v>9427</v>
      </c>
    </row>
    <row r="3089" spans="1:9" x14ac:dyDescent="0.25">
      <c r="A3089" s="16" t="s">
        <v>4019</v>
      </c>
      <c r="B3089" s="16" t="str">
        <f>TEXT(PARTIDA[[#This Row],[PARTIDA]],"0000000000")</f>
        <v>3811190000</v>
      </c>
      <c r="C3089" s="16" t="s">
        <v>815</v>
      </c>
      <c r="D3089" s="16" t="s">
        <v>835</v>
      </c>
      <c r="E3089" s="16" t="s">
        <v>9467</v>
      </c>
      <c r="F3089" s="27" t="s">
        <v>12039</v>
      </c>
      <c r="G3089" s="27"/>
      <c r="H3089" s="16" t="str">
        <f>IF(ISBLANK(PARTIDAS!$G3089),PARTIDAS!$F3089,CONCATENATE(PARTIDAS!$F3089," (",PARTIDAS!$G3089,")"))</f>
        <v>Preparaciones antidetonantes (los demás)</v>
      </c>
      <c r="I3089" s="16" t="s">
        <v>9427</v>
      </c>
    </row>
    <row r="3090" spans="1:9" x14ac:dyDescent="0.25">
      <c r="A3090" s="16" t="s">
        <v>4020</v>
      </c>
      <c r="B3090" s="16" t="str">
        <f>TEXT(PARTIDA[[#This Row],[PARTIDA]],"0000000000")</f>
        <v>3811211000</v>
      </c>
      <c r="C3090" s="16" t="s">
        <v>815</v>
      </c>
      <c r="D3090" s="16" t="s">
        <v>835</v>
      </c>
      <c r="E3090" s="16" t="s">
        <v>9467</v>
      </c>
      <c r="F3090" s="27" t="s">
        <v>12040</v>
      </c>
      <c r="G3090" s="27"/>
      <c r="H3090" s="16" t="str">
        <f>IF(ISBLANK(PARTIDAS!$G3090),PARTIDAS!$F3090,CONCATENATE(PARTIDAS!$F3090," (",PARTIDAS!$G3090,")"))</f>
        <v>Mejoradores de viscosidad, incluso mezclados con otros aditivos</v>
      </c>
      <c r="I3090" s="16" t="s">
        <v>9427</v>
      </c>
    </row>
    <row r="3091" spans="1:9" x14ac:dyDescent="0.25">
      <c r="A3091" s="16" t="s">
        <v>4021</v>
      </c>
      <c r="B3091" s="16" t="str">
        <f>TEXT(PARTIDA[[#This Row],[PARTIDA]],"0000000000")</f>
        <v>3811212000</v>
      </c>
      <c r="C3091" s="16" t="s">
        <v>815</v>
      </c>
      <c r="D3091" s="16" t="s">
        <v>835</v>
      </c>
      <c r="E3091" s="16" t="s">
        <v>9467</v>
      </c>
      <c r="F3091" s="27" t="s">
        <v>12041</v>
      </c>
      <c r="G3091" s="27"/>
      <c r="H3091" s="16" t="str">
        <f>IF(ISBLANK(PARTIDAS!$G3091),PARTIDAS!$F3091,CONCATENATE(PARTIDAS!$F3091," (",PARTIDAS!$G3091,")"))</f>
        <v>Detergentes y dispersantes, incluso mezclados con otros aditivos, excepto mejoradores de viscosidad</v>
      </c>
      <c r="I3091" s="16" t="s">
        <v>9427</v>
      </c>
    </row>
    <row r="3092" spans="1:9" x14ac:dyDescent="0.25">
      <c r="A3092" s="16" t="s">
        <v>4022</v>
      </c>
      <c r="B3092" s="16" t="str">
        <f>TEXT(PARTIDA[[#This Row],[PARTIDA]],"0000000000")</f>
        <v>3811219000</v>
      </c>
      <c r="C3092" s="16" t="s">
        <v>815</v>
      </c>
      <c r="D3092" s="16" t="s">
        <v>835</v>
      </c>
      <c r="E3092" s="16" t="s">
        <v>9467</v>
      </c>
      <c r="F3092" s="27" t="s">
        <v>12042</v>
      </c>
      <c r="G3092" s="27"/>
      <c r="H3092" s="16" t="str">
        <f>IF(ISBLANK(PARTIDAS!$G3092),PARTIDAS!$F3092,CONCATENATE(PARTIDAS!$F3092," (",PARTIDAS!$G3092,")"))</f>
        <v>Aditivos para aceites lubricantes, que contengan aceites de petróleo o de mineral bituminoso (los demás)</v>
      </c>
      <c r="I3092" s="16" t="s">
        <v>9427</v>
      </c>
    </row>
    <row r="3093" spans="1:9" x14ac:dyDescent="0.25">
      <c r="A3093" s="16" t="s">
        <v>4023</v>
      </c>
      <c r="B3093" s="16" t="str">
        <f>TEXT(PARTIDA[[#This Row],[PARTIDA]],"0000000000")</f>
        <v>3811290000</v>
      </c>
      <c r="C3093" s="16" t="s">
        <v>815</v>
      </c>
      <c r="D3093" s="16" t="s">
        <v>835</v>
      </c>
      <c r="E3093" s="16" t="s">
        <v>9467</v>
      </c>
      <c r="F3093" s="27" t="s">
        <v>12043</v>
      </c>
      <c r="G3093" s="27"/>
      <c r="H3093" s="16" t="str">
        <f>IF(ISBLANK(PARTIDAS!$G3093),PARTIDAS!$F3093,CONCATENATE(PARTIDAS!$F3093," (",PARTIDAS!$G3093,")"))</f>
        <v>Aditivos para aceites lubricantes (los demás)</v>
      </c>
      <c r="I3093" s="16" t="s">
        <v>9427</v>
      </c>
    </row>
    <row r="3094" spans="1:9" x14ac:dyDescent="0.25">
      <c r="A3094" s="16" t="s">
        <v>4024</v>
      </c>
      <c r="B3094" s="16" t="str">
        <f>TEXT(PARTIDA[[#This Row],[PARTIDA]],"0000000000")</f>
        <v>3811900000</v>
      </c>
      <c r="C3094" s="16" t="s">
        <v>815</v>
      </c>
      <c r="D3094" s="16" t="s">
        <v>835</v>
      </c>
      <c r="E3094" s="16" t="s">
        <v>9467</v>
      </c>
      <c r="F3094" s="27" t="s">
        <v>4025</v>
      </c>
      <c r="G3094" s="27"/>
      <c r="H3094" s="16" t="str">
        <f>IF(ISBLANK(PARTIDAS!$G3094),PARTIDAS!$F3094,CONCATENATE(PARTIDAS!$F3094," (",PARTIDAS!$G3094,")"))</f>
        <v>Preservante</v>
      </c>
      <c r="I3094" s="16" t="s">
        <v>9427</v>
      </c>
    </row>
    <row r="3095" spans="1:9" x14ac:dyDescent="0.25">
      <c r="A3095" s="16" t="s">
        <v>4026</v>
      </c>
      <c r="B3095" s="16" t="str">
        <f>TEXT(PARTIDA[[#This Row],[PARTIDA]],"0000000000")</f>
        <v>3812100000</v>
      </c>
      <c r="C3095" s="16" t="s">
        <v>815</v>
      </c>
      <c r="D3095" s="16" t="s">
        <v>835</v>
      </c>
      <c r="E3095" s="16" t="s">
        <v>9467</v>
      </c>
      <c r="F3095" s="27" t="s">
        <v>12044</v>
      </c>
      <c r="G3095" s="27"/>
      <c r="H3095" s="16" t="str">
        <f>IF(ISBLANK(PARTIDAS!$G3095),PARTIDAS!$F3095,CONCATENATE(PARTIDAS!$F3095," (",PARTIDAS!$G3095,")"))</f>
        <v>Aceleradores de vulcanización preparados</v>
      </c>
      <c r="I3095" s="16" t="s">
        <v>9427</v>
      </c>
    </row>
    <row r="3096" spans="1:9" x14ac:dyDescent="0.25">
      <c r="A3096" s="16" t="s">
        <v>4027</v>
      </c>
      <c r="B3096" s="16" t="str">
        <f>TEXT(PARTIDA[[#This Row],[PARTIDA]],"0000000000")</f>
        <v>3812200000</v>
      </c>
      <c r="C3096" s="16" t="s">
        <v>815</v>
      </c>
      <c r="D3096" s="16" t="s">
        <v>835</v>
      </c>
      <c r="E3096" s="16" t="s">
        <v>9467</v>
      </c>
      <c r="F3096" s="27" t="s">
        <v>12045</v>
      </c>
      <c r="G3096" s="27"/>
      <c r="H3096" s="16" t="str">
        <f>IF(ISBLANK(PARTIDAS!$G3096),PARTIDAS!$F3096,CONCATENATE(PARTIDAS!$F3096," (",PARTIDAS!$G3096,")"))</f>
        <v>Plastificantes compuestos para caucho o plástico</v>
      </c>
      <c r="I3096" s="16" t="s">
        <v>9427</v>
      </c>
    </row>
    <row r="3097" spans="1:9" x14ac:dyDescent="0.25">
      <c r="A3097" s="16" t="s">
        <v>4028</v>
      </c>
      <c r="B3097" s="16" t="str">
        <f>TEXT(PARTIDA[[#This Row],[PARTIDA]],"0000000000")</f>
        <v>3812310000</v>
      </c>
      <c r="C3097" s="16" t="s">
        <v>815</v>
      </c>
      <c r="D3097" s="16" t="s">
        <v>835</v>
      </c>
      <c r="E3097" s="16" t="s">
        <v>9467</v>
      </c>
      <c r="F3097" s="27" t="s">
        <v>12046</v>
      </c>
      <c r="G3097" s="27"/>
      <c r="H3097" s="16" t="str">
        <f>IF(ISBLANK(PARTIDAS!$G3097),PARTIDAS!$F3097,CONCATENATE(PARTIDAS!$F3097," (",PARTIDAS!$G3097,")"))</f>
        <v>Mezclas de oligómeros de 2,2,4-trimetil-1,2-dihidroquinoleína (TMQ)</v>
      </c>
      <c r="I3097" s="16" t="s">
        <v>9427</v>
      </c>
    </row>
    <row r="3098" spans="1:9" x14ac:dyDescent="0.25">
      <c r="A3098" s="16" t="s">
        <v>4029</v>
      </c>
      <c r="B3098" s="16" t="str">
        <f>TEXT(PARTIDA[[#This Row],[PARTIDA]],"0000000000")</f>
        <v>3812391000</v>
      </c>
      <c r="C3098" s="16" t="s">
        <v>815</v>
      </c>
      <c r="D3098" s="16" t="s">
        <v>835</v>
      </c>
      <c r="E3098" s="16" t="s">
        <v>9467</v>
      </c>
      <c r="F3098" s="27" t="s">
        <v>12047</v>
      </c>
      <c r="G3098" s="27"/>
      <c r="H3098" s="16" t="str">
        <f>IF(ISBLANK(PARTIDAS!$G3098),PARTIDAS!$F3098,CONCATENATE(PARTIDAS!$F3098," (",PARTIDAS!$G3098,")"))</f>
        <v>Preparaciones antioxidantes</v>
      </c>
      <c r="I3098" s="16" t="s">
        <v>9427</v>
      </c>
    </row>
    <row r="3099" spans="1:9" x14ac:dyDescent="0.25">
      <c r="A3099" s="16" t="s">
        <v>4030</v>
      </c>
      <c r="B3099" s="16" t="str">
        <f>TEXT(PARTIDA[[#This Row],[PARTIDA]],"0000000000")</f>
        <v>3812399000</v>
      </c>
      <c r="C3099" s="16" t="s">
        <v>815</v>
      </c>
      <c r="D3099" s="16" t="s">
        <v>835</v>
      </c>
      <c r="E3099" s="16" t="s">
        <v>9467</v>
      </c>
      <c r="F3099" s="27" t="s">
        <v>12048</v>
      </c>
      <c r="G3099" s="27"/>
      <c r="H3099" s="16" t="str">
        <f>IF(ISBLANK(PARTIDAS!$G3099),PARTIDAS!$F3099,CONCATENATE(PARTIDAS!$F3099," (",PARTIDAS!$G3099,")"))</f>
        <v>Preparaciones antioxidantes y demás estabilizantes compuestos para… (los demás)</v>
      </c>
      <c r="I3099" s="16" t="s">
        <v>9427</v>
      </c>
    </row>
    <row r="3100" spans="1:9" x14ac:dyDescent="0.25">
      <c r="A3100" s="16" t="s">
        <v>4031</v>
      </c>
      <c r="B3100" s="16" t="str">
        <f>TEXT(PARTIDA[[#This Row],[PARTIDA]],"0000000000")</f>
        <v>3813001200</v>
      </c>
      <c r="C3100" s="16" t="s">
        <v>815</v>
      </c>
      <c r="D3100" s="16" t="s">
        <v>835</v>
      </c>
      <c r="E3100" s="16" t="s">
        <v>9467</v>
      </c>
      <c r="F3100" s="27" t="s">
        <v>12049</v>
      </c>
      <c r="G3100" s="27"/>
      <c r="H3100" s="16" t="str">
        <f>IF(ISBLANK(PARTIDAS!$G3100),PARTIDAS!$F3100,CONCATENATE(PARTIDAS!$F3100," (",PARTIDAS!$G3100,")"))</f>
        <v>Preparaciones y cargas para aparatos extintores, que contengan bromoclorodifluorometano, bromotrifluorometano o dibromotetrafluoroetanos</v>
      </c>
      <c r="I3100" s="16" t="s">
        <v>9427</v>
      </c>
    </row>
    <row r="3101" spans="1:9" x14ac:dyDescent="0.25">
      <c r="A3101" s="16" t="s">
        <v>4032</v>
      </c>
      <c r="B3101" s="16" t="str">
        <f>TEXT(PARTIDA[[#This Row],[PARTIDA]],"0000000000")</f>
        <v>3813001300</v>
      </c>
      <c r="C3101" s="16" t="s">
        <v>815</v>
      </c>
      <c r="D3101" s="16" t="s">
        <v>835</v>
      </c>
      <c r="E3101" s="16" t="s">
        <v>9467</v>
      </c>
      <c r="F3101" s="27" t="s">
        <v>12050</v>
      </c>
      <c r="G3101" s="27"/>
      <c r="H3101" s="16" t="str">
        <f>IF(ISBLANK(PARTIDAS!$G3101),PARTIDAS!$F3101,CONCATENATE(PARTIDAS!$F3101," (",PARTIDAS!$G3101,")"))</f>
        <v>Preparaciones y cargas para aparatos extintores, que contengan hidrobromofluorocarburos del metano, del etano o del propano (HBFC)</v>
      </c>
      <c r="I3101" s="16" t="s">
        <v>9427</v>
      </c>
    </row>
    <row r="3102" spans="1:9" x14ac:dyDescent="0.25">
      <c r="A3102" s="16" t="s">
        <v>4033</v>
      </c>
      <c r="B3102" s="16" t="str">
        <f>TEXT(PARTIDA[[#This Row],[PARTIDA]],"0000000000")</f>
        <v>3813001400</v>
      </c>
      <c r="C3102" s="16" t="s">
        <v>815</v>
      </c>
      <c r="D3102" s="16" t="s">
        <v>835</v>
      </c>
      <c r="E3102" s="16" t="s">
        <v>9467</v>
      </c>
      <c r="F3102" s="27" t="s">
        <v>12051</v>
      </c>
      <c r="G3102" s="27"/>
      <c r="H3102" s="16" t="str">
        <f>IF(ISBLANK(PARTIDAS!$G3102),PARTIDAS!$F3102,CONCATENATE(PARTIDAS!$F3102," (",PARTIDAS!$G3102,")"))</f>
        <v>Preparaciones y cargas para aparatos extintores, que contengan hidroclorofluorocarburos del metano, del etano o del propano (HCFC)</v>
      </c>
      <c r="I3102" s="16" t="s">
        <v>9427</v>
      </c>
    </row>
    <row r="3103" spans="1:9" x14ac:dyDescent="0.25">
      <c r="A3103" s="16" t="s">
        <v>4034</v>
      </c>
      <c r="B3103" s="16" t="str">
        <f>TEXT(PARTIDA[[#This Row],[PARTIDA]],"0000000000")</f>
        <v>3813001500</v>
      </c>
      <c r="C3103" s="16" t="s">
        <v>815</v>
      </c>
      <c r="D3103" s="16" t="s">
        <v>835</v>
      </c>
      <c r="E3103" s="16" t="s">
        <v>9467</v>
      </c>
      <c r="F3103" s="27" t="s">
        <v>12052</v>
      </c>
      <c r="G3103" s="27"/>
      <c r="H3103" s="16" t="str">
        <f>IF(ISBLANK(PARTIDAS!$G3103),PARTIDAS!$F3103,CONCATENATE(PARTIDAS!$F3103," (",PARTIDAS!$G3103,")"))</f>
        <v>Preparaciones y cargas para aparatos extintores, que contengan bromoclorometano</v>
      </c>
      <c r="I3103" s="16" t="s">
        <v>9427</v>
      </c>
    </row>
    <row r="3104" spans="1:9" x14ac:dyDescent="0.25">
      <c r="A3104" s="16" t="s">
        <v>4035</v>
      </c>
      <c r="B3104" s="16" t="str">
        <f>TEXT(PARTIDA[[#This Row],[PARTIDA]],"0000000000")</f>
        <v>3813001900</v>
      </c>
      <c r="C3104" s="16" t="s">
        <v>815</v>
      </c>
      <c r="D3104" s="16" t="s">
        <v>835</v>
      </c>
      <c r="E3104" s="16" t="s">
        <v>9467</v>
      </c>
      <c r="F3104" s="27" t="s">
        <v>12053</v>
      </c>
      <c r="G3104" s="27"/>
      <c r="H3104" s="16" t="str">
        <f>IF(ISBLANK(PARTIDAS!$G3104),PARTIDAS!$F3104,CONCATENATE(PARTIDAS!$F3104," (",PARTIDAS!$G3104,")"))</f>
        <v>Preparaciones y cargas para aparatos extintores (los demás)</v>
      </c>
      <c r="I3104" s="16" t="s">
        <v>9427</v>
      </c>
    </row>
    <row r="3105" spans="1:9" x14ac:dyDescent="0.25">
      <c r="A3105" s="16" t="s">
        <v>4036</v>
      </c>
      <c r="B3105" s="16" t="str">
        <f>TEXT(PARTIDA[[#This Row],[PARTIDA]],"0000000000")</f>
        <v>3813002000</v>
      </c>
      <c r="C3105" s="16" t="s">
        <v>815</v>
      </c>
      <c r="D3105" s="16" t="s">
        <v>835</v>
      </c>
      <c r="E3105" s="16" t="s">
        <v>9467</v>
      </c>
      <c r="F3105" s="27" t="s">
        <v>12054</v>
      </c>
      <c r="G3105" s="27"/>
      <c r="H3105" s="16" t="str">
        <f>IF(ISBLANK(PARTIDAS!$G3105),PARTIDAS!$F3105,CONCATENATE(PARTIDAS!$F3105," (",PARTIDAS!$G3105,")"))</f>
        <v>Granadas y bombas extintoras</v>
      </c>
      <c r="I3105" s="16" t="s">
        <v>9427</v>
      </c>
    </row>
    <row r="3106" spans="1:9" x14ac:dyDescent="0.25">
      <c r="A3106" s="16" t="s">
        <v>4037</v>
      </c>
      <c r="B3106" s="16" t="str">
        <f>TEXT(PARTIDA[[#This Row],[PARTIDA]],"0000000000")</f>
        <v>3814001000</v>
      </c>
      <c r="C3106" s="16" t="s">
        <v>815</v>
      </c>
      <c r="D3106" s="16" t="s">
        <v>835</v>
      </c>
      <c r="E3106" s="16" t="s">
        <v>9467</v>
      </c>
      <c r="F3106" s="27" t="s">
        <v>12055</v>
      </c>
      <c r="G3106" s="27"/>
      <c r="H3106" s="16" t="str">
        <f>IF(ISBLANK(PARTIDAS!$G3106),PARTIDAS!$F3106,CONCATENATE(PARTIDAS!$F3106," (",PARTIDAS!$G3106,")"))</f>
        <v>Aceleradores de vulcanización preparados, que contengan clorofluorocarburos del metano, del etano o del propano (CFC), incluso si contienen hidrocloro</v>
      </c>
      <c r="I3106" s="16" t="s">
        <v>9427</v>
      </c>
    </row>
    <row r="3107" spans="1:9" x14ac:dyDescent="0.25">
      <c r="A3107" s="16" t="s">
        <v>4038</v>
      </c>
      <c r="B3107" s="16" t="str">
        <f>TEXT(PARTIDA[[#This Row],[PARTIDA]],"0000000000")</f>
        <v>3814002000</v>
      </c>
      <c r="C3107" s="16" t="s">
        <v>815</v>
      </c>
      <c r="D3107" s="16" t="s">
        <v>835</v>
      </c>
      <c r="E3107" s="16" t="s">
        <v>9467</v>
      </c>
      <c r="F3107" s="27" t="s">
        <v>12056</v>
      </c>
      <c r="G3107" s="27"/>
      <c r="H3107" s="16" t="str">
        <f>IF(ISBLANK(PARTIDAS!$G3107),PARTIDAS!$F3107,CONCATENATE(PARTIDAS!$F3107," (",PARTIDAS!$G3107,")"))</f>
        <v>Aceleradores de vulcanización preparados, que contengan hidroclorofluorocarburos del metano, del etano o del propano (HCFC), pero que no contengan clo</v>
      </c>
      <c r="I3107" s="16" t="s">
        <v>9427</v>
      </c>
    </row>
    <row r="3108" spans="1:9" x14ac:dyDescent="0.25">
      <c r="A3108" s="16" t="s">
        <v>4039</v>
      </c>
      <c r="B3108" s="16" t="str">
        <f>TEXT(PARTIDA[[#This Row],[PARTIDA]],"0000000000")</f>
        <v>3814003000</v>
      </c>
      <c r="C3108" s="16" t="s">
        <v>815</v>
      </c>
      <c r="D3108" s="16" t="s">
        <v>835</v>
      </c>
      <c r="E3108" s="16" t="s">
        <v>9467</v>
      </c>
      <c r="F3108" s="27" t="s">
        <v>12057</v>
      </c>
      <c r="G3108" s="27"/>
      <c r="H3108" s="16" t="str">
        <f>IF(ISBLANK(PARTIDAS!$G3108),PARTIDAS!$F3108,CONCATENATE(PARTIDAS!$F3108," (",PARTIDAS!$G3108,")"))</f>
        <v>Aceleradores de vulcanización preparados, que contengan tetracloruro de carbono, bromoclorometano o 1,1,1-tricloroetano (metil cloroformo)</v>
      </c>
      <c r="I3108" s="16" t="s">
        <v>9427</v>
      </c>
    </row>
    <row r="3109" spans="1:9" x14ac:dyDescent="0.25">
      <c r="A3109" s="16" t="s">
        <v>4040</v>
      </c>
      <c r="B3109" s="16" t="str">
        <f>TEXT(PARTIDA[[#This Row],[PARTIDA]],"0000000000")</f>
        <v>3814009000</v>
      </c>
      <c r="C3109" s="16" t="s">
        <v>815</v>
      </c>
      <c r="D3109" s="16" t="s">
        <v>835</v>
      </c>
      <c r="E3109" s="16" t="s">
        <v>9467</v>
      </c>
      <c r="F3109" s="27" t="s">
        <v>4041</v>
      </c>
      <c r="G3109" s="27"/>
      <c r="H3109" s="16" t="str">
        <f>IF(ISBLANK(PARTIDAS!$G3109),PARTIDAS!$F3109,CONCATENATE(PARTIDAS!$F3109," (",PARTIDAS!$G3109,")"))</f>
        <v>Disolvente</v>
      </c>
      <c r="I3109" s="16" t="s">
        <v>9427</v>
      </c>
    </row>
    <row r="3110" spans="1:9" x14ac:dyDescent="0.25">
      <c r="A3110" s="16" t="s">
        <v>4042</v>
      </c>
      <c r="B3110" s="16" t="str">
        <f>TEXT(PARTIDA[[#This Row],[PARTIDA]],"0000000000")</f>
        <v>3815110000</v>
      </c>
      <c r="C3110" s="16" t="s">
        <v>815</v>
      </c>
      <c r="D3110" s="16" t="s">
        <v>835</v>
      </c>
      <c r="E3110" s="16" t="s">
        <v>9467</v>
      </c>
      <c r="F3110" s="27" t="s">
        <v>12058</v>
      </c>
      <c r="G3110" s="27"/>
      <c r="H3110" s="16" t="str">
        <f>IF(ISBLANK(PARTIDAS!$G3110),PARTIDAS!$F3110,CONCATENATE(PARTIDAS!$F3110," (",PARTIDAS!$G3110,")"))</f>
        <v>Catalizadores sobre soporte, con níquel o sus compuestos como sustancia activa</v>
      </c>
      <c r="I3110" s="16" t="s">
        <v>9427</v>
      </c>
    </row>
    <row r="3111" spans="1:9" x14ac:dyDescent="0.25">
      <c r="A3111" s="16" t="s">
        <v>4043</v>
      </c>
      <c r="B3111" s="16" t="str">
        <f>TEXT(PARTIDA[[#This Row],[PARTIDA]],"0000000000")</f>
        <v>3815120000</v>
      </c>
      <c r="C3111" s="16" t="s">
        <v>815</v>
      </c>
      <c r="D3111" s="16" t="s">
        <v>835</v>
      </c>
      <c r="E3111" s="16" t="s">
        <v>9467</v>
      </c>
      <c r="F3111" s="27" t="s">
        <v>12059</v>
      </c>
      <c r="G3111" s="27"/>
      <c r="H3111" s="16" t="str">
        <f>IF(ISBLANK(PARTIDAS!$G3111),PARTIDAS!$F3111,CONCATENATE(PARTIDAS!$F3111," (",PARTIDAS!$G3111,")"))</f>
        <v>Catalizadores sobre soporte, con metal precioso o sus compuestos como sustancia activa</v>
      </c>
      <c r="I3111" s="16" t="s">
        <v>9427</v>
      </c>
    </row>
    <row r="3112" spans="1:9" x14ac:dyDescent="0.25">
      <c r="A3112" s="16" t="s">
        <v>4044</v>
      </c>
      <c r="B3112" s="16" t="str">
        <f>TEXT(PARTIDA[[#This Row],[PARTIDA]],"0000000000")</f>
        <v>3815191000</v>
      </c>
      <c r="C3112" s="16" t="s">
        <v>815</v>
      </c>
      <c r="D3112" s="16" t="s">
        <v>835</v>
      </c>
      <c r="E3112" s="16" t="s">
        <v>9467</v>
      </c>
      <c r="F3112" s="27" t="s">
        <v>12060</v>
      </c>
      <c r="G3112" s="27"/>
      <c r="H3112" s="16" t="str">
        <f>IF(ISBLANK(PARTIDAS!$G3112),PARTIDAS!$F3112,CONCATENATE(PARTIDAS!$F3112," (",PARTIDAS!$G3112,")"))</f>
        <v>Catalizadores sobre soporte, con titanio o sus compuestos como sustancia activa</v>
      </c>
      <c r="I3112" s="16" t="s">
        <v>9427</v>
      </c>
    </row>
    <row r="3113" spans="1:9" x14ac:dyDescent="0.25">
      <c r="A3113" s="16" t="s">
        <v>4045</v>
      </c>
      <c r="B3113" s="16" t="str">
        <f>TEXT(PARTIDA[[#This Row],[PARTIDA]],"0000000000")</f>
        <v>3815199000</v>
      </c>
      <c r="C3113" s="16" t="s">
        <v>815</v>
      </c>
      <c r="D3113" s="16" t="s">
        <v>835</v>
      </c>
      <c r="E3113" s="16" t="s">
        <v>9467</v>
      </c>
      <c r="F3113" s="27" t="s">
        <v>12061</v>
      </c>
      <c r="G3113" s="27"/>
      <c r="H3113" s="16" t="str">
        <f>IF(ISBLANK(PARTIDAS!$G3113),PARTIDAS!$F3113,CONCATENATE(PARTIDAS!$F3113," (",PARTIDAS!$G3113,")"))</f>
        <v>Catalizadores sobre soporte (los demás)</v>
      </c>
      <c r="I3113" s="16" t="s">
        <v>9427</v>
      </c>
    </row>
    <row r="3114" spans="1:9" x14ac:dyDescent="0.25">
      <c r="A3114" s="16" t="s">
        <v>4046</v>
      </c>
      <c r="B3114" s="16" t="str">
        <f>TEXT(PARTIDA[[#This Row],[PARTIDA]],"0000000000")</f>
        <v>3815900000</v>
      </c>
      <c r="C3114" s="16" t="s">
        <v>815</v>
      </c>
      <c r="D3114" s="16" t="s">
        <v>835</v>
      </c>
      <c r="E3114" s="16" t="s">
        <v>9465</v>
      </c>
      <c r="F3114" s="27" t="s">
        <v>9266</v>
      </c>
      <c r="G3114" s="27"/>
      <c r="H3114" s="16" t="str">
        <f>IF(ISBLANK(PARTIDAS!$G3114),PARTIDAS!$F3114,CONCATENATE(PARTIDAS!$F3114," (",PARTIDAS!$G3114,")"))</f>
        <v>Iniciadores y aceleradores de reacción y preparaciones catalíticas… (los demás)</v>
      </c>
      <c r="I3114" s="16" t="s">
        <v>9477</v>
      </c>
    </row>
    <row r="3115" spans="1:9" x14ac:dyDescent="0.25">
      <c r="A3115" s="16" t="s">
        <v>4047</v>
      </c>
      <c r="B3115" s="16" t="str">
        <f>TEXT(PARTIDA[[#This Row],[PARTIDA]],"0000000000")</f>
        <v>3816000000</v>
      </c>
      <c r="C3115" s="16" t="s">
        <v>815</v>
      </c>
      <c r="D3115" s="16" t="s">
        <v>835</v>
      </c>
      <c r="E3115" s="16" t="s">
        <v>9467</v>
      </c>
      <c r="F3115" s="27" t="s">
        <v>4048</v>
      </c>
      <c r="G3115" s="27"/>
      <c r="H3115" s="16" t="str">
        <f>IF(ISBLANK(PARTIDAS!$G3115),PARTIDAS!$F3115,CONCATENATE(PARTIDAS!$F3115," (",PARTIDAS!$G3115,")"))</f>
        <v>Cementos, morteros, hormigones y preparaciones
similares, refractarios, excepto los productos de la
partida 38.01.</v>
      </c>
      <c r="I3115" s="16" t="s">
        <v>9427</v>
      </c>
    </row>
    <row r="3116" spans="1:9" x14ac:dyDescent="0.25">
      <c r="A3116" s="16" t="s">
        <v>4049</v>
      </c>
      <c r="B3116" s="16" t="str">
        <f>TEXT(PARTIDA[[#This Row],[PARTIDA]],"0000000000")</f>
        <v>3817001000</v>
      </c>
      <c r="C3116" s="16" t="s">
        <v>815</v>
      </c>
      <c r="D3116" s="16" t="s">
        <v>835</v>
      </c>
      <c r="E3116" s="16" t="s">
        <v>9467</v>
      </c>
      <c r="F3116" s="27" t="s">
        <v>12062</v>
      </c>
      <c r="G3116" s="27"/>
      <c r="H3116" s="16" t="str">
        <f>IF(ISBLANK(PARTIDAS!$G3116),PARTIDAS!$F3116,CONCATENATE(PARTIDAS!$F3116," (",PARTIDAS!$G3116,")"))</f>
        <v>Dodecilbenceno</v>
      </c>
      <c r="I3116" s="16" t="s">
        <v>9427</v>
      </c>
    </row>
    <row r="3117" spans="1:9" x14ac:dyDescent="0.25">
      <c r="A3117" s="16" t="s">
        <v>4050</v>
      </c>
      <c r="B3117" s="16" t="str">
        <f>TEXT(PARTIDA[[#This Row],[PARTIDA]],"0000000000")</f>
        <v>3817002000</v>
      </c>
      <c r="C3117" s="16" t="s">
        <v>815</v>
      </c>
      <c r="D3117" s="16" t="s">
        <v>835</v>
      </c>
      <c r="E3117" s="16" t="s">
        <v>9467</v>
      </c>
      <c r="F3117" s="27" t="s">
        <v>12063</v>
      </c>
      <c r="G3117" s="27"/>
      <c r="H3117" s="16" t="str">
        <f>IF(ISBLANK(PARTIDAS!$G3117),PARTIDAS!$F3117,CONCATENATE(PARTIDAS!$F3117," (",PARTIDAS!$G3117,")"))</f>
        <v>Mezclas de alquilnaftalenos</v>
      </c>
      <c r="I3117" s="16" t="s">
        <v>9427</v>
      </c>
    </row>
    <row r="3118" spans="1:9" x14ac:dyDescent="0.25">
      <c r="A3118" s="16" t="s">
        <v>4051</v>
      </c>
      <c r="B3118" s="16" t="str">
        <f>TEXT(PARTIDA[[#This Row],[PARTIDA]],"0000000000")</f>
        <v>3817009010</v>
      </c>
      <c r="C3118" s="16" t="s">
        <v>815</v>
      </c>
      <c r="D3118" s="16" t="s">
        <v>835</v>
      </c>
      <c r="E3118" s="16" t="s">
        <v>9467</v>
      </c>
      <c r="F3118" s="27" t="s">
        <v>12064</v>
      </c>
      <c r="G3118" s="27"/>
      <c r="H3118" s="16" t="str">
        <f>IF(ISBLANK(PARTIDAS!$G3118),PARTIDAS!$F3118,CONCATENATE(PARTIDAS!$F3118," (",PARTIDAS!$G3118,")"))</f>
        <v>Iniciadores y aceleradores de reacción y preparaciones catalíticas…, tridecilbenceno</v>
      </c>
      <c r="I3118" s="16" t="s">
        <v>9427</v>
      </c>
    </row>
    <row r="3119" spans="1:9" x14ac:dyDescent="0.25">
      <c r="A3119" s="16" t="s">
        <v>4052</v>
      </c>
      <c r="B3119" s="16" t="str">
        <f>TEXT(PARTIDA[[#This Row],[PARTIDA]],"0000000000")</f>
        <v>3817009090</v>
      </c>
      <c r="C3119" s="16" t="s">
        <v>815</v>
      </c>
      <c r="D3119" s="16" t="s">
        <v>835</v>
      </c>
      <c r="E3119" s="16" t="s">
        <v>9467</v>
      </c>
      <c r="F3119" s="27" t="s">
        <v>9266</v>
      </c>
      <c r="G3119" s="27"/>
      <c r="H3119" s="16" t="str">
        <f>IF(ISBLANK(PARTIDAS!$G3119),PARTIDAS!$F3119,CONCATENATE(PARTIDAS!$F3119," (",PARTIDAS!$G3119,")"))</f>
        <v>Iniciadores y aceleradores de reacción y preparaciones catalíticas… (los demás)</v>
      </c>
      <c r="I3119" s="16" t="s">
        <v>9427</v>
      </c>
    </row>
    <row r="3120" spans="1:9" x14ac:dyDescent="0.25">
      <c r="A3120" s="16" t="s">
        <v>4053</v>
      </c>
      <c r="B3120" s="16" t="str">
        <f>TEXT(PARTIDA[[#This Row],[PARTIDA]],"0000000000")</f>
        <v>3818000000</v>
      </c>
      <c r="C3120" s="16" t="s">
        <v>815</v>
      </c>
      <c r="D3120" s="16" t="s">
        <v>835</v>
      </c>
      <c r="E3120" s="16" t="s">
        <v>9467</v>
      </c>
      <c r="F3120" s="27" t="s">
        <v>4054</v>
      </c>
      <c r="G3120" s="27"/>
      <c r="H3120" s="16" t="str">
        <f>IF(ISBLANK(PARTIDAS!$G3120),PARTIDAS!$F3120,CONCATENATE(PARTIDAS!$F3120," (",PARTIDAS!$G3120,")"))</f>
        <v>Elementos químicos dopados para uso en
electrónica, en discos, obleas («wafers») o formas
análogas; compuestos químicos dopados para
uso en electrónica.</v>
      </c>
      <c r="I3120" s="16" t="s">
        <v>9427</v>
      </c>
    </row>
    <row r="3121" spans="1:9" x14ac:dyDescent="0.25">
      <c r="A3121" s="16" t="s">
        <v>4055</v>
      </c>
      <c r="B3121" s="16" t="str">
        <f>TEXT(PARTIDA[[#This Row],[PARTIDA]],"0000000000")</f>
        <v>3819000000</v>
      </c>
      <c r="C3121" s="16" t="s">
        <v>815</v>
      </c>
      <c r="D3121" s="16" t="s">
        <v>835</v>
      </c>
      <c r="E3121" s="16" t="s">
        <v>9467</v>
      </c>
      <c r="F3121" s="27" t="s">
        <v>4056</v>
      </c>
      <c r="G3121" s="27"/>
      <c r="H3121" s="16" t="str">
        <f>IF(ISBLANK(PARTIDAS!$G3121),PARTIDAS!$F3121,CONCATENATE(PARTIDAS!$F3121," (",PARTIDAS!$G3121,")"))</f>
        <v>Líquidos para frenos hidráulicos</v>
      </c>
      <c r="I3121" s="16" t="s">
        <v>9427</v>
      </c>
    </row>
    <row r="3122" spans="1:9" x14ac:dyDescent="0.25">
      <c r="A3122" s="16" t="s">
        <v>4057</v>
      </c>
      <c r="B3122" s="16" t="str">
        <f>TEXT(PARTIDA[[#This Row],[PARTIDA]],"0000000000")</f>
        <v>3820000000</v>
      </c>
      <c r="C3122" s="16" t="s">
        <v>815</v>
      </c>
      <c r="D3122" s="16" t="s">
        <v>835</v>
      </c>
      <c r="E3122" s="16" t="s">
        <v>9467</v>
      </c>
      <c r="F3122" s="27" t="s">
        <v>4058</v>
      </c>
      <c r="G3122" s="27"/>
      <c r="H3122" s="16" t="str">
        <f>IF(ISBLANK(PARTIDAS!$G3122),PARTIDAS!$F3122,CONCATENATE(PARTIDAS!$F3122," (",PARTIDAS!$G3122,")"))</f>
        <v>Preparaciones anticongelantes y líquidos
preparados para descongelar.</v>
      </c>
      <c r="I3122" s="16" t="s">
        <v>9427</v>
      </c>
    </row>
    <row r="3123" spans="1:9" x14ac:dyDescent="0.25">
      <c r="A3123" s="16" t="s">
        <v>4059</v>
      </c>
      <c r="B3123" s="16" t="str">
        <f>TEXT(PARTIDA[[#This Row],[PARTIDA]],"0000000000")</f>
        <v>3821000010</v>
      </c>
      <c r="C3123" s="16" t="s">
        <v>815</v>
      </c>
      <c r="D3123" s="16" t="s">
        <v>835</v>
      </c>
      <c r="E3123" s="16" t="s">
        <v>9467</v>
      </c>
      <c r="F3123" s="27" t="s">
        <v>12065</v>
      </c>
      <c r="G3123" s="27"/>
      <c r="H3123" s="16" t="str">
        <f>IF(ISBLANK(PARTIDAS!$G3123),PARTIDAS!$F3123,CONCATENATE(PARTIDAS!$F3123," (",PARTIDAS!$G3123,")"))</f>
        <v>Iniciadores y aceleradores de reacción y preparaciones catalíticas…, para el desarrollo o mantenimiento de microorganismos (incluidos los virus y orga</v>
      </c>
      <c r="I3123" s="16" t="s">
        <v>9427</v>
      </c>
    </row>
    <row r="3124" spans="1:9" x14ac:dyDescent="0.25">
      <c r="A3124" s="16" t="s">
        <v>4060</v>
      </c>
      <c r="B3124" s="16" t="str">
        <f>TEXT(PARTIDA[[#This Row],[PARTIDA]],"0000000000")</f>
        <v>3821000020</v>
      </c>
      <c r="C3124" s="16" t="s">
        <v>815</v>
      </c>
      <c r="D3124" s="16" t="s">
        <v>835</v>
      </c>
      <c r="E3124" s="16" t="s">
        <v>9467</v>
      </c>
      <c r="F3124" s="27" t="s">
        <v>12066</v>
      </c>
      <c r="G3124" s="27"/>
      <c r="H3124" s="16" t="str">
        <f>IF(ISBLANK(PARTIDAS!$G3124),PARTIDAS!$F3124,CONCATENATE(PARTIDAS!$F3124," (",PARTIDAS!$G3124,")"))</f>
        <v>Iniciadores y aceleradores de reacción y preparaciones catalíticas…, para el desarrollo o mantenimiento de células vegetales, humanas o animales</v>
      </c>
      <c r="I3124" s="16" t="s">
        <v>9427</v>
      </c>
    </row>
    <row r="3125" spans="1:9" x14ac:dyDescent="0.25">
      <c r="A3125" s="16" t="s">
        <v>4061</v>
      </c>
      <c r="B3125" s="16" t="str">
        <f>TEXT(PARTIDA[[#This Row],[PARTIDA]],"0000000000")</f>
        <v>3822003000</v>
      </c>
      <c r="C3125" s="16" t="s">
        <v>815</v>
      </c>
      <c r="D3125" s="16" t="s">
        <v>835</v>
      </c>
      <c r="E3125" s="16" t="s">
        <v>9467</v>
      </c>
      <c r="F3125" s="27" t="s">
        <v>12067</v>
      </c>
      <c r="G3125" s="27"/>
      <c r="H3125" s="16" t="str">
        <f>IF(ISBLANK(PARTIDAS!$G3125),PARTIDAS!$F3125,CONCATENATE(PARTIDAS!$F3125," (",PARTIDAS!$G3125,")"))</f>
        <v>Materiales de referencia certificados</v>
      </c>
      <c r="I3125" s="16" t="s">
        <v>9648</v>
      </c>
    </row>
    <row r="3126" spans="1:9" x14ac:dyDescent="0.25">
      <c r="A3126" s="16" t="s">
        <v>4062</v>
      </c>
      <c r="B3126" s="16" t="str">
        <f>TEXT(PARTIDA[[#This Row],[PARTIDA]],"0000000000")</f>
        <v>3822009000</v>
      </c>
      <c r="C3126" s="16" t="s">
        <v>815</v>
      </c>
      <c r="D3126" s="16" t="s">
        <v>835</v>
      </c>
      <c r="E3126" s="16" t="s">
        <v>9467</v>
      </c>
      <c r="F3126" s="27" t="s">
        <v>12068</v>
      </c>
      <c r="G3126" s="27"/>
      <c r="H3126" s="16" t="str">
        <f>IF(ISBLANK(PARTIDAS!$G3126),PARTIDAS!$F3126,CONCATENATE(PARTIDAS!$F3126," (",PARTIDAS!$G3126,")"))</f>
        <v>Reactivos de diagnóstico o de laboratorio sobre cualquier soporte y re (los demás)</v>
      </c>
      <c r="I3126" s="16" t="s">
        <v>9648</v>
      </c>
    </row>
    <row r="3127" spans="1:9" x14ac:dyDescent="0.25">
      <c r="A3127" s="16" t="s">
        <v>12069</v>
      </c>
      <c r="B3127" s="16" t="str">
        <f>TEXT(PARTIDA[[#This Row],[PARTIDA]],"0000000000")</f>
        <v>3822110000</v>
      </c>
      <c r="C3127" s="16" t="s">
        <v>815</v>
      </c>
      <c r="D3127" s="16" t="s">
        <v>835</v>
      </c>
      <c r="E3127" s="16" t="s">
        <v>9467</v>
      </c>
      <c r="F3127" s="27" t="s">
        <v>12070</v>
      </c>
      <c r="G3127" s="27"/>
      <c r="H3127" s="16" t="str">
        <f>IF(ISBLANK(PARTIDAS!$G3127),PARTIDAS!$F3127,CONCATENATE(PARTIDAS!$F3127," (",PARTIDAS!$G3127,")"))</f>
        <v>Reactivos de diagnóstico o de laboratorio sobre cualquier soporte y…, para la malaria (paludismo)</v>
      </c>
      <c r="I3127" s="16" t="s">
        <v>9427</v>
      </c>
    </row>
    <row r="3128" spans="1:9" x14ac:dyDescent="0.25">
      <c r="A3128" s="16" t="s">
        <v>12071</v>
      </c>
      <c r="B3128" s="16" t="str">
        <f>TEXT(PARTIDA[[#This Row],[PARTIDA]],"0000000000")</f>
        <v>3822120000</v>
      </c>
      <c r="C3128" s="16" t="s">
        <v>815</v>
      </c>
      <c r="D3128" s="16" t="s">
        <v>835</v>
      </c>
      <c r="E3128" s="16" t="s">
        <v>9467</v>
      </c>
      <c r="F3128" s="27" t="s">
        <v>12072</v>
      </c>
      <c r="G3128" s="27"/>
      <c r="H3128" s="16" t="str">
        <f>IF(ISBLANK(PARTIDAS!$G3128),PARTIDAS!$F3128,CONCATENATE(PARTIDAS!$F3128," (",PARTIDAS!$G3128,")"))</f>
        <v>Reactivos de diagnóstico o de laboratorio sobre cualquier soporte y…, para el Zika y demás enfermedades transmitidas por mosquitos del género Aedes</v>
      </c>
      <c r="I3128" s="16" t="s">
        <v>9427</v>
      </c>
    </row>
    <row r="3129" spans="1:9" x14ac:dyDescent="0.25">
      <c r="A3129" s="16" t="s">
        <v>12073</v>
      </c>
      <c r="B3129" s="16" t="str">
        <f>TEXT(PARTIDA[[#This Row],[PARTIDA]],"0000000000")</f>
        <v>3822130000</v>
      </c>
      <c r="C3129" s="16" t="s">
        <v>815</v>
      </c>
      <c r="D3129" s="16" t="s">
        <v>835</v>
      </c>
      <c r="E3129" s="16" t="s">
        <v>9467</v>
      </c>
      <c r="F3129" s="27" t="s">
        <v>12074</v>
      </c>
      <c r="G3129" s="27"/>
      <c r="H3129" s="16" t="str">
        <f>IF(ISBLANK(PARTIDAS!$G3129),PARTIDAS!$F3129,CONCATENATE(PARTIDAS!$F3129," (",PARTIDAS!$G3129,")"))</f>
        <v>Reactivos de diagnóstico o de laboratorio sobre cualquier soporte y…, para la determinación de los grupos o los factores sanguíneos</v>
      </c>
      <c r="I3129" s="16" t="s">
        <v>9427</v>
      </c>
    </row>
    <row r="3130" spans="1:9" x14ac:dyDescent="0.25">
      <c r="A3130" s="16" t="s">
        <v>12075</v>
      </c>
      <c r="B3130" s="16" t="str">
        <f>TEXT(PARTIDA[[#This Row],[PARTIDA]],"0000000000")</f>
        <v>3822190000</v>
      </c>
      <c r="C3130" s="16" t="s">
        <v>815</v>
      </c>
      <c r="D3130" s="16" t="s">
        <v>835</v>
      </c>
      <c r="E3130" s="16" t="s">
        <v>9467</v>
      </c>
      <c r="F3130" s="27" t="s">
        <v>12076</v>
      </c>
      <c r="G3130" s="27"/>
      <c r="H3130" s="16" t="str">
        <f>IF(ISBLANK(PARTIDAS!$G3130),PARTIDAS!$F3130,CONCATENATE(PARTIDAS!$F3130," (",PARTIDAS!$G3130,")"))</f>
        <v>Reactivos de diagnóstico o de laboratorio sobre cualquier soporte y… (los demás)</v>
      </c>
      <c r="I3130" s="16" t="s">
        <v>9427</v>
      </c>
    </row>
    <row r="3131" spans="1:9" x14ac:dyDescent="0.25">
      <c r="A3131" s="16" t="s">
        <v>12077</v>
      </c>
      <c r="B3131" s="16" t="str">
        <f>TEXT(PARTIDA[[#This Row],[PARTIDA]],"0000000000")</f>
        <v>3822900000</v>
      </c>
      <c r="C3131" s="16" t="s">
        <v>815</v>
      </c>
      <c r="D3131" s="16" t="s">
        <v>835</v>
      </c>
      <c r="E3131" s="16" t="s">
        <v>9467</v>
      </c>
      <c r="F3131" s="27" t="s">
        <v>12076</v>
      </c>
      <c r="G3131" s="27"/>
      <c r="H3131" s="16" t="str">
        <f>IF(ISBLANK(PARTIDAS!$G3131),PARTIDAS!$F3131,CONCATENATE(PARTIDAS!$F3131," (",PARTIDAS!$G3131,")"))</f>
        <v>Reactivos de diagnóstico o de laboratorio sobre cualquier soporte y… (los demás)</v>
      </c>
      <c r="I3131" s="16" t="s">
        <v>9427</v>
      </c>
    </row>
    <row r="3132" spans="1:9" x14ac:dyDescent="0.25">
      <c r="A3132" s="16" t="s">
        <v>4063</v>
      </c>
      <c r="B3132" s="16" t="str">
        <f>TEXT(PARTIDA[[#This Row],[PARTIDA]],"0000000000")</f>
        <v>3823110000</v>
      </c>
      <c r="C3132" s="16" t="s">
        <v>815</v>
      </c>
      <c r="D3132" s="16" t="s">
        <v>835</v>
      </c>
      <c r="E3132" s="16" t="s">
        <v>9467</v>
      </c>
      <c r="F3132" s="27" t="s">
        <v>11078</v>
      </c>
      <c r="G3132" s="27"/>
      <c r="H3132" s="16" t="str">
        <f>IF(ISBLANK(PARTIDAS!$G3132),PARTIDAS!$F3132,CONCATENATE(PARTIDAS!$F3132," (",PARTIDAS!$G3132,")"))</f>
        <v>Ácido esteárico</v>
      </c>
      <c r="I3132" s="16" t="s">
        <v>9427</v>
      </c>
    </row>
    <row r="3133" spans="1:9" x14ac:dyDescent="0.25">
      <c r="A3133" s="16" t="s">
        <v>4064</v>
      </c>
      <c r="B3133" s="16" t="str">
        <f>TEXT(PARTIDA[[#This Row],[PARTIDA]],"0000000000")</f>
        <v>3823120000</v>
      </c>
      <c r="C3133" s="16" t="s">
        <v>815</v>
      </c>
      <c r="D3133" s="16" t="s">
        <v>835</v>
      </c>
      <c r="E3133" s="16" t="s">
        <v>842</v>
      </c>
      <c r="F3133" s="27" t="s">
        <v>9414</v>
      </c>
      <c r="G3133" s="27"/>
      <c r="H3133" s="16" t="str">
        <f>IF(ISBLANK(PARTIDAS!$G3133),PARTIDAS!$F3133,CONCATENATE(PARTIDAS!$F3133," (",PARTIDAS!$G3133,")"))</f>
        <v>Ácido oleico</v>
      </c>
      <c r="I3133" s="16" t="s">
        <v>9477</v>
      </c>
    </row>
    <row r="3134" spans="1:9" x14ac:dyDescent="0.25">
      <c r="A3134" s="16" t="s">
        <v>4065</v>
      </c>
      <c r="B3134" s="16" t="str">
        <f>TEXT(PARTIDA[[#This Row],[PARTIDA]],"0000000000")</f>
        <v>3823130000</v>
      </c>
      <c r="C3134" s="16" t="s">
        <v>815</v>
      </c>
      <c r="D3134" s="16" t="s">
        <v>835</v>
      </c>
      <c r="E3134" s="16" t="s">
        <v>9467</v>
      </c>
      <c r="F3134" s="27" t="s">
        <v>4066</v>
      </c>
      <c r="G3134" s="27"/>
      <c r="H3134" s="16" t="str">
        <f>IF(ISBLANK(PARTIDAS!$G3134),PARTIDAS!$F3134,CONCATENATE(PARTIDAS!$F3134," (",PARTIDAS!$G3134,")"))</f>
        <v>Ácidos grasos</v>
      </c>
      <c r="I3134" s="16" t="s">
        <v>9427</v>
      </c>
    </row>
    <row r="3135" spans="1:9" x14ac:dyDescent="0.25">
      <c r="A3135" s="16" t="s">
        <v>4067</v>
      </c>
      <c r="B3135" s="16" t="str">
        <f>TEXT(PARTIDA[[#This Row],[PARTIDA]],"0000000000")</f>
        <v>3823190000</v>
      </c>
      <c r="C3135" s="16" t="s">
        <v>815</v>
      </c>
      <c r="D3135" s="16" t="s">
        <v>835</v>
      </c>
      <c r="E3135" s="16" t="s">
        <v>842</v>
      </c>
      <c r="F3135" s="27" t="s">
        <v>4066</v>
      </c>
      <c r="G3135" s="27"/>
      <c r="H3135" s="16" t="str">
        <f>IF(ISBLANK(PARTIDAS!$G3135),PARTIDAS!$F3135,CONCATENATE(PARTIDAS!$F3135," (",PARTIDAS!$G3135,")"))</f>
        <v>Ácidos grasos</v>
      </c>
      <c r="I3135" s="16" t="s">
        <v>9477</v>
      </c>
    </row>
    <row r="3136" spans="1:9" x14ac:dyDescent="0.25">
      <c r="A3136" s="16" t="s">
        <v>4068</v>
      </c>
      <c r="B3136" s="16" t="str">
        <f>TEXT(PARTIDA[[#This Row],[PARTIDA]],"0000000000")</f>
        <v>3823701000</v>
      </c>
      <c r="C3136" s="16" t="s">
        <v>815</v>
      </c>
      <c r="D3136" s="16" t="s">
        <v>835</v>
      </c>
      <c r="E3136" s="16" t="s">
        <v>9467</v>
      </c>
      <c r="F3136" s="27" t="s">
        <v>12078</v>
      </c>
      <c r="G3136" s="27"/>
      <c r="H3136" s="16" t="str">
        <f>IF(ISBLANK(PARTIDAS!$G3136),PARTIDAS!$F3136,CONCATENATE(PARTIDAS!$F3136," (",PARTIDAS!$G3136,")"))</f>
        <v>Alcohol laurílico</v>
      </c>
      <c r="I3136" s="16" t="s">
        <v>9427</v>
      </c>
    </row>
    <row r="3137" spans="1:9" x14ac:dyDescent="0.25">
      <c r="A3137" s="16" t="s">
        <v>4069</v>
      </c>
      <c r="B3137" s="16" t="str">
        <f>TEXT(PARTIDA[[#This Row],[PARTIDA]],"0000000000")</f>
        <v>3823702000</v>
      </c>
      <c r="C3137" s="16" t="s">
        <v>815</v>
      </c>
      <c r="D3137" s="16" t="s">
        <v>835</v>
      </c>
      <c r="E3137" s="16" t="s">
        <v>9467</v>
      </c>
      <c r="F3137" s="27" t="s">
        <v>12079</v>
      </c>
      <c r="G3137" s="27"/>
      <c r="H3137" s="16" t="str">
        <f>IF(ISBLANK(PARTIDAS!$G3137),PARTIDAS!$F3137,CONCATENATE(PARTIDAS!$F3137," (",PARTIDAS!$G3137,")"))</f>
        <v>Alcohol cetílico</v>
      </c>
      <c r="I3137" s="16" t="s">
        <v>9427</v>
      </c>
    </row>
    <row r="3138" spans="1:9" x14ac:dyDescent="0.25">
      <c r="A3138" s="16" t="s">
        <v>4070</v>
      </c>
      <c r="B3138" s="16" t="str">
        <f>TEXT(PARTIDA[[#This Row],[PARTIDA]],"0000000000")</f>
        <v>3823703000</v>
      </c>
      <c r="C3138" s="16" t="s">
        <v>815</v>
      </c>
      <c r="D3138" s="16" t="s">
        <v>835</v>
      </c>
      <c r="E3138" s="16" t="s">
        <v>9467</v>
      </c>
      <c r="F3138" s="27" t="s">
        <v>12080</v>
      </c>
      <c r="G3138" s="27"/>
      <c r="H3138" s="16" t="str">
        <f>IF(ISBLANK(PARTIDAS!$G3138),PARTIDAS!$F3138,CONCATENATE(PARTIDAS!$F3138," (",PARTIDAS!$G3138,")"))</f>
        <v>Alcohol estearílico</v>
      </c>
      <c r="I3138" s="16" t="s">
        <v>9427</v>
      </c>
    </row>
    <row r="3139" spans="1:9" x14ac:dyDescent="0.25">
      <c r="A3139" s="16" t="s">
        <v>4071</v>
      </c>
      <c r="B3139" s="16" t="str">
        <f>TEXT(PARTIDA[[#This Row],[PARTIDA]],"0000000000")</f>
        <v>3823709000</v>
      </c>
      <c r="C3139" s="16" t="s">
        <v>815</v>
      </c>
      <c r="D3139" s="16" t="s">
        <v>835</v>
      </c>
      <c r="E3139" s="16" t="s">
        <v>9467</v>
      </c>
      <c r="F3139" s="27" t="s">
        <v>12081</v>
      </c>
      <c r="G3139" s="27"/>
      <c r="H3139" s="16" t="str">
        <f>IF(ISBLANK(PARTIDAS!$G3139),PARTIDAS!$F3139,CONCATENATE(PARTIDAS!$F3139," (",PARTIDAS!$G3139,")"))</f>
        <v>Alcoholes grasos industriales (los demás)</v>
      </c>
      <c r="I3139" s="16" t="s">
        <v>9427</v>
      </c>
    </row>
    <row r="3140" spans="1:9" x14ac:dyDescent="0.25">
      <c r="A3140" s="16" t="s">
        <v>4072</v>
      </c>
      <c r="B3140" s="16" t="str">
        <f>TEXT(PARTIDA[[#This Row],[PARTIDA]],"0000000000")</f>
        <v>3824100000</v>
      </c>
      <c r="C3140" s="16" t="s">
        <v>815</v>
      </c>
      <c r="D3140" s="16" t="s">
        <v>835</v>
      </c>
      <c r="E3140" s="16" t="s">
        <v>9467</v>
      </c>
      <c r="F3140" s="27" t="s">
        <v>12082</v>
      </c>
      <c r="G3140" s="27"/>
      <c r="H3140" s="16" t="str">
        <f>IF(ISBLANK(PARTIDAS!$G3140),PARTIDAS!$F3140,CONCATENATE(PARTIDAS!$F3140," (",PARTIDAS!$G3140,")"))</f>
        <v>Preparaciones aglutinantes para moldes o núcleos de fundición</v>
      </c>
      <c r="I3140" s="16" t="s">
        <v>9427</v>
      </c>
    </row>
    <row r="3141" spans="1:9" x14ac:dyDescent="0.25">
      <c r="A3141" s="16" t="s">
        <v>4073</v>
      </c>
      <c r="B3141" s="16" t="str">
        <f>TEXT(PARTIDA[[#This Row],[PARTIDA]],"0000000000")</f>
        <v>3824300000</v>
      </c>
      <c r="C3141" s="16" t="s">
        <v>815</v>
      </c>
      <c r="D3141" s="16" t="s">
        <v>835</v>
      </c>
      <c r="E3141" s="16" t="s">
        <v>9467</v>
      </c>
      <c r="F3141" s="27" t="s">
        <v>12083</v>
      </c>
      <c r="G3141" s="27"/>
      <c r="H3141" s="16" t="str">
        <f>IF(ISBLANK(PARTIDAS!$G3141),PARTIDAS!$F3141,CONCATENATE(PARTIDAS!$F3141," (",PARTIDAS!$G3141,")"))</f>
        <v>Carburos metálicos sin aglomerar mezclados entre sí o con aglutinantes metálicos</v>
      </c>
      <c r="I3141" s="16" t="s">
        <v>9427</v>
      </c>
    </row>
    <row r="3142" spans="1:9" x14ac:dyDescent="0.25">
      <c r="A3142" s="16" t="s">
        <v>4074</v>
      </c>
      <c r="B3142" s="16" t="str">
        <f>TEXT(PARTIDA[[#This Row],[PARTIDA]],"0000000000")</f>
        <v>3824400000</v>
      </c>
      <c r="C3142" s="16" t="s">
        <v>815</v>
      </c>
      <c r="D3142" s="16" t="s">
        <v>835</v>
      </c>
      <c r="E3142" s="16" t="s">
        <v>9465</v>
      </c>
      <c r="F3142" s="27" t="s">
        <v>3267</v>
      </c>
      <c r="G3142" s="27"/>
      <c r="H3142" s="16" t="str">
        <f>IF(ISBLANK(PARTIDAS!$G3142),PARTIDAS!$F3142,CONCATENATE(PARTIDAS!$F3142," (",PARTIDAS!$G3142,")"))</f>
        <v>Aditivos químicos</v>
      </c>
      <c r="I3142" s="16" t="s">
        <v>9477</v>
      </c>
    </row>
    <row r="3143" spans="1:9" x14ac:dyDescent="0.25">
      <c r="A3143" s="16" t="s">
        <v>4075</v>
      </c>
      <c r="B3143" s="16" t="str">
        <f>TEXT(PARTIDA[[#This Row],[PARTIDA]],"0000000000")</f>
        <v>3824500000</v>
      </c>
      <c r="C3143" s="16" t="s">
        <v>815</v>
      </c>
      <c r="D3143" s="16" t="s">
        <v>835</v>
      </c>
      <c r="E3143" s="16" t="s">
        <v>9467</v>
      </c>
      <c r="F3143" s="27" t="s">
        <v>12084</v>
      </c>
      <c r="G3143" s="27"/>
      <c r="H3143" s="16" t="str">
        <f>IF(ISBLANK(PARTIDAS!$G3143),PARTIDAS!$F3143,CONCATENATE(PARTIDAS!$F3143," (",PARTIDAS!$G3143,")"))</f>
        <v>Morteros y hormigones, no refractarios</v>
      </c>
      <c r="I3143" s="16" t="s">
        <v>9427</v>
      </c>
    </row>
    <row r="3144" spans="1:9" x14ac:dyDescent="0.25">
      <c r="A3144" s="16" t="s">
        <v>4076</v>
      </c>
      <c r="B3144" s="16" t="str">
        <f>TEXT(PARTIDA[[#This Row],[PARTIDA]],"0000000000")</f>
        <v>3824600000</v>
      </c>
      <c r="C3144" s="16" t="s">
        <v>815</v>
      </c>
      <c r="D3144" s="16" t="s">
        <v>835</v>
      </c>
      <c r="E3144" s="16" t="s">
        <v>9467</v>
      </c>
      <c r="F3144" s="27" t="s">
        <v>12085</v>
      </c>
      <c r="G3144" s="27"/>
      <c r="H3144" s="16" t="str">
        <f>IF(ISBLANK(PARTIDAS!$G3144),PARTIDAS!$F3144,CONCATENATE(PARTIDAS!$F3144," (",PARTIDAS!$G3144,")"))</f>
        <v>Sorbitol, excepto el de la subpartida 2905.44</v>
      </c>
      <c r="I3144" s="16" t="s">
        <v>9427</v>
      </c>
    </row>
    <row r="3145" spans="1:9" x14ac:dyDescent="0.25">
      <c r="A3145" s="16" t="s">
        <v>4077</v>
      </c>
      <c r="B3145" s="16" t="str">
        <f>TEXT(PARTIDA[[#This Row],[PARTIDA]],"0000000000")</f>
        <v>3824710010</v>
      </c>
      <c r="C3145" s="16" t="s">
        <v>815</v>
      </c>
      <c r="D3145" s="16" t="s">
        <v>835</v>
      </c>
      <c r="E3145" s="16" t="s">
        <v>9467</v>
      </c>
      <c r="F3145" s="27" t="s">
        <v>12086</v>
      </c>
      <c r="G3145" s="27"/>
      <c r="H3145" s="16" t="str">
        <f>IF(ISBLANK(PARTIDAS!$G3145),PARTIDAS!$F3145,CONCATENATE(PARTIDAS!$F3145," (",PARTIDAS!$G3145,")"))</f>
        <v>Que contengan perclorofluorocarburos</v>
      </c>
      <c r="I3145" s="16" t="s">
        <v>9648</v>
      </c>
    </row>
    <row r="3146" spans="1:9" x14ac:dyDescent="0.25">
      <c r="A3146" s="16" t="s">
        <v>4078</v>
      </c>
      <c r="B3146" s="16" t="str">
        <f>TEXT(PARTIDA[[#This Row],[PARTIDA]],"0000000000")</f>
        <v>3824710090</v>
      </c>
      <c r="C3146" s="16" t="s">
        <v>815</v>
      </c>
      <c r="D3146" s="16" t="s">
        <v>835</v>
      </c>
      <c r="E3146" s="16" t="s">
        <v>9467</v>
      </c>
      <c r="F3146" s="27" t="s">
        <v>12087</v>
      </c>
      <c r="G3146" s="27"/>
      <c r="H3146" s="16" t="str">
        <f>IF(ISBLANK(PARTIDAS!$G3146),PARTIDAS!$F3146,CONCATENATE(PARTIDAS!$F3146," (",PARTIDAS!$G3146,")"))</f>
        <v>Preparaciones aglutinantes para moldes o núcleos de fundición; product (los demás)</v>
      </c>
      <c r="I3146" s="16" t="s">
        <v>9648</v>
      </c>
    </row>
    <row r="3147" spans="1:9" x14ac:dyDescent="0.25">
      <c r="A3147" s="16" t="s">
        <v>4079</v>
      </c>
      <c r="B3147" s="16" t="str">
        <f>TEXT(PARTIDA[[#This Row],[PARTIDA]],"0000000000")</f>
        <v>3824720000</v>
      </c>
      <c r="C3147" s="16" t="s">
        <v>815</v>
      </c>
      <c r="D3147" s="16" t="s">
        <v>835</v>
      </c>
      <c r="E3147" s="16" t="s">
        <v>9467</v>
      </c>
      <c r="F3147" s="27" t="s">
        <v>12088</v>
      </c>
      <c r="G3147" s="27"/>
      <c r="H3147" s="16" t="str">
        <f>IF(ISBLANK(PARTIDAS!$G3147),PARTIDAS!$F3147,CONCATENATE(PARTIDAS!$F3147," (",PARTIDAS!$G3147,")"))</f>
        <v>Que contengan bromoclorodifluorometano, bromotrifluorometano o dibromotetrafluoroetanos</v>
      </c>
      <c r="I3147" s="16" t="s">
        <v>9648</v>
      </c>
    </row>
    <row r="3148" spans="1:9" x14ac:dyDescent="0.25">
      <c r="A3148" s="16" t="s">
        <v>4080</v>
      </c>
      <c r="B3148" s="16" t="str">
        <f>TEXT(PARTIDA[[#This Row],[PARTIDA]],"0000000000")</f>
        <v>3824730000</v>
      </c>
      <c r="C3148" s="16" t="s">
        <v>815</v>
      </c>
      <c r="D3148" s="16" t="s">
        <v>835</v>
      </c>
      <c r="E3148" s="16" t="s">
        <v>9467</v>
      </c>
      <c r="F3148" s="27" t="s">
        <v>12089</v>
      </c>
      <c r="G3148" s="27"/>
      <c r="H3148" s="16" t="str">
        <f>IF(ISBLANK(PARTIDAS!$G3148),PARTIDAS!$F3148,CONCATENATE(PARTIDAS!$F3148," (",PARTIDAS!$G3148,")"))</f>
        <v>Que contengan hidrobromofluorocarburos (HBFC)</v>
      </c>
      <c r="I3148" s="16" t="s">
        <v>9648</v>
      </c>
    </row>
    <row r="3149" spans="1:9" x14ac:dyDescent="0.25">
      <c r="A3149" s="16" t="s">
        <v>4081</v>
      </c>
      <c r="B3149" s="16" t="str">
        <f>TEXT(PARTIDA[[#This Row],[PARTIDA]],"0000000000")</f>
        <v>3824740000</v>
      </c>
      <c r="C3149" s="16" t="s">
        <v>815</v>
      </c>
      <c r="D3149" s="16" t="s">
        <v>835</v>
      </c>
      <c r="E3149" s="16" t="s">
        <v>9467</v>
      </c>
      <c r="F3149" s="27" t="s">
        <v>12090</v>
      </c>
      <c r="G3149" s="27"/>
      <c r="H3149" s="16" t="str">
        <f>IF(ISBLANK(PARTIDAS!$G3149),PARTIDAS!$F3149,CONCATENATE(PARTIDAS!$F3149," (",PARTIDAS!$G3149,")"))</f>
        <v>Que contengan hidroclorofluorocarburos (HCFC), incluso con perfluorocarburos (PFC) o hidrofluorocarburos (HFC), pero que no contengan clorofluorocarburos (CFC)</v>
      </c>
      <c r="I3149" s="16" t="s">
        <v>9648</v>
      </c>
    </row>
    <row r="3150" spans="1:9" x14ac:dyDescent="0.25">
      <c r="A3150" s="16" t="s">
        <v>4082</v>
      </c>
      <c r="B3150" s="16" t="str">
        <f>TEXT(PARTIDA[[#This Row],[PARTIDA]],"0000000000")</f>
        <v>3824750000</v>
      </c>
      <c r="C3150" s="16" t="s">
        <v>815</v>
      </c>
      <c r="D3150" s="16" t="s">
        <v>835</v>
      </c>
      <c r="E3150" s="16" t="s">
        <v>9467</v>
      </c>
      <c r="F3150" s="27" t="s">
        <v>12091</v>
      </c>
      <c r="G3150" s="27"/>
      <c r="H3150" s="16" t="str">
        <f>IF(ISBLANK(PARTIDAS!$G3150),PARTIDAS!$F3150,CONCATENATE(PARTIDAS!$F3150," (",PARTIDAS!$G3150,")"))</f>
        <v>Que contengan tetracloruro de carbono</v>
      </c>
      <c r="I3150" s="16" t="s">
        <v>9648</v>
      </c>
    </row>
    <row r="3151" spans="1:9" x14ac:dyDescent="0.25">
      <c r="A3151" s="16" t="s">
        <v>4083</v>
      </c>
      <c r="B3151" s="16" t="str">
        <f>TEXT(PARTIDA[[#This Row],[PARTIDA]],"0000000000")</f>
        <v>3824760000</v>
      </c>
      <c r="C3151" s="16" t="s">
        <v>815</v>
      </c>
      <c r="D3151" s="16" t="s">
        <v>835</v>
      </c>
      <c r="E3151" s="16" t="s">
        <v>9467</v>
      </c>
      <c r="F3151" s="27" t="s">
        <v>12092</v>
      </c>
      <c r="G3151" s="27"/>
      <c r="H3151" s="16" t="str">
        <f>IF(ISBLANK(PARTIDAS!$G3151),PARTIDAS!$F3151,CONCATENATE(PARTIDAS!$F3151," (",PARTIDAS!$G3151,")"))</f>
        <v>Que contengan 1,1,1-tricloroetano (metilcloroformo)</v>
      </c>
      <c r="I3151" s="16" t="s">
        <v>9648</v>
      </c>
    </row>
    <row r="3152" spans="1:9" x14ac:dyDescent="0.25">
      <c r="A3152" s="16" t="s">
        <v>4084</v>
      </c>
      <c r="B3152" s="16" t="str">
        <f>TEXT(PARTIDA[[#This Row],[PARTIDA]],"0000000000")</f>
        <v>3824770000</v>
      </c>
      <c r="C3152" s="16" t="s">
        <v>815</v>
      </c>
      <c r="D3152" s="16" t="s">
        <v>835</v>
      </c>
      <c r="E3152" s="16" t="s">
        <v>9467</v>
      </c>
      <c r="F3152" s="27" t="s">
        <v>12093</v>
      </c>
      <c r="G3152" s="27"/>
      <c r="H3152" s="16" t="str">
        <f>IF(ISBLANK(PARTIDAS!$G3152),PARTIDAS!$F3152,CONCATENATE(PARTIDAS!$F3152," (",PARTIDAS!$G3152,")"))</f>
        <v>Que contengan bromometano (bromuro de metilo) o bromoclorometano</v>
      </c>
      <c r="I3152" s="16" t="s">
        <v>9648</v>
      </c>
    </row>
    <row r="3153" spans="1:9" x14ac:dyDescent="0.25">
      <c r="A3153" s="16" t="s">
        <v>4085</v>
      </c>
      <c r="B3153" s="16" t="str">
        <f>TEXT(PARTIDA[[#This Row],[PARTIDA]],"0000000000")</f>
        <v>3824780000</v>
      </c>
      <c r="C3153" s="16" t="s">
        <v>815</v>
      </c>
      <c r="D3153" s="16" t="s">
        <v>835</v>
      </c>
      <c r="E3153" s="16" t="s">
        <v>9467</v>
      </c>
      <c r="F3153" s="27" t="s">
        <v>12094</v>
      </c>
      <c r="G3153" s="27"/>
      <c r="H3153" s="16" t="str">
        <f>IF(ISBLANK(PARTIDAS!$G3153),PARTIDAS!$F3153,CONCATENATE(PARTIDAS!$F3153," (",PARTIDAS!$G3153,")"))</f>
        <v>Que contengan perfluorocarburos (PFC) o hidrofluorocarburos (HFC), pero que no contengan clorofluorocarburos (CFC) o hidroclorofluorocarburos (HCFC)</v>
      </c>
      <c r="I3153" s="16" t="s">
        <v>9648</v>
      </c>
    </row>
    <row r="3154" spans="1:9" x14ac:dyDescent="0.25">
      <c r="A3154" s="16" t="s">
        <v>4086</v>
      </c>
      <c r="B3154" s="16" t="str">
        <f>TEXT(PARTIDA[[#This Row],[PARTIDA]],"0000000000")</f>
        <v>3824790010</v>
      </c>
      <c r="C3154" s="16" t="s">
        <v>815</v>
      </c>
      <c r="D3154" s="16" t="s">
        <v>835</v>
      </c>
      <c r="E3154" s="16" t="s">
        <v>9467</v>
      </c>
      <c r="F3154" s="27" t="s">
        <v>12095</v>
      </c>
      <c r="G3154" s="27"/>
      <c r="H3154" s="16" t="str">
        <f>IF(ISBLANK(PARTIDAS!$G3154),PARTIDAS!$F3154,CONCATENATE(PARTIDAS!$F3154," (",PARTIDAS!$G3154,")"))</f>
        <v>Que contengan hidrocarburos acíclicos perhalogenados únicamente con flúor y cloro</v>
      </c>
      <c r="I3154" s="16" t="s">
        <v>9648</v>
      </c>
    </row>
    <row r="3155" spans="1:9" x14ac:dyDescent="0.25">
      <c r="A3155" s="16" t="s">
        <v>4087</v>
      </c>
      <c r="B3155" s="16" t="str">
        <f>TEXT(PARTIDA[[#This Row],[PARTIDA]],"0000000000")</f>
        <v>3824790020</v>
      </c>
      <c r="C3155" s="16" t="s">
        <v>815</v>
      </c>
      <c r="D3155" s="16" t="s">
        <v>835</v>
      </c>
      <c r="E3155" s="16" t="s">
        <v>9467</v>
      </c>
      <c r="F3155" s="27" t="s">
        <v>12087</v>
      </c>
      <c r="G3155" s="27"/>
      <c r="H3155" s="16" t="str">
        <f>IF(ISBLANK(PARTIDAS!$G3155),PARTIDAS!$F3155,CONCATENATE(PARTIDAS!$F3155," (",PARTIDAS!$G3155,")"))</f>
        <v>Preparaciones aglutinantes para moldes o núcleos de fundición; product (los demás)</v>
      </c>
      <c r="I3155" s="16" t="s">
        <v>9648</v>
      </c>
    </row>
    <row r="3156" spans="1:9" x14ac:dyDescent="0.25">
      <c r="A3156" s="16" t="s">
        <v>4088</v>
      </c>
      <c r="B3156" s="16" t="str">
        <f>TEXT(PARTIDA[[#This Row],[PARTIDA]],"0000000000")</f>
        <v>3824790090</v>
      </c>
      <c r="C3156" s="16" t="s">
        <v>815</v>
      </c>
      <c r="D3156" s="16" t="s">
        <v>835</v>
      </c>
      <c r="E3156" s="16" t="s">
        <v>9467</v>
      </c>
      <c r="F3156" s="27" t="s">
        <v>12087</v>
      </c>
      <c r="G3156" s="27"/>
      <c r="H3156" s="16" t="str">
        <f>IF(ISBLANK(PARTIDAS!$G3156),PARTIDAS!$F3156,CONCATENATE(PARTIDAS!$F3156," (",PARTIDAS!$G3156,")"))</f>
        <v>Preparaciones aglutinantes para moldes o núcleos de fundición; product (los demás)</v>
      </c>
      <c r="I3156" s="16" t="s">
        <v>9648</v>
      </c>
    </row>
    <row r="3157" spans="1:9" x14ac:dyDescent="0.25">
      <c r="A3157" s="16" t="s">
        <v>4089</v>
      </c>
      <c r="B3157" s="16" t="str">
        <f>TEXT(PARTIDA[[#This Row],[PARTIDA]],"0000000000")</f>
        <v>3824810000</v>
      </c>
      <c r="C3157" s="16" t="s">
        <v>815</v>
      </c>
      <c r="D3157" s="16" t="s">
        <v>835</v>
      </c>
      <c r="E3157" s="16" t="s">
        <v>9467</v>
      </c>
      <c r="F3157" s="27" t="s">
        <v>12096</v>
      </c>
      <c r="G3157" s="27"/>
      <c r="H3157" s="16" t="str">
        <f>IF(ISBLANK(PARTIDAS!$G3157),PARTIDAS!$F3157,CONCATENATE(PARTIDAS!$F3157," (",PARTIDAS!$G3157,")"))</f>
        <v>Productos mencionados en la Nota 3 de subpartida de este Capítulo, que contengan oxirano (óxido de etileno)</v>
      </c>
      <c r="I3157" s="16" t="s">
        <v>9427</v>
      </c>
    </row>
    <row r="3158" spans="1:9" x14ac:dyDescent="0.25">
      <c r="A3158" s="16" t="s">
        <v>4090</v>
      </c>
      <c r="B3158" s="16" t="str">
        <f>TEXT(PARTIDA[[#This Row],[PARTIDA]],"0000000000")</f>
        <v>3824820000</v>
      </c>
      <c r="C3158" s="16" t="s">
        <v>815</v>
      </c>
      <c r="D3158" s="16" t="s">
        <v>835</v>
      </c>
      <c r="E3158" s="16" t="s">
        <v>9467</v>
      </c>
      <c r="F3158" s="27" t="s">
        <v>12097</v>
      </c>
      <c r="G3158" s="27"/>
      <c r="H3158" s="16" t="str">
        <f>IF(ISBLANK(PARTIDAS!$G3158),PARTIDAS!$F3158,CONCATENATE(PARTIDAS!$F3158," (",PARTIDAS!$G3158,")"))</f>
        <v>Productos mencionados en la Nota 3 de subpartida de este Capítulo, que contengan bifenilos polibromados (PBB), bifenilos policlorados (PCB) o terfenil</v>
      </c>
      <c r="I3158" s="16" t="s">
        <v>9427</v>
      </c>
    </row>
    <row r="3159" spans="1:9" x14ac:dyDescent="0.25">
      <c r="A3159" s="16" t="s">
        <v>4091</v>
      </c>
      <c r="B3159" s="16" t="str">
        <f>TEXT(PARTIDA[[#This Row],[PARTIDA]],"0000000000")</f>
        <v>3824830000</v>
      </c>
      <c r="C3159" s="16" t="s">
        <v>815</v>
      </c>
      <c r="D3159" s="16" t="s">
        <v>835</v>
      </c>
      <c r="E3159" s="16" t="s">
        <v>9467</v>
      </c>
      <c r="F3159" s="27" t="s">
        <v>12098</v>
      </c>
      <c r="G3159" s="27"/>
      <c r="H3159" s="16" t="str">
        <f>IF(ISBLANK(PARTIDAS!$G3159),PARTIDAS!$F3159,CONCATENATE(PARTIDAS!$F3159," (",PARTIDAS!$G3159,")"))</f>
        <v>Productos mencionados en la Nota 3 de subpartida de este Capítulo, que contengan fosfato de tris(2,3-dibromopropilo)</v>
      </c>
      <c r="I3159" s="16" t="s">
        <v>9427</v>
      </c>
    </row>
    <row r="3160" spans="1:9" x14ac:dyDescent="0.25">
      <c r="A3160" s="16" t="s">
        <v>4092</v>
      </c>
      <c r="B3160" s="16" t="str">
        <f>TEXT(PARTIDA[[#This Row],[PARTIDA]],"0000000000")</f>
        <v>3824840000</v>
      </c>
      <c r="C3160" s="16" t="s">
        <v>815</v>
      </c>
      <c r="D3160" s="16" t="s">
        <v>835</v>
      </c>
      <c r="E3160" s="16" t="s">
        <v>9467</v>
      </c>
      <c r="F3160" s="27" t="s">
        <v>12099</v>
      </c>
      <c r="G3160" s="27"/>
      <c r="H3160" s="16" t="str">
        <f>IF(ISBLANK(PARTIDAS!$G3160),PARTIDAS!$F3160,CONCATENATE(PARTIDAS!$F3160," (",PARTIDAS!$G3160,")"))</f>
        <v>Productos mencionados en la Nota 3 de subpartida de este Capítulo, que contengan aldrina (ISO), canfecloro (ISO) (toxafeno), clordano (ISO), clordecon</v>
      </c>
      <c r="I3160" s="16" t="s">
        <v>9427</v>
      </c>
    </row>
    <row r="3161" spans="1:9" x14ac:dyDescent="0.25">
      <c r="A3161" s="16" t="s">
        <v>4093</v>
      </c>
      <c r="B3161" s="16" t="str">
        <f>TEXT(PARTIDA[[#This Row],[PARTIDA]],"0000000000")</f>
        <v>3824850000</v>
      </c>
      <c r="C3161" s="16" t="s">
        <v>815</v>
      </c>
      <c r="D3161" s="16" t="s">
        <v>835</v>
      </c>
      <c r="E3161" s="16" t="s">
        <v>9467</v>
      </c>
      <c r="F3161" s="27" t="s">
        <v>12100</v>
      </c>
      <c r="G3161" s="27"/>
      <c r="H3161" s="16" t="str">
        <f>IF(ISBLANK(PARTIDAS!$G3161),PARTIDAS!$F3161,CONCATENATE(PARTIDAS!$F3161," (",PARTIDAS!$G3161,")"))</f>
        <v>Productos mencionados en la Nota 3 de subpartida de este Capítulo, que contengan 1,2,3,4,5,6-hexaclorociclohexano (HCH (ISO)), incluido el lindano (IS</v>
      </c>
      <c r="I3161" s="16" t="s">
        <v>9427</v>
      </c>
    </row>
    <row r="3162" spans="1:9" x14ac:dyDescent="0.25">
      <c r="A3162" s="16" t="s">
        <v>4094</v>
      </c>
      <c r="B3162" s="16" t="str">
        <f>TEXT(PARTIDA[[#This Row],[PARTIDA]],"0000000000")</f>
        <v>3824860000</v>
      </c>
      <c r="C3162" s="16" t="s">
        <v>815</v>
      </c>
      <c r="D3162" s="16" t="s">
        <v>835</v>
      </c>
      <c r="E3162" s="16" t="s">
        <v>9467</v>
      </c>
      <c r="F3162" s="27" t="s">
        <v>12101</v>
      </c>
      <c r="G3162" s="27"/>
      <c r="H3162" s="16" t="str">
        <f>IF(ISBLANK(PARTIDAS!$G3162),PARTIDAS!$F3162,CONCATENATE(PARTIDAS!$F3162," (",PARTIDAS!$G3162,")"))</f>
        <v>Productos mencionados en la Nota 3 de subpartida de este Capítulo, que contengan pentaclorobenceno (ISO) o hexaclorobenceno (ISO)</v>
      </c>
      <c r="I3162" s="16" t="s">
        <v>9427</v>
      </c>
    </row>
    <row r="3163" spans="1:9" x14ac:dyDescent="0.25">
      <c r="A3163" s="16" t="s">
        <v>4095</v>
      </c>
      <c r="B3163" s="16" t="str">
        <f>TEXT(PARTIDA[[#This Row],[PARTIDA]],"0000000000")</f>
        <v>3824870000</v>
      </c>
      <c r="C3163" s="16" t="s">
        <v>815</v>
      </c>
      <c r="D3163" s="16" t="s">
        <v>835</v>
      </c>
      <c r="E3163" s="16" t="s">
        <v>9467</v>
      </c>
      <c r="F3163" s="27" t="s">
        <v>12102</v>
      </c>
      <c r="G3163" s="27"/>
      <c r="H3163" s="16" t="str">
        <f>IF(ISBLANK(PARTIDAS!$G3163),PARTIDAS!$F3163,CONCATENATE(PARTIDAS!$F3163," (",PARTIDAS!$G3163,")"))</f>
        <v>Productos mencionados en la Nota 3 de subpartida de este Capítulo, que contengan ácido perfluorooctano sulfónico o sus sales, perfluorooctano sulfonam</v>
      </c>
      <c r="I3163" s="16" t="s">
        <v>9427</v>
      </c>
    </row>
    <row r="3164" spans="1:9" x14ac:dyDescent="0.25">
      <c r="A3164" s="16" t="s">
        <v>4096</v>
      </c>
      <c r="B3164" s="16" t="str">
        <f>TEXT(PARTIDA[[#This Row],[PARTIDA]],"0000000000")</f>
        <v>3824880000</v>
      </c>
      <c r="C3164" s="16" t="s">
        <v>815</v>
      </c>
      <c r="D3164" s="16" t="s">
        <v>835</v>
      </c>
      <c r="E3164" s="16" t="s">
        <v>9467</v>
      </c>
      <c r="F3164" s="27" t="s">
        <v>12103</v>
      </c>
      <c r="G3164" s="27"/>
      <c r="H3164" s="16" t="str">
        <f>IF(ISBLANK(PARTIDAS!$G3164),PARTIDAS!$F3164,CONCATENATE(PARTIDAS!$F3164," (",PARTIDAS!$G3164,")"))</f>
        <v>Productos mencionados en la Nota 3 de subpartida de este Capítulo, que contengan éteres tetra-, penta-, hexa-, hepta- u octabromodifenílicos</v>
      </c>
      <c r="I3164" s="16" t="s">
        <v>9427</v>
      </c>
    </row>
    <row r="3165" spans="1:9" x14ac:dyDescent="0.25">
      <c r="A3165" s="16" t="s">
        <v>12104</v>
      </c>
      <c r="B3165" s="16" t="str">
        <f>TEXT(PARTIDA[[#This Row],[PARTIDA]],"0000000000")</f>
        <v>3824890000</v>
      </c>
      <c r="C3165" s="16" t="s">
        <v>815</v>
      </c>
      <c r="D3165" s="16" t="s">
        <v>835</v>
      </c>
      <c r="E3165" s="16" t="s">
        <v>9467</v>
      </c>
      <c r="F3165" s="27" t="s">
        <v>12105</v>
      </c>
      <c r="G3165" s="27"/>
      <c r="H3165" s="16" t="str">
        <f>IF(ISBLANK(PARTIDAS!$G3165),PARTIDAS!$F3165,CONCATENATE(PARTIDAS!$F3165," (",PARTIDAS!$G3165,")"))</f>
        <v>Productos mencionados en la Nota 3 de subpartida de este Capítulo, que contengan parafinas cloradas de cadena corta</v>
      </c>
      <c r="I3165" s="16" t="s">
        <v>9427</v>
      </c>
    </row>
    <row r="3166" spans="1:9" x14ac:dyDescent="0.25">
      <c r="A3166" s="16" t="s">
        <v>4097</v>
      </c>
      <c r="B3166" s="16" t="str">
        <f>TEXT(PARTIDA[[#This Row],[PARTIDA]],"0000000000")</f>
        <v>3824910000</v>
      </c>
      <c r="C3166" s="16" t="s">
        <v>815</v>
      </c>
      <c r="D3166" s="16" t="s">
        <v>835</v>
      </c>
      <c r="E3166" s="16" t="s">
        <v>9467</v>
      </c>
      <c r="F3166" s="27" t="s">
        <v>3267</v>
      </c>
      <c r="G3166" s="27"/>
      <c r="H3166" s="16" t="str">
        <f>IF(ISBLANK(PARTIDAS!$G3166),PARTIDAS!$F3166,CONCATENATE(PARTIDAS!$F3166," (",PARTIDAS!$G3166,")"))</f>
        <v>Aditivos químicos</v>
      </c>
      <c r="I3166" s="16" t="s">
        <v>9427</v>
      </c>
    </row>
    <row r="3167" spans="1:9" x14ac:dyDescent="0.25">
      <c r="A3167" s="16" t="s">
        <v>12106</v>
      </c>
      <c r="B3167" s="16" t="str">
        <f>TEXT(PARTIDA[[#This Row],[PARTIDA]],"0000000000")</f>
        <v>3824920000</v>
      </c>
      <c r="C3167" s="16" t="s">
        <v>815</v>
      </c>
      <c r="D3167" s="16" t="s">
        <v>835</v>
      </c>
      <c r="E3167" s="16" t="s">
        <v>9467</v>
      </c>
      <c r="F3167" s="27" t="s">
        <v>12107</v>
      </c>
      <c r="G3167" s="27"/>
      <c r="H3167" s="16" t="str">
        <f>IF(ISBLANK(PARTIDAS!$G3167),PARTIDAS!$F3167,CONCATENATE(PARTIDAS!$F3167," (",PARTIDAS!$G3167,")"))</f>
        <v>Ésteres de poliglicol de ácido metilfosfónico</v>
      </c>
      <c r="I3167" s="16" t="s">
        <v>9427</v>
      </c>
    </row>
    <row r="3168" spans="1:9" x14ac:dyDescent="0.25">
      <c r="A3168" s="16" t="s">
        <v>4098</v>
      </c>
      <c r="B3168" s="16" t="str">
        <f>TEXT(PARTIDA[[#This Row],[PARTIDA]],"0000000000")</f>
        <v>3824991000</v>
      </c>
      <c r="C3168" s="16" t="s">
        <v>815</v>
      </c>
      <c r="D3168" s="16" t="s">
        <v>835</v>
      </c>
      <c r="E3168" s="16" t="s">
        <v>9467</v>
      </c>
      <c r="F3168" s="27" t="s">
        <v>12108</v>
      </c>
      <c r="G3168" s="27"/>
      <c r="H3168" s="16" t="str">
        <f>IF(ISBLANK(PARTIDAS!$G3168),PARTIDAS!$F3168,CONCATENATE(PARTIDAS!$F3168," (",PARTIDAS!$G3168,")"))</f>
        <v>Sulfonatos de petróleo</v>
      </c>
      <c r="I3168" s="16" t="s">
        <v>9427</v>
      </c>
    </row>
    <row r="3169" spans="1:9" x14ac:dyDescent="0.25">
      <c r="A3169" s="16" t="s">
        <v>4099</v>
      </c>
      <c r="B3169" s="16" t="str">
        <f>TEXT(PARTIDA[[#This Row],[PARTIDA]],"0000000000")</f>
        <v>3824992100</v>
      </c>
      <c r="C3169" s="16" t="s">
        <v>815</v>
      </c>
      <c r="D3169" s="16" t="s">
        <v>835</v>
      </c>
      <c r="E3169" s="16" t="s">
        <v>9467</v>
      </c>
      <c r="F3169" s="27" t="s">
        <v>12109</v>
      </c>
      <c r="G3169" s="27"/>
      <c r="H3169" s="16" t="str">
        <f>IF(ISBLANK(PARTIDAS!$G3169),PARTIDAS!$F3169,CONCATENATE(PARTIDAS!$F3169," (",PARTIDAS!$G3169,")"))</f>
        <v>Cloroparafinas, cloroparafinas</v>
      </c>
      <c r="I3169" s="16" t="s">
        <v>9427</v>
      </c>
    </row>
    <row r="3170" spans="1:9" x14ac:dyDescent="0.25">
      <c r="A3170" s="16" t="s">
        <v>4100</v>
      </c>
      <c r="B3170" s="16" t="str">
        <f>TEXT(PARTIDA[[#This Row],[PARTIDA]],"0000000000")</f>
        <v>3824992200</v>
      </c>
      <c r="C3170" s="16" t="s">
        <v>815</v>
      </c>
      <c r="D3170" s="16" t="s">
        <v>835</v>
      </c>
      <c r="E3170" s="16" t="s">
        <v>9467</v>
      </c>
      <c r="F3170" s="27" t="s">
        <v>12110</v>
      </c>
      <c r="G3170" s="27"/>
      <c r="H3170" s="16" t="str">
        <f>IF(ISBLANK(PARTIDAS!$G3170),PARTIDAS!$F3170,CONCATENATE(PARTIDAS!$F3170," (",PARTIDAS!$G3170,")"))</f>
        <v>Mezclas de polietilenglicoles de bajo peso molecular</v>
      </c>
      <c r="I3170" s="16" t="s">
        <v>9427</v>
      </c>
    </row>
    <row r="3171" spans="1:9" x14ac:dyDescent="0.25">
      <c r="A3171" s="16" t="s">
        <v>4101</v>
      </c>
      <c r="B3171" s="16" t="str">
        <f>TEXT(PARTIDA[[#This Row],[PARTIDA]],"0000000000")</f>
        <v>3824993100</v>
      </c>
      <c r="C3171" s="16" t="s">
        <v>815</v>
      </c>
      <c r="D3171" s="16" t="s">
        <v>835</v>
      </c>
      <c r="E3171" s="16" t="s">
        <v>9467</v>
      </c>
      <c r="F3171" s="27" t="s">
        <v>12111</v>
      </c>
      <c r="G3171" s="27"/>
      <c r="H3171" s="16" t="str">
        <f>IF(ISBLANK(PARTIDAS!$G3171),PARTIDAS!$F3171,CONCATENATE(PARTIDAS!$F3171," (",PARTIDAS!$G3171,")"))</f>
        <v>Preparaciones desincrustantes</v>
      </c>
      <c r="I3171" s="16" t="s">
        <v>9427</v>
      </c>
    </row>
    <row r="3172" spans="1:9" x14ac:dyDescent="0.25">
      <c r="A3172" s="16" t="s">
        <v>4102</v>
      </c>
      <c r="B3172" s="16" t="str">
        <f>TEXT(PARTIDA[[#This Row],[PARTIDA]],"0000000000")</f>
        <v>3824993200</v>
      </c>
      <c r="C3172" s="16" t="s">
        <v>815</v>
      </c>
      <c r="D3172" s="16" t="s">
        <v>835</v>
      </c>
      <c r="E3172" s="16" t="s">
        <v>9467</v>
      </c>
      <c r="F3172" s="27" t="s">
        <v>12112</v>
      </c>
      <c r="G3172" s="27"/>
      <c r="H3172" s="16" t="str">
        <f>IF(ISBLANK(PARTIDAS!$G3172),PARTIDAS!$F3172,CONCATENATE(PARTIDAS!$F3172," (",PARTIDAS!$G3172,")"))</f>
        <v>Preparaciones enológicas; preparaciones para clarificar líquidos</v>
      </c>
      <c r="I3172" s="16" t="s">
        <v>9427</v>
      </c>
    </row>
    <row r="3173" spans="1:9" x14ac:dyDescent="0.25">
      <c r="A3173" s="16" t="s">
        <v>4103</v>
      </c>
      <c r="B3173" s="16" t="str">
        <f>TEXT(PARTIDA[[#This Row],[PARTIDA]],"0000000000")</f>
        <v>3824994000</v>
      </c>
      <c r="C3173" s="16" t="s">
        <v>815</v>
      </c>
      <c r="D3173" s="16" t="s">
        <v>835</v>
      </c>
      <c r="E3173" s="16" t="s">
        <v>9467</v>
      </c>
      <c r="F3173" s="27" t="s">
        <v>12113</v>
      </c>
      <c r="G3173" s="27"/>
      <c r="H3173" s="16" t="str">
        <f>IF(ISBLANK(PARTIDAS!$G3173),PARTIDAS!$F3173,CONCATENATE(PARTIDAS!$F3173," (",PARTIDAS!$G3173,")"))</f>
        <v>Conos de fusión para control de temperaturas; cal sodada; gel de sílice coloreada; pastas a base de gelatina para usos gráficos</v>
      </c>
      <c r="I3173" s="16" t="s">
        <v>9427</v>
      </c>
    </row>
    <row r="3174" spans="1:9" x14ac:dyDescent="0.25">
      <c r="A3174" s="16" t="s">
        <v>4104</v>
      </c>
      <c r="B3174" s="16" t="str">
        <f>TEXT(PARTIDA[[#This Row],[PARTIDA]],"0000000000")</f>
        <v>3824995000</v>
      </c>
      <c r="C3174" s="16" t="s">
        <v>815</v>
      </c>
      <c r="D3174" s="16" t="s">
        <v>835</v>
      </c>
      <c r="E3174" s="16" t="s">
        <v>9467</v>
      </c>
      <c r="F3174" s="27" t="s">
        <v>12114</v>
      </c>
      <c r="G3174" s="27"/>
      <c r="H3174" s="16" t="str">
        <f>IF(ISBLANK(PARTIDAS!$G3174),PARTIDAS!$F3174,CONCATENATE(PARTIDAS!$F3174," (",PARTIDAS!$G3174,")"))</f>
        <v>Ácidos nafténicos, sus sales insolubles en agua y sus ésteres</v>
      </c>
      <c r="I3174" s="16" t="s">
        <v>9427</v>
      </c>
    </row>
    <row r="3175" spans="1:9" x14ac:dyDescent="0.25">
      <c r="A3175" s="16" t="s">
        <v>4105</v>
      </c>
      <c r="B3175" s="16" t="str">
        <f>TEXT(PARTIDA[[#This Row],[PARTIDA]],"0000000000")</f>
        <v>3824996000</v>
      </c>
      <c r="C3175" s="16" t="s">
        <v>815</v>
      </c>
      <c r="D3175" s="16" t="s">
        <v>835</v>
      </c>
      <c r="E3175" s="16" t="s">
        <v>9467</v>
      </c>
      <c r="F3175" s="27" t="s">
        <v>3267</v>
      </c>
      <c r="G3175" s="27"/>
      <c r="H3175" s="16" t="str">
        <f>IF(ISBLANK(PARTIDAS!$G3175),PARTIDAS!$F3175,CONCATENATE(PARTIDAS!$F3175," (",PARTIDAS!$G3175,")"))</f>
        <v>Aditivos químicos</v>
      </c>
      <c r="I3175" s="16" t="s">
        <v>9427</v>
      </c>
    </row>
    <row r="3176" spans="1:9" x14ac:dyDescent="0.25">
      <c r="A3176" s="16" t="s">
        <v>4106</v>
      </c>
      <c r="B3176" s="16" t="str">
        <f>TEXT(PARTIDA[[#This Row],[PARTIDA]],"0000000000")</f>
        <v>3824997000</v>
      </c>
      <c r="C3176" s="16" t="s">
        <v>815</v>
      </c>
      <c r="D3176" s="16" t="s">
        <v>835</v>
      </c>
      <c r="E3176" s="16" t="s">
        <v>9467</v>
      </c>
      <c r="F3176" s="27" t="s">
        <v>12115</v>
      </c>
      <c r="G3176" s="27"/>
      <c r="H3176" s="16" t="str">
        <f>IF(ISBLANK(PARTIDAS!$G3176),PARTIDAS!$F3176,CONCATENATE(PARTIDAS!$F3176," (",PARTIDAS!$G3176,")"))</f>
        <v>Preparaciones para concentración de minerales, excepto las que contengan xantatos</v>
      </c>
      <c r="I3176" s="16" t="s">
        <v>9427</v>
      </c>
    </row>
    <row r="3177" spans="1:9" x14ac:dyDescent="0.25">
      <c r="A3177" s="16" t="s">
        <v>4107</v>
      </c>
      <c r="B3177" s="16" t="str">
        <f>TEXT(PARTIDA[[#This Row],[PARTIDA]],"0000000000")</f>
        <v>3824998000</v>
      </c>
      <c r="C3177" s="16" t="s">
        <v>815</v>
      </c>
      <c r="D3177" s="16" t="s">
        <v>835</v>
      </c>
      <c r="E3177" s="16" t="s">
        <v>9467</v>
      </c>
      <c r="F3177" s="27" t="s">
        <v>12116</v>
      </c>
      <c r="G3177" s="27"/>
      <c r="H3177" s="16" t="str">
        <f>IF(ISBLANK(PARTIDAS!$G3177),PARTIDAS!$F3177,CONCATENATE(PARTIDAS!$F3177," (",PARTIDAS!$G3177,")"))</f>
        <v>Anabólicos; mezcla de sulfato de sodio y cromato de sodio</v>
      </c>
      <c r="I3177" s="16" t="s">
        <v>9427</v>
      </c>
    </row>
    <row r="3178" spans="1:9" x14ac:dyDescent="0.25">
      <c r="A3178" s="16" t="s">
        <v>4108</v>
      </c>
      <c r="B3178" s="16" t="str">
        <f>TEXT(PARTIDA[[#This Row],[PARTIDA]],"0000000000")</f>
        <v>3824999100</v>
      </c>
      <c r="C3178" s="16" t="s">
        <v>815</v>
      </c>
      <c r="D3178" s="16" t="s">
        <v>835</v>
      </c>
      <c r="E3178" s="16" t="s">
        <v>9467</v>
      </c>
      <c r="F3178" s="27" t="s">
        <v>12117</v>
      </c>
      <c r="G3178" s="27"/>
      <c r="H3178" s="16" t="str">
        <f>IF(ISBLANK(PARTIDAS!$G3178),PARTIDAS!$F3178,CONCATENATE(PARTIDAS!$F3178," (",PARTIDAS!$G3178,")"))</f>
        <v>Maneb, zineb, mancozeb</v>
      </c>
      <c r="I3178" s="16" t="s">
        <v>9427</v>
      </c>
    </row>
    <row r="3179" spans="1:9" x14ac:dyDescent="0.25">
      <c r="A3179" s="16" t="s">
        <v>4109</v>
      </c>
      <c r="B3179" s="16" t="str">
        <f>TEXT(PARTIDA[[#This Row],[PARTIDA]],"0000000000")</f>
        <v>3824999200</v>
      </c>
      <c r="C3179" s="16" t="s">
        <v>815</v>
      </c>
      <c r="D3179" s="16" t="s">
        <v>835</v>
      </c>
      <c r="E3179" s="16" t="s">
        <v>9467</v>
      </c>
      <c r="F3179" s="27" t="s">
        <v>12118</v>
      </c>
      <c r="G3179" s="27"/>
      <c r="H3179" s="16" t="str">
        <f>IF(ISBLANK(PARTIDAS!$G3179),PARTIDAS!$F3179,CONCATENATE(PARTIDAS!$F3179," (",PARTIDAS!$G3179,")"))</f>
        <v>Ferritas con aglomerantes, en polvo o gránulos</v>
      </c>
      <c r="I3179" s="16" t="s">
        <v>9427</v>
      </c>
    </row>
    <row r="3180" spans="1:9" x14ac:dyDescent="0.25">
      <c r="A3180" s="16" t="s">
        <v>4110</v>
      </c>
      <c r="B3180" s="16" t="str">
        <f>TEXT(PARTIDA[[#This Row],[PARTIDA]],"0000000000")</f>
        <v>3824999300</v>
      </c>
      <c r="C3180" s="16" t="s">
        <v>815</v>
      </c>
      <c r="D3180" s="16" t="s">
        <v>835</v>
      </c>
      <c r="E3180" s="16" t="s">
        <v>9467</v>
      </c>
      <c r="F3180" s="27" t="s">
        <v>12119</v>
      </c>
      <c r="G3180" s="27"/>
      <c r="H3180" s="16" t="str">
        <f>IF(ISBLANK(PARTIDAS!$G3180),PARTIDAS!$F3180,CONCATENATE(PARTIDAS!$F3180," (",PARTIDAS!$G3180,")"))</f>
        <v>Intercambiadores de iones</v>
      </c>
      <c r="I3180" s="16" t="s">
        <v>9427</v>
      </c>
    </row>
    <row r="3181" spans="1:9" x14ac:dyDescent="0.25">
      <c r="A3181" s="16" t="s">
        <v>4111</v>
      </c>
      <c r="B3181" s="16" t="str">
        <f>TEXT(PARTIDA[[#This Row],[PARTIDA]],"0000000000")</f>
        <v>3824999400</v>
      </c>
      <c r="C3181" s="16" t="s">
        <v>815</v>
      </c>
      <c r="D3181" s="16" t="s">
        <v>835</v>
      </c>
      <c r="E3181" s="16" t="s">
        <v>9467</v>
      </c>
      <c r="F3181" s="27" t="s">
        <v>12120</v>
      </c>
      <c r="G3181" s="27"/>
      <c r="H3181" s="16" t="str">
        <f>IF(ISBLANK(PARTIDAS!$G3181),PARTIDAS!$F3181,CONCATENATE(PARTIDAS!$F3181," (",PARTIDAS!$G3181,")"))</f>
        <v>Endurecedores compuestos</v>
      </c>
      <c r="I3181" s="16" t="s">
        <v>9427</v>
      </c>
    </row>
    <row r="3182" spans="1:9" x14ac:dyDescent="0.25">
      <c r="A3182" s="16" t="s">
        <v>4112</v>
      </c>
      <c r="B3182" s="16" t="str">
        <f>TEXT(PARTIDA[[#This Row],[PARTIDA]],"0000000000")</f>
        <v>3824999500</v>
      </c>
      <c r="C3182" s="16" t="s">
        <v>815</v>
      </c>
      <c r="D3182" s="16" t="s">
        <v>835</v>
      </c>
      <c r="E3182" s="16" t="s">
        <v>9467</v>
      </c>
      <c r="F3182" s="27" t="s">
        <v>12121</v>
      </c>
      <c r="G3182" s="27"/>
      <c r="H3182" s="16" t="str">
        <f>IF(ISBLANK(PARTIDAS!$G3182),PARTIDAS!$F3182,CONCATENATE(PARTIDAS!$F3182," (",PARTIDAS!$G3182,")"))</f>
        <v>Ácido fosfórico, sin aislar, incluso en concentración con contenido inferior o igual al 54 % en peso de P2O5</v>
      </c>
      <c r="I3182" s="16" t="s">
        <v>9427</v>
      </c>
    </row>
    <row r="3183" spans="1:9" x14ac:dyDescent="0.25">
      <c r="A3183" s="16" t="s">
        <v>4113</v>
      </c>
      <c r="B3183" s="16" t="str">
        <f>TEXT(PARTIDA[[#This Row],[PARTIDA]],"0000000000")</f>
        <v>3824999600</v>
      </c>
      <c r="C3183" s="16" t="s">
        <v>815</v>
      </c>
      <c r="D3183" s="16" t="s">
        <v>835</v>
      </c>
      <c r="E3183" s="16" t="s">
        <v>9467</v>
      </c>
      <c r="F3183" s="27" t="s">
        <v>12122</v>
      </c>
      <c r="G3183" s="27"/>
      <c r="H3183" s="16" t="str">
        <f>IF(ISBLANK(PARTIDAS!$G3183),PARTIDAS!$F3183,CONCATENATE(PARTIDAS!$F3183," (",PARTIDAS!$G3183,")"))</f>
        <v>Correctores líquidos acondicionados en envases para la venta al por menor</v>
      </c>
      <c r="I3183" s="16" t="s">
        <v>9427</v>
      </c>
    </row>
    <row r="3184" spans="1:9" x14ac:dyDescent="0.25">
      <c r="A3184" s="16" t="s">
        <v>4114</v>
      </c>
      <c r="B3184" s="16" t="str">
        <f>TEXT(PARTIDA[[#This Row],[PARTIDA]],"0000000000")</f>
        <v>3824999700</v>
      </c>
      <c r="C3184" s="16" t="s">
        <v>815</v>
      </c>
      <c r="D3184" s="16" t="s">
        <v>835</v>
      </c>
      <c r="E3184" s="16" t="s">
        <v>9467</v>
      </c>
      <c r="F3184" s="27" t="s">
        <v>12123</v>
      </c>
      <c r="G3184" s="27"/>
      <c r="H3184" s="16" t="str">
        <f>IF(ISBLANK(PARTIDAS!$G3184),PARTIDAS!$F3184,CONCATENATE(PARTIDAS!$F3184," (",PARTIDAS!$G3184,")"))</f>
        <v>Preparaciones aglutinantes para moldes o núcleos de fundición, propineb</v>
      </c>
      <c r="I3184" s="16" t="s">
        <v>9427</v>
      </c>
    </row>
    <row r="3185" spans="1:9" x14ac:dyDescent="0.25">
      <c r="A3185" s="16" t="s">
        <v>4115</v>
      </c>
      <c r="B3185" s="16" t="str">
        <f>TEXT(PARTIDA[[#This Row],[PARTIDA]],"0000000000")</f>
        <v>3824999800</v>
      </c>
      <c r="C3185" s="16" t="s">
        <v>815</v>
      </c>
      <c r="D3185" s="16" t="s">
        <v>835</v>
      </c>
      <c r="E3185" s="16" t="s">
        <v>9467</v>
      </c>
      <c r="F3185" s="27" t="s">
        <v>12124</v>
      </c>
      <c r="G3185" s="27"/>
      <c r="H3185" s="16" t="str">
        <f>IF(ISBLANK(PARTIDAS!$G3185),PARTIDAS!$F3185,CONCATENATE(PARTIDAS!$F3185," (",PARTIDAS!$G3185,")"))</f>
        <v>Preparaciones de óxido de plomo y plomo metálico (“óxido gris”; “óxido negro”) para fabricar placas para acumuladores</v>
      </c>
      <c r="I3185" s="16" t="s">
        <v>9427</v>
      </c>
    </row>
    <row r="3186" spans="1:9" x14ac:dyDescent="0.25">
      <c r="A3186" s="16" t="s">
        <v>4116</v>
      </c>
      <c r="B3186" s="16" t="str">
        <f>TEXT(PARTIDA[[#This Row],[PARTIDA]],"0000000000")</f>
        <v>3824999911</v>
      </c>
      <c r="C3186" s="16" t="s">
        <v>815</v>
      </c>
      <c r="D3186" s="16" t="s">
        <v>835</v>
      </c>
      <c r="E3186" s="16" t="s">
        <v>9467</v>
      </c>
      <c r="F3186" s="27" t="s">
        <v>12125</v>
      </c>
      <c r="G3186" s="27"/>
      <c r="H3186" s="16" t="str">
        <f>IF(ISBLANK(PARTIDAS!$G3186),PARTIDAS!$F3186,CONCATENATE(PARTIDAS!$F3186," (",PARTIDAS!$G3186,")"))</f>
        <v>Mezclas constituidas esencialmente de alquil (metil, etil, n-propil o isopropil) fosfonofluoridatos de O-alquilo (&lt; C10’ incluyendo cicloalquilos)</v>
      </c>
      <c r="I3186" s="16" t="s">
        <v>9427</v>
      </c>
    </row>
    <row r="3187" spans="1:9" x14ac:dyDescent="0.25">
      <c r="A3187" s="16" t="s">
        <v>4117</v>
      </c>
      <c r="B3187" s="16" t="str">
        <f>TEXT(PARTIDA[[#This Row],[PARTIDA]],"0000000000")</f>
        <v>3824999912</v>
      </c>
      <c r="C3187" s="16" t="s">
        <v>815</v>
      </c>
      <c r="D3187" s="16" t="s">
        <v>835</v>
      </c>
      <c r="E3187" s="16" t="s">
        <v>9467</v>
      </c>
      <c r="F3187" s="27" t="s">
        <v>12126</v>
      </c>
      <c r="G3187" s="27"/>
      <c r="H3187" s="16" t="str">
        <f>IF(ISBLANK(PARTIDAS!$G3187),PARTIDAS!$F3187,CONCATENATE(PARTIDAS!$F3187," (",PARTIDAS!$G3187,")"))</f>
        <v>Mezclas constituidas esencialmente de N,N-dialquil (metil, etil, n-propil o isopropil) fosforoamidocianidatos de O-alquilo (&lt; C10’ incluyendo cicloalq</v>
      </c>
      <c r="I3187" s="16" t="s">
        <v>9427</v>
      </c>
    </row>
    <row r="3188" spans="1:9" x14ac:dyDescent="0.25">
      <c r="A3188" s="16" t="s">
        <v>4118</v>
      </c>
      <c r="B3188" s="16" t="str">
        <f>TEXT(PARTIDA[[#This Row],[PARTIDA]],"0000000000")</f>
        <v>3824999913</v>
      </c>
      <c r="C3188" s="16" t="s">
        <v>815</v>
      </c>
      <c r="D3188" s="16" t="s">
        <v>835</v>
      </c>
      <c r="E3188" s="16" t="s">
        <v>9467</v>
      </c>
      <c r="F3188" s="27" t="s">
        <v>12127</v>
      </c>
      <c r="G3188" s="27"/>
      <c r="H3188" s="16" t="str">
        <f>IF(ISBLANK(PARTIDAS!$G3188),PARTIDAS!$F3188,CONCATENATE(PARTIDAS!$F3188," (",PARTIDAS!$G3188,")"))</f>
        <v>Mezclas constituidas esencialmente de difluoruros de alquil (metil, etil, n-propil o isopropil) fosfonilo</v>
      </c>
      <c r="I3188" s="16" t="s">
        <v>9427</v>
      </c>
    </row>
    <row r="3189" spans="1:9" x14ac:dyDescent="0.25">
      <c r="A3189" s="16" t="s">
        <v>4119</v>
      </c>
      <c r="B3189" s="16" t="str">
        <f>TEXT(PARTIDA[[#This Row],[PARTIDA]],"0000000000")</f>
        <v>3824999914</v>
      </c>
      <c r="C3189" s="16" t="s">
        <v>815</v>
      </c>
      <c r="D3189" s="16" t="s">
        <v>835</v>
      </c>
      <c r="E3189" s="16" t="s">
        <v>9467</v>
      </c>
      <c r="F3189" s="27" t="s">
        <v>12128</v>
      </c>
      <c r="G3189" s="27"/>
      <c r="H3189" s="16" t="str">
        <f>IF(ISBLANK(PARTIDAS!$G3189),PARTIDAS!$F3189,CONCATENATE(PARTIDAS!$F3189," (",PARTIDAS!$G3189,")"))</f>
        <v>Mezclas constituidas esencialmente de dihalogenuros de N,N-dialquil (metil, etil, n-propil o isopropil) fosforoamídicos</v>
      </c>
      <c r="I3189" s="16" t="s">
        <v>9427</v>
      </c>
    </row>
    <row r="3190" spans="1:9" x14ac:dyDescent="0.25">
      <c r="A3190" s="16" t="s">
        <v>4120</v>
      </c>
      <c r="B3190" s="16" t="str">
        <f>TEXT(PARTIDA[[#This Row],[PARTIDA]],"0000000000")</f>
        <v>3824999915</v>
      </c>
      <c r="C3190" s="16" t="s">
        <v>815</v>
      </c>
      <c r="D3190" s="16" t="s">
        <v>835</v>
      </c>
      <c r="E3190" s="16" t="s">
        <v>9467</v>
      </c>
      <c r="F3190" s="27" t="s">
        <v>12129</v>
      </c>
      <c r="G3190" s="27"/>
      <c r="H3190" s="16" t="str">
        <f>IF(ISBLANK(PARTIDAS!$G3190),PARTIDAS!$F3190,CONCATENATE(PARTIDAS!$F3190," (",PARTIDAS!$G3190,")"))</f>
        <v>Mezclas constituidas esencialmente de N,N-dialquil (metil, etil, n-propil o isopropil) fosforoamidatos de dialquilo (metilo, etilo, n-propilo o isopro</v>
      </c>
      <c r="I3190" s="16" t="s">
        <v>9427</v>
      </c>
    </row>
    <row r="3191" spans="1:9" x14ac:dyDescent="0.25">
      <c r="A3191" s="16" t="s">
        <v>4121</v>
      </c>
      <c r="B3191" s="16" t="str">
        <f>TEXT(PARTIDA[[#This Row],[PARTIDA]],"0000000000")</f>
        <v>3824999920</v>
      </c>
      <c r="C3191" s="16" t="s">
        <v>815</v>
      </c>
      <c r="D3191" s="16" t="s">
        <v>835</v>
      </c>
      <c r="E3191" s="16" t="s">
        <v>9467</v>
      </c>
      <c r="F3191" s="27" t="s">
        <v>12130</v>
      </c>
      <c r="G3191" s="27"/>
      <c r="H3191" s="16" t="str">
        <f>IF(ISBLANK(PARTIDAS!$G3191),PARTIDAS!$F3191,CONCATENATE(PARTIDAS!$F3191," (",PARTIDAS!$G3191,")"))</f>
        <v>Mezclas constituidas esencialmente de hidrogenoalquil (metil, etil, n-propil o isopropil) fosfonotioatos de [S-2-(dialquil (metil, etil, n-propil o is</v>
      </c>
      <c r="I3191" s="16" t="s">
        <v>9427</v>
      </c>
    </row>
    <row r="3192" spans="1:9" x14ac:dyDescent="0.25">
      <c r="A3192" s="16" t="s">
        <v>4122</v>
      </c>
      <c r="B3192" s="16" t="str">
        <f>TEXT(PARTIDA[[#This Row],[PARTIDA]],"0000000000")</f>
        <v>3824999930</v>
      </c>
      <c r="C3192" s="16" t="s">
        <v>815</v>
      </c>
      <c r="D3192" s="16" t="s">
        <v>835</v>
      </c>
      <c r="E3192" s="16" t="s">
        <v>9467</v>
      </c>
      <c r="F3192" s="27" t="s">
        <v>12131</v>
      </c>
      <c r="G3192" s="27"/>
      <c r="H3192" s="16" t="str">
        <f>IF(ISBLANK(PARTIDAS!$G3192),PARTIDAS!$F3192,CONCATENATE(PARTIDAS!$F3192," (",PARTIDAS!$G3192,")"))</f>
        <v>Mezclas constituidas esencialmente de hidrogenoalquil (metil, etil, n-propil o isopropil) fosfonitos de [O-2-(dialquil (metil, etil, n-propil o isopro</v>
      </c>
      <c r="I3192" s="16" t="s">
        <v>9427</v>
      </c>
    </row>
    <row r="3193" spans="1:9" x14ac:dyDescent="0.25">
      <c r="A3193" s="16" t="s">
        <v>4123</v>
      </c>
      <c r="B3193" s="16" t="str">
        <f>TEXT(PARTIDA[[#This Row],[PARTIDA]],"0000000000")</f>
        <v>3824999941</v>
      </c>
      <c r="C3193" s="16" t="s">
        <v>815</v>
      </c>
      <c r="D3193" s="16" t="s">
        <v>835</v>
      </c>
      <c r="E3193" s="16" t="s">
        <v>9467</v>
      </c>
      <c r="F3193" s="27" t="s">
        <v>12132</v>
      </c>
      <c r="G3193" s="27"/>
      <c r="H3193" s="16" t="str">
        <f>IF(ISBLANK(PARTIDAS!$G3193),PARTIDAS!$F3193,CONCATENATE(PARTIDAS!$F3193," (",PARTIDAS!$G3193,")"))</f>
        <v>Mezclas constituidas esencialmente de aminas N,N-dialquil (metil, etil, n-propil o isopropil) 2-cloroetilo o sus sales protonadas</v>
      </c>
      <c r="I3193" s="16" t="s">
        <v>9427</v>
      </c>
    </row>
    <row r="3194" spans="1:9" x14ac:dyDescent="0.25">
      <c r="A3194" s="16" t="s">
        <v>4124</v>
      </c>
      <c r="B3194" s="16" t="str">
        <f>TEXT(PARTIDA[[#This Row],[PARTIDA]],"0000000000")</f>
        <v>3824999942</v>
      </c>
      <c r="C3194" s="16" t="s">
        <v>815</v>
      </c>
      <c r="D3194" s="16" t="s">
        <v>835</v>
      </c>
      <c r="E3194" s="16" t="s">
        <v>9467</v>
      </c>
      <c r="F3194" s="27" t="s">
        <v>12133</v>
      </c>
      <c r="G3194" s="27"/>
      <c r="H3194" s="16" t="str">
        <f>IF(ISBLANK(PARTIDAS!$G3194),PARTIDAS!$F3194,CONCATENATE(PARTIDAS!$F3194," (",PARTIDAS!$G3194,")"))</f>
        <v>Mezclas constituidas esencialmente de N,N-dialquil (metil, etil, n-propil o isopropil) aminoetano-2-tioles o sus sales protonadas</v>
      </c>
      <c r="I3194" s="16" t="s">
        <v>9427</v>
      </c>
    </row>
    <row r="3195" spans="1:9" x14ac:dyDescent="0.25">
      <c r="A3195" s="16" t="s">
        <v>4125</v>
      </c>
      <c r="B3195" s="16" t="str">
        <f>TEXT(PARTIDA[[#This Row],[PARTIDA]],"0000000000")</f>
        <v>3824999951</v>
      </c>
      <c r="C3195" s="16" t="s">
        <v>815</v>
      </c>
      <c r="D3195" s="16" t="s">
        <v>835</v>
      </c>
      <c r="E3195" s="16" t="s">
        <v>9467</v>
      </c>
      <c r="F3195" s="27" t="s">
        <v>12134</v>
      </c>
      <c r="G3195" s="27"/>
      <c r="H3195" s="16" t="str">
        <f>IF(ISBLANK(PARTIDAS!$G3195),PARTIDAS!$F3195,CONCATENATE(PARTIDAS!$F3195," (",PARTIDAS!$G3195,")"))</f>
        <v>Mezclas constituidas esencialmente de N,N-dimetil-2-aminoetanoles o de N,N-dietil-2- aminoetanol o sus sales protonadas</v>
      </c>
      <c r="I3195" s="16" t="s">
        <v>9427</v>
      </c>
    </row>
    <row r="3196" spans="1:9" x14ac:dyDescent="0.25">
      <c r="A3196" s="16" t="s">
        <v>4126</v>
      </c>
      <c r="B3196" s="16" t="str">
        <f>TEXT(PARTIDA[[#This Row],[PARTIDA]],"0000000000")</f>
        <v>3824999959</v>
      </c>
      <c r="C3196" s="16" t="s">
        <v>815</v>
      </c>
      <c r="D3196" s="16" t="s">
        <v>835</v>
      </c>
      <c r="E3196" s="16" t="s">
        <v>9467</v>
      </c>
      <c r="F3196" s="27" t="s">
        <v>12135</v>
      </c>
      <c r="G3196" s="27"/>
      <c r="H3196" s="16" t="str">
        <f>IF(ISBLANK(PARTIDAS!$G3196),PARTIDAS!$F3196,CONCATENATE(PARTIDAS!$F3196," (",PARTIDAS!$G3196,")"))</f>
        <v>Preparaciones aglutinantes para moldes o núcleos de…, 2-aminoetanoles o sus sales protonadas (los demás)</v>
      </c>
      <c r="I3196" s="16" t="s">
        <v>9427</v>
      </c>
    </row>
    <row r="3197" spans="1:9" x14ac:dyDescent="0.25">
      <c r="A3197" s="16" t="s">
        <v>4127</v>
      </c>
      <c r="B3197" s="16" t="str">
        <f>TEXT(PARTIDA[[#This Row],[PARTIDA]],"0000000000")</f>
        <v>3824999960</v>
      </c>
      <c r="C3197" s="16" t="s">
        <v>815</v>
      </c>
      <c r="D3197" s="16" t="s">
        <v>835</v>
      </c>
      <c r="E3197" s="16" t="s">
        <v>9467</v>
      </c>
      <c r="F3197" s="27" t="s">
        <v>12136</v>
      </c>
      <c r="G3197" s="27"/>
      <c r="H3197" s="16" t="str">
        <f>IF(ISBLANK(PARTIDAS!$G3197),PARTIDAS!$F3197,CONCATENATE(PARTIDAS!$F3197," (",PARTIDAS!$G3197,")"))</f>
        <v>Preparaciones aglutinantes para moldes o núcleos de…, 2-aminoetanoles o sus sales protonadas (los demás, mezclas constituidas esencialmente de product</v>
      </c>
      <c r="I3197" s="16" t="s">
        <v>9427</v>
      </c>
    </row>
    <row r="3198" spans="1:9" x14ac:dyDescent="0.25">
      <c r="A3198" s="16" t="s">
        <v>4128</v>
      </c>
      <c r="B3198" s="16" t="str">
        <f>TEXT(PARTIDA[[#This Row],[PARTIDA]],"0000000000")</f>
        <v>3824999971</v>
      </c>
      <c r="C3198" s="16" t="s">
        <v>815</v>
      </c>
      <c r="D3198" s="16" t="s">
        <v>835</v>
      </c>
      <c r="E3198" s="16" t="s">
        <v>9467</v>
      </c>
      <c r="F3198" s="27" t="s">
        <v>12137</v>
      </c>
      <c r="G3198" s="27"/>
      <c r="H3198" s="16" t="str">
        <f>IF(ISBLANK(PARTIDAS!$G3198),PARTIDAS!$F3198,CONCATENATE(PARTIDAS!$F3198," (",PARTIDAS!$G3198,")"))</f>
        <v>Mezclas que contengan derivados perhalogenados de hidrocarburos…, que contengan hidrocarburos acíclicos perhalogenados únicamente con flúor y cloro</v>
      </c>
      <c r="I3198" s="16" t="s">
        <v>9427</v>
      </c>
    </row>
    <row r="3199" spans="1:9" x14ac:dyDescent="0.25">
      <c r="A3199" s="16" t="s">
        <v>4129</v>
      </c>
      <c r="B3199" s="16" t="str">
        <f>TEXT(PARTIDA[[#This Row],[PARTIDA]],"0000000000")</f>
        <v>3824999979</v>
      </c>
      <c r="C3199" s="16" t="s">
        <v>815</v>
      </c>
      <c r="D3199" s="16" t="s">
        <v>835</v>
      </c>
      <c r="E3199" s="16" t="s">
        <v>9467</v>
      </c>
      <c r="F3199" s="27" t="s">
        <v>12138</v>
      </c>
      <c r="G3199" s="27"/>
      <c r="H3199" s="16" t="str">
        <f>IF(ISBLANK(PARTIDAS!$G3199),PARTIDAS!$F3199,CONCATENATE(PARTIDAS!$F3199," (",PARTIDAS!$G3199,")"))</f>
        <v>Mezclas que contengan derivados perhalogenados de hidrocarburos… (los demás)</v>
      </c>
      <c r="I3199" s="16" t="s">
        <v>9427</v>
      </c>
    </row>
    <row r="3200" spans="1:9" x14ac:dyDescent="0.25">
      <c r="A3200" s="16" t="s">
        <v>4130</v>
      </c>
      <c r="B3200" s="16" t="str">
        <f>TEXT(PARTIDA[[#This Row],[PARTIDA]],"0000000000")</f>
        <v>3824999991</v>
      </c>
      <c r="C3200" s="16" t="s">
        <v>815</v>
      </c>
      <c r="D3200" s="16" t="s">
        <v>835</v>
      </c>
      <c r="E3200" s="16" t="s">
        <v>9467</v>
      </c>
      <c r="F3200" s="27" t="s">
        <v>12139</v>
      </c>
      <c r="G3200" s="27"/>
      <c r="H3200" s="16" t="str">
        <f>IF(ISBLANK(PARTIDAS!$G3200),PARTIDAS!$F3200,CONCATENATE(PARTIDAS!$F3200," (",PARTIDAS!$G3200,")"))</f>
        <v>Aceites de fusel; aceites de Dippel</v>
      </c>
      <c r="I3200" s="16" t="s">
        <v>9427</v>
      </c>
    </row>
    <row r="3201" spans="1:9" x14ac:dyDescent="0.25">
      <c r="A3201" s="16" t="s">
        <v>4131</v>
      </c>
      <c r="B3201" s="16" t="str">
        <f>TEXT(PARTIDA[[#This Row],[PARTIDA]],"0000000000")</f>
        <v>3824999999</v>
      </c>
      <c r="C3201" s="16" t="s">
        <v>815</v>
      </c>
      <c r="D3201" s="16" t="s">
        <v>835</v>
      </c>
      <c r="E3201" s="16" t="s">
        <v>9467</v>
      </c>
      <c r="F3201" s="27" t="s">
        <v>12135</v>
      </c>
      <c r="G3201" s="27"/>
      <c r="H3201" s="16" t="str">
        <f>IF(ISBLANK(PARTIDAS!$G3201),PARTIDAS!$F3201,CONCATENATE(PARTIDAS!$F3201," (",PARTIDAS!$G3201,")"))</f>
        <v>Preparaciones aglutinantes para moldes o núcleos de…, 2-aminoetanoles o sus sales protonadas (los demás)</v>
      </c>
      <c r="I3201" s="16" t="s">
        <v>9427</v>
      </c>
    </row>
    <row r="3202" spans="1:9" x14ac:dyDescent="0.25">
      <c r="A3202" s="16" t="s">
        <v>4132</v>
      </c>
      <c r="B3202" s="16" t="str">
        <f>TEXT(PARTIDA[[#This Row],[PARTIDA]],"0000000000")</f>
        <v>3825100000</v>
      </c>
      <c r="C3202" s="16" t="s">
        <v>815</v>
      </c>
      <c r="D3202" s="16" t="s">
        <v>835</v>
      </c>
      <c r="E3202" s="16" t="s">
        <v>9467</v>
      </c>
      <c r="F3202" s="27" t="s">
        <v>12140</v>
      </c>
      <c r="G3202" s="27"/>
      <c r="H3202" s="16" t="str">
        <f>IF(ISBLANK(PARTIDAS!$G3202),PARTIDAS!$F3202,CONCATENATE(PARTIDAS!$F3202," (",PARTIDAS!$G3202,")"))</f>
        <v>Desechos municipales</v>
      </c>
      <c r="I3202" s="16" t="s">
        <v>9427</v>
      </c>
    </row>
    <row r="3203" spans="1:9" x14ac:dyDescent="0.25">
      <c r="A3203" s="16" t="s">
        <v>4133</v>
      </c>
      <c r="B3203" s="16" t="str">
        <f>TEXT(PARTIDA[[#This Row],[PARTIDA]],"0000000000")</f>
        <v>3825200000</v>
      </c>
      <c r="C3203" s="16" t="s">
        <v>815</v>
      </c>
      <c r="D3203" s="16" t="s">
        <v>835</v>
      </c>
      <c r="E3203" s="16" t="s">
        <v>9467</v>
      </c>
      <c r="F3203" s="27" t="s">
        <v>12141</v>
      </c>
      <c r="G3203" s="27"/>
      <c r="H3203" s="16" t="str">
        <f>IF(ISBLANK(PARTIDAS!$G3203),PARTIDAS!$F3203,CONCATENATE(PARTIDAS!$F3203," (",PARTIDAS!$G3203,")"))</f>
        <v>Lodos de depuración</v>
      </c>
      <c r="I3203" s="16" t="s">
        <v>9427</v>
      </c>
    </row>
    <row r="3204" spans="1:9" x14ac:dyDescent="0.25">
      <c r="A3204" s="16" t="s">
        <v>4134</v>
      </c>
      <c r="B3204" s="16" t="str">
        <f>TEXT(PARTIDA[[#This Row],[PARTIDA]],"0000000000")</f>
        <v>3825300000</v>
      </c>
      <c r="C3204" s="16" t="s">
        <v>815</v>
      </c>
      <c r="D3204" s="16" t="s">
        <v>835</v>
      </c>
      <c r="E3204" s="16" t="s">
        <v>9467</v>
      </c>
      <c r="F3204" s="27" t="s">
        <v>12142</v>
      </c>
      <c r="G3204" s="27"/>
      <c r="H3204" s="16" t="str">
        <f>IF(ISBLANK(PARTIDAS!$G3204),PARTIDAS!$F3204,CONCATENATE(PARTIDAS!$F3204," (",PARTIDAS!$G3204,")"))</f>
        <v>Desechos clínicos</v>
      </c>
      <c r="I3204" s="16" t="s">
        <v>9427</v>
      </c>
    </row>
    <row r="3205" spans="1:9" x14ac:dyDescent="0.25">
      <c r="A3205" s="16" t="s">
        <v>4135</v>
      </c>
      <c r="B3205" s="16" t="str">
        <f>TEXT(PARTIDA[[#This Row],[PARTIDA]],"0000000000")</f>
        <v>3825410000</v>
      </c>
      <c r="C3205" s="16" t="s">
        <v>815</v>
      </c>
      <c r="D3205" s="16" t="s">
        <v>835</v>
      </c>
      <c r="E3205" s="16" t="s">
        <v>9467</v>
      </c>
      <c r="F3205" s="27" t="s">
        <v>12143</v>
      </c>
      <c r="G3205" s="27"/>
      <c r="H3205" s="16" t="str">
        <f>IF(ISBLANK(PARTIDAS!$G3205),PARTIDAS!$F3205,CONCATENATE(PARTIDAS!$F3205," (",PARTIDAS!$G3205,")"))</f>
        <v>Desechos de disolventes orgánicos, halogenados</v>
      </c>
      <c r="I3205" s="16" t="s">
        <v>9427</v>
      </c>
    </row>
    <row r="3206" spans="1:9" x14ac:dyDescent="0.25">
      <c r="A3206" s="16" t="s">
        <v>4136</v>
      </c>
      <c r="B3206" s="16" t="str">
        <f>TEXT(PARTIDA[[#This Row],[PARTIDA]],"0000000000")</f>
        <v>3825490000</v>
      </c>
      <c r="C3206" s="16" t="s">
        <v>815</v>
      </c>
      <c r="D3206" s="16" t="s">
        <v>835</v>
      </c>
      <c r="E3206" s="16" t="s">
        <v>9467</v>
      </c>
      <c r="F3206" s="27" t="s">
        <v>12144</v>
      </c>
      <c r="G3206" s="27"/>
      <c r="H3206" s="16" t="str">
        <f>IF(ISBLANK(PARTIDAS!$G3206),PARTIDAS!$F3206,CONCATENATE(PARTIDAS!$F3206," (",PARTIDAS!$G3206,")"))</f>
        <v>Desechos de disolventes orgánicos (los demás)</v>
      </c>
      <c r="I3206" s="16" t="s">
        <v>9427</v>
      </c>
    </row>
    <row r="3207" spans="1:9" x14ac:dyDescent="0.25">
      <c r="A3207" s="16" t="s">
        <v>4137</v>
      </c>
      <c r="B3207" s="16" t="str">
        <f>TEXT(PARTIDA[[#This Row],[PARTIDA]],"0000000000")</f>
        <v>3825500000</v>
      </c>
      <c r="C3207" s="16" t="s">
        <v>815</v>
      </c>
      <c r="D3207" s="16" t="s">
        <v>835</v>
      </c>
      <c r="E3207" s="16" t="s">
        <v>9467</v>
      </c>
      <c r="F3207" s="27" t="s">
        <v>12145</v>
      </c>
      <c r="G3207" s="27"/>
      <c r="H3207" s="16" t="str">
        <f>IF(ISBLANK(PARTIDAS!$G3207),PARTIDAS!$F3207,CONCATENATE(PARTIDAS!$F3207," (",PARTIDAS!$G3207,")"))</f>
        <v>Desechos de soluciones decapantes, fluidos hidráulicos, líquidos para frenos y líquidos anticongelantes</v>
      </c>
      <c r="I3207" s="16" t="s">
        <v>9427</v>
      </c>
    </row>
    <row r="3208" spans="1:9" x14ac:dyDescent="0.25">
      <c r="A3208" s="16" t="s">
        <v>4138</v>
      </c>
      <c r="B3208" s="16" t="str">
        <f>TEXT(PARTIDA[[#This Row],[PARTIDA]],"0000000000")</f>
        <v>3825610000</v>
      </c>
      <c r="C3208" s="16" t="s">
        <v>815</v>
      </c>
      <c r="D3208" s="16" t="s">
        <v>835</v>
      </c>
      <c r="E3208" s="16" t="s">
        <v>9467</v>
      </c>
      <c r="F3208" s="27" t="s">
        <v>12146</v>
      </c>
      <c r="G3208" s="27"/>
      <c r="H3208" s="16" t="str">
        <f>IF(ISBLANK(PARTIDAS!$G3208),PARTIDAS!$F3208,CONCATENATE(PARTIDAS!$F3208," (",PARTIDAS!$G3208,")"))</f>
        <v>Productos residuales de la industria química o de las industrias…, que contengan principalmente componentes orgánicos</v>
      </c>
      <c r="I3208" s="16" t="s">
        <v>9427</v>
      </c>
    </row>
    <row r="3209" spans="1:9" x14ac:dyDescent="0.25">
      <c r="A3209" s="16" t="s">
        <v>4139</v>
      </c>
      <c r="B3209" s="16" t="str">
        <f>TEXT(PARTIDA[[#This Row],[PARTIDA]],"0000000000")</f>
        <v>3825690000</v>
      </c>
      <c r="C3209" s="16" t="s">
        <v>815</v>
      </c>
      <c r="D3209" s="16" t="s">
        <v>835</v>
      </c>
      <c r="E3209" s="16" t="s">
        <v>9467</v>
      </c>
      <c r="F3209" s="27" t="s">
        <v>12147</v>
      </c>
      <c r="G3209" s="27"/>
      <c r="H3209" s="16" t="str">
        <f>IF(ISBLANK(PARTIDAS!$G3209),PARTIDAS!$F3209,CONCATENATE(PARTIDAS!$F3209," (",PARTIDAS!$G3209,")"))</f>
        <v>Productos residuales de la industria química o de las industrias… (los demás)</v>
      </c>
      <c r="I3209" s="16" t="s">
        <v>9427</v>
      </c>
    </row>
    <row r="3210" spans="1:9" x14ac:dyDescent="0.25">
      <c r="A3210" s="16" t="s">
        <v>4140</v>
      </c>
      <c r="B3210" s="16" t="str">
        <f>TEXT(PARTIDA[[#This Row],[PARTIDA]],"0000000000")</f>
        <v>3825900000</v>
      </c>
      <c r="C3210" s="16" t="s">
        <v>815</v>
      </c>
      <c r="D3210" s="16" t="s">
        <v>835</v>
      </c>
      <c r="E3210" s="16" t="s">
        <v>9467</v>
      </c>
      <c r="F3210" s="27" t="s">
        <v>12147</v>
      </c>
      <c r="G3210" s="27"/>
      <c r="H3210" s="16" t="str">
        <f>IF(ISBLANK(PARTIDAS!$G3210),PARTIDAS!$F3210,CONCATENATE(PARTIDAS!$F3210," (",PARTIDAS!$G3210,")"))</f>
        <v>Productos residuales de la industria química o de las industrias… (los demás)</v>
      </c>
      <c r="I3210" s="16" t="s">
        <v>9427</v>
      </c>
    </row>
    <row r="3211" spans="1:9" x14ac:dyDescent="0.25">
      <c r="A3211" s="16" t="s">
        <v>4141</v>
      </c>
      <c r="B3211" s="16" t="str">
        <f>TEXT(PARTIDA[[#This Row],[PARTIDA]],"0000000000")</f>
        <v>3826000000</v>
      </c>
      <c r="C3211" s="16" t="s">
        <v>815</v>
      </c>
      <c r="D3211" s="16" t="s">
        <v>835</v>
      </c>
      <c r="E3211" s="16" t="s">
        <v>9467</v>
      </c>
      <c r="F3211" s="27" t="s">
        <v>4142</v>
      </c>
      <c r="G3211" s="27"/>
      <c r="H3211" s="16" t="str">
        <f>IF(ISBLANK(PARTIDAS!$G3211),PARTIDAS!$F3211,CONCATENATE(PARTIDAS!$F3211," (",PARTIDAS!$G3211,")"))</f>
        <v>Biodiésel y sus mezclas, sin aceites de petróleo o
de mineral bituminoso o con un contenido inferior
al 70 % en peso.</v>
      </c>
      <c r="I3211" s="16" t="s">
        <v>9427</v>
      </c>
    </row>
    <row r="3212" spans="1:9" x14ac:dyDescent="0.25">
      <c r="A3212" s="16" t="s">
        <v>12148</v>
      </c>
      <c r="B3212" s="16" t="str">
        <f>TEXT(PARTIDA[[#This Row],[PARTIDA]],"0000000000")</f>
        <v>3827110010</v>
      </c>
      <c r="C3212" s="16" t="s">
        <v>815</v>
      </c>
      <c r="D3212" s="16" t="s">
        <v>835</v>
      </c>
      <c r="E3212" s="16" t="s">
        <v>9467</v>
      </c>
      <c r="F3212" s="27" t="s">
        <v>12149</v>
      </c>
      <c r="G3212" s="27"/>
      <c r="H3212" s="16" t="str">
        <f>IF(ISBLANK(PARTIDAS!$G3212),PARTIDAS!$F3212,CONCATENATE(PARTIDAS!$F3212," (",PARTIDAS!$G3212,")"))</f>
        <v>Mezclas que contengan derivados halogenados de metano…, que contengan clorofluorocarburos (CFC), incluso con…, que contengan clorofluorocarburos (CFC)</v>
      </c>
      <c r="I3212" s="16" t="s">
        <v>9427</v>
      </c>
    </row>
    <row r="3213" spans="1:9" x14ac:dyDescent="0.25">
      <c r="A3213" s="16" t="s">
        <v>12150</v>
      </c>
      <c r="B3213" s="16" t="str">
        <f>TEXT(PARTIDA[[#This Row],[PARTIDA]],"0000000000")</f>
        <v>3827110090</v>
      </c>
      <c r="C3213" s="16" t="s">
        <v>815</v>
      </c>
      <c r="D3213" s="16" t="s">
        <v>835</v>
      </c>
      <c r="E3213" s="16" t="s">
        <v>9467</v>
      </c>
      <c r="F3213" s="27" t="s">
        <v>12149</v>
      </c>
      <c r="G3213" s="27"/>
      <c r="H3213" s="16" t="str">
        <f>IF(ISBLANK(PARTIDAS!$G3213),PARTIDAS!$F3213,CONCATENATE(PARTIDAS!$F3213," (",PARTIDAS!$G3213,")"))</f>
        <v>Mezclas que contengan derivados halogenados de metano…, que contengan clorofluorocarburos (CFC), incluso con…, que contengan clorofluorocarburos (CFC)</v>
      </c>
      <c r="I3213" s="16" t="s">
        <v>9427</v>
      </c>
    </row>
    <row r="3214" spans="1:9" x14ac:dyDescent="0.25">
      <c r="A3214" s="16" t="s">
        <v>12151</v>
      </c>
      <c r="B3214" s="16" t="str">
        <f>TEXT(PARTIDA[[#This Row],[PARTIDA]],"0000000000")</f>
        <v>3827120000</v>
      </c>
      <c r="C3214" s="16" t="s">
        <v>815</v>
      </c>
      <c r="D3214" s="16" t="s">
        <v>835</v>
      </c>
      <c r="E3214" s="16" t="s">
        <v>9467</v>
      </c>
      <c r="F3214" s="27" t="s">
        <v>12152</v>
      </c>
      <c r="G3214" s="27"/>
      <c r="H3214" s="16" t="str">
        <f>IF(ISBLANK(PARTIDAS!$G3214),PARTIDAS!$F3214,CONCATENATE(PARTIDAS!$F3214," (",PARTIDAS!$G3214,")"))</f>
        <v xml:space="preserve">Mezclas que contengan derivados halogenados de metano…, que contengan clorofluorocarburos (CFC), incluso con…, que contengan hidrobromofluorocarburos </v>
      </c>
      <c r="I3214" s="16" t="s">
        <v>9427</v>
      </c>
    </row>
    <row r="3215" spans="1:9" x14ac:dyDescent="0.25">
      <c r="A3215" s="16" t="s">
        <v>12153</v>
      </c>
      <c r="B3215" s="16" t="str">
        <f>TEXT(PARTIDA[[#This Row],[PARTIDA]],"0000000000")</f>
        <v>3827130000</v>
      </c>
      <c r="C3215" s="16" t="s">
        <v>815</v>
      </c>
      <c r="D3215" s="16" t="s">
        <v>835</v>
      </c>
      <c r="E3215" s="16" t="s">
        <v>9467</v>
      </c>
      <c r="F3215" s="27" t="s">
        <v>12154</v>
      </c>
      <c r="G3215" s="27"/>
      <c r="H3215" s="16" t="str">
        <f>IF(ISBLANK(PARTIDAS!$G3215),PARTIDAS!$F3215,CONCATENATE(PARTIDAS!$F3215," (",PARTIDAS!$G3215,")"))</f>
        <v>Mezclas que contengan derivados halogenados de metano…, que contengan clorofluorocarburos (CFC), incluso con…, que contengan tetracloruro de carbono</v>
      </c>
      <c r="I3215" s="16" t="s">
        <v>9427</v>
      </c>
    </row>
    <row r="3216" spans="1:9" x14ac:dyDescent="0.25">
      <c r="A3216" s="16" t="s">
        <v>12155</v>
      </c>
      <c r="B3216" s="16" t="str">
        <f>TEXT(PARTIDA[[#This Row],[PARTIDA]],"0000000000")</f>
        <v>3827140000</v>
      </c>
      <c r="C3216" s="16" t="s">
        <v>815</v>
      </c>
      <c r="D3216" s="16" t="s">
        <v>835</v>
      </c>
      <c r="E3216" s="16" t="s">
        <v>9467</v>
      </c>
      <c r="F3216" s="27" t="s">
        <v>12156</v>
      </c>
      <c r="G3216" s="27"/>
      <c r="H3216" s="16" t="str">
        <f>IF(ISBLANK(PARTIDAS!$G3216),PARTIDAS!$F3216,CONCATENATE(PARTIDAS!$F3216," (",PARTIDAS!$G3216,")"))</f>
        <v>Mezclas que contengan derivados halogenados de metano…, que contengan clorofluorocarburos (CFC), incluso con…, que contengan 1,1,1-tricloroetano (meti</v>
      </c>
      <c r="I3216" s="16" t="s">
        <v>9427</v>
      </c>
    </row>
    <row r="3217" spans="1:9" x14ac:dyDescent="0.25">
      <c r="A3217" s="16" t="s">
        <v>12157</v>
      </c>
      <c r="B3217" s="16" t="str">
        <f>TEXT(PARTIDA[[#This Row],[PARTIDA]],"0000000000")</f>
        <v>3827200000</v>
      </c>
      <c r="C3217" s="16" t="s">
        <v>815</v>
      </c>
      <c r="D3217" s="16" t="s">
        <v>835</v>
      </c>
      <c r="E3217" s="16" t="s">
        <v>9467</v>
      </c>
      <c r="F3217" s="27" t="s">
        <v>12158</v>
      </c>
      <c r="G3217" s="27"/>
      <c r="H3217" s="16" t="str">
        <f>IF(ISBLANK(PARTIDAS!$G3217),PARTIDAS!$F3217,CONCATENATE(PARTIDAS!$F3217," (",PARTIDAS!$G3217,")"))</f>
        <v>Mezclas que contengan derivados halogenados de metano, etano o…, que contengan bromoclorodifluorometano (Halón-1211), bromotrifluorometano (Halón-1301</v>
      </c>
      <c r="I3217" s="16" t="s">
        <v>9427</v>
      </c>
    </row>
    <row r="3218" spans="1:9" x14ac:dyDescent="0.25">
      <c r="A3218" s="16" t="s">
        <v>12159</v>
      </c>
      <c r="B3218" s="16" t="str">
        <f>TEXT(PARTIDA[[#This Row],[PARTIDA]],"0000000000")</f>
        <v>3827310000</v>
      </c>
      <c r="C3218" s="16" t="s">
        <v>815</v>
      </c>
      <c r="D3218" s="16" t="s">
        <v>835</v>
      </c>
      <c r="E3218" s="16" t="s">
        <v>9467</v>
      </c>
      <c r="F3218" s="27" t="s">
        <v>12160</v>
      </c>
      <c r="G3218" s="27"/>
      <c r="H3218" s="16" t="str">
        <f>IF(ISBLANK(PARTIDAS!$G3218),PARTIDAS!$F3218,CONCATENATE(PARTIDAS!$F3218," (",PARTIDAS!$G3218,")"))</f>
        <v>Mezclas que contengan derivados halogenados de metano…, que contengan hidroclorofluorocarburos (HCFC), incluso con…, que contengan sustancias de las s</v>
      </c>
      <c r="I3218" s="16" t="s">
        <v>9427</v>
      </c>
    </row>
    <row r="3219" spans="1:9" x14ac:dyDescent="0.25">
      <c r="A3219" s="16" t="s">
        <v>12161</v>
      </c>
      <c r="B3219" s="16" t="str">
        <f>TEXT(PARTIDA[[#This Row],[PARTIDA]],"0000000000")</f>
        <v>3827320000</v>
      </c>
      <c r="C3219" s="16" t="s">
        <v>815</v>
      </c>
      <c r="D3219" s="16" t="s">
        <v>835</v>
      </c>
      <c r="E3219" s="16" t="s">
        <v>9467</v>
      </c>
      <c r="F3219" s="27" t="s">
        <v>12162</v>
      </c>
      <c r="G3219" s="27"/>
      <c r="H3219" s="16" t="str">
        <f>IF(ISBLANK(PARTIDAS!$G3219),PARTIDAS!$F3219,CONCATENATE(PARTIDAS!$F3219," (",PARTIDAS!$G3219,")"))</f>
        <v>Mezclas que contengan derivados halogenados de metano…, que contengan hidroclorofluorocarburos (HCFC), incluso con… (los demás, que contengan sustanci</v>
      </c>
      <c r="I3219" s="16" t="s">
        <v>9427</v>
      </c>
    </row>
    <row r="3220" spans="1:9" x14ac:dyDescent="0.25">
      <c r="A3220" s="16" t="s">
        <v>12163</v>
      </c>
      <c r="B3220" s="16" t="str">
        <f>TEXT(PARTIDA[[#This Row],[PARTIDA]],"0000000000")</f>
        <v>3827390000</v>
      </c>
      <c r="C3220" s="16" t="s">
        <v>815</v>
      </c>
      <c r="D3220" s="16" t="s">
        <v>835</v>
      </c>
      <c r="E3220" s="16" t="s">
        <v>9467</v>
      </c>
      <c r="F3220" s="27" t="s">
        <v>12164</v>
      </c>
      <c r="G3220" s="27"/>
      <c r="H3220" s="16" t="str">
        <f>IF(ISBLANK(PARTIDAS!$G3220),PARTIDAS!$F3220,CONCATENATE(PARTIDAS!$F3220," (",PARTIDAS!$G3220,")"))</f>
        <v>Mezclas que contengan derivados halogenados de metano…, que contengan hidroclorofluorocarburos (HCFC), incluso con… (los demás)</v>
      </c>
      <c r="I3220" s="16" t="s">
        <v>9427</v>
      </c>
    </row>
    <row r="3221" spans="1:9" x14ac:dyDescent="0.25">
      <c r="A3221" s="16" t="s">
        <v>12165</v>
      </c>
      <c r="B3221" s="16" t="str">
        <f>TEXT(PARTIDA[[#This Row],[PARTIDA]],"0000000000")</f>
        <v>3827400000</v>
      </c>
      <c r="C3221" s="16" t="s">
        <v>815</v>
      </c>
      <c r="D3221" s="16" t="s">
        <v>835</v>
      </c>
      <c r="E3221" s="16" t="s">
        <v>9467</v>
      </c>
      <c r="F3221" s="27" t="s">
        <v>12166</v>
      </c>
      <c r="G3221" s="27"/>
      <c r="H3221" s="16" t="str">
        <f>IF(ISBLANK(PARTIDAS!$G3221),PARTIDAS!$F3221,CONCATENATE(PARTIDAS!$F3221," (",PARTIDAS!$G3221,")"))</f>
        <v>Mezclas que contengan derivados halogenados de metano, etano o…, que contengan bromuro de metilo (bromometano) o bromoclorometano</v>
      </c>
      <c r="I3221" s="16" t="s">
        <v>9427</v>
      </c>
    </row>
    <row r="3222" spans="1:9" x14ac:dyDescent="0.25">
      <c r="A3222" s="16" t="s">
        <v>12167</v>
      </c>
      <c r="B3222" s="16" t="str">
        <f>TEXT(PARTIDA[[#This Row],[PARTIDA]],"0000000000")</f>
        <v>3827510000</v>
      </c>
      <c r="C3222" s="16" t="s">
        <v>815</v>
      </c>
      <c r="D3222" s="16" t="s">
        <v>835</v>
      </c>
      <c r="E3222" s="16" t="s">
        <v>9467</v>
      </c>
      <c r="F3222" s="27" t="s">
        <v>12168</v>
      </c>
      <c r="G3222" s="27"/>
      <c r="H3222" s="16" t="str">
        <f>IF(ISBLANK(PARTIDAS!$G3222),PARTIDAS!$F3222,CONCATENATE(PARTIDAS!$F3222," (",PARTIDAS!$G3222,")"))</f>
        <v>Mezclas que contengan derivados halogenados de metano…, que contengan trifluorometano (HFC-23) o perfluorocarburos (PFC)…, que contengan trifluorometa</v>
      </c>
      <c r="I3222" s="16" t="s">
        <v>9427</v>
      </c>
    </row>
    <row r="3223" spans="1:9" x14ac:dyDescent="0.25">
      <c r="A3223" s="16" t="s">
        <v>12169</v>
      </c>
      <c r="B3223" s="16" t="str">
        <f>TEXT(PARTIDA[[#This Row],[PARTIDA]],"0000000000")</f>
        <v>3827590000</v>
      </c>
      <c r="C3223" s="16" t="s">
        <v>815</v>
      </c>
      <c r="D3223" s="16" t="s">
        <v>835</v>
      </c>
      <c r="E3223" s="16" t="s">
        <v>9467</v>
      </c>
      <c r="F3223" s="27" t="s">
        <v>12170</v>
      </c>
      <c r="G3223" s="27"/>
      <c r="H3223" s="16" t="str">
        <f>IF(ISBLANK(PARTIDAS!$G3223),PARTIDAS!$F3223,CONCATENATE(PARTIDAS!$F3223," (",PARTIDAS!$G3223,")"))</f>
        <v>Mezclas que contengan derivados halogenados de metano…, que contengan trifluorometano (HFC-23) o perfluorocarburos (PFC)… (los demás)</v>
      </c>
      <c r="I3223" s="16" t="s">
        <v>9427</v>
      </c>
    </row>
    <row r="3224" spans="1:9" x14ac:dyDescent="0.25">
      <c r="A3224" s="16" t="s">
        <v>12171</v>
      </c>
      <c r="B3224" s="16" t="str">
        <f>TEXT(PARTIDA[[#This Row],[PARTIDA]],"0000000000")</f>
        <v>3827610000</v>
      </c>
      <c r="C3224" s="16" t="s">
        <v>815</v>
      </c>
      <c r="D3224" s="16" t="s">
        <v>835</v>
      </c>
      <c r="E3224" s="16" t="s">
        <v>9467</v>
      </c>
      <c r="F3224" s="27" t="s">
        <v>12172</v>
      </c>
      <c r="G3224" s="27"/>
      <c r="H3224" s="16" t="str">
        <f>IF(ISBLANK(PARTIDAS!$G3224),PARTIDAS!$F3224,CONCATENATE(PARTIDAS!$F3224," (",PARTIDAS!$G3224,")"))</f>
        <v>Mezclas que contengan derivados halogenados de metano…, que contengan los demás hidrofluorocarburos (HFC), pero que no…, con un contenido de 1,1,1-tri</v>
      </c>
      <c r="I3224" s="16" t="s">
        <v>9427</v>
      </c>
    </row>
    <row r="3225" spans="1:9" x14ac:dyDescent="0.25">
      <c r="A3225" s="16" t="s">
        <v>12173</v>
      </c>
      <c r="B3225" s="16" t="str">
        <f>TEXT(PARTIDA[[#This Row],[PARTIDA]],"0000000000")</f>
        <v>3827620000</v>
      </c>
      <c r="C3225" s="16" t="s">
        <v>815</v>
      </c>
      <c r="D3225" s="16" t="s">
        <v>835</v>
      </c>
      <c r="E3225" s="16" t="s">
        <v>9467</v>
      </c>
      <c r="F3225" s="27" t="s">
        <v>12174</v>
      </c>
      <c r="G3225" s="27"/>
      <c r="H3225" s="16" t="str">
        <f>IF(ISBLANK(PARTIDAS!$G3225),PARTIDAS!$F3225,CONCATENATE(PARTIDAS!$F3225," (",PARTIDAS!$G3225,")"))</f>
        <v>Mezclas que contengan derivados halogenados de metano…, que contengan los demás hidrofluorocarburos (HFC), pero que no… (los demás, no comprendidas en</v>
      </c>
      <c r="I3225" s="16" t="s">
        <v>9427</v>
      </c>
    </row>
    <row r="3226" spans="1:9" x14ac:dyDescent="0.25">
      <c r="A3226" s="16" t="s">
        <v>12175</v>
      </c>
      <c r="B3226" s="16" t="str">
        <f>TEXT(PARTIDA[[#This Row],[PARTIDA]],"0000000000")</f>
        <v>3827630000</v>
      </c>
      <c r="C3226" s="16" t="s">
        <v>815</v>
      </c>
      <c r="D3226" s="16" t="s">
        <v>835</v>
      </c>
      <c r="E3226" s="16" t="s">
        <v>9467</v>
      </c>
      <c r="F3226" s="27" t="s">
        <v>12174</v>
      </c>
      <c r="G3226" s="27"/>
      <c r="H3226" s="16" t="str">
        <f>IF(ISBLANK(PARTIDAS!$G3226),PARTIDAS!$F3226,CONCATENATE(PARTIDAS!$F3226," (",PARTIDAS!$G3226,")"))</f>
        <v>Mezclas que contengan derivados halogenados de metano…, que contengan los demás hidrofluorocarburos (HFC), pero que no… (los demás, no comprendidas en</v>
      </c>
      <c r="I3226" s="16" t="s">
        <v>9427</v>
      </c>
    </row>
    <row r="3227" spans="1:9" x14ac:dyDescent="0.25">
      <c r="A3227" s="16" t="s">
        <v>12176</v>
      </c>
      <c r="B3227" s="16" t="str">
        <f>TEXT(PARTIDA[[#This Row],[PARTIDA]],"0000000000")</f>
        <v>3827640000</v>
      </c>
      <c r="C3227" s="16" t="s">
        <v>815</v>
      </c>
      <c r="D3227" s="16" t="s">
        <v>835</v>
      </c>
      <c r="E3227" s="16" t="s">
        <v>9467</v>
      </c>
      <c r="F3227" s="27" t="s">
        <v>12174</v>
      </c>
      <c r="G3227" s="27"/>
      <c r="H3227" s="16" t="str">
        <f>IF(ISBLANK(PARTIDAS!$G3227),PARTIDAS!$F3227,CONCATENATE(PARTIDAS!$F3227," (",PARTIDAS!$G3227,")"))</f>
        <v>Mezclas que contengan derivados halogenados de metano…, que contengan los demás hidrofluorocarburos (HFC), pero que no… (los demás, no comprendidas en</v>
      </c>
      <c r="I3227" s="16" t="s">
        <v>9427</v>
      </c>
    </row>
    <row r="3228" spans="1:9" x14ac:dyDescent="0.25">
      <c r="A3228" s="16" t="s">
        <v>12177</v>
      </c>
      <c r="B3228" s="16" t="str">
        <f>TEXT(PARTIDA[[#This Row],[PARTIDA]],"0000000000")</f>
        <v>3827650000</v>
      </c>
      <c r="C3228" s="16" t="s">
        <v>815</v>
      </c>
      <c r="D3228" s="16" t="s">
        <v>835</v>
      </c>
      <c r="E3228" s="16" t="s">
        <v>9467</v>
      </c>
      <c r="F3228" s="27" t="s">
        <v>12174</v>
      </c>
      <c r="G3228" s="27"/>
      <c r="H3228" s="16" t="str">
        <f>IF(ISBLANK(PARTIDAS!$G3228),PARTIDAS!$F3228,CONCATENATE(PARTIDAS!$F3228," (",PARTIDAS!$G3228,")"))</f>
        <v>Mezclas que contengan derivados halogenados de metano…, que contengan los demás hidrofluorocarburos (HFC), pero que no… (los demás, no comprendidas en</v>
      </c>
      <c r="I3228" s="16" t="s">
        <v>9427</v>
      </c>
    </row>
    <row r="3229" spans="1:9" x14ac:dyDescent="0.25">
      <c r="A3229" s="16" t="s">
        <v>12178</v>
      </c>
      <c r="B3229" s="16" t="str">
        <f>TEXT(PARTIDA[[#This Row],[PARTIDA]],"0000000000")</f>
        <v>3827680000</v>
      </c>
      <c r="C3229" s="16" t="s">
        <v>815</v>
      </c>
      <c r="D3229" s="16" t="s">
        <v>835</v>
      </c>
      <c r="E3229" s="16" t="s">
        <v>9467</v>
      </c>
      <c r="F3229" s="27" t="s">
        <v>12174</v>
      </c>
      <c r="G3229" s="27"/>
      <c r="H3229" s="16" t="str">
        <f>IF(ISBLANK(PARTIDAS!$G3229),PARTIDAS!$F3229,CONCATENATE(PARTIDAS!$F3229," (",PARTIDAS!$G3229,")"))</f>
        <v>Mezclas que contengan derivados halogenados de metano…, que contengan los demás hidrofluorocarburos (HFC), pero que no… (los demás, no comprendidas en</v>
      </c>
      <c r="I3229" s="16" t="s">
        <v>9427</v>
      </c>
    </row>
    <row r="3230" spans="1:9" x14ac:dyDescent="0.25">
      <c r="A3230" s="16" t="s">
        <v>12179</v>
      </c>
      <c r="B3230" s="16" t="str">
        <f>TEXT(PARTIDA[[#This Row],[PARTIDA]],"0000000000")</f>
        <v>3827690000</v>
      </c>
      <c r="C3230" s="16" t="s">
        <v>815</v>
      </c>
      <c r="D3230" s="16" t="s">
        <v>835</v>
      </c>
      <c r="E3230" s="16" t="s">
        <v>9467</v>
      </c>
      <c r="F3230" s="27" t="s">
        <v>12180</v>
      </c>
      <c r="G3230" s="27"/>
      <c r="H3230" s="16" t="str">
        <f>IF(ISBLANK(PARTIDAS!$G3230),PARTIDAS!$F3230,CONCATENATE(PARTIDAS!$F3230," (",PARTIDAS!$G3230,")"))</f>
        <v>Mezclas que contengan derivados halogenados de metano…, que contengan los demás hidrofluorocarburos (HFC), pero que no… (los demás)</v>
      </c>
      <c r="I3230" s="16" t="s">
        <v>9427</v>
      </c>
    </row>
    <row r="3231" spans="1:9" x14ac:dyDescent="0.25">
      <c r="A3231" s="16" t="s">
        <v>12181</v>
      </c>
      <c r="B3231" s="16" t="str">
        <f>TEXT(PARTIDA[[#This Row],[PARTIDA]],"0000000000")</f>
        <v>3827900010</v>
      </c>
      <c r="C3231" s="16" t="s">
        <v>815</v>
      </c>
      <c r="D3231" s="16" t="s">
        <v>835</v>
      </c>
      <c r="E3231" s="16" t="s">
        <v>9467</v>
      </c>
      <c r="F3231" s="27" t="s">
        <v>12182</v>
      </c>
      <c r="G3231" s="27"/>
      <c r="H3231" s="16" t="str">
        <f>IF(ISBLANK(PARTIDAS!$G3231),PARTIDAS!$F3231,CONCATENATE(PARTIDAS!$F3231," (",PARTIDAS!$G3231,")"))</f>
        <v>Mezclas que contengan derivados halogenados de metano, etano o…, que contengan hidrocarburos acíclicos perhalogenados únicamente con flúor y cloro</v>
      </c>
      <c r="I3231" s="16" t="s">
        <v>9427</v>
      </c>
    </row>
    <row r="3232" spans="1:9" x14ac:dyDescent="0.25">
      <c r="A3232" s="16" t="s">
        <v>12183</v>
      </c>
      <c r="B3232" s="16" t="str">
        <f>TEXT(PARTIDA[[#This Row],[PARTIDA]],"0000000000")</f>
        <v>3827900020</v>
      </c>
      <c r="C3232" s="16" t="s">
        <v>815</v>
      </c>
      <c r="D3232" s="16" t="s">
        <v>835</v>
      </c>
      <c r="E3232" s="16" t="s">
        <v>9467</v>
      </c>
      <c r="F3232" s="27" t="s">
        <v>12184</v>
      </c>
      <c r="G3232" s="27"/>
      <c r="H3232" s="16" t="str">
        <f>IF(ISBLANK(PARTIDAS!$G3232),PARTIDAS!$F3232,CONCATENATE(PARTIDAS!$F3232," (",PARTIDAS!$G3232,")"))</f>
        <v xml:space="preserve">Mezclas que contengan derivados halogenados de metano, etano o… (los demás, que contengan derivados perhalogenados de hidrocarburos acíclicos con dos </v>
      </c>
      <c r="I3232" s="16" t="s">
        <v>9427</v>
      </c>
    </row>
    <row r="3233" spans="1:9" x14ac:dyDescent="0.25">
      <c r="A3233" s="16" t="s">
        <v>12185</v>
      </c>
      <c r="B3233" s="16" t="str">
        <f>TEXT(PARTIDA[[#This Row],[PARTIDA]],"0000000000")</f>
        <v>3827900090</v>
      </c>
      <c r="C3233" s="16" t="s">
        <v>815</v>
      </c>
      <c r="D3233" s="16" t="s">
        <v>835</v>
      </c>
      <c r="E3233" s="16" t="s">
        <v>9467</v>
      </c>
      <c r="F3233" s="27" t="s">
        <v>12186</v>
      </c>
      <c r="G3233" s="27"/>
      <c r="H3233" s="16" t="str">
        <f>IF(ISBLANK(PARTIDAS!$G3233),PARTIDAS!$F3233,CONCATENATE(PARTIDAS!$F3233," (",PARTIDAS!$G3233,")"))</f>
        <v>Mezclas que contengan derivados halogenados de metano, etano o… (los demás, sección VII)</v>
      </c>
      <c r="I3233" s="16" t="s">
        <v>9427</v>
      </c>
    </row>
    <row r="3234" spans="1:9" x14ac:dyDescent="0.25">
      <c r="A3234" s="16" t="s">
        <v>4143</v>
      </c>
      <c r="B3234" s="16" t="str">
        <f>TEXT(PARTIDA[[#This Row],[PARTIDA]],"0000000000")</f>
        <v>3901100000</v>
      </c>
      <c r="C3234" s="16" t="s">
        <v>815</v>
      </c>
      <c r="D3234" s="16" t="s">
        <v>835</v>
      </c>
      <c r="E3234" s="16" t="s">
        <v>9467</v>
      </c>
      <c r="F3234" s="27" t="s">
        <v>12187</v>
      </c>
      <c r="G3234" s="27"/>
      <c r="H3234" s="16" t="str">
        <f>IF(ISBLANK(PARTIDAS!$G3234),PARTIDAS!$F3234,CONCATENATE(PARTIDAS!$F3234," (",PARTIDAS!$G3234,")"))</f>
        <v>Polietileno de densidad inferior a 0,94</v>
      </c>
      <c r="I3234" s="16" t="s">
        <v>9427</v>
      </c>
    </row>
    <row r="3235" spans="1:9" x14ac:dyDescent="0.25">
      <c r="A3235" s="16" t="s">
        <v>4144</v>
      </c>
      <c r="B3235" s="16" t="str">
        <f>TEXT(PARTIDA[[#This Row],[PARTIDA]],"0000000000")</f>
        <v>3901200000</v>
      </c>
      <c r="C3235" s="16" t="s">
        <v>815</v>
      </c>
      <c r="D3235" s="16" t="s">
        <v>835</v>
      </c>
      <c r="E3235" s="16" t="s">
        <v>9467</v>
      </c>
      <c r="F3235" s="27" t="s">
        <v>12188</v>
      </c>
      <c r="G3235" s="27"/>
      <c r="H3235" s="16" t="str">
        <f>IF(ISBLANK(PARTIDAS!$G3235),PARTIDAS!$F3235,CONCATENATE(PARTIDAS!$F3235," (",PARTIDAS!$G3235,")"))</f>
        <v>Polietileno de densidad superior o igual a 0,94</v>
      </c>
      <c r="I3235" s="16" t="s">
        <v>9427</v>
      </c>
    </row>
    <row r="3236" spans="1:9" x14ac:dyDescent="0.25">
      <c r="A3236" s="16" t="s">
        <v>4145</v>
      </c>
      <c r="B3236" s="16" t="str">
        <f>TEXT(PARTIDA[[#This Row],[PARTIDA]],"0000000000")</f>
        <v>3901300000</v>
      </c>
      <c r="C3236" s="16" t="s">
        <v>815</v>
      </c>
      <c r="D3236" s="16" t="s">
        <v>835</v>
      </c>
      <c r="E3236" s="16" t="s">
        <v>9467</v>
      </c>
      <c r="F3236" s="27" t="s">
        <v>12189</v>
      </c>
      <c r="G3236" s="27"/>
      <c r="H3236" s="16" t="str">
        <f>IF(ISBLANK(PARTIDAS!$G3236),PARTIDAS!$F3236,CONCATENATE(PARTIDAS!$F3236," (",PARTIDAS!$G3236,")"))</f>
        <v>Copolímeros de etileno y acetato de vinilo</v>
      </c>
      <c r="I3236" s="16" t="s">
        <v>9427</v>
      </c>
    </row>
    <row r="3237" spans="1:9" x14ac:dyDescent="0.25">
      <c r="A3237" s="16" t="s">
        <v>4146</v>
      </c>
      <c r="B3237" s="16" t="str">
        <f>TEXT(PARTIDA[[#This Row],[PARTIDA]],"0000000000")</f>
        <v>3901400000</v>
      </c>
      <c r="C3237" s="16" t="s">
        <v>815</v>
      </c>
      <c r="D3237" s="16" t="s">
        <v>835</v>
      </c>
      <c r="E3237" s="16" t="s">
        <v>9467</v>
      </c>
      <c r="F3237" s="27" t="s">
        <v>12190</v>
      </c>
      <c r="G3237" s="27"/>
      <c r="H3237" s="16" t="str">
        <f>IF(ISBLANK(PARTIDAS!$G3237),PARTIDAS!$F3237,CONCATENATE(PARTIDAS!$F3237," (",PARTIDAS!$G3237,")"))</f>
        <v>Copolímeros de etileno y alfa-olefina de densidad inferior a 0,94</v>
      </c>
      <c r="I3237" s="16" t="s">
        <v>9427</v>
      </c>
    </row>
    <row r="3238" spans="1:9" x14ac:dyDescent="0.25">
      <c r="A3238" s="16" t="s">
        <v>4147</v>
      </c>
      <c r="B3238" s="16" t="str">
        <f>TEXT(PARTIDA[[#This Row],[PARTIDA]],"0000000000")</f>
        <v>3901901000</v>
      </c>
      <c r="C3238" s="16" t="s">
        <v>815</v>
      </c>
      <c r="D3238" s="16" t="s">
        <v>835</v>
      </c>
      <c r="E3238" s="16" t="s">
        <v>9467</v>
      </c>
      <c r="F3238" s="27" t="s">
        <v>12191</v>
      </c>
      <c r="G3238" s="27"/>
      <c r="H3238" s="16" t="str">
        <f>IF(ISBLANK(PARTIDAS!$G3238),PARTIDAS!$F3238,CONCATENATE(PARTIDAS!$F3238," (",PARTIDAS!$G3238,")"))</f>
        <v>Copolímeros de etileno con otras olefinas</v>
      </c>
      <c r="I3238" s="16" t="s">
        <v>9427</v>
      </c>
    </row>
    <row r="3239" spans="1:9" x14ac:dyDescent="0.25">
      <c r="A3239" s="16" t="s">
        <v>4148</v>
      </c>
      <c r="B3239" s="16" t="str">
        <f>TEXT(PARTIDA[[#This Row],[PARTIDA]],"0000000000")</f>
        <v>3901909000</v>
      </c>
      <c r="C3239" s="16" t="s">
        <v>815</v>
      </c>
      <c r="D3239" s="16" t="s">
        <v>835</v>
      </c>
      <c r="E3239" s="16" t="s">
        <v>9467</v>
      </c>
      <c r="F3239" s="27" t="s">
        <v>12192</v>
      </c>
      <c r="G3239" s="27"/>
      <c r="H3239" s="16" t="str">
        <f>IF(ISBLANK(PARTIDAS!$G3239),PARTIDAS!$F3239,CONCATENATE(PARTIDAS!$F3239," (",PARTIDAS!$G3239,")"))</f>
        <v>Polímeros de etileno en formas primarias (los demás)</v>
      </c>
      <c r="I3239" s="16" t="s">
        <v>9427</v>
      </c>
    </row>
    <row r="3240" spans="1:9" x14ac:dyDescent="0.25">
      <c r="A3240" s="16" t="s">
        <v>4149</v>
      </c>
      <c r="B3240" s="16" t="str">
        <f>TEXT(PARTIDA[[#This Row],[PARTIDA]],"0000000000")</f>
        <v>3902100000</v>
      </c>
      <c r="C3240" s="16" t="s">
        <v>815</v>
      </c>
      <c r="D3240" s="16" t="s">
        <v>835</v>
      </c>
      <c r="E3240" s="16" t="s">
        <v>9467</v>
      </c>
      <c r="F3240" s="27" t="s">
        <v>12193</v>
      </c>
      <c r="G3240" s="27"/>
      <c r="H3240" s="16" t="str">
        <f>IF(ISBLANK(PARTIDAS!$G3240),PARTIDAS!$F3240,CONCATENATE(PARTIDAS!$F3240," (",PARTIDAS!$G3240,")"))</f>
        <v>Polipropileno</v>
      </c>
      <c r="I3240" s="16" t="s">
        <v>9427</v>
      </c>
    </row>
    <row r="3241" spans="1:9" x14ac:dyDescent="0.25">
      <c r="A3241" s="16" t="s">
        <v>4150</v>
      </c>
      <c r="B3241" s="16" t="str">
        <f>TEXT(PARTIDA[[#This Row],[PARTIDA]],"0000000000")</f>
        <v>3902200000</v>
      </c>
      <c r="C3241" s="16" t="s">
        <v>815</v>
      </c>
      <c r="D3241" s="16" t="s">
        <v>835</v>
      </c>
      <c r="E3241" s="16" t="s">
        <v>9467</v>
      </c>
      <c r="F3241" s="27" t="s">
        <v>12194</v>
      </c>
      <c r="G3241" s="27"/>
      <c r="H3241" s="16" t="str">
        <f>IF(ISBLANK(PARTIDAS!$G3241),PARTIDAS!$F3241,CONCATENATE(PARTIDAS!$F3241," (",PARTIDAS!$G3241,")"))</f>
        <v>Poliisobutileno</v>
      </c>
      <c r="I3241" s="16" t="s">
        <v>9427</v>
      </c>
    </row>
    <row r="3242" spans="1:9" x14ac:dyDescent="0.25">
      <c r="A3242" s="16" t="s">
        <v>4151</v>
      </c>
      <c r="B3242" s="16" t="str">
        <f>TEXT(PARTIDA[[#This Row],[PARTIDA]],"0000000000")</f>
        <v>3902300000</v>
      </c>
      <c r="C3242" s="16" t="s">
        <v>815</v>
      </c>
      <c r="D3242" s="16" t="s">
        <v>835</v>
      </c>
      <c r="E3242" s="16" t="s">
        <v>9467</v>
      </c>
      <c r="F3242" s="27" t="s">
        <v>12195</v>
      </c>
      <c r="G3242" s="27"/>
      <c r="H3242" s="16" t="str">
        <f>IF(ISBLANK(PARTIDAS!$G3242),PARTIDAS!$F3242,CONCATENATE(PARTIDAS!$F3242," (",PARTIDAS!$G3242,")"))</f>
        <v>Copolímeros de propileno</v>
      </c>
      <c r="I3242" s="16" t="s">
        <v>9427</v>
      </c>
    </row>
    <row r="3243" spans="1:9" x14ac:dyDescent="0.25">
      <c r="A3243" s="16" t="s">
        <v>4152</v>
      </c>
      <c r="B3243" s="16" t="str">
        <f>TEXT(PARTIDA[[#This Row],[PARTIDA]],"0000000000")</f>
        <v>3902900000</v>
      </c>
      <c r="C3243" s="16" t="s">
        <v>815</v>
      </c>
      <c r="D3243" s="16" t="s">
        <v>835</v>
      </c>
      <c r="E3243" s="16" t="s">
        <v>9467</v>
      </c>
      <c r="F3243" s="27" t="s">
        <v>12196</v>
      </c>
      <c r="G3243" s="27"/>
      <c r="H3243" s="16" t="str">
        <f>IF(ISBLANK(PARTIDAS!$G3243),PARTIDAS!$F3243,CONCATENATE(PARTIDAS!$F3243," (",PARTIDAS!$G3243,")"))</f>
        <v>Polímeros de propileno o de otras olefinas, en formas primarias (los demás)</v>
      </c>
      <c r="I3243" s="16" t="s">
        <v>9427</v>
      </c>
    </row>
    <row r="3244" spans="1:9" x14ac:dyDescent="0.25">
      <c r="A3244" s="16" t="s">
        <v>4153</v>
      </c>
      <c r="B3244" s="16" t="str">
        <f>TEXT(PARTIDA[[#This Row],[PARTIDA]],"0000000000")</f>
        <v>3903110000</v>
      </c>
      <c r="C3244" s="16" t="s">
        <v>815</v>
      </c>
      <c r="D3244" s="16" t="s">
        <v>835</v>
      </c>
      <c r="E3244" s="16" t="s">
        <v>9467</v>
      </c>
      <c r="F3244" s="27" t="s">
        <v>12197</v>
      </c>
      <c r="G3244" s="27"/>
      <c r="H3244" s="16" t="str">
        <f>IF(ISBLANK(PARTIDAS!$G3244),PARTIDAS!$F3244,CONCATENATE(PARTIDAS!$F3244," (",PARTIDAS!$G3244,")"))</f>
        <v>Poliestireno, expandible</v>
      </c>
      <c r="I3244" s="16" t="s">
        <v>9427</v>
      </c>
    </row>
    <row r="3245" spans="1:9" x14ac:dyDescent="0.25">
      <c r="A3245" s="16" t="s">
        <v>4154</v>
      </c>
      <c r="B3245" s="16" t="str">
        <f>TEXT(PARTIDA[[#This Row],[PARTIDA]],"0000000000")</f>
        <v>3903190000</v>
      </c>
      <c r="C3245" s="16" t="s">
        <v>815</v>
      </c>
      <c r="D3245" s="16" t="s">
        <v>835</v>
      </c>
      <c r="E3245" s="16" t="s">
        <v>9467</v>
      </c>
      <c r="F3245" s="27" t="s">
        <v>12198</v>
      </c>
      <c r="G3245" s="27"/>
      <c r="H3245" s="16" t="str">
        <f>IF(ISBLANK(PARTIDAS!$G3245),PARTIDAS!$F3245,CONCATENATE(PARTIDAS!$F3245," (",PARTIDAS!$G3245,")"))</f>
        <v>Poliestireno (los demás)</v>
      </c>
      <c r="I3245" s="16" t="s">
        <v>9427</v>
      </c>
    </row>
    <row r="3246" spans="1:9" x14ac:dyDescent="0.25">
      <c r="A3246" s="16" t="s">
        <v>4155</v>
      </c>
      <c r="B3246" s="16" t="str">
        <f>TEXT(PARTIDA[[#This Row],[PARTIDA]],"0000000000")</f>
        <v>3903200000</v>
      </c>
      <c r="C3246" s="16" t="s">
        <v>815</v>
      </c>
      <c r="D3246" s="16" t="s">
        <v>835</v>
      </c>
      <c r="E3246" s="16" t="s">
        <v>9467</v>
      </c>
      <c r="F3246" s="27" t="s">
        <v>12199</v>
      </c>
      <c r="G3246" s="27"/>
      <c r="H3246" s="16" t="str">
        <f>IF(ISBLANK(PARTIDAS!$G3246),PARTIDAS!$F3246,CONCATENATE(PARTIDAS!$F3246," (",PARTIDAS!$G3246,")"))</f>
        <v>Copolímeros de estireno-acrilonitrilo (SAN)</v>
      </c>
      <c r="I3246" s="16" t="s">
        <v>9427</v>
      </c>
    </row>
    <row r="3247" spans="1:9" x14ac:dyDescent="0.25">
      <c r="A3247" s="16" t="s">
        <v>4156</v>
      </c>
      <c r="B3247" s="16" t="str">
        <f>TEXT(PARTIDA[[#This Row],[PARTIDA]],"0000000000")</f>
        <v>3903300000</v>
      </c>
      <c r="C3247" s="16" t="s">
        <v>815</v>
      </c>
      <c r="D3247" s="16" t="s">
        <v>835</v>
      </c>
      <c r="E3247" s="16" t="s">
        <v>9467</v>
      </c>
      <c r="F3247" s="27" t="s">
        <v>12200</v>
      </c>
      <c r="G3247" s="27"/>
      <c r="H3247" s="16" t="str">
        <f>IF(ISBLANK(PARTIDAS!$G3247),PARTIDAS!$F3247,CONCATENATE(PARTIDAS!$F3247," (",PARTIDAS!$G3247,")"))</f>
        <v>Copolímeros de acrilonitrilo-butadieno-estireno (ABS)</v>
      </c>
      <c r="I3247" s="16" t="s">
        <v>9427</v>
      </c>
    </row>
    <row r="3248" spans="1:9" x14ac:dyDescent="0.25">
      <c r="A3248" s="16" t="s">
        <v>4157</v>
      </c>
      <c r="B3248" s="16" t="str">
        <f>TEXT(PARTIDA[[#This Row],[PARTIDA]],"0000000000")</f>
        <v>3903900000</v>
      </c>
      <c r="C3248" s="16" t="s">
        <v>815</v>
      </c>
      <c r="D3248" s="16" t="s">
        <v>835</v>
      </c>
      <c r="E3248" s="16" t="s">
        <v>9467</v>
      </c>
      <c r="F3248" s="27" t="s">
        <v>4158</v>
      </c>
      <c r="G3248" s="27"/>
      <c r="H3248" s="16" t="str">
        <f>IF(ISBLANK(PARTIDAS!$G3248),PARTIDAS!$F3248,CONCATENATE(PARTIDAS!$F3248," (",PARTIDAS!$G3248,")"))</f>
        <v>Plástico y sus manufacturas</v>
      </c>
      <c r="I3248" s="16" t="s">
        <v>9427</v>
      </c>
    </row>
    <row r="3249" spans="1:9" x14ac:dyDescent="0.25">
      <c r="A3249" s="16" t="s">
        <v>4159</v>
      </c>
      <c r="B3249" s="16" t="str">
        <f>TEXT(PARTIDA[[#This Row],[PARTIDA]],"0000000000")</f>
        <v>3904101000</v>
      </c>
      <c r="C3249" s="16" t="s">
        <v>815</v>
      </c>
      <c r="D3249" s="16" t="s">
        <v>835</v>
      </c>
      <c r="E3249" s="16" t="s">
        <v>9467</v>
      </c>
      <c r="F3249" s="27" t="s">
        <v>12201</v>
      </c>
      <c r="G3249" s="27"/>
      <c r="H3249" s="16" t="str">
        <f>IF(ISBLANK(PARTIDAS!$G3249),PARTIDAS!$F3249,CONCATENATE(PARTIDAS!$F3249," (",PARTIDAS!$G3249,")"))</f>
        <v>Obtenido por polimerización en emulsión</v>
      </c>
      <c r="I3249" s="16" t="s">
        <v>9427</v>
      </c>
    </row>
    <row r="3250" spans="1:9" x14ac:dyDescent="0.25">
      <c r="A3250" s="16" t="s">
        <v>4160</v>
      </c>
      <c r="B3250" s="16" t="str">
        <f>TEXT(PARTIDA[[#This Row],[PARTIDA]],"0000000000")</f>
        <v>3904102000</v>
      </c>
      <c r="C3250" s="16" t="s">
        <v>815</v>
      </c>
      <c r="D3250" s="16" t="s">
        <v>835</v>
      </c>
      <c r="E3250" s="16" t="s">
        <v>9467</v>
      </c>
      <c r="F3250" s="27" t="s">
        <v>12202</v>
      </c>
      <c r="G3250" s="27"/>
      <c r="H3250" s="16" t="str">
        <f>IF(ISBLANK(PARTIDAS!$G3250),PARTIDAS!$F3250,CONCATENATE(PARTIDAS!$F3250," (",PARTIDAS!$G3250,")"))</f>
        <v>Obtenido por polimerización en suspensión</v>
      </c>
      <c r="I3250" s="16" t="s">
        <v>9427</v>
      </c>
    </row>
    <row r="3251" spans="1:9" x14ac:dyDescent="0.25">
      <c r="A3251" s="16" t="s">
        <v>4161</v>
      </c>
      <c r="B3251" s="16" t="str">
        <f>TEXT(PARTIDA[[#This Row],[PARTIDA]],"0000000000")</f>
        <v>3904109000</v>
      </c>
      <c r="C3251" s="16" t="s">
        <v>815</v>
      </c>
      <c r="D3251" s="16" t="s">
        <v>835</v>
      </c>
      <c r="E3251" s="16" t="s">
        <v>9467</v>
      </c>
      <c r="F3251" s="27" t="s">
        <v>12203</v>
      </c>
      <c r="G3251" s="27"/>
      <c r="H3251" s="16" t="str">
        <f>IF(ISBLANK(PARTIDAS!$G3251),PARTIDAS!$F3251,CONCATENATE(PARTIDAS!$F3251," (",PARTIDAS!$G3251,")"))</f>
        <v>Poli(cloruro de vinilo) sin mezclar con otras sustancias (los demás)</v>
      </c>
      <c r="I3251" s="16" t="s">
        <v>9427</v>
      </c>
    </row>
    <row r="3252" spans="1:9" x14ac:dyDescent="0.25">
      <c r="A3252" s="16" t="s">
        <v>4162</v>
      </c>
      <c r="B3252" s="16" t="str">
        <f>TEXT(PARTIDA[[#This Row],[PARTIDA]],"0000000000")</f>
        <v>3904210000</v>
      </c>
      <c r="C3252" s="16" t="s">
        <v>815</v>
      </c>
      <c r="D3252" s="16" t="s">
        <v>835</v>
      </c>
      <c r="E3252" s="16" t="s">
        <v>9467</v>
      </c>
      <c r="F3252" s="27" t="s">
        <v>12204</v>
      </c>
      <c r="G3252" s="27"/>
      <c r="H3252" s="16" t="str">
        <f>IF(ISBLANK(PARTIDAS!$G3252),PARTIDAS!$F3252,CONCATENATE(PARTIDAS!$F3252," (",PARTIDAS!$G3252,")"))</f>
        <v>Polímeros de cloruro de vinilo o de otras olefinas halogenadas, en…, sin plastificar</v>
      </c>
      <c r="I3252" s="16" t="s">
        <v>9427</v>
      </c>
    </row>
    <row r="3253" spans="1:9" x14ac:dyDescent="0.25">
      <c r="A3253" s="16" t="s">
        <v>4163</v>
      </c>
      <c r="B3253" s="16" t="str">
        <f>TEXT(PARTIDA[[#This Row],[PARTIDA]],"0000000000")</f>
        <v>3904220000</v>
      </c>
      <c r="C3253" s="16" t="s">
        <v>815</v>
      </c>
      <c r="D3253" s="16" t="s">
        <v>835</v>
      </c>
      <c r="E3253" s="16" t="s">
        <v>9467</v>
      </c>
      <c r="F3253" s="27" t="s">
        <v>12205</v>
      </c>
      <c r="G3253" s="27"/>
      <c r="H3253" s="16" t="str">
        <f>IF(ISBLANK(PARTIDAS!$G3253),PARTIDAS!$F3253,CONCATENATE(PARTIDAS!$F3253," (",PARTIDAS!$G3253,")"))</f>
        <v>Polímeros de cloruro de vinilo o de otras olefinas halogenadas, en…, plastificados</v>
      </c>
      <c r="I3253" s="16" t="s">
        <v>9427</v>
      </c>
    </row>
    <row r="3254" spans="1:9" x14ac:dyDescent="0.25">
      <c r="A3254" s="16" t="s">
        <v>4164</v>
      </c>
      <c r="B3254" s="16" t="str">
        <f>TEXT(PARTIDA[[#This Row],[PARTIDA]],"0000000000")</f>
        <v>3904301000</v>
      </c>
      <c r="C3254" s="16" t="s">
        <v>815</v>
      </c>
      <c r="D3254" s="16" t="s">
        <v>835</v>
      </c>
      <c r="E3254" s="16" t="s">
        <v>9467</v>
      </c>
      <c r="F3254" s="27" t="s">
        <v>12206</v>
      </c>
      <c r="G3254" s="27"/>
      <c r="H3254" s="16" t="str">
        <f>IF(ISBLANK(PARTIDAS!$G3254),PARTIDAS!$F3254,CONCATENATE(PARTIDAS!$F3254," (",PARTIDAS!$G3254,")"))</f>
        <v>Copolímeros de cloruro de vinilo y acetato de vinilo, sin mezclar con otras sustancias</v>
      </c>
      <c r="I3254" s="16" t="s">
        <v>9427</v>
      </c>
    </row>
    <row r="3255" spans="1:9" x14ac:dyDescent="0.25">
      <c r="A3255" s="16" t="s">
        <v>4165</v>
      </c>
      <c r="B3255" s="16" t="str">
        <f>TEXT(PARTIDA[[#This Row],[PARTIDA]],"0000000000")</f>
        <v>3904309000</v>
      </c>
      <c r="C3255" s="16" t="s">
        <v>815</v>
      </c>
      <c r="D3255" s="16" t="s">
        <v>835</v>
      </c>
      <c r="E3255" s="16" t="s">
        <v>9467</v>
      </c>
      <c r="F3255" s="27" t="s">
        <v>12207</v>
      </c>
      <c r="G3255" s="27"/>
      <c r="H3255" s="16" t="str">
        <f>IF(ISBLANK(PARTIDAS!$G3255),PARTIDAS!$F3255,CONCATENATE(PARTIDAS!$F3255," (",PARTIDAS!$G3255,")"))</f>
        <v>Copolímeros de cloruro de vinilo y acetato de vinilo (los demás)</v>
      </c>
      <c r="I3255" s="16" t="s">
        <v>9427</v>
      </c>
    </row>
    <row r="3256" spans="1:9" x14ac:dyDescent="0.25">
      <c r="A3256" s="16" t="s">
        <v>4166</v>
      </c>
      <c r="B3256" s="16" t="str">
        <f>TEXT(PARTIDA[[#This Row],[PARTIDA]],"0000000000")</f>
        <v>3904400000</v>
      </c>
      <c r="C3256" s="16" t="s">
        <v>815</v>
      </c>
      <c r="D3256" s="16" t="s">
        <v>835</v>
      </c>
      <c r="E3256" s="16" t="s">
        <v>9467</v>
      </c>
      <c r="F3256" s="27" t="s">
        <v>12208</v>
      </c>
      <c r="G3256" s="27"/>
      <c r="H3256" s="16" t="str">
        <f>IF(ISBLANK(PARTIDAS!$G3256),PARTIDAS!$F3256,CONCATENATE(PARTIDAS!$F3256," (",PARTIDAS!$G3256,")"))</f>
        <v>Polímeros de cloruro de vinilo o de otras olefinas halogenadas, en… (los demás, copolímeros de cloruro de vinilo)</v>
      </c>
      <c r="I3256" s="16" t="s">
        <v>9427</v>
      </c>
    </row>
    <row r="3257" spans="1:9" x14ac:dyDescent="0.25">
      <c r="A3257" s="16" t="s">
        <v>4167</v>
      </c>
      <c r="B3257" s="16" t="str">
        <f>TEXT(PARTIDA[[#This Row],[PARTIDA]],"0000000000")</f>
        <v>3904500000</v>
      </c>
      <c r="C3257" s="16" t="s">
        <v>815</v>
      </c>
      <c r="D3257" s="16" t="s">
        <v>835</v>
      </c>
      <c r="E3257" s="16" t="s">
        <v>9467</v>
      </c>
      <c r="F3257" s="27" t="s">
        <v>12209</v>
      </c>
      <c r="G3257" s="27"/>
      <c r="H3257" s="16" t="str">
        <f>IF(ISBLANK(PARTIDAS!$G3257),PARTIDAS!$F3257,CONCATENATE(PARTIDAS!$F3257," (",PARTIDAS!$G3257,")"))</f>
        <v>Polímeros de cloruro de vinilideno</v>
      </c>
      <c r="I3257" s="16" t="s">
        <v>9427</v>
      </c>
    </row>
    <row r="3258" spans="1:9" x14ac:dyDescent="0.25">
      <c r="A3258" s="16" t="s">
        <v>4168</v>
      </c>
      <c r="B3258" s="16" t="str">
        <f>TEXT(PARTIDA[[#This Row],[PARTIDA]],"0000000000")</f>
        <v>3904610000</v>
      </c>
      <c r="C3258" s="16" t="s">
        <v>815</v>
      </c>
      <c r="D3258" s="16" t="s">
        <v>835</v>
      </c>
      <c r="E3258" s="16" t="s">
        <v>9467</v>
      </c>
      <c r="F3258" s="27" t="s">
        <v>12210</v>
      </c>
      <c r="G3258" s="27"/>
      <c r="H3258" s="16" t="str">
        <f>IF(ISBLANK(PARTIDAS!$G3258),PARTIDAS!$F3258,CONCATENATE(PARTIDAS!$F3258," (",PARTIDAS!$G3258,")"))</f>
        <v>Polímeros fluorados, politetrafluoroetileno</v>
      </c>
      <c r="I3258" s="16" t="s">
        <v>9427</v>
      </c>
    </row>
    <row r="3259" spans="1:9" x14ac:dyDescent="0.25">
      <c r="A3259" s="16" t="s">
        <v>4169</v>
      </c>
      <c r="B3259" s="16" t="str">
        <f>TEXT(PARTIDA[[#This Row],[PARTIDA]],"0000000000")</f>
        <v>3904690000</v>
      </c>
      <c r="C3259" s="16" t="s">
        <v>815</v>
      </c>
      <c r="D3259" s="16" t="s">
        <v>835</v>
      </c>
      <c r="E3259" s="16" t="s">
        <v>9467</v>
      </c>
      <c r="F3259" s="27" t="s">
        <v>12211</v>
      </c>
      <c r="G3259" s="27"/>
      <c r="H3259" s="16" t="str">
        <f>IF(ISBLANK(PARTIDAS!$G3259),PARTIDAS!$F3259,CONCATENATE(PARTIDAS!$F3259," (",PARTIDAS!$G3259,")"))</f>
        <v>Polímeros fluorados (los demás)</v>
      </c>
      <c r="I3259" s="16" t="s">
        <v>9427</v>
      </c>
    </row>
    <row r="3260" spans="1:9" x14ac:dyDescent="0.25">
      <c r="A3260" s="16" t="s">
        <v>4170</v>
      </c>
      <c r="B3260" s="16" t="str">
        <f>TEXT(PARTIDA[[#This Row],[PARTIDA]],"0000000000")</f>
        <v>3904900000</v>
      </c>
      <c r="C3260" s="16" t="s">
        <v>815</v>
      </c>
      <c r="D3260" s="16" t="s">
        <v>835</v>
      </c>
      <c r="E3260" s="16" t="s">
        <v>9467</v>
      </c>
      <c r="F3260" s="27" t="s">
        <v>12212</v>
      </c>
      <c r="G3260" s="27"/>
      <c r="H3260" s="16" t="str">
        <f>IF(ISBLANK(PARTIDAS!$G3260),PARTIDAS!$F3260,CONCATENATE(PARTIDAS!$F3260," (",PARTIDAS!$G3260,")"))</f>
        <v>Polímeros de cloruro de vinilo o de otras olefinas halogenadas, en… (los demás)</v>
      </c>
      <c r="I3260" s="16" t="s">
        <v>9427</v>
      </c>
    </row>
    <row r="3261" spans="1:9" x14ac:dyDescent="0.25">
      <c r="A3261" s="16" t="s">
        <v>4171</v>
      </c>
      <c r="B3261" s="16" t="str">
        <f>TEXT(PARTIDA[[#This Row],[PARTIDA]],"0000000000")</f>
        <v>3905120000</v>
      </c>
      <c r="C3261" s="16" t="s">
        <v>815</v>
      </c>
      <c r="D3261" s="16" t="s">
        <v>835</v>
      </c>
      <c r="E3261" s="16" t="s">
        <v>9467</v>
      </c>
      <c r="F3261" s="27" t="s">
        <v>12213</v>
      </c>
      <c r="G3261" s="27"/>
      <c r="H3261" s="16" t="str">
        <f>IF(ISBLANK(PARTIDAS!$G3261),PARTIDAS!$F3261,CONCATENATE(PARTIDAS!$F3261," (",PARTIDAS!$G3261,")"))</f>
        <v>Poli(acetato de vinilo), en dispersión acuosa</v>
      </c>
      <c r="I3261" s="16" t="s">
        <v>9427</v>
      </c>
    </row>
    <row r="3262" spans="1:9" x14ac:dyDescent="0.25">
      <c r="A3262" s="16" t="s">
        <v>4172</v>
      </c>
      <c r="B3262" s="16" t="str">
        <f>TEXT(PARTIDA[[#This Row],[PARTIDA]],"0000000000")</f>
        <v>3905190000</v>
      </c>
      <c r="C3262" s="16" t="s">
        <v>815</v>
      </c>
      <c r="D3262" s="16" t="s">
        <v>835</v>
      </c>
      <c r="E3262" s="16" t="s">
        <v>9467</v>
      </c>
      <c r="F3262" s="27" t="s">
        <v>12214</v>
      </c>
      <c r="G3262" s="27"/>
      <c r="H3262" s="16" t="str">
        <f>IF(ISBLANK(PARTIDAS!$G3262),PARTIDAS!$F3262,CONCATENATE(PARTIDAS!$F3262," (",PARTIDAS!$G3262,")"))</f>
        <v>Poli(acetato de vinilo) (los demás)</v>
      </c>
      <c r="I3262" s="16" t="s">
        <v>9427</v>
      </c>
    </row>
    <row r="3263" spans="1:9" x14ac:dyDescent="0.25">
      <c r="A3263" s="16" t="s">
        <v>4173</v>
      </c>
      <c r="B3263" s="16" t="str">
        <f>TEXT(PARTIDA[[#This Row],[PARTIDA]],"0000000000")</f>
        <v>3905210000</v>
      </c>
      <c r="C3263" s="16" t="s">
        <v>815</v>
      </c>
      <c r="D3263" s="16" t="s">
        <v>835</v>
      </c>
      <c r="E3263" s="16" t="s">
        <v>9467</v>
      </c>
      <c r="F3263" s="27" t="s">
        <v>12215</v>
      </c>
      <c r="G3263" s="27"/>
      <c r="H3263" s="16" t="str">
        <f>IF(ISBLANK(PARTIDAS!$G3263),PARTIDAS!$F3263,CONCATENATE(PARTIDAS!$F3263," (",PARTIDAS!$G3263,")"))</f>
        <v>Copolímeros de acetato de vinilo, en dispersión acuosa</v>
      </c>
      <c r="I3263" s="16" t="s">
        <v>9427</v>
      </c>
    </row>
    <row r="3264" spans="1:9" x14ac:dyDescent="0.25">
      <c r="A3264" s="16" t="s">
        <v>4174</v>
      </c>
      <c r="B3264" s="16" t="str">
        <f>TEXT(PARTIDA[[#This Row],[PARTIDA]],"0000000000")</f>
        <v>3905290000</v>
      </c>
      <c r="C3264" s="16" t="s">
        <v>815</v>
      </c>
      <c r="D3264" s="16" t="s">
        <v>835</v>
      </c>
      <c r="E3264" s="16" t="s">
        <v>9467</v>
      </c>
      <c r="F3264" s="27" t="s">
        <v>12216</v>
      </c>
      <c r="G3264" s="27"/>
      <c r="H3264" s="16" t="str">
        <f>IF(ISBLANK(PARTIDAS!$G3264),PARTIDAS!$F3264,CONCATENATE(PARTIDAS!$F3264," (",PARTIDAS!$G3264,")"))</f>
        <v>Copolímeros de acetato de vinilo (los demás)</v>
      </c>
      <c r="I3264" s="16" t="s">
        <v>9427</v>
      </c>
    </row>
    <row r="3265" spans="1:9" x14ac:dyDescent="0.25">
      <c r="A3265" s="16" t="s">
        <v>4175</v>
      </c>
      <c r="B3265" s="16" t="str">
        <f>TEXT(PARTIDA[[#This Row],[PARTIDA]],"0000000000")</f>
        <v>3905300000</v>
      </c>
      <c r="C3265" s="16" t="s">
        <v>815</v>
      </c>
      <c r="D3265" s="16" t="s">
        <v>835</v>
      </c>
      <c r="E3265" s="16" t="s">
        <v>9467</v>
      </c>
      <c r="F3265" s="27" t="s">
        <v>12217</v>
      </c>
      <c r="G3265" s="27"/>
      <c r="H3265" s="16" t="str">
        <f>IF(ISBLANK(PARTIDAS!$G3265),PARTIDAS!$F3265,CONCATENATE(PARTIDAS!$F3265," (",PARTIDAS!$G3265,")"))</f>
        <v>Poli(alcohol vinílico), incluso con grupos acetato sin hidrolizar</v>
      </c>
      <c r="I3265" s="16" t="s">
        <v>9427</v>
      </c>
    </row>
    <row r="3266" spans="1:9" x14ac:dyDescent="0.25">
      <c r="A3266" s="16" t="s">
        <v>4176</v>
      </c>
      <c r="B3266" s="16" t="str">
        <f>TEXT(PARTIDA[[#This Row],[PARTIDA]],"0000000000")</f>
        <v>3905910000</v>
      </c>
      <c r="C3266" s="16" t="s">
        <v>815</v>
      </c>
      <c r="D3266" s="16" t="s">
        <v>835</v>
      </c>
      <c r="E3266" s="16" t="s">
        <v>9467</v>
      </c>
      <c r="F3266" s="27" t="s">
        <v>12218</v>
      </c>
      <c r="G3266" s="27"/>
      <c r="H3266" s="16" t="str">
        <f>IF(ISBLANK(PARTIDAS!$G3266),PARTIDAS!$F3266,CONCATENATE(PARTIDAS!$F3266," (",PARTIDAS!$G3266,")"))</f>
        <v>Polímeros de acetato de vinilo o de otros ésteres vinílicos, en…, copolímeros</v>
      </c>
      <c r="I3266" s="16" t="s">
        <v>9427</v>
      </c>
    </row>
    <row r="3267" spans="1:9" x14ac:dyDescent="0.25">
      <c r="A3267" s="16" t="s">
        <v>4177</v>
      </c>
      <c r="B3267" s="16" t="str">
        <f>TEXT(PARTIDA[[#This Row],[PARTIDA]],"0000000000")</f>
        <v>3905991000</v>
      </c>
      <c r="C3267" s="16" t="s">
        <v>815</v>
      </c>
      <c r="D3267" s="16" t="s">
        <v>835</v>
      </c>
      <c r="E3267" s="16" t="s">
        <v>9467</v>
      </c>
      <c r="F3267" s="27" t="s">
        <v>12219</v>
      </c>
      <c r="G3267" s="27"/>
      <c r="H3267" s="16" t="str">
        <f>IF(ISBLANK(PARTIDAS!$G3267),PARTIDAS!$F3267,CONCATENATE(PARTIDAS!$F3267," (",PARTIDAS!$G3267,")"))</f>
        <v>Polímeros de acetato de vinilo o de otros ésteres vinílicos, en…, polivinilbutiral</v>
      </c>
      <c r="I3267" s="16" t="s">
        <v>9427</v>
      </c>
    </row>
    <row r="3268" spans="1:9" x14ac:dyDescent="0.25">
      <c r="A3268" s="16" t="s">
        <v>4178</v>
      </c>
      <c r="B3268" s="16" t="str">
        <f>TEXT(PARTIDA[[#This Row],[PARTIDA]],"0000000000")</f>
        <v>3905992000</v>
      </c>
      <c r="C3268" s="16" t="s">
        <v>815</v>
      </c>
      <c r="D3268" s="16" t="s">
        <v>835</v>
      </c>
      <c r="E3268" s="16" t="s">
        <v>9467</v>
      </c>
      <c r="F3268" s="27" t="s">
        <v>12220</v>
      </c>
      <c r="G3268" s="27"/>
      <c r="H3268" s="16" t="str">
        <f>IF(ISBLANK(PARTIDAS!$G3268),PARTIDAS!$F3268,CONCATENATE(PARTIDAS!$F3268," (",PARTIDAS!$G3268,")"))</f>
        <v>Polímeros de acetato de vinilo o de otros ésteres vinílicos, en…, polivinilpirrolidona</v>
      </c>
      <c r="I3268" s="16" t="s">
        <v>9427</v>
      </c>
    </row>
    <row r="3269" spans="1:9" x14ac:dyDescent="0.25">
      <c r="A3269" s="16" t="s">
        <v>4179</v>
      </c>
      <c r="B3269" s="16" t="str">
        <f>TEXT(PARTIDA[[#This Row],[PARTIDA]],"0000000000")</f>
        <v>3905999000</v>
      </c>
      <c r="C3269" s="16" t="s">
        <v>815</v>
      </c>
      <c r="D3269" s="16" t="s">
        <v>835</v>
      </c>
      <c r="E3269" s="16" t="s">
        <v>9467</v>
      </c>
      <c r="F3269" s="27" t="s">
        <v>12221</v>
      </c>
      <c r="G3269" s="27"/>
      <c r="H3269" s="16" t="str">
        <f>IF(ISBLANK(PARTIDAS!$G3269),PARTIDAS!$F3269,CONCATENATE(PARTIDAS!$F3269," (",PARTIDAS!$G3269,")"))</f>
        <v>Polímeros de acetato de vinilo o de otros ésteres vinílicos, en… (los demás)</v>
      </c>
      <c r="I3269" s="16" t="s">
        <v>9427</v>
      </c>
    </row>
    <row r="3270" spans="1:9" x14ac:dyDescent="0.25">
      <c r="A3270" s="16" t="s">
        <v>4180</v>
      </c>
      <c r="B3270" s="16" t="str">
        <f>TEXT(PARTIDA[[#This Row],[PARTIDA]],"0000000000")</f>
        <v>3906100000</v>
      </c>
      <c r="C3270" s="16" t="s">
        <v>815</v>
      </c>
      <c r="D3270" s="16" t="s">
        <v>835</v>
      </c>
      <c r="E3270" s="16" t="s">
        <v>9467</v>
      </c>
      <c r="F3270" s="27" t="s">
        <v>12222</v>
      </c>
      <c r="G3270" s="27"/>
      <c r="H3270" s="16" t="str">
        <f>IF(ISBLANK(PARTIDAS!$G3270),PARTIDAS!$F3270,CONCATENATE(PARTIDAS!$F3270," (",PARTIDAS!$G3270,")"))</f>
        <v>Poli(metacrilato de metilo)</v>
      </c>
      <c r="I3270" s="16" t="s">
        <v>9427</v>
      </c>
    </row>
    <row r="3271" spans="1:9" x14ac:dyDescent="0.25">
      <c r="A3271" s="16" t="s">
        <v>4181</v>
      </c>
      <c r="B3271" s="16" t="str">
        <f>TEXT(PARTIDA[[#This Row],[PARTIDA]],"0000000000")</f>
        <v>3906901000</v>
      </c>
      <c r="C3271" s="16" t="s">
        <v>815</v>
      </c>
      <c r="D3271" s="16" t="s">
        <v>835</v>
      </c>
      <c r="E3271" s="16" t="s">
        <v>9467</v>
      </c>
      <c r="F3271" s="27" t="s">
        <v>12223</v>
      </c>
      <c r="G3271" s="27"/>
      <c r="H3271" s="16" t="str">
        <f>IF(ISBLANK(PARTIDAS!$G3271),PARTIDAS!$F3271,CONCATENATE(PARTIDAS!$F3271," (",PARTIDAS!$G3271,")"))</f>
        <v>Polímeros acrílicos en formas primarias, poliacrilonitrilo</v>
      </c>
      <c r="I3271" s="16" t="s">
        <v>9427</v>
      </c>
    </row>
    <row r="3272" spans="1:9" x14ac:dyDescent="0.25">
      <c r="A3272" s="16" t="s">
        <v>4182</v>
      </c>
      <c r="B3272" s="16" t="str">
        <f>TEXT(PARTIDA[[#This Row],[PARTIDA]],"0000000000")</f>
        <v>3906902100</v>
      </c>
      <c r="C3272" s="16" t="s">
        <v>815</v>
      </c>
      <c r="D3272" s="16" t="s">
        <v>835</v>
      </c>
      <c r="E3272" s="16" t="s">
        <v>9467</v>
      </c>
      <c r="F3272" s="27" t="s">
        <v>12224</v>
      </c>
      <c r="G3272" s="27"/>
      <c r="H3272" s="16" t="str">
        <f>IF(ISBLANK(PARTIDAS!$G3272),PARTIDAS!$F3272,CONCATENATE(PARTIDAS!$F3272," (",PARTIDAS!$G3272,")"))</f>
        <v>Poliacrilato de sodio cuya capacidad de absorción de una solución acuosa de cloruro de sodio al 1 %, sea superior o igual a 20 veces su propio peso</v>
      </c>
      <c r="I3272" s="16" t="s">
        <v>9427</v>
      </c>
    </row>
    <row r="3273" spans="1:9" x14ac:dyDescent="0.25">
      <c r="A3273" s="16" t="s">
        <v>4183</v>
      </c>
      <c r="B3273" s="16" t="str">
        <f>TEXT(PARTIDA[[#This Row],[PARTIDA]],"0000000000")</f>
        <v>3906902900</v>
      </c>
      <c r="C3273" s="16" t="s">
        <v>815</v>
      </c>
      <c r="D3273" s="16" t="s">
        <v>835</v>
      </c>
      <c r="E3273" s="16" t="s">
        <v>9467</v>
      </c>
      <c r="F3273" s="27" t="s">
        <v>12225</v>
      </c>
      <c r="G3273" s="27"/>
      <c r="H3273" s="16" t="str">
        <f>IF(ISBLANK(PARTIDAS!$G3273),PARTIDAS!$F3273,CONCATENATE(PARTIDAS!$F3273," (",PARTIDAS!$G3273,")"))</f>
        <v>Poliacrilato de sodio o de potasio (los demás)</v>
      </c>
      <c r="I3273" s="16" t="s">
        <v>9427</v>
      </c>
    </row>
    <row r="3274" spans="1:9" x14ac:dyDescent="0.25">
      <c r="A3274" s="16" t="s">
        <v>4184</v>
      </c>
      <c r="B3274" s="16" t="str">
        <f>TEXT(PARTIDA[[#This Row],[PARTIDA]],"0000000000")</f>
        <v>3906909000</v>
      </c>
      <c r="C3274" s="16" t="s">
        <v>815</v>
      </c>
      <c r="D3274" s="16" t="s">
        <v>835</v>
      </c>
      <c r="E3274" s="16" t="s">
        <v>9467</v>
      </c>
      <c r="F3274" s="27" t="s">
        <v>4158</v>
      </c>
      <c r="G3274" s="27"/>
      <c r="H3274" s="16" t="str">
        <f>IF(ISBLANK(PARTIDAS!$G3274),PARTIDAS!$F3274,CONCATENATE(PARTIDAS!$F3274," (",PARTIDAS!$G3274,")"))</f>
        <v>Plástico y sus manufacturas</v>
      </c>
      <c r="I3274" s="16" t="s">
        <v>9427</v>
      </c>
    </row>
    <row r="3275" spans="1:9" x14ac:dyDescent="0.25">
      <c r="A3275" s="16" t="s">
        <v>4185</v>
      </c>
      <c r="B3275" s="16" t="str">
        <f>TEXT(PARTIDA[[#This Row],[PARTIDA]],"0000000000")</f>
        <v>3907100000</v>
      </c>
      <c r="C3275" s="16" t="s">
        <v>815</v>
      </c>
      <c r="D3275" s="16" t="s">
        <v>835</v>
      </c>
      <c r="E3275" s="16" t="s">
        <v>9467</v>
      </c>
      <c r="F3275" s="27" t="s">
        <v>12226</v>
      </c>
      <c r="G3275" s="27"/>
      <c r="H3275" s="16" t="str">
        <f>IF(ISBLANK(PARTIDAS!$G3275),PARTIDAS!$F3275,CONCATENATE(PARTIDAS!$F3275," (",PARTIDAS!$G3275,")"))</f>
        <v>Poliacetales</v>
      </c>
      <c r="I3275" s="16" t="s">
        <v>9427</v>
      </c>
    </row>
    <row r="3276" spans="1:9" x14ac:dyDescent="0.25">
      <c r="A3276" s="16" t="s">
        <v>4186</v>
      </c>
      <c r="B3276" s="16" t="str">
        <f>TEXT(PARTIDA[[#This Row],[PARTIDA]],"0000000000")</f>
        <v>3907201000</v>
      </c>
      <c r="C3276" s="16" t="s">
        <v>815</v>
      </c>
      <c r="D3276" s="16" t="s">
        <v>835</v>
      </c>
      <c r="E3276" s="16" t="s">
        <v>9467</v>
      </c>
      <c r="F3276" s="27" t="s">
        <v>12227</v>
      </c>
      <c r="G3276" s="27"/>
      <c r="H3276" s="16" t="str">
        <f>IF(ISBLANK(PARTIDAS!$G3276),PARTIDAS!$F3276,CONCATENATE(PARTIDAS!$F3276," (",PARTIDAS!$G3276,")"))</f>
        <v>Polietilenglicol</v>
      </c>
      <c r="I3276" s="16" t="s">
        <v>9648</v>
      </c>
    </row>
    <row r="3277" spans="1:9" x14ac:dyDescent="0.25">
      <c r="A3277" s="16" t="s">
        <v>4187</v>
      </c>
      <c r="B3277" s="16" t="str">
        <f>TEXT(PARTIDA[[#This Row],[PARTIDA]],"0000000000")</f>
        <v>3907202000</v>
      </c>
      <c r="C3277" s="16" t="s">
        <v>815</v>
      </c>
      <c r="D3277" s="16" t="s">
        <v>835</v>
      </c>
      <c r="E3277" s="16" t="s">
        <v>9467</v>
      </c>
      <c r="F3277" s="27" t="s">
        <v>12228</v>
      </c>
      <c r="G3277" s="27"/>
      <c r="H3277" s="16" t="str">
        <f>IF(ISBLANK(PARTIDAS!$G3277),PARTIDAS!$F3277,CONCATENATE(PARTIDAS!$F3277," (",PARTIDAS!$G3277,")"))</f>
        <v>Polipropilenglicol</v>
      </c>
      <c r="I3277" s="16" t="s">
        <v>9648</v>
      </c>
    </row>
    <row r="3278" spans="1:9" x14ac:dyDescent="0.25">
      <c r="A3278" s="16" t="s">
        <v>4188</v>
      </c>
      <c r="B3278" s="16" t="str">
        <f>TEXT(PARTIDA[[#This Row],[PARTIDA]],"0000000000")</f>
        <v>3907203000</v>
      </c>
      <c r="C3278" s="16" t="s">
        <v>815</v>
      </c>
      <c r="D3278" s="16" t="s">
        <v>835</v>
      </c>
      <c r="E3278" s="16" t="s">
        <v>9467</v>
      </c>
      <c r="F3278" s="27" t="s">
        <v>12229</v>
      </c>
      <c r="G3278" s="27"/>
      <c r="H3278" s="16" t="str">
        <f>IF(ISBLANK(PARTIDAS!$G3278),PARTIDAS!$F3278,CONCATENATE(PARTIDAS!$F3278," (",PARTIDAS!$G3278,")"))</f>
        <v>Poliéteres polioles derivados del óxido de propileno</v>
      </c>
      <c r="I3278" s="16" t="s">
        <v>9648</v>
      </c>
    </row>
    <row r="3279" spans="1:9" x14ac:dyDescent="0.25">
      <c r="A3279" s="16" t="s">
        <v>4189</v>
      </c>
      <c r="B3279" s="16" t="str">
        <f>TEXT(PARTIDA[[#This Row],[PARTIDA]],"0000000000")</f>
        <v>3907209000</v>
      </c>
      <c r="C3279" s="16" t="s">
        <v>815</v>
      </c>
      <c r="D3279" s="16" t="s">
        <v>835</v>
      </c>
      <c r="E3279" s="16" t="s">
        <v>9467</v>
      </c>
      <c r="F3279" s="27" t="s">
        <v>12230</v>
      </c>
      <c r="G3279" s="27"/>
      <c r="H3279" s="16" t="str">
        <f>IF(ISBLANK(PARTIDAS!$G3279),PARTIDAS!$F3279,CONCATENATE(PARTIDAS!$F3279," (",PARTIDAS!$G3279,")"))</f>
        <v>Poliacetales, los demás poliéteres y resinas epoxi, en formas primaria (los demás)</v>
      </c>
      <c r="I3279" s="16" t="s">
        <v>9648</v>
      </c>
    </row>
    <row r="3280" spans="1:9" x14ac:dyDescent="0.25">
      <c r="A3280" s="16" t="s">
        <v>12231</v>
      </c>
      <c r="B3280" s="16" t="str">
        <f>TEXT(PARTIDA[[#This Row],[PARTIDA]],"0000000000")</f>
        <v>3907210000</v>
      </c>
      <c r="C3280" s="16" t="s">
        <v>815</v>
      </c>
      <c r="D3280" s="16" t="s">
        <v>835</v>
      </c>
      <c r="E3280" s="16" t="s">
        <v>9467</v>
      </c>
      <c r="F3280" s="27" t="s">
        <v>12232</v>
      </c>
      <c r="G3280" s="27"/>
      <c r="H3280" s="16" t="str">
        <f>IF(ISBLANK(PARTIDAS!$G3280),PARTIDAS!$F3280,CONCATENATE(PARTIDAS!$F3280," (",PARTIDAS!$G3280,")"))</f>
        <v>Metilfosfonato de bis(polioxietileno)l</v>
      </c>
      <c r="I3280" s="16" t="s">
        <v>9427</v>
      </c>
    </row>
    <row r="3281" spans="1:9" x14ac:dyDescent="0.25">
      <c r="A3281" s="16" t="s">
        <v>12233</v>
      </c>
      <c r="B3281" s="16" t="str">
        <f>TEXT(PARTIDA[[#This Row],[PARTIDA]],"0000000000")</f>
        <v>3907291000</v>
      </c>
      <c r="C3281" s="16" t="s">
        <v>815</v>
      </c>
      <c r="D3281" s="16" t="s">
        <v>835</v>
      </c>
      <c r="E3281" s="16" t="s">
        <v>9467</v>
      </c>
      <c r="F3281" s="27" t="s">
        <v>12234</v>
      </c>
      <c r="G3281" s="27"/>
      <c r="H3281" s="16" t="str">
        <f>IF(ISBLANK(PARTIDAS!$G3281),PARTIDAS!$F3281,CONCATENATE(PARTIDAS!$F3281," (",PARTIDAS!$G3281,")"))</f>
        <v>Poliacetales, los demás poliéteres y resinas epoxi, en formas…, polietilenglicol</v>
      </c>
      <c r="I3281" s="16" t="s">
        <v>9427</v>
      </c>
    </row>
    <row r="3282" spans="1:9" x14ac:dyDescent="0.25">
      <c r="A3282" s="16" t="s">
        <v>12235</v>
      </c>
      <c r="B3282" s="16" t="str">
        <f>TEXT(PARTIDA[[#This Row],[PARTIDA]],"0000000000")</f>
        <v>3907292000</v>
      </c>
      <c r="C3282" s="16" t="s">
        <v>815</v>
      </c>
      <c r="D3282" s="16" t="s">
        <v>835</v>
      </c>
      <c r="E3282" s="16" t="s">
        <v>9467</v>
      </c>
      <c r="F3282" s="27" t="s">
        <v>12236</v>
      </c>
      <c r="G3282" s="27"/>
      <c r="H3282" s="16" t="str">
        <f>IF(ISBLANK(PARTIDAS!$G3282),PARTIDAS!$F3282,CONCATENATE(PARTIDAS!$F3282," (",PARTIDAS!$G3282,")"))</f>
        <v>Poliacetales, los demás poliéteres y resinas epoxi, en formas…, polipropilenglicol</v>
      </c>
      <c r="I3282" s="16" t="s">
        <v>9427</v>
      </c>
    </row>
    <row r="3283" spans="1:9" x14ac:dyDescent="0.25">
      <c r="A3283" s="16" t="s">
        <v>12237</v>
      </c>
      <c r="B3283" s="16" t="str">
        <f>TEXT(PARTIDA[[#This Row],[PARTIDA]],"0000000000")</f>
        <v>3907293000</v>
      </c>
      <c r="C3283" s="16" t="s">
        <v>815</v>
      </c>
      <c r="D3283" s="16" t="s">
        <v>835</v>
      </c>
      <c r="E3283" s="16" t="s">
        <v>9467</v>
      </c>
      <c r="F3283" s="27" t="s">
        <v>12229</v>
      </c>
      <c r="G3283" s="27"/>
      <c r="H3283" s="16" t="str">
        <f>IF(ISBLANK(PARTIDAS!$G3283),PARTIDAS!$F3283,CONCATENATE(PARTIDAS!$F3283," (",PARTIDAS!$G3283,")"))</f>
        <v>Poliéteres polioles derivados del óxido de propileno</v>
      </c>
      <c r="I3283" s="16" t="s">
        <v>9427</v>
      </c>
    </row>
    <row r="3284" spans="1:9" x14ac:dyDescent="0.25">
      <c r="A3284" s="16" t="s">
        <v>12238</v>
      </c>
      <c r="B3284" s="16" t="str">
        <f>TEXT(PARTIDA[[#This Row],[PARTIDA]],"0000000000")</f>
        <v>3907299000</v>
      </c>
      <c r="C3284" s="16" t="s">
        <v>815</v>
      </c>
      <c r="D3284" s="16" t="s">
        <v>835</v>
      </c>
      <c r="E3284" s="16" t="s">
        <v>9467</v>
      </c>
      <c r="F3284" s="27" t="s">
        <v>12239</v>
      </c>
      <c r="G3284" s="27"/>
      <c r="H3284" s="16" t="str">
        <f>IF(ISBLANK(PARTIDAS!$G3284),PARTIDAS!$F3284,CONCATENATE(PARTIDAS!$F3284," (",PARTIDAS!$G3284,")"))</f>
        <v>Poliacetales, los demás poliéteres y resinas epoxi, en formas… (los demás)</v>
      </c>
      <c r="I3284" s="16" t="s">
        <v>9427</v>
      </c>
    </row>
    <row r="3285" spans="1:9" x14ac:dyDescent="0.25">
      <c r="A3285" s="16" t="s">
        <v>4190</v>
      </c>
      <c r="B3285" s="16" t="str">
        <f>TEXT(PARTIDA[[#This Row],[PARTIDA]],"0000000000")</f>
        <v>3907301000</v>
      </c>
      <c r="C3285" s="16" t="s">
        <v>815</v>
      </c>
      <c r="D3285" s="16" t="s">
        <v>835</v>
      </c>
      <c r="E3285" s="16" t="s">
        <v>9465</v>
      </c>
      <c r="F3285" s="27" t="s">
        <v>9372</v>
      </c>
      <c r="G3285" s="27"/>
      <c r="H3285" s="16" t="str">
        <f>IF(ISBLANK(PARTIDAS!$G3285),PARTIDAS!$F3285,CONCATENATE(PARTIDAS!$F3285," (",PARTIDAS!$G3285,")"))</f>
        <v>Resinas epoxi, líquidas</v>
      </c>
      <c r="I3285" s="16" t="s">
        <v>9477</v>
      </c>
    </row>
    <row r="3286" spans="1:9" x14ac:dyDescent="0.25">
      <c r="A3286" s="16" t="s">
        <v>4191</v>
      </c>
      <c r="B3286" s="16" t="str">
        <f>TEXT(PARTIDA[[#This Row],[PARTIDA]],"0000000000")</f>
        <v>3907309000</v>
      </c>
      <c r="C3286" s="16" t="s">
        <v>815</v>
      </c>
      <c r="D3286" s="16" t="s">
        <v>835</v>
      </c>
      <c r="E3286" s="16" t="s">
        <v>9467</v>
      </c>
      <c r="F3286" s="27" t="s">
        <v>12240</v>
      </c>
      <c r="G3286" s="27"/>
      <c r="H3286" s="16" t="str">
        <f>IF(ISBLANK(PARTIDAS!$G3286),PARTIDAS!$F3286,CONCATENATE(PARTIDAS!$F3286," (",PARTIDAS!$G3286,")"))</f>
        <v>Resinas epoxi (los demás)</v>
      </c>
      <c r="I3286" s="16" t="s">
        <v>9427</v>
      </c>
    </row>
    <row r="3287" spans="1:9" x14ac:dyDescent="0.25">
      <c r="A3287" s="16" t="s">
        <v>4192</v>
      </c>
      <c r="B3287" s="16" t="str">
        <f>TEXT(PARTIDA[[#This Row],[PARTIDA]],"0000000000")</f>
        <v>3907400000</v>
      </c>
      <c r="C3287" s="16" t="s">
        <v>815</v>
      </c>
      <c r="D3287" s="16" t="s">
        <v>835</v>
      </c>
      <c r="E3287" s="16" t="s">
        <v>9467</v>
      </c>
      <c r="F3287" s="27" t="s">
        <v>12241</v>
      </c>
      <c r="G3287" s="27"/>
      <c r="H3287" s="16" t="str">
        <f>IF(ISBLANK(PARTIDAS!$G3287),PARTIDAS!$F3287,CONCATENATE(PARTIDAS!$F3287," (",PARTIDAS!$G3287,")"))</f>
        <v>Policarbonatos</v>
      </c>
      <c r="I3287" s="16" t="s">
        <v>9427</v>
      </c>
    </row>
    <row r="3288" spans="1:9" x14ac:dyDescent="0.25">
      <c r="A3288" s="16" t="s">
        <v>4193</v>
      </c>
      <c r="B3288" s="16" t="str">
        <f>TEXT(PARTIDA[[#This Row],[PARTIDA]],"0000000000")</f>
        <v>3907500000</v>
      </c>
      <c r="C3288" s="16" t="s">
        <v>815</v>
      </c>
      <c r="D3288" s="16" t="s">
        <v>835</v>
      </c>
      <c r="E3288" s="16" t="s">
        <v>9467</v>
      </c>
      <c r="F3288" s="27" t="s">
        <v>12242</v>
      </c>
      <c r="G3288" s="27"/>
      <c r="H3288" s="16" t="str">
        <f>IF(ISBLANK(PARTIDAS!$G3288),PARTIDAS!$F3288,CONCATENATE(PARTIDAS!$F3288," (",PARTIDAS!$G3288,")"))</f>
        <v>Resinas alcídicas</v>
      </c>
      <c r="I3288" s="16" t="s">
        <v>9427</v>
      </c>
    </row>
    <row r="3289" spans="1:9" x14ac:dyDescent="0.25">
      <c r="A3289" s="16" t="s">
        <v>4194</v>
      </c>
      <c r="B3289" s="16" t="str">
        <f>TEXT(PARTIDA[[#This Row],[PARTIDA]],"0000000000")</f>
        <v>3907611000</v>
      </c>
      <c r="C3289" s="16" t="s">
        <v>815</v>
      </c>
      <c r="D3289" s="16" t="s">
        <v>835</v>
      </c>
      <c r="E3289" s="16" t="s">
        <v>9467</v>
      </c>
      <c r="F3289" s="27" t="s">
        <v>12243</v>
      </c>
      <c r="G3289" s="27"/>
      <c r="H3289" s="16" t="str">
        <f>IF(ISBLANK(PARTIDAS!$G3289),PARTIDAS!$F3289,CONCATENATE(PARTIDAS!$F3289," (",PARTIDAS!$G3289,")"))</f>
        <v>Poli(tereftalato de etileno), con un índice de viscosidad superior o igual a 78 ml/g, con dióxido de titanio</v>
      </c>
      <c r="I3289" s="16" t="s">
        <v>9427</v>
      </c>
    </row>
    <row r="3290" spans="1:9" x14ac:dyDescent="0.25">
      <c r="A3290" s="16" t="s">
        <v>4195</v>
      </c>
      <c r="B3290" s="16" t="str">
        <f>TEXT(PARTIDA[[#This Row],[PARTIDA]],"0000000000")</f>
        <v>3907619000</v>
      </c>
      <c r="C3290" s="16" t="s">
        <v>815</v>
      </c>
      <c r="D3290" s="16" t="s">
        <v>835</v>
      </c>
      <c r="E3290" s="16" t="s">
        <v>9465</v>
      </c>
      <c r="F3290" s="27" t="s">
        <v>9352</v>
      </c>
      <c r="G3290" s="27"/>
      <c r="H3290" s="16" t="str">
        <f>IF(ISBLANK(PARTIDAS!$G3290),PARTIDAS!$F3290,CONCATENATE(PARTIDAS!$F3290," (",PARTIDAS!$G3290,")"))</f>
        <v>Poli(tereftalato de etileno), con un índice de viscosidad superior o igual a 78 ml/g (los demás)</v>
      </c>
      <c r="I3290" s="16" t="s">
        <v>9477</v>
      </c>
    </row>
    <row r="3291" spans="1:9" x14ac:dyDescent="0.25">
      <c r="A3291" s="16" t="s">
        <v>4196</v>
      </c>
      <c r="B3291" s="16" t="str">
        <f>TEXT(PARTIDA[[#This Row],[PARTIDA]],"0000000000")</f>
        <v>3907691000</v>
      </c>
      <c r="C3291" s="16" t="s">
        <v>815</v>
      </c>
      <c r="D3291" s="16" t="s">
        <v>835</v>
      </c>
      <c r="E3291" s="16" t="s">
        <v>9467</v>
      </c>
      <c r="F3291" s="27" t="s">
        <v>12244</v>
      </c>
      <c r="G3291" s="27"/>
      <c r="H3291" s="16" t="str">
        <f>IF(ISBLANK(PARTIDAS!$G3291),PARTIDAS!$F3291,CONCATENATE(PARTIDAS!$F3291," (",PARTIDAS!$G3291,")"))</f>
        <v>Poli(tereftalato de etileno), con dióxido de titanio</v>
      </c>
      <c r="I3291" s="16" t="s">
        <v>9427</v>
      </c>
    </row>
    <row r="3292" spans="1:9" x14ac:dyDescent="0.25">
      <c r="A3292" s="16" t="s">
        <v>4197</v>
      </c>
      <c r="B3292" s="16" t="str">
        <f>TEXT(PARTIDA[[#This Row],[PARTIDA]],"0000000000")</f>
        <v>3907699000</v>
      </c>
      <c r="C3292" s="16" t="s">
        <v>815</v>
      </c>
      <c r="D3292" s="16" t="s">
        <v>835</v>
      </c>
      <c r="E3292" s="16" t="s">
        <v>9467</v>
      </c>
      <c r="F3292" s="27" t="s">
        <v>12245</v>
      </c>
      <c r="G3292" s="27"/>
      <c r="H3292" s="16" t="str">
        <f>IF(ISBLANK(PARTIDAS!$G3292),PARTIDAS!$F3292,CONCATENATE(PARTIDAS!$F3292," (",PARTIDAS!$G3292,")"))</f>
        <v>Poli(tereftalato de etileno) (los demás)</v>
      </c>
      <c r="I3292" s="16" t="s">
        <v>9427</v>
      </c>
    </row>
    <row r="3293" spans="1:9" x14ac:dyDescent="0.25">
      <c r="A3293" s="16" t="s">
        <v>4198</v>
      </c>
      <c r="B3293" s="16" t="str">
        <f>TEXT(PARTIDA[[#This Row],[PARTIDA]],"0000000000")</f>
        <v>3907700000</v>
      </c>
      <c r="C3293" s="16" t="s">
        <v>815</v>
      </c>
      <c r="D3293" s="16" t="s">
        <v>835</v>
      </c>
      <c r="E3293" s="16" t="s">
        <v>9467</v>
      </c>
      <c r="F3293" s="27" t="s">
        <v>12246</v>
      </c>
      <c r="G3293" s="27"/>
      <c r="H3293" s="16" t="str">
        <f>IF(ISBLANK(PARTIDAS!$G3293),PARTIDAS!$F3293,CONCATENATE(PARTIDAS!$F3293," (",PARTIDAS!$G3293,")"))</f>
        <v>Poli(ácido láctico)</v>
      </c>
      <c r="I3293" s="16" t="s">
        <v>9427</v>
      </c>
    </row>
    <row r="3294" spans="1:9" x14ac:dyDescent="0.25">
      <c r="A3294" s="16" t="s">
        <v>4199</v>
      </c>
      <c r="B3294" s="16" t="str">
        <f>TEXT(PARTIDA[[#This Row],[PARTIDA]],"0000000000")</f>
        <v>3907910000</v>
      </c>
      <c r="C3294" s="16" t="s">
        <v>815</v>
      </c>
      <c r="D3294" s="16" t="s">
        <v>835</v>
      </c>
      <c r="E3294" s="16" t="s">
        <v>9467</v>
      </c>
      <c r="F3294" s="27" t="s">
        <v>12247</v>
      </c>
      <c r="G3294" s="27"/>
      <c r="H3294" s="16" t="str">
        <f>IF(ISBLANK(PARTIDAS!$G3294),PARTIDAS!$F3294,CONCATENATE(PARTIDAS!$F3294," (",PARTIDAS!$G3294,")"))</f>
        <v>No saturados</v>
      </c>
      <c r="I3294" s="16" t="s">
        <v>9427</v>
      </c>
    </row>
    <row r="3295" spans="1:9" x14ac:dyDescent="0.25">
      <c r="A3295" s="16" t="s">
        <v>4200</v>
      </c>
      <c r="B3295" s="16" t="str">
        <f>TEXT(PARTIDA[[#This Row],[PARTIDA]],"0000000000")</f>
        <v>3907990000</v>
      </c>
      <c r="C3295" s="16" t="s">
        <v>815</v>
      </c>
      <c r="D3295" s="16" t="s">
        <v>835</v>
      </c>
      <c r="E3295" s="16" t="s">
        <v>9467</v>
      </c>
      <c r="F3295" s="27" t="s">
        <v>12239</v>
      </c>
      <c r="G3295" s="27"/>
      <c r="H3295" s="16" t="str">
        <f>IF(ISBLANK(PARTIDAS!$G3295),PARTIDAS!$F3295,CONCATENATE(PARTIDAS!$F3295," (",PARTIDAS!$G3295,")"))</f>
        <v>Poliacetales, los demás poliéteres y resinas epoxi, en formas… (los demás)</v>
      </c>
      <c r="I3295" s="16" t="s">
        <v>9427</v>
      </c>
    </row>
    <row r="3296" spans="1:9" x14ac:dyDescent="0.25">
      <c r="A3296" s="16" t="s">
        <v>4201</v>
      </c>
      <c r="B3296" s="16" t="str">
        <f>TEXT(PARTIDA[[#This Row],[PARTIDA]],"0000000000")</f>
        <v>3908101000</v>
      </c>
      <c r="C3296" s="16" t="s">
        <v>815</v>
      </c>
      <c r="D3296" s="16" t="s">
        <v>835</v>
      </c>
      <c r="E3296" s="16" t="s">
        <v>9467</v>
      </c>
      <c r="F3296" s="27" t="s">
        <v>12248</v>
      </c>
      <c r="G3296" s="27"/>
      <c r="H3296" s="16" t="str">
        <f>IF(ISBLANK(PARTIDAS!$G3296),PARTIDAS!$F3296,CONCATENATE(PARTIDAS!$F3296," (",PARTIDAS!$G3296,")"))</f>
        <v>Poliamida -6 (policaprolactama)</v>
      </c>
      <c r="I3296" s="16" t="s">
        <v>9427</v>
      </c>
    </row>
    <row r="3297" spans="1:9" x14ac:dyDescent="0.25">
      <c r="A3297" s="16" t="s">
        <v>4202</v>
      </c>
      <c r="B3297" s="16" t="str">
        <f>TEXT(PARTIDA[[#This Row],[PARTIDA]],"0000000000")</f>
        <v>3908109000</v>
      </c>
      <c r="C3297" s="16" t="s">
        <v>815</v>
      </c>
      <c r="D3297" s="16" t="s">
        <v>835</v>
      </c>
      <c r="E3297" s="16" t="s">
        <v>9467</v>
      </c>
      <c r="F3297" s="27" t="s">
        <v>12249</v>
      </c>
      <c r="G3297" s="27"/>
      <c r="H3297" s="16" t="str">
        <f>IF(ISBLANK(PARTIDAS!$G3297),PARTIDAS!$F3297,CONCATENATE(PARTIDAS!$F3297," (",PARTIDAS!$G3297,")"))</f>
        <v>Poliamidas -6, -11, -12, -6,6, -6,9, -6,10 o -6,12 (los demás)</v>
      </c>
      <c r="I3297" s="16" t="s">
        <v>9427</v>
      </c>
    </row>
    <row r="3298" spans="1:9" x14ac:dyDescent="0.25">
      <c r="A3298" s="16" t="s">
        <v>4203</v>
      </c>
      <c r="B3298" s="16" t="str">
        <f>TEXT(PARTIDA[[#This Row],[PARTIDA]],"0000000000")</f>
        <v>3908900000</v>
      </c>
      <c r="C3298" s="16" t="s">
        <v>815</v>
      </c>
      <c r="D3298" s="16" t="s">
        <v>835</v>
      </c>
      <c r="E3298" s="16" t="s">
        <v>9467</v>
      </c>
      <c r="F3298" s="27" t="s">
        <v>12250</v>
      </c>
      <c r="G3298" s="27"/>
      <c r="H3298" s="16" t="str">
        <f>IF(ISBLANK(PARTIDAS!$G3298),PARTIDAS!$F3298,CONCATENATE(PARTIDAS!$F3298," (",PARTIDAS!$G3298,")"))</f>
        <v>Poliamidas en formas primarias (los demás)</v>
      </c>
      <c r="I3298" s="16" t="s">
        <v>9427</v>
      </c>
    </row>
    <row r="3299" spans="1:9" x14ac:dyDescent="0.25">
      <c r="A3299" s="16" t="s">
        <v>4204</v>
      </c>
      <c r="B3299" s="16" t="str">
        <f>TEXT(PARTIDA[[#This Row],[PARTIDA]],"0000000000")</f>
        <v>3909101000</v>
      </c>
      <c r="C3299" s="16" t="s">
        <v>815</v>
      </c>
      <c r="D3299" s="16" t="s">
        <v>835</v>
      </c>
      <c r="E3299" s="16" t="s">
        <v>9467</v>
      </c>
      <c r="F3299" s="27" t="s">
        <v>12251</v>
      </c>
      <c r="G3299" s="27"/>
      <c r="H3299" s="16" t="str">
        <f>IF(ISBLANK(PARTIDAS!$G3299),PARTIDAS!$F3299,CONCATENATE(PARTIDAS!$F3299," (",PARTIDAS!$G3299,")"))</f>
        <v>Urea formaldehído para moldeo</v>
      </c>
      <c r="I3299" s="16" t="s">
        <v>9427</v>
      </c>
    </row>
    <row r="3300" spans="1:9" x14ac:dyDescent="0.25">
      <c r="A3300" s="16" t="s">
        <v>4205</v>
      </c>
      <c r="B3300" s="16" t="str">
        <f>TEXT(PARTIDA[[#This Row],[PARTIDA]],"0000000000")</f>
        <v>3909109000</v>
      </c>
      <c r="C3300" s="16" t="s">
        <v>815</v>
      </c>
      <c r="D3300" s="16" t="s">
        <v>835</v>
      </c>
      <c r="E3300" s="16" t="s">
        <v>9467</v>
      </c>
      <c r="F3300" s="27" t="s">
        <v>12252</v>
      </c>
      <c r="G3300" s="27"/>
      <c r="H3300" s="16" t="str">
        <f>IF(ISBLANK(PARTIDAS!$G3300),PARTIDAS!$F3300,CONCATENATE(PARTIDAS!$F3300," (",PARTIDAS!$G3300,")"))</f>
        <v>Resinas ureicas (los demás)</v>
      </c>
      <c r="I3300" s="16" t="s">
        <v>9427</v>
      </c>
    </row>
    <row r="3301" spans="1:9" x14ac:dyDescent="0.25">
      <c r="A3301" s="16" t="s">
        <v>4206</v>
      </c>
      <c r="B3301" s="16" t="str">
        <f>TEXT(PARTIDA[[#This Row],[PARTIDA]],"0000000000")</f>
        <v>3909201000</v>
      </c>
      <c r="C3301" s="16" t="s">
        <v>815</v>
      </c>
      <c r="D3301" s="16" t="s">
        <v>835</v>
      </c>
      <c r="E3301" s="16" t="s">
        <v>9467</v>
      </c>
      <c r="F3301" s="27" t="s">
        <v>12253</v>
      </c>
      <c r="G3301" s="27"/>
      <c r="H3301" s="16" t="str">
        <f>IF(ISBLANK(PARTIDAS!$G3301),PARTIDAS!$F3301,CONCATENATE(PARTIDAS!$F3301," (",PARTIDAS!$G3301,")"))</f>
        <v>Melamina formaldehído</v>
      </c>
      <c r="I3301" s="16" t="s">
        <v>9427</v>
      </c>
    </row>
    <row r="3302" spans="1:9" x14ac:dyDescent="0.25">
      <c r="A3302" s="16" t="s">
        <v>4207</v>
      </c>
      <c r="B3302" s="16" t="str">
        <f>TEXT(PARTIDA[[#This Row],[PARTIDA]],"0000000000")</f>
        <v>3909209000</v>
      </c>
      <c r="C3302" s="16" t="s">
        <v>815</v>
      </c>
      <c r="D3302" s="16" t="s">
        <v>835</v>
      </c>
      <c r="E3302" s="16" t="s">
        <v>9467</v>
      </c>
      <c r="F3302" s="27" t="s">
        <v>12254</v>
      </c>
      <c r="G3302" s="27"/>
      <c r="H3302" s="16" t="str">
        <f>IF(ISBLANK(PARTIDAS!$G3302),PARTIDAS!$F3302,CONCATENATE(PARTIDAS!$F3302," (",PARTIDAS!$G3302,")"))</f>
        <v>Resinas melamínicas (los demás)</v>
      </c>
      <c r="I3302" s="16" t="s">
        <v>9427</v>
      </c>
    </row>
    <row r="3303" spans="1:9" x14ac:dyDescent="0.25">
      <c r="A3303" s="16" t="s">
        <v>4208</v>
      </c>
      <c r="B3303" s="16" t="str">
        <f>TEXT(PARTIDA[[#This Row],[PARTIDA]],"0000000000")</f>
        <v>3909310000</v>
      </c>
      <c r="C3303" s="16" t="s">
        <v>815</v>
      </c>
      <c r="D3303" s="16" t="s">
        <v>835</v>
      </c>
      <c r="E3303" s="16" t="s">
        <v>9467</v>
      </c>
      <c r="F3303" s="27" t="s">
        <v>12255</v>
      </c>
      <c r="G3303" s="27"/>
      <c r="H3303" s="16" t="str">
        <f>IF(ISBLANK(PARTIDAS!$G3303),PARTIDAS!$F3303,CONCATENATE(PARTIDAS!$F3303," (",PARTIDAS!$G3303,")"))</f>
        <v>Poli(metilenfenilisocianato) (MDI en bruto, MDI polimérico)</v>
      </c>
      <c r="I3303" s="16" t="s">
        <v>9427</v>
      </c>
    </row>
    <row r="3304" spans="1:9" x14ac:dyDescent="0.25">
      <c r="A3304" s="16" t="s">
        <v>4209</v>
      </c>
      <c r="B3304" s="16" t="str">
        <f>TEXT(PARTIDA[[#This Row],[PARTIDA]],"0000000000")</f>
        <v>3909390000</v>
      </c>
      <c r="C3304" s="16" t="s">
        <v>815</v>
      </c>
      <c r="D3304" s="16" t="s">
        <v>835</v>
      </c>
      <c r="E3304" s="16" t="s">
        <v>9467</v>
      </c>
      <c r="F3304" s="27" t="s">
        <v>12256</v>
      </c>
      <c r="G3304" s="27"/>
      <c r="H3304" s="16" t="str">
        <f>IF(ISBLANK(PARTIDAS!$G3304),PARTIDAS!$F3304,CONCATENATE(PARTIDAS!$F3304," (",PARTIDAS!$G3304,")"))</f>
        <v>Resinas amínicas, resinas fenólicas y poliuretanos, en formas… (los demás)</v>
      </c>
      <c r="I3304" s="16" t="s">
        <v>9427</v>
      </c>
    </row>
    <row r="3305" spans="1:9" x14ac:dyDescent="0.25">
      <c r="A3305" s="16" t="s">
        <v>4210</v>
      </c>
      <c r="B3305" s="16" t="str">
        <f>TEXT(PARTIDA[[#This Row],[PARTIDA]],"0000000000")</f>
        <v>3909400000</v>
      </c>
      <c r="C3305" s="16" t="s">
        <v>815</v>
      </c>
      <c r="D3305" s="16" t="s">
        <v>835</v>
      </c>
      <c r="E3305" s="16" t="s">
        <v>9467</v>
      </c>
      <c r="F3305" s="27" t="s">
        <v>12257</v>
      </c>
      <c r="G3305" s="27"/>
      <c r="H3305" s="16" t="str">
        <f>IF(ISBLANK(PARTIDAS!$G3305),PARTIDAS!$F3305,CONCATENATE(PARTIDAS!$F3305," (",PARTIDAS!$G3305,")"))</f>
        <v>Resinas fenólicas</v>
      </c>
      <c r="I3305" s="16" t="s">
        <v>9427</v>
      </c>
    </row>
    <row r="3306" spans="1:9" x14ac:dyDescent="0.25">
      <c r="A3306" s="16" t="s">
        <v>4211</v>
      </c>
      <c r="B3306" s="16" t="str">
        <f>TEXT(PARTIDA[[#This Row],[PARTIDA]],"0000000000")</f>
        <v>3909500000</v>
      </c>
      <c r="C3306" s="16" t="s">
        <v>815</v>
      </c>
      <c r="D3306" s="16" t="s">
        <v>835</v>
      </c>
      <c r="E3306" s="16" t="s">
        <v>9467</v>
      </c>
      <c r="F3306" s="27" t="s">
        <v>12258</v>
      </c>
      <c r="G3306" s="27"/>
      <c r="H3306" s="16" t="str">
        <f>IF(ISBLANK(PARTIDAS!$G3306),PARTIDAS!$F3306,CONCATENATE(PARTIDAS!$F3306," (",PARTIDAS!$G3306,")"))</f>
        <v>Poliuretanos</v>
      </c>
      <c r="I3306" s="16" t="s">
        <v>9427</v>
      </c>
    </row>
    <row r="3307" spans="1:9" x14ac:dyDescent="0.25">
      <c r="A3307" s="16" t="s">
        <v>4212</v>
      </c>
      <c r="B3307" s="16" t="str">
        <f>TEXT(PARTIDA[[#This Row],[PARTIDA]],"0000000000")</f>
        <v>3910001000</v>
      </c>
      <c r="C3307" s="16" t="s">
        <v>815</v>
      </c>
      <c r="D3307" s="16" t="s">
        <v>835</v>
      </c>
      <c r="E3307" s="16" t="s">
        <v>9467</v>
      </c>
      <c r="F3307" s="27" t="s">
        <v>12259</v>
      </c>
      <c r="G3307" s="27"/>
      <c r="H3307" s="16" t="str">
        <f>IF(ISBLANK(PARTIDAS!$G3307),PARTIDAS!$F3307,CONCATENATE(PARTIDAS!$F3307," (",PARTIDAS!$G3307,")"))</f>
        <v>Dispersiones (emulsiones o suspensiones) o disoluciones</v>
      </c>
      <c r="I3307" s="16" t="s">
        <v>9427</v>
      </c>
    </row>
    <row r="3308" spans="1:9" x14ac:dyDescent="0.25">
      <c r="A3308" s="16" t="s">
        <v>4213</v>
      </c>
      <c r="B3308" s="16" t="str">
        <f>TEXT(PARTIDA[[#This Row],[PARTIDA]],"0000000000")</f>
        <v>3910009000</v>
      </c>
      <c r="C3308" s="16" t="s">
        <v>815</v>
      </c>
      <c r="D3308" s="16" t="s">
        <v>835</v>
      </c>
      <c r="E3308" s="16" t="s">
        <v>9467</v>
      </c>
      <c r="F3308" s="27" t="s">
        <v>12256</v>
      </c>
      <c r="G3308" s="27"/>
      <c r="H3308" s="16" t="str">
        <f>IF(ISBLANK(PARTIDAS!$G3308),PARTIDAS!$F3308,CONCATENATE(PARTIDAS!$F3308," (",PARTIDAS!$G3308,")"))</f>
        <v>Resinas amínicas, resinas fenólicas y poliuretanos, en formas… (los demás)</v>
      </c>
      <c r="I3308" s="16" t="s">
        <v>9427</v>
      </c>
    </row>
    <row r="3309" spans="1:9" x14ac:dyDescent="0.25">
      <c r="A3309" s="16" t="s">
        <v>4214</v>
      </c>
      <c r="B3309" s="16" t="str">
        <f>TEXT(PARTIDA[[#This Row],[PARTIDA]],"0000000000")</f>
        <v>3911101000</v>
      </c>
      <c r="C3309" s="16" t="s">
        <v>815</v>
      </c>
      <c r="D3309" s="16" t="s">
        <v>835</v>
      </c>
      <c r="E3309" s="16" t="s">
        <v>9467</v>
      </c>
      <c r="F3309" s="27" t="s">
        <v>12260</v>
      </c>
      <c r="G3309" s="27"/>
      <c r="H3309" s="16" t="str">
        <f>IF(ISBLANK(PARTIDAS!$G3309),PARTIDAS!$F3309,CONCATENATE(PARTIDAS!$F3309," (",PARTIDAS!$G3309,")"))</f>
        <v>Resinas de cumarona-indeno</v>
      </c>
      <c r="I3309" s="16" t="s">
        <v>9427</v>
      </c>
    </row>
    <row r="3310" spans="1:9" x14ac:dyDescent="0.25">
      <c r="A3310" s="16" t="s">
        <v>4215</v>
      </c>
      <c r="B3310" s="16" t="str">
        <f>TEXT(PARTIDA[[#This Row],[PARTIDA]],"0000000000")</f>
        <v>3911109000</v>
      </c>
      <c r="C3310" s="16" t="s">
        <v>815</v>
      </c>
      <c r="D3310" s="16" t="s">
        <v>835</v>
      </c>
      <c r="E3310" s="16" t="s">
        <v>9467</v>
      </c>
      <c r="F3310" s="27" t="s">
        <v>12261</v>
      </c>
      <c r="G3310" s="27"/>
      <c r="H3310" s="16" t="str">
        <f>IF(ISBLANK(PARTIDAS!$G3310),PARTIDAS!$F3310,CONCATENATE(PARTIDAS!$F3310," (",PARTIDAS!$G3310,")"))</f>
        <v>Resinas de petróleo, resinas de cumarona, resinas de indeno, resinas… (los demás)</v>
      </c>
      <c r="I3310" s="16" t="s">
        <v>9427</v>
      </c>
    </row>
    <row r="3311" spans="1:9" x14ac:dyDescent="0.25">
      <c r="A3311" s="16" t="s">
        <v>12262</v>
      </c>
      <c r="B3311" s="16" t="str">
        <f>TEXT(PARTIDA[[#This Row],[PARTIDA]],"0000000000")</f>
        <v>3911200000</v>
      </c>
      <c r="C3311" s="16" t="s">
        <v>815</v>
      </c>
      <c r="D3311" s="16" t="s">
        <v>835</v>
      </c>
      <c r="E3311" s="16" t="s">
        <v>9467</v>
      </c>
      <c r="F3311" s="27" t="s">
        <v>12263</v>
      </c>
      <c r="G3311" s="27"/>
      <c r="H3311" s="16" t="str">
        <f>IF(ISBLANK(PARTIDAS!$G3311),PARTIDAS!$F3311,CONCATENATE(PARTIDAS!$F3311," (",PARTIDAS!$G3311,")"))</f>
        <v>Poli(1,3-fenilen metilfosfonato)</v>
      </c>
      <c r="I3311" s="16" t="s">
        <v>9427</v>
      </c>
    </row>
    <row r="3312" spans="1:9" x14ac:dyDescent="0.25">
      <c r="A3312" s="16" t="s">
        <v>4216</v>
      </c>
      <c r="B3312" s="16" t="str">
        <f>TEXT(PARTIDA[[#This Row],[PARTIDA]],"0000000000")</f>
        <v>3911900000</v>
      </c>
      <c r="C3312" s="16" t="s">
        <v>815</v>
      </c>
      <c r="D3312" s="16" t="s">
        <v>835</v>
      </c>
      <c r="E3312" s="16" t="s">
        <v>9467</v>
      </c>
      <c r="F3312" s="27" t="s">
        <v>12264</v>
      </c>
      <c r="G3312" s="27"/>
      <c r="H3312" s="16" t="str">
        <f>IF(ISBLANK(PARTIDAS!$G3312),PARTIDAS!$F3312,CONCATENATE(PARTIDAS!$F3312," (",PARTIDAS!$G3312,")"))</f>
        <v>Resinas de petróleo, resinas de cumarona-indeno, politerpenos… (los demás)</v>
      </c>
      <c r="I3312" s="16" t="s">
        <v>9427</v>
      </c>
    </row>
    <row r="3313" spans="1:9" x14ac:dyDescent="0.25">
      <c r="A3313" s="16" t="s">
        <v>4217</v>
      </c>
      <c r="B3313" s="16" t="str">
        <f>TEXT(PARTIDA[[#This Row],[PARTIDA]],"0000000000")</f>
        <v>3912110000</v>
      </c>
      <c r="C3313" s="16" t="s">
        <v>815</v>
      </c>
      <c r="D3313" s="16" t="s">
        <v>835</v>
      </c>
      <c r="E3313" s="16" t="s">
        <v>9467</v>
      </c>
      <c r="F3313" s="27" t="s">
        <v>12265</v>
      </c>
      <c r="G3313" s="27"/>
      <c r="H3313" s="16" t="str">
        <f>IF(ISBLANK(PARTIDAS!$G3313),PARTIDAS!$F3313,CONCATENATE(PARTIDAS!$F3313," (",PARTIDAS!$G3313,")"))</f>
        <v>Acetatos de celulosa, sin plastificar</v>
      </c>
      <c r="I3313" s="16" t="s">
        <v>9427</v>
      </c>
    </row>
    <row r="3314" spans="1:9" x14ac:dyDescent="0.25">
      <c r="A3314" s="16" t="s">
        <v>4218</v>
      </c>
      <c r="B3314" s="16" t="str">
        <f>TEXT(PARTIDA[[#This Row],[PARTIDA]],"0000000000")</f>
        <v>3912120000</v>
      </c>
      <c r="C3314" s="16" t="s">
        <v>815</v>
      </c>
      <c r="D3314" s="16" t="s">
        <v>835</v>
      </c>
      <c r="E3314" s="16" t="s">
        <v>9467</v>
      </c>
      <c r="F3314" s="27" t="s">
        <v>12266</v>
      </c>
      <c r="G3314" s="27"/>
      <c r="H3314" s="16" t="str">
        <f>IF(ISBLANK(PARTIDAS!$G3314),PARTIDAS!$F3314,CONCATENATE(PARTIDAS!$F3314," (",PARTIDAS!$G3314,")"))</f>
        <v>Acetatos de celulosa, plastificados</v>
      </c>
      <c r="I3314" s="16" t="s">
        <v>9427</v>
      </c>
    </row>
    <row r="3315" spans="1:9" x14ac:dyDescent="0.25">
      <c r="A3315" s="16" t="s">
        <v>4219</v>
      </c>
      <c r="B3315" s="16" t="str">
        <f>TEXT(PARTIDA[[#This Row],[PARTIDA]],"0000000000")</f>
        <v>3912201000</v>
      </c>
      <c r="C3315" s="16" t="s">
        <v>815</v>
      </c>
      <c r="D3315" s="16" t="s">
        <v>835</v>
      </c>
      <c r="E3315" s="16" t="s">
        <v>9467</v>
      </c>
      <c r="F3315" s="27" t="s">
        <v>12267</v>
      </c>
      <c r="G3315" s="27"/>
      <c r="H3315" s="16" t="str">
        <f>IF(ISBLANK(PARTIDAS!$G3315),PARTIDAS!$F3315,CONCATENATE(PARTIDAS!$F3315," (",PARTIDAS!$G3315,")"))</f>
        <v>Colodiones y demás disoluciones y dispersiones (emulsiones o suspensiones)</v>
      </c>
      <c r="I3315" s="16" t="s">
        <v>9427</v>
      </c>
    </row>
    <row r="3316" spans="1:9" x14ac:dyDescent="0.25">
      <c r="A3316" s="16" t="s">
        <v>4220</v>
      </c>
      <c r="B3316" s="16" t="str">
        <f>TEXT(PARTIDA[[#This Row],[PARTIDA]],"0000000000")</f>
        <v>3912209000</v>
      </c>
      <c r="C3316" s="16" t="s">
        <v>815</v>
      </c>
      <c r="D3316" s="16" t="s">
        <v>835</v>
      </c>
      <c r="E3316" s="16" t="s">
        <v>9467</v>
      </c>
      <c r="F3316" s="27" t="s">
        <v>12268</v>
      </c>
      <c r="G3316" s="27"/>
      <c r="H3316" s="16" t="str">
        <f>IF(ISBLANK(PARTIDAS!$G3316),PARTIDAS!$F3316,CONCATENATE(PARTIDAS!$F3316," (",PARTIDAS!$G3316,")"))</f>
        <v>Nitratos de celulosa (incluidos los colodiones) (los demás)</v>
      </c>
      <c r="I3316" s="16" t="s">
        <v>9427</v>
      </c>
    </row>
    <row r="3317" spans="1:9" x14ac:dyDescent="0.25">
      <c r="A3317" s="16" t="s">
        <v>4221</v>
      </c>
      <c r="B3317" s="16" t="str">
        <f>TEXT(PARTIDA[[#This Row],[PARTIDA]],"0000000000")</f>
        <v>3912310000</v>
      </c>
      <c r="C3317" s="16" t="s">
        <v>815</v>
      </c>
      <c r="D3317" s="16" t="s">
        <v>835</v>
      </c>
      <c r="E3317" s="16" t="s">
        <v>9467</v>
      </c>
      <c r="F3317" s="27" t="s">
        <v>12269</v>
      </c>
      <c r="G3317" s="27"/>
      <c r="H3317" s="16" t="str">
        <f>IF(ISBLANK(PARTIDAS!$G3317),PARTIDAS!$F3317,CONCATENATE(PARTIDAS!$F3317," (",PARTIDAS!$G3317,")"))</f>
        <v>Carboximetilcelulosa y sus sales</v>
      </c>
      <c r="I3317" s="16" t="s">
        <v>9427</v>
      </c>
    </row>
    <row r="3318" spans="1:9" x14ac:dyDescent="0.25">
      <c r="A3318" s="16" t="s">
        <v>4222</v>
      </c>
      <c r="B3318" s="16" t="str">
        <f>TEXT(PARTIDA[[#This Row],[PARTIDA]],"0000000000")</f>
        <v>3912390010</v>
      </c>
      <c r="C3318" s="16" t="s">
        <v>815</v>
      </c>
      <c r="D3318" s="16" t="s">
        <v>835</v>
      </c>
      <c r="E3318" s="16" t="s">
        <v>9467</v>
      </c>
      <c r="F3318" s="27" t="s">
        <v>12270</v>
      </c>
      <c r="G3318" s="27"/>
      <c r="H3318" s="16" t="str">
        <f>IF(ISBLANK(PARTIDAS!$G3318),PARTIDAS!$F3318,CONCATENATE(PARTIDAS!$F3318," (",PARTIDAS!$G3318,")"))</f>
        <v>Éteres de celulosa, sin plastificar</v>
      </c>
      <c r="I3318" s="16" t="s">
        <v>9427</v>
      </c>
    </row>
    <row r="3319" spans="1:9" x14ac:dyDescent="0.25">
      <c r="A3319" s="16" t="s">
        <v>4223</v>
      </c>
      <c r="B3319" s="16" t="str">
        <f>TEXT(PARTIDA[[#This Row],[PARTIDA]],"0000000000")</f>
        <v>3912390020</v>
      </c>
      <c r="C3319" s="16" t="s">
        <v>815</v>
      </c>
      <c r="D3319" s="16" t="s">
        <v>835</v>
      </c>
      <c r="E3319" s="16" t="s">
        <v>9467</v>
      </c>
      <c r="F3319" s="27" t="s">
        <v>12271</v>
      </c>
      <c r="G3319" s="27"/>
      <c r="H3319" s="16" t="str">
        <f>IF(ISBLANK(PARTIDAS!$G3319),PARTIDAS!$F3319,CONCATENATE(PARTIDAS!$F3319," (",PARTIDAS!$G3319,")"))</f>
        <v>Éteres de celulosa, plastificados</v>
      </c>
      <c r="I3319" s="16" t="s">
        <v>9427</v>
      </c>
    </row>
    <row r="3320" spans="1:9" x14ac:dyDescent="0.25">
      <c r="A3320" s="16" t="s">
        <v>4224</v>
      </c>
      <c r="B3320" s="16" t="str">
        <f>TEXT(PARTIDA[[#This Row],[PARTIDA]],"0000000000")</f>
        <v>3912900000</v>
      </c>
      <c r="C3320" s="16" t="s">
        <v>815</v>
      </c>
      <c r="D3320" s="16" t="s">
        <v>835</v>
      </c>
      <c r="E3320" s="16" t="s">
        <v>9467</v>
      </c>
      <c r="F3320" s="27" t="s">
        <v>3267</v>
      </c>
      <c r="G3320" s="27"/>
      <c r="H3320" s="16" t="str">
        <f>IF(ISBLANK(PARTIDAS!$G3320),PARTIDAS!$F3320,CONCATENATE(PARTIDAS!$F3320," (",PARTIDAS!$G3320,")"))</f>
        <v>Aditivos químicos</v>
      </c>
      <c r="I3320" s="16" t="s">
        <v>9427</v>
      </c>
    </row>
    <row r="3321" spans="1:9" x14ac:dyDescent="0.25">
      <c r="A3321" s="16" t="s">
        <v>4225</v>
      </c>
      <c r="B3321" s="16" t="str">
        <f>TEXT(PARTIDA[[#This Row],[PARTIDA]],"0000000000")</f>
        <v>3913100000</v>
      </c>
      <c r="C3321" s="16" t="s">
        <v>815</v>
      </c>
      <c r="D3321" s="16" t="s">
        <v>835</v>
      </c>
      <c r="E3321" s="16" t="s">
        <v>9467</v>
      </c>
      <c r="F3321" s="27" t="s">
        <v>12272</v>
      </c>
      <c r="G3321" s="27"/>
      <c r="H3321" s="16" t="str">
        <f>IF(ISBLANK(PARTIDAS!$G3321),PARTIDAS!$F3321,CONCATENATE(PARTIDAS!$F3321," (",PARTIDAS!$G3321,")"))</f>
        <v>Ácido algínico, sus sales y sus ésteres</v>
      </c>
      <c r="I3321" s="16" t="s">
        <v>9427</v>
      </c>
    </row>
    <row r="3322" spans="1:9" x14ac:dyDescent="0.25">
      <c r="A3322" s="16" t="s">
        <v>4226</v>
      </c>
      <c r="B3322" s="16" t="str">
        <f>TEXT(PARTIDA[[#This Row],[PARTIDA]],"0000000000")</f>
        <v>3913901000</v>
      </c>
      <c r="C3322" s="16" t="s">
        <v>815</v>
      </c>
      <c r="D3322" s="16" t="s">
        <v>835</v>
      </c>
      <c r="E3322" s="16" t="s">
        <v>9467</v>
      </c>
      <c r="F3322" s="27" t="s">
        <v>12273</v>
      </c>
      <c r="G3322" s="27"/>
      <c r="H3322" s="16" t="str">
        <f>IF(ISBLANK(PARTIDAS!$G3322),PARTIDAS!$F3322,CONCATENATE(PARTIDAS!$F3322," (",PARTIDAS!$G3322,")"))</f>
        <v>Caucho clorado</v>
      </c>
      <c r="I3322" s="16" t="s">
        <v>9427</v>
      </c>
    </row>
    <row r="3323" spans="1:9" x14ac:dyDescent="0.25">
      <c r="A3323" s="16" t="s">
        <v>4227</v>
      </c>
      <c r="B3323" s="16" t="str">
        <f>TEXT(PARTIDA[[#This Row],[PARTIDA]],"0000000000")</f>
        <v>3913903000</v>
      </c>
      <c r="C3323" s="16" t="s">
        <v>815</v>
      </c>
      <c r="D3323" s="16" t="s">
        <v>835</v>
      </c>
      <c r="E3323" s="16" t="s">
        <v>9467</v>
      </c>
      <c r="F3323" s="27" t="s">
        <v>12274</v>
      </c>
      <c r="G3323" s="27"/>
      <c r="H3323" s="16" t="str">
        <f>IF(ISBLANK(PARTIDAS!$G3323),PARTIDAS!$F3323,CONCATENATE(PARTIDAS!$F3323," (",PARTIDAS!$G3323,")"))</f>
        <v>Polímeros naturales (por ejemplo (los demás, derivados químicos del caucho natural)</v>
      </c>
      <c r="I3323" s="16" t="s">
        <v>9427</v>
      </c>
    </row>
    <row r="3324" spans="1:9" x14ac:dyDescent="0.25">
      <c r="A3324" s="16" t="s">
        <v>4228</v>
      </c>
      <c r="B3324" s="16" t="str">
        <f>TEXT(PARTIDA[[#This Row],[PARTIDA]],"0000000000")</f>
        <v>3913904000</v>
      </c>
      <c r="C3324" s="16" t="s">
        <v>815</v>
      </c>
      <c r="D3324" s="16" t="s">
        <v>835</v>
      </c>
      <c r="E3324" s="16" t="s">
        <v>9467</v>
      </c>
      <c r="F3324" s="27" t="s">
        <v>12275</v>
      </c>
      <c r="G3324" s="27"/>
      <c r="H3324" s="16" t="str">
        <f>IF(ISBLANK(PARTIDAS!$G3324),PARTIDAS!$F3324,CONCATENATE(PARTIDAS!$F3324," (",PARTIDAS!$G3324,")"))</f>
        <v>Polímeros naturales (por ejemplo (los demás, polímeros naturales modificados)</v>
      </c>
      <c r="I3324" s="16" t="s">
        <v>9427</v>
      </c>
    </row>
    <row r="3325" spans="1:9" x14ac:dyDescent="0.25">
      <c r="A3325" s="16" t="s">
        <v>4229</v>
      </c>
      <c r="B3325" s="16" t="str">
        <f>TEXT(PARTIDA[[#This Row],[PARTIDA]],"0000000000")</f>
        <v>3913909000</v>
      </c>
      <c r="C3325" s="16" t="s">
        <v>815</v>
      </c>
      <c r="D3325" s="16" t="s">
        <v>835</v>
      </c>
      <c r="E3325" s="16" t="s">
        <v>9467</v>
      </c>
      <c r="F3325" s="27" t="s">
        <v>3267</v>
      </c>
      <c r="G3325" s="27"/>
      <c r="H3325" s="16" t="str">
        <f>IF(ISBLANK(PARTIDAS!$G3325),PARTIDAS!$F3325,CONCATENATE(PARTIDAS!$F3325," (",PARTIDAS!$G3325,")"))</f>
        <v>Aditivos químicos</v>
      </c>
      <c r="I3325" s="16" t="s">
        <v>9427</v>
      </c>
    </row>
    <row r="3326" spans="1:9" x14ac:dyDescent="0.25">
      <c r="A3326" s="16" t="s">
        <v>4230</v>
      </c>
      <c r="B3326" s="16" t="str">
        <f>TEXT(PARTIDA[[#This Row],[PARTIDA]],"0000000000")</f>
        <v>3914000000</v>
      </c>
      <c r="C3326" s="16" t="s">
        <v>815</v>
      </c>
      <c r="D3326" s="16" t="s">
        <v>835</v>
      </c>
      <c r="E3326" s="16" t="s">
        <v>9467</v>
      </c>
      <c r="F3326" s="27" t="s">
        <v>4231</v>
      </c>
      <c r="G3326" s="27"/>
      <c r="H3326" s="16" t="str">
        <f>IF(ISBLANK(PARTIDAS!$G3326),PARTIDAS!$F3326,CONCATENATE(PARTIDAS!$F3326," (",PARTIDAS!$G3326,")"))</f>
        <v>Intercambiadores de iones a base de polímeros
de las partidas 39.01 a 39.13, en formas
primarias.</v>
      </c>
      <c r="I3326" s="16" t="s">
        <v>9427</v>
      </c>
    </row>
    <row r="3327" spans="1:9" x14ac:dyDescent="0.25">
      <c r="A3327" s="16" t="s">
        <v>4232</v>
      </c>
      <c r="B3327" s="16" t="str">
        <f>TEXT(PARTIDA[[#This Row],[PARTIDA]],"0000000000")</f>
        <v>3915100000</v>
      </c>
      <c r="C3327" s="16" t="s">
        <v>815</v>
      </c>
      <c r="D3327" s="16" t="s">
        <v>835</v>
      </c>
      <c r="E3327" s="16" t="s">
        <v>844</v>
      </c>
      <c r="F3327" s="27" t="s">
        <v>12276</v>
      </c>
      <c r="G3327" s="27"/>
      <c r="H3327" s="16" t="str">
        <f>IF(ISBLANK(PARTIDAS!$G3327),PARTIDAS!$F3327,CONCATENATE(PARTIDAS!$F3327," (",PARTIDAS!$G3327,")"))</f>
        <v>Desechos, desperdicios y recortes, de plástico, de polímeros de etileno</v>
      </c>
      <c r="I3327" s="16" t="s">
        <v>9427</v>
      </c>
    </row>
    <row r="3328" spans="1:9" x14ac:dyDescent="0.25">
      <c r="A3328" s="16" t="s">
        <v>4233</v>
      </c>
      <c r="B3328" s="16" t="str">
        <f>TEXT(PARTIDA[[#This Row],[PARTIDA]],"0000000000")</f>
        <v>3915200000</v>
      </c>
      <c r="C3328" s="16" t="s">
        <v>815</v>
      </c>
      <c r="D3328" s="16" t="s">
        <v>835</v>
      </c>
      <c r="E3328" s="16" t="s">
        <v>844</v>
      </c>
      <c r="F3328" s="27" t="s">
        <v>12277</v>
      </c>
      <c r="G3328" s="27"/>
      <c r="H3328" s="16" t="str">
        <f>IF(ISBLANK(PARTIDAS!$G3328),PARTIDAS!$F3328,CONCATENATE(PARTIDAS!$F3328," (",PARTIDAS!$G3328,")"))</f>
        <v>Desechos, desperdicios y recortes, de plástico, de polímeros de estireno</v>
      </c>
      <c r="I3328" s="16" t="s">
        <v>9427</v>
      </c>
    </row>
    <row r="3329" spans="1:9" x14ac:dyDescent="0.25">
      <c r="A3329" s="16" t="s">
        <v>4234</v>
      </c>
      <c r="B3329" s="16" t="str">
        <f>TEXT(PARTIDA[[#This Row],[PARTIDA]],"0000000000")</f>
        <v>3915300000</v>
      </c>
      <c r="C3329" s="16" t="s">
        <v>815</v>
      </c>
      <c r="D3329" s="16" t="s">
        <v>835</v>
      </c>
      <c r="E3329" s="16" t="s">
        <v>844</v>
      </c>
      <c r="F3329" s="27" t="s">
        <v>12278</v>
      </c>
      <c r="G3329" s="27"/>
      <c r="H3329" s="16" t="str">
        <f>IF(ISBLANK(PARTIDAS!$G3329),PARTIDAS!$F3329,CONCATENATE(PARTIDAS!$F3329," (",PARTIDAS!$G3329,")"))</f>
        <v>Desechos, desperdicios y recortes, de plástico, de polímeros de cloruro de vinilo</v>
      </c>
      <c r="I3329" s="16" t="s">
        <v>9427</v>
      </c>
    </row>
    <row r="3330" spans="1:9" x14ac:dyDescent="0.25">
      <c r="A3330" s="16" t="s">
        <v>4235</v>
      </c>
      <c r="B3330" s="16" t="str">
        <f>TEXT(PARTIDA[[#This Row],[PARTIDA]],"0000000000")</f>
        <v>3915900000</v>
      </c>
      <c r="C3330" s="16" t="s">
        <v>815</v>
      </c>
      <c r="D3330" s="16" t="s">
        <v>835</v>
      </c>
      <c r="E3330" s="16" t="s">
        <v>844</v>
      </c>
      <c r="F3330" s="27" t="s">
        <v>12279</v>
      </c>
      <c r="G3330" s="27"/>
      <c r="H3330" s="16" t="str">
        <f>IF(ISBLANK(PARTIDAS!$G3330),PARTIDAS!$F3330,CONCATENATE(PARTIDAS!$F3330," (",PARTIDAS!$G3330,")"))</f>
        <v>Desechos, desperdicios y recortes, de plástico, de los demás plásticos</v>
      </c>
      <c r="I3330" s="16" t="s">
        <v>9427</v>
      </c>
    </row>
    <row r="3331" spans="1:9" x14ac:dyDescent="0.25">
      <c r="A3331" s="16" t="s">
        <v>4236</v>
      </c>
      <c r="B3331" s="16" t="str">
        <f>TEXT(PARTIDA[[#This Row],[PARTIDA]],"0000000000")</f>
        <v>3916100000</v>
      </c>
      <c r="C3331" s="16" t="s">
        <v>815</v>
      </c>
      <c r="D3331" s="16" t="s">
        <v>835</v>
      </c>
      <c r="E3331" s="16" t="s">
        <v>844</v>
      </c>
      <c r="F3331" s="27" t="s">
        <v>12280</v>
      </c>
      <c r="G3331" s="27"/>
      <c r="H3331" s="16" t="str">
        <f>IF(ISBLANK(PARTIDAS!$G3331),PARTIDAS!$F3331,CONCATENATE(PARTIDAS!$F3331," (",PARTIDAS!$G3331,")"))</f>
        <v>Monofilamentos cuya mayor dimensión de la sección transversal sea…, de polímeros de etileno</v>
      </c>
      <c r="I3331" s="16" t="s">
        <v>9427</v>
      </c>
    </row>
    <row r="3332" spans="1:9" x14ac:dyDescent="0.25">
      <c r="A3332" s="16" t="s">
        <v>4237</v>
      </c>
      <c r="B3332" s="16" t="str">
        <f>TEXT(PARTIDA[[#This Row],[PARTIDA]],"0000000000")</f>
        <v>3916200000</v>
      </c>
      <c r="C3332" s="16" t="s">
        <v>815</v>
      </c>
      <c r="D3332" s="16" t="s">
        <v>835</v>
      </c>
      <c r="E3332" s="16" t="s">
        <v>844</v>
      </c>
      <c r="F3332" s="27" t="s">
        <v>12281</v>
      </c>
      <c r="G3332" s="27"/>
      <c r="H3332" s="16" t="str">
        <f>IF(ISBLANK(PARTIDAS!$G3332),PARTIDAS!$F3332,CONCATENATE(PARTIDAS!$F3332," (",PARTIDAS!$G3332,")"))</f>
        <v>Monofilamentos cuya mayor dimensión de la sección transversal sea…, de polímeros de cloruro de vinilo</v>
      </c>
      <c r="I3332" s="16" t="s">
        <v>9427</v>
      </c>
    </row>
    <row r="3333" spans="1:9" x14ac:dyDescent="0.25">
      <c r="A3333" s="16" t="s">
        <v>4238</v>
      </c>
      <c r="B3333" s="16" t="str">
        <f>TEXT(PARTIDA[[#This Row],[PARTIDA]],"0000000000")</f>
        <v>3916900000</v>
      </c>
      <c r="C3333" s="16" t="s">
        <v>815</v>
      </c>
      <c r="D3333" s="16" t="s">
        <v>835</v>
      </c>
      <c r="E3333" s="16" t="s">
        <v>844</v>
      </c>
      <c r="F3333" s="27" t="s">
        <v>12282</v>
      </c>
      <c r="G3333" s="27"/>
      <c r="H3333" s="16" t="str">
        <f>IF(ISBLANK(PARTIDAS!$G3333),PARTIDAS!$F3333,CONCATENATE(PARTIDAS!$F3333," (",PARTIDAS!$G3333,")"))</f>
        <v>Monofilamentos cuya mayor dimensión de la sección transversal sea…, de los demás plásticos</v>
      </c>
      <c r="I3333" s="16" t="s">
        <v>9427</v>
      </c>
    </row>
    <row r="3334" spans="1:9" x14ac:dyDescent="0.25">
      <c r="A3334" s="16" t="s">
        <v>4239</v>
      </c>
      <c r="B3334" s="16" t="str">
        <f>TEXT(PARTIDA[[#This Row],[PARTIDA]],"0000000000")</f>
        <v>3917100000</v>
      </c>
      <c r="C3334" s="16" t="s">
        <v>860</v>
      </c>
      <c r="D3334" s="16" t="s">
        <v>861</v>
      </c>
      <c r="E3334" s="16" t="s">
        <v>9473</v>
      </c>
      <c r="F3334" s="27" t="s">
        <v>12283</v>
      </c>
      <c r="G3334" s="27"/>
      <c r="H3334" s="16" t="str">
        <f>IF(ISBLANK(PARTIDAS!$G3334),PARTIDAS!$F3334,CONCATENATE(PARTIDAS!$F3334," (",PARTIDAS!$G3334,")"))</f>
        <v>Tripas artificiales de proteínas endurecidas o de plásticos celulósicos</v>
      </c>
      <c r="I3334" s="16" t="s">
        <v>9427</v>
      </c>
    </row>
    <row r="3335" spans="1:9" x14ac:dyDescent="0.25">
      <c r="A3335" s="16" t="s">
        <v>4240</v>
      </c>
      <c r="B3335" s="16" t="str">
        <f>TEXT(PARTIDA[[#This Row],[PARTIDA]],"0000000000")</f>
        <v>3917211000</v>
      </c>
      <c r="C3335" s="16" t="s">
        <v>860</v>
      </c>
      <c r="D3335" s="16" t="s">
        <v>861</v>
      </c>
      <c r="E3335" s="16" t="s">
        <v>9473</v>
      </c>
      <c r="F3335" s="27" t="s">
        <v>12284</v>
      </c>
      <c r="G3335" s="27"/>
      <c r="H3335" s="16" t="str">
        <f>IF(ISBLANK(PARTIDAS!$G3335),PARTIDAS!$F3335,CONCATENATE(PARTIDAS!$F3335," (",PARTIDAS!$G3335,")"))</f>
        <v>Tubos rígidos, de polímeros de etileno, para sistemas de riego por goteo, por aspersión u otros</v>
      </c>
      <c r="I3335" s="16" t="s">
        <v>9427</v>
      </c>
    </row>
    <row r="3336" spans="1:9" x14ac:dyDescent="0.25">
      <c r="A3336" s="16" t="s">
        <v>4241</v>
      </c>
      <c r="B3336" s="16" t="str">
        <f>TEXT(PARTIDA[[#This Row],[PARTIDA]],"0000000000")</f>
        <v>3917219000</v>
      </c>
      <c r="C3336" s="16" t="s">
        <v>860</v>
      </c>
      <c r="D3336" s="16" t="s">
        <v>861</v>
      </c>
      <c r="E3336" s="16" t="s">
        <v>9473</v>
      </c>
      <c r="F3336" s="27" t="s">
        <v>9401</v>
      </c>
      <c r="G3336" s="27"/>
      <c r="H3336" s="16" t="str">
        <f>IF(ISBLANK(PARTIDAS!$G3336),PARTIDAS!$F3336,CONCATENATE(PARTIDAS!$F3336," (",PARTIDAS!$G3336,")"))</f>
        <v>Tubos rígidos, de polímeros de etileno (los demás)</v>
      </c>
      <c r="I3336" s="16" t="s">
        <v>9477</v>
      </c>
    </row>
    <row r="3337" spans="1:9" x14ac:dyDescent="0.25">
      <c r="A3337" s="16" t="s">
        <v>4242</v>
      </c>
      <c r="B3337" s="16" t="str">
        <f>TEXT(PARTIDA[[#This Row],[PARTIDA]],"0000000000")</f>
        <v>3917220000</v>
      </c>
      <c r="C3337" s="16" t="s">
        <v>860</v>
      </c>
      <c r="D3337" s="16" t="s">
        <v>861</v>
      </c>
      <c r="E3337" s="16" t="s">
        <v>9473</v>
      </c>
      <c r="F3337" s="27" t="s">
        <v>12285</v>
      </c>
      <c r="G3337" s="27"/>
      <c r="H3337" s="16" t="str">
        <f>IF(ISBLANK(PARTIDAS!$G3337),PARTIDAS!$F3337,CONCATENATE(PARTIDAS!$F3337," (",PARTIDAS!$G3337,")"))</f>
        <v>Tubos rígidos, de polímeros de propileno</v>
      </c>
      <c r="I3337" s="16" t="s">
        <v>9427</v>
      </c>
    </row>
    <row r="3338" spans="1:9" x14ac:dyDescent="0.25">
      <c r="A3338" s="16" t="s">
        <v>4243</v>
      </c>
      <c r="B3338" s="16" t="str">
        <f>TEXT(PARTIDA[[#This Row],[PARTIDA]],"0000000000")</f>
        <v>3917231000</v>
      </c>
      <c r="C3338" s="16" t="s">
        <v>860</v>
      </c>
      <c r="D3338" s="16" t="s">
        <v>861</v>
      </c>
      <c r="E3338" s="16" t="s">
        <v>9473</v>
      </c>
      <c r="F3338" s="27" t="s">
        <v>12286</v>
      </c>
      <c r="G3338" s="27"/>
      <c r="H3338" s="16" t="str">
        <f>IF(ISBLANK(PARTIDAS!$G3338),PARTIDAS!$F3338,CONCATENATE(PARTIDAS!$F3338," (",PARTIDAS!$G3338,")"))</f>
        <v>Tubos rígidos, de polímeros de cloruro de vinilo, para sistemas de riego por goteo, por aspersión u otros</v>
      </c>
      <c r="I3338" s="16" t="s">
        <v>9427</v>
      </c>
    </row>
    <row r="3339" spans="1:9" x14ac:dyDescent="0.25">
      <c r="A3339" s="16" t="s">
        <v>4244</v>
      </c>
      <c r="B3339" s="16" t="str">
        <f>TEXT(PARTIDA[[#This Row],[PARTIDA]],"0000000000")</f>
        <v>3917239000</v>
      </c>
      <c r="C3339" s="16" t="s">
        <v>860</v>
      </c>
      <c r="D3339" s="16" t="s">
        <v>861</v>
      </c>
      <c r="E3339" s="16" t="s">
        <v>9473</v>
      </c>
      <c r="F3339" s="27" t="s">
        <v>9399</v>
      </c>
      <c r="G3339" s="27"/>
      <c r="H3339" s="16" t="str">
        <f>IF(ISBLANK(PARTIDAS!$G3339),PARTIDAS!$F3339,CONCATENATE(PARTIDAS!$F3339," (",PARTIDAS!$G3339,")"))</f>
        <v>Tubos rígidos, de polímeros de cloruro de vinilo (los demás)</v>
      </c>
      <c r="I3339" s="16" t="s">
        <v>9477</v>
      </c>
    </row>
    <row r="3340" spans="1:9" x14ac:dyDescent="0.25">
      <c r="A3340" s="16" t="s">
        <v>4245</v>
      </c>
      <c r="B3340" s="16" t="str">
        <f>TEXT(PARTIDA[[#This Row],[PARTIDA]],"0000000000")</f>
        <v>3917291000</v>
      </c>
      <c r="C3340" s="16" t="s">
        <v>860</v>
      </c>
      <c r="D3340" s="16" t="s">
        <v>861</v>
      </c>
      <c r="E3340" s="16" t="s">
        <v>9473</v>
      </c>
      <c r="F3340" s="27" t="s">
        <v>12287</v>
      </c>
      <c r="G3340" s="27"/>
      <c r="H3340" s="16" t="str">
        <f>IF(ISBLANK(PARTIDAS!$G3340),PARTIDAS!$F3340,CONCATENATE(PARTIDAS!$F3340," (",PARTIDAS!$G3340,")"))</f>
        <v>Tubos rígidos, de los demás plásticos, de fibra vulcanizada</v>
      </c>
      <c r="I3340" s="16" t="s">
        <v>9427</v>
      </c>
    </row>
    <row r="3341" spans="1:9" x14ac:dyDescent="0.25">
      <c r="A3341" s="16" t="s">
        <v>4246</v>
      </c>
      <c r="B3341" s="16" t="str">
        <f>TEXT(PARTIDA[[#This Row],[PARTIDA]],"0000000000")</f>
        <v>3917299100</v>
      </c>
      <c r="C3341" s="16" t="s">
        <v>860</v>
      </c>
      <c r="D3341" s="16" t="s">
        <v>861</v>
      </c>
      <c r="E3341" s="16" t="s">
        <v>9473</v>
      </c>
      <c r="F3341" s="27" t="s">
        <v>12288</v>
      </c>
      <c r="G3341" s="27"/>
      <c r="H3341" s="16" t="str">
        <f>IF(ISBLANK(PARTIDAS!$G3341),PARTIDAS!$F3341,CONCATENATE(PARTIDAS!$F3341," (",PARTIDAS!$G3341,")"))</f>
        <v>Tubos rígidos, de los demás plásticos, para sistemas de riego por goteo, por aspersión u otros</v>
      </c>
      <c r="I3341" s="16" t="s">
        <v>9427</v>
      </c>
    </row>
    <row r="3342" spans="1:9" x14ac:dyDescent="0.25">
      <c r="A3342" s="16" t="s">
        <v>4247</v>
      </c>
      <c r="B3342" s="16" t="str">
        <f>TEXT(PARTIDA[[#This Row],[PARTIDA]],"0000000000")</f>
        <v>3917299900</v>
      </c>
      <c r="C3342" s="16" t="s">
        <v>860</v>
      </c>
      <c r="D3342" s="16" t="s">
        <v>861</v>
      </c>
      <c r="E3342" s="16" t="s">
        <v>9473</v>
      </c>
      <c r="F3342" s="27" t="s">
        <v>4248</v>
      </c>
      <c r="G3342" s="27"/>
      <c r="H3342" s="16" t="str">
        <f>IF(ISBLANK(PARTIDAS!$G3342),PARTIDAS!$F3342,CONCATENATE(PARTIDAS!$F3342," (",PARTIDAS!$G3342,")"))</f>
        <v>Tubos</v>
      </c>
      <c r="I3342" s="16" t="s">
        <v>9427</v>
      </c>
    </row>
    <row r="3343" spans="1:9" x14ac:dyDescent="0.25">
      <c r="A3343" s="16" t="s">
        <v>4249</v>
      </c>
      <c r="B3343" s="16" t="str">
        <f>TEXT(PARTIDA[[#This Row],[PARTIDA]],"0000000000")</f>
        <v>3917310000</v>
      </c>
      <c r="C3343" s="16" t="s">
        <v>860</v>
      </c>
      <c r="D3343" s="16" t="s">
        <v>861</v>
      </c>
      <c r="E3343" s="16" t="s">
        <v>9473</v>
      </c>
      <c r="F3343" s="27" t="s">
        <v>12289</v>
      </c>
      <c r="G3343" s="27"/>
      <c r="H3343" s="16" t="str">
        <f>IF(ISBLANK(PARTIDAS!$G3343),PARTIDAS!$F3343,CONCATENATE(PARTIDAS!$F3343," (",PARTIDAS!$G3343,")"))</f>
        <v>Tubos flexibles para una presión superior o igual a 27,6 MPa</v>
      </c>
      <c r="I3343" s="16" t="s">
        <v>9427</v>
      </c>
    </row>
    <row r="3344" spans="1:9" x14ac:dyDescent="0.25">
      <c r="A3344" s="16" t="s">
        <v>4250</v>
      </c>
      <c r="B3344" s="16" t="str">
        <f>TEXT(PARTIDA[[#This Row],[PARTIDA]],"0000000000")</f>
        <v>3917321000</v>
      </c>
      <c r="C3344" s="16" t="s">
        <v>860</v>
      </c>
      <c r="D3344" s="16" t="s">
        <v>861</v>
      </c>
      <c r="E3344" s="16" t="s">
        <v>9473</v>
      </c>
      <c r="F3344" s="27" t="s">
        <v>12290</v>
      </c>
      <c r="G3344" s="27"/>
      <c r="H3344" s="16" t="str">
        <f>IF(ISBLANK(PARTIDAS!$G3344),PARTIDAS!$F3344,CONCATENATE(PARTIDAS!$F3344," (",PARTIDAS!$G3344,")"))</f>
        <v>Tripas artificiales, excepto las de la subpartida 3917.10.00</v>
      </c>
      <c r="I3344" s="16" t="s">
        <v>9427</v>
      </c>
    </row>
    <row r="3345" spans="1:9" x14ac:dyDescent="0.25">
      <c r="A3345" s="16" t="s">
        <v>4251</v>
      </c>
      <c r="B3345" s="16" t="str">
        <f>TEXT(PARTIDA[[#This Row],[PARTIDA]],"0000000000")</f>
        <v>3917329100</v>
      </c>
      <c r="C3345" s="16" t="s">
        <v>860</v>
      </c>
      <c r="D3345" s="16" t="s">
        <v>861</v>
      </c>
      <c r="E3345" s="16" t="s">
        <v>9473</v>
      </c>
      <c r="F3345" s="27" t="s">
        <v>12291</v>
      </c>
      <c r="G3345" s="27"/>
      <c r="H3345" s="16" t="str">
        <f>IF(ISBLANK(PARTIDAS!$G3345),PARTIDAS!$F3345,CONCATENATE(PARTIDAS!$F3345," (",PARTIDAS!$G3345,")"))</f>
        <v>Tubos y accesorios de tubería (por ejemplo, para sistemas de riego por goteo, por aspersión u otros</v>
      </c>
      <c r="I3345" s="16" t="s">
        <v>9427</v>
      </c>
    </row>
    <row r="3346" spans="1:9" x14ac:dyDescent="0.25">
      <c r="A3346" s="16" t="s">
        <v>4252</v>
      </c>
      <c r="B3346" s="16" t="str">
        <f>TEXT(PARTIDA[[#This Row],[PARTIDA]],"0000000000")</f>
        <v>3917329900</v>
      </c>
      <c r="C3346" s="16" t="s">
        <v>860</v>
      </c>
      <c r="D3346" s="16" t="s">
        <v>861</v>
      </c>
      <c r="E3346" s="16" t="s">
        <v>9473</v>
      </c>
      <c r="F3346" s="27" t="s">
        <v>4248</v>
      </c>
      <c r="G3346" s="27"/>
      <c r="H3346" s="16" t="str">
        <f>IF(ISBLANK(PARTIDAS!$G3346),PARTIDAS!$F3346,CONCATENATE(PARTIDAS!$F3346," (",PARTIDAS!$G3346,")"))</f>
        <v>Tubos</v>
      </c>
      <c r="I3346" s="16" t="s">
        <v>9427</v>
      </c>
    </row>
    <row r="3347" spans="1:9" x14ac:dyDescent="0.25">
      <c r="A3347" s="16" t="s">
        <v>4253</v>
      </c>
      <c r="B3347" s="16" t="str">
        <f>TEXT(PARTIDA[[#This Row],[PARTIDA]],"0000000000")</f>
        <v>3917331000</v>
      </c>
      <c r="C3347" s="16" t="s">
        <v>860</v>
      </c>
      <c r="D3347" s="16" t="s">
        <v>861</v>
      </c>
      <c r="E3347" s="16" t="s">
        <v>9473</v>
      </c>
      <c r="F3347" s="27" t="s">
        <v>12291</v>
      </c>
      <c r="G3347" s="27"/>
      <c r="H3347" s="16" t="str">
        <f>IF(ISBLANK(PARTIDAS!$G3347),PARTIDAS!$F3347,CONCATENATE(PARTIDAS!$F3347," (",PARTIDAS!$G3347,")"))</f>
        <v>Tubos y accesorios de tubería (por ejemplo, para sistemas de riego por goteo, por aspersión u otros</v>
      </c>
      <c r="I3347" s="16" t="s">
        <v>9427</v>
      </c>
    </row>
    <row r="3348" spans="1:9" x14ac:dyDescent="0.25">
      <c r="A3348" s="16" t="s">
        <v>4254</v>
      </c>
      <c r="B3348" s="16" t="str">
        <f>TEXT(PARTIDA[[#This Row],[PARTIDA]],"0000000000")</f>
        <v>3917339000</v>
      </c>
      <c r="C3348" s="16" t="s">
        <v>860</v>
      </c>
      <c r="D3348" s="16" t="s">
        <v>861</v>
      </c>
      <c r="E3348" s="16" t="s">
        <v>9473</v>
      </c>
      <c r="F3348" s="27" t="s">
        <v>12292</v>
      </c>
      <c r="G3348" s="27"/>
      <c r="H3348" s="16" t="str">
        <f>IF(ISBLANK(PARTIDAS!$G3348),PARTIDAS!$F3348,CONCATENATE(PARTIDAS!$F3348," (",PARTIDAS!$G3348,")"))</f>
        <v>Tubos y accesorios de tubería (por ejemplo (los demás)</v>
      </c>
      <c r="I3348" s="16" t="s">
        <v>9427</v>
      </c>
    </row>
    <row r="3349" spans="1:9" x14ac:dyDescent="0.25">
      <c r="A3349" s="16" t="s">
        <v>4255</v>
      </c>
      <c r="B3349" s="16" t="str">
        <f>TEXT(PARTIDA[[#This Row],[PARTIDA]],"0000000000")</f>
        <v>3917391000</v>
      </c>
      <c r="C3349" s="16" t="s">
        <v>860</v>
      </c>
      <c r="D3349" s="16" t="s">
        <v>861</v>
      </c>
      <c r="E3349" s="16" t="s">
        <v>9473</v>
      </c>
      <c r="F3349" s="27" t="s">
        <v>12291</v>
      </c>
      <c r="G3349" s="27"/>
      <c r="H3349" s="16" t="str">
        <f>IF(ISBLANK(PARTIDAS!$G3349),PARTIDAS!$F3349,CONCATENATE(PARTIDAS!$F3349," (",PARTIDAS!$G3349,")"))</f>
        <v>Tubos y accesorios de tubería (por ejemplo, para sistemas de riego por goteo, por aspersión u otros</v>
      </c>
      <c r="I3349" s="16" t="s">
        <v>9427</v>
      </c>
    </row>
    <row r="3350" spans="1:9" x14ac:dyDescent="0.25">
      <c r="A3350" s="16" t="s">
        <v>4256</v>
      </c>
      <c r="B3350" s="16" t="str">
        <f>TEXT(PARTIDA[[#This Row],[PARTIDA]],"0000000000")</f>
        <v>3917399000</v>
      </c>
      <c r="C3350" s="16" t="s">
        <v>860</v>
      </c>
      <c r="D3350" s="16" t="s">
        <v>861</v>
      </c>
      <c r="E3350" s="16" t="s">
        <v>9473</v>
      </c>
      <c r="F3350" s="27" t="s">
        <v>12292</v>
      </c>
      <c r="G3350" s="27"/>
      <c r="H3350" s="16" t="str">
        <f>IF(ISBLANK(PARTIDAS!$G3350),PARTIDAS!$F3350,CONCATENATE(PARTIDAS!$F3350," (",PARTIDAS!$G3350,")"))</f>
        <v>Tubos y accesorios de tubería (por ejemplo (los demás)</v>
      </c>
      <c r="I3350" s="16" t="s">
        <v>9427</v>
      </c>
    </row>
    <row r="3351" spans="1:9" x14ac:dyDescent="0.25">
      <c r="A3351" s="16" t="s">
        <v>4257</v>
      </c>
      <c r="B3351" s="16" t="str">
        <f>TEXT(PARTIDA[[#This Row],[PARTIDA]],"0000000000")</f>
        <v>3917400000</v>
      </c>
      <c r="C3351" s="16" t="s">
        <v>860</v>
      </c>
      <c r="D3351" s="16" t="s">
        <v>861</v>
      </c>
      <c r="E3351" s="16" t="s">
        <v>9473</v>
      </c>
      <c r="F3351" s="27" t="s">
        <v>12293</v>
      </c>
      <c r="G3351" s="27"/>
      <c r="H3351" s="16" t="str">
        <f>IF(ISBLANK(PARTIDAS!$G3351),PARTIDAS!$F3351,CONCATENATE(PARTIDAS!$F3351," (",PARTIDAS!$G3351,")"))</f>
        <v>Accesorios</v>
      </c>
      <c r="I3351" s="16" t="s">
        <v>9427</v>
      </c>
    </row>
    <row r="3352" spans="1:9" x14ac:dyDescent="0.25">
      <c r="A3352" s="16" t="s">
        <v>4258</v>
      </c>
      <c r="B3352" s="16" t="str">
        <f>TEXT(PARTIDA[[#This Row],[PARTIDA]],"0000000000")</f>
        <v>3918101000</v>
      </c>
      <c r="C3352" s="16" t="s">
        <v>860</v>
      </c>
      <c r="D3352" s="16" t="s">
        <v>861</v>
      </c>
      <c r="E3352" s="16" t="s">
        <v>9473</v>
      </c>
      <c r="F3352" s="27" t="s">
        <v>12294</v>
      </c>
      <c r="G3352" s="27"/>
      <c r="H3352" s="16" t="str">
        <f>IF(ISBLANK(PARTIDAS!$G3352),PARTIDAS!$F3352,CONCATENATE(PARTIDAS!$F3352," (",PARTIDAS!$G3352,")"))</f>
        <v>Revestimientos para suelos</v>
      </c>
      <c r="I3352" s="16" t="s">
        <v>9427</v>
      </c>
    </row>
    <row r="3353" spans="1:9" x14ac:dyDescent="0.25">
      <c r="A3353" s="16" t="s">
        <v>4259</v>
      </c>
      <c r="B3353" s="16" t="str">
        <f>TEXT(PARTIDA[[#This Row],[PARTIDA]],"0000000000")</f>
        <v>3918109000</v>
      </c>
      <c r="C3353" s="16" t="s">
        <v>860</v>
      </c>
      <c r="D3353" s="16" t="s">
        <v>861</v>
      </c>
      <c r="E3353" s="16" t="s">
        <v>9473</v>
      </c>
      <c r="F3353" s="27" t="s">
        <v>12295</v>
      </c>
      <c r="G3353" s="27"/>
      <c r="H3353" s="16" t="str">
        <f>IF(ISBLANK(PARTIDAS!$G3353),PARTIDAS!$F3353,CONCATENATE(PARTIDAS!$F3353," (",PARTIDAS!$G3353,")"))</f>
        <v>Revestimientos de plástico para suelos, incluso…, de polímeros de cloruro de vinilo (los demás)</v>
      </c>
      <c r="I3353" s="16" t="s">
        <v>9427</v>
      </c>
    </row>
    <row r="3354" spans="1:9" x14ac:dyDescent="0.25">
      <c r="A3354" s="16" t="s">
        <v>4260</v>
      </c>
      <c r="B3354" s="16" t="str">
        <f>TEXT(PARTIDA[[#This Row],[PARTIDA]],"0000000000")</f>
        <v>3918901000</v>
      </c>
      <c r="C3354" s="16" t="s">
        <v>860</v>
      </c>
      <c r="D3354" s="16" t="s">
        <v>861</v>
      </c>
      <c r="E3354" s="16" t="s">
        <v>9473</v>
      </c>
      <c r="F3354" s="27" t="s">
        <v>12294</v>
      </c>
      <c r="G3354" s="27"/>
      <c r="H3354" s="16" t="str">
        <f>IF(ISBLANK(PARTIDAS!$G3354),PARTIDAS!$F3354,CONCATENATE(PARTIDAS!$F3354," (",PARTIDAS!$G3354,")"))</f>
        <v>Revestimientos para suelos</v>
      </c>
      <c r="I3354" s="16" t="s">
        <v>9427</v>
      </c>
    </row>
    <row r="3355" spans="1:9" x14ac:dyDescent="0.25">
      <c r="A3355" s="16" t="s">
        <v>4261</v>
      </c>
      <c r="B3355" s="16" t="str">
        <f>TEXT(PARTIDA[[#This Row],[PARTIDA]],"0000000000")</f>
        <v>3918909000</v>
      </c>
      <c r="C3355" s="16" t="s">
        <v>860</v>
      </c>
      <c r="D3355" s="16" t="s">
        <v>861</v>
      </c>
      <c r="E3355" s="16" t="s">
        <v>9473</v>
      </c>
      <c r="F3355" s="27" t="s">
        <v>12296</v>
      </c>
      <c r="G3355" s="27"/>
      <c r="H3355" s="16" t="str">
        <f>IF(ISBLANK(PARTIDAS!$G3355),PARTIDAS!$F3355,CONCATENATE(PARTIDAS!$F3355," (",PARTIDAS!$G3355,")"))</f>
        <v>Revestimientos de plástico para suelos, incluso…, de los demás plásticos (los demás)</v>
      </c>
      <c r="I3355" s="16" t="s">
        <v>9427</v>
      </c>
    </row>
    <row r="3356" spans="1:9" x14ac:dyDescent="0.25">
      <c r="A3356" s="16" t="s">
        <v>4262</v>
      </c>
      <c r="B3356" s="16" t="str">
        <f>TEXT(PARTIDA[[#This Row],[PARTIDA]],"0000000000")</f>
        <v>3919100000</v>
      </c>
      <c r="C3356" s="16" t="s">
        <v>860</v>
      </c>
      <c r="D3356" s="16" t="s">
        <v>861</v>
      </c>
      <c r="E3356" s="16" t="s">
        <v>9473</v>
      </c>
      <c r="F3356" s="27" t="s">
        <v>4263</v>
      </c>
      <c r="G3356" s="27"/>
      <c r="H3356" s="16" t="str">
        <f>IF(ISBLANK(PARTIDAS!$G3356),PARTIDAS!$F3356,CONCATENATE(PARTIDAS!$F3356," (",PARTIDAS!$G3356,")"))</f>
        <v>Cintas</v>
      </c>
      <c r="I3356" s="16" t="s">
        <v>9427</v>
      </c>
    </row>
    <row r="3357" spans="1:9" x14ac:dyDescent="0.25">
      <c r="A3357" s="16" t="s">
        <v>4264</v>
      </c>
      <c r="B3357" s="16" t="str">
        <f>TEXT(PARTIDA[[#This Row],[PARTIDA]],"0000000000")</f>
        <v>3919901100</v>
      </c>
      <c r="C3357" s="16" t="s">
        <v>860</v>
      </c>
      <c r="D3357" s="16" t="s">
        <v>861</v>
      </c>
      <c r="E3357" s="16" t="s">
        <v>9473</v>
      </c>
      <c r="F3357" s="27" t="s">
        <v>12297</v>
      </c>
      <c r="G3357" s="27"/>
      <c r="H3357" s="16" t="str">
        <f>IF(ISBLANK(PARTIDAS!$G3357),PARTIDAS!$F3357,CONCATENATE(PARTIDAS!$F3357," (",PARTIDAS!$G3357,")"))</f>
        <v>Placas, láminas, hojas, cintas, tiras y demás formas…, de polímeros de etileno, en rollos de anchura inferior o igual a 1 m</v>
      </c>
      <c r="I3357" s="16" t="s">
        <v>9427</v>
      </c>
    </row>
    <row r="3358" spans="1:9" x14ac:dyDescent="0.25">
      <c r="A3358" s="16" t="s">
        <v>4265</v>
      </c>
      <c r="B3358" s="16" t="str">
        <f>TEXT(PARTIDA[[#This Row],[PARTIDA]],"0000000000")</f>
        <v>3919901900</v>
      </c>
      <c r="C3358" s="16" t="s">
        <v>860</v>
      </c>
      <c r="D3358" s="16" t="s">
        <v>861</v>
      </c>
      <c r="E3358" s="16" t="s">
        <v>9473</v>
      </c>
      <c r="F3358" s="27" t="s">
        <v>12298</v>
      </c>
      <c r="G3358" s="27"/>
      <c r="H3358" s="16" t="str">
        <f>IF(ISBLANK(PARTIDAS!$G3358),PARTIDAS!$F3358,CONCATENATE(PARTIDAS!$F3358," (",PARTIDAS!$G3358,")"))</f>
        <v>Placas, láminas, hojas, cintas, tiras y demás formas…, de polímeros de etileno (los demás)</v>
      </c>
      <c r="I3358" s="16" t="s">
        <v>9427</v>
      </c>
    </row>
    <row r="3359" spans="1:9" x14ac:dyDescent="0.25">
      <c r="A3359" s="16" t="s">
        <v>4266</v>
      </c>
      <c r="B3359" s="16" t="str">
        <f>TEXT(PARTIDA[[#This Row],[PARTIDA]],"0000000000")</f>
        <v>3919909000</v>
      </c>
      <c r="C3359" s="16" t="s">
        <v>860</v>
      </c>
      <c r="D3359" s="16" t="s">
        <v>861</v>
      </c>
      <c r="E3359" s="16" t="s">
        <v>9473</v>
      </c>
      <c r="F3359" s="27" t="s">
        <v>4263</v>
      </c>
      <c r="G3359" s="27"/>
      <c r="H3359" s="16" t="str">
        <f>IF(ISBLANK(PARTIDAS!$G3359),PARTIDAS!$F3359,CONCATENATE(PARTIDAS!$F3359," (",PARTIDAS!$G3359,")"))</f>
        <v>Cintas</v>
      </c>
      <c r="I3359" s="16" t="s">
        <v>9427</v>
      </c>
    </row>
    <row r="3360" spans="1:9" x14ac:dyDescent="0.25">
      <c r="A3360" s="16" t="s">
        <v>4267</v>
      </c>
      <c r="B3360" s="16" t="str">
        <f>TEXT(PARTIDA[[#This Row],[PARTIDA]],"0000000000")</f>
        <v>3920100000</v>
      </c>
      <c r="C3360" s="16" t="s">
        <v>815</v>
      </c>
      <c r="D3360" s="16" t="s">
        <v>835</v>
      </c>
      <c r="E3360" s="16" t="s">
        <v>844</v>
      </c>
      <c r="F3360" s="27" t="s">
        <v>12299</v>
      </c>
      <c r="G3360" s="27"/>
      <c r="H3360" s="16" t="str">
        <f>IF(ISBLANK(PARTIDAS!$G3360),PARTIDAS!$F3360,CONCATENATE(PARTIDAS!$F3360," (",PARTIDAS!$G3360,")"))</f>
        <v>Plástico y sus manufacturas, de polímeros de etileno</v>
      </c>
      <c r="I3360" s="16" t="s">
        <v>9427</v>
      </c>
    </row>
    <row r="3361" spans="1:9" x14ac:dyDescent="0.25">
      <c r="A3361" s="16" t="s">
        <v>4268</v>
      </c>
      <c r="B3361" s="16" t="str">
        <f>TEXT(PARTIDA[[#This Row],[PARTIDA]],"0000000000")</f>
        <v>3920201000</v>
      </c>
      <c r="C3361" s="16" t="s">
        <v>815</v>
      </c>
      <c r="D3361" s="16" t="s">
        <v>835</v>
      </c>
      <c r="E3361" s="16" t="s">
        <v>844</v>
      </c>
      <c r="F3361" s="27" t="s">
        <v>12300</v>
      </c>
      <c r="G3361" s="27"/>
      <c r="H3361" s="16" t="str">
        <f>IF(ISBLANK(PARTIDAS!$G3361),PARTIDAS!$F3361,CONCATENATE(PARTIDAS!$F3361," (",PARTIDAS!$G3361,")"))</f>
        <v>Plástico y sus manufacturas, de polímeros de propileno, de polipropileno metalizada hasta de 25 micrones de espesor</v>
      </c>
      <c r="I3361" s="16" t="s">
        <v>9427</v>
      </c>
    </row>
    <row r="3362" spans="1:9" x14ac:dyDescent="0.25">
      <c r="A3362" s="16" t="s">
        <v>4269</v>
      </c>
      <c r="B3362" s="16" t="str">
        <f>TEXT(PARTIDA[[#This Row],[PARTIDA]],"0000000000")</f>
        <v>3920209000</v>
      </c>
      <c r="C3362" s="16" t="s">
        <v>815</v>
      </c>
      <c r="D3362" s="16" t="s">
        <v>835</v>
      </c>
      <c r="E3362" s="16" t="s">
        <v>844</v>
      </c>
      <c r="F3362" s="27" t="s">
        <v>12301</v>
      </c>
      <c r="G3362" s="27"/>
      <c r="H3362" s="16" t="str">
        <f>IF(ISBLANK(PARTIDAS!$G3362),PARTIDAS!$F3362,CONCATENATE(PARTIDAS!$F3362," (",PARTIDAS!$G3362,")"))</f>
        <v>Plástico y sus manufacturas, de polímeros de propileno (los demás)</v>
      </c>
      <c r="I3362" s="16" t="s">
        <v>9427</v>
      </c>
    </row>
    <row r="3363" spans="1:9" x14ac:dyDescent="0.25">
      <c r="A3363" s="16" t="s">
        <v>4270</v>
      </c>
      <c r="B3363" s="16" t="str">
        <f>TEXT(PARTIDA[[#This Row],[PARTIDA]],"0000000000")</f>
        <v>3920301000</v>
      </c>
      <c r="C3363" s="16" t="s">
        <v>815</v>
      </c>
      <c r="D3363" s="16" t="s">
        <v>835</v>
      </c>
      <c r="E3363" s="16" t="s">
        <v>844</v>
      </c>
      <c r="F3363" s="27" t="s">
        <v>12302</v>
      </c>
      <c r="G3363" s="27"/>
      <c r="H3363" s="16" t="str">
        <f>IF(ISBLANK(PARTIDAS!$G3363),PARTIDAS!$F3363,CONCATENATE(PARTIDAS!$F3363," (",PARTIDAS!$G3363,")"))</f>
        <v>Plástico y sus manufacturas, de polímeros de estireno, de espesor inferior o igual a 5 mm</v>
      </c>
      <c r="I3363" s="16" t="s">
        <v>9427</v>
      </c>
    </row>
    <row r="3364" spans="1:9" x14ac:dyDescent="0.25">
      <c r="A3364" s="16" t="s">
        <v>4271</v>
      </c>
      <c r="B3364" s="16" t="str">
        <f>TEXT(PARTIDA[[#This Row],[PARTIDA]],"0000000000")</f>
        <v>3920309000</v>
      </c>
      <c r="C3364" s="16" t="s">
        <v>815</v>
      </c>
      <c r="D3364" s="16" t="s">
        <v>835</v>
      </c>
      <c r="E3364" s="16" t="s">
        <v>844</v>
      </c>
      <c r="F3364" s="27" t="s">
        <v>12303</v>
      </c>
      <c r="G3364" s="27"/>
      <c r="H3364" s="16" t="str">
        <f>IF(ISBLANK(PARTIDAS!$G3364),PARTIDAS!$F3364,CONCATENATE(PARTIDAS!$F3364," (",PARTIDAS!$G3364,")"))</f>
        <v>Plástico y sus manufacturas, de polímeros de estireno (los demás)</v>
      </c>
      <c r="I3364" s="16" t="s">
        <v>9427</v>
      </c>
    </row>
    <row r="3365" spans="1:9" x14ac:dyDescent="0.25">
      <c r="A3365" s="16" t="s">
        <v>4272</v>
      </c>
      <c r="B3365" s="16" t="str">
        <f>TEXT(PARTIDA[[#This Row],[PARTIDA]],"0000000000")</f>
        <v>3920430000</v>
      </c>
      <c r="C3365" s="16" t="s">
        <v>815</v>
      </c>
      <c r="D3365" s="16" t="s">
        <v>835</v>
      </c>
      <c r="E3365" s="16" t="s">
        <v>844</v>
      </c>
      <c r="F3365" s="27" t="s">
        <v>12304</v>
      </c>
      <c r="G3365" s="27"/>
      <c r="H3365" s="16" t="str">
        <f>IF(ISBLANK(PARTIDAS!$G3365),PARTIDAS!$F3365,CONCATENATE(PARTIDAS!$F3365," (",PARTIDAS!$G3365,")"))</f>
        <v>Plástico y sus manufacturas, de polímeros de cloruro de vinilo, con un contenido de plastificantes superior o igual al 6 % en peso</v>
      </c>
      <c r="I3365" s="16" t="s">
        <v>9427</v>
      </c>
    </row>
    <row r="3366" spans="1:9" x14ac:dyDescent="0.25">
      <c r="A3366" s="16" t="s">
        <v>4273</v>
      </c>
      <c r="B3366" s="16" t="str">
        <f>TEXT(PARTIDA[[#This Row],[PARTIDA]],"0000000000")</f>
        <v>3920490000</v>
      </c>
      <c r="C3366" s="16" t="s">
        <v>815</v>
      </c>
      <c r="D3366" s="16" t="s">
        <v>835</v>
      </c>
      <c r="E3366" s="16" t="s">
        <v>844</v>
      </c>
      <c r="F3366" s="27" t="s">
        <v>12305</v>
      </c>
      <c r="G3366" s="27"/>
      <c r="H3366" s="16" t="str">
        <f>IF(ISBLANK(PARTIDAS!$G3366),PARTIDAS!$F3366,CONCATENATE(PARTIDAS!$F3366," (",PARTIDAS!$G3366,")"))</f>
        <v>Plástico y sus manufacturas, de polímeros de cloruro de vinilo (los demás)</v>
      </c>
      <c r="I3366" s="16" t="s">
        <v>9427</v>
      </c>
    </row>
    <row r="3367" spans="1:9" x14ac:dyDescent="0.25">
      <c r="A3367" s="16" t="s">
        <v>4274</v>
      </c>
      <c r="B3367" s="16" t="str">
        <f>TEXT(PARTIDA[[#This Row],[PARTIDA]],"0000000000")</f>
        <v>3920510000</v>
      </c>
      <c r="C3367" s="16" t="s">
        <v>815</v>
      </c>
      <c r="D3367" s="16" t="s">
        <v>835</v>
      </c>
      <c r="E3367" s="16" t="s">
        <v>844</v>
      </c>
      <c r="F3367" s="27" t="s">
        <v>12306</v>
      </c>
      <c r="G3367" s="27"/>
      <c r="H3367" s="16" t="str">
        <f>IF(ISBLANK(PARTIDAS!$G3367),PARTIDAS!$F3367,CONCATENATE(PARTIDAS!$F3367," (",PARTIDAS!$G3367,")"))</f>
        <v>Plástico y sus manufacturas, de polímeros acrílicos, de poli(metacrilato de metilo)</v>
      </c>
      <c r="I3367" s="16" t="s">
        <v>9427</v>
      </c>
    </row>
    <row r="3368" spans="1:9" x14ac:dyDescent="0.25">
      <c r="A3368" s="16" t="s">
        <v>4275</v>
      </c>
      <c r="B3368" s="16" t="str">
        <f>TEXT(PARTIDA[[#This Row],[PARTIDA]],"0000000000")</f>
        <v>3920590000</v>
      </c>
      <c r="C3368" s="16" t="s">
        <v>815</v>
      </c>
      <c r="D3368" s="16" t="s">
        <v>835</v>
      </c>
      <c r="E3368" s="16" t="s">
        <v>844</v>
      </c>
      <c r="F3368" s="27" t="s">
        <v>12307</v>
      </c>
      <c r="G3368" s="27"/>
      <c r="H3368" s="16" t="str">
        <f>IF(ISBLANK(PARTIDAS!$G3368),PARTIDAS!$F3368,CONCATENATE(PARTIDAS!$F3368," (",PARTIDAS!$G3368,")"))</f>
        <v>Plástico y sus manufacturas, de polímeros acrílicos (los demás)</v>
      </c>
      <c r="I3368" s="16" t="s">
        <v>9427</v>
      </c>
    </row>
    <row r="3369" spans="1:9" x14ac:dyDescent="0.25">
      <c r="A3369" s="16" t="s">
        <v>4276</v>
      </c>
      <c r="B3369" s="16" t="str">
        <f>TEXT(PARTIDA[[#This Row],[PARTIDA]],"0000000000")</f>
        <v>3920610000</v>
      </c>
      <c r="C3369" s="16" t="s">
        <v>815</v>
      </c>
      <c r="D3369" s="16" t="s">
        <v>835</v>
      </c>
      <c r="E3369" s="16" t="s">
        <v>844</v>
      </c>
      <c r="F3369" s="27" t="s">
        <v>12308</v>
      </c>
      <c r="G3369" s="27"/>
      <c r="H3369" s="16" t="str">
        <f>IF(ISBLANK(PARTIDAS!$G3369),PARTIDAS!$F3369,CONCATENATE(PARTIDAS!$F3369," (",PARTIDAS!$G3369,")"))</f>
        <v>Plástico y sus manufacturas, de policarbonatos, resinas alcídicas, poliésteres alílicos o demás…, de policarbonatos</v>
      </c>
      <c r="I3369" s="16" t="s">
        <v>9427</v>
      </c>
    </row>
    <row r="3370" spans="1:9" x14ac:dyDescent="0.25">
      <c r="A3370" s="16" t="s">
        <v>4277</v>
      </c>
      <c r="B3370" s="16" t="str">
        <f>TEXT(PARTIDA[[#This Row],[PARTIDA]],"0000000000")</f>
        <v>3920620000</v>
      </c>
      <c r="C3370" s="16" t="s">
        <v>815</v>
      </c>
      <c r="D3370" s="16" t="s">
        <v>835</v>
      </c>
      <c r="E3370" s="16" t="s">
        <v>844</v>
      </c>
      <c r="F3370" s="27" t="s">
        <v>12309</v>
      </c>
      <c r="G3370" s="27"/>
      <c r="H3370" s="16" t="str">
        <f>IF(ISBLANK(PARTIDAS!$G3370),PARTIDAS!$F3370,CONCATENATE(PARTIDAS!$F3370," (",PARTIDAS!$G3370,")"))</f>
        <v>Plástico y sus manufacturas, de policarbonatos, resinas alcídicas, poliésteres alílicos o demás…, de poli(tereftalato de etileno)</v>
      </c>
      <c r="I3370" s="16" t="s">
        <v>9427</v>
      </c>
    </row>
    <row r="3371" spans="1:9" x14ac:dyDescent="0.25">
      <c r="A3371" s="16" t="s">
        <v>4278</v>
      </c>
      <c r="B3371" s="16" t="str">
        <f>TEXT(PARTIDA[[#This Row],[PARTIDA]],"0000000000")</f>
        <v>3920630000</v>
      </c>
      <c r="C3371" s="16" t="s">
        <v>815</v>
      </c>
      <c r="D3371" s="16" t="s">
        <v>835</v>
      </c>
      <c r="E3371" s="16" t="s">
        <v>844</v>
      </c>
      <c r="F3371" s="27" t="s">
        <v>12310</v>
      </c>
      <c r="G3371" s="27"/>
      <c r="H3371" s="16" t="str">
        <f>IF(ISBLANK(PARTIDAS!$G3371),PARTIDAS!$F3371,CONCATENATE(PARTIDAS!$F3371," (",PARTIDAS!$G3371,")"))</f>
        <v>Plástico y sus manufacturas, de policarbonatos, resinas alcídicas, poliésteres alílicos o demás…, de poliésteres no saturados</v>
      </c>
      <c r="I3371" s="16" t="s">
        <v>9427</v>
      </c>
    </row>
    <row r="3372" spans="1:9" x14ac:dyDescent="0.25">
      <c r="A3372" s="16" t="s">
        <v>4279</v>
      </c>
      <c r="B3372" s="16" t="str">
        <f>TEXT(PARTIDA[[#This Row],[PARTIDA]],"0000000000")</f>
        <v>3920690000</v>
      </c>
      <c r="C3372" s="16" t="s">
        <v>815</v>
      </c>
      <c r="D3372" s="16" t="s">
        <v>835</v>
      </c>
      <c r="E3372" s="16" t="s">
        <v>844</v>
      </c>
      <c r="F3372" s="27" t="s">
        <v>12311</v>
      </c>
      <c r="G3372" s="27"/>
      <c r="H3372" s="16" t="str">
        <f>IF(ISBLANK(PARTIDAS!$G3372),PARTIDAS!$F3372,CONCATENATE(PARTIDAS!$F3372," (",PARTIDAS!$G3372,")"))</f>
        <v>Plástico y sus manufacturas, de policarbonatos, resinas alcídicas, poliésteres alílicos o demás…, de los demás poliésteres</v>
      </c>
      <c r="I3372" s="16" t="s">
        <v>9427</v>
      </c>
    </row>
    <row r="3373" spans="1:9" x14ac:dyDescent="0.25">
      <c r="A3373" s="16" t="s">
        <v>4280</v>
      </c>
      <c r="B3373" s="16" t="str">
        <f>TEXT(PARTIDA[[#This Row],[PARTIDA]],"0000000000")</f>
        <v>3920710000</v>
      </c>
      <c r="C3373" s="16" t="s">
        <v>815</v>
      </c>
      <c r="D3373" s="16" t="s">
        <v>835</v>
      </c>
      <c r="E3373" s="16" t="s">
        <v>844</v>
      </c>
      <c r="F3373" s="27" t="s">
        <v>12312</v>
      </c>
      <c r="G3373" s="27"/>
      <c r="H3373" s="16" t="str">
        <f>IF(ISBLANK(PARTIDAS!$G3373),PARTIDAS!$F3373,CONCATENATE(PARTIDAS!$F3373," (",PARTIDAS!$G3373,")"))</f>
        <v>Plástico y sus manufacturas, de celulosa o de sus derivados químicos, de celulosa regenerada</v>
      </c>
      <c r="I3373" s="16" t="s">
        <v>9427</v>
      </c>
    </row>
    <row r="3374" spans="1:9" x14ac:dyDescent="0.25">
      <c r="A3374" s="16" t="s">
        <v>4281</v>
      </c>
      <c r="B3374" s="16" t="str">
        <f>TEXT(PARTIDA[[#This Row],[PARTIDA]],"0000000000")</f>
        <v>3920730000</v>
      </c>
      <c r="C3374" s="16" t="s">
        <v>815</v>
      </c>
      <c r="D3374" s="16" t="s">
        <v>835</v>
      </c>
      <c r="E3374" s="16" t="s">
        <v>844</v>
      </c>
      <c r="F3374" s="27" t="s">
        <v>12313</v>
      </c>
      <c r="G3374" s="27"/>
      <c r="H3374" s="16" t="str">
        <f>IF(ISBLANK(PARTIDAS!$G3374),PARTIDAS!$F3374,CONCATENATE(PARTIDAS!$F3374," (",PARTIDAS!$G3374,")"))</f>
        <v>Plástico y sus manufacturas, de celulosa o de sus derivados químicos, de acetato de celulosa</v>
      </c>
      <c r="I3374" s="16" t="s">
        <v>9427</v>
      </c>
    </row>
    <row r="3375" spans="1:9" x14ac:dyDescent="0.25">
      <c r="A3375" s="16" t="s">
        <v>4282</v>
      </c>
      <c r="B3375" s="16" t="str">
        <f>TEXT(PARTIDA[[#This Row],[PARTIDA]],"0000000000")</f>
        <v>3920790000</v>
      </c>
      <c r="C3375" s="16" t="s">
        <v>815</v>
      </c>
      <c r="D3375" s="16" t="s">
        <v>835</v>
      </c>
      <c r="E3375" s="16" t="s">
        <v>844</v>
      </c>
      <c r="F3375" s="27" t="s">
        <v>12314</v>
      </c>
      <c r="G3375" s="27"/>
      <c r="H3375" s="16" t="str">
        <f>IF(ISBLANK(PARTIDAS!$G3375),PARTIDAS!$F3375,CONCATENATE(PARTIDAS!$F3375," (",PARTIDAS!$G3375,")"))</f>
        <v>Plástico y sus manufacturas, de celulosa o de sus derivados químicos, de los demás derivados de la celulosa</v>
      </c>
      <c r="I3375" s="16" t="s">
        <v>9427</v>
      </c>
    </row>
    <row r="3376" spans="1:9" x14ac:dyDescent="0.25">
      <c r="A3376" s="16" t="s">
        <v>4283</v>
      </c>
      <c r="B3376" s="16" t="str">
        <f>TEXT(PARTIDA[[#This Row],[PARTIDA]],"0000000000")</f>
        <v>3920911000</v>
      </c>
      <c r="C3376" s="16" t="s">
        <v>815</v>
      </c>
      <c r="D3376" s="16" t="s">
        <v>835</v>
      </c>
      <c r="E3376" s="16" t="s">
        <v>844</v>
      </c>
      <c r="F3376" s="27" t="s">
        <v>12315</v>
      </c>
      <c r="G3376" s="27"/>
      <c r="H3376" s="16" t="str">
        <f>IF(ISBLANK(PARTIDAS!$G3376),PARTIDAS!$F3376,CONCATENATE(PARTIDAS!$F3376," (",PARTIDAS!$G3376,")"))</f>
        <v>Plástico y sus manufacturas, de los demás plásticos, de poli(vinilbutiral), para la fabricación de vidrios de seguridad</v>
      </c>
      <c r="I3376" s="16" t="s">
        <v>9427</v>
      </c>
    </row>
    <row r="3377" spans="1:9" x14ac:dyDescent="0.25">
      <c r="A3377" s="16" t="s">
        <v>4284</v>
      </c>
      <c r="B3377" s="16" t="str">
        <f>TEXT(PARTIDA[[#This Row],[PARTIDA]],"0000000000")</f>
        <v>3920919000</v>
      </c>
      <c r="C3377" s="16" t="s">
        <v>815</v>
      </c>
      <c r="D3377" s="16" t="s">
        <v>835</v>
      </c>
      <c r="E3377" s="16" t="s">
        <v>844</v>
      </c>
      <c r="F3377" s="27" t="s">
        <v>12316</v>
      </c>
      <c r="G3377" s="27"/>
      <c r="H3377" s="16" t="str">
        <f>IF(ISBLANK(PARTIDAS!$G3377),PARTIDAS!$F3377,CONCATENATE(PARTIDAS!$F3377," (",PARTIDAS!$G3377,")"))</f>
        <v>Plástico y sus manufacturas, de los demás plásticos, de poli(vinilbutiral) (los demás)</v>
      </c>
      <c r="I3377" s="16" t="s">
        <v>9427</v>
      </c>
    </row>
    <row r="3378" spans="1:9" x14ac:dyDescent="0.25">
      <c r="A3378" s="16" t="s">
        <v>4285</v>
      </c>
      <c r="B3378" s="16" t="str">
        <f>TEXT(PARTIDA[[#This Row],[PARTIDA]],"0000000000")</f>
        <v>3920920000</v>
      </c>
      <c r="C3378" s="16" t="s">
        <v>815</v>
      </c>
      <c r="D3378" s="16" t="s">
        <v>835</v>
      </c>
      <c r="E3378" s="16" t="s">
        <v>844</v>
      </c>
      <c r="F3378" s="27" t="s">
        <v>12317</v>
      </c>
      <c r="G3378" s="27"/>
      <c r="H3378" s="16" t="str">
        <f>IF(ISBLANK(PARTIDAS!$G3378),PARTIDAS!$F3378,CONCATENATE(PARTIDAS!$F3378," (",PARTIDAS!$G3378,")"))</f>
        <v>Plástico y sus manufacturas, de los demás plásticos, de poliamidas</v>
      </c>
      <c r="I3378" s="16" t="s">
        <v>9427</v>
      </c>
    </row>
    <row r="3379" spans="1:9" x14ac:dyDescent="0.25">
      <c r="A3379" s="16" t="s">
        <v>4286</v>
      </c>
      <c r="B3379" s="16" t="str">
        <f>TEXT(PARTIDA[[#This Row],[PARTIDA]],"0000000000")</f>
        <v>3920930000</v>
      </c>
      <c r="C3379" s="16" t="s">
        <v>815</v>
      </c>
      <c r="D3379" s="16" t="s">
        <v>835</v>
      </c>
      <c r="E3379" s="16" t="s">
        <v>844</v>
      </c>
      <c r="F3379" s="27" t="s">
        <v>12318</v>
      </c>
      <c r="G3379" s="27"/>
      <c r="H3379" s="16" t="str">
        <f>IF(ISBLANK(PARTIDAS!$G3379),PARTIDAS!$F3379,CONCATENATE(PARTIDAS!$F3379," (",PARTIDAS!$G3379,")"))</f>
        <v>Plástico y sus manufacturas, de los demás plásticos, de resinas amínicas</v>
      </c>
      <c r="I3379" s="16" t="s">
        <v>9427</v>
      </c>
    </row>
    <row r="3380" spans="1:9" x14ac:dyDescent="0.25">
      <c r="A3380" s="16" t="s">
        <v>4287</v>
      </c>
      <c r="B3380" s="16" t="str">
        <f>TEXT(PARTIDA[[#This Row],[PARTIDA]],"0000000000")</f>
        <v>3920940000</v>
      </c>
      <c r="C3380" s="16" t="s">
        <v>815</v>
      </c>
      <c r="D3380" s="16" t="s">
        <v>835</v>
      </c>
      <c r="E3380" s="16" t="s">
        <v>844</v>
      </c>
      <c r="F3380" s="27" t="s">
        <v>12319</v>
      </c>
      <c r="G3380" s="27"/>
      <c r="H3380" s="16" t="str">
        <f>IF(ISBLANK(PARTIDAS!$G3380),PARTIDAS!$F3380,CONCATENATE(PARTIDAS!$F3380," (",PARTIDAS!$G3380,")"))</f>
        <v>Plástico y sus manufacturas, de los demás plásticos, de resinas fenólicas</v>
      </c>
      <c r="I3380" s="16" t="s">
        <v>9427</v>
      </c>
    </row>
    <row r="3381" spans="1:9" x14ac:dyDescent="0.25">
      <c r="A3381" s="16" t="s">
        <v>4288</v>
      </c>
      <c r="B3381" s="16" t="str">
        <f>TEXT(PARTIDA[[#This Row],[PARTIDA]],"0000000000")</f>
        <v>3920990000</v>
      </c>
      <c r="C3381" s="16" t="s">
        <v>815</v>
      </c>
      <c r="D3381" s="16" t="s">
        <v>835</v>
      </c>
      <c r="E3381" s="16" t="s">
        <v>844</v>
      </c>
      <c r="F3381" s="27" t="s">
        <v>12320</v>
      </c>
      <c r="G3381" s="27"/>
      <c r="H3381" s="16" t="str">
        <f>IF(ISBLANK(PARTIDAS!$G3381),PARTIDAS!$F3381,CONCATENATE(PARTIDAS!$F3381," (",PARTIDAS!$G3381,")"))</f>
        <v>Plástico y sus manufacturas, de los demás plásticos, de los demás plásticos</v>
      </c>
      <c r="I3381" s="16" t="s">
        <v>9427</v>
      </c>
    </row>
    <row r="3382" spans="1:9" x14ac:dyDescent="0.25">
      <c r="A3382" s="16" t="s">
        <v>4289</v>
      </c>
      <c r="B3382" s="16" t="str">
        <f>TEXT(PARTIDA[[#This Row],[PARTIDA]],"0000000000")</f>
        <v>3921110000</v>
      </c>
      <c r="C3382" s="16" t="s">
        <v>815</v>
      </c>
      <c r="D3382" s="16" t="s">
        <v>835</v>
      </c>
      <c r="E3382" s="16" t="s">
        <v>844</v>
      </c>
      <c r="F3382" s="27" t="s">
        <v>12321</v>
      </c>
      <c r="G3382" s="27"/>
      <c r="H3382" s="16" t="str">
        <f>IF(ISBLANK(PARTIDAS!$G3382),PARTIDAS!$F3382,CONCATENATE(PARTIDAS!$F3382," (",PARTIDAS!$G3382,")"))</f>
        <v>Productos celulares, de polímeros de estireno</v>
      </c>
      <c r="I3382" s="16" t="s">
        <v>9427</v>
      </c>
    </row>
    <row r="3383" spans="1:9" x14ac:dyDescent="0.25">
      <c r="A3383" s="16" t="s">
        <v>4290</v>
      </c>
      <c r="B3383" s="16" t="str">
        <f>TEXT(PARTIDA[[#This Row],[PARTIDA]],"0000000000")</f>
        <v>3921120000</v>
      </c>
      <c r="C3383" s="16" t="s">
        <v>815</v>
      </c>
      <c r="D3383" s="16" t="s">
        <v>835</v>
      </c>
      <c r="E3383" s="16" t="s">
        <v>844</v>
      </c>
      <c r="F3383" s="27" t="s">
        <v>12322</v>
      </c>
      <c r="G3383" s="27"/>
      <c r="H3383" s="16" t="str">
        <f>IF(ISBLANK(PARTIDAS!$G3383),PARTIDAS!$F3383,CONCATENATE(PARTIDAS!$F3383," (",PARTIDAS!$G3383,")"))</f>
        <v>Productos celulares, de polímeros de cloruro de vinilo</v>
      </c>
      <c r="I3383" s="16" t="s">
        <v>9427</v>
      </c>
    </row>
    <row r="3384" spans="1:9" x14ac:dyDescent="0.25">
      <c r="A3384" s="16" t="s">
        <v>4291</v>
      </c>
      <c r="B3384" s="16" t="str">
        <f>TEXT(PARTIDA[[#This Row],[PARTIDA]],"0000000000")</f>
        <v>3921130000</v>
      </c>
      <c r="C3384" s="16" t="s">
        <v>815</v>
      </c>
      <c r="D3384" s="16" t="s">
        <v>835</v>
      </c>
      <c r="E3384" s="16" t="s">
        <v>844</v>
      </c>
      <c r="F3384" s="27" t="s">
        <v>12323</v>
      </c>
      <c r="G3384" s="27"/>
      <c r="H3384" s="16" t="str">
        <f>IF(ISBLANK(PARTIDAS!$G3384),PARTIDAS!$F3384,CONCATENATE(PARTIDAS!$F3384," (",PARTIDAS!$G3384,")"))</f>
        <v>Productos celulares, de poliuretanos</v>
      </c>
      <c r="I3384" s="16" t="s">
        <v>9427</v>
      </c>
    </row>
    <row r="3385" spans="1:9" x14ac:dyDescent="0.25">
      <c r="A3385" s="16" t="s">
        <v>4292</v>
      </c>
      <c r="B3385" s="16" t="str">
        <f>TEXT(PARTIDA[[#This Row],[PARTIDA]],"0000000000")</f>
        <v>3921140000</v>
      </c>
      <c r="C3385" s="16" t="s">
        <v>815</v>
      </c>
      <c r="D3385" s="16" t="s">
        <v>835</v>
      </c>
      <c r="E3385" s="16" t="s">
        <v>844</v>
      </c>
      <c r="F3385" s="27" t="s">
        <v>12324</v>
      </c>
      <c r="G3385" s="27"/>
      <c r="H3385" s="16" t="str">
        <f>IF(ISBLANK(PARTIDAS!$G3385),PARTIDAS!$F3385,CONCATENATE(PARTIDAS!$F3385," (",PARTIDAS!$G3385,")"))</f>
        <v>Productos celulares, de celulosa regenerada</v>
      </c>
      <c r="I3385" s="16" t="s">
        <v>9427</v>
      </c>
    </row>
    <row r="3386" spans="1:9" x14ac:dyDescent="0.25">
      <c r="A3386" s="16" t="s">
        <v>4293</v>
      </c>
      <c r="B3386" s="16" t="str">
        <f>TEXT(PARTIDA[[#This Row],[PARTIDA]],"0000000000")</f>
        <v>3921191000</v>
      </c>
      <c r="C3386" s="16" t="s">
        <v>815</v>
      </c>
      <c r="D3386" s="16" t="s">
        <v>835</v>
      </c>
      <c r="E3386" s="16" t="s">
        <v>844</v>
      </c>
      <c r="F3386" s="27" t="s">
        <v>12325</v>
      </c>
      <c r="G3386" s="27"/>
      <c r="H3386" s="16" t="str">
        <f>IF(ISBLANK(PARTIDAS!$G3386),PARTIDAS!$F3386,CONCATENATE(PARTIDAS!$F3386," (",PARTIDAS!$G3386,")"))</f>
        <v>Lámina constituida por una mezcla de polietileno y polipropileno, con simple soporte de tela sin tejer de polipropileno</v>
      </c>
      <c r="I3386" s="16" t="s">
        <v>9427</v>
      </c>
    </row>
    <row r="3387" spans="1:9" x14ac:dyDescent="0.25">
      <c r="A3387" s="16" t="s">
        <v>4294</v>
      </c>
      <c r="B3387" s="16" t="str">
        <f>TEXT(PARTIDA[[#This Row],[PARTIDA]],"0000000000")</f>
        <v>3921199000</v>
      </c>
      <c r="C3387" s="16" t="s">
        <v>815</v>
      </c>
      <c r="D3387" s="16" t="s">
        <v>835</v>
      </c>
      <c r="E3387" s="16" t="s">
        <v>844</v>
      </c>
      <c r="F3387" s="27" t="s">
        <v>12326</v>
      </c>
      <c r="G3387" s="27"/>
      <c r="H3387" s="16" t="str">
        <f>IF(ISBLANK(PARTIDAS!$G3387),PARTIDAS!$F3387,CONCATENATE(PARTIDAS!$F3387," (",PARTIDAS!$G3387,")"))</f>
        <v>Productos celulares, de los demás plásticos (los demás)</v>
      </c>
      <c r="I3387" s="16" t="s">
        <v>9427</v>
      </c>
    </row>
    <row r="3388" spans="1:9" x14ac:dyDescent="0.25">
      <c r="A3388" s="16" t="s">
        <v>4295</v>
      </c>
      <c r="B3388" s="16" t="str">
        <f>TEXT(PARTIDA[[#This Row],[PARTIDA]],"0000000000")</f>
        <v>3921901000</v>
      </c>
      <c r="C3388" s="16" t="s">
        <v>815</v>
      </c>
      <c r="D3388" s="16" t="s">
        <v>835</v>
      </c>
      <c r="E3388" s="16" t="s">
        <v>844</v>
      </c>
      <c r="F3388" s="27" t="s">
        <v>12327</v>
      </c>
      <c r="G3388" s="27"/>
      <c r="H3388" s="16" t="str">
        <f>IF(ISBLANK(PARTIDAS!$G3388),PARTIDAS!$F3388,CONCATENATE(PARTIDAS!$F3388," (",PARTIDAS!$G3388,")"))</f>
        <v>Obtenidas por estratificación con papel</v>
      </c>
      <c r="I3388" s="16" t="s">
        <v>9427</v>
      </c>
    </row>
    <row r="3389" spans="1:9" x14ac:dyDescent="0.25">
      <c r="A3389" s="16" t="s">
        <v>4296</v>
      </c>
      <c r="B3389" s="16" t="str">
        <f>TEXT(PARTIDA[[#This Row],[PARTIDA]],"0000000000")</f>
        <v>3921909000</v>
      </c>
      <c r="C3389" s="16" t="s">
        <v>815</v>
      </c>
      <c r="D3389" s="16" t="s">
        <v>835</v>
      </c>
      <c r="E3389" s="16" t="s">
        <v>9465</v>
      </c>
      <c r="F3389" s="27" t="s">
        <v>9350</v>
      </c>
      <c r="G3389" s="27"/>
      <c r="H3389" s="16" t="str">
        <f>IF(ISBLANK(PARTIDAS!$G3389),PARTIDAS!$F3389,CONCATENATE(PARTIDAS!$F3389," (",PARTIDAS!$G3389,")"))</f>
        <v>Plástico y sus manufacturas (los demás)</v>
      </c>
      <c r="I3389" s="16" t="s">
        <v>9477</v>
      </c>
    </row>
    <row r="3390" spans="1:9" x14ac:dyDescent="0.25">
      <c r="A3390" s="16" t="s">
        <v>4297</v>
      </c>
      <c r="B3390" s="16" t="str">
        <f>TEXT(PARTIDA[[#This Row],[PARTIDA]],"0000000000")</f>
        <v>3922101000</v>
      </c>
      <c r="C3390" s="16" t="s">
        <v>860</v>
      </c>
      <c r="D3390" s="16" t="s">
        <v>861</v>
      </c>
      <c r="E3390" s="16" t="s">
        <v>9473</v>
      </c>
      <c r="F3390" s="27" t="s">
        <v>12328</v>
      </c>
      <c r="G3390" s="27"/>
      <c r="H3390" s="16" t="str">
        <f>IF(ISBLANK(PARTIDAS!$G3390),PARTIDAS!$F3390,CONCATENATE(PARTIDAS!$F3390," (",PARTIDAS!$G3390,")"))</f>
        <v>Bañeras de plástico reforzado con fibra de vidrio</v>
      </c>
      <c r="I3390" s="16" t="s">
        <v>9427</v>
      </c>
    </row>
    <row r="3391" spans="1:9" x14ac:dyDescent="0.25">
      <c r="A3391" s="16" t="s">
        <v>4298</v>
      </c>
      <c r="B3391" s="16" t="str">
        <f>TEXT(PARTIDA[[#This Row],[PARTIDA]],"0000000000")</f>
        <v>3922109000</v>
      </c>
      <c r="C3391" s="16" t="s">
        <v>860</v>
      </c>
      <c r="D3391" s="16" t="s">
        <v>861</v>
      </c>
      <c r="E3391" s="16" t="s">
        <v>9473</v>
      </c>
      <c r="F3391" s="27" t="s">
        <v>12329</v>
      </c>
      <c r="G3391" s="27"/>
      <c r="H3391" s="16" t="str">
        <f>IF(ISBLANK(PARTIDAS!$G3391),PARTIDAS!$F3391,CONCATENATE(PARTIDAS!$F3391," (",PARTIDAS!$G3391,")"))</f>
        <v>Bañeras, duchas, fregaderos y lavabos (los demás)</v>
      </c>
      <c r="I3391" s="16" t="s">
        <v>9427</v>
      </c>
    </row>
    <row r="3392" spans="1:9" x14ac:dyDescent="0.25">
      <c r="A3392" s="16" t="s">
        <v>4299</v>
      </c>
      <c r="B3392" s="16" t="str">
        <f>TEXT(PARTIDA[[#This Row],[PARTIDA]],"0000000000")</f>
        <v>3922200000</v>
      </c>
      <c r="C3392" s="16" t="s">
        <v>860</v>
      </c>
      <c r="D3392" s="16" t="s">
        <v>861</v>
      </c>
      <c r="E3392" s="16" t="s">
        <v>9473</v>
      </c>
      <c r="F3392" s="27" t="s">
        <v>12330</v>
      </c>
      <c r="G3392" s="27"/>
      <c r="H3392" s="16" t="str">
        <f>IF(ISBLANK(PARTIDAS!$G3392),PARTIDAS!$F3392,CONCATENATE(PARTIDAS!$F3392," (",PARTIDAS!$G3392,")"))</f>
        <v>Asientos y tapas de inodoros</v>
      </c>
      <c r="I3392" s="16" t="s">
        <v>9427</v>
      </c>
    </row>
    <row r="3393" spans="1:9" x14ac:dyDescent="0.25">
      <c r="A3393" s="16" t="s">
        <v>4300</v>
      </c>
      <c r="B3393" s="16" t="str">
        <f>TEXT(PARTIDA[[#This Row],[PARTIDA]],"0000000000")</f>
        <v>3922900000</v>
      </c>
      <c r="C3393" s="16" t="s">
        <v>860</v>
      </c>
      <c r="D3393" s="16" t="s">
        <v>861</v>
      </c>
      <c r="E3393" s="16" t="s">
        <v>9473</v>
      </c>
      <c r="F3393" s="27" t="s">
        <v>12331</v>
      </c>
      <c r="G3393" s="27"/>
      <c r="H3393" s="16" t="str">
        <f>IF(ISBLANK(PARTIDAS!$G3393),PARTIDAS!$F3393,CONCATENATE(PARTIDAS!$F3393," (",PARTIDAS!$G3393,")"))</f>
        <v>Bañeras, duchas, fregaderos, lavabos, bidés, inodoros y sus asientos… (los demás)</v>
      </c>
      <c r="I3393" s="16" t="s">
        <v>9427</v>
      </c>
    </row>
    <row r="3394" spans="1:9" x14ac:dyDescent="0.25">
      <c r="A3394" s="16" t="s">
        <v>4301</v>
      </c>
      <c r="B3394" s="16" t="str">
        <f>TEXT(PARTIDA[[#This Row],[PARTIDA]],"0000000000")</f>
        <v>3923101000</v>
      </c>
      <c r="C3394" s="16" t="s">
        <v>815</v>
      </c>
      <c r="D3394" s="16" t="s">
        <v>835</v>
      </c>
      <c r="E3394" s="16" t="s">
        <v>844</v>
      </c>
      <c r="F3394" s="27" t="s">
        <v>12332</v>
      </c>
      <c r="G3394" s="27"/>
      <c r="H3394" s="16" t="str">
        <f>IF(ISBLANK(PARTIDAS!$G3394),PARTIDAS!$F3394,CONCATENATE(PARTIDAS!$F3394," (",PARTIDAS!$G3394,")"))</f>
        <v>Cajas, cajones, jaulas y artículos similares, para casetes, CD, DVD y similares</v>
      </c>
      <c r="I3394" s="16" t="s">
        <v>9427</v>
      </c>
    </row>
    <row r="3395" spans="1:9" x14ac:dyDescent="0.25">
      <c r="A3395" s="16" t="s">
        <v>4302</v>
      </c>
      <c r="B3395" s="16" t="str">
        <f>TEXT(PARTIDA[[#This Row],[PARTIDA]],"0000000000")</f>
        <v>3923109000</v>
      </c>
      <c r="C3395" s="16" t="s">
        <v>815</v>
      </c>
      <c r="D3395" s="16" t="s">
        <v>835</v>
      </c>
      <c r="E3395" s="16" t="s">
        <v>844</v>
      </c>
      <c r="F3395" s="27" t="s">
        <v>12333</v>
      </c>
      <c r="G3395" s="27"/>
      <c r="H3395" s="16" t="str">
        <f>IF(ISBLANK(PARTIDAS!$G3395),PARTIDAS!$F3395,CONCATENATE(PARTIDAS!$F3395," (",PARTIDAS!$G3395,")"))</f>
        <v>Cajas, cajones, jaulas y artículos similares (los demás)</v>
      </c>
      <c r="I3395" s="16" t="s">
        <v>9427</v>
      </c>
    </row>
    <row r="3396" spans="1:9" x14ac:dyDescent="0.25">
      <c r="A3396" s="16" t="s">
        <v>4303</v>
      </c>
      <c r="B3396" s="16" t="str">
        <f>TEXT(PARTIDA[[#This Row],[PARTIDA]],"0000000000")</f>
        <v>3923210000</v>
      </c>
      <c r="C3396" s="16" t="s">
        <v>815</v>
      </c>
      <c r="D3396" s="16" t="s">
        <v>835</v>
      </c>
      <c r="E3396" s="16" t="s">
        <v>844</v>
      </c>
      <c r="F3396" s="27" t="s">
        <v>12334</v>
      </c>
      <c r="G3396" s="27"/>
      <c r="H3396" s="16" t="str">
        <f>IF(ISBLANK(PARTIDAS!$G3396),PARTIDAS!$F3396,CONCATENATE(PARTIDAS!$F3396," (",PARTIDAS!$G3396,")"))</f>
        <v>Sacos (bolsas), bolsitas y cucuruchos, de polímeros de etileno</v>
      </c>
      <c r="I3396" s="16" t="s">
        <v>9427</v>
      </c>
    </row>
    <row r="3397" spans="1:9" x14ac:dyDescent="0.25">
      <c r="A3397" s="16" t="s">
        <v>4304</v>
      </c>
      <c r="B3397" s="16" t="str">
        <f>TEXT(PARTIDA[[#This Row],[PARTIDA]],"0000000000")</f>
        <v>3923291000</v>
      </c>
      <c r="C3397" s="16" t="s">
        <v>815</v>
      </c>
      <c r="D3397" s="16" t="s">
        <v>835</v>
      </c>
      <c r="E3397" s="16" t="s">
        <v>844</v>
      </c>
      <c r="F3397" s="27" t="s">
        <v>12335</v>
      </c>
      <c r="G3397" s="27"/>
      <c r="H3397" s="16" t="str">
        <f>IF(ISBLANK(PARTIDAS!$G3397),PARTIDAS!$F3397,CONCATENATE(PARTIDAS!$F3397," (",PARTIDAS!$G3397,")"))</f>
        <v>Bolsas colectoras de sangre</v>
      </c>
      <c r="I3397" s="16" t="s">
        <v>9427</v>
      </c>
    </row>
    <row r="3398" spans="1:9" x14ac:dyDescent="0.25">
      <c r="A3398" s="16" t="s">
        <v>4305</v>
      </c>
      <c r="B3398" s="16" t="str">
        <f>TEXT(PARTIDA[[#This Row],[PARTIDA]],"0000000000")</f>
        <v>3923292000</v>
      </c>
      <c r="C3398" s="16" t="s">
        <v>815</v>
      </c>
      <c r="D3398" s="16" t="s">
        <v>835</v>
      </c>
      <c r="E3398" s="16" t="s">
        <v>844</v>
      </c>
      <c r="F3398" s="27" t="s">
        <v>12336</v>
      </c>
      <c r="G3398" s="27"/>
      <c r="H3398" s="16" t="str">
        <f>IF(ISBLANK(PARTIDAS!$G3398),PARTIDAS!$F3398,CONCATENATE(PARTIDAS!$F3398," (",PARTIDAS!$G3398,")"))</f>
        <v>Bolsas para el envasado de soluciones parenterales</v>
      </c>
      <c r="I3398" s="16" t="s">
        <v>9427</v>
      </c>
    </row>
    <row r="3399" spans="1:9" x14ac:dyDescent="0.25">
      <c r="A3399" s="16" t="s">
        <v>4306</v>
      </c>
      <c r="B3399" s="16" t="str">
        <f>TEXT(PARTIDA[[#This Row],[PARTIDA]],"0000000000")</f>
        <v>3923299000</v>
      </c>
      <c r="C3399" s="16" t="s">
        <v>815</v>
      </c>
      <c r="D3399" s="16" t="s">
        <v>835</v>
      </c>
      <c r="E3399" s="16" t="s">
        <v>844</v>
      </c>
      <c r="F3399" s="27" t="s">
        <v>12337</v>
      </c>
      <c r="G3399" s="27"/>
      <c r="H3399" s="16" t="str">
        <f>IF(ISBLANK(PARTIDAS!$G3399),PARTIDAS!$F3399,CONCATENATE(PARTIDAS!$F3399," (",PARTIDAS!$G3399,")"))</f>
        <v>Sacos (bolsas), bolsitas y cucuruchos, de los demás plásticos (los demás)</v>
      </c>
      <c r="I3399" s="16" t="s">
        <v>9427</v>
      </c>
    </row>
    <row r="3400" spans="1:9" x14ac:dyDescent="0.25">
      <c r="A3400" s="16" t="s">
        <v>4307</v>
      </c>
      <c r="B3400" s="16" t="str">
        <f>TEXT(PARTIDA[[#This Row],[PARTIDA]],"0000000000")</f>
        <v>3923302000</v>
      </c>
      <c r="C3400" s="16" t="s">
        <v>815</v>
      </c>
      <c r="D3400" s="16" t="s">
        <v>835</v>
      </c>
      <c r="E3400" s="16" t="s">
        <v>844</v>
      </c>
      <c r="F3400" s="27" t="s">
        <v>12338</v>
      </c>
      <c r="G3400" s="27"/>
      <c r="H3400" s="16" t="str">
        <f>IF(ISBLANK(PARTIDAS!$G3400),PARTIDAS!$F3400,CONCATENATE(PARTIDAS!$F3400," (",PARTIDAS!$G3400,")"))</f>
        <v>Bombonas (damajuanas), botellas, frascos y artículos similares, preformas</v>
      </c>
      <c r="I3400" s="16" t="s">
        <v>9427</v>
      </c>
    </row>
    <row r="3401" spans="1:9" x14ac:dyDescent="0.25">
      <c r="A3401" s="16" t="s">
        <v>4308</v>
      </c>
      <c r="B3401" s="16" t="str">
        <f>TEXT(PARTIDA[[#This Row],[PARTIDA]],"0000000000")</f>
        <v>3923309100</v>
      </c>
      <c r="C3401" s="16" t="s">
        <v>815</v>
      </c>
      <c r="D3401" s="16" t="s">
        <v>835</v>
      </c>
      <c r="E3401" s="16" t="s">
        <v>844</v>
      </c>
      <c r="F3401" s="27" t="s">
        <v>12339</v>
      </c>
      <c r="G3401" s="27"/>
      <c r="H3401" s="16" t="str">
        <f>IF(ISBLANK(PARTIDAS!$G3401),PARTIDAS!$F3401,CONCATENATE(PARTIDAS!$F3401," (",PARTIDAS!$G3401,")"))</f>
        <v>Bombonas (damajuanas), botellas, frascos y artículos similares, de capacidad superior o igual a 18, itros (5 gal.)</v>
      </c>
      <c r="I3401" s="16" t="s">
        <v>9427</v>
      </c>
    </row>
    <row r="3402" spans="1:9" x14ac:dyDescent="0.25">
      <c r="A3402" s="16" t="s">
        <v>4309</v>
      </c>
      <c r="B3402" s="16" t="str">
        <f>TEXT(PARTIDA[[#This Row],[PARTIDA]],"0000000000")</f>
        <v>3923309900</v>
      </c>
      <c r="C3402" s="16" t="s">
        <v>786</v>
      </c>
      <c r="D3402" s="16" t="s">
        <v>787</v>
      </c>
      <c r="E3402" s="16" t="s">
        <v>797</v>
      </c>
      <c r="F3402" s="27" t="s">
        <v>9164</v>
      </c>
      <c r="G3402" s="27"/>
      <c r="H3402" s="16" t="str">
        <f>IF(ISBLANK(PARTIDAS!$G3402),PARTIDAS!$F3402,CONCATENATE(PARTIDAS!$F3402," (",PARTIDAS!$G3402,")"))</f>
        <v>Bombonas (damajuanas), botellas, frascos y artículos similares (los demás)</v>
      </c>
      <c r="I3402" s="16" t="s">
        <v>9477</v>
      </c>
    </row>
    <row r="3403" spans="1:9" x14ac:dyDescent="0.25">
      <c r="A3403" s="16" t="s">
        <v>4310</v>
      </c>
      <c r="B3403" s="16" t="str">
        <f>TEXT(PARTIDA[[#This Row],[PARTIDA]],"0000000000")</f>
        <v>3923401000</v>
      </c>
      <c r="C3403" s="16" t="s">
        <v>815</v>
      </c>
      <c r="D3403" s="16" t="s">
        <v>835</v>
      </c>
      <c r="E3403" s="16" t="s">
        <v>844</v>
      </c>
      <c r="F3403" s="27" t="s">
        <v>12340</v>
      </c>
      <c r="G3403" s="27"/>
      <c r="H3403" s="16" t="str">
        <f>IF(ISBLANK(PARTIDAS!$G3403),PARTIDAS!$F3403,CONCATENATE(PARTIDAS!$F3403," (",PARTIDAS!$G3403,")"))</f>
        <v>Casetes sin cinta</v>
      </c>
      <c r="I3403" s="16" t="s">
        <v>9427</v>
      </c>
    </row>
    <row r="3404" spans="1:9" x14ac:dyDescent="0.25">
      <c r="A3404" s="16" t="s">
        <v>4311</v>
      </c>
      <c r="B3404" s="16" t="str">
        <f>TEXT(PARTIDA[[#This Row],[PARTIDA]],"0000000000")</f>
        <v>3923409000</v>
      </c>
      <c r="C3404" s="16" t="s">
        <v>815</v>
      </c>
      <c r="D3404" s="16" t="s">
        <v>835</v>
      </c>
      <c r="E3404" s="16" t="s">
        <v>844</v>
      </c>
      <c r="F3404" s="27" t="s">
        <v>12341</v>
      </c>
      <c r="G3404" s="27"/>
      <c r="H3404" s="16" t="str">
        <f>IF(ISBLANK(PARTIDAS!$G3404),PARTIDAS!$F3404,CONCATENATE(PARTIDAS!$F3404," (",PARTIDAS!$G3404,")"))</f>
        <v>Bobinas, carretes, canillas y soportes similares (los demás)</v>
      </c>
      <c r="I3404" s="16" t="s">
        <v>9427</v>
      </c>
    </row>
    <row r="3405" spans="1:9" x14ac:dyDescent="0.25">
      <c r="A3405" s="16" t="s">
        <v>4312</v>
      </c>
      <c r="B3405" s="16" t="str">
        <f>TEXT(PARTIDA[[#This Row],[PARTIDA]],"0000000000")</f>
        <v>3923501000</v>
      </c>
      <c r="C3405" s="16" t="s">
        <v>815</v>
      </c>
      <c r="D3405" s="16" t="s">
        <v>835</v>
      </c>
      <c r="E3405" s="16" t="s">
        <v>844</v>
      </c>
      <c r="F3405" s="27" t="s">
        <v>12342</v>
      </c>
      <c r="G3405" s="27"/>
      <c r="H3405" s="16" t="str">
        <f>IF(ISBLANK(PARTIDAS!$G3405),PARTIDAS!$F3405,CONCATENATE(PARTIDAS!$F3405," (",PARTIDAS!$G3405,")"))</f>
        <v>Tapones de silicona</v>
      </c>
      <c r="I3405" s="16" t="s">
        <v>9427</v>
      </c>
    </row>
    <row r="3406" spans="1:9" x14ac:dyDescent="0.25">
      <c r="A3406" s="16" t="s">
        <v>4313</v>
      </c>
      <c r="B3406" s="16" t="str">
        <f>TEXT(PARTIDA[[#This Row],[PARTIDA]],"0000000000")</f>
        <v>3923509000</v>
      </c>
      <c r="C3406" s="16" t="s">
        <v>815</v>
      </c>
      <c r="D3406" s="16" t="s">
        <v>835</v>
      </c>
      <c r="E3406" s="16" t="s">
        <v>844</v>
      </c>
      <c r="F3406" s="27" t="s">
        <v>4314</v>
      </c>
      <c r="G3406" s="27"/>
      <c r="H3406" s="16" t="str">
        <f>IF(ISBLANK(PARTIDAS!$G3406),PARTIDAS!$F3406,CONCATENATE(PARTIDAS!$F3406," (",PARTIDAS!$G3406,")"))</f>
        <v>Botellas y frascos de vidrio</v>
      </c>
      <c r="I3406" s="16" t="s">
        <v>9427</v>
      </c>
    </row>
    <row r="3407" spans="1:9" x14ac:dyDescent="0.25">
      <c r="A3407" s="16" t="s">
        <v>4315</v>
      </c>
      <c r="B3407" s="16" t="str">
        <f>TEXT(PARTIDA[[#This Row],[PARTIDA]],"0000000000")</f>
        <v>3923900000</v>
      </c>
      <c r="C3407" s="16" t="s">
        <v>815</v>
      </c>
      <c r="D3407" s="16" t="s">
        <v>835</v>
      </c>
      <c r="E3407" s="16" t="s">
        <v>844</v>
      </c>
      <c r="F3407" s="27" t="s">
        <v>12343</v>
      </c>
      <c r="G3407" s="27"/>
      <c r="H3407" s="16" t="str">
        <f>IF(ISBLANK(PARTIDAS!$G3407),PARTIDAS!$F3407,CONCATENATE(PARTIDAS!$F3407," (",PARTIDAS!$G3407,")"))</f>
        <v>Artículos para el transporte o envasado, de plástico (los demás)</v>
      </c>
      <c r="I3407" s="16" t="s">
        <v>9427</v>
      </c>
    </row>
    <row r="3408" spans="1:9" x14ac:dyDescent="0.25">
      <c r="A3408" s="16" t="s">
        <v>4316</v>
      </c>
      <c r="B3408" s="16" t="str">
        <f>TEXT(PARTIDA[[#This Row],[PARTIDA]],"0000000000")</f>
        <v>3924101000</v>
      </c>
      <c r="C3408" s="16" t="s">
        <v>786</v>
      </c>
      <c r="D3408" s="16" t="s">
        <v>799</v>
      </c>
      <c r="E3408" s="16" t="s">
        <v>801</v>
      </c>
      <c r="F3408" s="27" t="s">
        <v>12344</v>
      </c>
      <c r="G3408" s="27"/>
      <c r="H3408" s="16" t="str">
        <f>IF(ISBLANK(PARTIDAS!$G3408),PARTIDAS!$F3408,CONCATENATE(PARTIDAS!$F3408," (",PARTIDAS!$G3408,")"))</f>
        <v>Vajilla y demás artículos para el servicio de mesa o de cocina, biberones</v>
      </c>
      <c r="I3408" s="16" t="s">
        <v>9427</v>
      </c>
    </row>
    <row r="3409" spans="1:9" x14ac:dyDescent="0.25">
      <c r="A3409" s="16" t="s">
        <v>4317</v>
      </c>
      <c r="B3409" s="16" t="str">
        <f>TEXT(PARTIDA[[#This Row],[PARTIDA]],"0000000000")</f>
        <v>3924109000</v>
      </c>
      <c r="C3409" s="16" t="s">
        <v>786</v>
      </c>
      <c r="D3409" s="16" t="s">
        <v>799</v>
      </c>
      <c r="E3409" s="16" t="s">
        <v>801</v>
      </c>
      <c r="F3409" s="27" t="s">
        <v>4158</v>
      </c>
      <c r="G3409" s="27"/>
      <c r="H3409" s="16" t="str">
        <f>IF(ISBLANK(PARTIDAS!$G3409),PARTIDAS!$F3409,CONCATENATE(PARTIDAS!$F3409," (",PARTIDAS!$G3409,")"))</f>
        <v>Plástico y sus manufacturas</v>
      </c>
      <c r="I3409" s="16" t="s">
        <v>9427</v>
      </c>
    </row>
    <row r="3410" spans="1:9" x14ac:dyDescent="0.25">
      <c r="A3410" s="16" t="s">
        <v>4318</v>
      </c>
      <c r="B3410" s="16" t="str">
        <f>TEXT(PARTIDA[[#This Row],[PARTIDA]],"0000000000")</f>
        <v>3924900000</v>
      </c>
      <c r="C3410" s="16" t="s">
        <v>786</v>
      </c>
      <c r="D3410" s="16" t="s">
        <v>799</v>
      </c>
      <c r="E3410" s="16" t="s">
        <v>801</v>
      </c>
      <c r="F3410" s="27" t="s">
        <v>3845</v>
      </c>
      <c r="G3410" s="27"/>
      <c r="H3410" s="16" t="str">
        <f>IF(ISBLANK(PARTIDAS!$G3410),PARTIDAS!$F3410,CONCATENATE(PARTIDAS!$F3410," (",PARTIDAS!$G3410,")"))</f>
        <v>Productos de limpieza</v>
      </c>
      <c r="I3410" s="16" t="s">
        <v>9427</v>
      </c>
    </row>
    <row r="3411" spans="1:9" x14ac:dyDescent="0.25">
      <c r="A3411" s="16" t="s">
        <v>4319</v>
      </c>
      <c r="B3411" s="16" t="str">
        <f>TEXT(PARTIDA[[#This Row],[PARTIDA]],"0000000000")</f>
        <v>3925100000</v>
      </c>
      <c r="C3411" s="16" t="s">
        <v>860</v>
      </c>
      <c r="D3411" s="16" t="s">
        <v>861</v>
      </c>
      <c r="E3411" s="16" t="s">
        <v>9473</v>
      </c>
      <c r="F3411" s="27" t="s">
        <v>4320</v>
      </c>
      <c r="G3411" s="27"/>
      <c r="H3411" s="16" t="str">
        <f>IF(ISBLANK(PARTIDAS!$G3411),PARTIDAS!$F3411,CONCATENATE(PARTIDAS!$F3411," (",PARTIDAS!$G3411,")"))</f>
        <v>Depósitos, cisternas, cubas</v>
      </c>
      <c r="I3411" s="16" t="s">
        <v>9427</v>
      </c>
    </row>
    <row r="3412" spans="1:9" x14ac:dyDescent="0.25">
      <c r="A3412" s="16" t="s">
        <v>4321</v>
      </c>
      <c r="B3412" s="16" t="str">
        <f>TEXT(PARTIDA[[#This Row],[PARTIDA]],"0000000000")</f>
        <v>3925200000</v>
      </c>
      <c r="C3412" s="16" t="s">
        <v>860</v>
      </c>
      <c r="D3412" s="16" t="s">
        <v>861</v>
      </c>
      <c r="E3412" s="16" t="s">
        <v>9473</v>
      </c>
      <c r="F3412" s="27" t="s">
        <v>12345</v>
      </c>
      <c r="G3412" s="27"/>
      <c r="H3412" s="16" t="str">
        <f>IF(ISBLANK(PARTIDAS!$G3412),PARTIDAS!$F3412,CONCATENATE(PARTIDAS!$F3412," (",PARTIDAS!$G3412,")"))</f>
        <v>Puertas, ventanas, y sus marcos, contramarcos y umbrales</v>
      </c>
      <c r="I3412" s="16" t="s">
        <v>9427</v>
      </c>
    </row>
    <row r="3413" spans="1:9" x14ac:dyDescent="0.25">
      <c r="A3413" s="16" t="s">
        <v>4322</v>
      </c>
      <c r="B3413" s="16" t="str">
        <f>TEXT(PARTIDA[[#This Row],[PARTIDA]],"0000000000")</f>
        <v>3925300000</v>
      </c>
      <c r="C3413" s="16" t="s">
        <v>860</v>
      </c>
      <c r="D3413" s="16" t="s">
        <v>861</v>
      </c>
      <c r="E3413" s="16" t="s">
        <v>9473</v>
      </c>
      <c r="F3413" s="27" t="s">
        <v>12346</v>
      </c>
      <c r="G3413" s="27"/>
      <c r="H3413" s="16" t="str">
        <f>IF(ISBLANK(PARTIDAS!$G3413),PARTIDAS!$F3413,CONCATENATE(PARTIDAS!$F3413," (",PARTIDAS!$G3413,")"))</f>
        <v>Contraventanas, persianas (incluidas las venecianas) y artículos similares, y sus partes</v>
      </c>
      <c r="I3413" s="16" t="s">
        <v>9427</v>
      </c>
    </row>
    <row r="3414" spans="1:9" x14ac:dyDescent="0.25">
      <c r="A3414" s="16" t="s">
        <v>4323</v>
      </c>
      <c r="B3414" s="16" t="str">
        <f>TEXT(PARTIDA[[#This Row],[PARTIDA]],"0000000000")</f>
        <v>3925900000</v>
      </c>
      <c r="C3414" s="16" t="s">
        <v>860</v>
      </c>
      <c r="D3414" s="16" t="s">
        <v>861</v>
      </c>
      <c r="E3414" s="16" t="s">
        <v>9473</v>
      </c>
      <c r="F3414" s="27" t="s">
        <v>12347</v>
      </c>
      <c r="G3414" s="27"/>
      <c r="H3414" s="16" t="str">
        <f>IF(ISBLANK(PARTIDAS!$G3414),PARTIDAS!$F3414,CONCATENATE(PARTIDAS!$F3414," (",PARTIDAS!$G3414,")"))</f>
        <v>Artículos para la construcción, de plástico, no expresados ni… (los demás)</v>
      </c>
      <c r="I3414" s="16" t="s">
        <v>9427</v>
      </c>
    </row>
    <row r="3415" spans="1:9" x14ac:dyDescent="0.25">
      <c r="A3415" s="16" t="s">
        <v>4324</v>
      </c>
      <c r="B3415" s="16" t="str">
        <f>TEXT(PARTIDA[[#This Row],[PARTIDA]],"0000000000")</f>
        <v>3926100000</v>
      </c>
      <c r="C3415" s="16" t="s">
        <v>786</v>
      </c>
      <c r="D3415" s="16" t="s">
        <v>787</v>
      </c>
      <c r="E3415" s="16" t="s">
        <v>797</v>
      </c>
      <c r="F3415" s="27" t="s">
        <v>12348</v>
      </c>
      <c r="G3415" s="27"/>
      <c r="H3415" s="16" t="str">
        <f>IF(ISBLANK(PARTIDAS!$G3415),PARTIDAS!$F3415,CONCATENATE(PARTIDAS!$F3415," (",PARTIDAS!$G3415,")"))</f>
        <v>Artículos de oficina y artículos escolares</v>
      </c>
      <c r="I3415" s="16" t="s">
        <v>9427</v>
      </c>
    </row>
    <row r="3416" spans="1:9" x14ac:dyDescent="0.25">
      <c r="A3416" s="16" t="s">
        <v>4325</v>
      </c>
      <c r="B3416" s="16" t="str">
        <f>TEXT(PARTIDA[[#This Row],[PARTIDA]],"0000000000")</f>
        <v>3926200000</v>
      </c>
      <c r="C3416" s="16" t="s">
        <v>786</v>
      </c>
      <c r="D3416" s="16" t="s">
        <v>787</v>
      </c>
      <c r="E3416" s="16" t="s">
        <v>797</v>
      </c>
      <c r="F3416" s="27" t="s">
        <v>12349</v>
      </c>
      <c r="G3416" s="27"/>
      <c r="H3416" s="16" t="str">
        <f>IF(ISBLANK(PARTIDAS!$G3416),PARTIDAS!$F3416,CONCATENATE(PARTIDAS!$F3416," (",PARTIDAS!$G3416,")"))</f>
        <v>Prendas y complementos (accesorios), de vestir, incluidos los guantes, mitones y manoplas</v>
      </c>
      <c r="I3416" s="16" t="s">
        <v>9427</v>
      </c>
    </row>
    <row r="3417" spans="1:9" x14ac:dyDescent="0.25">
      <c r="A3417" s="16" t="s">
        <v>4326</v>
      </c>
      <c r="B3417" s="16" t="str">
        <f>TEXT(PARTIDA[[#This Row],[PARTIDA]],"0000000000")</f>
        <v>3926300000</v>
      </c>
      <c r="C3417" s="16" t="s">
        <v>786</v>
      </c>
      <c r="D3417" s="16" t="s">
        <v>787</v>
      </c>
      <c r="E3417" s="16" t="s">
        <v>797</v>
      </c>
      <c r="F3417" s="27" t="s">
        <v>12350</v>
      </c>
      <c r="G3417" s="27"/>
      <c r="H3417" s="16" t="str">
        <f>IF(ISBLANK(PARTIDAS!$G3417),PARTIDAS!$F3417,CONCATENATE(PARTIDAS!$F3417," (",PARTIDAS!$G3417,")"))</f>
        <v>Guarniciones para muebles, carrocerías o similares</v>
      </c>
      <c r="I3417" s="16" t="s">
        <v>9427</v>
      </c>
    </row>
    <row r="3418" spans="1:9" x14ac:dyDescent="0.25">
      <c r="A3418" s="16" t="s">
        <v>4327</v>
      </c>
      <c r="B3418" s="16" t="str">
        <f>TEXT(PARTIDA[[#This Row],[PARTIDA]],"0000000000")</f>
        <v>3926400000</v>
      </c>
      <c r="C3418" s="16" t="s">
        <v>786</v>
      </c>
      <c r="D3418" s="16" t="s">
        <v>787</v>
      </c>
      <c r="E3418" s="16" t="s">
        <v>797</v>
      </c>
      <c r="F3418" s="27" t="s">
        <v>12351</v>
      </c>
      <c r="G3418" s="27"/>
      <c r="H3418" s="16" t="str">
        <f>IF(ISBLANK(PARTIDAS!$G3418),PARTIDAS!$F3418,CONCATENATE(PARTIDAS!$F3418," (",PARTIDAS!$G3418,")"))</f>
        <v>Estatuillas y demás artículos de adorno</v>
      </c>
      <c r="I3418" s="16" t="s">
        <v>9427</v>
      </c>
    </row>
    <row r="3419" spans="1:9" x14ac:dyDescent="0.25">
      <c r="A3419" s="16" t="s">
        <v>4328</v>
      </c>
      <c r="B3419" s="16" t="str">
        <f>TEXT(PARTIDA[[#This Row],[PARTIDA]],"0000000000")</f>
        <v>3926901000</v>
      </c>
      <c r="C3419" s="16" t="s">
        <v>786</v>
      </c>
      <c r="D3419" s="16" t="s">
        <v>787</v>
      </c>
      <c r="E3419" s="16" t="s">
        <v>797</v>
      </c>
      <c r="F3419" s="27" t="s">
        <v>12352</v>
      </c>
      <c r="G3419" s="27"/>
      <c r="H3419" s="16" t="str">
        <f>IF(ISBLANK(PARTIDAS!$G3419),PARTIDAS!$F3419,CONCATENATE(PARTIDAS!$F3419," (",PARTIDAS!$G3419,")"))</f>
        <v>Boyas y flotadores para redes de pesca</v>
      </c>
      <c r="I3419" s="16" t="s">
        <v>9427</v>
      </c>
    </row>
    <row r="3420" spans="1:9" x14ac:dyDescent="0.25">
      <c r="A3420" s="16" t="s">
        <v>4329</v>
      </c>
      <c r="B3420" s="16" t="str">
        <f>TEXT(PARTIDA[[#This Row],[PARTIDA]],"0000000000")</f>
        <v>3926902000</v>
      </c>
      <c r="C3420" s="16" t="s">
        <v>786</v>
      </c>
      <c r="D3420" s="16" t="s">
        <v>787</v>
      </c>
      <c r="E3420" s="16" t="s">
        <v>797</v>
      </c>
      <c r="F3420" s="27" t="s">
        <v>12353</v>
      </c>
      <c r="G3420" s="27"/>
      <c r="H3420" s="16" t="str">
        <f>IF(ISBLANK(PARTIDAS!$G3420),PARTIDAS!$F3420,CONCATENATE(PARTIDAS!$F3420," (",PARTIDAS!$G3420,")"))</f>
        <v>Ballenas y sus análogos para corsés, prendas de vestir y sus complementos</v>
      </c>
      <c r="I3420" s="16" t="s">
        <v>9427</v>
      </c>
    </row>
    <row r="3421" spans="1:9" x14ac:dyDescent="0.25">
      <c r="A3421" s="16" t="s">
        <v>4330</v>
      </c>
      <c r="B3421" s="16" t="str">
        <f>TEXT(PARTIDA[[#This Row],[PARTIDA]],"0000000000")</f>
        <v>3926903000</v>
      </c>
      <c r="C3421" s="16" t="s">
        <v>786</v>
      </c>
      <c r="D3421" s="16" t="s">
        <v>787</v>
      </c>
      <c r="E3421" s="16" t="s">
        <v>797</v>
      </c>
      <c r="F3421" s="27" t="s">
        <v>4331</v>
      </c>
      <c r="G3421" s="27"/>
      <c r="H3421" s="16" t="str">
        <f>IF(ISBLANK(PARTIDAS!$G3421),PARTIDAS!$F3421,CONCATENATE(PARTIDAS!$F3421," (",PARTIDAS!$G3421,")"))</f>
        <v>Tornillos, pernos, arandelas</v>
      </c>
      <c r="I3421" s="16" t="s">
        <v>9427</v>
      </c>
    </row>
    <row r="3422" spans="1:9" x14ac:dyDescent="0.25">
      <c r="A3422" s="16" t="s">
        <v>4332</v>
      </c>
      <c r="B3422" s="16" t="str">
        <f>TEXT(PARTIDA[[#This Row],[PARTIDA]],"0000000000")</f>
        <v>3926904000</v>
      </c>
      <c r="C3422" s="16" t="s">
        <v>786</v>
      </c>
      <c r="D3422" s="16" t="s">
        <v>787</v>
      </c>
      <c r="E3422" s="16" t="s">
        <v>797</v>
      </c>
      <c r="F3422" s="27" t="s">
        <v>4333</v>
      </c>
      <c r="G3422" s="27"/>
      <c r="H3422" s="16" t="str">
        <f>IF(ISBLANK(PARTIDAS!$G3422),PARTIDAS!$F3422,CONCATENATE(PARTIDAS!$F3422," (",PARTIDAS!$G3422,")"))</f>
        <v>Juntas o empaquetaduras</v>
      </c>
      <c r="I3422" s="16" t="s">
        <v>9427</v>
      </c>
    </row>
    <row r="3423" spans="1:9" x14ac:dyDescent="0.25">
      <c r="A3423" s="16" t="s">
        <v>4334</v>
      </c>
      <c r="B3423" s="16" t="str">
        <f>TEXT(PARTIDA[[#This Row],[PARTIDA]],"0000000000")</f>
        <v>3926906000</v>
      </c>
      <c r="C3423" s="16" t="s">
        <v>786</v>
      </c>
      <c r="D3423" s="16" t="s">
        <v>787</v>
      </c>
      <c r="E3423" s="16" t="s">
        <v>797</v>
      </c>
      <c r="F3423" s="27" t="s">
        <v>12354</v>
      </c>
      <c r="G3423" s="27"/>
      <c r="H3423" s="16" t="str">
        <f>IF(ISBLANK(PARTIDAS!$G3423),PARTIDAS!$F3423,CONCATENATE(PARTIDAS!$F3423," (",PARTIDAS!$G3423,")"))</f>
        <v>Protectores antirruidos</v>
      </c>
      <c r="I3423" s="16" t="s">
        <v>9427</v>
      </c>
    </row>
    <row r="3424" spans="1:9" x14ac:dyDescent="0.25">
      <c r="A3424" s="16" t="s">
        <v>4335</v>
      </c>
      <c r="B3424" s="16" t="str">
        <f>TEXT(PARTIDA[[#This Row],[PARTIDA]],"0000000000")</f>
        <v>3926907000</v>
      </c>
      <c r="C3424" s="16" t="s">
        <v>786</v>
      </c>
      <c r="D3424" s="16" t="s">
        <v>787</v>
      </c>
      <c r="E3424" s="16" t="s">
        <v>797</v>
      </c>
      <c r="F3424" s="27" t="s">
        <v>4336</v>
      </c>
      <c r="G3424" s="27"/>
      <c r="H3424" s="16" t="str">
        <f>IF(ISBLANK(PARTIDAS!$G3424),PARTIDAS!$F3424,CONCATENATE(PARTIDAS!$F3424," (",PARTIDAS!$G3424,")"))</f>
        <v>Máscaras de protección</v>
      </c>
      <c r="I3424" s="16" t="s">
        <v>9427</v>
      </c>
    </row>
    <row r="3425" spans="1:9" x14ac:dyDescent="0.25">
      <c r="A3425" s="16" t="s">
        <v>4337</v>
      </c>
      <c r="B3425" s="16" t="str">
        <f>TEXT(PARTIDA[[#This Row],[PARTIDA]],"0000000000")</f>
        <v>3926909010</v>
      </c>
      <c r="C3425" s="16" t="s">
        <v>786</v>
      </c>
      <c r="D3425" s="16" t="s">
        <v>787</v>
      </c>
      <c r="E3425" s="16" t="s">
        <v>797</v>
      </c>
      <c r="F3425" s="27" t="s">
        <v>12355</v>
      </c>
      <c r="G3425" s="27"/>
      <c r="H3425" s="16" t="str">
        <f>IF(ISBLANK(PARTIDAS!$G3425),PARTIDAS!$F3425,CONCATENATE(PARTIDAS!$F3425," (",PARTIDAS!$G3425,")"))</f>
        <v>Plástico y sus manufacturas, de fibra vulcanizada en formas distintas a la cuadrada o rectangular</v>
      </c>
      <c r="I3425" s="16" t="s">
        <v>9427</v>
      </c>
    </row>
    <row r="3426" spans="1:9" x14ac:dyDescent="0.25">
      <c r="A3426" s="16" t="s">
        <v>4338</v>
      </c>
      <c r="B3426" s="16" t="str">
        <f>TEXT(PARTIDA[[#This Row],[PARTIDA]],"0000000000")</f>
        <v>3926909090</v>
      </c>
      <c r="C3426" s="16" t="s">
        <v>786</v>
      </c>
      <c r="D3426" s="16" t="s">
        <v>799</v>
      </c>
      <c r="E3426" s="16" t="s">
        <v>9440</v>
      </c>
      <c r="F3426" s="27" t="s">
        <v>4339</v>
      </c>
      <c r="G3426" s="27"/>
      <c r="H3426" s="16" t="str">
        <f>IF(ISBLANK(PARTIDAS!$G3426),PARTIDAS!$F3426,CONCATENATE(PARTIDAS!$F3426," (",PARTIDAS!$G3426,")"))</f>
        <v>Productos de plástico</v>
      </c>
      <c r="I3426" s="16" t="s">
        <v>9477</v>
      </c>
    </row>
    <row r="3427" spans="1:9" x14ac:dyDescent="0.25">
      <c r="A3427" s="16" t="s">
        <v>4340</v>
      </c>
      <c r="B3427" s="16" t="str">
        <f>TEXT(PARTIDA[[#This Row],[PARTIDA]],"0000000000")</f>
        <v>4001100000</v>
      </c>
      <c r="C3427" s="16" t="s">
        <v>815</v>
      </c>
      <c r="D3427" s="16" t="s">
        <v>835</v>
      </c>
      <c r="E3427" s="16" t="s">
        <v>840</v>
      </c>
      <c r="F3427" s="27" t="s">
        <v>12356</v>
      </c>
      <c r="G3427" s="27"/>
      <c r="H3427" s="16" t="str">
        <f>IF(ISBLANK(PARTIDAS!$G3427),PARTIDAS!$F3427,CONCATENATE(PARTIDAS!$F3427," (",PARTIDAS!$G3427,")"))</f>
        <v>Látex de caucho natural, incluso prevulcanizado</v>
      </c>
      <c r="I3427" s="16" t="s">
        <v>9427</v>
      </c>
    </row>
    <row r="3428" spans="1:9" x14ac:dyDescent="0.25">
      <c r="A3428" s="16" t="s">
        <v>4341</v>
      </c>
      <c r="B3428" s="16" t="str">
        <f>TEXT(PARTIDA[[#This Row],[PARTIDA]],"0000000000")</f>
        <v>4001210000</v>
      </c>
      <c r="C3428" s="16" t="s">
        <v>815</v>
      </c>
      <c r="D3428" s="16" t="s">
        <v>835</v>
      </c>
      <c r="E3428" s="16" t="s">
        <v>840</v>
      </c>
      <c r="F3428" s="27" t="s">
        <v>12357</v>
      </c>
      <c r="G3428" s="27"/>
      <c r="H3428" s="16" t="str">
        <f>IF(ISBLANK(PARTIDAS!$G3428),PARTIDAS!$F3428,CONCATENATE(PARTIDAS!$F3428," (",PARTIDAS!$G3428,")"))</f>
        <v>Hojas ahumadas</v>
      </c>
      <c r="I3428" s="16" t="s">
        <v>9427</v>
      </c>
    </row>
    <row r="3429" spans="1:9" x14ac:dyDescent="0.25">
      <c r="A3429" s="16" t="s">
        <v>4342</v>
      </c>
      <c r="B3429" s="16" t="str">
        <f>TEXT(PARTIDA[[#This Row],[PARTIDA]],"0000000000")</f>
        <v>4001220000</v>
      </c>
      <c r="C3429" s="16" t="s">
        <v>815</v>
      </c>
      <c r="D3429" s="16" t="s">
        <v>835</v>
      </c>
      <c r="E3429" s="16" t="s">
        <v>840</v>
      </c>
      <c r="F3429" s="27" t="s">
        <v>12358</v>
      </c>
      <c r="G3429" s="27"/>
      <c r="H3429" s="16" t="str">
        <f>IF(ISBLANK(PARTIDAS!$G3429),PARTIDAS!$F3429,CONCATENATE(PARTIDAS!$F3429," (",PARTIDAS!$G3429,")"))</f>
        <v>Cauchos técnicamente especificados (TSNR)</v>
      </c>
      <c r="I3429" s="16" t="s">
        <v>9427</v>
      </c>
    </row>
    <row r="3430" spans="1:9" x14ac:dyDescent="0.25">
      <c r="A3430" s="16" t="s">
        <v>4343</v>
      </c>
      <c r="B3430" s="16" t="str">
        <f>TEXT(PARTIDA[[#This Row],[PARTIDA]],"0000000000")</f>
        <v>4001291000</v>
      </c>
      <c r="C3430" s="16" t="s">
        <v>815</v>
      </c>
      <c r="D3430" s="16" t="s">
        <v>835</v>
      </c>
      <c r="E3430" s="16" t="s">
        <v>840</v>
      </c>
      <c r="F3430" s="27" t="s">
        <v>12359</v>
      </c>
      <c r="G3430" s="27"/>
      <c r="H3430" s="16" t="str">
        <f>IF(ISBLANK(PARTIDAS!$G3430),PARTIDAS!$F3430,CONCATENATE(PARTIDAS!$F3430," (",PARTIDAS!$G3430,")"))</f>
        <v>Hojas de crepé</v>
      </c>
      <c r="I3430" s="16" t="s">
        <v>9427</v>
      </c>
    </row>
    <row r="3431" spans="1:9" x14ac:dyDescent="0.25">
      <c r="A3431" s="16" t="s">
        <v>4344</v>
      </c>
      <c r="B3431" s="16" t="str">
        <f>TEXT(PARTIDA[[#This Row],[PARTIDA]],"0000000000")</f>
        <v>4001292000</v>
      </c>
      <c r="C3431" s="16" t="s">
        <v>815</v>
      </c>
      <c r="D3431" s="16" t="s">
        <v>835</v>
      </c>
      <c r="E3431" s="16" t="s">
        <v>840</v>
      </c>
      <c r="F3431" s="27" t="s">
        <v>12360</v>
      </c>
      <c r="G3431" s="27"/>
      <c r="H3431" s="16" t="str">
        <f>IF(ISBLANK(PARTIDAS!$G3431),PARTIDAS!$F3431,CONCATENATE(PARTIDAS!$F3431," (",PARTIDAS!$G3431,")"))</f>
        <v>Caucho granulado reaglomerado</v>
      </c>
      <c r="I3431" s="16" t="s">
        <v>9427</v>
      </c>
    </row>
    <row r="3432" spans="1:9" x14ac:dyDescent="0.25">
      <c r="A3432" s="16" t="s">
        <v>4345</v>
      </c>
      <c r="B3432" s="16" t="str">
        <f>TEXT(PARTIDA[[#This Row],[PARTIDA]],"0000000000")</f>
        <v>4001299000</v>
      </c>
      <c r="C3432" s="16" t="s">
        <v>815</v>
      </c>
      <c r="D3432" s="16" t="s">
        <v>835</v>
      </c>
      <c r="E3432" s="16" t="s">
        <v>840</v>
      </c>
      <c r="F3432" s="27" t="s">
        <v>12361</v>
      </c>
      <c r="G3432" s="27"/>
      <c r="H3432" s="16" t="str">
        <f>IF(ISBLANK(PARTIDAS!$G3432),PARTIDAS!$F3432,CONCATENATE(PARTIDAS!$F3432," (",PARTIDAS!$G3432,")"))</f>
        <v>Caucho natural en otras formas (los demás)</v>
      </c>
      <c r="I3432" s="16" t="s">
        <v>9427</v>
      </c>
    </row>
    <row r="3433" spans="1:9" x14ac:dyDescent="0.25">
      <c r="A3433" s="16" t="s">
        <v>4346</v>
      </c>
      <c r="B3433" s="16" t="str">
        <f>TEXT(PARTIDA[[#This Row],[PARTIDA]],"0000000000")</f>
        <v>4001300000</v>
      </c>
      <c r="C3433" s="16" t="s">
        <v>815</v>
      </c>
      <c r="D3433" s="16" t="s">
        <v>835</v>
      </c>
      <c r="E3433" s="16" t="s">
        <v>840</v>
      </c>
      <c r="F3433" s="27" t="s">
        <v>12362</v>
      </c>
      <c r="G3433" s="27"/>
      <c r="H3433" s="16" t="str">
        <f>IF(ISBLANK(PARTIDAS!$G3433),PARTIDAS!$F3433,CONCATENATE(PARTIDAS!$F3433," (",PARTIDAS!$G3433,")"))</f>
        <v>Balata, gutapercha, guayule, chicle y gomas naturales análogas</v>
      </c>
      <c r="I3433" s="16" t="s">
        <v>9427</v>
      </c>
    </row>
    <row r="3434" spans="1:9" x14ac:dyDescent="0.25">
      <c r="A3434" s="16" t="s">
        <v>4347</v>
      </c>
      <c r="B3434" s="16" t="str">
        <f>TEXT(PARTIDA[[#This Row],[PARTIDA]],"0000000000")</f>
        <v>4002111000</v>
      </c>
      <c r="C3434" s="16" t="s">
        <v>815</v>
      </c>
      <c r="D3434" s="16" t="s">
        <v>835</v>
      </c>
      <c r="E3434" s="16" t="s">
        <v>844</v>
      </c>
      <c r="F3434" s="27" t="s">
        <v>12363</v>
      </c>
      <c r="G3434" s="27"/>
      <c r="H3434" s="16" t="str">
        <f>IF(ISBLANK(PARTIDAS!$G3434),PARTIDAS!$F3434,CONCATENATE(PARTIDAS!$F3434," (",PARTIDAS!$G3434,")"))</f>
        <v>Látex, de caucho estireno-butadieno (SBR)</v>
      </c>
      <c r="I3434" s="16" t="s">
        <v>9427</v>
      </c>
    </row>
    <row r="3435" spans="1:9" x14ac:dyDescent="0.25">
      <c r="A3435" s="16" t="s">
        <v>4348</v>
      </c>
      <c r="B3435" s="16" t="str">
        <f>TEXT(PARTIDA[[#This Row],[PARTIDA]],"0000000000")</f>
        <v>4002112000</v>
      </c>
      <c r="C3435" s="16" t="s">
        <v>815</v>
      </c>
      <c r="D3435" s="16" t="s">
        <v>835</v>
      </c>
      <c r="E3435" s="16" t="s">
        <v>844</v>
      </c>
      <c r="F3435" s="27" t="s">
        <v>12364</v>
      </c>
      <c r="G3435" s="27"/>
      <c r="H3435" s="16" t="str">
        <f>IF(ISBLANK(PARTIDAS!$G3435),PARTIDAS!$F3435,CONCATENATE(PARTIDAS!$F3435," (",PARTIDAS!$G3435,")"))</f>
        <v>Látex, de caucho estireno-butadieno carboxilado (XSBR)</v>
      </c>
      <c r="I3435" s="16" t="s">
        <v>9427</v>
      </c>
    </row>
    <row r="3436" spans="1:9" x14ac:dyDescent="0.25">
      <c r="A3436" s="16" t="s">
        <v>4349</v>
      </c>
      <c r="B3436" s="16" t="str">
        <f>TEXT(PARTIDA[[#This Row],[PARTIDA]],"0000000000")</f>
        <v>4002191100</v>
      </c>
      <c r="C3436" s="16" t="s">
        <v>815</v>
      </c>
      <c r="D3436" s="16" t="s">
        <v>835</v>
      </c>
      <c r="E3436" s="16" t="s">
        <v>844</v>
      </c>
      <c r="F3436" s="27" t="s">
        <v>12365</v>
      </c>
      <c r="G3436" s="27"/>
      <c r="H3436" s="16" t="str">
        <f>IF(ISBLANK(PARTIDAS!$G3436),PARTIDAS!$F3436,CONCATENATE(PARTIDAS!$F3436," (",PARTIDAS!$G3436,")"))</f>
        <v>Caucho estireno-butadieno (SBR), en formas primarias</v>
      </c>
      <c r="I3436" s="16" t="s">
        <v>9427</v>
      </c>
    </row>
    <row r="3437" spans="1:9" x14ac:dyDescent="0.25">
      <c r="A3437" s="16" t="s">
        <v>4350</v>
      </c>
      <c r="B3437" s="16" t="str">
        <f>TEXT(PARTIDA[[#This Row],[PARTIDA]],"0000000000")</f>
        <v>4002191200</v>
      </c>
      <c r="C3437" s="16" t="s">
        <v>815</v>
      </c>
      <c r="D3437" s="16" t="s">
        <v>835</v>
      </c>
      <c r="E3437" s="16" t="s">
        <v>844</v>
      </c>
      <c r="F3437" s="27" t="s">
        <v>12366</v>
      </c>
      <c r="G3437" s="27"/>
      <c r="H3437" s="16" t="str">
        <f>IF(ISBLANK(PARTIDAS!$G3437),PARTIDAS!$F3437,CONCATENATE(PARTIDAS!$F3437," (",PARTIDAS!$G3437,")"))</f>
        <v>Caucho estireno-butadieno (SBR), en placas, hojas o tiras</v>
      </c>
      <c r="I3437" s="16" t="s">
        <v>9427</v>
      </c>
    </row>
    <row r="3438" spans="1:9" x14ac:dyDescent="0.25">
      <c r="A3438" s="16" t="s">
        <v>4351</v>
      </c>
      <c r="B3438" s="16" t="str">
        <f>TEXT(PARTIDA[[#This Row],[PARTIDA]],"0000000000")</f>
        <v>4002192100</v>
      </c>
      <c r="C3438" s="16" t="s">
        <v>815</v>
      </c>
      <c r="D3438" s="16" t="s">
        <v>835</v>
      </c>
      <c r="E3438" s="16" t="s">
        <v>844</v>
      </c>
      <c r="F3438" s="27" t="s">
        <v>12367</v>
      </c>
      <c r="G3438" s="27"/>
      <c r="H3438" s="16" t="str">
        <f>IF(ISBLANK(PARTIDAS!$G3438),PARTIDAS!$F3438,CONCATENATE(PARTIDAS!$F3438," (",PARTIDAS!$G3438,")"))</f>
        <v>Caucho estireno-butadieno carboxilado (XSBR), en formas primarias</v>
      </c>
      <c r="I3438" s="16" t="s">
        <v>9427</v>
      </c>
    </row>
    <row r="3439" spans="1:9" x14ac:dyDescent="0.25">
      <c r="A3439" s="16" t="s">
        <v>4352</v>
      </c>
      <c r="B3439" s="16" t="str">
        <f>TEXT(PARTIDA[[#This Row],[PARTIDA]],"0000000000")</f>
        <v>4002192200</v>
      </c>
      <c r="C3439" s="16" t="s">
        <v>815</v>
      </c>
      <c r="D3439" s="16" t="s">
        <v>835</v>
      </c>
      <c r="E3439" s="16" t="s">
        <v>844</v>
      </c>
      <c r="F3439" s="27" t="s">
        <v>12368</v>
      </c>
      <c r="G3439" s="27"/>
      <c r="H3439" s="16" t="str">
        <f>IF(ISBLANK(PARTIDAS!$G3439),PARTIDAS!$F3439,CONCATENATE(PARTIDAS!$F3439," (",PARTIDAS!$G3439,")"))</f>
        <v>Caucho estireno-butadieno carboxilado (XSBR), en placas, hojas o tiras</v>
      </c>
      <c r="I3439" s="16" t="s">
        <v>9427</v>
      </c>
    </row>
    <row r="3440" spans="1:9" x14ac:dyDescent="0.25">
      <c r="A3440" s="16" t="s">
        <v>4353</v>
      </c>
      <c r="B3440" s="16" t="str">
        <f>TEXT(PARTIDA[[#This Row],[PARTIDA]],"0000000000")</f>
        <v>4002201000</v>
      </c>
      <c r="C3440" s="16" t="s">
        <v>815</v>
      </c>
      <c r="D3440" s="16" t="s">
        <v>835</v>
      </c>
      <c r="E3440" s="16" t="s">
        <v>844</v>
      </c>
      <c r="F3440" s="27" t="s">
        <v>12369</v>
      </c>
      <c r="G3440" s="27"/>
      <c r="H3440" s="16" t="str">
        <f>IF(ISBLANK(PARTIDAS!$G3440),PARTIDAS!$F3440,CONCATENATE(PARTIDAS!$F3440," (",PARTIDAS!$G3440,")"))</f>
        <v>Caucho butadieno (BR), látex</v>
      </c>
      <c r="I3440" s="16" t="s">
        <v>9427</v>
      </c>
    </row>
    <row r="3441" spans="1:9" x14ac:dyDescent="0.25">
      <c r="A3441" s="16" t="s">
        <v>4354</v>
      </c>
      <c r="B3441" s="16" t="str">
        <f>TEXT(PARTIDA[[#This Row],[PARTIDA]],"0000000000")</f>
        <v>4002209100</v>
      </c>
      <c r="C3441" s="16" t="s">
        <v>815</v>
      </c>
      <c r="D3441" s="16" t="s">
        <v>835</v>
      </c>
      <c r="E3441" s="16" t="s">
        <v>844</v>
      </c>
      <c r="F3441" s="27" t="s">
        <v>12370</v>
      </c>
      <c r="G3441" s="27"/>
      <c r="H3441" s="16" t="str">
        <f>IF(ISBLANK(PARTIDAS!$G3441),PARTIDAS!$F3441,CONCATENATE(PARTIDAS!$F3441," (",PARTIDAS!$G3441,")"))</f>
        <v>Caucho butadieno (BR), en formas primarias</v>
      </c>
      <c r="I3441" s="16" t="s">
        <v>9427</v>
      </c>
    </row>
    <row r="3442" spans="1:9" x14ac:dyDescent="0.25">
      <c r="A3442" s="16" t="s">
        <v>4355</v>
      </c>
      <c r="B3442" s="16" t="str">
        <f>TEXT(PARTIDA[[#This Row],[PARTIDA]],"0000000000")</f>
        <v>4002209200</v>
      </c>
      <c r="C3442" s="16" t="s">
        <v>815</v>
      </c>
      <c r="D3442" s="16" t="s">
        <v>835</v>
      </c>
      <c r="E3442" s="16" t="s">
        <v>844</v>
      </c>
      <c r="F3442" s="27" t="s">
        <v>12371</v>
      </c>
      <c r="G3442" s="27"/>
      <c r="H3442" s="16" t="str">
        <f>IF(ISBLANK(PARTIDAS!$G3442),PARTIDAS!$F3442,CONCATENATE(PARTIDAS!$F3442," (",PARTIDAS!$G3442,")"))</f>
        <v>Caucho butadieno (BR), en placas, hojas o tiras</v>
      </c>
      <c r="I3442" s="16" t="s">
        <v>9427</v>
      </c>
    </row>
    <row r="3443" spans="1:9" x14ac:dyDescent="0.25">
      <c r="A3443" s="16" t="s">
        <v>4356</v>
      </c>
      <c r="B3443" s="16" t="str">
        <f>TEXT(PARTIDA[[#This Row],[PARTIDA]],"0000000000")</f>
        <v>4002311000</v>
      </c>
      <c r="C3443" s="16" t="s">
        <v>815</v>
      </c>
      <c r="D3443" s="16" t="s">
        <v>835</v>
      </c>
      <c r="E3443" s="16" t="s">
        <v>844</v>
      </c>
      <c r="F3443" s="27" t="s">
        <v>12372</v>
      </c>
      <c r="G3443" s="27"/>
      <c r="H3443" s="16" t="str">
        <f>IF(ISBLANK(PARTIDAS!$G3443),PARTIDAS!$F3443,CONCATENATE(PARTIDAS!$F3443," (",PARTIDAS!$G3443,")"))</f>
        <v>Caucho isobuteno-isopreno (butilo) (IIR), látex</v>
      </c>
      <c r="I3443" s="16" t="s">
        <v>9427</v>
      </c>
    </row>
    <row r="3444" spans="1:9" x14ac:dyDescent="0.25">
      <c r="A3444" s="16" t="s">
        <v>4357</v>
      </c>
      <c r="B3444" s="16" t="str">
        <f>TEXT(PARTIDA[[#This Row],[PARTIDA]],"0000000000")</f>
        <v>4002319100</v>
      </c>
      <c r="C3444" s="16" t="s">
        <v>815</v>
      </c>
      <c r="D3444" s="16" t="s">
        <v>835</v>
      </c>
      <c r="E3444" s="16" t="s">
        <v>844</v>
      </c>
      <c r="F3444" s="27" t="s">
        <v>12373</v>
      </c>
      <c r="G3444" s="27"/>
      <c r="H3444" s="16" t="str">
        <f>IF(ISBLANK(PARTIDAS!$G3444),PARTIDAS!$F3444,CONCATENATE(PARTIDAS!$F3444," (",PARTIDAS!$G3444,")"))</f>
        <v>Caucho isobuteno-isopreno (butilo) (IIR), en formas primarias</v>
      </c>
      <c r="I3444" s="16" t="s">
        <v>9427</v>
      </c>
    </row>
    <row r="3445" spans="1:9" x14ac:dyDescent="0.25">
      <c r="A3445" s="16" t="s">
        <v>4358</v>
      </c>
      <c r="B3445" s="16" t="str">
        <f>TEXT(PARTIDA[[#This Row],[PARTIDA]],"0000000000")</f>
        <v>4002319200</v>
      </c>
      <c r="C3445" s="16" t="s">
        <v>815</v>
      </c>
      <c r="D3445" s="16" t="s">
        <v>835</v>
      </c>
      <c r="E3445" s="16" t="s">
        <v>844</v>
      </c>
      <c r="F3445" s="27" t="s">
        <v>12374</v>
      </c>
      <c r="G3445" s="27"/>
      <c r="H3445" s="16" t="str">
        <f>IF(ISBLANK(PARTIDAS!$G3445),PARTIDAS!$F3445,CONCATENATE(PARTIDAS!$F3445," (",PARTIDAS!$G3445,")"))</f>
        <v>Caucho isobuteno-isopreno (butilo) (IIR), en placas, hojas o tiras</v>
      </c>
      <c r="I3445" s="16" t="s">
        <v>9427</v>
      </c>
    </row>
    <row r="3446" spans="1:9" x14ac:dyDescent="0.25">
      <c r="A3446" s="16" t="s">
        <v>4359</v>
      </c>
      <c r="B3446" s="16" t="str">
        <f>TEXT(PARTIDA[[#This Row],[PARTIDA]],"0000000000")</f>
        <v>4002391000</v>
      </c>
      <c r="C3446" s="16" t="s">
        <v>815</v>
      </c>
      <c r="D3446" s="16" t="s">
        <v>835</v>
      </c>
      <c r="E3446" s="16" t="s">
        <v>844</v>
      </c>
      <c r="F3446" s="27" t="s">
        <v>12372</v>
      </c>
      <c r="G3446" s="27"/>
      <c r="H3446" s="16" t="str">
        <f>IF(ISBLANK(PARTIDAS!$G3446),PARTIDAS!$F3446,CONCATENATE(PARTIDAS!$F3446," (",PARTIDAS!$G3446,")"))</f>
        <v>Caucho isobuteno-isopreno (butilo) (IIR), látex</v>
      </c>
      <c r="I3446" s="16" t="s">
        <v>9427</v>
      </c>
    </row>
    <row r="3447" spans="1:9" x14ac:dyDescent="0.25">
      <c r="A3447" s="16" t="s">
        <v>4360</v>
      </c>
      <c r="B3447" s="16" t="str">
        <f>TEXT(PARTIDA[[#This Row],[PARTIDA]],"0000000000")</f>
        <v>4002399100</v>
      </c>
      <c r="C3447" s="16" t="s">
        <v>815</v>
      </c>
      <c r="D3447" s="16" t="s">
        <v>835</v>
      </c>
      <c r="E3447" s="16" t="s">
        <v>844</v>
      </c>
      <c r="F3447" s="27" t="s">
        <v>12373</v>
      </c>
      <c r="G3447" s="27"/>
      <c r="H3447" s="16" t="str">
        <f>IF(ISBLANK(PARTIDAS!$G3447),PARTIDAS!$F3447,CONCATENATE(PARTIDAS!$F3447," (",PARTIDAS!$G3447,")"))</f>
        <v>Caucho isobuteno-isopreno (butilo) (IIR), en formas primarias</v>
      </c>
      <c r="I3447" s="16" t="s">
        <v>9427</v>
      </c>
    </row>
    <row r="3448" spans="1:9" x14ac:dyDescent="0.25">
      <c r="A3448" s="16" t="s">
        <v>4361</v>
      </c>
      <c r="B3448" s="16" t="str">
        <f>TEXT(PARTIDA[[#This Row],[PARTIDA]],"0000000000")</f>
        <v>4002399200</v>
      </c>
      <c r="C3448" s="16" t="s">
        <v>815</v>
      </c>
      <c r="D3448" s="16" t="s">
        <v>835</v>
      </c>
      <c r="E3448" s="16" t="s">
        <v>844</v>
      </c>
      <c r="F3448" s="27" t="s">
        <v>12374</v>
      </c>
      <c r="G3448" s="27"/>
      <c r="H3448" s="16" t="str">
        <f>IF(ISBLANK(PARTIDAS!$G3448),PARTIDAS!$F3448,CONCATENATE(PARTIDAS!$F3448," (",PARTIDAS!$G3448,")"))</f>
        <v>Caucho isobuteno-isopreno (butilo) (IIR), en placas, hojas o tiras</v>
      </c>
      <c r="I3448" s="16" t="s">
        <v>9427</v>
      </c>
    </row>
    <row r="3449" spans="1:9" x14ac:dyDescent="0.25">
      <c r="A3449" s="16" t="s">
        <v>4362</v>
      </c>
      <c r="B3449" s="16" t="str">
        <f>TEXT(PARTIDA[[#This Row],[PARTIDA]],"0000000000")</f>
        <v>4002410000</v>
      </c>
      <c r="C3449" s="16" t="s">
        <v>815</v>
      </c>
      <c r="D3449" s="16" t="s">
        <v>835</v>
      </c>
      <c r="E3449" s="16" t="s">
        <v>844</v>
      </c>
      <c r="F3449" s="27" t="s">
        <v>4363</v>
      </c>
      <c r="G3449" s="27"/>
      <c r="H3449" s="16" t="str">
        <f>IF(ISBLANK(PARTIDAS!$G3449),PARTIDAS!$F3449,CONCATENATE(PARTIDAS!$F3449," (",PARTIDAS!$G3449,")"))</f>
        <v>Látex</v>
      </c>
      <c r="I3449" s="16" t="s">
        <v>9427</v>
      </c>
    </row>
    <row r="3450" spans="1:9" x14ac:dyDescent="0.25">
      <c r="A3450" s="16" t="s">
        <v>4364</v>
      </c>
      <c r="B3450" s="16" t="str">
        <f>TEXT(PARTIDA[[#This Row],[PARTIDA]],"0000000000")</f>
        <v>4002491000</v>
      </c>
      <c r="C3450" s="16" t="s">
        <v>815</v>
      </c>
      <c r="D3450" s="16" t="s">
        <v>835</v>
      </c>
      <c r="E3450" s="16" t="s">
        <v>844</v>
      </c>
      <c r="F3450" s="27" t="s">
        <v>12375</v>
      </c>
      <c r="G3450" s="27"/>
      <c r="H3450" s="16" t="str">
        <f>IF(ISBLANK(PARTIDAS!$G3450),PARTIDAS!$F3450,CONCATENATE(PARTIDAS!$F3450," (",PARTIDAS!$G3450,")"))</f>
        <v>Caucho cloropreno (clorobutadieno) (CR), en formas primarias</v>
      </c>
      <c r="I3450" s="16" t="s">
        <v>9427</v>
      </c>
    </row>
    <row r="3451" spans="1:9" x14ac:dyDescent="0.25">
      <c r="A3451" s="16" t="s">
        <v>4365</v>
      </c>
      <c r="B3451" s="16" t="str">
        <f>TEXT(PARTIDA[[#This Row],[PARTIDA]],"0000000000")</f>
        <v>4002492000</v>
      </c>
      <c r="C3451" s="16" t="s">
        <v>815</v>
      </c>
      <c r="D3451" s="16" t="s">
        <v>835</v>
      </c>
      <c r="E3451" s="16" t="s">
        <v>844</v>
      </c>
      <c r="F3451" s="27" t="s">
        <v>12376</v>
      </c>
      <c r="G3451" s="27"/>
      <c r="H3451" s="16" t="str">
        <f>IF(ISBLANK(PARTIDAS!$G3451),PARTIDAS!$F3451,CONCATENATE(PARTIDAS!$F3451," (",PARTIDAS!$G3451,")"))</f>
        <v>Caucho cloropreno (clorobutadieno) (CR), en placas, hojas o tiras</v>
      </c>
      <c r="I3451" s="16" t="s">
        <v>9427</v>
      </c>
    </row>
    <row r="3452" spans="1:9" x14ac:dyDescent="0.25">
      <c r="A3452" s="16" t="s">
        <v>4366</v>
      </c>
      <c r="B3452" s="16" t="str">
        <f>TEXT(PARTIDA[[#This Row],[PARTIDA]],"0000000000")</f>
        <v>4002510000</v>
      </c>
      <c r="C3452" s="16" t="s">
        <v>815</v>
      </c>
      <c r="D3452" s="16" t="s">
        <v>835</v>
      </c>
      <c r="E3452" s="16" t="s">
        <v>844</v>
      </c>
      <c r="F3452" s="27" t="s">
        <v>12377</v>
      </c>
      <c r="G3452" s="27"/>
      <c r="H3452" s="16" t="str">
        <f>IF(ISBLANK(PARTIDAS!$G3452),PARTIDAS!$F3452,CONCATENATE(PARTIDAS!$F3452," (",PARTIDAS!$G3452,")"))</f>
        <v>Caucho acrilonitrilo-butadieno (NBR), látex</v>
      </c>
      <c r="I3452" s="16" t="s">
        <v>9427</v>
      </c>
    </row>
    <row r="3453" spans="1:9" x14ac:dyDescent="0.25">
      <c r="A3453" s="16" t="s">
        <v>4367</v>
      </c>
      <c r="B3453" s="16" t="str">
        <f>TEXT(PARTIDA[[#This Row],[PARTIDA]],"0000000000")</f>
        <v>4002591000</v>
      </c>
      <c r="C3453" s="16" t="s">
        <v>815</v>
      </c>
      <c r="D3453" s="16" t="s">
        <v>835</v>
      </c>
      <c r="E3453" s="16" t="s">
        <v>844</v>
      </c>
      <c r="F3453" s="27" t="s">
        <v>12378</v>
      </c>
      <c r="G3453" s="27"/>
      <c r="H3453" s="16" t="str">
        <f>IF(ISBLANK(PARTIDAS!$G3453),PARTIDAS!$F3453,CONCATENATE(PARTIDAS!$F3453," (",PARTIDAS!$G3453,")"))</f>
        <v>Caucho acrilonitrilo-butadieno (NBR), en formas primarias</v>
      </c>
      <c r="I3453" s="16" t="s">
        <v>9427</v>
      </c>
    </row>
    <row r="3454" spans="1:9" x14ac:dyDescent="0.25">
      <c r="A3454" s="16" t="s">
        <v>4368</v>
      </c>
      <c r="B3454" s="16" t="str">
        <f>TEXT(PARTIDA[[#This Row],[PARTIDA]],"0000000000")</f>
        <v>4002592000</v>
      </c>
      <c r="C3454" s="16" t="s">
        <v>815</v>
      </c>
      <c r="D3454" s="16" t="s">
        <v>835</v>
      </c>
      <c r="E3454" s="16" t="s">
        <v>844</v>
      </c>
      <c r="F3454" s="27" t="s">
        <v>12379</v>
      </c>
      <c r="G3454" s="27"/>
      <c r="H3454" s="16" t="str">
        <f>IF(ISBLANK(PARTIDAS!$G3454),PARTIDAS!$F3454,CONCATENATE(PARTIDAS!$F3454," (",PARTIDAS!$G3454,")"))</f>
        <v>Caucho acrilonitrilo-butadieno (NBR), en placas, hojas o tiras</v>
      </c>
      <c r="I3454" s="16" t="s">
        <v>9427</v>
      </c>
    </row>
    <row r="3455" spans="1:9" x14ac:dyDescent="0.25">
      <c r="A3455" s="16" t="s">
        <v>4369</v>
      </c>
      <c r="B3455" s="16" t="str">
        <f>TEXT(PARTIDA[[#This Row],[PARTIDA]],"0000000000")</f>
        <v>4002601000</v>
      </c>
      <c r="C3455" s="16" t="s">
        <v>815</v>
      </c>
      <c r="D3455" s="16" t="s">
        <v>835</v>
      </c>
      <c r="E3455" s="16" t="s">
        <v>844</v>
      </c>
      <c r="F3455" s="27" t="s">
        <v>12380</v>
      </c>
      <c r="G3455" s="27"/>
      <c r="H3455" s="16" t="str">
        <f>IF(ISBLANK(PARTIDAS!$G3455),PARTIDAS!$F3455,CONCATENATE(PARTIDAS!$F3455," (",PARTIDAS!$G3455,")"))</f>
        <v>Caucho isopreno (IR), látex</v>
      </c>
      <c r="I3455" s="16" t="s">
        <v>9427</v>
      </c>
    </row>
    <row r="3456" spans="1:9" x14ac:dyDescent="0.25">
      <c r="A3456" s="16" t="s">
        <v>4370</v>
      </c>
      <c r="B3456" s="16" t="str">
        <f>TEXT(PARTIDA[[#This Row],[PARTIDA]],"0000000000")</f>
        <v>4002609100</v>
      </c>
      <c r="C3456" s="16" t="s">
        <v>815</v>
      </c>
      <c r="D3456" s="16" t="s">
        <v>835</v>
      </c>
      <c r="E3456" s="16" t="s">
        <v>844</v>
      </c>
      <c r="F3456" s="27" t="s">
        <v>12381</v>
      </c>
      <c r="G3456" s="27"/>
      <c r="H3456" s="16" t="str">
        <f>IF(ISBLANK(PARTIDAS!$G3456),PARTIDAS!$F3456,CONCATENATE(PARTIDAS!$F3456," (",PARTIDAS!$G3456,")"))</f>
        <v>Caucho isopreno (IR), en formas primarias</v>
      </c>
      <c r="I3456" s="16" t="s">
        <v>9427</v>
      </c>
    </row>
    <row r="3457" spans="1:9" x14ac:dyDescent="0.25">
      <c r="A3457" s="16" t="s">
        <v>4371</v>
      </c>
      <c r="B3457" s="16" t="str">
        <f>TEXT(PARTIDA[[#This Row],[PARTIDA]],"0000000000")</f>
        <v>4002609200</v>
      </c>
      <c r="C3457" s="16" t="s">
        <v>815</v>
      </c>
      <c r="D3457" s="16" t="s">
        <v>835</v>
      </c>
      <c r="E3457" s="16" t="s">
        <v>844</v>
      </c>
      <c r="F3457" s="27" t="s">
        <v>12382</v>
      </c>
      <c r="G3457" s="27"/>
      <c r="H3457" s="16" t="str">
        <f>IF(ISBLANK(PARTIDAS!$G3457),PARTIDAS!$F3457,CONCATENATE(PARTIDAS!$F3457," (",PARTIDAS!$G3457,")"))</f>
        <v>Caucho isopreno (IR), en placas, hojas o tiras</v>
      </c>
      <c r="I3457" s="16" t="s">
        <v>9427</v>
      </c>
    </row>
    <row r="3458" spans="1:9" x14ac:dyDescent="0.25">
      <c r="A3458" s="16" t="s">
        <v>4372</v>
      </c>
      <c r="B3458" s="16" t="str">
        <f>TEXT(PARTIDA[[#This Row],[PARTIDA]],"0000000000")</f>
        <v>4002701000</v>
      </c>
      <c r="C3458" s="16" t="s">
        <v>815</v>
      </c>
      <c r="D3458" s="16" t="s">
        <v>835</v>
      </c>
      <c r="E3458" s="16" t="s">
        <v>844</v>
      </c>
      <c r="F3458" s="27" t="s">
        <v>12383</v>
      </c>
      <c r="G3458" s="27"/>
      <c r="H3458" s="16" t="str">
        <f>IF(ISBLANK(PARTIDAS!$G3458),PARTIDAS!$F3458,CONCATENATE(PARTIDAS!$F3458," (",PARTIDAS!$G3458,")"))</f>
        <v>Caucho etileno-propileno-dieno no conjugado (EPDM), látex</v>
      </c>
      <c r="I3458" s="16" t="s">
        <v>9427</v>
      </c>
    </row>
    <row r="3459" spans="1:9" x14ac:dyDescent="0.25">
      <c r="A3459" s="16" t="s">
        <v>4373</v>
      </c>
      <c r="B3459" s="16" t="str">
        <f>TEXT(PARTIDA[[#This Row],[PARTIDA]],"0000000000")</f>
        <v>4002709100</v>
      </c>
      <c r="C3459" s="16" t="s">
        <v>815</v>
      </c>
      <c r="D3459" s="16" t="s">
        <v>835</v>
      </c>
      <c r="E3459" s="16" t="s">
        <v>844</v>
      </c>
      <c r="F3459" s="27" t="s">
        <v>12384</v>
      </c>
      <c r="G3459" s="27"/>
      <c r="H3459" s="16" t="str">
        <f>IF(ISBLANK(PARTIDAS!$G3459),PARTIDAS!$F3459,CONCATENATE(PARTIDAS!$F3459," (",PARTIDAS!$G3459,")"))</f>
        <v>Caucho etileno-propileno-dieno no conjugado (EPDM), en formas primarias</v>
      </c>
      <c r="I3459" s="16" t="s">
        <v>9427</v>
      </c>
    </row>
    <row r="3460" spans="1:9" x14ac:dyDescent="0.25">
      <c r="A3460" s="16" t="s">
        <v>4374</v>
      </c>
      <c r="B3460" s="16" t="str">
        <f>TEXT(PARTIDA[[#This Row],[PARTIDA]],"0000000000")</f>
        <v>4002709200</v>
      </c>
      <c r="C3460" s="16" t="s">
        <v>815</v>
      </c>
      <c r="D3460" s="16" t="s">
        <v>835</v>
      </c>
      <c r="E3460" s="16" t="s">
        <v>844</v>
      </c>
      <c r="F3460" s="27" t="s">
        <v>12385</v>
      </c>
      <c r="G3460" s="27"/>
      <c r="H3460" s="16" t="str">
        <f>IF(ISBLANK(PARTIDAS!$G3460),PARTIDAS!$F3460,CONCATENATE(PARTIDAS!$F3460," (",PARTIDAS!$G3460,")"))</f>
        <v>Caucho etileno-propileno-dieno no conjugado (EPDM), en placas, hojas o tiras</v>
      </c>
      <c r="I3460" s="16" t="s">
        <v>9427</v>
      </c>
    </row>
    <row r="3461" spans="1:9" x14ac:dyDescent="0.25">
      <c r="A3461" s="16" t="s">
        <v>4375</v>
      </c>
      <c r="B3461" s="16" t="str">
        <f>TEXT(PARTIDA[[#This Row],[PARTIDA]],"0000000000")</f>
        <v>4002800000</v>
      </c>
      <c r="C3461" s="16" t="s">
        <v>815</v>
      </c>
      <c r="D3461" s="16" t="s">
        <v>835</v>
      </c>
      <c r="E3461" s="16" t="s">
        <v>844</v>
      </c>
      <c r="F3461" s="27" t="s">
        <v>12386</v>
      </c>
      <c r="G3461" s="27"/>
      <c r="H3461" s="16" t="str">
        <f>IF(ISBLANK(PARTIDAS!$G3461),PARTIDAS!$F3461,CONCATENATE(PARTIDAS!$F3461," (",PARTIDAS!$G3461,")"))</f>
        <v>Mezclas de los productos de la partida 40.01 con los de esta partida</v>
      </c>
      <c r="I3461" s="16" t="s">
        <v>9427</v>
      </c>
    </row>
    <row r="3462" spans="1:9" x14ac:dyDescent="0.25">
      <c r="A3462" s="16" t="s">
        <v>4376</v>
      </c>
      <c r="B3462" s="16" t="str">
        <f>TEXT(PARTIDA[[#This Row],[PARTIDA]],"0000000000")</f>
        <v>4002910000</v>
      </c>
      <c r="C3462" s="16" t="s">
        <v>815</v>
      </c>
      <c r="D3462" s="16" t="s">
        <v>835</v>
      </c>
      <c r="E3462" s="16" t="s">
        <v>844</v>
      </c>
      <c r="F3462" s="27" t="s">
        <v>12387</v>
      </c>
      <c r="G3462" s="27"/>
      <c r="H3462" s="16" t="str">
        <f>IF(ISBLANK(PARTIDAS!$G3462),PARTIDAS!$F3462,CONCATENATE(PARTIDAS!$F3462," (",PARTIDAS!$G3462,")"))</f>
        <v>Caucho sintético y caucho facticio derivado de los aceites, en formas…, látex</v>
      </c>
      <c r="I3462" s="16" t="s">
        <v>9427</v>
      </c>
    </row>
    <row r="3463" spans="1:9" x14ac:dyDescent="0.25">
      <c r="A3463" s="16" t="s">
        <v>4377</v>
      </c>
      <c r="B3463" s="16" t="str">
        <f>TEXT(PARTIDA[[#This Row],[PARTIDA]],"0000000000")</f>
        <v>4002991010</v>
      </c>
      <c r="C3463" s="16" t="s">
        <v>815</v>
      </c>
      <c r="D3463" s="16" t="s">
        <v>835</v>
      </c>
      <c r="E3463" s="16" t="s">
        <v>844</v>
      </c>
      <c r="F3463" s="27" t="s">
        <v>12388</v>
      </c>
      <c r="G3463" s="27"/>
      <c r="H3463" s="16" t="str">
        <f>IF(ISBLANK(PARTIDAS!$G3463),PARTIDAS!$F3463,CONCATENATE(PARTIDAS!$F3463," (",PARTIDAS!$G3463,")"))</f>
        <v>Caucho facticio derivado de los aceites</v>
      </c>
      <c r="I3463" s="16" t="s">
        <v>9427</v>
      </c>
    </row>
    <row r="3464" spans="1:9" x14ac:dyDescent="0.25">
      <c r="A3464" s="16" t="s">
        <v>4378</v>
      </c>
      <c r="B3464" s="16" t="str">
        <f>TEXT(PARTIDA[[#This Row],[PARTIDA]],"0000000000")</f>
        <v>4002991090</v>
      </c>
      <c r="C3464" s="16" t="s">
        <v>815</v>
      </c>
      <c r="D3464" s="16" t="s">
        <v>835</v>
      </c>
      <c r="E3464" s="16" t="s">
        <v>844</v>
      </c>
      <c r="F3464" s="27" t="s">
        <v>12389</v>
      </c>
      <c r="G3464" s="27"/>
      <c r="H3464" s="16" t="str">
        <f>IF(ISBLANK(PARTIDAS!$G3464),PARTIDAS!$F3464,CONCATENATE(PARTIDAS!$F3464," (",PARTIDAS!$G3464,")"))</f>
        <v>Caucho sintético y caucho facticio derivado de los…, en formas primarias (los demás)</v>
      </c>
      <c r="I3464" s="16" t="s">
        <v>9427</v>
      </c>
    </row>
    <row r="3465" spans="1:9" x14ac:dyDescent="0.25">
      <c r="A3465" s="16" t="s">
        <v>4379</v>
      </c>
      <c r="B3465" s="16" t="str">
        <f>TEXT(PARTIDA[[#This Row],[PARTIDA]],"0000000000")</f>
        <v>4002992000</v>
      </c>
      <c r="C3465" s="16" t="s">
        <v>815</v>
      </c>
      <c r="D3465" s="16" t="s">
        <v>835</v>
      </c>
      <c r="E3465" s="16" t="s">
        <v>844</v>
      </c>
      <c r="F3465" s="27" t="s">
        <v>12390</v>
      </c>
      <c r="G3465" s="27"/>
      <c r="H3465" s="16" t="str">
        <f>IF(ISBLANK(PARTIDAS!$G3465),PARTIDAS!$F3465,CONCATENATE(PARTIDAS!$F3465," (",PARTIDAS!$G3465,")"))</f>
        <v>Caucho sintético y caucho facticio derivado de los aceites, en formas…, en placas, hojas o tiras</v>
      </c>
      <c r="I3465" s="16" t="s">
        <v>9427</v>
      </c>
    </row>
    <row r="3466" spans="1:9" x14ac:dyDescent="0.25">
      <c r="A3466" s="16" t="s">
        <v>4380</v>
      </c>
      <c r="B3466" s="16" t="str">
        <f>TEXT(PARTIDA[[#This Row],[PARTIDA]],"0000000000")</f>
        <v>4003000000</v>
      </c>
      <c r="C3466" s="16" t="s">
        <v>815</v>
      </c>
      <c r="D3466" s="16" t="s">
        <v>835</v>
      </c>
      <c r="E3466" s="16" t="s">
        <v>844</v>
      </c>
      <c r="F3466" s="27" t="s">
        <v>4381</v>
      </c>
      <c r="G3466" s="27"/>
      <c r="H3466" s="16" t="str">
        <f>IF(ISBLANK(PARTIDAS!$G3466),PARTIDAS!$F3466,CONCATENATE(PARTIDAS!$F3466," (",PARTIDAS!$G3466,")"))</f>
        <v>Caucho regenerado en formas primarias o en
placas, hojas o tiras.</v>
      </c>
      <c r="I3466" s="16" t="s">
        <v>9427</v>
      </c>
    </row>
    <row r="3467" spans="1:9" x14ac:dyDescent="0.25">
      <c r="A3467" s="16" t="s">
        <v>4382</v>
      </c>
      <c r="B3467" s="16" t="str">
        <f>TEXT(PARTIDA[[#This Row],[PARTIDA]],"0000000000")</f>
        <v>4004000000</v>
      </c>
      <c r="C3467" s="16" t="s">
        <v>815</v>
      </c>
      <c r="D3467" s="16" t="s">
        <v>835</v>
      </c>
      <c r="E3467" s="16" t="s">
        <v>844</v>
      </c>
      <c r="F3467" s="27" t="s">
        <v>4383</v>
      </c>
      <c r="G3467" s="27"/>
      <c r="H3467" s="16" t="str">
        <f>IF(ISBLANK(PARTIDAS!$G3467),PARTIDAS!$F3467,CONCATENATE(PARTIDAS!$F3467," (",PARTIDAS!$G3467,")"))</f>
        <v>Desechos, desperdicios y recortes, de caucho sin
endurecer, incluso en polvo o gránulos.</v>
      </c>
      <c r="I3467" s="16" t="s">
        <v>9427</v>
      </c>
    </row>
    <row r="3468" spans="1:9" x14ac:dyDescent="0.25">
      <c r="A3468" s="16" t="s">
        <v>4384</v>
      </c>
      <c r="B3468" s="16" t="str">
        <f>TEXT(PARTIDA[[#This Row],[PARTIDA]],"0000000000")</f>
        <v>4005100000</v>
      </c>
      <c r="C3468" s="16" t="s">
        <v>815</v>
      </c>
      <c r="D3468" s="16" t="s">
        <v>835</v>
      </c>
      <c r="E3468" s="16" t="s">
        <v>844</v>
      </c>
      <c r="F3468" s="27" t="s">
        <v>12391</v>
      </c>
      <c r="G3468" s="27"/>
      <c r="H3468" s="16" t="str">
        <f>IF(ISBLANK(PARTIDAS!$G3468),PARTIDAS!$F3468,CONCATENATE(PARTIDAS!$F3468," (",PARTIDAS!$G3468,")"))</f>
        <v>Caucho con adición de negro de humo o de sílice</v>
      </c>
      <c r="I3468" s="16" t="s">
        <v>9427</v>
      </c>
    </row>
    <row r="3469" spans="1:9" x14ac:dyDescent="0.25">
      <c r="A3469" s="16" t="s">
        <v>4385</v>
      </c>
      <c r="B3469" s="16" t="str">
        <f>TEXT(PARTIDA[[#This Row],[PARTIDA]],"0000000000")</f>
        <v>4005200010</v>
      </c>
      <c r="C3469" s="16" t="s">
        <v>815</v>
      </c>
      <c r="D3469" s="16" t="s">
        <v>835</v>
      </c>
      <c r="E3469" s="16" t="s">
        <v>844</v>
      </c>
      <c r="F3469" s="27" t="s">
        <v>12392</v>
      </c>
      <c r="G3469" s="27"/>
      <c r="H3469" s="16" t="str">
        <f>IF(ISBLANK(PARTIDAS!$G3469),PARTIDAS!$F3469,CONCATENATE(PARTIDAS!$F3469," (",PARTIDAS!$G3469,")"))</f>
        <v>Amoniacales para sellar envases</v>
      </c>
      <c r="I3469" s="16" t="s">
        <v>9427</v>
      </c>
    </row>
    <row r="3470" spans="1:9" x14ac:dyDescent="0.25">
      <c r="A3470" s="16" t="s">
        <v>4386</v>
      </c>
      <c r="B3470" s="16" t="str">
        <f>TEXT(PARTIDA[[#This Row],[PARTIDA]],"0000000000")</f>
        <v>4005200090</v>
      </c>
      <c r="C3470" s="16" t="s">
        <v>815</v>
      </c>
      <c r="D3470" s="16" t="s">
        <v>835</v>
      </c>
      <c r="E3470" s="16" t="s">
        <v>844</v>
      </c>
      <c r="F3470" s="27" t="s">
        <v>12393</v>
      </c>
      <c r="G3470" s="27"/>
      <c r="H3470" s="16" t="str">
        <f>IF(ISBLANK(PARTIDAS!$G3470),PARTIDAS!$F3470,CONCATENATE(PARTIDAS!$F3470," (",PARTIDAS!$G3470,")"))</f>
        <v>Disoluciones (los demás)</v>
      </c>
      <c r="I3470" s="16" t="s">
        <v>9427</v>
      </c>
    </row>
    <row r="3471" spans="1:9" x14ac:dyDescent="0.25">
      <c r="A3471" s="16" t="s">
        <v>4387</v>
      </c>
      <c r="B3471" s="16" t="str">
        <f>TEXT(PARTIDA[[#This Row],[PARTIDA]],"0000000000")</f>
        <v>4005911000</v>
      </c>
      <c r="C3471" s="16" t="s">
        <v>815</v>
      </c>
      <c r="D3471" s="16" t="s">
        <v>835</v>
      </c>
      <c r="E3471" s="16" t="s">
        <v>844</v>
      </c>
      <c r="F3471" s="27" t="s">
        <v>12394</v>
      </c>
      <c r="G3471" s="27"/>
      <c r="H3471" s="16" t="str">
        <f>IF(ISBLANK(PARTIDAS!$G3471),PARTIDAS!$F3471,CONCATENATE(PARTIDAS!$F3471," (",PARTIDAS!$G3471,")"))</f>
        <v>Bases para gomas de mascar</v>
      </c>
      <c r="I3471" s="16" t="s">
        <v>9427</v>
      </c>
    </row>
    <row r="3472" spans="1:9" x14ac:dyDescent="0.25">
      <c r="A3472" s="16" t="s">
        <v>4388</v>
      </c>
      <c r="B3472" s="16" t="str">
        <f>TEXT(PARTIDA[[#This Row],[PARTIDA]],"0000000000")</f>
        <v>4005919000</v>
      </c>
      <c r="C3472" s="16" t="s">
        <v>815</v>
      </c>
      <c r="D3472" s="16" t="s">
        <v>835</v>
      </c>
      <c r="E3472" s="16" t="s">
        <v>844</v>
      </c>
      <c r="F3472" s="27" t="s">
        <v>12395</v>
      </c>
      <c r="G3472" s="27"/>
      <c r="H3472" s="16" t="str">
        <f>IF(ISBLANK(PARTIDAS!$G3472),PARTIDAS!$F3472,CONCATENATE(PARTIDAS!$F3472," (",PARTIDAS!$G3472,")"))</f>
        <v>Placas, hojas y tiras (los demás)</v>
      </c>
      <c r="I3472" s="16" t="s">
        <v>9427</v>
      </c>
    </row>
    <row r="3473" spans="1:9" x14ac:dyDescent="0.25">
      <c r="A3473" s="16" t="s">
        <v>4389</v>
      </c>
      <c r="B3473" s="16" t="str">
        <f>TEXT(PARTIDA[[#This Row],[PARTIDA]],"0000000000")</f>
        <v>4005991000</v>
      </c>
      <c r="C3473" s="16" t="s">
        <v>815</v>
      </c>
      <c r="D3473" s="16" t="s">
        <v>835</v>
      </c>
      <c r="E3473" s="16" t="s">
        <v>844</v>
      </c>
      <c r="F3473" s="27" t="s">
        <v>12394</v>
      </c>
      <c r="G3473" s="27"/>
      <c r="H3473" s="16" t="str">
        <f>IF(ISBLANK(PARTIDAS!$G3473),PARTIDAS!$F3473,CONCATENATE(PARTIDAS!$F3473," (",PARTIDAS!$G3473,")"))</f>
        <v>Bases para gomas de mascar</v>
      </c>
      <c r="I3473" s="16" t="s">
        <v>9427</v>
      </c>
    </row>
    <row r="3474" spans="1:9" x14ac:dyDescent="0.25">
      <c r="A3474" s="16" t="s">
        <v>4390</v>
      </c>
      <c r="B3474" s="16" t="str">
        <f>TEXT(PARTIDA[[#This Row],[PARTIDA]],"0000000000")</f>
        <v>4005999000</v>
      </c>
      <c r="C3474" s="16" t="s">
        <v>815</v>
      </c>
      <c r="D3474" s="16" t="s">
        <v>835</v>
      </c>
      <c r="E3474" s="16" t="s">
        <v>844</v>
      </c>
      <c r="F3474" s="27" t="s">
        <v>12396</v>
      </c>
      <c r="G3474" s="27"/>
      <c r="H3474" s="16" t="str">
        <f>IF(ISBLANK(PARTIDAS!$G3474),PARTIDAS!$F3474,CONCATENATE(PARTIDAS!$F3474," (",PARTIDAS!$G3474,")"))</f>
        <v>Caucho mezclado sin vulcanizar, en formas primarias o en placas… (los demás)</v>
      </c>
      <c r="I3474" s="16" t="s">
        <v>9427</v>
      </c>
    </row>
    <row r="3475" spans="1:9" x14ac:dyDescent="0.25">
      <c r="A3475" s="16" t="s">
        <v>4391</v>
      </c>
      <c r="B3475" s="16" t="str">
        <f>TEXT(PARTIDA[[#This Row],[PARTIDA]],"0000000000")</f>
        <v>4006100000</v>
      </c>
      <c r="C3475" s="16" t="s">
        <v>815</v>
      </c>
      <c r="D3475" s="16" t="s">
        <v>835</v>
      </c>
      <c r="E3475" s="16" t="s">
        <v>844</v>
      </c>
      <c r="F3475" s="27" t="s">
        <v>12397</v>
      </c>
      <c r="G3475" s="27"/>
      <c r="H3475" s="16" t="str">
        <f>IF(ISBLANK(PARTIDAS!$G3475),PARTIDAS!$F3475,CONCATENATE(PARTIDAS!$F3475," (",PARTIDAS!$G3475,")"))</f>
        <v>Perfiles para recauchutar</v>
      </c>
      <c r="I3475" s="16" t="s">
        <v>9427</v>
      </c>
    </row>
    <row r="3476" spans="1:9" x14ac:dyDescent="0.25">
      <c r="A3476" s="16" t="s">
        <v>4392</v>
      </c>
      <c r="B3476" s="16" t="str">
        <f>TEXT(PARTIDA[[#This Row],[PARTIDA]],"0000000000")</f>
        <v>4006900000</v>
      </c>
      <c r="C3476" s="16" t="s">
        <v>815</v>
      </c>
      <c r="D3476" s="16" t="s">
        <v>835</v>
      </c>
      <c r="E3476" s="16" t="s">
        <v>844</v>
      </c>
      <c r="F3476" s="27" t="s">
        <v>12398</v>
      </c>
      <c r="G3476" s="27"/>
      <c r="H3476" s="16" t="str">
        <f>IF(ISBLANK(PARTIDAS!$G3476),PARTIDAS!$F3476,CONCATENATE(PARTIDAS!$F3476," (",PARTIDAS!$G3476,")"))</f>
        <v>Caucho y sus manufacturas (los demás)</v>
      </c>
      <c r="I3476" s="16" t="s">
        <v>9427</v>
      </c>
    </row>
    <row r="3477" spans="1:9" x14ac:dyDescent="0.25">
      <c r="A3477" s="16" t="s">
        <v>4393</v>
      </c>
      <c r="B3477" s="16" t="str">
        <f>TEXT(PARTIDA[[#This Row],[PARTIDA]],"0000000000")</f>
        <v>4007000000</v>
      </c>
      <c r="C3477" s="16" t="s">
        <v>815</v>
      </c>
      <c r="D3477" s="16" t="s">
        <v>835</v>
      </c>
      <c r="E3477" s="16" t="s">
        <v>844</v>
      </c>
      <c r="F3477" s="27" t="s">
        <v>4394</v>
      </c>
      <c r="G3477" s="27"/>
      <c r="H3477" s="16" t="str">
        <f>IF(ISBLANK(PARTIDAS!$G3477),PARTIDAS!$F3477,CONCATENATE(PARTIDAS!$F3477," (",PARTIDAS!$G3477,")"))</f>
        <v>Hilos y cuerdas, de caucho vulcanizado.</v>
      </c>
      <c r="I3477" s="16" t="s">
        <v>9427</v>
      </c>
    </row>
    <row r="3478" spans="1:9" x14ac:dyDescent="0.25">
      <c r="A3478" s="16" t="s">
        <v>4395</v>
      </c>
      <c r="B3478" s="16" t="str">
        <f>TEXT(PARTIDA[[#This Row],[PARTIDA]],"0000000000")</f>
        <v>4008111000</v>
      </c>
      <c r="C3478" s="16" t="s">
        <v>815</v>
      </c>
      <c r="D3478" s="16" t="s">
        <v>835</v>
      </c>
      <c r="E3478" s="16" t="s">
        <v>844</v>
      </c>
      <c r="F3478" s="27" t="s">
        <v>12399</v>
      </c>
      <c r="G3478" s="27"/>
      <c r="H3478" s="16" t="str">
        <f>IF(ISBLANK(PARTIDAS!$G3478),PARTIDAS!$F3478,CONCATENATE(PARTIDAS!$F3478," (",PARTIDAS!$G3478,")"))</f>
        <v>Placas, hojas y tiras, sin combinar con otras materias</v>
      </c>
      <c r="I3478" s="16" t="s">
        <v>9427</v>
      </c>
    </row>
    <row r="3479" spans="1:9" x14ac:dyDescent="0.25">
      <c r="A3479" s="16" t="s">
        <v>4396</v>
      </c>
      <c r="B3479" s="16" t="str">
        <f>TEXT(PARTIDA[[#This Row],[PARTIDA]],"0000000000")</f>
        <v>4008112000</v>
      </c>
      <c r="C3479" s="16" t="s">
        <v>815</v>
      </c>
      <c r="D3479" s="16" t="s">
        <v>835</v>
      </c>
      <c r="E3479" s="16" t="s">
        <v>844</v>
      </c>
      <c r="F3479" s="27" t="s">
        <v>12400</v>
      </c>
      <c r="G3479" s="27"/>
      <c r="H3479" s="16" t="str">
        <f>IF(ISBLANK(PARTIDAS!$G3479),PARTIDAS!$F3479,CONCATENATE(PARTIDAS!$F3479," (",PARTIDAS!$G3479,")"))</f>
        <v>Combinadas con otras materias</v>
      </c>
      <c r="I3479" s="16" t="s">
        <v>9427</v>
      </c>
    </row>
    <row r="3480" spans="1:9" x14ac:dyDescent="0.25">
      <c r="A3480" s="16" t="s">
        <v>4397</v>
      </c>
      <c r="B3480" s="16" t="str">
        <f>TEXT(PARTIDA[[#This Row],[PARTIDA]],"0000000000")</f>
        <v>4008190000</v>
      </c>
      <c r="C3480" s="16" t="s">
        <v>815</v>
      </c>
      <c r="D3480" s="16" t="s">
        <v>835</v>
      </c>
      <c r="E3480" s="16" t="s">
        <v>844</v>
      </c>
      <c r="F3480" s="27" t="s">
        <v>12401</v>
      </c>
      <c r="G3480" s="27"/>
      <c r="H3480" s="16" t="str">
        <f>IF(ISBLANK(PARTIDAS!$G3480),PARTIDAS!$F3480,CONCATENATE(PARTIDAS!$F3480," (",PARTIDAS!$G3480,")"))</f>
        <v>Placas, hojas, tiras, varillas y perfiles, de caucho…, de caucho celular (los demás)</v>
      </c>
      <c r="I3480" s="16" t="s">
        <v>9427</v>
      </c>
    </row>
    <row r="3481" spans="1:9" x14ac:dyDescent="0.25">
      <c r="A3481" s="16" t="s">
        <v>4398</v>
      </c>
      <c r="B3481" s="16" t="str">
        <f>TEXT(PARTIDA[[#This Row],[PARTIDA]],"0000000000")</f>
        <v>4008211000</v>
      </c>
      <c r="C3481" s="16" t="s">
        <v>815</v>
      </c>
      <c r="D3481" s="16" t="s">
        <v>835</v>
      </c>
      <c r="E3481" s="16" t="s">
        <v>844</v>
      </c>
      <c r="F3481" s="27" t="s">
        <v>12399</v>
      </c>
      <c r="G3481" s="27"/>
      <c r="H3481" s="16" t="str">
        <f>IF(ISBLANK(PARTIDAS!$G3481),PARTIDAS!$F3481,CONCATENATE(PARTIDAS!$F3481," (",PARTIDAS!$G3481,")"))</f>
        <v>Placas, hojas y tiras, sin combinar con otras materias</v>
      </c>
      <c r="I3481" s="16" t="s">
        <v>9427</v>
      </c>
    </row>
    <row r="3482" spans="1:9" x14ac:dyDescent="0.25">
      <c r="A3482" s="16" t="s">
        <v>4399</v>
      </c>
      <c r="B3482" s="16" t="str">
        <f>TEXT(PARTIDA[[#This Row],[PARTIDA]],"0000000000")</f>
        <v>4008212100</v>
      </c>
      <c r="C3482" s="16" t="s">
        <v>815</v>
      </c>
      <c r="D3482" s="16" t="s">
        <v>835</v>
      </c>
      <c r="E3482" s="16" t="s">
        <v>844</v>
      </c>
      <c r="F3482" s="27" t="s">
        <v>12402</v>
      </c>
      <c r="G3482" s="27"/>
      <c r="H3482" s="16" t="str">
        <f>IF(ISBLANK(PARTIDAS!$G3482),PARTIDAS!$F3482,CONCATENATE(PARTIDAS!$F3482," (",PARTIDAS!$G3482,")"))</f>
        <v>Combinadas con otras materias, de los tipos utilizados para artes gráficas</v>
      </c>
      <c r="I3482" s="16" t="s">
        <v>9427</v>
      </c>
    </row>
    <row r="3483" spans="1:9" x14ac:dyDescent="0.25">
      <c r="A3483" s="16" t="s">
        <v>4400</v>
      </c>
      <c r="B3483" s="16" t="str">
        <f>TEXT(PARTIDA[[#This Row],[PARTIDA]],"0000000000")</f>
        <v>4008212900</v>
      </c>
      <c r="C3483" s="16" t="s">
        <v>815</v>
      </c>
      <c r="D3483" s="16" t="s">
        <v>835</v>
      </c>
      <c r="E3483" s="16" t="s">
        <v>844</v>
      </c>
      <c r="F3483" s="27" t="s">
        <v>12403</v>
      </c>
      <c r="G3483" s="27"/>
      <c r="H3483" s="16" t="str">
        <f>IF(ISBLANK(PARTIDAS!$G3483),PARTIDAS!$F3483,CONCATENATE(PARTIDAS!$F3483," (",PARTIDAS!$G3483,")"))</f>
        <v>Combinadas con otras materias (los demás)</v>
      </c>
      <c r="I3483" s="16" t="s">
        <v>9427</v>
      </c>
    </row>
    <row r="3484" spans="1:9" x14ac:dyDescent="0.25">
      <c r="A3484" s="16" t="s">
        <v>4401</v>
      </c>
      <c r="B3484" s="16" t="str">
        <f>TEXT(PARTIDA[[#This Row],[PARTIDA]],"0000000000")</f>
        <v>4008290000</v>
      </c>
      <c r="C3484" s="16" t="s">
        <v>815</v>
      </c>
      <c r="D3484" s="16" t="s">
        <v>835</v>
      </c>
      <c r="E3484" s="16" t="s">
        <v>844</v>
      </c>
      <c r="F3484" s="27" t="s">
        <v>12404</v>
      </c>
      <c r="G3484" s="27"/>
      <c r="H3484" s="16" t="str">
        <f>IF(ISBLANK(PARTIDAS!$G3484),PARTIDAS!$F3484,CONCATENATE(PARTIDAS!$F3484," (",PARTIDAS!$G3484,")"))</f>
        <v>Placas, hojas, tiras, varillas y perfiles, de caucho…, de caucho no celular (los demás)</v>
      </c>
      <c r="I3484" s="16" t="s">
        <v>9427</v>
      </c>
    </row>
    <row r="3485" spans="1:9" x14ac:dyDescent="0.25">
      <c r="A3485" s="16" t="s">
        <v>4402</v>
      </c>
      <c r="B3485" s="16" t="str">
        <f>TEXT(PARTIDA[[#This Row],[PARTIDA]],"0000000000")</f>
        <v>4009110000</v>
      </c>
      <c r="C3485" s="16" t="s">
        <v>815</v>
      </c>
      <c r="D3485" s="16" t="s">
        <v>835</v>
      </c>
      <c r="E3485" s="16" t="s">
        <v>844</v>
      </c>
      <c r="F3485" s="27" t="s">
        <v>4403</v>
      </c>
      <c r="G3485" s="27"/>
      <c r="H3485" s="16" t="str">
        <f>IF(ISBLANK(PARTIDAS!$G3485),PARTIDAS!$F3485,CONCATENATE(PARTIDAS!$F3485," (",PARTIDAS!$G3485,")"))</f>
        <v>Mangueras</v>
      </c>
      <c r="I3485" s="16" t="s">
        <v>9427</v>
      </c>
    </row>
    <row r="3486" spans="1:9" x14ac:dyDescent="0.25">
      <c r="A3486" s="16" t="s">
        <v>4404</v>
      </c>
      <c r="B3486" s="16" t="str">
        <f>TEXT(PARTIDA[[#This Row],[PARTIDA]],"0000000000")</f>
        <v>4009120000</v>
      </c>
      <c r="C3486" s="16" t="s">
        <v>815</v>
      </c>
      <c r="D3486" s="16" t="s">
        <v>835</v>
      </c>
      <c r="E3486" s="16" t="s">
        <v>842</v>
      </c>
      <c r="F3486" s="27" t="s">
        <v>4403</v>
      </c>
      <c r="G3486" s="27"/>
      <c r="H3486" s="16" t="str">
        <f>IF(ISBLANK(PARTIDAS!$G3486),PARTIDAS!$F3486,CONCATENATE(PARTIDAS!$F3486," (",PARTIDAS!$G3486,")"))</f>
        <v>Mangueras</v>
      </c>
      <c r="I3486" s="16" t="s">
        <v>9477</v>
      </c>
    </row>
    <row r="3487" spans="1:9" x14ac:dyDescent="0.25">
      <c r="A3487" s="16" t="s">
        <v>4405</v>
      </c>
      <c r="B3487" s="16" t="str">
        <f>TEXT(PARTIDA[[#This Row],[PARTIDA]],"0000000000")</f>
        <v>4009210000</v>
      </c>
      <c r="C3487" s="16" t="s">
        <v>815</v>
      </c>
      <c r="D3487" s="16" t="s">
        <v>835</v>
      </c>
      <c r="E3487" s="16" t="s">
        <v>844</v>
      </c>
      <c r="F3487" s="27" t="s">
        <v>12405</v>
      </c>
      <c r="G3487" s="27"/>
      <c r="H3487" s="16" t="str">
        <f>IF(ISBLANK(PARTIDAS!$G3487),PARTIDAS!$F3487,CONCATENATE(PARTIDAS!$F3487," (",PARTIDAS!$G3487,")"))</f>
        <v>Reforzados o combinados de otro modo solamente con metal, sin accesorios</v>
      </c>
      <c r="I3487" s="16" t="s">
        <v>9427</v>
      </c>
    </row>
    <row r="3488" spans="1:9" x14ac:dyDescent="0.25">
      <c r="A3488" s="16" t="s">
        <v>4406</v>
      </c>
      <c r="B3488" s="16" t="str">
        <f>TEXT(PARTIDA[[#This Row],[PARTIDA]],"0000000000")</f>
        <v>4009220000</v>
      </c>
      <c r="C3488" s="16" t="s">
        <v>815</v>
      </c>
      <c r="D3488" s="16" t="s">
        <v>835</v>
      </c>
      <c r="E3488" s="16" t="s">
        <v>844</v>
      </c>
      <c r="F3488" s="27" t="s">
        <v>12406</v>
      </c>
      <c r="G3488" s="27"/>
      <c r="H3488" s="16" t="str">
        <f>IF(ISBLANK(PARTIDAS!$G3488),PARTIDAS!$F3488,CONCATENATE(PARTIDAS!$F3488," (",PARTIDAS!$G3488,")"))</f>
        <v>Reforzados o combinados de otro modo solamente con metal, con accesorios</v>
      </c>
      <c r="I3488" s="16" t="s">
        <v>9427</v>
      </c>
    </row>
    <row r="3489" spans="1:9" x14ac:dyDescent="0.25">
      <c r="A3489" s="16" t="s">
        <v>4407</v>
      </c>
      <c r="B3489" s="16" t="str">
        <f>TEXT(PARTIDA[[#This Row],[PARTIDA]],"0000000000")</f>
        <v>4009310000</v>
      </c>
      <c r="C3489" s="16" t="s">
        <v>815</v>
      </c>
      <c r="D3489" s="16" t="s">
        <v>835</v>
      </c>
      <c r="E3489" s="16" t="s">
        <v>844</v>
      </c>
      <c r="F3489" s="27" t="s">
        <v>12407</v>
      </c>
      <c r="G3489" s="27"/>
      <c r="H3489" s="16" t="str">
        <f>IF(ISBLANK(PARTIDAS!$G3489),PARTIDAS!$F3489,CONCATENATE(PARTIDAS!$F3489," (",PARTIDAS!$G3489,")"))</f>
        <v>Reforzados o combinados de otro modo solamente con materia textil, sin accesorios</v>
      </c>
      <c r="I3489" s="16" t="s">
        <v>9427</v>
      </c>
    </row>
    <row r="3490" spans="1:9" x14ac:dyDescent="0.25">
      <c r="A3490" s="16" t="s">
        <v>4408</v>
      </c>
      <c r="B3490" s="16" t="str">
        <f>TEXT(PARTIDA[[#This Row],[PARTIDA]],"0000000000")</f>
        <v>4009320000</v>
      </c>
      <c r="C3490" s="16" t="s">
        <v>815</v>
      </c>
      <c r="D3490" s="16" t="s">
        <v>835</v>
      </c>
      <c r="E3490" s="16" t="s">
        <v>844</v>
      </c>
      <c r="F3490" s="27" t="s">
        <v>4403</v>
      </c>
      <c r="G3490" s="27"/>
      <c r="H3490" s="16" t="str">
        <f>IF(ISBLANK(PARTIDAS!$G3490),PARTIDAS!$F3490,CONCATENATE(PARTIDAS!$F3490," (",PARTIDAS!$G3490,")"))</f>
        <v>Mangueras</v>
      </c>
      <c r="I3490" s="16" t="s">
        <v>9427</v>
      </c>
    </row>
    <row r="3491" spans="1:9" x14ac:dyDescent="0.25">
      <c r="A3491" s="16" t="s">
        <v>4409</v>
      </c>
      <c r="B3491" s="16" t="str">
        <f>TEXT(PARTIDA[[#This Row],[PARTIDA]],"0000000000")</f>
        <v>4009410000</v>
      </c>
      <c r="C3491" s="16" t="s">
        <v>815</v>
      </c>
      <c r="D3491" s="16" t="s">
        <v>835</v>
      </c>
      <c r="E3491" s="16" t="s">
        <v>844</v>
      </c>
      <c r="F3491" s="27" t="s">
        <v>12408</v>
      </c>
      <c r="G3491" s="27"/>
      <c r="H3491" s="16" t="str">
        <f>IF(ISBLANK(PARTIDAS!$G3491),PARTIDAS!$F3491,CONCATENATE(PARTIDAS!$F3491," (",PARTIDAS!$G3491,")"))</f>
        <v>Reforzados o combinados de otro modo con otras materias, sin accesorios</v>
      </c>
      <c r="I3491" s="16" t="s">
        <v>9427</v>
      </c>
    </row>
    <row r="3492" spans="1:9" x14ac:dyDescent="0.25">
      <c r="A3492" s="16" t="s">
        <v>4410</v>
      </c>
      <c r="B3492" s="16" t="str">
        <f>TEXT(PARTIDA[[#This Row],[PARTIDA]],"0000000000")</f>
        <v>4009420000</v>
      </c>
      <c r="C3492" s="16" t="s">
        <v>815</v>
      </c>
      <c r="D3492" s="16" t="s">
        <v>835</v>
      </c>
      <c r="E3492" s="16" t="s">
        <v>844</v>
      </c>
      <c r="F3492" s="27" t="s">
        <v>12409</v>
      </c>
      <c r="G3492" s="27"/>
      <c r="H3492" s="16" t="str">
        <f>IF(ISBLANK(PARTIDAS!$G3492),PARTIDAS!$F3492,CONCATENATE(PARTIDAS!$F3492," (",PARTIDAS!$G3492,")"))</f>
        <v>Reforzados o combinados de otro modo con otras materias, con accesorios</v>
      </c>
      <c r="I3492" s="16" t="s">
        <v>9427</v>
      </c>
    </row>
    <row r="3493" spans="1:9" x14ac:dyDescent="0.25">
      <c r="A3493" s="16" t="s">
        <v>4411</v>
      </c>
      <c r="B3493" s="16" t="str">
        <f>TEXT(PARTIDA[[#This Row],[PARTIDA]],"0000000000")</f>
        <v>4010110000</v>
      </c>
      <c r="C3493" s="16" t="s">
        <v>815</v>
      </c>
      <c r="D3493" s="16" t="s">
        <v>835</v>
      </c>
      <c r="E3493" s="16" t="s">
        <v>844</v>
      </c>
      <c r="F3493" s="27" t="s">
        <v>12410</v>
      </c>
      <c r="G3493" s="27"/>
      <c r="H3493" s="16" t="str">
        <f>IF(ISBLANK(PARTIDAS!$G3493),PARTIDAS!$F3493,CONCATENATE(PARTIDAS!$F3493," (",PARTIDAS!$G3493,")"))</f>
        <v>Reforzadas solamente con metal</v>
      </c>
      <c r="I3493" s="16" t="s">
        <v>9427</v>
      </c>
    </row>
    <row r="3494" spans="1:9" x14ac:dyDescent="0.25">
      <c r="A3494" s="16" t="s">
        <v>4412</v>
      </c>
      <c r="B3494" s="16" t="str">
        <f>TEXT(PARTIDA[[#This Row],[PARTIDA]],"0000000000")</f>
        <v>4010120000</v>
      </c>
      <c r="C3494" s="16" t="s">
        <v>815</v>
      </c>
      <c r="D3494" s="16" t="s">
        <v>835</v>
      </c>
      <c r="E3494" s="16" t="s">
        <v>844</v>
      </c>
      <c r="F3494" s="27" t="s">
        <v>12411</v>
      </c>
      <c r="G3494" s="27"/>
      <c r="H3494" s="16" t="str">
        <f>IF(ISBLANK(PARTIDAS!$G3494),PARTIDAS!$F3494,CONCATENATE(PARTIDAS!$F3494," (",PARTIDAS!$G3494,")"))</f>
        <v>Reforzadas solamente con materia textil</v>
      </c>
      <c r="I3494" s="16" t="s">
        <v>9427</v>
      </c>
    </row>
    <row r="3495" spans="1:9" x14ac:dyDescent="0.25">
      <c r="A3495" s="16" t="s">
        <v>4413</v>
      </c>
      <c r="B3495" s="16" t="str">
        <f>TEXT(PARTIDA[[#This Row],[PARTIDA]],"0000000000")</f>
        <v>4010191000</v>
      </c>
      <c r="C3495" s="16" t="s">
        <v>815</v>
      </c>
      <c r="D3495" s="16" t="s">
        <v>835</v>
      </c>
      <c r="E3495" s="16" t="s">
        <v>844</v>
      </c>
      <c r="F3495" s="27" t="s">
        <v>12412</v>
      </c>
      <c r="G3495" s="27"/>
      <c r="H3495" s="16" t="str">
        <f>IF(ISBLANK(PARTIDAS!$G3495),PARTIDAS!$F3495,CONCATENATE(PARTIDAS!$F3495," (",PARTIDAS!$G3495,")"))</f>
        <v>Reforzadas solamente con plástico</v>
      </c>
      <c r="I3495" s="16" t="s">
        <v>9427</v>
      </c>
    </row>
    <row r="3496" spans="1:9" x14ac:dyDescent="0.25">
      <c r="A3496" s="16" t="s">
        <v>4414</v>
      </c>
      <c r="B3496" s="16" t="str">
        <f>TEXT(PARTIDA[[#This Row],[PARTIDA]],"0000000000")</f>
        <v>4010199000</v>
      </c>
      <c r="C3496" s="16" t="s">
        <v>815</v>
      </c>
      <c r="D3496" s="16" t="s">
        <v>835</v>
      </c>
      <c r="E3496" s="16" t="s">
        <v>844</v>
      </c>
      <c r="F3496" s="27" t="s">
        <v>12413</v>
      </c>
      <c r="G3496" s="27"/>
      <c r="H3496" s="16" t="str">
        <f>IF(ISBLANK(PARTIDAS!$G3496),PARTIDAS!$F3496,CONCATENATE(PARTIDAS!$F3496," (",PARTIDAS!$G3496,")"))</f>
        <v>Correas transportadoras (los demás)</v>
      </c>
      <c r="I3496" s="16" t="s">
        <v>9427</v>
      </c>
    </row>
    <row r="3497" spans="1:9" x14ac:dyDescent="0.25">
      <c r="A3497" s="16" t="s">
        <v>4415</v>
      </c>
      <c r="B3497" s="16" t="str">
        <f>TEXT(PARTIDA[[#This Row],[PARTIDA]],"0000000000")</f>
        <v>4010310000</v>
      </c>
      <c r="C3497" s="16" t="s">
        <v>815</v>
      </c>
      <c r="D3497" s="16" t="s">
        <v>835</v>
      </c>
      <c r="E3497" s="16" t="s">
        <v>844</v>
      </c>
      <c r="F3497" s="27" t="s">
        <v>12414</v>
      </c>
      <c r="G3497" s="27"/>
      <c r="H3497" s="16" t="str">
        <f>IF(ISBLANK(PARTIDAS!$G3497),PARTIDAS!$F3497,CONCATENATE(PARTIDAS!$F3497," (",PARTIDAS!$G3497,")"))</f>
        <v>Correas de transmisión sin fin, estriadas, de sección trapezoidal, de circunferencia exterior superior a 60 cm pero inferior o igual a 180 cm</v>
      </c>
      <c r="I3497" s="16" t="s">
        <v>9427</v>
      </c>
    </row>
    <row r="3498" spans="1:9" x14ac:dyDescent="0.25">
      <c r="A3498" s="16" t="s">
        <v>4416</v>
      </c>
      <c r="B3498" s="16" t="str">
        <f>TEXT(PARTIDA[[#This Row],[PARTIDA]],"0000000000")</f>
        <v>4010320000</v>
      </c>
      <c r="C3498" s="16" t="s">
        <v>815</v>
      </c>
      <c r="D3498" s="16" t="s">
        <v>835</v>
      </c>
      <c r="E3498" s="16" t="s">
        <v>844</v>
      </c>
      <c r="F3498" s="27" t="s">
        <v>12415</v>
      </c>
      <c r="G3498" s="27"/>
      <c r="H3498" s="16" t="str">
        <f>IF(ISBLANK(PARTIDAS!$G3498),PARTIDAS!$F3498,CONCATENATE(PARTIDAS!$F3498," (",PARTIDAS!$G3498,")"))</f>
        <v>Correas de transmisión sin fin, sin estriar, de sección trapezoidal, de circunferencia exterior superior a 60 cm pero inferior o igual a 180 cm</v>
      </c>
      <c r="I3498" s="16" t="s">
        <v>9427</v>
      </c>
    </row>
    <row r="3499" spans="1:9" x14ac:dyDescent="0.25">
      <c r="A3499" s="16" t="s">
        <v>4417</v>
      </c>
      <c r="B3499" s="16" t="str">
        <f>TEXT(PARTIDA[[#This Row],[PARTIDA]],"0000000000")</f>
        <v>4010330000</v>
      </c>
      <c r="C3499" s="16" t="s">
        <v>815</v>
      </c>
      <c r="D3499" s="16" t="s">
        <v>835</v>
      </c>
      <c r="E3499" s="16" t="s">
        <v>844</v>
      </c>
      <c r="F3499" s="27" t="s">
        <v>12416</v>
      </c>
      <c r="G3499" s="27"/>
      <c r="H3499" s="16" t="str">
        <f>IF(ISBLANK(PARTIDAS!$G3499),PARTIDAS!$F3499,CONCATENATE(PARTIDAS!$F3499," (",PARTIDAS!$G3499,")"))</f>
        <v>Correas de transmisión sin fin, estriadas, de sección trapezoidal, de circunferencia exterior superior a 180 cm pero inferior o igual a 240 cm</v>
      </c>
      <c r="I3499" s="16" t="s">
        <v>9427</v>
      </c>
    </row>
    <row r="3500" spans="1:9" x14ac:dyDescent="0.25">
      <c r="A3500" s="16" t="s">
        <v>4418</v>
      </c>
      <c r="B3500" s="16" t="str">
        <f>TEXT(PARTIDA[[#This Row],[PARTIDA]],"0000000000")</f>
        <v>4010340000</v>
      </c>
      <c r="C3500" s="16" t="s">
        <v>815</v>
      </c>
      <c r="D3500" s="16" t="s">
        <v>835</v>
      </c>
      <c r="E3500" s="16" t="s">
        <v>844</v>
      </c>
      <c r="F3500" s="27" t="s">
        <v>12417</v>
      </c>
      <c r="G3500" s="27"/>
      <c r="H3500" s="16" t="str">
        <f>IF(ISBLANK(PARTIDAS!$G3500),PARTIDAS!$F3500,CONCATENATE(PARTIDAS!$F3500," (",PARTIDAS!$G3500,")"))</f>
        <v>Correas de transmisión sin fin, sin estriar, de sección trapezoidal, de circunferencia exterior superior a 180 cm pero inferior o igual a 240 cm</v>
      </c>
      <c r="I3500" s="16" t="s">
        <v>9427</v>
      </c>
    </row>
    <row r="3501" spans="1:9" x14ac:dyDescent="0.25">
      <c r="A3501" s="16" t="s">
        <v>4419</v>
      </c>
      <c r="B3501" s="16" t="str">
        <f>TEXT(PARTIDA[[#This Row],[PARTIDA]],"0000000000")</f>
        <v>4010350000</v>
      </c>
      <c r="C3501" s="16" t="s">
        <v>815</v>
      </c>
      <c r="D3501" s="16" t="s">
        <v>835</v>
      </c>
      <c r="E3501" s="16" t="s">
        <v>844</v>
      </c>
      <c r="F3501" s="27" t="s">
        <v>12418</v>
      </c>
      <c r="G3501" s="27"/>
      <c r="H3501" s="16" t="str">
        <f>IF(ISBLANK(PARTIDAS!$G3501),PARTIDAS!$F3501,CONCATENATE(PARTIDAS!$F3501," (",PARTIDAS!$G3501,")"))</f>
        <v>Correas de transmisión sin fin, con muescas (sincrónicas), de circunferencia exterior superior a 60 cm pero inferior o igual a 150 cm</v>
      </c>
      <c r="I3501" s="16" t="s">
        <v>9427</v>
      </c>
    </row>
    <row r="3502" spans="1:9" x14ac:dyDescent="0.25">
      <c r="A3502" s="16" t="s">
        <v>4420</v>
      </c>
      <c r="B3502" s="16" t="str">
        <f>TEXT(PARTIDA[[#This Row],[PARTIDA]],"0000000000")</f>
        <v>4010360000</v>
      </c>
      <c r="C3502" s="16" t="s">
        <v>815</v>
      </c>
      <c r="D3502" s="16" t="s">
        <v>835</v>
      </c>
      <c r="E3502" s="16" t="s">
        <v>844</v>
      </c>
      <c r="F3502" s="27" t="s">
        <v>12419</v>
      </c>
      <c r="G3502" s="27"/>
      <c r="H3502" s="16" t="str">
        <f>IF(ISBLANK(PARTIDAS!$G3502),PARTIDAS!$F3502,CONCATENATE(PARTIDAS!$F3502," (",PARTIDAS!$G3502,")"))</f>
        <v>Correas de transmisión sin fin, con muescas (sincrónicas), de circunferencia exterior superior a 150 cm pero inferior o igual a 198 cm</v>
      </c>
      <c r="I3502" s="16" t="s">
        <v>9427</v>
      </c>
    </row>
    <row r="3503" spans="1:9" x14ac:dyDescent="0.25">
      <c r="A3503" s="16" t="s">
        <v>4421</v>
      </c>
      <c r="B3503" s="16" t="str">
        <f>TEXT(PARTIDA[[#This Row],[PARTIDA]],"0000000000")</f>
        <v>4010390000</v>
      </c>
      <c r="C3503" s="16" t="s">
        <v>815</v>
      </c>
      <c r="D3503" s="16" t="s">
        <v>835</v>
      </c>
      <c r="E3503" s="16" t="s">
        <v>844</v>
      </c>
      <c r="F3503" s="27" t="s">
        <v>4422</v>
      </c>
      <c r="G3503" s="27"/>
      <c r="H3503" s="16" t="str">
        <f>IF(ISBLANK(PARTIDAS!$G3503),PARTIDAS!$F3503,CONCATENATE(PARTIDAS!$F3503," (",PARTIDAS!$G3503,")"))</f>
        <v>Correas de transmisión</v>
      </c>
      <c r="I3503" s="16" t="s">
        <v>9427</v>
      </c>
    </row>
    <row r="3504" spans="1:9" x14ac:dyDescent="0.25">
      <c r="A3504" s="16" t="s">
        <v>4423</v>
      </c>
      <c r="B3504" s="16" t="str">
        <f>TEXT(PARTIDA[[#This Row],[PARTIDA]],"0000000000")</f>
        <v>4011101000</v>
      </c>
      <c r="C3504" s="16" t="s">
        <v>860</v>
      </c>
      <c r="D3504" s="16" t="s">
        <v>881</v>
      </c>
      <c r="E3504" s="16" t="s">
        <v>9483</v>
      </c>
      <c r="F3504" s="27" t="s">
        <v>12420</v>
      </c>
      <c r="G3504" s="27"/>
      <c r="H3504" s="16" t="str">
        <f>IF(ISBLANK(PARTIDAS!$G3504),PARTIDAS!$F3504,CONCATENATE(PARTIDAS!$F3504," (",PARTIDAS!$G3504,")"))</f>
        <v>Neumáticos (llantas neumáticas) nuevos de caucho, de los tipos utilizados en automóviles de turismo (incluidos los del…, radiales</v>
      </c>
      <c r="I3504" s="16" t="s">
        <v>9427</v>
      </c>
    </row>
    <row r="3505" spans="1:9" x14ac:dyDescent="0.25">
      <c r="A3505" s="16" t="s">
        <v>4424</v>
      </c>
      <c r="B3505" s="16" t="str">
        <f>TEXT(PARTIDA[[#This Row],[PARTIDA]],"0000000000")</f>
        <v>4011109000</v>
      </c>
      <c r="C3505" s="16" t="s">
        <v>860</v>
      </c>
      <c r="D3505" s="16" t="s">
        <v>881</v>
      </c>
      <c r="E3505" s="16" t="s">
        <v>9483</v>
      </c>
      <c r="F3505" s="27" t="s">
        <v>12421</v>
      </c>
      <c r="G3505" s="27"/>
      <c r="H3505" s="16" t="str">
        <f>IF(ISBLANK(PARTIDAS!$G3505),PARTIDAS!$F3505,CONCATENATE(PARTIDAS!$F3505," (",PARTIDAS!$G3505,")"))</f>
        <v>Neumáticos (llantas neumáticas) nuevos de caucho, de los tipos utilizados en automóviles de turismo (incluidos los del… (los demás)</v>
      </c>
      <c r="I3505" s="16" t="s">
        <v>9427</v>
      </c>
    </row>
    <row r="3506" spans="1:9" x14ac:dyDescent="0.25">
      <c r="A3506" s="16" t="s">
        <v>4425</v>
      </c>
      <c r="B3506" s="16" t="str">
        <f>TEXT(PARTIDA[[#This Row],[PARTIDA]],"0000000000")</f>
        <v>4011201000</v>
      </c>
      <c r="C3506" s="16" t="s">
        <v>860</v>
      </c>
      <c r="D3506" s="16" t="s">
        <v>881</v>
      </c>
      <c r="E3506" s="16" t="s">
        <v>9483</v>
      </c>
      <c r="F3506" s="27" t="s">
        <v>12422</v>
      </c>
      <c r="G3506" s="27"/>
      <c r="H3506" s="16" t="str">
        <f>IF(ISBLANK(PARTIDAS!$G3506),PARTIDAS!$F3506,CONCATENATE(PARTIDAS!$F3506," (",PARTIDAS!$G3506,")"))</f>
        <v>Neumáticos (llantas neumáticas) nuevos de caucho, de los tipos utilizados en autobuses o camiones, radiales</v>
      </c>
      <c r="I3506" s="16" t="s">
        <v>9427</v>
      </c>
    </row>
    <row r="3507" spans="1:9" x14ac:dyDescent="0.25">
      <c r="A3507" s="16" t="s">
        <v>4426</v>
      </c>
      <c r="B3507" s="16" t="str">
        <f>TEXT(PARTIDA[[#This Row],[PARTIDA]],"0000000000")</f>
        <v>4011209000</v>
      </c>
      <c r="C3507" s="16" t="s">
        <v>860</v>
      </c>
      <c r="D3507" s="16" t="s">
        <v>881</v>
      </c>
      <c r="E3507" s="16" t="s">
        <v>9483</v>
      </c>
      <c r="F3507" s="27" t="s">
        <v>12423</v>
      </c>
      <c r="G3507" s="27"/>
      <c r="H3507" s="16" t="str">
        <f>IF(ISBLANK(PARTIDAS!$G3507),PARTIDAS!$F3507,CONCATENATE(PARTIDAS!$F3507," (",PARTIDAS!$G3507,")"))</f>
        <v>Neumáticos (llantas neumáticas) nuevos de caucho, de los tipos utilizados en autobuses o camiones (los demás)</v>
      </c>
      <c r="I3507" s="16" t="s">
        <v>9427</v>
      </c>
    </row>
    <row r="3508" spans="1:9" x14ac:dyDescent="0.25">
      <c r="A3508" s="16" t="s">
        <v>4427</v>
      </c>
      <c r="B3508" s="16" t="str">
        <f>TEXT(PARTIDA[[#This Row],[PARTIDA]],"0000000000")</f>
        <v>4011300000</v>
      </c>
      <c r="C3508" s="16" t="s">
        <v>860</v>
      </c>
      <c r="D3508" s="16" t="s">
        <v>881</v>
      </c>
      <c r="E3508" s="16" t="s">
        <v>9483</v>
      </c>
      <c r="F3508" s="27" t="s">
        <v>4428</v>
      </c>
      <c r="G3508" s="27" t="s">
        <v>1472</v>
      </c>
      <c r="H3508" s="16" t="str">
        <f>IF(ISBLANK(PARTIDAS!$G3508),PARTIDAS!$F3508,CONCATENATE(PARTIDAS!$F3508," (",PARTIDAS!$G3508,")"))</f>
        <v>Llanta de ten de aterrizaje (Verificar)</v>
      </c>
      <c r="I3508" s="16" t="s">
        <v>9427</v>
      </c>
    </row>
    <row r="3509" spans="1:9" x14ac:dyDescent="0.25">
      <c r="A3509" s="16" t="s">
        <v>4429</v>
      </c>
      <c r="B3509" s="16" t="str">
        <f>TEXT(PARTIDA[[#This Row],[PARTIDA]],"0000000000")</f>
        <v>4011400000</v>
      </c>
      <c r="C3509" s="16" t="s">
        <v>860</v>
      </c>
      <c r="D3509" s="16" t="s">
        <v>881</v>
      </c>
      <c r="E3509" s="16" t="s">
        <v>9483</v>
      </c>
      <c r="F3509" s="27" t="s">
        <v>12424</v>
      </c>
      <c r="G3509" s="27"/>
      <c r="H3509" s="16" t="str">
        <f>IF(ISBLANK(PARTIDAS!$G3509),PARTIDAS!$F3509,CONCATENATE(PARTIDAS!$F3509," (",PARTIDAS!$G3509,")"))</f>
        <v>Neumáticos (llantas neumáticas) nuevos de caucho, de los tipos utilizados en motocicletas</v>
      </c>
      <c r="I3509" s="16" t="s">
        <v>9427</v>
      </c>
    </row>
    <row r="3510" spans="1:9" x14ac:dyDescent="0.25">
      <c r="A3510" s="16" t="s">
        <v>4430</v>
      </c>
      <c r="B3510" s="16" t="str">
        <f>TEXT(PARTIDA[[#This Row],[PARTIDA]],"0000000000")</f>
        <v>4011500000</v>
      </c>
      <c r="C3510" s="16" t="s">
        <v>860</v>
      </c>
      <c r="D3510" s="16" t="s">
        <v>881</v>
      </c>
      <c r="E3510" s="16" t="s">
        <v>9483</v>
      </c>
      <c r="F3510" s="27" t="s">
        <v>12425</v>
      </c>
      <c r="G3510" s="27"/>
      <c r="H3510" s="16" t="str">
        <f>IF(ISBLANK(PARTIDAS!$G3510),PARTIDAS!$F3510,CONCATENATE(PARTIDAS!$F3510," (",PARTIDAS!$G3510,")"))</f>
        <v>Neumáticos (llantas neumáticas) nuevos de caucho, de los tipos utilizados en bicicletas</v>
      </c>
      <c r="I3510" s="16" t="s">
        <v>9427</v>
      </c>
    </row>
    <row r="3511" spans="1:9" x14ac:dyDescent="0.25">
      <c r="A3511" s="16" t="s">
        <v>4431</v>
      </c>
      <c r="B3511" s="16" t="str">
        <f>TEXT(PARTIDA[[#This Row],[PARTIDA]],"0000000000")</f>
        <v>4011700000</v>
      </c>
      <c r="C3511" s="16" t="s">
        <v>860</v>
      </c>
      <c r="D3511" s="16" t="s">
        <v>881</v>
      </c>
      <c r="E3511" s="16" t="s">
        <v>9483</v>
      </c>
      <c r="F3511" s="27" t="s">
        <v>12426</v>
      </c>
      <c r="G3511" s="27"/>
      <c r="H3511" s="16" t="str">
        <f>IF(ISBLANK(PARTIDAS!$G3511),PARTIDAS!$F3511,CONCATENATE(PARTIDAS!$F3511," (",PARTIDAS!$G3511,")"))</f>
        <v>Neumáticos (llantas neumáticas) nuevos de caucho, de los tipos utilizados en vehículos y máquinas agrícolas o forestales</v>
      </c>
      <c r="I3511" s="16" t="s">
        <v>9427</v>
      </c>
    </row>
    <row r="3512" spans="1:9" x14ac:dyDescent="0.25">
      <c r="A3512" s="16" t="s">
        <v>4432</v>
      </c>
      <c r="B3512" s="16" t="str">
        <f>TEXT(PARTIDA[[#This Row],[PARTIDA]],"0000000000")</f>
        <v>4011800000</v>
      </c>
      <c r="C3512" s="16" t="s">
        <v>860</v>
      </c>
      <c r="D3512" s="16" t="s">
        <v>881</v>
      </c>
      <c r="E3512" s="16" t="s">
        <v>9483</v>
      </c>
      <c r="F3512" s="27" t="s">
        <v>12427</v>
      </c>
      <c r="G3512" s="27"/>
      <c r="H3512" s="16" t="str">
        <f>IF(ISBLANK(PARTIDAS!$G3512),PARTIDAS!$F3512,CONCATENATE(PARTIDAS!$F3512," (",PARTIDAS!$G3512,")"))</f>
        <v>Neumáticos (llantas neumáticas) nuevos de caucho, de los tipos utilizados en vehículos y máquinas para la construcción, minería o mantenimiento indust</v>
      </c>
      <c r="I3512" s="16" t="s">
        <v>9427</v>
      </c>
    </row>
    <row r="3513" spans="1:9" x14ac:dyDescent="0.25">
      <c r="A3513" s="16" t="s">
        <v>4433</v>
      </c>
      <c r="B3513" s="16" t="str">
        <f>TEXT(PARTIDA[[#This Row],[PARTIDA]],"0000000000")</f>
        <v>4011900000</v>
      </c>
      <c r="C3513" s="16" t="s">
        <v>860</v>
      </c>
      <c r="D3513" s="16" t="s">
        <v>881</v>
      </c>
      <c r="E3513" s="16" t="s">
        <v>9483</v>
      </c>
      <c r="F3513" s="27" t="s">
        <v>12428</v>
      </c>
      <c r="G3513" s="27"/>
      <c r="H3513" s="16" t="str">
        <f>IF(ISBLANK(PARTIDAS!$G3513),PARTIDAS!$F3513,CONCATENATE(PARTIDAS!$F3513," (",PARTIDAS!$G3513,")"))</f>
        <v>Neumáticos (llantas neumáticas) nuevos de caucho (los demás)</v>
      </c>
      <c r="I3513" s="16" t="s">
        <v>9427</v>
      </c>
    </row>
    <row r="3514" spans="1:9" x14ac:dyDescent="0.25">
      <c r="A3514" s="16" t="s">
        <v>4434</v>
      </c>
      <c r="B3514" s="16" t="str">
        <f>TEXT(PARTIDA[[#This Row],[PARTIDA]],"0000000000")</f>
        <v>4012110000</v>
      </c>
      <c r="C3514" s="16" t="s">
        <v>860</v>
      </c>
      <c r="D3514" s="16" t="s">
        <v>881</v>
      </c>
      <c r="E3514" s="16" t="s">
        <v>9483</v>
      </c>
      <c r="F3514" s="27" t="s">
        <v>12429</v>
      </c>
      <c r="G3514" s="27"/>
      <c r="H3514" s="16" t="str">
        <f>IF(ISBLANK(PARTIDAS!$G3514),PARTIDAS!$F3514,CONCATENATE(PARTIDAS!$F3514," (",PARTIDAS!$G3514,")"))</f>
        <v xml:space="preserve">Neumáticos (llantas neumáticas) recauchutados, de los tipos utilizados en automóviles de turismo (incluidos los del tipo familiar («break» o «station </v>
      </c>
      <c r="I3514" s="16" t="s">
        <v>9427</v>
      </c>
    </row>
    <row r="3515" spans="1:9" x14ac:dyDescent="0.25">
      <c r="A3515" s="16" t="s">
        <v>4435</v>
      </c>
      <c r="B3515" s="16" t="str">
        <f>TEXT(PARTIDA[[#This Row],[PARTIDA]],"0000000000")</f>
        <v>4012120000</v>
      </c>
      <c r="C3515" s="16" t="s">
        <v>860</v>
      </c>
      <c r="D3515" s="16" t="s">
        <v>881</v>
      </c>
      <c r="E3515" s="16" t="s">
        <v>9483</v>
      </c>
      <c r="F3515" s="27" t="s">
        <v>12430</v>
      </c>
      <c r="G3515" s="27"/>
      <c r="H3515" s="16" t="str">
        <f>IF(ISBLANK(PARTIDAS!$G3515),PARTIDAS!$F3515,CONCATENATE(PARTIDAS!$F3515," (",PARTIDAS!$G3515,")"))</f>
        <v>Neumáticos (llantas neumáticas) recauchutados, de los tipos utilizados en autobuses o camiones</v>
      </c>
      <c r="I3515" s="16" t="s">
        <v>9427</v>
      </c>
    </row>
    <row r="3516" spans="1:9" x14ac:dyDescent="0.25">
      <c r="A3516" s="16" t="s">
        <v>4436</v>
      </c>
      <c r="B3516" s="16" t="str">
        <f>TEXT(PARTIDA[[#This Row],[PARTIDA]],"0000000000")</f>
        <v>4012130000</v>
      </c>
      <c r="C3516" s="16" t="s">
        <v>860</v>
      </c>
      <c r="D3516" s="16" t="s">
        <v>881</v>
      </c>
      <c r="E3516" s="16" t="s">
        <v>9483</v>
      </c>
      <c r="F3516" s="27" t="s">
        <v>12431</v>
      </c>
      <c r="G3516" s="27"/>
      <c r="H3516" s="16" t="str">
        <f>IF(ISBLANK(PARTIDAS!$G3516),PARTIDAS!$F3516,CONCATENATE(PARTIDAS!$F3516," (",PARTIDAS!$G3516,")"))</f>
        <v>Neumáticos (llantas neumáticas) recauchutados, de los tipos utilizados en aeronaves</v>
      </c>
      <c r="I3516" s="16" t="s">
        <v>9427</v>
      </c>
    </row>
    <row r="3517" spans="1:9" x14ac:dyDescent="0.25">
      <c r="A3517" s="16" t="s">
        <v>4437</v>
      </c>
      <c r="B3517" s="16" t="str">
        <f>TEXT(PARTIDA[[#This Row],[PARTIDA]],"0000000000")</f>
        <v>4012190000</v>
      </c>
      <c r="C3517" s="16" t="s">
        <v>860</v>
      </c>
      <c r="D3517" s="16" t="s">
        <v>881</v>
      </c>
      <c r="E3517" s="16" t="s">
        <v>9483</v>
      </c>
      <c r="F3517" s="27" t="s">
        <v>12432</v>
      </c>
      <c r="G3517" s="27"/>
      <c r="H3517" s="16" t="str">
        <f>IF(ISBLANK(PARTIDAS!$G3517),PARTIDAS!$F3517,CONCATENATE(PARTIDAS!$F3517," (",PARTIDAS!$G3517,")"))</f>
        <v>Neumáticos (llantas neumáticas) recauchutados (los demás)</v>
      </c>
      <c r="I3517" s="16" t="s">
        <v>9427</v>
      </c>
    </row>
    <row r="3518" spans="1:9" x14ac:dyDescent="0.25">
      <c r="A3518" s="16" t="s">
        <v>4438</v>
      </c>
      <c r="B3518" s="16" t="str">
        <f>TEXT(PARTIDA[[#This Row],[PARTIDA]],"0000000000")</f>
        <v>4012200000</v>
      </c>
      <c r="C3518" s="16" t="s">
        <v>860</v>
      </c>
      <c r="D3518" s="16" t="s">
        <v>881</v>
      </c>
      <c r="E3518" s="16" t="s">
        <v>9483</v>
      </c>
      <c r="F3518" s="27" t="s">
        <v>12433</v>
      </c>
      <c r="G3518" s="27"/>
      <c r="H3518" s="16" t="str">
        <f>IF(ISBLANK(PARTIDAS!$G3518),PARTIDAS!$F3518,CONCATENATE(PARTIDAS!$F3518," (",PARTIDAS!$G3518,")"))</f>
        <v>Neumáticos (llantas neumáticas) usados</v>
      </c>
      <c r="I3518" s="16" t="s">
        <v>9427</v>
      </c>
    </row>
    <row r="3519" spans="1:9" x14ac:dyDescent="0.25">
      <c r="A3519" s="16" t="s">
        <v>4439</v>
      </c>
      <c r="B3519" s="16" t="str">
        <f>TEXT(PARTIDA[[#This Row],[PARTIDA]],"0000000000")</f>
        <v>4012901000</v>
      </c>
      <c r="C3519" s="16" t="s">
        <v>860</v>
      </c>
      <c r="D3519" s="16" t="s">
        <v>881</v>
      </c>
      <c r="E3519" s="16" t="s">
        <v>9483</v>
      </c>
      <c r="F3519" s="27" t="s">
        <v>12434</v>
      </c>
      <c r="G3519" s="27"/>
      <c r="H3519" s="16" t="str">
        <f>IF(ISBLANK(PARTIDAS!$G3519),PARTIDAS!$F3519,CONCATENATE(PARTIDAS!$F3519," (",PARTIDAS!$G3519,")"))</f>
        <v>Protectores («flaps»)</v>
      </c>
      <c r="I3519" s="16" t="s">
        <v>9427</v>
      </c>
    </row>
    <row r="3520" spans="1:9" x14ac:dyDescent="0.25">
      <c r="A3520" s="16" t="s">
        <v>4440</v>
      </c>
      <c r="B3520" s="16" t="str">
        <f>TEXT(PARTIDA[[#This Row],[PARTIDA]],"0000000000")</f>
        <v>4012902000</v>
      </c>
      <c r="C3520" s="16" t="s">
        <v>860</v>
      </c>
      <c r="D3520" s="16" t="s">
        <v>881</v>
      </c>
      <c r="E3520" s="16" t="s">
        <v>9483</v>
      </c>
      <c r="F3520" s="27" t="s">
        <v>12435</v>
      </c>
      <c r="G3520" s="27"/>
      <c r="H3520" s="16" t="str">
        <f>IF(ISBLANK(PARTIDAS!$G3520),PARTIDAS!$F3520,CONCATENATE(PARTIDAS!$F3520," (",PARTIDAS!$G3520,")"))</f>
        <v>Bandajes (llantas) macizos</v>
      </c>
      <c r="I3520" s="16" t="s">
        <v>9427</v>
      </c>
    </row>
    <row r="3521" spans="1:9" x14ac:dyDescent="0.25">
      <c r="A3521" s="16" t="s">
        <v>4441</v>
      </c>
      <c r="B3521" s="16" t="str">
        <f>TEXT(PARTIDA[[#This Row],[PARTIDA]],"0000000000")</f>
        <v>4012903000</v>
      </c>
      <c r="C3521" s="16" t="s">
        <v>860</v>
      </c>
      <c r="D3521" s="16" t="s">
        <v>881</v>
      </c>
      <c r="E3521" s="16" t="s">
        <v>9483</v>
      </c>
      <c r="F3521" s="27" t="s">
        <v>12436</v>
      </c>
      <c r="G3521" s="27"/>
      <c r="H3521" s="16" t="str">
        <f>IF(ISBLANK(PARTIDAS!$G3521),PARTIDAS!$F3521,CONCATENATE(PARTIDAS!$F3521," (",PARTIDAS!$G3521,")"))</f>
        <v>Bandajes (llantas) huecos</v>
      </c>
      <c r="I3521" s="16" t="s">
        <v>9427</v>
      </c>
    </row>
    <row r="3522" spans="1:9" x14ac:dyDescent="0.25">
      <c r="A3522" s="16" t="s">
        <v>4442</v>
      </c>
      <c r="B3522" s="16" t="str">
        <f>TEXT(PARTIDA[[#This Row],[PARTIDA]],"0000000000")</f>
        <v>4012904100</v>
      </c>
      <c r="C3522" s="16" t="s">
        <v>860</v>
      </c>
      <c r="D3522" s="16" t="s">
        <v>881</v>
      </c>
      <c r="E3522" s="16" t="s">
        <v>9483</v>
      </c>
      <c r="F3522" s="27" t="s">
        <v>12437</v>
      </c>
      <c r="G3522" s="27"/>
      <c r="H3522" s="16" t="str">
        <f>IF(ISBLANK(PARTIDAS!$G3522),PARTIDAS!$F3522,CONCATENATE(PARTIDAS!$F3522," (",PARTIDAS!$G3522,")"))</f>
        <v>Bandas de rodadura para neumáticos, para recauchutar</v>
      </c>
      <c r="I3522" s="16" t="s">
        <v>9427</v>
      </c>
    </row>
    <row r="3523" spans="1:9" x14ac:dyDescent="0.25">
      <c r="A3523" s="16" t="s">
        <v>4443</v>
      </c>
      <c r="B3523" s="16" t="str">
        <f>TEXT(PARTIDA[[#This Row],[PARTIDA]],"0000000000")</f>
        <v>4012904900</v>
      </c>
      <c r="C3523" s="16" t="s">
        <v>860</v>
      </c>
      <c r="D3523" s="16" t="s">
        <v>881</v>
      </c>
      <c r="E3523" s="16" t="s">
        <v>9483</v>
      </c>
      <c r="F3523" s="27" t="s">
        <v>12438</v>
      </c>
      <c r="G3523" s="27"/>
      <c r="H3523" s="16" t="str">
        <f>IF(ISBLANK(PARTIDAS!$G3523),PARTIDAS!$F3523,CONCATENATE(PARTIDAS!$F3523," (",PARTIDAS!$G3523,")"))</f>
        <v>Bandas de rodadura para neumáticos (los demás)</v>
      </c>
      <c r="I3523" s="16" t="s">
        <v>9427</v>
      </c>
    </row>
    <row r="3524" spans="1:9" x14ac:dyDescent="0.25">
      <c r="A3524" s="16" t="s">
        <v>4444</v>
      </c>
      <c r="B3524" s="16" t="str">
        <f>TEXT(PARTIDA[[#This Row],[PARTIDA]],"0000000000")</f>
        <v>4013100000</v>
      </c>
      <c r="C3524" s="16" t="s">
        <v>860</v>
      </c>
      <c r="D3524" s="16" t="s">
        <v>881</v>
      </c>
      <c r="E3524" s="16" t="s">
        <v>9483</v>
      </c>
      <c r="F3524" s="27" t="s">
        <v>12439</v>
      </c>
      <c r="G3524" s="27"/>
      <c r="H3524" s="16" t="str">
        <f>IF(ISBLANK(PARTIDAS!$G3524),PARTIDAS!$F3524,CONCATENATE(PARTIDAS!$F3524," (",PARTIDAS!$G3524,")"))</f>
        <v xml:space="preserve">Cámaras de caucho para neumáticos (llantas neumáticas), de los tipos utilizados en automóviles de turismo (incluidos los del tipo familiar («break» o </v>
      </c>
      <c r="I3524" s="16" t="s">
        <v>9427</v>
      </c>
    </row>
    <row r="3525" spans="1:9" x14ac:dyDescent="0.25">
      <c r="A3525" s="16" t="s">
        <v>4445</v>
      </c>
      <c r="B3525" s="16" t="str">
        <f>TEXT(PARTIDA[[#This Row],[PARTIDA]],"0000000000")</f>
        <v>4013200000</v>
      </c>
      <c r="C3525" s="16" t="s">
        <v>860</v>
      </c>
      <c r="D3525" s="16" t="s">
        <v>881</v>
      </c>
      <c r="E3525" s="16" t="s">
        <v>9483</v>
      </c>
      <c r="F3525" s="27" t="s">
        <v>12440</v>
      </c>
      <c r="G3525" s="27"/>
      <c r="H3525" s="16" t="str">
        <f>IF(ISBLANK(PARTIDAS!$G3525),PARTIDAS!$F3525,CONCATENATE(PARTIDAS!$F3525," (",PARTIDAS!$G3525,")"))</f>
        <v>Cámaras de caucho para neumáticos (llantas neumáticas), de los tipos utilizados en bicicletas</v>
      </c>
      <c r="I3525" s="16" t="s">
        <v>9427</v>
      </c>
    </row>
    <row r="3526" spans="1:9" x14ac:dyDescent="0.25">
      <c r="A3526" s="16" t="s">
        <v>4446</v>
      </c>
      <c r="B3526" s="16" t="str">
        <f>TEXT(PARTIDA[[#This Row],[PARTIDA]],"0000000000")</f>
        <v>4013900000</v>
      </c>
      <c r="C3526" s="16" t="s">
        <v>860</v>
      </c>
      <c r="D3526" s="16" t="s">
        <v>881</v>
      </c>
      <c r="E3526" s="16" t="s">
        <v>9483</v>
      </c>
      <c r="F3526" s="27" t="s">
        <v>12441</v>
      </c>
      <c r="G3526" s="27"/>
      <c r="H3526" s="16" t="str">
        <f>IF(ISBLANK(PARTIDAS!$G3526),PARTIDAS!$F3526,CONCATENATE(PARTIDAS!$F3526," (",PARTIDAS!$G3526,")"))</f>
        <v>Cámaras de caucho para neumáticos (llantas neumáticas) (los demás)</v>
      </c>
      <c r="I3526" s="16" t="s">
        <v>9427</v>
      </c>
    </row>
    <row r="3527" spans="1:9" x14ac:dyDescent="0.25">
      <c r="A3527" s="16" t="s">
        <v>4447</v>
      </c>
      <c r="B3527" s="16" t="str">
        <f>TEXT(PARTIDA[[#This Row],[PARTIDA]],"0000000000")</f>
        <v>4014100000</v>
      </c>
      <c r="C3527" s="16" t="s">
        <v>786</v>
      </c>
      <c r="D3527" s="16" t="s">
        <v>787</v>
      </c>
      <c r="E3527" s="16" t="s">
        <v>9433</v>
      </c>
      <c r="F3527" s="27" t="s">
        <v>12442</v>
      </c>
      <c r="G3527" s="27"/>
      <c r="H3527" s="16" t="str">
        <f>IF(ISBLANK(PARTIDAS!$G3527),PARTIDAS!$F3527,CONCATENATE(PARTIDAS!$F3527," (",PARTIDAS!$G3527,")"))</f>
        <v>Preservativos</v>
      </c>
      <c r="I3527" s="16" t="s">
        <v>9427</v>
      </c>
    </row>
    <row r="3528" spans="1:9" x14ac:dyDescent="0.25">
      <c r="A3528" s="16" t="s">
        <v>4448</v>
      </c>
      <c r="B3528" s="16" t="str">
        <f>TEXT(PARTIDA[[#This Row],[PARTIDA]],"0000000000")</f>
        <v>4014900000</v>
      </c>
      <c r="C3528" s="16" t="s">
        <v>786</v>
      </c>
      <c r="D3528" s="16" t="s">
        <v>787</v>
      </c>
      <c r="E3528" s="16" t="s">
        <v>9433</v>
      </c>
      <c r="F3528" s="27" t="s">
        <v>12443</v>
      </c>
      <c r="G3528" s="27"/>
      <c r="H3528" s="16" t="str">
        <f>IF(ISBLANK(PARTIDAS!$G3528),PARTIDAS!$F3528,CONCATENATE(PARTIDAS!$F3528," (",PARTIDAS!$G3528,")"))</f>
        <v>Artículos de higiene o de farmacia (comprendidas las tetinas), de… (los demás)</v>
      </c>
      <c r="I3528" s="16" t="s">
        <v>9427</v>
      </c>
    </row>
    <row r="3529" spans="1:9" x14ac:dyDescent="0.25">
      <c r="A3529" s="16" t="s">
        <v>4449</v>
      </c>
      <c r="B3529" s="16" t="str">
        <f>TEXT(PARTIDA[[#This Row],[PARTIDA]],"0000000000")</f>
        <v>4015110000</v>
      </c>
      <c r="C3529" s="16" t="s">
        <v>786</v>
      </c>
      <c r="D3529" s="16" t="s">
        <v>787</v>
      </c>
      <c r="E3529" s="16" t="s">
        <v>9435</v>
      </c>
      <c r="F3529" s="27" t="s">
        <v>12444</v>
      </c>
      <c r="G3529" s="27"/>
      <c r="H3529" s="16" t="str">
        <f>IF(ISBLANK(PARTIDAS!$G3529),PARTIDAS!$F3529,CONCATENATE(PARTIDAS!$F3529," (",PARTIDAS!$G3529,")"))</f>
        <v>Para cirugía</v>
      </c>
      <c r="I3529" s="16" t="s">
        <v>9648</v>
      </c>
    </row>
    <row r="3530" spans="1:9" x14ac:dyDescent="0.25">
      <c r="A3530" s="16" t="s">
        <v>12445</v>
      </c>
      <c r="B3530" s="16" t="str">
        <f>TEXT(PARTIDA[[#This Row],[PARTIDA]],"0000000000")</f>
        <v>4015120000</v>
      </c>
      <c r="C3530" s="16" t="s">
        <v>786</v>
      </c>
      <c r="D3530" s="16" t="s">
        <v>787</v>
      </c>
      <c r="E3530" s="16" t="s">
        <v>9435</v>
      </c>
      <c r="F3530" s="27" t="s">
        <v>12446</v>
      </c>
      <c r="G3530" s="27"/>
      <c r="H3530" s="16" t="str">
        <f>IF(ISBLANK(PARTIDAS!$G3530),PARTIDAS!$F3530,CONCATENATE(PARTIDAS!$F3530," (",PARTIDAS!$G3530,")"))</f>
        <v>Guantes, mitones y manoplas, de los tipos utilizados con fines médicos, quirúrgicos, odontológicos o veterinarios</v>
      </c>
      <c r="I3530" s="16" t="s">
        <v>9427</v>
      </c>
    </row>
    <row r="3531" spans="1:9" x14ac:dyDescent="0.25">
      <c r="A3531" s="16" t="s">
        <v>4450</v>
      </c>
      <c r="B3531" s="16" t="str">
        <f>TEXT(PARTIDA[[#This Row],[PARTIDA]],"0000000000")</f>
        <v>4015191000</v>
      </c>
      <c r="C3531" s="16" t="s">
        <v>786</v>
      </c>
      <c r="D3531" s="16" t="s">
        <v>787</v>
      </c>
      <c r="E3531" s="16" t="s">
        <v>9435</v>
      </c>
      <c r="F3531" s="27" t="s">
        <v>12447</v>
      </c>
      <c r="G3531" s="27"/>
      <c r="H3531" s="16" t="str">
        <f>IF(ISBLANK(PARTIDAS!$G3531),PARTIDAS!$F3531,CONCATENATE(PARTIDAS!$F3531," (",PARTIDAS!$G3531,")"))</f>
        <v>Guantes, mitones y manoplas, antirradiaciones</v>
      </c>
      <c r="I3531" s="16" t="s">
        <v>9427</v>
      </c>
    </row>
    <row r="3532" spans="1:9" x14ac:dyDescent="0.25">
      <c r="A3532" s="16" t="s">
        <v>4451</v>
      </c>
      <c r="B3532" s="16" t="str">
        <f>TEXT(PARTIDA[[#This Row],[PARTIDA]],"0000000000")</f>
        <v>4015199000</v>
      </c>
      <c r="C3532" s="16" t="s">
        <v>786</v>
      </c>
      <c r="D3532" s="16" t="s">
        <v>787</v>
      </c>
      <c r="E3532" s="16" t="s">
        <v>797</v>
      </c>
      <c r="F3532" s="27" t="s">
        <v>9243</v>
      </c>
      <c r="G3532" s="27"/>
      <c r="H3532" s="16" t="str">
        <f>IF(ISBLANK(PARTIDAS!$G3532),PARTIDAS!$F3532,CONCATENATE(PARTIDAS!$F3532," (",PARTIDAS!$G3532,")"))</f>
        <v>Guantes, mitones y manoplas (los demás)</v>
      </c>
      <c r="I3532" s="16" t="s">
        <v>9477</v>
      </c>
    </row>
    <row r="3533" spans="1:9" x14ac:dyDescent="0.25">
      <c r="A3533" s="16" t="s">
        <v>4452</v>
      </c>
      <c r="B3533" s="16" t="str">
        <f>TEXT(PARTIDA[[#This Row],[PARTIDA]],"0000000000")</f>
        <v>4015901000</v>
      </c>
      <c r="C3533" s="16" t="s">
        <v>786</v>
      </c>
      <c r="D3533" s="16" t="s">
        <v>787</v>
      </c>
      <c r="E3533" s="16" t="s">
        <v>9435</v>
      </c>
      <c r="F3533" s="27" t="s">
        <v>12448</v>
      </c>
      <c r="G3533" s="27"/>
      <c r="H3533" s="16" t="str">
        <f>IF(ISBLANK(PARTIDAS!$G3533),PARTIDAS!$F3533,CONCATENATE(PARTIDAS!$F3533," (",PARTIDAS!$G3533,")"))</f>
        <v>Prendas de vestir, guantes, mitones y manoplas y demás complementos…, antirradiaciones</v>
      </c>
      <c r="I3533" s="16" t="s">
        <v>9427</v>
      </c>
    </row>
    <row r="3534" spans="1:9" x14ac:dyDescent="0.25">
      <c r="A3534" s="16" t="s">
        <v>4453</v>
      </c>
      <c r="B3534" s="16" t="str">
        <f>TEXT(PARTIDA[[#This Row],[PARTIDA]],"0000000000")</f>
        <v>4015902000</v>
      </c>
      <c r="C3534" s="16" t="s">
        <v>786</v>
      </c>
      <c r="D3534" s="16" t="s">
        <v>787</v>
      </c>
      <c r="E3534" s="16" t="s">
        <v>9435</v>
      </c>
      <c r="F3534" s="27" t="s">
        <v>12449</v>
      </c>
      <c r="G3534" s="27"/>
      <c r="H3534" s="16" t="str">
        <f>IF(ISBLANK(PARTIDAS!$G3534),PARTIDAS!$F3534,CONCATENATE(PARTIDAS!$F3534," (",PARTIDAS!$G3534,")"))</f>
        <v>Trajes para buzos</v>
      </c>
      <c r="I3534" s="16" t="s">
        <v>9427</v>
      </c>
    </row>
    <row r="3535" spans="1:9" x14ac:dyDescent="0.25">
      <c r="A3535" s="16" t="s">
        <v>4454</v>
      </c>
      <c r="B3535" s="16" t="str">
        <f>TEXT(PARTIDA[[#This Row],[PARTIDA]],"0000000000")</f>
        <v>4015909000</v>
      </c>
      <c r="C3535" s="16" t="s">
        <v>786</v>
      </c>
      <c r="D3535" s="16" t="s">
        <v>787</v>
      </c>
      <c r="E3535" s="16" t="s">
        <v>9435</v>
      </c>
      <c r="F3535" s="27" t="s">
        <v>12450</v>
      </c>
      <c r="G3535" s="27"/>
      <c r="H3535" s="16" t="str">
        <f>IF(ISBLANK(PARTIDAS!$G3535),PARTIDAS!$F3535,CONCATENATE(PARTIDAS!$F3535," (",PARTIDAS!$G3535,")"))</f>
        <v>Prendas de vestir, guantes, mitones y manoplas y demás complementos… (los demás)</v>
      </c>
      <c r="I3535" s="16" t="s">
        <v>9427</v>
      </c>
    </row>
    <row r="3536" spans="1:9" x14ac:dyDescent="0.25">
      <c r="A3536" s="16" t="s">
        <v>4455</v>
      </c>
      <c r="B3536" s="16" t="str">
        <f>TEXT(PARTIDA[[#This Row],[PARTIDA]],"0000000000")</f>
        <v>4016100000</v>
      </c>
      <c r="C3536" s="16" t="s">
        <v>815</v>
      </c>
      <c r="D3536" s="16" t="s">
        <v>835</v>
      </c>
      <c r="E3536" s="16" t="s">
        <v>844</v>
      </c>
      <c r="F3536" s="27" t="s">
        <v>12451</v>
      </c>
      <c r="G3536" s="27"/>
      <c r="H3536" s="16" t="str">
        <f>IF(ISBLANK(PARTIDAS!$G3536),PARTIDAS!$F3536,CONCATENATE(PARTIDAS!$F3536," (",PARTIDAS!$G3536,")"))</f>
        <v>Caucho y sus manufacturas, de caucho celular</v>
      </c>
      <c r="I3536" s="16" t="s">
        <v>9427</v>
      </c>
    </row>
    <row r="3537" spans="1:9" x14ac:dyDescent="0.25">
      <c r="A3537" s="16" t="s">
        <v>4456</v>
      </c>
      <c r="B3537" s="16" t="str">
        <f>TEXT(PARTIDA[[#This Row],[PARTIDA]],"0000000000")</f>
        <v>4016910000</v>
      </c>
      <c r="C3537" s="16" t="s">
        <v>815</v>
      </c>
      <c r="D3537" s="16" t="s">
        <v>835</v>
      </c>
      <c r="E3537" s="16" t="s">
        <v>844</v>
      </c>
      <c r="F3537" s="27" t="s">
        <v>4457</v>
      </c>
      <c r="G3537" s="27"/>
      <c r="H3537" s="16" t="str">
        <f>IF(ISBLANK(PARTIDAS!$G3537),PARTIDAS!$F3537,CONCATENATE(PARTIDAS!$F3537," (",PARTIDAS!$G3537,")"))</f>
        <v>Alfombras</v>
      </c>
      <c r="I3537" s="16" t="s">
        <v>9427</v>
      </c>
    </row>
    <row r="3538" spans="1:9" x14ac:dyDescent="0.25">
      <c r="A3538" s="16" t="s">
        <v>4458</v>
      </c>
      <c r="B3538" s="16" t="str">
        <f>TEXT(PARTIDA[[#This Row],[PARTIDA]],"0000000000")</f>
        <v>4016920000</v>
      </c>
      <c r="C3538" s="16" t="s">
        <v>815</v>
      </c>
      <c r="D3538" s="16" t="s">
        <v>835</v>
      </c>
      <c r="E3538" s="16" t="s">
        <v>844</v>
      </c>
      <c r="F3538" s="27" t="s">
        <v>12452</v>
      </c>
      <c r="G3538" s="27"/>
      <c r="H3538" s="16" t="str">
        <f>IF(ISBLANK(PARTIDAS!$G3538),PARTIDAS!$F3538,CONCATENATE(PARTIDAS!$F3538," (",PARTIDAS!$G3538,")"))</f>
        <v>Gomas de borrar</v>
      </c>
      <c r="I3538" s="16" t="s">
        <v>9427</v>
      </c>
    </row>
    <row r="3539" spans="1:9" x14ac:dyDescent="0.25">
      <c r="A3539" s="16" t="s">
        <v>4459</v>
      </c>
      <c r="B3539" s="16" t="str">
        <f>TEXT(PARTIDA[[#This Row],[PARTIDA]],"0000000000")</f>
        <v>4016930000</v>
      </c>
      <c r="C3539" s="16" t="s">
        <v>815</v>
      </c>
      <c r="D3539" s="16" t="s">
        <v>835</v>
      </c>
      <c r="E3539" s="16" t="s">
        <v>844</v>
      </c>
      <c r="F3539" s="27" t="s">
        <v>4333</v>
      </c>
      <c r="G3539" s="27"/>
      <c r="H3539" s="16" t="str">
        <f>IF(ISBLANK(PARTIDAS!$G3539),PARTIDAS!$F3539,CONCATENATE(PARTIDAS!$F3539," (",PARTIDAS!$G3539,")"))</f>
        <v>Juntas o empaquetaduras</v>
      </c>
      <c r="I3539" s="16" t="s">
        <v>9427</v>
      </c>
    </row>
    <row r="3540" spans="1:9" x14ac:dyDescent="0.25">
      <c r="A3540" s="16" t="s">
        <v>4460</v>
      </c>
      <c r="B3540" s="16" t="str">
        <f>TEXT(PARTIDA[[#This Row],[PARTIDA]],"0000000000")</f>
        <v>4016940000</v>
      </c>
      <c r="C3540" s="16" t="s">
        <v>815</v>
      </c>
      <c r="D3540" s="16" t="s">
        <v>835</v>
      </c>
      <c r="E3540" s="16" t="s">
        <v>844</v>
      </c>
      <c r="F3540" s="27" t="s">
        <v>12453</v>
      </c>
      <c r="G3540" s="27"/>
      <c r="H3540" s="16" t="str">
        <f>IF(ISBLANK(PARTIDAS!$G3540),PARTIDAS!$F3540,CONCATENATE(PARTIDAS!$F3540," (",PARTIDAS!$G3540,")"))</f>
        <v>Defensas, incluso inflables, para el atraque de los barcos</v>
      </c>
      <c r="I3540" s="16" t="s">
        <v>9427</v>
      </c>
    </row>
    <row r="3541" spans="1:9" x14ac:dyDescent="0.25">
      <c r="A3541" s="16" t="s">
        <v>4461</v>
      </c>
      <c r="B3541" s="16" t="str">
        <f>TEXT(PARTIDA[[#This Row],[PARTIDA]],"0000000000")</f>
        <v>4016951000</v>
      </c>
      <c r="C3541" s="16" t="s">
        <v>815</v>
      </c>
      <c r="D3541" s="16" t="s">
        <v>835</v>
      </c>
      <c r="E3541" s="16" t="s">
        <v>844</v>
      </c>
      <c r="F3541" s="27" t="s">
        <v>12454</v>
      </c>
      <c r="G3541" s="27"/>
      <c r="H3541" s="16" t="str">
        <f>IF(ISBLANK(PARTIDAS!$G3541),PARTIDAS!$F3541,CONCATENATE(PARTIDAS!$F3541," (",PARTIDAS!$G3541,")"))</f>
        <v>Tanques y recipientes plegables (contenedores)</v>
      </c>
      <c r="I3541" s="16" t="s">
        <v>9427</v>
      </c>
    </row>
    <row r="3542" spans="1:9" x14ac:dyDescent="0.25">
      <c r="A3542" s="16" t="s">
        <v>4462</v>
      </c>
      <c r="B3542" s="16" t="str">
        <f>TEXT(PARTIDA[[#This Row],[PARTIDA]],"0000000000")</f>
        <v>4016952000</v>
      </c>
      <c r="C3542" s="16" t="s">
        <v>815</v>
      </c>
      <c r="D3542" s="16" t="s">
        <v>835</v>
      </c>
      <c r="E3542" s="16" t="s">
        <v>844</v>
      </c>
      <c r="F3542" s="27" t="s">
        <v>12455</v>
      </c>
      <c r="G3542" s="27"/>
      <c r="H3542" s="16" t="str">
        <f>IF(ISBLANK(PARTIDAS!$G3542),PARTIDAS!$F3542,CONCATENATE(PARTIDAS!$F3542," (",PARTIDAS!$G3542,")"))</f>
        <v>Bolsas para máquinas vulcanizadoras y reencauchadoras de neumáticos (llantas neumáticas)</v>
      </c>
      <c r="I3542" s="16" t="s">
        <v>9427</v>
      </c>
    </row>
    <row r="3543" spans="1:9" x14ac:dyDescent="0.25">
      <c r="A3543" s="16" t="s">
        <v>4463</v>
      </c>
      <c r="B3543" s="16" t="str">
        <f>TEXT(PARTIDA[[#This Row],[PARTIDA]],"0000000000")</f>
        <v>4016959000</v>
      </c>
      <c r="C3543" s="16" t="s">
        <v>815</v>
      </c>
      <c r="D3543" s="16" t="s">
        <v>835</v>
      </c>
      <c r="E3543" s="16" t="s">
        <v>844</v>
      </c>
      <c r="F3543" s="27" t="s">
        <v>12398</v>
      </c>
      <c r="G3543" s="27"/>
      <c r="H3543" s="16" t="str">
        <f>IF(ISBLANK(PARTIDAS!$G3543),PARTIDAS!$F3543,CONCATENATE(PARTIDAS!$F3543," (",PARTIDAS!$G3543,")"))</f>
        <v>Caucho y sus manufacturas (los demás)</v>
      </c>
      <c r="I3543" s="16" t="s">
        <v>9427</v>
      </c>
    </row>
    <row r="3544" spans="1:9" x14ac:dyDescent="0.25">
      <c r="A3544" s="16" t="s">
        <v>4464</v>
      </c>
      <c r="B3544" s="16" t="str">
        <f>TEXT(PARTIDA[[#This Row],[PARTIDA]],"0000000000")</f>
        <v>4016991000</v>
      </c>
      <c r="C3544" s="16" t="s">
        <v>815</v>
      </c>
      <c r="D3544" s="16" t="s">
        <v>835</v>
      </c>
      <c r="E3544" s="16" t="s">
        <v>844</v>
      </c>
      <c r="F3544" s="27" t="s">
        <v>4465</v>
      </c>
      <c r="G3544" s="27" t="s">
        <v>852</v>
      </c>
      <c r="H3544" s="16" t="str">
        <f>IF(ISBLANK(PARTIDAS!$G3544),PARTIDAS!$F3544,CONCATENATE(PARTIDAS!$F3544," (",PARTIDAS!$G3544,")"))</f>
        <v>Artículos para usos técnicos (Especificar)</v>
      </c>
      <c r="I3544" s="16" t="s">
        <v>9427</v>
      </c>
    </row>
    <row r="3545" spans="1:9" x14ac:dyDescent="0.25">
      <c r="A3545" s="16" t="s">
        <v>4466</v>
      </c>
      <c r="B3545" s="16" t="str">
        <f>TEXT(PARTIDA[[#This Row],[PARTIDA]],"0000000000")</f>
        <v>4016992100</v>
      </c>
      <c r="C3545" s="16" t="s">
        <v>815</v>
      </c>
      <c r="D3545" s="16" t="s">
        <v>835</v>
      </c>
      <c r="E3545" s="16" t="s">
        <v>844</v>
      </c>
      <c r="F3545" s="27" t="s">
        <v>12456</v>
      </c>
      <c r="G3545" s="27"/>
      <c r="H3545" s="16" t="str">
        <f>IF(ISBLANK(PARTIDAS!$G3545),PARTIDAS!$F3545,CONCATENATE(PARTIDAS!$F3545," (",PARTIDAS!$G3545,")"))</f>
        <v>Guardapolvos para palieres</v>
      </c>
      <c r="I3545" s="16" t="s">
        <v>9427</v>
      </c>
    </row>
    <row r="3546" spans="1:9" x14ac:dyDescent="0.25">
      <c r="A3546" s="16" t="s">
        <v>4467</v>
      </c>
      <c r="B3546" s="16" t="str">
        <f>TEXT(PARTIDA[[#This Row],[PARTIDA]],"0000000000")</f>
        <v>4016992900</v>
      </c>
      <c r="C3546" s="16" t="s">
        <v>815</v>
      </c>
      <c r="D3546" s="16" t="s">
        <v>835</v>
      </c>
      <c r="E3546" s="16" t="s">
        <v>844</v>
      </c>
      <c r="F3546" s="27" t="s">
        <v>4468</v>
      </c>
      <c r="G3546" s="27" t="s">
        <v>1472</v>
      </c>
      <c r="H3546" s="16" t="str">
        <f>IF(ISBLANK(PARTIDAS!$G3546),PARTIDAS!$F3546,CONCATENATE(PARTIDAS!$F3546," (",PARTIDAS!$G3546,")"))</f>
        <v>Jebe (Verificar)</v>
      </c>
      <c r="I3546" s="16" t="s">
        <v>9427</v>
      </c>
    </row>
    <row r="3547" spans="1:9" x14ac:dyDescent="0.25">
      <c r="A3547" s="16" t="s">
        <v>4469</v>
      </c>
      <c r="B3547" s="16" t="str">
        <f>TEXT(PARTIDA[[#This Row],[PARTIDA]],"0000000000")</f>
        <v>4016993000</v>
      </c>
      <c r="C3547" s="16" t="s">
        <v>815</v>
      </c>
      <c r="D3547" s="16" t="s">
        <v>835</v>
      </c>
      <c r="E3547" s="16" t="s">
        <v>844</v>
      </c>
      <c r="F3547" s="27" t="s">
        <v>4470</v>
      </c>
      <c r="G3547" s="27"/>
      <c r="H3547" s="16" t="str">
        <f>IF(ISBLANK(PARTIDAS!$G3547),PARTIDAS!$F3547,CONCATENATE(PARTIDAS!$F3547," (",PARTIDAS!$G3547,")"))</f>
        <v>Tapones</v>
      </c>
      <c r="I3547" s="16" t="s">
        <v>9427</v>
      </c>
    </row>
    <row r="3548" spans="1:9" x14ac:dyDescent="0.25">
      <c r="A3548" s="16" t="s">
        <v>4471</v>
      </c>
      <c r="B3548" s="16" t="str">
        <f>TEXT(PARTIDA[[#This Row],[PARTIDA]],"0000000000")</f>
        <v>4016994000</v>
      </c>
      <c r="C3548" s="16" t="s">
        <v>815</v>
      </c>
      <c r="D3548" s="16" t="s">
        <v>835</v>
      </c>
      <c r="E3548" s="16" t="s">
        <v>844</v>
      </c>
      <c r="F3548" s="27" t="s">
        <v>12457</v>
      </c>
      <c r="G3548" s="27"/>
      <c r="H3548" s="16" t="str">
        <f>IF(ISBLANK(PARTIDAS!$G3548),PARTIDAS!$F3548,CONCATENATE(PARTIDAS!$F3548," (",PARTIDAS!$G3548,")"))</f>
        <v>Parches para reparar cámaras de aire y neumáticos (llantas neumáticas)</v>
      </c>
      <c r="I3548" s="16" t="s">
        <v>9427</v>
      </c>
    </row>
    <row r="3549" spans="1:9" x14ac:dyDescent="0.25">
      <c r="A3549" s="16" t="s">
        <v>4472</v>
      </c>
      <c r="B3549" s="16" t="str">
        <f>TEXT(PARTIDA[[#This Row],[PARTIDA]],"0000000000")</f>
        <v>4016996000</v>
      </c>
      <c r="C3549" s="16" t="s">
        <v>815</v>
      </c>
      <c r="D3549" s="16" t="s">
        <v>835</v>
      </c>
      <c r="E3549" s="16" t="s">
        <v>844</v>
      </c>
      <c r="F3549" s="27" t="s">
        <v>12458</v>
      </c>
      <c r="G3549" s="27"/>
      <c r="H3549" s="16" t="str">
        <f>IF(ISBLANK(PARTIDAS!$G3549),PARTIDAS!$F3549,CONCATENATE(PARTIDAS!$F3549," (",PARTIDAS!$G3549,")"))</f>
        <v>Mantillas para artes gráficas</v>
      </c>
      <c r="I3549" s="16" t="s">
        <v>9427</v>
      </c>
    </row>
    <row r="3550" spans="1:9" x14ac:dyDescent="0.25">
      <c r="A3550" s="16" t="s">
        <v>4473</v>
      </c>
      <c r="B3550" s="16" t="str">
        <f>TEXT(PARTIDA[[#This Row],[PARTIDA]],"0000000000")</f>
        <v>4016999000</v>
      </c>
      <c r="C3550" s="16" t="s">
        <v>815</v>
      </c>
      <c r="D3550" s="16" t="s">
        <v>835</v>
      </c>
      <c r="E3550" s="16" t="s">
        <v>844</v>
      </c>
      <c r="F3550" s="27" t="s">
        <v>4465</v>
      </c>
      <c r="G3550" s="27" t="s">
        <v>852</v>
      </c>
      <c r="H3550" s="16" t="str">
        <f>IF(ISBLANK(PARTIDAS!$G3550),PARTIDAS!$F3550,CONCATENATE(PARTIDAS!$F3550," (",PARTIDAS!$G3550,")"))</f>
        <v>Artículos para usos técnicos (Especificar)</v>
      </c>
      <c r="I3550" s="16" t="s">
        <v>9427</v>
      </c>
    </row>
    <row r="3551" spans="1:9" x14ac:dyDescent="0.25">
      <c r="A3551" s="16" t="s">
        <v>4474</v>
      </c>
      <c r="B3551" s="16" t="str">
        <f>TEXT(PARTIDA[[#This Row],[PARTIDA]],"0000000000")</f>
        <v>4017000000</v>
      </c>
      <c r="C3551" s="16" t="s">
        <v>815</v>
      </c>
      <c r="D3551" s="16" t="s">
        <v>835</v>
      </c>
      <c r="E3551" s="16" t="s">
        <v>844</v>
      </c>
      <c r="F3551" s="27" t="s">
        <v>4475</v>
      </c>
      <c r="G3551" s="27"/>
      <c r="H3551" s="16" t="str">
        <f>IF(ISBLANK(PARTIDAS!$G3551),PARTIDAS!$F3551,CONCATENATE(PARTIDAS!$F3551," (",PARTIDAS!$G3551,")"))</f>
        <v>Manufacturas de caucho</v>
      </c>
      <c r="I3551" s="16" t="s">
        <v>9427</v>
      </c>
    </row>
    <row r="3552" spans="1:9" x14ac:dyDescent="0.25">
      <c r="A3552" s="16" t="s">
        <v>4476</v>
      </c>
      <c r="B3552" s="16" t="str">
        <f>TEXT(PARTIDA[[#This Row],[PARTIDA]],"0000000000")</f>
        <v>4101200000</v>
      </c>
      <c r="C3552" s="16" t="s">
        <v>815</v>
      </c>
      <c r="D3552" s="16" t="s">
        <v>835</v>
      </c>
      <c r="E3552" s="16" t="s">
        <v>842</v>
      </c>
      <c r="F3552" s="27" t="s">
        <v>12459</v>
      </c>
      <c r="G3552" s="27"/>
      <c r="H3552" s="16" t="str">
        <f>IF(ISBLANK(PARTIDAS!$G3552),PARTIDAS!$F3552,CONCATENATE(PARTIDAS!$F3552," (",PARTIDAS!$G3552,")"))</f>
        <v>Cueros y pieles enteros, sin dividir, de peso unitario inferior o igual a 8 kg para los secos, a 10 kg para los salados secos y a 16 kg para los fresc</v>
      </c>
      <c r="I3552" s="16" t="s">
        <v>9427</v>
      </c>
    </row>
    <row r="3553" spans="1:9" x14ac:dyDescent="0.25">
      <c r="A3553" s="16" t="s">
        <v>4477</v>
      </c>
      <c r="B3553" s="16" t="str">
        <f>TEXT(PARTIDA[[#This Row],[PARTIDA]],"0000000000")</f>
        <v>4101500000</v>
      </c>
      <c r="C3553" s="16" t="s">
        <v>815</v>
      </c>
      <c r="D3553" s="16" t="s">
        <v>835</v>
      </c>
      <c r="E3553" s="16" t="s">
        <v>842</v>
      </c>
      <c r="F3553" s="27" t="s">
        <v>12460</v>
      </c>
      <c r="G3553" s="27"/>
      <c r="H3553" s="16" t="str">
        <f>IF(ISBLANK(PARTIDAS!$G3553),PARTIDAS!$F3553,CONCATENATE(PARTIDAS!$F3553," (",PARTIDAS!$G3553,")"))</f>
        <v>Cueros y pieles enteros, de peso unitario superior a 16 kg</v>
      </c>
      <c r="I3553" s="16" t="s">
        <v>9427</v>
      </c>
    </row>
    <row r="3554" spans="1:9" x14ac:dyDescent="0.25">
      <c r="A3554" s="16" t="s">
        <v>4478</v>
      </c>
      <c r="B3554" s="16" t="str">
        <f>TEXT(PARTIDA[[#This Row],[PARTIDA]],"0000000000")</f>
        <v>4101900000</v>
      </c>
      <c r="C3554" s="16" t="s">
        <v>815</v>
      </c>
      <c r="D3554" s="16" t="s">
        <v>835</v>
      </c>
      <c r="E3554" s="16" t="s">
        <v>842</v>
      </c>
      <c r="F3554" s="27" t="s">
        <v>12461</v>
      </c>
      <c r="G3554" s="27"/>
      <c r="H3554" s="16" t="str">
        <f>IF(ISBLANK(PARTIDAS!$G3554),PARTIDAS!$F3554,CONCATENATE(PARTIDAS!$F3554," (",PARTIDAS!$G3554,")"))</f>
        <v>Cueros y pieles en bruto, de bovino (incluido el búfalo) o de equino… (los demás, incluidos los crupones, medios crupones y faldas)</v>
      </c>
      <c r="I3554" s="16" t="s">
        <v>9427</v>
      </c>
    </row>
    <row r="3555" spans="1:9" x14ac:dyDescent="0.25">
      <c r="A3555" s="16" t="s">
        <v>4479</v>
      </c>
      <c r="B3555" s="16" t="str">
        <f>TEXT(PARTIDA[[#This Row],[PARTIDA]],"0000000000")</f>
        <v>4102100000</v>
      </c>
      <c r="C3555" s="16" t="s">
        <v>815</v>
      </c>
      <c r="D3555" s="16" t="s">
        <v>835</v>
      </c>
      <c r="E3555" s="16" t="s">
        <v>842</v>
      </c>
      <c r="F3555" s="27" t="s">
        <v>12462</v>
      </c>
      <c r="G3555" s="27"/>
      <c r="H3555" s="16" t="str">
        <f>IF(ISBLANK(PARTIDAS!$G3555),PARTIDAS!$F3555,CONCATENATE(PARTIDAS!$F3555," (",PARTIDAS!$G3555,")"))</f>
        <v>Cueros y pieles en bruto, de ovino (frescos o salados, secos…, con lana</v>
      </c>
      <c r="I3555" s="16" t="s">
        <v>9427</v>
      </c>
    </row>
    <row r="3556" spans="1:9" x14ac:dyDescent="0.25">
      <c r="A3556" s="16" t="s">
        <v>4480</v>
      </c>
      <c r="B3556" s="16" t="str">
        <f>TEXT(PARTIDA[[#This Row],[PARTIDA]],"0000000000")</f>
        <v>4102210000</v>
      </c>
      <c r="C3556" s="16" t="s">
        <v>815</v>
      </c>
      <c r="D3556" s="16" t="s">
        <v>835</v>
      </c>
      <c r="E3556" s="16" t="s">
        <v>842</v>
      </c>
      <c r="F3556" s="27" t="s">
        <v>12463</v>
      </c>
      <c r="G3556" s="27"/>
      <c r="H3556" s="16" t="str">
        <f>IF(ISBLANK(PARTIDAS!$G3556),PARTIDAS!$F3556,CONCATENATE(PARTIDAS!$F3556," (",PARTIDAS!$G3556,")"))</f>
        <v>Cueros y pieles en bruto, de ovino (frescos o salados…, sin lana (depilados), piquelados</v>
      </c>
      <c r="I3556" s="16" t="s">
        <v>9427</v>
      </c>
    </row>
    <row r="3557" spans="1:9" x14ac:dyDescent="0.25">
      <c r="A3557" s="16" t="s">
        <v>4481</v>
      </c>
      <c r="B3557" s="16" t="str">
        <f>TEXT(PARTIDA[[#This Row],[PARTIDA]],"0000000000")</f>
        <v>4102290000</v>
      </c>
      <c r="C3557" s="16" t="s">
        <v>815</v>
      </c>
      <c r="D3557" s="16" t="s">
        <v>835</v>
      </c>
      <c r="E3557" s="16" t="s">
        <v>842</v>
      </c>
      <c r="F3557" s="27" t="s">
        <v>12464</v>
      </c>
      <c r="G3557" s="27"/>
      <c r="H3557" s="16" t="str">
        <f>IF(ISBLANK(PARTIDAS!$G3557),PARTIDAS!$F3557,CONCATENATE(PARTIDAS!$F3557," (",PARTIDAS!$G3557,")"))</f>
        <v>Cueros y pieles en bruto, de ovino (frescos o salados…, sin lana (depilados) (los demás)</v>
      </c>
      <c r="I3557" s="16" t="s">
        <v>9427</v>
      </c>
    </row>
    <row r="3558" spans="1:9" x14ac:dyDescent="0.25">
      <c r="A3558" s="16" t="s">
        <v>4482</v>
      </c>
      <c r="B3558" s="16" t="str">
        <f>TEXT(PARTIDA[[#This Row],[PARTIDA]],"0000000000")</f>
        <v>4103200000</v>
      </c>
      <c r="C3558" s="16" t="s">
        <v>815</v>
      </c>
      <c r="D3558" s="16" t="s">
        <v>835</v>
      </c>
      <c r="E3558" s="16" t="s">
        <v>842</v>
      </c>
      <c r="F3558" s="27" t="s">
        <v>12465</v>
      </c>
      <c r="G3558" s="27"/>
      <c r="H3558" s="16" t="str">
        <f>IF(ISBLANK(PARTIDAS!$G3558),PARTIDAS!$F3558,CONCATENATE(PARTIDAS!$F3558," (",PARTIDAS!$G3558,")"))</f>
        <v>Pieles (excepto la peletería) y cueros, de reptil</v>
      </c>
      <c r="I3558" s="16" t="s">
        <v>9427</v>
      </c>
    </row>
    <row r="3559" spans="1:9" x14ac:dyDescent="0.25">
      <c r="A3559" s="16" t="s">
        <v>4483</v>
      </c>
      <c r="B3559" s="16" t="str">
        <f>TEXT(PARTIDA[[#This Row],[PARTIDA]],"0000000000")</f>
        <v>4103300000</v>
      </c>
      <c r="C3559" s="16" t="s">
        <v>815</v>
      </c>
      <c r="D3559" s="16" t="s">
        <v>835</v>
      </c>
      <c r="E3559" s="16" t="s">
        <v>842</v>
      </c>
      <c r="F3559" s="27" t="s">
        <v>12466</v>
      </c>
      <c r="G3559" s="27"/>
      <c r="H3559" s="16" t="str">
        <f>IF(ISBLANK(PARTIDAS!$G3559),PARTIDAS!$F3559,CONCATENATE(PARTIDAS!$F3559," (",PARTIDAS!$G3559,")"))</f>
        <v>Pieles (excepto la peletería) y cueros, de porcino</v>
      </c>
      <c r="I3559" s="16" t="s">
        <v>9427</v>
      </c>
    </row>
    <row r="3560" spans="1:9" x14ac:dyDescent="0.25">
      <c r="A3560" s="16" t="s">
        <v>4484</v>
      </c>
      <c r="B3560" s="16" t="str">
        <f>TEXT(PARTIDA[[#This Row],[PARTIDA]],"0000000000")</f>
        <v>4103900000</v>
      </c>
      <c r="C3560" s="16" t="s">
        <v>815</v>
      </c>
      <c r="D3560" s="16" t="s">
        <v>835</v>
      </c>
      <c r="E3560" s="16" t="s">
        <v>842</v>
      </c>
      <c r="F3560" s="27" t="s">
        <v>12467</v>
      </c>
      <c r="G3560" s="27"/>
      <c r="H3560" s="16" t="str">
        <f>IF(ISBLANK(PARTIDAS!$G3560),PARTIDAS!$F3560,CONCATENATE(PARTIDAS!$F3560," (",PARTIDAS!$G3560,")"))</f>
        <v>Pieles (excepto la peletería) y cueros (los demás)</v>
      </c>
      <c r="I3560" s="16" t="s">
        <v>9427</v>
      </c>
    </row>
    <row r="3561" spans="1:9" x14ac:dyDescent="0.25">
      <c r="A3561" s="16" t="s">
        <v>4485</v>
      </c>
      <c r="B3561" s="16" t="str">
        <f>TEXT(PARTIDA[[#This Row],[PARTIDA]],"0000000000")</f>
        <v>4104110000</v>
      </c>
      <c r="C3561" s="16" t="s">
        <v>815</v>
      </c>
      <c r="D3561" s="16" t="s">
        <v>835</v>
      </c>
      <c r="E3561" s="16" t="s">
        <v>842</v>
      </c>
      <c r="F3561" s="27" t="s">
        <v>9348</v>
      </c>
      <c r="G3561" s="27"/>
      <c r="H3561" s="16" t="str">
        <f>IF(ISBLANK(PARTIDAS!$G3561),PARTIDAS!$F3561,CONCATENATE(PARTIDAS!$F3561," (",PARTIDAS!$G3561,")"))</f>
        <v>Plena flor sin dividir; divididos con la flor</v>
      </c>
      <c r="I3561" s="16" t="s">
        <v>9477</v>
      </c>
    </row>
    <row r="3562" spans="1:9" x14ac:dyDescent="0.25">
      <c r="A3562" s="16" t="s">
        <v>4486</v>
      </c>
      <c r="B3562" s="16" t="str">
        <f>TEXT(PARTIDA[[#This Row],[PARTIDA]],"0000000000")</f>
        <v>4104190000</v>
      </c>
      <c r="C3562" s="16" t="s">
        <v>815</v>
      </c>
      <c r="D3562" s="16" t="s">
        <v>835</v>
      </c>
      <c r="E3562" s="16" t="s">
        <v>842</v>
      </c>
      <c r="F3562" s="27" t="s">
        <v>9217</v>
      </c>
      <c r="G3562" s="27"/>
      <c r="H3562" s="16" t="str">
        <f>IF(ISBLANK(PARTIDAS!$G3562),PARTIDAS!$F3562,CONCATENATE(PARTIDAS!$F3562," (",PARTIDAS!$G3562,")"))</f>
        <v>Cueros y pieles curtidos o «crust», de bovino…, en estado húmedo (incluido el «wet-blue») (los demás)</v>
      </c>
      <c r="I3562" s="16" t="s">
        <v>9477</v>
      </c>
    </row>
    <row r="3563" spans="1:9" x14ac:dyDescent="0.25">
      <c r="A3563" s="16" t="s">
        <v>4487</v>
      </c>
      <c r="B3563" s="16" t="str">
        <f>TEXT(PARTIDA[[#This Row],[PARTIDA]],"0000000000")</f>
        <v>4104410000</v>
      </c>
      <c r="C3563" s="16" t="s">
        <v>815</v>
      </c>
      <c r="D3563" s="16" t="s">
        <v>835</v>
      </c>
      <c r="E3563" s="16" t="s">
        <v>842</v>
      </c>
      <c r="F3563" s="27" t="s">
        <v>9348</v>
      </c>
      <c r="G3563" s="27"/>
      <c r="H3563" s="16" t="str">
        <f>IF(ISBLANK(PARTIDAS!$G3563),PARTIDAS!$F3563,CONCATENATE(PARTIDAS!$F3563," (",PARTIDAS!$G3563,")"))</f>
        <v>Plena flor sin dividir; divididos con la flor</v>
      </c>
      <c r="I3563" s="16" t="s">
        <v>9427</v>
      </c>
    </row>
    <row r="3564" spans="1:9" x14ac:dyDescent="0.25">
      <c r="A3564" s="16" t="s">
        <v>4488</v>
      </c>
      <c r="B3564" s="16" t="str">
        <f>TEXT(PARTIDA[[#This Row],[PARTIDA]],"0000000000")</f>
        <v>4104490000</v>
      </c>
      <c r="C3564" s="16" t="s">
        <v>815</v>
      </c>
      <c r="D3564" s="16" t="s">
        <v>835</v>
      </c>
      <c r="E3564" s="16" t="s">
        <v>842</v>
      </c>
      <c r="F3564" s="27" t="s">
        <v>12468</v>
      </c>
      <c r="G3564" s="27"/>
      <c r="H3564" s="16" t="str">
        <f>IF(ISBLANK(PARTIDAS!$G3564),PARTIDAS!$F3564,CONCATENATE(PARTIDAS!$F3564," (",PARTIDAS!$G3564,")"))</f>
        <v>Cueros y pieles curtidos o «crust», de bovino…, en estado seco («crust») (los demás)</v>
      </c>
      <c r="I3564" s="16" t="s">
        <v>9427</v>
      </c>
    </row>
    <row r="3565" spans="1:9" x14ac:dyDescent="0.25">
      <c r="A3565" s="16" t="s">
        <v>4489</v>
      </c>
      <c r="B3565" s="16" t="str">
        <f>TEXT(PARTIDA[[#This Row],[PARTIDA]],"0000000000")</f>
        <v>4105100000</v>
      </c>
      <c r="C3565" s="16" t="s">
        <v>815</v>
      </c>
      <c r="D3565" s="16" t="s">
        <v>835</v>
      </c>
      <c r="E3565" s="16" t="s">
        <v>842</v>
      </c>
      <c r="F3565" s="27" t="s">
        <v>12469</v>
      </c>
      <c r="G3565" s="27"/>
      <c r="H3565" s="16" t="str">
        <f>IF(ISBLANK(PARTIDAS!$G3565),PARTIDAS!$F3565,CONCATENATE(PARTIDAS!$F3565," (",PARTIDAS!$G3565,")"))</f>
        <v>Pieles curtidas o «crust», de ovino, depiladas, incluso divididas…, en estado húmedo (incluido el «wet-blue»)</v>
      </c>
      <c r="I3565" s="16" t="s">
        <v>9427</v>
      </c>
    </row>
    <row r="3566" spans="1:9" x14ac:dyDescent="0.25">
      <c r="A3566" s="16" t="s">
        <v>4490</v>
      </c>
      <c r="B3566" s="16" t="str">
        <f>TEXT(PARTIDA[[#This Row],[PARTIDA]],"0000000000")</f>
        <v>4105300000</v>
      </c>
      <c r="C3566" s="16" t="s">
        <v>815</v>
      </c>
      <c r="D3566" s="16" t="s">
        <v>835</v>
      </c>
      <c r="E3566" s="16" t="s">
        <v>842</v>
      </c>
      <c r="F3566" s="27" t="s">
        <v>12470</v>
      </c>
      <c r="G3566" s="27"/>
      <c r="H3566" s="16" t="str">
        <f>IF(ISBLANK(PARTIDAS!$G3566),PARTIDAS!$F3566,CONCATENATE(PARTIDAS!$F3566," (",PARTIDAS!$G3566,")"))</f>
        <v>Pieles curtidas o «crust», de ovino, depiladas, incluso divididas…, en estado seco («crust»)</v>
      </c>
      <c r="I3566" s="16" t="s">
        <v>9427</v>
      </c>
    </row>
    <row r="3567" spans="1:9" x14ac:dyDescent="0.25">
      <c r="A3567" s="16" t="s">
        <v>4491</v>
      </c>
      <c r="B3567" s="16" t="str">
        <f>TEXT(PARTIDA[[#This Row],[PARTIDA]],"0000000000")</f>
        <v>4106210000</v>
      </c>
      <c r="C3567" s="16" t="s">
        <v>815</v>
      </c>
      <c r="D3567" s="16" t="s">
        <v>835</v>
      </c>
      <c r="E3567" s="16" t="s">
        <v>842</v>
      </c>
      <c r="F3567" s="27" t="s">
        <v>12471</v>
      </c>
      <c r="G3567" s="27"/>
      <c r="H3567" s="16" t="str">
        <f>IF(ISBLANK(PARTIDAS!$G3567),PARTIDAS!$F3567,CONCATENATE(PARTIDAS!$F3567," (",PARTIDAS!$G3567,")"))</f>
        <v>Cueros y pieles depilados de los demás animales y…, de caprino, en estado húmedo (incluido el «wet-blue»)</v>
      </c>
      <c r="I3567" s="16" t="s">
        <v>9427</v>
      </c>
    </row>
    <row r="3568" spans="1:9" x14ac:dyDescent="0.25">
      <c r="A3568" s="16" t="s">
        <v>4492</v>
      </c>
      <c r="B3568" s="16" t="str">
        <f>TEXT(PARTIDA[[#This Row],[PARTIDA]],"0000000000")</f>
        <v>4106220000</v>
      </c>
      <c r="C3568" s="16" t="s">
        <v>815</v>
      </c>
      <c r="D3568" s="16" t="s">
        <v>835</v>
      </c>
      <c r="E3568" s="16" t="s">
        <v>842</v>
      </c>
      <c r="F3568" s="27" t="s">
        <v>12472</v>
      </c>
      <c r="G3568" s="27"/>
      <c r="H3568" s="16" t="str">
        <f>IF(ISBLANK(PARTIDAS!$G3568),PARTIDAS!$F3568,CONCATENATE(PARTIDAS!$F3568," (",PARTIDAS!$G3568,")"))</f>
        <v>Cueros y pieles depilados de los demás animales y…, de caprino, en estado seco («crust»)</v>
      </c>
      <c r="I3568" s="16" t="s">
        <v>9427</v>
      </c>
    </row>
    <row r="3569" spans="1:9" x14ac:dyDescent="0.25">
      <c r="A3569" s="16" t="s">
        <v>4493</v>
      </c>
      <c r="B3569" s="16" t="str">
        <f>TEXT(PARTIDA[[#This Row],[PARTIDA]],"0000000000")</f>
        <v>4106310000</v>
      </c>
      <c r="C3569" s="16" t="s">
        <v>815</v>
      </c>
      <c r="D3569" s="16" t="s">
        <v>835</v>
      </c>
      <c r="E3569" s="16" t="s">
        <v>842</v>
      </c>
      <c r="F3569" s="27" t="s">
        <v>12473</v>
      </c>
      <c r="G3569" s="27"/>
      <c r="H3569" s="16" t="str">
        <f>IF(ISBLANK(PARTIDAS!$G3569),PARTIDAS!$F3569,CONCATENATE(PARTIDAS!$F3569," (",PARTIDAS!$G3569,")"))</f>
        <v>Cueros y pieles depilados de los demás animales y…, de porcino, en estado húmedo (incluido el «wet-blue»)</v>
      </c>
      <c r="I3569" s="16" t="s">
        <v>9427</v>
      </c>
    </row>
    <row r="3570" spans="1:9" x14ac:dyDescent="0.25">
      <c r="A3570" s="16" t="s">
        <v>4494</v>
      </c>
      <c r="B3570" s="16" t="str">
        <f>TEXT(PARTIDA[[#This Row],[PARTIDA]],"0000000000")</f>
        <v>4106320000</v>
      </c>
      <c r="C3570" s="16" t="s">
        <v>815</v>
      </c>
      <c r="D3570" s="16" t="s">
        <v>835</v>
      </c>
      <c r="E3570" s="16" t="s">
        <v>842</v>
      </c>
      <c r="F3570" s="27" t="s">
        <v>12474</v>
      </c>
      <c r="G3570" s="27"/>
      <c r="H3570" s="16" t="str">
        <f>IF(ISBLANK(PARTIDAS!$G3570),PARTIDAS!$F3570,CONCATENATE(PARTIDAS!$F3570," (",PARTIDAS!$G3570,")"))</f>
        <v>Cueros y pieles depilados de los demás animales y…, de porcino, en estado seco («crust»)</v>
      </c>
      <c r="I3570" s="16" t="s">
        <v>9427</v>
      </c>
    </row>
    <row r="3571" spans="1:9" x14ac:dyDescent="0.25">
      <c r="A3571" s="16" t="s">
        <v>4495</v>
      </c>
      <c r="B3571" s="16" t="str">
        <f>TEXT(PARTIDA[[#This Row],[PARTIDA]],"0000000000")</f>
        <v>4106400000</v>
      </c>
      <c r="C3571" s="16" t="s">
        <v>815</v>
      </c>
      <c r="D3571" s="16" t="s">
        <v>835</v>
      </c>
      <c r="E3571" s="16" t="s">
        <v>842</v>
      </c>
      <c r="F3571" s="27" t="s">
        <v>12475</v>
      </c>
      <c r="G3571" s="27"/>
      <c r="H3571" s="16" t="str">
        <f>IF(ISBLANK(PARTIDAS!$G3571),PARTIDAS!$F3571,CONCATENATE(PARTIDAS!$F3571," (",PARTIDAS!$G3571,")"))</f>
        <v>Cueros y pieles depilados de los demás animales y pieles de animales…, de reptil</v>
      </c>
      <c r="I3571" s="16" t="s">
        <v>9427</v>
      </c>
    </row>
    <row r="3572" spans="1:9" x14ac:dyDescent="0.25">
      <c r="A3572" s="16" t="s">
        <v>4496</v>
      </c>
      <c r="B3572" s="16" t="str">
        <f>TEXT(PARTIDA[[#This Row],[PARTIDA]],"0000000000")</f>
        <v>4106910000</v>
      </c>
      <c r="C3572" s="16" t="s">
        <v>815</v>
      </c>
      <c r="D3572" s="16" t="s">
        <v>835</v>
      </c>
      <c r="E3572" s="16" t="s">
        <v>842</v>
      </c>
      <c r="F3572" s="27" t="s">
        <v>12476</v>
      </c>
      <c r="G3572" s="27"/>
      <c r="H3572" s="16" t="str">
        <f>IF(ISBLANK(PARTIDAS!$G3572),PARTIDAS!$F3572,CONCATENATE(PARTIDAS!$F3572," (",PARTIDAS!$G3572,")"))</f>
        <v>Cueros y pieles depilados de los demás animales y pieles de animales…, en estado húmedo (incluido el «wet-blue»)</v>
      </c>
      <c r="I3572" s="16" t="s">
        <v>9427</v>
      </c>
    </row>
    <row r="3573" spans="1:9" x14ac:dyDescent="0.25">
      <c r="A3573" s="16" t="s">
        <v>4497</v>
      </c>
      <c r="B3573" s="16" t="str">
        <f>TEXT(PARTIDA[[#This Row],[PARTIDA]],"0000000000")</f>
        <v>4106920000</v>
      </c>
      <c r="C3573" s="16" t="s">
        <v>815</v>
      </c>
      <c r="D3573" s="16" t="s">
        <v>835</v>
      </c>
      <c r="E3573" s="16" t="s">
        <v>842</v>
      </c>
      <c r="F3573" s="27" t="s">
        <v>12477</v>
      </c>
      <c r="G3573" s="27"/>
      <c r="H3573" s="16" t="str">
        <f>IF(ISBLANK(PARTIDAS!$G3573),PARTIDAS!$F3573,CONCATENATE(PARTIDAS!$F3573," (",PARTIDAS!$G3573,")"))</f>
        <v>Cueros y pieles depilados de los demás animales y pieles de animales…, en estado seco («crust»)</v>
      </c>
      <c r="I3573" s="16" t="s">
        <v>9427</v>
      </c>
    </row>
    <row r="3574" spans="1:9" x14ac:dyDescent="0.25">
      <c r="A3574" s="16" t="s">
        <v>4498</v>
      </c>
      <c r="B3574" s="16" t="str">
        <f>TEXT(PARTIDA[[#This Row],[PARTIDA]],"0000000000")</f>
        <v>4107110000</v>
      </c>
      <c r="C3574" s="16" t="s">
        <v>815</v>
      </c>
      <c r="D3574" s="16" t="s">
        <v>835</v>
      </c>
      <c r="E3574" s="16" t="s">
        <v>842</v>
      </c>
      <c r="F3574" s="27" t="s">
        <v>9346</v>
      </c>
      <c r="G3574" s="27"/>
      <c r="H3574" s="16" t="str">
        <f>IF(ISBLANK(PARTIDAS!$G3574),PARTIDAS!$F3574,CONCATENATE(PARTIDAS!$F3574," (",PARTIDAS!$G3574,")"))</f>
        <v>Plena flor sin dividir</v>
      </c>
      <c r="I3574" s="16" t="s">
        <v>9427</v>
      </c>
    </row>
    <row r="3575" spans="1:9" x14ac:dyDescent="0.25">
      <c r="A3575" s="16" t="s">
        <v>4499</v>
      </c>
      <c r="B3575" s="16" t="str">
        <f>TEXT(PARTIDA[[#This Row],[PARTIDA]],"0000000000")</f>
        <v>4107120000</v>
      </c>
      <c r="C3575" s="16" t="s">
        <v>815</v>
      </c>
      <c r="D3575" s="16" t="s">
        <v>835</v>
      </c>
      <c r="E3575" s="16" t="s">
        <v>842</v>
      </c>
      <c r="F3575" s="27" t="s">
        <v>12478</v>
      </c>
      <c r="G3575" s="27"/>
      <c r="H3575" s="16" t="str">
        <f>IF(ISBLANK(PARTIDAS!$G3575),PARTIDAS!$F3575,CONCATENATE(PARTIDAS!$F3575," (",PARTIDAS!$G3575,")"))</f>
        <v>Divididos con la flor</v>
      </c>
      <c r="I3575" s="16" t="s">
        <v>9427</v>
      </c>
    </row>
    <row r="3576" spans="1:9" x14ac:dyDescent="0.25">
      <c r="A3576" s="16" t="s">
        <v>4500</v>
      </c>
      <c r="B3576" s="16" t="str">
        <f>TEXT(PARTIDA[[#This Row],[PARTIDA]],"0000000000")</f>
        <v>4107190000</v>
      </c>
      <c r="C3576" s="16" t="s">
        <v>815</v>
      </c>
      <c r="D3576" s="16" t="s">
        <v>835</v>
      </c>
      <c r="E3576" s="16" t="s">
        <v>842</v>
      </c>
      <c r="F3576" s="27" t="s">
        <v>12479</v>
      </c>
      <c r="G3576" s="27"/>
      <c r="H3576" s="16" t="str">
        <f>IF(ISBLANK(PARTIDAS!$G3576),PARTIDAS!$F3576,CONCATENATE(PARTIDAS!$F3576," (",PARTIDAS!$G3576,")"))</f>
        <v>Cueros y pieles enteros (los demás)</v>
      </c>
      <c r="I3576" s="16" t="s">
        <v>9427</v>
      </c>
    </row>
    <row r="3577" spans="1:9" x14ac:dyDescent="0.25">
      <c r="A3577" s="16" t="s">
        <v>4501</v>
      </c>
      <c r="B3577" s="16" t="str">
        <f>TEXT(PARTIDA[[#This Row],[PARTIDA]],"0000000000")</f>
        <v>4107910000</v>
      </c>
      <c r="C3577" s="16" t="s">
        <v>815</v>
      </c>
      <c r="D3577" s="16" t="s">
        <v>835</v>
      </c>
      <c r="E3577" s="16" t="s">
        <v>842</v>
      </c>
      <c r="F3577" s="27" t="s">
        <v>9346</v>
      </c>
      <c r="G3577" s="27"/>
      <c r="H3577" s="16" t="str">
        <f>IF(ISBLANK(PARTIDAS!$G3577),PARTIDAS!$F3577,CONCATENATE(PARTIDAS!$F3577," (",PARTIDAS!$G3577,")"))</f>
        <v>Plena flor sin dividir</v>
      </c>
      <c r="I3577" s="16" t="s">
        <v>9477</v>
      </c>
    </row>
    <row r="3578" spans="1:9" x14ac:dyDescent="0.25">
      <c r="A3578" s="16" t="s">
        <v>4502</v>
      </c>
      <c r="B3578" s="16" t="str">
        <f>TEXT(PARTIDA[[#This Row],[PARTIDA]],"0000000000")</f>
        <v>4107920000</v>
      </c>
      <c r="C3578" s="16" t="s">
        <v>815</v>
      </c>
      <c r="D3578" s="16" t="s">
        <v>835</v>
      </c>
      <c r="E3578" s="16" t="s">
        <v>842</v>
      </c>
      <c r="F3578" s="27" t="s">
        <v>12478</v>
      </c>
      <c r="G3578" s="27"/>
      <c r="H3578" s="16" t="str">
        <f>IF(ISBLANK(PARTIDAS!$G3578),PARTIDAS!$F3578,CONCATENATE(PARTIDAS!$F3578," (",PARTIDAS!$G3578,")"))</f>
        <v>Divididos con la flor</v>
      </c>
      <c r="I3578" s="16" t="s">
        <v>9427</v>
      </c>
    </row>
    <row r="3579" spans="1:9" x14ac:dyDescent="0.25">
      <c r="A3579" s="16" t="s">
        <v>4503</v>
      </c>
      <c r="B3579" s="16" t="str">
        <f>TEXT(PARTIDA[[#This Row],[PARTIDA]],"0000000000")</f>
        <v>4107990000</v>
      </c>
      <c r="C3579" s="16" t="s">
        <v>815</v>
      </c>
      <c r="D3579" s="16" t="s">
        <v>835</v>
      </c>
      <c r="E3579" s="16" t="s">
        <v>842</v>
      </c>
      <c r="F3579" s="27" t="s">
        <v>12480</v>
      </c>
      <c r="G3579" s="27"/>
      <c r="H3579" s="16" t="str">
        <f>IF(ISBLANK(PARTIDAS!$G3579),PARTIDAS!$F3579,CONCATENATE(PARTIDAS!$F3579," (",PARTIDAS!$G3579,")"))</f>
        <v>Cueros preparados después del curtido o del secado y cueros y pieles… (los demás)</v>
      </c>
      <c r="I3579" s="16" t="s">
        <v>9427</v>
      </c>
    </row>
    <row r="3580" spans="1:9" x14ac:dyDescent="0.25">
      <c r="A3580" s="16" t="s">
        <v>4504</v>
      </c>
      <c r="B3580" s="16" t="str">
        <f>TEXT(PARTIDA[[#This Row],[PARTIDA]],"0000000000")</f>
        <v>4112000000</v>
      </c>
      <c r="C3580" s="16" t="s">
        <v>815</v>
      </c>
      <c r="D3580" s="16" t="s">
        <v>835</v>
      </c>
      <c r="E3580" s="16" t="s">
        <v>842</v>
      </c>
      <c r="F3580" s="27" t="s">
        <v>4505</v>
      </c>
      <c r="G3580" s="27"/>
      <c r="H3580" s="16" t="str">
        <f>IF(ISBLANK(PARTIDAS!$G3580),PARTIDAS!$F3580,CONCATENATE(PARTIDAS!$F3580," (",PARTIDAS!$G3580,")"))</f>
        <v>Manufacturas de cuero</v>
      </c>
      <c r="I3580" s="16" t="s">
        <v>9427</v>
      </c>
    </row>
    <row r="3581" spans="1:9" x14ac:dyDescent="0.25">
      <c r="A3581" s="16" t="s">
        <v>4506</v>
      </c>
      <c r="B3581" s="16" t="str">
        <f>TEXT(PARTIDA[[#This Row],[PARTIDA]],"0000000000")</f>
        <v>4113100000</v>
      </c>
      <c r="C3581" s="16" t="s">
        <v>815</v>
      </c>
      <c r="D3581" s="16" t="s">
        <v>835</v>
      </c>
      <c r="E3581" s="16" t="s">
        <v>842</v>
      </c>
      <c r="F3581" s="27" t="s">
        <v>12481</v>
      </c>
      <c r="G3581" s="27"/>
      <c r="H3581" s="16" t="str">
        <f>IF(ISBLANK(PARTIDAS!$G3581),PARTIDAS!$F3581,CONCATENATE(PARTIDAS!$F3581," (",PARTIDAS!$G3581,")"))</f>
        <v>Cueros preparados después del curtido o secado y cueros y pieles…, de caprino</v>
      </c>
      <c r="I3581" s="16" t="s">
        <v>9427</v>
      </c>
    </row>
    <row r="3582" spans="1:9" x14ac:dyDescent="0.25">
      <c r="A3582" s="16" t="s">
        <v>4507</v>
      </c>
      <c r="B3582" s="16" t="str">
        <f>TEXT(PARTIDA[[#This Row],[PARTIDA]],"0000000000")</f>
        <v>4113200000</v>
      </c>
      <c r="C3582" s="16" t="s">
        <v>815</v>
      </c>
      <c r="D3582" s="16" t="s">
        <v>835</v>
      </c>
      <c r="E3582" s="16" t="s">
        <v>842</v>
      </c>
      <c r="F3582" s="27" t="s">
        <v>12482</v>
      </c>
      <c r="G3582" s="27"/>
      <c r="H3582" s="16" t="str">
        <f>IF(ISBLANK(PARTIDAS!$G3582),PARTIDAS!$F3582,CONCATENATE(PARTIDAS!$F3582," (",PARTIDAS!$G3582,")"))</f>
        <v>Cueros preparados después del curtido o secado y cueros y pieles…, de porcino</v>
      </c>
      <c r="I3582" s="16" t="s">
        <v>9427</v>
      </c>
    </row>
    <row r="3583" spans="1:9" x14ac:dyDescent="0.25">
      <c r="A3583" s="16" t="s">
        <v>4508</v>
      </c>
      <c r="B3583" s="16" t="str">
        <f>TEXT(PARTIDA[[#This Row],[PARTIDA]],"0000000000")</f>
        <v>4113300000</v>
      </c>
      <c r="C3583" s="16" t="s">
        <v>815</v>
      </c>
      <c r="D3583" s="16" t="s">
        <v>835</v>
      </c>
      <c r="E3583" s="16" t="s">
        <v>842</v>
      </c>
      <c r="F3583" s="27" t="s">
        <v>12483</v>
      </c>
      <c r="G3583" s="27"/>
      <c r="H3583" s="16" t="str">
        <f>IF(ISBLANK(PARTIDAS!$G3583),PARTIDAS!$F3583,CONCATENATE(PARTIDAS!$F3583," (",PARTIDAS!$G3583,")"))</f>
        <v>Cueros preparados después del curtido o secado y cueros y pieles…, de reptil</v>
      </c>
      <c r="I3583" s="16" t="s">
        <v>9427</v>
      </c>
    </row>
    <row r="3584" spans="1:9" x14ac:dyDescent="0.25">
      <c r="A3584" s="16" t="s">
        <v>4509</v>
      </c>
      <c r="B3584" s="16" t="str">
        <f>TEXT(PARTIDA[[#This Row],[PARTIDA]],"0000000000")</f>
        <v>4113900000</v>
      </c>
      <c r="C3584" s="16" t="s">
        <v>815</v>
      </c>
      <c r="D3584" s="16" t="s">
        <v>835</v>
      </c>
      <c r="E3584" s="16" t="s">
        <v>842</v>
      </c>
      <c r="F3584" s="27" t="s">
        <v>12484</v>
      </c>
      <c r="G3584" s="27"/>
      <c r="H3584" s="16" t="str">
        <f>IF(ISBLANK(PARTIDAS!$G3584),PARTIDAS!$F3584,CONCATENATE(PARTIDAS!$F3584," (",PARTIDAS!$G3584,")"))</f>
        <v>Cueros preparados después del curtido o secado y cueros y pieles… (los demás)</v>
      </c>
      <c r="I3584" s="16" t="s">
        <v>9427</v>
      </c>
    </row>
    <row r="3585" spans="1:9" x14ac:dyDescent="0.25">
      <c r="A3585" s="16" t="s">
        <v>4510</v>
      </c>
      <c r="B3585" s="16" t="str">
        <f>TEXT(PARTIDA[[#This Row],[PARTIDA]],"0000000000")</f>
        <v>4114100000</v>
      </c>
      <c r="C3585" s="16" t="s">
        <v>815</v>
      </c>
      <c r="D3585" s="16" t="s">
        <v>835</v>
      </c>
      <c r="E3585" s="16" t="s">
        <v>842</v>
      </c>
      <c r="F3585" s="27" t="s">
        <v>12485</v>
      </c>
      <c r="G3585" s="27"/>
      <c r="H3585" s="16" t="str">
        <f>IF(ISBLANK(PARTIDAS!$G3585),PARTIDAS!$F3585,CONCATENATE(PARTIDAS!$F3585," (",PARTIDAS!$G3585,")"))</f>
        <v>Cueros y pieles agamuzados (incluido el agamuzado combinado al aceite)</v>
      </c>
      <c r="I3585" s="16" t="s">
        <v>9427</v>
      </c>
    </row>
    <row r="3586" spans="1:9" x14ac:dyDescent="0.25">
      <c r="A3586" s="16" t="s">
        <v>4511</v>
      </c>
      <c r="B3586" s="16" t="str">
        <f>TEXT(PARTIDA[[#This Row],[PARTIDA]],"0000000000")</f>
        <v>4114200000</v>
      </c>
      <c r="C3586" s="16" t="s">
        <v>815</v>
      </c>
      <c r="D3586" s="16" t="s">
        <v>835</v>
      </c>
      <c r="E3586" s="16" t="s">
        <v>842</v>
      </c>
      <c r="F3586" s="27" t="s">
        <v>9215</v>
      </c>
      <c r="G3586" s="27"/>
      <c r="H3586" s="16" t="str">
        <f>IF(ISBLANK(PARTIDAS!$G3586),PARTIDAS!$F3586,CONCATENATE(PARTIDAS!$F3586," (",PARTIDAS!$G3586,")"))</f>
        <v>Cueros y pieles charolados y sus imitaciones de cueros o pieles chapados; cueros y pieles metalizados</v>
      </c>
      <c r="I3586" s="16" t="s">
        <v>9477</v>
      </c>
    </row>
    <row r="3587" spans="1:9" x14ac:dyDescent="0.25">
      <c r="A3587" s="16" t="s">
        <v>4512</v>
      </c>
      <c r="B3587" s="16" t="str">
        <f>TEXT(PARTIDA[[#This Row],[PARTIDA]],"0000000000")</f>
        <v>4115100000</v>
      </c>
      <c r="C3587" s="16" t="s">
        <v>815</v>
      </c>
      <c r="D3587" s="16" t="s">
        <v>835</v>
      </c>
      <c r="E3587" s="16" t="s">
        <v>842</v>
      </c>
      <c r="F3587" s="27" t="s">
        <v>12486</v>
      </c>
      <c r="G3587" s="27"/>
      <c r="H3587" s="16" t="str">
        <f>IF(ISBLANK(PARTIDAS!$G3587),PARTIDAS!$F3587,CONCATENATE(PARTIDAS!$F3587," (",PARTIDAS!$G3587,")"))</f>
        <v>Cuero regenerado a base de cuero o fibras de cuero, en placas, hojas o tiras, incluso enrolladas</v>
      </c>
      <c r="I3587" s="16" t="s">
        <v>9427</v>
      </c>
    </row>
    <row r="3588" spans="1:9" x14ac:dyDescent="0.25">
      <c r="A3588" s="16" t="s">
        <v>4513</v>
      </c>
      <c r="B3588" s="16" t="str">
        <f>TEXT(PARTIDA[[#This Row],[PARTIDA]],"0000000000")</f>
        <v>4115200000</v>
      </c>
      <c r="C3588" s="16" t="s">
        <v>815</v>
      </c>
      <c r="D3588" s="16" t="s">
        <v>835</v>
      </c>
      <c r="E3588" s="16" t="s">
        <v>842</v>
      </c>
      <c r="F3588" s="27" t="s">
        <v>12487</v>
      </c>
      <c r="G3588" s="27"/>
      <c r="H3588" s="16" t="str">
        <f>IF(ISBLANK(PARTIDAS!$G3588),PARTIDAS!$F3588,CONCATENATE(PARTIDAS!$F3588," (",PARTIDAS!$G3588,")"))</f>
        <v>Recortes y demás desperdicios de cuero o piel, preparados, o de cuero regenerado, no utilizables para la fabricación de manufacturas de cuero; aserrín</v>
      </c>
      <c r="I3588" s="16" t="s">
        <v>9427</v>
      </c>
    </row>
    <row r="3589" spans="1:9" x14ac:dyDescent="0.25">
      <c r="A3589" s="16" t="s">
        <v>4514</v>
      </c>
      <c r="B3589" s="16" t="str">
        <f>TEXT(PARTIDA[[#This Row],[PARTIDA]],"0000000000")</f>
        <v>4201000000</v>
      </c>
      <c r="C3589" s="16" t="s">
        <v>786</v>
      </c>
      <c r="D3589" s="16" t="s">
        <v>799</v>
      </c>
      <c r="E3589" s="16" t="s">
        <v>9440</v>
      </c>
      <c r="F3589" s="27" t="s">
        <v>4515</v>
      </c>
      <c r="G3589" s="27"/>
      <c r="H3589" s="16" t="str">
        <f>IF(ISBLANK(PARTIDAS!$G3589),PARTIDAS!$F3589,CONCATENATE(PARTIDAS!$F3589," (",PARTIDAS!$G3589,")"))</f>
        <v>Artículos de talabartería o guarnicionería para
todos los animales (incluidos los tiros, traíllas,
rodilleras, bozales, sudaderos, alforjas, abrigos
para perros y artículos similares), de cualquier
materia.</v>
      </c>
      <c r="I3589" s="16" t="s">
        <v>9427</v>
      </c>
    </row>
    <row r="3590" spans="1:9" x14ac:dyDescent="0.25">
      <c r="A3590" s="16" t="s">
        <v>4516</v>
      </c>
      <c r="B3590" s="16" t="str">
        <f>TEXT(PARTIDA[[#This Row],[PARTIDA]],"0000000000")</f>
        <v>4202111000</v>
      </c>
      <c r="C3590" s="16" t="s">
        <v>786</v>
      </c>
      <c r="D3590" s="16" t="s">
        <v>799</v>
      </c>
      <c r="E3590" s="16" t="s">
        <v>9440</v>
      </c>
      <c r="F3590" s="27" t="s">
        <v>12488</v>
      </c>
      <c r="G3590" s="27"/>
      <c r="H3590" s="16" t="str">
        <f>IF(ISBLANK(PARTIDAS!$G3590),PARTIDAS!$F3590,CONCATENATE(PARTIDAS!$F3590," (",PARTIDAS!$G3590,")"))</f>
        <v>Baúles, maletas (valijas) y maletines, incluidos los de aseo, y continentes similares</v>
      </c>
      <c r="I3590" s="16" t="s">
        <v>9427</v>
      </c>
    </row>
    <row r="3591" spans="1:9" x14ac:dyDescent="0.25">
      <c r="A3591" s="16" t="s">
        <v>4517</v>
      </c>
      <c r="B3591" s="16" t="str">
        <f>TEXT(PARTIDA[[#This Row],[PARTIDA]],"0000000000")</f>
        <v>4202119000</v>
      </c>
      <c r="C3591" s="16" t="s">
        <v>786</v>
      </c>
      <c r="D3591" s="16" t="s">
        <v>799</v>
      </c>
      <c r="E3591" s="16" t="s">
        <v>9440</v>
      </c>
      <c r="F3591" s="27" t="s">
        <v>12489</v>
      </c>
      <c r="G3591" s="27"/>
      <c r="H3591" s="16" t="str">
        <f>IF(ISBLANK(PARTIDAS!$G3591),PARTIDAS!$F3591,CONCATENATE(PARTIDAS!$F3591," (",PARTIDAS!$G3591,")"))</f>
        <v>Baúles, maletas (valijas) y maletines, incluidos los…, con la superficie exterior de cuero natural o cuero regenerado (los demás)</v>
      </c>
      <c r="I3591" s="16" t="s">
        <v>9427</v>
      </c>
    </row>
    <row r="3592" spans="1:9" x14ac:dyDescent="0.25">
      <c r="A3592" s="16" t="s">
        <v>4518</v>
      </c>
      <c r="B3592" s="16" t="str">
        <f>TEXT(PARTIDA[[#This Row],[PARTIDA]],"0000000000")</f>
        <v>4202121000</v>
      </c>
      <c r="C3592" s="16" t="s">
        <v>786</v>
      </c>
      <c r="D3592" s="16" t="s">
        <v>799</v>
      </c>
      <c r="E3592" s="16" t="s">
        <v>9440</v>
      </c>
      <c r="F3592" s="27" t="s">
        <v>12488</v>
      </c>
      <c r="G3592" s="27"/>
      <c r="H3592" s="16" t="str">
        <f>IF(ISBLANK(PARTIDAS!$G3592),PARTIDAS!$F3592,CONCATENATE(PARTIDAS!$F3592," (",PARTIDAS!$G3592,")"))</f>
        <v>Baúles, maletas (valijas) y maletines, incluidos los de aseo, y continentes similares</v>
      </c>
      <c r="I3592" s="16" t="s">
        <v>9427</v>
      </c>
    </row>
    <row r="3593" spans="1:9" x14ac:dyDescent="0.25">
      <c r="A3593" s="16" t="s">
        <v>4519</v>
      </c>
      <c r="B3593" s="16" t="str">
        <f>TEXT(PARTIDA[[#This Row],[PARTIDA]],"0000000000")</f>
        <v>4202129000</v>
      </c>
      <c r="C3593" s="16" t="s">
        <v>786</v>
      </c>
      <c r="D3593" s="16" t="s">
        <v>799</v>
      </c>
      <c r="E3593" s="16" t="s">
        <v>9440</v>
      </c>
      <c r="F3593" s="27" t="s">
        <v>12490</v>
      </c>
      <c r="G3593" s="27"/>
      <c r="H3593" s="16" t="str">
        <f>IF(ISBLANK(PARTIDAS!$G3593),PARTIDAS!$F3593,CONCATENATE(PARTIDAS!$F3593," (",PARTIDAS!$G3593,")"))</f>
        <v>Baúles, maletas (valijas) y maletines, incluidos los…, con la superficie exterior de plástico o materia textil (los demás)</v>
      </c>
      <c r="I3593" s="16" t="s">
        <v>9427</v>
      </c>
    </row>
    <row r="3594" spans="1:9" x14ac:dyDescent="0.25">
      <c r="A3594" s="16" t="s">
        <v>4520</v>
      </c>
      <c r="B3594" s="16" t="str">
        <f>TEXT(PARTIDA[[#This Row],[PARTIDA]],"0000000000")</f>
        <v>4202190000</v>
      </c>
      <c r="C3594" s="16" t="s">
        <v>786</v>
      </c>
      <c r="D3594" s="16" t="s">
        <v>799</v>
      </c>
      <c r="E3594" s="16" t="s">
        <v>9440</v>
      </c>
      <c r="F3594" s="27" t="s">
        <v>12491</v>
      </c>
      <c r="G3594" s="27"/>
      <c r="H3594" s="16" t="str">
        <f>IF(ISBLANK(PARTIDAS!$G3594),PARTIDAS!$F3594,CONCATENATE(PARTIDAS!$F3594," (",PARTIDAS!$G3594,")"))</f>
        <v>Baúles, maletas (valijas) y maletines, incluidos los de aseo y los… (los demás)</v>
      </c>
      <c r="I3594" s="16" t="s">
        <v>9427</v>
      </c>
    </row>
    <row r="3595" spans="1:9" x14ac:dyDescent="0.25">
      <c r="A3595" s="16" t="s">
        <v>4521</v>
      </c>
      <c r="B3595" s="16" t="str">
        <f>TEXT(PARTIDA[[#This Row],[PARTIDA]],"0000000000")</f>
        <v>4202210000</v>
      </c>
      <c r="C3595" s="16" t="s">
        <v>786</v>
      </c>
      <c r="D3595" s="16" t="s">
        <v>799</v>
      </c>
      <c r="E3595" s="16" t="s">
        <v>9440</v>
      </c>
      <c r="F3595" s="27" t="s">
        <v>12492</v>
      </c>
      <c r="G3595" s="27"/>
      <c r="H3595" s="16" t="str">
        <f>IF(ISBLANK(PARTIDAS!$G3595),PARTIDAS!$F3595,CONCATENATE(PARTIDAS!$F3595," (",PARTIDAS!$G3595,")"))</f>
        <v>Bolsos de mano (carteras), incluso con bandolera o sin asas, con la superficie exterior de cuero natural o cuero regenerado</v>
      </c>
      <c r="I3595" s="16" t="s">
        <v>9427</v>
      </c>
    </row>
    <row r="3596" spans="1:9" x14ac:dyDescent="0.25">
      <c r="A3596" s="16" t="s">
        <v>4522</v>
      </c>
      <c r="B3596" s="16" t="str">
        <f>TEXT(PARTIDA[[#This Row],[PARTIDA]],"0000000000")</f>
        <v>4202220000</v>
      </c>
      <c r="C3596" s="16" t="s">
        <v>786</v>
      </c>
      <c r="D3596" s="16" t="s">
        <v>799</v>
      </c>
      <c r="E3596" s="16" t="s">
        <v>9440</v>
      </c>
      <c r="F3596" s="27" t="s">
        <v>12493</v>
      </c>
      <c r="G3596" s="27"/>
      <c r="H3596" s="16" t="str">
        <f>IF(ISBLANK(PARTIDAS!$G3596),PARTIDAS!$F3596,CONCATENATE(PARTIDAS!$F3596," (",PARTIDAS!$G3596,")"))</f>
        <v>Bolsos de mano (carteras), incluso con bandolera o sin asas, con la superficie exterior de hojas de plástico o materia textil</v>
      </c>
      <c r="I3596" s="16" t="s">
        <v>9427</v>
      </c>
    </row>
    <row r="3597" spans="1:9" x14ac:dyDescent="0.25">
      <c r="A3597" s="16" t="s">
        <v>4523</v>
      </c>
      <c r="B3597" s="16" t="str">
        <f>TEXT(PARTIDA[[#This Row],[PARTIDA]],"0000000000")</f>
        <v>4202290000</v>
      </c>
      <c r="C3597" s="16" t="s">
        <v>786</v>
      </c>
      <c r="D3597" s="16" t="s">
        <v>799</v>
      </c>
      <c r="E3597" s="16" t="s">
        <v>9440</v>
      </c>
      <c r="F3597" s="27" t="s">
        <v>12494</v>
      </c>
      <c r="G3597" s="27"/>
      <c r="H3597" s="16" t="str">
        <f>IF(ISBLANK(PARTIDAS!$G3597),PARTIDAS!$F3597,CONCATENATE(PARTIDAS!$F3597," (",PARTIDAS!$G3597,")"))</f>
        <v>Bolsos de mano (carteras), incluso con bandolera o sin asas (los demás)</v>
      </c>
      <c r="I3597" s="16" t="s">
        <v>9427</v>
      </c>
    </row>
    <row r="3598" spans="1:9" x14ac:dyDescent="0.25">
      <c r="A3598" s="16" t="s">
        <v>4524</v>
      </c>
      <c r="B3598" s="16" t="str">
        <f>TEXT(PARTIDA[[#This Row],[PARTIDA]],"0000000000")</f>
        <v>4202310000</v>
      </c>
      <c r="C3598" s="16" t="s">
        <v>786</v>
      </c>
      <c r="D3598" s="16" t="s">
        <v>799</v>
      </c>
      <c r="E3598" s="16" t="s">
        <v>9440</v>
      </c>
      <c r="F3598" s="27" t="s">
        <v>12495</v>
      </c>
      <c r="G3598" s="27"/>
      <c r="H3598" s="16" t="str">
        <f>IF(ISBLANK(PARTIDAS!$G3598),PARTIDAS!$F3598,CONCATENATE(PARTIDAS!$F3598," (",PARTIDAS!$G3598,")"))</f>
        <v>Artículos de bolsillo o de bolso de mano (cartera), con la superficie exterior de cuero natural o cuero regenerado</v>
      </c>
      <c r="I3598" s="16" t="s">
        <v>9427</v>
      </c>
    </row>
    <row r="3599" spans="1:9" x14ac:dyDescent="0.25">
      <c r="A3599" s="16" t="s">
        <v>4525</v>
      </c>
      <c r="B3599" s="16" t="str">
        <f>TEXT(PARTIDA[[#This Row],[PARTIDA]],"0000000000")</f>
        <v>4202320000</v>
      </c>
      <c r="C3599" s="16" t="s">
        <v>786</v>
      </c>
      <c r="D3599" s="16" t="s">
        <v>799</v>
      </c>
      <c r="E3599" s="16" t="s">
        <v>9440</v>
      </c>
      <c r="F3599" s="27" t="s">
        <v>12496</v>
      </c>
      <c r="G3599" s="27"/>
      <c r="H3599" s="16" t="str">
        <f>IF(ISBLANK(PARTIDAS!$G3599),PARTIDAS!$F3599,CONCATENATE(PARTIDAS!$F3599," (",PARTIDAS!$G3599,")"))</f>
        <v>Artículos de bolsillo o de bolso de mano (cartera), con la superficie exterior de hojas de plástico o materia textil</v>
      </c>
      <c r="I3599" s="16" t="s">
        <v>9427</v>
      </c>
    </row>
    <row r="3600" spans="1:9" x14ac:dyDescent="0.25">
      <c r="A3600" s="16" t="s">
        <v>4526</v>
      </c>
      <c r="B3600" s="16" t="str">
        <f>TEXT(PARTIDA[[#This Row],[PARTIDA]],"0000000000")</f>
        <v>4202390000</v>
      </c>
      <c r="C3600" s="16" t="s">
        <v>786</v>
      </c>
      <c r="D3600" s="16" t="s">
        <v>799</v>
      </c>
      <c r="E3600" s="16" t="s">
        <v>9440</v>
      </c>
      <c r="F3600" s="27" t="s">
        <v>12497</v>
      </c>
      <c r="G3600" s="27"/>
      <c r="H3600" s="16" t="str">
        <f>IF(ISBLANK(PARTIDAS!$G3600),PARTIDAS!$F3600,CONCATENATE(PARTIDAS!$F3600," (",PARTIDAS!$G3600,")"))</f>
        <v>Artículos de bolsillo o de bolso de mano (cartera) (los demás)</v>
      </c>
      <c r="I3600" s="16" t="s">
        <v>9427</v>
      </c>
    </row>
    <row r="3601" spans="1:9" x14ac:dyDescent="0.25">
      <c r="A3601" s="16" t="s">
        <v>4527</v>
      </c>
      <c r="B3601" s="16" t="str">
        <f>TEXT(PARTIDA[[#This Row],[PARTIDA]],"0000000000")</f>
        <v>4202911000</v>
      </c>
      <c r="C3601" s="16" t="s">
        <v>786</v>
      </c>
      <c r="D3601" s="16" t="s">
        <v>799</v>
      </c>
      <c r="E3601" s="16" t="s">
        <v>9440</v>
      </c>
      <c r="F3601" s="27" t="s">
        <v>12498</v>
      </c>
      <c r="G3601" s="27"/>
      <c r="H3601" s="16" t="str">
        <f>IF(ISBLANK(PARTIDAS!$G3601),PARTIDAS!$F3601,CONCATENATE(PARTIDAS!$F3601," (",PARTIDAS!$G3601,")"))</f>
        <v>Sacos de viaje y mochilas</v>
      </c>
      <c r="I3601" s="16" t="s">
        <v>9427</v>
      </c>
    </row>
    <row r="3602" spans="1:9" x14ac:dyDescent="0.25">
      <c r="A3602" s="16" t="s">
        <v>4528</v>
      </c>
      <c r="B3602" s="16" t="str">
        <f>TEXT(PARTIDA[[#This Row],[PARTIDA]],"0000000000")</f>
        <v>4202919000</v>
      </c>
      <c r="C3602" s="16" t="s">
        <v>786</v>
      </c>
      <c r="D3602" s="16" t="s">
        <v>799</v>
      </c>
      <c r="E3602" s="16" t="s">
        <v>9440</v>
      </c>
      <c r="F3602" s="27" t="s">
        <v>12499</v>
      </c>
      <c r="G3602" s="27"/>
      <c r="H3602" s="16" t="str">
        <f>IF(ISBLANK(PARTIDAS!$G3602),PARTIDAS!$F3602,CONCATENATE(PARTIDAS!$F3602," (",PARTIDAS!$G3602,")"))</f>
        <v>Baúles, maletas (valijas), maletines, incluidos los de…, con la superficie exterior de cuero natural o cuero regenerado (los demás)</v>
      </c>
      <c r="I3602" s="16" t="s">
        <v>9427</v>
      </c>
    </row>
    <row r="3603" spans="1:9" x14ac:dyDescent="0.25">
      <c r="A3603" s="16" t="s">
        <v>4529</v>
      </c>
      <c r="B3603" s="16" t="str">
        <f>TEXT(PARTIDA[[#This Row],[PARTIDA]],"0000000000")</f>
        <v>4202920000</v>
      </c>
      <c r="C3603" s="16" t="s">
        <v>786</v>
      </c>
      <c r="D3603" s="16" t="s">
        <v>799</v>
      </c>
      <c r="E3603" s="16" t="s">
        <v>9440</v>
      </c>
      <c r="F3603" s="27" t="s">
        <v>4505</v>
      </c>
      <c r="G3603" s="27"/>
      <c r="H3603" s="16" t="str">
        <f>IF(ISBLANK(PARTIDAS!$G3603),PARTIDAS!$F3603,CONCATENATE(PARTIDAS!$F3603," (",PARTIDAS!$G3603,")"))</f>
        <v>Manufacturas de cuero</v>
      </c>
      <c r="I3603" s="16" t="s">
        <v>9477</v>
      </c>
    </row>
    <row r="3604" spans="1:9" x14ac:dyDescent="0.25">
      <c r="A3604" s="16" t="s">
        <v>4530</v>
      </c>
      <c r="B3604" s="16" t="str">
        <f>TEXT(PARTIDA[[#This Row],[PARTIDA]],"0000000000")</f>
        <v>4202991000</v>
      </c>
      <c r="C3604" s="16" t="s">
        <v>786</v>
      </c>
      <c r="D3604" s="16" t="s">
        <v>799</v>
      </c>
      <c r="E3604" s="16" t="s">
        <v>9440</v>
      </c>
      <c r="F3604" s="27" t="s">
        <v>12498</v>
      </c>
      <c r="G3604" s="27"/>
      <c r="H3604" s="16" t="str">
        <f>IF(ISBLANK(PARTIDAS!$G3604),PARTIDAS!$F3604,CONCATENATE(PARTIDAS!$F3604," (",PARTIDAS!$G3604,")"))</f>
        <v>Sacos de viaje y mochilas</v>
      </c>
      <c r="I3604" s="16" t="s">
        <v>9427</v>
      </c>
    </row>
    <row r="3605" spans="1:9" x14ac:dyDescent="0.25">
      <c r="A3605" s="16" t="s">
        <v>4531</v>
      </c>
      <c r="B3605" s="16" t="str">
        <f>TEXT(PARTIDA[[#This Row],[PARTIDA]],"0000000000")</f>
        <v>4202999000</v>
      </c>
      <c r="C3605" s="16" t="s">
        <v>786</v>
      </c>
      <c r="D3605" s="16" t="s">
        <v>799</v>
      </c>
      <c r="E3605" s="16" t="s">
        <v>9440</v>
      </c>
      <c r="F3605" s="27" t="s">
        <v>4532</v>
      </c>
      <c r="G3605" s="27"/>
      <c r="H3605" s="16" t="str">
        <f>IF(ISBLANK(PARTIDAS!$G3605),PARTIDAS!$F3605,CONCATENATE(PARTIDAS!$F3605," (",PARTIDAS!$G3605,")"))</f>
        <v>Artesanías</v>
      </c>
      <c r="I3605" s="16" t="s">
        <v>9427</v>
      </c>
    </row>
    <row r="3606" spans="1:9" x14ac:dyDescent="0.25">
      <c r="A3606" s="16" t="s">
        <v>4533</v>
      </c>
      <c r="B3606" s="16" t="str">
        <f>TEXT(PARTIDA[[#This Row],[PARTIDA]],"0000000000")</f>
        <v>4203100000</v>
      </c>
      <c r="C3606" s="16" t="s">
        <v>786</v>
      </c>
      <c r="D3606" s="16" t="s">
        <v>787</v>
      </c>
      <c r="E3606" s="16" t="s">
        <v>797</v>
      </c>
      <c r="F3606" s="27" t="s">
        <v>5666</v>
      </c>
      <c r="G3606" s="27"/>
      <c r="H3606" s="16" t="str">
        <f>IF(ISBLANK(PARTIDAS!$G3606),PARTIDAS!$F3606,CONCATENATE(PARTIDAS!$F3606," (",PARTIDAS!$G3606,")"))</f>
        <v>Prendas de vestir</v>
      </c>
      <c r="I3606" s="16" t="s">
        <v>9477</v>
      </c>
    </row>
    <row r="3607" spans="1:9" x14ac:dyDescent="0.25">
      <c r="A3607" s="16" t="s">
        <v>4534</v>
      </c>
      <c r="B3607" s="16" t="str">
        <f>TEXT(PARTIDA[[#This Row],[PARTIDA]],"0000000000")</f>
        <v>4203210000</v>
      </c>
      <c r="C3607" s="16" t="s">
        <v>786</v>
      </c>
      <c r="D3607" s="16" t="s">
        <v>787</v>
      </c>
      <c r="E3607" s="16" t="s">
        <v>9435</v>
      </c>
      <c r="F3607" s="27" t="s">
        <v>12500</v>
      </c>
      <c r="G3607" s="27"/>
      <c r="H3607" s="16" t="str">
        <f>IF(ISBLANK(PARTIDAS!$G3607),PARTIDAS!$F3607,CONCATENATE(PARTIDAS!$F3607," (",PARTIDAS!$G3607,")"))</f>
        <v>Diseñados especialmente para la práctica del deporte</v>
      </c>
      <c r="I3607" s="16" t="s">
        <v>9427</v>
      </c>
    </row>
    <row r="3608" spans="1:9" x14ac:dyDescent="0.25">
      <c r="A3608" s="16" t="s">
        <v>4535</v>
      </c>
      <c r="B3608" s="16" t="str">
        <f>TEXT(PARTIDA[[#This Row],[PARTIDA]],"0000000000")</f>
        <v>4203290000</v>
      </c>
      <c r="C3608" s="16" t="s">
        <v>786</v>
      </c>
      <c r="D3608" s="16" t="s">
        <v>787</v>
      </c>
      <c r="E3608" s="16" t="s">
        <v>797</v>
      </c>
      <c r="F3608" s="27" t="s">
        <v>9243</v>
      </c>
      <c r="G3608" s="27"/>
      <c r="H3608" s="16" t="str">
        <f>IF(ISBLANK(PARTIDAS!$G3608),PARTIDAS!$F3608,CONCATENATE(PARTIDAS!$F3608," (",PARTIDAS!$G3608,")"))</f>
        <v>Guantes, mitones y manoplas (los demás)</v>
      </c>
      <c r="I3608" s="16" t="s">
        <v>9477</v>
      </c>
    </row>
    <row r="3609" spans="1:9" x14ac:dyDescent="0.25">
      <c r="A3609" s="16" t="s">
        <v>4536</v>
      </c>
      <c r="B3609" s="16" t="str">
        <f>TEXT(PARTIDA[[#This Row],[PARTIDA]],"0000000000")</f>
        <v>4203300000</v>
      </c>
      <c r="C3609" s="16" t="s">
        <v>786</v>
      </c>
      <c r="D3609" s="16" t="s">
        <v>787</v>
      </c>
      <c r="E3609" s="16" t="s">
        <v>9435</v>
      </c>
      <c r="F3609" s="27" t="s">
        <v>12501</v>
      </c>
      <c r="G3609" s="27"/>
      <c r="H3609" s="16" t="str">
        <f>IF(ISBLANK(PARTIDAS!$G3609),PARTIDAS!$F3609,CONCATENATE(PARTIDAS!$F3609," (",PARTIDAS!$G3609,")"))</f>
        <v>Cintos, cinturones y bandoleras</v>
      </c>
      <c r="I3609" s="16" t="s">
        <v>9427</v>
      </c>
    </row>
    <row r="3610" spans="1:9" x14ac:dyDescent="0.25">
      <c r="A3610" s="16" t="s">
        <v>4537</v>
      </c>
      <c r="B3610" s="16" t="str">
        <f>TEXT(PARTIDA[[#This Row],[PARTIDA]],"0000000000")</f>
        <v>4203400000</v>
      </c>
      <c r="C3610" s="16" t="s">
        <v>786</v>
      </c>
      <c r="D3610" s="16" t="s">
        <v>787</v>
      </c>
      <c r="E3610" s="16" t="s">
        <v>9435</v>
      </c>
      <c r="F3610" s="27" t="s">
        <v>12502</v>
      </c>
      <c r="G3610" s="27"/>
      <c r="H3610" s="16" t="str">
        <f>IF(ISBLANK(PARTIDAS!$G3610),PARTIDAS!$F3610,CONCATENATE(PARTIDAS!$F3610," (",PARTIDAS!$G3610,")"))</f>
        <v>Prendas y complementos (accesorios), de vestir, de cuero natural o… (los demás, complementos (accesorios) de vestir)</v>
      </c>
      <c r="I3610" s="16" t="s">
        <v>9427</v>
      </c>
    </row>
    <row r="3611" spans="1:9" x14ac:dyDescent="0.25">
      <c r="A3611" s="16" t="s">
        <v>4538</v>
      </c>
      <c r="B3611" s="16" t="str">
        <f>TEXT(PARTIDA[[#This Row],[PARTIDA]],"0000000000")</f>
        <v>4205001000</v>
      </c>
      <c r="C3611" s="16" t="s">
        <v>786</v>
      </c>
      <c r="D3611" s="16" t="s">
        <v>799</v>
      </c>
      <c r="E3611" s="16" t="s">
        <v>9440</v>
      </c>
      <c r="F3611" s="27" t="s">
        <v>4422</v>
      </c>
      <c r="G3611" s="27"/>
      <c r="H3611" s="16" t="str">
        <f>IF(ISBLANK(PARTIDAS!$G3611),PARTIDAS!$F3611,CONCATENATE(PARTIDAS!$F3611," (",PARTIDAS!$G3611,")"))</f>
        <v>Correas de transmisión</v>
      </c>
      <c r="I3611" s="16" t="s">
        <v>9427</v>
      </c>
    </row>
    <row r="3612" spans="1:9" x14ac:dyDescent="0.25">
      <c r="A3612" s="16" t="s">
        <v>4539</v>
      </c>
      <c r="B3612" s="16" t="str">
        <f>TEXT(PARTIDA[[#This Row],[PARTIDA]],"0000000000")</f>
        <v>4205009010</v>
      </c>
      <c r="C3612" s="16" t="s">
        <v>786</v>
      </c>
      <c r="D3612" s="16" t="s">
        <v>799</v>
      </c>
      <c r="E3612" s="16" t="s">
        <v>9440</v>
      </c>
      <c r="F3612" s="27" t="s">
        <v>12503</v>
      </c>
      <c r="G3612" s="27"/>
      <c r="H3612" s="16" t="str">
        <f>IF(ISBLANK(PARTIDAS!$G3612),PARTIDAS!$F3612,CONCATENATE(PARTIDAS!$F3612," (",PARTIDAS!$G3612,")"))</f>
        <v>Artículos para usos técnicos de cuero natural o cuero regenerado</v>
      </c>
      <c r="I3612" s="16" t="s">
        <v>9427</v>
      </c>
    </row>
    <row r="3613" spans="1:9" x14ac:dyDescent="0.25">
      <c r="A3613" s="16" t="s">
        <v>4540</v>
      </c>
      <c r="B3613" s="16" t="str">
        <f>TEXT(PARTIDA[[#This Row],[PARTIDA]],"0000000000")</f>
        <v>4205009090</v>
      </c>
      <c r="C3613" s="16" t="s">
        <v>786</v>
      </c>
      <c r="D3613" s="16" t="s">
        <v>799</v>
      </c>
      <c r="E3613" s="16" t="s">
        <v>9440</v>
      </c>
      <c r="F3613" s="27" t="s">
        <v>12504</v>
      </c>
      <c r="G3613" s="27"/>
      <c r="H3613" s="16" t="str">
        <f>IF(ISBLANK(PARTIDAS!$G3613),PARTIDAS!$F3613,CONCATENATE(PARTIDAS!$F3613," (",PARTIDAS!$G3613,")"))</f>
        <v>Prendas y complementos (accesorios), de vestir, de cuero natural o… (los demás)</v>
      </c>
      <c r="I3613" s="16" t="s">
        <v>9427</v>
      </c>
    </row>
    <row r="3614" spans="1:9" x14ac:dyDescent="0.25">
      <c r="A3614" s="16" t="s">
        <v>4541</v>
      </c>
      <c r="B3614" s="16" t="str">
        <f>TEXT(PARTIDA[[#This Row],[PARTIDA]],"0000000000")</f>
        <v>4206001000</v>
      </c>
      <c r="C3614" s="16" t="s">
        <v>786</v>
      </c>
      <c r="D3614" s="16" t="s">
        <v>799</v>
      </c>
      <c r="E3614" s="16" t="s">
        <v>9440</v>
      </c>
      <c r="F3614" s="27" t="s">
        <v>12505</v>
      </c>
      <c r="G3614" s="27"/>
      <c r="H3614" s="16" t="str">
        <f>IF(ISBLANK(PARTIDAS!$G3614),PARTIDAS!$F3614,CONCATENATE(PARTIDAS!$F3614," (",PARTIDAS!$G3614,")"))</f>
        <v>Cuerdas de tripa</v>
      </c>
      <c r="I3614" s="16" t="s">
        <v>9427</v>
      </c>
    </row>
    <row r="3615" spans="1:9" x14ac:dyDescent="0.25">
      <c r="A3615" s="16" t="s">
        <v>4542</v>
      </c>
      <c r="B3615" s="16" t="str">
        <f>TEXT(PARTIDA[[#This Row],[PARTIDA]],"0000000000")</f>
        <v>4206002000</v>
      </c>
      <c r="C3615" s="16" t="s">
        <v>786</v>
      </c>
      <c r="D3615" s="16" t="s">
        <v>799</v>
      </c>
      <c r="E3615" s="16" t="s">
        <v>9440</v>
      </c>
      <c r="F3615" s="27" t="s">
        <v>12506</v>
      </c>
      <c r="G3615" s="27"/>
      <c r="H3615" s="16" t="str">
        <f>IF(ISBLANK(PARTIDAS!$G3615),PARTIDAS!$F3615,CONCATENATE(PARTIDAS!$F3615," (",PARTIDAS!$G3615,")"))</f>
        <v>Tripas para embutidos</v>
      </c>
      <c r="I3615" s="16" t="s">
        <v>9427</v>
      </c>
    </row>
    <row r="3616" spans="1:9" x14ac:dyDescent="0.25">
      <c r="A3616" s="16" t="s">
        <v>4543</v>
      </c>
      <c r="B3616" s="16" t="str">
        <f>TEXT(PARTIDA[[#This Row],[PARTIDA]],"0000000000")</f>
        <v>4206009000</v>
      </c>
      <c r="C3616" s="16" t="s">
        <v>786</v>
      </c>
      <c r="D3616" s="16" t="s">
        <v>799</v>
      </c>
      <c r="E3616" s="16" t="s">
        <v>9440</v>
      </c>
      <c r="F3616" s="27" t="s">
        <v>12504</v>
      </c>
      <c r="G3616" s="27"/>
      <c r="H3616" s="16" t="str">
        <f>IF(ISBLANK(PARTIDAS!$G3616),PARTIDAS!$F3616,CONCATENATE(PARTIDAS!$F3616," (",PARTIDAS!$G3616,")"))</f>
        <v>Prendas y complementos (accesorios), de vestir, de cuero natural o… (los demás)</v>
      </c>
      <c r="I3616" s="16" t="s">
        <v>9427</v>
      </c>
    </row>
    <row r="3617" spans="1:9" x14ac:dyDescent="0.25">
      <c r="A3617" s="16" t="s">
        <v>4544</v>
      </c>
      <c r="B3617" s="16" t="str">
        <f>TEXT(PARTIDA[[#This Row],[PARTIDA]],"0000000000")</f>
        <v>4301100000</v>
      </c>
      <c r="C3617" s="16" t="s">
        <v>815</v>
      </c>
      <c r="D3617" s="16" t="s">
        <v>835</v>
      </c>
      <c r="E3617" s="16" t="s">
        <v>842</v>
      </c>
      <c r="F3617" s="27" t="s">
        <v>12507</v>
      </c>
      <c r="G3617" s="27"/>
      <c r="H3617" s="16" t="str">
        <f>IF(ISBLANK(PARTIDAS!$G3617),PARTIDAS!$F3617,CONCATENATE(PARTIDAS!$F3617," (",PARTIDAS!$G3617,")"))</f>
        <v>Peletería en bruto (incluidas las cabezas, colas, patas y demás…, de visón, enteras, incluso sin la cabeza, cola o patas</v>
      </c>
      <c r="I3617" s="16" t="s">
        <v>9427</v>
      </c>
    </row>
    <row r="3618" spans="1:9" x14ac:dyDescent="0.25">
      <c r="A3618" s="16" t="s">
        <v>4545</v>
      </c>
      <c r="B3618" s="16" t="str">
        <f>TEXT(PARTIDA[[#This Row],[PARTIDA]],"0000000000")</f>
        <v>4301300000</v>
      </c>
      <c r="C3618" s="16" t="s">
        <v>815</v>
      </c>
      <c r="D3618" s="16" t="s">
        <v>835</v>
      </c>
      <c r="E3618" s="16" t="s">
        <v>842</v>
      </c>
      <c r="F3618" s="27" t="s">
        <v>12508</v>
      </c>
      <c r="G3618" s="27"/>
      <c r="H3618" s="16" t="str">
        <f>IF(ISBLANK(PARTIDAS!$G3618),PARTIDAS!$F3618,CONCATENATE(PARTIDAS!$F3618," (",PARTIDAS!$G3618,")"))</f>
        <v>Peletería en bruto (incluidas las cabezas, colas, patas y demás…, de cordero llamadas astracán, «Breitschwanz», «caracul», «persa» o similares, de cor</v>
      </c>
      <c r="I3618" s="16" t="s">
        <v>9427</v>
      </c>
    </row>
    <row r="3619" spans="1:9" x14ac:dyDescent="0.25">
      <c r="A3619" s="16" t="s">
        <v>4546</v>
      </c>
      <c r="B3619" s="16" t="str">
        <f>TEXT(PARTIDA[[#This Row],[PARTIDA]],"0000000000")</f>
        <v>4301600000</v>
      </c>
      <c r="C3619" s="16" t="s">
        <v>815</v>
      </c>
      <c r="D3619" s="16" t="s">
        <v>835</v>
      </c>
      <c r="E3619" s="16" t="s">
        <v>842</v>
      </c>
      <c r="F3619" s="27" t="s">
        <v>12509</v>
      </c>
      <c r="G3619" s="27"/>
      <c r="H3619" s="16" t="str">
        <f>IF(ISBLANK(PARTIDAS!$G3619),PARTIDAS!$F3619,CONCATENATE(PARTIDAS!$F3619," (",PARTIDAS!$G3619,")"))</f>
        <v>Peletería en bruto (incluidas las cabezas, colas, patas y demás…, de zorro, enteras, incluso sin la cabeza, cola o patas</v>
      </c>
      <c r="I3619" s="16" t="s">
        <v>9427</v>
      </c>
    </row>
    <row r="3620" spans="1:9" x14ac:dyDescent="0.25">
      <c r="A3620" s="16" t="s">
        <v>4547</v>
      </c>
      <c r="B3620" s="16" t="str">
        <f>TEXT(PARTIDA[[#This Row],[PARTIDA]],"0000000000")</f>
        <v>4301800000</v>
      </c>
      <c r="C3620" s="16" t="s">
        <v>815</v>
      </c>
      <c r="D3620" s="16" t="s">
        <v>835</v>
      </c>
      <c r="E3620" s="16" t="s">
        <v>842</v>
      </c>
      <c r="F3620" s="27" t="s">
        <v>12510</v>
      </c>
      <c r="G3620" s="27"/>
      <c r="H3620" s="16" t="str">
        <f>IF(ISBLANK(PARTIDAS!$G3620),PARTIDAS!$F3620,CONCATENATE(PARTIDAS!$F3620," (",PARTIDAS!$G3620,")"))</f>
        <v>Peletería en bruto (incluidas las cabezas, colas, patas y demás… (los demás, pieles, enteras, incluso sin la cabeza, cola o patas)</v>
      </c>
      <c r="I3620" s="16" t="s">
        <v>9427</v>
      </c>
    </row>
    <row r="3621" spans="1:9" x14ac:dyDescent="0.25">
      <c r="A3621" s="16" t="s">
        <v>4548</v>
      </c>
      <c r="B3621" s="16" t="str">
        <f>TEXT(PARTIDA[[#This Row],[PARTIDA]],"0000000000")</f>
        <v>4301900000</v>
      </c>
      <c r="C3621" s="16" t="s">
        <v>815</v>
      </c>
      <c r="D3621" s="16" t="s">
        <v>835</v>
      </c>
      <c r="E3621" s="16" t="s">
        <v>842</v>
      </c>
      <c r="F3621" s="27" t="s">
        <v>12511</v>
      </c>
      <c r="G3621" s="27"/>
      <c r="H3621" s="16" t="str">
        <f>IF(ISBLANK(PARTIDAS!$G3621),PARTIDAS!$F3621,CONCATENATE(PARTIDAS!$F3621," (",PARTIDAS!$G3621,")"))</f>
        <v>Cabezas, colas, patas y demás trozos utilizables en peletería</v>
      </c>
      <c r="I3621" s="16" t="s">
        <v>9427</v>
      </c>
    </row>
    <row r="3622" spans="1:9" x14ac:dyDescent="0.25">
      <c r="A3622" s="16" t="s">
        <v>4549</v>
      </c>
      <c r="B3622" s="16" t="str">
        <f>TEXT(PARTIDA[[#This Row],[PARTIDA]],"0000000000")</f>
        <v>4302110000</v>
      </c>
      <c r="C3622" s="16" t="s">
        <v>815</v>
      </c>
      <c r="D3622" s="16" t="s">
        <v>835</v>
      </c>
      <c r="E3622" s="16" t="s">
        <v>842</v>
      </c>
      <c r="F3622" s="27" t="s">
        <v>12512</v>
      </c>
      <c r="G3622" s="27"/>
      <c r="H3622" s="16" t="str">
        <f>IF(ISBLANK(PARTIDAS!$G3622),PARTIDAS!$F3622,CONCATENATE(PARTIDAS!$F3622," (",PARTIDAS!$G3622,")"))</f>
        <v>Pieles enteras, incluso sin la cabeza, cola o patas, sin ensamblar, de visón</v>
      </c>
      <c r="I3622" s="16" t="s">
        <v>9427</v>
      </c>
    </row>
    <row r="3623" spans="1:9" x14ac:dyDescent="0.25">
      <c r="A3623" s="16" t="s">
        <v>4550</v>
      </c>
      <c r="B3623" s="16" t="str">
        <f>TEXT(PARTIDA[[#This Row],[PARTIDA]],"0000000000")</f>
        <v>4302190000</v>
      </c>
      <c r="C3623" s="16" t="s">
        <v>815</v>
      </c>
      <c r="D3623" s="16" t="s">
        <v>835</v>
      </c>
      <c r="E3623" s="16" t="s">
        <v>842</v>
      </c>
      <c r="F3623" s="27" t="s">
        <v>12513</v>
      </c>
      <c r="G3623" s="27"/>
      <c r="H3623" s="16" t="str">
        <f>IF(ISBLANK(PARTIDAS!$G3623),PARTIDAS!$F3623,CONCATENATE(PARTIDAS!$F3623," (",PARTIDAS!$G3623,")"))</f>
        <v>Pieles enteras, incluso sin la cabeza, cola o patas, sin ensamblar (los demás)</v>
      </c>
      <c r="I3623" s="16" t="s">
        <v>9427</v>
      </c>
    </row>
    <row r="3624" spans="1:9" x14ac:dyDescent="0.25">
      <c r="A3624" s="16" t="s">
        <v>4551</v>
      </c>
      <c r="B3624" s="16" t="str">
        <f>TEXT(PARTIDA[[#This Row],[PARTIDA]],"0000000000")</f>
        <v>4302200000</v>
      </c>
      <c r="C3624" s="16" t="s">
        <v>815</v>
      </c>
      <c r="D3624" s="16" t="s">
        <v>835</v>
      </c>
      <c r="E3624" s="16" t="s">
        <v>842</v>
      </c>
      <c r="F3624" s="27" t="s">
        <v>12514</v>
      </c>
      <c r="G3624" s="27"/>
      <c r="H3624" s="16" t="str">
        <f>IF(ISBLANK(PARTIDAS!$G3624),PARTIDAS!$F3624,CONCATENATE(PARTIDAS!$F3624," (",PARTIDAS!$G3624,")"))</f>
        <v>Cabezas, colas, patas y demás trozos, desechos y recortes, sin ensamblar</v>
      </c>
      <c r="I3624" s="16" t="s">
        <v>9427</v>
      </c>
    </row>
    <row r="3625" spans="1:9" x14ac:dyDescent="0.25">
      <c r="A3625" s="16" t="s">
        <v>4552</v>
      </c>
      <c r="B3625" s="16" t="str">
        <f>TEXT(PARTIDA[[#This Row],[PARTIDA]],"0000000000")</f>
        <v>4302300000</v>
      </c>
      <c r="C3625" s="16" t="s">
        <v>815</v>
      </c>
      <c r="D3625" s="16" t="s">
        <v>835</v>
      </c>
      <c r="E3625" s="16" t="s">
        <v>842</v>
      </c>
      <c r="F3625" s="27" t="s">
        <v>12515</v>
      </c>
      <c r="G3625" s="27"/>
      <c r="H3625" s="16" t="str">
        <f>IF(ISBLANK(PARTIDAS!$G3625),PARTIDAS!$F3625,CONCATENATE(PARTIDAS!$F3625," (",PARTIDAS!$G3625,")"))</f>
        <v>Pieles enteras y trozos y recortes de pieles, ensamblados</v>
      </c>
      <c r="I3625" s="16" t="s">
        <v>9427</v>
      </c>
    </row>
    <row r="3626" spans="1:9" x14ac:dyDescent="0.25">
      <c r="A3626" s="16" t="s">
        <v>4553</v>
      </c>
      <c r="B3626" s="16" t="str">
        <f>TEXT(PARTIDA[[#This Row],[PARTIDA]],"0000000000")</f>
        <v>4303101000</v>
      </c>
      <c r="C3626" s="16" t="s">
        <v>815</v>
      </c>
      <c r="D3626" s="16" t="s">
        <v>835</v>
      </c>
      <c r="E3626" s="16" t="s">
        <v>842</v>
      </c>
      <c r="F3626" s="27" t="s">
        <v>12516</v>
      </c>
      <c r="G3626" s="27"/>
      <c r="H3626" s="16" t="str">
        <f>IF(ISBLANK(PARTIDAS!$G3626),PARTIDAS!$F3626,CONCATENATE(PARTIDAS!$F3626," (",PARTIDAS!$G3626,")"))</f>
        <v>Prendas y complementos (accesorios), de vestir, de alpaca</v>
      </c>
      <c r="I3626" s="16" t="s">
        <v>9427</v>
      </c>
    </row>
    <row r="3627" spans="1:9" x14ac:dyDescent="0.25">
      <c r="A3627" s="16" t="s">
        <v>4554</v>
      </c>
      <c r="B3627" s="16" t="str">
        <f>TEXT(PARTIDA[[#This Row],[PARTIDA]],"0000000000")</f>
        <v>4303109000</v>
      </c>
      <c r="C3627" s="16" t="s">
        <v>815</v>
      </c>
      <c r="D3627" s="16" t="s">
        <v>835</v>
      </c>
      <c r="E3627" s="16" t="s">
        <v>842</v>
      </c>
      <c r="F3627" s="27" t="s">
        <v>12517</v>
      </c>
      <c r="G3627" s="27"/>
      <c r="H3627" s="16" t="str">
        <f>IF(ISBLANK(PARTIDAS!$G3627),PARTIDAS!$F3627,CONCATENATE(PARTIDAS!$F3627," (",PARTIDAS!$G3627,")"))</f>
        <v>Prendas y complementos (accesorios), de vestir (los demás)</v>
      </c>
      <c r="I3627" s="16" t="s">
        <v>9427</v>
      </c>
    </row>
    <row r="3628" spans="1:9" x14ac:dyDescent="0.25">
      <c r="A3628" s="16" t="s">
        <v>4555</v>
      </c>
      <c r="B3628" s="16" t="str">
        <f>TEXT(PARTIDA[[#This Row],[PARTIDA]],"0000000000")</f>
        <v>4303901000</v>
      </c>
      <c r="C3628" s="16" t="s">
        <v>815</v>
      </c>
      <c r="D3628" s="16" t="s">
        <v>835</v>
      </c>
      <c r="E3628" s="16" t="s">
        <v>842</v>
      </c>
      <c r="F3628" s="27" t="s">
        <v>12518</v>
      </c>
      <c r="G3628" s="27"/>
      <c r="H3628" s="16" t="str">
        <f>IF(ISBLANK(PARTIDAS!$G3628),PARTIDAS!$F3628,CONCATENATE(PARTIDAS!$F3628," (",PARTIDAS!$G3628,")"))</f>
        <v>Prendas y complementos (accesorios), de vestir, y demás artículos de…, de alpaca</v>
      </c>
      <c r="I3628" s="16" t="s">
        <v>9427</v>
      </c>
    </row>
    <row r="3629" spans="1:9" x14ac:dyDescent="0.25">
      <c r="A3629" s="16" t="s">
        <v>4556</v>
      </c>
      <c r="B3629" s="16" t="str">
        <f>TEXT(PARTIDA[[#This Row],[PARTIDA]],"0000000000")</f>
        <v>4303909000</v>
      </c>
      <c r="C3629" s="16" t="s">
        <v>815</v>
      </c>
      <c r="D3629" s="16" t="s">
        <v>835</v>
      </c>
      <c r="E3629" s="16" t="s">
        <v>842</v>
      </c>
      <c r="F3629" s="27" t="s">
        <v>12519</v>
      </c>
      <c r="G3629" s="27"/>
      <c r="H3629" s="16" t="str">
        <f>IF(ISBLANK(PARTIDAS!$G3629),PARTIDAS!$F3629,CONCATENATE(PARTIDAS!$F3629," (",PARTIDAS!$G3629,")"))</f>
        <v>Prendas y complementos (accesorios), de vestir, y demás artículos de… (los demás)</v>
      </c>
      <c r="I3629" s="16" t="s">
        <v>9427</v>
      </c>
    </row>
    <row r="3630" spans="1:9" x14ac:dyDescent="0.25">
      <c r="A3630" s="16" t="s">
        <v>4557</v>
      </c>
      <c r="B3630" s="16" t="str">
        <f>TEXT(PARTIDA[[#This Row],[PARTIDA]],"0000000000")</f>
        <v>4304000000</v>
      </c>
      <c r="C3630" s="16" t="s">
        <v>815</v>
      </c>
      <c r="D3630" s="16" t="s">
        <v>835</v>
      </c>
      <c r="E3630" s="16" t="s">
        <v>842</v>
      </c>
      <c r="F3630" s="27" t="s">
        <v>4558</v>
      </c>
      <c r="G3630" s="27"/>
      <c r="H3630" s="16" t="str">
        <f>IF(ISBLANK(PARTIDAS!$G3630),PARTIDAS!$F3630,CONCATENATE(PARTIDAS!$F3630," (",PARTIDAS!$G3630,")"))</f>
        <v>Peletería facticia o artificial y artículos de peletería
facticia o artificial.</v>
      </c>
      <c r="I3630" s="16" t="s">
        <v>9427</v>
      </c>
    </row>
    <row r="3631" spans="1:9" x14ac:dyDescent="0.25">
      <c r="A3631" s="16" t="s">
        <v>4559</v>
      </c>
      <c r="B3631" s="16" t="str">
        <f>TEXT(PARTIDA[[#This Row],[PARTIDA]],"0000000000")</f>
        <v>4401110000</v>
      </c>
      <c r="C3631" s="16" t="s">
        <v>815</v>
      </c>
      <c r="D3631" s="16" t="s">
        <v>835</v>
      </c>
      <c r="E3631" s="16" t="s">
        <v>842</v>
      </c>
      <c r="F3631" s="27" t="s">
        <v>12520</v>
      </c>
      <c r="G3631" s="27"/>
      <c r="H3631" s="16" t="str">
        <f>IF(ISBLANK(PARTIDAS!$G3631),PARTIDAS!$F3631,CONCATENATE(PARTIDAS!$F3631," (",PARTIDAS!$G3631,")"))</f>
        <v>Leña, de coníferas</v>
      </c>
      <c r="I3631" s="16" t="s">
        <v>9427</v>
      </c>
    </row>
    <row r="3632" spans="1:9" x14ac:dyDescent="0.25">
      <c r="A3632" s="16" t="s">
        <v>4560</v>
      </c>
      <c r="B3632" s="16" t="str">
        <f>TEXT(PARTIDA[[#This Row],[PARTIDA]],"0000000000")</f>
        <v>4401120000</v>
      </c>
      <c r="C3632" s="16" t="s">
        <v>815</v>
      </c>
      <c r="D3632" s="16" t="s">
        <v>835</v>
      </c>
      <c r="E3632" s="16" t="s">
        <v>842</v>
      </c>
      <c r="F3632" s="27" t="s">
        <v>12521</v>
      </c>
      <c r="G3632" s="27"/>
      <c r="H3632" s="16" t="str">
        <f>IF(ISBLANK(PARTIDAS!$G3632),PARTIDAS!$F3632,CONCATENATE(PARTIDAS!$F3632," (",PARTIDAS!$G3632,")"))</f>
        <v>Distinta de la de coníferas</v>
      </c>
      <c r="I3632" s="16" t="s">
        <v>9427</v>
      </c>
    </row>
    <row r="3633" spans="1:9" x14ac:dyDescent="0.25">
      <c r="A3633" s="16" t="s">
        <v>4561</v>
      </c>
      <c r="B3633" s="16" t="str">
        <f>TEXT(PARTIDA[[#This Row],[PARTIDA]],"0000000000")</f>
        <v>4401210000</v>
      </c>
      <c r="C3633" s="16" t="s">
        <v>815</v>
      </c>
      <c r="D3633" s="16" t="s">
        <v>835</v>
      </c>
      <c r="E3633" s="16" t="s">
        <v>842</v>
      </c>
      <c r="F3633" s="27" t="s">
        <v>12522</v>
      </c>
      <c r="G3633" s="27"/>
      <c r="H3633" s="16" t="str">
        <f>IF(ISBLANK(PARTIDAS!$G3633),PARTIDAS!$F3633,CONCATENATE(PARTIDAS!$F3633," (",PARTIDAS!$G3633,")"))</f>
        <v>Madera en plaquitas o partículas, de coníferas</v>
      </c>
      <c r="I3633" s="16" t="s">
        <v>9427</v>
      </c>
    </row>
    <row r="3634" spans="1:9" x14ac:dyDescent="0.25">
      <c r="A3634" s="16" t="s">
        <v>4562</v>
      </c>
      <c r="B3634" s="16" t="str">
        <f>TEXT(PARTIDA[[#This Row],[PARTIDA]],"0000000000")</f>
        <v>4401220000</v>
      </c>
      <c r="C3634" s="16" t="s">
        <v>815</v>
      </c>
      <c r="D3634" s="16" t="s">
        <v>835</v>
      </c>
      <c r="E3634" s="16" t="s">
        <v>842</v>
      </c>
      <c r="F3634" s="27" t="s">
        <v>12521</v>
      </c>
      <c r="G3634" s="27"/>
      <c r="H3634" s="16" t="str">
        <f>IF(ISBLANK(PARTIDAS!$G3634),PARTIDAS!$F3634,CONCATENATE(PARTIDAS!$F3634," (",PARTIDAS!$G3634,")"))</f>
        <v>Distinta de la de coníferas</v>
      </c>
      <c r="I3634" s="16" t="s">
        <v>9427</v>
      </c>
    </row>
    <row r="3635" spans="1:9" x14ac:dyDescent="0.25">
      <c r="A3635" s="16" t="s">
        <v>4563</v>
      </c>
      <c r="B3635" s="16" t="str">
        <f>TEXT(PARTIDA[[#This Row],[PARTIDA]],"0000000000")</f>
        <v>4401310000</v>
      </c>
      <c r="C3635" s="16" t="s">
        <v>815</v>
      </c>
      <c r="D3635" s="16" t="s">
        <v>835</v>
      </c>
      <c r="E3635" s="16" t="s">
        <v>842</v>
      </c>
      <c r="F3635" s="27" t="s">
        <v>12523</v>
      </c>
      <c r="G3635" s="27"/>
      <c r="H3635" s="16" t="str">
        <f>IF(ISBLANK(PARTIDAS!$G3635),PARTIDAS!$F3635,CONCATENATE(PARTIDAS!$F3635," (",PARTIDAS!$G3635,")"))</f>
        <v>«Pellets» de madera</v>
      </c>
      <c r="I3635" s="16" t="s">
        <v>9427</v>
      </c>
    </row>
    <row r="3636" spans="1:9" x14ac:dyDescent="0.25">
      <c r="A3636" s="16" t="s">
        <v>12524</v>
      </c>
      <c r="B3636" s="16" t="str">
        <f>TEXT(PARTIDA[[#This Row],[PARTIDA]],"0000000000")</f>
        <v>4401320000</v>
      </c>
      <c r="C3636" s="16" t="s">
        <v>815</v>
      </c>
      <c r="D3636" s="16" t="s">
        <v>835</v>
      </c>
      <c r="E3636" s="16" t="s">
        <v>842</v>
      </c>
      <c r="F3636" s="27" t="s">
        <v>12525</v>
      </c>
      <c r="G3636" s="27"/>
      <c r="H3636" s="16" t="str">
        <f>IF(ISBLANK(PARTIDAS!$G3636),PARTIDAS!$F3636,CONCATENATE(PARTIDAS!$F3636," (",PARTIDAS!$G3636,")"))</f>
        <v>Briquetas de madera</v>
      </c>
      <c r="I3636" s="16" t="s">
        <v>9427</v>
      </c>
    </row>
    <row r="3637" spans="1:9" x14ac:dyDescent="0.25">
      <c r="A3637" s="16" t="s">
        <v>4564</v>
      </c>
      <c r="B3637" s="16" t="str">
        <f>TEXT(PARTIDA[[#This Row],[PARTIDA]],"0000000000")</f>
        <v>4401390000</v>
      </c>
      <c r="C3637" s="16" t="s">
        <v>815</v>
      </c>
      <c r="D3637" s="16" t="s">
        <v>835</v>
      </c>
      <c r="E3637" s="16" t="s">
        <v>842</v>
      </c>
      <c r="F3637" s="27" t="s">
        <v>12526</v>
      </c>
      <c r="G3637" s="27"/>
      <c r="H3637" s="16" t="str">
        <f>IF(ISBLANK(PARTIDAS!$G3637),PARTIDAS!$F3637,CONCATENATE(PARTIDAS!$F3637," (",PARTIDAS!$G3637,")"))</f>
        <v>Aserrín, desperdicios y desechos, de madera, aglomerados en leños… (los demás)</v>
      </c>
      <c r="I3637" s="16" t="s">
        <v>9427</v>
      </c>
    </row>
    <row r="3638" spans="1:9" x14ac:dyDescent="0.25">
      <c r="A3638" s="16" t="s">
        <v>4565</v>
      </c>
      <c r="B3638" s="16" t="str">
        <f>TEXT(PARTIDA[[#This Row],[PARTIDA]],"0000000000")</f>
        <v>4401400000</v>
      </c>
      <c r="C3638" s="16" t="s">
        <v>815</v>
      </c>
      <c r="D3638" s="16" t="s">
        <v>835</v>
      </c>
      <c r="E3638" s="16" t="s">
        <v>842</v>
      </c>
      <c r="F3638" s="27" t="s">
        <v>12527</v>
      </c>
      <c r="G3638" s="27"/>
      <c r="H3638" s="16" t="str">
        <f>IF(ISBLANK(PARTIDAS!$G3638),PARTIDAS!$F3638,CONCATENATE(PARTIDAS!$F3638," (",PARTIDAS!$G3638,")"))</f>
        <v>Aserrin, desperdicios y desechos de madera, sin aglomerar</v>
      </c>
      <c r="I3638" s="16" t="s">
        <v>9648</v>
      </c>
    </row>
    <row r="3639" spans="1:9" x14ac:dyDescent="0.25">
      <c r="A3639" s="16" t="s">
        <v>12528</v>
      </c>
      <c r="B3639" s="16" t="str">
        <f>TEXT(PARTIDA[[#This Row],[PARTIDA]],"0000000000")</f>
        <v>4401410000</v>
      </c>
      <c r="C3639" s="16" t="s">
        <v>815</v>
      </c>
      <c r="D3639" s="16" t="s">
        <v>835</v>
      </c>
      <c r="E3639" s="16" t="s">
        <v>842</v>
      </c>
      <c r="F3639" s="27" t="s">
        <v>12529</v>
      </c>
      <c r="G3639" s="27"/>
      <c r="H3639" s="16" t="str">
        <f>IF(ISBLANK(PARTIDAS!$G3639),PARTIDAS!$F3639,CONCATENATE(PARTIDAS!$F3639," (",PARTIDAS!$G3639,")"))</f>
        <v>Aserrín, desperdicios y desechos, de madera, sin aglomerar, aserrín</v>
      </c>
      <c r="I3639" s="16" t="s">
        <v>9427</v>
      </c>
    </row>
    <row r="3640" spans="1:9" x14ac:dyDescent="0.25">
      <c r="A3640" s="16" t="s">
        <v>12530</v>
      </c>
      <c r="B3640" s="16" t="str">
        <f>TEXT(PARTIDA[[#This Row],[PARTIDA]],"0000000000")</f>
        <v>4401490000</v>
      </c>
      <c r="C3640" s="16" t="s">
        <v>815</v>
      </c>
      <c r="D3640" s="16" t="s">
        <v>835</v>
      </c>
      <c r="E3640" s="16" t="s">
        <v>842</v>
      </c>
      <c r="F3640" s="27" t="s">
        <v>12531</v>
      </c>
      <c r="G3640" s="27"/>
      <c r="H3640" s="16" t="str">
        <f>IF(ISBLANK(PARTIDAS!$G3640),PARTIDAS!$F3640,CONCATENATE(PARTIDAS!$F3640," (",PARTIDAS!$G3640,")"))</f>
        <v>Aserrín, desperdicios y desechos, de madera, sin aglomerar (los demás)</v>
      </c>
      <c r="I3640" s="16" t="s">
        <v>9427</v>
      </c>
    </row>
    <row r="3641" spans="1:9" x14ac:dyDescent="0.25">
      <c r="A3641" s="16" t="s">
        <v>4566</v>
      </c>
      <c r="B3641" s="16" t="str">
        <f>TEXT(PARTIDA[[#This Row],[PARTIDA]],"0000000000")</f>
        <v>4402100000</v>
      </c>
      <c r="C3641" s="16" t="s">
        <v>815</v>
      </c>
      <c r="D3641" s="16" t="s">
        <v>816</v>
      </c>
      <c r="E3641" s="16" t="s">
        <v>817</v>
      </c>
      <c r="F3641" s="27" t="s">
        <v>12532</v>
      </c>
      <c r="G3641" s="27"/>
      <c r="H3641" s="16" t="str">
        <f>IF(ISBLANK(PARTIDAS!$G3641),PARTIDAS!$F3641,CONCATENATE(PARTIDAS!$F3641," (",PARTIDAS!$G3641,")"))</f>
        <v>Carbón vegetal (comprendido el de cáscaras o de huesos (carozos) de…, de bambú</v>
      </c>
      <c r="I3641" s="16" t="s">
        <v>9427</v>
      </c>
    </row>
    <row r="3642" spans="1:9" x14ac:dyDescent="0.25">
      <c r="A3642" s="16" t="s">
        <v>12533</v>
      </c>
      <c r="B3642" s="16" t="str">
        <f>TEXT(PARTIDA[[#This Row],[PARTIDA]],"0000000000")</f>
        <v>4402200000</v>
      </c>
      <c r="C3642" s="16" t="s">
        <v>815</v>
      </c>
      <c r="D3642" s="16" t="s">
        <v>816</v>
      </c>
      <c r="E3642" s="16" t="s">
        <v>817</v>
      </c>
      <c r="F3642" s="27" t="s">
        <v>12534</v>
      </c>
      <c r="G3642" s="27"/>
      <c r="H3642" s="16" t="str">
        <f>IF(ISBLANK(PARTIDAS!$G3642),PARTIDAS!$F3642,CONCATENATE(PARTIDAS!$F3642," (",PARTIDAS!$G3642,")"))</f>
        <v>Carbón vegetal (comprendido el de cáscaras o de huesos (carozos) de…, de cáscaras o de huesos (carozos) de frutos</v>
      </c>
      <c r="I3642" s="16" t="s">
        <v>9427</v>
      </c>
    </row>
    <row r="3643" spans="1:9" x14ac:dyDescent="0.25">
      <c r="A3643" s="16" t="s">
        <v>4567</v>
      </c>
      <c r="B3643" s="16" t="str">
        <f>TEXT(PARTIDA[[#This Row],[PARTIDA]],"0000000000")</f>
        <v>4402900000</v>
      </c>
      <c r="C3643" s="16" t="s">
        <v>815</v>
      </c>
      <c r="D3643" s="16" t="s">
        <v>816</v>
      </c>
      <c r="E3643" s="16" t="s">
        <v>817</v>
      </c>
      <c r="F3643" s="27" t="s">
        <v>4568</v>
      </c>
      <c r="G3643" s="27"/>
      <c r="H3643" s="16" t="str">
        <f>IF(ISBLANK(PARTIDAS!$G3643),PARTIDAS!$F3643,CONCATENATE(PARTIDAS!$F3643," (",PARTIDAS!$G3643,")"))</f>
        <v>Carbón vegetal</v>
      </c>
      <c r="I3643" s="16" t="s">
        <v>9477</v>
      </c>
    </row>
    <row r="3644" spans="1:9" x14ac:dyDescent="0.25">
      <c r="A3644" s="16" t="s">
        <v>4569</v>
      </c>
      <c r="B3644" s="16" t="str">
        <f>TEXT(PARTIDA[[#This Row],[PARTIDA]],"0000000000")</f>
        <v>4403110000</v>
      </c>
      <c r="C3644" s="16" t="s">
        <v>815</v>
      </c>
      <c r="D3644" s="16" t="s">
        <v>835</v>
      </c>
      <c r="E3644" s="16" t="s">
        <v>842</v>
      </c>
      <c r="F3644" s="27" t="s">
        <v>12535</v>
      </c>
      <c r="G3644" s="27"/>
      <c r="H3644" s="16" t="str">
        <f>IF(ISBLANK(PARTIDAS!$G3644),PARTIDAS!$F3644,CONCATENATE(PARTIDAS!$F3644," (",PARTIDAS!$G3644,")"))</f>
        <v>Tratada con pintura, creosota u otros agentes de conservación, de coníferas</v>
      </c>
      <c r="I3644" s="16" t="s">
        <v>9427</v>
      </c>
    </row>
    <row r="3645" spans="1:9" x14ac:dyDescent="0.25">
      <c r="A3645" s="16" t="s">
        <v>4570</v>
      </c>
      <c r="B3645" s="16" t="str">
        <f>TEXT(PARTIDA[[#This Row],[PARTIDA]],"0000000000")</f>
        <v>4403120000</v>
      </c>
      <c r="C3645" s="16" t="s">
        <v>815</v>
      </c>
      <c r="D3645" s="16" t="s">
        <v>835</v>
      </c>
      <c r="E3645" s="16" t="s">
        <v>842</v>
      </c>
      <c r="F3645" s="27" t="s">
        <v>12521</v>
      </c>
      <c r="G3645" s="27"/>
      <c r="H3645" s="16" t="str">
        <f>IF(ISBLANK(PARTIDAS!$G3645),PARTIDAS!$F3645,CONCATENATE(PARTIDAS!$F3645," (",PARTIDAS!$G3645,")"))</f>
        <v>Distinta de la de coníferas</v>
      </c>
      <c r="I3645" s="16" t="s">
        <v>9427</v>
      </c>
    </row>
    <row r="3646" spans="1:9" x14ac:dyDescent="0.25">
      <c r="A3646" s="16" t="s">
        <v>4571</v>
      </c>
      <c r="B3646" s="16" t="str">
        <f>TEXT(PARTIDA[[#This Row],[PARTIDA]],"0000000000")</f>
        <v>4403210000</v>
      </c>
      <c r="C3646" s="16" t="s">
        <v>815</v>
      </c>
      <c r="D3646" s="16" t="s">
        <v>835</v>
      </c>
      <c r="E3646" s="16" t="s">
        <v>842</v>
      </c>
      <c r="F3646" s="27" t="s">
        <v>12536</v>
      </c>
      <c r="G3646" s="27"/>
      <c r="H3646" s="16" t="str">
        <f>IF(ISBLANK(PARTIDAS!$G3646),PARTIDAS!$F3646,CONCATENATE(PARTIDAS!$F3646," (",PARTIDAS!$G3646,")"))</f>
        <v>Madera en bruto, incluso descortezada, desalburada o escuadrada, de pino (Pinus spp.), cuya menor dimensión de la sección transversal sea superior o i</v>
      </c>
      <c r="I3646" s="16" t="s">
        <v>9427</v>
      </c>
    </row>
    <row r="3647" spans="1:9" x14ac:dyDescent="0.25">
      <c r="A3647" s="16" t="s">
        <v>4572</v>
      </c>
      <c r="B3647" s="16" t="str">
        <f>TEXT(PARTIDA[[#This Row],[PARTIDA]],"0000000000")</f>
        <v>4403220000</v>
      </c>
      <c r="C3647" s="16" t="s">
        <v>815</v>
      </c>
      <c r="D3647" s="16" t="s">
        <v>835</v>
      </c>
      <c r="E3647" s="16" t="s">
        <v>842</v>
      </c>
      <c r="F3647" s="27" t="s">
        <v>12537</v>
      </c>
      <c r="G3647" s="27"/>
      <c r="H3647" s="16" t="str">
        <f>IF(ISBLANK(PARTIDAS!$G3647),PARTIDAS!$F3647,CONCATENATE(PARTIDAS!$F3647," (",PARTIDAS!$G3647,")"))</f>
        <v>Madera en bruto, incluso descortezada, desalburada o escuadrada (los demás, de pino (Pinus spp.))</v>
      </c>
      <c r="I3647" s="16" t="s">
        <v>9427</v>
      </c>
    </row>
    <row r="3648" spans="1:9" x14ac:dyDescent="0.25">
      <c r="A3648" s="16" t="s">
        <v>4573</v>
      </c>
      <c r="B3648" s="16" t="str">
        <f>TEXT(PARTIDA[[#This Row],[PARTIDA]],"0000000000")</f>
        <v>4403230000</v>
      </c>
      <c r="C3648" s="16" t="s">
        <v>815</v>
      </c>
      <c r="D3648" s="16" t="s">
        <v>835</v>
      </c>
      <c r="E3648" s="16" t="s">
        <v>842</v>
      </c>
      <c r="F3648" s="27" t="s">
        <v>12538</v>
      </c>
      <c r="G3648" s="27"/>
      <c r="H3648" s="16" t="str">
        <f>IF(ISBLANK(PARTIDAS!$G3648),PARTIDAS!$F3648,CONCATENATE(PARTIDAS!$F3648," (",PARTIDAS!$G3648,")"))</f>
        <v>Madera en bruto, incluso descortezada, desalburada o escuadrada, de abeto (Abies spp.) y de pícea (Picea spp.), cuya menor dimensión de la sección tra</v>
      </c>
      <c r="I3648" s="16" t="s">
        <v>9427</v>
      </c>
    </row>
    <row r="3649" spans="1:9" x14ac:dyDescent="0.25">
      <c r="A3649" s="16" t="s">
        <v>4574</v>
      </c>
      <c r="B3649" s="16" t="str">
        <f>TEXT(PARTIDA[[#This Row],[PARTIDA]],"0000000000")</f>
        <v>4403240000</v>
      </c>
      <c r="C3649" s="16" t="s">
        <v>815</v>
      </c>
      <c r="D3649" s="16" t="s">
        <v>835</v>
      </c>
      <c r="E3649" s="16" t="s">
        <v>842</v>
      </c>
      <c r="F3649" s="27" t="s">
        <v>12539</v>
      </c>
      <c r="G3649" s="27"/>
      <c r="H3649" s="16" t="str">
        <f>IF(ISBLANK(PARTIDAS!$G3649),PARTIDAS!$F3649,CONCATENATE(PARTIDAS!$F3649," (",PARTIDAS!$G3649,")"))</f>
        <v>Madera en bruto, incluso descortezada, desalburada o escuadrada (los demás, de abeto (Abies spp.) y de pícea (Picea spp.))</v>
      </c>
      <c r="I3649" s="16" t="s">
        <v>9427</v>
      </c>
    </row>
    <row r="3650" spans="1:9" x14ac:dyDescent="0.25">
      <c r="A3650" s="16" t="s">
        <v>4575</v>
      </c>
      <c r="B3650" s="16" t="str">
        <f>TEXT(PARTIDA[[#This Row],[PARTIDA]],"0000000000")</f>
        <v>4403250000</v>
      </c>
      <c r="C3650" s="16" t="s">
        <v>815</v>
      </c>
      <c r="D3650" s="16" t="s">
        <v>835</v>
      </c>
      <c r="E3650" s="16" t="s">
        <v>842</v>
      </c>
      <c r="F3650" s="27" t="s">
        <v>12540</v>
      </c>
      <c r="G3650" s="27"/>
      <c r="H3650" s="16" t="str">
        <f>IF(ISBLANK(PARTIDAS!$G3650),PARTIDAS!$F3650,CONCATENATE(PARTIDAS!$F3650," (",PARTIDAS!$G3650,")"))</f>
        <v>Madera en bruto, incluso descortezada, desalburada o escuadrada (los demás, cuya menor dimensión de la sección transversal sea superior o igual a 15 c</v>
      </c>
      <c r="I3650" s="16" t="s">
        <v>9427</v>
      </c>
    </row>
    <row r="3651" spans="1:9" x14ac:dyDescent="0.25">
      <c r="A3651" s="16" t="s">
        <v>4576</v>
      </c>
      <c r="B3651" s="16" t="str">
        <f>TEXT(PARTIDA[[#This Row],[PARTIDA]],"0000000000")</f>
        <v>4403260000</v>
      </c>
      <c r="C3651" s="16" t="s">
        <v>815</v>
      </c>
      <c r="D3651" s="16" t="s">
        <v>835</v>
      </c>
      <c r="E3651" s="16" t="s">
        <v>842</v>
      </c>
      <c r="F3651" s="27" t="s">
        <v>12541</v>
      </c>
      <c r="G3651" s="27"/>
      <c r="H3651" s="16" t="str">
        <f>IF(ISBLANK(PARTIDAS!$G3651),PARTIDAS!$F3651,CONCATENATE(PARTIDAS!$F3651," (",PARTIDAS!$G3651,")"))</f>
        <v>Madera en bruto, incluso descortezada, desalburada o escuadrada (los demás)</v>
      </c>
      <c r="I3651" s="16" t="s">
        <v>9427</v>
      </c>
    </row>
    <row r="3652" spans="1:9" x14ac:dyDescent="0.25">
      <c r="A3652" s="16" t="s">
        <v>4577</v>
      </c>
      <c r="B3652" s="16" t="str">
        <f>TEXT(PARTIDA[[#This Row],[PARTIDA]],"0000000000")</f>
        <v>4403410000</v>
      </c>
      <c r="C3652" s="16" t="s">
        <v>815</v>
      </c>
      <c r="D3652" s="16" t="s">
        <v>835</v>
      </c>
      <c r="E3652" s="16" t="s">
        <v>842</v>
      </c>
      <c r="F3652" s="27" t="s">
        <v>12542</v>
      </c>
      <c r="G3652" s="27"/>
      <c r="H3652" s="16" t="str">
        <f>IF(ISBLANK(PARTIDAS!$G3652),PARTIDAS!$F3652,CONCATENATE(PARTIDAS!$F3652," (",PARTIDAS!$G3652,")"))</f>
        <v>Dark Red Meranti, Light Red Meranti y Meranti Bakau</v>
      </c>
      <c r="I3652" s="16" t="s">
        <v>9427</v>
      </c>
    </row>
    <row r="3653" spans="1:9" x14ac:dyDescent="0.25">
      <c r="A3653" s="16" t="s">
        <v>12543</v>
      </c>
      <c r="B3653" s="16" t="str">
        <f>TEXT(PARTIDA[[#This Row],[PARTIDA]],"0000000000")</f>
        <v>4403420000</v>
      </c>
      <c r="C3653" s="16" t="s">
        <v>815</v>
      </c>
      <c r="D3653" s="16" t="s">
        <v>835</v>
      </c>
      <c r="E3653" s="16" t="s">
        <v>842</v>
      </c>
      <c r="F3653" s="27" t="s">
        <v>12544</v>
      </c>
      <c r="G3653" s="27"/>
      <c r="H3653" s="16" t="str">
        <f>IF(ISBLANK(PARTIDAS!$G3653),PARTIDAS!$F3653,CONCATENATE(PARTIDAS!$F3653," (",PARTIDAS!$G3653,")"))</f>
        <v>Madera en bruto, incluso descortezada, desalburada o escuadrada, teca</v>
      </c>
      <c r="I3653" s="16" t="s">
        <v>9427</v>
      </c>
    </row>
    <row r="3654" spans="1:9" x14ac:dyDescent="0.25">
      <c r="A3654" s="16" t="s">
        <v>4578</v>
      </c>
      <c r="B3654" s="16" t="str">
        <f>TEXT(PARTIDA[[#This Row],[PARTIDA]],"0000000000")</f>
        <v>4403491000</v>
      </c>
      <c r="C3654" s="16" t="s">
        <v>815</v>
      </c>
      <c r="D3654" s="16" t="s">
        <v>835</v>
      </c>
      <c r="E3654" s="16" t="s">
        <v>842</v>
      </c>
      <c r="F3654" s="27" t="s">
        <v>12545</v>
      </c>
      <c r="G3654" s="27"/>
      <c r="H3654" s="16" t="str">
        <f>IF(ISBLANK(PARTIDAS!$G3654),PARTIDAS!$F3654,CONCATENATE(PARTIDAS!$F3654," (",PARTIDAS!$G3654,")"))</f>
        <v>Madera en bruto, incluso descortezada, desalburada o escuadrada, de ipé (cañahuate, ébano verde, lapacho, polvillo, roble morado, tahuari negro, tajib</v>
      </c>
      <c r="I3654" s="16" t="s">
        <v>9427</v>
      </c>
    </row>
    <row r="3655" spans="1:9" x14ac:dyDescent="0.25">
      <c r="A3655" s="16" t="s">
        <v>4579</v>
      </c>
      <c r="B3655" s="16" t="str">
        <f>TEXT(PARTIDA[[#This Row],[PARTIDA]],"0000000000")</f>
        <v>4403499000</v>
      </c>
      <c r="C3655" s="16" t="s">
        <v>815</v>
      </c>
      <c r="D3655" s="16" t="s">
        <v>835</v>
      </c>
      <c r="E3655" s="16" t="s">
        <v>842</v>
      </c>
      <c r="F3655" s="27" t="s">
        <v>4580</v>
      </c>
      <c r="G3655" s="27"/>
      <c r="H3655" s="16" t="str">
        <f>IF(ISBLANK(PARTIDAS!$G3655),PARTIDAS!$F3655,CONCATENATE(PARTIDAS!$F3655," (",PARTIDAS!$G3655,")"))</f>
        <v>Madera aserrada</v>
      </c>
      <c r="I3655" s="16" t="s">
        <v>9427</v>
      </c>
    </row>
    <row r="3656" spans="1:9" x14ac:dyDescent="0.25">
      <c r="A3656" s="16" t="s">
        <v>4581</v>
      </c>
      <c r="B3656" s="16" t="str">
        <f>TEXT(PARTIDA[[#This Row],[PARTIDA]],"0000000000")</f>
        <v>4403910000</v>
      </c>
      <c r="C3656" s="16" t="s">
        <v>815</v>
      </c>
      <c r="D3656" s="16" t="s">
        <v>835</v>
      </c>
      <c r="E3656" s="16" t="s">
        <v>842</v>
      </c>
      <c r="F3656" s="27" t="s">
        <v>12546</v>
      </c>
      <c r="G3656" s="27"/>
      <c r="H3656" s="16" t="str">
        <f>IF(ISBLANK(PARTIDAS!$G3656),PARTIDAS!$F3656,CONCATENATE(PARTIDAS!$F3656," (",PARTIDAS!$G3656,")"))</f>
        <v>Madera en bruto, incluso descortezada, desalburada o escuadrada, de encina, roble, alcornoque y demás belloteros (Quercus spp.)</v>
      </c>
      <c r="I3656" s="16" t="s">
        <v>9427</v>
      </c>
    </row>
    <row r="3657" spans="1:9" x14ac:dyDescent="0.25">
      <c r="A3657" s="16" t="s">
        <v>4582</v>
      </c>
      <c r="B3657" s="16" t="str">
        <f>TEXT(PARTIDA[[#This Row],[PARTIDA]],"0000000000")</f>
        <v>4403930000</v>
      </c>
      <c r="C3657" s="16" t="s">
        <v>815</v>
      </c>
      <c r="D3657" s="16" t="s">
        <v>835</v>
      </c>
      <c r="E3657" s="16" t="s">
        <v>842</v>
      </c>
      <c r="F3657" s="27" t="s">
        <v>12547</v>
      </c>
      <c r="G3657" s="27"/>
      <c r="H3657" s="16" t="str">
        <f>IF(ISBLANK(PARTIDAS!$G3657),PARTIDAS!$F3657,CONCATENATE(PARTIDAS!$F3657," (",PARTIDAS!$G3657,")"))</f>
        <v>Madera en bruto, incluso descortezada, desalburada o escuadrada, de haya (Fagus spp.), cuya menor dimensión de la sección transversal sea superior o i</v>
      </c>
      <c r="I3657" s="16" t="s">
        <v>9427</v>
      </c>
    </row>
    <row r="3658" spans="1:9" x14ac:dyDescent="0.25">
      <c r="A3658" s="16" t="s">
        <v>4583</v>
      </c>
      <c r="B3658" s="16" t="str">
        <f>TEXT(PARTIDA[[#This Row],[PARTIDA]],"0000000000")</f>
        <v>4403940000</v>
      </c>
      <c r="C3658" s="16" t="s">
        <v>815</v>
      </c>
      <c r="D3658" s="16" t="s">
        <v>835</v>
      </c>
      <c r="E3658" s="16" t="s">
        <v>842</v>
      </c>
      <c r="F3658" s="27" t="s">
        <v>12548</v>
      </c>
      <c r="G3658" s="27"/>
      <c r="H3658" s="16" t="str">
        <f>IF(ISBLANK(PARTIDAS!$G3658),PARTIDAS!$F3658,CONCATENATE(PARTIDAS!$F3658," (",PARTIDAS!$G3658,")"))</f>
        <v>Madera en bruto, incluso descortezada, desalburada o escuadrada (los demás, de haya (Fagus spp.))</v>
      </c>
      <c r="I3658" s="16" t="s">
        <v>9427</v>
      </c>
    </row>
    <row r="3659" spans="1:9" x14ac:dyDescent="0.25">
      <c r="A3659" s="16" t="s">
        <v>4584</v>
      </c>
      <c r="B3659" s="16" t="str">
        <f>TEXT(PARTIDA[[#This Row],[PARTIDA]],"0000000000")</f>
        <v>4403950000</v>
      </c>
      <c r="C3659" s="16" t="s">
        <v>815</v>
      </c>
      <c r="D3659" s="16" t="s">
        <v>835</v>
      </c>
      <c r="E3659" s="16" t="s">
        <v>842</v>
      </c>
      <c r="F3659" s="27" t="s">
        <v>12549</v>
      </c>
      <c r="G3659" s="27"/>
      <c r="H3659" s="16" t="str">
        <f>IF(ISBLANK(PARTIDAS!$G3659),PARTIDAS!$F3659,CONCATENATE(PARTIDAS!$F3659," (",PARTIDAS!$G3659,")"))</f>
        <v xml:space="preserve">Madera en bruto, incluso descortezada, desalburada o escuadrada, de abedul (Betula spp.), cuya menor dimensión de la sección transversal sea superior </v>
      </c>
      <c r="I3659" s="16" t="s">
        <v>9427</v>
      </c>
    </row>
    <row r="3660" spans="1:9" x14ac:dyDescent="0.25">
      <c r="A3660" s="16" t="s">
        <v>4585</v>
      </c>
      <c r="B3660" s="16" t="str">
        <f>TEXT(PARTIDA[[#This Row],[PARTIDA]],"0000000000")</f>
        <v>4403960000</v>
      </c>
      <c r="C3660" s="16" t="s">
        <v>815</v>
      </c>
      <c r="D3660" s="16" t="s">
        <v>835</v>
      </c>
      <c r="E3660" s="16" t="s">
        <v>842</v>
      </c>
      <c r="F3660" s="27" t="s">
        <v>12550</v>
      </c>
      <c r="G3660" s="27"/>
      <c r="H3660" s="16" t="str">
        <f>IF(ISBLANK(PARTIDAS!$G3660),PARTIDAS!$F3660,CONCATENATE(PARTIDAS!$F3660," (",PARTIDAS!$G3660,")"))</f>
        <v>Madera en bruto, incluso descortezada, desalburada o escuadrada (los demás, de abedul (Betula spp.))</v>
      </c>
      <c r="I3660" s="16" t="s">
        <v>9427</v>
      </c>
    </row>
    <row r="3661" spans="1:9" x14ac:dyDescent="0.25">
      <c r="A3661" s="16" t="s">
        <v>4586</v>
      </c>
      <c r="B3661" s="16" t="str">
        <f>TEXT(PARTIDA[[#This Row],[PARTIDA]],"0000000000")</f>
        <v>4403970000</v>
      </c>
      <c r="C3661" s="16" t="s">
        <v>815</v>
      </c>
      <c r="D3661" s="16" t="s">
        <v>835</v>
      </c>
      <c r="E3661" s="16" t="s">
        <v>842</v>
      </c>
      <c r="F3661" s="27" t="s">
        <v>12551</v>
      </c>
      <c r="G3661" s="27"/>
      <c r="H3661" s="16" t="str">
        <f>IF(ISBLANK(PARTIDAS!$G3661),PARTIDAS!$F3661,CONCATENATE(PARTIDAS!$F3661," (",PARTIDAS!$G3661,")"))</f>
        <v>Madera en bruto, incluso descortezada, desalburada o escuadrada, de álamo (Populus spp.)</v>
      </c>
      <c r="I3661" s="16" t="s">
        <v>9427</v>
      </c>
    </row>
    <row r="3662" spans="1:9" x14ac:dyDescent="0.25">
      <c r="A3662" s="16" t="s">
        <v>4587</v>
      </c>
      <c r="B3662" s="16" t="str">
        <f>TEXT(PARTIDA[[#This Row],[PARTIDA]],"0000000000")</f>
        <v>4403980000</v>
      </c>
      <c r="C3662" s="16" t="s">
        <v>815</v>
      </c>
      <c r="D3662" s="16" t="s">
        <v>835</v>
      </c>
      <c r="E3662" s="16" t="s">
        <v>842</v>
      </c>
      <c r="F3662" s="27" t="s">
        <v>12552</v>
      </c>
      <c r="G3662" s="27"/>
      <c r="H3662" s="16" t="str">
        <f>IF(ISBLANK(PARTIDAS!$G3662),PARTIDAS!$F3662,CONCATENATE(PARTIDAS!$F3662," (",PARTIDAS!$G3662,")"))</f>
        <v>Madera en bruto, incluso descortezada, desalburada o escuadrada, de eucalipto (Eucalyptus spp.)</v>
      </c>
      <c r="I3662" s="16" t="s">
        <v>9427</v>
      </c>
    </row>
    <row r="3663" spans="1:9" x14ac:dyDescent="0.25">
      <c r="A3663" s="16" t="s">
        <v>4588</v>
      </c>
      <c r="B3663" s="16" t="str">
        <f>TEXT(PARTIDA[[#This Row],[PARTIDA]],"0000000000")</f>
        <v>4403990000</v>
      </c>
      <c r="C3663" s="16" t="s">
        <v>815</v>
      </c>
      <c r="D3663" s="16" t="s">
        <v>835</v>
      </c>
      <c r="E3663" s="16" t="s">
        <v>842</v>
      </c>
      <c r="F3663" s="27" t="s">
        <v>4580</v>
      </c>
      <c r="G3663" s="27"/>
      <c r="H3663" s="16" t="str">
        <f>IF(ISBLANK(PARTIDAS!$G3663),PARTIDAS!$F3663,CONCATENATE(PARTIDAS!$F3663," (",PARTIDAS!$G3663,")"))</f>
        <v>Madera aserrada</v>
      </c>
      <c r="I3663" s="16" t="s">
        <v>9427</v>
      </c>
    </row>
    <row r="3664" spans="1:9" x14ac:dyDescent="0.25">
      <c r="A3664" s="16" t="s">
        <v>4589</v>
      </c>
      <c r="B3664" s="16" t="str">
        <f>TEXT(PARTIDA[[#This Row],[PARTIDA]],"0000000000")</f>
        <v>4404100000</v>
      </c>
      <c r="C3664" s="16" t="s">
        <v>815</v>
      </c>
      <c r="D3664" s="16" t="s">
        <v>835</v>
      </c>
      <c r="E3664" s="16" t="s">
        <v>842</v>
      </c>
      <c r="F3664" s="27" t="s">
        <v>12553</v>
      </c>
      <c r="G3664" s="27"/>
      <c r="H3664" s="16" t="str">
        <f>IF(ISBLANK(PARTIDAS!$G3664),PARTIDAS!$F3664,CONCATENATE(PARTIDAS!$F3664," (",PARTIDAS!$G3664,")"))</f>
        <v>Flejes de madera, de coníferas</v>
      </c>
      <c r="I3664" s="16" t="s">
        <v>9427</v>
      </c>
    </row>
    <row r="3665" spans="1:9" x14ac:dyDescent="0.25">
      <c r="A3665" s="16" t="s">
        <v>4590</v>
      </c>
      <c r="B3665" s="16" t="str">
        <f>TEXT(PARTIDA[[#This Row],[PARTIDA]],"0000000000")</f>
        <v>4404200000</v>
      </c>
      <c r="C3665" s="16" t="s">
        <v>815</v>
      </c>
      <c r="D3665" s="16" t="s">
        <v>835</v>
      </c>
      <c r="E3665" s="16" t="s">
        <v>842</v>
      </c>
      <c r="F3665" s="27" t="s">
        <v>12521</v>
      </c>
      <c r="G3665" s="27"/>
      <c r="H3665" s="16" t="str">
        <f>IF(ISBLANK(PARTIDAS!$G3665),PARTIDAS!$F3665,CONCATENATE(PARTIDAS!$F3665," (",PARTIDAS!$G3665,")"))</f>
        <v>Distinta de la de coníferas</v>
      </c>
      <c r="I3665" s="16" t="s">
        <v>9427</v>
      </c>
    </row>
    <row r="3666" spans="1:9" x14ac:dyDescent="0.25">
      <c r="A3666" s="16" t="s">
        <v>4591</v>
      </c>
      <c r="B3666" s="16" t="str">
        <f>TEXT(PARTIDA[[#This Row],[PARTIDA]],"0000000000")</f>
        <v>4405000000</v>
      </c>
      <c r="C3666" s="16" t="s">
        <v>815</v>
      </c>
      <c r="D3666" s="16" t="s">
        <v>835</v>
      </c>
      <c r="E3666" s="16" t="s">
        <v>842</v>
      </c>
      <c r="F3666" s="27" t="s">
        <v>4592</v>
      </c>
      <c r="G3666" s="27"/>
      <c r="H3666" s="16" t="str">
        <f>IF(ISBLANK(PARTIDAS!$G3666),PARTIDAS!$F3666,CONCATENATE(PARTIDAS!$F3666," (",PARTIDAS!$G3666,")"))</f>
        <v>Lana de madera; harina de madera.</v>
      </c>
      <c r="I3666" s="16" t="s">
        <v>9427</v>
      </c>
    </row>
    <row r="3667" spans="1:9" x14ac:dyDescent="0.25">
      <c r="A3667" s="16" t="s">
        <v>4593</v>
      </c>
      <c r="B3667" s="16" t="str">
        <f>TEXT(PARTIDA[[#This Row],[PARTIDA]],"0000000000")</f>
        <v>4406110000</v>
      </c>
      <c r="C3667" s="16" t="s">
        <v>815</v>
      </c>
      <c r="D3667" s="16" t="s">
        <v>835</v>
      </c>
      <c r="E3667" s="16" t="s">
        <v>842</v>
      </c>
      <c r="F3667" s="27" t="s">
        <v>12554</v>
      </c>
      <c r="G3667" s="27"/>
      <c r="H3667" s="16" t="str">
        <f>IF(ISBLANK(PARTIDAS!$G3667),PARTIDAS!$F3667,CONCATENATE(PARTIDAS!$F3667," (",PARTIDAS!$G3667,")"))</f>
        <v>Traviesas (durmientes) de madera para vías férreas o…, sin impregnar, de coníferas</v>
      </c>
      <c r="I3667" s="16" t="s">
        <v>9427</v>
      </c>
    </row>
    <row r="3668" spans="1:9" x14ac:dyDescent="0.25">
      <c r="A3668" s="16" t="s">
        <v>4594</v>
      </c>
      <c r="B3668" s="16" t="str">
        <f>TEXT(PARTIDA[[#This Row],[PARTIDA]],"0000000000")</f>
        <v>4406120000</v>
      </c>
      <c r="C3668" s="16" t="s">
        <v>815</v>
      </c>
      <c r="D3668" s="16" t="s">
        <v>835</v>
      </c>
      <c r="E3668" s="16" t="s">
        <v>842</v>
      </c>
      <c r="F3668" s="27" t="s">
        <v>12521</v>
      </c>
      <c r="G3668" s="27"/>
      <c r="H3668" s="16" t="str">
        <f>IF(ISBLANK(PARTIDAS!$G3668),PARTIDAS!$F3668,CONCATENATE(PARTIDAS!$F3668," (",PARTIDAS!$G3668,")"))</f>
        <v>Distinta de la de coníferas</v>
      </c>
      <c r="I3668" s="16" t="s">
        <v>9427</v>
      </c>
    </row>
    <row r="3669" spans="1:9" x14ac:dyDescent="0.25">
      <c r="A3669" s="16" t="s">
        <v>4595</v>
      </c>
      <c r="B3669" s="16" t="str">
        <f>TEXT(PARTIDA[[#This Row],[PARTIDA]],"0000000000")</f>
        <v>4406910000</v>
      </c>
      <c r="C3669" s="16" t="s">
        <v>815</v>
      </c>
      <c r="D3669" s="16" t="s">
        <v>835</v>
      </c>
      <c r="E3669" s="16" t="s">
        <v>842</v>
      </c>
      <c r="F3669" s="27" t="s">
        <v>12555</v>
      </c>
      <c r="G3669" s="27"/>
      <c r="H3669" s="16" t="str">
        <f>IF(ISBLANK(PARTIDAS!$G3669),PARTIDAS!$F3669,CONCATENATE(PARTIDAS!$F3669," (",PARTIDAS!$G3669,")"))</f>
        <v>Traviesas (durmientes) de madera para vías férreas o similares, de coníferas</v>
      </c>
      <c r="I3669" s="16" t="s">
        <v>9427</v>
      </c>
    </row>
    <row r="3670" spans="1:9" x14ac:dyDescent="0.25">
      <c r="A3670" s="16" t="s">
        <v>4596</v>
      </c>
      <c r="B3670" s="16" t="str">
        <f>TEXT(PARTIDA[[#This Row],[PARTIDA]],"0000000000")</f>
        <v>4406920000</v>
      </c>
      <c r="C3670" s="16" t="s">
        <v>815</v>
      </c>
      <c r="D3670" s="16" t="s">
        <v>835</v>
      </c>
      <c r="E3670" s="16" t="s">
        <v>842</v>
      </c>
      <c r="F3670" s="27" t="s">
        <v>12521</v>
      </c>
      <c r="G3670" s="27"/>
      <c r="H3670" s="16" t="str">
        <f>IF(ISBLANK(PARTIDAS!$G3670),PARTIDAS!$F3670,CONCATENATE(PARTIDAS!$F3670," (",PARTIDAS!$G3670,")"))</f>
        <v>Distinta de la de coníferas</v>
      </c>
      <c r="I3670" s="16" t="s">
        <v>9427</v>
      </c>
    </row>
    <row r="3671" spans="1:9" x14ac:dyDescent="0.25">
      <c r="A3671" s="16" t="s">
        <v>4597</v>
      </c>
      <c r="B3671" s="16" t="str">
        <f>TEXT(PARTIDA[[#This Row],[PARTIDA]],"0000000000")</f>
        <v>4407111000</v>
      </c>
      <c r="C3671" s="16" t="s">
        <v>815</v>
      </c>
      <c r="D3671" s="16" t="s">
        <v>835</v>
      </c>
      <c r="E3671" s="16" t="s">
        <v>842</v>
      </c>
      <c r="F3671" s="27" t="s">
        <v>12556</v>
      </c>
      <c r="G3671" s="27"/>
      <c r="H3671" s="16" t="str">
        <f>IF(ISBLANK(PARTIDAS!$G3671),PARTIDAS!$F3671,CONCATENATE(PARTIDAS!$F3671," (",PARTIDAS!$G3671,")"))</f>
        <v>Tablillas para fabricación de lápices</v>
      </c>
      <c r="I3671" s="16" t="s">
        <v>9427</v>
      </c>
    </row>
    <row r="3672" spans="1:9" x14ac:dyDescent="0.25">
      <c r="A3672" s="16" t="s">
        <v>4598</v>
      </c>
      <c r="B3672" s="16" t="str">
        <f>TEXT(PARTIDA[[#This Row],[PARTIDA]],"0000000000")</f>
        <v>4407119000</v>
      </c>
      <c r="C3672" s="16" t="s">
        <v>815</v>
      </c>
      <c r="D3672" s="16" t="s">
        <v>835</v>
      </c>
      <c r="E3672" s="16" t="s">
        <v>842</v>
      </c>
      <c r="F3672" s="27" t="s">
        <v>4580</v>
      </c>
      <c r="G3672" s="27"/>
      <c r="H3672" s="16" t="str">
        <f>IF(ISBLANK(PARTIDAS!$G3672),PARTIDAS!$F3672,CONCATENATE(PARTIDAS!$F3672," (",PARTIDAS!$G3672,")"))</f>
        <v>Madera aserrada</v>
      </c>
      <c r="I3672" s="16" t="s">
        <v>9427</v>
      </c>
    </row>
    <row r="3673" spans="1:9" x14ac:dyDescent="0.25">
      <c r="A3673" s="16" t="s">
        <v>4599</v>
      </c>
      <c r="B3673" s="16" t="str">
        <f>TEXT(PARTIDA[[#This Row],[PARTIDA]],"0000000000")</f>
        <v>4407120000</v>
      </c>
      <c r="C3673" s="16" t="s">
        <v>815</v>
      </c>
      <c r="D3673" s="16" t="s">
        <v>835</v>
      </c>
      <c r="E3673" s="16" t="s">
        <v>842</v>
      </c>
      <c r="F3673" s="27" t="s">
        <v>12557</v>
      </c>
      <c r="G3673" s="27"/>
      <c r="H3673" s="16" t="str">
        <f>IF(ISBLANK(PARTIDAS!$G3673),PARTIDAS!$F3673,CONCATENATE(PARTIDAS!$F3673," (",PARTIDAS!$G3673,")"))</f>
        <v>Madera aserrada o desbastada longitudinalmente…, de coníferas, de abeto (Abies spp.) y de pícea (Picea spp.)</v>
      </c>
      <c r="I3673" s="16" t="s">
        <v>9427</v>
      </c>
    </row>
    <row r="3674" spans="1:9" x14ac:dyDescent="0.25">
      <c r="A3674" s="16" t="s">
        <v>12558</v>
      </c>
      <c r="B3674" s="16" t="str">
        <f>TEXT(PARTIDA[[#This Row],[PARTIDA]],"0000000000")</f>
        <v>4407130000</v>
      </c>
      <c r="C3674" s="16" t="s">
        <v>815</v>
      </c>
      <c r="D3674" s="16" t="s">
        <v>835</v>
      </c>
      <c r="E3674" s="16" t="s">
        <v>842</v>
      </c>
      <c r="F3674" s="27" t="s">
        <v>12559</v>
      </c>
      <c r="G3674" s="27"/>
      <c r="H3674" s="16" t="str">
        <f>IF(ISBLANK(PARTIDAS!$G3674),PARTIDAS!$F3674,CONCATENATE(PARTIDAS!$F3674," (",PARTIDAS!$G3674,")"))</f>
        <v>Madera aserrada o desbastada longitudinalmente…, de coníferas, de P-P-A («S-P-F») (pícea (Picea spp.), pino (Pinus spp.) y abeto (Abies spp.))</v>
      </c>
      <c r="I3674" s="16" t="s">
        <v>9427</v>
      </c>
    </row>
    <row r="3675" spans="1:9" x14ac:dyDescent="0.25">
      <c r="A3675" s="16" t="s">
        <v>12560</v>
      </c>
      <c r="B3675" s="16" t="str">
        <f>TEXT(PARTIDA[[#This Row],[PARTIDA]],"0000000000")</f>
        <v>4407140000</v>
      </c>
      <c r="C3675" s="16" t="s">
        <v>815</v>
      </c>
      <c r="D3675" s="16" t="s">
        <v>835</v>
      </c>
      <c r="E3675" s="16" t="s">
        <v>842</v>
      </c>
      <c r="F3675" s="27" t="s">
        <v>12561</v>
      </c>
      <c r="G3675" s="27"/>
      <c r="H3675" s="16" t="str">
        <f>IF(ISBLANK(PARTIDAS!$G3675),PARTIDAS!$F3675,CONCATENATE(PARTIDAS!$F3675," (",PARTIDAS!$G3675,")"))</f>
        <v>Madera aserrada o desbastada longitudinalmente…, de coníferas, de «Hem-fir» (tsuga-abeto) (hemlock occidental (tsuga del pacífico) (Tsuga heterophylla</v>
      </c>
      <c r="I3675" s="16" t="s">
        <v>9427</v>
      </c>
    </row>
    <row r="3676" spans="1:9" x14ac:dyDescent="0.25">
      <c r="A3676" s="16" t="s">
        <v>4600</v>
      </c>
      <c r="B3676" s="16" t="str">
        <f>TEXT(PARTIDA[[#This Row],[PARTIDA]],"0000000000")</f>
        <v>4407191000</v>
      </c>
      <c r="C3676" s="16" t="s">
        <v>815</v>
      </c>
      <c r="D3676" s="16" t="s">
        <v>835</v>
      </c>
      <c r="E3676" s="16" t="s">
        <v>842</v>
      </c>
      <c r="F3676" s="27" t="s">
        <v>12556</v>
      </c>
      <c r="G3676" s="27"/>
      <c r="H3676" s="16" t="str">
        <f>IF(ISBLANK(PARTIDAS!$G3676),PARTIDAS!$F3676,CONCATENATE(PARTIDAS!$F3676," (",PARTIDAS!$G3676,")"))</f>
        <v>Tablillas para fabricación de lápices</v>
      </c>
      <c r="I3676" s="16" t="s">
        <v>9427</v>
      </c>
    </row>
    <row r="3677" spans="1:9" x14ac:dyDescent="0.25">
      <c r="A3677" s="16" t="s">
        <v>4601</v>
      </c>
      <c r="B3677" s="16" t="str">
        <f>TEXT(PARTIDA[[#This Row],[PARTIDA]],"0000000000")</f>
        <v>4407199000</v>
      </c>
      <c r="C3677" s="16" t="s">
        <v>815</v>
      </c>
      <c r="D3677" s="16" t="s">
        <v>835</v>
      </c>
      <c r="E3677" s="16" t="s">
        <v>842</v>
      </c>
      <c r="F3677" s="27" t="s">
        <v>4580</v>
      </c>
      <c r="G3677" s="27" t="s">
        <v>1472</v>
      </c>
      <c r="H3677" s="16" t="str">
        <f>IF(ISBLANK(PARTIDAS!$G3677),PARTIDAS!$F3677,CONCATENATE(PARTIDAS!$F3677," (",PARTIDAS!$G3677,")"))</f>
        <v>Madera aserrada (Verificar)</v>
      </c>
      <c r="I3677" s="16" t="s">
        <v>9427</v>
      </c>
    </row>
    <row r="3678" spans="1:9" x14ac:dyDescent="0.25">
      <c r="A3678" s="16" t="s">
        <v>4602</v>
      </c>
      <c r="B3678" s="16" t="str">
        <f>TEXT(PARTIDA[[#This Row],[PARTIDA]],"0000000000")</f>
        <v>4407210000</v>
      </c>
      <c r="C3678" s="16" t="s">
        <v>815</v>
      </c>
      <c r="D3678" s="16" t="s">
        <v>835</v>
      </c>
      <c r="E3678" s="16" t="s">
        <v>842</v>
      </c>
      <c r="F3678" s="27" t="s">
        <v>12562</v>
      </c>
      <c r="G3678" s="27"/>
      <c r="H3678" s="16" t="str">
        <f>IF(ISBLANK(PARTIDAS!$G3678),PARTIDAS!$F3678,CONCATENATE(PARTIDAS!$F3678," (",PARTIDAS!$G3678,")"))</f>
        <v>Mahogany (Swietenia spp.)</v>
      </c>
      <c r="I3678" s="16" t="s">
        <v>9427</v>
      </c>
    </row>
    <row r="3679" spans="1:9" x14ac:dyDescent="0.25">
      <c r="A3679" s="16" t="s">
        <v>4603</v>
      </c>
      <c r="B3679" s="16" t="str">
        <f>TEXT(PARTIDA[[#This Row],[PARTIDA]],"0000000000")</f>
        <v>4407220000</v>
      </c>
      <c r="C3679" s="16" t="s">
        <v>815</v>
      </c>
      <c r="D3679" s="16" t="s">
        <v>835</v>
      </c>
      <c r="E3679" s="16" t="s">
        <v>842</v>
      </c>
      <c r="F3679" s="27" t="s">
        <v>4580</v>
      </c>
      <c r="G3679" s="27"/>
      <c r="H3679" s="16" t="str">
        <f>IF(ISBLANK(PARTIDAS!$G3679),PARTIDAS!$F3679,CONCATENATE(PARTIDAS!$F3679," (",PARTIDAS!$G3679,")"))</f>
        <v>Madera aserrada</v>
      </c>
      <c r="I3679" s="16" t="s">
        <v>9427</v>
      </c>
    </row>
    <row r="3680" spans="1:9" x14ac:dyDescent="0.25">
      <c r="A3680" s="16" t="s">
        <v>12563</v>
      </c>
      <c r="B3680" s="16" t="str">
        <f>TEXT(PARTIDA[[#This Row],[PARTIDA]],"0000000000")</f>
        <v>4407230000</v>
      </c>
      <c r="C3680" s="16" t="s">
        <v>815</v>
      </c>
      <c r="D3680" s="16" t="s">
        <v>835</v>
      </c>
      <c r="E3680" s="16" t="s">
        <v>842</v>
      </c>
      <c r="F3680" s="27" t="s">
        <v>12564</v>
      </c>
      <c r="G3680" s="27"/>
      <c r="H3680" s="16" t="str">
        <f>IF(ISBLANK(PARTIDAS!$G3680),PARTIDAS!$F3680,CONCATENATE(PARTIDAS!$F3680," (",PARTIDAS!$G3680,")"))</f>
        <v>Madera aserrada o desbastada longitudinalmente…, de maderas tropicales, teca</v>
      </c>
      <c r="I3680" s="16" t="s">
        <v>9427</v>
      </c>
    </row>
    <row r="3681" spans="1:9" x14ac:dyDescent="0.25">
      <c r="A3681" s="16" t="s">
        <v>4604</v>
      </c>
      <c r="B3681" s="16" t="str">
        <f>TEXT(PARTIDA[[#This Row],[PARTIDA]],"0000000000")</f>
        <v>4407250000</v>
      </c>
      <c r="C3681" s="16" t="s">
        <v>815</v>
      </c>
      <c r="D3681" s="16" t="s">
        <v>835</v>
      </c>
      <c r="E3681" s="16" t="s">
        <v>842</v>
      </c>
      <c r="F3681" s="27" t="s">
        <v>12542</v>
      </c>
      <c r="G3681" s="27"/>
      <c r="H3681" s="16" t="str">
        <f>IF(ISBLANK(PARTIDAS!$G3681),PARTIDAS!$F3681,CONCATENATE(PARTIDAS!$F3681," (",PARTIDAS!$G3681,")"))</f>
        <v>Dark Red Meranti, Light Red Meranti y Meranti Bakau</v>
      </c>
      <c r="I3681" s="16" t="s">
        <v>9427</v>
      </c>
    </row>
    <row r="3682" spans="1:9" x14ac:dyDescent="0.25">
      <c r="A3682" s="16" t="s">
        <v>4605</v>
      </c>
      <c r="B3682" s="16" t="str">
        <f>TEXT(PARTIDA[[#This Row],[PARTIDA]],"0000000000")</f>
        <v>4407260000</v>
      </c>
      <c r="C3682" s="16" t="s">
        <v>815</v>
      </c>
      <c r="D3682" s="16" t="s">
        <v>835</v>
      </c>
      <c r="E3682" s="16" t="s">
        <v>842</v>
      </c>
      <c r="F3682" s="27" t="s">
        <v>12565</v>
      </c>
      <c r="G3682" s="27"/>
      <c r="H3682" s="16" t="str">
        <f>IF(ISBLANK(PARTIDAS!$G3682),PARTIDAS!$F3682,CONCATENATE(PARTIDAS!$F3682," (",PARTIDAS!$G3682,")"))</f>
        <v>White Lauan, White Meranti, White Seraya, Yellow Meranti y Alan</v>
      </c>
      <c r="I3682" s="16" t="s">
        <v>9427</v>
      </c>
    </row>
    <row r="3683" spans="1:9" x14ac:dyDescent="0.25">
      <c r="A3683" s="16" t="s">
        <v>4606</v>
      </c>
      <c r="B3683" s="16" t="str">
        <f>TEXT(PARTIDA[[#This Row],[PARTIDA]],"0000000000")</f>
        <v>4407270000</v>
      </c>
      <c r="C3683" s="16" t="s">
        <v>815</v>
      </c>
      <c r="D3683" s="16" t="s">
        <v>835</v>
      </c>
      <c r="E3683" s="16" t="s">
        <v>842</v>
      </c>
      <c r="F3683" s="27" t="s">
        <v>12566</v>
      </c>
      <c r="G3683" s="27"/>
      <c r="H3683" s="16" t="str">
        <f>IF(ISBLANK(PARTIDAS!$G3683),PARTIDAS!$F3683,CONCATENATE(PARTIDAS!$F3683," (",PARTIDAS!$G3683,")"))</f>
        <v>Madera aserrada o desbastada longitudinalmente…, de maderas tropicales, sapelli</v>
      </c>
      <c r="I3683" s="16" t="s">
        <v>9427</v>
      </c>
    </row>
    <row r="3684" spans="1:9" x14ac:dyDescent="0.25">
      <c r="A3684" s="16" t="s">
        <v>4607</v>
      </c>
      <c r="B3684" s="16" t="str">
        <f>TEXT(PARTIDA[[#This Row],[PARTIDA]],"0000000000")</f>
        <v>4407280000</v>
      </c>
      <c r="C3684" s="16" t="s">
        <v>815</v>
      </c>
      <c r="D3684" s="16" t="s">
        <v>835</v>
      </c>
      <c r="E3684" s="16" t="s">
        <v>842</v>
      </c>
      <c r="F3684" s="27" t="s">
        <v>12567</v>
      </c>
      <c r="G3684" s="27"/>
      <c r="H3684" s="16" t="str">
        <f>IF(ISBLANK(PARTIDAS!$G3684),PARTIDAS!$F3684,CONCATENATE(PARTIDAS!$F3684," (",PARTIDAS!$G3684,")"))</f>
        <v>Madera aserrada o desbastada longitudinalmente…, de maderas tropicales, iroko</v>
      </c>
      <c r="I3684" s="16" t="s">
        <v>9427</v>
      </c>
    </row>
    <row r="3685" spans="1:9" x14ac:dyDescent="0.25">
      <c r="A3685" s="16" t="s">
        <v>4608</v>
      </c>
      <c r="B3685" s="16" t="str">
        <f>TEXT(PARTIDA[[#This Row],[PARTIDA]],"0000000000")</f>
        <v>4407291000</v>
      </c>
      <c r="C3685" s="16" t="s">
        <v>815</v>
      </c>
      <c r="D3685" s="16" t="s">
        <v>835</v>
      </c>
      <c r="E3685" s="16" t="s">
        <v>842</v>
      </c>
      <c r="F3685" s="27" t="s">
        <v>4580</v>
      </c>
      <c r="G3685" s="27"/>
      <c r="H3685" s="16" t="str">
        <f>IF(ISBLANK(PARTIDAS!$G3685),PARTIDAS!$F3685,CONCATENATE(PARTIDAS!$F3685," (",PARTIDAS!$G3685,")"))</f>
        <v>Madera aserrada</v>
      </c>
      <c r="I3685" s="16" t="s">
        <v>9427</v>
      </c>
    </row>
    <row r="3686" spans="1:9" x14ac:dyDescent="0.25">
      <c r="A3686" s="16" t="s">
        <v>4609</v>
      </c>
      <c r="B3686" s="16" t="str">
        <f>TEXT(PARTIDA[[#This Row],[PARTIDA]],"0000000000")</f>
        <v>4407299000</v>
      </c>
      <c r="C3686" s="16" t="s">
        <v>815</v>
      </c>
      <c r="D3686" s="16" t="s">
        <v>835</v>
      </c>
      <c r="E3686" s="16" t="s">
        <v>844</v>
      </c>
      <c r="F3686" s="27" t="s">
        <v>4580</v>
      </c>
      <c r="G3686" s="27"/>
      <c r="H3686" s="16" t="str">
        <f>IF(ISBLANK(PARTIDAS!$G3686),PARTIDAS!$F3686,CONCATENATE(PARTIDAS!$F3686," (",PARTIDAS!$G3686,")"))</f>
        <v>Madera aserrada</v>
      </c>
      <c r="I3686" s="16" t="s">
        <v>9477</v>
      </c>
    </row>
    <row r="3687" spans="1:9" x14ac:dyDescent="0.25">
      <c r="A3687" s="16" t="s">
        <v>4610</v>
      </c>
      <c r="B3687" s="16" t="str">
        <f>TEXT(PARTIDA[[#This Row],[PARTIDA]],"0000000000")</f>
        <v>4407910000</v>
      </c>
      <c r="C3687" s="16" t="s">
        <v>815</v>
      </c>
      <c r="D3687" s="16" t="s">
        <v>835</v>
      </c>
      <c r="E3687" s="16" t="s">
        <v>842</v>
      </c>
      <c r="F3687" s="27" t="s">
        <v>4580</v>
      </c>
      <c r="G3687" s="27"/>
      <c r="H3687" s="16" t="str">
        <f>IF(ISBLANK(PARTIDAS!$G3687),PARTIDAS!$F3687,CONCATENATE(PARTIDAS!$F3687," (",PARTIDAS!$G3687,")"))</f>
        <v>Madera aserrada</v>
      </c>
      <c r="I3687" s="16" t="s">
        <v>9427</v>
      </c>
    </row>
    <row r="3688" spans="1:9" x14ac:dyDescent="0.25">
      <c r="A3688" s="16" t="s">
        <v>4611</v>
      </c>
      <c r="B3688" s="16" t="str">
        <f>TEXT(PARTIDA[[#This Row],[PARTIDA]],"0000000000")</f>
        <v>4407920000</v>
      </c>
      <c r="C3688" s="16" t="s">
        <v>815</v>
      </c>
      <c r="D3688" s="16" t="s">
        <v>835</v>
      </c>
      <c r="E3688" s="16" t="s">
        <v>842</v>
      </c>
      <c r="F3688" s="27" t="s">
        <v>12568</v>
      </c>
      <c r="G3688" s="27"/>
      <c r="H3688" s="16" t="str">
        <f>IF(ISBLANK(PARTIDAS!$G3688),PARTIDAS!$F3688,CONCATENATE(PARTIDAS!$F3688," (",PARTIDAS!$G3688,")"))</f>
        <v>Madera aserrada o desbastada longitudinalmente, cortada o…, de haya (Fagus spp.)</v>
      </c>
      <c r="I3688" s="16" t="s">
        <v>9427</v>
      </c>
    </row>
    <row r="3689" spans="1:9" x14ac:dyDescent="0.25">
      <c r="A3689" s="16" t="s">
        <v>4612</v>
      </c>
      <c r="B3689" s="16" t="str">
        <f>TEXT(PARTIDA[[#This Row],[PARTIDA]],"0000000000")</f>
        <v>4407930000</v>
      </c>
      <c r="C3689" s="16" t="s">
        <v>815</v>
      </c>
      <c r="D3689" s="16" t="s">
        <v>835</v>
      </c>
      <c r="E3689" s="16" t="s">
        <v>842</v>
      </c>
      <c r="F3689" s="27" t="s">
        <v>12569</v>
      </c>
      <c r="G3689" s="27"/>
      <c r="H3689" s="16" t="str">
        <f>IF(ISBLANK(PARTIDAS!$G3689),PARTIDAS!$F3689,CONCATENATE(PARTIDAS!$F3689," (",PARTIDAS!$G3689,")"))</f>
        <v>Madera aserrada o desbastada longitudinalmente, cortada o…, de arce (Acer spp.)</v>
      </c>
      <c r="I3689" s="16" t="s">
        <v>9427</v>
      </c>
    </row>
    <row r="3690" spans="1:9" x14ac:dyDescent="0.25">
      <c r="A3690" s="16" t="s">
        <v>4613</v>
      </c>
      <c r="B3690" s="16" t="str">
        <f>TEXT(PARTIDA[[#This Row],[PARTIDA]],"0000000000")</f>
        <v>4407940000</v>
      </c>
      <c r="C3690" s="16" t="s">
        <v>815</v>
      </c>
      <c r="D3690" s="16" t="s">
        <v>835</v>
      </c>
      <c r="E3690" s="16" t="s">
        <v>842</v>
      </c>
      <c r="F3690" s="27" t="s">
        <v>12570</v>
      </c>
      <c r="G3690" s="27"/>
      <c r="H3690" s="16" t="str">
        <f>IF(ISBLANK(PARTIDAS!$G3690),PARTIDAS!$F3690,CONCATENATE(PARTIDAS!$F3690," (",PARTIDAS!$G3690,")"))</f>
        <v>Madera aserrada o desbastada longitudinalmente, cortada o…, de cerezo (Prunus spp.)</v>
      </c>
      <c r="I3690" s="16" t="s">
        <v>9427</v>
      </c>
    </row>
    <row r="3691" spans="1:9" x14ac:dyDescent="0.25">
      <c r="A3691" s="16" t="s">
        <v>4614</v>
      </c>
      <c r="B3691" s="16" t="str">
        <f>TEXT(PARTIDA[[#This Row],[PARTIDA]],"0000000000")</f>
        <v>4407950000</v>
      </c>
      <c r="C3691" s="16" t="s">
        <v>815</v>
      </c>
      <c r="D3691" s="16" t="s">
        <v>835</v>
      </c>
      <c r="E3691" s="16" t="s">
        <v>842</v>
      </c>
      <c r="F3691" s="27" t="s">
        <v>12571</v>
      </c>
      <c r="G3691" s="27"/>
      <c r="H3691" s="16" t="str">
        <f>IF(ISBLANK(PARTIDAS!$G3691),PARTIDAS!$F3691,CONCATENATE(PARTIDAS!$F3691," (",PARTIDAS!$G3691,")"))</f>
        <v>Madera aserrada o desbastada longitudinalmente, cortada o…, de fresno (Fraxinus spp.)</v>
      </c>
      <c r="I3691" s="16" t="s">
        <v>9427</v>
      </c>
    </row>
    <row r="3692" spans="1:9" x14ac:dyDescent="0.25">
      <c r="A3692" s="16" t="s">
        <v>4615</v>
      </c>
      <c r="B3692" s="16" t="str">
        <f>TEXT(PARTIDA[[#This Row],[PARTIDA]],"0000000000")</f>
        <v>4407960000</v>
      </c>
      <c r="C3692" s="16" t="s">
        <v>815</v>
      </c>
      <c r="D3692" s="16" t="s">
        <v>835</v>
      </c>
      <c r="E3692" s="16" t="s">
        <v>842</v>
      </c>
      <c r="F3692" s="27" t="s">
        <v>12572</v>
      </c>
      <c r="G3692" s="27"/>
      <c r="H3692" s="16" t="str">
        <f>IF(ISBLANK(PARTIDAS!$G3692),PARTIDAS!$F3692,CONCATENATE(PARTIDAS!$F3692," (",PARTIDAS!$G3692,")"))</f>
        <v>Madera aserrada o desbastada longitudinalmente, cortada o…, de abedul (Betula spp.)</v>
      </c>
      <c r="I3692" s="16" t="s">
        <v>9427</v>
      </c>
    </row>
    <row r="3693" spans="1:9" x14ac:dyDescent="0.25">
      <c r="A3693" s="16" t="s">
        <v>4616</v>
      </c>
      <c r="B3693" s="16" t="str">
        <f>TEXT(PARTIDA[[#This Row],[PARTIDA]],"0000000000")</f>
        <v>4407970000</v>
      </c>
      <c r="C3693" s="16" t="s">
        <v>815</v>
      </c>
      <c r="D3693" s="16" t="s">
        <v>835</v>
      </c>
      <c r="E3693" s="16" t="s">
        <v>842</v>
      </c>
      <c r="F3693" s="27" t="s">
        <v>12573</v>
      </c>
      <c r="G3693" s="27"/>
      <c r="H3693" s="16" t="str">
        <f>IF(ISBLANK(PARTIDAS!$G3693),PARTIDAS!$F3693,CONCATENATE(PARTIDAS!$F3693," (",PARTIDAS!$G3693,")"))</f>
        <v>Madera aserrada o desbastada longitudinalmente, cortada o…, de álamo (Populus spp.)</v>
      </c>
      <c r="I3693" s="16" t="s">
        <v>9427</v>
      </c>
    </row>
    <row r="3694" spans="1:9" x14ac:dyDescent="0.25">
      <c r="A3694" s="16" t="s">
        <v>4617</v>
      </c>
      <c r="B3694" s="16" t="str">
        <f>TEXT(PARTIDA[[#This Row],[PARTIDA]],"0000000000")</f>
        <v>4407990000</v>
      </c>
      <c r="C3694" s="16" t="s">
        <v>815</v>
      </c>
      <c r="D3694" s="16" t="s">
        <v>835</v>
      </c>
      <c r="E3694" s="16" t="s">
        <v>842</v>
      </c>
      <c r="F3694" s="27" t="s">
        <v>4580</v>
      </c>
      <c r="G3694" s="27"/>
      <c r="H3694" s="16" t="str">
        <f>IF(ISBLANK(PARTIDAS!$G3694),PARTIDAS!$F3694,CONCATENATE(PARTIDAS!$F3694," (",PARTIDAS!$G3694,")"))</f>
        <v>Madera aserrada</v>
      </c>
      <c r="I3694" s="16" t="s">
        <v>9427</v>
      </c>
    </row>
    <row r="3695" spans="1:9" x14ac:dyDescent="0.25">
      <c r="A3695" s="16" t="s">
        <v>4618</v>
      </c>
      <c r="B3695" s="16" t="str">
        <f>TEXT(PARTIDA[[#This Row],[PARTIDA]],"0000000000")</f>
        <v>4408101000</v>
      </c>
      <c r="C3695" s="16" t="s">
        <v>815</v>
      </c>
      <c r="D3695" s="16" t="s">
        <v>835</v>
      </c>
      <c r="E3695" s="16" t="s">
        <v>842</v>
      </c>
      <c r="F3695" s="27" t="s">
        <v>12556</v>
      </c>
      <c r="G3695" s="27"/>
      <c r="H3695" s="16" t="str">
        <f>IF(ISBLANK(PARTIDAS!$G3695),PARTIDAS!$F3695,CONCATENATE(PARTIDAS!$F3695," (",PARTIDAS!$G3695,")"))</f>
        <v>Tablillas para fabricación de lápices</v>
      </c>
      <c r="I3695" s="16" t="s">
        <v>9427</v>
      </c>
    </row>
    <row r="3696" spans="1:9" x14ac:dyDescent="0.25">
      <c r="A3696" s="16" t="s">
        <v>4619</v>
      </c>
      <c r="B3696" s="16" t="str">
        <f>TEXT(PARTIDA[[#This Row],[PARTIDA]],"0000000000")</f>
        <v>4408109000</v>
      </c>
      <c r="C3696" s="16" t="s">
        <v>815</v>
      </c>
      <c r="D3696" s="16" t="s">
        <v>835</v>
      </c>
      <c r="E3696" s="16" t="s">
        <v>842</v>
      </c>
      <c r="F3696" s="27" t="s">
        <v>12574</v>
      </c>
      <c r="G3696" s="27"/>
      <c r="H3696" s="16" t="str">
        <f>IF(ISBLANK(PARTIDAS!$G3696),PARTIDAS!$F3696,CONCATENATE(PARTIDAS!$F3696," (",PARTIDAS!$G3696,")"))</f>
        <v>Hojas para chapado (incluidas las obtenidas por…, de coníferas (los demás)</v>
      </c>
      <c r="I3696" s="16" t="s">
        <v>9427</v>
      </c>
    </row>
    <row r="3697" spans="1:9" x14ac:dyDescent="0.25">
      <c r="A3697" s="16" t="s">
        <v>4620</v>
      </c>
      <c r="B3697" s="16" t="str">
        <f>TEXT(PARTIDA[[#This Row],[PARTIDA]],"0000000000")</f>
        <v>4408310000</v>
      </c>
      <c r="C3697" s="16" t="s">
        <v>815</v>
      </c>
      <c r="D3697" s="16" t="s">
        <v>835</v>
      </c>
      <c r="E3697" s="16" t="s">
        <v>842</v>
      </c>
      <c r="F3697" s="27" t="s">
        <v>12542</v>
      </c>
      <c r="G3697" s="27"/>
      <c r="H3697" s="16" t="str">
        <f>IF(ISBLANK(PARTIDAS!$G3697),PARTIDAS!$F3697,CONCATENATE(PARTIDAS!$F3697," (",PARTIDAS!$G3697,")"))</f>
        <v>Dark Red Meranti, Light Red Meranti y Meranti Bakau</v>
      </c>
      <c r="I3697" s="16" t="s">
        <v>9427</v>
      </c>
    </row>
    <row r="3698" spans="1:9" x14ac:dyDescent="0.25">
      <c r="A3698" s="16" t="s">
        <v>4621</v>
      </c>
      <c r="B3698" s="16" t="str">
        <f>TEXT(PARTIDA[[#This Row],[PARTIDA]],"0000000000")</f>
        <v>4408391000</v>
      </c>
      <c r="C3698" s="16" t="s">
        <v>815</v>
      </c>
      <c r="D3698" s="16" t="s">
        <v>835</v>
      </c>
      <c r="E3698" s="16" t="s">
        <v>842</v>
      </c>
      <c r="F3698" s="27" t="s">
        <v>12575</v>
      </c>
      <c r="G3698" s="27"/>
      <c r="H3698" s="16" t="str">
        <f>IF(ISBLANK(PARTIDAS!$G3698),PARTIDAS!$F3698,CONCATENATE(PARTIDAS!$F3698," (",PARTIDAS!$G3698,")"))</f>
        <v>Hojas para chapado (incluidas las obtenidas por…, de maderas tropicales, de ipé (cañahuate, ébano verde, lapacho, polvillo, roble morado, tahuari negr</v>
      </c>
      <c r="I3698" s="16" t="s">
        <v>9427</v>
      </c>
    </row>
    <row r="3699" spans="1:9" x14ac:dyDescent="0.25">
      <c r="A3699" s="16" t="s">
        <v>4622</v>
      </c>
      <c r="B3699" s="16" t="str">
        <f>TEXT(PARTIDA[[#This Row],[PARTIDA]],"0000000000")</f>
        <v>4408399000</v>
      </c>
      <c r="C3699" s="16" t="s">
        <v>815</v>
      </c>
      <c r="D3699" s="16" t="s">
        <v>835</v>
      </c>
      <c r="E3699" s="16" t="s">
        <v>842</v>
      </c>
      <c r="F3699" s="27" t="s">
        <v>4580</v>
      </c>
      <c r="G3699" s="27" t="s">
        <v>1472</v>
      </c>
      <c r="H3699" s="16" t="str">
        <f>IF(ISBLANK(PARTIDAS!$G3699),PARTIDAS!$F3699,CONCATENATE(PARTIDAS!$F3699," (",PARTIDAS!$G3699,")"))</f>
        <v>Madera aserrada (Verificar)</v>
      </c>
      <c r="I3699" s="16" t="s">
        <v>9427</v>
      </c>
    </row>
    <row r="3700" spans="1:9" x14ac:dyDescent="0.25">
      <c r="A3700" s="16" t="s">
        <v>4623</v>
      </c>
      <c r="B3700" s="16" t="str">
        <f>TEXT(PARTIDA[[#This Row],[PARTIDA]],"0000000000")</f>
        <v>4408900000</v>
      </c>
      <c r="C3700" s="16" t="s">
        <v>815</v>
      </c>
      <c r="D3700" s="16" t="s">
        <v>835</v>
      </c>
      <c r="E3700" s="16" t="s">
        <v>842</v>
      </c>
      <c r="F3700" s="27" t="s">
        <v>4580</v>
      </c>
      <c r="G3700" s="27"/>
      <c r="H3700" s="16" t="str">
        <f>IF(ISBLANK(PARTIDAS!$G3700),PARTIDAS!$F3700,CONCATENATE(PARTIDAS!$F3700," (",PARTIDAS!$G3700,")"))</f>
        <v>Madera aserrada</v>
      </c>
      <c r="I3700" s="16" t="s">
        <v>9427</v>
      </c>
    </row>
    <row r="3701" spans="1:9" x14ac:dyDescent="0.25">
      <c r="A3701" s="16" t="s">
        <v>4624</v>
      </c>
      <c r="B3701" s="16" t="str">
        <f>TEXT(PARTIDA[[#This Row],[PARTIDA]],"0000000000")</f>
        <v>4409101000</v>
      </c>
      <c r="C3701" s="16" t="s">
        <v>815</v>
      </c>
      <c r="D3701" s="16" t="s">
        <v>835</v>
      </c>
      <c r="E3701" s="16" t="s">
        <v>842</v>
      </c>
      <c r="F3701" s="27" t="s">
        <v>12576</v>
      </c>
      <c r="G3701" s="27"/>
      <c r="H3701" s="16" t="str">
        <f>IF(ISBLANK(PARTIDAS!$G3701),PARTIDAS!$F3701,CONCATENATE(PARTIDAS!$F3701," (",PARTIDAS!$G3701,")"))</f>
        <v>Tablillas y frisos para parqués, sin ensamblar</v>
      </c>
      <c r="I3701" s="16" t="s">
        <v>9427</v>
      </c>
    </row>
    <row r="3702" spans="1:9" x14ac:dyDescent="0.25">
      <c r="A3702" s="16" t="s">
        <v>4625</v>
      </c>
      <c r="B3702" s="16" t="str">
        <f>TEXT(PARTIDA[[#This Row],[PARTIDA]],"0000000000")</f>
        <v>4409102000</v>
      </c>
      <c r="C3702" s="16" t="s">
        <v>815</v>
      </c>
      <c r="D3702" s="16" t="s">
        <v>835</v>
      </c>
      <c r="E3702" s="16" t="s">
        <v>842</v>
      </c>
      <c r="F3702" s="27" t="s">
        <v>4626</v>
      </c>
      <c r="G3702" s="27"/>
      <c r="H3702" s="16" t="str">
        <f>IF(ISBLANK(PARTIDAS!$G3702),PARTIDAS!$F3702,CONCATENATE(PARTIDAS!$F3702," (",PARTIDAS!$G3702,")"))</f>
        <v>Madera moldurada</v>
      </c>
      <c r="I3702" s="16" t="s">
        <v>9427</v>
      </c>
    </row>
    <row r="3703" spans="1:9" x14ac:dyDescent="0.25">
      <c r="A3703" s="16" t="s">
        <v>4627</v>
      </c>
      <c r="B3703" s="16" t="str">
        <f>TEXT(PARTIDA[[#This Row],[PARTIDA]],"0000000000")</f>
        <v>4409109000</v>
      </c>
      <c r="C3703" s="16" t="s">
        <v>815</v>
      </c>
      <c r="D3703" s="16" t="s">
        <v>835</v>
      </c>
      <c r="E3703" s="16" t="s">
        <v>842</v>
      </c>
      <c r="F3703" s="27" t="s">
        <v>12577</v>
      </c>
      <c r="G3703" s="27"/>
      <c r="H3703" s="16" t="str">
        <f>IF(ISBLANK(PARTIDAS!$G3703),PARTIDAS!$F3703,CONCATENATE(PARTIDAS!$F3703," (",PARTIDAS!$G3703,")"))</f>
        <v>Madera (incluidas las tablillas y frisos para parqués…, de coníferas (los demás)</v>
      </c>
      <c r="I3703" s="16" t="s">
        <v>9427</v>
      </c>
    </row>
    <row r="3704" spans="1:9" x14ac:dyDescent="0.25">
      <c r="A3704" s="16" t="s">
        <v>4628</v>
      </c>
      <c r="B3704" s="16" t="str">
        <f>TEXT(PARTIDA[[#This Row],[PARTIDA]],"0000000000")</f>
        <v>4409210000</v>
      </c>
      <c r="C3704" s="16" t="s">
        <v>815</v>
      </c>
      <c r="D3704" s="16" t="s">
        <v>835</v>
      </c>
      <c r="E3704" s="16" t="s">
        <v>842</v>
      </c>
      <c r="F3704" s="27" t="s">
        <v>12578</v>
      </c>
      <c r="G3704" s="27"/>
      <c r="H3704" s="16" t="str">
        <f>IF(ISBLANK(PARTIDAS!$G3704),PARTIDAS!$F3704,CONCATENATE(PARTIDAS!$F3704," (",PARTIDAS!$G3704,")"))</f>
        <v>Distinta de la de coníferas, de bambú</v>
      </c>
      <c r="I3704" s="16" t="s">
        <v>9427</v>
      </c>
    </row>
    <row r="3705" spans="1:9" x14ac:dyDescent="0.25">
      <c r="A3705" s="16" t="s">
        <v>4629</v>
      </c>
      <c r="B3705" s="16" t="str">
        <f>TEXT(PARTIDA[[#This Row],[PARTIDA]],"0000000000")</f>
        <v>4409221010</v>
      </c>
      <c r="C3705" s="16" t="s">
        <v>815</v>
      </c>
      <c r="D3705" s="16" t="s">
        <v>835</v>
      </c>
      <c r="E3705" s="16" t="s">
        <v>842</v>
      </c>
      <c r="F3705" s="27" t="s">
        <v>4630</v>
      </c>
      <c r="G3705" s="27"/>
      <c r="H3705" s="16" t="str">
        <f>IF(ISBLANK(PARTIDAS!$G3705),PARTIDAS!$F3705,CONCATENATE(PARTIDAS!$F3705," (",PARTIDAS!$G3705,")"))</f>
        <v>Tablillas y frisos</v>
      </c>
      <c r="I3705" s="16" t="s">
        <v>9427</v>
      </c>
    </row>
    <row r="3706" spans="1:9" x14ac:dyDescent="0.25">
      <c r="A3706" s="16" t="s">
        <v>4631</v>
      </c>
      <c r="B3706" s="16" t="str">
        <f>TEXT(PARTIDA[[#This Row],[PARTIDA]],"0000000000")</f>
        <v>4409221020</v>
      </c>
      <c r="C3706" s="16" t="s">
        <v>815</v>
      </c>
      <c r="D3706" s="16" t="s">
        <v>835</v>
      </c>
      <c r="E3706" s="16" t="s">
        <v>842</v>
      </c>
      <c r="F3706" s="27" t="s">
        <v>4626</v>
      </c>
      <c r="G3706" s="27"/>
      <c r="H3706" s="16" t="str">
        <f>IF(ISBLANK(PARTIDAS!$G3706),PARTIDAS!$F3706,CONCATENATE(PARTIDAS!$F3706," (",PARTIDAS!$G3706,")"))</f>
        <v>Madera moldurada</v>
      </c>
      <c r="I3706" s="16" t="s">
        <v>9427</v>
      </c>
    </row>
    <row r="3707" spans="1:9" x14ac:dyDescent="0.25">
      <c r="A3707" s="16" t="s">
        <v>4632</v>
      </c>
      <c r="B3707" s="16" t="str">
        <f>TEXT(PARTIDA[[#This Row],[PARTIDA]],"0000000000")</f>
        <v>4409221090</v>
      </c>
      <c r="C3707" s="16" t="s">
        <v>815</v>
      </c>
      <c r="D3707" s="16" t="s">
        <v>835</v>
      </c>
      <c r="E3707" s="16" t="s">
        <v>842</v>
      </c>
      <c r="F3707" s="27" t="s">
        <v>4633</v>
      </c>
      <c r="G3707" s="27"/>
      <c r="H3707" s="16" t="str">
        <f>IF(ISBLANK(PARTIDAS!$G3707),PARTIDAS!$F3707,CONCATENATE(PARTIDAS!$F3707," (",PARTIDAS!$G3707,")"))</f>
        <v>Decking</v>
      </c>
      <c r="I3707" s="16" t="s">
        <v>9427</v>
      </c>
    </row>
    <row r="3708" spans="1:9" x14ac:dyDescent="0.25">
      <c r="A3708" s="16" t="s">
        <v>4634</v>
      </c>
      <c r="B3708" s="16" t="str">
        <f>TEXT(PARTIDA[[#This Row],[PARTIDA]],"0000000000")</f>
        <v>4409229010</v>
      </c>
      <c r="C3708" s="16" t="s">
        <v>815</v>
      </c>
      <c r="D3708" s="16" t="s">
        <v>835</v>
      </c>
      <c r="E3708" s="16" t="s">
        <v>842</v>
      </c>
      <c r="F3708" s="27" t="s">
        <v>4630</v>
      </c>
      <c r="G3708" s="27"/>
      <c r="H3708" s="16" t="str">
        <f>IF(ISBLANK(PARTIDAS!$G3708),PARTIDAS!$F3708,CONCATENATE(PARTIDAS!$F3708," (",PARTIDAS!$G3708,")"))</f>
        <v>Tablillas y frisos</v>
      </c>
      <c r="I3708" s="16" t="s">
        <v>9427</v>
      </c>
    </row>
    <row r="3709" spans="1:9" x14ac:dyDescent="0.25">
      <c r="A3709" s="16" t="s">
        <v>4635</v>
      </c>
      <c r="B3709" s="16" t="str">
        <f>TEXT(PARTIDA[[#This Row],[PARTIDA]],"0000000000")</f>
        <v>4409229020</v>
      </c>
      <c r="C3709" s="16" t="s">
        <v>815</v>
      </c>
      <c r="D3709" s="16" t="s">
        <v>835</v>
      </c>
      <c r="E3709" s="16" t="s">
        <v>842</v>
      </c>
      <c r="F3709" s="27" t="s">
        <v>4626</v>
      </c>
      <c r="G3709" s="27"/>
      <c r="H3709" s="16" t="str">
        <f>IF(ISBLANK(PARTIDAS!$G3709),PARTIDAS!$F3709,CONCATENATE(PARTIDAS!$F3709," (",PARTIDAS!$G3709,")"))</f>
        <v>Madera moldurada</v>
      </c>
      <c r="I3709" s="16" t="s">
        <v>9427</v>
      </c>
    </row>
    <row r="3710" spans="1:9" x14ac:dyDescent="0.25">
      <c r="A3710" s="16" t="s">
        <v>4636</v>
      </c>
      <c r="B3710" s="16" t="str">
        <f>TEXT(PARTIDA[[#This Row],[PARTIDA]],"0000000000")</f>
        <v>4409229090</v>
      </c>
      <c r="C3710" s="16" t="s">
        <v>815</v>
      </c>
      <c r="D3710" s="16" t="s">
        <v>835</v>
      </c>
      <c r="E3710" s="16" t="s">
        <v>842</v>
      </c>
      <c r="F3710" s="27" t="s">
        <v>4637</v>
      </c>
      <c r="G3710" s="27" t="s">
        <v>852</v>
      </c>
      <c r="H3710" s="16" t="str">
        <f>IF(ISBLANK(PARTIDAS!$G3710),PARTIDAS!$F3710,CONCATENATE(PARTIDAS!$F3710," (",PARTIDAS!$G3710,")"))</f>
        <v>Machihembrado / Decking / Tablillas y frisos / Tableros / Madera moldurada (Especificar)</v>
      </c>
      <c r="I3710" s="16" t="s">
        <v>9427</v>
      </c>
    </row>
    <row r="3711" spans="1:9" x14ac:dyDescent="0.25">
      <c r="A3711" s="16" t="s">
        <v>4638</v>
      </c>
      <c r="B3711" s="16" t="str">
        <f>TEXT(PARTIDA[[#This Row],[PARTIDA]],"0000000000")</f>
        <v>4409291000</v>
      </c>
      <c r="C3711" s="16" t="s">
        <v>815</v>
      </c>
      <c r="D3711" s="16" t="s">
        <v>835</v>
      </c>
      <c r="E3711" s="16" t="s">
        <v>842</v>
      </c>
      <c r="F3711" s="27" t="s">
        <v>4639</v>
      </c>
      <c r="G3711" s="27"/>
      <c r="H3711" s="16" t="str">
        <f>IF(ISBLANK(PARTIDAS!$G3711),PARTIDAS!$F3711,CONCATENATE(PARTIDAS!$F3711," (",PARTIDAS!$G3711,")"))</f>
        <v>Madera tablillas</v>
      </c>
      <c r="I3711" s="16" t="s">
        <v>9427</v>
      </c>
    </row>
    <row r="3712" spans="1:9" x14ac:dyDescent="0.25">
      <c r="A3712" s="16" t="s">
        <v>4640</v>
      </c>
      <c r="B3712" s="16" t="str">
        <f>TEXT(PARTIDA[[#This Row],[PARTIDA]],"0000000000")</f>
        <v>4409292000</v>
      </c>
      <c r="C3712" s="16" t="s">
        <v>815</v>
      </c>
      <c r="D3712" s="16" t="s">
        <v>835</v>
      </c>
      <c r="E3712" s="16" t="s">
        <v>842</v>
      </c>
      <c r="F3712" s="27" t="s">
        <v>4626</v>
      </c>
      <c r="G3712" s="27"/>
      <c r="H3712" s="16" t="str">
        <f>IF(ISBLANK(PARTIDAS!$G3712),PARTIDAS!$F3712,CONCATENATE(PARTIDAS!$F3712," (",PARTIDAS!$G3712,")"))</f>
        <v>Madera moldurada</v>
      </c>
      <c r="I3712" s="16" t="s">
        <v>9427</v>
      </c>
    </row>
    <row r="3713" spans="1:9" x14ac:dyDescent="0.25">
      <c r="A3713" s="16" t="s">
        <v>4641</v>
      </c>
      <c r="B3713" s="16" t="str">
        <f>TEXT(PARTIDA[[#This Row],[PARTIDA]],"0000000000")</f>
        <v>4409299000</v>
      </c>
      <c r="C3713" s="16" t="s">
        <v>815</v>
      </c>
      <c r="D3713" s="16" t="s">
        <v>835</v>
      </c>
      <c r="E3713" s="16" t="s">
        <v>842</v>
      </c>
      <c r="F3713" s="27" t="s">
        <v>4633</v>
      </c>
      <c r="G3713" s="27"/>
      <c r="H3713" s="16" t="str">
        <f>IF(ISBLANK(PARTIDAS!$G3713),PARTIDAS!$F3713,CONCATENATE(PARTIDAS!$F3713," (",PARTIDAS!$G3713,")"))</f>
        <v>Decking</v>
      </c>
      <c r="I3713" s="16" t="s">
        <v>9427</v>
      </c>
    </row>
    <row r="3714" spans="1:9" x14ac:dyDescent="0.25">
      <c r="A3714" s="16" t="s">
        <v>4642</v>
      </c>
      <c r="B3714" s="16" t="str">
        <f>TEXT(PARTIDA[[#This Row],[PARTIDA]],"0000000000")</f>
        <v>4410110000</v>
      </c>
      <c r="C3714" s="16" t="s">
        <v>815</v>
      </c>
      <c r="D3714" s="16" t="s">
        <v>835</v>
      </c>
      <c r="E3714" s="16" t="s">
        <v>842</v>
      </c>
      <c r="F3714" s="27" t="s">
        <v>4643</v>
      </c>
      <c r="G3714" s="27"/>
      <c r="H3714" s="16" t="str">
        <f>IF(ISBLANK(PARTIDAS!$G3714),PARTIDAS!$F3714,CONCATENATE(PARTIDAS!$F3714," (",PARTIDAS!$G3714,")"))</f>
        <v>Tableros</v>
      </c>
      <c r="I3714" s="16" t="s">
        <v>9427</v>
      </c>
    </row>
    <row r="3715" spans="1:9" x14ac:dyDescent="0.25">
      <c r="A3715" s="16" t="s">
        <v>4644</v>
      </c>
      <c r="B3715" s="16" t="str">
        <f>TEXT(PARTIDA[[#This Row],[PARTIDA]],"0000000000")</f>
        <v>4410120000</v>
      </c>
      <c r="C3715" s="16" t="s">
        <v>815</v>
      </c>
      <c r="D3715" s="16" t="s">
        <v>835</v>
      </c>
      <c r="E3715" s="16" t="s">
        <v>842</v>
      </c>
      <c r="F3715" s="27" t="s">
        <v>4643</v>
      </c>
      <c r="G3715" s="27"/>
      <c r="H3715" s="16" t="str">
        <f>IF(ISBLANK(PARTIDAS!$G3715),PARTIDAS!$F3715,CONCATENATE(PARTIDAS!$F3715," (",PARTIDAS!$G3715,")"))</f>
        <v>Tableros</v>
      </c>
      <c r="I3715" s="16" t="s">
        <v>9427</v>
      </c>
    </row>
    <row r="3716" spans="1:9" x14ac:dyDescent="0.25">
      <c r="A3716" s="16" t="s">
        <v>4645</v>
      </c>
      <c r="B3716" s="16" t="str">
        <f>TEXT(PARTIDA[[#This Row],[PARTIDA]],"0000000000")</f>
        <v>4410190000</v>
      </c>
      <c r="C3716" s="16" t="s">
        <v>815</v>
      </c>
      <c r="D3716" s="16" t="s">
        <v>835</v>
      </c>
      <c r="E3716" s="16" t="s">
        <v>842</v>
      </c>
      <c r="F3716" s="27" t="s">
        <v>4643</v>
      </c>
      <c r="G3716" s="27"/>
      <c r="H3716" s="16" t="str">
        <f>IF(ISBLANK(PARTIDAS!$G3716),PARTIDAS!$F3716,CONCATENATE(PARTIDAS!$F3716," (",PARTIDAS!$G3716,")"))</f>
        <v>Tableros</v>
      </c>
      <c r="I3716" s="16" t="s">
        <v>9427</v>
      </c>
    </row>
    <row r="3717" spans="1:9" x14ac:dyDescent="0.25">
      <c r="A3717" s="16" t="s">
        <v>4646</v>
      </c>
      <c r="B3717" s="16" t="str">
        <f>TEXT(PARTIDA[[#This Row],[PARTIDA]],"0000000000")</f>
        <v>4410900000</v>
      </c>
      <c r="C3717" s="16" t="s">
        <v>815</v>
      </c>
      <c r="D3717" s="16" t="s">
        <v>835</v>
      </c>
      <c r="E3717" s="16" t="s">
        <v>842</v>
      </c>
      <c r="F3717" s="27" t="s">
        <v>4643</v>
      </c>
      <c r="G3717" s="27"/>
      <c r="H3717" s="16" t="str">
        <f>IF(ISBLANK(PARTIDAS!$G3717),PARTIDAS!$F3717,CONCATENATE(PARTIDAS!$F3717," (",PARTIDAS!$G3717,")"))</f>
        <v>Tableros</v>
      </c>
      <c r="I3717" s="16" t="s">
        <v>9427</v>
      </c>
    </row>
    <row r="3718" spans="1:9" x14ac:dyDescent="0.25">
      <c r="A3718" s="16" t="s">
        <v>4647</v>
      </c>
      <c r="B3718" s="16" t="str">
        <f>TEXT(PARTIDA[[#This Row],[PARTIDA]],"0000000000")</f>
        <v>4411120000</v>
      </c>
      <c r="C3718" s="16" t="s">
        <v>815</v>
      </c>
      <c r="D3718" s="16" t="s">
        <v>835</v>
      </c>
      <c r="E3718" s="16" t="s">
        <v>842</v>
      </c>
      <c r="F3718" s="27" t="s">
        <v>4643</v>
      </c>
      <c r="G3718" s="27"/>
      <c r="H3718" s="16" t="str">
        <f>IF(ISBLANK(PARTIDAS!$G3718),PARTIDAS!$F3718,CONCATENATE(PARTIDAS!$F3718," (",PARTIDAS!$G3718,")"))</f>
        <v>Tableros</v>
      </c>
      <c r="I3718" s="16" t="s">
        <v>9427</v>
      </c>
    </row>
    <row r="3719" spans="1:9" x14ac:dyDescent="0.25">
      <c r="A3719" s="16" t="s">
        <v>4648</v>
      </c>
      <c r="B3719" s="16" t="str">
        <f>TEXT(PARTIDA[[#This Row],[PARTIDA]],"0000000000")</f>
        <v>4411130000</v>
      </c>
      <c r="C3719" s="16" t="s">
        <v>815</v>
      </c>
      <c r="D3719" s="16" t="s">
        <v>835</v>
      </c>
      <c r="E3719" s="16" t="s">
        <v>842</v>
      </c>
      <c r="F3719" s="27" t="s">
        <v>12579</v>
      </c>
      <c r="G3719" s="27"/>
      <c r="H3719" s="16" t="str">
        <f>IF(ISBLANK(PARTIDAS!$G3719),PARTIDAS!$F3719,CONCATENATE(PARTIDAS!$F3719," (",PARTIDAS!$G3719,")"))</f>
        <v>Tableros de fibra de densidad media (llamados «MDF»), de espesor superior a 5 mm pero inferior o igual a 9 mm</v>
      </c>
      <c r="I3719" s="16" t="s">
        <v>9427</v>
      </c>
    </row>
    <row r="3720" spans="1:9" x14ac:dyDescent="0.25">
      <c r="A3720" s="16" t="s">
        <v>4649</v>
      </c>
      <c r="B3720" s="16" t="str">
        <f>TEXT(PARTIDA[[#This Row],[PARTIDA]],"0000000000")</f>
        <v>4411140000</v>
      </c>
      <c r="C3720" s="16" t="s">
        <v>815</v>
      </c>
      <c r="D3720" s="16" t="s">
        <v>835</v>
      </c>
      <c r="E3720" s="16" t="s">
        <v>842</v>
      </c>
      <c r="F3720" s="27" t="s">
        <v>12580</v>
      </c>
      <c r="G3720" s="27"/>
      <c r="H3720" s="16" t="str">
        <f>IF(ISBLANK(PARTIDAS!$G3720),PARTIDAS!$F3720,CONCATENATE(PARTIDAS!$F3720," (",PARTIDAS!$G3720,")"))</f>
        <v>Tableros de fibra de densidad media (llamados «MDF»), de espesor superior a 9 mm</v>
      </c>
      <c r="I3720" s="16" t="s">
        <v>9427</v>
      </c>
    </row>
    <row r="3721" spans="1:9" x14ac:dyDescent="0.25">
      <c r="A3721" s="16" t="s">
        <v>4650</v>
      </c>
      <c r="B3721" s="16" t="str">
        <f>TEXT(PARTIDA[[#This Row],[PARTIDA]],"0000000000")</f>
        <v>4411920000</v>
      </c>
      <c r="C3721" s="16" t="s">
        <v>815</v>
      </c>
      <c r="D3721" s="16" t="s">
        <v>835</v>
      </c>
      <c r="E3721" s="16" t="s">
        <v>842</v>
      </c>
      <c r="F3721" s="27" t="s">
        <v>4643</v>
      </c>
      <c r="G3721" s="27"/>
      <c r="H3721" s="16" t="str">
        <f>IF(ISBLANK(PARTIDAS!$G3721),PARTIDAS!$F3721,CONCATENATE(PARTIDAS!$F3721," (",PARTIDAS!$G3721,")"))</f>
        <v>Tableros</v>
      </c>
      <c r="I3721" s="16" t="s">
        <v>9477</v>
      </c>
    </row>
    <row r="3722" spans="1:9" x14ac:dyDescent="0.25">
      <c r="A3722" s="16" t="s">
        <v>4651</v>
      </c>
      <c r="B3722" s="16" t="str">
        <f>TEXT(PARTIDA[[#This Row],[PARTIDA]],"0000000000")</f>
        <v>4411930000</v>
      </c>
      <c r="C3722" s="16" t="s">
        <v>815</v>
      </c>
      <c r="D3722" s="16" t="s">
        <v>835</v>
      </c>
      <c r="E3722" s="16" t="s">
        <v>842</v>
      </c>
      <c r="F3722" s="27" t="s">
        <v>12581</v>
      </c>
      <c r="G3722" s="27"/>
      <c r="H3722" s="16" t="str">
        <f>IF(ISBLANK(PARTIDAS!$G3722),PARTIDAS!$F3722,CONCATENATE(PARTIDAS!$F3722," (",PARTIDAS!$G3722,")"))</f>
        <v>Tableros de fibra de madera u otras materias leñosas, incluso…, de densidad superior a 0,5 g/cm³ pero inferior o igual a 0,8 g/cm³</v>
      </c>
      <c r="I3722" s="16" t="s">
        <v>9427</v>
      </c>
    </row>
    <row r="3723" spans="1:9" x14ac:dyDescent="0.25">
      <c r="A3723" s="16" t="s">
        <v>4652</v>
      </c>
      <c r="B3723" s="16" t="str">
        <f>TEXT(PARTIDA[[#This Row],[PARTIDA]],"0000000000")</f>
        <v>4411940000</v>
      </c>
      <c r="C3723" s="16" t="s">
        <v>815</v>
      </c>
      <c r="D3723" s="16" t="s">
        <v>835</v>
      </c>
      <c r="E3723" s="16" t="s">
        <v>842</v>
      </c>
      <c r="F3723" s="27" t="s">
        <v>12582</v>
      </c>
      <c r="G3723" s="27"/>
      <c r="H3723" s="16" t="str">
        <f>IF(ISBLANK(PARTIDAS!$G3723),PARTIDAS!$F3723,CONCATENATE(PARTIDAS!$F3723," (",PARTIDAS!$G3723,")"))</f>
        <v>Tableros de fibra de madera u otras materias leñosas, incluso…, de densidad inferior o igual a 0,5 g/cm³</v>
      </c>
      <c r="I3723" s="16" t="s">
        <v>9427</v>
      </c>
    </row>
    <row r="3724" spans="1:9" x14ac:dyDescent="0.25">
      <c r="A3724" s="16" t="s">
        <v>4653</v>
      </c>
      <c r="B3724" s="16" t="str">
        <f>TEXT(PARTIDA[[#This Row],[PARTIDA]],"0000000000")</f>
        <v>4412100000</v>
      </c>
      <c r="C3724" s="16" t="s">
        <v>815</v>
      </c>
      <c r="D3724" s="16" t="s">
        <v>835</v>
      </c>
      <c r="E3724" s="16" t="s">
        <v>842</v>
      </c>
      <c r="F3724" s="27" t="s">
        <v>12583</v>
      </c>
      <c r="G3724" s="27"/>
      <c r="H3724" s="16" t="str">
        <f>IF(ISBLANK(PARTIDAS!$G3724),PARTIDAS!$F3724,CONCATENATE(PARTIDAS!$F3724," (",PARTIDAS!$G3724,")"))</f>
        <v>Madera contrachapada, madera chapada y madera estratificada similar, de bambú</v>
      </c>
      <c r="I3724" s="16" t="s">
        <v>9427</v>
      </c>
    </row>
    <row r="3725" spans="1:9" x14ac:dyDescent="0.25">
      <c r="A3725" s="16" t="s">
        <v>4654</v>
      </c>
      <c r="B3725" s="16" t="str">
        <f>TEXT(PARTIDA[[#This Row],[PARTIDA]],"0000000000")</f>
        <v>4412310000</v>
      </c>
      <c r="C3725" s="16" t="s">
        <v>815</v>
      </c>
      <c r="D3725" s="16" t="s">
        <v>835</v>
      </c>
      <c r="E3725" s="16" t="s">
        <v>842</v>
      </c>
      <c r="F3725" s="27" t="s">
        <v>4655</v>
      </c>
      <c r="G3725" s="27"/>
      <c r="H3725" s="16" t="str">
        <f>IF(ISBLANK(PARTIDAS!$G3725),PARTIDAS!$F3725,CONCATENATE(PARTIDAS!$F3725," (",PARTIDAS!$G3725,")"))</f>
        <v>Triplay</v>
      </c>
      <c r="I3725" s="16" t="s">
        <v>9427</v>
      </c>
    </row>
    <row r="3726" spans="1:9" x14ac:dyDescent="0.25">
      <c r="A3726" s="16" t="s">
        <v>4656</v>
      </c>
      <c r="B3726" s="16" t="str">
        <f>TEXT(PARTIDA[[#This Row],[PARTIDA]],"0000000000")</f>
        <v>4412330000</v>
      </c>
      <c r="C3726" s="16" t="s">
        <v>815</v>
      </c>
      <c r="D3726" s="16" t="s">
        <v>835</v>
      </c>
      <c r="E3726" s="16" t="s">
        <v>842</v>
      </c>
      <c r="F3726" s="27" t="s">
        <v>12584</v>
      </c>
      <c r="G3726" s="27"/>
      <c r="H3726" s="16" t="str">
        <f>IF(ISBLANK(PARTIDAS!$G3726),PARTIDAS!$F3726,CONCATENATE(PARTIDAS!$F3726," (",PARTIDAS!$G3726,")"))</f>
        <v>Madera contrachapada, madera chapada y madera estratificada similar (los demás, que tengan, por lo menos, una hoja externa de madera distinta de la de</v>
      </c>
      <c r="I3726" s="16" t="s">
        <v>9427</v>
      </c>
    </row>
    <row r="3727" spans="1:9" x14ac:dyDescent="0.25">
      <c r="A3727" s="16" t="s">
        <v>4657</v>
      </c>
      <c r="B3727" s="16" t="str">
        <f>TEXT(PARTIDA[[#This Row],[PARTIDA]],"0000000000")</f>
        <v>4412340000</v>
      </c>
      <c r="C3727" s="16" t="s">
        <v>815</v>
      </c>
      <c r="D3727" s="16" t="s">
        <v>835</v>
      </c>
      <c r="E3727" s="16" t="s">
        <v>842</v>
      </c>
      <c r="F3727" s="27" t="s">
        <v>4655</v>
      </c>
      <c r="G3727" s="27"/>
      <c r="H3727" s="16" t="str">
        <f>IF(ISBLANK(PARTIDAS!$G3727),PARTIDAS!$F3727,CONCATENATE(PARTIDAS!$F3727," (",PARTIDAS!$G3727,")"))</f>
        <v>Triplay</v>
      </c>
      <c r="I3727" s="16" t="s">
        <v>9477</v>
      </c>
    </row>
    <row r="3728" spans="1:9" x14ac:dyDescent="0.25">
      <c r="A3728" s="16" t="s">
        <v>4658</v>
      </c>
      <c r="B3728" s="16" t="str">
        <f>TEXT(PARTIDA[[#This Row],[PARTIDA]],"0000000000")</f>
        <v>4412390000</v>
      </c>
      <c r="C3728" s="16" t="s">
        <v>815</v>
      </c>
      <c r="D3728" s="16" t="s">
        <v>835</v>
      </c>
      <c r="E3728" s="16" t="s">
        <v>842</v>
      </c>
      <c r="F3728" s="27" t="s">
        <v>4655</v>
      </c>
      <c r="G3728" s="27"/>
      <c r="H3728" s="16" t="str">
        <f>IF(ISBLANK(PARTIDAS!$G3728),PARTIDAS!$F3728,CONCATENATE(PARTIDAS!$F3728," (",PARTIDAS!$G3728,")"))</f>
        <v>Triplay</v>
      </c>
      <c r="I3728" s="16" t="s">
        <v>9427</v>
      </c>
    </row>
    <row r="3729" spans="1:9" x14ac:dyDescent="0.25">
      <c r="A3729" s="16" t="s">
        <v>12585</v>
      </c>
      <c r="B3729" s="16" t="str">
        <f>TEXT(PARTIDA[[#This Row],[PARTIDA]],"0000000000")</f>
        <v>4412410000</v>
      </c>
      <c r="C3729" s="16" t="s">
        <v>815</v>
      </c>
      <c r="D3729" s="16" t="s">
        <v>835</v>
      </c>
      <c r="E3729" s="16" t="s">
        <v>842</v>
      </c>
      <c r="F3729" s="27" t="s">
        <v>12586</v>
      </c>
      <c r="G3729" s="27"/>
      <c r="H3729" s="16" t="str">
        <f>IF(ISBLANK(PARTIDAS!$G3729),PARTIDAS!$F3729,CONCATENATE(PARTIDAS!$F3729," (",PARTIDAS!$G3729,")"))</f>
        <v>Madera chapada estratificada (llamada «LVL»), que tenga, por lo menos, una hoja externa de maderas tropicales</v>
      </c>
      <c r="I3729" s="16" t="s">
        <v>9427</v>
      </c>
    </row>
    <row r="3730" spans="1:9" x14ac:dyDescent="0.25">
      <c r="A3730" s="16" t="s">
        <v>12587</v>
      </c>
      <c r="B3730" s="16" t="str">
        <f>TEXT(PARTIDA[[#This Row],[PARTIDA]],"0000000000")</f>
        <v>4412420000</v>
      </c>
      <c r="C3730" s="16" t="s">
        <v>815</v>
      </c>
      <c r="D3730" s="16" t="s">
        <v>835</v>
      </c>
      <c r="E3730" s="16" t="s">
        <v>842</v>
      </c>
      <c r="F3730" s="27" t="s">
        <v>12588</v>
      </c>
      <c r="G3730" s="27"/>
      <c r="H3730" s="16" t="str">
        <f>IF(ISBLANK(PARTIDAS!$G3730),PARTIDAS!$F3730,CONCATENATE(PARTIDAS!$F3730," (",PARTIDAS!$G3730,")"))</f>
        <v>Madera chapada estratificada (llamada «LVL») (los demás, que tengan, por lo menos, una hoja externa de madera distinta de la de coníferas)</v>
      </c>
      <c r="I3730" s="16" t="s">
        <v>9427</v>
      </c>
    </row>
    <row r="3731" spans="1:9" x14ac:dyDescent="0.25">
      <c r="A3731" s="16" t="s">
        <v>12589</v>
      </c>
      <c r="B3731" s="16" t="str">
        <f>TEXT(PARTIDA[[#This Row],[PARTIDA]],"0000000000")</f>
        <v>4412490000</v>
      </c>
      <c r="C3731" s="16" t="s">
        <v>815</v>
      </c>
      <c r="D3731" s="16" t="s">
        <v>835</v>
      </c>
      <c r="E3731" s="16" t="s">
        <v>842</v>
      </c>
      <c r="F3731" s="27" t="s">
        <v>12590</v>
      </c>
      <c r="G3731" s="27"/>
      <c r="H3731" s="16" t="str">
        <f>IF(ISBLANK(PARTIDAS!$G3731),PARTIDAS!$F3731,CONCATENATE(PARTIDAS!$F3731," (",PARTIDAS!$G3731,")"))</f>
        <v>Madera chapada estratificada (llamada «LVL») (los demás, con las dos hojas externas de madera de coníferas)</v>
      </c>
      <c r="I3731" s="16" t="s">
        <v>9427</v>
      </c>
    </row>
    <row r="3732" spans="1:9" x14ac:dyDescent="0.25">
      <c r="A3732" s="16" t="s">
        <v>12591</v>
      </c>
      <c r="B3732" s="16" t="str">
        <f>TEXT(PARTIDA[[#This Row],[PARTIDA]],"0000000000")</f>
        <v>4412510000</v>
      </c>
      <c r="C3732" s="16" t="s">
        <v>815</v>
      </c>
      <c r="D3732" s="16" t="s">
        <v>835</v>
      </c>
      <c r="E3732" s="16" t="s">
        <v>842</v>
      </c>
      <c r="F3732" s="27" t="s">
        <v>12592</v>
      </c>
      <c r="G3732" s="27"/>
      <c r="H3732" s="16" t="str">
        <f>IF(ISBLANK(PARTIDAS!$G3732),PARTIDAS!$F3732,CONCATENATE(PARTIDAS!$F3732," (",PARTIDAS!$G3732,")"))</f>
        <v>Tableros denominados «blockboard», «laminboard» y «battenboard», que tengan, por lo menos, una hoja externa de maderas tropicales</v>
      </c>
      <c r="I3732" s="16" t="s">
        <v>9427</v>
      </c>
    </row>
    <row r="3733" spans="1:9" x14ac:dyDescent="0.25">
      <c r="A3733" s="16" t="s">
        <v>12593</v>
      </c>
      <c r="B3733" s="16" t="str">
        <f>TEXT(PARTIDA[[#This Row],[PARTIDA]],"0000000000")</f>
        <v>4412520000</v>
      </c>
      <c r="C3733" s="16" t="s">
        <v>815</v>
      </c>
      <c r="D3733" s="16" t="s">
        <v>835</v>
      </c>
      <c r="E3733" s="16" t="s">
        <v>842</v>
      </c>
      <c r="F3733" s="27" t="s">
        <v>12594</v>
      </c>
      <c r="G3733" s="27"/>
      <c r="H3733" s="16" t="str">
        <f>IF(ISBLANK(PARTIDAS!$G3733),PARTIDAS!$F3733,CONCATENATE(PARTIDAS!$F3733," (",PARTIDAS!$G3733,")"))</f>
        <v>Tableros denominados «blockboard», «laminboard» y «battenboard» (los demás, que tengan, por lo menos, una hoja externa de madera distinta de la de con</v>
      </c>
      <c r="I3733" s="16" t="s">
        <v>9427</v>
      </c>
    </row>
    <row r="3734" spans="1:9" x14ac:dyDescent="0.25">
      <c r="A3734" s="16" t="s">
        <v>12595</v>
      </c>
      <c r="B3734" s="16" t="str">
        <f>TEXT(PARTIDA[[#This Row],[PARTIDA]],"0000000000")</f>
        <v>4412590000</v>
      </c>
      <c r="C3734" s="16" t="s">
        <v>815</v>
      </c>
      <c r="D3734" s="16" t="s">
        <v>835</v>
      </c>
      <c r="E3734" s="16" t="s">
        <v>842</v>
      </c>
      <c r="F3734" s="27" t="s">
        <v>12596</v>
      </c>
      <c r="G3734" s="27"/>
      <c r="H3734" s="16" t="str">
        <f>IF(ISBLANK(PARTIDAS!$G3734),PARTIDAS!$F3734,CONCATENATE(PARTIDAS!$F3734," (",PARTIDAS!$G3734,")"))</f>
        <v>Tableros denominados «blockboard», «laminboard» y «battenboard» (los demás, con las dos hojas externas de madera de coníferas)</v>
      </c>
      <c r="I3734" s="16" t="s">
        <v>9427</v>
      </c>
    </row>
    <row r="3735" spans="1:9" x14ac:dyDescent="0.25">
      <c r="A3735" s="16" t="s">
        <v>12597</v>
      </c>
      <c r="B3735" s="16" t="str">
        <f>TEXT(PARTIDA[[#This Row],[PARTIDA]],"0000000000")</f>
        <v>4412910000</v>
      </c>
      <c r="C3735" s="16" t="s">
        <v>815</v>
      </c>
      <c r="D3735" s="16" t="s">
        <v>835</v>
      </c>
      <c r="E3735" s="16" t="s">
        <v>842</v>
      </c>
      <c r="F3735" s="27" t="s">
        <v>12598</v>
      </c>
      <c r="G3735" s="27"/>
      <c r="H3735" s="16" t="str">
        <f>IF(ISBLANK(PARTIDAS!$G3735),PARTIDAS!$F3735,CONCATENATE(PARTIDAS!$F3735," (",PARTIDAS!$G3735,")"))</f>
        <v>Madera contrachapada, madera chapada y madera estratificada similar, que tengan, por lo menos, una hoja externa de maderas tropicales</v>
      </c>
      <c r="I3735" s="16" t="s">
        <v>9427</v>
      </c>
    </row>
    <row r="3736" spans="1:9" x14ac:dyDescent="0.25">
      <c r="A3736" s="16" t="s">
        <v>12599</v>
      </c>
      <c r="B3736" s="16" t="str">
        <f>TEXT(PARTIDA[[#This Row],[PARTIDA]],"0000000000")</f>
        <v>4412920000</v>
      </c>
      <c r="C3736" s="16" t="s">
        <v>815</v>
      </c>
      <c r="D3736" s="16" t="s">
        <v>835</v>
      </c>
      <c r="E3736" s="16" t="s">
        <v>842</v>
      </c>
      <c r="F3736" s="27" t="s">
        <v>12584</v>
      </c>
      <c r="G3736" s="27"/>
      <c r="H3736" s="16" t="str">
        <f>IF(ISBLANK(PARTIDAS!$G3736),PARTIDAS!$F3736,CONCATENATE(PARTIDAS!$F3736," (",PARTIDAS!$G3736,")"))</f>
        <v>Madera contrachapada, madera chapada y madera estratificada similar (los demás, que tengan, por lo menos, una hoja externa de madera distinta de la de</v>
      </c>
      <c r="I3736" s="16" t="s">
        <v>9427</v>
      </c>
    </row>
    <row r="3737" spans="1:9" x14ac:dyDescent="0.25">
      <c r="A3737" s="16" t="s">
        <v>4659</v>
      </c>
      <c r="B3737" s="16" t="str">
        <f>TEXT(PARTIDA[[#This Row],[PARTIDA]],"0000000000")</f>
        <v>4412940000</v>
      </c>
      <c r="C3737" s="16" t="s">
        <v>815</v>
      </c>
      <c r="D3737" s="16" t="s">
        <v>835</v>
      </c>
      <c r="E3737" s="16" t="s">
        <v>842</v>
      </c>
      <c r="F3737" s="27" t="s">
        <v>12600</v>
      </c>
      <c r="G3737" s="27"/>
      <c r="H3737" s="16" t="str">
        <f>IF(ISBLANK(PARTIDAS!$G3737),PARTIDAS!$F3737,CONCATENATE(PARTIDAS!$F3737," (",PARTIDAS!$G3737,")"))</f>
        <v>Tableros denominados «blockboard», «laminboard» y «battenboard»</v>
      </c>
      <c r="I3737" s="16" t="s">
        <v>9648</v>
      </c>
    </row>
    <row r="3738" spans="1:9" x14ac:dyDescent="0.25">
      <c r="A3738" s="16" t="s">
        <v>4660</v>
      </c>
      <c r="B3738" s="16" t="str">
        <f>TEXT(PARTIDA[[#This Row],[PARTIDA]],"0000000000")</f>
        <v>4412990000</v>
      </c>
      <c r="C3738" s="16" t="s">
        <v>815</v>
      </c>
      <c r="D3738" s="16" t="s">
        <v>835</v>
      </c>
      <c r="E3738" s="16" t="s">
        <v>842</v>
      </c>
      <c r="F3738" s="27" t="s">
        <v>12601</v>
      </c>
      <c r="G3738" s="27"/>
      <c r="H3738" s="16" t="str">
        <f>IF(ISBLANK(PARTIDAS!$G3738),PARTIDAS!$F3738,CONCATENATE(PARTIDAS!$F3738," (",PARTIDAS!$G3738,")"))</f>
        <v>Madera contrachapada, madera chapada y madera estratificada similar (los demás, con las dos hojas externas de madera de coníferas)</v>
      </c>
      <c r="I3738" s="16" t="s">
        <v>9427</v>
      </c>
    </row>
    <row r="3739" spans="1:9" x14ac:dyDescent="0.25">
      <c r="A3739" s="16" t="s">
        <v>4661</v>
      </c>
      <c r="B3739" s="16" t="str">
        <f>TEXT(PARTIDA[[#This Row],[PARTIDA]],"0000000000")</f>
        <v>4413000000</v>
      </c>
      <c r="C3739" s="16" t="s">
        <v>815</v>
      </c>
      <c r="D3739" s="16" t="s">
        <v>835</v>
      </c>
      <c r="E3739" s="16" t="s">
        <v>842</v>
      </c>
      <c r="F3739" s="27" t="s">
        <v>4662</v>
      </c>
      <c r="G3739" s="27"/>
      <c r="H3739" s="16" t="str">
        <f>IF(ISBLANK(PARTIDAS!$G3739),PARTIDAS!$F3739,CONCATENATE(PARTIDAS!$F3739," (",PARTIDAS!$G3739,")"))</f>
        <v>Madera densificada en bloques, tablas, tiras o perfiles</v>
      </c>
      <c r="I3739" s="16" t="s">
        <v>9427</v>
      </c>
    </row>
    <row r="3740" spans="1:9" x14ac:dyDescent="0.25">
      <c r="A3740" s="16" t="s">
        <v>4663</v>
      </c>
      <c r="B3740" s="16" t="str">
        <f>TEXT(PARTIDA[[#This Row],[PARTIDA]],"0000000000")</f>
        <v>4414000000</v>
      </c>
      <c r="C3740" s="16" t="s">
        <v>815</v>
      </c>
      <c r="D3740" s="16" t="s">
        <v>835</v>
      </c>
      <c r="E3740" s="16" t="s">
        <v>842</v>
      </c>
      <c r="F3740" s="27" t="s">
        <v>4664</v>
      </c>
      <c r="G3740" s="27"/>
      <c r="H3740" s="16" t="str">
        <f>IF(ISBLANK(PARTIDAS!$G3740),PARTIDAS!$F3740,CONCATENATE(PARTIDAS!$F3740," (",PARTIDAS!$G3740,")"))</f>
        <v>Marcos de madera para cuadros, fotografías,
espejos u objetos similares.</v>
      </c>
      <c r="I3740" s="16" t="s">
        <v>9648</v>
      </c>
    </row>
    <row r="3741" spans="1:9" x14ac:dyDescent="0.25">
      <c r="A3741" s="16" t="s">
        <v>12602</v>
      </c>
      <c r="B3741" s="16" t="str">
        <f>TEXT(PARTIDA[[#This Row],[PARTIDA]],"0000000000")</f>
        <v>4414100000</v>
      </c>
      <c r="C3741" s="16" t="s">
        <v>815</v>
      </c>
      <c r="D3741" s="16" t="s">
        <v>835</v>
      </c>
      <c r="E3741" s="16" t="s">
        <v>842</v>
      </c>
      <c r="F3741" s="27" t="s">
        <v>12603</v>
      </c>
      <c r="G3741" s="27"/>
      <c r="H3741" s="16" t="str">
        <f>IF(ISBLANK(PARTIDAS!$G3741),PARTIDAS!$F3741,CONCATENATE(PARTIDAS!$F3741," (",PARTIDAS!$G3741,")"))</f>
        <v>Marcos de madera para cuadros, fotografías, espejos u objetos…, de maderas tropicales</v>
      </c>
      <c r="I3741" s="16" t="s">
        <v>9427</v>
      </c>
    </row>
    <row r="3742" spans="1:9" x14ac:dyDescent="0.25">
      <c r="A3742" s="16" t="s">
        <v>12604</v>
      </c>
      <c r="B3742" s="16" t="str">
        <f>TEXT(PARTIDA[[#This Row],[PARTIDA]],"0000000000")</f>
        <v>4414900000</v>
      </c>
      <c r="C3742" s="16" t="s">
        <v>815</v>
      </c>
      <c r="D3742" s="16" t="s">
        <v>835</v>
      </c>
      <c r="E3742" s="16" t="s">
        <v>842</v>
      </c>
      <c r="F3742" s="27" t="s">
        <v>12605</v>
      </c>
      <c r="G3742" s="27"/>
      <c r="H3742" s="16" t="str">
        <f>IF(ISBLANK(PARTIDAS!$G3742),PARTIDAS!$F3742,CONCATENATE(PARTIDAS!$F3742," (",PARTIDAS!$G3742,")"))</f>
        <v>Marcos de madera para cuadros, fotografías, espejos u objetos… (los demás)</v>
      </c>
      <c r="I3742" s="16" t="s">
        <v>9427</v>
      </c>
    </row>
    <row r="3743" spans="1:9" x14ac:dyDescent="0.25">
      <c r="A3743" s="16" t="s">
        <v>4665</v>
      </c>
      <c r="B3743" s="16" t="str">
        <f>TEXT(PARTIDA[[#This Row],[PARTIDA]],"0000000000")</f>
        <v>4415100000</v>
      </c>
      <c r="C3743" s="16" t="s">
        <v>815</v>
      </c>
      <c r="D3743" s="16" t="s">
        <v>835</v>
      </c>
      <c r="E3743" s="16" t="s">
        <v>842</v>
      </c>
      <c r="F3743" s="27" t="s">
        <v>12606</v>
      </c>
      <c r="G3743" s="27"/>
      <c r="H3743" s="16" t="str">
        <f>IF(ISBLANK(PARTIDAS!$G3743),PARTIDAS!$F3743,CONCATENATE(PARTIDAS!$F3743," (",PARTIDAS!$G3743,")"))</f>
        <v>Cajones, cajas, jaulas, tambores y envases similares; carretes para cables</v>
      </c>
      <c r="I3743" s="16" t="s">
        <v>9427</v>
      </c>
    </row>
    <row r="3744" spans="1:9" x14ac:dyDescent="0.25">
      <c r="A3744" s="16" t="s">
        <v>4666</v>
      </c>
      <c r="B3744" s="16" t="str">
        <f>TEXT(PARTIDA[[#This Row],[PARTIDA]],"0000000000")</f>
        <v>4415200000</v>
      </c>
      <c r="C3744" s="16" t="s">
        <v>815</v>
      </c>
      <c r="D3744" s="16" t="s">
        <v>835</v>
      </c>
      <c r="E3744" s="16" t="s">
        <v>842</v>
      </c>
      <c r="F3744" s="27" t="s">
        <v>12607</v>
      </c>
      <c r="G3744" s="27"/>
      <c r="H3744" s="16" t="str">
        <f>IF(ISBLANK(PARTIDAS!$G3744),PARTIDAS!$F3744,CONCATENATE(PARTIDAS!$F3744," (",PARTIDAS!$G3744,")"))</f>
        <v>Paletas, paletas caja y demás plataformas para carga; collarines para paletas</v>
      </c>
      <c r="I3744" s="16" t="s">
        <v>9427</v>
      </c>
    </row>
    <row r="3745" spans="1:9" x14ac:dyDescent="0.25">
      <c r="A3745" s="16" t="s">
        <v>4667</v>
      </c>
      <c r="B3745" s="16" t="str">
        <f>TEXT(PARTIDA[[#This Row],[PARTIDA]],"0000000000")</f>
        <v>4416000000</v>
      </c>
      <c r="C3745" s="16" t="s">
        <v>815</v>
      </c>
      <c r="D3745" s="16" t="s">
        <v>835</v>
      </c>
      <c r="E3745" s="16" t="s">
        <v>842</v>
      </c>
      <c r="F3745" s="27" t="s">
        <v>4668</v>
      </c>
      <c r="G3745" s="27"/>
      <c r="H3745" s="16" t="str">
        <f>IF(ISBLANK(PARTIDAS!$G3745),PARTIDAS!$F3745,CONCATENATE(PARTIDAS!$F3745," (",PARTIDAS!$G3745,")"))</f>
        <v>Barriles, cubas, tinas y demás manufacturas de
tonelería y sus partes, de madera, incluidas las
duelas.</v>
      </c>
      <c r="I3745" s="16" t="s">
        <v>9427</v>
      </c>
    </row>
    <row r="3746" spans="1:9" x14ac:dyDescent="0.25">
      <c r="A3746" s="16" t="s">
        <v>4669</v>
      </c>
      <c r="B3746" s="16" t="str">
        <f>TEXT(PARTIDA[[#This Row],[PARTIDA]],"0000000000")</f>
        <v>4417001000</v>
      </c>
      <c r="C3746" s="16" t="s">
        <v>815</v>
      </c>
      <c r="D3746" s="16" t="s">
        <v>835</v>
      </c>
      <c r="E3746" s="16" t="s">
        <v>842</v>
      </c>
      <c r="F3746" s="27" t="s">
        <v>876</v>
      </c>
      <c r="G3746" s="27"/>
      <c r="H3746" s="16" t="str">
        <f>IF(ISBLANK(PARTIDAS!$G3746),PARTIDAS!$F3746,CONCATENATE(PARTIDAS!$F3746," (",PARTIDAS!$G3746,")"))</f>
        <v>Herramientas</v>
      </c>
      <c r="I3746" s="16" t="s">
        <v>9427</v>
      </c>
    </row>
    <row r="3747" spans="1:9" x14ac:dyDescent="0.25">
      <c r="A3747" s="16" t="s">
        <v>4670</v>
      </c>
      <c r="B3747" s="16" t="str">
        <f>TEXT(PARTIDA[[#This Row],[PARTIDA]],"0000000000")</f>
        <v>4417009000</v>
      </c>
      <c r="C3747" s="16" t="s">
        <v>815</v>
      </c>
      <c r="D3747" s="16" t="s">
        <v>835</v>
      </c>
      <c r="E3747" s="16" t="s">
        <v>842</v>
      </c>
      <c r="F3747" s="27" t="s">
        <v>12608</v>
      </c>
      <c r="G3747" s="27"/>
      <c r="H3747" s="16" t="str">
        <f>IF(ISBLANK(PARTIDAS!$G3747),PARTIDAS!$F3747,CONCATENATE(PARTIDAS!$F3747," (",PARTIDAS!$G3747,")"))</f>
        <v>Cajones, cajas, jaulas, tambores y envases similares, de madera (los demás)</v>
      </c>
      <c r="I3747" s="16" t="s">
        <v>9427</v>
      </c>
    </row>
    <row r="3748" spans="1:9" x14ac:dyDescent="0.25">
      <c r="A3748" s="16" t="s">
        <v>4671</v>
      </c>
      <c r="B3748" s="16" t="str">
        <f>TEXT(PARTIDA[[#This Row],[PARTIDA]],"0000000000")</f>
        <v>4418100000</v>
      </c>
      <c r="C3748" s="16" t="s">
        <v>860</v>
      </c>
      <c r="D3748" s="16" t="s">
        <v>861</v>
      </c>
      <c r="E3748" s="16" t="s">
        <v>9473</v>
      </c>
      <c r="F3748" s="27" t="s">
        <v>12609</v>
      </c>
      <c r="G3748" s="27"/>
      <c r="H3748" s="16" t="str">
        <f>IF(ISBLANK(PARTIDAS!$G3748),PARTIDAS!$F3748,CONCATENATE(PARTIDAS!$F3748," (",PARTIDAS!$G3748,")"))</f>
        <v>Ventanas, puertas vidriera, y sus marcos y contramarcos</v>
      </c>
      <c r="I3748" s="16" t="s">
        <v>9648</v>
      </c>
    </row>
    <row r="3749" spans="1:9" x14ac:dyDescent="0.25">
      <c r="A3749" s="16" t="s">
        <v>12610</v>
      </c>
      <c r="B3749" s="16" t="str">
        <f>TEXT(PARTIDA[[#This Row],[PARTIDA]],"0000000000")</f>
        <v>4418110000</v>
      </c>
      <c r="C3749" s="16" t="s">
        <v>860</v>
      </c>
      <c r="D3749" s="16" t="s">
        <v>861</v>
      </c>
      <c r="E3749" s="16" t="s">
        <v>9473</v>
      </c>
      <c r="F3749" s="27" t="s">
        <v>12611</v>
      </c>
      <c r="G3749" s="27"/>
      <c r="H3749" s="16" t="str">
        <f>IF(ISBLANK(PARTIDAS!$G3749),PARTIDAS!$F3749,CONCATENATE(PARTIDAS!$F3749," (",PARTIDAS!$G3749,")"))</f>
        <v>Ventanas, puertas vidriera, y sus marcos y contramarcos, de maderas tropicales</v>
      </c>
      <c r="I3749" s="16" t="s">
        <v>9427</v>
      </c>
    </row>
    <row r="3750" spans="1:9" x14ac:dyDescent="0.25">
      <c r="A3750" s="16" t="s">
        <v>12612</v>
      </c>
      <c r="B3750" s="16" t="str">
        <f>TEXT(PARTIDA[[#This Row],[PARTIDA]],"0000000000")</f>
        <v>4418190000</v>
      </c>
      <c r="C3750" s="16" t="s">
        <v>860</v>
      </c>
      <c r="D3750" s="16" t="s">
        <v>861</v>
      </c>
      <c r="E3750" s="16" t="s">
        <v>9473</v>
      </c>
      <c r="F3750" s="27" t="s">
        <v>12613</v>
      </c>
      <c r="G3750" s="27"/>
      <c r="H3750" s="16" t="str">
        <f>IF(ISBLANK(PARTIDAS!$G3750),PARTIDAS!$F3750,CONCATENATE(PARTIDAS!$F3750," (",PARTIDAS!$G3750,")"))</f>
        <v>Ventanas, puertas vidriera, y sus marcos y contramarcos (los demás)</v>
      </c>
      <c r="I3750" s="16" t="s">
        <v>9427</v>
      </c>
    </row>
    <row r="3751" spans="1:9" x14ac:dyDescent="0.25">
      <c r="A3751" s="16" t="s">
        <v>4672</v>
      </c>
      <c r="B3751" s="16" t="str">
        <f>TEXT(PARTIDA[[#This Row],[PARTIDA]],"0000000000")</f>
        <v>4418200000</v>
      </c>
      <c r="C3751" s="16" t="s">
        <v>860</v>
      </c>
      <c r="D3751" s="16" t="s">
        <v>861</v>
      </c>
      <c r="E3751" s="16" t="s">
        <v>9473</v>
      </c>
      <c r="F3751" s="27" t="s">
        <v>4673</v>
      </c>
      <c r="G3751" s="27"/>
      <c r="H3751" s="16" t="str">
        <f>IF(ISBLANK(PARTIDAS!$G3751),PARTIDAS!$F3751,CONCATENATE(PARTIDAS!$F3751," (",PARTIDAS!$G3751,")"))</f>
        <v>Puertas y sus marcos, contramarcos y umbrales</v>
      </c>
      <c r="I3751" s="16" t="s">
        <v>9648</v>
      </c>
    </row>
    <row r="3752" spans="1:9" x14ac:dyDescent="0.25">
      <c r="A3752" s="16" t="s">
        <v>12614</v>
      </c>
      <c r="B3752" s="16" t="str">
        <f>TEXT(PARTIDA[[#This Row],[PARTIDA]],"0000000000")</f>
        <v>4418210000</v>
      </c>
      <c r="C3752" s="16" t="s">
        <v>860</v>
      </c>
      <c r="D3752" s="16" t="s">
        <v>861</v>
      </c>
      <c r="E3752" s="16" t="s">
        <v>9473</v>
      </c>
      <c r="F3752" s="27" t="s">
        <v>12615</v>
      </c>
      <c r="G3752" s="27"/>
      <c r="H3752" s="16" t="str">
        <f>IF(ISBLANK(PARTIDAS!$G3752),PARTIDAS!$F3752,CONCATENATE(PARTIDAS!$F3752," (",PARTIDAS!$G3752,")"))</f>
        <v>Puertas y sus marcos, contramarcos y umbrales, de maderas tropicales</v>
      </c>
      <c r="I3752" s="16" t="s">
        <v>9427</v>
      </c>
    </row>
    <row r="3753" spans="1:9" x14ac:dyDescent="0.25">
      <c r="A3753" s="16" t="s">
        <v>12616</v>
      </c>
      <c r="B3753" s="16" t="str">
        <f>TEXT(PARTIDA[[#This Row],[PARTIDA]],"0000000000")</f>
        <v>4418290000</v>
      </c>
      <c r="C3753" s="16" t="s">
        <v>860</v>
      </c>
      <c r="D3753" s="16" t="s">
        <v>861</v>
      </c>
      <c r="E3753" s="16" t="s">
        <v>9473</v>
      </c>
      <c r="F3753" s="27" t="s">
        <v>12617</v>
      </c>
      <c r="G3753" s="27"/>
      <c r="H3753" s="16" t="str">
        <f>IF(ISBLANK(PARTIDAS!$G3753),PARTIDAS!$F3753,CONCATENATE(PARTIDAS!$F3753," (",PARTIDAS!$G3753,")"))</f>
        <v>Puertas y sus marcos, contramarcos y umbrales (los demás)</v>
      </c>
      <c r="I3753" s="16" t="s">
        <v>9427</v>
      </c>
    </row>
    <row r="3754" spans="1:9" x14ac:dyDescent="0.25">
      <c r="A3754" s="16" t="s">
        <v>12618</v>
      </c>
      <c r="B3754" s="16" t="str">
        <f>TEXT(PARTIDA[[#This Row],[PARTIDA]],"0000000000")</f>
        <v>4418300000</v>
      </c>
      <c r="C3754" s="16" t="s">
        <v>860</v>
      </c>
      <c r="D3754" s="16" t="s">
        <v>861</v>
      </c>
      <c r="E3754" s="16" t="s">
        <v>9473</v>
      </c>
      <c r="F3754" s="27" t="s">
        <v>12619</v>
      </c>
      <c r="G3754" s="27"/>
      <c r="H3754" s="16" t="str">
        <f>IF(ISBLANK(PARTIDAS!$G3754),PARTIDAS!$F3754,CONCATENATE(PARTIDAS!$F3754," (",PARTIDAS!$G3754,")"))</f>
        <v>Postes y vigas, distintos de los productos de las subpartidas 4418.81 a 4418.89</v>
      </c>
      <c r="I3754" s="16" t="s">
        <v>9427</v>
      </c>
    </row>
    <row r="3755" spans="1:9" x14ac:dyDescent="0.25">
      <c r="A3755" s="16" t="s">
        <v>4674</v>
      </c>
      <c r="B3755" s="16" t="str">
        <f>TEXT(PARTIDA[[#This Row],[PARTIDA]],"0000000000")</f>
        <v>4418400000</v>
      </c>
      <c r="C3755" s="16" t="s">
        <v>860</v>
      </c>
      <c r="D3755" s="16" t="s">
        <v>861</v>
      </c>
      <c r="E3755" s="16" t="s">
        <v>9473</v>
      </c>
      <c r="F3755" s="27" t="s">
        <v>12620</v>
      </c>
      <c r="G3755" s="27"/>
      <c r="H3755" s="16" t="str">
        <f>IF(ISBLANK(PARTIDAS!$G3755),PARTIDAS!$F3755,CONCATENATE(PARTIDAS!$F3755," (",PARTIDAS!$G3755,")"))</f>
        <v>Encofrados para hormigón</v>
      </c>
      <c r="I3755" s="16" t="s">
        <v>9427</v>
      </c>
    </row>
    <row r="3756" spans="1:9" x14ac:dyDescent="0.25">
      <c r="A3756" s="16" t="s">
        <v>4675</v>
      </c>
      <c r="B3756" s="16" t="str">
        <f>TEXT(PARTIDA[[#This Row],[PARTIDA]],"0000000000")</f>
        <v>4418500000</v>
      </c>
      <c r="C3756" s="16" t="s">
        <v>860</v>
      </c>
      <c r="D3756" s="16" t="s">
        <v>861</v>
      </c>
      <c r="E3756" s="16" t="s">
        <v>9473</v>
      </c>
      <c r="F3756" s="27" t="s">
        <v>4676</v>
      </c>
      <c r="G3756" s="27"/>
      <c r="H3756" s="16" t="str">
        <f>IF(ISBLANK(PARTIDAS!$G3756),PARTIDAS!$F3756,CONCATENATE(PARTIDAS!$F3756," (",PARTIDAS!$G3756,")"))</f>
        <v>Tablillas para cubierta de tejados o fachadas</v>
      </c>
      <c r="I3756" s="16" t="s">
        <v>9427</v>
      </c>
    </row>
    <row r="3757" spans="1:9" x14ac:dyDescent="0.25">
      <c r="A3757" s="16" t="s">
        <v>4677</v>
      </c>
      <c r="B3757" s="16" t="str">
        <f>TEXT(PARTIDA[[#This Row],[PARTIDA]],"0000000000")</f>
        <v>4418600000</v>
      </c>
      <c r="C3757" s="16" t="s">
        <v>860</v>
      </c>
      <c r="D3757" s="16" t="s">
        <v>861</v>
      </c>
      <c r="E3757" s="16" t="s">
        <v>9473</v>
      </c>
      <c r="F3757" s="27" t="s">
        <v>4678</v>
      </c>
      <c r="G3757" s="27"/>
      <c r="H3757" s="16" t="str">
        <f>IF(ISBLANK(PARTIDAS!$G3757),PARTIDAS!$F3757,CONCATENATE(PARTIDAS!$F3757," (",PARTIDAS!$G3757,")"))</f>
        <v>Postes y vigas</v>
      </c>
      <c r="I3757" s="16" t="s">
        <v>9648</v>
      </c>
    </row>
    <row r="3758" spans="1:9" x14ac:dyDescent="0.25">
      <c r="A3758" s="16" t="s">
        <v>4679</v>
      </c>
      <c r="B3758" s="16" t="str">
        <f>TEXT(PARTIDA[[#This Row],[PARTIDA]],"0000000000")</f>
        <v>4418730000</v>
      </c>
      <c r="C3758" s="16" t="s">
        <v>860</v>
      </c>
      <c r="D3758" s="16" t="s">
        <v>861</v>
      </c>
      <c r="E3758" s="16" t="s">
        <v>9473</v>
      </c>
      <c r="F3758" s="27" t="s">
        <v>12621</v>
      </c>
      <c r="G3758" s="27"/>
      <c r="H3758" s="16" t="str">
        <f>IF(ISBLANK(PARTIDAS!$G3758),PARTIDAS!$F3758,CONCATENATE(PARTIDAS!$F3758," (",PARTIDAS!$G3758,")"))</f>
        <v>Tableros ensamblados para revestimiento de suelo, de bambú o que tengan, por lo menos, la capa superior de bambú</v>
      </c>
      <c r="I3758" s="16" t="s">
        <v>9427</v>
      </c>
    </row>
    <row r="3759" spans="1:9" x14ac:dyDescent="0.25">
      <c r="A3759" s="16" t="s">
        <v>4680</v>
      </c>
      <c r="B3759" s="16" t="str">
        <f>TEXT(PARTIDA[[#This Row],[PARTIDA]],"0000000000")</f>
        <v>4418740000</v>
      </c>
      <c r="C3759" s="16" t="s">
        <v>860</v>
      </c>
      <c r="D3759" s="16" t="s">
        <v>861</v>
      </c>
      <c r="E3759" s="16" t="s">
        <v>9473</v>
      </c>
      <c r="F3759" s="27" t="s">
        <v>12622</v>
      </c>
      <c r="G3759" s="27"/>
      <c r="H3759" s="16" t="str">
        <f>IF(ISBLANK(PARTIDAS!$G3759),PARTIDAS!$F3759,CONCATENATE(PARTIDAS!$F3759," (",PARTIDAS!$G3759,")"))</f>
        <v>Tableros ensamblados para revestimiento de suelo (los demás, para suelos en mosaico)</v>
      </c>
      <c r="I3759" s="16" t="s">
        <v>9427</v>
      </c>
    </row>
    <row r="3760" spans="1:9" x14ac:dyDescent="0.25">
      <c r="A3760" s="16" t="s">
        <v>4681</v>
      </c>
      <c r="B3760" s="16" t="str">
        <f>TEXT(PARTIDA[[#This Row],[PARTIDA]],"0000000000")</f>
        <v>4418750000</v>
      </c>
      <c r="C3760" s="16" t="s">
        <v>860</v>
      </c>
      <c r="D3760" s="16" t="s">
        <v>861</v>
      </c>
      <c r="E3760" s="16" t="s">
        <v>9473</v>
      </c>
      <c r="F3760" s="27" t="s">
        <v>12623</v>
      </c>
      <c r="G3760" s="27"/>
      <c r="H3760" s="16" t="str">
        <f>IF(ISBLANK(PARTIDAS!$G3760),PARTIDAS!$F3760,CONCATENATE(PARTIDAS!$F3760," (",PARTIDAS!$G3760,")"))</f>
        <v>Tableros ensamblados para revestimiento de suelo (los demás, multicapas)</v>
      </c>
      <c r="I3760" s="16" t="s">
        <v>9427</v>
      </c>
    </row>
    <row r="3761" spans="1:9" x14ac:dyDescent="0.25">
      <c r="A3761" s="16" t="s">
        <v>4682</v>
      </c>
      <c r="B3761" s="16" t="str">
        <f>TEXT(PARTIDA[[#This Row],[PARTIDA]],"0000000000")</f>
        <v>4418790000</v>
      </c>
      <c r="C3761" s="16" t="s">
        <v>860</v>
      </c>
      <c r="D3761" s="16" t="s">
        <v>861</v>
      </c>
      <c r="E3761" s="16" t="s">
        <v>9473</v>
      </c>
      <c r="F3761" s="27" t="s">
        <v>4643</v>
      </c>
      <c r="G3761" s="27"/>
      <c r="H3761" s="16" t="str">
        <f>IF(ISBLANK(PARTIDAS!$G3761),PARTIDAS!$F3761,CONCATENATE(PARTIDAS!$F3761," (",PARTIDAS!$G3761,")"))</f>
        <v>Tableros</v>
      </c>
      <c r="I3761" s="16" t="s">
        <v>9427</v>
      </c>
    </row>
    <row r="3762" spans="1:9" x14ac:dyDescent="0.25">
      <c r="A3762" s="16" t="s">
        <v>12624</v>
      </c>
      <c r="B3762" s="16" t="str">
        <f>TEXT(PARTIDA[[#This Row],[PARTIDA]],"0000000000")</f>
        <v>4418810000</v>
      </c>
      <c r="C3762" s="16" t="s">
        <v>860</v>
      </c>
      <c r="D3762" s="16" t="s">
        <v>861</v>
      </c>
      <c r="E3762" s="16" t="s">
        <v>9473</v>
      </c>
      <c r="F3762" s="27" t="s">
        <v>12625</v>
      </c>
      <c r="G3762" s="27"/>
      <c r="H3762" s="16" t="str">
        <f>IF(ISBLANK(PARTIDAS!$G3762),PARTIDAS!$F3762,CONCATENATE(PARTIDAS!$F3762," (",PARTIDAS!$G3762,")"))</f>
        <v>Madera laminada-encolada (llamada «glulam»)</v>
      </c>
      <c r="I3762" s="16" t="s">
        <v>9427</v>
      </c>
    </row>
    <row r="3763" spans="1:9" x14ac:dyDescent="0.25">
      <c r="A3763" s="16" t="s">
        <v>12626</v>
      </c>
      <c r="B3763" s="16" t="str">
        <f>TEXT(PARTIDA[[#This Row],[PARTIDA]],"0000000000")</f>
        <v>4418820000</v>
      </c>
      <c r="C3763" s="16" t="s">
        <v>860</v>
      </c>
      <c r="D3763" s="16" t="s">
        <v>861</v>
      </c>
      <c r="E3763" s="16" t="s">
        <v>9473</v>
      </c>
      <c r="F3763" s="27" t="s">
        <v>12627</v>
      </c>
      <c r="G3763" s="27"/>
      <c r="H3763" s="16" t="str">
        <f>IF(ISBLANK(PARTIDAS!$G3763),PARTIDAS!$F3763,CONCATENATE(PARTIDAS!$F3763," (",PARTIDAS!$G3763,")"))</f>
        <v>Madera laminada cruzada (contralaminada) (llamada «CLT» o «X-lam»)</v>
      </c>
      <c r="I3763" s="16" t="s">
        <v>9427</v>
      </c>
    </row>
    <row r="3764" spans="1:9" x14ac:dyDescent="0.25">
      <c r="A3764" s="16" t="s">
        <v>12628</v>
      </c>
      <c r="B3764" s="16" t="str">
        <f>TEXT(PARTIDA[[#This Row],[PARTIDA]],"0000000000")</f>
        <v>4418830000</v>
      </c>
      <c r="C3764" s="16" t="s">
        <v>860</v>
      </c>
      <c r="D3764" s="16" t="s">
        <v>861</v>
      </c>
      <c r="E3764" s="16" t="s">
        <v>9473</v>
      </c>
      <c r="F3764" s="27" t="s">
        <v>12629</v>
      </c>
      <c r="G3764" s="27"/>
      <c r="H3764" s="16" t="str">
        <f>IF(ISBLANK(PARTIDAS!$G3764),PARTIDAS!$F3764,CONCATENATE(PARTIDAS!$F3764," (",PARTIDAS!$G3764,")"))</f>
        <v>Vigas en I</v>
      </c>
      <c r="I3764" s="16" t="s">
        <v>9427</v>
      </c>
    </row>
    <row r="3765" spans="1:9" x14ac:dyDescent="0.25">
      <c r="A3765" s="16" t="s">
        <v>12630</v>
      </c>
      <c r="B3765" s="16" t="str">
        <f>TEXT(PARTIDA[[#This Row],[PARTIDA]],"0000000000")</f>
        <v>4418890000</v>
      </c>
      <c r="C3765" s="16" t="s">
        <v>860</v>
      </c>
      <c r="D3765" s="16" t="s">
        <v>861</v>
      </c>
      <c r="E3765" s="16" t="s">
        <v>9473</v>
      </c>
      <c r="F3765" s="27" t="s">
        <v>12631</v>
      </c>
      <c r="G3765" s="27"/>
      <c r="H3765" s="16" t="str">
        <f>IF(ISBLANK(PARTIDAS!$G3765),PARTIDAS!$F3765,CONCATENATE(PARTIDAS!$F3765," (",PARTIDAS!$G3765,")"))</f>
        <v>Productos de madera de ingeniería estructural (los demás)</v>
      </c>
      <c r="I3765" s="16" t="s">
        <v>9427</v>
      </c>
    </row>
    <row r="3766" spans="1:9" x14ac:dyDescent="0.25">
      <c r="A3766" s="16" t="s">
        <v>4683</v>
      </c>
      <c r="B3766" s="16" t="str">
        <f>TEXT(PARTIDA[[#This Row],[PARTIDA]],"0000000000")</f>
        <v>4418911000</v>
      </c>
      <c r="C3766" s="16" t="s">
        <v>860</v>
      </c>
      <c r="D3766" s="16" t="s">
        <v>861</v>
      </c>
      <c r="E3766" s="16" t="s">
        <v>9473</v>
      </c>
      <c r="F3766" s="27" t="s">
        <v>4643</v>
      </c>
      <c r="G3766" s="27" t="s">
        <v>1472</v>
      </c>
      <c r="H3766" s="16" t="str">
        <f>IF(ISBLANK(PARTIDAS!$G3766),PARTIDAS!$F3766,CONCATENATE(PARTIDAS!$F3766," (",PARTIDAS!$G3766,")"))</f>
        <v>Tableros (Verificar)</v>
      </c>
      <c r="I3766" s="16" t="s">
        <v>9427</v>
      </c>
    </row>
    <row r="3767" spans="1:9" x14ac:dyDescent="0.25">
      <c r="A3767" s="16" t="s">
        <v>4684</v>
      </c>
      <c r="B3767" s="16" t="str">
        <f>TEXT(PARTIDA[[#This Row],[PARTIDA]],"0000000000")</f>
        <v>4418919000</v>
      </c>
      <c r="C3767" s="16" t="s">
        <v>860</v>
      </c>
      <c r="D3767" s="16" t="s">
        <v>861</v>
      </c>
      <c r="E3767" s="16" t="s">
        <v>9473</v>
      </c>
      <c r="F3767" s="27" t="s">
        <v>4643</v>
      </c>
      <c r="G3767" s="27"/>
      <c r="H3767" s="16" t="str">
        <f>IF(ISBLANK(PARTIDAS!$G3767),PARTIDAS!$F3767,CONCATENATE(PARTIDAS!$F3767," (",PARTIDAS!$G3767,")"))</f>
        <v>Tableros</v>
      </c>
      <c r="I3767" s="16" t="s">
        <v>9427</v>
      </c>
    </row>
    <row r="3768" spans="1:9" x14ac:dyDescent="0.25">
      <c r="A3768" s="16" t="s">
        <v>12632</v>
      </c>
      <c r="B3768" s="16" t="str">
        <f>TEXT(PARTIDA[[#This Row],[PARTIDA]],"0000000000")</f>
        <v>4418920000</v>
      </c>
      <c r="C3768" s="16" t="s">
        <v>860</v>
      </c>
      <c r="D3768" s="16" t="s">
        <v>861</v>
      </c>
      <c r="E3768" s="16" t="s">
        <v>9473</v>
      </c>
      <c r="F3768" s="27" t="s">
        <v>12633</v>
      </c>
      <c r="G3768" s="27"/>
      <c r="H3768" s="16" t="str">
        <f>IF(ISBLANK(PARTIDAS!$G3768),PARTIDAS!$F3768,CONCATENATE(PARTIDAS!$F3768," (",PARTIDAS!$G3768,")"))</f>
        <v>Tableros celulares de madera</v>
      </c>
      <c r="I3768" s="16" t="s">
        <v>9427</v>
      </c>
    </row>
    <row r="3769" spans="1:9" x14ac:dyDescent="0.25">
      <c r="A3769" s="16" t="s">
        <v>9100</v>
      </c>
      <c r="B3769" s="16" t="str">
        <f>TEXT(PARTIDA[[#This Row],[PARTIDA]],"0000000000")</f>
        <v>4418990000</v>
      </c>
      <c r="C3769" s="16" t="s">
        <v>860</v>
      </c>
      <c r="D3769" s="16" t="s">
        <v>861</v>
      </c>
      <c r="E3769" s="16" t="s">
        <v>9473</v>
      </c>
      <c r="F3769" s="27" t="s">
        <v>4643</v>
      </c>
      <c r="G3769" s="27"/>
      <c r="H3769" s="16" t="str">
        <f>IF(ISBLANK(PARTIDAS!$G3769),PARTIDAS!$F3769,CONCATENATE(PARTIDAS!$F3769," (",PARTIDAS!$G3769,")"))</f>
        <v>Tableros</v>
      </c>
      <c r="I3769" s="16" t="s">
        <v>9427</v>
      </c>
    </row>
    <row r="3770" spans="1:9" x14ac:dyDescent="0.25">
      <c r="A3770" s="16" t="s">
        <v>4685</v>
      </c>
      <c r="B3770" s="16" t="str">
        <f>TEXT(PARTIDA[[#This Row],[PARTIDA]],"0000000000")</f>
        <v>4418991000</v>
      </c>
      <c r="C3770" s="16" t="s">
        <v>860</v>
      </c>
      <c r="D3770" s="16" t="s">
        <v>861</v>
      </c>
      <c r="E3770" s="16" t="s">
        <v>9473</v>
      </c>
      <c r="F3770" s="27" t="s">
        <v>4643</v>
      </c>
      <c r="G3770" s="27"/>
      <c r="H3770" s="16" t="str">
        <f>IF(ISBLANK(PARTIDAS!$G3770),PARTIDAS!$F3770,CONCATENATE(PARTIDAS!$F3770," (",PARTIDAS!$G3770,")"))</f>
        <v>Tableros</v>
      </c>
      <c r="I3770" s="16" t="s">
        <v>9648</v>
      </c>
    </row>
    <row r="3771" spans="1:9" x14ac:dyDescent="0.25">
      <c r="A3771" s="16" t="s">
        <v>4686</v>
      </c>
      <c r="B3771" s="16" t="str">
        <f>TEXT(PARTIDA[[#This Row],[PARTIDA]],"0000000000")</f>
        <v>4418999000</v>
      </c>
      <c r="C3771" s="16" t="s">
        <v>860</v>
      </c>
      <c r="D3771" s="16" t="s">
        <v>861</v>
      </c>
      <c r="E3771" s="16" t="s">
        <v>9473</v>
      </c>
      <c r="F3771" s="27" t="s">
        <v>4643</v>
      </c>
      <c r="G3771" s="27" t="s">
        <v>1472</v>
      </c>
      <c r="H3771" s="16" t="str">
        <f>IF(ISBLANK(PARTIDAS!$G3771),PARTIDAS!$F3771,CONCATENATE(PARTIDAS!$F3771," (",PARTIDAS!$G3771,")"))</f>
        <v>Tableros (Verificar)</v>
      </c>
      <c r="I3771" s="16" t="s">
        <v>9648</v>
      </c>
    </row>
    <row r="3772" spans="1:9" x14ac:dyDescent="0.25">
      <c r="A3772" s="16" t="s">
        <v>4687</v>
      </c>
      <c r="B3772" s="16" t="str">
        <f>TEXT(PARTIDA[[#This Row],[PARTIDA]],"0000000000")</f>
        <v>4419110000</v>
      </c>
      <c r="C3772" s="16" t="s">
        <v>786</v>
      </c>
      <c r="D3772" s="16" t="s">
        <v>799</v>
      </c>
      <c r="E3772" s="16" t="s">
        <v>801</v>
      </c>
      <c r="F3772" s="27" t="s">
        <v>4688</v>
      </c>
      <c r="G3772" s="27"/>
      <c r="H3772" s="16" t="str">
        <f>IF(ISBLANK(PARTIDAS!$G3772),PARTIDAS!$F3772,CONCATENATE(PARTIDAS!$F3772," (",PARTIDAS!$G3772,")"))</f>
        <v>Tablones para mesa</v>
      </c>
      <c r="I3772" s="16" t="s">
        <v>9427</v>
      </c>
    </row>
    <row r="3773" spans="1:9" x14ac:dyDescent="0.25">
      <c r="A3773" s="16" t="s">
        <v>4689</v>
      </c>
      <c r="B3773" s="16" t="str">
        <f>TEXT(PARTIDA[[#This Row],[PARTIDA]],"0000000000")</f>
        <v>4419120000</v>
      </c>
      <c r="C3773" s="16" t="s">
        <v>786</v>
      </c>
      <c r="D3773" s="16" t="s">
        <v>799</v>
      </c>
      <c r="E3773" s="16" t="s">
        <v>801</v>
      </c>
      <c r="F3773" s="27" t="s">
        <v>4690</v>
      </c>
      <c r="G3773" s="27"/>
      <c r="H3773" s="16" t="str">
        <f>IF(ISBLANK(PARTIDAS!$G3773),PARTIDAS!$F3773,CONCATENATE(PARTIDAS!$F3773," (",PARTIDAS!$G3773,")"))</f>
        <v>Palillos</v>
      </c>
      <c r="I3773" s="16" t="s">
        <v>9427</v>
      </c>
    </row>
    <row r="3774" spans="1:9" x14ac:dyDescent="0.25">
      <c r="A3774" s="16" t="s">
        <v>4691</v>
      </c>
      <c r="B3774" s="16" t="str">
        <f>TEXT(PARTIDA[[#This Row],[PARTIDA]],"0000000000")</f>
        <v>4419190000</v>
      </c>
      <c r="C3774" s="16" t="s">
        <v>786</v>
      </c>
      <c r="D3774" s="16" t="s">
        <v>799</v>
      </c>
      <c r="E3774" s="16" t="s">
        <v>801</v>
      </c>
      <c r="F3774" s="27" t="s">
        <v>12634</v>
      </c>
      <c r="G3774" s="27"/>
      <c r="H3774" s="16" t="str">
        <f>IF(ISBLANK(PARTIDAS!$G3774),PARTIDAS!$F3774,CONCATENATE(PARTIDAS!$F3774," (",PARTIDAS!$G3774,")"))</f>
        <v>Artículos de mesa o de cocina, de madera, de bambú (los demás)</v>
      </c>
      <c r="I3774" s="16" t="s">
        <v>9427</v>
      </c>
    </row>
    <row r="3775" spans="1:9" x14ac:dyDescent="0.25">
      <c r="A3775" s="16" t="s">
        <v>12635</v>
      </c>
      <c r="B3775" s="16" t="str">
        <f>TEXT(PARTIDA[[#This Row],[PARTIDA]],"0000000000")</f>
        <v>4419200000</v>
      </c>
      <c r="C3775" s="16" t="s">
        <v>786</v>
      </c>
      <c r="D3775" s="16" t="s">
        <v>799</v>
      </c>
      <c r="E3775" s="16" t="s">
        <v>801</v>
      </c>
      <c r="F3775" s="27" t="s">
        <v>12636</v>
      </c>
      <c r="G3775" s="27"/>
      <c r="H3775" s="16" t="str">
        <f>IF(ISBLANK(PARTIDAS!$G3775),PARTIDAS!$F3775,CONCATENATE(PARTIDAS!$F3775," (",PARTIDAS!$G3775,")"))</f>
        <v>Artículos de mesa o de cocina, de madera, de maderas tropicales</v>
      </c>
      <c r="I3775" s="16" t="s">
        <v>9427</v>
      </c>
    </row>
    <row r="3776" spans="1:9" x14ac:dyDescent="0.25">
      <c r="A3776" s="16" t="s">
        <v>4692</v>
      </c>
      <c r="B3776" s="16" t="str">
        <f>TEXT(PARTIDA[[#This Row],[PARTIDA]],"0000000000")</f>
        <v>4419900000</v>
      </c>
      <c r="C3776" s="16" t="s">
        <v>786</v>
      </c>
      <c r="D3776" s="16" t="s">
        <v>799</v>
      </c>
      <c r="E3776" s="16" t="s">
        <v>801</v>
      </c>
      <c r="F3776" s="27" t="s">
        <v>12637</v>
      </c>
      <c r="G3776" s="27"/>
      <c r="H3776" s="16" t="str">
        <f>IF(ISBLANK(PARTIDAS!$G3776),PARTIDAS!$F3776,CONCATENATE(PARTIDAS!$F3776," (",PARTIDAS!$G3776,")"))</f>
        <v>Artículos de mesa o de cocina, de madera (los demás)</v>
      </c>
      <c r="I3776" s="16" t="s">
        <v>9427</v>
      </c>
    </row>
    <row r="3777" spans="1:9" x14ac:dyDescent="0.25">
      <c r="A3777" s="16" t="s">
        <v>4693</v>
      </c>
      <c r="B3777" s="16" t="str">
        <f>TEXT(PARTIDA[[#This Row],[PARTIDA]],"0000000000")</f>
        <v>4420100000</v>
      </c>
      <c r="C3777" s="16" t="s">
        <v>786</v>
      </c>
      <c r="D3777" s="16" t="s">
        <v>799</v>
      </c>
      <c r="E3777" s="16" t="s">
        <v>801</v>
      </c>
      <c r="F3777" s="27" t="s">
        <v>12638</v>
      </c>
      <c r="G3777" s="27"/>
      <c r="H3777" s="16" t="str">
        <f>IF(ISBLANK(PARTIDAS!$G3777),PARTIDAS!$F3777,CONCATENATE(PARTIDAS!$F3777," (",PARTIDAS!$G3777,")"))</f>
        <v>Estatuillas y demás objetos de adorno, de madera</v>
      </c>
      <c r="I3777" s="16" t="s">
        <v>9648</v>
      </c>
    </row>
    <row r="3778" spans="1:9" x14ac:dyDescent="0.25">
      <c r="A3778" s="16" t="s">
        <v>12639</v>
      </c>
      <c r="B3778" s="16" t="str">
        <f>TEXT(PARTIDA[[#This Row],[PARTIDA]],"0000000000")</f>
        <v>4420110000</v>
      </c>
      <c r="C3778" s="16" t="s">
        <v>786</v>
      </c>
      <c r="D3778" s="16" t="s">
        <v>799</v>
      </c>
      <c r="E3778" s="16" t="s">
        <v>801</v>
      </c>
      <c r="F3778" s="27" t="s">
        <v>12640</v>
      </c>
      <c r="G3778" s="27"/>
      <c r="H3778" s="16" t="str">
        <f>IF(ISBLANK(PARTIDAS!$G3778),PARTIDAS!$F3778,CONCATENATE(PARTIDAS!$F3778," (",PARTIDAS!$G3778,")"))</f>
        <v>Estatuillas y demás objetos de adorno, de maderas tropicales</v>
      </c>
      <c r="I3778" s="16" t="s">
        <v>9427</v>
      </c>
    </row>
    <row r="3779" spans="1:9" x14ac:dyDescent="0.25">
      <c r="A3779" s="16" t="s">
        <v>9103</v>
      </c>
      <c r="B3779" s="16" t="str">
        <f>TEXT(PARTIDA[[#This Row],[PARTIDA]],"0000000000")</f>
        <v>4420190000</v>
      </c>
      <c r="C3779" s="16" t="s">
        <v>786</v>
      </c>
      <c r="D3779" s="16" t="s">
        <v>799</v>
      </c>
      <c r="E3779" s="16" t="s">
        <v>801</v>
      </c>
      <c r="F3779" s="27" t="s">
        <v>9104</v>
      </c>
      <c r="G3779" s="27"/>
      <c r="H3779" s="16" t="str">
        <f>IF(ISBLANK(PARTIDAS!$G3779),PARTIDAS!$F3779,CONCATENATE(PARTIDAS!$F3779," (",PARTIDAS!$G3779,")"))</f>
        <v>Marquetería y taracea</v>
      </c>
      <c r="I3779" s="16" t="s">
        <v>9427</v>
      </c>
    </row>
    <row r="3780" spans="1:9" x14ac:dyDescent="0.25">
      <c r="A3780" s="16" t="s">
        <v>4694</v>
      </c>
      <c r="B3780" s="16" t="str">
        <f>TEXT(PARTIDA[[#This Row],[PARTIDA]],"0000000000")</f>
        <v>4420900000</v>
      </c>
      <c r="C3780" s="16" t="s">
        <v>786</v>
      </c>
      <c r="D3780" s="16" t="s">
        <v>799</v>
      </c>
      <c r="E3780" s="16" t="s">
        <v>801</v>
      </c>
      <c r="F3780" s="27" t="s">
        <v>12641</v>
      </c>
      <c r="G3780" s="27"/>
      <c r="H3780" s="16" t="str">
        <f>IF(ISBLANK(PARTIDAS!$G3780),PARTIDAS!$F3780,CONCATENATE(PARTIDAS!$F3780," (",PARTIDAS!$G3780,")"))</f>
        <v>Marquetería y taracea (los demás)</v>
      </c>
      <c r="I3780" s="16" t="s">
        <v>9427</v>
      </c>
    </row>
    <row r="3781" spans="1:9" x14ac:dyDescent="0.25">
      <c r="A3781" s="16" t="s">
        <v>4695</v>
      </c>
      <c r="B3781" s="16" t="str">
        <f>TEXT(PARTIDA[[#This Row],[PARTIDA]],"0000000000")</f>
        <v>4421100000</v>
      </c>
      <c r="C3781" s="16" t="s">
        <v>815</v>
      </c>
      <c r="D3781" s="16" t="s">
        <v>835</v>
      </c>
      <c r="E3781" s="16" t="s">
        <v>842</v>
      </c>
      <c r="F3781" s="27" t="s">
        <v>12642</v>
      </c>
      <c r="G3781" s="27"/>
      <c r="H3781" s="16" t="str">
        <f>IF(ISBLANK(PARTIDAS!$G3781),PARTIDAS!$F3781,CONCATENATE(PARTIDAS!$F3781," (",PARTIDAS!$G3781,")"))</f>
        <v>Perchas para prendas de vestir</v>
      </c>
      <c r="I3781" s="16" t="s">
        <v>9427</v>
      </c>
    </row>
    <row r="3782" spans="1:9" x14ac:dyDescent="0.25">
      <c r="A3782" s="16" t="s">
        <v>12643</v>
      </c>
      <c r="B3782" s="16" t="str">
        <f>TEXT(PARTIDA[[#This Row],[PARTIDA]],"0000000000")</f>
        <v>4421200000</v>
      </c>
      <c r="C3782" s="16" t="s">
        <v>815</v>
      </c>
      <c r="D3782" s="16" t="s">
        <v>835</v>
      </c>
      <c r="E3782" s="16" t="s">
        <v>842</v>
      </c>
      <c r="F3782" s="27" t="s">
        <v>12644</v>
      </c>
      <c r="G3782" s="27"/>
      <c r="H3782" s="16" t="str">
        <f>IF(ISBLANK(PARTIDAS!$G3782),PARTIDAS!$F3782,CONCATENATE(PARTIDAS!$F3782," (",PARTIDAS!$G3782,")"))</f>
        <v>Ataúdes</v>
      </c>
      <c r="I3782" s="16" t="s">
        <v>9427</v>
      </c>
    </row>
    <row r="3783" spans="1:9" x14ac:dyDescent="0.25">
      <c r="A3783" s="16" t="s">
        <v>4696</v>
      </c>
      <c r="B3783" s="16" t="str">
        <f>TEXT(PARTIDA[[#This Row],[PARTIDA]],"0000000000")</f>
        <v>4421911000</v>
      </c>
      <c r="C3783" s="16" t="s">
        <v>815</v>
      </c>
      <c r="D3783" s="16" t="s">
        <v>835</v>
      </c>
      <c r="E3783" s="16" t="s">
        <v>842</v>
      </c>
      <c r="F3783" s="27" t="s">
        <v>12645</v>
      </c>
      <c r="G3783" s="27"/>
      <c r="H3783" s="16" t="str">
        <f>IF(ISBLANK(PARTIDAS!$G3783),PARTIDAS!$F3783,CONCATENATE(PARTIDAS!$F3783," (",PARTIDAS!$G3783,")"))</f>
        <v>Canillas, carretes, bobinas para la hilatura o el tejido y para hilo de coser, y artículos similares, de madera torneada</v>
      </c>
      <c r="I3783" s="16" t="s">
        <v>9427</v>
      </c>
    </row>
    <row r="3784" spans="1:9" x14ac:dyDescent="0.25">
      <c r="A3784" s="16" t="s">
        <v>4697</v>
      </c>
      <c r="B3784" s="16" t="str">
        <f>TEXT(PARTIDA[[#This Row],[PARTIDA]],"0000000000")</f>
        <v>4421912000</v>
      </c>
      <c r="C3784" s="16" t="s">
        <v>815</v>
      </c>
      <c r="D3784" s="16" t="s">
        <v>835</v>
      </c>
      <c r="E3784" s="16" t="s">
        <v>842</v>
      </c>
      <c r="F3784" s="27" t="s">
        <v>4698</v>
      </c>
      <c r="G3784" s="27"/>
      <c r="H3784" s="16" t="str">
        <f>IF(ISBLANK(PARTIDAS!$G3784),PARTIDAS!$F3784,CONCATENATE(PARTIDAS!$F3784," (",PARTIDAS!$G3784,")"))</f>
        <v>Mondadientes</v>
      </c>
      <c r="I3784" s="16" t="s">
        <v>9427</v>
      </c>
    </row>
    <row r="3785" spans="1:9" x14ac:dyDescent="0.25">
      <c r="A3785" s="16" t="s">
        <v>4699</v>
      </c>
      <c r="B3785" s="16" t="str">
        <f>TEXT(PARTIDA[[#This Row],[PARTIDA]],"0000000000")</f>
        <v>4421913000</v>
      </c>
      <c r="C3785" s="16" t="s">
        <v>815</v>
      </c>
      <c r="D3785" s="16" t="s">
        <v>835</v>
      </c>
      <c r="E3785" s="16" t="s">
        <v>842</v>
      </c>
      <c r="F3785" s="27" t="s">
        <v>4700</v>
      </c>
      <c r="G3785" s="27"/>
      <c r="H3785" s="16" t="str">
        <f>IF(ISBLANK(PARTIDAS!$G3785),PARTIDAS!$F3785,CONCATENATE(PARTIDAS!$F3785," (",PARTIDAS!$G3785,")"))</f>
        <v>Palitos y cucharitas planas</v>
      </c>
      <c r="I3785" s="16" t="s">
        <v>9427</v>
      </c>
    </row>
    <row r="3786" spans="1:9" x14ac:dyDescent="0.25">
      <c r="A3786" s="16" t="s">
        <v>4701</v>
      </c>
      <c r="B3786" s="16" t="str">
        <f>TEXT(PARTIDA[[#This Row],[PARTIDA]],"0000000000")</f>
        <v>4421914000</v>
      </c>
      <c r="C3786" s="16" t="s">
        <v>815</v>
      </c>
      <c r="D3786" s="16" t="s">
        <v>835</v>
      </c>
      <c r="E3786" s="16" t="s">
        <v>842</v>
      </c>
      <c r="F3786" s="27" t="s">
        <v>4702</v>
      </c>
      <c r="G3786" s="27"/>
      <c r="H3786" s="16" t="str">
        <f>IF(ISBLANK(PARTIDAS!$G3786),PARTIDAS!$F3786,CONCATENATE(PARTIDAS!$F3786," (",PARTIDAS!$G3786,")"))</f>
        <v>Madera preparada para fósforos</v>
      </c>
      <c r="I3786" s="16" t="s">
        <v>9427</v>
      </c>
    </row>
    <row r="3787" spans="1:9" x14ac:dyDescent="0.25">
      <c r="A3787" s="16" t="s">
        <v>4703</v>
      </c>
      <c r="B3787" s="16" t="str">
        <f>TEXT(PARTIDA[[#This Row],[PARTIDA]],"0000000000")</f>
        <v>4421919000</v>
      </c>
      <c r="C3787" s="16" t="s">
        <v>815</v>
      </c>
      <c r="D3787" s="16" t="s">
        <v>835</v>
      </c>
      <c r="E3787" s="16" t="s">
        <v>842</v>
      </c>
      <c r="F3787" s="27" t="s">
        <v>12646</v>
      </c>
      <c r="G3787" s="27"/>
      <c r="H3787" s="16" t="str">
        <f>IF(ISBLANK(PARTIDAS!$G3787),PARTIDAS!$F3787,CONCATENATE(PARTIDAS!$F3787," (",PARTIDAS!$G3787,")"))</f>
        <v>Madera, carbón vegetal y manufacturas de madera, de bambú (los demás)</v>
      </c>
      <c r="I3787" s="16" t="s">
        <v>9427</v>
      </c>
    </row>
    <row r="3788" spans="1:9" x14ac:dyDescent="0.25">
      <c r="A3788" s="16" t="s">
        <v>4704</v>
      </c>
      <c r="B3788" s="16" t="str">
        <f>TEXT(PARTIDA[[#This Row],[PARTIDA]],"0000000000")</f>
        <v>4421991000</v>
      </c>
      <c r="C3788" s="16" t="s">
        <v>815</v>
      </c>
      <c r="D3788" s="16" t="s">
        <v>835</v>
      </c>
      <c r="E3788" s="16" t="s">
        <v>842</v>
      </c>
      <c r="F3788" s="27" t="s">
        <v>12645</v>
      </c>
      <c r="G3788" s="27"/>
      <c r="H3788" s="16" t="str">
        <f>IF(ISBLANK(PARTIDAS!$G3788),PARTIDAS!$F3788,CONCATENATE(PARTIDAS!$F3788," (",PARTIDAS!$G3788,")"))</f>
        <v>Canillas, carretes, bobinas para la hilatura o el tejido y para hilo de coser, y artículos similares, de madera torneada</v>
      </c>
      <c r="I3788" s="16" t="s">
        <v>9427</v>
      </c>
    </row>
    <row r="3789" spans="1:9" x14ac:dyDescent="0.25">
      <c r="A3789" s="16" t="s">
        <v>4705</v>
      </c>
      <c r="B3789" s="16" t="str">
        <f>TEXT(PARTIDA[[#This Row],[PARTIDA]],"0000000000")</f>
        <v>4421992000</v>
      </c>
      <c r="C3789" s="16" t="s">
        <v>815</v>
      </c>
      <c r="D3789" s="16" t="s">
        <v>835</v>
      </c>
      <c r="E3789" s="16" t="s">
        <v>842</v>
      </c>
      <c r="F3789" s="27" t="s">
        <v>4698</v>
      </c>
      <c r="G3789" s="27"/>
      <c r="H3789" s="16" t="str">
        <f>IF(ISBLANK(PARTIDAS!$G3789),PARTIDAS!$F3789,CONCATENATE(PARTIDAS!$F3789," (",PARTIDAS!$G3789,")"))</f>
        <v>Mondadientes</v>
      </c>
      <c r="I3789" s="16" t="s">
        <v>9427</v>
      </c>
    </row>
    <row r="3790" spans="1:9" x14ac:dyDescent="0.25">
      <c r="A3790" s="16" t="s">
        <v>4706</v>
      </c>
      <c r="B3790" s="16" t="str">
        <f>TEXT(PARTIDA[[#This Row],[PARTIDA]],"0000000000")</f>
        <v>4421993000</v>
      </c>
      <c r="C3790" s="16" t="s">
        <v>815</v>
      </c>
      <c r="D3790" s="16" t="s">
        <v>835</v>
      </c>
      <c r="E3790" s="16" t="s">
        <v>842</v>
      </c>
      <c r="F3790" s="27" t="s">
        <v>12647</v>
      </c>
      <c r="G3790" s="27"/>
      <c r="H3790" s="16" t="str">
        <f>IF(ISBLANK(PARTIDAS!$G3790),PARTIDAS!$F3790,CONCATENATE(PARTIDAS!$F3790," (",PARTIDAS!$G3790,")"))</f>
        <v>Palitos y cucharitas planas, del tipo de los utilizados para dulces y helados</v>
      </c>
      <c r="I3790" s="16" t="s">
        <v>9427</v>
      </c>
    </row>
    <row r="3791" spans="1:9" x14ac:dyDescent="0.25">
      <c r="A3791" s="16" t="s">
        <v>4707</v>
      </c>
      <c r="B3791" s="16" t="str">
        <f>TEXT(PARTIDA[[#This Row],[PARTIDA]],"0000000000")</f>
        <v>4421994000</v>
      </c>
      <c r="C3791" s="16" t="s">
        <v>815</v>
      </c>
      <c r="D3791" s="16" t="s">
        <v>835</v>
      </c>
      <c r="E3791" s="16" t="s">
        <v>842</v>
      </c>
      <c r="F3791" s="27" t="s">
        <v>4702</v>
      </c>
      <c r="G3791" s="27"/>
      <c r="H3791" s="16" t="str">
        <f>IF(ISBLANK(PARTIDAS!$G3791),PARTIDAS!$F3791,CONCATENATE(PARTIDAS!$F3791," (",PARTIDAS!$G3791,")"))</f>
        <v>Madera preparada para fósforos</v>
      </c>
      <c r="I3791" s="16" t="s">
        <v>9427</v>
      </c>
    </row>
    <row r="3792" spans="1:9" x14ac:dyDescent="0.25">
      <c r="A3792" s="16" t="s">
        <v>4708</v>
      </c>
      <c r="B3792" s="16" t="str">
        <f>TEXT(PARTIDA[[#This Row],[PARTIDA]],"0000000000")</f>
        <v>4421999000</v>
      </c>
      <c r="C3792" s="16" t="s">
        <v>815</v>
      </c>
      <c r="D3792" s="16" t="s">
        <v>835</v>
      </c>
      <c r="E3792" s="16" t="s">
        <v>842</v>
      </c>
      <c r="F3792" s="27" t="s">
        <v>4709</v>
      </c>
      <c r="G3792" s="27" t="s">
        <v>1472</v>
      </c>
      <c r="H3792" s="16" t="str">
        <f>IF(ISBLANK(PARTIDAS!$G3792),PARTIDAS!$F3792,CONCATENATE(PARTIDAS!$F3792," (",PARTIDAS!$G3792,")"))</f>
        <v>Maderas acabados (Verificar)</v>
      </c>
      <c r="I3792" s="16" t="s">
        <v>9427</v>
      </c>
    </row>
    <row r="3793" spans="1:9" x14ac:dyDescent="0.25">
      <c r="A3793" s="16" t="s">
        <v>4710</v>
      </c>
      <c r="B3793" s="16" t="str">
        <f>TEXT(PARTIDA[[#This Row],[PARTIDA]],"0000000000")</f>
        <v>4501100000</v>
      </c>
      <c r="C3793" s="16" t="s">
        <v>815</v>
      </c>
      <c r="D3793" s="16" t="s">
        <v>835</v>
      </c>
      <c r="E3793" s="16" t="s">
        <v>844</v>
      </c>
      <c r="F3793" s="27" t="s">
        <v>12648</v>
      </c>
      <c r="G3793" s="27"/>
      <c r="H3793" s="16" t="str">
        <f>IF(ISBLANK(PARTIDAS!$G3793),PARTIDAS!$F3793,CONCATENATE(PARTIDAS!$F3793," (",PARTIDAS!$G3793,")"))</f>
        <v>Corcho natural en bruto o simplemente preparado</v>
      </c>
      <c r="I3793" s="16" t="s">
        <v>9427</v>
      </c>
    </row>
    <row r="3794" spans="1:9" x14ac:dyDescent="0.25">
      <c r="A3794" s="16" t="s">
        <v>4711</v>
      </c>
      <c r="B3794" s="16" t="str">
        <f>TEXT(PARTIDA[[#This Row],[PARTIDA]],"0000000000")</f>
        <v>4501900000</v>
      </c>
      <c r="C3794" s="16" t="s">
        <v>815</v>
      </c>
      <c r="D3794" s="16" t="s">
        <v>835</v>
      </c>
      <c r="E3794" s="16" t="s">
        <v>844</v>
      </c>
      <c r="F3794" s="27" t="s">
        <v>12649</v>
      </c>
      <c r="G3794" s="27"/>
      <c r="H3794" s="16" t="str">
        <f>IF(ISBLANK(PARTIDAS!$G3794),PARTIDAS!$F3794,CONCATENATE(PARTIDAS!$F3794," (",PARTIDAS!$G3794,")"))</f>
        <v>Corcho natural en bruto o simplemente preparado (los demás)</v>
      </c>
      <c r="I3794" s="16" t="s">
        <v>9427</v>
      </c>
    </row>
    <row r="3795" spans="1:9" x14ac:dyDescent="0.25">
      <c r="A3795" s="16" t="s">
        <v>4712</v>
      </c>
      <c r="B3795" s="16" t="str">
        <f>TEXT(PARTIDA[[#This Row],[PARTIDA]],"0000000000")</f>
        <v>4502000000</v>
      </c>
      <c r="C3795" s="16" t="s">
        <v>815</v>
      </c>
      <c r="D3795" s="16" t="s">
        <v>835</v>
      </c>
      <c r="E3795" s="16" t="s">
        <v>844</v>
      </c>
      <c r="F3795" s="27" t="s">
        <v>4713</v>
      </c>
      <c r="G3795" s="27"/>
      <c r="H3795" s="16" t="str">
        <f>IF(ISBLANK(PARTIDAS!$G3795),PARTIDAS!$F3795,CONCATENATE(PARTIDAS!$F3795," (",PARTIDAS!$G3795,")"))</f>
        <v>Corcho natural, descortezado o simplemente
escuadrado o en bloques, placas, hojas o tiras,
cuadradas o rectangulares (incluidos los esbozos
con aristas vivas para tapones).</v>
      </c>
      <c r="I3795" s="16" t="s">
        <v>9427</v>
      </c>
    </row>
    <row r="3796" spans="1:9" x14ac:dyDescent="0.25">
      <c r="A3796" s="16" t="s">
        <v>4714</v>
      </c>
      <c r="B3796" s="16" t="str">
        <f>TEXT(PARTIDA[[#This Row],[PARTIDA]],"0000000000")</f>
        <v>4503100000</v>
      </c>
      <c r="C3796" s="16" t="s">
        <v>815</v>
      </c>
      <c r="D3796" s="16" t="s">
        <v>835</v>
      </c>
      <c r="E3796" s="16" t="s">
        <v>844</v>
      </c>
      <c r="F3796" s="27" t="s">
        <v>4470</v>
      </c>
      <c r="G3796" s="27"/>
      <c r="H3796" s="16" t="str">
        <f>IF(ISBLANK(PARTIDAS!$G3796),PARTIDAS!$F3796,CONCATENATE(PARTIDAS!$F3796," (",PARTIDAS!$G3796,")"))</f>
        <v>Tapones</v>
      </c>
      <c r="I3796" s="16" t="s">
        <v>9427</v>
      </c>
    </row>
    <row r="3797" spans="1:9" x14ac:dyDescent="0.25">
      <c r="A3797" s="16" t="s">
        <v>4715</v>
      </c>
      <c r="B3797" s="16" t="str">
        <f>TEXT(PARTIDA[[#This Row],[PARTIDA]],"0000000000")</f>
        <v>4503900000</v>
      </c>
      <c r="C3797" s="16" t="s">
        <v>815</v>
      </c>
      <c r="D3797" s="16" t="s">
        <v>835</v>
      </c>
      <c r="E3797" s="16" t="s">
        <v>844</v>
      </c>
      <c r="F3797" s="27" t="s">
        <v>12650</v>
      </c>
      <c r="G3797" s="27"/>
      <c r="H3797" s="16" t="str">
        <f>IF(ISBLANK(PARTIDAS!$G3797),PARTIDAS!$F3797,CONCATENATE(PARTIDAS!$F3797," (",PARTIDAS!$G3797,")"))</f>
        <v>Manufacturas de corcho natural (los demás)</v>
      </c>
      <c r="I3797" s="16" t="s">
        <v>9427</v>
      </c>
    </row>
    <row r="3798" spans="1:9" x14ac:dyDescent="0.25">
      <c r="A3798" s="16" t="s">
        <v>4716</v>
      </c>
      <c r="B3798" s="16" t="str">
        <f>TEXT(PARTIDA[[#This Row],[PARTIDA]],"0000000000")</f>
        <v>4504100000</v>
      </c>
      <c r="C3798" s="16" t="s">
        <v>815</v>
      </c>
      <c r="D3798" s="16" t="s">
        <v>835</v>
      </c>
      <c r="E3798" s="16" t="s">
        <v>844</v>
      </c>
      <c r="F3798" s="27" t="s">
        <v>12651</v>
      </c>
      <c r="G3798" s="27"/>
      <c r="H3798" s="16" t="str">
        <f>IF(ISBLANK(PARTIDAS!$G3798),PARTIDAS!$F3798,CONCATENATE(PARTIDAS!$F3798," (",PARTIDAS!$G3798,")"))</f>
        <v>Bloques, placas, hojas y tiras; baldosas y revestimientos similares de pared, de cualquier forma; cilindros macizos, incluidos los discos</v>
      </c>
      <c r="I3798" s="16" t="s">
        <v>9427</v>
      </c>
    </row>
    <row r="3799" spans="1:9" x14ac:dyDescent="0.25">
      <c r="A3799" s="16" t="s">
        <v>4717</v>
      </c>
      <c r="B3799" s="16" t="str">
        <f>TEXT(PARTIDA[[#This Row],[PARTIDA]],"0000000000")</f>
        <v>4504901000</v>
      </c>
      <c r="C3799" s="16" t="s">
        <v>815</v>
      </c>
      <c r="D3799" s="16" t="s">
        <v>835</v>
      </c>
      <c r="E3799" s="16" t="s">
        <v>844</v>
      </c>
      <c r="F3799" s="27" t="s">
        <v>12652</v>
      </c>
      <c r="G3799" s="27"/>
      <c r="H3799" s="16" t="str">
        <f>IF(ISBLANK(PARTIDAS!$G3799),PARTIDAS!$F3799,CONCATENATE(PARTIDAS!$F3799," (",PARTIDAS!$G3799,")"))</f>
        <v>Corcho aglomerado (incluso con aglutinante) y manufacturas de corcho…, tapones</v>
      </c>
      <c r="I3799" s="16" t="s">
        <v>9427</v>
      </c>
    </row>
    <row r="3800" spans="1:9" x14ac:dyDescent="0.25">
      <c r="A3800" s="16" t="s">
        <v>4718</v>
      </c>
      <c r="B3800" s="16" t="str">
        <f>TEXT(PARTIDA[[#This Row],[PARTIDA]],"0000000000")</f>
        <v>4504902000</v>
      </c>
      <c r="C3800" s="16" t="s">
        <v>815</v>
      </c>
      <c r="D3800" s="16" t="s">
        <v>835</v>
      </c>
      <c r="E3800" s="16" t="s">
        <v>844</v>
      </c>
      <c r="F3800" s="27" t="s">
        <v>12653</v>
      </c>
      <c r="G3800" s="27"/>
      <c r="H3800" s="16" t="str">
        <f>IF(ISBLANK(PARTIDAS!$G3800),PARTIDAS!$F3800,CONCATENATE(PARTIDAS!$F3800," (",PARTIDAS!$G3800,")"))</f>
        <v>Juntas o empaquetaduras y arandelas</v>
      </c>
      <c r="I3800" s="16" t="s">
        <v>9427</v>
      </c>
    </row>
    <row r="3801" spans="1:9" x14ac:dyDescent="0.25">
      <c r="A3801" s="16" t="s">
        <v>4719</v>
      </c>
      <c r="B3801" s="16" t="str">
        <f>TEXT(PARTIDA[[#This Row],[PARTIDA]],"0000000000")</f>
        <v>4504909000</v>
      </c>
      <c r="C3801" s="16" t="s">
        <v>815</v>
      </c>
      <c r="D3801" s="16" t="s">
        <v>835</v>
      </c>
      <c r="E3801" s="16" t="s">
        <v>844</v>
      </c>
      <c r="F3801" s="27" t="s">
        <v>12654</v>
      </c>
      <c r="G3801" s="27"/>
      <c r="H3801" s="16" t="str">
        <f>IF(ISBLANK(PARTIDAS!$G3801),PARTIDAS!$F3801,CONCATENATE(PARTIDAS!$F3801," (",PARTIDAS!$G3801,")"))</f>
        <v>Corcho aglomerado (incluso con aglutinante) y manufacturas de corcho… (los demás)</v>
      </c>
      <c r="I3801" s="16" t="s">
        <v>9427</v>
      </c>
    </row>
    <row r="3802" spans="1:9" x14ac:dyDescent="0.25">
      <c r="A3802" s="16" t="s">
        <v>4720</v>
      </c>
      <c r="B3802" s="16" t="str">
        <f>TEXT(PARTIDA[[#This Row],[PARTIDA]],"0000000000")</f>
        <v>4601210000</v>
      </c>
      <c r="C3802" s="16" t="s">
        <v>815</v>
      </c>
      <c r="D3802" s="16" t="s">
        <v>835</v>
      </c>
      <c r="E3802" s="16" t="s">
        <v>844</v>
      </c>
      <c r="F3802" s="27" t="s">
        <v>12655</v>
      </c>
      <c r="G3802" s="27"/>
      <c r="H3802" s="16" t="str">
        <f>IF(ISBLANK(PARTIDAS!$G3802),PARTIDAS!$F3802,CONCATENATE(PARTIDAS!$F3802," (",PARTIDAS!$G3802,")"))</f>
        <v>Esterillas, esteras y cañizos, de materia vegetal, de bambú</v>
      </c>
      <c r="I3802" s="16" t="s">
        <v>9427</v>
      </c>
    </row>
    <row r="3803" spans="1:9" x14ac:dyDescent="0.25">
      <c r="A3803" s="16" t="s">
        <v>4721</v>
      </c>
      <c r="B3803" s="16" t="str">
        <f>TEXT(PARTIDA[[#This Row],[PARTIDA]],"0000000000")</f>
        <v>4601220000</v>
      </c>
      <c r="C3803" s="16" t="s">
        <v>815</v>
      </c>
      <c r="D3803" s="16" t="s">
        <v>835</v>
      </c>
      <c r="E3803" s="16" t="s">
        <v>844</v>
      </c>
      <c r="F3803" s="27" t="s">
        <v>12656</v>
      </c>
      <c r="G3803" s="27"/>
      <c r="H3803" s="16" t="str">
        <f>IF(ISBLANK(PARTIDAS!$G3803),PARTIDAS!$F3803,CONCATENATE(PARTIDAS!$F3803," (",PARTIDAS!$G3803,")"))</f>
        <v>Esterillas, esteras y cañizos, de materia vegetal, de roten (ratán)</v>
      </c>
      <c r="I3803" s="16" t="s">
        <v>9427</v>
      </c>
    </row>
    <row r="3804" spans="1:9" x14ac:dyDescent="0.25">
      <c r="A3804" s="16" t="s">
        <v>4722</v>
      </c>
      <c r="B3804" s="16" t="str">
        <f>TEXT(PARTIDA[[#This Row],[PARTIDA]],"0000000000")</f>
        <v>4601290000</v>
      </c>
      <c r="C3804" s="16" t="s">
        <v>815</v>
      </c>
      <c r="D3804" s="16" t="s">
        <v>835</v>
      </c>
      <c r="E3804" s="16" t="s">
        <v>844</v>
      </c>
      <c r="F3804" s="27" t="s">
        <v>12657</v>
      </c>
      <c r="G3804" s="27"/>
      <c r="H3804" s="16" t="str">
        <f>IF(ISBLANK(PARTIDAS!$G3804),PARTIDAS!$F3804,CONCATENATE(PARTIDAS!$F3804," (",PARTIDAS!$G3804,")"))</f>
        <v>Esterillas, esteras y cañizos, de materia vegetal (los demás)</v>
      </c>
      <c r="I3804" s="16" t="s">
        <v>9427</v>
      </c>
    </row>
    <row r="3805" spans="1:9" x14ac:dyDescent="0.25">
      <c r="A3805" s="16" t="s">
        <v>4723</v>
      </c>
      <c r="B3805" s="16" t="str">
        <f>TEXT(PARTIDA[[#This Row],[PARTIDA]],"0000000000")</f>
        <v>4601920000</v>
      </c>
      <c r="C3805" s="16" t="s">
        <v>815</v>
      </c>
      <c r="D3805" s="16" t="s">
        <v>835</v>
      </c>
      <c r="E3805" s="16" t="s">
        <v>844</v>
      </c>
      <c r="F3805" s="27" t="s">
        <v>12658</v>
      </c>
      <c r="G3805" s="27"/>
      <c r="H3805" s="16" t="str">
        <f>IF(ISBLANK(PARTIDAS!$G3805),PARTIDAS!$F3805,CONCATENATE(PARTIDAS!$F3805," (",PARTIDAS!$G3805,")"))</f>
        <v>Trenzas y artículos similares, de materia trenzable, incluso…, de bambú</v>
      </c>
      <c r="I3805" s="16" t="s">
        <v>9427</v>
      </c>
    </row>
    <row r="3806" spans="1:9" x14ac:dyDescent="0.25">
      <c r="A3806" s="16" t="s">
        <v>4724</v>
      </c>
      <c r="B3806" s="16" t="str">
        <f>TEXT(PARTIDA[[#This Row],[PARTIDA]],"0000000000")</f>
        <v>4601930000</v>
      </c>
      <c r="C3806" s="16" t="s">
        <v>815</v>
      </c>
      <c r="D3806" s="16" t="s">
        <v>835</v>
      </c>
      <c r="E3806" s="16" t="s">
        <v>844</v>
      </c>
      <c r="F3806" s="27" t="s">
        <v>12659</v>
      </c>
      <c r="G3806" s="27"/>
      <c r="H3806" s="16" t="str">
        <f>IF(ISBLANK(PARTIDAS!$G3806),PARTIDAS!$F3806,CONCATENATE(PARTIDAS!$F3806," (",PARTIDAS!$G3806,")"))</f>
        <v>Trenzas y artículos similares, de materia trenzable, incluso…, de roten (ratán)</v>
      </c>
      <c r="I3806" s="16" t="s">
        <v>9427</v>
      </c>
    </row>
    <row r="3807" spans="1:9" x14ac:dyDescent="0.25">
      <c r="A3807" s="16" t="s">
        <v>4725</v>
      </c>
      <c r="B3807" s="16" t="str">
        <f>TEXT(PARTIDA[[#This Row],[PARTIDA]],"0000000000")</f>
        <v>4601940000</v>
      </c>
      <c r="C3807" s="16" t="s">
        <v>815</v>
      </c>
      <c r="D3807" s="16" t="s">
        <v>835</v>
      </c>
      <c r="E3807" s="16" t="s">
        <v>844</v>
      </c>
      <c r="F3807" s="27" t="s">
        <v>12660</v>
      </c>
      <c r="G3807" s="27"/>
      <c r="H3807" s="16" t="str">
        <f>IF(ISBLANK(PARTIDAS!$G3807),PARTIDAS!$F3807,CONCATENATE(PARTIDAS!$F3807," (",PARTIDAS!$G3807,")"))</f>
        <v>Trenzas y artículos similares, de materia trenzable, incluso…, de las demás materias vegetales</v>
      </c>
      <c r="I3807" s="16" t="s">
        <v>9427</v>
      </c>
    </row>
    <row r="3808" spans="1:9" x14ac:dyDescent="0.25">
      <c r="A3808" s="16" t="s">
        <v>4726</v>
      </c>
      <c r="B3808" s="16" t="str">
        <f>TEXT(PARTIDA[[#This Row],[PARTIDA]],"0000000000")</f>
        <v>4601990000</v>
      </c>
      <c r="C3808" s="16" t="s">
        <v>815</v>
      </c>
      <c r="D3808" s="16" t="s">
        <v>835</v>
      </c>
      <c r="E3808" s="16" t="s">
        <v>844</v>
      </c>
      <c r="F3808" s="27" t="s">
        <v>12661</v>
      </c>
      <c r="G3808" s="27"/>
      <c r="H3808" s="16" t="str">
        <f>IF(ISBLANK(PARTIDAS!$G3808),PARTIDAS!$F3808,CONCATENATE(PARTIDAS!$F3808," (",PARTIDAS!$G3808,")"))</f>
        <v>Trenzas y artículos similares, de materia trenzable, incluso… (los demás)</v>
      </c>
      <c r="I3808" s="16" t="s">
        <v>9427</v>
      </c>
    </row>
    <row r="3809" spans="1:9" x14ac:dyDescent="0.25">
      <c r="A3809" s="16" t="s">
        <v>4727</v>
      </c>
      <c r="B3809" s="16" t="str">
        <f>TEXT(PARTIDA[[#This Row],[PARTIDA]],"0000000000")</f>
        <v>4602110000</v>
      </c>
      <c r="C3809" s="16" t="s">
        <v>815</v>
      </c>
      <c r="D3809" s="16" t="s">
        <v>835</v>
      </c>
      <c r="E3809" s="16" t="s">
        <v>844</v>
      </c>
      <c r="F3809" s="27" t="s">
        <v>12662</v>
      </c>
      <c r="G3809" s="27"/>
      <c r="H3809" s="16" t="str">
        <f>IF(ISBLANK(PARTIDAS!$G3809),PARTIDAS!$F3809,CONCATENATE(PARTIDAS!$F3809," (",PARTIDAS!$G3809,")"))</f>
        <v>Artículos de cestería obtenidos directamente en su…, de materia vegetal, de bambú</v>
      </c>
      <c r="I3809" s="16" t="s">
        <v>9427</v>
      </c>
    </row>
    <row r="3810" spans="1:9" x14ac:dyDescent="0.25">
      <c r="A3810" s="16" t="s">
        <v>4728</v>
      </c>
      <c r="B3810" s="16" t="str">
        <f>TEXT(PARTIDA[[#This Row],[PARTIDA]],"0000000000")</f>
        <v>4602120000</v>
      </c>
      <c r="C3810" s="16" t="s">
        <v>815</v>
      </c>
      <c r="D3810" s="16" t="s">
        <v>835</v>
      </c>
      <c r="E3810" s="16" t="s">
        <v>844</v>
      </c>
      <c r="F3810" s="27" t="s">
        <v>12663</v>
      </c>
      <c r="G3810" s="27"/>
      <c r="H3810" s="16" t="str">
        <f>IF(ISBLANK(PARTIDAS!$G3810),PARTIDAS!$F3810,CONCATENATE(PARTIDAS!$F3810," (",PARTIDAS!$G3810,")"))</f>
        <v>Artículos de cestería obtenidos directamente en su…, de materia vegetal, de roten (ratán)</v>
      </c>
      <c r="I3810" s="16" t="s">
        <v>9427</v>
      </c>
    </row>
    <row r="3811" spans="1:9" x14ac:dyDescent="0.25">
      <c r="A3811" s="16" t="s">
        <v>4729</v>
      </c>
      <c r="B3811" s="16" t="str">
        <f>TEXT(PARTIDA[[#This Row],[PARTIDA]],"0000000000")</f>
        <v>4602190000</v>
      </c>
      <c r="C3811" s="16" t="s">
        <v>815</v>
      </c>
      <c r="D3811" s="16" t="s">
        <v>835</v>
      </c>
      <c r="E3811" s="16" t="s">
        <v>844</v>
      </c>
      <c r="F3811" s="27" t="s">
        <v>4532</v>
      </c>
      <c r="G3811" s="27"/>
      <c r="H3811" s="16" t="str">
        <f>IF(ISBLANK(PARTIDAS!$G3811),PARTIDAS!$F3811,CONCATENATE(PARTIDAS!$F3811," (",PARTIDAS!$G3811,")"))</f>
        <v>Artesanías</v>
      </c>
      <c r="I3811" s="16" t="s">
        <v>9427</v>
      </c>
    </row>
    <row r="3812" spans="1:9" x14ac:dyDescent="0.25">
      <c r="A3812" s="16" t="s">
        <v>4730</v>
      </c>
      <c r="B3812" s="16" t="str">
        <f>TEXT(PARTIDA[[#This Row],[PARTIDA]],"0000000000")</f>
        <v>4602900000</v>
      </c>
      <c r="C3812" s="16" t="s">
        <v>815</v>
      </c>
      <c r="D3812" s="16" t="s">
        <v>835</v>
      </c>
      <c r="E3812" s="16" t="s">
        <v>844</v>
      </c>
      <c r="F3812" s="27" t="s">
        <v>12664</v>
      </c>
      <c r="G3812" s="27"/>
      <c r="H3812" s="16" t="str">
        <f>IF(ISBLANK(PARTIDAS!$G3812),PARTIDAS!$F3812,CONCATENATE(PARTIDAS!$F3812," (",PARTIDAS!$G3812,")"))</f>
        <v>Artículos de cestería obtenidos directamente en su forma con materia… (los demás)</v>
      </c>
      <c r="I3812" s="16" t="s">
        <v>9427</v>
      </c>
    </row>
    <row r="3813" spans="1:9" x14ac:dyDescent="0.25">
      <c r="A3813" s="16" t="s">
        <v>4731</v>
      </c>
      <c r="B3813" s="16" t="str">
        <f>TEXT(PARTIDA[[#This Row],[PARTIDA]],"0000000000")</f>
        <v>4701000000</v>
      </c>
      <c r="C3813" s="16" t="s">
        <v>815</v>
      </c>
      <c r="D3813" s="16" t="s">
        <v>835</v>
      </c>
      <c r="E3813" s="16" t="s">
        <v>842</v>
      </c>
      <c r="F3813" s="27" t="s">
        <v>4732</v>
      </c>
      <c r="G3813" s="27"/>
      <c r="H3813" s="16" t="str">
        <f>IF(ISBLANK(PARTIDAS!$G3813),PARTIDAS!$F3813,CONCATENATE(PARTIDAS!$F3813," (",PARTIDAS!$G3813,")"))</f>
        <v>Pasta mecánica de madera.</v>
      </c>
      <c r="I3813" s="16" t="s">
        <v>9427</v>
      </c>
    </row>
    <row r="3814" spans="1:9" x14ac:dyDescent="0.25">
      <c r="A3814" s="16" t="s">
        <v>4733</v>
      </c>
      <c r="B3814" s="16" t="str">
        <f>TEXT(PARTIDA[[#This Row],[PARTIDA]],"0000000000")</f>
        <v>4702000000</v>
      </c>
      <c r="C3814" s="16" t="s">
        <v>815</v>
      </c>
      <c r="D3814" s="16" t="s">
        <v>835</v>
      </c>
      <c r="E3814" s="16" t="s">
        <v>842</v>
      </c>
      <c r="F3814" s="27" t="s">
        <v>4734</v>
      </c>
      <c r="G3814" s="27"/>
      <c r="H3814" s="16" t="str">
        <f>IF(ISBLANK(PARTIDAS!$G3814),PARTIDAS!$F3814,CONCATENATE(PARTIDAS!$F3814," (",PARTIDAS!$G3814,")"))</f>
        <v>Pasta química de madera para disolver.</v>
      </c>
      <c r="I3814" s="16" t="s">
        <v>9427</v>
      </c>
    </row>
    <row r="3815" spans="1:9" x14ac:dyDescent="0.25">
      <c r="A3815" s="16" t="s">
        <v>4735</v>
      </c>
      <c r="B3815" s="16" t="str">
        <f>TEXT(PARTIDA[[#This Row],[PARTIDA]],"0000000000")</f>
        <v>4703110000</v>
      </c>
      <c r="C3815" s="16" t="s">
        <v>815</v>
      </c>
      <c r="D3815" s="16" t="s">
        <v>835</v>
      </c>
      <c r="E3815" s="16" t="s">
        <v>842</v>
      </c>
      <c r="F3815" s="27" t="s">
        <v>12665</v>
      </c>
      <c r="G3815" s="27"/>
      <c r="H3815" s="16" t="str">
        <f>IF(ISBLANK(PARTIDAS!$G3815),PARTIDAS!$F3815,CONCATENATE(PARTIDAS!$F3815," (",PARTIDAS!$G3815,")"))</f>
        <v>Cruda, de coníferas</v>
      </c>
      <c r="I3815" s="16" t="s">
        <v>9427</v>
      </c>
    </row>
    <row r="3816" spans="1:9" x14ac:dyDescent="0.25">
      <c r="A3816" s="16" t="s">
        <v>4736</v>
      </c>
      <c r="B3816" s="16" t="str">
        <f>TEXT(PARTIDA[[#This Row],[PARTIDA]],"0000000000")</f>
        <v>4703190000</v>
      </c>
      <c r="C3816" s="16" t="s">
        <v>815</v>
      </c>
      <c r="D3816" s="16" t="s">
        <v>835</v>
      </c>
      <c r="E3816" s="16" t="s">
        <v>842</v>
      </c>
      <c r="F3816" s="27" t="s">
        <v>12521</v>
      </c>
      <c r="G3816" s="27"/>
      <c r="H3816" s="16" t="str">
        <f>IF(ISBLANK(PARTIDAS!$G3816),PARTIDAS!$F3816,CONCATENATE(PARTIDAS!$F3816," (",PARTIDAS!$G3816,")"))</f>
        <v>Distinta de la de coníferas</v>
      </c>
      <c r="I3816" s="16" t="s">
        <v>9427</v>
      </c>
    </row>
    <row r="3817" spans="1:9" x14ac:dyDescent="0.25">
      <c r="A3817" s="16" t="s">
        <v>4737</v>
      </c>
      <c r="B3817" s="16" t="str">
        <f>TEXT(PARTIDA[[#This Row],[PARTIDA]],"0000000000")</f>
        <v>4703210000</v>
      </c>
      <c r="C3817" s="16" t="s">
        <v>815</v>
      </c>
      <c r="D3817" s="16" t="s">
        <v>835</v>
      </c>
      <c r="E3817" s="16" t="s">
        <v>842</v>
      </c>
      <c r="F3817" s="27" t="s">
        <v>12666</v>
      </c>
      <c r="G3817" s="27"/>
      <c r="H3817" s="16" t="str">
        <f>IF(ISBLANK(PARTIDAS!$G3817),PARTIDAS!$F3817,CONCATENATE(PARTIDAS!$F3817," (",PARTIDAS!$G3817,")"))</f>
        <v>Semiblanqueada o blanqueada, de coníferas</v>
      </c>
      <c r="I3817" s="16" t="s">
        <v>9427</v>
      </c>
    </row>
    <row r="3818" spans="1:9" x14ac:dyDescent="0.25">
      <c r="A3818" s="16" t="s">
        <v>4738</v>
      </c>
      <c r="B3818" s="16" t="str">
        <f>TEXT(PARTIDA[[#This Row],[PARTIDA]],"0000000000")</f>
        <v>4703290000</v>
      </c>
      <c r="C3818" s="16" t="s">
        <v>815</v>
      </c>
      <c r="D3818" s="16" t="s">
        <v>835</v>
      </c>
      <c r="E3818" s="16" t="s">
        <v>842</v>
      </c>
      <c r="F3818" s="27" t="s">
        <v>12521</v>
      </c>
      <c r="G3818" s="27"/>
      <c r="H3818" s="16" t="str">
        <f>IF(ISBLANK(PARTIDAS!$G3818),PARTIDAS!$F3818,CONCATENATE(PARTIDAS!$F3818," (",PARTIDAS!$G3818,")"))</f>
        <v>Distinta de la de coníferas</v>
      </c>
      <c r="I3818" s="16" t="s">
        <v>9427</v>
      </c>
    </row>
    <row r="3819" spans="1:9" x14ac:dyDescent="0.25">
      <c r="A3819" s="16" t="s">
        <v>4739</v>
      </c>
      <c r="B3819" s="16" t="str">
        <f>TEXT(PARTIDA[[#This Row],[PARTIDA]],"0000000000")</f>
        <v>4704110000</v>
      </c>
      <c r="C3819" s="16" t="s">
        <v>815</v>
      </c>
      <c r="D3819" s="16" t="s">
        <v>835</v>
      </c>
      <c r="E3819" s="16" t="s">
        <v>842</v>
      </c>
      <c r="F3819" s="27" t="s">
        <v>12665</v>
      </c>
      <c r="G3819" s="27"/>
      <c r="H3819" s="16" t="str">
        <f>IF(ISBLANK(PARTIDAS!$G3819),PARTIDAS!$F3819,CONCATENATE(PARTIDAS!$F3819," (",PARTIDAS!$G3819,")"))</f>
        <v>Cruda, de coníferas</v>
      </c>
      <c r="I3819" s="16" t="s">
        <v>9427</v>
      </c>
    </row>
    <row r="3820" spans="1:9" x14ac:dyDescent="0.25">
      <c r="A3820" s="16" t="s">
        <v>4740</v>
      </c>
      <c r="B3820" s="16" t="str">
        <f>TEXT(PARTIDA[[#This Row],[PARTIDA]],"0000000000")</f>
        <v>4704190000</v>
      </c>
      <c r="C3820" s="16" t="s">
        <v>815</v>
      </c>
      <c r="D3820" s="16" t="s">
        <v>835</v>
      </c>
      <c r="E3820" s="16" t="s">
        <v>842</v>
      </c>
      <c r="F3820" s="27" t="s">
        <v>12521</v>
      </c>
      <c r="G3820" s="27"/>
      <c r="H3820" s="16" t="str">
        <f>IF(ISBLANK(PARTIDAS!$G3820),PARTIDAS!$F3820,CONCATENATE(PARTIDAS!$F3820," (",PARTIDAS!$G3820,")"))</f>
        <v>Distinta de la de coníferas</v>
      </c>
      <c r="I3820" s="16" t="s">
        <v>9427</v>
      </c>
    </row>
    <row r="3821" spans="1:9" x14ac:dyDescent="0.25">
      <c r="A3821" s="16" t="s">
        <v>4741</v>
      </c>
      <c r="B3821" s="16" t="str">
        <f>TEXT(PARTIDA[[#This Row],[PARTIDA]],"0000000000")</f>
        <v>4704210000</v>
      </c>
      <c r="C3821" s="16" t="s">
        <v>815</v>
      </c>
      <c r="D3821" s="16" t="s">
        <v>835</v>
      </c>
      <c r="E3821" s="16" t="s">
        <v>842</v>
      </c>
      <c r="F3821" s="27" t="s">
        <v>12666</v>
      </c>
      <c r="G3821" s="27"/>
      <c r="H3821" s="16" t="str">
        <f>IF(ISBLANK(PARTIDAS!$G3821),PARTIDAS!$F3821,CONCATENATE(PARTIDAS!$F3821," (",PARTIDAS!$G3821,")"))</f>
        <v>Semiblanqueada o blanqueada, de coníferas</v>
      </c>
      <c r="I3821" s="16" t="s">
        <v>9427</v>
      </c>
    </row>
    <row r="3822" spans="1:9" x14ac:dyDescent="0.25">
      <c r="A3822" s="16" t="s">
        <v>4742</v>
      </c>
      <c r="B3822" s="16" t="str">
        <f>TEXT(PARTIDA[[#This Row],[PARTIDA]],"0000000000")</f>
        <v>4704290000</v>
      </c>
      <c r="C3822" s="16" t="s">
        <v>815</v>
      </c>
      <c r="D3822" s="16" t="s">
        <v>835</v>
      </c>
      <c r="E3822" s="16" t="s">
        <v>842</v>
      </c>
      <c r="F3822" s="27" t="s">
        <v>12521</v>
      </c>
      <c r="G3822" s="27"/>
      <c r="H3822" s="16" t="str">
        <f>IF(ISBLANK(PARTIDAS!$G3822),PARTIDAS!$F3822,CONCATENATE(PARTIDAS!$F3822," (",PARTIDAS!$G3822,")"))</f>
        <v>Distinta de la de coníferas</v>
      </c>
      <c r="I3822" s="16" t="s">
        <v>9427</v>
      </c>
    </row>
    <row r="3823" spans="1:9" x14ac:dyDescent="0.25">
      <c r="A3823" s="16" t="s">
        <v>4743</v>
      </c>
      <c r="B3823" s="16" t="str">
        <f>TEXT(PARTIDA[[#This Row],[PARTIDA]],"0000000000")</f>
        <v>4705000000</v>
      </c>
      <c r="C3823" s="16" t="s">
        <v>815</v>
      </c>
      <c r="D3823" s="16" t="s">
        <v>835</v>
      </c>
      <c r="E3823" s="16" t="s">
        <v>842</v>
      </c>
      <c r="F3823" s="27" t="s">
        <v>4744</v>
      </c>
      <c r="G3823" s="27"/>
      <c r="H3823" s="16" t="str">
        <f>IF(ISBLANK(PARTIDAS!$G3823),PARTIDAS!$F3823,CONCATENATE(PARTIDAS!$F3823," (",PARTIDAS!$G3823,")"))</f>
        <v>Pasta de madera obtenida por la combinación de
procedimientos mecánico y químico.</v>
      </c>
      <c r="I3823" s="16" t="s">
        <v>9427</v>
      </c>
    </row>
    <row r="3824" spans="1:9" x14ac:dyDescent="0.25">
      <c r="A3824" s="16" t="s">
        <v>4745</v>
      </c>
      <c r="B3824" s="16" t="str">
        <f>TEXT(PARTIDA[[#This Row],[PARTIDA]],"0000000000")</f>
        <v>4706100000</v>
      </c>
      <c r="C3824" s="16" t="s">
        <v>815</v>
      </c>
      <c r="D3824" s="16" t="s">
        <v>835</v>
      </c>
      <c r="E3824" s="16" t="s">
        <v>842</v>
      </c>
      <c r="F3824" s="27" t="s">
        <v>12667</v>
      </c>
      <c r="G3824" s="27"/>
      <c r="H3824" s="16" t="str">
        <f>IF(ISBLANK(PARTIDAS!$G3824),PARTIDAS!$F3824,CONCATENATE(PARTIDAS!$F3824," (",PARTIDAS!$G3824,")"))</f>
        <v>Pasta de línter de algodón</v>
      </c>
      <c r="I3824" s="16" t="s">
        <v>9427</v>
      </c>
    </row>
    <row r="3825" spans="1:9" x14ac:dyDescent="0.25">
      <c r="A3825" s="16" t="s">
        <v>4746</v>
      </c>
      <c r="B3825" s="16" t="str">
        <f>TEXT(PARTIDA[[#This Row],[PARTIDA]],"0000000000")</f>
        <v>4706200000</v>
      </c>
      <c r="C3825" s="16" t="s">
        <v>815</v>
      </c>
      <c r="D3825" s="16" t="s">
        <v>835</v>
      </c>
      <c r="E3825" s="16" t="s">
        <v>842</v>
      </c>
      <c r="F3825" s="27" t="s">
        <v>12668</v>
      </c>
      <c r="G3825" s="27"/>
      <c r="H3825" s="16" t="str">
        <f>IF(ISBLANK(PARTIDAS!$G3825),PARTIDAS!$F3825,CONCATENATE(PARTIDAS!$F3825," (",PARTIDAS!$G3825,")"))</f>
        <v>Pasta de fibras obtenidas de papel o cartón reciclado (desperdicios y desechos)</v>
      </c>
      <c r="I3825" s="16" t="s">
        <v>9427</v>
      </c>
    </row>
    <row r="3826" spans="1:9" x14ac:dyDescent="0.25">
      <c r="A3826" s="16" t="s">
        <v>4747</v>
      </c>
      <c r="B3826" s="16" t="str">
        <f>TEXT(PARTIDA[[#This Row],[PARTIDA]],"0000000000")</f>
        <v>4706300010</v>
      </c>
      <c r="C3826" s="16" t="s">
        <v>815</v>
      </c>
      <c r="D3826" s="16" t="s">
        <v>835</v>
      </c>
      <c r="E3826" s="16" t="s">
        <v>842</v>
      </c>
      <c r="F3826" s="27" t="s">
        <v>12669</v>
      </c>
      <c r="G3826" s="27"/>
      <c r="H3826" s="16" t="str">
        <f>IF(ISBLANK(PARTIDAS!$G3826),PARTIDAS!$F3826,CONCATENATE(PARTIDAS!$F3826," (",PARTIDAS!$G3826,")"))</f>
        <v>Pasta de fibras obtenidas de papel o cartón reciclado (desperdicios y…, mecánicas</v>
      </c>
      <c r="I3826" s="16" t="s">
        <v>9427</v>
      </c>
    </row>
    <row r="3827" spans="1:9" x14ac:dyDescent="0.25">
      <c r="A3827" s="16" t="s">
        <v>4748</v>
      </c>
      <c r="B3827" s="16" t="str">
        <f>TEXT(PARTIDA[[#This Row],[PARTIDA]],"0000000000")</f>
        <v>4706300020</v>
      </c>
      <c r="C3827" s="16" t="s">
        <v>815</v>
      </c>
      <c r="D3827" s="16" t="s">
        <v>835</v>
      </c>
      <c r="E3827" s="16" t="s">
        <v>842</v>
      </c>
      <c r="F3827" s="27" t="s">
        <v>12670</v>
      </c>
      <c r="G3827" s="27"/>
      <c r="H3827" s="16" t="str">
        <f>IF(ISBLANK(PARTIDAS!$G3827),PARTIDAS!$F3827,CONCATENATE(PARTIDAS!$F3827," (",PARTIDAS!$G3827,")"))</f>
        <v>Pasta de fibras obtenidas de papel o cartón reciclado (desperdicios y…, químicas</v>
      </c>
      <c r="I3827" s="16" t="s">
        <v>9427</v>
      </c>
    </row>
    <row r="3828" spans="1:9" x14ac:dyDescent="0.25">
      <c r="A3828" s="16" t="s">
        <v>4749</v>
      </c>
      <c r="B3828" s="16" t="str">
        <f>TEXT(PARTIDA[[#This Row],[PARTIDA]],"0000000000")</f>
        <v>4706300030</v>
      </c>
      <c r="C3828" s="16" t="s">
        <v>815</v>
      </c>
      <c r="D3828" s="16" t="s">
        <v>835</v>
      </c>
      <c r="E3828" s="16" t="s">
        <v>842</v>
      </c>
      <c r="F3828" s="27" t="s">
        <v>12671</v>
      </c>
      <c r="G3828" s="27"/>
      <c r="H3828" s="16" t="str">
        <f>IF(ISBLANK(PARTIDAS!$G3828),PARTIDAS!$F3828,CONCATENATE(PARTIDAS!$F3828," (",PARTIDAS!$G3828,")"))</f>
        <v>Obtenidas por la combinación de procedimiento mecánico y químico</v>
      </c>
      <c r="I3828" s="16" t="s">
        <v>9427</v>
      </c>
    </row>
    <row r="3829" spans="1:9" x14ac:dyDescent="0.25">
      <c r="A3829" s="16" t="s">
        <v>4750</v>
      </c>
      <c r="B3829" s="16" t="str">
        <f>TEXT(PARTIDA[[#This Row],[PARTIDA]],"0000000000")</f>
        <v>4706910000</v>
      </c>
      <c r="C3829" s="16" t="s">
        <v>815</v>
      </c>
      <c r="D3829" s="16" t="s">
        <v>835</v>
      </c>
      <c r="E3829" s="16" t="s">
        <v>842</v>
      </c>
      <c r="F3829" s="27" t="s">
        <v>12669</v>
      </c>
      <c r="G3829" s="27"/>
      <c r="H3829" s="16" t="str">
        <f>IF(ISBLANK(PARTIDAS!$G3829),PARTIDAS!$F3829,CONCATENATE(PARTIDAS!$F3829," (",PARTIDAS!$G3829,")"))</f>
        <v>Pasta de fibras obtenidas de papel o cartón reciclado (desperdicios y…, mecánicas</v>
      </c>
      <c r="I3829" s="16" t="s">
        <v>9427</v>
      </c>
    </row>
    <row r="3830" spans="1:9" x14ac:dyDescent="0.25">
      <c r="A3830" s="16" t="s">
        <v>4751</v>
      </c>
      <c r="B3830" s="16" t="str">
        <f>TEXT(PARTIDA[[#This Row],[PARTIDA]],"0000000000")</f>
        <v>4706920000</v>
      </c>
      <c r="C3830" s="16" t="s">
        <v>815</v>
      </c>
      <c r="D3830" s="16" t="s">
        <v>835</v>
      </c>
      <c r="E3830" s="16" t="s">
        <v>842</v>
      </c>
      <c r="F3830" s="27" t="s">
        <v>12670</v>
      </c>
      <c r="G3830" s="27"/>
      <c r="H3830" s="16" t="str">
        <f>IF(ISBLANK(PARTIDAS!$G3830),PARTIDAS!$F3830,CONCATENATE(PARTIDAS!$F3830," (",PARTIDAS!$G3830,")"))</f>
        <v>Pasta de fibras obtenidas de papel o cartón reciclado (desperdicios y…, químicas</v>
      </c>
      <c r="I3830" s="16" t="s">
        <v>9427</v>
      </c>
    </row>
    <row r="3831" spans="1:9" x14ac:dyDescent="0.25">
      <c r="A3831" s="16" t="s">
        <v>4752</v>
      </c>
      <c r="B3831" s="16" t="str">
        <f>TEXT(PARTIDA[[#This Row],[PARTIDA]],"0000000000")</f>
        <v>4706930000</v>
      </c>
      <c r="C3831" s="16" t="s">
        <v>815</v>
      </c>
      <c r="D3831" s="16" t="s">
        <v>835</v>
      </c>
      <c r="E3831" s="16" t="s">
        <v>842</v>
      </c>
      <c r="F3831" s="27" t="s">
        <v>12672</v>
      </c>
      <c r="G3831" s="27"/>
      <c r="H3831" s="16" t="str">
        <f>IF(ISBLANK(PARTIDAS!$G3831),PARTIDAS!$F3831,CONCATENATE(PARTIDAS!$F3831," (",PARTIDAS!$G3831,")"))</f>
        <v>Obtenidas por la combinación de procedimientos mecánico y químico</v>
      </c>
      <c r="I3831" s="16" t="s">
        <v>9427</v>
      </c>
    </row>
    <row r="3832" spans="1:9" x14ac:dyDescent="0.25">
      <c r="A3832" s="16" t="s">
        <v>4753</v>
      </c>
      <c r="B3832" s="16" t="str">
        <f>TEXT(PARTIDA[[#This Row],[PARTIDA]],"0000000000")</f>
        <v>4707100000</v>
      </c>
      <c r="C3832" s="16" t="s">
        <v>815</v>
      </c>
      <c r="D3832" s="16" t="s">
        <v>835</v>
      </c>
      <c r="E3832" s="16" t="s">
        <v>842</v>
      </c>
      <c r="F3832" s="27" t="s">
        <v>12673</v>
      </c>
      <c r="G3832" s="27"/>
      <c r="H3832" s="16" t="str">
        <f>IF(ISBLANK(PARTIDAS!$G3832),PARTIDAS!$F3832,CONCATENATE(PARTIDAS!$F3832," (",PARTIDAS!$G3832,")"))</f>
        <v>Papel o cartón Kraft crudo o papel o cartón corrugado</v>
      </c>
      <c r="I3832" s="16" t="s">
        <v>9427</v>
      </c>
    </row>
    <row r="3833" spans="1:9" x14ac:dyDescent="0.25">
      <c r="A3833" s="16" t="s">
        <v>4754</v>
      </c>
      <c r="B3833" s="16" t="str">
        <f>TEXT(PARTIDA[[#This Row],[PARTIDA]],"0000000000")</f>
        <v>4707200000</v>
      </c>
      <c r="C3833" s="16" t="s">
        <v>815</v>
      </c>
      <c r="D3833" s="16" t="s">
        <v>835</v>
      </c>
      <c r="E3833" s="16" t="s">
        <v>842</v>
      </c>
      <c r="F3833" s="27" t="s">
        <v>12674</v>
      </c>
      <c r="G3833" s="27"/>
      <c r="H3833" s="16" t="str">
        <f>IF(ISBLANK(PARTIDAS!$G3833),PARTIDAS!$F3833,CONCATENATE(PARTIDAS!$F3833," (",PARTIDAS!$G3833,")"))</f>
        <v>Papel o cartón para reciclar (desperdicios y desechos) (los demás, papeles o cartones obtenidos principalmente a partir de pasta química blanqueada si</v>
      </c>
      <c r="I3833" s="16" t="s">
        <v>9427</v>
      </c>
    </row>
    <row r="3834" spans="1:9" x14ac:dyDescent="0.25">
      <c r="A3834" s="16" t="s">
        <v>4755</v>
      </c>
      <c r="B3834" s="16" t="str">
        <f>TEXT(PARTIDA[[#This Row],[PARTIDA]],"0000000000")</f>
        <v>4707300000</v>
      </c>
      <c r="C3834" s="16" t="s">
        <v>815</v>
      </c>
      <c r="D3834" s="16" t="s">
        <v>835</v>
      </c>
      <c r="E3834" s="16" t="s">
        <v>842</v>
      </c>
      <c r="F3834" s="27" t="s">
        <v>12675</v>
      </c>
      <c r="G3834" s="27"/>
      <c r="H3834" s="16" t="str">
        <f>IF(ISBLANK(PARTIDAS!$G3834),PARTIDAS!$F3834,CONCATENATE(PARTIDAS!$F3834," (",PARTIDAS!$G3834,")"))</f>
        <v>Papel o cartón obtenido principalmente a partir de pasta mecánica (por ejemplo: diarios, periódicos e impresos similares)</v>
      </c>
      <c r="I3834" s="16" t="s">
        <v>9427</v>
      </c>
    </row>
    <row r="3835" spans="1:9" x14ac:dyDescent="0.25">
      <c r="A3835" s="16" t="s">
        <v>4756</v>
      </c>
      <c r="B3835" s="16" t="str">
        <f>TEXT(PARTIDA[[#This Row],[PARTIDA]],"0000000000")</f>
        <v>4707900000</v>
      </c>
      <c r="C3835" s="16" t="s">
        <v>815</v>
      </c>
      <c r="D3835" s="16" t="s">
        <v>835</v>
      </c>
      <c r="E3835" s="16" t="s">
        <v>842</v>
      </c>
      <c r="F3835" s="27" t="s">
        <v>12676</v>
      </c>
      <c r="G3835" s="27"/>
      <c r="H3835" s="16" t="str">
        <f>IF(ISBLANK(PARTIDAS!$G3835),PARTIDAS!$F3835,CONCATENATE(PARTIDAS!$F3835," (",PARTIDAS!$G3835,")"))</f>
        <v>Papel o cartón para reciclar (desperdicios y desechos) (los demás, incluidos los desperdicios y desechos sin clasificar)</v>
      </c>
      <c r="I3835" s="16" t="s">
        <v>9427</v>
      </c>
    </row>
    <row r="3836" spans="1:9" x14ac:dyDescent="0.25">
      <c r="A3836" s="16" t="s">
        <v>4757</v>
      </c>
      <c r="B3836" s="16" t="str">
        <f>TEXT(PARTIDA[[#This Row],[PARTIDA]],"0000000000")</f>
        <v>4801000000</v>
      </c>
      <c r="C3836" s="16" t="s">
        <v>815</v>
      </c>
      <c r="D3836" s="16" t="s">
        <v>835</v>
      </c>
      <c r="E3836" s="16" t="s">
        <v>844</v>
      </c>
      <c r="F3836" s="27" t="s">
        <v>4758</v>
      </c>
      <c r="G3836" s="27"/>
      <c r="H3836" s="16" t="str">
        <f>IF(ISBLANK(PARTIDAS!$G3836),PARTIDAS!$F3836,CONCATENATE(PARTIDAS!$F3836," (",PARTIDAS!$G3836,")"))</f>
        <v>Papel prensa en bobinas (rollos) o en hojas.</v>
      </c>
      <c r="I3836" s="16" t="s">
        <v>9427</v>
      </c>
    </row>
    <row r="3837" spans="1:9" x14ac:dyDescent="0.25">
      <c r="A3837" s="16" t="s">
        <v>4759</v>
      </c>
      <c r="B3837" s="16" t="str">
        <f>TEXT(PARTIDA[[#This Row],[PARTIDA]],"0000000000")</f>
        <v>4802100000</v>
      </c>
      <c r="C3837" s="16" t="s">
        <v>815</v>
      </c>
      <c r="D3837" s="16" t="s">
        <v>835</v>
      </c>
      <c r="E3837" s="16" t="s">
        <v>844</v>
      </c>
      <c r="F3837" s="27" t="s">
        <v>12677</v>
      </c>
      <c r="G3837" s="27"/>
      <c r="H3837" s="16" t="str">
        <f>IF(ISBLANK(PARTIDAS!$G3837),PARTIDAS!$F3837,CONCATENATE(PARTIDAS!$F3837," (",PARTIDAS!$G3837,")"))</f>
        <v>Papel y cartón hechos a mano (hoja a hoja)</v>
      </c>
      <c r="I3837" s="16" t="s">
        <v>9427</v>
      </c>
    </row>
    <row r="3838" spans="1:9" x14ac:dyDescent="0.25">
      <c r="A3838" s="16" t="s">
        <v>4760</v>
      </c>
      <c r="B3838" s="16" t="str">
        <f>TEXT(PARTIDA[[#This Row],[PARTIDA]],"0000000000")</f>
        <v>4802200010</v>
      </c>
      <c r="C3838" s="16" t="s">
        <v>815</v>
      </c>
      <c r="D3838" s="16" t="s">
        <v>835</v>
      </c>
      <c r="E3838" s="16" t="s">
        <v>844</v>
      </c>
      <c r="F3838" s="27" t="s">
        <v>12678</v>
      </c>
      <c r="G3838" s="27"/>
      <c r="H3838" s="16" t="str">
        <f>IF(ISBLANK(PARTIDAS!$G3838),PARTIDAS!$F3838,CONCATENATE(PARTIDAS!$F3838," (",PARTIDAS!$G3838,")"))</f>
        <v>Papel y cartón soporte para papel o cartón fotosensibles…, en tiras o bobinas (rollos) de anchura superior a 15 cm, o en hojas cuadradas o rectangular</v>
      </c>
      <c r="I3838" s="16" t="s">
        <v>9427</v>
      </c>
    </row>
    <row r="3839" spans="1:9" x14ac:dyDescent="0.25">
      <c r="A3839" s="16" t="s">
        <v>4761</v>
      </c>
      <c r="B3839" s="16" t="str">
        <f>TEXT(PARTIDA[[#This Row],[PARTIDA]],"0000000000")</f>
        <v>4802200090</v>
      </c>
      <c r="C3839" s="16" t="s">
        <v>815</v>
      </c>
      <c r="D3839" s="16" t="s">
        <v>835</v>
      </c>
      <c r="E3839" s="16" t="s">
        <v>844</v>
      </c>
      <c r="F3839" s="27" t="s">
        <v>12679</v>
      </c>
      <c r="G3839" s="27"/>
      <c r="H3839" s="16" t="str">
        <f>IF(ISBLANK(PARTIDAS!$G3839),PARTIDAS!$F3839,CONCATENATE(PARTIDAS!$F3839," (",PARTIDAS!$G3839,")"))</f>
        <v>Papel y cartón soporte para papel o cartón fotosensibles… (los demás)</v>
      </c>
      <c r="I3839" s="16" t="s">
        <v>9427</v>
      </c>
    </row>
    <row r="3840" spans="1:9" x14ac:dyDescent="0.25">
      <c r="A3840" s="16" t="s">
        <v>4762</v>
      </c>
      <c r="B3840" s="16" t="str">
        <f>TEXT(PARTIDA[[#This Row],[PARTIDA]],"0000000000")</f>
        <v>4802400000</v>
      </c>
      <c r="C3840" s="16" t="s">
        <v>815</v>
      </c>
      <c r="D3840" s="16" t="s">
        <v>835</v>
      </c>
      <c r="E3840" s="16" t="s">
        <v>844</v>
      </c>
      <c r="F3840" s="27" t="s">
        <v>12680</v>
      </c>
      <c r="G3840" s="27"/>
      <c r="H3840" s="16" t="str">
        <f>IF(ISBLANK(PARTIDAS!$G3840),PARTIDAS!$F3840,CONCATENATE(PARTIDAS!$F3840," (",PARTIDAS!$G3840,")"))</f>
        <v>Papel soporte para papeles de decorar paredes</v>
      </c>
      <c r="I3840" s="16" t="s">
        <v>9427</v>
      </c>
    </row>
    <row r="3841" spans="1:9" x14ac:dyDescent="0.25">
      <c r="A3841" s="16" t="s">
        <v>4763</v>
      </c>
      <c r="B3841" s="16" t="str">
        <f>TEXT(PARTIDA[[#This Row],[PARTIDA]],"0000000000")</f>
        <v>4802540010</v>
      </c>
      <c r="C3841" s="16" t="s">
        <v>815</v>
      </c>
      <c r="D3841" s="16" t="s">
        <v>835</v>
      </c>
      <c r="E3841" s="16" t="s">
        <v>844</v>
      </c>
      <c r="F3841" s="27" t="s">
        <v>12681</v>
      </c>
      <c r="G3841" s="27"/>
      <c r="H3841" s="16" t="str">
        <f>IF(ISBLANK(PARTIDAS!$G3841),PARTIDAS!$F3841,CONCATENATE(PARTIDAS!$F3841," (",PARTIDAS!$G3841,")"))</f>
        <v xml:space="preserve">Papel soporte para papel carbón (carbónico) en tiras o bobinas (rollos) de anchura superior a 15 cm, o en hojas cuadradas o rectangulares con un lado </v>
      </c>
      <c r="I3841" s="16" t="s">
        <v>9427</v>
      </c>
    </row>
    <row r="3842" spans="1:9" x14ac:dyDescent="0.25">
      <c r="A3842" s="16" t="s">
        <v>4764</v>
      </c>
      <c r="B3842" s="16" t="str">
        <f>TEXT(PARTIDA[[#This Row],[PARTIDA]],"0000000000")</f>
        <v>4802540090</v>
      </c>
      <c r="C3842" s="16" t="s">
        <v>815</v>
      </c>
      <c r="D3842" s="16" t="s">
        <v>835</v>
      </c>
      <c r="E3842" s="16" t="s">
        <v>844</v>
      </c>
      <c r="F3842" s="27" t="s">
        <v>12682</v>
      </c>
      <c r="G3842" s="27"/>
      <c r="H3842" s="16" t="str">
        <f>IF(ISBLANK(PARTIDAS!$G3842),PARTIDAS!$F3842,CONCATENATE(PARTIDAS!$F3842," (",PARTIDAS!$G3842,")"))</f>
        <v>Papel y cartón, sin estucar ni recubrir, de los tipos…, de peso inferior a 40 g/m2 (los demás)</v>
      </c>
      <c r="I3842" s="16" t="s">
        <v>9427</v>
      </c>
    </row>
    <row r="3843" spans="1:9" x14ac:dyDescent="0.25">
      <c r="A3843" s="16" t="s">
        <v>4765</v>
      </c>
      <c r="B3843" s="16" t="str">
        <f>TEXT(PARTIDA[[#This Row],[PARTIDA]],"0000000000")</f>
        <v>4802551010</v>
      </c>
      <c r="C3843" s="16" t="s">
        <v>815</v>
      </c>
      <c r="D3843" s="16" t="s">
        <v>835</v>
      </c>
      <c r="E3843" s="16" t="s">
        <v>844</v>
      </c>
      <c r="F3843" s="27" t="s">
        <v>12683</v>
      </c>
      <c r="G3843" s="27"/>
      <c r="H3843" s="16" t="str">
        <f>IF(ISBLANK(PARTIDAS!$G3843),PARTIDAS!$F3843,CONCATENATE(PARTIDAS!$F3843," (",PARTIDAS!$G3843,")"))</f>
        <v>Papeles de seguridad para billetes, de anchura superior 15 cm, excepto los de pasta obtenido por procedimiento químico- mecánico</v>
      </c>
      <c r="I3843" s="16" t="s">
        <v>9427</v>
      </c>
    </row>
    <row r="3844" spans="1:9" x14ac:dyDescent="0.25">
      <c r="A3844" s="16" t="s">
        <v>4766</v>
      </c>
      <c r="B3844" s="16" t="str">
        <f>TEXT(PARTIDA[[#This Row],[PARTIDA]],"0000000000")</f>
        <v>4802551090</v>
      </c>
      <c r="C3844" s="16" t="s">
        <v>815</v>
      </c>
      <c r="D3844" s="16" t="s">
        <v>835</v>
      </c>
      <c r="E3844" s="16" t="s">
        <v>844</v>
      </c>
      <c r="F3844" s="27" t="s">
        <v>12684</v>
      </c>
      <c r="G3844" s="27"/>
      <c r="H3844" s="16" t="str">
        <f>IF(ISBLANK(PARTIDAS!$G3844),PARTIDAS!$F3844,CONCATENATE(PARTIDAS!$F3844," (",PARTIDAS!$G3844,")"))</f>
        <v>Papeles de seguridad para billetes (los demás)</v>
      </c>
      <c r="I3844" s="16" t="s">
        <v>9427</v>
      </c>
    </row>
    <row r="3845" spans="1:9" x14ac:dyDescent="0.25">
      <c r="A3845" s="16" t="s">
        <v>4767</v>
      </c>
      <c r="B3845" s="16" t="str">
        <f>TEXT(PARTIDA[[#This Row],[PARTIDA]],"0000000000")</f>
        <v>4802552000</v>
      </c>
      <c r="C3845" s="16" t="s">
        <v>815</v>
      </c>
      <c r="D3845" s="16" t="s">
        <v>835</v>
      </c>
      <c r="E3845" s="16" t="s">
        <v>844</v>
      </c>
      <c r="F3845" s="27" t="s">
        <v>12685</v>
      </c>
      <c r="G3845" s="27"/>
      <c r="H3845" s="16" t="str">
        <f>IF(ISBLANK(PARTIDAS!$G3845),PARTIDAS!$F3845,CONCATENATE(PARTIDAS!$F3845," (",PARTIDAS!$G3845,")"))</f>
        <v>Papel y cartón, sin estucar ni recubrir, de los tipos…, de peso superior o igual a 40 g/m2 pero inferior o igual a 150 g/m2… (los demás, papeles de se</v>
      </c>
      <c r="I3845" s="16" t="s">
        <v>9427</v>
      </c>
    </row>
    <row r="3846" spans="1:9" x14ac:dyDescent="0.25">
      <c r="A3846" s="16" t="s">
        <v>4768</v>
      </c>
      <c r="B3846" s="16" t="str">
        <f>TEXT(PARTIDA[[#This Row],[PARTIDA]],"0000000000")</f>
        <v>4802559000</v>
      </c>
      <c r="C3846" s="16" t="s">
        <v>815</v>
      </c>
      <c r="D3846" s="16" t="s">
        <v>835</v>
      </c>
      <c r="E3846" s="16" t="s">
        <v>844</v>
      </c>
      <c r="F3846" s="27" t="s">
        <v>12686</v>
      </c>
      <c r="G3846" s="27"/>
      <c r="H3846" s="16" t="str">
        <f>IF(ISBLANK(PARTIDAS!$G3846),PARTIDAS!$F3846,CONCATENATE(PARTIDAS!$F3846," (",PARTIDAS!$G3846,")"))</f>
        <v>Papel y cartón, sin estucar ni recubrir, de los tipos…, de peso superior o igual a 40 g/m2 pero inferior o igual a 150 g/m2… (los demás)</v>
      </c>
      <c r="I3846" s="16" t="s">
        <v>9427</v>
      </c>
    </row>
    <row r="3847" spans="1:9" x14ac:dyDescent="0.25">
      <c r="A3847" s="16" t="s">
        <v>4769</v>
      </c>
      <c r="B3847" s="16" t="str">
        <f>TEXT(PARTIDA[[#This Row],[PARTIDA]],"0000000000")</f>
        <v>4802561010</v>
      </c>
      <c r="C3847" s="16" t="s">
        <v>815</v>
      </c>
      <c r="D3847" s="16" t="s">
        <v>835</v>
      </c>
      <c r="E3847" s="16" t="s">
        <v>844</v>
      </c>
      <c r="F3847" s="27" t="s">
        <v>12687</v>
      </c>
      <c r="G3847" s="27"/>
      <c r="H3847" s="16" t="str">
        <f>IF(ISBLANK(PARTIDAS!$G3847),PARTIDAS!$F3847,CONCATENATE(PARTIDAS!$F3847," (",PARTIDAS!$G3847,")"))</f>
        <v xml:space="preserve">Papeles de seguridad para billetes, en hojas cuadradas o rectangulares con un lado superior a 360 mm y el otro superior a 150 mm, medidos sin plegar, </v>
      </c>
      <c r="I3847" s="16" t="s">
        <v>9427</v>
      </c>
    </row>
    <row r="3848" spans="1:9" x14ac:dyDescent="0.25">
      <c r="A3848" s="16" t="s">
        <v>4770</v>
      </c>
      <c r="B3848" s="16" t="str">
        <f>TEXT(PARTIDA[[#This Row],[PARTIDA]],"0000000000")</f>
        <v>4802561090</v>
      </c>
      <c r="C3848" s="16" t="s">
        <v>815</v>
      </c>
      <c r="D3848" s="16" t="s">
        <v>835</v>
      </c>
      <c r="E3848" s="16" t="s">
        <v>844</v>
      </c>
      <c r="F3848" s="27" t="s">
        <v>12684</v>
      </c>
      <c r="G3848" s="27"/>
      <c r="H3848" s="16" t="str">
        <f>IF(ISBLANK(PARTIDAS!$G3848),PARTIDAS!$F3848,CONCATENATE(PARTIDAS!$F3848," (",PARTIDAS!$G3848,")"))</f>
        <v>Papeles de seguridad para billetes (los demás)</v>
      </c>
      <c r="I3848" s="16" t="s">
        <v>9427</v>
      </c>
    </row>
    <row r="3849" spans="1:9" x14ac:dyDescent="0.25">
      <c r="A3849" s="16" t="s">
        <v>4771</v>
      </c>
      <c r="B3849" s="16" t="str">
        <f>TEXT(PARTIDA[[#This Row],[PARTIDA]],"0000000000")</f>
        <v>4802562000</v>
      </c>
      <c r="C3849" s="16" t="s">
        <v>815</v>
      </c>
      <c r="D3849" s="16" t="s">
        <v>835</v>
      </c>
      <c r="E3849" s="16" t="s">
        <v>844</v>
      </c>
      <c r="F3849" s="27" t="s">
        <v>12685</v>
      </c>
      <c r="G3849" s="27"/>
      <c r="H3849" s="16" t="str">
        <f>IF(ISBLANK(PARTIDAS!$G3849),PARTIDAS!$F3849,CONCATENATE(PARTIDAS!$F3849," (",PARTIDAS!$G3849,")"))</f>
        <v>Papel y cartón, sin estucar ni recubrir, de los tipos…, de peso superior o igual a 40 g/m2 pero inferior o igual a 150 g/m2… (los demás, papeles de se</v>
      </c>
      <c r="I3849" s="16" t="s">
        <v>9427</v>
      </c>
    </row>
    <row r="3850" spans="1:9" x14ac:dyDescent="0.25">
      <c r="A3850" s="16" t="s">
        <v>4772</v>
      </c>
      <c r="B3850" s="16" t="str">
        <f>TEXT(PARTIDA[[#This Row],[PARTIDA]],"0000000000")</f>
        <v>4802569000</v>
      </c>
      <c r="C3850" s="16" t="s">
        <v>815</v>
      </c>
      <c r="D3850" s="16" t="s">
        <v>835</v>
      </c>
      <c r="E3850" s="16" t="s">
        <v>844</v>
      </c>
      <c r="F3850" s="27" t="s">
        <v>12686</v>
      </c>
      <c r="G3850" s="27"/>
      <c r="H3850" s="16" t="str">
        <f>IF(ISBLANK(PARTIDAS!$G3850),PARTIDAS!$F3850,CONCATENATE(PARTIDAS!$F3850," (",PARTIDAS!$G3850,")"))</f>
        <v>Papel y cartón, sin estucar ni recubrir, de los tipos…, de peso superior o igual a 40 g/m2 pero inferior o igual a 150 g/m2… (los demás)</v>
      </c>
      <c r="I3850" s="16" t="s">
        <v>9427</v>
      </c>
    </row>
    <row r="3851" spans="1:9" x14ac:dyDescent="0.25">
      <c r="A3851" s="16" t="s">
        <v>4773</v>
      </c>
      <c r="B3851" s="16" t="str">
        <f>TEXT(PARTIDA[[#This Row],[PARTIDA]],"0000000000")</f>
        <v>4802571010</v>
      </c>
      <c r="C3851" s="16" t="s">
        <v>815</v>
      </c>
      <c r="D3851" s="16" t="s">
        <v>835</v>
      </c>
      <c r="E3851" s="16" t="s">
        <v>844</v>
      </c>
      <c r="F3851" s="27" t="s">
        <v>12688</v>
      </c>
      <c r="G3851" s="27"/>
      <c r="H3851" s="16" t="str">
        <f>IF(ISBLANK(PARTIDAS!$G3851),PARTIDAS!$F3851,CONCATENATE(PARTIDAS!$F3851," (",PARTIDAS!$G3851,")"))</f>
        <v>Papeles de seguridad para billetes, de pasta obtenido por procedimiento químico-mecánico</v>
      </c>
      <c r="I3851" s="16" t="s">
        <v>9427</v>
      </c>
    </row>
    <row r="3852" spans="1:9" x14ac:dyDescent="0.25">
      <c r="A3852" s="16" t="s">
        <v>4774</v>
      </c>
      <c r="B3852" s="16" t="str">
        <f>TEXT(PARTIDA[[#This Row],[PARTIDA]],"0000000000")</f>
        <v>4802571090</v>
      </c>
      <c r="C3852" s="16" t="s">
        <v>815</v>
      </c>
      <c r="D3852" s="16" t="s">
        <v>835</v>
      </c>
      <c r="E3852" s="16" t="s">
        <v>844</v>
      </c>
      <c r="F3852" s="27" t="s">
        <v>12684</v>
      </c>
      <c r="G3852" s="27"/>
      <c r="H3852" s="16" t="str">
        <f>IF(ISBLANK(PARTIDAS!$G3852),PARTIDAS!$F3852,CONCATENATE(PARTIDAS!$F3852," (",PARTIDAS!$G3852,")"))</f>
        <v>Papeles de seguridad para billetes (los demás)</v>
      </c>
      <c r="I3852" s="16" t="s">
        <v>9427</v>
      </c>
    </row>
    <row r="3853" spans="1:9" x14ac:dyDescent="0.25">
      <c r="A3853" s="16" t="s">
        <v>4775</v>
      </c>
      <c r="B3853" s="16" t="str">
        <f>TEXT(PARTIDA[[#This Row],[PARTIDA]],"0000000000")</f>
        <v>4802572000</v>
      </c>
      <c r="C3853" s="16" t="s">
        <v>815</v>
      </c>
      <c r="D3853" s="16" t="s">
        <v>835</v>
      </c>
      <c r="E3853" s="16" t="s">
        <v>844</v>
      </c>
      <c r="F3853" s="27" t="s">
        <v>12689</v>
      </c>
      <c r="G3853" s="27"/>
      <c r="H3853" s="16" t="str">
        <f>IF(ISBLANK(PARTIDAS!$G3853),PARTIDAS!$F3853,CONCATENATE(PARTIDAS!$F3853," (",PARTIDAS!$G3853,")"))</f>
        <v>Papel y cartón, sin estucar ni recubrir, de los tipos utilizados para… (los demás, papeles de seguridad)</v>
      </c>
      <c r="I3853" s="16" t="s">
        <v>9427</v>
      </c>
    </row>
    <row r="3854" spans="1:9" x14ac:dyDescent="0.25">
      <c r="A3854" s="16" t="s">
        <v>4776</v>
      </c>
      <c r="B3854" s="16" t="str">
        <f>TEXT(PARTIDA[[#This Row],[PARTIDA]],"0000000000")</f>
        <v>4802579000</v>
      </c>
      <c r="C3854" s="16" t="s">
        <v>815</v>
      </c>
      <c r="D3854" s="16" t="s">
        <v>835</v>
      </c>
      <c r="E3854" s="16" t="s">
        <v>844</v>
      </c>
      <c r="F3854" s="27" t="s">
        <v>9336</v>
      </c>
      <c r="G3854" s="27"/>
      <c r="H3854" s="16" t="str">
        <f>IF(ISBLANK(PARTIDAS!$G3854),PARTIDAS!$F3854,CONCATENATE(PARTIDAS!$F3854," (",PARTIDAS!$G3854,")"))</f>
        <v>Papel y cartón, sin estucar ni recubrir, de los tipos utilizados para… (los demás)</v>
      </c>
      <c r="I3854" s="16" t="s">
        <v>9427</v>
      </c>
    </row>
    <row r="3855" spans="1:9" x14ac:dyDescent="0.25">
      <c r="A3855" s="16" t="s">
        <v>4777</v>
      </c>
      <c r="B3855" s="16" t="str">
        <f>TEXT(PARTIDA[[#This Row],[PARTIDA]],"0000000000")</f>
        <v>4802581010</v>
      </c>
      <c r="C3855" s="16" t="s">
        <v>815</v>
      </c>
      <c r="D3855" s="16" t="s">
        <v>835</v>
      </c>
      <c r="E3855" s="16" t="s">
        <v>844</v>
      </c>
      <c r="F3855" s="27" t="s">
        <v>12690</v>
      </c>
      <c r="G3855" s="27"/>
      <c r="H3855" s="16" t="str">
        <f>IF(ISBLANK(PARTIDAS!$G3855),PARTIDAS!$F3855,CONCATENATE(PARTIDAS!$F3855," (",PARTIDAS!$G3855,")"))</f>
        <v xml:space="preserve">Papel de fibras obtenidas por procedimiento químico-mecánico inferior o igual al 10 % en peso del contenido total de fibras, de peso superior o igual </v>
      </c>
      <c r="I3855" s="16" t="s">
        <v>9427</v>
      </c>
    </row>
    <row r="3856" spans="1:9" x14ac:dyDescent="0.25">
      <c r="A3856" s="16" t="s">
        <v>4778</v>
      </c>
      <c r="B3856" s="16" t="str">
        <f>TEXT(PARTIDA[[#This Row],[PARTIDA]],"0000000000")</f>
        <v>4802581090</v>
      </c>
      <c r="C3856" s="16" t="s">
        <v>815</v>
      </c>
      <c r="D3856" s="16" t="s">
        <v>835</v>
      </c>
      <c r="E3856" s="16" t="s">
        <v>844</v>
      </c>
      <c r="F3856" s="27" t="s">
        <v>12691</v>
      </c>
      <c r="G3856" s="27"/>
      <c r="H3856" s="16" t="str">
        <f>IF(ISBLANK(PARTIDAS!$G3856),PARTIDAS!$F3856,CONCATENATE(PARTIDAS!$F3856," (",PARTIDAS!$G3856,")"))</f>
        <v>Papel y cartón, sin estucar ni recubrir, de los tipos…, de peso superior a 150 g/m2, en bobinas (rollos) (los demás)</v>
      </c>
      <c r="I3856" s="16" t="s">
        <v>9427</v>
      </c>
    </row>
    <row r="3857" spans="1:9" x14ac:dyDescent="0.25">
      <c r="A3857" s="16" t="s">
        <v>4779</v>
      </c>
      <c r="B3857" s="16" t="str">
        <f>TEXT(PARTIDA[[#This Row],[PARTIDA]],"0000000000")</f>
        <v>4802589010</v>
      </c>
      <c r="C3857" s="16" t="s">
        <v>815</v>
      </c>
      <c r="D3857" s="16" t="s">
        <v>835</v>
      </c>
      <c r="E3857" s="16" t="s">
        <v>844</v>
      </c>
      <c r="F3857" s="27" t="s">
        <v>12690</v>
      </c>
      <c r="G3857" s="27"/>
      <c r="H3857" s="16" t="str">
        <f>IF(ISBLANK(PARTIDAS!$G3857),PARTIDAS!$F3857,CONCATENATE(PARTIDAS!$F3857," (",PARTIDAS!$G3857,")"))</f>
        <v xml:space="preserve">Papel de fibras obtenidas por procedimiento químico-mecánico inferior o igual al 10 % en peso del contenido total de fibras, de peso superior o igual </v>
      </c>
      <c r="I3857" s="16" t="s">
        <v>9427</v>
      </c>
    </row>
    <row r="3858" spans="1:9" x14ac:dyDescent="0.25">
      <c r="A3858" s="16" t="s">
        <v>4780</v>
      </c>
      <c r="B3858" s="16" t="str">
        <f>TEXT(PARTIDA[[#This Row],[PARTIDA]],"0000000000")</f>
        <v>4802589090</v>
      </c>
      <c r="C3858" s="16" t="s">
        <v>815</v>
      </c>
      <c r="D3858" s="16" t="s">
        <v>835</v>
      </c>
      <c r="E3858" s="16" t="s">
        <v>844</v>
      </c>
      <c r="F3858" s="27" t="s">
        <v>12692</v>
      </c>
      <c r="G3858" s="27"/>
      <c r="H3858" s="16" t="str">
        <f>IF(ISBLANK(PARTIDAS!$G3858),PARTIDAS!$F3858,CONCATENATE(PARTIDAS!$F3858," (",PARTIDAS!$G3858,")"))</f>
        <v>Papel y cartón, sin estucar ni recubrir, de los tipos…, de peso superior a 150 g/m2 (los demás)</v>
      </c>
      <c r="I3858" s="16" t="s">
        <v>9427</v>
      </c>
    </row>
    <row r="3859" spans="1:9" x14ac:dyDescent="0.25">
      <c r="A3859" s="16" t="s">
        <v>4781</v>
      </c>
      <c r="B3859" s="16" t="str">
        <f>TEXT(PARTIDA[[#This Row],[PARTIDA]],"0000000000")</f>
        <v>4802611000</v>
      </c>
      <c r="C3859" s="16" t="s">
        <v>815</v>
      </c>
      <c r="D3859" s="16" t="s">
        <v>835</v>
      </c>
      <c r="E3859" s="16" t="s">
        <v>844</v>
      </c>
      <c r="F3859" s="27" t="s">
        <v>12693</v>
      </c>
      <c r="G3859" s="27"/>
      <c r="H3859" s="16" t="str">
        <f>IF(ISBLANK(PARTIDAS!$G3859),PARTIDAS!$F3859,CONCATENATE(PARTIDAS!$F3859," (",PARTIDAS!$G3859,")"))</f>
        <v xml:space="preserve">Papel y cartón, sin estucar ni recubrir, de los tipos…, en bobinas (rollos), de peso inferior a 40 g/m2, que cumpla con las demás especificaciones de </v>
      </c>
      <c r="I3859" s="16" t="s">
        <v>9427</v>
      </c>
    </row>
    <row r="3860" spans="1:9" x14ac:dyDescent="0.25">
      <c r="A3860" s="16" t="s">
        <v>4782</v>
      </c>
      <c r="B3860" s="16" t="str">
        <f>TEXT(PARTIDA[[#This Row],[PARTIDA]],"0000000000")</f>
        <v>4802619010</v>
      </c>
      <c r="C3860" s="16" t="s">
        <v>815</v>
      </c>
      <c r="D3860" s="16" t="s">
        <v>835</v>
      </c>
      <c r="E3860" s="16" t="s">
        <v>844</v>
      </c>
      <c r="F3860" s="27" t="s">
        <v>12694</v>
      </c>
      <c r="G3860" s="27"/>
      <c r="H3860" s="16" t="str">
        <f>IF(ISBLANK(PARTIDAS!$G3860),PARTIDAS!$F3860,CONCATENATE(PARTIDAS!$F3860," (",PARTIDAS!$G3860,")"))</f>
        <v>Papel y cartón, sin estucar ni recubrir, de los tipos…, en bobinas (rollos), con un contenido total de fibras obtenidas por procedimiento mecánico sup</v>
      </c>
      <c r="I3860" s="16" t="s">
        <v>9427</v>
      </c>
    </row>
    <row r="3861" spans="1:9" x14ac:dyDescent="0.25">
      <c r="A3861" s="16" t="s">
        <v>4783</v>
      </c>
      <c r="B3861" s="16" t="str">
        <f>TEXT(PARTIDA[[#This Row],[PARTIDA]],"0000000000")</f>
        <v>4802619020</v>
      </c>
      <c r="C3861" s="16" t="s">
        <v>815</v>
      </c>
      <c r="D3861" s="16" t="s">
        <v>835</v>
      </c>
      <c r="E3861" s="16" t="s">
        <v>844</v>
      </c>
      <c r="F3861" s="27" t="s">
        <v>12695</v>
      </c>
      <c r="G3861" s="27"/>
      <c r="H3861" s="16" t="str">
        <f>IF(ISBLANK(PARTIDAS!$G3861),PARTIDAS!$F3861,CONCATENATE(PARTIDAS!$F3861," (",PARTIDAS!$G3861,")"))</f>
        <v>Papel y cartón, sin estucar ni recubrir, de los tipos…, en bobinas (rollos), de anchura superior a 15 cm, pero inferior o igual a 36 cm</v>
      </c>
      <c r="I3861" s="16" t="s">
        <v>9427</v>
      </c>
    </row>
    <row r="3862" spans="1:9" x14ac:dyDescent="0.25">
      <c r="A3862" s="16" t="s">
        <v>4784</v>
      </c>
      <c r="B3862" s="16" t="str">
        <f>TEXT(PARTIDA[[#This Row],[PARTIDA]],"0000000000")</f>
        <v>4802619030</v>
      </c>
      <c r="C3862" s="16" t="s">
        <v>815</v>
      </c>
      <c r="D3862" s="16" t="s">
        <v>835</v>
      </c>
      <c r="E3862" s="16" t="s">
        <v>844</v>
      </c>
      <c r="F3862" s="27" t="s">
        <v>12696</v>
      </c>
      <c r="G3862" s="27"/>
      <c r="H3862" s="16" t="str">
        <f>IF(ISBLANK(PARTIDAS!$G3862),PARTIDAS!$F3862,CONCATENATE(PARTIDAS!$F3862," (",PARTIDAS!$G3862,")"))</f>
        <v>Papel y cartón, sin estucar ni recubrir, de los tipos…, en bobinas (rollos), con un contenido total de fibras obtenidas por procedimiento químico-mecá</v>
      </c>
      <c r="I3862" s="16" t="s">
        <v>9427</v>
      </c>
    </row>
    <row r="3863" spans="1:9" x14ac:dyDescent="0.25">
      <c r="A3863" s="16" t="s">
        <v>4785</v>
      </c>
      <c r="B3863" s="16" t="str">
        <f>TEXT(PARTIDA[[#This Row],[PARTIDA]],"0000000000")</f>
        <v>4802619040</v>
      </c>
      <c r="C3863" s="16" t="s">
        <v>815</v>
      </c>
      <c r="D3863" s="16" t="s">
        <v>835</v>
      </c>
      <c r="E3863" s="16" t="s">
        <v>844</v>
      </c>
      <c r="F3863" s="27" t="s">
        <v>12697</v>
      </c>
      <c r="G3863" s="27"/>
      <c r="H3863" s="16" t="str">
        <f>IF(ISBLANK(PARTIDAS!$G3863),PARTIDAS!$F3863,CONCATENATE(PARTIDAS!$F3863," (",PARTIDAS!$G3863,")"))</f>
        <v>Papel soporte para papel carbón (carbónico) de anchura superior a 15 cm, excepto los de pasta obtenido por procedimiento químico-mecánico</v>
      </c>
      <c r="I3863" s="16" t="s">
        <v>9427</v>
      </c>
    </row>
    <row r="3864" spans="1:9" x14ac:dyDescent="0.25">
      <c r="A3864" s="16" t="s">
        <v>4786</v>
      </c>
      <c r="B3864" s="16" t="str">
        <f>TEXT(PARTIDA[[#This Row],[PARTIDA]],"0000000000")</f>
        <v>4802619090</v>
      </c>
      <c r="C3864" s="16" t="s">
        <v>815</v>
      </c>
      <c r="D3864" s="16" t="s">
        <v>835</v>
      </c>
      <c r="E3864" s="16" t="s">
        <v>844</v>
      </c>
      <c r="F3864" s="27" t="s">
        <v>12698</v>
      </c>
      <c r="G3864" s="27"/>
      <c r="H3864" s="16" t="str">
        <f>IF(ISBLANK(PARTIDAS!$G3864),PARTIDAS!$F3864,CONCATENATE(PARTIDAS!$F3864," (",PARTIDAS!$G3864,")"))</f>
        <v>Papel y cartón, sin estucar ni recubrir, de los tipos…, en bobinas (rollos) (los demás)</v>
      </c>
      <c r="I3864" s="16" t="s">
        <v>9427</v>
      </c>
    </row>
    <row r="3865" spans="1:9" x14ac:dyDescent="0.25">
      <c r="A3865" s="16" t="s">
        <v>4787</v>
      </c>
      <c r="B3865" s="16" t="str">
        <f>TEXT(PARTIDA[[#This Row],[PARTIDA]],"0000000000")</f>
        <v>4802620010</v>
      </c>
      <c r="C3865" s="16" t="s">
        <v>815</v>
      </c>
      <c r="D3865" s="16" t="s">
        <v>835</v>
      </c>
      <c r="E3865" s="16" t="s">
        <v>844</v>
      </c>
      <c r="F3865" s="27" t="s">
        <v>12699</v>
      </c>
      <c r="G3865" s="27"/>
      <c r="H3865" s="16" t="str">
        <f>IF(ISBLANK(PARTIDAS!$G3865),PARTIDAS!$F3865,CONCATENATE(PARTIDAS!$F3865," (",PARTIDAS!$G3865,")"))</f>
        <v>Papel y cartón, sin estucar ni recubrir, de los tipos…, en hojas en las que un lado sea inferior o igual a 435 mm y el otro…, con un contenido total d</v>
      </c>
      <c r="I3865" s="16" t="s">
        <v>9427</v>
      </c>
    </row>
    <row r="3866" spans="1:9" x14ac:dyDescent="0.25">
      <c r="A3866" s="16" t="s">
        <v>4788</v>
      </c>
      <c r="B3866" s="16" t="str">
        <f>TEXT(PARTIDA[[#This Row],[PARTIDA]],"0000000000")</f>
        <v>4802620020</v>
      </c>
      <c r="C3866" s="16" t="s">
        <v>815</v>
      </c>
      <c r="D3866" s="16" t="s">
        <v>835</v>
      </c>
      <c r="E3866" s="16" t="s">
        <v>844</v>
      </c>
      <c r="F3866" s="27" t="s">
        <v>12699</v>
      </c>
      <c r="G3866" s="27"/>
      <c r="H3866" s="16" t="str">
        <f>IF(ISBLANK(PARTIDAS!$G3866),PARTIDAS!$F3866,CONCATENATE(PARTIDAS!$F3866," (",PARTIDAS!$G3866,")"))</f>
        <v>Papel y cartón, sin estucar ni recubrir, de los tipos…, en hojas en las que un lado sea inferior o igual a 435 mm y el otro…, con un contenido total d</v>
      </c>
      <c r="I3866" s="16" t="s">
        <v>9427</v>
      </c>
    </row>
    <row r="3867" spans="1:9" x14ac:dyDescent="0.25">
      <c r="A3867" s="16" t="s">
        <v>4789</v>
      </c>
      <c r="B3867" s="16" t="str">
        <f>TEXT(PARTIDA[[#This Row],[PARTIDA]],"0000000000")</f>
        <v>4802620030</v>
      </c>
      <c r="C3867" s="16" t="s">
        <v>815</v>
      </c>
      <c r="D3867" s="16" t="s">
        <v>835</v>
      </c>
      <c r="E3867" s="16" t="s">
        <v>844</v>
      </c>
      <c r="F3867" s="27" t="s">
        <v>12700</v>
      </c>
      <c r="G3867" s="27"/>
      <c r="H3867" s="16" t="str">
        <f>IF(ISBLANK(PARTIDAS!$G3867),PARTIDAS!$F3867,CONCATENATE(PARTIDAS!$F3867," (",PARTIDAS!$G3867,")"))</f>
        <v xml:space="preserve">Papel soporte para papel carbón (carbónico) en hojas cuadradas o rectangulares con un lado superior a 360 mm y el otro superior a 150 mm, medidos sin </v>
      </c>
      <c r="I3867" s="16" t="s">
        <v>9427</v>
      </c>
    </row>
    <row r="3868" spans="1:9" x14ac:dyDescent="0.25">
      <c r="A3868" s="16" t="s">
        <v>4790</v>
      </c>
      <c r="B3868" s="16" t="str">
        <f>TEXT(PARTIDA[[#This Row],[PARTIDA]],"0000000000")</f>
        <v>4802620090</v>
      </c>
      <c r="C3868" s="16" t="s">
        <v>815</v>
      </c>
      <c r="D3868" s="16" t="s">
        <v>835</v>
      </c>
      <c r="E3868" s="16" t="s">
        <v>844</v>
      </c>
      <c r="F3868" s="27" t="s">
        <v>12701</v>
      </c>
      <c r="G3868" s="27"/>
      <c r="H3868" s="16" t="str">
        <f>IF(ISBLANK(PARTIDAS!$G3868),PARTIDAS!$F3868,CONCATENATE(PARTIDAS!$F3868," (",PARTIDAS!$G3868,")"))</f>
        <v>Papel y cartón, sin estucar ni recubrir, de los tipos…, en hojas en las que un lado sea inferior o igual a 435 mm y el otro… (los demás)</v>
      </c>
      <c r="I3868" s="16" t="s">
        <v>9427</v>
      </c>
    </row>
    <row r="3869" spans="1:9" x14ac:dyDescent="0.25">
      <c r="A3869" s="16" t="s">
        <v>4791</v>
      </c>
      <c r="B3869" s="16" t="str">
        <f>TEXT(PARTIDA[[#This Row],[PARTIDA]],"0000000000")</f>
        <v>4802691000</v>
      </c>
      <c r="C3869" s="16" t="s">
        <v>815</v>
      </c>
      <c r="D3869" s="16" t="s">
        <v>835</v>
      </c>
      <c r="E3869" s="16" t="s">
        <v>844</v>
      </c>
      <c r="F3869" s="27" t="s">
        <v>12702</v>
      </c>
      <c r="G3869" s="27"/>
      <c r="H3869" s="16" t="str">
        <f>IF(ISBLANK(PARTIDAS!$G3869),PARTIDAS!$F3869,CONCATENATE(PARTIDAS!$F3869," (",PARTIDAS!$G3869,")"))</f>
        <v>Papel y cartón, sin estucar ni recubrir, de los tipos utilizados para…, de peso inferior a 40 g/m2, que cumpla con las demás especificaciones de la No</v>
      </c>
      <c r="I3869" s="16" t="s">
        <v>9427</v>
      </c>
    </row>
    <row r="3870" spans="1:9" x14ac:dyDescent="0.25">
      <c r="A3870" s="16" t="s">
        <v>4792</v>
      </c>
      <c r="B3870" s="16" t="str">
        <f>TEXT(PARTIDA[[#This Row],[PARTIDA]],"0000000000")</f>
        <v>4802699010</v>
      </c>
      <c r="C3870" s="16" t="s">
        <v>815</v>
      </c>
      <c r="D3870" s="16" t="s">
        <v>835</v>
      </c>
      <c r="E3870" s="16" t="s">
        <v>844</v>
      </c>
      <c r="F3870" s="27" t="s">
        <v>12703</v>
      </c>
      <c r="G3870" s="27"/>
      <c r="H3870" s="16" t="str">
        <f>IF(ISBLANK(PARTIDAS!$G3870),PARTIDAS!$F3870,CONCATENATE(PARTIDAS!$F3870," (",PARTIDAS!$G3870,")"))</f>
        <v>Papel y cartón, sin estucar ni recubrir, de los tipos utilizados para…, con un contenido total de fibras obtenidas por procedimiento mecánico superior</v>
      </c>
      <c r="I3870" s="16" t="s">
        <v>9427</v>
      </c>
    </row>
    <row r="3871" spans="1:9" x14ac:dyDescent="0.25">
      <c r="A3871" s="16" t="s">
        <v>4793</v>
      </c>
      <c r="B3871" s="16" t="str">
        <f>TEXT(PARTIDA[[#This Row],[PARTIDA]],"0000000000")</f>
        <v>4802699020</v>
      </c>
      <c r="C3871" s="16" t="s">
        <v>815</v>
      </c>
      <c r="D3871" s="16" t="s">
        <v>835</v>
      </c>
      <c r="E3871" s="16" t="s">
        <v>844</v>
      </c>
      <c r="F3871" s="27" t="s">
        <v>12704</v>
      </c>
      <c r="G3871" s="27"/>
      <c r="H3871" s="16" t="str">
        <f>IF(ISBLANK(PARTIDAS!$G3871),PARTIDAS!$F3871,CONCATENATE(PARTIDAS!$F3871," (",PARTIDAS!$G3871,")"))</f>
        <v xml:space="preserve">Papel y cartón, sin estucar ni recubrir, de los tipos utilizados para…, con un contenido total de fibras obtenidas por procedimiento químico-mecánico </v>
      </c>
      <c r="I3871" s="16" t="s">
        <v>9427</v>
      </c>
    </row>
    <row r="3872" spans="1:9" x14ac:dyDescent="0.25">
      <c r="A3872" s="16" t="s">
        <v>4794</v>
      </c>
      <c r="B3872" s="16" t="str">
        <f>TEXT(PARTIDA[[#This Row],[PARTIDA]],"0000000000")</f>
        <v>4802699030</v>
      </c>
      <c r="C3872" s="16" t="s">
        <v>815</v>
      </c>
      <c r="D3872" s="16" t="s">
        <v>835</v>
      </c>
      <c r="E3872" s="16" t="s">
        <v>844</v>
      </c>
      <c r="F3872" s="27" t="s">
        <v>12705</v>
      </c>
      <c r="G3872" s="27"/>
      <c r="H3872" s="16" t="str">
        <f>IF(ISBLANK(PARTIDAS!$G3872),PARTIDAS!$F3872,CONCATENATE(PARTIDAS!$F3872," (",PARTIDAS!$G3872,")"))</f>
        <v>Papel soporte para papel carbón (carbónico) en tiras de anchura superior a 150 mm, excepto los de pasta obtenido por procedimiento químico-mecánico</v>
      </c>
      <c r="I3872" s="16" t="s">
        <v>9427</v>
      </c>
    </row>
    <row r="3873" spans="1:9" x14ac:dyDescent="0.25">
      <c r="A3873" s="16" t="s">
        <v>4795</v>
      </c>
      <c r="B3873" s="16" t="str">
        <f>TEXT(PARTIDA[[#This Row],[PARTIDA]],"0000000000")</f>
        <v>4802699040</v>
      </c>
      <c r="C3873" s="16" t="s">
        <v>815</v>
      </c>
      <c r="D3873" s="16" t="s">
        <v>835</v>
      </c>
      <c r="E3873" s="16" t="s">
        <v>844</v>
      </c>
      <c r="F3873" s="27" t="s">
        <v>12706</v>
      </c>
      <c r="G3873" s="27"/>
      <c r="H3873" s="16" t="str">
        <f>IF(ISBLANK(PARTIDAS!$G3873),PARTIDAS!$F3873,CONCATENATE(PARTIDAS!$F3873," (",PARTIDAS!$G3873,")"))</f>
        <v>Papel y cartón, sin estucar ni recubrir, de los tipos utilizados para… (los demás, papeles soporte para papel carbón)</v>
      </c>
      <c r="I3873" s="16" t="s">
        <v>9427</v>
      </c>
    </row>
    <row r="3874" spans="1:9" x14ac:dyDescent="0.25">
      <c r="A3874" s="16" t="s">
        <v>4796</v>
      </c>
      <c r="B3874" s="16" t="str">
        <f>TEXT(PARTIDA[[#This Row],[PARTIDA]],"0000000000")</f>
        <v>4802699090</v>
      </c>
      <c r="C3874" s="16" t="s">
        <v>815</v>
      </c>
      <c r="D3874" s="16" t="s">
        <v>835</v>
      </c>
      <c r="E3874" s="16" t="s">
        <v>844</v>
      </c>
      <c r="F3874" s="27" t="s">
        <v>9336</v>
      </c>
      <c r="G3874" s="27"/>
      <c r="H3874" s="16" t="str">
        <f>IF(ISBLANK(PARTIDAS!$G3874),PARTIDAS!$F3874,CONCATENATE(PARTIDAS!$F3874," (",PARTIDAS!$G3874,")"))</f>
        <v>Papel y cartón, sin estucar ni recubrir, de los tipos utilizados para… (los demás)</v>
      </c>
      <c r="I3874" s="16" t="s">
        <v>9427</v>
      </c>
    </row>
    <row r="3875" spans="1:9" x14ac:dyDescent="0.25">
      <c r="A3875" s="16" t="s">
        <v>4797</v>
      </c>
      <c r="B3875" s="16" t="str">
        <f>TEXT(PARTIDA[[#This Row],[PARTIDA]],"0000000000")</f>
        <v>4803001000</v>
      </c>
      <c r="C3875" s="16" t="s">
        <v>815</v>
      </c>
      <c r="D3875" s="16" t="s">
        <v>835</v>
      </c>
      <c r="E3875" s="16" t="s">
        <v>844</v>
      </c>
      <c r="F3875" s="27" t="s">
        <v>12707</v>
      </c>
      <c r="G3875" s="27"/>
      <c r="H3875" s="16" t="str">
        <f>IF(ISBLANK(PARTIDAS!$G3875),PARTIDAS!$F3875,CONCATENATE(PARTIDAS!$F3875," (",PARTIDAS!$G3875,")"))</f>
        <v>Guata de celulosa y napa de fibras de celulosa</v>
      </c>
      <c r="I3875" s="16" t="s">
        <v>9427</v>
      </c>
    </row>
    <row r="3876" spans="1:9" x14ac:dyDescent="0.25">
      <c r="A3876" s="16" t="s">
        <v>4798</v>
      </c>
      <c r="B3876" s="16" t="str">
        <f>TEXT(PARTIDA[[#This Row],[PARTIDA]],"0000000000")</f>
        <v>4803009000</v>
      </c>
      <c r="C3876" s="16" t="s">
        <v>815</v>
      </c>
      <c r="D3876" s="16" t="s">
        <v>835</v>
      </c>
      <c r="E3876" s="16" t="s">
        <v>844</v>
      </c>
      <c r="F3876" s="27" t="s">
        <v>9336</v>
      </c>
      <c r="G3876" s="27"/>
      <c r="H3876" s="16" t="str">
        <f>IF(ISBLANK(PARTIDAS!$G3876),PARTIDAS!$F3876,CONCATENATE(PARTIDAS!$F3876," (",PARTIDAS!$G3876,")"))</f>
        <v>Papel y cartón, sin estucar ni recubrir, de los tipos utilizados para… (los demás)</v>
      </c>
      <c r="I3876" s="16" t="s">
        <v>9477</v>
      </c>
    </row>
    <row r="3877" spans="1:9" x14ac:dyDescent="0.25">
      <c r="A3877" s="16" t="s">
        <v>4799</v>
      </c>
      <c r="B3877" s="16" t="str">
        <f>TEXT(PARTIDA[[#This Row],[PARTIDA]],"0000000000")</f>
        <v>4804110000</v>
      </c>
      <c r="C3877" s="16" t="s">
        <v>815</v>
      </c>
      <c r="D3877" s="16" t="s">
        <v>835</v>
      </c>
      <c r="E3877" s="16" t="s">
        <v>844</v>
      </c>
      <c r="F3877" s="27" t="s">
        <v>12708</v>
      </c>
      <c r="G3877" s="27"/>
      <c r="H3877" s="16" t="str">
        <f>IF(ISBLANK(PARTIDAS!$G3877),PARTIDAS!$F3877,CONCATENATE(PARTIDAS!$F3877," (",PARTIDAS!$G3877,")"))</f>
        <v>Papel y cartón para caras (cubiertas) («Kraftliner»), crudos</v>
      </c>
      <c r="I3877" s="16" t="s">
        <v>9427</v>
      </c>
    </row>
    <row r="3878" spans="1:9" x14ac:dyDescent="0.25">
      <c r="A3878" s="16" t="s">
        <v>4800</v>
      </c>
      <c r="B3878" s="16" t="str">
        <f>TEXT(PARTIDA[[#This Row],[PARTIDA]],"0000000000")</f>
        <v>4804190000</v>
      </c>
      <c r="C3878" s="16" t="s">
        <v>815</v>
      </c>
      <c r="D3878" s="16" t="s">
        <v>835</v>
      </c>
      <c r="E3878" s="16" t="s">
        <v>844</v>
      </c>
      <c r="F3878" s="27" t="s">
        <v>12709</v>
      </c>
      <c r="G3878" s="27"/>
      <c r="H3878" s="16" t="str">
        <f>IF(ISBLANK(PARTIDAS!$G3878),PARTIDAS!$F3878,CONCATENATE(PARTIDAS!$F3878," (",PARTIDAS!$G3878,")"))</f>
        <v>Papel y cartón para caras (cubiertas) («Kraftliner») (los demás)</v>
      </c>
      <c r="I3878" s="16" t="s">
        <v>9427</v>
      </c>
    </row>
    <row r="3879" spans="1:9" x14ac:dyDescent="0.25">
      <c r="A3879" s="16" t="s">
        <v>4801</v>
      </c>
      <c r="B3879" s="16" t="str">
        <f>TEXT(PARTIDA[[#This Row],[PARTIDA]],"0000000000")</f>
        <v>4804210000</v>
      </c>
      <c r="C3879" s="16" t="s">
        <v>815</v>
      </c>
      <c r="D3879" s="16" t="s">
        <v>835</v>
      </c>
      <c r="E3879" s="16" t="s">
        <v>844</v>
      </c>
      <c r="F3879" s="27" t="s">
        <v>12710</v>
      </c>
      <c r="G3879" s="27"/>
      <c r="H3879" s="16" t="str">
        <f>IF(ISBLANK(PARTIDAS!$G3879),PARTIDAS!$F3879,CONCATENATE(PARTIDAS!$F3879," (",PARTIDAS!$G3879,")"))</f>
        <v>Papel Kraft para sacos (bolsas), crudo</v>
      </c>
      <c r="I3879" s="16" t="s">
        <v>9427</v>
      </c>
    </row>
    <row r="3880" spans="1:9" x14ac:dyDescent="0.25">
      <c r="A3880" s="16" t="s">
        <v>4802</v>
      </c>
      <c r="B3880" s="16" t="str">
        <f>TEXT(PARTIDA[[#This Row],[PARTIDA]],"0000000000")</f>
        <v>4804290000</v>
      </c>
      <c r="C3880" s="16" t="s">
        <v>815</v>
      </c>
      <c r="D3880" s="16" t="s">
        <v>835</v>
      </c>
      <c r="E3880" s="16" t="s">
        <v>844</v>
      </c>
      <c r="F3880" s="27" t="s">
        <v>12711</v>
      </c>
      <c r="G3880" s="27"/>
      <c r="H3880" s="16" t="str">
        <f>IF(ISBLANK(PARTIDAS!$G3880),PARTIDAS!$F3880,CONCATENATE(PARTIDAS!$F3880," (",PARTIDAS!$G3880,")"))</f>
        <v>Papel Kraft para sacos (bolsas) (los demás)</v>
      </c>
      <c r="I3880" s="16" t="s">
        <v>9427</v>
      </c>
    </row>
    <row r="3881" spans="1:9" x14ac:dyDescent="0.25">
      <c r="A3881" s="16" t="s">
        <v>4803</v>
      </c>
      <c r="B3881" s="16" t="str">
        <f>TEXT(PARTIDA[[#This Row],[PARTIDA]],"0000000000")</f>
        <v>4804310010</v>
      </c>
      <c r="C3881" s="16" t="s">
        <v>815</v>
      </c>
      <c r="D3881" s="16" t="s">
        <v>835</v>
      </c>
      <c r="E3881" s="16" t="s">
        <v>844</v>
      </c>
      <c r="F3881" s="27" t="s">
        <v>12712</v>
      </c>
      <c r="G3881" s="27"/>
      <c r="H3881" s="16" t="str">
        <f>IF(ISBLANK(PARTIDAS!$G3881),PARTIDAS!$F3881,CONCATENATE(PARTIDAS!$F3881," (",PARTIDAS!$G3881,")"))</f>
        <v>Papel y cartón Kraft, sin estucar ni recubrir, en…, crudos, para la fabricación de lijas</v>
      </c>
      <c r="I3881" s="16" t="s">
        <v>9427</v>
      </c>
    </row>
    <row r="3882" spans="1:9" x14ac:dyDescent="0.25">
      <c r="A3882" s="16" t="s">
        <v>4804</v>
      </c>
      <c r="B3882" s="16" t="str">
        <f>TEXT(PARTIDA[[#This Row],[PARTIDA]],"0000000000")</f>
        <v>4804310090</v>
      </c>
      <c r="C3882" s="16" t="s">
        <v>815</v>
      </c>
      <c r="D3882" s="16" t="s">
        <v>835</v>
      </c>
      <c r="E3882" s="16" t="s">
        <v>844</v>
      </c>
      <c r="F3882" s="27" t="s">
        <v>12713</v>
      </c>
      <c r="G3882" s="27"/>
      <c r="H3882" s="16" t="str">
        <f>IF(ISBLANK(PARTIDAS!$G3882),PARTIDAS!$F3882,CONCATENATE(PARTIDAS!$F3882," (",PARTIDAS!$G3882,")"))</f>
        <v>Papel y cartón Kraft, sin estucar ni recubrir, en…, crudos (los demás)</v>
      </c>
      <c r="I3882" s="16" t="s">
        <v>9427</v>
      </c>
    </row>
    <row r="3883" spans="1:9" x14ac:dyDescent="0.25">
      <c r="A3883" s="16" t="s">
        <v>4805</v>
      </c>
      <c r="B3883" s="16" t="str">
        <f>TEXT(PARTIDA[[#This Row],[PARTIDA]],"0000000000")</f>
        <v>4804390000</v>
      </c>
      <c r="C3883" s="16" t="s">
        <v>815</v>
      </c>
      <c r="D3883" s="16" t="s">
        <v>835</v>
      </c>
      <c r="E3883" s="16" t="s">
        <v>844</v>
      </c>
      <c r="F3883" s="27" t="s">
        <v>12714</v>
      </c>
      <c r="G3883" s="27"/>
      <c r="H3883" s="16" t="str">
        <f>IF(ISBLANK(PARTIDAS!$G3883),PARTIDAS!$F3883,CONCATENATE(PARTIDAS!$F3883," (",PARTIDAS!$G3883,")"))</f>
        <v>Papel y cartón Kraft, sin estucar ni recubrir, en bobinas (rollos) o… (los demás)</v>
      </c>
      <c r="I3883" s="16" t="s">
        <v>9427</v>
      </c>
    </row>
    <row r="3884" spans="1:9" x14ac:dyDescent="0.25">
      <c r="A3884" s="16" t="s">
        <v>4806</v>
      </c>
      <c r="B3884" s="16" t="str">
        <f>TEXT(PARTIDA[[#This Row],[PARTIDA]],"0000000000")</f>
        <v>4804411000</v>
      </c>
      <c r="C3884" s="16" t="s">
        <v>815</v>
      </c>
      <c r="D3884" s="16" t="s">
        <v>835</v>
      </c>
      <c r="E3884" s="16" t="s">
        <v>844</v>
      </c>
      <c r="F3884" s="27" t="s">
        <v>12715</v>
      </c>
      <c r="G3884" s="27"/>
      <c r="H3884" s="16" t="str">
        <f>IF(ISBLANK(PARTIDAS!$G3884),PARTIDAS!$F3884,CONCATENATE(PARTIDAS!$F3884," (",PARTIDAS!$G3884,")"))</f>
        <v>Absorbentes, de los tipos utilizados para la fabricación de laminados plásticos decorativos</v>
      </c>
      <c r="I3884" s="16" t="s">
        <v>9427</v>
      </c>
    </row>
    <row r="3885" spans="1:9" x14ac:dyDescent="0.25">
      <c r="A3885" s="16" t="s">
        <v>4807</v>
      </c>
      <c r="B3885" s="16" t="str">
        <f>TEXT(PARTIDA[[#This Row],[PARTIDA]],"0000000000")</f>
        <v>4804419010</v>
      </c>
      <c r="C3885" s="16" t="s">
        <v>815</v>
      </c>
      <c r="D3885" s="16" t="s">
        <v>835</v>
      </c>
      <c r="E3885" s="16" t="s">
        <v>844</v>
      </c>
      <c r="F3885" s="27" t="s">
        <v>12712</v>
      </c>
      <c r="G3885" s="27"/>
      <c r="H3885" s="16" t="str">
        <f>IF(ISBLANK(PARTIDAS!$G3885),PARTIDAS!$F3885,CONCATENATE(PARTIDAS!$F3885," (",PARTIDAS!$G3885,")"))</f>
        <v>Papel y cartón Kraft, sin estucar ni recubrir, en…, crudos, para la fabricación de lijas</v>
      </c>
      <c r="I3885" s="16" t="s">
        <v>9427</v>
      </c>
    </row>
    <row r="3886" spans="1:9" x14ac:dyDescent="0.25">
      <c r="A3886" s="16" t="s">
        <v>4808</v>
      </c>
      <c r="B3886" s="16" t="str">
        <f>TEXT(PARTIDA[[#This Row],[PARTIDA]],"0000000000")</f>
        <v>4804419090</v>
      </c>
      <c r="C3886" s="16" t="s">
        <v>815</v>
      </c>
      <c r="D3886" s="16" t="s">
        <v>835</v>
      </c>
      <c r="E3886" s="16" t="s">
        <v>844</v>
      </c>
      <c r="F3886" s="27" t="s">
        <v>12713</v>
      </c>
      <c r="G3886" s="27"/>
      <c r="H3886" s="16" t="str">
        <f>IF(ISBLANK(PARTIDAS!$G3886),PARTIDAS!$F3886,CONCATENATE(PARTIDAS!$F3886," (",PARTIDAS!$G3886,")"))</f>
        <v>Papel y cartón Kraft, sin estucar ni recubrir, en…, crudos (los demás)</v>
      </c>
      <c r="I3886" s="16" t="s">
        <v>9427</v>
      </c>
    </row>
    <row r="3887" spans="1:9" x14ac:dyDescent="0.25">
      <c r="A3887" s="16" t="s">
        <v>4809</v>
      </c>
      <c r="B3887" s="16" t="str">
        <f>TEXT(PARTIDA[[#This Row],[PARTIDA]],"0000000000")</f>
        <v>4804420000</v>
      </c>
      <c r="C3887" s="16" t="s">
        <v>815</v>
      </c>
      <c r="D3887" s="16" t="s">
        <v>835</v>
      </c>
      <c r="E3887" s="16" t="s">
        <v>844</v>
      </c>
      <c r="F3887" s="27" t="s">
        <v>12716</v>
      </c>
      <c r="G3887" s="27"/>
      <c r="H3887" s="16" t="str">
        <f>IF(ISBLANK(PARTIDAS!$G3887),PARTIDAS!$F3887,CONCATENATE(PARTIDAS!$F3887," (",PARTIDAS!$G3887,")"))</f>
        <v>Blanqueados uniformemente en la masa y con un contenido de fibras de madera obtenidas por procedimiento químico superior al 95 % en peso del contenido</v>
      </c>
      <c r="I3887" s="16" t="s">
        <v>9427</v>
      </c>
    </row>
    <row r="3888" spans="1:9" x14ac:dyDescent="0.25">
      <c r="A3888" s="16" t="s">
        <v>4810</v>
      </c>
      <c r="B3888" s="16" t="str">
        <f>TEXT(PARTIDA[[#This Row],[PARTIDA]],"0000000000")</f>
        <v>4804490000</v>
      </c>
      <c r="C3888" s="16" t="s">
        <v>815</v>
      </c>
      <c r="D3888" s="16" t="s">
        <v>835</v>
      </c>
      <c r="E3888" s="16" t="s">
        <v>844</v>
      </c>
      <c r="F3888" s="27" t="s">
        <v>12714</v>
      </c>
      <c r="G3888" s="27"/>
      <c r="H3888" s="16" t="str">
        <f>IF(ISBLANK(PARTIDAS!$G3888),PARTIDAS!$F3888,CONCATENATE(PARTIDAS!$F3888," (",PARTIDAS!$G3888,")"))</f>
        <v>Papel y cartón Kraft, sin estucar ni recubrir, en bobinas (rollos) o… (los demás)</v>
      </c>
      <c r="I3888" s="16" t="s">
        <v>9427</v>
      </c>
    </row>
    <row r="3889" spans="1:9" x14ac:dyDescent="0.25">
      <c r="A3889" s="16" t="s">
        <v>4811</v>
      </c>
      <c r="B3889" s="16" t="str">
        <f>TEXT(PARTIDA[[#This Row],[PARTIDA]],"0000000000")</f>
        <v>4804510020</v>
      </c>
      <c r="C3889" s="16" t="s">
        <v>815</v>
      </c>
      <c r="D3889" s="16" t="s">
        <v>835</v>
      </c>
      <c r="E3889" s="16" t="s">
        <v>844</v>
      </c>
      <c r="F3889" s="27" t="s">
        <v>12712</v>
      </c>
      <c r="G3889" s="27"/>
      <c r="H3889" s="16" t="str">
        <f>IF(ISBLANK(PARTIDAS!$G3889),PARTIDAS!$F3889,CONCATENATE(PARTIDAS!$F3889," (",PARTIDAS!$G3889,")"))</f>
        <v>Papel y cartón Kraft, sin estucar ni recubrir, en…, crudos, para la fabricación de lijas</v>
      </c>
      <c r="I3889" s="16" t="s">
        <v>9427</v>
      </c>
    </row>
    <row r="3890" spans="1:9" x14ac:dyDescent="0.25">
      <c r="A3890" s="16" t="s">
        <v>4812</v>
      </c>
      <c r="B3890" s="16" t="str">
        <f>TEXT(PARTIDA[[#This Row],[PARTIDA]],"0000000000")</f>
        <v>4804510090</v>
      </c>
      <c r="C3890" s="16" t="s">
        <v>815</v>
      </c>
      <c r="D3890" s="16" t="s">
        <v>835</v>
      </c>
      <c r="E3890" s="16" t="s">
        <v>844</v>
      </c>
      <c r="F3890" s="27" t="s">
        <v>12713</v>
      </c>
      <c r="G3890" s="27"/>
      <c r="H3890" s="16" t="str">
        <f>IF(ISBLANK(PARTIDAS!$G3890),PARTIDAS!$F3890,CONCATENATE(PARTIDAS!$F3890," (",PARTIDAS!$G3890,")"))</f>
        <v>Papel y cartón Kraft, sin estucar ni recubrir, en…, crudos (los demás)</v>
      </c>
      <c r="I3890" s="16" t="s">
        <v>9427</v>
      </c>
    </row>
    <row r="3891" spans="1:9" x14ac:dyDescent="0.25">
      <c r="A3891" s="16" t="s">
        <v>4813</v>
      </c>
      <c r="B3891" s="16" t="str">
        <f>TEXT(PARTIDA[[#This Row],[PARTIDA]],"0000000000")</f>
        <v>4804520000</v>
      </c>
      <c r="C3891" s="16" t="s">
        <v>815</v>
      </c>
      <c r="D3891" s="16" t="s">
        <v>835</v>
      </c>
      <c r="E3891" s="16" t="s">
        <v>844</v>
      </c>
      <c r="F3891" s="27" t="s">
        <v>12716</v>
      </c>
      <c r="G3891" s="27"/>
      <c r="H3891" s="16" t="str">
        <f>IF(ISBLANK(PARTIDAS!$G3891),PARTIDAS!$F3891,CONCATENATE(PARTIDAS!$F3891," (",PARTIDAS!$G3891,")"))</f>
        <v>Blanqueados uniformemente en la masa y con un contenido de fibras de madera obtenidas por procedimiento químico superior al 95 % en peso del contenido</v>
      </c>
      <c r="I3891" s="16" t="s">
        <v>9427</v>
      </c>
    </row>
    <row r="3892" spans="1:9" x14ac:dyDescent="0.25">
      <c r="A3892" s="16" t="s">
        <v>4814</v>
      </c>
      <c r="B3892" s="16" t="str">
        <f>TEXT(PARTIDA[[#This Row],[PARTIDA]],"0000000000")</f>
        <v>4804590000</v>
      </c>
      <c r="C3892" s="16" t="s">
        <v>815</v>
      </c>
      <c r="D3892" s="16" t="s">
        <v>835</v>
      </c>
      <c r="E3892" s="16" t="s">
        <v>844</v>
      </c>
      <c r="F3892" s="27" t="s">
        <v>12714</v>
      </c>
      <c r="G3892" s="27"/>
      <c r="H3892" s="16" t="str">
        <f>IF(ISBLANK(PARTIDAS!$G3892),PARTIDAS!$F3892,CONCATENATE(PARTIDAS!$F3892," (",PARTIDAS!$G3892,")"))</f>
        <v>Papel y cartón Kraft, sin estucar ni recubrir, en bobinas (rollos) o… (los demás)</v>
      </c>
      <c r="I3892" s="16" t="s">
        <v>9427</v>
      </c>
    </row>
    <row r="3893" spans="1:9" x14ac:dyDescent="0.25">
      <c r="A3893" s="16" t="s">
        <v>4815</v>
      </c>
      <c r="B3893" s="16" t="str">
        <f>TEXT(PARTIDA[[#This Row],[PARTIDA]],"0000000000")</f>
        <v>4805110000</v>
      </c>
      <c r="C3893" s="16" t="s">
        <v>815</v>
      </c>
      <c r="D3893" s="16" t="s">
        <v>835</v>
      </c>
      <c r="E3893" s="16" t="s">
        <v>844</v>
      </c>
      <c r="F3893" s="27" t="s">
        <v>12717</v>
      </c>
      <c r="G3893" s="27"/>
      <c r="H3893" s="16" t="str">
        <f>IF(ISBLANK(PARTIDAS!$G3893),PARTIDAS!$F3893,CONCATENATE(PARTIDAS!$F3893," (",PARTIDAS!$G3893,")"))</f>
        <v>Papel semiquímico para acanalar</v>
      </c>
      <c r="I3893" s="16" t="s">
        <v>9427</v>
      </c>
    </row>
    <row r="3894" spans="1:9" x14ac:dyDescent="0.25">
      <c r="A3894" s="16" t="s">
        <v>4816</v>
      </c>
      <c r="B3894" s="16" t="str">
        <f>TEXT(PARTIDA[[#This Row],[PARTIDA]],"0000000000")</f>
        <v>4805120010</v>
      </c>
      <c r="C3894" s="16" t="s">
        <v>815</v>
      </c>
      <c r="D3894" s="16" t="s">
        <v>835</v>
      </c>
      <c r="E3894" s="16" t="s">
        <v>844</v>
      </c>
      <c r="F3894" s="27" t="s">
        <v>12718</v>
      </c>
      <c r="G3894" s="27"/>
      <c r="H3894" s="16" t="str">
        <f>IF(ISBLANK(PARTIDAS!$G3894),PARTIDAS!$F3894,CONCATENATE(PARTIDAS!$F3894," (",PARTIDAS!$G3894,")"))</f>
        <v>Papel paja para acanalar, de pasta obtenida por procedimiento químico-mecánico y peso superior o igual a 225 g/m2</v>
      </c>
      <c r="I3894" s="16" t="s">
        <v>9427</v>
      </c>
    </row>
    <row r="3895" spans="1:9" x14ac:dyDescent="0.25">
      <c r="A3895" s="16" t="s">
        <v>4817</v>
      </c>
      <c r="B3895" s="16" t="str">
        <f>TEXT(PARTIDA[[#This Row],[PARTIDA]],"0000000000")</f>
        <v>4805120090</v>
      </c>
      <c r="C3895" s="16" t="s">
        <v>815</v>
      </c>
      <c r="D3895" s="16" t="s">
        <v>835</v>
      </c>
      <c r="E3895" s="16" t="s">
        <v>844</v>
      </c>
      <c r="F3895" s="27" t="s">
        <v>12719</v>
      </c>
      <c r="G3895" s="27"/>
      <c r="H3895" s="16" t="str">
        <f>IF(ISBLANK(PARTIDAS!$G3895),PARTIDAS!$F3895,CONCATENATE(PARTIDAS!$F3895," (",PARTIDAS!$G3895,")"))</f>
        <v>Papel paja para acanalar (los demás)</v>
      </c>
      <c r="I3895" s="16" t="s">
        <v>9427</v>
      </c>
    </row>
    <row r="3896" spans="1:9" x14ac:dyDescent="0.25">
      <c r="A3896" s="16" t="s">
        <v>4818</v>
      </c>
      <c r="B3896" s="16" t="str">
        <f>TEXT(PARTIDA[[#This Row],[PARTIDA]],"0000000000")</f>
        <v>4805190010</v>
      </c>
      <c r="C3896" s="16" t="s">
        <v>815</v>
      </c>
      <c r="D3896" s="16" t="s">
        <v>835</v>
      </c>
      <c r="E3896" s="16" t="s">
        <v>844</v>
      </c>
      <c r="F3896" s="27" t="s">
        <v>12720</v>
      </c>
      <c r="G3896" s="27"/>
      <c r="H3896" s="16" t="str">
        <f>IF(ISBLANK(PARTIDAS!$G3896),PARTIDAS!$F3896,CONCATENATE(PARTIDAS!$F3896," (",PARTIDAS!$G3896,")"))</f>
        <v>Papel para acanalar, de pasta obtenida por procedimiento químico-mecánico y peso superior o igual a 225 g/m2</v>
      </c>
      <c r="I3896" s="16" t="s">
        <v>9427</v>
      </c>
    </row>
    <row r="3897" spans="1:9" x14ac:dyDescent="0.25">
      <c r="A3897" s="16" t="s">
        <v>4819</v>
      </c>
      <c r="B3897" s="16" t="str">
        <f>TEXT(PARTIDA[[#This Row],[PARTIDA]],"0000000000")</f>
        <v>4805190090</v>
      </c>
      <c r="C3897" s="16" t="s">
        <v>815</v>
      </c>
      <c r="D3897" s="16" t="s">
        <v>835</v>
      </c>
      <c r="E3897" s="16" t="s">
        <v>844</v>
      </c>
      <c r="F3897" s="27" t="s">
        <v>12721</v>
      </c>
      <c r="G3897" s="27"/>
      <c r="H3897" s="16" t="str">
        <f>IF(ISBLANK(PARTIDAS!$G3897),PARTIDAS!$F3897,CONCATENATE(PARTIDAS!$F3897," (",PARTIDAS!$G3897,")"))</f>
        <v>Papel para acanalar (los demás)</v>
      </c>
      <c r="I3897" s="16" t="s">
        <v>9427</v>
      </c>
    </row>
    <row r="3898" spans="1:9" x14ac:dyDescent="0.25">
      <c r="A3898" s="16" t="s">
        <v>4820</v>
      </c>
      <c r="B3898" s="16" t="str">
        <f>TEXT(PARTIDA[[#This Row],[PARTIDA]],"0000000000")</f>
        <v>4805240000</v>
      </c>
      <c r="C3898" s="16" t="s">
        <v>815</v>
      </c>
      <c r="D3898" s="16" t="s">
        <v>835</v>
      </c>
      <c r="E3898" s="16" t="s">
        <v>844</v>
      </c>
      <c r="F3898" s="27" t="s">
        <v>12722</v>
      </c>
      <c r="G3898" s="27"/>
      <c r="H3898" s="16" t="str">
        <f>IF(ISBLANK(PARTIDAS!$G3898),PARTIDAS!$F3898,CONCATENATE(PARTIDAS!$F3898," (",PARTIDAS!$G3898,")"))</f>
        <v>«Testliner» (de fibras recicladas), de peso inferior o igual a 150 g/m2</v>
      </c>
      <c r="I3898" s="16" t="s">
        <v>9427</v>
      </c>
    </row>
    <row r="3899" spans="1:9" x14ac:dyDescent="0.25">
      <c r="A3899" s="16" t="s">
        <v>4821</v>
      </c>
      <c r="B3899" s="16" t="str">
        <f>TEXT(PARTIDA[[#This Row],[PARTIDA]],"0000000000")</f>
        <v>4805250010</v>
      </c>
      <c r="C3899" s="16" t="s">
        <v>815</v>
      </c>
      <c r="D3899" s="16" t="s">
        <v>835</v>
      </c>
      <c r="E3899" s="16" t="s">
        <v>844</v>
      </c>
      <c r="F3899" s="27" t="s">
        <v>12723</v>
      </c>
      <c r="G3899" s="27"/>
      <c r="H3899" s="16" t="str">
        <f>IF(ISBLANK(PARTIDAS!$G3899),PARTIDAS!$F3899,CONCATENATE(PARTIDAS!$F3899," (",PARTIDAS!$G3899,")"))</f>
        <v>«Testliner» (de fibras recicladas), de peso superior a 150 g/m2, de pasta obtenida por procedimiento químico-mecánico y peso superior o igual a 225 g/</v>
      </c>
      <c r="I3899" s="16" t="s">
        <v>9427</v>
      </c>
    </row>
    <row r="3900" spans="1:9" x14ac:dyDescent="0.25">
      <c r="A3900" s="16" t="s">
        <v>4822</v>
      </c>
      <c r="B3900" s="16" t="str">
        <f>TEXT(PARTIDA[[#This Row],[PARTIDA]],"0000000000")</f>
        <v>4805250090</v>
      </c>
      <c r="C3900" s="16" t="s">
        <v>815</v>
      </c>
      <c r="D3900" s="16" t="s">
        <v>835</v>
      </c>
      <c r="E3900" s="16" t="s">
        <v>844</v>
      </c>
      <c r="F3900" s="27" t="s">
        <v>12724</v>
      </c>
      <c r="G3900" s="27"/>
      <c r="H3900" s="16" t="str">
        <f>IF(ISBLANK(PARTIDAS!$G3900),PARTIDAS!$F3900,CONCATENATE(PARTIDAS!$F3900," (",PARTIDAS!$G3900,")"))</f>
        <v>«Testliner» (de fibras recicladas), de peso superior a 150 g/m2 (los demás)</v>
      </c>
      <c r="I3900" s="16" t="s">
        <v>9427</v>
      </c>
    </row>
    <row r="3901" spans="1:9" x14ac:dyDescent="0.25">
      <c r="A3901" s="16" t="s">
        <v>4823</v>
      </c>
      <c r="B3901" s="16" t="str">
        <f>TEXT(PARTIDA[[#This Row],[PARTIDA]],"0000000000")</f>
        <v>4805300000</v>
      </c>
      <c r="C3901" s="16" t="s">
        <v>815</v>
      </c>
      <c r="D3901" s="16" t="s">
        <v>835</v>
      </c>
      <c r="E3901" s="16" t="s">
        <v>844</v>
      </c>
      <c r="F3901" s="27" t="s">
        <v>12725</v>
      </c>
      <c r="G3901" s="27"/>
      <c r="H3901" s="16" t="str">
        <f>IF(ISBLANK(PARTIDAS!$G3901),PARTIDAS!$F3901,CONCATENATE(PARTIDAS!$F3901," (",PARTIDAS!$G3901,")"))</f>
        <v>Papel sulfito para envolver</v>
      </c>
      <c r="I3901" s="16" t="s">
        <v>9427</v>
      </c>
    </row>
    <row r="3902" spans="1:9" x14ac:dyDescent="0.25">
      <c r="A3902" s="16" t="s">
        <v>4824</v>
      </c>
      <c r="B3902" s="16" t="str">
        <f>TEXT(PARTIDA[[#This Row],[PARTIDA]],"0000000000")</f>
        <v>4805401000</v>
      </c>
      <c r="C3902" s="16" t="s">
        <v>815</v>
      </c>
      <c r="D3902" s="16" t="s">
        <v>835</v>
      </c>
      <c r="E3902" s="16" t="s">
        <v>844</v>
      </c>
      <c r="F3902" s="27" t="s">
        <v>12726</v>
      </c>
      <c r="G3902" s="27"/>
      <c r="H3902" s="16" t="str">
        <f>IF(ISBLANK(PARTIDAS!$G3902),PARTIDAS!$F3902,CONCATENATE(PARTIDAS!$F3902," (",PARTIDAS!$G3902,")"))</f>
        <v>Elaborados con 100 % en peso de fibra de algodón o de abacá, sin encolado y exento de compuestos minerales</v>
      </c>
      <c r="I3902" s="16" t="s">
        <v>9427</v>
      </c>
    </row>
    <row r="3903" spans="1:9" x14ac:dyDescent="0.25">
      <c r="A3903" s="16" t="s">
        <v>4825</v>
      </c>
      <c r="B3903" s="16" t="str">
        <f>TEXT(PARTIDA[[#This Row],[PARTIDA]],"0000000000")</f>
        <v>4805402000</v>
      </c>
      <c r="C3903" s="16" t="s">
        <v>815</v>
      </c>
      <c r="D3903" s="16" t="s">
        <v>835</v>
      </c>
      <c r="E3903" s="16" t="s">
        <v>844</v>
      </c>
      <c r="F3903" s="27" t="s">
        <v>12727</v>
      </c>
      <c r="G3903" s="27"/>
      <c r="H3903" s="16" t="str">
        <f>IF(ISBLANK(PARTIDAS!$G3903),PARTIDAS!$F3903,CONCATENATE(PARTIDAS!$F3903," (",PARTIDAS!$G3903,")"))</f>
        <v>Papel y cartón filtro, con un contenido de fibra de algodón superior o igual al 70 % pero inferior al 100 %, en peso</v>
      </c>
      <c r="I3903" s="16" t="s">
        <v>9427</v>
      </c>
    </row>
    <row r="3904" spans="1:9" x14ac:dyDescent="0.25">
      <c r="A3904" s="16" t="s">
        <v>4826</v>
      </c>
      <c r="B3904" s="16" t="str">
        <f>TEXT(PARTIDA[[#This Row],[PARTIDA]],"0000000000")</f>
        <v>4805409000</v>
      </c>
      <c r="C3904" s="16" t="s">
        <v>815</v>
      </c>
      <c r="D3904" s="16" t="s">
        <v>835</v>
      </c>
      <c r="E3904" s="16" t="s">
        <v>844</v>
      </c>
      <c r="F3904" s="27" t="s">
        <v>12728</v>
      </c>
      <c r="G3904" s="27"/>
      <c r="H3904" s="16" t="str">
        <f>IF(ISBLANK(PARTIDAS!$G3904),PARTIDAS!$F3904,CONCATENATE(PARTIDAS!$F3904," (",PARTIDAS!$G3904,")"))</f>
        <v>Papel y cartón filtro (los demás)</v>
      </c>
      <c r="I3904" s="16" t="s">
        <v>9427</v>
      </c>
    </row>
    <row r="3905" spans="1:9" x14ac:dyDescent="0.25">
      <c r="A3905" s="16" t="s">
        <v>4827</v>
      </c>
      <c r="B3905" s="16" t="str">
        <f>TEXT(PARTIDA[[#This Row],[PARTIDA]],"0000000000")</f>
        <v>4805500000</v>
      </c>
      <c r="C3905" s="16" t="s">
        <v>815</v>
      </c>
      <c r="D3905" s="16" t="s">
        <v>835</v>
      </c>
      <c r="E3905" s="16" t="s">
        <v>844</v>
      </c>
      <c r="F3905" s="27" t="s">
        <v>12729</v>
      </c>
      <c r="G3905" s="27"/>
      <c r="H3905" s="16" t="str">
        <f>IF(ISBLANK(PARTIDAS!$G3905),PARTIDAS!$F3905,CONCATENATE(PARTIDAS!$F3905," (",PARTIDAS!$G3905,")"))</f>
        <v>Papel y cartón fieltro, papel y cartón lana</v>
      </c>
      <c r="I3905" s="16" t="s">
        <v>9427</v>
      </c>
    </row>
    <row r="3906" spans="1:9" x14ac:dyDescent="0.25">
      <c r="A3906" s="16" t="s">
        <v>4828</v>
      </c>
      <c r="B3906" s="16" t="str">
        <f>TEXT(PARTIDA[[#This Row],[PARTIDA]],"0000000000")</f>
        <v>4805911000</v>
      </c>
      <c r="C3906" s="16" t="s">
        <v>815</v>
      </c>
      <c r="D3906" s="16" t="s">
        <v>835</v>
      </c>
      <c r="E3906" s="16" t="s">
        <v>844</v>
      </c>
      <c r="F3906" s="27" t="s">
        <v>12715</v>
      </c>
      <c r="G3906" s="27"/>
      <c r="H3906" s="16" t="str">
        <f>IF(ISBLANK(PARTIDAS!$G3906),PARTIDAS!$F3906,CONCATENATE(PARTIDAS!$F3906," (",PARTIDAS!$G3906,")"))</f>
        <v>Absorbentes, de los tipos utilizados para la fabricación de laminados plásticos decorativos</v>
      </c>
      <c r="I3906" s="16" t="s">
        <v>9427</v>
      </c>
    </row>
    <row r="3907" spans="1:9" x14ac:dyDescent="0.25">
      <c r="A3907" s="16" t="s">
        <v>4829</v>
      </c>
      <c r="B3907" s="16" t="str">
        <f>TEXT(PARTIDA[[#This Row],[PARTIDA]],"0000000000")</f>
        <v>4805912000</v>
      </c>
      <c r="C3907" s="16" t="s">
        <v>815</v>
      </c>
      <c r="D3907" s="16" t="s">
        <v>835</v>
      </c>
      <c r="E3907" s="16" t="s">
        <v>844</v>
      </c>
      <c r="F3907" s="27" t="s">
        <v>12730</v>
      </c>
      <c r="G3907" s="27"/>
      <c r="H3907" s="16" t="str">
        <f>IF(ISBLANK(PARTIDAS!$G3907),PARTIDAS!$F3907,CONCATENATE(PARTIDAS!$F3907," (",PARTIDAS!$G3907,")"))</f>
        <v>Papel y cartón, de peso inferior o igual a 150 g/m2, para aislamiento eléctrico</v>
      </c>
      <c r="I3907" s="16" t="s">
        <v>9427</v>
      </c>
    </row>
    <row r="3908" spans="1:9" x14ac:dyDescent="0.25">
      <c r="A3908" s="16" t="s">
        <v>4830</v>
      </c>
      <c r="B3908" s="16" t="str">
        <f>TEXT(PARTIDA[[#This Row],[PARTIDA]],"0000000000")</f>
        <v>4805913000</v>
      </c>
      <c r="C3908" s="16" t="s">
        <v>815</v>
      </c>
      <c r="D3908" s="16" t="s">
        <v>835</v>
      </c>
      <c r="E3908" s="16" t="s">
        <v>844</v>
      </c>
      <c r="F3908" s="27" t="s">
        <v>12731</v>
      </c>
      <c r="G3908" s="27"/>
      <c r="H3908" s="16" t="str">
        <f>IF(ISBLANK(PARTIDAS!$G3908),PARTIDAS!$F3908,CONCATENATE(PARTIDAS!$F3908," (",PARTIDAS!$G3908,")"))</f>
        <v>Papel y cartón, multicapas (excepto los de las subpartidas 4805.12.00, 4805.19.00, 4805.24.00 o 4805.25.00)</v>
      </c>
      <c r="I3908" s="16" t="s">
        <v>9427</v>
      </c>
    </row>
    <row r="3909" spans="1:9" x14ac:dyDescent="0.25">
      <c r="A3909" s="16" t="s">
        <v>4831</v>
      </c>
      <c r="B3909" s="16" t="str">
        <f>TEXT(PARTIDA[[#This Row],[PARTIDA]],"0000000000")</f>
        <v>4805919010</v>
      </c>
      <c r="C3909" s="16" t="s">
        <v>815</v>
      </c>
      <c r="D3909" s="16" t="s">
        <v>835</v>
      </c>
      <c r="E3909" s="16" t="s">
        <v>844</v>
      </c>
      <c r="F3909" s="27" t="s">
        <v>12732</v>
      </c>
      <c r="G3909" s="27"/>
      <c r="H3909" s="16" t="str">
        <f>IF(ISBLANK(PARTIDAS!$G3909),PARTIDAS!$F3909,CONCATENATE(PARTIDAS!$F3909," (",PARTIDAS!$G3909,")"))</f>
        <v>Papel y cartón, de peso inferior o igual a 150 g/m2, para juntas o empaquetaduras</v>
      </c>
      <c r="I3909" s="16" t="s">
        <v>9427</v>
      </c>
    </row>
    <row r="3910" spans="1:9" x14ac:dyDescent="0.25">
      <c r="A3910" s="16" t="s">
        <v>4832</v>
      </c>
      <c r="B3910" s="16" t="str">
        <f>TEXT(PARTIDA[[#This Row],[PARTIDA]],"0000000000")</f>
        <v>4805919020</v>
      </c>
      <c r="C3910" s="16" t="s">
        <v>815</v>
      </c>
      <c r="D3910" s="16" t="s">
        <v>835</v>
      </c>
      <c r="E3910" s="16" t="s">
        <v>844</v>
      </c>
      <c r="F3910" s="27" t="s">
        <v>12733</v>
      </c>
      <c r="G3910" s="27"/>
      <c r="H3910" s="16" t="str">
        <f>IF(ISBLANK(PARTIDAS!$G3910),PARTIDAS!$F3910,CONCATENATE(PARTIDAS!$F3910," (",PARTIDAS!$G3910,")"))</f>
        <v>Papel y cartón, de peso inferior o igual a 150 g/m2, para la fabricación de lijas</v>
      </c>
      <c r="I3910" s="16" t="s">
        <v>9427</v>
      </c>
    </row>
    <row r="3911" spans="1:9" x14ac:dyDescent="0.25">
      <c r="A3911" s="16" t="s">
        <v>4833</v>
      </c>
      <c r="B3911" s="16" t="str">
        <f>TEXT(PARTIDA[[#This Row],[PARTIDA]],"0000000000")</f>
        <v>4805919090</v>
      </c>
      <c r="C3911" s="16" t="s">
        <v>815</v>
      </c>
      <c r="D3911" s="16" t="s">
        <v>835</v>
      </c>
      <c r="E3911" s="16" t="s">
        <v>844</v>
      </c>
      <c r="F3911" s="27" t="s">
        <v>12734</v>
      </c>
      <c r="G3911" s="27"/>
      <c r="H3911" s="16" t="str">
        <f>IF(ISBLANK(PARTIDAS!$G3911),PARTIDAS!$F3911,CONCATENATE(PARTIDAS!$F3911," (",PARTIDAS!$G3911,")"))</f>
        <v>Papel y cartón, de peso inferior o igual a 150 g/m2 (los demás)</v>
      </c>
      <c r="I3911" s="16" t="s">
        <v>9427</v>
      </c>
    </row>
    <row r="3912" spans="1:9" x14ac:dyDescent="0.25">
      <c r="A3912" s="16" t="s">
        <v>4834</v>
      </c>
      <c r="B3912" s="16" t="str">
        <f>TEXT(PARTIDA[[#This Row],[PARTIDA]],"0000000000")</f>
        <v>4805921000</v>
      </c>
      <c r="C3912" s="16" t="s">
        <v>815</v>
      </c>
      <c r="D3912" s="16" t="s">
        <v>835</v>
      </c>
      <c r="E3912" s="16" t="s">
        <v>844</v>
      </c>
      <c r="F3912" s="27" t="s">
        <v>12735</v>
      </c>
      <c r="G3912" s="27"/>
      <c r="H3912" s="16" t="str">
        <f>IF(ISBLANK(PARTIDAS!$G3912),PARTIDAS!$F3912,CONCATENATE(PARTIDAS!$F3912," (",PARTIDAS!$G3912,")"))</f>
        <v>Papel y cartón, de peso superior a 150 g/m2 pero inferior a 225 g/m2, para aislamiento eléctrico</v>
      </c>
      <c r="I3912" s="16" t="s">
        <v>9427</v>
      </c>
    </row>
    <row r="3913" spans="1:9" x14ac:dyDescent="0.25">
      <c r="A3913" s="16" t="s">
        <v>4835</v>
      </c>
      <c r="B3913" s="16" t="str">
        <f>TEXT(PARTIDA[[#This Row],[PARTIDA]],"0000000000")</f>
        <v>4805922000</v>
      </c>
      <c r="C3913" s="16" t="s">
        <v>815</v>
      </c>
      <c r="D3913" s="16" t="s">
        <v>835</v>
      </c>
      <c r="E3913" s="16" t="s">
        <v>844</v>
      </c>
      <c r="F3913" s="27" t="s">
        <v>12731</v>
      </c>
      <c r="G3913" s="27"/>
      <c r="H3913" s="16" t="str">
        <f>IF(ISBLANK(PARTIDAS!$G3913),PARTIDAS!$F3913,CONCATENATE(PARTIDAS!$F3913," (",PARTIDAS!$G3913,")"))</f>
        <v>Papel y cartón, multicapas (excepto los de las subpartidas 4805.12.00, 4805.19.00, 4805.24.00 o 4805.25.00)</v>
      </c>
      <c r="I3913" s="16" t="s">
        <v>9427</v>
      </c>
    </row>
    <row r="3914" spans="1:9" x14ac:dyDescent="0.25">
      <c r="A3914" s="16" t="s">
        <v>4836</v>
      </c>
      <c r="B3914" s="16" t="str">
        <f>TEXT(PARTIDA[[#This Row],[PARTIDA]],"0000000000")</f>
        <v>4805929000</v>
      </c>
      <c r="C3914" s="16" t="s">
        <v>815</v>
      </c>
      <c r="D3914" s="16" t="s">
        <v>835</v>
      </c>
      <c r="E3914" s="16" t="s">
        <v>844</v>
      </c>
      <c r="F3914" s="27" t="s">
        <v>12736</v>
      </c>
      <c r="G3914" s="27"/>
      <c r="H3914" s="16" t="str">
        <f>IF(ISBLANK(PARTIDAS!$G3914),PARTIDAS!$F3914,CONCATENATE(PARTIDAS!$F3914," (",PARTIDAS!$G3914,")"))</f>
        <v>Papel y cartón, de peso superior a 150 g/m2 pero inferior a 225 g/m2 (los demás)</v>
      </c>
      <c r="I3914" s="16" t="s">
        <v>9427</v>
      </c>
    </row>
    <row r="3915" spans="1:9" x14ac:dyDescent="0.25">
      <c r="A3915" s="16" t="s">
        <v>4837</v>
      </c>
      <c r="B3915" s="16" t="str">
        <f>TEXT(PARTIDA[[#This Row],[PARTIDA]],"0000000000")</f>
        <v>4805931000</v>
      </c>
      <c r="C3915" s="16" t="s">
        <v>815</v>
      </c>
      <c r="D3915" s="16" t="s">
        <v>835</v>
      </c>
      <c r="E3915" s="16" t="s">
        <v>844</v>
      </c>
      <c r="F3915" s="27" t="s">
        <v>12737</v>
      </c>
      <c r="G3915" s="27"/>
      <c r="H3915" s="16" t="str">
        <f>IF(ISBLANK(PARTIDAS!$G3915),PARTIDAS!$F3915,CONCATENATE(PARTIDAS!$F3915," (",PARTIDAS!$G3915,")"))</f>
        <v>Papel y cartón, de peso superior o igual a 225 g/m2, para aislamiento eléctrico</v>
      </c>
      <c r="I3915" s="16" t="s">
        <v>9427</v>
      </c>
    </row>
    <row r="3916" spans="1:9" x14ac:dyDescent="0.25">
      <c r="A3916" s="16" t="s">
        <v>4838</v>
      </c>
      <c r="B3916" s="16" t="str">
        <f>TEXT(PARTIDA[[#This Row],[PARTIDA]],"0000000000")</f>
        <v>4805932000</v>
      </c>
      <c r="C3916" s="16" t="s">
        <v>815</v>
      </c>
      <c r="D3916" s="16" t="s">
        <v>835</v>
      </c>
      <c r="E3916" s="16" t="s">
        <v>844</v>
      </c>
      <c r="F3916" s="27" t="s">
        <v>12738</v>
      </c>
      <c r="G3916" s="27"/>
      <c r="H3916" s="16" t="str">
        <f>IF(ISBLANK(PARTIDAS!$G3916),PARTIDAS!$F3916,CONCATENATE(PARTIDAS!$F3916," (",PARTIDAS!$G3916,")"))</f>
        <v>Papel y cartón multicapas (excepto los de las subpartidas 4805.12.00, 4805.19.00, 4805.24.00 o 4805.25.00)</v>
      </c>
      <c r="I3916" s="16" t="s">
        <v>9427</v>
      </c>
    </row>
    <row r="3917" spans="1:9" x14ac:dyDescent="0.25">
      <c r="A3917" s="16" t="s">
        <v>4839</v>
      </c>
      <c r="B3917" s="16" t="str">
        <f>TEXT(PARTIDA[[#This Row],[PARTIDA]],"0000000000")</f>
        <v>4805933000</v>
      </c>
      <c r="C3917" s="16" t="s">
        <v>815</v>
      </c>
      <c r="D3917" s="16" t="s">
        <v>835</v>
      </c>
      <c r="E3917" s="16" t="s">
        <v>844</v>
      </c>
      <c r="F3917" s="27" t="s">
        <v>12739</v>
      </c>
      <c r="G3917" s="27"/>
      <c r="H3917" s="16" t="str">
        <f>IF(ISBLANK(PARTIDAS!$G3917),PARTIDAS!$F3917,CONCATENATE(PARTIDAS!$F3917," (",PARTIDAS!$G3917,")"))</f>
        <v>Cartones rígidos con peso específico superior a 1</v>
      </c>
      <c r="I3917" s="16" t="s">
        <v>9427</v>
      </c>
    </row>
    <row r="3918" spans="1:9" x14ac:dyDescent="0.25">
      <c r="A3918" s="16" t="s">
        <v>4840</v>
      </c>
      <c r="B3918" s="16" t="str">
        <f>TEXT(PARTIDA[[#This Row],[PARTIDA]],"0000000000")</f>
        <v>4805939000</v>
      </c>
      <c r="C3918" s="16" t="s">
        <v>815</v>
      </c>
      <c r="D3918" s="16" t="s">
        <v>835</v>
      </c>
      <c r="E3918" s="16" t="s">
        <v>844</v>
      </c>
      <c r="F3918" s="27" t="s">
        <v>12740</v>
      </c>
      <c r="G3918" s="27"/>
      <c r="H3918" s="16" t="str">
        <f>IF(ISBLANK(PARTIDAS!$G3918),PARTIDAS!$F3918,CONCATENATE(PARTIDAS!$F3918," (",PARTIDAS!$G3918,")"))</f>
        <v>Papel y cartón, de peso superior o igual a 225 g/m2 (los demás)</v>
      </c>
      <c r="I3918" s="16" t="s">
        <v>9427</v>
      </c>
    </row>
    <row r="3919" spans="1:9" x14ac:dyDescent="0.25">
      <c r="A3919" s="16" t="s">
        <v>4841</v>
      </c>
      <c r="B3919" s="16" t="str">
        <f>TEXT(PARTIDA[[#This Row],[PARTIDA]],"0000000000")</f>
        <v>4806100000</v>
      </c>
      <c r="C3919" s="16" t="s">
        <v>815</v>
      </c>
      <c r="D3919" s="16" t="s">
        <v>835</v>
      </c>
      <c r="E3919" s="16" t="s">
        <v>844</v>
      </c>
      <c r="F3919" s="27" t="s">
        <v>12741</v>
      </c>
      <c r="G3919" s="27"/>
      <c r="H3919" s="16" t="str">
        <f>IF(ISBLANK(PARTIDAS!$G3919),PARTIDAS!$F3919,CONCATENATE(PARTIDAS!$F3919," (",PARTIDAS!$G3919,")"))</f>
        <v>Papel y cartón sulfurizados (pergamino vegetal)</v>
      </c>
      <c r="I3919" s="16" t="s">
        <v>9427</v>
      </c>
    </row>
    <row r="3920" spans="1:9" x14ac:dyDescent="0.25">
      <c r="A3920" s="16" t="s">
        <v>4842</v>
      </c>
      <c r="B3920" s="16" t="str">
        <f>TEXT(PARTIDA[[#This Row],[PARTIDA]],"0000000000")</f>
        <v>4806200000</v>
      </c>
      <c r="C3920" s="16" t="s">
        <v>815</v>
      </c>
      <c r="D3920" s="16" t="s">
        <v>835</v>
      </c>
      <c r="E3920" s="16" t="s">
        <v>844</v>
      </c>
      <c r="F3920" s="27" t="s">
        <v>12742</v>
      </c>
      <c r="G3920" s="27"/>
      <c r="H3920" s="16" t="str">
        <f>IF(ISBLANK(PARTIDAS!$G3920),PARTIDAS!$F3920,CONCATENATE(PARTIDAS!$F3920," (",PARTIDAS!$G3920,")"))</f>
        <v>Papel resistente a las grasas («greaseproof»)</v>
      </c>
      <c r="I3920" s="16" t="s">
        <v>9427</v>
      </c>
    </row>
    <row r="3921" spans="1:9" x14ac:dyDescent="0.25">
      <c r="A3921" s="16" t="s">
        <v>4843</v>
      </c>
      <c r="B3921" s="16" t="str">
        <f>TEXT(PARTIDA[[#This Row],[PARTIDA]],"0000000000")</f>
        <v>4806300000</v>
      </c>
      <c r="C3921" s="16" t="s">
        <v>815</v>
      </c>
      <c r="D3921" s="16" t="s">
        <v>835</v>
      </c>
      <c r="E3921" s="16" t="s">
        <v>844</v>
      </c>
      <c r="F3921" s="27" t="s">
        <v>12743</v>
      </c>
      <c r="G3921" s="27"/>
      <c r="H3921" s="16" t="str">
        <f>IF(ISBLANK(PARTIDAS!$G3921),PARTIDAS!$F3921,CONCATENATE(PARTIDAS!$F3921," (",PARTIDAS!$G3921,")"))</f>
        <v>Papel vegetal (papel calco)</v>
      </c>
      <c r="I3921" s="16" t="s">
        <v>9427</v>
      </c>
    </row>
    <row r="3922" spans="1:9" x14ac:dyDescent="0.25">
      <c r="A3922" s="16" t="s">
        <v>4844</v>
      </c>
      <c r="B3922" s="16" t="str">
        <f>TEXT(PARTIDA[[#This Row],[PARTIDA]],"0000000000")</f>
        <v>4806400000</v>
      </c>
      <c r="C3922" s="16" t="s">
        <v>815</v>
      </c>
      <c r="D3922" s="16" t="s">
        <v>835</v>
      </c>
      <c r="E3922" s="16" t="s">
        <v>844</v>
      </c>
      <c r="F3922" s="27" t="s">
        <v>12744</v>
      </c>
      <c r="G3922" s="27"/>
      <c r="H3922" s="16" t="str">
        <f>IF(ISBLANK(PARTIDAS!$G3922),PARTIDAS!$F3922,CONCATENATE(PARTIDAS!$F3922," (",PARTIDAS!$G3922,")"))</f>
        <v>Papel cristal y demás papeles calandrados transparentes o traslúcidos</v>
      </c>
      <c r="I3922" s="16" t="s">
        <v>9427</v>
      </c>
    </row>
    <row r="3923" spans="1:9" x14ac:dyDescent="0.25">
      <c r="A3923" s="16" t="s">
        <v>4845</v>
      </c>
      <c r="B3923" s="16" t="str">
        <f>TEXT(PARTIDA[[#This Row],[PARTIDA]],"0000000000")</f>
        <v>4807000000</v>
      </c>
      <c r="C3923" s="16" t="s">
        <v>815</v>
      </c>
      <c r="D3923" s="16" t="s">
        <v>835</v>
      </c>
      <c r="E3923" s="16" t="s">
        <v>844</v>
      </c>
      <c r="F3923" s="27" t="s">
        <v>4846</v>
      </c>
      <c r="G3923" s="27"/>
      <c r="H3923" s="16" t="str">
        <f>IF(ISBLANK(PARTIDAS!$G3923),PARTIDAS!$F3923,CONCATENATE(PARTIDAS!$F3923," (",PARTIDAS!$G3923,")"))</f>
        <v>Papel y cartón obtenidos por pegado de hojas
planas, sin estucar ni recubrir en la superficie y sin
impregnar, incluso reforzados interiormente, en
bobinas (rollos) o en hojas.</v>
      </c>
      <c r="I3923" s="16" t="s">
        <v>9427</v>
      </c>
    </row>
    <row r="3924" spans="1:9" x14ac:dyDescent="0.25">
      <c r="A3924" s="16" t="s">
        <v>4847</v>
      </c>
      <c r="B3924" s="16" t="str">
        <f>TEXT(PARTIDA[[#This Row],[PARTIDA]],"0000000000")</f>
        <v>4808100000</v>
      </c>
      <c r="C3924" s="16" t="s">
        <v>815</v>
      </c>
      <c r="D3924" s="16" t="s">
        <v>835</v>
      </c>
      <c r="E3924" s="16" t="s">
        <v>844</v>
      </c>
      <c r="F3924" s="27" t="s">
        <v>9334</v>
      </c>
      <c r="G3924" s="27"/>
      <c r="H3924" s="16" t="str">
        <f>IF(ISBLANK(PARTIDAS!$G3924),PARTIDAS!$F3924,CONCATENATE(PARTIDAS!$F3924," (",PARTIDAS!$G3924,")"))</f>
        <v>Papel y cartón corrugados, incluso perforados</v>
      </c>
      <c r="I3924" s="16" t="s">
        <v>9477</v>
      </c>
    </row>
    <row r="3925" spans="1:9" x14ac:dyDescent="0.25">
      <c r="A3925" s="16" t="s">
        <v>4848</v>
      </c>
      <c r="B3925" s="16" t="str">
        <f>TEXT(PARTIDA[[#This Row],[PARTIDA]],"0000000000")</f>
        <v>4808400000</v>
      </c>
      <c r="C3925" s="16" t="s">
        <v>815</v>
      </c>
      <c r="D3925" s="16" t="s">
        <v>835</v>
      </c>
      <c r="E3925" s="16" t="s">
        <v>844</v>
      </c>
      <c r="F3925" s="27" t="s">
        <v>12745</v>
      </c>
      <c r="G3925" s="27"/>
      <c r="H3925" s="16" t="str">
        <f>IF(ISBLANK(PARTIDAS!$G3925),PARTIDAS!$F3925,CONCATENATE(PARTIDAS!$F3925," (",PARTIDAS!$G3925,")"))</f>
        <v>Papel Kraft rizado («crepé») o plisado, incluso gofrado, estampado o perforado</v>
      </c>
      <c r="I3925" s="16" t="s">
        <v>9427</v>
      </c>
    </row>
    <row r="3926" spans="1:9" x14ac:dyDescent="0.25">
      <c r="A3926" s="16" t="s">
        <v>4849</v>
      </c>
      <c r="B3926" s="16" t="str">
        <f>TEXT(PARTIDA[[#This Row],[PARTIDA]],"0000000000")</f>
        <v>4808900000</v>
      </c>
      <c r="C3926" s="16" t="s">
        <v>815</v>
      </c>
      <c r="D3926" s="16" t="s">
        <v>835</v>
      </c>
      <c r="E3926" s="16" t="s">
        <v>844</v>
      </c>
      <c r="F3926" s="27" t="s">
        <v>12746</v>
      </c>
      <c r="G3926" s="27"/>
      <c r="H3926" s="16" t="str">
        <f>IF(ISBLANK(PARTIDAS!$G3926),PARTIDAS!$F3926,CONCATENATE(PARTIDAS!$F3926," (",PARTIDAS!$G3926,")"))</f>
        <v>Papel y cartón corrugados (incluso revestidos por encolado), rizados… (los demás)</v>
      </c>
      <c r="I3926" s="16" t="s">
        <v>9427</v>
      </c>
    </row>
    <row r="3927" spans="1:9" x14ac:dyDescent="0.25">
      <c r="A3927" s="16" t="s">
        <v>4850</v>
      </c>
      <c r="B3927" s="16" t="str">
        <f>TEXT(PARTIDA[[#This Row],[PARTIDA]],"0000000000")</f>
        <v>4809200000</v>
      </c>
      <c r="C3927" s="16" t="s">
        <v>815</v>
      </c>
      <c r="D3927" s="16" t="s">
        <v>835</v>
      </c>
      <c r="E3927" s="16" t="s">
        <v>844</v>
      </c>
      <c r="F3927" s="27" t="s">
        <v>12747</v>
      </c>
      <c r="G3927" s="27"/>
      <c r="H3927" s="16" t="str">
        <f>IF(ISBLANK(PARTIDAS!$G3927),PARTIDAS!$F3927,CONCATENATE(PARTIDAS!$F3927," (",PARTIDAS!$G3927,")"))</f>
        <v>Papel autocopia</v>
      </c>
      <c r="I3927" s="16" t="s">
        <v>9427</v>
      </c>
    </row>
    <row r="3928" spans="1:9" x14ac:dyDescent="0.25">
      <c r="A3928" s="16" t="s">
        <v>4851</v>
      </c>
      <c r="B3928" s="16" t="str">
        <f>TEXT(PARTIDA[[#This Row],[PARTIDA]],"0000000000")</f>
        <v>4809900010</v>
      </c>
      <c r="C3928" s="16" t="s">
        <v>815</v>
      </c>
      <c r="D3928" s="16" t="s">
        <v>835</v>
      </c>
      <c r="E3928" s="16" t="s">
        <v>844</v>
      </c>
      <c r="F3928" s="27" t="s">
        <v>12748</v>
      </c>
      <c r="G3928" s="27"/>
      <c r="H3928" s="16" t="str">
        <f>IF(ISBLANK(PARTIDAS!$G3928),PARTIDAS!$F3928,CONCATENATE(PARTIDAS!$F3928," (",PARTIDAS!$G3928,")"))</f>
        <v>Papel carbón (carbónico), papel autocopia y demás papeles para copiar…, para clisés de mimeógrafo</v>
      </c>
      <c r="I3928" s="16" t="s">
        <v>9427</v>
      </c>
    </row>
    <row r="3929" spans="1:9" x14ac:dyDescent="0.25">
      <c r="A3929" s="16" t="s">
        <v>4852</v>
      </c>
      <c r="B3929" s="16" t="str">
        <f>TEXT(PARTIDA[[#This Row],[PARTIDA]],"0000000000")</f>
        <v>4809900090</v>
      </c>
      <c r="C3929" s="16" t="s">
        <v>815</v>
      </c>
      <c r="D3929" s="16" t="s">
        <v>835</v>
      </c>
      <c r="E3929" s="16" t="s">
        <v>844</v>
      </c>
      <c r="F3929" s="27" t="s">
        <v>12749</v>
      </c>
      <c r="G3929" s="27"/>
      <c r="H3929" s="16" t="str">
        <f>IF(ISBLANK(PARTIDAS!$G3929),PARTIDAS!$F3929,CONCATENATE(PARTIDAS!$F3929," (",PARTIDAS!$G3929,")"))</f>
        <v>Papel carbón (carbónico), papel autocopia y demás papeles para copiar… (los demás)</v>
      </c>
      <c r="I3929" s="16" t="s">
        <v>9427</v>
      </c>
    </row>
    <row r="3930" spans="1:9" x14ac:dyDescent="0.25">
      <c r="A3930" s="16" t="s">
        <v>4853</v>
      </c>
      <c r="B3930" s="16" t="str">
        <f>TEXT(PARTIDA[[#This Row],[PARTIDA]],"0000000000")</f>
        <v>4810131100</v>
      </c>
      <c r="C3930" s="16" t="s">
        <v>815</v>
      </c>
      <c r="D3930" s="16" t="s">
        <v>835</v>
      </c>
      <c r="E3930" s="16" t="s">
        <v>844</v>
      </c>
      <c r="F3930" s="27" t="s">
        <v>12750</v>
      </c>
      <c r="G3930" s="27"/>
      <c r="H3930" s="16" t="str">
        <f>IF(ISBLANK(PARTIDAS!$G3930),PARTIDAS!$F3930,CONCATENATE(PARTIDAS!$F3930," (",PARTIDAS!$G3930,")"))</f>
        <v>Papel y cartón de los tipos utilizados para escribir…, en bobinas (rollos), de peso inferior o igual a 150 g/m2, de peso inferior o igual a 60 g/m2</v>
      </c>
      <c r="I3930" s="16" t="s">
        <v>9427</v>
      </c>
    </row>
    <row r="3931" spans="1:9" x14ac:dyDescent="0.25">
      <c r="A3931" s="16" t="s">
        <v>4854</v>
      </c>
      <c r="B3931" s="16" t="str">
        <f>TEXT(PARTIDA[[#This Row],[PARTIDA]],"0000000000")</f>
        <v>4810131900</v>
      </c>
      <c r="C3931" s="16" t="s">
        <v>815</v>
      </c>
      <c r="D3931" s="16" t="s">
        <v>835</v>
      </c>
      <c r="E3931" s="16" t="s">
        <v>844</v>
      </c>
      <c r="F3931" s="27" t="s">
        <v>12751</v>
      </c>
      <c r="G3931" s="27"/>
      <c r="H3931" s="16" t="str">
        <f>IF(ISBLANK(PARTIDAS!$G3931),PARTIDAS!$F3931,CONCATENATE(PARTIDAS!$F3931," (",PARTIDAS!$G3931,")"))</f>
        <v>Papel y cartón de los tipos utilizados para escribir…, en bobinas (rollos), de peso inferior o igual a 150 g/m2 (los demás)</v>
      </c>
      <c r="I3931" s="16" t="s">
        <v>9427</v>
      </c>
    </row>
    <row r="3932" spans="1:9" x14ac:dyDescent="0.25">
      <c r="A3932" s="16" t="s">
        <v>4855</v>
      </c>
      <c r="B3932" s="16" t="str">
        <f>TEXT(PARTIDA[[#This Row],[PARTIDA]],"0000000000")</f>
        <v>4810132000</v>
      </c>
      <c r="C3932" s="16" t="s">
        <v>815</v>
      </c>
      <c r="D3932" s="16" t="s">
        <v>835</v>
      </c>
      <c r="E3932" s="16" t="s">
        <v>844</v>
      </c>
      <c r="F3932" s="27" t="s">
        <v>12752</v>
      </c>
      <c r="G3932" s="27"/>
      <c r="H3932" s="16" t="str">
        <f>IF(ISBLANK(PARTIDAS!$G3932),PARTIDAS!$F3932,CONCATENATE(PARTIDAS!$F3932," (",PARTIDAS!$G3932,")"))</f>
        <v>Papel y cartón de los tipos utilizados para escribir…, en bobinas (rollos), de peso superior a 150 g/m2</v>
      </c>
      <c r="I3932" s="16" t="s">
        <v>9427</v>
      </c>
    </row>
    <row r="3933" spans="1:9" x14ac:dyDescent="0.25">
      <c r="A3933" s="16" t="s">
        <v>4856</v>
      </c>
      <c r="B3933" s="16" t="str">
        <f>TEXT(PARTIDA[[#This Row],[PARTIDA]],"0000000000")</f>
        <v>4810141000</v>
      </c>
      <c r="C3933" s="16" t="s">
        <v>815</v>
      </c>
      <c r="D3933" s="16" t="s">
        <v>835</v>
      </c>
      <c r="E3933" s="16" t="s">
        <v>844</v>
      </c>
      <c r="F3933" s="27" t="s">
        <v>12753</v>
      </c>
      <c r="G3933" s="27"/>
      <c r="H3933" s="16" t="str">
        <f>IF(ISBLANK(PARTIDAS!$G3933),PARTIDAS!$F3933,CONCATENATE(PARTIDAS!$F3933," (",PARTIDAS!$G3933,")"))</f>
        <v>Papel y cartón de los tipos utilizados para escribir…, en hojas en las que un lado sea inferior o igual a 435 mm y el otro…, en las que un lado sea su</v>
      </c>
      <c r="I3933" s="16" t="s">
        <v>9427</v>
      </c>
    </row>
    <row r="3934" spans="1:9" x14ac:dyDescent="0.25">
      <c r="A3934" s="16" t="s">
        <v>4857</v>
      </c>
      <c r="B3934" s="16" t="str">
        <f>TEXT(PARTIDA[[#This Row],[PARTIDA]],"0000000000")</f>
        <v>4810149000</v>
      </c>
      <c r="C3934" s="16" t="s">
        <v>815</v>
      </c>
      <c r="D3934" s="16" t="s">
        <v>835</v>
      </c>
      <c r="E3934" s="16" t="s">
        <v>844</v>
      </c>
      <c r="F3934" s="27" t="s">
        <v>12754</v>
      </c>
      <c r="G3934" s="27"/>
      <c r="H3934" s="16" t="str">
        <f>IF(ISBLANK(PARTIDAS!$G3934),PARTIDAS!$F3934,CONCATENATE(PARTIDAS!$F3934," (",PARTIDAS!$G3934,")"))</f>
        <v>Papel y cartón de los tipos utilizados para escribir…, en hojas en las que un lado sea inferior o igual a 435 mm y el otro… (los demás)</v>
      </c>
      <c r="I3934" s="16" t="s">
        <v>9427</v>
      </c>
    </row>
    <row r="3935" spans="1:9" x14ac:dyDescent="0.25">
      <c r="A3935" s="16" t="s">
        <v>4858</v>
      </c>
      <c r="B3935" s="16" t="str">
        <f>TEXT(PARTIDA[[#This Row],[PARTIDA]],"0000000000")</f>
        <v>4810190000</v>
      </c>
      <c r="C3935" s="16" t="s">
        <v>815</v>
      </c>
      <c r="D3935" s="16" t="s">
        <v>835</v>
      </c>
      <c r="E3935" s="16" t="s">
        <v>844</v>
      </c>
      <c r="F3935" s="27" t="s">
        <v>12755</v>
      </c>
      <c r="G3935" s="27"/>
      <c r="H3935" s="16" t="str">
        <f>IF(ISBLANK(PARTIDAS!$G3935),PARTIDAS!$F3935,CONCATENATE(PARTIDAS!$F3935," (",PARTIDAS!$G3935,")"))</f>
        <v>Papel y cartón de los tipos utilizados para escribir, imprimir u… (los demás)</v>
      </c>
      <c r="I3935" s="16" t="s">
        <v>9427</v>
      </c>
    </row>
    <row r="3936" spans="1:9" x14ac:dyDescent="0.25">
      <c r="A3936" s="16" t="s">
        <v>4859</v>
      </c>
      <c r="B3936" s="16" t="str">
        <f>TEXT(PARTIDA[[#This Row],[PARTIDA]],"0000000000")</f>
        <v>4810220000</v>
      </c>
      <c r="C3936" s="16" t="s">
        <v>815</v>
      </c>
      <c r="D3936" s="16" t="s">
        <v>835</v>
      </c>
      <c r="E3936" s="16" t="s">
        <v>844</v>
      </c>
      <c r="F3936" s="27" t="s">
        <v>12756</v>
      </c>
      <c r="G3936" s="27"/>
      <c r="H3936" s="16" t="str">
        <f>IF(ISBLANK(PARTIDAS!$G3936),PARTIDAS!$F3936,CONCATENATE(PARTIDAS!$F3936," (",PARTIDAS!$G3936,")"))</f>
        <v>Papel estucado o cuché ligero (liviano) («L.W.C.»)</v>
      </c>
      <c r="I3936" s="16" t="s">
        <v>9427</v>
      </c>
    </row>
    <row r="3937" spans="1:9" x14ac:dyDescent="0.25">
      <c r="A3937" s="16" t="s">
        <v>4860</v>
      </c>
      <c r="B3937" s="16" t="str">
        <f>TEXT(PARTIDA[[#This Row],[PARTIDA]],"0000000000")</f>
        <v>4810290000</v>
      </c>
      <c r="C3937" s="16" t="s">
        <v>815</v>
      </c>
      <c r="D3937" s="16" t="s">
        <v>835</v>
      </c>
      <c r="E3937" s="16" t="s">
        <v>844</v>
      </c>
      <c r="F3937" s="27" t="s">
        <v>12755</v>
      </c>
      <c r="G3937" s="27"/>
      <c r="H3937" s="16" t="str">
        <f>IF(ISBLANK(PARTIDAS!$G3937),PARTIDAS!$F3937,CONCATENATE(PARTIDAS!$F3937," (",PARTIDAS!$G3937,")"))</f>
        <v>Papel y cartón de los tipos utilizados para escribir, imprimir u… (los demás)</v>
      </c>
      <c r="I3937" s="16" t="s">
        <v>9427</v>
      </c>
    </row>
    <row r="3938" spans="1:9" x14ac:dyDescent="0.25">
      <c r="A3938" s="16" t="s">
        <v>4861</v>
      </c>
      <c r="B3938" s="16" t="str">
        <f>TEXT(PARTIDA[[#This Row],[PARTIDA]],"0000000000")</f>
        <v>4810310000</v>
      </c>
      <c r="C3938" s="16" t="s">
        <v>815</v>
      </c>
      <c r="D3938" s="16" t="s">
        <v>835</v>
      </c>
      <c r="E3938" s="16" t="s">
        <v>844</v>
      </c>
      <c r="F3938" s="27" t="s">
        <v>12716</v>
      </c>
      <c r="G3938" s="27"/>
      <c r="H3938" s="16" t="str">
        <f>IF(ISBLANK(PARTIDAS!$G3938),PARTIDAS!$F3938,CONCATENATE(PARTIDAS!$F3938," (",PARTIDAS!$G3938,")"))</f>
        <v>Blanqueados uniformemente en la masa y con un contenido de fibras de madera obtenidas por procedimiento químico superior al 95 % en peso del contenido</v>
      </c>
      <c r="I3938" s="16" t="s">
        <v>9427</v>
      </c>
    </row>
    <row r="3939" spans="1:9" x14ac:dyDescent="0.25">
      <c r="A3939" s="16" t="s">
        <v>4862</v>
      </c>
      <c r="B3939" s="16" t="str">
        <f>TEXT(PARTIDA[[#This Row],[PARTIDA]],"0000000000")</f>
        <v>4810320000</v>
      </c>
      <c r="C3939" s="16" t="s">
        <v>815</v>
      </c>
      <c r="D3939" s="16" t="s">
        <v>835</v>
      </c>
      <c r="E3939" s="16" t="s">
        <v>844</v>
      </c>
      <c r="F3939" s="27" t="s">
        <v>12716</v>
      </c>
      <c r="G3939" s="27"/>
      <c r="H3939" s="16" t="str">
        <f>IF(ISBLANK(PARTIDAS!$G3939),PARTIDAS!$F3939,CONCATENATE(PARTIDAS!$F3939," (",PARTIDAS!$G3939,")"))</f>
        <v>Blanqueados uniformemente en la masa y con un contenido de fibras de madera obtenidas por procedimiento químico superior al 95 % en peso del contenido</v>
      </c>
      <c r="I3939" s="16" t="s">
        <v>9427</v>
      </c>
    </row>
    <row r="3940" spans="1:9" x14ac:dyDescent="0.25">
      <c r="A3940" s="16" t="s">
        <v>4863</v>
      </c>
      <c r="B3940" s="16" t="str">
        <f>TEXT(PARTIDA[[#This Row],[PARTIDA]],"0000000000")</f>
        <v>4810390000</v>
      </c>
      <c r="C3940" s="16" t="s">
        <v>815</v>
      </c>
      <c r="D3940" s="16" t="s">
        <v>835</v>
      </c>
      <c r="E3940" s="16" t="s">
        <v>844</v>
      </c>
      <c r="F3940" s="27" t="s">
        <v>12757</v>
      </c>
      <c r="G3940" s="27"/>
      <c r="H3940" s="16" t="str">
        <f>IF(ISBLANK(PARTIDAS!$G3940),PARTIDAS!$F3940,CONCATENATE(PARTIDAS!$F3940," (",PARTIDAS!$G3940,")"))</f>
        <v>Papel y cartón Kraft (los demás)</v>
      </c>
      <c r="I3940" s="16" t="s">
        <v>9427</v>
      </c>
    </row>
    <row r="3941" spans="1:9" x14ac:dyDescent="0.25">
      <c r="A3941" s="16" t="s">
        <v>4864</v>
      </c>
      <c r="B3941" s="16" t="str">
        <f>TEXT(PARTIDA[[#This Row],[PARTIDA]],"0000000000")</f>
        <v>4810920000</v>
      </c>
      <c r="C3941" s="16" t="s">
        <v>815</v>
      </c>
      <c r="D3941" s="16" t="s">
        <v>835</v>
      </c>
      <c r="E3941" s="16" t="s">
        <v>844</v>
      </c>
      <c r="F3941" s="27" t="s">
        <v>12758</v>
      </c>
      <c r="G3941" s="27"/>
      <c r="H3941" s="16" t="str">
        <f>IF(ISBLANK(PARTIDAS!$G3941),PARTIDAS!$F3941,CONCATENATE(PARTIDAS!$F3941," (",PARTIDAS!$G3941,")"))</f>
        <v>Papel y cartón estucados por una o las dos caras con caolín u otras…, multicapas</v>
      </c>
      <c r="I3941" s="16" t="s">
        <v>9427</v>
      </c>
    </row>
    <row r="3942" spans="1:9" x14ac:dyDescent="0.25">
      <c r="A3942" s="16" t="s">
        <v>4865</v>
      </c>
      <c r="B3942" s="16" t="str">
        <f>TEXT(PARTIDA[[#This Row],[PARTIDA]],"0000000000")</f>
        <v>4810990000</v>
      </c>
      <c r="C3942" s="16" t="s">
        <v>815</v>
      </c>
      <c r="D3942" s="16" t="s">
        <v>835</v>
      </c>
      <c r="E3942" s="16" t="s">
        <v>844</v>
      </c>
      <c r="F3942" s="27" t="s">
        <v>12759</v>
      </c>
      <c r="G3942" s="27"/>
      <c r="H3942" s="16" t="str">
        <f>IF(ISBLANK(PARTIDAS!$G3942),PARTIDAS!$F3942,CONCATENATE(PARTIDAS!$F3942," (",PARTIDAS!$G3942,")"))</f>
        <v>Papel y cartón estucados por una o las dos caras con caolín u otras… (los demás)</v>
      </c>
      <c r="I3942" s="16" t="s">
        <v>9427</v>
      </c>
    </row>
    <row r="3943" spans="1:9" x14ac:dyDescent="0.25">
      <c r="A3943" s="16" t="s">
        <v>4866</v>
      </c>
      <c r="B3943" s="16" t="str">
        <f>TEXT(PARTIDA[[#This Row],[PARTIDA]],"0000000000")</f>
        <v>4811101010</v>
      </c>
      <c r="C3943" s="16" t="s">
        <v>815</v>
      </c>
      <c r="D3943" s="16" t="s">
        <v>835</v>
      </c>
      <c r="E3943" s="16" t="s">
        <v>844</v>
      </c>
      <c r="F3943" s="27" t="s">
        <v>12760</v>
      </c>
      <c r="G3943" s="27"/>
      <c r="H3943" s="16" t="str">
        <f>IF(ISBLANK(PARTIDAS!$G3943),PARTIDAS!$F3943,CONCATENATE(PARTIDAS!$F3943," (",PARTIDAS!$G3943,")"))</f>
        <v xml:space="preserve">Alquitranados en la masa, con peso específico superior a 1, incluso…, en tiras o bobinas (rollos) de anchura superior a 15 cm; o en hojas cuadradas o </v>
      </c>
      <c r="I3943" s="16" t="s">
        <v>9427</v>
      </c>
    </row>
    <row r="3944" spans="1:9" x14ac:dyDescent="0.25">
      <c r="A3944" s="16" t="s">
        <v>4867</v>
      </c>
      <c r="B3944" s="16" t="str">
        <f>TEXT(PARTIDA[[#This Row],[PARTIDA]],"0000000000")</f>
        <v>4811101090</v>
      </c>
      <c r="C3944" s="16" t="s">
        <v>815</v>
      </c>
      <c r="D3944" s="16" t="s">
        <v>835</v>
      </c>
      <c r="E3944" s="16" t="s">
        <v>844</v>
      </c>
      <c r="F3944" s="27" t="s">
        <v>12761</v>
      </c>
      <c r="G3944" s="27"/>
      <c r="H3944" s="16" t="str">
        <f>IF(ISBLANK(PARTIDAS!$G3944),PARTIDAS!$F3944,CONCATENATE(PARTIDAS!$F3944," (",PARTIDAS!$G3944,")"))</f>
        <v>Alquitranados en la masa, con peso específico superior a 1, incluso… (los demás)</v>
      </c>
      <c r="I3944" s="16" t="s">
        <v>9427</v>
      </c>
    </row>
    <row r="3945" spans="1:9" x14ac:dyDescent="0.25">
      <c r="A3945" s="16" t="s">
        <v>4868</v>
      </c>
      <c r="B3945" s="16" t="str">
        <f>TEXT(PARTIDA[[#This Row],[PARTIDA]],"0000000000")</f>
        <v>4811109000</v>
      </c>
      <c r="C3945" s="16" t="s">
        <v>815</v>
      </c>
      <c r="D3945" s="16" t="s">
        <v>835</v>
      </c>
      <c r="E3945" s="16" t="s">
        <v>844</v>
      </c>
      <c r="F3945" s="27" t="s">
        <v>12762</v>
      </c>
      <c r="G3945" s="27"/>
      <c r="H3945" s="16" t="str">
        <f>IF(ISBLANK(PARTIDAS!$G3945),PARTIDAS!$F3945,CONCATENATE(PARTIDAS!$F3945," (",PARTIDAS!$G3945,")"))</f>
        <v>Papel y cartón alquitranados, embetunados o asfaltados (los demás)</v>
      </c>
      <c r="I3945" s="16" t="s">
        <v>9427</v>
      </c>
    </row>
    <row r="3946" spans="1:9" x14ac:dyDescent="0.25">
      <c r="A3946" s="16" t="s">
        <v>4869</v>
      </c>
      <c r="B3946" s="16" t="str">
        <f>TEXT(PARTIDA[[#This Row],[PARTIDA]],"0000000000")</f>
        <v>4811411000</v>
      </c>
      <c r="C3946" s="16" t="s">
        <v>815</v>
      </c>
      <c r="D3946" s="16" t="s">
        <v>835</v>
      </c>
      <c r="E3946" s="16" t="s">
        <v>844</v>
      </c>
      <c r="F3946" s="27" t="s">
        <v>12763</v>
      </c>
      <c r="G3946" s="27"/>
      <c r="H3946" s="16" t="str">
        <f>IF(ISBLANK(PARTIDAS!$G3946),PARTIDAS!$F3946,CONCATENATE(PARTIDAS!$F3946," (",PARTIDAS!$G3946,")"))</f>
        <v>Autoadhesivos, en bobinas (rollos), de anchura superior a 15 cm o en hojas en las que un lado sea superior a 36 cm y el otro sea superior a 15 cm, med</v>
      </c>
      <c r="I3946" s="16" t="s">
        <v>9427</v>
      </c>
    </row>
    <row r="3947" spans="1:9" x14ac:dyDescent="0.25">
      <c r="A3947" s="16" t="s">
        <v>4870</v>
      </c>
      <c r="B3947" s="16" t="str">
        <f>TEXT(PARTIDA[[#This Row],[PARTIDA]],"0000000000")</f>
        <v>4811419000</v>
      </c>
      <c r="C3947" s="16" t="s">
        <v>815</v>
      </c>
      <c r="D3947" s="16" t="s">
        <v>835</v>
      </c>
      <c r="E3947" s="16" t="s">
        <v>844</v>
      </c>
      <c r="F3947" s="27" t="s">
        <v>12764</v>
      </c>
      <c r="G3947" s="27"/>
      <c r="H3947" s="16" t="str">
        <f>IF(ISBLANK(PARTIDAS!$G3947),PARTIDAS!$F3947,CONCATENATE(PARTIDAS!$F3947," (",PARTIDAS!$G3947,")"))</f>
        <v>Autoadhesivos (los demás)</v>
      </c>
      <c r="I3947" s="16" t="s">
        <v>9427</v>
      </c>
    </row>
    <row r="3948" spans="1:9" x14ac:dyDescent="0.25">
      <c r="A3948" s="16" t="s">
        <v>4871</v>
      </c>
      <c r="B3948" s="16" t="str">
        <f>TEXT(PARTIDA[[#This Row],[PARTIDA]],"0000000000")</f>
        <v>4811491000</v>
      </c>
      <c r="C3948" s="16" t="s">
        <v>815</v>
      </c>
      <c r="D3948" s="16" t="s">
        <v>835</v>
      </c>
      <c r="E3948" s="16" t="s">
        <v>844</v>
      </c>
      <c r="F3948" s="27" t="s">
        <v>12765</v>
      </c>
      <c r="G3948" s="27"/>
      <c r="H3948" s="16" t="str">
        <f>IF(ISBLANK(PARTIDAS!$G3948),PARTIDAS!$F3948,CONCATENATE(PARTIDAS!$F3948," (",PARTIDAS!$G3948,")"))</f>
        <v>Papel y cartón engomados o adhesivos, en bobinas (rollos), de anchura superior a 15 cm o en hojas en las que un lado sea superior a 36 cm y el otro se</v>
      </c>
      <c r="I3948" s="16" t="s">
        <v>9427</v>
      </c>
    </row>
    <row r="3949" spans="1:9" x14ac:dyDescent="0.25">
      <c r="A3949" s="16" t="s">
        <v>4872</v>
      </c>
      <c r="B3949" s="16" t="str">
        <f>TEXT(PARTIDA[[#This Row],[PARTIDA]],"0000000000")</f>
        <v>4811499000</v>
      </c>
      <c r="C3949" s="16" t="s">
        <v>815</v>
      </c>
      <c r="D3949" s="16" t="s">
        <v>835</v>
      </c>
      <c r="E3949" s="16" t="s">
        <v>844</v>
      </c>
      <c r="F3949" s="27" t="s">
        <v>12766</v>
      </c>
      <c r="G3949" s="27"/>
      <c r="H3949" s="16" t="str">
        <f>IF(ISBLANK(PARTIDAS!$G3949),PARTIDAS!$F3949,CONCATENATE(PARTIDAS!$F3949," (",PARTIDAS!$G3949,")"))</f>
        <v>Papel y cartón engomados o adhesivos (los demás)</v>
      </c>
      <c r="I3949" s="16" t="s">
        <v>9427</v>
      </c>
    </row>
    <row r="3950" spans="1:9" x14ac:dyDescent="0.25">
      <c r="A3950" s="16" t="s">
        <v>4873</v>
      </c>
      <c r="B3950" s="16" t="str">
        <f>TEXT(PARTIDA[[#This Row],[PARTIDA]],"0000000000")</f>
        <v>4811511010</v>
      </c>
      <c r="C3950" s="16" t="s">
        <v>815</v>
      </c>
      <c r="D3950" s="16" t="s">
        <v>835</v>
      </c>
      <c r="E3950" s="16" t="s">
        <v>844</v>
      </c>
      <c r="F3950" s="27" t="s">
        <v>12767</v>
      </c>
      <c r="G3950" s="27"/>
      <c r="H3950" s="16" t="str">
        <f>IF(ISBLANK(PARTIDAS!$G3950),PARTIDAS!$F3950,CONCATENATE(PARTIDAS!$F3950," (",PARTIDAS!$G3950,")"))</f>
        <v>Blanqueados, de peso superior a 150 g/m2, con lámina intermedia de aluminio, de los tipos utilizados para…, en tiras o bobinas (rollos) de anchura sup</v>
      </c>
      <c r="I3950" s="16" t="s">
        <v>9427</v>
      </c>
    </row>
    <row r="3951" spans="1:9" x14ac:dyDescent="0.25">
      <c r="A3951" s="16" t="s">
        <v>4874</v>
      </c>
      <c r="B3951" s="16" t="str">
        <f>TEXT(PARTIDA[[#This Row],[PARTIDA]],"0000000000")</f>
        <v>4811511090</v>
      </c>
      <c r="C3951" s="16" t="s">
        <v>815</v>
      </c>
      <c r="D3951" s="16" t="s">
        <v>835</v>
      </c>
      <c r="E3951" s="16" t="s">
        <v>844</v>
      </c>
      <c r="F3951" s="27" t="s">
        <v>12768</v>
      </c>
      <c r="G3951" s="27"/>
      <c r="H3951" s="16" t="str">
        <f>IF(ISBLANK(PARTIDAS!$G3951),PARTIDAS!$F3951,CONCATENATE(PARTIDAS!$F3951," (",PARTIDAS!$G3951,")"))</f>
        <v>Blanqueados, de peso superior a 150 g/m2, con lámina intermedia de aluminio, de los tipos utilizados para… (los demás)</v>
      </c>
      <c r="I3951" s="16" t="s">
        <v>9427</v>
      </c>
    </row>
    <row r="3952" spans="1:9" x14ac:dyDescent="0.25">
      <c r="A3952" s="16" t="s">
        <v>4875</v>
      </c>
      <c r="B3952" s="16" t="str">
        <f>TEXT(PARTIDA[[#This Row],[PARTIDA]],"0000000000")</f>
        <v>4811512000</v>
      </c>
      <c r="C3952" s="16" t="s">
        <v>815</v>
      </c>
      <c r="D3952" s="16" t="s">
        <v>835</v>
      </c>
      <c r="E3952" s="16" t="s">
        <v>844</v>
      </c>
      <c r="F3952" s="27" t="s">
        <v>12769</v>
      </c>
      <c r="G3952" s="27"/>
      <c r="H3952" s="16" t="str">
        <f>IF(ISBLANK(PARTIDAS!$G3952),PARTIDAS!$F3952,CONCATENATE(PARTIDAS!$F3952," (",PARTIDAS!$G3952,")"))</f>
        <v>Recubierto o revestido por ambas caras, de plástico, de los tipos utilizados en la industria alimentaria, incluso impresos</v>
      </c>
      <c r="I3952" s="16" t="s">
        <v>9427</v>
      </c>
    </row>
    <row r="3953" spans="1:9" x14ac:dyDescent="0.25">
      <c r="A3953" s="16" t="s">
        <v>4876</v>
      </c>
      <c r="B3953" s="16" t="str">
        <f>TEXT(PARTIDA[[#This Row],[PARTIDA]],"0000000000")</f>
        <v>4811519000</v>
      </c>
      <c r="C3953" s="16" t="s">
        <v>815</v>
      </c>
      <c r="D3953" s="16" t="s">
        <v>835</v>
      </c>
      <c r="E3953" s="16" t="s">
        <v>844</v>
      </c>
      <c r="F3953" s="27" t="s">
        <v>4877</v>
      </c>
      <c r="G3953" s="27"/>
      <c r="H3953" s="16" t="str">
        <f>IF(ISBLANK(PARTIDAS!$G3953),PARTIDAS!$F3953,CONCATENATE(PARTIDAS!$F3953," (",PARTIDAS!$G3953,")"))</f>
        <v>Papel y cartón</v>
      </c>
      <c r="I3953" s="16" t="s">
        <v>9427</v>
      </c>
    </row>
    <row r="3954" spans="1:9" x14ac:dyDescent="0.25">
      <c r="A3954" s="16" t="s">
        <v>4878</v>
      </c>
      <c r="B3954" s="16" t="str">
        <f>TEXT(PARTIDA[[#This Row],[PARTIDA]],"0000000000")</f>
        <v>4811591010</v>
      </c>
      <c r="C3954" s="16" t="s">
        <v>815</v>
      </c>
      <c r="D3954" s="16" t="s">
        <v>835</v>
      </c>
      <c r="E3954" s="16" t="s">
        <v>844</v>
      </c>
      <c r="F3954" s="27" t="s">
        <v>12770</v>
      </c>
      <c r="G3954" s="27"/>
      <c r="H3954" s="16" t="str">
        <f>IF(ISBLANK(PARTIDAS!$G3954),PARTIDAS!$F3954,CONCATENATE(PARTIDAS!$F3954," (",PARTIDAS!$G3954,")"))</f>
        <v>Papel y cartón recubiertos, impregnados o revestidos…, para fabricar lija al agua, en tiras o bobinas (rollos) de anchura superior a 15 cm; o en hojas</v>
      </c>
      <c r="I3954" s="16" t="s">
        <v>9427</v>
      </c>
    </row>
    <row r="3955" spans="1:9" x14ac:dyDescent="0.25">
      <c r="A3955" s="16" t="s">
        <v>4879</v>
      </c>
      <c r="B3955" s="16" t="str">
        <f>TEXT(PARTIDA[[#This Row],[PARTIDA]],"0000000000")</f>
        <v>4811591090</v>
      </c>
      <c r="C3955" s="16" t="s">
        <v>815</v>
      </c>
      <c r="D3955" s="16" t="s">
        <v>835</v>
      </c>
      <c r="E3955" s="16" t="s">
        <v>844</v>
      </c>
      <c r="F3955" s="27" t="s">
        <v>12771</v>
      </c>
      <c r="G3955" s="27"/>
      <c r="H3955" s="16" t="str">
        <f>IF(ISBLANK(PARTIDAS!$G3955),PARTIDAS!$F3955,CONCATENATE(PARTIDAS!$F3955," (",PARTIDAS!$G3955,")"))</f>
        <v>Papel y cartón recubiertos, impregnados o revestidos…, para fabricar lija al agua (los demás)</v>
      </c>
      <c r="I3955" s="16" t="s">
        <v>9427</v>
      </c>
    </row>
    <row r="3956" spans="1:9" x14ac:dyDescent="0.25">
      <c r="A3956" s="16" t="s">
        <v>4880</v>
      </c>
      <c r="B3956" s="16" t="str">
        <f>TEXT(PARTIDA[[#This Row],[PARTIDA]],"0000000000")</f>
        <v>4811592000</v>
      </c>
      <c r="C3956" s="16" t="s">
        <v>815</v>
      </c>
      <c r="D3956" s="16" t="s">
        <v>835</v>
      </c>
      <c r="E3956" s="16" t="s">
        <v>844</v>
      </c>
      <c r="F3956" s="27" t="s">
        <v>12772</v>
      </c>
      <c r="G3956" s="27"/>
      <c r="H3956" s="16" t="str">
        <f>IF(ISBLANK(PARTIDAS!$G3956),PARTIDAS!$F3956,CONCATENATE(PARTIDAS!$F3956," (",PARTIDAS!$G3956,")"))</f>
        <v>Papel y cartón recubiertos, impregnados o revestidos de plástico, con lámina intermedia de aluminio, de los tipos utilizados para envasar productos en</v>
      </c>
      <c r="I3956" s="16" t="s">
        <v>9427</v>
      </c>
    </row>
    <row r="3957" spans="1:9" x14ac:dyDescent="0.25">
      <c r="A3957" s="16" t="s">
        <v>4881</v>
      </c>
      <c r="B3957" s="16" t="str">
        <f>TEXT(PARTIDA[[#This Row],[PARTIDA]],"0000000000")</f>
        <v>4811593000</v>
      </c>
      <c r="C3957" s="16" t="s">
        <v>815</v>
      </c>
      <c r="D3957" s="16" t="s">
        <v>835</v>
      </c>
      <c r="E3957" s="16" t="s">
        <v>844</v>
      </c>
      <c r="F3957" s="27" t="s">
        <v>12773</v>
      </c>
      <c r="G3957" s="27"/>
      <c r="H3957" s="16" t="str">
        <f>IF(ISBLANK(PARTIDAS!$G3957),PARTIDAS!$F3957,CONCATENATE(PARTIDAS!$F3957," (",PARTIDAS!$G3957,")"))</f>
        <v>Papel impregnado con resinas melamínicas, incluso decorado o impreso</v>
      </c>
      <c r="I3957" s="16" t="s">
        <v>9427</v>
      </c>
    </row>
    <row r="3958" spans="1:9" x14ac:dyDescent="0.25">
      <c r="A3958" s="16" t="s">
        <v>4882</v>
      </c>
      <c r="B3958" s="16" t="str">
        <f>TEXT(PARTIDA[[#This Row],[PARTIDA]],"0000000000")</f>
        <v>4811594010</v>
      </c>
      <c r="C3958" s="16" t="s">
        <v>815</v>
      </c>
      <c r="D3958" s="16" t="s">
        <v>835</v>
      </c>
      <c r="E3958" s="16" t="s">
        <v>844</v>
      </c>
      <c r="F3958" s="27" t="s">
        <v>12774</v>
      </c>
      <c r="G3958" s="27"/>
      <c r="H3958" s="16" t="str">
        <f>IF(ISBLANK(PARTIDAS!$G3958),PARTIDAS!$F3958,CONCATENATE(PARTIDAS!$F3958," (",PARTIDAS!$G3958,")"))</f>
        <v>Papel y cartón recubiertos, impregnados o revestidos…, para aislamiento eléctrico, en tiras o bobinas (rollos) de anchura superior a 15 cm; o en hojas</v>
      </c>
      <c r="I3958" s="16" t="s">
        <v>9427</v>
      </c>
    </row>
    <row r="3959" spans="1:9" x14ac:dyDescent="0.25">
      <c r="A3959" s="16" t="s">
        <v>4883</v>
      </c>
      <c r="B3959" s="16" t="str">
        <f>TEXT(PARTIDA[[#This Row],[PARTIDA]],"0000000000")</f>
        <v>4811594090</v>
      </c>
      <c r="C3959" s="16" t="s">
        <v>815</v>
      </c>
      <c r="D3959" s="16" t="s">
        <v>835</v>
      </c>
      <c r="E3959" s="16" t="s">
        <v>844</v>
      </c>
      <c r="F3959" s="27" t="s">
        <v>12775</v>
      </c>
      <c r="G3959" s="27"/>
      <c r="H3959" s="16" t="str">
        <f>IF(ISBLANK(PARTIDAS!$G3959),PARTIDAS!$F3959,CONCATENATE(PARTIDAS!$F3959," (",PARTIDAS!$G3959,")"))</f>
        <v>Papel y cartón recubiertos, impregnados o revestidos…, para aislamiento eléctrico (los demás)</v>
      </c>
      <c r="I3959" s="16" t="s">
        <v>9427</v>
      </c>
    </row>
    <row r="3960" spans="1:9" x14ac:dyDescent="0.25">
      <c r="A3960" s="16" t="s">
        <v>4884</v>
      </c>
      <c r="B3960" s="16" t="str">
        <f>TEXT(PARTIDA[[#This Row],[PARTIDA]],"0000000000")</f>
        <v>4811595000</v>
      </c>
      <c r="C3960" s="16" t="s">
        <v>815</v>
      </c>
      <c r="D3960" s="16" t="s">
        <v>835</v>
      </c>
      <c r="E3960" s="16" t="s">
        <v>844</v>
      </c>
      <c r="F3960" s="27" t="s">
        <v>12769</v>
      </c>
      <c r="G3960" s="27"/>
      <c r="H3960" s="16" t="str">
        <f>IF(ISBLANK(PARTIDAS!$G3960),PARTIDAS!$F3960,CONCATENATE(PARTIDAS!$F3960," (",PARTIDAS!$G3960,")"))</f>
        <v>Recubierto o revestido por ambas caras, de plástico, de los tipos utilizados en la industria alimentaria, incluso impresos</v>
      </c>
      <c r="I3960" s="16" t="s">
        <v>9427</v>
      </c>
    </row>
    <row r="3961" spans="1:9" x14ac:dyDescent="0.25">
      <c r="A3961" s="16" t="s">
        <v>4885</v>
      </c>
      <c r="B3961" s="16" t="str">
        <f>TEXT(PARTIDA[[#This Row],[PARTIDA]],"0000000000")</f>
        <v>4811596000</v>
      </c>
      <c r="C3961" s="16" t="s">
        <v>815</v>
      </c>
      <c r="D3961" s="16" t="s">
        <v>835</v>
      </c>
      <c r="E3961" s="16" t="s">
        <v>844</v>
      </c>
      <c r="F3961" s="27" t="s">
        <v>12776</v>
      </c>
      <c r="G3961" s="27"/>
      <c r="H3961" s="16" t="str">
        <f>IF(ISBLANK(PARTIDAS!$G3961),PARTIDAS!$F3961,CONCATENATE(PARTIDAS!$F3961," (",PARTIDAS!$G3961,")"))</f>
        <v>Papeles filtro</v>
      </c>
      <c r="I3961" s="16" t="s">
        <v>9427</v>
      </c>
    </row>
    <row r="3962" spans="1:9" x14ac:dyDescent="0.25">
      <c r="A3962" s="16" t="s">
        <v>4886</v>
      </c>
      <c r="B3962" s="16" t="str">
        <f>TEXT(PARTIDA[[#This Row],[PARTIDA]],"0000000000")</f>
        <v>4811599000</v>
      </c>
      <c r="C3962" s="16" t="s">
        <v>815</v>
      </c>
      <c r="D3962" s="16" t="s">
        <v>835</v>
      </c>
      <c r="E3962" s="16" t="s">
        <v>844</v>
      </c>
      <c r="F3962" s="27" t="s">
        <v>12777</v>
      </c>
      <c r="G3962" s="27"/>
      <c r="H3962" s="16" t="str">
        <f>IF(ISBLANK(PARTIDAS!$G3962),PARTIDAS!$F3962,CONCATENATE(PARTIDAS!$F3962," (",PARTIDAS!$G3962,")"))</f>
        <v>Papel y cartón recubiertos, impregnados o revestidos de plástico (los demás)</v>
      </c>
      <c r="I3962" s="16" t="s">
        <v>9427</v>
      </c>
    </row>
    <row r="3963" spans="1:9" x14ac:dyDescent="0.25">
      <c r="A3963" s="16" t="s">
        <v>4887</v>
      </c>
      <c r="B3963" s="16" t="str">
        <f>TEXT(PARTIDA[[#This Row],[PARTIDA]],"0000000000")</f>
        <v>4811601010</v>
      </c>
      <c r="C3963" s="16" t="s">
        <v>815</v>
      </c>
      <c r="D3963" s="16" t="s">
        <v>835</v>
      </c>
      <c r="E3963" s="16" t="s">
        <v>844</v>
      </c>
      <c r="F3963" s="27" t="s">
        <v>12774</v>
      </c>
      <c r="G3963" s="27"/>
      <c r="H3963" s="16" t="str">
        <f>IF(ISBLANK(PARTIDAS!$G3963),PARTIDAS!$F3963,CONCATENATE(PARTIDAS!$F3963," (",PARTIDAS!$G3963,")"))</f>
        <v>Papel y cartón recubiertos, impregnados o revestidos…, para aislamiento eléctrico, en tiras o bobinas (rollos) de anchura superior a 15 cm; o en hojas</v>
      </c>
      <c r="I3963" s="16" t="s">
        <v>9427</v>
      </c>
    </row>
    <row r="3964" spans="1:9" x14ac:dyDescent="0.25">
      <c r="A3964" s="16" t="s">
        <v>4888</v>
      </c>
      <c r="B3964" s="16" t="str">
        <f>TEXT(PARTIDA[[#This Row],[PARTIDA]],"0000000000")</f>
        <v>4811601090</v>
      </c>
      <c r="C3964" s="16" t="s">
        <v>815</v>
      </c>
      <c r="D3964" s="16" t="s">
        <v>835</v>
      </c>
      <c r="E3964" s="16" t="s">
        <v>844</v>
      </c>
      <c r="F3964" s="27" t="s">
        <v>12775</v>
      </c>
      <c r="G3964" s="27"/>
      <c r="H3964" s="16" t="str">
        <f>IF(ISBLANK(PARTIDAS!$G3964),PARTIDAS!$F3964,CONCATENATE(PARTIDAS!$F3964," (",PARTIDAS!$G3964,")"))</f>
        <v>Papel y cartón recubiertos, impregnados o revestidos…, para aislamiento eléctrico (los demás)</v>
      </c>
      <c r="I3964" s="16" t="s">
        <v>9427</v>
      </c>
    </row>
    <row r="3965" spans="1:9" x14ac:dyDescent="0.25">
      <c r="A3965" s="16" t="s">
        <v>4889</v>
      </c>
      <c r="B3965" s="16" t="str">
        <f>TEXT(PARTIDA[[#This Row],[PARTIDA]],"0000000000")</f>
        <v>4811609000</v>
      </c>
      <c r="C3965" s="16" t="s">
        <v>815</v>
      </c>
      <c r="D3965" s="16" t="s">
        <v>835</v>
      </c>
      <c r="E3965" s="16" t="s">
        <v>844</v>
      </c>
      <c r="F3965" s="27" t="s">
        <v>12778</v>
      </c>
      <c r="G3965" s="27"/>
      <c r="H3965" s="16" t="str">
        <f>IF(ISBLANK(PARTIDAS!$G3965),PARTIDAS!$F3965,CONCATENATE(PARTIDAS!$F3965," (",PARTIDAS!$G3965,")"))</f>
        <v>Papel y cartón recubiertos, impregnados o revestidos de cera… (los demás)</v>
      </c>
      <c r="I3965" s="16" t="s">
        <v>9427</v>
      </c>
    </row>
    <row r="3966" spans="1:9" x14ac:dyDescent="0.25">
      <c r="A3966" s="16" t="s">
        <v>4890</v>
      </c>
      <c r="B3966" s="16" t="str">
        <f>TEXT(PARTIDA[[#This Row],[PARTIDA]],"0000000000")</f>
        <v>4811901000</v>
      </c>
      <c r="C3966" s="16" t="s">
        <v>815</v>
      </c>
      <c r="D3966" s="16" t="s">
        <v>835</v>
      </c>
      <c r="E3966" s="16" t="s">
        <v>844</v>
      </c>
      <c r="F3966" s="27" t="s">
        <v>12779</v>
      </c>
      <c r="G3966" s="27"/>
      <c r="H3966" s="16" t="str">
        <f>IF(ISBLANK(PARTIDAS!$G3966),PARTIDAS!$F3966,CONCATENATE(PARTIDAS!$F3966," (",PARTIDAS!$G3966,")"))</f>
        <v>Barnizados, con peso específico superior a 1, incluso gofrados</v>
      </c>
      <c r="I3966" s="16" t="s">
        <v>9427</v>
      </c>
    </row>
    <row r="3967" spans="1:9" x14ac:dyDescent="0.25">
      <c r="A3967" s="16" t="s">
        <v>4891</v>
      </c>
      <c r="B3967" s="16" t="str">
        <f>TEXT(PARTIDA[[#This Row],[PARTIDA]],"0000000000")</f>
        <v>4811902010</v>
      </c>
      <c r="C3967" s="16" t="s">
        <v>815</v>
      </c>
      <c r="D3967" s="16" t="s">
        <v>835</v>
      </c>
      <c r="E3967" s="16" t="s">
        <v>844</v>
      </c>
      <c r="F3967" s="27" t="s">
        <v>12780</v>
      </c>
      <c r="G3967" s="27"/>
      <c r="H3967" s="16" t="str">
        <f>IF(ISBLANK(PARTIDAS!$G3967),PARTIDAS!$F3967,CONCATENATE(PARTIDAS!$F3967," (",PARTIDAS!$G3967,")"))</f>
        <v>Papel, cartón, guata de celulosa y napa de fibras de…, para juntas o empaquetaduras, en tiras o bobinas (rollos) de anchura superior a 15 cm; o en hoj</v>
      </c>
      <c r="I3967" s="16" t="s">
        <v>9427</v>
      </c>
    </row>
    <row r="3968" spans="1:9" x14ac:dyDescent="0.25">
      <c r="A3968" s="16" t="s">
        <v>4892</v>
      </c>
      <c r="B3968" s="16" t="str">
        <f>TEXT(PARTIDA[[#This Row],[PARTIDA]],"0000000000")</f>
        <v>4811902090</v>
      </c>
      <c r="C3968" s="16" t="s">
        <v>815</v>
      </c>
      <c r="D3968" s="16" t="s">
        <v>835</v>
      </c>
      <c r="E3968" s="16" t="s">
        <v>844</v>
      </c>
      <c r="F3968" s="27" t="s">
        <v>12781</v>
      </c>
      <c r="G3968" s="27"/>
      <c r="H3968" s="16" t="str">
        <f>IF(ISBLANK(PARTIDAS!$G3968),PARTIDAS!$F3968,CONCATENATE(PARTIDAS!$F3968," (",PARTIDAS!$G3968,")"))</f>
        <v>Papel, cartón, guata de celulosa y napa de fibras de…, para juntas o empaquetaduras (los demás)</v>
      </c>
      <c r="I3968" s="16" t="s">
        <v>9427</v>
      </c>
    </row>
    <row r="3969" spans="1:9" x14ac:dyDescent="0.25">
      <c r="A3969" s="16" t="s">
        <v>4893</v>
      </c>
      <c r="B3969" s="16" t="str">
        <f>TEXT(PARTIDA[[#This Row],[PARTIDA]],"0000000000")</f>
        <v>4811905000</v>
      </c>
      <c r="C3969" s="16" t="s">
        <v>815</v>
      </c>
      <c r="D3969" s="16" t="s">
        <v>835</v>
      </c>
      <c r="E3969" s="16" t="s">
        <v>844</v>
      </c>
      <c r="F3969" s="27" t="s">
        <v>12782</v>
      </c>
      <c r="G3969" s="27"/>
      <c r="H3969" s="16" t="str">
        <f>IF(ISBLANK(PARTIDAS!$G3969),PARTIDAS!$F3969,CONCATENATE(PARTIDAS!$F3969," (",PARTIDAS!$G3969,")"))</f>
        <v>Pautados, rayados o cuadriculados</v>
      </c>
      <c r="I3969" s="16" t="s">
        <v>9427</v>
      </c>
    </row>
    <row r="3970" spans="1:9" x14ac:dyDescent="0.25">
      <c r="A3970" s="16" t="s">
        <v>4894</v>
      </c>
      <c r="B3970" s="16" t="str">
        <f>TEXT(PARTIDA[[#This Row],[PARTIDA]],"0000000000")</f>
        <v>4811908010</v>
      </c>
      <c r="C3970" s="16" t="s">
        <v>815</v>
      </c>
      <c r="D3970" s="16" t="s">
        <v>835</v>
      </c>
      <c r="E3970" s="16" t="s">
        <v>844</v>
      </c>
      <c r="F3970" s="27" t="s">
        <v>12783</v>
      </c>
      <c r="G3970" s="27"/>
      <c r="H3970" s="16" t="str">
        <f>IF(ISBLANK(PARTIDAS!$G3970),PARTIDAS!$F3970,CONCATENATE(PARTIDAS!$F3970," (",PARTIDAS!$G3970,")"))</f>
        <v>Papeles absorbentes, decorados o impresos, sin impregnar, de los…, en tiras o bobinas (rollos) de anchura superior a 15 cm; o en hojas cuadradas o rec</v>
      </c>
      <c r="I3970" s="16" t="s">
        <v>9427</v>
      </c>
    </row>
    <row r="3971" spans="1:9" x14ac:dyDescent="0.25">
      <c r="A3971" s="16" t="s">
        <v>4895</v>
      </c>
      <c r="B3971" s="16" t="str">
        <f>TEXT(PARTIDA[[#This Row],[PARTIDA]],"0000000000")</f>
        <v>4811908090</v>
      </c>
      <c r="C3971" s="16" t="s">
        <v>815</v>
      </c>
      <c r="D3971" s="16" t="s">
        <v>835</v>
      </c>
      <c r="E3971" s="16" t="s">
        <v>844</v>
      </c>
      <c r="F3971" s="27" t="s">
        <v>12784</v>
      </c>
      <c r="G3971" s="27"/>
      <c r="H3971" s="16" t="str">
        <f>IF(ISBLANK(PARTIDAS!$G3971),PARTIDAS!$F3971,CONCATENATE(PARTIDAS!$F3971," (",PARTIDAS!$G3971,")"))</f>
        <v>Papeles absorbentes, decorados o impresos, sin impregnar, de los… (los demás)</v>
      </c>
      <c r="I3971" s="16" t="s">
        <v>9427</v>
      </c>
    </row>
    <row r="3972" spans="1:9" x14ac:dyDescent="0.25">
      <c r="A3972" s="16" t="s">
        <v>4896</v>
      </c>
      <c r="B3972" s="16" t="str">
        <f>TEXT(PARTIDA[[#This Row],[PARTIDA]],"0000000000")</f>
        <v>4811909000</v>
      </c>
      <c r="C3972" s="16" t="s">
        <v>815</v>
      </c>
      <c r="D3972" s="16" t="s">
        <v>835</v>
      </c>
      <c r="E3972" s="16" t="s">
        <v>844</v>
      </c>
      <c r="F3972" s="27" t="s">
        <v>12785</v>
      </c>
      <c r="G3972" s="27"/>
      <c r="H3972" s="16" t="str">
        <f>IF(ISBLANK(PARTIDAS!$G3972),PARTIDAS!$F3972,CONCATENATE(PARTIDAS!$F3972," (",PARTIDAS!$G3972,")"))</f>
        <v>Papel, cartón, guata de celulosa y napa de fibras de celulosa… (los demás)</v>
      </c>
      <c r="I3972" s="16" t="s">
        <v>9427</v>
      </c>
    </row>
    <row r="3973" spans="1:9" x14ac:dyDescent="0.25">
      <c r="A3973" s="16" t="s">
        <v>4897</v>
      </c>
      <c r="B3973" s="16" t="str">
        <f>TEXT(PARTIDA[[#This Row],[PARTIDA]],"0000000000")</f>
        <v>4812000000</v>
      </c>
      <c r="C3973" s="16" t="s">
        <v>815</v>
      </c>
      <c r="D3973" s="16" t="s">
        <v>835</v>
      </c>
      <c r="E3973" s="16" t="s">
        <v>844</v>
      </c>
      <c r="F3973" s="27" t="s">
        <v>4898</v>
      </c>
      <c r="G3973" s="27"/>
      <c r="H3973" s="16" t="str">
        <f>IF(ISBLANK(PARTIDAS!$G3973),PARTIDAS!$F3973,CONCATENATE(PARTIDAS!$F3973," (",PARTIDAS!$G3973,")"))</f>
        <v>Bloques y placas, filtrantes, de pasta de papel.</v>
      </c>
      <c r="I3973" s="16" t="s">
        <v>9427</v>
      </c>
    </row>
    <row r="3974" spans="1:9" x14ac:dyDescent="0.25">
      <c r="A3974" s="16" t="s">
        <v>4899</v>
      </c>
      <c r="B3974" s="16" t="str">
        <f>TEXT(PARTIDA[[#This Row],[PARTIDA]],"0000000000")</f>
        <v>4813100000</v>
      </c>
      <c r="C3974" s="16" t="s">
        <v>815</v>
      </c>
      <c r="D3974" s="16" t="s">
        <v>835</v>
      </c>
      <c r="E3974" s="16" t="s">
        <v>844</v>
      </c>
      <c r="F3974" s="27" t="s">
        <v>12786</v>
      </c>
      <c r="G3974" s="27"/>
      <c r="H3974" s="16" t="str">
        <f>IF(ISBLANK(PARTIDAS!$G3974),PARTIDAS!$F3974,CONCATENATE(PARTIDAS!$F3974," (",PARTIDAS!$G3974,")"))</f>
        <v>Papel de fumar, incluso cortado al tamaño adecuado, en librillos o en…, en librillos o en tubos</v>
      </c>
      <c r="I3974" s="16" t="s">
        <v>9427</v>
      </c>
    </row>
    <row r="3975" spans="1:9" x14ac:dyDescent="0.25">
      <c r="A3975" s="16" t="s">
        <v>4900</v>
      </c>
      <c r="B3975" s="16" t="str">
        <f>TEXT(PARTIDA[[#This Row],[PARTIDA]],"0000000000")</f>
        <v>4813200000</v>
      </c>
      <c r="C3975" s="16" t="s">
        <v>815</v>
      </c>
      <c r="D3975" s="16" t="s">
        <v>835</v>
      </c>
      <c r="E3975" s="16" t="s">
        <v>844</v>
      </c>
      <c r="F3975" s="27" t="s">
        <v>12787</v>
      </c>
      <c r="G3975" s="27"/>
      <c r="H3975" s="16" t="str">
        <f>IF(ISBLANK(PARTIDAS!$G3975),PARTIDAS!$F3975,CONCATENATE(PARTIDAS!$F3975," (",PARTIDAS!$G3975,")"))</f>
        <v>Papel de fumar, incluso cortado al tamaño adecuado, en librillos o en…, en bobinas (rollos) de anchura inferior o igual a 5 cm</v>
      </c>
      <c r="I3975" s="16" t="s">
        <v>9427</v>
      </c>
    </row>
    <row r="3976" spans="1:9" x14ac:dyDescent="0.25">
      <c r="A3976" s="16" t="s">
        <v>4901</v>
      </c>
      <c r="B3976" s="16" t="str">
        <f>TEXT(PARTIDA[[#This Row],[PARTIDA]],"0000000000")</f>
        <v>4813900000</v>
      </c>
      <c r="C3976" s="16" t="s">
        <v>815</v>
      </c>
      <c r="D3976" s="16" t="s">
        <v>835</v>
      </c>
      <c r="E3976" s="16" t="s">
        <v>844</v>
      </c>
      <c r="F3976" s="27" t="s">
        <v>12788</v>
      </c>
      <c r="G3976" s="27"/>
      <c r="H3976" s="16" t="str">
        <f>IF(ISBLANK(PARTIDAS!$G3976),PARTIDAS!$F3976,CONCATENATE(PARTIDAS!$F3976," (",PARTIDAS!$G3976,")"))</f>
        <v>Papel de fumar, incluso cortado al tamaño adecuado, en librillos o en… (los demás)</v>
      </c>
      <c r="I3976" s="16" t="s">
        <v>9427</v>
      </c>
    </row>
    <row r="3977" spans="1:9" x14ac:dyDescent="0.25">
      <c r="A3977" s="16" t="s">
        <v>4902</v>
      </c>
      <c r="B3977" s="16" t="str">
        <f>TEXT(PARTIDA[[#This Row],[PARTIDA]],"0000000000")</f>
        <v>4814200000</v>
      </c>
      <c r="C3977" s="16" t="s">
        <v>815</v>
      </c>
      <c r="D3977" s="16" t="s">
        <v>835</v>
      </c>
      <c r="E3977" s="16" t="s">
        <v>844</v>
      </c>
      <c r="F3977" s="27" t="s">
        <v>12789</v>
      </c>
      <c r="G3977" s="27"/>
      <c r="H3977" s="16" t="str">
        <f>IF(ISBLANK(PARTIDAS!$G3977),PARTIDAS!$F3977,CONCATENATE(PARTIDAS!$F3977," (",PARTIDAS!$G3977,")"))</f>
        <v>Papel para decorar y revestimientos similares de paredes, constituidos por papel recubierto o revestido, en la cara vista, con una capa de plástico gr</v>
      </c>
      <c r="I3977" s="16" t="s">
        <v>9427</v>
      </c>
    </row>
    <row r="3978" spans="1:9" x14ac:dyDescent="0.25">
      <c r="A3978" s="16" t="s">
        <v>4903</v>
      </c>
      <c r="B3978" s="16" t="str">
        <f>TEXT(PARTIDA[[#This Row],[PARTIDA]],"0000000000")</f>
        <v>4814900010</v>
      </c>
      <c r="C3978" s="16" t="s">
        <v>815</v>
      </c>
      <c r="D3978" s="16" t="s">
        <v>835</v>
      </c>
      <c r="E3978" s="16" t="s">
        <v>844</v>
      </c>
      <c r="F3978" s="27" t="s">
        <v>12790</v>
      </c>
      <c r="G3978" s="27"/>
      <c r="H3978" s="16" t="str">
        <f>IF(ISBLANK(PARTIDAS!$G3978),PARTIDAS!$F3978,CONCATENATE(PARTIDAS!$F3978," (",PARTIDAS!$G3978,")"))</f>
        <v>Papel para decorar y revestimientos similares de paredes, constituidos por papel revestido en la cara vista con materia trenzable, incluso tejida en f</v>
      </c>
      <c r="I3978" s="16" t="s">
        <v>9427</v>
      </c>
    </row>
    <row r="3979" spans="1:9" x14ac:dyDescent="0.25">
      <c r="A3979" s="16" t="s">
        <v>4904</v>
      </c>
      <c r="B3979" s="16" t="str">
        <f>TEXT(PARTIDA[[#This Row],[PARTIDA]],"0000000000")</f>
        <v>4814900090</v>
      </c>
      <c r="C3979" s="16" t="s">
        <v>815</v>
      </c>
      <c r="D3979" s="16" t="s">
        <v>835</v>
      </c>
      <c r="E3979" s="16" t="s">
        <v>844</v>
      </c>
      <c r="F3979" s="27" t="s">
        <v>12791</v>
      </c>
      <c r="G3979" s="27"/>
      <c r="H3979" s="16" t="str">
        <f>IF(ISBLANK(PARTIDAS!$G3979),PARTIDAS!$F3979,CONCATENATE(PARTIDAS!$F3979," (",PARTIDAS!$G3979,")"))</f>
        <v>Papel para decorar y revestimientos similares de paredes (los demás)</v>
      </c>
      <c r="I3979" s="16" t="s">
        <v>9427</v>
      </c>
    </row>
    <row r="3980" spans="1:9" x14ac:dyDescent="0.25">
      <c r="A3980" s="16" t="s">
        <v>4905</v>
      </c>
      <c r="B3980" s="16" t="str">
        <f>TEXT(PARTIDA[[#This Row],[PARTIDA]],"0000000000")</f>
        <v>4816200000</v>
      </c>
      <c r="C3980" s="16" t="s">
        <v>815</v>
      </c>
      <c r="D3980" s="16" t="s">
        <v>835</v>
      </c>
      <c r="E3980" s="16" t="s">
        <v>844</v>
      </c>
      <c r="F3980" s="27" t="s">
        <v>12747</v>
      </c>
      <c r="G3980" s="27"/>
      <c r="H3980" s="16" t="str">
        <f>IF(ISBLANK(PARTIDAS!$G3980),PARTIDAS!$F3980,CONCATENATE(PARTIDAS!$F3980," (",PARTIDAS!$G3980,")"))</f>
        <v>Papel autocopia</v>
      </c>
      <c r="I3980" s="16" t="s">
        <v>9427</v>
      </c>
    </row>
    <row r="3981" spans="1:9" x14ac:dyDescent="0.25">
      <c r="A3981" s="16" t="s">
        <v>4906</v>
      </c>
      <c r="B3981" s="16" t="str">
        <f>TEXT(PARTIDA[[#This Row],[PARTIDA]],"0000000000")</f>
        <v>4816900000</v>
      </c>
      <c r="C3981" s="16" t="s">
        <v>815</v>
      </c>
      <c r="D3981" s="16" t="s">
        <v>835</v>
      </c>
      <c r="E3981" s="16" t="s">
        <v>844</v>
      </c>
      <c r="F3981" s="27" t="s">
        <v>12749</v>
      </c>
      <c r="G3981" s="27"/>
      <c r="H3981" s="16" t="str">
        <f>IF(ISBLANK(PARTIDAS!$G3981),PARTIDAS!$F3981,CONCATENATE(PARTIDAS!$F3981," (",PARTIDAS!$G3981,")"))</f>
        <v>Papel carbón (carbónico), papel autocopia y demás papeles para copiar… (los demás)</v>
      </c>
      <c r="I3981" s="16" t="s">
        <v>9427</v>
      </c>
    </row>
    <row r="3982" spans="1:9" x14ac:dyDescent="0.25">
      <c r="A3982" s="16" t="s">
        <v>4907</v>
      </c>
      <c r="B3982" s="16" t="str">
        <f>TEXT(PARTIDA[[#This Row],[PARTIDA]],"0000000000")</f>
        <v>4817100000</v>
      </c>
      <c r="C3982" s="16" t="s">
        <v>815</v>
      </c>
      <c r="D3982" s="16" t="s">
        <v>835</v>
      </c>
      <c r="E3982" s="16" t="s">
        <v>844</v>
      </c>
      <c r="F3982" s="27" t="s">
        <v>12792</v>
      </c>
      <c r="G3982" s="27"/>
      <c r="H3982" s="16" t="str">
        <f>IF(ISBLANK(PARTIDAS!$G3982),PARTIDAS!$F3982,CONCATENATE(PARTIDAS!$F3982," (",PARTIDAS!$G3982,")"))</f>
        <v>Sobres</v>
      </c>
      <c r="I3982" s="16" t="s">
        <v>9427</v>
      </c>
    </row>
    <row r="3983" spans="1:9" x14ac:dyDescent="0.25">
      <c r="A3983" s="16" t="s">
        <v>4908</v>
      </c>
      <c r="B3983" s="16" t="str">
        <f>TEXT(PARTIDA[[#This Row],[PARTIDA]],"0000000000")</f>
        <v>4817200000</v>
      </c>
      <c r="C3983" s="16" t="s">
        <v>815</v>
      </c>
      <c r="D3983" s="16" t="s">
        <v>835</v>
      </c>
      <c r="E3983" s="16" t="s">
        <v>844</v>
      </c>
      <c r="F3983" s="27" t="s">
        <v>12793</v>
      </c>
      <c r="G3983" s="27"/>
      <c r="H3983" s="16" t="str">
        <f>IF(ISBLANK(PARTIDAS!$G3983),PARTIDAS!$F3983,CONCATENATE(PARTIDAS!$F3983," (",PARTIDAS!$G3983,")"))</f>
        <v>Sobres carta, tarjetas postales sin ilustrar y tarjetas para correspondencia</v>
      </c>
      <c r="I3983" s="16" t="s">
        <v>9427</v>
      </c>
    </row>
    <row r="3984" spans="1:9" x14ac:dyDescent="0.25">
      <c r="A3984" s="16" t="s">
        <v>4909</v>
      </c>
      <c r="B3984" s="16" t="str">
        <f>TEXT(PARTIDA[[#This Row],[PARTIDA]],"0000000000")</f>
        <v>4817300000</v>
      </c>
      <c r="C3984" s="16" t="s">
        <v>815</v>
      </c>
      <c r="D3984" s="16" t="s">
        <v>835</v>
      </c>
      <c r="E3984" s="16" t="s">
        <v>844</v>
      </c>
      <c r="F3984" s="27" t="s">
        <v>12794</v>
      </c>
      <c r="G3984" s="27"/>
      <c r="H3984" s="16" t="str">
        <f>IF(ISBLANK(PARTIDAS!$G3984),PARTIDAS!$F3984,CONCATENATE(PARTIDAS!$F3984," (",PARTIDAS!$G3984,")"))</f>
        <v>Cajas, bolsas y presentaciones similares de papel o cartón, con un surtido de artículos de correspondencia</v>
      </c>
      <c r="I3984" s="16" t="s">
        <v>9427</v>
      </c>
    </row>
    <row r="3985" spans="1:9" x14ac:dyDescent="0.25">
      <c r="A3985" s="16" t="s">
        <v>4910</v>
      </c>
      <c r="B3985" s="16" t="str">
        <f>TEXT(PARTIDA[[#This Row],[PARTIDA]],"0000000000")</f>
        <v>4818100000</v>
      </c>
      <c r="C3985" s="16" t="s">
        <v>786</v>
      </c>
      <c r="D3985" s="16" t="s">
        <v>787</v>
      </c>
      <c r="E3985" s="16" t="s">
        <v>797</v>
      </c>
      <c r="F3985" s="27" t="s">
        <v>12795</v>
      </c>
      <c r="G3985" s="27"/>
      <c r="H3985" s="16" t="str">
        <f>IF(ISBLANK(PARTIDAS!$G3985),PARTIDAS!$F3985,CONCATENATE(PARTIDAS!$F3985," (",PARTIDAS!$G3985,")"))</f>
        <v>Papel higiénico</v>
      </c>
      <c r="I3985" s="16" t="s">
        <v>9427</v>
      </c>
    </row>
    <row r="3986" spans="1:9" x14ac:dyDescent="0.25">
      <c r="A3986" s="16" t="s">
        <v>4911</v>
      </c>
      <c r="B3986" s="16" t="str">
        <f>TEXT(PARTIDA[[#This Row],[PARTIDA]],"0000000000")</f>
        <v>4818200000</v>
      </c>
      <c r="C3986" s="16" t="s">
        <v>786</v>
      </c>
      <c r="D3986" s="16" t="s">
        <v>787</v>
      </c>
      <c r="E3986" s="16" t="s">
        <v>797</v>
      </c>
      <c r="F3986" s="27" t="s">
        <v>12796</v>
      </c>
      <c r="G3986" s="27"/>
      <c r="H3986" s="16" t="str">
        <f>IF(ISBLANK(PARTIDAS!$G3986),PARTIDAS!$F3986,CONCATENATE(PARTIDAS!$F3986," (",PARTIDAS!$G3986,")"))</f>
        <v>Pañuelos, toallitas de desmaquillar y toallas</v>
      </c>
      <c r="I3986" s="16" t="s">
        <v>9427</v>
      </c>
    </row>
    <row r="3987" spans="1:9" x14ac:dyDescent="0.25">
      <c r="A3987" s="16" t="s">
        <v>4912</v>
      </c>
      <c r="B3987" s="16" t="str">
        <f>TEXT(PARTIDA[[#This Row],[PARTIDA]],"0000000000")</f>
        <v>4818300000</v>
      </c>
      <c r="C3987" s="16" t="s">
        <v>786</v>
      </c>
      <c r="D3987" s="16" t="s">
        <v>787</v>
      </c>
      <c r="E3987" s="16" t="s">
        <v>797</v>
      </c>
      <c r="F3987" s="27" t="s">
        <v>12797</v>
      </c>
      <c r="G3987" s="27"/>
      <c r="H3987" s="16" t="str">
        <f>IF(ISBLANK(PARTIDAS!$G3987),PARTIDAS!$F3987,CONCATENATE(PARTIDAS!$F3987," (",PARTIDAS!$G3987,")"))</f>
        <v>Manteles y servilletas</v>
      </c>
      <c r="I3987" s="16" t="s">
        <v>9427</v>
      </c>
    </row>
    <row r="3988" spans="1:9" x14ac:dyDescent="0.25">
      <c r="A3988" s="16" t="s">
        <v>4913</v>
      </c>
      <c r="B3988" s="16" t="str">
        <f>TEXT(PARTIDA[[#This Row],[PARTIDA]],"0000000000")</f>
        <v>4818500000</v>
      </c>
      <c r="C3988" s="16" t="s">
        <v>786</v>
      </c>
      <c r="D3988" s="16" t="s">
        <v>787</v>
      </c>
      <c r="E3988" s="16" t="s">
        <v>797</v>
      </c>
      <c r="F3988" s="27" t="s">
        <v>12798</v>
      </c>
      <c r="G3988" s="27"/>
      <c r="H3988" s="16" t="str">
        <f>IF(ISBLANK(PARTIDAS!$G3988),PARTIDAS!$F3988,CONCATENATE(PARTIDAS!$F3988," (",PARTIDAS!$G3988,")"))</f>
        <v>Prendas y complementos (accesorios), de vestir</v>
      </c>
      <c r="I3988" s="16" t="s">
        <v>9427</v>
      </c>
    </row>
    <row r="3989" spans="1:9" x14ac:dyDescent="0.25">
      <c r="A3989" s="16" t="s">
        <v>4914</v>
      </c>
      <c r="B3989" s="16" t="str">
        <f>TEXT(PARTIDA[[#This Row],[PARTIDA]],"0000000000")</f>
        <v>4818900000</v>
      </c>
      <c r="C3989" s="16" t="s">
        <v>786</v>
      </c>
      <c r="D3989" s="16" t="s">
        <v>787</v>
      </c>
      <c r="E3989" s="16" t="s">
        <v>797</v>
      </c>
      <c r="F3989" s="27" t="s">
        <v>12799</v>
      </c>
      <c r="G3989" s="27"/>
      <c r="H3989" s="16" t="str">
        <f>IF(ISBLANK(PARTIDAS!$G3989),PARTIDAS!$F3989,CONCATENATE(PARTIDAS!$F3989," (",PARTIDAS!$G3989,")"))</f>
        <v>Papel del tipo utilizado para papel higiénico y papeles similares… (los demás)</v>
      </c>
      <c r="I3989" s="16" t="s">
        <v>9427</v>
      </c>
    </row>
    <row r="3990" spans="1:9" x14ac:dyDescent="0.25">
      <c r="A3990" s="16" t="s">
        <v>4915</v>
      </c>
      <c r="B3990" s="16" t="str">
        <f>TEXT(PARTIDA[[#This Row],[PARTIDA]],"0000000000")</f>
        <v>4819100000</v>
      </c>
      <c r="C3990" s="16" t="s">
        <v>815</v>
      </c>
      <c r="D3990" s="16" t="s">
        <v>835</v>
      </c>
      <c r="E3990" s="16" t="s">
        <v>844</v>
      </c>
      <c r="F3990" s="27" t="s">
        <v>4916</v>
      </c>
      <c r="G3990" s="27"/>
      <c r="H3990" s="16" t="str">
        <f>IF(ISBLANK(PARTIDAS!$G3990),PARTIDAS!$F3990,CONCATENATE(PARTIDAS!$F3990," (",PARTIDAS!$G3990,")"))</f>
        <v>Cajas de papel o cartón</v>
      </c>
      <c r="I3990" s="16" t="s">
        <v>9477</v>
      </c>
    </row>
    <row r="3991" spans="1:9" x14ac:dyDescent="0.25">
      <c r="A3991" s="16" t="s">
        <v>4917</v>
      </c>
      <c r="B3991" s="16" t="str">
        <f>TEXT(PARTIDA[[#This Row],[PARTIDA]],"0000000000")</f>
        <v>4819200000</v>
      </c>
      <c r="C3991" s="16" t="s">
        <v>815</v>
      </c>
      <c r="D3991" s="16" t="s">
        <v>835</v>
      </c>
      <c r="E3991" s="16" t="s">
        <v>844</v>
      </c>
      <c r="F3991" s="27" t="s">
        <v>12800</v>
      </c>
      <c r="G3991" s="27"/>
      <c r="H3991" s="16" t="str">
        <f>IF(ISBLANK(PARTIDAS!$G3991),PARTIDAS!$F3991,CONCATENATE(PARTIDAS!$F3991," (",PARTIDAS!$G3991,")"))</f>
        <v>Cajas y cartonajes, plegables, de papel o cartón, sin corrugar</v>
      </c>
      <c r="I3991" s="16" t="s">
        <v>9427</v>
      </c>
    </row>
    <row r="3992" spans="1:9" x14ac:dyDescent="0.25">
      <c r="A3992" s="16" t="s">
        <v>4918</v>
      </c>
      <c r="B3992" s="16" t="str">
        <f>TEXT(PARTIDA[[#This Row],[PARTIDA]],"0000000000")</f>
        <v>4819301000</v>
      </c>
      <c r="C3992" s="16" t="s">
        <v>815</v>
      </c>
      <c r="D3992" s="16" t="s">
        <v>835</v>
      </c>
      <c r="E3992" s="16" t="s">
        <v>844</v>
      </c>
      <c r="F3992" s="27" t="s">
        <v>9376</v>
      </c>
      <c r="G3992" s="27"/>
      <c r="H3992" s="16" t="str">
        <f>IF(ISBLANK(PARTIDAS!$G3992),PARTIDAS!$F3992,CONCATENATE(PARTIDAS!$F3992," (",PARTIDAS!$G3992,")"))</f>
        <v>Sacos (bolsas) con una anchura en la base superior o igual a 40 cm, multipliegos</v>
      </c>
      <c r="I3992" s="16" t="s">
        <v>9477</v>
      </c>
    </row>
    <row r="3993" spans="1:9" x14ac:dyDescent="0.25">
      <c r="A3993" s="16" t="s">
        <v>4919</v>
      </c>
      <c r="B3993" s="16" t="str">
        <f>TEXT(PARTIDA[[#This Row],[PARTIDA]],"0000000000")</f>
        <v>4819309000</v>
      </c>
      <c r="C3993" s="16" t="s">
        <v>815</v>
      </c>
      <c r="D3993" s="16" t="s">
        <v>835</v>
      </c>
      <c r="E3993" s="16" t="s">
        <v>844</v>
      </c>
      <c r="F3993" s="27" t="s">
        <v>4916</v>
      </c>
      <c r="G3993" s="27"/>
      <c r="H3993" s="16" t="str">
        <f>IF(ISBLANK(PARTIDAS!$G3993),PARTIDAS!$F3993,CONCATENATE(PARTIDAS!$F3993," (",PARTIDAS!$G3993,")"))</f>
        <v>Cajas de papel o cartón</v>
      </c>
      <c r="I3993" s="16" t="s">
        <v>9427</v>
      </c>
    </row>
    <row r="3994" spans="1:9" x14ac:dyDescent="0.25">
      <c r="A3994" s="16" t="s">
        <v>4920</v>
      </c>
      <c r="B3994" s="16" t="str">
        <f>TEXT(PARTIDA[[#This Row],[PARTIDA]],"0000000000")</f>
        <v>4819400000</v>
      </c>
      <c r="C3994" s="16" t="s">
        <v>815</v>
      </c>
      <c r="D3994" s="16" t="s">
        <v>835</v>
      </c>
      <c r="E3994" s="16" t="s">
        <v>844</v>
      </c>
      <c r="F3994" s="27" t="s">
        <v>12801</v>
      </c>
      <c r="G3994" s="27"/>
      <c r="H3994" s="16" t="str">
        <f>IF(ISBLANK(PARTIDAS!$G3994),PARTIDAS!$F3994,CONCATENATE(PARTIDAS!$F3994," (",PARTIDAS!$G3994,")"))</f>
        <v>Cajas, sacos (bolsas), bolsitas, cucuruchos y demás envases de papel… (los demás, sacos (bolsas); bolsitas y cucuruchos)</v>
      </c>
      <c r="I3994" s="16" t="s">
        <v>9427</v>
      </c>
    </row>
    <row r="3995" spans="1:9" x14ac:dyDescent="0.25">
      <c r="A3995" s="16" t="s">
        <v>4921</v>
      </c>
      <c r="B3995" s="16" t="str">
        <f>TEXT(PARTIDA[[#This Row],[PARTIDA]],"0000000000")</f>
        <v>4819500000</v>
      </c>
      <c r="C3995" s="16" t="s">
        <v>815</v>
      </c>
      <c r="D3995" s="16" t="s">
        <v>835</v>
      </c>
      <c r="E3995" s="16" t="s">
        <v>844</v>
      </c>
      <c r="F3995" s="27" t="s">
        <v>12802</v>
      </c>
      <c r="G3995" s="27"/>
      <c r="H3995" s="16" t="str">
        <f>IF(ISBLANK(PARTIDAS!$G3995),PARTIDAS!$F3995,CONCATENATE(PARTIDAS!$F3995," (",PARTIDAS!$G3995,")"))</f>
        <v>Cajas, sacos (bolsas), bolsitas, cucuruchos y demás envases de papel… (los demás, envases, incluidas las fundas para discos)</v>
      </c>
      <c r="I3995" s="16" t="s">
        <v>9427</v>
      </c>
    </row>
    <row r="3996" spans="1:9" x14ac:dyDescent="0.25">
      <c r="A3996" s="16" t="s">
        <v>4922</v>
      </c>
      <c r="B3996" s="16" t="str">
        <f>TEXT(PARTIDA[[#This Row],[PARTIDA]],"0000000000")</f>
        <v>4819600000</v>
      </c>
      <c r="C3996" s="16" t="s">
        <v>815</v>
      </c>
      <c r="D3996" s="16" t="s">
        <v>835</v>
      </c>
      <c r="E3996" s="16" t="s">
        <v>844</v>
      </c>
      <c r="F3996" s="27" t="s">
        <v>12803</v>
      </c>
      <c r="G3996" s="27"/>
      <c r="H3996" s="16" t="str">
        <f>IF(ISBLANK(PARTIDAS!$G3996),PARTIDAS!$F3996,CONCATENATE(PARTIDAS!$F3996," (",PARTIDAS!$G3996,")"))</f>
        <v>Cartonajes de oficina, tienda o similares</v>
      </c>
      <c r="I3996" s="16" t="s">
        <v>9427</v>
      </c>
    </row>
    <row r="3997" spans="1:9" x14ac:dyDescent="0.25">
      <c r="A3997" s="16" t="s">
        <v>4923</v>
      </c>
      <c r="B3997" s="16" t="str">
        <f>TEXT(PARTIDA[[#This Row],[PARTIDA]],"0000000000")</f>
        <v>4820100000</v>
      </c>
      <c r="C3997" s="16" t="s">
        <v>786</v>
      </c>
      <c r="D3997" s="16" t="s">
        <v>787</v>
      </c>
      <c r="E3997" s="16" t="s">
        <v>797</v>
      </c>
      <c r="F3997" s="27" t="s">
        <v>12804</v>
      </c>
      <c r="G3997" s="27"/>
      <c r="H3997" s="16" t="str">
        <f>IF(ISBLANK(PARTIDAS!$G3997),PARTIDAS!$F3997,CONCATENATE(PARTIDAS!$F3997," (",PARTIDAS!$G3997,")"))</f>
        <v>Libros registro, libros de contabilidad, talonarios (de notas, pedidos o recibos), bloques memorandos, bloques de papel de cartas, agendas y artículos</v>
      </c>
      <c r="I3997" s="16" t="s">
        <v>9427</v>
      </c>
    </row>
    <row r="3998" spans="1:9" x14ac:dyDescent="0.25">
      <c r="A3998" s="16" t="s">
        <v>4924</v>
      </c>
      <c r="B3998" s="16" t="str">
        <f>TEXT(PARTIDA[[#This Row],[PARTIDA]],"0000000000")</f>
        <v>4820200000</v>
      </c>
      <c r="C3998" s="16" t="s">
        <v>786</v>
      </c>
      <c r="D3998" s="16" t="s">
        <v>787</v>
      </c>
      <c r="E3998" s="16" t="s">
        <v>797</v>
      </c>
      <c r="F3998" s="27" t="s">
        <v>4925</v>
      </c>
      <c r="G3998" s="27"/>
      <c r="H3998" s="16" t="str">
        <f>IF(ISBLANK(PARTIDAS!$G3998),PARTIDAS!$F3998,CONCATENATE(PARTIDAS!$F3998," (",PARTIDAS!$G3998,")"))</f>
        <v>Cuadernos</v>
      </c>
      <c r="I3998" s="16" t="s">
        <v>9427</v>
      </c>
    </row>
    <row r="3999" spans="1:9" x14ac:dyDescent="0.25">
      <c r="A3999" s="16" t="s">
        <v>4926</v>
      </c>
      <c r="B3999" s="16" t="str">
        <f>TEXT(PARTIDA[[#This Row],[PARTIDA]],"0000000000")</f>
        <v>4820300000</v>
      </c>
      <c r="C3999" s="16" t="s">
        <v>786</v>
      </c>
      <c r="D3999" s="16" t="s">
        <v>787</v>
      </c>
      <c r="E3999" s="16" t="s">
        <v>797</v>
      </c>
      <c r="F3999" s="27" t="s">
        <v>12805</v>
      </c>
      <c r="G3999" s="27"/>
      <c r="H3999" s="16" t="str">
        <f>IF(ISBLANK(PARTIDAS!$G3999),PARTIDAS!$F3999,CONCATENATE(PARTIDAS!$F3999," (",PARTIDAS!$G3999,")"))</f>
        <v>Clasificadores, encuadernaciones (excepto las cubiertas para libros), carpetas y cubiertas para documentos</v>
      </c>
      <c r="I3999" s="16" t="s">
        <v>9427</v>
      </c>
    </row>
    <row r="4000" spans="1:9" x14ac:dyDescent="0.25">
      <c r="A4000" s="16" t="s">
        <v>4927</v>
      </c>
      <c r="B4000" s="16" t="str">
        <f>TEXT(PARTIDA[[#This Row],[PARTIDA]],"0000000000")</f>
        <v>4820401000</v>
      </c>
      <c r="C4000" s="16" t="s">
        <v>786</v>
      </c>
      <c r="D4000" s="16" t="s">
        <v>787</v>
      </c>
      <c r="E4000" s="16" t="s">
        <v>797</v>
      </c>
      <c r="F4000" s="27" t="s">
        <v>12806</v>
      </c>
      <c r="G4000" s="27"/>
      <c r="H4000" s="16" t="str">
        <f>IF(ISBLANK(PARTIDAS!$G4000),PARTIDAS!$F4000,CONCATENATE(PARTIDAS!$F4000," (",PARTIDAS!$G4000,")"))</f>
        <v>Formularios llamados «continuos»</v>
      </c>
      <c r="I4000" s="16" t="s">
        <v>9427</v>
      </c>
    </row>
    <row r="4001" spans="1:9" x14ac:dyDescent="0.25">
      <c r="A4001" s="16" t="s">
        <v>4928</v>
      </c>
      <c r="B4001" s="16" t="str">
        <f>TEXT(PARTIDA[[#This Row],[PARTIDA]],"0000000000")</f>
        <v>4820409000</v>
      </c>
      <c r="C4001" s="16" t="s">
        <v>786</v>
      </c>
      <c r="D4001" s="16" t="s">
        <v>787</v>
      </c>
      <c r="E4001" s="16" t="s">
        <v>797</v>
      </c>
      <c r="F4001" s="27" t="s">
        <v>12807</v>
      </c>
      <c r="G4001" s="27"/>
      <c r="H4001" s="16" t="str">
        <f>IF(ISBLANK(PARTIDAS!$G4001),PARTIDAS!$F4001,CONCATENATE(PARTIDAS!$F4001," (",PARTIDAS!$G4001,")"))</f>
        <v>Formularios en paquetes o plegados («manifold»), aunque lleven papel… (los demás)</v>
      </c>
      <c r="I4001" s="16" t="s">
        <v>9427</v>
      </c>
    </row>
    <row r="4002" spans="1:9" x14ac:dyDescent="0.25">
      <c r="A4002" s="16" t="s">
        <v>4929</v>
      </c>
      <c r="B4002" s="16" t="str">
        <f>TEXT(PARTIDA[[#This Row],[PARTIDA]],"0000000000")</f>
        <v>4820500000</v>
      </c>
      <c r="C4002" s="16" t="s">
        <v>786</v>
      </c>
      <c r="D4002" s="16" t="s">
        <v>787</v>
      </c>
      <c r="E4002" s="16" t="s">
        <v>797</v>
      </c>
      <c r="F4002" s="27" t="s">
        <v>12808</v>
      </c>
      <c r="G4002" s="27"/>
      <c r="H4002" s="16" t="str">
        <f>IF(ISBLANK(PARTIDAS!$G4002),PARTIDAS!$F4002,CONCATENATE(PARTIDAS!$F4002," (",PARTIDAS!$G4002,")"))</f>
        <v>Álbumes para muestras o para colecciones</v>
      </c>
      <c r="I4002" s="16" t="s">
        <v>9427</v>
      </c>
    </row>
    <row r="4003" spans="1:9" x14ac:dyDescent="0.25">
      <c r="A4003" s="16" t="s">
        <v>4930</v>
      </c>
      <c r="B4003" s="16" t="str">
        <f>TEXT(PARTIDA[[#This Row],[PARTIDA]],"0000000000")</f>
        <v>4820900010</v>
      </c>
      <c r="C4003" s="16" t="s">
        <v>786</v>
      </c>
      <c r="D4003" s="16" t="s">
        <v>787</v>
      </c>
      <c r="E4003" s="16" t="s">
        <v>797</v>
      </c>
      <c r="F4003" s="27" t="s">
        <v>12809</v>
      </c>
      <c r="G4003" s="27"/>
      <c r="H4003" s="16" t="str">
        <f>IF(ISBLANK(PARTIDAS!$G4003),PARTIDAS!$F4003,CONCATENATE(PARTIDAS!$F4003," (",PARTIDAS!$G4003,")"))</f>
        <v>Formatos llamados «continuos» sin impresión</v>
      </c>
      <c r="I4003" s="16" t="s">
        <v>9427</v>
      </c>
    </row>
    <row r="4004" spans="1:9" x14ac:dyDescent="0.25">
      <c r="A4004" s="16" t="s">
        <v>4931</v>
      </c>
      <c r="B4004" s="16" t="str">
        <f>TEXT(PARTIDA[[#This Row],[PARTIDA]],"0000000000")</f>
        <v>4820900090</v>
      </c>
      <c r="C4004" s="16" t="s">
        <v>786</v>
      </c>
      <c r="D4004" s="16" t="s">
        <v>787</v>
      </c>
      <c r="E4004" s="16" t="s">
        <v>797</v>
      </c>
      <c r="F4004" s="27" t="s">
        <v>12810</v>
      </c>
      <c r="G4004" s="27"/>
      <c r="H4004" s="16" t="str">
        <f>IF(ISBLANK(PARTIDAS!$G4004),PARTIDAS!$F4004,CONCATENATE(PARTIDAS!$F4004," (",PARTIDAS!$G4004,")"))</f>
        <v>Libros registro, libros de contabilidad, talonarios (de notas… (los demás)</v>
      </c>
      <c r="I4004" s="16" t="s">
        <v>9427</v>
      </c>
    </row>
    <row r="4005" spans="1:9" x14ac:dyDescent="0.25">
      <c r="A4005" s="16" t="s">
        <v>4932</v>
      </c>
      <c r="B4005" s="16" t="str">
        <f>TEXT(PARTIDA[[#This Row],[PARTIDA]],"0000000000")</f>
        <v>4821100000</v>
      </c>
      <c r="C4005" s="16" t="s">
        <v>815</v>
      </c>
      <c r="D4005" s="16" t="s">
        <v>835</v>
      </c>
      <c r="E4005" s="16" t="s">
        <v>844</v>
      </c>
      <c r="F4005" s="27" t="s">
        <v>4933</v>
      </c>
      <c r="G4005" s="27"/>
      <c r="H4005" s="16" t="str">
        <f>IF(ISBLANK(PARTIDAS!$G4005),PARTIDAS!$F4005,CONCATENATE(PARTIDAS!$F4005," (",PARTIDAS!$G4005,")"))</f>
        <v>Etiquetas</v>
      </c>
      <c r="I4005" s="16" t="s">
        <v>9427</v>
      </c>
    </row>
    <row r="4006" spans="1:9" x14ac:dyDescent="0.25">
      <c r="A4006" s="16" t="s">
        <v>4934</v>
      </c>
      <c r="B4006" s="16" t="str">
        <f>TEXT(PARTIDA[[#This Row],[PARTIDA]],"0000000000")</f>
        <v>4821900000</v>
      </c>
      <c r="C4006" s="16" t="s">
        <v>815</v>
      </c>
      <c r="D4006" s="16" t="s">
        <v>835</v>
      </c>
      <c r="E4006" s="16" t="s">
        <v>844</v>
      </c>
      <c r="F4006" s="27" t="s">
        <v>4933</v>
      </c>
      <c r="G4006" s="27"/>
      <c r="H4006" s="16" t="str">
        <f>IF(ISBLANK(PARTIDAS!$G4006),PARTIDAS!$F4006,CONCATENATE(PARTIDAS!$F4006," (",PARTIDAS!$G4006,")"))</f>
        <v>Etiquetas</v>
      </c>
      <c r="I4006" s="16" t="s">
        <v>9427</v>
      </c>
    </row>
    <row r="4007" spans="1:9" x14ac:dyDescent="0.25">
      <c r="A4007" s="16" t="s">
        <v>4935</v>
      </c>
      <c r="B4007" s="16" t="str">
        <f>TEXT(PARTIDA[[#This Row],[PARTIDA]],"0000000000")</f>
        <v>4822100000</v>
      </c>
      <c r="C4007" s="16" t="s">
        <v>815</v>
      </c>
      <c r="D4007" s="16" t="s">
        <v>835</v>
      </c>
      <c r="E4007" s="16" t="s">
        <v>844</v>
      </c>
      <c r="F4007" s="27" t="s">
        <v>12811</v>
      </c>
      <c r="G4007" s="27"/>
      <c r="H4007" s="16" t="str">
        <f>IF(ISBLANK(PARTIDAS!$G4007),PARTIDAS!$F4007,CONCATENATE(PARTIDAS!$F4007," (",PARTIDAS!$G4007,")"))</f>
        <v>Carretes, bobinas, canillas y soportes similares, de pasta de papel…, de los tipos utilizados para el bobinado de hilados textiles</v>
      </c>
      <c r="I4007" s="16" t="s">
        <v>9427</v>
      </c>
    </row>
    <row r="4008" spans="1:9" x14ac:dyDescent="0.25">
      <c r="A4008" s="16" t="s">
        <v>4936</v>
      </c>
      <c r="B4008" s="16" t="str">
        <f>TEXT(PARTIDA[[#This Row],[PARTIDA]],"0000000000")</f>
        <v>4822900000</v>
      </c>
      <c r="C4008" s="16" t="s">
        <v>815</v>
      </c>
      <c r="D4008" s="16" t="s">
        <v>835</v>
      </c>
      <c r="E4008" s="16" t="s">
        <v>844</v>
      </c>
      <c r="F4008" s="27" t="s">
        <v>12812</v>
      </c>
      <c r="G4008" s="27"/>
      <c r="H4008" s="16" t="str">
        <f>IF(ISBLANK(PARTIDAS!$G4008),PARTIDAS!$F4008,CONCATENATE(PARTIDAS!$F4008," (",PARTIDAS!$G4008,")"))</f>
        <v>Carretes, bobinas, canillas y soportes similares, de pasta de papel… (los demás)</v>
      </c>
      <c r="I4008" s="16" t="s">
        <v>9427</v>
      </c>
    </row>
    <row r="4009" spans="1:9" x14ac:dyDescent="0.25">
      <c r="A4009" s="16" t="s">
        <v>4937</v>
      </c>
      <c r="B4009" s="16" t="str">
        <f>TEXT(PARTIDA[[#This Row],[PARTIDA]],"0000000000")</f>
        <v>4823200010</v>
      </c>
      <c r="C4009" s="16" t="s">
        <v>815</v>
      </c>
      <c r="D4009" s="16" t="s">
        <v>835</v>
      </c>
      <c r="E4009" s="16" t="s">
        <v>844</v>
      </c>
      <c r="F4009" s="27" t="s">
        <v>12813</v>
      </c>
      <c r="G4009" s="27"/>
      <c r="H4009" s="16" t="str">
        <f>IF(ISBLANK(PARTIDAS!$G4009),PARTIDAS!$F4009,CONCATENATE(PARTIDAS!$F4009," (",PARTIDAS!$G4009,")"))</f>
        <v>Papel y cartón filtro, sin estucar ni recubrir, en tiras o bobinas (rollos) de anchura superior a 15 cm pero inferior o igual a 36 cm</v>
      </c>
      <c r="I4009" s="16" t="s">
        <v>9427</v>
      </c>
    </row>
    <row r="4010" spans="1:9" x14ac:dyDescent="0.25">
      <c r="A4010" s="16" t="s">
        <v>4938</v>
      </c>
      <c r="B4010" s="16" t="str">
        <f>TEXT(PARTIDA[[#This Row],[PARTIDA]],"0000000000")</f>
        <v>4823200090</v>
      </c>
      <c r="C4010" s="16" t="s">
        <v>815</v>
      </c>
      <c r="D4010" s="16" t="s">
        <v>835</v>
      </c>
      <c r="E4010" s="16" t="s">
        <v>844</v>
      </c>
      <c r="F4010" s="27" t="s">
        <v>12728</v>
      </c>
      <c r="G4010" s="27"/>
      <c r="H4010" s="16" t="str">
        <f>IF(ISBLANK(PARTIDAS!$G4010),PARTIDAS!$F4010,CONCATENATE(PARTIDAS!$F4010," (",PARTIDAS!$G4010,")"))</f>
        <v>Papel y cartón filtro (los demás)</v>
      </c>
      <c r="I4010" s="16" t="s">
        <v>9427</v>
      </c>
    </row>
    <row r="4011" spans="1:9" x14ac:dyDescent="0.25">
      <c r="A4011" s="16" t="s">
        <v>4939</v>
      </c>
      <c r="B4011" s="16" t="str">
        <f>TEXT(PARTIDA[[#This Row],[PARTIDA]],"0000000000")</f>
        <v>4823400000</v>
      </c>
      <c r="C4011" s="16" t="s">
        <v>815</v>
      </c>
      <c r="D4011" s="16" t="s">
        <v>835</v>
      </c>
      <c r="E4011" s="16" t="s">
        <v>844</v>
      </c>
      <c r="F4011" s="27" t="s">
        <v>12814</v>
      </c>
      <c r="G4011" s="27"/>
      <c r="H4011" s="16" t="str">
        <f>IF(ISBLANK(PARTIDAS!$G4011),PARTIDAS!$F4011,CONCATENATE(PARTIDAS!$F4011," (",PARTIDAS!$G4011,")"))</f>
        <v>Papel diagrama para aparatos registradores, en bobinas (rollos), hojas o discos</v>
      </c>
      <c r="I4011" s="16" t="s">
        <v>9427</v>
      </c>
    </row>
    <row r="4012" spans="1:9" x14ac:dyDescent="0.25">
      <c r="A4012" s="16" t="s">
        <v>4940</v>
      </c>
      <c r="B4012" s="16" t="str">
        <f>TEXT(PARTIDA[[#This Row],[PARTIDA]],"0000000000")</f>
        <v>4823610000</v>
      </c>
      <c r="C4012" s="16" t="s">
        <v>815</v>
      </c>
      <c r="D4012" s="16" t="s">
        <v>835</v>
      </c>
      <c r="E4012" s="16" t="s">
        <v>844</v>
      </c>
      <c r="F4012" s="27" t="s">
        <v>12815</v>
      </c>
      <c r="G4012" s="27"/>
      <c r="H4012" s="16" t="str">
        <f>IF(ISBLANK(PARTIDAS!$G4012),PARTIDAS!$F4012,CONCATENATE(PARTIDAS!$F4012," (",PARTIDAS!$G4012,")"))</f>
        <v>Bandejas, fuentes, platos, tazas, vasos y artículos similares, de…, de bambú</v>
      </c>
      <c r="I4012" s="16" t="s">
        <v>9427</v>
      </c>
    </row>
    <row r="4013" spans="1:9" x14ac:dyDescent="0.25">
      <c r="A4013" s="16" t="s">
        <v>4941</v>
      </c>
      <c r="B4013" s="16" t="str">
        <f>TEXT(PARTIDA[[#This Row],[PARTIDA]],"0000000000")</f>
        <v>4823690000</v>
      </c>
      <c r="C4013" s="16" t="s">
        <v>815</v>
      </c>
      <c r="D4013" s="16" t="s">
        <v>835</v>
      </c>
      <c r="E4013" s="16" t="s">
        <v>844</v>
      </c>
      <c r="F4013" s="27" t="s">
        <v>12816</v>
      </c>
      <c r="G4013" s="27"/>
      <c r="H4013" s="16" t="str">
        <f>IF(ISBLANK(PARTIDAS!$G4013),PARTIDAS!$F4013,CONCATENATE(PARTIDAS!$F4013," (",PARTIDAS!$G4013,")"))</f>
        <v>Bandejas, fuentes, platos, tazas, vasos y artículos similares, de… (los demás)</v>
      </c>
      <c r="I4013" s="16" t="s">
        <v>9427</v>
      </c>
    </row>
    <row r="4014" spans="1:9" x14ac:dyDescent="0.25">
      <c r="A4014" s="16" t="s">
        <v>4942</v>
      </c>
      <c r="B4014" s="16" t="str">
        <f>TEXT(PARTIDA[[#This Row],[PARTIDA]],"0000000000")</f>
        <v>4823700000</v>
      </c>
      <c r="C4014" s="16" t="s">
        <v>815</v>
      </c>
      <c r="D4014" s="16" t="s">
        <v>835</v>
      </c>
      <c r="E4014" s="16" t="s">
        <v>844</v>
      </c>
      <c r="F4014" s="27" t="s">
        <v>12817</v>
      </c>
      <c r="G4014" s="27"/>
      <c r="H4014" s="16" t="str">
        <f>IF(ISBLANK(PARTIDAS!$G4014),PARTIDAS!$F4014,CONCATENATE(PARTIDAS!$F4014," (",PARTIDAS!$G4014,")"))</f>
        <v>Artículos moldeados o prensados, de pasta de papel</v>
      </c>
      <c r="I4014" s="16" t="s">
        <v>9427</v>
      </c>
    </row>
    <row r="4015" spans="1:9" x14ac:dyDescent="0.25">
      <c r="A4015" s="16" t="s">
        <v>4943</v>
      </c>
      <c r="B4015" s="16" t="str">
        <f>TEXT(PARTIDA[[#This Row],[PARTIDA]],"0000000000")</f>
        <v>4823902000</v>
      </c>
      <c r="C4015" s="16" t="s">
        <v>815</v>
      </c>
      <c r="D4015" s="16" t="s">
        <v>835</v>
      </c>
      <c r="E4015" s="16" t="s">
        <v>844</v>
      </c>
      <c r="F4015" s="27" t="s">
        <v>12818</v>
      </c>
      <c r="G4015" s="27"/>
      <c r="H4015" s="16" t="str">
        <f>IF(ISBLANK(PARTIDAS!$G4015),PARTIDAS!$F4015,CONCATENATE(PARTIDAS!$F4015," (",PARTIDAS!$G4015,")"))</f>
        <v>Papeles para aislamiento eléctrico</v>
      </c>
      <c r="I4015" s="16" t="s">
        <v>9427</v>
      </c>
    </row>
    <row r="4016" spans="1:9" x14ac:dyDescent="0.25">
      <c r="A4016" s="16" t="s">
        <v>4944</v>
      </c>
      <c r="B4016" s="16" t="str">
        <f>TEXT(PARTIDA[[#This Row],[PARTIDA]],"0000000000")</f>
        <v>4823904000</v>
      </c>
      <c r="C4016" s="16" t="s">
        <v>815</v>
      </c>
      <c r="D4016" s="16" t="s">
        <v>835</v>
      </c>
      <c r="E4016" s="16" t="s">
        <v>844</v>
      </c>
      <c r="F4016" s="27" t="s">
        <v>4333</v>
      </c>
      <c r="G4016" s="27"/>
      <c r="H4016" s="16" t="str">
        <f>IF(ISBLANK(PARTIDAS!$G4016),PARTIDAS!$F4016,CONCATENATE(PARTIDAS!$F4016," (",PARTIDAS!$G4016,")"))</f>
        <v>Juntas o empaquetaduras</v>
      </c>
      <c r="I4016" s="16" t="s">
        <v>9427</v>
      </c>
    </row>
    <row r="4017" spans="1:9" x14ac:dyDescent="0.25">
      <c r="A4017" s="16" t="s">
        <v>4945</v>
      </c>
      <c r="B4017" s="16" t="str">
        <f>TEXT(PARTIDA[[#This Row],[PARTIDA]],"0000000000")</f>
        <v>4823905000</v>
      </c>
      <c r="C4017" s="16" t="s">
        <v>815</v>
      </c>
      <c r="D4017" s="16" t="s">
        <v>835</v>
      </c>
      <c r="E4017" s="16" t="s">
        <v>844</v>
      </c>
      <c r="F4017" s="27" t="s">
        <v>12819</v>
      </c>
      <c r="G4017" s="27"/>
      <c r="H4017" s="16" t="str">
        <f>IF(ISBLANK(PARTIDAS!$G4017),PARTIDAS!$F4017,CONCATENATE(PARTIDAS!$F4017," (",PARTIDAS!$G4017,")"))</f>
        <v>Cartones para mecanismos Jacquard y similares</v>
      </c>
      <c r="I4017" s="16" t="s">
        <v>9427</v>
      </c>
    </row>
    <row r="4018" spans="1:9" x14ac:dyDescent="0.25">
      <c r="A4018" s="16" t="s">
        <v>4946</v>
      </c>
      <c r="B4018" s="16" t="str">
        <f>TEXT(PARTIDA[[#This Row],[PARTIDA]],"0000000000")</f>
        <v>4823906000</v>
      </c>
      <c r="C4018" s="16" t="s">
        <v>815</v>
      </c>
      <c r="D4018" s="16" t="s">
        <v>835</v>
      </c>
      <c r="E4018" s="16" t="s">
        <v>844</v>
      </c>
      <c r="F4018" s="27" t="s">
        <v>12820</v>
      </c>
      <c r="G4018" s="27"/>
      <c r="H4018" s="16" t="str">
        <f>IF(ISBLANK(PARTIDAS!$G4018),PARTIDAS!$F4018,CONCATENATE(PARTIDAS!$F4018," (",PARTIDAS!$G4018,")"))</f>
        <v>Patrones, modelos y plantillas</v>
      </c>
      <c r="I4018" s="16" t="s">
        <v>9427</v>
      </c>
    </row>
    <row r="4019" spans="1:9" x14ac:dyDescent="0.25">
      <c r="A4019" s="16" t="s">
        <v>4947</v>
      </c>
      <c r="B4019" s="16" t="str">
        <f>TEXT(PARTIDA[[#This Row],[PARTIDA]],"0000000000")</f>
        <v>4823909010</v>
      </c>
      <c r="C4019" s="16" t="s">
        <v>815</v>
      </c>
      <c r="D4019" s="16" t="s">
        <v>835</v>
      </c>
      <c r="E4019" s="16" t="s">
        <v>844</v>
      </c>
      <c r="F4019" s="27" t="s">
        <v>12821</v>
      </c>
      <c r="G4019" s="27"/>
      <c r="H4019" s="16" t="str">
        <f>IF(ISBLANK(PARTIDAS!$G4019),PARTIDAS!$F4019,CONCATENATE(PARTIDAS!$F4019," (",PARTIDAS!$G4019,")"))</f>
        <v xml:space="preserve">Papel y cartón Kraft, de gramaje superior a 150 g/m2 pero inferior a 225 g/m2, crudos, absorbentes, del tipo de los utilizados para la fabricación de </v>
      </c>
      <c r="I4019" s="16" t="s">
        <v>9427</v>
      </c>
    </row>
    <row r="4020" spans="1:9" x14ac:dyDescent="0.25">
      <c r="A4020" s="16" t="s">
        <v>4948</v>
      </c>
      <c r="B4020" s="16" t="str">
        <f>TEXT(PARTIDA[[#This Row],[PARTIDA]],"0000000000")</f>
        <v>4823909020</v>
      </c>
      <c r="C4020" s="16" t="s">
        <v>815</v>
      </c>
      <c r="D4020" s="16" t="s">
        <v>835</v>
      </c>
      <c r="E4020" s="16" t="s">
        <v>844</v>
      </c>
      <c r="F4020" s="27" t="s">
        <v>12822</v>
      </c>
      <c r="G4020" s="27"/>
      <c r="H4020" s="16" t="str">
        <f>IF(ISBLANK(PARTIDAS!$G4020),PARTIDAS!$F4020,CONCATENATE(PARTIDAS!$F4020," (",PARTIDAS!$G4020,")"))</f>
        <v>Papel y cartón Kraft sin estucar ni recubrir, de gramaje inferior o igual a 150 g/m2, del tipo de los utilizados para la fabricación de laminados plás</v>
      </c>
      <c r="I4020" s="16" t="s">
        <v>9427</v>
      </c>
    </row>
    <row r="4021" spans="1:9" x14ac:dyDescent="0.25">
      <c r="A4021" s="16" t="s">
        <v>4949</v>
      </c>
      <c r="B4021" s="16" t="str">
        <f>TEXT(PARTIDA[[#This Row],[PARTIDA]],"0000000000")</f>
        <v>4823909030</v>
      </c>
      <c r="C4021" s="16" t="s">
        <v>815</v>
      </c>
      <c r="D4021" s="16" t="s">
        <v>835</v>
      </c>
      <c r="E4021" s="16" t="s">
        <v>844</v>
      </c>
      <c r="F4021" s="27" t="s">
        <v>12823</v>
      </c>
      <c r="G4021" s="27"/>
      <c r="H4021" s="16" t="str">
        <f>IF(ISBLANK(PARTIDAS!$G4021),PARTIDAS!$F4021,CONCATENATE(PARTIDAS!$F4021," (",PARTIDAS!$G4021,")"))</f>
        <v>Papel y cartón sin estucar ni recubrir, del tipo de los utilizados para juntas o empaquetaduras, en tiras o bobinas de anchura superior a 15 cm pero i</v>
      </c>
      <c r="I4021" s="16" t="s">
        <v>9427</v>
      </c>
    </row>
    <row r="4022" spans="1:9" x14ac:dyDescent="0.25">
      <c r="A4022" s="16" t="s">
        <v>4950</v>
      </c>
      <c r="B4022" s="16" t="str">
        <f>TEXT(PARTIDA[[#This Row],[PARTIDA]],"0000000000")</f>
        <v>4823909040</v>
      </c>
      <c r="C4022" s="16" t="s">
        <v>815</v>
      </c>
      <c r="D4022" s="16" t="s">
        <v>835</v>
      </c>
      <c r="E4022" s="16" t="s">
        <v>844</v>
      </c>
      <c r="F4022" s="27" t="s">
        <v>12824</v>
      </c>
      <c r="G4022" s="27"/>
      <c r="H4022" s="16" t="str">
        <f>IF(ISBLANK(PARTIDAS!$G4022),PARTIDAS!$F4022,CONCATENATE(PARTIDAS!$F4022," (",PARTIDAS!$G4022,")"))</f>
        <v>Papel y cartón sulfurizados (pergamino vegetal), en tiras o bobinas de anchura superior a 15 cm pero inferior o igual a 36 cm</v>
      </c>
      <c r="I4022" s="16" t="s">
        <v>9427</v>
      </c>
    </row>
    <row r="4023" spans="1:9" x14ac:dyDescent="0.25">
      <c r="A4023" s="16" t="s">
        <v>4951</v>
      </c>
      <c r="B4023" s="16" t="str">
        <f>TEXT(PARTIDA[[#This Row],[PARTIDA]],"0000000000")</f>
        <v>4823909050</v>
      </c>
      <c r="C4023" s="16" t="s">
        <v>815</v>
      </c>
      <c r="D4023" s="16" t="s">
        <v>835</v>
      </c>
      <c r="E4023" s="16" t="s">
        <v>844</v>
      </c>
      <c r="F4023" s="27" t="s">
        <v>12825</v>
      </c>
      <c r="G4023" s="27"/>
      <c r="H4023" s="16" t="str">
        <f>IF(ISBLANK(PARTIDAS!$G4023),PARTIDAS!$F4023,CONCATENATE(PARTIDAS!$F4023," (",PARTIDAS!$G4023,")"))</f>
        <v>Papel vegetal (papel calco), en tiras o bobinas de anchura superior a 15 cm pero inferior o igual a 36 cm</v>
      </c>
      <c r="I4023" s="16" t="s">
        <v>9427</v>
      </c>
    </row>
    <row r="4024" spans="1:9" x14ac:dyDescent="0.25">
      <c r="A4024" s="16" t="s">
        <v>4952</v>
      </c>
      <c r="B4024" s="16" t="str">
        <f>TEXT(PARTIDA[[#This Row],[PARTIDA]],"0000000000")</f>
        <v>4823909060</v>
      </c>
      <c r="C4024" s="16" t="s">
        <v>815</v>
      </c>
      <c r="D4024" s="16" t="s">
        <v>835</v>
      </c>
      <c r="E4024" s="16" t="s">
        <v>844</v>
      </c>
      <c r="F4024" s="27" t="s">
        <v>12826</v>
      </c>
      <c r="G4024" s="27"/>
      <c r="H4024" s="16" t="str">
        <f>IF(ISBLANK(PARTIDAS!$G4024),PARTIDAS!$F4024,CONCATENATE(PARTIDAS!$F4024," (",PARTIDAS!$G4024,")"))</f>
        <v>Papel cristal y demás papeles calandrados, transparentes o translucidos en tiras o bobinas de anchura superior a 15 cm pero inferior o igual a 36 cm</v>
      </c>
      <c r="I4024" s="16" t="s">
        <v>9427</v>
      </c>
    </row>
    <row r="4025" spans="1:9" x14ac:dyDescent="0.25">
      <c r="A4025" s="16" t="s">
        <v>4953</v>
      </c>
      <c r="B4025" s="16" t="str">
        <f>TEXT(PARTIDA[[#This Row],[PARTIDA]],"0000000000")</f>
        <v>4823909070</v>
      </c>
      <c r="C4025" s="16" t="s">
        <v>815</v>
      </c>
      <c r="D4025" s="16" t="s">
        <v>835</v>
      </c>
      <c r="E4025" s="16" t="s">
        <v>844</v>
      </c>
      <c r="F4025" s="27" t="s">
        <v>12827</v>
      </c>
      <c r="G4025" s="27"/>
      <c r="H4025" s="16" t="str">
        <f>IF(ISBLANK(PARTIDAS!$G4025),PARTIDAS!$F4025,CONCATENATE(PARTIDAS!$F4025," (",PARTIDAS!$G4025,")"))</f>
        <v>Papel sin estucar ni recubrir, en tiras o bobinas (rollos) de anchura superior a 15 cm pero inferior o igual a 36 cm, que no hayan sido sometidos a tr</v>
      </c>
      <c r="I4025" s="16" t="s">
        <v>9427</v>
      </c>
    </row>
    <row r="4026" spans="1:9" x14ac:dyDescent="0.25">
      <c r="A4026" s="16" t="s">
        <v>4954</v>
      </c>
      <c r="B4026" s="16" t="str">
        <f>TEXT(PARTIDA[[#This Row],[PARTIDA]],"0000000000")</f>
        <v>4823909091</v>
      </c>
      <c r="C4026" s="16" t="s">
        <v>815</v>
      </c>
      <c r="D4026" s="16" t="s">
        <v>835</v>
      </c>
      <c r="E4026" s="16" t="s">
        <v>844</v>
      </c>
      <c r="F4026" s="27" t="s">
        <v>12828</v>
      </c>
      <c r="G4026" s="27"/>
      <c r="H4026" s="16" t="str">
        <f>IF(ISBLANK(PARTIDAS!$G4026),PARTIDAS!$F4026,CONCATENATE(PARTIDAS!$F4026," (",PARTIDAS!$G4026,")"))</f>
        <v>Cubresuelos con soporte de papel o cartón, incluso recortados</v>
      </c>
      <c r="I4026" s="16" t="s">
        <v>9427</v>
      </c>
    </row>
    <row r="4027" spans="1:9" x14ac:dyDescent="0.25">
      <c r="A4027" s="16" t="s">
        <v>4955</v>
      </c>
      <c r="B4027" s="16" t="str">
        <f>TEXT(PARTIDA[[#This Row],[PARTIDA]],"0000000000")</f>
        <v>4823909099</v>
      </c>
      <c r="C4027" s="16" t="s">
        <v>786</v>
      </c>
      <c r="D4027" s="16" t="s">
        <v>787</v>
      </c>
      <c r="E4027" s="16" t="s">
        <v>797</v>
      </c>
      <c r="F4027" s="27" t="s">
        <v>9332</v>
      </c>
      <c r="G4027" s="27"/>
      <c r="H4027" s="16" t="str">
        <f>IF(ISBLANK(PARTIDAS!$G4027),PARTIDAS!$F4027,CONCATENATE(PARTIDAS!$F4027," (",PARTIDAS!$G4027,")"))</f>
        <v>Papel y cartón (los demás)</v>
      </c>
      <c r="I4027" s="16" t="s">
        <v>9477</v>
      </c>
    </row>
    <row r="4028" spans="1:9" x14ac:dyDescent="0.25">
      <c r="A4028" s="16" t="s">
        <v>4956</v>
      </c>
      <c r="B4028" s="16" t="str">
        <f>TEXT(PARTIDA[[#This Row],[PARTIDA]],"0000000000")</f>
        <v>4901101000</v>
      </c>
      <c r="C4028" s="16" t="s">
        <v>786</v>
      </c>
      <c r="D4028" s="16" t="s">
        <v>787</v>
      </c>
      <c r="E4028" s="16" t="s">
        <v>797</v>
      </c>
      <c r="F4028" s="27" t="s">
        <v>12829</v>
      </c>
      <c r="G4028" s="27"/>
      <c r="H4028" s="16" t="str">
        <f>IF(ISBLANK(PARTIDAS!$G4028),PARTIDAS!$F4028,CONCATENATE(PARTIDAS!$F4028," (",PARTIDAS!$G4028,")"))</f>
        <v>Horóscopos, fotonovelas, tiras cómicas o historietas</v>
      </c>
      <c r="I4028" s="16" t="s">
        <v>9427</v>
      </c>
    </row>
    <row r="4029" spans="1:9" x14ac:dyDescent="0.25">
      <c r="A4029" s="16" t="s">
        <v>4957</v>
      </c>
      <c r="B4029" s="16" t="str">
        <f>TEXT(PARTIDA[[#This Row],[PARTIDA]],"0000000000")</f>
        <v>4901109000</v>
      </c>
      <c r="C4029" s="16" t="s">
        <v>786</v>
      </c>
      <c r="D4029" s="16" t="s">
        <v>787</v>
      </c>
      <c r="E4029" s="16" t="s">
        <v>797</v>
      </c>
      <c r="F4029" s="27" t="s">
        <v>12830</v>
      </c>
      <c r="G4029" s="27"/>
      <c r="H4029" s="16" t="str">
        <f>IF(ISBLANK(PARTIDAS!$G4029),PARTIDAS!$F4029,CONCATENATE(PARTIDAS!$F4029," (",PARTIDAS!$G4029,")"))</f>
        <v>Libros, folletos e impresos similares, incluso en…, en hojas sueltas, incluso plegadas (los demás)</v>
      </c>
      <c r="I4029" s="16" t="s">
        <v>9427</v>
      </c>
    </row>
    <row r="4030" spans="1:9" x14ac:dyDescent="0.25">
      <c r="A4030" s="16" t="s">
        <v>4958</v>
      </c>
      <c r="B4030" s="16" t="str">
        <f>TEXT(PARTIDA[[#This Row],[PARTIDA]],"0000000000")</f>
        <v>4901910000</v>
      </c>
      <c r="C4030" s="16" t="s">
        <v>786</v>
      </c>
      <c r="D4030" s="16" t="s">
        <v>787</v>
      </c>
      <c r="E4030" s="16" t="s">
        <v>797</v>
      </c>
      <c r="F4030" s="27" t="s">
        <v>9228</v>
      </c>
      <c r="G4030" s="27"/>
      <c r="H4030" s="16" t="str">
        <f>IF(ISBLANK(PARTIDAS!$G4030),PARTIDAS!$F4030,CONCATENATE(PARTIDAS!$F4030," (",PARTIDAS!$G4030,")"))</f>
        <v>Diccionarios y enciclopedias, incluso en fascículos</v>
      </c>
      <c r="I4030" s="16" t="s">
        <v>9477</v>
      </c>
    </row>
    <row r="4031" spans="1:9" x14ac:dyDescent="0.25">
      <c r="A4031" s="16" t="s">
        <v>4959</v>
      </c>
      <c r="B4031" s="16" t="str">
        <f>TEXT(PARTIDA[[#This Row],[PARTIDA]],"0000000000")</f>
        <v>4901991000</v>
      </c>
      <c r="C4031" s="16" t="s">
        <v>786</v>
      </c>
      <c r="D4031" s="16" t="s">
        <v>787</v>
      </c>
      <c r="E4031" s="16" t="s">
        <v>797</v>
      </c>
      <c r="F4031" s="27" t="s">
        <v>12829</v>
      </c>
      <c r="G4031" s="27"/>
      <c r="H4031" s="16" t="str">
        <f>IF(ISBLANK(PARTIDAS!$G4031),PARTIDAS!$F4031,CONCATENATE(PARTIDAS!$F4031," (",PARTIDAS!$G4031,")"))</f>
        <v>Horóscopos, fotonovelas, tiras cómicas o historietas</v>
      </c>
      <c r="I4031" s="16" t="s">
        <v>9427</v>
      </c>
    </row>
    <row r="4032" spans="1:9" x14ac:dyDescent="0.25">
      <c r="A4032" s="16" t="s">
        <v>4960</v>
      </c>
      <c r="B4032" s="16" t="str">
        <f>TEXT(PARTIDA[[#This Row],[PARTIDA]],"0000000000")</f>
        <v>4901999000</v>
      </c>
      <c r="C4032" s="16" t="s">
        <v>786</v>
      </c>
      <c r="D4032" s="16" t="s">
        <v>787</v>
      </c>
      <c r="E4032" s="16" t="s">
        <v>797</v>
      </c>
      <c r="F4032" s="27" t="s">
        <v>4961</v>
      </c>
      <c r="G4032" s="27"/>
      <c r="H4032" s="16" t="str">
        <f>IF(ISBLANK(PARTIDAS!$G4032),PARTIDAS!$F4032,CONCATENATE(PARTIDAS!$F4032," (",PARTIDAS!$G4032,")"))</f>
        <v>Libro, folletos e impresos</v>
      </c>
      <c r="I4032" s="16" t="s">
        <v>9477</v>
      </c>
    </row>
    <row r="4033" spans="1:9" x14ac:dyDescent="0.25">
      <c r="A4033" s="16" t="s">
        <v>4962</v>
      </c>
      <c r="B4033" s="16" t="str">
        <f>TEXT(PARTIDA[[#This Row],[PARTIDA]],"0000000000")</f>
        <v>4902100000</v>
      </c>
      <c r="C4033" s="16" t="s">
        <v>786</v>
      </c>
      <c r="D4033" s="16" t="s">
        <v>787</v>
      </c>
      <c r="E4033" s="16" t="s">
        <v>797</v>
      </c>
      <c r="F4033" s="27" t="s">
        <v>12831</v>
      </c>
      <c r="G4033" s="27"/>
      <c r="H4033" s="16" t="str">
        <f>IF(ISBLANK(PARTIDAS!$G4033),PARTIDAS!$F4033,CONCATENATE(PARTIDAS!$F4033," (",PARTIDAS!$G4033,")"))</f>
        <v>Diarios y publicaciones periódicas, impresos, incluso ilustrados o…, que se publiquen cuatro veces por semana como mínimo</v>
      </c>
      <c r="I4033" s="16" t="s">
        <v>9427</v>
      </c>
    </row>
    <row r="4034" spans="1:9" x14ac:dyDescent="0.25">
      <c r="A4034" s="16" t="s">
        <v>4963</v>
      </c>
      <c r="B4034" s="16" t="str">
        <f>TEXT(PARTIDA[[#This Row],[PARTIDA]],"0000000000")</f>
        <v>4902901000</v>
      </c>
      <c r="C4034" s="16" t="s">
        <v>786</v>
      </c>
      <c r="D4034" s="16" t="s">
        <v>787</v>
      </c>
      <c r="E4034" s="16" t="s">
        <v>797</v>
      </c>
      <c r="F4034" s="27" t="s">
        <v>12829</v>
      </c>
      <c r="G4034" s="27"/>
      <c r="H4034" s="16" t="str">
        <f>IF(ISBLANK(PARTIDAS!$G4034),PARTIDAS!$F4034,CONCATENATE(PARTIDAS!$F4034," (",PARTIDAS!$G4034,")"))</f>
        <v>Horóscopos, fotonovelas, tiras cómicas o historietas</v>
      </c>
      <c r="I4034" s="16" t="s">
        <v>9427</v>
      </c>
    </row>
    <row r="4035" spans="1:9" x14ac:dyDescent="0.25">
      <c r="A4035" s="16" t="s">
        <v>4964</v>
      </c>
      <c r="B4035" s="16" t="str">
        <f>TEXT(PARTIDA[[#This Row],[PARTIDA]],"0000000000")</f>
        <v>4902909000</v>
      </c>
      <c r="C4035" s="16" t="s">
        <v>786</v>
      </c>
      <c r="D4035" s="16" t="s">
        <v>787</v>
      </c>
      <c r="E4035" s="16" t="s">
        <v>797</v>
      </c>
      <c r="F4035" s="27" t="s">
        <v>4965</v>
      </c>
      <c r="G4035" s="27"/>
      <c r="H4035" s="16" t="str">
        <f>IF(ISBLANK(PARTIDAS!$G4035),PARTIDAS!$F4035,CONCATENATE(PARTIDAS!$F4035," (",PARTIDAS!$G4035,")"))</f>
        <v>Diarios</v>
      </c>
      <c r="I4035" s="16" t="s">
        <v>9477</v>
      </c>
    </row>
    <row r="4036" spans="1:9" x14ac:dyDescent="0.25">
      <c r="A4036" s="16" t="s">
        <v>4966</v>
      </c>
      <c r="B4036" s="16" t="str">
        <f>TEXT(PARTIDA[[#This Row],[PARTIDA]],"0000000000")</f>
        <v>4903000000</v>
      </c>
      <c r="C4036" s="16" t="s">
        <v>786</v>
      </c>
      <c r="D4036" s="16" t="s">
        <v>787</v>
      </c>
      <c r="E4036" s="16" t="s">
        <v>797</v>
      </c>
      <c r="F4036" s="27" t="s">
        <v>4967</v>
      </c>
      <c r="G4036" s="27"/>
      <c r="H4036" s="16" t="str">
        <f>IF(ISBLANK(PARTIDAS!$G4036),PARTIDAS!$F4036,CONCATENATE(PARTIDAS!$F4036," (",PARTIDAS!$G4036,")"))</f>
        <v>Álbumes o libros de estampas y cuadernos para
dibujar o colorear, para niños.</v>
      </c>
      <c r="I4036" s="16" t="s">
        <v>9427</v>
      </c>
    </row>
    <row r="4037" spans="1:9" x14ac:dyDescent="0.25">
      <c r="A4037" s="16" t="s">
        <v>4968</v>
      </c>
      <c r="B4037" s="16" t="str">
        <f>TEXT(PARTIDA[[#This Row],[PARTIDA]],"0000000000")</f>
        <v>4904000000</v>
      </c>
      <c r="C4037" s="16" t="s">
        <v>786</v>
      </c>
      <c r="D4037" s="16" t="s">
        <v>787</v>
      </c>
      <c r="E4037" s="16" t="s">
        <v>797</v>
      </c>
      <c r="F4037" s="27" t="s">
        <v>4969</v>
      </c>
      <c r="G4037" s="27"/>
      <c r="H4037" s="16" t="str">
        <f>IF(ISBLANK(PARTIDAS!$G4037),PARTIDAS!$F4037,CONCATENATE(PARTIDAS!$F4037," (",PARTIDAS!$G4037,")"))</f>
        <v>Música manuscrita o impresa, incluso con
ilustraciones o encuadernada.</v>
      </c>
      <c r="I4037" s="16" t="s">
        <v>9427</v>
      </c>
    </row>
    <row r="4038" spans="1:9" x14ac:dyDescent="0.25">
      <c r="A4038" s="16" t="s">
        <v>4970</v>
      </c>
      <c r="B4038" s="16" t="str">
        <f>TEXT(PARTIDA[[#This Row],[PARTIDA]],"0000000000")</f>
        <v>4905100000</v>
      </c>
      <c r="C4038" s="16" t="s">
        <v>786</v>
      </c>
      <c r="D4038" s="16" t="s">
        <v>787</v>
      </c>
      <c r="E4038" s="16" t="s">
        <v>797</v>
      </c>
      <c r="F4038" s="27" t="s">
        <v>12832</v>
      </c>
      <c r="G4038" s="27"/>
      <c r="H4038" s="16" t="str">
        <f>IF(ISBLANK(PARTIDAS!$G4038),PARTIDAS!$F4038,CONCATENATE(PARTIDAS!$F4038," (",PARTIDAS!$G4038,")"))</f>
        <v>Esferas</v>
      </c>
      <c r="I4038" s="16" t="s">
        <v>9648</v>
      </c>
    </row>
    <row r="4039" spans="1:9" x14ac:dyDescent="0.25">
      <c r="A4039" s="16" t="s">
        <v>12833</v>
      </c>
      <c r="B4039" s="16" t="str">
        <f>TEXT(PARTIDA[[#This Row],[PARTIDA]],"0000000000")</f>
        <v>4905200000</v>
      </c>
      <c r="C4039" s="16" t="s">
        <v>786</v>
      </c>
      <c r="D4039" s="16" t="s">
        <v>787</v>
      </c>
      <c r="E4039" s="16" t="s">
        <v>797</v>
      </c>
      <c r="F4039" s="27" t="s">
        <v>12834</v>
      </c>
      <c r="G4039" s="27"/>
      <c r="H4039" s="16" t="str">
        <f>IF(ISBLANK(PARTIDAS!$G4039),PARTIDAS!$F4039,CONCATENATE(PARTIDAS!$F4039," (",PARTIDAS!$G4039,")"))</f>
        <v>Manufacturas cartográficas de todas clases, incluidos los mapas…, en forma de libros o folletos</v>
      </c>
      <c r="I4039" s="16" t="s">
        <v>9427</v>
      </c>
    </row>
    <row r="4040" spans="1:9" x14ac:dyDescent="0.25">
      <c r="A4040" s="16" t="s">
        <v>12835</v>
      </c>
      <c r="B4040" s="16" t="str">
        <f>TEXT(PARTIDA[[#This Row],[PARTIDA]],"0000000000")</f>
        <v>4905900000</v>
      </c>
      <c r="C4040" s="16" t="s">
        <v>786</v>
      </c>
      <c r="D4040" s="16" t="s">
        <v>787</v>
      </c>
      <c r="E4040" s="16" t="s">
        <v>797</v>
      </c>
      <c r="F4040" s="27" t="s">
        <v>12836</v>
      </c>
      <c r="G4040" s="27"/>
      <c r="H4040" s="16" t="str">
        <f>IF(ISBLANK(PARTIDAS!$G4040),PARTIDAS!$F4040,CONCATENATE(PARTIDAS!$F4040," (",PARTIDAS!$G4040,")"))</f>
        <v>Manufacturas cartográficas de todas clases, incluidos los mapas… (los demás)</v>
      </c>
      <c r="I4040" s="16" t="s">
        <v>9427</v>
      </c>
    </row>
    <row r="4041" spans="1:9" x14ac:dyDescent="0.25">
      <c r="A4041" s="16" t="s">
        <v>4971</v>
      </c>
      <c r="B4041" s="16" t="str">
        <f>TEXT(PARTIDA[[#This Row],[PARTIDA]],"0000000000")</f>
        <v>4905910000</v>
      </c>
      <c r="C4041" s="16" t="s">
        <v>786</v>
      </c>
      <c r="D4041" s="16" t="s">
        <v>787</v>
      </c>
      <c r="E4041" s="16" t="s">
        <v>797</v>
      </c>
      <c r="F4041" s="27" t="s">
        <v>12837</v>
      </c>
      <c r="G4041" s="27"/>
      <c r="H4041" s="16" t="str">
        <f>IF(ISBLANK(PARTIDAS!$G4041),PARTIDAS!$F4041,CONCATENATE(PARTIDAS!$F4041," (",PARTIDAS!$G4041,")"))</f>
        <v>En forma de libros o folletos</v>
      </c>
      <c r="I4041" s="16" t="s">
        <v>9648</v>
      </c>
    </row>
    <row r="4042" spans="1:9" x14ac:dyDescent="0.25">
      <c r="A4042" s="16" t="s">
        <v>4972</v>
      </c>
      <c r="B4042" s="16" t="str">
        <f>TEXT(PARTIDA[[#This Row],[PARTIDA]],"0000000000")</f>
        <v>4905990000</v>
      </c>
      <c r="C4042" s="16" t="s">
        <v>786</v>
      </c>
      <c r="D4042" s="16" t="s">
        <v>787</v>
      </c>
      <c r="E4042" s="16" t="s">
        <v>797</v>
      </c>
      <c r="F4042" s="27" t="s">
        <v>12838</v>
      </c>
      <c r="G4042" s="27"/>
      <c r="H4042" s="16" t="str">
        <f>IF(ISBLANK(PARTIDAS!$G4042),PARTIDAS!$F4042,CONCATENATE(PARTIDAS!$F4042," (",PARTIDAS!$G4042,")"))</f>
        <v>Manufacturas cartográficas de todas clases, incluidos los mapas murale (los demás)</v>
      </c>
      <c r="I4042" s="16" t="s">
        <v>9648</v>
      </c>
    </row>
    <row r="4043" spans="1:9" x14ac:dyDescent="0.25">
      <c r="A4043" s="16" t="s">
        <v>4973</v>
      </c>
      <c r="B4043" s="16" t="str">
        <f>TEXT(PARTIDA[[#This Row],[PARTIDA]],"0000000000")</f>
        <v>4906000000</v>
      </c>
      <c r="C4043" s="16" t="s">
        <v>786</v>
      </c>
      <c r="D4043" s="16" t="s">
        <v>787</v>
      </c>
      <c r="E4043" s="16" t="s">
        <v>797</v>
      </c>
      <c r="F4043" s="27" t="s">
        <v>4974</v>
      </c>
      <c r="G4043" s="27"/>
      <c r="H4043" s="16" t="str">
        <f>IF(ISBLANK(PARTIDAS!$G4043),PARTIDAS!$F4043,CONCATENATE(PARTIDAS!$F4043," (",PARTIDAS!$G4043,")"))</f>
        <v>Planos y dibujos originales hechos a mano, de
arquitectura, ingeniería, industriales, comerciales,
topográficos o similares; textos manuscritos;
reproducciones fotográficas sobre papel
sensibilizado y copias con papel carbón
(carbónico), de los planos, dibujos o textos antes
mencionados.</v>
      </c>
      <c r="I4043" s="16" t="s">
        <v>9427</v>
      </c>
    </row>
    <row r="4044" spans="1:9" x14ac:dyDescent="0.25">
      <c r="A4044" s="16" t="s">
        <v>4975</v>
      </c>
      <c r="B4044" s="16" t="str">
        <f>TEXT(PARTIDA[[#This Row],[PARTIDA]],"0000000000")</f>
        <v>4907001000</v>
      </c>
      <c r="C4044" s="16" t="s">
        <v>786</v>
      </c>
      <c r="D4044" s="16" t="s">
        <v>787</v>
      </c>
      <c r="E4044" s="16" t="s">
        <v>797</v>
      </c>
      <c r="F4044" s="27" t="s">
        <v>12839</v>
      </c>
      <c r="G4044" s="27"/>
      <c r="H4044" s="16" t="str">
        <f>IF(ISBLANK(PARTIDAS!$G4044),PARTIDAS!$F4044,CONCATENATE(PARTIDAS!$F4044," (",PARTIDAS!$G4044,")"))</f>
        <v>Sellos (estampillas) de correos, timbres fiscales y análogos, sin obliterar, que tengan o estén destinados a tener curso legal en el país en el que su</v>
      </c>
      <c r="I4044" s="16" t="s">
        <v>9427</v>
      </c>
    </row>
    <row r="4045" spans="1:9" x14ac:dyDescent="0.25">
      <c r="A4045" s="16" t="s">
        <v>4976</v>
      </c>
      <c r="B4045" s="16" t="str">
        <f>TEXT(PARTIDA[[#This Row],[PARTIDA]],"0000000000")</f>
        <v>4907002000</v>
      </c>
      <c r="C4045" s="16" t="s">
        <v>786</v>
      </c>
      <c r="D4045" s="16" t="s">
        <v>787</v>
      </c>
      <c r="E4045" s="16" t="s">
        <v>797</v>
      </c>
      <c r="F4045" s="27" t="s">
        <v>12840</v>
      </c>
      <c r="G4045" s="27"/>
      <c r="H4045" s="16" t="str">
        <f>IF(ISBLANK(PARTIDAS!$G4045),PARTIDAS!$F4045,CONCATENATE(PARTIDAS!$F4045," (",PARTIDAS!$G4045,")"))</f>
        <v>Billetes de banco</v>
      </c>
      <c r="I4045" s="16" t="s">
        <v>9427</v>
      </c>
    </row>
    <row r="4046" spans="1:9" x14ac:dyDescent="0.25">
      <c r="A4046" s="16" t="s">
        <v>4977</v>
      </c>
      <c r="B4046" s="16" t="str">
        <f>TEXT(PARTIDA[[#This Row],[PARTIDA]],"0000000000")</f>
        <v>4907003000</v>
      </c>
      <c r="C4046" s="16" t="s">
        <v>786</v>
      </c>
      <c r="D4046" s="16" t="s">
        <v>787</v>
      </c>
      <c r="E4046" s="16" t="s">
        <v>797</v>
      </c>
      <c r="F4046" s="27" t="s">
        <v>12841</v>
      </c>
      <c r="G4046" s="27"/>
      <c r="H4046" s="16" t="str">
        <f>IF(ISBLANK(PARTIDAS!$G4046),PARTIDAS!$F4046,CONCATENATE(PARTIDAS!$F4046," (",PARTIDAS!$G4046,")"))</f>
        <v>Talonarios de cheques de viajero de establecimientos de crédito extranjeros</v>
      </c>
      <c r="I4046" s="16" t="s">
        <v>9427</v>
      </c>
    </row>
    <row r="4047" spans="1:9" x14ac:dyDescent="0.25">
      <c r="A4047" s="16" t="s">
        <v>4978</v>
      </c>
      <c r="B4047" s="16" t="str">
        <f>TEXT(PARTIDA[[#This Row],[PARTIDA]],"0000000000")</f>
        <v>4907009000</v>
      </c>
      <c r="C4047" s="16" t="s">
        <v>786</v>
      </c>
      <c r="D4047" s="16" t="s">
        <v>787</v>
      </c>
      <c r="E4047" s="16" t="s">
        <v>797</v>
      </c>
      <c r="F4047" s="27" t="s">
        <v>12836</v>
      </c>
      <c r="G4047" s="27"/>
      <c r="H4047" s="16" t="str">
        <f>IF(ISBLANK(PARTIDAS!$G4047),PARTIDAS!$F4047,CONCATENATE(PARTIDAS!$F4047," (",PARTIDAS!$G4047,")"))</f>
        <v>Manufacturas cartográficas de todas clases, incluidos los mapas… (los demás)</v>
      </c>
      <c r="I4047" s="16" t="s">
        <v>9427</v>
      </c>
    </row>
    <row r="4048" spans="1:9" x14ac:dyDescent="0.25">
      <c r="A4048" s="16" t="s">
        <v>4979</v>
      </c>
      <c r="B4048" s="16" t="str">
        <f>TEXT(PARTIDA[[#This Row],[PARTIDA]],"0000000000")</f>
        <v>4908100000</v>
      </c>
      <c r="C4048" s="16" t="s">
        <v>786</v>
      </c>
      <c r="D4048" s="16" t="s">
        <v>787</v>
      </c>
      <c r="E4048" s="16" t="s">
        <v>797</v>
      </c>
      <c r="F4048" s="27" t="s">
        <v>12842</v>
      </c>
      <c r="G4048" s="27"/>
      <c r="H4048" s="16" t="str">
        <f>IF(ISBLANK(PARTIDAS!$G4048),PARTIDAS!$F4048,CONCATENATE(PARTIDAS!$F4048," (",PARTIDAS!$G4048,")"))</f>
        <v>Calcomanías vitrificables</v>
      </c>
      <c r="I4048" s="16" t="s">
        <v>9427</v>
      </c>
    </row>
    <row r="4049" spans="1:9" x14ac:dyDescent="0.25">
      <c r="A4049" s="16" t="s">
        <v>4980</v>
      </c>
      <c r="B4049" s="16" t="str">
        <f>TEXT(PARTIDA[[#This Row],[PARTIDA]],"0000000000")</f>
        <v>4908901000</v>
      </c>
      <c r="C4049" s="16" t="s">
        <v>786</v>
      </c>
      <c r="D4049" s="16" t="s">
        <v>787</v>
      </c>
      <c r="E4049" s="16" t="s">
        <v>797</v>
      </c>
      <c r="F4049" s="27" t="s">
        <v>12843</v>
      </c>
      <c r="G4049" s="27"/>
      <c r="H4049" s="16" t="str">
        <f>IF(ISBLANK(PARTIDAS!$G4049),PARTIDAS!$F4049,CONCATENATE(PARTIDAS!$F4049," (",PARTIDAS!$G4049,")"))</f>
        <v>Calcomanías de cualquier clase, para transferencia continua sobre tejidos</v>
      </c>
      <c r="I4049" s="16" t="s">
        <v>9427</v>
      </c>
    </row>
    <row r="4050" spans="1:9" x14ac:dyDescent="0.25">
      <c r="A4050" s="16" t="s">
        <v>4981</v>
      </c>
      <c r="B4050" s="16" t="str">
        <f>TEXT(PARTIDA[[#This Row],[PARTIDA]],"0000000000")</f>
        <v>4908909000</v>
      </c>
      <c r="C4050" s="16" t="s">
        <v>786</v>
      </c>
      <c r="D4050" s="16" t="s">
        <v>787</v>
      </c>
      <c r="E4050" s="16" t="s">
        <v>797</v>
      </c>
      <c r="F4050" s="27" t="s">
        <v>12844</v>
      </c>
      <c r="G4050" s="27"/>
      <c r="H4050" s="16" t="str">
        <f>IF(ISBLANK(PARTIDAS!$G4050),PARTIDAS!$F4050,CONCATENATE(PARTIDAS!$F4050," (",PARTIDAS!$G4050,")"))</f>
        <v>Calcomanías de cualquier clase (los demás)</v>
      </c>
      <c r="I4050" s="16" t="s">
        <v>9427</v>
      </c>
    </row>
    <row r="4051" spans="1:9" x14ac:dyDescent="0.25">
      <c r="A4051" s="16" t="s">
        <v>4982</v>
      </c>
      <c r="B4051" s="16" t="str">
        <f>TEXT(PARTIDA[[#This Row],[PARTIDA]],"0000000000")</f>
        <v>4909000000</v>
      </c>
      <c r="C4051" s="16" t="s">
        <v>786</v>
      </c>
      <c r="D4051" s="16" t="s">
        <v>787</v>
      </c>
      <c r="E4051" s="16" t="s">
        <v>797</v>
      </c>
      <c r="F4051" s="27" t="s">
        <v>4983</v>
      </c>
      <c r="G4051" s="27"/>
      <c r="H4051" s="16" t="str">
        <f>IF(ISBLANK(PARTIDAS!$G4051),PARTIDAS!$F4051,CONCATENATE(PARTIDAS!$F4051," (",PARTIDAS!$G4051,")"))</f>
        <v>Tarjetas postales impresas o ilustradas; tarjetas
impresas con felicitaciones o comunicaciones
personales, incluso con ilustraciones, adornos o
aplicaciones, o con sobres.</v>
      </c>
      <c r="I4051" s="16" t="s">
        <v>9427</v>
      </c>
    </row>
    <row r="4052" spans="1:9" x14ac:dyDescent="0.25">
      <c r="A4052" s="16" t="s">
        <v>4984</v>
      </c>
      <c r="B4052" s="16" t="str">
        <f>TEXT(PARTIDA[[#This Row],[PARTIDA]],"0000000000")</f>
        <v>4910000000</v>
      </c>
      <c r="C4052" s="16" t="s">
        <v>786</v>
      </c>
      <c r="D4052" s="16" t="s">
        <v>787</v>
      </c>
      <c r="E4052" s="16" t="s">
        <v>797</v>
      </c>
      <c r="F4052" s="27" t="s">
        <v>4985</v>
      </c>
      <c r="G4052" s="27"/>
      <c r="H4052" s="16" t="str">
        <f>IF(ISBLANK(PARTIDAS!$G4052),PARTIDAS!$F4052,CONCATENATE(PARTIDAS!$F4052," (",PARTIDAS!$G4052,")"))</f>
        <v>Calendarios de cualquier clase impresos,
incluidos los tacos de calendario.</v>
      </c>
      <c r="I4052" s="16" t="s">
        <v>9427</v>
      </c>
    </row>
    <row r="4053" spans="1:9" x14ac:dyDescent="0.25">
      <c r="A4053" s="16" t="s">
        <v>4986</v>
      </c>
      <c r="B4053" s="16" t="str">
        <f>TEXT(PARTIDA[[#This Row],[PARTIDA]],"0000000000")</f>
        <v>4911100000</v>
      </c>
      <c r="C4053" s="16" t="s">
        <v>786</v>
      </c>
      <c r="D4053" s="16" t="s">
        <v>787</v>
      </c>
      <c r="E4053" s="16" t="s">
        <v>797</v>
      </c>
      <c r="F4053" s="27" t="s">
        <v>4987</v>
      </c>
      <c r="G4053" s="27"/>
      <c r="H4053" s="16" t="str">
        <f>IF(ISBLANK(PARTIDAS!$G4053),PARTIDAS!$F4053,CONCATENATE(PARTIDAS!$F4053," (",PARTIDAS!$G4053,")"))</f>
        <v>Impresos publicitarios</v>
      </c>
      <c r="I4053" s="16" t="s">
        <v>9427</v>
      </c>
    </row>
    <row r="4054" spans="1:9" x14ac:dyDescent="0.25">
      <c r="A4054" s="16" t="s">
        <v>4988</v>
      </c>
      <c r="B4054" s="16" t="str">
        <f>TEXT(PARTIDA[[#This Row],[PARTIDA]],"0000000000")</f>
        <v>4911910000</v>
      </c>
      <c r="C4054" s="16" t="s">
        <v>786</v>
      </c>
      <c r="D4054" s="16" t="s">
        <v>787</v>
      </c>
      <c r="E4054" s="16" t="s">
        <v>797</v>
      </c>
      <c r="F4054" s="27" t="s">
        <v>12845</v>
      </c>
      <c r="G4054" s="27"/>
      <c r="H4054" s="16" t="str">
        <f>IF(ISBLANK(PARTIDAS!$G4054),PARTIDAS!$F4054,CONCATENATE(PARTIDAS!$F4054," (",PARTIDAS!$G4054,")"))</f>
        <v>Estampas, grabados y fotografías</v>
      </c>
      <c r="I4054" s="16" t="s">
        <v>9427</v>
      </c>
    </row>
    <row r="4055" spans="1:9" x14ac:dyDescent="0.25">
      <c r="A4055" s="16" t="s">
        <v>4989</v>
      </c>
      <c r="B4055" s="16" t="str">
        <f>TEXT(PARTIDA[[#This Row],[PARTIDA]],"0000000000")</f>
        <v>4911990000</v>
      </c>
      <c r="C4055" s="16" t="s">
        <v>786</v>
      </c>
      <c r="D4055" s="16" t="s">
        <v>787</v>
      </c>
      <c r="E4055" s="16" t="s">
        <v>797</v>
      </c>
      <c r="F4055" s="27" t="s">
        <v>12846</v>
      </c>
      <c r="G4055" s="27"/>
      <c r="H4055" s="16" t="str">
        <f>IF(ISBLANK(PARTIDAS!$G4055),PARTIDAS!$F4055,CONCATENATE(PARTIDAS!$F4055," (",PARTIDAS!$G4055,")"))</f>
        <v>Productos editoriales, de la prensa y de las demás industrias gráficas (los demás)</v>
      </c>
      <c r="I4055" s="16" t="s">
        <v>9427</v>
      </c>
    </row>
    <row r="4056" spans="1:9" x14ac:dyDescent="0.25">
      <c r="A4056" s="16" t="s">
        <v>4990</v>
      </c>
      <c r="B4056" s="16" t="str">
        <f>TEXT(PARTIDA[[#This Row],[PARTIDA]],"0000000000")</f>
        <v>5001000000</v>
      </c>
      <c r="C4056" s="16" t="s">
        <v>815</v>
      </c>
      <c r="D4056" s="16" t="s">
        <v>835</v>
      </c>
      <c r="E4056" s="16" t="s">
        <v>842</v>
      </c>
      <c r="F4056" s="27" t="s">
        <v>4991</v>
      </c>
      <c r="G4056" s="27"/>
      <c r="H4056" s="16" t="str">
        <f>IF(ISBLANK(PARTIDAS!$G4056),PARTIDAS!$F4056,CONCATENATE(PARTIDAS!$F4056," (",PARTIDAS!$G4056,")"))</f>
        <v>Capullos de seda aptos para el devanado.</v>
      </c>
      <c r="I4056" s="16" t="s">
        <v>9427</v>
      </c>
    </row>
    <row r="4057" spans="1:9" x14ac:dyDescent="0.25">
      <c r="A4057" s="16" t="s">
        <v>4992</v>
      </c>
      <c r="B4057" s="16" t="str">
        <f>TEXT(PARTIDA[[#This Row],[PARTIDA]],"0000000000")</f>
        <v>5002000000</v>
      </c>
      <c r="C4057" s="16" t="s">
        <v>815</v>
      </c>
      <c r="D4057" s="16" t="s">
        <v>835</v>
      </c>
      <c r="E4057" s="16" t="s">
        <v>842</v>
      </c>
      <c r="F4057" s="27" t="s">
        <v>4993</v>
      </c>
      <c r="G4057" s="27"/>
      <c r="H4057" s="16" t="str">
        <f>IF(ISBLANK(PARTIDAS!$G4057),PARTIDAS!$F4057,CONCATENATE(PARTIDAS!$F4057," (",PARTIDAS!$G4057,")"))</f>
        <v>Seda cruda (sin torcer).</v>
      </c>
      <c r="I4057" s="16" t="s">
        <v>9427</v>
      </c>
    </row>
    <row r="4058" spans="1:9" x14ac:dyDescent="0.25">
      <c r="A4058" s="16" t="s">
        <v>4994</v>
      </c>
      <c r="B4058" s="16" t="str">
        <f>TEXT(PARTIDA[[#This Row],[PARTIDA]],"0000000000")</f>
        <v>5003000000</v>
      </c>
      <c r="C4058" s="16" t="s">
        <v>815</v>
      </c>
      <c r="D4058" s="16" t="s">
        <v>835</v>
      </c>
      <c r="E4058" s="16" t="s">
        <v>842</v>
      </c>
      <c r="F4058" s="27" t="s">
        <v>4995</v>
      </c>
      <c r="G4058" s="27"/>
      <c r="H4058" s="16" t="str">
        <f>IF(ISBLANK(PARTIDAS!$G4058),PARTIDAS!$F4058,CONCATENATE(PARTIDAS!$F4058," (",PARTIDAS!$G4058,")"))</f>
        <v>Desperdicios de seda (incluidos los capullos no
aptos para el devanado, desperdicios de hilados e
hilachas).</v>
      </c>
      <c r="I4058" s="16" t="s">
        <v>9427</v>
      </c>
    </row>
    <row r="4059" spans="1:9" x14ac:dyDescent="0.25">
      <c r="A4059" s="16" t="s">
        <v>4996</v>
      </c>
      <c r="B4059" s="16" t="str">
        <f>TEXT(PARTIDA[[#This Row],[PARTIDA]],"0000000000")</f>
        <v>5004000000</v>
      </c>
      <c r="C4059" s="16" t="s">
        <v>815</v>
      </c>
      <c r="D4059" s="16" t="s">
        <v>835</v>
      </c>
      <c r="E4059" s="16" t="s">
        <v>842</v>
      </c>
      <c r="F4059" s="27" t="s">
        <v>4997</v>
      </c>
      <c r="G4059" s="27"/>
      <c r="H4059" s="16" t="str">
        <f>IF(ISBLANK(PARTIDAS!$G4059),PARTIDAS!$F4059,CONCATENATE(PARTIDAS!$F4059," (",PARTIDAS!$G4059,")"))</f>
        <v>Hilados de seda (excepto los hilados de
desperdicios de seda) sin acondicionar para la
venta al por menor.</v>
      </c>
      <c r="I4059" s="16" t="s">
        <v>9427</v>
      </c>
    </row>
    <row r="4060" spans="1:9" x14ac:dyDescent="0.25">
      <c r="A4060" s="16" t="s">
        <v>4998</v>
      </c>
      <c r="B4060" s="16" t="str">
        <f>TEXT(PARTIDA[[#This Row],[PARTIDA]],"0000000000")</f>
        <v>5005000000</v>
      </c>
      <c r="C4060" s="16" t="s">
        <v>815</v>
      </c>
      <c r="D4060" s="16" t="s">
        <v>835</v>
      </c>
      <c r="E4060" s="16" t="s">
        <v>842</v>
      </c>
      <c r="F4060" s="27" t="s">
        <v>4999</v>
      </c>
      <c r="G4060" s="27"/>
      <c r="H4060" s="16" t="str">
        <f>IF(ISBLANK(PARTIDAS!$G4060),PARTIDAS!$F4060,CONCATENATE(PARTIDAS!$F4060," (",PARTIDAS!$G4060,")"))</f>
        <v>Hilados de desperdicios de seda sin acondicionar
para la venta al por menor.</v>
      </c>
      <c r="I4060" s="16" t="s">
        <v>9427</v>
      </c>
    </row>
    <row r="4061" spans="1:9" x14ac:dyDescent="0.25">
      <c r="A4061" s="16" t="s">
        <v>5000</v>
      </c>
      <c r="B4061" s="16" t="str">
        <f>TEXT(PARTIDA[[#This Row],[PARTIDA]],"0000000000")</f>
        <v>5006000000</v>
      </c>
      <c r="C4061" s="16" t="s">
        <v>815</v>
      </c>
      <c r="D4061" s="16" t="s">
        <v>835</v>
      </c>
      <c r="E4061" s="16" t="s">
        <v>842</v>
      </c>
      <c r="F4061" s="27" t="s">
        <v>5001</v>
      </c>
      <c r="G4061" s="27"/>
      <c r="H4061" s="16" t="str">
        <f>IF(ISBLANK(PARTIDAS!$G4061),PARTIDAS!$F4061,CONCATENATE(PARTIDAS!$F4061," (",PARTIDAS!$G4061,")"))</f>
        <v>Hilados de seda o de desperdicios de seda,
acondicionados para la venta al por menor; «pelo
de Mesina» («crin de Florencia»).</v>
      </c>
      <c r="I4061" s="16" t="s">
        <v>9427</v>
      </c>
    </row>
    <row r="4062" spans="1:9" x14ac:dyDescent="0.25">
      <c r="A4062" s="16" t="s">
        <v>5002</v>
      </c>
      <c r="B4062" s="16" t="str">
        <f>TEXT(PARTIDA[[#This Row],[PARTIDA]],"0000000000")</f>
        <v>5007100000</v>
      </c>
      <c r="C4062" s="16" t="s">
        <v>815</v>
      </c>
      <c r="D4062" s="16" t="s">
        <v>835</v>
      </c>
      <c r="E4062" s="16" t="s">
        <v>842</v>
      </c>
      <c r="F4062" s="27" t="s">
        <v>12847</v>
      </c>
      <c r="G4062" s="27"/>
      <c r="H4062" s="16" t="str">
        <f>IF(ISBLANK(PARTIDAS!$G4062),PARTIDAS!$F4062,CONCATENATE(PARTIDAS!$F4062," (",PARTIDAS!$G4062,")"))</f>
        <v>Tejidos de borrilla</v>
      </c>
      <c r="I4062" s="16" t="s">
        <v>9427</v>
      </c>
    </row>
    <row r="4063" spans="1:9" x14ac:dyDescent="0.25">
      <c r="A4063" s="16" t="s">
        <v>5003</v>
      </c>
      <c r="B4063" s="16" t="str">
        <f>TEXT(PARTIDA[[#This Row],[PARTIDA]],"0000000000")</f>
        <v>5007200000</v>
      </c>
      <c r="C4063" s="16" t="s">
        <v>815</v>
      </c>
      <c r="D4063" s="16" t="s">
        <v>835</v>
      </c>
      <c r="E4063" s="16" t="s">
        <v>842</v>
      </c>
      <c r="F4063" s="27" t="s">
        <v>12848</v>
      </c>
      <c r="G4063" s="27"/>
      <c r="H4063" s="16" t="str">
        <f>IF(ISBLANK(PARTIDAS!$G4063),PARTIDAS!$F4063,CONCATENATE(PARTIDAS!$F4063," (",PARTIDAS!$G4063,")"))</f>
        <v>Tejidos de seda o de desperdicios de seda (los demás, tejidos con un contenido de seda o de desperdicios de seda, distintos de la borrilla, superior o</v>
      </c>
      <c r="I4063" s="16" t="s">
        <v>9427</v>
      </c>
    </row>
    <row r="4064" spans="1:9" x14ac:dyDescent="0.25">
      <c r="A4064" s="16" t="s">
        <v>5004</v>
      </c>
      <c r="B4064" s="16" t="str">
        <f>TEXT(PARTIDA[[#This Row],[PARTIDA]],"0000000000")</f>
        <v>5007900000</v>
      </c>
      <c r="C4064" s="16" t="s">
        <v>815</v>
      </c>
      <c r="D4064" s="16" t="s">
        <v>835</v>
      </c>
      <c r="E4064" s="16" t="s">
        <v>842</v>
      </c>
      <c r="F4064" s="27" t="s">
        <v>12849</v>
      </c>
      <c r="G4064" s="27"/>
      <c r="H4064" s="16" t="str">
        <f>IF(ISBLANK(PARTIDAS!$G4064),PARTIDAS!$F4064,CONCATENATE(PARTIDAS!$F4064," (",PARTIDAS!$G4064,")"))</f>
        <v>Tejidos de seda o de desperdicios de seda (los demás, tejidos)</v>
      </c>
      <c r="I4064" s="16" t="s">
        <v>9427</v>
      </c>
    </row>
    <row r="4065" spans="1:9" x14ac:dyDescent="0.25">
      <c r="A4065" s="16" t="s">
        <v>5005</v>
      </c>
      <c r="B4065" s="16" t="str">
        <f>TEXT(PARTIDA[[#This Row],[PARTIDA]],"0000000000")</f>
        <v>5101110000</v>
      </c>
      <c r="C4065" s="16" t="s">
        <v>815</v>
      </c>
      <c r="D4065" s="16" t="s">
        <v>835</v>
      </c>
      <c r="E4065" s="16" t="s">
        <v>842</v>
      </c>
      <c r="F4065" s="27" t="s">
        <v>12850</v>
      </c>
      <c r="G4065" s="27"/>
      <c r="H4065" s="16" t="str">
        <f>IF(ISBLANK(PARTIDAS!$G4065),PARTIDAS!$F4065,CONCATENATE(PARTIDAS!$F4065," (",PARTIDAS!$G4065,")"))</f>
        <v>Lana esquilada</v>
      </c>
      <c r="I4065" s="16" t="s">
        <v>9427</v>
      </c>
    </row>
    <row r="4066" spans="1:9" x14ac:dyDescent="0.25">
      <c r="A4066" s="16" t="s">
        <v>5006</v>
      </c>
      <c r="B4066" s="16" t="str">
        <f>TEXT(PARTIDA[[#This Row],[PARTIDA]],"0000000000")</f>
        <v>5101190000</v>
      </c>
      <c r="C4066" s="16" t="s">
        <v>815</v>
      </c>
      <c r="D4066" s="16" t="s">
        <v>835</v>
      </c>
      <c r="E4066" s="16" t="s">
        <v>842</v>
      </c>
      <c r="F4066" s="27" t="s">
        <v>12851</v>
      </c>
      <c r="G4066" s="27"/>
      <c r="H4066" s="16" t="str">
        <f>IF(ISBLANK(PARTIDAS!$G4066),PARTIDAS!$F4066,CONCATENATE(PARTIDAS!$F4066," (",PARTIDAS!$G4066,")"))</f>
        <v>Lana sucia, incluida la lavada en vivo (los demás)</v>
      </c>
      <c r="I4066" s="16" t="s">
        <v>9427</v>
      </c>
    </row>
    <row r="4067" spans="1:9" x14ac:dyDescent="0.25">
      <c r="A4067" s="16" t="s">
        <v>5007</v>
      </c>
      <c r="B4067" s="16" t="str">
        <f>TEXT(PARTIDA[[#This Row],[PARTIDA]],"0000000000")</f>
        <v>5101210000</v>
      </c>
      <c r="C4067" s="16" t="s">
        <v>815</v>
      </c>
      <c r="D4067" s="16" t="s">
        <v>835</v>
      </c>
      <c r="E4067" s="16" t="s">
        <v>842</v>
      </c>
      <c r="F4067" s="27" t="s">
        <v>12850</v>
      </c>
      <c r="G4067" s="27"/>
      <c r="H4067" s="16" t="str">
        <f>IF(ISBLANK(PARTIDAS!$G4067),PARTIDAS!$F4067,CONCATENATE(PARTIDAS!$F4067," (",PARTIDAS!$G4067,")"))</f>
        <v>Lana esquilada</v>
      </c>
      <c r="I4067" s="16" t="s">
        <v>9427</v>
      </c>
    </row>
    <row r="4068" spans="1:9" x14ac:dyDescent="0.25">
      <c r="A4068" s="16" t="s">
        <v>5008</v>
      </c>
      <c r="B4068" s="16" t="str">
        <f>TEXT(PARTIDA[[#This Row],[PARTIDA]],"0000000000")</f>
        <v>5101290000</v>
      </c>
      <c r="C4068" s="16" t="s">
        <v>815</v>
      </c>
      <c r="D4068" s="16" t="s">
        <v>835</v>
      </c>
      <c r="E4068" s="16" t="s">
        <v>842</v>
      </c>
      <c r="F4068" s="27" t="s">
        <v>12852</v>
      </c>
      <c r="G4068" s="27"/>
      <c r="H4068" s="16" t="str">
        <f>IF(ISBLANK(PARTIDAS!$G4068),PARTIDAS!$F4068,CONCATENATE(PARTIDAS!$F4068," (",PARTIDAS!$G4068,")"))</f>
        <v>Desgrasada, sin carbonizar (los demás)</v>
      </c>
      <c r="I4068" s="16" t="s">
        <v>9427</v>
      </c>
    </row>
    <row r="4069" spans="1:9" x14ac:dyDescent="0.25">
      <c r="A4069" s="16" t="s">
        <v>5009</v>
      </c>
      <c r="B4069" s="16" t="str">
        <f>TEXT(PARTIDA[[#This Row],[PARTIDA]],"0000000000")</f>
        <v>5101300000</v>
      </c>
      <c r="C4069" s="16" t="s">
        <v>815</v>
      </c>
      <c r="D4069" s="16" t="s">
        <v>835</v>
      </c>
      <c r="E4069" s="16" t="s">
        <v>842</v>
      </c>
      <c r="F4069" s="27" t="s">
        <v>12853</v>
      </c>
      <c r="G4069" s="27"/>
      <c r="H4069" s="16" t="str">
        <f>IF(ISBLANK(PARTIDAS!$G4069),PARTIDAS!$F4069,CONCATENATE(PARTIDAS!$F4069," (",PARTIDAS!$G4069,")"))</f>
        <v>Carbonizada</v>
      </c>
      <c r="I4069" s="16" t="s">
        <v>9427</v>
      </c>
    </row>
    <row r="4070" spans="1:9" x14ac:dyDescent="0.25">
      <c r="A4070" s="16" t="s">
        <v>5010</v>
      </c>
      <c r="B4070" s="16" t="str">
        <f>TEXT(PARTIDA[[#This Row],[PARTIDA]],"0000000000")</f>
        <v>5102110000</v>
      </c>
      <c r="C4070" s="16" t="s">
        <v>815</v>
      </c>
      <c r="D4070" s="16" t="s">
        <v>835</v>
      </c>
      <c r="E4070" s="16" t="s">
        <v>842</v>
      </c>
      <c r="F4070" s="27" t="s">
        <v>12854</v>
      </c>
      <c r="G4070" s="27"/>
      <c r="H4070" s="16" t="str">
        <f>IF(ISBLANK(PARTIDAS!$G4070),PARTIDAS!$F4070,CONCATENATE(PARTIDAS!$F4070," (",PARTIDAS!$G4070,")"))</f>
        <v>Pelo fino, de cabra de Cachemira</v>
      </c>
      <c r="I4070" s="16" t="s">
        <v>9427</v>
      </c>
    </row>
    <row r="4071" spans="1:9" x14ac:dyDescent="0.25">
      <c r="A4071" s="16" t="s">
        <v>5011</v>
      </c>
      <c r="B4071" s="16" t="str">
        <f>TEXT(PARTIDA[[#This Row],[PARTIDA]],"0000000000")</f>
        <v>5102191000</v>
      </c>
      <c r="C4071" s="16" t="s">
        <v>815</v>
      </c>
      <c r="D4071" s="16" t="s">
        <v>835</v>
      </c>
      <c r="E4071" s="16" t="s">
        <v>842</v>
      </c>
      <c r="F4071" s="27" t="s">
        <v>12855</v>
      </c>
      <c r="G4071" s="27"/>
      <c r="H4071" s="16" t="str">
        <f>IF(ISBLANK(PARTIDAS!$G4071),PARTIDAS!$F4071,CONCATENATE(PARTIDAS!$F4071," (",PARTIDAS!$G4071,")"))</f>
        <v>Pelo fino, de alpaca o de llama (incluido el guanaco)</v>
      </c>
      <c r="I4071" s="16" t="s">
        <v>9427</v>
      </c>
    </row>
    <row r="4072" spans="1:9" x14ac:dyDescent="0.25">
      <c r="A4072" s="16" t="s">
        <v>5012</v>
      </c>
      <c r="B4072" s="16" t="str">
        <f>TEXT(PARTIDA[[#This Row],[PARTIDA]],"0000000000")</f>
        <v>5102192000</v>
      </c>
      <c r="C4072" s="16" t="s">
        <v>815</v>
      </c>
      <c r="D4072" s="16" t="s">
        <v>835</v>
      </c>
      <c r="E4072" s="16" t="s">
        <v>842</v>
      </c>
      <c r="F4072" s="27" t="s">
        <v>12856</v>
      </c>
      <c r="G4072" s="27"/>
      <c r="H4072" s="16" t="str">
        <f>IF(ISBLANK(PARTIDAS!$G4072),PARTIDAS!$F4072,CONCATENATE(PARTIDAS!$F4072," (",PARTIDAS!$G4072,")"))</f>
        <v>Pelo fino, de conejo o de liebre</v>
      </c>
      <c r="I4072" s="16" t="s">
        <v>9427</v>
      </c>
    </row>
    <row r="4073" spans="1:9" x14ac:dyDescent="0.25">
      <c r="A4073" s="16" t="s">
        <v>5013</v>
      </c>
      <c r="B4073" s="16" t="str">
        <f>TEXT(PARTIDA[[#This Row],[PARTIDA]],"0000000000")</f>
        <v>5102199000</v>
      </c>
      <c r="C4073" s="16" t="s">
        <v>815</v>
      </c>
      <c r="D4073" s="16" t="s">
        <v>835</v>
      </c>
      <c r="E4073" s="16" t="s">
        <v>842</v>
      </c>
      <c r="F4073" s="27" t="s">
        <v>12857</v>
      </c>
      <c r="G4073" s="27"/>
      <c r="H4073" s="16" t="str">
        <f>IF(ISBLANK(PARTIDAS!$G4073),PARTIDAS!$F4073,CONCATENATE(PARTIDAS!$F4073," (",PARTIDAS!$G4073,")"))</f>
        <v>Pelo fino (los demás)</v>
      </c>
      <c r="I4073" s="16" t="s">
        <v>9427</v>
      </c>
    </row>
    <row r="4074" spans="1:9" x14ac:dyDescent="0.25">
      <c r="A4074" s="16" t="s">
        <v>5014</v>
      </c>
      <c r="B4074" s="16" t="str">
        <f>TEXT(PARTIDA[[#This Row],[PARTIDA]],"0000000000")</f>
        <v>5102200000</v>
      </c>
      <c r="C4074" s="16" t="s">
        <v>815</v>
      </c>
      <c r="D4074" s="16" t="s">
        <v>835</v>
      </c>
      <c r="E4074" s="16" t="s">
        <v>842</v>
      </c>
      <c r="F4074" s="27" t="s">
        <v>12858</v>
      </c>
      <c r="G4074" s="27"/>
      <c r="H4074" s="16" t="str">
        <f>IF(ISBLANK(PARTIDAS!$G4074),PARTIDAS!$F4074,CONCATENATE(PARTIDAS!$F4074," (",PARTIDAS!$G4074,")"))</f>
        <v>Pelo ordinario</v>
      </c>
      <c r="I4074" s="16" t="s">
        <v>9427</v>
      </c>
    </row>
    <row r="4075" spans="1:9" x14ac:dyDescent="0.25">
      <c r="A4075" s="16" t="s">
        <v>5015</v>
      </c>
      <c r="B4075" s="16" t="str">
        <f>TEXT(PARTIDA[[#This Row],[PARTIDA]],"0000000000")</f>
        <v>5103100000</v>
      </c>
      <c r="C4075" s="16" t="s">
        <v>815</v>
      </c>
      <c r="D4075" s="16" t="s">
        <v>835</v>
      </c>
      <c r="E4075" s="16" t="s">
        <v>842</v>
      </c>
      <c r="F4075" s="27" t="s">
        <v>12859</v>
      </c>
      <c r="G4075" s="27"/>
      <c r="H4075" s="16" t="str">
        <f>IF(ISBLANK(PARTIDAS!$G4075),PARTIDAS!$F4075,CONCATENATE(PARTIDAS!$F4075," (",PARTIDAS!$G4075,")"))</f>
        <v>Borras del peinado de lana o pelo fino</v>
      </c>
      <c r="I4075" s="16" t="s">
        <v>9427</v>
      </c>
    </row>
    <row r="4076" spans="1:9" x14ac:dyDescent="0.25">
      <c r="A4076" s="16" t="s">
        <v>5016</v>
      </c>
      <c r="B4076" s="16" t="str">
        <f>TEXT(PARTIDA[[#This Row],[PARTIDA]],"0000000000")</f>
        <v>5103200000</v>
      </c>
      <c r="C4076" s="16" t="s">
        <v>815</v>
      </c>
      <c r="D4076" s="16" t="s">
        <v>835</v>
      </c>
      <c r="E4076" s="16" t="s">
        <v>842</v>
      </c>
      <c r="F4076" s="27" t="s">
        <v>12860</v>
      </c>
      <c r="G4076" s="27"/>
      <c r="H4076" s="16" t="str">
        <f>IF(ISBLANK(PARTIDAS!$G4076),PARTIDAS!$F4076,CONCATENATE(PARTIDAS!$F4076," (",PARTIDAS!$G4076,")"))</f>
        <v>Desperdicios de lana o de pelo fino u ordinario, incluidos los… (los demás, desperdicios de lana o pelo fino)</v>
      </c>
      <c r="I4076" s="16" t="s">
        <v>9427</v>
      </c>
    </row>
    <row r="4077" spans="1:9" x14ac:dyDescent="0.25">
      <c r="A4077" s="16" t="s">
        <v>5017</v>
      </c>
      <c r="B4077" s="16" t="str">
        <f>TEXT(PARTIDA[[#This Row],[PARTIDA]],"0000000000")</f>
        <v>5103300000</v>
      </c>
      <c r="C4077" s="16" t="s">
        <v>815</v>
      </c>
      <c r="D4077" s="16" t="s">
        <v>835</v>
      </c>
      <c r="E4077" s="16" t="s">
        <v>842</v>
      </c>
      <c r="F4077" s="27" t="s">
        <v>12861</v>
      </c>
      <c r="G4077" s="27"/>
      <c r="H4077" s="16" t="str">
        <f>IF(ISBLANK(PARTIDAS!$G4077),PARTIDAS!$F4077,CONCATENATE(PARTIDAS!$F4077," (",PARTIDAS!$G4077,")"))</f>
        <v>Desperdicios de pelo ordinario</v>
      </c>
      <c r="I4077" s="16" t="s">
        <v>9427</v>
      </c>
    </row>
    <row r="4078" spans="1:9" x14ac:dyDescent="0.25">
      <c r="A4078" s="16" t="s">
        <v>5018</v>
      </c>
      <c r="B4078" s="16" t="str">
        <f>TEXT(PARTIDA[[#This Row],[PARTIDA]],"0000000000")</f>
        <v>5104000000</v>
      </c>
      <c r="C4078" s="16" t="s">
        <v>815</v>
      </c>
      <c r="D4078" s="16" t="s">
        <v>835</v>
      </c>
      <c r="E4078" s="16" t="s">
        <v>842</v>
      </c>
      <c r="F4078" s="27" t="s">
        <v>5019</v>
      </c>
      <c r="G4078" s="27"/>
      <c r="H4078" s="16" t="str">
        <f>IF(ISBLANK(PARTIDAS!$G4078),PARTIDAS!$F4078,CONCATENATE(PARTIDAS!$F4078," (",PARTIDAS!$G4078,")"))</f>
        <v>Hilachas de lana o de pelo fino u ordinario.</v>
      </c>
      <c r="I4078" s="16" t="s">
        <v>9427</v>
      </c>
    </row>
    <row r="4079" spans="1:9" x14ac:dyDescent="0.25">
      <c r="A4079" s="16" t="s">
        <v>5020</v>
      </c>
      <c r="B4079" s="16" t="str">
        <f>TEXT(PARTIDA[[#This Row],[PARTIDA]],"0000000000")</f>
        <v>5105100000</v>
      </c>
      <c r="C4079" s="16" t="s">
        <v>815</v>
      </c>
      <c r="D4079" s="16" t="s">
        <v>835</v>
      </c>
      <c r="E4079" s="16" t="s">
        <v>842</v>
      </c>
      <c r="F4079" s="27" t="s">
        <v>12862</v>
      </c>
      <c r="G4079" s="27"/>
      <c r="H4079" s="16" t="str">
        <f>IF(ISBLANK(PARTIDAS!$G4079),PARTIDAS!$F4079,CONCATENATE(PARTIDAS!$F4079," (",PARTIDAS!$G4079,")"))</f>
        <v>Lana cardada</v>
      </c>
      <c r="I4079" s="16" t="s">
        <v>9427</v>
      </c>
    </row>
    <row r="4080" spans="1:9" x14ac:dyDescent="0.25">
      <c r="A4080" s="16" t="s">
        <v>5021</v>
      </c>
      <c r="B4080" s="16" t="str">
        <f>TEXT(PARTIDA[[#This Row],[PARTIDA]],"0000000000")</f>
        <v>5105210000</v>
      </c>
      <c r="C4080" s="16" t="s">
        <v>815</v>
      </c>
      <c r="D4080" s="16" t="s">
        <v>835</v>
      </c>
      <c r="E4080" s="16" t="s">
        <v>842</v>
      </c>
      <c r="F4080" s="27" t="s">
        <v>12863</v>
      </c>
      <c r="G4080" s="27"/>
      <c r="H4080" s="16" t="str">
        <f>IF(ISBLANK(PARTIDAS!$G4080),PARTIDAS!$F4080,CONCATENATE(PARTIDAS!$F4080," (",PARTIDAS!$G4080,")"))</f>
        <v>«Lana peinada a granel»</v>
      </c>
      <c r="I4080" s="16" t="s">
        <v>9427</v>
      </c>
    </row>
    <row r="4081" spans="1:9" x14ac:dyDescent="0.25">
      <c r="A4081" s="16" t="s">
        <v>5022</v>
      </c>
      <c r="B4081" s="16" t="str">
        <f>TEXT(PARTIDA[[#This Row],[PARTIDA]],"0000000000")</f>
        <v>5105291000</v>
      </c>
      <c r="C4081" s="16" t="s">
        <v>815</v>
      </c>
      <c r="D4081" s="16" t="s">
        <v>835</v>
      </c>
      <c r="E4081" s="16" t="s">
        <v>842</v>
      </c>
      <c r="F4081" s="27" t="s">
        <v>12864</v>
      </c>
      <c r="G4081" s="27"/>
      <c r="H4081" s="16" t="str">
        <f>IF(ISBLANK(PARTIDAS!$G4081),PARTIDAS!$F4081,CONCATENATE(PARTIDAS!$F4081," (",PARTIDAS!$G4081,")"))</f>
        <v>Enrollados en bolas («tops»)</v>
      </c>
      <c r="I4081" s="16" t="s">
        <v>9427</v>
      </c>
    </row>
    <row r="4082" spans="1:9" x14ac:dyDescent="0.25">
      <c r="A4082" s="16" t="s">
        <v>5023</v>
      </c>
      <c r="B4082" s="16" t="str">
        <f>TEXT(PARTIDA[[#This Row],[PARTIDA]],"0000000000")</f>
        <v>5105299000</v>
      </c>
      <c r="C4082" s="16" t="s">
        <v>815</v>
      </c>
      <c r="D4082" s="16" t="s">
        <v>835</v>
      </c>
      <c r="E4082" s="16" t="s">
        <v>842</v>
      </c>
      <c r="F4082" s="27" t="s">
        <v>12865</v>
      </c>
      <c r="G4082" s="27"/>
      <c r="H4082" s="16" t="str">
        <f>IF(ISBLANK(PARTIDAS!$G4082),PARTIDAS!$F4082,CONCATENATE(PARTIDAS!$F4082," (",PARTIDAS!$G4082,")"))</f>
        <v>Lana peinada (los demás)</v>
      </c>
      <c r="I4082" s="16" t="s">
        <v>9427</v>
      </c>
    </row>
    <row r="4083" spans="1:9" x14ac:dyDescent="0.25">
      <c r="A4083" s="16" t="s">
        <v>5024</v>
      </c>
      <c r="B4083" s="16" t="str">
        <f>TEXT(PARTIDA[[#This Row],[PARTIDA]],"0000000000")</f>
        <v>5105310000</v>
      </c>
      <c r="C4083" s="16" t="s">
        <v>815</v>
      </c>
      <c r="D4083" s="16" t="s">
        <v>835</v>
      </c>
      <c r="E4083" s="16" t="s">
        <v>842</v>
      </c>
      <c r="F4083" s="27" t="s">
        <v>12866</v>
      </c>
      <c r="G4083" s="27"/>
      <c r="H4083" s="16" t="str">
        <f>IF(ISBLANK(PARTIDAS!$G4083),PARTIDAS!$F4083,CONCATENATE(PARTIDAS!$F4083," (",PARTIDAS!$G4083,")"))</f>
        <v>Pelo fino cardado o peinado, de cabra de Cachemira</v>
      </c>
      <c r="I4083" s="16" t="s">
        <v>9427</v>
      </c>
    </row>
    <row r="4084" spans="1:9" x14ac:dyDescent="0.25">
      <c r="A4084" s="16" t="s">
        <v>5025</v>
      </c>
      <c r="B4084" s="16" t="str">
        <f>TEXT(PARTIDA[[#This Row],[PARTIDA]],"0000000000")</f>
        <v>5105391000</v>
      </c>
      <c r="C4084" s="16" t="s">
        <v>815</v>
      </c>
      <c r="D4084" s="16" t="s">
        <v>835</v>
      </c>
      <c r="E4084" s="16" t="s">
        <v>842</v>
      </c>
      <c r="F4084" s="27" t="s">
        <v>9340</v>
      </c>
      <c r="G4084" s="27"/>
      <c r="H4084" s="16" t="str">
        <f>IF(ISBLANK(PARTIDAS!$G4084),PARTIDAS!$F4084,CONCATENATE(PARTIDAS!$F4084," (",PARTIDAS!$G4084,")"))</f>
        <v>Pelo fino cardado o peinado, de alpaca o de llama (incluido el guanaco)</v>
      </c>
      <c r="I4084" s="16" t="s">
        <v>9477</v>
      </c>
    </row>
    <row r="4085" spans="1:9" x14ac:dyDescent="0.25">
      <c r="A4085" s="16" t="s">
        <v>5026</v>
      </c>
      <c r="B4085" s="16" t="str">
        <f>TEXT(PARTIDA[[#This Row],[PARTIDA]],"0000000000")</f>
        <v>5105392000</v>
      </c>
      <c r="C4085" s="16" t="s">
        <v>815</v>
      </c>
      <c r="D4085" s="16" t="s">
        <v>835</v>
      </c>
      <c r="E4085" s="16" t="s">
        <v>842</v>
      </c>
      <c r="F4085" s="27" t="s">
        <v>12867</v>
      </c>
      <c r="G4085" s="27"/>
      <c r="H4085" s="16" t="str">
        <f>IF(ISBLANK(PARTIDAS!$G4085),PARTIDAS!$F4085,CONCATENATE(PARTIDAS!$F4085," (",PARTIDAS!$G4085,")"))</f>
        <v>Pelo fino cardado o peinado, de vicuña</v>
      </c>
      <c r="I4085" s="16" t="s">
        <v>9427</v>
      </c>
    </row>
    <row r="4086" spans="1:9" x14ac:dyDescent="0.25">
      <c r="A4086" s="16" t="s">
        <v>5027</v>
      </c>
      <c r="B4086" s="16" t="str">
        <f>TEXT(PARTIDA[[#This Row],[PARTIDA]],"0000000000")</f>
        <v>5105399000</v>
      </c>
      <c r="C4086" s="16" t="s">
        <v>815</v>
      </c>
      <c r="D4086" s="16" t="s">
        <v>835</v>
      </c>
      <c r="E4086" s="16" t="s">
        <v>842</v>
      </c>
      <c r="F4086" s="27" t="s">
        <v>12868</v>
      </c>
      <c r="G4086" s="27"/>
      <c r="H4086" s="16" t="str">
        <f>IF(ISBLANK(PARTIDAS!$G4086),PARTIDAS!$F4086,CONCATENATE(PARTIDAS!$F4086," (",PARTIDAS!$G4086,")"))</f>
        <v>Pelo fino cardado o peinado (los demás)</v>
      </c>
      <c r="I4086" s="16" t="s">
        <v>9427</v>
      </c>
    </row>
    <row r="4087" spans="1:9" x14ac:dyDescent="0.25">
      <c r="A4087" s="16" t="s">
        <v>5028</v>
      </c>
      <c r="B4087" s="16" t="str">
        <f>TEXT(PARTIDA[[#This Row],[PARTIDA]],"0000000000")</f>
        <v>5105400000</v>
      </c>
      <c r="C4087" s="16" t="s">
        <v>815</v>
      </c>
      <c r="D4087" s="16" t="s">
        <v>835</v>
      </c>
      <c r="E4087" s="16" t="s">
        <v>842</v>
      </c>
      <c r="F4087" s="27" t="s">
        <v>12869</v>
      </c>
      <c r="G4087" s="27"/>
      <c r="H4087" s="16" t="str">
        <f>IF(ISBLANK(PARTIDAS!$G4087),PARTIDAS!$F4087,CONCATENATE(PARTIDAS!$F4087," (",PARTIDAS!$G4087,")"))</f>
        <v>Pelo ordinario cardado o peinado</v>
      </c>
      <c r="I4087" s="16" t="s">
        <v>9427</v>
      </c>
    </row>
    <row r="4088" spans="1:9" x14ac:dyDescent="0.25">
      <c r="A4088" s="16" t="s">
        <v>5029</v>
      </c>
      <c r="B4088" s="16" t="str">
        <f>TEXT(PARTIDA[[#This Row],[PARTIDA]],"0000000000")</f>
        <v>5106100000</v>
      </c>
      <c r="C4088" s="16" t="s">
        <v>815</v>
      </c>
      <c r="D4088" s="16" t="s">
        <v>835</v>
      </c>
      <c r="E4088" s="16" t="s">
        <v>842</v>
      </c>
      <c r="F4088" s="27" t="s">
        <v>12870</v>
      </c>
      <c r="G4088" s="27"/>
      <c r="H4088" s="16" t="str">
        <f>IF(ISBLANK(PARTIDAS!$G4088),PARTIDAS!$F4088,CONCATENATE(PARTIDAS!$F4088," (",PARTIDAS!$G4088,")"))</f>
        <v>Hilados de lana cardada sin acondicionar para la venta al por menor, con un contenido de lana superior o igual al 85 % en peso</v>
      </c>
      <c r="I4088" s="16" t="s">
        <v>9427</v>
      </c>
    </row>
    <row r="4089" spans="1:9" x14ac:dyDescent="0.25">
      <c r="A4089" s="16" t="s">
        <v>5030</v>
      </c>
      <c r="B4089" s="16" t="str">
        <f>TEXT(PARTIDA[[#This Row],[PARTIDA]],"0000000000")</f>
        <v>5106200000</v>
      </c>
      <c r="C4089" s="16" t="s">
        <v>815</v>
      </c>
      <c r="D4089" s="16" t="s">
        <v>835</v>
      </c>
      <c r="E4089" s="16" t="s">
        <v>842</v>
      </c>
      <c r="F4089" s="27" t="s">
        <v>12871</v>
      </c>
      <c r="G4089" s="27"/>
      <c r="H4089" s="16" t="str">
        <f>IF(ISBLANK(PARTIDAS!$G4089),PARTIDAS!$F4089,CONCATENATE(PARTIDAS!$F4089," (",PARTIDAS!$G4089,")"))</f>
        <v>Hilados de lana cardada sin acondicionar para la venta al por menor, con un contenido de lana inferior al 85 % en peso</v>
      </c>
      <c r="I4089" s="16" t="s">
        <v>9427</v>
      </c>
    </row>
    <row r="4090" spans="1:9" x14ac:dyDescent="0.25">
      <c r="A4090" s="16" t="s">
        <v>5031</v>
      </c>
      <c r="B4090" s="16" t="str">
        <f>TEXT(PARTIDA[[#This Row],[PARTIDA]],"0000000000")</f>
        <v>5107100000</v>
      </c>
      <c r="C4090" s="16" t="s">
        <v>815</v>
      </c>
      <c r="D4090" s="16" t="s">
        <v>835</v>
      </c>
      <c r="E4090" s="16" t="s">
        <v>842</v>
      </c>
      <c r="F4090" s="27" t="s">
        <v>12872</v>
      </c>
      <c r="G4090" s="27"/>
      <c r="H4090" s="16" t="str">
        <f>IF(ISBLANK(PARTIDAS!$G4090),PARTIDAS!$F4090,CONCATENATE(PARTIDAS!$F4090," (",PARTIDAS!$G4090,")"))</f>
        <v>Hilados de lana peinada sin acondicionar para la venta al por menor, con un contenido de lana superior o igual al 85 % en peso</v>
      </c>
      <c r="I4090" s="16" t="s">
        <v>9427</v>
      </c>
    </row>
    <row r="4091" spans="1:9" x14ac:dyDescent="0.25">
      <c r="A4091" s="16" t="s">
        <v>5032</v>
      </c>
      <c r="B4091" s="16" t="str">
        <f>TEXT(PARTIDA[[#This Row],[PARTIDA]],"0000000000")</f>
        <v>5107200000</v>
      </c>
      <c r="C4091" s="16" t="s">
        <v>815</v>
      </c>
      <c r="D4091" s="16" t="s">
        <v>835</v>
      </c>
      <c r="E4091" s="16" t="s">
        <v>842</v>
      </c>
      <c r="F4091" s="27" t="s">
        <v>12873</v>
      </c>
      <c r="G4091" s="27"/>
      <c r="H4091" s="16" t="str">
        <f>IF(ISBLANK(PARTIDAS!$G4091),PARTIDAS!$F4091,CONCATENATE(PARTIDAS!$F4091," (",PARTIDAS!$G4091,")"))</f>
        <v>Hilados de lana peinada sin acondicionar para la venta al por menor, con un contenido de lana inferior al 85 % en peso</v>
      </c>
      <c r="I4091" s="16" t="s">
        <v>9427</v>
      </c>
    </row>
    <row r="4092" spans="1:9" x14ac:dyDescent="0.25">
      <c r="A4092" s="16" t="s">
        <v>5033</v>
      </c>
      <c r="B4092" s="16" t="str">
        <f>TEXT(PARTIDA[[#This Row],[PARTIDA]],"0000000000")</f>
        <v>5108100000</v>
      </c>
      <c r="C4092" s="16" t="s">
        <v>815</v>
      </c>
      <c r="D4092" s="16" t="s">
        <v>835</v>
      </c>
      <c r="E4092" s="16" t="s">
        <v>842</v>
      </c>
      <c r="F4092" s="27" t="s">
        <v>12874</v>
      </c>
      <c r="G4092" s="27"/>
      <c r="H4092" s="16" t="str">
        <f>IF(ISBLANK(PARTIDAS!$G4092),PARTIDAS!$F4092,CONCATENATE(PARTIDAS!$F4092," (",PARTIDAS!$G4092,")"))</f>
        <v>Cardado</v>
      </c>
      <c r="I4092" s="16" t="s">
        <v>9427</v>
      </c>
    </row>
    <row r="4093" spans="1:9" x14ac:dyDescent="0.25">
      <c r="A4093" s="16" t="s">
        <v>5034</v>
      </c>
      <c r="B4093" s="16" t="str">
        <f>TEXT(PARTIDA[[#This Row],[PARTIDA]],"0000000000")</f>
        <v>5108200000</v>
      </c>
      <c r="C4093" s="16" t="s">
        <v>815</v>
      </c>
      <c r="D4093" s="16" t="s">
        <v>835</v>
      </c>
      <c r="E4093" s="16" t="s">
        <v>842</v>
      </c>
      <c r="F4093" s="27" t="s">
        <v>12875</v>
      </c>
      <c r="G4093" s="27"/>
      <c r="H4093" s="16" t="str">
        <f>IF(ISBLANK(PARTIDAS!$G4093),PARTIDAS!$F4093,CONCATENATE(PARTIDAS!$F4093," (",PARTIDAS!$G4093,")"))</f>
        <v>Peinado</v>
      </c>
      <c r="I4093" s="16" t="s">
        <v>9427</v>
      </c>
    </row>
    <row r="4094" spans="1:9" x14ac:dyDescent="0.25">
      <c r="A4094" s="16" t="s">
        <v>5035</v>
      </c>
      <c r="B4094" s="16" t="str">
        <f>TEXT(PARTIDA[[#This Row],[PARTIDA]],"0000000000")</f>
        <v>5109100000</v>
      </c>
      <c r="C4094" s="16" t="s">
        <v>815</v>
      </c>
      <c r="D4094" s="16" t="s">
        <v>835</v>
      </c>
      <c r="E4094" s="16" t="s">
        <v>842</v>
      </c>
      <c r="F4094" s="27" t="s">
        <v>12876</v>
      </c>
      <c r="G4094" s="27"/>
      <c r="H4094" s="16" t="str">
        <f>IF(ISBLANK(PARTIDAS!$G4094),PARTIDAS!$F4094,CONCATENATE(PARTIDAS!$F4094," (",PARTIDAS!$G4094,")"))</f>
        <v>Hilados de lana o pelo fino, acondicionados para la venta al por menor, con un contenido de lana o pelo fino superior o igual al 85 % en peso</v>
      </c>
      <c r="I4094" s="16" t="s">
        <v>9427</v>
      </c>
    </row>
    <row r="4095" spans="1:9" x14ac:dyDescent="0.25">
      <c r="A4095" s="16" t="s">
        <v>5036</v>
      </c>
      <c r="B4095" s="16" t="str">
        <f>TEXT(PARTIDA[[#This Row],[PARTIDA]],"0000000000")</f>
        <v>5109900000</v>
      </c>
      <c r="C4095" s="16" t="s">
        <v>815</v>
      </c>
      <c r="D4095" s="16" t="s">
        <v>835</v>
      </c>
      <c r="E4095" s="16" t="s">
        <v>842</v>
      </c>
      <c r="F4095" s="27" t="s">
        <v>12877</v>
      </c>
      <c r="G4095" s="27"/>
      <c r="H4095" s="16" t="str">
        <f>IF(ISBLANK(PARTIDAS!$G4095),PARTIDAS!$F4095,CONCATENATE(PARTIDAS!$F4095," (",PARTIDAS!$G4095,")"))</f>
        <v>Hilados de lana o pelo fino, acondicionados para la venta al por menor (los demás)</v>
      </c>
      <c r="I4095" s="16" t="s">
        <v>9427</v>
      </c>
    </row>
    <row r="4096" spans="1:9" x14ac:dyDescent="0.25">
      <c r="A4096" s="16" t="s">
        <v>5037</v>
      </c>
      <c r="B4096" s="16" t="str">
        <f>TEXT(PARTIDA[[#This Row],[PARTIDA]],"0000000000")</f>
        <v>5110001000</v>
      </c>
      <c r="C4096" s="16" t="s">
        <v>815</v>
      </c>
      <c r="D4096" s="16" t="s">
        <v>835</v>
      </c>
      <c r="E4096" s="16" t="s">
        <v>842</v>
      </c>
      <c r="F4096" s="27" t="s">
        <v>12878</v>
      </c>
      <c r="G4096" s="27"/>
      <c r="H4096" s="16" t="str">
        <f>IF(ISBLANK(PARTIDAS!$G4096),PARTIDAS!$F4096,CONCATENATE(PARTIDAS!$F4096," (",PARTIDAS!$G4096,")"))</f>
        <v>Hilados de lana o pelo fino, acondicionados para la venta al por…, sin acondicionar para la venta al por menor</v>
      </c>
      <c r="I4096" s="16" t="s">
        <v>9427</v>
      </c>
    </row>
    <row r="4097" spans="1:9" x14ac:dyDescent="0.25">
      <c r="A4097" s="16" t="s">
        <v>5038</v>
      </c>
      <c r="B4097" s="16" t="str">
        <f>TEXT(PARTIDA[[#This Row],[PARTIDA]],"0000000000")</f>
        <v>5110009000</v>
      </c>
      <c r="C4097" s="16" t="s">
        <v>815</v>
      </c>
      <c r="D4097" s="16" t="s">
        <v>835</v>
      </c>
      <c r="E4097" s="16" t="s">
        <v>842</v>
      </c>
      <c r="F4097" s="27" t="s">
        <v>12879</v>
      </c>
      <c r="G4097" s="27"/>
      <c r="H4097" s="16" t="str">
        <f>IF(ISBLANK(PARTIDAS!$G4097),PARTIDAS!$F4097,CONCATENATE(PARTIDAS!$F4097," (",PARTIDAS!$G4097,")"))</f>
        <v>Hilados de lana o pelo fino, acondicionados para la venta al por… (los demás)</v>
      </c>
      <c r="I4097" s="16" t="s">
        <v>9427</v>
      </c>
    </row>
    <row r="4098" spans="1:9" x14ac:dyDescent="0.25">
      <c r="A4098" s="16" t="s">
        <v>5039</v>
      </c>
      <c r="B4098" s="16" t="str">
        <f>TEXT(PARTIDA[[#This Row],[PARTIDA]],"0000000000")</f>
        <v>5111111000</v>
      </c>
      <c r="C4098" s="16" t="s">
        <v>815</v>
      </c>
      <c r="D4098" s="16" t="s">
        <v>835</v>
      </c>
      <c r="E4098" s="16" t="s">
        <v>844</v>
      </c>
      <c r="F4098" s="27" t="s">
        <v>12880</v>
      </c>
      <c r="G4098" s="27"/>
      <c r="H4098" s="16" t="str">
        <f>IF(ISBLANK(PARTIDAS!$G4098),PARTIDAS!$F4098,CONCATENATE(PARTIDAS!$F4098," (",PARTIDAS!$G4098,")"))</f>
        <v>Tejidos de lana cardada o pelo fino cardado, con un contenido de lana o pelo fino superior o igual…, de peso inferior o igual a 300 g/m², de lana</v>
      </c>
      <c r="I4098" s="16" t="s">
        <v>9427</v>
      </c>
    </row>
    <row r="4099" spans="1:9" x14ac:dyDescent="0.25">
      <c r="A4099" s="16" t="s">
        <v>5040</v>
      </c>
      <c r="B4099" s="16" t="str">
        <f>TEXT(PARTIDA[[#This Row],[PARTIDA]],"0000000000")</f>
        <v>5111112000</v>
      </c>
      <c r="C4099" s="16" t="s">
        <v>815</v>
      </c>
      <c r="D4099" s="16" t="s">
        <v>835</v>
      </c>
      <c r="E4099" s="16" t="s">
        <v>844</v>
      </c>
      <c r="F4099" s="27" t="s">
        <v>12881</v>
      </c>
      <c r="G4099" s="27"/>
      <c r="H4099" s="16" t="str">
        <f>IF(ISBLANK(PARTIDAS!$G4099),PARTIDAS!$F4099,CONCATENATE(PARTIDAS!$F4099," (",PARTIDAS!$G4099,")"))</f>
        <v>Tejidos de lana cardada o pelo fino cardado, con un contenido de lana o pelo fino superior o igual…, de peso inferior o igual a 300 g/m², de vicuña</v>
      </c>
      <c r="I4099" s="16" t="s">
        <v>9427</v>
      </c>
    </row>
    <row r="4100" spans="1:9" x14ac:dyDescent="0.25">
      <c r="A4100" s="16" t="s">
        <v>5041</v>
      </c>
      <c r="B4100" s="16" t="str">
        <f>TEXT(PARTIDA[[#This Row],[PARTIDA]],"0000000000")</f>
        <v>5111114000</v>
      </c>
      <c r="C4100" s="16" t="s">
        <v>815</v>
      </c>
      <c r="D4100" s="16" t="s">
        <v>835</v>
      </c>
      <c r="E4100" s="16" t="s">
        <v>844</v>
      </c>
      <c r="F4100" s="27" t="s">
        <v>12882</v>
      </c>
      <c r="G4100" s="27"/>
      <c r="H4100" s="16" t="str">
        <f>IF(ISBLANK(PARTIDAS!$G4100),PARTIDAS!$F4100,CONCATENATE(PARTIDAS!$F4100," (",PARTIDAS!$G4100,")"))</f>
        <v xml:space="preserve">Tejidos de lana cardada o pelo fino cardado, con un contenido de lana o pelo fino superior o igual…, de peso inferior o igual a 300 g/m², de alpaca o </v>
      </c>
      <c r="I4100" s="16" t="s">
        <v>9427</v>
      </c>
    </row>
    <row r="4101" spans="1:9" x14ac:dyDescent="0.25">
      <c r="A4101" s="16" t="s">
        <v>5042</v>
      </c>
      <c r="B4101" s="16" t="str">
        <f>TEXT(PARTIDA[[#This Row],[PARTIDA]],"0000000000")</f>
        <v>5111119000</v>
      </c>
      <c r="C4101" s="16" t="s">
        <v>815</v>
      </c>
      <c r="D4101" s="16" t="s">
        <v>835</v>
      </c>
      <c r="E4101" s="16" t="s">
        <v>844</v>
      </c>
      <c r="F4101" s="27" t="s">
        <v>12883</v>
      </c>
      <c r="G4101" s="27"/>
      <c r="H4101" s="16" t="str">
        <f>IF(ISBLANK(PARTIDAS!$G4101),PARTIDAS!$F4101,CONCATENATE(PARTIDAS!$F4101," (",PARTIDAS!$G4101,")"))</f>
        <v>Tejidos de lana cardada o pelo fino cardado, con un contenido de lana o pelo fino superior o igual…, de peso inferior o igual a 300 g/m² (los demás)</v>
      </c>
      <c r="I4101" s="16" t="s">
        <v>9427</v>
      </c>
    </row>
    <row r="4102" spans="1:9" x14ac:dyDescent="0.25">
      <c r="A4102" s="16" t="s">
        <v>5043</v>
      </c>
      <c r="B4102" s="16" t="str">
        <f>TEXT(PARTIDA[[#This Row],[PARTIDA]],"0000000000")</f>
        <v>5111191000</v>
      </c>
      <c r="C4102" s="16" t="s">
        <v>815</v>
      </c>
      <c r="D4102" s="16" t="s">
        <v>835</v>
      </c>
      <c r="E4102" s="16" t="s">
        <v>844</v>
      </c>
      <c r="F4102" s="27" t="s">
        <v>12884</v>
      </c>
      <c r="G4102" s="27"/>
      <c r="H4102" s="16" t="str">
        <f>IF(ISBLANK(PARTIDAS!$G4102),PARTIDAS!$F4102,CONCATENATE(PARTIDAS!$F4102," (",PARTIDAS!$G4102,")"))</f>
        <v>Tejidos de lana cardada o pelo fino cardado, con un contenido de lana o pelo fino superior o igual al 85 % en peso, de lana</v>
      </c>
      <c r="I4102" s="16" t="s">
        <v>9427</v>
      </c>
    </row>
    <row r="4103" spans="1:9" x14ac:dyDescent="0.25">
      <c r="A4103" s="16" t="s">
        <v>5044</v>
      </c>
      <c r="B4103" s="16" t="str">
        <f>TEXT(PARTIDA[[#This Row],[PARTIDA]],"0000000000")</f>
        <v>5111192000</v>
      </c>
      <c r="C4103" s="16" t="s">
        <v>815</v>
      </c>
      <c r="D4103" s="16" t="s">
        <v>835</v>
      </c>
      <c r="E4103" s="16" t="s">
        <v>844</v>
      </c>
      <c r="F4103" s="27" t="s">
        <v>12885</v>
      </c>
      <c r="G4103" s="27"/>
      <c r="H4103" s="16" t="str">
        <f>IF(ISBLANK(PARTIDAS!$G4103),PARTIDAS!$F4103,CONCATENATE(PARTIDAS!$F4103," (",PARTIDAS!$G4103,")"))</f>
        <v>Tejidos de lana cardada o pelo fino cardado, con un contenido de lana o pelo fino superior o igual al 85 % en peso, de vicuña</v>
      </c>
      <c r="I4103" s="16" t="s">
        <v>9427</v>
      </c>
    </row>
    <row r="4104" spans="1:9" x14ac:dyDescent="0.25">
      <c r="A4104" s="16" t="s">
        <v>5045</v>
      </c>
      <c r="B4104" s="16" t="str">
        <f>TEXT(PARTIDA[[#This Row],[PARTIDA]],"0000000000")</f>
        <v>5111194000</v>
      </c>
      <c r="C4104" s="16" t="s">
        <v>815</v>
      </c>
      <c r="D4104" s="16" t="s">
        <v>835</v>
      </c>
      <c r="E4104" s="16" t="s">
        <v>844</v>
      </c>
      <c r="F4104" s="27" t="s">
        <v>12886</v>
      </c>
      <c r="G4104" s="27"/>
      <c r="H4104" s="16" t="str">
        <f>IF(ISBLANK(PARTIDAS!$G4104),PARTIDAS!$F4104,CONCATENATE(PARTIDAS!$F4104," (",PARTIDAS!$G4104,")"))</f>
        <v xml:space="preserve">Tejidos de lana cardada o pelo fino cardado, con un contenido de lana o pelo fino superior o igual al 85 % en peso, de alpaca o de llama (incluido el </v>
      </c>
      <c r="I4104" s="16" t="s">
        <v>9427</v>
      </c>
    </row>
    <row r="4105" spans="1:9" x14ac:dyDescent="0.25">
      <c r="A4105" s="16" t="s">
        <v>5046</v>
      </c>
      <c r="B4105" s="16" t="str">
        <f>TEXT(PARTIDA[[#This Row],[PARTIDA]],"0000000000")</f>
        <v>5111199000</v>
      </c>
      <c r="C4105" s="16" t="s">
        <v>815</v>
      </c>
      <c r="D4105" s="16" t="s">
        <v>835</v>
      </c>
      <c r="E4105" s="16" t="s">
        <v>844</v>
      </c>
      <c r="F4105" s="27" t="s">
        <v>12887</v>
      </c>
      <c r="G4105" s="27"/>
      <c r="H4105" s="16" t="str">
        <f>IF(ISBLANK(PARTIDAS!$G4105),PARTIDAS!$F4105,CONCATENATE(PARTIDAS!$F4105," (",PARTIDAS!$G4105,")"))</f>
        <v>Tejidos de lana cardada o pelo fino cardado, con un contenido de lana o pelo fino superior o igual al 85 % en peso (los demás)</v>
      </c>
      <c r="I4105" s="16" t="s">
        <v>9427</v>
      </c>
    </row>
    <row r="4106" spans="1:9" x14ac:dyDescent="0.25">
      <c r="A4106" s="16" t="s">
        <v>5047</v>
      </c>
      <c r="B4106" s="16" t="str">
        <f>TEXT(PARTIDA[[#This Row],[PARTIDA]],"0000000000")</f>
        <v>5111201000</v>
      </c>
      <c r="C4106" s="16" t="s">
        <v>815</v>
      </c>
      <c r="D4106" s="16" t="s">
        <v>835</v>
      </c>
      <c r="E4106" s="16" t="s">
        <v>844</v>
      </c>
      <c r="F4106" s="27" t="s">
        <v>12888</v>
      </c>
      <c r="G4106" s="27"/>
      <c r="H4106" s="16" t="str">
        <f>IF(ISBLANK(PARTIDAS!$G4106),PARTIDAS!$F4106,CONCATENATE(PARTIDAS!$F4106," (",PARTIDAS!$G4106,")"))</f>
        <v>Tejidos de lana cardada o pelo fino cardado, de lana</v>
      </c>
      <c r="I4106" s="16" t="s">
        <v>9427</v>
      </c>
    </row>
    <row r="4107" spans="1:9" x14ac:dyDescent="0.25">
      <c r="A4107" s="16" t="s">
        <v>5048</v>
      </c>
      <c r="B4107" s="16" t="str">
        <f>TEXT(PARTIDA[[#This Row],[PARTIDA]],"0000000000")</f>
        <v>5111202000</v>
      </c>
      <c r="C4107" s="16" t="s">
        <v>815</v>
      </c>
      <c r="D4107" s="16" t="s">
        <v>835</v>
      </c>
      <c r="E4107" s="16" t="s">
        <v>844</v>
      </c>
      <c r="F4107" s="27" t="s">
        <v>12889</v>
      </c>
      <c r="G4107" s="27"/>
      <c r="H4107" s="16" t="str">
        <f>IF(ISBLANK(PARTIDAS!$G4107),PARTIDAS!$F4107,CONCATENATE(PARTIDAS!$F4107," (",PARTIDAS!$G4107,")"))</f>
        <v>Tejidos de lana cardada o pelo fino cardado, de vicuña</v>
      </c>
      <c r="I4107" s="16" t="s">
        <v>9427</v>
      </c>
    </row>
    <row r="4108" spans="1:9" x14ac:dyDescent="0.25">
      <c r="A4108" s="16" t="s">
        <v>5049</v>
      </c>
      <c r="B4108" s="16" t="str">
        <f>TEXT(PARTIDA[[#This Row],[PARTIDA]],"0000000000")</f>
        <v>5111204000</v>
      </c>
      <c r="C4108" s="16" t="s">
        <v>815</v>
      </c>
      <c r="D4108" s="16" t="s">
        <v>835</v>
      </c>
      <c r="E4108" s="16" t="s">
        <v>844</v>
      </c>
      <c r="F4108" s="27" t="s">
        <v>12890</v>
      </c>
      <c r="G4108" s="27"/>
      <c r="H4108" s="16" t="str">
        <f>IF(ISBLANK(PARTIDAS!$G4108),PARTIDAS!$F4108,CONCATENATE(PARTIDAS!$F4108," (",PARTIDAS!$G4108,")"))</f>
        <v>Tejidos de lana cardada o pelo fino cardado, de alpaca o de llama (incluido el guanaco)</v>
      </c>
      <c r="I4108" s="16" t="s">
        <v>9427</v>
      </c>
    </row>
    <row r="4109" spans="1:9" x14ac:dyDescent="0.25">
      <c r="A4109" s="16" t="s">
        <v>5050</v>
      </c>
      <c r="B4109" s="16" t="str">
        <f>TEXT(PARTIDA[[#This Row],[PARTIDA]],"0000000000")</f>
        <v>5111209000</v>
      </c>
      <c r="C4109" s="16" t="s">
        <v>815</v>
      </c>
      <c r="D4109" s="16" t="s">
        <v>835</v>
      </c>
      <c r="E4109" s="16" t="s">
        <v>844</v>
      </c>
      <c r="F4109" s="27" t="s">
        <v>12891</v>
      </c>
      <c r="G4109" s="27"/>
      <c r="H4109" s="16" t="str">
        <f>IF(ISBLANK(PARTIDAS!$G4109),PARTIDAS!$F4109,CONCATENATE(PARTIDAS!$F4109," (",PARTIDAS!$G4109,")"))</f>
        <v>Tejidos de lana cardada o pelo fino cardado (los demás)</v>
      </c>
      <c r="I4109" s="16" t="s">
        <v>9427</v>
      </c>
    </row>
    <row r="4110" spans="1:9" x14ac:dyDescent="0.25">
      <c r="A4110" s="16" t="s">
        <v>5051</v>
      </c>
      <c r="B4110" s="16" t="str">
        <f>TEXT(PARTIDA[[#This Row],[PARTIDA]],"0000000000")</f>
        <v>5111301000</v>
      </c>
      <c r="C4110" s="16" t="s">
        <v>815</v>
      </c>
      <c r="D4110" s="16" t="s">
        <v>835</v>
      </c>
      <c r="E4110" s="16" t="s">
        <v>842</v>
      </c>
      <c r="F4110" s="27" t="s">
        <v>12888</v>
      </c>
      <c r="G4110" s="27"/>
      <c r="H4110" s="16" t="str">
        <f>IF(ISBLANK(PARTIDAS!$G4110),PARTIDAS!$F4110,CONCATENATE(PARTIDAS!$F4110," (",PARTIDAS!$G4110,")"))</f>
        <v>Tejidos de lana cardada o pelo fino cardado, de lana</v>
      </c>
      <c r="I4110" s="16" t="s">
        <v>9427</v>
      </c>
    </row>
    <row r="4111" spans="1:9" x14ac:dyDescent="0.25">
      <c r="A4111" s="16" t="s">
        <v>5052</v>
      </c>
      <c r="B4111" s="16" t="str">
        <f>TEXT(PARTIDA[[#This Row],[PARTIDA]],"0000000000")</f>
        <v>5111302000</v>
      </c>
      <c r="C4111" s="16" t="s">
        <v>815</v>
      </c>
      <c r="D4111" s="16" t="s">
        <v>835</v>
      </c>
      <c r="E4111" s="16" t="s">
        <v>842</v>
      </c>
      <c r="F4111" s="27" t="s">
        <v>12889</v>
      </c>
      <c r="G4111" s="27"/>
      <c r="H4111" s="16" t="str">
        <f>IF(ISBLANK(PARTIDAS!$G4111),PARTIDAS!$F4111,CONCATENATE(PARTIDAS!$F4111," (",PARTIDAS!$G4111,")"))</f>
        <v>Tejidos de lana cardada o pelo fino cardado, de vicuña</v>
      </c>
      <c r="I4111" s="16" t="s">
        <v>9427</v>
      </c>
    </row>
    <row r="4112" spans="1:9" x14ac:dyDescent="0.25">
      <c r="A4112" s="16" t="s">
        <v>5053</v>
      </c>
      <c r="B4112" s="16" t="str">
        <f>TEXT(PARTIDA[[#This Row],[PARTIDA]],"0000000000")</f>
        <v>5111304000</v>
      </c>
      <c r="C4112" s="16" t="s">
        <v>815</v>
      </c>
      <c r="D4112" s="16" t="s">
        <v>835</v>
      </c>
      <c r="E4112" s="16" t="s">
        <v>842</v>
      </c>
      <c r="F4112" s="27" t="s">
        <v>12890</v>
      </c>
      <c r="G4112" s="27"/>
      <c r="H4112" s="16" t="str">
        <f>IF(ISBLANK(PARTIDAS!$G4112),PARTIDAS!$F4112,CONCATENATE(PARTIDAS!$F4112," (",PARTIDAS!$G4112,")"))</f>
        <v>Tejidos de lana cardada o pelo fino cardado, de alpaca o de llama (incluido el guanaco)</v>
      </c>
      <c r="I4112" s="16" t="s">
        <v>9427</v>
      </c>
    </row>
    <row r="4113" spans="1:9" x14ac:dyDescent="0.25">
      <c r="A4113" s="16" t="s">
        <v>5054</v>
      </c>
      <c r="B4113" s="16" t="str">
        <f>TEXT(PARTIDA[[#This Row],[PARTIDA]],"0000000000")</f>
        <v>5111309000</v>
      </c>
      <c r="C4113" s="16" t="s">
        <v>815</v>
      </c>
      <c r="D4113" s="16" t="s">
        <v>835</v>
      </c>
      <c r="E4113" s="16" t="s">
        <v>842</v>
      </c>
      <c r="F4113" s="27" t="s">
        <v>12891</v>
      </c>
      <c r="G4113" s="27"/>
      <c r="H4113" s="16" t="str">
        <f>IF(ISBLANK(PARTIDAS!$G4113),PARTIDAS!$F4113,CONCATENATE(PARTIDAS!$F4113," (",PARTIDAS!$G4113,")"))</f>
        <v>Tejidos de lana cardada o pelo fino cardado (los demás)</v>
      </c>
      <c r="I4113" s="16" t="s">
        <v>9427</v>
      </c>
    </row>
    <row r="4114" spans="1:9" x14ac:dyDescent="0.25">
      <c r="A4114" s="16" t="s">
        <v>5055</v>
      </c>
      <c r="B4114" s="16" t="str">
        <f>TEXT(PARTIDA[[#This Row],[PARTIDA]],"0000000000")</f>
        <v>5111901000</v>
      </c>
      <c r="C4114" s="16" t="s">
        <v>815</v>
      </c>
      <c r="D4114" s="16" t="s">
        <v>835</v>
      </c>
      <c r="E4114" s="16" t="s">
        <v>844</v>
      </c>
      <c r="F4114" s="27" t="s">
        <v>12888</v>
      </c>
      <c r="G4114" s="27"/>
      <c r="H4114" s="16" t="str">
        <f>IF(ISBLANK(PARTIDAS!$G4114),PARTIDAS!$F4114,CONCATENATE(PARTIDAS!$F4114," (",PARTIDAS!$G4114,")"))</f>
        <v>Tejidos de lana cardada o pelo fino cardado, de lana</v>
      </c>
      <c r="I4114" s="16" t="s">
        <v>9427</v>
      </c>
    </row>
    <row r="4115" spans="1:9" x14ac:dyDescent="0.25">
      <c r="A4115" s="16" t="s">
        <v>5056</v>
      </c>
      <c r="B4115" s="16" t="str">
        <f>TEXT(PARTIDA[[#This Row],[PARTIDA]],"0000000000")</f>
        <v>5111902000</v>
      </c>
      <c r="C4115" s="16" t="s">
        <v>815</v>
      </c>
      <c r="D4115" s="16" t="s">
        <v>835</v>
      </c>
      <c r="E4115" s="16" t="s">
        <v>844</v>
      </c>
      <c r="F4115" s="27" t="s">
        <v>12889</v>
      </c>
      <c r="G4115" s="27"/>
      <c r="H4115" s="16" t="str">
        <f>IF(ISBLANK(PARTIDAS!$G4115),PARTIDAS!$F4115,CONCATENATE(PARTIDAS!$F4115," (",PARTIDAS!$G4115,")"))</f>
        <v>Tejidos de lana cardada o pelo fino cardado, de vicuña</v>
      </c>
      <c r="I4115" s="16" t="s">
        <v>9427</v>
      </c>
    </row>
    <row r="4116" spans="1:9" x14ac:dyDescent="0.25">
      <c r="A4116" s="16" t="s">
        <v>5057</v>
      </c>
      <c r="B4116" s="16" t="str">
        <f>TEXT(PARTIDA[[#This Row],[PARTIDA]],"0000000000")</f>
        <v>5111904000</v>
      </c>
      <c r="C4116" s="16" t="s">
        <v>815</v>
      </c>
      <c r="D4116" s="16" t="s">
        <v>835</v>
      </c>
      <c r="E4116" s="16" t="s">
        <v>844</v>
      </c>
      <c r="F4116" s="27" t="s">
        <v>12890</v>
      </c>
      <c r="G4116" s="27"/>
      <c r="H4116" s="16" t="str">
        <f>IF(ISBLANK(PARTIDAS!$G4116),PARTIDAS!$F4116,CONCATENATE(PARTIDAS!$F4116," (",PARTIDAS!$G4116,")"))</f>
        <v>Tejidos de lana cardada o pelo fino cardado, de alpaca o de llama (incluido el guanaco)</v>
      </c>
      <c r="I4116" s="16" t="s">
        <v>9427</v>
      </c>
    </row>
    <row r="4117" spans="1:9" x14ac:dyDescent="0.25">
      <c r="A4117" s="16" t="s">
        <v>5058</v>
      </c>
      <c r="B4117" s="16" t="str">
        <f>TEXT(PARTIDA[[#This Row],[PARTIDA]],"0000000000")</f>
        <v>5111909000</v>
      </c>
      <c r="C4117" s="16" t="s">
        <v>815</v>
      </c>
      <c r="D4117" s="16" t="s">
        <v>835</v>
      </c>
      <c r="E4117" s="16" t="s">
        <v>844</v>
      </c>
      <c r="F4117" s="27" t="s">
        <v>12891</v>
      </c>
      <c r="G4117" s="27"/>
      <c r="H4117" s="16" t="str">
        <f>IF(ISBLANK(PARTIDAS!$G4117),PARTIDAS!$F4117,CONCATENATE(PARTIDAS!$F4117," (",PARTIDAS!$G4117,")"))</f>
        <v>Tejidos de lana cardada o pelo fino cardado (los demás)</v>
      </c>
      <c r="I4117" s="16" t="s">
        <v>9427</v>
      </c>
    </row>
    <row r="4118" spans="1:9" x14ac:dyDescent="0.25">
      <c r="A4118" s="16" t="s">
        <v>5059</v>
      </c>
      <c r="B4118" s="16" t="str">
        <f>TEXT(PARTIDA[[#This Row],[PARTIDA]],"0000000000")</f>
        <v>5112111000</v>
      </c>
      <c r="C4118" s="16" t="s">
        <v>815</v>
      </c>
      <c r="D4118" s="16" t="s">
        <v>835</v>
      </c>
      <c r="E4118" s="16" t="s">
        <v>844</v>
      </c>
      <c r="F4118" s="27" t="s">
        <v>12892</v>
      </c>
      <c r="G4118" s="27"/>
      <c r="H4118" s="16" t="str">
        <f>IF(ISBLANK(PARTIDAS!$G4118),PARTIDAS!$F4118,CONCATENATE(PARTIDAS!$F4118," (",PARTIDAS!$G4118,")"))</f>
        <v>Tejidos de lana peinada o pelo fino peinado, con un contenido de lana o pelo fino superior o igual…, de peso inferior o igual a 200 g/m, de lana</v>
      </c>
      <c r="I4118" s="16" t="s">
        <v>9427</v>
      </c>
    </row>
    <row r="4119" spans="1:9" x14ac:dyDescent="0.25">
      <c r="A4119" s="16" t="s">
        <v>5060</v>
      </c>
      <c r="B4119" s="16" t="str">
        <f>TEXT(PARTIDA[[#This Row],[PARTIDA]],"0000000000")</f>
        <v>5112112000</v>
      </c>
      <c r="C4119" s="16" t="s">
        <v>815</v>
      </c>
      <c r="D4119" s="16" t="s">
        <v>835</v>
      </c>
      <c r="E4119" s="16" t="s">
        <v>844</v>
      </c>
      <c r="F4119" s="27" t="s">
        <v>12893</v>
      </c>
      <c r="G4119" s="27"/>
      <c r="H4119" s="16" t="str">
        <f>IF(ISBLANK(PARTIDAS!$G4119),PARTIDAS!$F4119,CONCATENATE(PARTIDAS!$F4119," (",PARTIDAS!$G4119,")"))</f>
        <v>Tejidos de lana peinada o pelo fino peinado, con un contenido de lana o pelo fino superior o igual…, de peso inferior o igual a 200 g/m, de vicuña</v>
      </c>
      <c r="I4119" s="16" t="s">
        <v>9427</v>
      </c>
    </row>
    <row r="4120" spans="1:9" x14ac:dyDescent="0.25">
      <c r="A4120" s="16" t="s">
        <v>5061</v>
      </c>
      <c r="B4120" s="16" t="str">
        <f>TEXT(PARTIDA[[#This Row],[PARTIDA]],"0000000000")</f>
        <v>5112114000</v>
      </c>
      <c r="C4120" s="16" t="s">
        <v>815</v>
      </c>
      <c r="D4120" s="16" t="s">
        <v>835</v>
      </c>
      <c r="E4120" s="16" t="s">
        <v>844</v>
      </c>
      <c r="F4120" s="27" t="s">
        <v>12894</v>
      </c>
      <c r="G4120" s="27"/>
      <c r="H4120" s="16" t="str">
        <f>IF(ISBLANK(PARTIDAS!$G4120),PARTIDAS!$F4120,CONCATENATE(PARTIDAS!$F4120," (",PARTIDAS!$G4120,")"))</f>
        <v>Tejidos de lana peinada o pelo fino peinado, con un contenido de lana o pelo fino superior o igual…, de peso inferior o igual a 200 g/m, de alpaca o d</v>
      </c>
      <c r="I4120" s="16" t="s">
        <v>9427</v>
      </c>
    </row>
    <row r="4121" spans="1:9" x14ac:dyDescent="0.25">
      <c r="A4121" s="16" t="s">
        <v>5062</v>
      </c>
      <c r="B4121" s="16" t="str">
        <f>TEXT(PARTIDA[[#This Row],[PARTIDA]],"0000000000")</f>
        <v>5112119000</v>
      </c>
      <c r="C4121" s="16" t="s">
        <v>815</v>
      </c>
      <c r="D4121" s="16" t="s">
        <v>835</v>
      </c>
      <c r="E4121" s="16" t="s">
        <v>844</v>
      </c>
      <c r="F4121" s="27" t="s">
        <v>12895</v>
      </c>
      <c r="G4121" s="27"/>
      <c r="H4121" s="16" t="str">
        <f>IF(ISBLANK(PARTIDAS!$G4121),PARTIDAS!$F4121,CONCATENATE(PARTIDAS!$F4121," (",PARTIDAS!$G4121,")"))</f>
        <v>Tejidos de lana peinada o pelo fino peinado, con un contenido de lana o pelo fino superior o igual…, de peso inferior o igual a 200 g/m (los demás)</v>
      </c>
      <c r="I4121" s="16" t="s">
        <v>9427</v>
      </c>
    </row>
    <row r="4122" spans="1:9" x14ac:dyDescent="0.25">
      <c r="A4122" s="16" t="s">
        <v>5063</v>
      </c>
      <c r="B4122" s="16" t="str">
        <f>TEXT(PARTIDA[[#This Row],[PARTIDA]],"0000000000")</f>
        <v>5112191000</v>
      </c>
      <c r="C4122" s="16" t="s">
        <v>815</v>
      </c>
      <c r="D4122" s="16" t="s">
        <v>835</v>
      </c>
      <c r="E4122" s="16" t="s">
        <v>844</v>
      </c>
      <c r="F4122" s="27" t="s">
        <v>12896</v>
      </c>
      <c r="G4122" s="27"/>
      <c r="H4122" s="16" t="str">
        <f>IF(ISBLANK(PARTIDAS!$G4122),PARTIDAS!$F4122,CONCATENATE(PARTIDAS!$F4122," (",PARTIDAS!$G4122,")"))</f>
        <v>Tejidos de lana peinada o pelo fino peinado, con un contenido de lana o pelo fino superior o igual al 85 % en peso, de lana</v>
      </c>
      <c r="I4122" s="16" t="s">
        <v>9427</v>
      </c>
    </row>
    <row r="4123" spans="1:9" x14ac:dyDescent="0.25">
      <c r="A4123" s="16" t="s">
        <v>5064</v>
      </c>
      <c r="B4123" s="16" t="str">
        <f>TEXT(PARTIDA[[#This Row],[PARTIDA]],"0000000000")</f>
        <v>5112192000</v>
      </c>
      <c r="C4123" s="16" t="s">
        <v>815</v>
      </c>
      <c r="D4123" s="16" t="s">
        <v>835</v>
      </c>
      <c r="E4123" s="16" t="s">
        <v>844</v>
      </c>
      <c r="F4123" s="27" t="s">
        <v>12897</v>
      </c>
      <c r="G4123" s="27"/>
      <c r="H4123" s="16" t="str">
        <f>IF(ISBLANK(PARTIDAS!$G4123),PARTIDAS!$F4123,CONCATENATE(PARTIDAS!$F4123," (",PARTIDAS!$G4123,")"))</f>
        <v>Tejidos de lana peinada o pelo fino peinado, con un contenido de lana o pelo fino superior o igual al 85 % en peso, de vicuña</v>
      </c>
      <c r="I4123" s="16" t="s">
        <v>9427</v>
      </c>
    </row>
    <row r="4124" spans="1:9" x14ac:dyDescent="0.25">
      <c r="A4124" s="16" t="s">
        <v>5065</v>
      </c>
      <c r="B4124" s="16" t="str">
        <f>TEXT(PARTIDA[[#This Row],[PARTIDA]],"0000000000")</f>
        <v>5112194000</v>
      </c>
      <c r="C4124" s="16" t="s">
        <v>815</v>
      </c>
      <c r="D4124" s="16" t="s">
        <v>835</v>
      </c>
      <c r="E4124" s="16" t="s">
        <v>844</v>
      </c>
      <c r="F4124" s="27" t="s">
        <v>12898</v>
      </c>
      <c r="G4124" s="27"/>
      <c r="H4124" s="16" t="str">
        <f>IF(ISBLANK(PARTIDAS!$G4124),PARTIDAS!$F4124,CONCATENATE(PARTIDAS!$F4124," (",PARTIDAS!$G4124,")"))</f>
        <v xml:space="preserve">Tejidos de lana peinada o pelo fino peinado, con un contenido de lana o pelo fino superior o igual al 85 % en peso, de alpaca o de llama (incluido el </v>
      </c>
      <c r="I4124" s="16" t="s">
        <v>9427</v>
      </c>
    </row>
    <row r="4125" spans="1:9" x14ac:dyDescent="0.25">
      <c r="A4125" s="16" t="s">
        <v>5066</v>
      </c>
      <c r="B4125" s="16" t="str">
        <f>TEXT(PARTIDA[[#This Row],[PARTIDA]],"0000000000")</f>
        <v>5112199000</v>
      </c>
      <c r="C4125" s="16" t="s">
        <v>815</v>
      </c>
      <c r="D4125" s="16" t="s">
        <v>835</v>
      </c>
      <c r="E4125" s="16" t="s">
        <v>844</v>
      </c>
      <c r="F4125" s="27" t="s">
        <v>12899</v>
      </c>
      <c r="G4125" s="27"/>
      <c r="H4125" s="16" t="str">
        <f>IF(ISBLANK(PARTIDAS!$G4125),PARTIDAS!$F4125,CONCATENATE(PARTIDAS!$F4125," (",PARTIDAS!$G4125,")"))</f>
        <v>Tejidos de lana peinada o pelo fino peinado, con un contenido de lana o pelo fino superior o igual al 85 % en peso (los demás)</v>
      </c>
      <c r="I4125" s="16" t="s">
        <v>9427</v>
      </c>
    </row>
    <row r="4126" spans="1:9" x14ac:dyDescent="0.25">
      <c r="A4126" s="16" t="s">
        <v>5067</v>
      </c>
      <c r="B4126" s="16" t="str">
        <f>TEXT(PARTIDA[[#This Row],[PARTIDA]],"0000000000")</f>
        <v>5112201000</v>
      </c>
      <c r="C4126" s="16" t="s">
        <v>815</v>
      </c>
      <c r="D4126" s="16" t="s">
        <v>835</v>
      </c>
      <c r="E4126" s="16" t="s">
        <v>844</v>
      </c>
      <c r="F4126" s="27" t="s">
        <v>12900</v>
      </c>
      <c r="G4126" s="27"/>
      <c r="H4126" s="16" t="str">
        <f>IF(ISBLANK(PARTIDAS!$G4126),PARTIDAS!$F4126,CONCATENATE(PARTIDAS!$F4126," (",PARTIDAS!$G4126,")"))</f>
        <v>Tejidos de lana peinada o pelo fino peinado, de lana</v>
      </c>
      <c r="I4126" s="16" t="s">
        <v>9427</v>
      </c>
    </row>
    <row r="4127" spans="1:9" x14ac:dyDescent="0.25">
      <c r="A4127" s="16" t="s">
        <v>5068</v>
      </c>
      <c r="B4127" s="16" t="str">
        <f>TEXT(PARTIDA[[#This Row],[PARTIDA]],"0000000000")</f>
        <v>5112202000</v>
      </c>
      <c r="C4127" s="16" t="s">
        <v>815</v>
      </c>
      <c r="D4127" s="16" t="s">
        <v>835</v>
      </c>
      <c r="E4127" s="16" t="s">
        <v>844</v>
      </c>
      <c r="F4127" s="27" t="s">
        <v>12901</v>
      </c>
      <c r="G4127" s="27"/>
      <c r="H4127" s="16" t="str">
        <f>IF(ISBLANK(PARTIDAS!$G4127),PARTIDAS!$F4127,CONCATENATE(PARTIDAS!$F4127," (",PARTIDAS!$G4127,")"))</f>
        <v>Tejidos de lana peinada o pelo fino peinado, de vicuña</v>
      </c>
      <c r="I4127" s="16" t="s">
        <v>9427</v>
      </c>
    </row>
    <row r="4128" spans="1:9" x14ac:dyDescent="0.25">
      <c r="A4128" s="16" t="s">
        <v>5069</v>
      </c>
      <c r="B4128" s="16" t="str">
        <f>TEXT(PARTIDA[[#This Row],[PARTIDA]],"0000000000")</f>
        <v>5112204000</v>
      </c>
      <c r="C4128" s="16" t="s">
        <v>815</v>
      </c>
      <c r="D4128" s="16" t="s">
        <v>835</v>
      </c>
      <c r="E4128" s="16" t="s">
        <v>844</v>
      </c>
      <c r="F4128" s="27" t="s">
        <v>12902</v>
      </c>
      <c r="G4128" s="27"/>
      <c r="H4128" s="16" t="str">
        <f>IF(ISBLANK(PARTIDAS!$G4128),PARTIDAS!$F4128,CONCATENATE(PARTIDAS!$F4128," (",PARTIDAS!$G4128,")"))</f>
        <v>Tejidos de lana peinada o pelo fino peinado, de alpaca o de llama (incluido el guanaco)</v>
      </c>
      <c r="I4128" s="16" t="s">
        <v>9427</v>
      </c>
    </row>
    <row r="4129" spans="1:9" x14ac:dyDescent="0.25">
      <c r="A4129" s="16" t="s">
        <v>5070</v>
      </c>
      <c r="B4129" s="16" t="str">
        <f>TEXT(PARTIDA[[#This Row],[PARTIDA]],"0000000000")</f>
        <v>5112209000</v>
      </c>
      <c r="C4129" s="16" t="s">
        <v>815</v>
      </c>
      <c r="D4129" s="16" t="s">
        <v>835</v>
      </c>
      <c r="E4129" s="16" t="s">
        <v>844</v>
      </c>
      <c r="F4129" s="27" t="s">
        <v>12903</v>
      </c>
      <c r="G4129" s="27"/>
      <c r="H4129" s="16" t="str">
        <f>IF(ISBLANK(PARTIDAS!$G4129),PARTIDAS!$F4129,CONCATENATE(PARTIDAS!$F4129," (",PARTIDAS!$G4129,")"))</f>
        <v>Tejidos de lana peinada o pelo fino peinado (los demás)</v>
      </c>
      <c r="I4129" s="16" t="s">
        <v>9427</v>
      </c>
    </row>
    <row r="4130" spans="1:9" x14ac:dyDescent="0.25">
      <c r="A4130" s="16" t="s">
        <v>5071</v>
      </c>
      <c r="B4130" s="16" t="str">
        <f>TEXT(PARTIDA[[#This Row],[PARTIDA]],"0000000000")</f>
        <v>5112301000</v>
      </c>
      <c r="C4130" s="16" t="s">
        <v>815</v>
      </c>
      <c r="D4130" s="16" t="s">
        <v>835</v>
      </c>
      <c r="E4130" s="16" t="s">
        <v>842</v>
      </c>
      <c r="F4130" s="27" t="s">
        <v>12900</v>
      </c>
      <c r="G4130" s="27"/>
      <c r="H4130" s="16" t="str">
        <f>IF(ISBLANK(PARTIDAS!$G4130),PARTIDAS!$F4130,CONCATENATE(PARTIDAS!$F4130," (",PARTIDAS!$G4130,")"))</f>
        <v>Tejidos de lana peinada o pelo fino peinado, de lana</v>
      </c>
      <c r="I4130" s="16" t="s">
        <v>9427</v>
      </c>
    </row>
    <row r="4131" spans="1:9" x14ac:dyDescent="0.25">
      <c r="A4131" s="16" t="s">
        <v>5072</v>
      </c>
      <c r="B4131" s="16" t="str">
        <f>TEXT(PARTIDA[[#This Row],[PARTIDA]],"0000000000")</f>
        <v>5112302000</v>
      </c>
      <c r="C4131" s="16" t="s">
        <v>815</v>
      </c>
      <c r="D4131" s="16" t="s">
        <v>835</v>
      </c>
      <c r="E4131" s="16" t="s">
        <v>842</v>
      </c>
      <c r="F4131" s="27" t="s">
        <v>12901</v>
      </c>
      <c r="G4131" s="27"/>
      <c r="H4131" s="16" t="str">
        <f>IF(ISBLANK(PARTIDAS!$G4131),PARTIDAS!$F4131,CONCATENATE(PARTIDAS!$F4131," (",PARTIDAS!$G4131,")"))</f>
        <v>Tejidos de lana peinada o pelo fino peinado, de vicuña</v>
      </c>
      <c r="I4131" s="16" t="s">
        <v>9427</v>
      </c>
    </row>
    <row r="4132" spans="1:9" x14ac:dyDescent="0.25">
      <c r="A4132" s="16" t="s">
        <v>5073</v>
      </c>
      <c r="B4132" s="16" t="str">
        <f>TEXT(PARTIDA[[#This Row],[PARTIDA]],"0000000000")</f>
        <v>5112304000</v>
      </c>
      <c r="C4132" s="16" t="s">
        <v>815</v>
      </c>
      <c r="D4132" s="16" t="s">
        <v>835</v>
      </c>
      <c r="E4132" s="16" t="s">
        <v>842</v>
      </c>
      <c r="F4132" s="27" t="s">
        <v>12902</v>
      </c>
      <c r="G4132" s="27"/>
      <c r="H4132" s="16" t="str">
        <f>IF(ISBLANK(PARTIDAS!$G4132),PARTIDAS!$F4132,CONCATENATE(PARTIDAS!$F4132," (",PARTIDAS!$G4132,")"))</f>
        <v>Tejidos de lana peinada o pelo fino peinado, de alpaca o de llama (incluido el guanaco)</v>
      </c>
      <c r="I4132" s="16" t="s">
        <v>9427</v>
      </c>
    </row>
    <row r="4133" spans="1:9" x14ac:dyDescent="0.25">
      <c r="A4133" s="16" t="s">
        <v>5074</v>
      </c>
      <c r="B4133" s="16" t="str">
        <f>TEXT(PARTIDA[[#This Row],[PARTIDA]],"0000000000")</f>
        <v>5112309000</v>
      </c>
      <c r="C4133" s="16" t="s">
        <v>815</v>
      </c>
      <c r="D4133" s="16" t="s">
        <v>835</v>
      </c>
      <c r="E4133" s="16" t="s">
        <v>842</v>
      </c>
      <c r="F4133" s="27" t="s">
        <v>12903</v>
      </c>
      <c r="G4133" s="27"/>
      <c r="H4133" s="16" t="str">
        <f>IF(ISBLANK(PARTIDAS!$G4133),PARTIDAS!$F4133,CONCATENATE(PARTIDAS!$F4133," (",PARTIDAS!$G4133,")"))</f>
        <v>Tejidos de lana peinada o pelo fino peinado (los demás)</v>
      </c>
      <c r="I4133" s="16" t="s">
        <v>9427</v>
      </c>
    </row>
    <row r="4134" spans="1:9" x14ac:dyDescent="0.25">
      <c r="A4134" s="16" t="s">
        <v>5075</v>
      </c>
      <c r="B4134" s="16" t="str">
        <f>TEXT(PARTIDA[[#This Row],[PARTIDA]],"0000000000")</f>
        <v>5112901000</v>
      </c>
      <c r="C4134" s="16" t="s">
        <v>815</v>
      </c>
      <c r="D4134" s="16" t="s">
        <v>835</v>
      </c>
      <c r="E4134" s="16" t="s">
        <v>844</v>
      </c>
      <c r="F4134" s="27" t="s">
        <v>12900</v>
      </c>
      <c r="G4134" s="27"/>
      <c r="H4134" s="16" t="str">
        <f>IF(ISBLANK(PARTIDAS!$G4134),PARTIDAS!$F4134,CONCATENATE(PARTIDAS!$F4134," (",PARTIDAS!$G4134,")"))</f>
        <v>Tejidos de lana peinada o pelo fino peinado, de lana</v>
      </c>
      <c r="I4134" s="16" t="s">
        <v>9427</v>
      </c>
    </row>
    <row r="4135" spans="1:9" x14ac:dyDescent="0.25">
      <c r="A4135" s="16" t="s">
        <v>5076</v>
      </c>
      <c r="B4135" s="16" t="str">
        <f>TEXT(PARTIDA[[#This Row],[PARTIDA]],"0000000000")</f>
        <v>5112902000</v>
      </c>
      <c r="C4135" s="16" t="s">
        <v>815</v>
      </c>
      <c r="D4135" s="16" t="s">
        <v>835</v>
      </c>
      <c r="E4135" s="16" t="s">
        <v>844</v>
      </c>
      <c r="F4135" s="27" t="s">
        <v>12901</v>
      </c>
      <c r="G4135" s="27"/>
      <c r="H4135" s="16" t="str">
        <f>IF(ISBLANK(PARTIDAS!$G4135),PARTIDAS!$F4135,CONCATENATE(PARTIDAS!$F4135," (",PARTIDAS!$G4135,")"))</f>
        <v>Tejidos de lana peinada o pelo fino peinado, de vicuña</v>
      </c>
      <c r="I4135" s="16" t="s">
        <v>9427</v>
      </c>
    </row>
    <row r="4136" spans="1:9" x14ac:dyDescent="0.25">
      <c r="A4136" s="16" t="s">
        <v>5077</v>
      </c>
      <c r="B4136" s="16" t="str">
        <f>TEXT(PARTIDA[[#This Row],[PARTIDA]],"0000000000")</f>
        <v>5112904000</v>
      </c>
      <c r="C4136" s="16" t="s">
        <v>815</v>
      </c>
      <c r="D4136" s="16" t="s">
        <v>835</v>
      </c>
      <c r="E4136" s="16" t="s">
        <v>844</v>
      </c>
      <c r="F4136" s="27" t="s">
        <v>12902</v>
      </c>
      <c r="G4136" s="27"/>
      <c r="H4136" s="16" t="str">
        <f>IF(ISBLANK(PARTIDAS!$G4136),PARTIDAS!$F4136,CONCATENATE(PARTIDAS!$F4136," (",PARTIDAS!$G4136,")"))</f>
        <v>Tejidos de lana peinada o pelo fino peinado, de alpaca o de llama (incluido el guanaco)</v>
      </c>
      <c r="I4136" s="16" t="s">
        <v>9427</v>
      </c>
    </row>
    <row r="4137" spans="1:9" x14ac:dyDescent="0.25">
      <c r="A4137" s="16" t="s">
        <v>5078</v>
      </c>
      <c r="B4137" s="16" t="str">
        <f>TEXT(PARTIDA[[#This Row],[PARTIDA]],"0000000000")</f>
        <v>5112909000</v>
      </c>
      <c r="C4137" s="16" t="s">
        <v>815</v>
      </c>
      <c r="D4137" s="16" t="s">
        <v>835</v>
      </c>
      <c r="E4137" s="16" t="s">
        <v>844</v>
      </c>
      <c r="F4137" s="27" t="s">
        <v>12903</v>
      </c>
      <c r="G4137" s="27"/>
      <c r="H4137" s="16" t="str">
        <f>IF(ISBLANK(PARTIDAS!$G4137),PARTIDAS!$F4137,CONCATENATE(PARTIDAS!$F4137," (",PARTIDAS!$G4137,")"))</f>
        <v>Tejidos de lana peinada o pelo fino peinado (los demás)</v>
      </c>
      <c r="I4137" s="16" t="s">
        <v>9427</v>
      </c>
    </row>
    <row r="4138" spans="1:9" x14ac:dyDescent="0.25">
      <c r="A4138" s="16" t="s">
        <v>5079</v>
      </c>
      <c r="B4138" s="16" t="str">
        <f>TEXT(PARTIDA[[#This Row],[PARTIDA]],"0000000000")</f>
        <v>5113000000</v>
      </c>
      <c r="C4138" s="16" t="s">
        <v>815</v>
      </c>
      <c r="D4138" s="16" t="s">
        <v>835</v>
      </c>
      <c r="E4138" s="16" t="s">
        <v>844</v>
      </c>
      <c r="F4138" s="27" t="s">
        <v>5080</v>
      </c>
      <c r="G4138" s="27"/>
      <c r="H4138" s="16" t="str">
        <f>IF(ISBLANK(PARTIDAS!$G4138),PARTIDAS!$F4138,CONCATENATE(PARTIDAS!$F4138," (",PARTIDAS!$G4138,")"))</f>
        <v>Tejidos de pelo ordinario o de crin.</v>
      </c>
      <c r="I4138" s="16" t="s">
        <v>9427</v>
      </c>
    </row>
    <row r="4139" spans="1:9" x14ac:dyDescent="0.25">
      <c r="A4139" s="16" t="s">
        <v>5081</v>
      </c>
      <c r="B4139" s="16" t="str">
        <f>TEXT(PARTIDA[[#This Row],[PARTIDA]],"0000000000")</f>
        <v>5201001000</v>
      </c>
      <c r="C4139" s="16" t="s">
        <v>815</v>
      </c>
      <c r="D4139" s="16" t="s">
        <v>835</v>
      </c>
      <c r="E4139" s="16" t="s">
        <v>842</v>
      </c>
      <c r="F4139" s="27" t="s">
        <v>5082</v>
      </c>
      <c r="G4139" s="27"/>
      <c r="H4139" s="16" t="str">
        <f>IF(ISBLANK(PARTIDAS!$G4139),PARTIDAS!$F4139,CONCATENATE(PARTIDAS!$F4139," (",PARTIDAS!$G4139,")"))</f>
        <v>Productos textiles de algodón</v>
      </c>
      <c r="I4139" s="16" t="s">
        <v>9427</v>
      </c>
    </row>
    <row r="4140" spans="1:9" x14ac:dyDescent="0.25">
      <c r="A4140" s="16" t="s">
        <v>5083</v>
      </c>
      <c r="B4140" s="16" t="str">
        <f>TEXT(PARTIDA[[#This Row],[PARTIDA]],"0000000000")</f>
        <v>5201002000</v>
      </c>
      <c r="C4140" s="16" t="s">
        <v>815</v>
      </c>
      <c r="D4140" s="16" t="s">
        <v>835</v>
      </c>
      <c r="E4140" s="16" t="s">
        <v>842</v>
      </c>
      <c r="F4140" s="27" t="s">
        <v>12904</v>
      </c>
      <c r="G4140" s="27"/>
      <c r="H4140" s="16" t="str">
        <f>IF(ISBLANK(PARTIDAS!$G4140),PARTIDAS!$F4140,CONCATENATE(PARTIDAS!$F4140," (",PARTIDAS!$G4140,")"))</f>
        <v>Algodón, de longitud de fibra superior a 28,57 mm (1 1/8 pulgada) pero inferior o igual a 34,92 mm (1 3/8 pulgada)</v>
      </c>
      <c r="I4140" s="16" t="s">
        <v>9427</v>
      </c>
    </row>
    <row r="4141" spans="1:9" x14ac:dyDescent="0.25">
      <c r="A4141" s="16" t="s">
        <v>5084</v>
      </c>
      <c r="B4141" s="16" t="str">
        <f>TEXT(PARTIDA[[#This Row],[PARTIDA]],"0000000000")</f>
        <v>5201003000</v>
      </c>
      <c r="C4141" s="16" t="s">
        <v>815</v>
      </c>
      <c r="D4141" s="16" t="s">
        <v>835</v>
      </c>
      <c r="E4141" s="16" t="s">
        <v>842</v>
      </c>
      <c r="F4141" s="27" t="s">
        <v>12905</v>
      </c>
      <c r="G4141" s="27"/>
      <c r="H4141" s="16" t="str">
        <f>IF(ISBLANK(PARTIDAS!$G4141),PARTIDAS!$F4141,CONCATENATE(PARTIDAS!$F4141," (",PARTIDAS!$G4141,")"))</f>
        <v>Algodón, de longitud de fibra superior a 22,22 mm (7/8 pulgada) pero inferior o igual a 28,57 mm (1 1/8 pulgada)</v>
      </c>
      <c r="I4141" s="16" t="s">
        <v>9427</v>
      </c>
    </row>
    <row r="4142" spans="1:9" x14ac:dyDescent="0.25">
      <c r="A4142" s="16" t="s">
        <v>5085</v>
      </c>
      <c r="B4142" s="16" t="str">
        <f>TEXT(PARTIDA[[#This Row],[PARTIDA]],"0000000000")</f>
        <v>5201009000</v>
      </c>
      <c r="C4142" s="16" t="s">
        <v>815</v>
      </c>
      <c r="D4142" s="16" t="s">
        <v>835</v>
      </c>
      <c r="E4142" s="16" t="s">
        <v>842</v>
      </c>
      <c r="F4142" s="27" t="s">
        <v>12906</v>
      </c>
      <c r="G4142" s="27"/>
      <c r="H4142" s="16" t="str">
        <f>IF(ISBLANK(PARTIDAS!$G4142),PARTIDAS!$F4142,CONCATENATE(PARTIDAS!$F4142," (",PARTIDAS!$G4142,")"))</f>
        <v>Algodón, de longitud de fibra inferior o igual a 22,22 mm (7/8 pulgada)</v>
      </c>
      <c r="I4142" s="16" t="s">
        <v>9427</v>
      </c>
    </row>
    <row r="4143" spans="1:9" x14ac:dyDescent="0.25">
      <c r="A4143" s="16" t="s">
        <v>5086</v>
      </c>
      <c r="B4143" s="16" t="str">
        <f>TEXT(PARTIDA[[#This Row],[PARTIDA]],"0000000000")</f>
        <v>5202100000</v>
      </c>
      <c r="C4143" s="16" t="s">
        <v>815</v>
      </c>
      <c r="D4143" s="16" t="s">
        <v>835</v>
      </c>
      <c r="E4143" s="16" t="s">
        <v>842</v>
      </c>
      <c r="F4143" s="27" t="s">
        <v>12907</v>
      </c>
      <c r="G4143" s="27"/>
      <c r="H4143" s="16" t="str">
        <f>IF(ISBLANK(PARTIDAS!$G4143),PARTIDAS!$F4143,CONCATENATE(PARTIDAS!$F4143," (",PARTIDAS!$G4143,")"))</f>
        <v>Desperdicios de hilados</v>
      </c>
      <c r="I4143" s="16" t="s">
        <v>9427</v>
      </c>
    </row>
    <row r="4144" spans="1:9" x14ac:dyDescent="0.25">
      <c r="A4144" s="16" t="s">
        <v>5087</v>
      </c>
      <c r="B4144" s="16" t="str">
        <f>TEXT(PARTIDA[[#This Row],[PARTIDA]],"0000000000")</f>
        <v>5202910000</v>
      </c>
      <c r="C4144" s="16" t="s">
        <v>815</v>
      </c>
      <c r="D4144" s="16" t="s">
        <v>835</v>
      </c>
      <c r="E4144" s="16" t="s">
        <v>842</v>
      </c>
      <c r="F4144" s="27" t="s">
        <v>12908</v>
      </c>
      <c r="G4144" s="27"/>
      <c r="H4144" s="16" t="str">
        <f>IF(ISBLANK(PARTIDAS!$G4144),PARTIDAS!$F4144,CONCATENATE(PARTIDAS!$F4144," (",PARTIDAS!$G4144,")"))</f>
        <v>Desperdicios de algodón (incluidos los desperdicios de hilados y las…, hilachas</v>
      </c>
      <c r="I4144" s="16" t="s">
        <v>9427</v>
      </c>
    </row>
    <row r="4145" spans="1:9" x14ac:dyDescent="0.25">
      <c r="A4145" s="16" t="s">
        <v>5088</v>
      </c>
      <c r="B4145" s="16" t="str">
        <f>TEXT(PARTIDA[[#This Row],[PARTIDA]],"0000000000")</f>
        <v>5202990000</v>
      </c>
      <c r="C4145" s="16" t="s">
        <v>815</v>
      </c>
      <c r="D4145" s="16" t="s">
        <v>835</v>
      </c>
      <c r="E4145" s="16" t="s">
        <v>842</v>
      </c>
      <c r="F4145" s="27" t="s">
        <v>12909</v>
      </c>
      <c r="G4145" s="27"/>
      <c r="H4145" s="16" t="str">
        <f>IF(ISBLANK(PARTIDAS!$G4145),PARTIDAS!$F4145,CONCATENATE(PARTIDAS!$F4145," (",PARTIDAS!$G4145,")"))</f>
        <v>Desperdicios de algodón (incluidos los desperdicios de hilados y las… (los demás)</v>
      </c>
      <c r="I4145" s="16" t="s">
        <v>9427</v>
      </c>
    </row>
    <row r="4146" spans="1:9" x14ac:dyDescent="0.25">
      <c r="A4146" s="16" t="s">
        <v>5089</v>
      </c>
      <c r="B4146" s="16" t="str">
        <f>TEXT(PARTIDA[[#This Row],[PARTIDA]],"0000000000")</f>
        <v>5203000000</v>
      </c>
      <c r="C4146" s="16" t="s">
        <v>815</v>
      </c>
      <c r="D4146" s="16" t="s">
        <v>835</v>
      </c>
      <c r="E4146" s="16" t="s">
        <v>842</v>
      </c>
      <c r="F4146" s="27" t="s">
        <v>5090</v>
      </c>
      <c r="G4146" s="27"/>
      <c r="H4146" s="16" t="str">
        <f>IF(ISBLANK(PARTIDAS!$G4146),PARTIDAS!$F4146,CONCATENATE(PARTIDAS!$F4146," (",PARTIDAS!$G4146,")"))</f>
        <v>Algodón cardado o peinado.</v>
      </c>
      <c r="I4146" s="16" t="s">
        <v>9427</v>
      </c>
    </row>
    <row r="4147" spans="1:9" x14ac:dyDescent="0.25">
      <c r="A4147" s="16" t="s">
        <v>5091</v>
      </c>
      <c r="B4147" s="16" t="str">
        <f>TEXT(PARTIDA[[#This Row],[PARTIDA]],"0000000000")</f>
        <v>5204110000</v>
      </c>
      <c r="C4147" s="16" t="s">
        <v>815</v>
      </c>
      <c r="D4147" s="16" t="s">
        <v>835</v>
      </c>
      <c r="E4147" s="16" t="s">
        <v>842</v>
      </c>
      <c r="F4147" s="27" t="s">
        <v>12910</v>
      </c>
      <c r="G4147" s="27"/>
      <c r="H4147" s="16" t="str">
        <f>IF(ISBLANK(PARTIDAS!$G4147),PARTIDAS!$F4147,CONCATENATE(PARTIDAS!$F4147," (",PARTIDAS!$G4147,")"))</f>
        <v>Hilo de coser de algodón, incluso acondicionado para…, sin acondicionar para la venta al por menor, con un contenido de algodón superior o igual al 85</v>
      </c>
      <c r="I4147" s="16" t="s">
        <v>9427</v>
      </c>
    </row>
    <row r="4148" spans="1:9" x14ac:dyDescent="0.25">
      <c r="A4148" s="16" t="s">
        <v>5092</v>
      </c>
      <c r="B4148" s="16" t="str">
        <f>TEXT(PARTIDA[[#This Row],[PARTIDA]],"0000000000")</f>
        <v>5204190000</v>
      </c>
      <c r="C4148" s="16" t="s">
        <v>815</v>
      </c>
      <c r="D4148" s="16" t="s">
        <v>835</v>
      </c>
      <c r="E4148" s="16" t="s">
        <v>842</v>
      </c>
      <c r="F4148" s="27" t="s">
        <v>12911</v>
      </c>
      <c r="G4148" s="27"/>
      <c r="H4148" s="16" t="str">
        <f>IF(ISBLANK(PARTIDAS!$G4148),PARTIDAS!$F4148,CONCATENATE(PARTIDAS!$F4148," (",PARTIDAS!$G4148,")"))</f>
        <v>Hilo de coser de algodón, incluso acondicionado para…, sin acondicionar para la venta al por menor (los demás)</v>
      </c>
      <c r="I4148" s="16" t="s">
        <v>9427</v>
      </c>
    </row>
    <row r="4149" spans="1:9" x14ac:dyDescent="0.25">
      <c r="A4149" s="16" t="s">
        <v>5093</v>
      </c>
      <c r="B4149" s="16" t="str">
        <f>TEXT(PARTIDA[[#This Row],[PARTIDA]],"0000000000")</f>
        <v>5204200000</v>
      </c>
      <c r="C4149" s="16" t="s">
        <v>815</v>
      </c>
      <c r="D4149" s="16" t="s">
        <v>835</v>
      </c>
      <c r="E4149" s="16" t="s">
        <v>842</v>
      </c>
      <c r="F4149" s="27" t="s">
        <v>12912</v>
      </c>
      <c r="G4149" s="27"/>
      <c r="H4149" s="16" t="str">
        <f>IF(ISBLANK(PARTIDAS!$G4149),PARTIDAS!$F4149,CONCATENATE(PARTIDAS!$F4149," (",PARTIDAS!$G4149,")"))</f>
        <v>Acondicionado para la venta al por menor</v>
      </c>
      <c r="I4149" s="16" t="s">
        <v>9427</v>
      </c>
    </row>
    <row r="4150" spans="1:9" x14ac:dyDescent="0.25">
      <c r="A4150" s="16" t="s">
        <v>5094</v>
      </c>
      <c r="B4150" s="16" t="str">
        <f>TEXT(PARTIDA[[#This Row],[PARTIDA]],"0000000000")</f>
        <v>5205110000</v>
      </c>
      <c r="C4150" s="16" t="s">
        <v>815</v>
      </c>
      <c r="D4150" s="16" t="s">
        <v>835</v>
      </c>
      <c r="E4150" s="16" t="s">
        <v>842</v>
      </c>
      <c r="F4150" s="27" t="s">
        <v>12913</v>
      </c>
      <c r="G4150" s="27"/>
      <c r="H4150" s="16" t="str">
        <f>IF(ISBLANK(PARTIDAS!$G4150),PARTIDAS!$F4150,CONCATENATE(PARTIDAS!$F4150," (",PARTIDAS!$G4150,")"))</f>
        <v>Hilados sencillos de fibras sin peinar, de título superior o igual a 714,29 decitex (inferior o igual al número métrico 14)</v>
      </c>
      <c r="I4150" s="16" t="s">
        <v>9427</v>
      </c>
    </row>
    <row r="4151" spans="1:9" x14ac:dyDescent="0.25">
      <c r="A4151" s="16" t="s">
        <v>5095</v>
      </c>
      <c r="B4151" s="16" t="str">
        <f>TEXT(PARTIDA[[#This Row],[PARTIDA]],"0000000000")</f>
        <v>5205120000</v>
      </c>
      <c r="C4151" s="16" t="s">
        <v>815</v>
      </c>
      <c r="D4151" s="16" t="s">
        <v>835</v>
      </c>
      <c r="E4151" s="16" t="s">
        <v>842</v>
      </c>
      <c r="F4151" s="27" t="s">
        <v>12914</v>
      </c>
      <c r="G4151" s="27"/>
      <c r="H4151" s="16" t="str">
        <f>IF(ISBLANK(PARTIDAS!$G4151),PARTIDAS!$F4151,CONCATENATE(PARTIDAS!$F4151," (",PARTIDAS!$G4151,")"))</f>
        <v>Hilados sencillos de fibras sin peinar, de título inferior a 714,29 decitex pero superior o igual a 232,56 decitex (superior al número métrico 14 pero</v>
      </c>
      <c r="I4151" s="16" t="s">
        <v>9427</v>
      </c>
    </row>
    <row r="4152" spans="1:9" x14ac:dyDescent="0.25">
      <c r="A4152" s="16" t="s">
        <v>5096</v>
      </c>
      <c r="B4152" s="16" t="str">
        <f>TEXT(PARTIDA[[#This Row],[PARTIDA]],"0000000000")</f>
        <v>5205130000</v>
      </c>
      <c r="C4152" s="16" t="s">
        <v>815</v>
      </c>
      <c r="D4152" s="16" t="s">
        <v>835</v>
      </c>
      <c r="E4152" s="16" t="s">
        <v>842</v>
      </c>
      <c r="F4152" s="27" t="s">
        <v>12915</v>
      </c>
      <c r="G4152" s="27"/>
      <c r="H4152" s="16" t="str">
        <f>IF(ISBLANK(PARTIDAS!$G4152),PARTIDAS!$F4152,CONCATENATE(PARTIDAS!$F4152," (",PARTIDAS!$G4152,")"))</f>
        <v>Hilados sencillos de fibras sin peinar, de título inferior a 232,56 decitex pero superior o igual a 192,31 decitex (superior al número métrico 43 pero</v>
      </c>
      <c r="I4152" s="16" t="s">
        <v>9427</v>
      </c>
    </row>
    <row r="4153" spans="1:9" x14ac:dyDescent="0.25">
      <c r="A4153" s="16" t="s">
        <v>5097</v>
      </c>
      <c r="B4153" s="16" t="str">
        <f>TEXT(PARTIDA[[#This Row],[PARTIDA]],"0000000000")</f>
        <v>5205140000</v>
      </c>
      <c r="C4153" s="16" t="s">
        <v>815</v>
      </c>
      <c r="D4153" s="16" t="s">
        <v>835</v>
      </c>
      <c r="E4153" s="16" t="s">
        <v>842</v>
      </c>
      <c r="F4153" s="27" t="s">
        <v>12916</v>
      </c>
      <c r="G4153" s="27"/>
      <c r="H4153" s="16" t="str">
        <f>IF(ISBLANK(PARTIDAS!$G4153),PARTIDAS!$F4153,CONCATENATE(PARTIDAS!$F4153," (",PARTIDAS!$G4153,")"))</f>
        <v>Hilados sencillos de fibras sin peinar, de título inferior a 192,31 decitex pero superior o igual a 125 decitex (superior al número métrico 52 pero in</v>
      </c>
      <c r="I4153" s="16" t="s">
        <v>9427</v>
      </c>
    </row>
    <row r="4154" spans="1:9" x14ac:dyDescent="0.25">
      <c r="A4154" s="16" t="s">
        <v>5098</v>
      </c>
      <c r="B4154" s="16" t="str">
        <f>TEXT(PARTIDA[[#This Row],[PARTIDA]],"0000000000")</f>
        <v>5205150000</v>
      </c>
      <c r="C4154" s="16" t="s">
        <v>815</v>
      </c>
      <c r="D4154" s="16" t="s">
        <v>835</v>
      </c>
      <c r="E4154" s="16" t="s">
        <v>842</v>
      </c>
      <c r="F4154" s="27" t="s">
        <v>12917</v>
      </c>
      <c r="G4154" s="27"/>
      <c r="H4154" s="16" t="str">
        <f>IF(ISBLANK(PARTIDAS!$G4154),PARTIDAS!$F4154,CONCATENATE(PARTIDAS!$F4154," (",PARTIDAS!$G4154,")"))</f>
        <v>Hilados sencillos de fibras sin peinar, de título inferior a 125 decitex (superior al número métrico 80)</v>
      </c>
      <c r="I4154" s="16" t="s">
        <v>9427</v>
      </c>
    </row>
    <row r="4155" spans="1:9" x14ac:dyDescent="0.25">
      <c r="A4155" s="16" t="s">
        <v>5099</v>
      </c>
      <c r="B4155" s="16" t="str">
        <f>TEXT(PARTIDA[[#This Row],[PARTIDA]],"0000000000")</f>
        <v>5205210000</v>
      </c>
      <c r="C4155" s="16" t="s">
        <v>815</v>
      </c>
      <c r="D4155" s="16" t="s">
        <v>835</v>
      </c>
      <c r="E4155" s="16" t="s">
        <v>842</v>
      </c>
      <c r="F4155" s="27" t="s">
        <v>12918</v>
      </c>
      <c r="G4155" s="27"/>
      <c r="H4155" s="16" t="str">
        <f>IF(ISBLANK(PARTIDAS!$G4155),PARTIDAS!$F4155,CONCATENATE(PARTIDAS!$F4155," (",PARTIDAS!$G4155,")"))</f>
        <v>Hilados sencillos de fibras peinadas, de título superior o igual a 714,29 decitex (inferior o igual al número métrico 14)</v>
      </c>
      <c r="I4155" s="16" t="s">
        <v>9427</v>
      </c>
    </row>
    <row r="4156" spans="1:9" x14ac:dyDescent="0.25">
      <c r="A4156" s="16" t="s">
        <v>5100</v>
      </c>
      <c r="B4156" s="16" t="str">
        <f>TEXT(PARTIDA[[#This Row],[PARTIDA]],"0000000000")</f>
        <v>5205220000</v>
      </c>
      <c r="C4156" s="16" t="s">
        <v>815</v>
      </c>
      <c r="D4156" s="16" t="s">
        <v>835</v>
      </c>
      <c r="E4156" s="16" t="s">
        <v>842</v>
      </c>
      <c r="F4156" s="27" t="s">
        <v>12919</v>
      </c>
      <c r="G4156" s="27"/>
      <c r="H4156" s="16" t="str">
        <f>IF(ISBLANK(PARTIDAS!$G4156),PARTIDAS!$F4156,CONCATENATE(PARTIDAS!$F4156," (",PARTIDAS!$G4156,")"))</f>
        <v>Hilados sencillos de fibras peinadas, de título inferior a 714,29 decitex pero superior o igual a 232,56 decitex (superior al número métrico 14 pero i</v>
      </c>
      <c r="I4156" s="16" t="s">
        <v>9427</v>
      </c>
    </row>
    <row r="4157" spans="1:9" x14ac:dyDescent="0.25">
      <c r="A4157" s="16" t="s">
        <v>5101</v>
      </c>
      <c r="B4157" s="16" t="str">
        <f>TEXT(PARTIDA[[#This Row],[PARTIDA]],"0000000000")</f>
        <v>5205230000</v>
      </c>
      <c r="C4157" s="16" t="s">
        <v>815</v>
      </c>
      <c r="D4157" s="16" t="s">
        <v>835</v>
      </c>
      <c r="E4157" s="16" t="s">
        <v>842</v>
      </c>
      <c r="F4157" s="27" t="s">
        <v>12920</v>
      </c>
      <c r="G4157" s="27"/>
      <c r="H4157" s="16" t="str">
        <f>IF(ISBLANK(PARTIDAS!$G4157),PARTIDAS!$F4157,CONCATENATE(PARTIDAS!$F4157," (",PARTIDAS!$G4157,")"))</f>
        <v>Hilados sencillos de fibras peinadas, de título inferior a 232,56 decitex pero superior o igual a 192,31 decitex (superior al número métrico 43 pero i</v>
      </c>
      <c r="I4157" s="16" t="s">
        <v>9427</v>
      </c>
    </row>
    <row r="4158" spans="1:9" x14ac:dyDescent="0.25">
      <c r="A4158" s="16" t="s">
        <v>5102</v>
      </c>
      <c r="B4158" s="16" t="str">
        <f>TEXT(PARTIDA[[#This Row],[PARTIDA]],"0000000000")</f>
        <v>5205240000</v>
      </c>
      <c r="C4158" s="16" t="s">
        <v>815</v>
      </c>
      <c r="D4158" s="16" t="s">
        <v>835</v>
      </c>
      <c r="E4158" s="16" t="s">
        <v>842</v>
      </c>
      <c r="F4158" s="27" t="s">
        <v>12921</v>
      </c>
      <c r="G4158" s="27"/>
      <c r="H4158" s="16" t="str">
        <f>IF(ISBLANK(PARTIDAS!$G4158),PARTIDAS!$F4158,CONCATENATE(PARTIDAS!$F4158," (",PARTIDAS!$G4158,")"))</f>
        <v>Hilados sencillos de fibras peinadas, de título inferior a 192,31 decitex pero superior o igual a 125 decitex (superior al número métrico 52 pero infe</v>
      </c>
      <c r="I4158" s="16" t="s">
        <v>9427</v>
      </c>
    </row>
    <row r="4159" spans="1:9" x14ac:dyDescent="0.25">
      <c r="A4159" s="16" t="s">
        <v>5103</v>
      </c>
      <c r="B4159" s="16" t="str">
        <f>TEXT(PARTIDA[[#This Row],[PARTIDA]],"0000000000")</f>
        <v>5205260000</v>
      </c>
      <c r="C4159" s="16" t="s">
        <v>815</v>
      </c>
      <c r="D4159" s="16" t="s">
        <v>835</v>
      </c>
      <c r="E4159" s="16" t="s">
        <v>842</v>
      </c>
      <c r="F4159" s="27" t="s">
        <v>12922</v>
      </c>
      <c r="G4159" s="27"/>
      <c r="H4159" s="16" t="str">
        <f>IF(ISBLANK(PARTIDAS!$G4159),PARTIDAS!$F4159,CONCATENATE(PARTIDAS!$F4159," (",PARTIDAS!$G4159,")"))</f>
        <v>Hilados sencillos de fibras peinadas, de título inferior a 125 decitex pero superior o igual a 106,38 decitex (superior al número métrico 80 pero infe</v>
      </c>
      <c r="I4159" s="16" t="s">
        <v>9427</v>
      </c>
    </row>
    <row r="4160" spans="1:9" x14ac:dyDescent="0.25">
      <c r="A4160" s="16" t="s">
        <v>5104</v>
      </c>
      <c r="B4160" s="16" t="str">
        <f>TEXT(PARTIDA[[#This Row],[PARTIDA]],"0000000000")</f>
        <v>5205270000</v>
      </c>
      <c r="C4160" s="16" t="s">
        <v>815</v>
      </c>
      <c r="D4160" s="16" t="s">
        <v>835</v>
      </c>
      <c r="E4160" s="16" t="s">
        <v>842</v>
      </c>
      <c r="F4160" s="27" t="s">
        <v>12923</v>
      </c>
      <c r="G4160" s="27"/>
      <c r="H4160" s="16" t="str">
        <f>IF(ISBLANK(PARTIDAS!$G4160),PARTIDAS!$F4160,CONCATENATE(PARTIDAS!$F4160," (",PARTIDAS!$G4160,")"))</f>
        <v>Hilados sencillos de fibras peinadas, de título inferior a 106,38 decitex pero superior o igual a 83,33 decitex (superior al número métrico 94 pero in</v>
      </c>
      <c r="I4160" s="16" t="s">
        <v>9427</v>
      </c>
    </row>
    <row r="4161" spans="1:9" x14ac:dyDescent="0.25">
      <c r="A4161" s="16" t="s">
        <v>5105</v>
      </c>
      <c r="B4161" s="16" t="str">
        <f>TEXT(PARTIDA[[#This Row],[PARTIDA]],"0000000000")</f>
        <v>5205280000</v>
      </c>
      <c r="C4161" s="16" t="s">
        <v>815</v>
      </c>
      <c r="D4161" s="16" t="s">
        <v>835</v>
      </c>
      <c r="E4161" s="16" t="s">
        <v>842</v>
      </c>
      <c r="F4161" s="27" t="s">
        <v>12924</v>
      </c>
      <c r="G4161" s="27"/>
      <c r="H4161" s="16" t="str">
        <f>IF(ISBLANK(PARTIDAS!$G4161),PARTIDAS!$F4161,CONCATENATE(PARTIDAS!$F4161," (",PARTIDAS!$G4161,")"))</f>
        <v>Hilados sencillos de fibras peinadas, de título inferior a 83,33 decitex (superior al número métrico 120)</v>
      </c>
      <c r="I4161" s="16" t="s">
        <v>9427</v>
      </c>
    </row>
    <row r="4162" spans="1:9" x14ac:dyDescent="0.25">
      <c r="A4162" s="16" t="s">
        <v>5106</v>
      </c>
      <c r="B4162" s="16" t="str">
        <f>TEXT(PARTIDA[[#This Row],[PARTIDA]],"0000000000")</f>
        <v>5205310000</v>
      </c>
      <c r="C4162" s="16" t="s">
        <v>815</v>
      </c>
      <c r="D4162" s="16" t="s">
        <v>835</v>
      </c>
      <c r="E4162" s="16" t="s">
        <v>842</v>
      </c>
      <c r="F4162" s="27" t="s">
        <v>12925</v>
      </c>
      <c r="G4162" s="27"/>
      <c r="H4162" s="16" t="str">
        <f>IF(ISBLANK(PARTIDAS!$G4162),PARTIDAS!$F4162,CONCATENATE(PARTIDAS!$F4162," (",PARTIDAS!$G4162,")"))</f>
        <v>Hilados retorcidos o cableados, de fibras sin peinar, de título superior o igual a 714,29 decitex por hilo sencillo (inferior o igual al número métric</v>
      </c>
      <c r="I4162" s="16" t="s">
        <v>9427</v>
      </c>
    </row>
    <row r="4163" spans="1:9" x14ac:dyDescent="0.25">
      <c r="A4163" s="16" t="s">
        <v>5107</v>
      </c>
      <c r="B4163" s="16" t="str">
        <f>TEXT(PARTIDA[[#This Row],[PARTIDA]],"0000000000")</f>
        <v>5205320000</v>
      </c>
      <c r="C4163" s="16" t="s">
        <v>815</v>
      </c>
      <c r="D4163" s="16" t="s">
        <v>835</v>
      </c>
      <c r="E4163" s="16" t="s">
        <v>842</v>
      </c>
      <c r="F4163" s="27" t="s">
        <v>12926</v>
      </c>
      <c r="G4163" s="27"/>
      <c r="H4163" s="16" t="str">
        <f>IF(ISBLANK(PARTIDAS!$G4163),PARTIDAS!$F4163,CONCATENATE(PARTIDAS!$F4163," (",PARTIDAS!$G4163,")"))</f>
        <v>Hilados retorcidos o cableados, de fibras sin peinar, de título inferior a 714,29 decitex pero superior o igual a 232,56 decitex, por hilo sencillo (s</v>
      </c>
      <c r="I4163" s="16" t="s">
        <v>9427</v>
      </c>
    </row>
    <row r="4164" spans="1:9" x14ac:dyDescent="0.25">
      <c r="A4164" s="16" t="s">
        <v>5108</v>
      </c>
      <c r="B4164" s="16" t="str">
        <f>TEXT(PARTIDA[[#This Row],[PARTIDA]],"0000000000")</f>
        <v>5205330000</v>
      </c>
      <c r="C4164" s="16" t="s">
        <v>815</v>
      </c>
      <c r="D4164" s="16" t="s">
        <v>835</v>
      </c>
      <c r="E4164" s="16" t="s">
        <v>842</v>
      </c>
      <c r="F4164" s="27" t="s">
        <v>12927</v>
      </c>
      <c r="G4164" s="27"/>
      <c r="H4164" s="16" t="str">
        <f>IF(ISBLANK(PARTIDAS!$G4164),PARTIDAS!$F4164,CONCATENATE(PARTIDAS!$F4164," (",PARTIDAS!$G4164,")"))</f>
        <v>Hilados retorcidos o cableados, de fibras sin peinar, de título inferior a 232,56 decitex pero superior o igual a 192,31 decitex, por hilo sencillo (s</v>
      </c>
      <c r="I4164" s="16" t="s">
        <v>9427</v>
      </c>
    </row>
    <row r="4165" spans="1:9" x14ac:dyDescent="0.25">
      <c r="A4165" s="16" t="s">
        <v>5109</v>
      </c>
      <c r="B4165" s="16" t="str">
        <f>TEXT(PARTIDA[[#This Row],[PARTIDA]],"0000000000")</f>
        <v>5205340000</v>
      </c>
      <c r="C4165" s="16" t="s">
        <v>815</v>
      </c>
      <c r="D4165" s="16" t="s">
        <v>835</v>
      </c>
      <c r="E4165" s="16" t="s">
        <v>842</v>
      </c>
      <c r="F4165" s="27" t="s">
        <v>12928</v>
      </c>
      <c r="G4165" s="27"/>
      <c r="H4165" s="16" t="str">
        <f>IF(ISBLANK(PARTIDAS!$G4165),PARTIDAS!$F4165,CONCATENATE(PARTIDAS!$F4165," (",PARTIDAS!$G4165,")"))</f>
        <v>Hilados retorcidos o cableados, de fibras sin peinar, de título inferior a 192,31 decitex pero superior o igual a 125 decitex, por hilo sencillo (supe</v>
      </c>
      <c r="I4165" s="16" t="s">
        <v>9427</v>
      </c>
    </row>
    <row r="4166" spans="1:9" x14ac:dyDescent="0.25">
      <c r="A4166" s="16" t="s">
        <v>5110</v>
      </c>
      <c r="B4166" s="16" t="str">
        <f>TEXT(PARTIDA[[#This Row],[PARTIDA]],"0000000000")</f>
        <v>5205350000</v>
      </c>
      <c r="C4166" s="16" t="s">
        <v>815</v>
      </c>
      <c r="D4166" s="16" t="s">
        <v>835</v>
      </c>
      <c r="E4166" s="16" t="s">
        <v>842</v>
      </c>
      <c r="F4166" s="27" t="s">
        <v>12929</v>
      </c>
      <c r="G4166" s="27"/>
      <c r="H4166" s="16" t="str">
        <f>IF(ISBLANK(PARTIDAS!$G4166),PARTIDAS!$F4166,CONCATENATE(PARTIDAS!$F4166," (",PARTIDAS!$G4166,")"))</f>
        <v>Hilados retorcidos o cableados, de fibras sin peinar, de título inferior a 125 decitex por hilo sencillo (superior al número métrico 80 por hilo senci</v>
      </c>
      <c r="I4166" s="16" t="s">
        <v>9427</v>
      </c>
    </row>
    <row r="4167" spans="1:9" x14ac:dyDescent="0.25">
      <c r="A4167" s="16" t="s">
        <v>5111</v>
      </c>
      <c r="B4167" s="16" t="str">
        <f>TEXT(PARTIDA[[#This Row],[PARTIDA]],"0000000000")</f>
        <v>5205410000</v>
      </c>
      <c r="C4167" s="16" t="s">
        <v>815</v>
      </c>
      <c r="D4167" s="16" t="s">
        <v>835</v>
      </c>
      <c r="E4167" s="16" t="s">
        <v>842</v>
      </c>
      <c r="F4167" s="27" t="s">
        <v>12930</v>
      </c>
      <c r="G4167" s="27"/>
      <c r="H4167" s="16" t="str">
        <f>IF(ISBLANK(PARTIDAS!$G4167),PARTIDAS!$F4167,CONCATENATE(PARTIDAS!$F4167," (",PARTIDAS!$G4167,")"))</f>
        <v xml:space="preserve">Hilados retorcidos o cableados, de fibras peinadas, de título superior o igual a 714,29 decitex por hilo sencillo (inferior o igual al número métrico </v>
      </c>
      <c r="I4167" s="16" t="s">
        <v>9427</v>
      </c>
    </row>
    <row r="4168" spans="1:9" x14ac:dyDescent="0.25">
      <c r="A4168" s="16" t="s">
        <v>5112</v>
      </c>
      <c r="B4168" s="16" t="str">
        <f>TEXT(PARTIDA[[#This Row],[PARTIDA]],"0000000000")</f>
        <v>5205420000</v>
      </c>
      <c r="C4168" s="16" t="s">
        <v>815</v>
      </c>
      <c r="D4168" s="16" t="s">
        <v>835</v>
      </c>
      <c r="E4168" s="16" t="s">
        <v>842</v>
      </c>
      <c r="F4168" s="27" t="s">
        <v>12931</v>
      </c>
      <c r="G4168" s="27"/>
      <c r="H4168" s="16" t="str">
        <f>IF(ISBLANK(PARTIDAS!$G4168),PARTIDAS!$F4168,CONCATENATE(PARTIDAS!$F4168," (",PARTIDAS!$G4168,")"))</f>
        <v>Hilados retorcidos o cableados, de fibras peinadas, de título inferior a 714,29 decitex pero superior o igual a 232,56 decitex, por hilo sencillo (sup</v>
      </c>
      <c r="I4168" s="16" t="s">
        <v>9427</v>
      </c>
    </row>
    <row r="4169" spans="1:9" x14ac:dyDescent="0.25">
      <c r="A4169" s="16" t="s">
        <v>5113</v>
      </c>
      <c r="B4169" s="16" t="str">
        <f>TEXT(PARTIDA[[#This Row],[PARTIDA]],"0000000000")</f>
        <v>5205430000</v>
      </c>
      <c r="C4169" s="16" t="s">
        <v>815</v>
      </c>
      <c r="D4169" s="16" t="s">
        <v>835</v>
      </c>
      <c r="E4169" s="16" t="s">
        <v>842</v>
      </c>
      <c r="F4169" s="27" t="s">
        <v>12932</v>
      </c>
      <c r="G4169" s="27"/>
      <c r="H4169" s="16" t="str">
        <f>IF(ISBLANK(PARTIDAS!$G4169),PARTIDAS!$F4169,CONCATENATE(PARTIDAS!$F4169," (",PARTIDAS!$G4169,")"))</f>
        <v>Hilados retorcidos o cableados, de fibras peinadas, de título inferior a 232,56 decitex pero superior o igual a 192,31 decitex, por hilo sencillo (sup</v>
      </c>
      <c r="I4169" s="16" t="s">
        <v>9427</v>
      </c>
    </row>
    <row r="4170" spans="1:9" x14ac:dyDescent="0.25">
      <c r="A4170" s="16" t="s">
        <v>5114</v>
      </c>
      <c r="B4170" s="16" t="str">
        <f>TEXT(PARTIDA[[#This Row],[PARTIDA]],"0000000000")</f>
        <v>5205440000</v>
      </c>
      <c r="C4170" s="16" t="s">
        <v>815</v>
      </c>
      <c r="D4170" s="16" t="s">
        <v>835</v>
      </c>
      <c r="E4170" s="16" t="s">
        <v>842</v>
      </c>
      <c r="F4170" s="27" t="s">
        <v>12933</v>
      </c>
      <c r="G4170" s="27"/>
      <c r="H4170" s="16" t="str">
        <f>IF(ISBLANK(PARTIDAS!$G4170),PARTIDAS!$F4170,CONCATENATE(PARTIDAS!$F4170," (",PARTIDAS!$G4170,")"))</f>
        <v>Hilados retorcidos o cableados, de fibras peinadas, de título inferior a 192,31 decitex pero superior o igual a 125 decitex, por hilo sencillo (superi</v>
      </c>
      <c r="I4170" s="16" t="s">
        <v>9427</v>
      </c>
    </row>
    <row r="4171" spans="1:9" x14ac:dyDescent="0.25">
      <c r="A4171" s="16" t="s">
        <v>5115</v>
      </c>
      <c r="B4171" s="16" t="str">
        <f>TEXT(PARTIDA[[#This Row],[PARTIDA]],"0000000000")</f>
        <v>5205460000</v>
      </c>
      <c r="C4171" s="16" t="s">
        <v>815</v>
      </c>
      <c r="D4171" s="16" t="s">
        <v>835</v>
      </c>
      <c r="E4171" s="16" t="s">
        <v>842</v>
      </c>
      <c r="F4171" s="27" t="s">
        <v>12934</v>
      </c>
      <c r="G4171" s="27"/>
      <c r="H4171" s="16" t="str">
        <f>IF(ISBLANK(PARTIDAS!$G4171),PARTIDAS!$F4171,CONCATENATE(PARTIDAS!$F4171," (",PARTIDAS!$G4171,")"))</f>
        <v>Hilados retorcidos o cableados, de fibras peinadas, de título inferior a 125 decitex pero superior o igual a 106,38 decitex, por hilo sencillo (superi</v>
      </c>
      <c r="I4171" s="16" t="s">
        <v>9427</v>
      </c>
    </row>
    <row r="4172" spans="1:9" x14ac:dyDescent="0.25">
      <c r="A4172" s="16" t="s">
        <v>5116</v>
      </c>
      <c r="B4172" s="16" t="str">
        <f>TEXT(PARTIDA[[#This Row],[PARTIDA]],"0000000000")</f>
        <v>5205470000</v>
      </c>
      <c r="C4172" s="16" t="s">
        <v>815</v>
      </c>
      <c r="D4172" s="16" t="s">
        <v>835</v>
      </c>
      <c r="E4172" s="16" t="s">
        <v>842</v>
      </c>
      <c r="F4172" s="27" t="s">
        <v>12935</v>
      </c>
      <c r="G4172" s="27"/>
      <c r="H4172" s="16" t="str">
        <f>IF(ISBLANK(PARTIDAS!$G4172),PARTIDAS!$F4172,CONCATENATE(PARTIDAS!$F4172," (",PARTIDAS!$G4172,")"))</f>
        <v>Hilados retorcidos o cableados, de fibras peinadas, de título inferior a 106,38 decitex pero superior o igual a 83,33 decitex, por hilo sencillo (supe</v>
      </c>
      <c r="I4172" s="16" t="s">
        <v>9427</v>
      </c>
    </row>
    <row r="4173" spans="1:9" x14ac:dyDescent="0.25">
      <c r="A4173" s="16" t="s">
        <v>5117</v>
      </c>
      <c r="B4173" s="16" t="str">
        <f>TEXT(PARTIDA[[#This Row],[PARTIDA]],"0000000000")</f>
        <v>5205480000</v>
      </c>
      <c r="C4173" s="16" t="s">
        <v>815</v>
      </c>
      <c r="D4173" s="16" t="s">
        <v>835</v>
      </c>
      <c r="E4173" s="16" t="s">
        <v>842</v>
      </c>
      <c r="F4173" s="27" t="s">
        <v>12936</v>
      </c>
      <c r="G4173" s="27"/>
      <c r="H4173" s="16" t="str">
        <f>IF(ISBLANK(PARTIDAS!$G4173),PARTIDAS!$F4173,CONCATENATE(PARTIDAS!$F4173," (",PARTIDAS!$G4173,")"))</f>
        <v>Hilados retorcidos o cableados, de fibras peinadas, de título inferior a 83,33 decitex por hilo sencillo (superior al número métrico 120 por hilo senc</v>
      </c>
      <c r="I4173" s="16" t="s">
        <v>9427</v>
      </c>
    </row>
    <row r="4174" spans="1:9" x14ac:dyDescent="0.25">
      <c r="A4174" s="16" t="s">
        <v>5118</v>
      </c>
      <c r="B4174" s="16" t="str">
        <f>TEXT(PARTIDA[[#This Row],[PARTIDA]],"0000000000")</f>
        <v>5206110000</v>
      </c>
      <c r="C4174" s="16" t="s">
        <v>815</v>
      </c>
      <c r="D4174" s="16" t="s">
        <v>835</v>
      </c>
      <c r="E4174" s="16" t="s">
        <v>842</v>
      </c>
      <c r="F4174" s="27" t="s">
        <v>12913</v>
      </c>
      <c r="G4174" s="27"/>
      <c r="H4174" s="16" t="str">
        <f>IF(ISBLANK(PARTIDAS!$G4174),PARTIDAS!$F4174,CONCATENATE(PARTIDAS!$F4174," (",PARTIDAS!$G4174,")"))</f>
        <v>Hilados sencillos de fibras sin peinar, de título superior o igual a 714,29 decitex (inferior o igual al número métrico 14)</v>
      </c>
      <c r="I4174" s="16" t="s">
        <v>9427</v>
      </c>
    </row>
    <row r="4175" spans="1:9" x14ac:dyDescent="0.25">
      <c r="A4175" s="16" t="s">
        <v>5119</v>
      </c>
      <c r="B4175" s="16" t="str">
        <f>TEXT(PARTIDA[[#This Row],[PARTIDA]],"0000000000")</f>
        <v>5206120000</v>
      </c>
      <c r="C4175" s="16" t="s">
        <v>815</v>
      </c>
      <c r="D4175" s="16" t="s">
        <v>835</v>
      </c>
      <c r="E4175" s="16" t="s">
        <v>842</v>
      </c>
      <c r="F4175" s="27" t="s">
        <v>12914</v>
      </c>
      <c r="G4175" s="27"/>
      <c r="H4175" s="16" t="str">
        <f>IF(ISBLANK(PARTIDAS!$G4175),PARTIDAS!$F4175,CONCATENATE(PARTIDAS!$F4175," (",PARTIDAS!$G4175,")"))</f>
        <v>Hilados sencillos de fibras sin peinar, de título inferior a 714,29 decitex pero superior o igual a 232,56 decitex (superior al número métrico 14 pero</v>
      </c>
      <c r="I4175" s="16" t="s">
        <v>9427</v>
      </c>
    </row>
    <row r="4176" spans="1:9" x14ac:dyDescent="0.25">
      <c r="A4176" s="16" t="s">
        <v>5120</v>
      </c>
      <c r="B4176" s="16" t="str">
        <f>TEXT(PARTIDA[[#This Row],[PARTIDA]],"0000000000")</f>
        <v>5206130000</v>
      </c>
      <c r="C4176" s="16" t="s">
        <v>815</v>
      </c>
      <c r="D4176" s="16" t="s">
        <v>835</v>
      </c>
      <c r="E4176" s="16" t="s">
        <v>842</v>
      </c>
      <c r="F4176" s="27" t="s">
        <v>12915</v>
      </c>
      <c r="G4176" s="27"/>
      <c r="H4176" s="16" t="str">
        <f>IF(ISBLANK(PARTIDAS!$G4176),PARTIDAS!$F4176,CONCATENATE(PARTIDAS!$F4176," (",PARTIDAS!$G4176,")"))</f>
        <v>Hilados sencillos de fibras sin peinar, de título inferior a 232,56 decitex pero superior o igual a 192,31 decitex (superior al número métrico 43 pero</v>
      </c>
      <c r="I4176" s="16" t="s">
        <v>9427</v>
      </c>
    </row>
    <row r="4177" spans="1:9" x14ac:dyDescent="0.25">
      <c r="A4177" s="16" t="s">
        <v>5121</v>
      </c>
      <c r="B4177" s="16" t="str">
        <f>TEXT(PARTIDA[[#This Row],[PARTIDA]],"0000000000")</f>
        <v>5206140000</v>
      </c>
      <c r="C4177" s="16" t="s">
        <v>815</v>
      </c>
      <c r="D4177" s="16" t="s">
        <v>835</v>
      </c>
      <c r="E4177" s="16" t="s">
        <v>842</v>
      </c>
      <c r="F4177" s="27" t="s">
        <v>12916</v>
      </c>
      <c r="G4177" s="27"/>
      <c r="H4177" s="16" t="str">
        <f>IF(ISBLANK(PARTIDAS!$G4177),PARTIDAS!$F4177,CONCATENATE(PARTIDAS!$F4177," (",PARTIDAS!$G4177,")"))</f>
        <v>Hilados sencillos de fibras sin peinar, de título inferior a 192,31 decitex pero superior o igual a 125 decitex (superior al número métrico 52 pero in</v>
      </c>
      <c r="I4177" s="16" t="s">
        <v>9427</v>
      </c>
    </row>
    <row r="4178" spans="1:9" x14ac:dyDescent="0.25">
      <c r="A4178" s="16" t="s">
        <v>5122</v>
      </c>
      <c r="B4178" s="16" t="str">
        <f>TEXT(PARTIDA[[#This Row],[PARTIDA]],"0000000000")</f>
        <v>5206150000</v>
      </c>
      <c r="C4178" s="16" t="s">
        <v>815</v>
      </c>
      <c r="D4178" s="16" t="s">
        <v>835</v>
      </c>
      <c r="E4178" s="16" t="s">
        <v>842</v>
      </c>
      <c r="F4178" s="27" t="s">
        <v>12917</v>
      </c>
      <c r="G4178" s="27"/>
      <c r="H4178" s="16" t="str">
        <f>IF(ISBLANK(PARTIDAS!$G4178),PARTIDAS!$F4178,CONCATENATE(PARTIDAS!$F4178," (",PARTIDAS!$G4178,")"))</f>
        <v>Hilados sencillos de fibras sin peinar, de título inferior a 125 decitex (superior al número métrico 80)</v>
      </c>
      <c r="I4178" s="16" t="s">
        <v>9427</v>
      </c>
    </row>
    <row r="4179" spans="1:9" x14ac:dyDescent="0.25">
      <c r="A4179" s="16" t="s">
        <v>5123</v>
      </c>
      <c r="B4179" s="16" t="str">
        <f>TEXT(PARTIDA[[#This Row],[PARTIDA]],"0000000000")</f>
        <v>5206210000</v>
      </c>
      <c r="C4179" s="16" t="s">
        <v>815</v>
      </c>
      <c r="D4179" s="16" t="s">
        <v>835</v>
      </c>
      <c r="E4179" s="16" t="s">
        <v>842</v>
      </c>
      <c r="F4179" s="27" t="s">
        <v>12918</v>
      </c>
      <c r="G4179" s="27"/>
      <c r="H4179" s="16" t="str">
        <f>IF(ISBLANK(PARTIDAS!$G4179),PARTIDAS!$F4179,CONCATENATE(PARTIDAS!$F4179," (",PARTIDAS!$G4179,")"))</f>
        <v>Hilados sencillos de fibras peinadas, de título superior o igual a 714,29 decitex (inferior o igual al número métrico 14)</v>
      </c>
      <c r="I4179" s="16" t="s">
        <v>9427</v>
      </c>
    </row>
    <row r="4180" spans="1:9" x14ac:dyDescent="0.25">
      <c r="A4180" s="16" t="s">
        <v>5124</v>
      </c>
      <c r="B4180" s="16" t="str">
        <f>TEXT(PARTIDA[[#This Row],[PARTIDA]],"0000000000")</f>
        <v>5206220000</v>
      </c>
      <c r="C4180" s="16" t="s">
        <v>815</v>
      </c>
      <c r="D4180" s="16" t="s">
        <v>835</v>
      </c>
      <c r="E4180" s="16" t="s">
        <v>842</v>
      </c>
      <c r="F4180" s="27" t="s">
        <v>12919</v>
      </c>
      <c r="G4180" s="27"/>
      <c r="H4180" s="16" t="str">
        <f>IF(ISBLANK(PARTIDAS!$G4180),PARTIDAS!$F4180,CONCATENATE(PARTIDAS!$F4180," (",PARTIDAS!$G4180,")"))</f>
        <v>Hilados sencillos de fibras peinadas, de título inferior a 714,29 decitex pero superior o igual a 232,56 decitex (superior al número métrico 14 pero i</v>
      </c>
      <c r="I4180" s="16" t="s">
        <v>9427</v>
      </c>
    </row>
    <row r="4181" spans="1:9" x14ac:dyDescent="0.25">
      <c r="A4181" s="16" t="s">
        <v>5125</v>
      </c>
      <c r="B4181" s="16" t="str">
        <f>TEXT(PARTIDA[[#This Row],[PARTIDA]],"0000000000")</f>
        <v>5206230000</v>
      </c>
      <c r="C4181" s="16" t="s">
        <v>815</v>
      </c>
      <c r="D4181" s="16" t="s">
        <v>835</v>
      </c>
      <c r="E4181" s="16" t="s">
        <v>842</v>
      </c>
      <c r="F4181" s="27" t="s">
        <v>12920</v>
      </c>
      <c r="G4181" s="27"/>
      <c r="H4181" s="16" t="str">
        <f>IF(ISBLANK(PARTIDAS!$G4181),PARTIDAS!$F4181,CONCATENATE(PARTIDAS!$F4181," (",PARTIDAS!$G4181,")"))</f>
        <v>Hilados sencillos de fibras peinadas, de título inferior a 232,56 decitex pero superior o igual a 192,31 decitex (superior al número métrico 43 pero i</v>
      </c>
      <c r="I4181" s="16" t="s">
        <v>9427</v>
      </c>
    </row>
    <row r="4182" spans="1:9" x14ac:dyDescent="0.25">
      <c r="A4182" s="16" t="s">
        <v>5126</v>
      </c>
      <c r="B4182" s="16" t="str">
        <f>TEXT(PARTIDA[[#This Row],[PARTIDA]],"0000000000")</f>
        <v>5206240000</v>
      </c>
      <c r="C4182" s="16" t="s">
        <v>815</v>
      </c>
      <c r="D4182" s="16" t="s">
        <v>835</v>
      </c>
      <c r="E4182" s="16" t="s">
        <v>842</v>
      </c>
      <c r="F4182" s="27" t="s">
        <v>12921</v>
      </c>
      <c r="G4182" s="27"/>
      <c r="H4182" s="16" t="str">
        <f>IF(ISBLANK(PARTIDAS!$G4182),PARTIDAS!$F4182,CONCATENATE(PARTIDAS!$F4182," (",PARTIDAS!$G4182,")"))</f>
        <v>Hilados sencillos de fibras peinadas, de título inferior a 192,31 decitex pero superior o igual a 125 decitex (superior al número métrico 52 pero infe</v>
      </c>
      <c r="I4182" s="16" t="s">
        <v>9427</v>
      </c>
    </row>
    <row r="4183" spans="1:9" x14ac:dyDescent="0.25">
      <c r="A4183" s="16" t="s">
        <v>5127</v>
      </c>
      <c r="B4183" s="16" t="str">
        <f>TEXT(PARTIDA[[#This Row],[PARTIDA]],"0000000000")</f>
        <v>5206250000</v>
      </c>
      <c r="C4183" s="16" t="s">
        <v>815</v>
      </c>
      <c r="D4183" s="16" t="s">
        <v>835</v>
      </c>
      <c r="E4183" s="16" t="s">
        <v>842</v>
      </c>
      <c r="F4183" s="27" t="s">
        <v>12937</v>
      </c>
      <c r="G4183" s="27"/>
      <c r="H4183" s="16" t="str">
        <f>IF(ISBLANK(PARTIDAS!$G4183),PARTIDAS!$F4183,CONCATENATE(PARTIDAS!$F4183," (",PARTIDAS!$G4183,")"))</f>
        <v>Hilados sencillos de fibras peinadas, de título inferior a 125 decitex (superior al número métrico 80)</v>
      </c>
      <c r="I4183" s="16" t="s">
        <v>9427</v>
      </c>
    </row>
    <row r="4184" spans="1:9" x14ac:dyDescent="0.25">
      <c r="A4184" s="16" t="s">
        <v>5128</v>
      </c>
      <c r="B4184" s="16" t="str">
        <f>TEXT(PARTIDA[[#This Row],[PARTIDA]],"0000000000")</f>
        <v>5206310000</v>
      </c>
      <c r="C4184" s="16" t="s">
        <v>815</v>
      </c>
      <c r="D4184" s="16" t="s">
        <v>835</v>
      </c>
      <c r="E4184" s="16" t="s">
        <v>842</v>
      </c>
      <c r="F4184" s="27" t="s">
        <v>12925</v>
      </c>
      <c r="G4184" s="27"/>
      <c r="H4184" s="16" t="str">
        <f>IF(ISBLANK(PARTIDAS!$G4184),PARTIDAS!$F4184,CONCATENATE(PARTIDAS!$F4184," (",PARTIDAS!$G4184,")"))</f>
        <v>Hilados retorcidos o cableados, de fibras sin peinar, de título superior o igual a 714,29 decitex por hilo sencillo (inferior o igual al número métric</v>
      </c>
      <c r="I4184" s="16" t="s">
        <v>9427</v>
      </c>
    </row>
    <row r="4185" spans="1:9" x14ac:dyDescent="0.25">
      <c r="A4185" s="16" t="s">
        <v>5129</v>
      </c>
      <c r="B4185" s="16" t="str">
        <f>TEXT(PARTIDA[[#This Row],[PARTIDA]],"0000000000")</f>
        <v>5206320000</v>
      </c>
      <c r="C4185" s="16" t="s">
        <v>815</v>
      </c>
      <c r="D4185" s="16" t="s">
        <v>835</v>
      </c>
      <c r="E4185" s="16" t="s">
        <v>842</v>
      </c>
      <c r="F4185" s="27" t="s">
        <v>12926</v>
      </c>
      <c r="G4185" s="27"/>
      <c r="H4185" s="16" t="str">
        <f>IF(ISBLANK(PARTIDAS!$G4185),PARTIDAS!$F4185,CONCATENATE(PARTIDAS!$F4185," (",PARTIDAS!$G4185,")"))</f>
        <v>Hilados retorcidos o cableados, de fibras sin peinar, de título inferior a 714,29 decitex pero superior o igual a 232,56 decitex, por hilo sencillo (s</v>
      </c>
      <c r="I4185" s="16" t="s">
        <v>9427</v>
      </c>
    </row>
    <row r="4186" spans="1:9" x14ac:dyDescent="0.25">
      <c r="A4186" s="16" t="s">
        <v>5130</v>
      </c>
      <c r="B4186" s="16" t="str">
        <f>TEXT(PARTIDA[[#This Row],[PARTIDA]],"0000000000")</f>
        <v>5206330000</v>
      </c>
      <c r="C4186" s="16" t="s">
        <v>815</v>
      </c>
      <c r="D4186" s="16" t="s">
        <v>835</v>
      </c>
      <c r="E4186" s="16" t="s">
        <v>842</v>
      </c>
      <c r="F4186" s="27" t="s">
        <v>12927</v>
      </c>
      <c r="G4186" s="27"/>
      <c r="H4186" s="16" t="str">
        <f>IF(ISBLANK(PARTIDAS!$G4186),PARTIDAS!$F4186,CONCATENATE(PARTIDAS!$F4186," (",PARTIDAS!$G4186,")"))</f>
        <v>Hilados retorcidos o cableados, de fibras sin peinar, de título inferior a 232,56 decitex pero superior o igual a 192,31 decitex, por hilo sencillo (s</v>
      </c>
      <c r="I4186" s="16" t="s">
        <v>9427</v>
      </c>
    </row>
    <row r="4187" spans="1:9" x14ac:dyDescent="0.25">
      <c r="A4187" s="16" t="s">
        <v>5131</v>
      </c>
      <c r="B4187" s="16" t="str">
        <f>TEXT(PARTIDA[[#This Row],[PARTIDA]],"0000000000")</f>
        <v>5206340000</v>
      </c>
      <c r="C4187" s="16" t="s">
        <v>815</v>
      </c>
      <c r="D4187" s="16" t="s">
        <v>835</v>
      </c>
      <c r="E4187" s="16" t="s">
        <v>842</v>
      </c>
      <c r="F4187" s="27" t="s">
        <v>12928</v>
      </c>
      <c r="G4187" s="27"/>
      <c r="H4187" s="16" t="str">
        <f>IF(ISBLANK(PARTIDAS!$G4187),PARTIDAS!$F4187,CONCATENATE(PARTIDAS!$F4187," (",PARTIDAS!$G4187,")"))</f>
        <v>Hilados retorcidos o cableados, de fibras sin peinar, de título inferior a 192,31 decitex pero superior o igual a 125 decitex, por hilo sencillo (supe</v>
      </c>
      <c r="I4187" s="16" t="s">
        <v>9427</v>
      </c>
    </row>
    <row r="4188" spans="1:9" x14ac:dyDescent="0.25">
      <c r="A4188" s="16" t="s">
        <v>5132</v>
      </c>
      <c r="B4188" s="16" t="str">
        <f>TEXT(PARTIDA[[#This Row],[PARTIDA]],"0000000000")</f>
        <v>5206350000</v>
      </c>
      <c r="C4188" s="16" t="s">
        <v>815</v>
      </c>
      <c r="D4188" s="16" t="s">
        <v>835</v>
      </c>
      <c r="E4188" s="16" t="s">
        <v>842</v>
      </c>
      <c r="F4188" s="27" t="s">
        <v>12929</v>
      </c>
      <c r="G4188" s="27"/>
      <c r="H4188" s="16" t="str">
        <f>IF(ISBLANK(PARTIDAS!$G4188),PARTIDAS!$F4188,CONCATENATE(PARTIDAS!$F4188," (",PARTIDAS!$G4188,")"))</f>
        <v>Hilados retorcidos o cableados, de fibras sin peinar, de título inferior a 125 decitex por hilo sencillo (superior al número métrico 80 por hilo senci</v>
      </c>
      <c r="I4188" s="16" t="s">
        <v>9427</v>
      </c>
    </row>
    <row r="4189" spans="1:9" x14ac:dyDescent="0.25">
      <c r="A4189" s="16" t="s">
        <v>5133</v>
      </c>
      <c r="B4189" s="16" t="str">
        <f>TEXT(PARTIDA[[#This Row],[PARTIDA]],"0000000000")</f>
        <v>5206410000</v>
      </c>
      <c r="C4189" s="16" t="s">
        <v>815</v>
      </c>
      <c r="D4189" s="16" t="s">
        <v>835</v>
      </c>
      <c r="E4189" s="16" t="s">
        <v>842</v>
      </c>
      <c r="F4189" s="27" t="s">
        <v>12930</v>
      </c>
      <c r="G4189" s="27"/>
      <c r="H4189" s="16" t="str">
        <f>IF(ISBLANK(PARTIDAS!$G4189),PARTIDAS!$F4189,CONCATENATE(PARTIDAS!$F4189," (",PARTIDAS!$G4189,")"))</f>
        <v xml:space="preserve">Hilados retorcidos o cableados, de fibras peinadas, de título superior o igual a 714,29 decitex por hilo sencillo (inferior o igual al número métrico </v>
      </c>
      <c r="I4189" s="16" t="s">
        <v>9427</v>
      </c>
    </row>
    <row r="4190" spans="1:9" x14ac:dyDescent="0.25">
      <c r="A4190" s="16" t="s">
        <v>5134</v>
      </c>
      <c r="B4190" s="16" t="str">
        <f>TEXT(PARTIDA[[#This Row],[PARTIDA]],"0000000000")</f>
        <v>5206420000</v>
      </c>
      <c r="C4190" s="16" t="s">
        <v>815</v>
      </c>
      <c r="D4190" s="16" t="s">
        <v>835</v>
      </c>
      <c r="E4190" s="16" t="s">
        <v>842</v>
      </c>
      <c r="F4190" s="27" t="s">
        <v>12931</v>
      </c>
      <c r="G4190" s="27"/>
      <c r="H4190" s="16" t="str">
        <f>IF(ISBLANK(PARTIDAS!$G4190),PARTIDAS!$F4190,CONCATENATE(PARTIDAS!$F4190," (",PARTIDAS!$G4190,")"))</f>
        <v>Hilados retorcidos o cableados, de fibras peinadas, de título inferior a 714,29 decitex pero superior o igual a 232,56 decitex, por hilo sencillo (sup</v>
      </c>
      <c r="I4190" s="16" t="s">
        <v>9427</v>
      </c>
    </row>
    <row r="4191" spans="1:9" x14ac:dyDescent="0.25">
      <c r="A4191" s="16" t="s">
        <v>5135</v>
      </c>
      <c r="B4191" s="16" t="str">
        <f>TEXT(PARTIDA[[#This Row],[PARTIDA]],"0000000000")</f>
        <v>5206430000</v>
      </c>
      <c r="C4191" s="16" t="s">
        <v>815</v>
      </c>
      <c r="D4191" s="16" t="s">
        <v>835</v>
      </c>
      <c r="E4191" s="16" t="s">
        <v>842</v>
      </c>
      <c r="F4191" s="27" t="s">
        <v>12932</v>
      </c>
      <c r="G4191" s="27"/>
      <c r="H4191" s="16" t="str">
        <f>IF(ISBLANK(PARTIDAS!$G4191),PARTIDAS!$F4191,CONCATENATE(PARTIDAS!$F4191," (",PARTIDAS!$G4191,")"))</f>
        <v>Hilados retorcidos o cableados, de fibras peinadas, de título inferior a 232,56 decitex pero superior o igual a 192,31 decitex, por hilo sencillo (sup</v>
      </c>
      <c r="I4191" s="16" t="s">
        <v>9427</v>
      </c>
    </row>
    <row r="4192" spans="1:9" x14ac:dyDescent="0.25">
      <c r="A4192" s="16" t="s">
        <v>5136</v>
      </c>
      <c r="B4192" s="16" t="str">
        <f>TEXT(PARTIDA[[#This Row],[PARTIDA]],"0000000000")</f>
        <v>5206440000</v>
      </c>
      <c r="C4192" s="16" t="s">
        <v>815</v>
      </c>
      <c r="D4192" s="16" t="s">
        <v>835</v>
      </c>
      <c r="E4192" s="16" t="s">
        <v>842</v>
      </c>
      <c r="F4192" s="27" t="s">
        <v>12933</v>
      </c>
      <c r="G4192" s="27"/>
      <c r="H4192" s="16" t="str">
        <f>IF(ISBLANK(PARTIDAS!$G4192),PARTIDAS!$F4192,CONCATENATE(PARTIDAS!$F4192," (",PARTIDAS!$G4192,")"))</f>
        <v>Hilados retorcidos o cableados, de fibras peinadas, de título inferior a 192,31 decitex pero superior o igual a 125 decitex, por hilo sencillo (superi</v>
      </c>
      <c r="I4192" s="16" t="s">
        <v>9427</v>
      </c>
    </row>
    <row r="4193" spans="1:9" x14ac:dyDescent="0.25">
      <c r="A4193" s="16" t="s">
        <v>5137</v>
      </c>
      <c r="B4193" s="16" t="str">
        <f>TEXT(PARTIDA[[#This Row],[PARTIDA]],"0000000000")</f>
        <v>5206450000</v>
      </c>
      <c r="C4193" s="16" t="s">
        <v>815</v>
      </c>
      <c r="D4193" s="16" t="s">
        <v>835</v>
      </c>
      <c r="E4193" s="16" t="s">
        <v>842</v>
      </c>
      <c r="F4193" s="27" t="s">
        <v>12938</v>
      </c>
      <c r="G4193" s="27"/>
      <c r="H4193" s="16" t="str">
        <f>IF(ISBLANK(PARTIDAS!$G4193),PARTIDAS!$F4193,CONCATENATE(PARTIDAS!$F4193," (",PARTIDAS!$G4193,")"))</f>
        <v>Hilados retorcidos o cableados, de fibras peinadas, de título inferior a 125 decitex por hilo sencillo (superior al número métrico 80 por hilo sencill</v>
      </c>
      <c r="I4193" s="16" t="s">
        <v>9427</v>
      </c>
    </row>
    <row r="4194" spans="1:9" x14ac:dyDescent="0.25">
      <c r="A4194" s="16" t="s">
        <v>5138</v>
      </c>
      <c r="B4194" s="16" t="str">
        <f>TEXT(PARTIDA[[#This Row],[PARTIDA]],"0000000000")</f>
        <v>5207100000</v>
      </c>
      <c r="C4194" s="16" t="s">
        <v>815</v>
      </c>
      <c r="D4194" s="16" t="s">
        <v>835</v>
      </c>
      <c r="E4194" s="16" t="s">
        <v>842</v>
      </c>
      <c r="F4194" s="27" t="s">
        <v>12939</v>
      </c>
      <c r="G4194" s="27"/>
      <c r="H4194" s="16" t="str">
        <f>IF(ISBLANK(PARTIDAS!$G4194),PARTIDAS!$F4194,CONCATENATE(PARTIDAS!$F4194," (",PARTIDAS!$G4194,")"))</f>
        <v>Hilados de algodón, con un contenido de algodón superior o igual al 85 % en peso</v>
      </c>
      <c r="I4194" s="16" t="s">
        <v>9427</v>
      </c>
    </row>
    <row r="4195" spans="1:9" x14ac:dyDescent="0.25">
      <c r="A4195" s="16" t="s">
        <v>5139</v>
      </c>
      <c r="B4195" s="16" t="str">
        <f>TEXT(PARTIDA[[#This Row],[PARTIDA]],"0000000000")</f>
        <v>5207900000</v>
      </c>
      <c r="C4195" s="16" t="s">
        <v>815</v>
      </c>
      <c r="D4195" s="16" t="s">
        <v>835</v>
      </c>
      <c r="E4195" s="16" t="s">
        <v>842</v>
      </c>
      <c r="F4195" s="27" t="s">
        <v>5140</v>
      </c>
      <c r="G4195" s="27"/>
      <c r="H4195" s="16" t="str">
        <f>IF(ISBLANK(PARTIDAS!$G4195),PARTIDAS!$F4195,CONCATENATE(PARTIDAS!$F4195," (",PARTIDAS!$G4195,")"))</f>
        <v>Productos textiles</v>
      </c>
      <c r="I4195" s="16" t="s">
        <v>9427</v>
      </c>
    </row>
    <row r="4196" spans="1:9" x14ac:dyDescent="0.25">
      <c r="A4196" s="16" t="s">
        <v>5141</v>
      </c>
      <c r="B4196" s="16" t="str">
        <f>TEXT(PARTIDA[[#This Row],[PARTIDA]],"0000000000")</f>
        <v>5208110000</v>
      </c>
      <c r="C4196" s="16" t="s">
        <v>815</v>
      </c>
      <c r="D4196" s="16" t="s">
        <v>835</v>
      </c>
      <c r="E4196" s="16" t="s">
        <v>844</v>
      </c>
      <c r="F4196" s="27" t="s">
        <v>12940</v>
      </c>
      <c r="G4196" s="27"/>
      <c r="H4196" s="16" t="str">
        <f>IF(ISBLANK(PARTIDAS!$G4196),PARTIDAS!$F4196,CONCATENATE(PARTIDAS!$F4196," (",PARTIDAS!$G4196,")"))</f>
        <v>Tejidos de algodón con un contenido de algodón…, crudos, de ligamento tafetán, de peso inferior o igual a 100 g/m2</v>
      </c>
      <c r="I4196" s="16" t="s">
        <v>9427</v>
      </c>
    </row>
    <row r="4197" spans="1:9" x14ac:dyDescent="0.25">
      <c r="A4197" s="16" t="s">
        <v>5142</v>
      </c>
      <c r="B4197" s="16" t="str">
        <f>TEXT(PARTIDA[[#This Row],[PARTIDA]],"0000000000")</f>
        <v>5208120000</v>
      </c>
      <c r="C4197" s="16" t="s">
        <v>815</v>
      </c>
      <c r="D4197" s="16" t="s">
        <v>835</v>
      </c>
      <c r="E4197" s="16" t="s">
        <v>844</v>
      </c>
      <c r="F4197" s="27" t="s">
        <v>12941</v>
      </c>
      <c r="G4197" s="27"/>
      <c r="H4197" s="16" t="str">
        <f>IF(ISBLANK(PARTIDAS!$G4197),PARTIDAS!$F4197,CONCATENATE(PARTIDAS!$F4197," (",PARTIDAS!$G4197,")"))</f>
        <v>Tejidos de algodón con un contenido de algodón…, crudos, de ligamento tafetán, de peso superior a 100 g/m2</v>
      </c>
      <c r="I4197" s="16" t="s">
        <v>9427</v>
      </c>
    </row>
    <row r="4198" spans="1:9" x14ac:dyDescent="0.25">
      <c r="A4198" s="16" t="s">
        <v>5143</v>
      </c>
      <c r="B4198" s="16" t="str">
        <f>TEXT(PARTIDA[[#This Row],[PARTIDA]],"0000000000")</f>
        <v>5208130000</v>
      </c>
      <c r="C4198" s="16" t="s">
        <v>815</v>
      </c>
      <c r="D4198" s="16" t="s">
        <v>835</v>
      </c>
      <c r="E4198" s="16" t="s">
        <v>844</v>
      </c>
      <c r="F4198" s="27" t="s">
        <v>12942</v>
      </c>
      <c r="G4198" s="27"/>
      <c r="H4198" s="16" t="str">
        <f>IF(ISBLANK(PARTIDAS!$G4198),PARTIDAS!$F4198,CONCATENATE(PARTIDAS!$F4198," (",PARTIDAS!$G4198,")"))</f>
        <v>Tejidos de algodón con un contenido de algodón…, crudos, de ligamento sarga, incluido el cruzado, de curso inferior o igual a 4</v>
      </c>
      <c r="I4198" s="16" t="s">
        <v>9427</v>
      </c>
    </row>
    <row r="4199" spans="1:9" x14ac:dyDescent="0.25">
      <c r="A4199" s="16" t="s">
        <v>5144</v>
      </c>
      <c r="B4199" s="16" t="str">
        <f>TEXT(PARTIDA[[#This Row],[PARTIDA]],"0000000000")</f>
        <v>5208190000</v>
      </c>
      <c r="C4199" s="16" t="s">
        <v>815</v>
      </c>
      <c r="D4199" s="16" t="s">
        <v>835</v>
      </c>
      <c r="E4199" s="16" t="s">
        <v>844</v>
      </c>
      <c r="F4199" s="27" t="s">
        <v>12943</v>
      </c>
      <c r="G4199" s="27"/>
      <c r="H4199" s="16" t="str">
        <f>IF(ISBLANK(PARTIDAS!$G4199),PARTIDAS!$F4199,CONCATENATE(PARTIDAS!$F4199," (",PARTIDAS!$G4199,")"))</f>
        <v>Tejidos de algodón con un contenido de algodón…, crudos (los demás, tejidos)</v>
      </c>
      <c r="I4199" s="16" t="s">
        <v>9427</v>
      </c>
    </row>
    <row r="4200" spans="1:9" x14ac:dyDescent="0.25">
      <c r="A4200" s="16" t="s">
        <v>5145</v>
      </c>
      <c r="B4200" s="16" t="str">
        <f>TEXT(PARTIDA[[#This Row],[PARTIDA]],"0000000000")</f>
        <v>5208211000</v>
      </c>
      <c r="C4200" s="16" t="s">
        <v>815</v>
      </c>
      <c r="D4200" s="16" t="s">
        <v>835</v>
      </c>
      <c r="E4200" s="16" t="s">
        <v>844</v>
      </c>
      <c r="F4200" s="27" t="s">
        <v>12944</v>
      </c>
      <c r="G4200" s="27"/>
      <c r="H4200" s="16" t="str">
        <f>IF(ISBLANK(PARTIDAS!$G4200),PARTIDAS!$F4200,CONCATENATE(PARTIDAS!$F4200," (",PARTIDAS!$G4200,")"))</f>
        <v>Blanqueados, de ligamento tafetán, de peso inferior o igual a 100 g/m2, de peso inferior o igual a 35 g/m2</v>
      </c>
      <c r="I4200" s="16" t="s">
        <v>9427</v>
      </c>
    </row>
    <row r="4201" spans="1:9" x14ac:dyDescent="0.25">
      <c r="A4201" s="16" t="s">
        <v>5146</v>
      </c>
      <c r="B4201" s="16" t="str">
        <f>TEXT(PARTIDA[[#This Row],[PARTIDA]],"0000000000")</f>
        <v>5208219000</v>
      </c>
      <c r="C4201" s="16" t="s">
        <v>815</v>
      </c>
      <c r="D4201" s="16" t="s">
        <v>835</v>
      </c>
      <c r="E4201" s="16" t="s">
        <v>844</v>
      </c>
      <c r="F4201" s="27" t="s">
        <v>12945</v>
      </c>
      <c r="G4201" s="27"/>
      <c r="H4201" s="16" t="str">
        <f>IF(ISBLANK(PARTIDAS!$G4201),PARTIDAS!$F4201,CONCATENATE(PARTIDAS!$F4201," (",PARTIDAS!$G4201,")"))</f>
        <v>Blanqueados, de ligamento tafetán, de peso inferior o igual a 100 g/m2 (los demás)</v>
      </c>
      <c r="I4201" s="16" t="s">
        <v>9427</v>
      </c>
    </row>
    <row r="4202" spans="1:9" x14ac:dyDescent="0.25">
      <c r="A4202" s="16" t="s">
        <v>5147</v>
      </c>
      <c r="B4202" s="16" t="str">
        <f>TEXT(PARTIDA[[#This Row],[PARTIDA]],"0000000000")</f>
        <v>5208220000</v>
      </c>
      <c r="C4202" s="16" t="s">
        <v>815</v>
      </c>
      <c r="D4202" s="16" t="s">
        <v>835</v>
      </c>
      <c r="E4202" s="16" t="s">
        <v>844</v>
      </c>
      <c r="F4202" s="27" t="s">
        <v>12946</v>
      </c>
      <c r="G4202" s="27"/>
      <c r="H4202" s="16" t="str">
        <f>IF(ISBLANK(PARTIDAS!$G4202),PARTIDAS!$F4202,CONCATENATE(PARTIDAS!$F4202," (",PARTIDAS!$G4202,")"))</f>
        <v>Blanqueados, de ligamento tafetán, de peso superior a 100 g/m2</v>
      </c>
      <c r="I4202" s="16" t="s">
        <v>9427</v>
      </c>
    </row>
    <row r="4203" spans="1:9" x14ac:dyDescent="0.25">
      <c r="A4203" s="16" t="s">
        <v>5148</v>
      </c>
      <c r="B4203" s="16" t="str">
        <f>TEXT(PARTIDA[[#This Row],[PARTIDA]],"0000000000")</f>
        <v>5208230000</v>
      </c>
      <c r="C4203" s="16" t="s">
        <v>815</v>
      </c>
      <c r="D4203" s="16" t="s">
        <v>835</v>
      </c>
      <c r="E4203" s="16" t="s">
        <v>844</v>
      </c>
      <c r="F4203" s="27" t="s">
        <v>12947</v>
      </c>
      <c r="G4203" s="27"/>
      <c r="H4203" s="16" t="str">
        <f>IF(ISBLANK(PARTIDAS!$G4203),PARTIDAS!$F4203,CONCATENATE(PARTIDAS!$F4203," (",PARTIDAS!$G4203,")"))</f>
        <v>Blanqueados, de ligamento sarga, incluido el cruzado, de curso inferior o igual a 4</v>
      </c>
      <c r="I4203" s="16" t="s">
        <v>9427</v>
      </c>
    </row>
    <row r="4204" spans="1:9" x14ac:dyDescent="0.25">
      <c r="A4204" s="16" t="s">
        <v>5149</v>
      </c>
      <c r="B4204" s="16" t="str">
        <f>TEXT(PARTIDA[[#This Row],[PARTIDA]],"0000000000")</f>
        <v>5208290000</v>
      </c>
      <c r="C4204" s="16" t="s">
        <v>815</v>
      </c>
      <c r="D4204" s="16" t="s">
        <v>835</v>
      </c>
      <c r="E4204" s="16" t="s">
        <v>844</v>
      </c>
      <c r="F4204" s="27" t="s">
        <v>12948</v>
      </c>
      <c r="G4204" s="27"/>
      <c r="H4204" s="16" t="str">
        <f>IF(ISBLANK(PARTIDAS!$G4204),PARTIDAS!$F4204,CONCATENATE(PARTIDAS!$F4204," (",PARTIDAS!$G4204,")"))</f>
        <v>Blanqueados (los demás, tejidos)</v>
      </c>
      <c r="I4204" s="16" t="s">
        <v>9427</v>
      </c>
    </row>
    <row r="4205" spans="1:9" x14ac:dyDescent="0.25">
      <c r="A4205" s="16" t="s">
        <v>5150</v>
      </c>
      <c r="B4205" s="16" t="str">
        <f>TEXT(PARTIDA[[#This Row],[PARTIDA]],"0000000000")</f>
        <v>5208310000</v>
      </c>
      <c r="C4205" s="16" t="s">
        <v>815</v>
      </c>
      <c r="D4205" s="16" t="s">
        <v>835</v>
      </c>
      <c r="E4205" s="16" t="s">
        <v>844</v>
      </c>
      <c r="F4205" s="27" t="s">
        <v>12949</v>
      </c>
      <c r="G4205" s="27"/>
      <c r="H4205" s="16" t="str">
        <f>IF(ISBLANK(PARTIDAS!$G4205),PARTIDAS!$F4205,CONCATENATE(PARTIDAS!$F4205," (",PARTIDAS!$G4205,")"))</f>
        <v>Teñidos, de ligamento tafetán, de peso inferior o igual a 100 g/m2</v>
      </c>
      <c r="I4205" s="16" t="s">
        <v>9427</v>
      </c>
    </row>
    <row r="4206" spans="1:9" x14ac:dyDescent="0.25">
      <c r="A4206" s="16" t="s">
        <v>5151</v>
      </c>
      <c r="B4206" s="16" t="str">
        <f>TEXT(PARTIDA[[#This Row],[PARTIDA]],"0000000000")</f>
        <v>5208320000</v>
      </c>
      <c r="C4206" s="16" t="s">
        <v>815</v>
      </c>
      <c r="D4206" s="16" t="s">
        <v>835</v>
      </c>
      <c r="E4206" s="16" t="s">
        <v>844</v>
      </c>
      <c r="F4206" s="27" t="s">
        <v>12950</v>
      </c>
      <c r="G4206" s="27"/>
      <c r="H4206" s="16" t="str">
        <f>IF(ISBLANK(PARTIDAS!$G4206),PARTIDAS!$F4206,CONCATENATE(PARTIDAS!$F4206," (",PARTIDAS!$G4206,")"))</f>
        <v>Teñidos, de ligamento tafetán, de peso superior a 100 g/m2</v>
      </c>
      <c r="I4206" s="16" t="s">
        <v>9427</v>
      </c>
    </row>
    <row r="4207" spans="1:9" x14ac:dyDescent="0.25">
      <c r="A4207" s="16" t="s">
        <v>5152</v>
      </c>
      <c r="B4207" s="16" t="str">
        <f>TEXT(PARTIDA[[#This Row],[PARTIDA]],"0000000000")</f>
        <v>5208330000</v>
      </c>
      <c r="C4207" s="16" t="s">
        <v>815</v>
      </c>
      <c r="D4207" s="16" t="s">
        <v>835</v>
      </c>
      <c r="E4207" s="16" t="s">
        <v>844</v>
      </c>
      <c r="F4207" s="27" t="s">
        <v>12951</v>
      </c>
      <c r="G4207" s="27"/>
      <c r="H4207" s="16" t="str">
        <f>IF(ISBLANK(PARTIDAS!$G4207),PARTIDAS!$F4207,CONCATENATE(PARTIDAS!$F4207," (",PARTIDAS!$G4207,")"))</f>
        <v>Teñidos, de ligamento sarga, incluido el cruzado, de curso inferior o igual a 4</v>
      </c>
      <c r="I4207" s="16" t="s">
        <v>9427</v>
      </c>
    </row>
    <row r="4208" spans="1:9" x14ac:dyDescent="0.25">
      <c r="A4208" s="16" t="s">
        <v>5153</v>
      </c>
      <c r="B4208" s="16" t="str">
        <f>TEXT(PARTIDA[[#This Row],[PARTIDA]],"0000000000")</f>
        <v>5208390000</v>
      </c>
      <c r="C4208" s="16" t="s">
        <v>815</v>
      </c>
      <c r="D4208" s="16" t="s">
        <v>835</v>
      </c>
      <c r="E4208" s="16" t="s">
        <v>844</v>
      </c>
      <c r="F4208" s="27" t="s">
        <v>12952</v>
      </c>
      <c r="G4208" s="27"/>
      <c r="H4208" s="16" t="str">
        <f>IF(ISBLANK(PARTIDAS!$G4208),PARTIDAS!$F4208,CONCATENATE(PARTIDAS!$F4208," (",PARTIDAS!$G4208,")"))</f>
        <v>Teñidos (los demás, tejidos)</v>
      </c>
      <c r="I4208" s="16" t="s">
        <v>9427</v>
      </c>
    </row>
    <row r="4209" spans="1:9" x14ac:dyDescent="0.25">
      <c r="A4209" s="16" t="s">
        <v>5154</v>
      </c>
      <c r="B4209" s="16" t="str">
        <f>TEXT(PARTIDA[[#This Row],[PARTIDA]],"0000000000")</f>
        <v>5208410000</v>
      </c>
      <c r="C4209" s="16" t="s">
        <v>815</v>
      </c>
      <c r="D4209" s="16" t="s">
        <v>835</v>
      </c>
      <c r="E4209" s="16" t="s">
        <v>842</v>
      </c>
      <c r="F4209" s="27" t="s">
        <v>12953</v>
      </c>
      <c r="G4209" s="27"/>
      <c r="H4209" s="16" t="str">
        <f>IF(ISBLANK(PARTIDAS!$G4209),PARTIDAS!$F4209,CONCATENATE(PARTIDAS!$F4209," (",PARTIDAS!$G4209,")"))</f>
        <v>Tejidos de algodón con un contenido de algodón…, con hilados de distintos colores, de ligamento tafetán, de peso inferior o igual a 100 g/m2</v>
      </c>
      <c r="I4209" s="16" t="s">
        <v>9427</v>
      </c>
    </row>
    <row r="4210" spans="1:9" x14ac:dyDescent="0.25">
      <c r="A4210" s="16" t="s">
        <v>5155</v>
      </c>
      <c r="B4210" s="16" t="str">
        <f>TEXT(PARTIDA[[#This Row],[PARTIDA]],"0000000000")</f>
        <v>5208420000</v>
      </c>
      <c r="C4210" s="16" t="s">
        <v>815</v>
      </c>
      <c r="D4210" s="16" t="s">
        <v>835</v>
      </c>
      <c r="E4210" s="16" t="s">
        <v>842</v>
      </c>
      <c r="F4210" s="27" t="s">
        <v>12954</v>
      </c>
      <c r="G4210" s="27"/>
      <c r="H4210" s="16" t="str">
        <f>IF(ISBLANK(PARTIDAS!$G4210),PARTIDAS!$F4210,CONCATENATE(PARTIDAS!$F4210," (",PARTIDAS!$G4210,")"))</f>
        <v>Tejidos de algodón con un contenido de algodón…, con hilados de distintos colores, de ligamento tafetán, de peso superior a 100 g/m</v>
      </c>
      <c r="I4210" s="16" t="s">
        <v>9427</v>
      </c>
    </row>
    <row r="4211" spans="1:9" x14ac:dyDescent="0.25">
      <c r="A4211" s="16" t="s">
        <v>5156</v>
      </c>
      <c r="B4211" s="16" t="str">
        <f>TEXT(PARTIDA[[#This Row],[PARTIDA]],"0000000000")</f>
        <v>5208430000</v>
      </c>
      <c r="C4211" s="16" t="s">
        <v>815</v>
      </c>
      <c r="D4211" s="16" t="s">
        <v>835</v>
      </c>
      <c r="E4211" s="16" t="s">
        <v>842</v>
      </c>
      <c r="F4211" s="27" t="s">
        <v>12955</v>
      </c>
      <c r="G4211" s="27"/>
      <c r="H4211" s="16" t="str">
        <f>IF(ISBLANK(PARTIDAS!$G4211),PARTIDAS!$F4211,CONCATENATE(PARTIDAS!$F4211," (",PARTIDAS!$G4211,")"))</f>
        <v xml:space="preserve">Tejidos de algodón con un contenido de algodón…, con hilados de distintos colores, de ligamento sarga, incluido el cruzado, de curso inferior o igual </v>
      </c>
      <c r="I4211" s="16" t="s">
        <v>9427</v>
      </c>
    </row>
    <row r="4212" spans="1:9" x14ac:dyDescent="0.25">
      <c r="A4212" s="16" t="s">
        <v>5157</v>
      </c>
      <c r="B4212" s="16" t="str">
        <f>TEXT(PARTIDA[[#This Row],[PARTIDA]],"0000000000")</f>
        <v>5208490000</v>
      </c>
      <c r="C4212" s="16" t="s">
        <v>815</v>
      </c>
      <c r="D4212" s="16" t="s">
        <v>835</v>
      </c>
      <c r="E4212" s="16" t="s">
        <v>842</v>
      </c>
      <c r="F4212" s="27" t="s">
        <v>12956</v>
      </c>
      <c r="G4212" s="27"/>
      <c r="H4212" s="16" t="str">
        <f>IF(ISBLANK(PARTIDAS!$G4212),PARTIDAS!$F4212,CONCATENATE(PARTIDAS!$F4212," (",PARTIDAS!$G4212,")"))</f>
        <v>Tejidos de algodón con un contenido de algodón…, con hilados de distintos colores (los demás, tejidos)</v>
      </c>
      <c r="I4212" s="16" t="s">
        <v>9427</v>
      </c>
    </row>
    <row r="4213" spans="1:9" x14ac:dyDescent="0.25">
      <c r="A4213" s="16" t="s">
        <v>5158</v>
      </c>
      <c r="B4213" s="16" t="str">
        <f>TEXT(PARTIDA[[#This Row],[PARTIDA]],"0000000000")</f>
        <v>5208510000</v>
      </c>
      <c r="C4213" s="16" t="s">
        <v>815</v>
      </c>
      <c r="D4213" s="16" t="s">
        <v>835</v>
      </c>
      <c r="E4213" s="16" t="s">
        <v>844</v>
      </c>
      <c r="F4213" s="27" t="s">
        <v>12957</v>
      </c>
      <c r="G4213" s="27"/>
      <c r="H4213" s="16" t="str">
        <f>IF(ISBLANK(PARTIDAS!$G4213),PARTIDAS!$F4213,CONCATENATE(PARTIDAS!$F4213," (",PARTIDAS!$G4213,")"))</f>
        <v>Estampados, de ligamento tafetán, de peso inferior o igual a 100 g/m2</v>
      </c>
      <c r="I4213" s="16" t="s">
        <v>9427</v>
      </c>
    </row>
    <row r="4214" spans="1:9" x14ac:dyDescent="0.25">
      <c r="A4214" s="16" t="s">
        <v>5159</v>
      </c>
      <c r="B4214" s="16" t="str">
        <f>TEXT(PARTIDA[[#This Row],[PARTIDA]],"0000000000")</f>
        <v>5208520000</v>
      </c>
      <c r="C4214" s="16" t="s">
        <v>815</v>
      </c>
      <c r="D4214" s="16" t="s">
        <v>835</v>
      </c>
      <c r="E4214" s="16" t="s">
        <v>844</v>
      </c>
      <c r="F4214" s="27" t="s">
        <v>12958</v>
      </c>
      <c r="G4214" s="27"/>
      <c r="H4214" s="16" t="str">
        <f>IF(ISBLANK(PARTIDAS!$G4214),PARTIDAS!$F4214,CONCATENATE(PARTIDAS!$F4214," (",PARTIDAS!$G4214,")"))</f>
        <v>Estampados, de ligamento tafetán, de peso superior a 100 g/m2</v>
      </c>
      <c r="I4214" s="16" t="s">
        <v>9427</v>
      </c>
    </row>
    <row r="4215" spans="1:9" x14ac:dyDescent="0.25">
      <c r="A4215" s="16" t="s">
        <v>5160</v>
      </c>
      <c r="B4215" s="16" t="str">
        <f>TEXT(PARTIDA[[#This Row],[PARTIDA]],"0000000000")</f>
        <v>5208591000</v>
      </c>
      <c r="C4215" s="16" t="s">
        <v>815</v>
      </c>
      <c r="D4215" s="16" t="s">
        <v>835</v>
      </c>
      <c r="E4215" s="16" t="s">
        <v>844</v>
      </c>
      <c r="F4215" s="27" t="s">
        <v>12959</v>
      </c>
      <c r="G4215" s="27"/>
      <c r="H4215" s="16" t="str">
        <f>IF(ISBLANK(PARTIDAS!$G4215),PARTIDAS!$F4215,CONCATENATE(PARTIDAS!$F4215," (",PARTIDAS!$G4215,")"))</f>
        <v>Estampados, de ligamento sarga, incluido el cruzado, de curso inferior o igual a 4</v>
      </c>
      <c r="I4215" s="16" t="s">
        <v>9427</v>
      </c>
    </row>
    <row r="4216" spans="1:9" x14ac:dyDescent="0.25">
      <c r="A4216" s="16" t="s">
        <v>5161</v>
      </c>
      <c r="B4216" s="16" t="str">
        <f>TEXT(PARTIDA[[#This Row],[PARTIDA]],"0000000000")</f>
        <v>5208599000</v>
      </c>
      <c r="C4216" s="16" t="s">
        <v>815</v>
      </c>
      <c r="D4216" s="16" t="s">
        <v>835</v>
      </c>
      <c r="E4216" s="16" t="s">
        <v>844</v>
      </c>
      <c r="F4216" s="27" t="s">
        <v>12960</v>
      </c>
      <c r="G4216" s="27"/>
      <c r="H4216" s="16" t="str">
        <f>IF(ISBLANK(PARTIDAS!$G4216),PARTIDAS!$F4216,CONCATENATE(PARTIDAS!$F4216," (",PARTIDAS!$G4216,")"))</f>
        <v>Estampados (los demás)</v>
      </c>
      <c r="I4216" s="16" t="s">
        <v>9427</v>
      </c>
    </row>
    <row r="4217" spans="1:9" x14ac:dyDescent="0.25">
      <c r="A4217" s="16" t="s">
        <v>5162</v>
      </c>
      <c r="B4217" s="16" t="str">
        <f>TEXT(PARTIDA[[#This Row],[PARTIDA]],"0000000000")</f>
        <v>5209110000</v>
      </c>
      <c r="C4217" s="16" t="s">
        <v>815</v>
      </c>
      <c r="D4217" s="16" t="s">
        <v>835</v>
      </c>
      <c r="E4217" s="16" t="s">
        <v>844</v>
      </c>
      <c r="F4217" s="27" t="s">
        <v>12961</v>
      </c>
      <c r="G4217" s="27"/>
      <c r="H4217" s="16" t="str">
        <f>IF(ISBLANK(PARTIDAS!$G4217),PARTIDAS!$F4217,CONCATENATE(PARTIDAS!$F4217," (",PARTIDAS!$G4217,")"))</f>
        <v>Tejidos de algodón con un contenido de algodón…, crudos, de ligamento tafetán</v>
      </c>
      <c r="I4217" s="16" t="s">
        <v>9427</v>
      </c>
    </row>
    <row r="4218" spans="1:9" x14ac:dyDescent="0.25">
      <c r="A4218" s="16" t="s">
        <v>5163</v>
      </c>
      <c r="B4218" s="16" t="str">
        <f>TEXT(PARTIDA[[#This Row],[PARTIDA]],"0000000000")</f>
        <v>5209120000</v>
      </c>
      <c r="C4218" s="16" t="s">
        <v>815</v>
      </c>
      <c r="D4218" s="16" t="s">
        <v>835</v>
      </c>
      <c r="E4218" s="16" t="s">
        <v>844</v>
      </c>
      <c r="F4218" s="27" t="s">
        <v>12942</v>
      </c>
      <c r="G4218" s="27"/>
      <c r="H4218" s="16" t="str">
        <f>IF(ISBLANK(PARTIDAS!$G4218),PARTIDAS!$F4218,CONCATENATE(PARTIDAS!$F4218," (",PARTIDAS!$G4218,")"))</f>
        <v>Tejidos de algodón con un contenido de algodón…, crudos, de ligamento sarga, incluido el cruzado, de curso inferior o igual a 4</v>
      </c>
      <c r="I4218" s="16" t="s">
        <v>9427</v>
      </c>
    </row>
    <row r="4219" spans="1:9" x14ac:dyDescent="0.25">
      <c r="A4219" s="16" t="s">
        <v>5164</v>
      </c>
      <c r="B4219" s="16" t="str">
        <f>TEXT(PARTIDA[[#This Row],[PARTIDA]],"0000000000")</f>
        <v>5209190000</v>
      </c>
      <c r="C4219" s="16" t="s">
        <v>815</v>
      </c>
      <c r="D4219" s="16" t="s">
        <v>835</v>
      </c>
      <c r="E4219" s="16" t="s">
        <v>844</v>
      </c>
      <c r="F4219" s="27" t="s">
        <v>12943</v>
      </c>
      <c r="G4219" s="27"/>
      <c r="H4219" s="16" t="str">
        <f>IF(ISBLANK(PARTIDAS!$G4219),PARTIDAS!$F4219,CONCATENATE(PARTIDAS!$F4219," (",PARTIDAS!$G4219,")"))</f>
        <v>Tejidos de algodón con un contenido de algodón…, crudos (los demás, tejidos)</v>
      </c>
      <c r="I4219" s="16" t="s">
        <v>9427</v>
      </c>
    </row>
    <row r="4220" spans="1:9" x14ac:dyDescent="0.25">
      <c r="A4220" s="16" t="s">
        <v>5165</v>
      </c>
      <c r="B4220" s="16" t="str">
        <f>TEXT(PARTIDA[[#This Row],[PARTIDA]],"0000000000")</f>
        <v>5209210000</v>
      </c>
      <c r="C4220" s="16" t="s">
        <v>815</v>
      </c>
      <c r="D4220" s="16" t="s">
        <v>835</v>
      </c>
      <c r="E4220" s="16" t="s">
        <v>844</v>
      </c>
      <c r="F4220" s="27" t="s">
        <v>12962</v>
      </c>
      <c r="G4220" s="27"/>
      <c r="H4220" s="16" t="str">
        <f>IF(ISBLANK(PARTIDAS!$G4220),PARTIDAS!$F4220,CONCATENATE(PARTIDAS!$F4220," (",PARTIDAS!$G4220,")"))</f>
        <v>Blanqueados, de ligamento tafetán</v>
      </c>
      <c r="I4220" s="16" t="s">
        <v>9427</v>
      </c>
    </row>
    <row r="4221" spans="1:9" x14ac:dyDescent="0.25">
      <c r="A4221" s="16" t="s">
        <v>5166</v>
      </c>
      <c r="B4221" s="16" t="str">
        <f>TEXT(PARTIDA[[#This Row],[PARTIDA]],"0000000000")</f>
        <v>5209220000</v>
      </c>
      <c r="C4221" s="16" t="s">
        <v>815</v>
      </c>
      <c r="D4221" s="16" t="s">
        <v>835</v>
      </c>
      <c r="E4221" s="16" t="s">
        <v>844</v>
      </c>
      <c r="F4221" s="27" t="s">
        <v>12947</v>
      </c>
      <c r="G4221" s="27"/>
      <c r="H4221" s="16" t="str">
        <f>IF(ISBLANK(PARTIDAS!$G4221),PARTIDAS!$F4221,CONCATENATE(PARTIDAS!$F4221," (",PARTIDAS!$G4221,")"))</f>
        <v>Blanqueados, de ligamento sarga, incluido el cruzado, de curso inferior o igual a 4</v>
      </c>
      <c r="I4221" s="16" t="s">
        <v>9427</v>
      </c>
    </row>
    <row r="4222" spans="1:9" x14ac:dyDescent="0.25">
      <c r="A4222" s="16" t="s">
        <v>5167</v>
      </c>
      <c r="B4222" s="16" t="str">
        <f>TEXT(PARTIDA[[#This Row],[PARTIDA]],"0000000000")</f>
        <v>5209290000</v>
      </c>
      <c r="C4222" s="16" t="s">
        <v>815</v>
      </c>
      <c r="D4222" s="16" t="s">
        <v>835</v>
      </c>
      <c r="E4222" s="16" t="s">
        <v>844</v>
      </c>
      <c r="F4222" s="27" t="s">
        <v>12948</v>
      </c>
      <c r="G4222" s="27"/>
      <c r="H4222" s="16" t="str">
        <f>IF(ISBLANK(PARTIDAS!$G4222),PARTIDAS!$F4222,CONCATENATE(PARTIDAS!$F4222," (",PARTIDAS!$G4222,")"))</f>
        <v>Blanqueados (los demás, tejidos)</v>
      </c>
      <c r="I4222" s="16" t="s">
        <v>9427</v>
      </c>
    </row>
    <row r="4223" spans="1:9" x14ac:dyDescent="0.25">
      <c r="A4223" s="16" t="s">
        <v>5168</v>
      </c>
      <c r="B4223" s="16" t="str">
        <f>TEXT(PARTIDA[[#This Row],[PARTIDA]],"0000000000")</f>
        <v>5209310000</v>
      </c>
      <c r="C4223" s="16" t="s">
        <v>815</v>
      </c>
      <c r="D4223" s="16" t="s">
        <v>835</v>
      </c>
      <c r="E4223" s="16" t="s">
        <v>844</v>
      </c>
      <c r="F4223" s="27" t="s">
        <v>12963</v>
      </c>
      <c r="G4223" s="27"/>
      <c r="H4223" s="16" t="str">
        <f>IF(ISBLANK(PARTIDAS!$G4223),PARTIDAS!$F4223,CONCATENATE(PARTIDAS!$F4223," (",PARTIDAS!$G4223,")"))</f>
        <v>Teñidos, de ligamento tafetán</v>
      </c>
      <c r="I4223" s="16" t="s">
        <v>9427</v>
      </c>
    </row>
    <row r="4224" spans="1:9" x14ac:dyDescent="0.25">
      <c r="A4224" s="16" t="s">
        <v>5169</v>
      </c>
      <c r="B4224" s="16" t="str">
        <f>TEXT(PARTIDA[[#This Row],[PARTIDA]],"0000000000")</f>
        <v>5209320000</v>
      </c>
      <c r="C4224" s="16" t="s">
        <v>815</v>
      </c>
      <c r="D4224" s="16" t="s">
        <v>835</v>
      </c>
      <c r="E4224" s="16" t="s">
        <v>844</v>
      </c>
      <c r="F4224" s="27" t="s">
        <v>12951</v>
      </c>
      <c r="G4224" s="27"/>
      <c r="H4224" s="16" t="str">
        <f>IF(ISBLANK(PARTIDAS!$G4224),PARTIDAS!$F4224,CONCATENATE(PARTIDAS!$F4224," (",PARTIDAS!$G4224,")"))</f>
        <v>Teñidos, de ligamento sarga, incluido el cruzado, de curso inferior o igual a 4</v>
      </c>
      <c r="I4224" s="16" t="s">
        <v>9427</v>
      </c>
    </row>
    <row r="4225" spans="1:9" x14ac:dyDescent="0.25">
      <c r="A4225" s="16" t="s">
        <v>5170</v>
      </c>
      <c r="B4225" s="16" t="str">
        <f>TEXT(PARTIDA[[#This Row],[PARTIDA]],"0000000000")</f>
        <v>5209390000</v>
      </c>
      <c r="C4225" s="16" t="s">
        <v>815</v>
      </c>
      <c r="D4225" s="16" t="s">
        <v>835</v>
      </c>
      <c r="E4225" s="16" t="s">
        <v>844</v>
      </c>
      <c r="F4225" s="27" t="s">
        <v>12952</v>
      </c>
      <c r="G4225" s="27"/>
      <c r="H4225" s="16" t="str">
        <f>IF(ISBLANK(PARTIDAS!$G4225),PARTIDAS!$F4225,CONCATENATE(PARTIDAS!$F4225," (",PARTIDAS!$G4225,")"))</f>
        <v>Teñidos (los demás, tejidos)</v>
      </c>
      <c r="I4225" s="16" t="s">
        <v>9427</v>
      </c>
    </row>
    <row r="4226" spans="1:9" x14ac:dyDescent="0.25">
      <c r="A4226" s="16" t="s">
        <v>5171</v>
      </c>
      <c r="B4226" s="16" t="str">
        <f>TEXT(PARTIDA[[#This Row],[PARTIDA]],"0000000000")</f>
        <v>5209410000</v>
      </c>
      <c r="C4226" s="16" t="s">
        <v>815</v>
      </c>
      <c r="D4226" s="16" t="s">
        <v>835</v>
      </c>
      <c r="E4226" s="16" t="s">
        <v>842</v>
      </c>
      <c r="F4226" s="27" t="s">
        <v>12964</v>
      </c>
      <c r="G4226" s="27"/>
      <c r="H4226" s="16" t="str">
        <f>IF(ISBLANK(PARTIDAS!$G4226),PARTIDAS!$F4226,CONCATENATE(PARTIDAS!$F4226," (",PARTIDAS!$G4226,")"))</f>
        <v>Tejidos de algodón con un contenido de algodón…, con hilados de distintos colores, de ligamento tafetán</v>
      </c>
      <c r="I4226" s="16" t="s">
        <v>9427</v>
      </c>
    </row>
    <row r="4227" spans="1:9" x14ac:dyDescent="0.25">
      <c r="A4227" s="16" t="s">
        <v>5172</v>
      </c>
      <c r="B4227" s="16" t="str">
        <f>TEXT(PARTIDA[[#This Row],[PARTIDA]],"0000000000")</f>
        <v>5209420000</v>
      </c>
      <c r="C4227" s="16" t="s">
        <v>815</v>
      </c>
      <c r="D4227" s="16" t="s">
        <v>835</v>
      </c>
      <c r="E4227" s="16" t="s">
        <v>842</v>
      </c>
      <c r="F4227" s="27" t="s">
        <v>12965</v>
      </c>
      <c r="G4227" s="27"/>
      <c r="H4227" s="16" t="str">
        <f>IF(ISBLANK(PARTIDAS!$G4227),PARTIDAS!$F4227,CONCATENATE(PARTIDAS!$F4227," (",PARTIDAS!$G4227,")"))</f>
        <v>Tejidos de mezclilla («denim»)</v>
      </c>
      <c r="I4227" s="16" t="s">
        <v>9427</v>
      </c>
    </row>
    <row r="4228" spans="1:9" x14ac:dyDescent="0.25">
      <c r="A4228" s="16" t="s">
        <v>5173</v>
      </c>
      <c r="B4228" s="16" t="str">
        <f>TEXT(PARTIDA[[#This Row],[PARTIDA]],"0000000000")</f>
        <v>5209430000</v>
      </c>
      <c r="C4228" s="16" t="s">
        <v>815</v>
      </c>
      <c r="D4228" s="16" t="s">
        <v>835</v>
      </c>
      <c r="E4228" s="16" t="s">
        <v>842</v>
      </c>
      <c r="F4228" s="27" t="s">
        <v>12966</v>
      </c>
      <c r="G4228" s="27"/>
      <c r="H4228" s="16" t="str">
        <f>IF(ISBLANK(PARTIDAS!$G4228),PARTIDAS!$F4228,CONCATENATE(PARTIDAS!$F4228," (",PARTIDAS!$G4228,")"))</f>
        <v>Tejidos de algodón con un contenido de algodón…, con hilados de distintos colores (los demás, tejidos de ligamento sarga, incluido el cruzado, de curs</v>
      </c>
      <c r="I4228" s="16" t="s">
        <v>9427</v>
      </c>
    </row>
    <row r="4229" spans="1:9" x14ac:dyDescent="0.25">
      <c r="A4229" s="16" t="s">
        <v>5174</v>
      </c>
      <c r="B4229" s="16" t="str">
        <f>TEXT(PARTIDA[[#This Row],[PARTIDA]],"0000000000")</f>
        <v>5209490000</v>
      </c>
      <c r="C4229" s="16" t="s">
        <v>815</v>
      </c>
      <c r="D4229" s="16" t="s">
        <v>835</v>
      </c>
      <c r="E4229" s="16" t="s">
        <v>842</v>
      </c>
      <c r="F4229" s="27" t="s">
        <v>12956</v>
      </c>
      <c r="G4229" s="27"/>
      <c r="H4229" s="16" t="str">
        <f>IF(ISBLANK(PARTIDAS!$G4229),PARTIDAS!$F4229,CONCATENATE(PARTIDAS!$F4229," (",PARTIDAS!$G4229,")"))</f>
        <v>Tejidos de algodón con un contenido de algodón…, con hilados de distintos colores (los demás, tejidos)</v>
      </c>
      <c r="I4229" s="16" t="s">
        <v>9427</v>
      </c>
    </row>
    <row r="4230" spans="1:9" x14ac:dyDescent="0.25">
      <c r="A4230" s="16" t="s">
        <v>5175</v>
      </c>
      <c r="B4230" s="16" t="str">
        <f>TEXT(PARTIDA[[#This Row],[PARTIDA]],"0000000000")</f>
        <v>5209510000</v>
      </c>
      <c r="C4230" s="16" t="s">
        <v>815</v>
      </c>
      <c r="D4230" s="16" t="s">
        <v>835</v>
      </c>
      <c r="E4230" s="16" t="s">
        <v>844</v>
      </c>
      <c r="F4230" s="27" t="s">
        <v>12967</v>
      </c>
      <c r="G4230" s="27"/>
      <c r="H4230" s="16" t="str">
        <f>IF(ISBLANK(PARTIDAS!$G4230),PARTIDAS!$F4230,CONCATENATE(PARTIDAS!$F4230," (",PARTIDAS!$G4230,")"))</f>
        <v>Estampados, de ligamento tafetán</v>
      </c>
      <c r="I4230" s="16" t="s">
        <v>9427</v>
      </c>
    </row>
    <row r="4231" spans="1:9" x14ac:dyDescent="0.25">
      <c r="A4231" s="16" t="s">
        <v>5176</v>
      </c>
      <c r="B4231" s="16" t="str">
        <f>TEXT(PARTIDA[[#This Row],[PARTIDA]],"0000000000")</f>
        <v>5209520000</v>
      </c>
      <c r="C4231" s="16" t="s">
        <v>815</v>
      </c>
      <c r="D4231" s="16" t="s">
        <v>835</v>
      </c>
      <c r="E4231" s="16" t="s">
        <v>844</v>
      </c>
      <c r="F4231" s="27" t="s">
        <v>12959</v>
      </c>
      <c r="G4231" s="27"/>
      <c r="H4231" s="16" t="str">
        <f>IF(ISBLANK(PARTIDAS!$G4231),PARTIDAS!$F4231,CONCATENATE(PARTIDAS!$F4231," (",PARTIDAS!$G4231,")"))</f>
        <v>Estampados, de ligamento sarga, incluido el cruzado, de curso inferior o igual a 4</v>
      </c>
      <c r="I4231" s="16" t="s">
        <v>9427</v>
      </c>
    </row>
    <row r="4232" spans="1:9" x14ac:dyDescent="0.25">
      <c r="A4232" s="16" t="s">
        <v>5177</v>
      </c>
      <c r="B4232" s="16" t="str">
        <f>TEXT(PARTIDA[[#This Row],[PARTIDA]],"0000000000")</f>
        <v>5209590000</v>
      </c>
      <c r="C4232" s="16" t="s">
        <v>815</v>
      </c>
      <c r="D4232" s="16" t="s">
        <v>835</v>
      </c>
      <c r="E4232" s="16" t="s">
        <v>844</v>
      </c>
      <c r="F4232" s="27" t="s">
        <v>12968</v>
      </c>
      <c r="G4232" s="27"/>
      <c r="H4232" s="16" t="str">
        <f>IF(ISBLANK(PARTIDAS!$G4232),PARTIDAS!$F4232,CONCATENATE(PARTIDAS!$F4232," (",PARTIDAS!$G4232,")"))</f>
        <v>Estampados (los demás, tejidos)</v>
      </c>
      <c r="I4232" s="16" t="s">
        <v>9427</v>
      </c>
    </row>
    <row r="4233" spans="1:9" x14ac:dyDescent="0.25">
      <c r="A4233" s="16" t="s">
        <v>5178</v>
      </c>
      <c r="B4233" s="16" t="str">
        <f>TEXT(PARTIDA[[#This Row],[PARTIDA]],"0000000000")</f>
        <v>5210110000</v>
      </c>
      <c r="C4233" s="16" t="s">
        <v>815</v>
      </c>
      <c r="D4233" s="16" t="s">
        <v>835</v>
      </c>
      <c r="E4233" s="16" t="s">
        <v>842</v>
      </c>
      <c r="F4233" s="27" t="s">
        <v>12961</v>
      </c>
      <c r="G4233" s="27"/>
      <c r="H4233" s="16" t="str">
        <f>IF(ISBLANK(PARTIDAS!$G4233),PARTIDAS!$F4233,CONCATENATE(PARTIDAS!$F4233," (",PARTIDAS!$G4233,")"))</f>
        <v>Tejidos de algodón con un contenido de algodón…, crudos, de ligamento tafetán</v>
      </c>
      <c r="I4233" s="16" t="s">
        <v>9427</v>
      </c>
    </row>
    <row r="4234" spans="1:9" x14ac:dyDescent="0.25">
      <c r="A4234" s="16" t="s">
        <v>5179</v>
      </c>
      <c r="B4234" s="16" t="str">
        <f>TEXT(PARTIDA[[#This Row],[PARTIDA]],"0000000000")</f>
        <v>5210190000</v>
      </c>
      <c r="C4234" s="16" t="s">
        <v>815</v>
      </c>
      <c r="D4234" s="16" t="s">
        <v>835</v>
      </c>
      <c r="E4234" s="16" t="s">
        <v>842</v>
      </c>
      <c r="F4234" s="27" t="s">
        <v>12943</v>
      </c>
      <c r="G4234" s="27"/>
      <c r="H4234" s="16" t="str">
        <f>IF(ISBLANK(PARTIDAS!$G4234),PARTIDAS!$F4234,CONCATENATE(PARTIDAS!$F4234," (",PARTIDAS!$G4234,")"))</f>
        <v>Tejidos de algodón con un contenido de algodón…, crudos (los demás, tejidos)</v>
      </c>
      <c r="I4234" s="16" t="s">
        <v>9427</v>
      </c>
    </row>
    <row r="4235" spans="1:9" x14ac:dyDescent="0.25">
      <c r="A4235" s="16" t="s">
        <v>5180</v>
      </c>
      <c r="B4235" s="16" t="str">
        <f>TEXT(PARTIDA[[#This Row],[PARTIDA]],"0000000000")</f>
        <v>5210210000</v>
      </c>
      <c r="C4235" s="16" t="s">
        <v>815</v>
      </c>
      <c r="D4235" s="16" t="s">
        <v>835</v>
      </c>
      <c r="E4235" s="16" t="s">
        <v>842</v>
      </c>
      <c r="F4235" s="27" t="s">
        <v>12962</v>
      </c>
      <c r="G4235" s="27"/>
      <c r="H4235" s="16" t="str">
        <f>IF(ISBLANK(PARTIDAS!$G4235),PARTIDAS!$F4235,CONCATENATE(PARTIDAS!$F4235," (",PARTIDAS!$G4235,")"))</f>
        <v>Blanqueados, de ligamento tafetán</v>
      </c>
      <c r="I4235" s="16" t="s">
        <v>9427</v>
      </c>
    </row>
    <row r="4236" spans="1:9" x14ac:dyDescent="0.25">
      <c r="A4236" s="16" t="s">
        <v>5181</v>
      </c>
      <c r="B4236" s="16" t="str">
        <f>TEXT(PARTIDA[[#This Row],[PARTIDA]],"0000000000")</f>
        <v>5210290000</v>
      </c>
      <c r="C4236" s="16" t="s">
        <v>815</v>
      </c>
      <c r="D4236" s="16" t="s">
        <v>835</v>
      </c>
      <c r="E4236" s="16" t="s">
        <v>842</v>
      </c>
      <c r="F4236" s="27" t="s">
        <v>12948</v>
      </c>
      <c r="G4236" s="27"/>
      <c r="H4236" s="16" t="str">
        <f>IF(ISBLANK(PARTIDAS!$G4236),PARTIDAS!$F4236,CONCATENATE(PARTIDAS!$F4236," (",PARTIDAS!$G4236,")"))</f>
        <v>Blanqueados (los demás, tejidos)</v>
      </c>
      <c r="I4236" s="16" t="s">
        <v>9427</v>
      </c>
    </row>
    <row r="4237" spans="1:9" x14ac:dyDescent="0.25">
      <c r="A4237" s="16" t="s">
        <v>5182</v>
      </c>
      <c r="B4237" s="16" t="str">
        <f>TEXT(PARTIDA[[#This Row],[PARTIDA]],"0000000000")</f>
        <v>5210310000</v>
      </c>
      <c r="C4237" s="16" t="s">
        <v>815</v>
      </c>
      <c r="D4237" s="16" t="s">
        <v>835</v>
      </c>
      <c r="E4237" s="16" t="s">
        <v>842</v>
      </c>
      <c r="F4237" s="27" t="s">
        <v>12963</v>
      </c>
      <c r="G4237" s="27"/>
      <c r="H4237" s="16" t="str">
        <f>IF(ISBLANK(PARTIDAS!$G4237),PARTIDAS!$F4237,CONCATENATE(PARTIDAS!$F4237," (",PARTIDAS!$G4237,")"))</f>
        <v>Teñidos, de ligamento tafetán</v>
      </c>
      <c r="I4237" s="16" t="s">
        <v>9427</v>
      </c>
    </row>
    <row r="4238" spans="1:9" x14ac:dyDescent="0.25">
      <c r="A4238" s="16" t="s">
        <v>5183</v>
      </c>
      <c r="B4238" s="16" t="str">
        <f>TEXT(PARTIDA[[#This Row],[PARTIDA]],"0000000000")</f>
        <v>5210320000</v>
      </c>
      <c r="C4238" s="16" t="s">
        <v>815</v>
      </c>
      <c r="D4238" s="16" t="s">
        <v>835</v>
      </c>
      <c r="E4238" s="16" t="s">
        <v>842</v>
      </c>
      <c r="F4238" s="27" t="s">
        <v>12951</v>
      </c>
      <c r="G4238" s="27"/>
      <c r="H4238" s="16" t="str">
        <f>IF(ISBLANK(PARTIDAS!$G4238),PARTIDAS!$F4238,CONCATENATE(PARTIDAS!$F4238," (",PARTIDAS!$G4238,")"))</f>
        <v>Teñidos, de ligamento sarga, incluido el cruzado, de curso inferior o igual a 4</v>
      </c>
      <c r="I4238" s="16" t="s">
        <v>9427</v>
      </c>
    </row>
    <row r="4239" spans="1:9" x14ac:dyDescent="0.25">
      <c r="A4239" s="16" t="s">
        <v>5184</v>
      </c>
      <c r="B4239" s="16" t="str">
        <f>TEXT(PARTIDA[[#This Row],[PARTIDA]],"0000000000")</f>
        <v>5210390000</v>
      </c>
      <c r="C4239" s="16" t="s">
        <v>815</v>
      </c>
      <c r="D4239" s="16" t="s">
        <v>835</v>
      </c>
      <c r="E4239" s="16" t="s">
        <v>842</v>
      </c>
      <c r="F4239" s="27" t="s">
        <v>12952</v>
      </c>
      <c r="G4239" s="27"/>
      <c r="H4239" s="16" t="str">
        <f>IF(ISBLANK(PARTIDAS!$G4239),PARTIDAS!$F4239,CONCATENATE(PARTIDAS!$F4239," (",PARTIDAS!$G4239,")"))</f>
        <v>Teñidos (los demás, tejidos)</v>
      </c>
      <c r="I4239" s="16" t="s">
        <v>9427</v>
      </c>
    </row>
    <row r="4240" spans="1:9" x14ac:dyDescent="0.25">
      <c r="A4240" s="16" t="s">
        <v>5185</v>
      </c>
      <c r="B4240" s="16" t="str">
        <f>TEXT(PARTIDA[[#This Row],[PARTIDA]],"0000000000")</f>
        <v>5210410000</v>
      </c>
      <c r="C4240" s="16" t="s">
        <v>815</v>
      </c>
      <c r="D4240" s="16" t="s">
        <v>835</v>
      </c>
      <c r="E4240" s="16" t="s">
        <v>842</v>
      </c>
      <c r="F4240" s="27" t="s">
        <v>12964</v>
      </c>
      <c r="G4240" s="27"/>
      <c r="H4240" s="16" t="str">
        <f>IF(ISBLANK(PARTIDAS!$G4240),PARTIDAS!$F4240,CONCATENATE(PARTIDAS!$F4240," (",PARTIDAS!$G4240,")"))</f>
        <v>Tejidos de algodón con un contenido de algodón…, con hilados de distintos colores, de ligamento tafetán</v>
      </c>
      <c r="I4240" s="16" t="s">
        <v>9427</v>
      </c>
    </row>
    <row r="4241" spans="1:9" x14ac:dyDescent="0.25">
      <c r="A4241" s="16" t="s">
        <v>5186</v>
      </c>
      <c r="B4241" s="16" t="str">
        <f>TEXT(PARTIDA[[#This Row],[PARTIDA]],"0000000000")</f>
        <v>5210490000</v>
      </c>
      <c r="C4241" s="16" t="s">
        <v>815</v>
      </c>
      <c r="D4241" s="16" t="s">
        <v>835</v>
      </c>
      <c r="E4241" s="16" t="s">
        <v>842</v>
      </c>
      <c r="F4241" s="27" t="s">
        <v>12956</v>
      </c>
      <c r="G4241" s="27"/>
      <c r="H4241" s="16" t="str">
        <f>IF(ISBLANK(PARTIDAS!$G4241),PARTIDAS!$F4241,CONCATENATE(PARTIDAS!$F4241," (",PARTIDAS!$G4241,")"))</f>
        <v>Tejidos de algodón con un contenido de algodón…, con hilados de distintos colores (los demás, tejidos)</v>
      </c>
      <c r="I4241" s="16" t="s">
        <v>9427</v>
      </c>
    </row>
    <row r="4242" spans="1:9" x14ac:dyDescent="0.25">
      <c r="A4242" s="16" t="s">
        <v>5187</v>
      </c>
      <c r="B4242" s="16" t="str">
        <f>TEXT(PARTIDA[[#This Row],[PARTIDA]],"0000000000")</f>
        <v>5210510000</v>
      </c>
      <c r="C4242" s="16" t="s">
        <v>815</v>
      </c>
      <c r="D4242" s="16" t="s">
        <v>835</v>
      </c>
      <c r="E4242" s="16" t="s">
        <v>842</v>
      </c>
      <c r="F4242" s="27" t="s">
        <v>12967</v>
      </c>
      <c r="G4242" s="27"/>
      <c r="H4242" s="16" t="str">
        <f>IF(ISBLANK(PARTIDAS!$G4242),PARTIDAS!$F4242,CONCATENATE(PARTIDAS!$F4242," (",PARTIDAS!$G4242,")"))</f>
        <v>Estampados, de ligamento tafetán</v>
      </c>
      <c r="I4242" s="16" t="s">
        <v>9427</v>
      </c>
    </row>
    <row r="4243" spans="1:9" x14ac:dyDescent="0.25">
      <c r="A4243" s="16" t="s">
        <v>5188</v>
      </c>
      <c r="B4243" s="16" t="str">
        <f>TEXT(PARTIDA[[#This Row],[PARTIDA]],"0000000000")</f>
        <v>5210590000</v>
      </c>
      <c r="C4243" s="16" t="s">
        <v>815</v>
      </c>
      <c r="D4243" s="16" t="s">
        <v>835</v>
      </c>
      <c r="E4243" s="16" t="s">
        <v>842</v>
      </c>
      <c r="F4243" s="27" t="s">
        <v>12968</v>
      </c>
      <c r="G4243" s="27"/>
      <c r="H4243" s="16" t="str">
        <f>IF(ISBLANK(PARTIDAS!$G4243),PARTIDAS!$F4243,CONCATENATE(PARTIDAS!$F4243," (",PARTIDAS!$G4243,")"))</f>
        <v>Estampados (los demás, tejidos)</v>
      </c>
      <c r="I4243" s="16" t="s">
        <v>9427</v>
      </c>
    </row>
    <row r="4244" spans="1:9" x14ac:dyDescent="0.25">
      <c r="A4244" s="16" t="s">
        <v>5189</v>
      </c>
      <c r="B4244" s="16" t="str">
        <f>TEXT(PARTIDA[[#This Row],[PARTIDA]],"0000000000")</f>
        <v>5211110000</v>
      </c>
      <c r="C4244" s="16" t="s">
        <v>815</v>
      </c>
      <c r="D4244" s="16" t="s">
        <v>835</v>
      </c>
      <c r="E4244" s="16" t="s">
        <v>842</v>
      </c>
      <c r="F4244" s="27" t="s">
        <v>12961</v>
      </c>
      <c r="G4244" s="27"/>
      <c r="H4244" s="16" t="str">
        <f>IF(ISBLANK(PARTIDAS!$G4244),PARTIDAS!$F4244,CONCATENATE(PARTIDAS!$F4244," (",PARTIDAS!$G4244,")"))</f>
        <v>Tejidos de algodón con un contenido de algodón…, crudos, de ligamento tafetán</v>
      </c>
      <c r="I4244" s="16" t="s">
        <v>9427</v>
      </c>
    </row>
    <row r="4245" spans="1:9" x14ac:dyDescent="0.25">
      <c r="A4245" s="16" t="s">
        <v>5190</v>
      </c>
      <c r="B4245" s="16" t="str">
        <f>TEXT(PARTIDA[[#This Row],[PARTIDA]],"0000000000")</f>
        <v>5211120000</v>
      </c>
      <c r="C4245" s="16" t="s">
        <v>815</v>
      </c>
      <c r="D4245" s="16" t="s">
        <v>835</v>
      </c>
      <c r="E4245" s="16" t="s">
        <v>842</v>
      </c>
      <c r="F4245" s="27" t="s">
        <v>12942</v>
      </c>
      <c r="G4245" s="27"/>
      <c r="H4245" s="16" t="str">
        <f>IF(ISBLANK(PARTIDAS!$G4245),PARTIDAS!$F4245,CONCATENATE(PARTIDAS!$F4245," (",PARTIDAS!$G4245,")"))</f>
        <v>Tejidos de algodón con un contenido de algodón…, crudos, de ligamento sarga, incluido el cruzado, de curso inferior o igual a 4</v>
      </c>
      <c r="I4245" s="16" t="s">
        <v>9427</v>
      </c>
    </row>
    <row r="4246" spans="1:9" x14ac:dyDescent="0.25">
      <c r="A4246" s="16" t="s">
        <v>5191</v>
      </c>
      <c r="B4246" s="16" t="str">
        <f>TEXT(PARTIDA[[#This Row],[PARTIDA]],"0000000000")</f>
        <v>5211190000</v>
      </c>
      <c r="C4246" s="16" t="s">
        <v>815</v>
      </c>
      <c r="D4246" s="16" t="s">
        <v>835</v>
      </c>
      <c r="E4246" s="16" t="s">
        <v>842</v>
      </c>
      <c r="F4246" s="27" t="s">
        <v>12943</v>
      </c>
      <c r="G4246" s="27"/>
      <c r="H4246" s="16" t="str">
        <f>IF(ISBLANK(PARTIDAS!$G4246),PARTIDAS!$F4246,CONCATENATE(PARTIDAS!$F4246," (",PARTIDAS!$G4246,")"))</f>
        <v>Tejidos de algodón con un contenido de algodón…, crudos (los demás, tejidos)</v>
      </c>
      <c r="I4246" s="16" t="s">
        <v>9427</v>
      </c>
    </row>
    <row r="4247" spans="1:9" x14ac:dyDescent="0.25">
      <c r="A4247" s="16" t="s">
        <v>5192</v>
      </c>
      <c r="B4247" s="16" t="str">
        <f>TEXT(PARTIDA[[#This Row],[PARTIDA]],"0000000000")</f>
        <v>5211200000</v>
      </c>
      <c r="C4247" s="16" t="s">
        <v>815</v>
      </c>
      <c r="D4247" s="16" t="s">
        <v>835</v>
      </c>
      <c r="E4247" s="16" t="s">
        <v>842</v>
      </c>
      <c r="F4247" s="27" t="s">
        <v>12969</v>
      </c>
      <c r="G4247" s="27"/>
      <c r="H4247" s="16" t="str">
        <f>IF(ISBLANK(PARTIDAS!$G4247),PARTIDAS!$F4247,CONCATENATE(PARTIDAS!$F4247," (",PARTIDAS!$G4247,")"))</f>
        <v>Blanqueados</v>
      </c>
      <c r="I4247" s="16" t="s">
        <v>9427</v>
      </c>
    </row>
    <row r="4248" spans="1:9" x14ac:dyDescent="0.25">
      <c r="A4248" s="16" t="s">
        <v>5193</v>
      </c>
      <c r="B4248" s="16" t="str">
        <f>TEXT(PARTIDA[[#This Row],[PARTIDA]],"0000000000")</f>
        <v>5211310000</v>
      </c>
      <c r="C4248" s="16" t="s">
        <v>815</v>
      </c>
      <c r="D4248" s="16" t="s">
        <v>835</v>
      </c>
      <c r="E4248" s="16" t="s">
        <v>842</v>
      </c>
      <c r="F4248" s="27" t="s">
        <v>12963</v>
      </c>
      <c r="G4248" s="27"/>
      <c r="H4248" s="16" t="str">
        <f>IF(ISBLANK(PARTIDAS!$G4248),PARTIDAS!$F4248,CONCATENATE(PARTIDAS!$F4248," (",PARTIDAS!$G4248,")"))</f>
        <v>Teñidos, de ligamento tafetán</v>
      </c>
      <c r="I4248" s="16" t="s">
        <v>9427</v>
      </c>
    </row>
    <row r="4249" spans="1:9" x14ac:dyDescent="0.25">
      <c r="A4249" s="16" t="s">
        <v>5194</v>
      </c>
      <c r="B4249" s="16" t="str">
        <f>TEXT(PARTIDA[[#This Row],[PARTIDA]],"0000000000")</f>
        <v>5211320000</v>
      </c>
      <c r="C4249" s="16" t="s">
        <v>815</v>
      </c>
      <c r="D4249" s="16" t="s">
        <v>835</v>
      </c>
      <c r="E4249" s="16" t="s">
        <v>842</v>
      </c>
      <c r="F4249" s="27" t="s">
        <v>12951</v>
      </c>
      <c r="G4249" s="27"/>
      <c r="H4249" s="16" t="str">
        <f>IF(ISBLANK(PARTIDAS!$G4249),PARTIDAS!$F4249,CONCATENATE(PARTIDAS!$F4249," (",PARTIDAS!$G4249,")"))</f>
        <v>Teñidos, de ligamento sarga, incluido el cruzado, de curso inferior o igual a 4</v>
      </c>
      <c r="I4249" s="16" t="s">
        <v>9427</v>
      </c>
    </row>
    <row r="4250" spans="1:9" x14ac:dyDescent="0.25">
      <c r="A4250" s="16" t="s">
        <v>5195</v>
      </c>
      <c r="B4250" s="16" t="str">
        <f>TEXT(PARTIDA[[#This Row],[PARTIDA]],"0000000000")</f>
        <v>5211390000</v>
      </c>
      <c r="C4250" s="16" t="s">
        <v>815</v>
      </c>
      <c r="D4250" s="16" t="s">
        <v>835</v>
      </c>
      <c r="E4250" s="16" t="s">
        <v>842</v>
      </c>
      <c r="F4250" s="27" t="s">
        <v>12952</v>
      </c>
      <c r="G4250" s="27"/>
      <c r="H4250" s="16" t="str">
        <f>IF(ISBLANK(PARTIDAS!$G4250),PARTIDAS!$F4250,CONCATENATE(PARTIDAS!$F4250," (",PARTIDAS!$G4250,")"))</f>
        <v>Teñidos (los demás, tejidos)</v>
      </c>
      <c r="I4250" s="16" t="s">
        <v>9427</v>
      </c>
    </row>
    <row r="4251" spans="1:9" x14ac:dyDescent="0.25">
      <c r="A4251" s="16" t="s">
        <v>5196</v>
      </c>
      <c r="B4251" s="16" t="str">
        <f>TEXT(PARTIDA[[#This Row],[PARTIDA]],"0000000000")</f>
        <v>5211410000</v>
      </c>
      <c r="C4251" s="16" t="s">
        <v>815</v>
      </c>
      <c r="D4251" s="16" t="s">
        <v>835</v>
      </c>
      <c r="E4251" s="16" t="s">
        <v>842</v>
      </c>
      <c r="F4251" s="27" t="s">
        <v>12964</v>
      </c>
      <c r="G4251" s="27"/>
      <c r="H4251" s="16" t="str">
        <f>IF(ISBLANK(PARTIDAS!$G4251),PARTIDAS!$F4251,CONCATENATE(PARTIDAS!$F4251," (",PARTIDAS!$G4251,")"))</f>
        <v>Tejidos de algodón con un contenido de algodón…, con hilados de distintos colores, de ligamento tafetán</v>
      </c>
      <c r="I4251" s="16" t="s">
        <v>9427</v>
      </c>
    </row>
    <row r="4252" spans="1:9" x14ac:dyDescent="0.25">
      <c r="A4252" s="16" t="s">
        <v>5197</v>
      </c>
      <c r="B4252" s="16" t="str">
        <f>TEXT(PARTIDA[[#This Row],[PARTIDA]],"0000000000")</f>
        <v>5211420000</v>
      </c>
      <c r="C4252" s="16" t="s">
        <v>815</v>
      </c>
      <c r="D4252" s="16" t="s">
        <v>835</v>
      </c>
      <c r="E4252" s="16" t="s">
        <v>842</v>
      </c>
      <c r="F4252" s="27" t="s">
        <v>12965</v>
      </c>
      <c r="G4252" s="27"/>
      <c r="H4252" s="16" t="str">
        <f>IF(ISBLANK(PARTIDAS!$G4252),PARTIDAS!$F4252,CONCATENATE(PARTIDAS!$F4252," (",PARTIDAS!$G4252,")"))</f>
        <v>Tejidos de mezclilla («denim»)</v>
      </c>
      <c r="I4252" s="16" t="s">
        <v>9427</v>
      </c>
    </row>
    <row r="4253" spans="1:9" x14ac:dyDescent="0.25">
      <c r="A4253" s="16" t="s">
        <v>5198</v>
      </c>
      <c r="B4253" s="16" t="str">
        <f>TEXT(PARTIDA[[#This Row],[PARTIDA]],"0000000000")</f>
        <v>5211430000</v>
      </c>
      <c r="C4253" s="16" t="s">
        <v>815</v>
      </c>
      <c r="D4253" s="16" t="s">
        <v>835</v>
      </c>
      <c r="E4253" s="16" t="s">
        <v>842</v>
      </c>
      <c r="F4253" s="27" t="s">
        <v>12966</v>
      </c>
      <c r="G4253" s="27"/>
      <c r="H4253" s="16" t="str">
        <f>IF(ISBLANK(PARTIDAS!$G4253),PARTIDAS!$F4253,CONCATENATE(PARTIDAS!$F4253," (",PARTIDAS!$G4253,")"))</f>
        <v>Tejidos de algodón con un contenido de algodón…, con hilados de distintos colores (los demás, tejidos de ligamento sarga, incluido el cruzado, de curs</v>
      </c>
      <c r="I4253" s="16" t="s">
        <v>9427</v>
      </c>
    </row>
    <row r="4254" spans="1:9" x14ac:dyDescent="0.25">
      <c r="A4254" s="16" t="s">
        <v>5199</v>
      </c>
      <c r="B4254" s="16" t="str">
        <f>TEXT(PARTIDA[[#This Row],[PARTIDA]],"0000000000")</f>
        <v>5211490000</v>
      </c>
      <c r="C4254" s="16" t="s">
        <v>815</v>
      </c>
      <c r="D4254" s="16" t="s">
        <v>835</v>
      </c>
      <c r="E4254" s="16" t="s">
        <v>842</v>
      </c>
      <c r="F4254" s="27" t="s">
        <v>12956</v>
      </c>
      <c r="G4254" s="27"/>
      <c r="H4254" s="16" t="str">
        <f>IF(ISBLANK(PARTIDAS!$G4254),PARTIDAS!$F4254,CONCATENATE(PARTIDAS!$F4254," (",PARTIDAS!$G4254,")"))</f>
        <v>Tejidos de algodón con un contenido de algodón…, con hilados de distintos colores (los demás, tejidos)</v>
      </c>
      <c r="I4254" s="16" t="s">
        <v>9427</v>
      </c>
    </row>
    <row r="4255" spans="1:9" x14ac:dyDescent="0.25">
      <c r="A4255" s="16" t="s">
        <v>5200</v>
      </c>
      <c r="B4255" s="16" t="str">
        <f>TEXT(PARTIDA[[#This Row],[PARTIDA]],"0000000000")</f>
        <v>5211510000</v>
      </c>
      <c r="C4255" s="16" t="s">
        <v>815</v>
      </c>
      <c r="D4255" s="16" t="s">
        <v>835</v>
      </c>
      <c r="E4255" s="16" t="s">
        <v>842</v>
      </c>
      <c r="F4255" s="27" t="s">
        <v>12967</v>
      </c>
      <c r="G4255" s="27"/>
      <c r="H4255" s="16" t="str">
        <f>IF(ISBLANK(PARTIDAS!$G4255),PARTIDAS!$F4255,CONCATENATE(PARTIDAS!$F4255," (",PARTIDAS!$G4255,")"))</f>
        <v>Estampados, de ligamento tafetán</v>
      </c>
      <c r="I4255" s="16" t="s">
        <v>9427</v>
      </c>
    </row>
    <row r="4256" spans="1:9" x14ac:dyDescent="0.25">
      <c r="A4256" s="16" t="s">
        <v>5201</v>
      </c>
      <c r="B4256" s="16" t="str">
        <f>TEXT(PARTIDA[[#This Row],[PARTIDA]],"0000000000")</f>
        <v>5211520000</v>
      </c>
      <c r="C4256" s="16" t="s">
        <v>815</v>
      </c>
      <c r="D4256" s="16" t="s">
        <v>835</v>
      </c>
      <c r="E4256" s="16" t="s">
        <v>842</v>
      </c>
      <c r="F4256" s="27" t="s">
        <v>12959</v>
      </c>
      <c r="G4256" s="27"/>
      <c r="H4256" s="16" t="str">
        <f>IF(ISBLANK(PARTIDAS!$G4256),PARTIDAS!$F4256,CONCATENATE(PARTIDAS!$F4256," (",PARTIDAS!$G4256,")"))</f>
        <v>Estampados, de ligamento sarga, incluido el cruzado, de curso inferior o igual a 4</v>
      </c>
      <c r="I4256" s="16" t="s">
        <v>9427</v>
      </c>
    </row>
    <row r="4257" spans="1:9" x14ac:dyDescent="0.25">
      <c r="A4257" s="16" t="s">
        <v>5202</v>
      </c>
      <c r="B4257" s="16" t="str">
        <f>TEXT(PARTIDA[[#This Row],[PARTIDA]],"0000000000")</f>
        <v>5211590000</v>
      </c>
      <c r="C4257" s="16" t="s">
        <v>815</v>
      </c>
      <c r="D4257" s="16" t="s">
        <v>835</v>
      </c>
      <c r="E4257" s="16" t="s">
        <v>842</v>
      </c>
      <c r="F4257" s="27" t="s">
        <v>12968</v>
      </c>
      <c r="G4257" s="27"/>
      <c r="H4257" s="16" t="str">
        <f>IF(ISBLANK(PARTIDAS!$G4257),PARTIDAS!$F4257,CONCATENATE(PARTIDAS!$F4257," (",PARTIDAS!$G4257,")"))</f>
        <v>Estampados (los demás, tejidos)</v>
      </c>
      <c r="I4257" s="16" t="s">
        <v>9427</v>
      </c>
    </row>
    <row r="4258" spans="1:9" x14ac:dyDescent="0.25">
      <c r="A4258" s="16" t="s">
        <v>5203</v>
      </c>
      <c r="B4258" s="16" t="str">
        <f>TEXT(PARTIDA[[#This Row],[PARTIDA]],"0000000000")</f>
        <v>5212110000</v>
      </c>
      <c r="C4258" s="16" t="s">
        <v>815</v>
      </c>
      <c r="D4258" s="16" t="s">
        <v>835</v>
      </c>
      <c r="E4258" s="16" t="s">
        <v>844</v>
      </c>
      <c r="F4258" s="27" t="s">
        <v>12970</v>
      </c>
      <c r="G4258" s="27"/>
      <c r="H4258" s="16" t="str">
        <f>IF(ISBLANK(PARTIDAS!$G4258),PARTIDAS!$F4258,CONCATENATE(PARTIDAS!$F4258," (",PARTIDAS!$G4258,")"))</f>
        <v>Algodón, de peso inferior o igual a 200 g/m2, crudos</v>
      </c>
      <c r="I4258" s="16" t="s">
        <v>9427</v>
      </c>
    </row>
    <row r="4259" spans="1:9" x14ac:dyDescent="0.25">
      <c r="A4259" s="16" t="s">
        <v>5204</v>
      </c>
      <c r="B4259" s="16" t="str">
        <f>TEXT(PARTIDA[[#This Row],[PARTIDA]],"0000000000")</f>
        <v>5212120000</v>
      </c>
      <c r="C4259" s="16" t="s">
        <v>815</v>
      </c>
      <c r="D4259" s="16" t="s">
        <v>835</v>
      </c>
      <c r="E4259" s="16" t="s">
        <v>844</v>
      </c>
      <c r="F4259" s="27" t="s">
        <v>12971</v>
      </c>
      <c r="G4259" s="27"/>
      <c r="H4259" s="16" t="str">
        <f>IF(ISBLANK(PARTIDAS!$G4259),PARTIDAS!$F4259,CONCATENATE(PARTIDAS!$F4259," (",PARTIDAS!$G4259,")"))</f>
        <v>Algodón, de peso inferior o igual a 200 g/m2, blanqueados</v>
      </c>
      <c r="I4259" s="16" t="s">
        <v>9427</v>
      </c>
    </row>
    <row r="4260" spans="1:9" x14ac:dyDescent="0.25">
      <c r="A4260" s="16" t="s">
        <v>5205</v>
      </c>
      <c r="B4260" s="16" t="str">
        <f>TEXT(PARTIDA[[#This Row],[PARTIDA]],"0000000000")</f>
        <v>5212130000</v>
      </c>
      <c r="C4260" s="16" t="s">
        <v>815</v>
      </c>
      <c r="D4260" s="16" t="s">
        <v>835</v>
      </c>
      <c r="E4260" s="16" t="s">
        <v>844</v>
      </c>
      <c r="F4260" s="27" t="s">
        <v>12972</v>
      </c>
      <c r="G4260" s="27"/>
      <c r="H4260" s="16" t="str">
        <f>IF(ISBLANK(PARTIDAS!$G4260),PARTIDAS!$F4260,CONCATENATE(PARTIDAS!$F4260," (",PARTIDAS!$G4260,")"))</f>
        <v>Algodón, de peso inferior o igual a 200 g/m2, teñidos</v>
      </c>
      <c r="I4260" s="16" t="s">
        <v>9427</v>
      </c>
    </row>
    <row r="4261" spans="1:9" x14ac:dyDescent="0.25">
      <c r="A4261" s="16" t="s">
        <v>5206</v>
      </c>
      <c r="B4261" s="16" t="str">
        <f>TEXT(PARTIDA[[#This Row],[PARTIDA]],"0000000000")</f>
        <v>5212140000</v>
      </c>
      <c r="C4261" s="16" t="s">
        <v>815</v>
      </c>
      <c r="D4261" s="16" t="s">
        <v>835</v>
      </c>
      <c r="E4261" s="16" t="s">
        <v>842</v>
      </c>
      <c r="F4261" s="27" t="s">
        <v>12973</v>
      </c>
      <c r="G4261" s="27"/>
      <c r="H4261" s="16" t="str">
        <f>IF(ISBLANK(PARTIDAS!$G4261),PARTIDAS!$F4261,CONCATENATE(PARTIDAS!$F4261," (",PARTIDAS!$G4261,")"))</f>
        <v>Algodón, de peso inferior o igual a 200 g/m2, con hilados de distintos colores</v>
      </c>
      <c r="I4261" s="16" t="s">
        <v>9427</v>
      </c>
    </row>
    <row r="4262" spans="1:9" x14ac:dyDescent="0.25">
      <c r="A4262" s="16" t="s">
        <v>5207</v>
      </c>
      <c r="B4262" s="16" t="str">
        <f>TEXT(PARTIDA[[#This Row],[PARTIDA]],"0000000000")</f>
        <v>5212150000</v>
      </c>
      <c r="C4262" s="16" t="s">
        <v>815</v>
      </c>
      <c r="D4262" s="16" t="s">
        <v>835</v>
      </c>
      <c r="E4262" s="16" t="s">
        <v>844</v>
      </c>
      <c r="F4262" s="27" t="s">
        <v>12974</v>
      </c>
      <c r="G4262" s="27"/>
      <c r="H4262" s="16" t="str">
        <f>IF(ISBLANK(PARTIDAS!$G4262),PARTIDAS!$F4262,CONCATENATE(PARTIDAS!$F4262," (",PARTIDAS!$G4262,")"))</f>
        <v>Algodón, de peso inferior o igual a 200 g/m2, estampados</v>
      </c>
      <c r="I4262" s="16" t="s">
        <v>9427</v>
      </c>
    </row>
    <row r="4263" spans="1:9" x14ac:dyDescent="0.25">
      <c r="A4263" s="16" t="s">
        <v>5208</v>
      </c>
      <c r="B4263" s="16" t="str">
        <f>TEXT(PARTIDA[[#This Row],[PARTIDA]],"0000000000")</f>
        <v>5212210000</v>
      </c>
      <c r="C4263" s="16" t="s">
        <v>815</v>
      </c>
      <c r="D4263" s="16" t="s">
        <v>835</v>
      </c>
      <c r="E4263" s="16" t="s">
        <v>844</v>
      </c>
      <c r="F4263" s="27" t="s">
        <v>12975</v>
      </c>
      <c r="G4263" s="27"/>
      <c r="H4263" s="16" t="str">
        <f>IF(ISBLANK(PARTIDAS!$G4263),PARTIDAS!$F4263,CONCATENATE(PARTIDAS!$F4263," (",PARTIDAS!$G4263,")"))</f>
        <v>Algodón, de peso superior a 200 g/m2, crudos</v>
      </c>
      <c r="I4263" s="16" t="s">
        <v>9427</v>
      </c>
    </row>
    <row r="4264" spans="1:9" x14ac:dyDescent="0.25">
      <c r="A4264" s="16" t="s">
        <v>5209</v>
      </c>
      <c r="B4264" s="16" t="str">
        <f>TEXT(PARTIDA[[#This Row],[PARTIDA]],"0000000000")</f>
        <v>5212220000</v>
      </c>
      <c r="C4264" s="16" t="s">
        <v>815</v>
      </c>
      <c r="D4264" s="16" t="s">
        <v>835</v>
      </c>
      <c r="E4264" s="16" t="s">
        <v>844</v>
      </c>
      <c r="F4264" s="27" t="s">
        <v>12976</v>
      </c>
      <c r="G4264" s="27"/>
      <c r="H4264" s="16" t="str">
        <f>IF(ISBLANK(PARTIDAS!$G4264),PARTIDAS!$F4264,CONCATENATE(PARTIDAS!$F4264," (",PARTIDAS!$G4264,")"))</f>
        <v>Algodón, de peso superior a 200 g/m2, blanqueados</v>
      </c>
      <c r="I4264" s="16" t="s">
        <v>9427</v>
      </c>
    </row>
    <row r="4265" spans="1:9" x14ac:dyDescent="0.25">
      <c r="A4265" s="16" t="s">
        <v>5210</v>
      </c>
      <c r="B4265" s="16" t="str">
        <f>TEXT(PARTIDA[[#This Row],[PARTIDA]],"0000000000")</f>
        <v>5212230000</v>
      </c>
      <c r="C4265" s="16" t="s">
        <v>815</v>
      </c>
      <c r="D4265" s="16" t="s">
        <v>835</v>
      </c>
      <c r="E4265" s="16" t="s">
        <v>844</v>
      </c>
      <c r="F4265" s="27" t="s">
        <v>12977</v>
      </c>
      <c r="G4265" s="27"/>
      <c r="H4265" s="16" t="str">
        <f>IF(ISBLANK(PARTIDAS!$G4265),PARTIDAS!$F4265,CONCATENATE(PARTIDAS!$F4265," (",PARTIDAS!$G4265,")"))</f>
        <v>Algodón, de peso superior a 200 g/m2, teñidos</v>
      </c>
      <c r="I4265" s="16" t="s">
        <v>9427</v>
      </c>
    </row>
    <row r="4266" spans="1:9" x14ac:dyDescent="0.25">
      <c r="A4266" s="16" t="s">
        <v>5211</v>
      </c>
      <c r="B4266" s="16" t="str">
        <f>TEXT(PARTIDA[[#This Row],[PARTIDA]],"0000000000")</f>
        <v>5212240000</v>
      </c>
      <c r="C4266" s="16" t="s">
        <v>815</v>
      </c>
      <c r="D4266" s="16" t="s">
        <v>835</v>
      </c>
      <c r="E4266" s="16" t="s">
        <v>842</v>
      </c>
      <c r="F4266" s="27" t="s">
        <v>12978</v>
      </c>
      <c r="G4266" s="27"/>
      <c r="H4266" s="16" t="str">
        <f>IF(ISBLANK(PARTIDAS!$G4266),PARTIDAS!$F4266,CONCATENATE(PARTIDAS!$F4266," (",PARTIDAS!$G4266,")"))</f>
        <v>Algodón, de peso superior a 200 g/m2, con hilados de distintos colores</v>
      </c>
      <c r="I4266" s="16" t="s">
        <v>9427</v>
      </c>
    </row>
    <row r="4267" spans="1:9" x14ac:dyDescent="0.25">
      <c r="A4267" s="16" t="s">
        <v>5212</v>
      </c>
      <c r="B4267" s="16" t="str">
        <f>TEXT(PARTIDA[[#This Row],[PARTIDA]],"0000000000")</f>
        <v>5212250000</v>
      </c>
      <c r="C4267" s="16" t="s">
        <v>815</v>
      </c>
      <c r="D4267" s="16" t="s">
        <v>835</v>
      </c>
      <c r="E4267" s="16" t="s">
        <v>844</v>
      </c>
      <c r="F4267" s="27" t="s">
        <v>12979</v>
      </c>
      <c r="G4267" s="27"/>
      <c r="H4267" s="16" t="str">
        <f>IF(ISBLANK(PARTIDAS!$G4267),PARTIDAS!$F4267,CONCATENATE(PARTIDAS!$F4267," (",PARTIDAS!$G4267,")"))</f>
        <v>Algodón, de peso superior a 200 g/m2, estampados</v>
      </c>
      <c r="I4267" s="16" t="s">
        <v>9427</v>
      </c>
    </row>
    <row r="4268" spans="1:9" x14ac:dyDescent="0.25">
      <c r="A4268" s="16" t="s">
        <v>5213</v>
      </c>
      <c r="B4268" s="16" t="str">
        <f>TEXT(PARTIDA[[#This Row],[PARTIDA]],"0000000000")</f>
        <v>5301100000</v>
      </c>
      <c r="C4268" s="16" t="s">
        <v>815</v>
      </c>
      <c r="D4268" s="16" t="s">
        <v>835</v>
      </c>
      <c r="E4268" s="16" t="s">
        <v>842</v>
      </c>
      <c r="F4268" s="27" t="s">
        <v>12980</v>
      </c>
      <c r="G4268" s="27"/>
      <c r="H4268" s="16" t="str">
        <f>IF(ISBLANK(PARTIDAS!$G4268),PARTIDAS!$F4268,CONCATENATE(PARTIDAS!$F4268," (",PARTIDAS!$G4268,")"))</f>
        <v>Lino en bruto o enriado</v>
      </c>
      <c r="I4268" s="16" t="s">
        <v>9427</v>
      </c>
    </row>
    <row r="4269" spans="1:9" x14ac:dyDescent="0.25">
      <c r="A4269" s="16" t="s">
        <v>5214</v>
      </c>
      <c r="B4269" s="16" t="str">
        <f>TEXT(PARTIDA[[#This Row],[PARTIDA]],"0000000000")</f>
        <v>5301210000</v>
      </c>
      <c r="C4269" s="16" t="s">
        <v>815</v>
      </c>
      <c r="D4269" s="16" t="s">
        <v>835</v>
      </c>
      <c r="E4269" s="16" t="s">
        <v>842</v>
      </c>
      <c r="F4269" s="27" t="s">
        <v>12981</v>
      </c>
      <c r="G4269" s="27"/>
      <c r="H4269" s="16" t="str">
        <f>IF(ISBLANK(PARTIDAS!$G4269),PARTIDAS!$F4269,CONCATENATE(PARTIDAS!$F4269," (",PARTIDAS!$G4269,")"))</f>
        <v>Agramado o espadado</v>
      </c>
      <c r="I4269" s="16" t="s">
        <v>9427</v>
      </c>
    </row>
    <row r="4270" spans="1:9" x14ac:dyDescent="0.25">
      <c r="A4270" s="16" t="s">
        <v>5215</v>
      </c>
      <c r="B4270" s="16" t="str">
        <f>TEXT(PARTIDA[[#This Row],[PARTIDA]],"0000000000")</f>
        <v>5301290000</v>
      </c>
      <c r="C4270" s="16" t="s">
        <v>815</v>
      </c>
      <c r="D4270" s="16" t="s">
        <v>835</v>
      </c>
      <c r="E4270" s="16" t="s">
        <v>842</v>
      </c>
      <c r="F4270" s="27" t="s">
        <v>12982</v>
      </c>
      <c r="G4270" s="27"/>
      <c r="H4270" s="16" t="str">
        <f>IF(ISBLANK(PARTIDAS!$G4270),PARTIDAS!$F4270,CONCATENATE(PARTIDAS!$F4270," (",PARTIDAS!$G4270,")"))</f>
        <v>Lino agramado, espadado, peinado o trabajado de otro modo, pero sin… (los demás)</v>
      </c>
      <c r="I4270" s="16" t="s">
        <v>9427</v>
      </c>
    </row>
    <row r="4271" spans="1:9" x14ac:dyDescent="0.25">
      <c r="A4271" s="16" t="s">
        <v>5216</v>
      </c>
      <c r="B4271" s="16" t="str">
        <f>TEXT(PARTIDA[[#This Row],[PARTIDA]],"0000000000")</f>
        <v>5301300000</v>
      </c>
      <c r="C4271" s="16" t="s">
        <v>815</v>
      </c>
      <c r="D4271" s="16" t="s">
        <v>835</v>
      </c>
      <c r="E4271" s="16" t="s">
        <v>842</v>
      </c>
      <c r="F4271" s="27" t="s">
        <v>12983</v>
      </c>
      <c r="G4271" s="27"/>
      <c r="H4271" s="16" t="str">
        <f>IF(ISBLANK(PARTIDAS!$G4271),PARTIDAS!$F4271,CONCATENATE(PARTIDAS!$F4271," (",PARTIDAS!$G4271,")"))</f>
        <v>Estopas y desperdicios de lino</v>
      </c>
      <c r="I4271" s="16" t="s">
        <v>9427</v>
      </c>
    </row>
    <row r="4272" spans="1:9" x14ac:dyDescent="0.25">
      <c r="A4272" s="16" t="s">
        <v>5217</v>
      </c>
      <c r="B4272" s="16" t="str">
        <f>TEXT(PARTIDA[[#This Row],[PARTIDA]],"0000000000")</f>
        <v>5302100000</v>
      </c>
      <c r="C4272" s="16" t="s">
        <v>815</v>
      </c>
      <c r="D4272" s="16" t="s">
        <v>835</v>
      </c>
      <c r="E4272" s="16" t="s">
        <v>842</v>
      </c>
      <c r="F4272" s="27" t="s">
        <v>12984</v>
      </c>
      <c r="G4272" s="27"/>
      <c r="H4272" s="16" t="str">
        <f>IF(ISBLANK(PARTIDAS!$G4272),PARTIDAS!$F4272,CONCATENATE(PARTIDAS!$F4272," (",PARTIDAS!$G4272,")"))</f>
        <v>Cáñamo en bruto o enriado</v>
      </c>
      <c r="I4272" s="16" t="s">
        <v>9427</v>
      </c>
    </row>
    <row r="4273" spans="1:9" x14ac:dyDescent="0.25">
      <c r="A4273" s="16" t="s">
        <v>5218</v>
      </c>
      <c r="B4273" s="16" t="str">
        <f>TEXT(PARTIDA[[#This Row],[PARTIDA]],"0000000000")</f>
        <v>5302900000</v>
      </c>
      <c r="C4273" s="16" t="s">
        <v>815</v>
      </c>
      <c r="D4273" s="16" t="s">
        <v>835</v>
      </c>
      <c r="E4273" s="16" t="s">
        <v>842</v>
      </c>
      <c r="F4273" s="27" t="s">
        <v>12985</v>
      </c>
      <c r="G4273" s="27"/>
      <c r="H4273" s="16" t="str">
        <f>IF(ISBLANK(PARTIDAS!$G4273),PARTIDAS!$F4273,CONCATENATE(PARTIDAS!$F4273," (",PARTIDAS!$G4273,")"))</f>
        <v>Cáñamo (Cannabis sativa L.) en bruto o trabajado, pero sin hilar (los demás)</v>
      </c>
      <c r="I4273" s="16" t="s">
        <v>9427</v>
      </c>
    </row>
    <row r="4274" spans="1:9" x14ac:dyDescent="0.25">
      <c r="A4274" s="16" t="s">
        <v>5219</v>
      </c>
      <c r="B4274" s="16" t="str">
        <f>TEXT(PARTIDA[[#This Row],[PARTIDA]],"0000000000")</f>
        <v>5303100000</v>
      </c>
      <c r="C4274" s="16" t="s">
        <v>815</v>
      </c>
      <c r="D4274" s="16" t="s">
        <v>835</v>
      </c>
      <c r="E4274" s="16" t="s">
        <v>842</v>
      </c>
      <c r="F4274" s="27" t="s">
        <v>12986</v>
      </c>
      <c r="G4274" s="27"/>
      <c r="H4274" s="16" t="str">
        <f>IF(ISBLANK(PARTIDAS!$G4274),PARTIDAS!$F4274,CONCATENATE(PARTIDAS!$F4274," (",PARTIDAS!$G4274,")"))</f>
        <v>Yute y demás fibras textiles del líber, en bruto o enriados</v>
      </c>
      <c r="I4274" s="16" t="s">
        <v>9427</v>
      </c>
    </row>
    <row r="4275" spans="1:9" x14ac:dyDescent="0.25">
      <c r="A4275" s="16" t="s">
        <v>5220</v>
      </c>
      <c r="B4275" s="16" t="str">
        <f>TEXT(PARTIDA[[#This Row],[PARTIDA]],"0000000000")</f>
        <v>5303903000</v>
      </c>
      <c r="C4275" s="16" t="s">
        <v>815</v>
      </c>
      <c r="D4275" s="16" t="s">
        <v>835</v>
      </c>
      <c r="E4275" s="16" t="s">
        <v>842</v>
      </c>
      <c r="F4275" s="27" t="s">
        <v>12987</v>
      </c>
      <c r="G4275" s="27"/>
      <c r="H4275" s="16" t="str">
        <f>IF(ISBLANK(PARTIDAS!$G4275),PARTIDAS!$F4275,CONCATENATE(PARTIDAS!$F4275," (",PARTIDAS!$G4275,")"))</f>
        <v>Yute y demás fibras textiles del líber, yute</v>
      </c>
      <c r="I4275" s="16" t="s">
        <v>9427</v>
      </c>
    </row>
    <row r="4276" spans="1:9" x14ac:dyDescent="0.25">
      <c r="A4276" s="16" t="s">
        <v>5221</v>
      </c>
      <c r="B4276" s="16" t="str">
        <f>TEXT(PARTIDA[[#This Row],[PARTIDA]],"0000000000")</f>
        <v>5303909000</v>
      </c>
      <c r="C4276" s="16" t="s">
        <v>815</v>
      </c>
      <c r="D4276" s="16" t="s">
        <v>835</v>
      </c>
      <c r="E4276" s="16" t="s">
        <v>842</v>
      </c>
      <c r="F4276" s="27" t="s">
        <v>12988</v>
      </c>
      <c r="G4276" s="27"/>
      <c r="H4276" s="16" t="str">
        <f>IF(ISBLANK(PARTIDAS!$G4276),PARTIDAS!$F4276,CONCATENATE(PARTIDAS!$F4276," (",PARTIDAS!$G4276,")"))</f>
        <v>Yute y demás fibras textiles del líber (los demás)</v>
      </c>
      <c r="I4276" s="16" t="s">
        <v>9427</v>
      </c>
    </row>
    <row r="4277" spans="1:9" x14ac:dyDescent="0.25">
      <c r="A4277" s="16" t="s">
        <v>5222</v>
      </c>
      <c r="B4277" s="16" t="str">
        <f>TEXT(PARTIDA[[#This Row],[PARTIDA]],"0000000000")</f>
        <v>5305001100</v>
      </c>
      <c r="C4277" s="16" t="s">
        <v>815</v>
      </c>
      <c r="D4277" s="16" t="s">
        <v>835</v>
      </c>
      <c r="E4277" s="16" t="s">
        <v>842</v>
      </c>
      <c r="F4277" s="27" t="s">
        <v>12989</v>
      </c>
      <c r="G4277" s="27"/>
      <c r="H4277" s="16" t="str">
        <f>IF(ISBLANK(PARTIDAS!$G4277),PARTIDAS!$F4277,CONCATENATE(PARTIDAS!$F4277," (",PARTIDAS!$G4277,")"))</f>
        <v>Yute y demás fibras textiles del líber, de abacá, en bruto</v>
      </c>
      <c r="I4277" s="16" t="s">
        <v>9427</v>
      </c>
    </row>
    <row r="4278" spans="1:9" x14ac:dyDescent="0.25">
      <c r="A4278" s="16" t="s">
        <v>5223</v>
      </c>
      <c r="B4278" s="16" t="str">
        <f>TEXT(PARTIDA[[#This Row],[PARTIDA]],"0000000000")</f>
        <v>5305001900</v>
      </c>
      <c r="C4278" s="16" t="s">
        <v>815</v>
      </c>
      <c r="D4278" s="16" t="s">
        <v>835</v>
      </c>
      <c r="E4278" s="16" t="s">
        <v>842</v>
      </c>
      <c r="F4278" s="27" t="s">
        <v>12990</v>
      </c>
      <c r="G4278" s="27"/>
      <c r="H4278" s="16" t="str">
        <f>IF(ISBLANK(PARTIDAS!$G4278),PARTIDAS!$F4278,CONCATENATE(PARTIDAS!$F4278," (",PARTIDAS!$G4278,")"))</f>
        <v>Yute y demás fibras textiles del líber, de abacá (los demás)</v>
      </c>
      <c r="I4278" s="16" t="s">
        <v>9427</v>
      </c>
    </row>
    <row r="4279" spans="1:9" x14ac:dyDescent="0.25">
      <c r="A4279" s="16" t="s">
        <v>5224</v>
      </c>
      <c r="B4279" s="16" t="str">
        <f>TEXT(PARTIDA[[#This Row],[PARTIDA]],"0000000000")</f>
        <v>5305009010</v>
      </c>
      <c r="C4279" s="16" t="s">
        <v>815</v>
      </c>
      <c r="D4279" s="16" t="s">
        <v>835</v>
      </c>
      <c r="E4279" s="16" t="s">
        <v>842</v>
      </c>
      <c r="F4279" s="27" t="s">
        <v>12991</v>
      </c>
      <c r="G4279" s="27"/>
      <c r="H4279" s="16" t="str">
        <f>IF(ISBLANK(PARTIDAS!$G4279),PARTIDAS!$F4279,CONCATENATE(PARTIDAS!$F4279," (",PARTIDAS!$G4279,")"))</f>
        <v>Yute y demás fibras textiles del líber, de coco</v>
      </c>
      <c r="I4279" s="16" t="s">
        <v>9427</v>
      </c>
    </row>
    <row r="4280" spans="1:9" x14ac:dyDescent="0.25">
      <c r="A4280" s="16" t="s">
        <v>5225</v>
      </c>
      <c r="B4280" s="16" t="str">
        <f>TEXT(PARTIDA[[#This Row],[PARTIDA]],"0000000000")</f>
        <v>5305009020</v>
      </c>
      <c r="C4280" s="16" t="s">
        <v>815</v>
      </c>
      <c r="D4280" s="16" t="s">
        <v>835</v>
      </c>
      <c r="E4280" s="16" t="s">
        <v>842</v>
      </c>
      <c r="F4280" s="27" t="s">
        <v>12992</v>
      </c>
      <c r="G4280" s="27"/>
      <c r="H4280" s="16" t="str">
        <f>IF(ISBLANK(PARTIDAS!$G4280),PARTIDAS!$F4280,CONCATENATE(PARTIDAS!$F4280," (",PARTIDAS!$G4280,")"))</f>
        <v>Yute y demás fibras textiles del líber, de sisal y demás fibras textiles del género Agave</v>
      </c>
      <c r="I4280" s="16" t="s">
        <v>9427</v>
      </c>
    </row>
    <row r="4281" spans="1:9" x14ac:dyDescent="0.25">
      <c r="A4281" s="16" t="s">
        <v>5226</v>
      </c>
      <c r="B4281" s="16" t="str">
        <f>TEXT(PARTIDA[[#This Row],[PARTIDA]],"0000000000")</f>
        <v>5305009090</v>
      </c>
      <c r="C4281" s="16" t="s">
        <v>815</v>
      </c>
      <c r="D4281" s="16" t="s">
        <v>835</v>
      </c>
      <c r="E4281" s="16" t="s">
        <v>842</v>
      </c>
      <c r="F4281" s="27" t="s">
        <v>12988</v>
      </c>
      <c r="G4281" s="27"/>
      <c r="H4281" s="16" t="str">
        <f>IF(ISBLANK(PARTIDAS!$G4281),PARTIDAS!$F4281,CONCATENATE(PARTIDAS!$F4281," (",PARTIDAS!$G4281,")"))</f>
        <v>Yute y demás fibras textiles del líber (los demás)</v>
      </c>
      <c r="I4281" s="16" t="s">
        <v>9427</v>
      </c>
    </row>
    <row r="4282" spans="1:9" x14ac:dyDescent="0.25">
      <c r="A4282" s="16" t="s">
        <v>5227</v>
      </c>
      <c r="B4282" s="16" t="str">
        <f>TEXT(PARTIDA[[#This Row],[PARTIDA]],"0000000000")</f>
        <v>5306100000</v>
      </c>
      <c r="C4282" s="16" t="s">
        <v>815</v>
      </c>
      <c r="D4282" s="16" t="s">
        <v>835</v>
      </c>
      <c r="E4282" s="16" t="s">
        <v>842</v>
      </c>
      <c r="F4282" s="27" t="s">
        <v>12993</v>
      </c>
      <c r="G4282" s="27"/>
      <c r="H4282" s="16" t="str">
        <f>IF(ISBLANK(PARTIDAS!$G4282),PARTIDAS!$F4282,CONCATENATE(PARTIDAS!$F4282," (",PARTIDAS!$G4282,")"))</f>
        <v>Sencillos</v>
      </c>
      <c r="I4282" s="16" t="s">
        <v>9427</v>
      </c>
    </row>
    <row r="4283" spans="1:9" x14ac:dyDescent="0.25">
      <c r="A4283" s="16" t="s">
        <v>5228</v>
      </c>
      <c r="B4283" s="16" t="str">
        <f>TEXT(PARTIDA[[#This Row],[PARTIDA]],"0000000000")</f>
        <v>5306201000</v>
      </c>
      <c r="C4283" s="16" t="s">
        <v>815</v>
      </c>
      <c r="D4283" s="16" t="s">
        <v>835</v>
      </c>
      <c r="E4283" s="16" t="s">
        <v>842</v>
      </c>
      <c r="F4283" s="27" t="s">
        <v>12994</v>
      </c>
      <c r="G4283" s="27"/>
      <c r="H4283" s="16" t="str">
        <f>IF(ISBLANK(PARTIDAS!$G4283),PARTIDAS!$F4283,CONCATENATE(PARTIDAS!$F4283," (",PARTIDAS!$G4283,")"))</f>
        <v>Retorcidos o cableados, acondicionados para la venta al por menor</v>
      </c>
      <c r="I4283" s="16" t="s">
        <v>9427</v>
      </c>
    </row>
    <row r="4284" spans="1:9" x14ac:dyDescent="0.25">
      <c r="A4284" s="16" t="s">
        <v>5229</v>
      </c>
      <c r="B4284" s="16" t="str">
        <f>TEXT(PARTIDA[[#This Row],[PARTIDA]],"0000000000")</f>
        <v>5306209000</v>
      </c>
      <c r="C4284" s="16" t="s">
        <v>815</v>
      </c>
      <c r="D4284" s="16" t="s">
        <v>835</v>
      </c>
      <c r="E4284" s="16" t="s">
        <v>842</v>
      </c>
      <c r="F4284" s="27" t="s">
        <v>12995</v>
      </c>
      <c r="G4284" s="27"/>
      <c r="H4284" s="16" t="str">
        <f>IF(ISBLANK(PARTIDAS!$G4284),PARTIDAS!$F4284,CONCATENATE(PARTIDAS!$F4284," (",PARTIDAS!$G4284,")"))</f>
        <v>Retorcidos o cableados (los demás)</v>
      </c>
      <c r="I4284" s="16" t="s">
        <v>9427</v>
      </c>
    </row>
    <row r="4285" spans="1:9" x14ac:dyDescent="0.25">
      <c r="A4285" s="16" t="s">
        <v>5230</v>
      </c>
      <c r="B4285" s="16" t="str">
        <f>TEXT(PARTIDA[[#This Row],[PARTIDA]],"0000000000")</f>
        <v>5307100000</v>
      </c>
      <c r="C4285" s="16" t="s">
        <v>815</v>
      </c>
      <c r="D4285" s="16" t="s">
        <v>835</v>
      </c>
      <c r="E4285" s="16" t="s">
        <v>842</v>
      </c>
      <c r="F4285" s="27" t="s">
        <v>12993</v>
      </c>
      <c r="G4285" s="27"/>
      <c r="H4285" s="16" t="str">
        <f>IF(ISBLANK(PARTIDAS!$G4285),PARTIDAS!$F4285,CONCATENATE(PARTIDAS!$F4285," (",PARTIDAS!$G4285,")"))</f>
        <v>Sencillos</v>
      </c>
      <c r="I4285" s="16" t="s">
        <v>9427</v>
      </c>
    </row>
    <row r="4286" spans="1:9" x14ac:dyDescent="0.25">
      <c r="A4286" s="16" t="s">
        <v>5231</v>
      </c>
      <c r="B4286" s="16" t="str">
        <f>TEXT(PARTIDA[[#This Row],[PARTIDA]],"0000000000")</f>
        <v>5307200000</v>
      </c>
      <c r="C4286" s="16" t="s">
        <v>815</v>
      </c>
      <c r="D4286" s="16" t="s">
        <v>835</v>
      </c>
      <c r="E4286" s="16" t="s">
        <v>842</v>
      </c>
      <c r="F4286" s="27" t="s">
        <v>12996</v>
      </c>
      <c r="G4286" s="27"/>
      <c r="H4286" s="16" t="str">
        <f>IF(ISBLANK(PARTIDAS!$G4286),PARTIDAS!$F4286,CONCATENATE(PARTIDAS!$F4286," (",PARTIDAS!$G4286,")"))</f>
        <v>Retorcidos o cableados</v>
      </c>
      <c r="I4286" s="16" t="s">
        <v>9427</v>
      </c>
    </row>
    <row r="4287" spans="1:9" x14ac:dyDescent="0.25">
      <c r="A4287" s="16" t="s">
        <v>5232</v>
      </c>
      <c r="B4287" s="16" t="str">
        <f>TEXT(PARTIDA[[#This Row],[PARTIDA]],"0000000000")</f>
        <v>5308100000</v>
      </c>
      <c r="C4287" s="16" t="s">
        <v>815</v>
      </c>
      <c r="D4287" s="16" t="s">
        <v>835</v>
      </c>
      <c r="E4287" s="16" t="s">
        <v>842</v>
      </c>
      <c r="F4287" s="27" t="s">
        <v>12997</v>
      </c>
      <c r="G4287" s="27"/>
      <c r="H4287" s="16" t="str">
        <f>IF(ISBLANK(PARTIDAS!$G4287),PARTIDAS!$F4287,CONCATENATE(PARTIDAS!$F4287," (",PARTIDAS!$G4287,")"))</f>
        <v>Hilados de coco</v>
      </c>
      <c r="I4287" s="16" t="s">
        <v>9427</v>
      </c>
    </row>
    <row r="4288" spans="1:9" x14ac:dyDescent="0.25">
      <c r="A4288" s="16" t="s">
        <v>5233</v>
      </c>
      <c r="B4288" s="16" t="str">
        <f>TEXT(PARTIDA[[#This Row],[PARTIDA]],"0000000000")</f>
        <v>5308200000</v>
      </c>
      <c r="C4288" s="16" t="s">
        <v>815</v>
      </c>
      <c r="D4288" s="16" t="s">
        <v>835</v>
      </c>
      <c r="E4288" s="16" t="s">
        <v>842</v>
      </c>
      <c r="F4288" s="27" t="s">
        <v>12998</v>
      </c>
      <c r="G4288" s="27"/>
      <c r="H4288" s="16" t="str">
        <f>IF(ISBLANK(PARTIDAS!$G4288),PARTIDAS!$F4288,CONCATENATE(PARTIDAS!$F4288," (",PARTIDAS!$G4288,")"))</f>
        <v>Hilados de cáñamo</v>
      </c>
      <c r="I4288" s="16" t="s">
        <v>9427</v>
      </c>
    </row>
    <row r="4289" spans="1:9" x14ac:dyDescent="0.25">
      <c r="A4289" s="16" t="s">
        <v>5234</v>
      </c>
      <c r="B4289" s="16" t="str">
        <f>TEXT(PARTIDA[[#This Row],[PARTIDA]],"0000000000")</f>
        <v>5308900010</v>
      </c>
      <c r="C4289" s="16" t="s">
        <v>815</v>
      </c>
      <c r="D4289" s="16" t="s">
        <v>835</v>
      </c>
      <c r="E4289" s="16" t="s">
        <v>842</v>
      </c>
      <c r="F4289" s="27" t="s">
        <v>12999</v>
      </c>
      <c r="G4289" s="27"/>
      <c r="H4289" s="16" t="str">
        <f>IF(ISBLANK(PARTIDAS!$G4289),PARTIDAS!$F4289,CONCATENATE(PARTIDAS!$F4289," (",PARTIDAS!$G4289,")"))</f>
        <v>Hilados de papel</v>
      </c>
      <c r="I4289" s="16" t="s">
        <v>9427</v>
      </c>
    </row>
    <row r="4290" spans="1:9" x14ac:dyDescent="0.25">
      <c r="A4290" s="16" t="s">
        <v>5235</v>
      </c>
      <c r="B4290" s="16" t="str">
        <f>TEXT(PARTIDA[[#This Row],[PARTIDA]],"0000000000")</f>
        <v>5308900090</v>
      </c>
      <c r="C4290" s="16" t="s">
        <v>815</v>
      </c>
      <c r="D4290" s="16" t="s">
        <v>835</v>
      </c>
      <c r="E4290" s="16" t="s">
        <v>842</v>
      </c>
      <c r="F4290" s="27" t="s">
        <v>13000</v>
      </c>
      <c r="G4290" s="27"/>
      <c r="H4290" s="16" t="str">
        <f>IF(ISBLANK(PARTIDAS!$G4290),PARTIDAS!$F4290,CONCATENATE(PARTIDAS!$F4290," (",PARTIDAS!$G4290,")"))</f>
        <v>Hilados de las demás fibras textiles vegetales (los demás)</v>
      </c>
      <c r="I4290" s="16" t="s">
        <v>9427</v>
      </c>
    </row>
    <row r="4291" spans="1:9" x14ac:dyDescent="0.25">
      <c r="A4291" s="16" t="s">
        <v>5236</v>
      </c>
      <c r="B4291" s="16" t="str">
        <f>TEXT(PARTIDA[[#This Row],[PARTIDA]],"0000000000")</f>
        <v>5309110000</v>
      </c>
      <c r="C4291" s="16" t="s">
        <v>815</v>
      </c>
      <c r="D4291" s="16" t="s">
        <v>835</v>
      </c>
      <c r="E4291" s="16" t="s">
        <v>844</v>
      </c>
      <c r="F4291" s="27" t="s">
        <v>13001</v>
      </c>
      <c r="G4291" s="27"/>
      <c r="H4291" s="16" t="str">
        <f>IF(ISBLANK(PARTIDAS!$G4291),PARTIDAS!$F4291,CONCATENATE(PARTIDAS!$F4291," (",PARTIDAS!$G4291,")"))</f>
        <v>Tejidos de lino, con un contenido de lino superior o igual al 85 % en peso, crudos o blanqueados</v>
      </c>
      <c r="I4291" s="16" t="s">
        <v>9427</v>
      </c>
    </row>
    <row r="4292" spans="1:9" x14ac:dyDescent="0.25">
      <c r="A4292" s="16" t="s">
        <v>5237</v>
      </c>
      <c r="B4292" s="16" t="str">
        <f>TEXT(PARTIDA[[#This Row],[PARTIDA]],"0000000000")</f>
        <v>5309190000</v>
      </c>
      <c r="C4292" s="16" t="s">
        <v>815</v>
      </c>
      <c r="D4292" s="16" t="s">
        <v>835</v>
      </c>
      <c r="E4292" s="16" t="s">
        <v>844</v>
      </c>
      <c r="F4292" s="27" t="s">
        <v>13002</v>
      </c>
      <c r="G4292" s="27"/>
      <c r="H4292" s="16" t="str">
        <f>IF(ISBLANK(PARTIDAS!$G4292),PARTIDAS!$F4292,CONCATENATE(PARTIDAS!$F4292," (",PARTIDAS!$G4292,")"))</f>
        <v>Tejidos de lino, con un contenido de lino superior o igual al 85 % en peso (los demás)</v>
      </c>
      <c r="I4292" s="16" t="s">
        <v>9427</v>
      </c>
    </row>
    <row r="4293" spans="1:9" x14ac:dyDescent="0.25">
      <c r="A4293" s="16" t="s">
        <v>5238</v>
      </c>
      <c r="B4293" s="16" t="str">
        <f>TEXT(PARTIDA[[#This Row],[PARTIDA]],"0000000000")</f>
        <v>5309210000</v>
      </c>
      <c r="C4293" s="16" t="s">
        <v>815</v>
      </c>
      <c r="D4293" s="16" t="s">
        <v>835</v>
      </c>
      <c r="E4293" s="16" t="s">
        <v>844</v>
      </c>
      <c r="F4293" s="27" t="s">
        <v>13003</v>
      </c>
      <c r="G4293" s="27"/>
      <c r="H4293" s="16" t="str">
        <f>IF(ISBLANK(PARTIDAS!$G4293),PARTIDAS!$F4293,CONCATENATE(PARTIDAS!$F4293," (",PARTIDAS!$G4293,")"))</f>
        <v>Tejidos de lino, con un contenido de lino inferior al 85 % en peso, crudos o blanqueados</v>
      </c>
      <c r="I4293" s="16" t="s">
        <v>9427</v>
      </c>
    </row>
    <row r="4294" spans="1:9" x14ac:dyDescent="0.25">
      <c r="A4294" s="16" t="s">
        <v>5239</v>
      </c>
      <c r="B4294" s="16" t="str">
        <f>TEXT(PARTIDA[[#This Row],[PARTIDA]],"0000000000")</f>
        <v>5309290000</v>
      </c>
      <c r="C4294" s="16" t="s">
        <v>815</v>
      </c>
      <c r="D4294" s="16" t="s">
        <v>835</v>
      </c>
      <c r="E4294" s="16" t="s">
        <v>844</v>
      </c>
      <c r="F4294" s="27" t="s">
        <v>13004</v>
      </c>
      <c r="G4294" s="27"/>
      <c r="H4294" s="16" t="str">
        <f>IF(ISBLANK(PARTIDAS!$G4294),PARTIDAS!$F4294,CONCATENATE(PARTIDAS!$F4294," (",PARTIDAS!$G4294,")"))</f>
        <v>Tejidos de lino, con un contenido de lino inferior al 85 % en peso (los demás)</v>
      </c>
      <c r="I4294" s="16" t="s">
        <v>9427</v>
      </c>
    </row>
    <row r="4295" spans="1:9" x14ac:dyDescent="0.25">
      <c r="A4295" s="16" t="s">
        <v>5240</v>
      </c>
      <c r="B4295" s="16" t="str">
        <f>TEXT(PARTIDA[[#This Row],[PARTIDA]],"0000000000")</f>
        <v>5310100000</v>
      </c>
      <c r="C4295" s="16" t="s">
        <v>815</v>
      </c>
      <c r="D4295" s="16" t="s">
        <v>835</v>
      </c>
      <c r="E4295" s="16" t="s">
        <v>842</v>
      </c>
      <c r="F4295" s="27" t="s">
        <v>13005</v>
      </c>
      <c r="G4295" s="27"/>
      <c r="H4295" s="16" t="str">
        <f>IF(ISBLANK(PARTIDAS!$G4295),PARTIDAS!$F4295,CONCATENATE(PARTIDAS!$F4295," (",PARTIDAS!$G4295,")"))</f>
        <v>Tejidos de yute o demás fibras textiles del líber de la partida 53.03, crudos</v>
      </c>
      <c r="I4295" s="16" t="s">
        <v>9427</v>
      </c>
    </row>
    <row r="4296" spans="1:9" x14ac:dyDescent="0.25">
      <c r="A4296" s="16" t="s">
        <v>5241</v>
      </c>
      <c r="B4296" s="16" t="str">
        <f>TEXT(PARTIDA[[#This Row],[PARTIDA]],"0000000000")</f>
        <v>5310900000</v>
      </c>
      <c r="C4296" s="16" t="s">
        <v>815</v>
      </c>
      <c r="D4296" s="16" t="s">
        <v>835</v>
      </c>
      <c r="E4296" s="16" t="s">
        <v>842</v>
      </c>
      <c r="F4296" s="27" t="s">
        <v>13006</v>
      </c>
      <c r="G4296" s="27"/>
      <c r="H4296" s="16" t="str">
        <f>IF(ISBLANK(PARTIDAS!$G4296),PARTIDAS!$F4296,CONCATENATE(PARTIDAS!$F4296," (",PARTIDAS!$G4296,")"))</f>
        <v>Tejidos de yute o demás fibras textiles del líber de la partida 53.03 (los demás)</v>
      </c>
      <c r="I4296" s="16" t="s">
        <v>9427</v>
      </c>
    </row>
    <row r="4297" spans="1:9" x14ac:dyDescent="0.25">
      <c r="A4297" s="16" t="s">
        <v>5242</v>
      </c>
      <c r="B4297" s="16" t="str">
        <f>TEXT(PARTIDA[[#This Row],[PARTIDA]],"0000000000")</f>
        <v>5311000000</v>
      </c>
      <c r="C4297" s="16" t="s">
        <v>815</v>
      </c>
      <c r="D4297" s="16" t="s">
        <v>835</v>
      </c>
      <c r="E4297" s="16" t="s">
        <v>842</v>
      </c>
      <c r="F4297" s="27" t="s">
        <v>5140</v>
      </c>
      <c r="G4297" s="27"/>
      <c r="H4297" s="16" t="str">
        <f>IF(ISBLANK(PARTIDAS!$G4297),PARTIDAS!$F4297,CONCATENATE(PARTIDAS!$F4297," (",PARTIDAS!$G4297,")"))</f>
        <v>Productos textiles</v>
      </c>
      <c r="I4297" s="16" t="s">
        <v>9427</v>
      </c>
    </row>
    <row r="4298" spans="1:9" x14ac:dyDescent="0.25">
      <c r="A4298" s="16" t="s">
        <v>5243</v>
      </c>
      <c r="B4298" s="16" t="str">
        <f>TEXT(PARTIDA[[#This Row],[PARTIDA]],"0000000000")</f>
        <v>5401101000</v>
      </c>
      <c r="C4298" s="16" t="s">
        <v>815</v>
      </c>
      <c r="D4298" s="16" t="s">
        <v>835</v>
      </c>
      <c r="E4298" s="16" t="s">
        <v>842</v>
      </c>
      <c r="F4298" s="27" t="s">
        <v>12912</v>
      </c>
      <c r="G4298" s="27"/>
      <c r="H4298" s="16" t="str">
        <f>IF(ISBLANK(PARTIDAS!$G4298),PARTIDAS!$F4298,CONCATENATE(PARTIDAS!$F4298," (",PARTIDAS!$G4298,")"))</f>
        <v>Acondicionado para la venta al por menor</v>
      </c>
      <c r="I4298" s="16" t="s">
        <v>9427</v>
      </c>
    </row>
    <row r="4299" spans="1:9" x14ac:dyDescent="0.25">
      <c r="A4299" s="16" t="s">
        <v>5244</v>
      </c>
      <c r="B4299" s="16" t="str">
        <f>TEXT(PARTIDA[[#This Row],[PARTIDA]],"0000000000")</f>
        <v>5401109000</v>
      </c>
      <c r="C4299" s="16" t="s">
        <v>815</v>
      </c>
      <c r="D4299" s="16" t="s">
        <v>835</v>
      </c>
      <c r="E4299" s="16" t="s">
        <v>842</v>
      </c>
      <c r="F4299" s="27" t="s">
        <v>13007</v>
      </c>
      <c r="G4299" s="27"/>
      <c r="H4299" s="16" t="str">
        <f>IF(ISBLANK(PARTIDAS!$G4299),PARTIDAS!$F4299,CONCATENATE(PARTIDAS!$F4299," (",PARTIDAS!$G4299,")"))</f>
        <v>Hilo de coser de filamentos sintéticos o artificiales…, de filamentos sintéticos (los demás)</v>
      </c>
      <c r="I4299" s="16" t="s">
        <v>9427</v>
      </c>
    </row>
    <row r="4300" spans="1:9" x14ac:dyDescent="0.25">
      <c r="A4300" s="16" t="s">
        <v>5245</v>
      </c>
      <c r="B4300" s="16" t="str">
        <f>TEXT(PARTIDA[[#This Row],[PARTIDA]],"0000000000")</f>
        <v>5401201000</v>
      </c>
      <c r="C4300" s="16" t="s">
        <v>815</v>
      </c>
      <c r="D4300" s="16" t="s">
        <v>835</v>
      </c>
      <c r="E4300" s="16" t="s">
        <v>842</v>
      </c>
      <c r="F4300" s="27" t="s">
        <v>12912</v>
      </c>
      <c r="G4300" s="27"/>
      <c r="H4300" s="16" t="str">
        <f>IF(ISBLANK(PARTIDAS!$G4300),PARTIDAS!$F4300,CONCATENATE(PARTIDAS!$F4300," (",PARTIDAS!$G4300,")"))</f>
        <v>Acondicionado para la venta al por menor</v>
      </c>
      <c r="I4300" s="16" t="s">
        <v>9427</v>
      </c>
    </row>
    <row r="4301" spans="1:9" x14ac:dyDescent="0.25">
      <c r="A4301" s="16" t="s">
        <v>5246</v>
      </c>
      <c r="B4301" s="16" t="str">
        <f>TEXT(PARTIDA[[#This Row],[PARTIDA]],"0000000000")</f>
        <v>5401209000</v>
      </c>
      <c r="C4301" s="16" t="s">
        <v>815</v>
      </c>
      <c r="D4301" s="16" t="s">
        <v>835</v>
      </c>
      <c r="E4301" s="16" t="s">
        <v>842</v>
      </c>
      <c r="F4301" s="27" t="s">
        <v>13008</v>
      </c>
      <c r="G4301" s="27"/>
      <c r="H4301" s="16" t="str">
        <f>IF(ISBLANK(PARTIDAS!$G4301),PARTIDAS!$F4301,CONCATENATE(PARTIDAS!$F4301," (",PARTIDAS!$G4301,")"))</f>
        <v>Hilo de coser de filamentos sintéticos o artificiales…, de filamentos artificiales (los demás)</v>
      </c>
      <c r="I4301" s="16" t="s">
        <v>9427</v>
      </c>
    </row>
    <row r="4302" spans="1:9" x14ac:dyDescent="0.25">
      <c r="A4302" s="16" t="s">
        <v>5247</v>
      </c>
      <c r="B4302" s="16" t="str">
        <f>TEXT(PARTIDA[[#This Row],[PARTIDA]],"0000000000")</f>
        <v>5402110000</v>
      </c>
      <c r="C4302" s="16" t="s">
        <v>815</v>
      </c>
      <c r="D4302" s="16" t="s">
        <v>835</v>
      </c>
      <c r="E4302" s="16" t="s">
        <v>842</v>
      </c>
      <c r="F4302" s="27" t="s">
        <v>13009</v>
      </c>
      <c r="G4302" s="27"/>
      <c r="H4302" s="16" t="str">
        <f>IF(ISBLANK(PARTIDAS!$G4302),PARTIDAS!$F4302,CONCATENATE(PARTIDAS!$F4302," (",PARTIDAS!$G4302,")"))</f>
        <v>Hilados de alta tenacidad de nailon o demás poliamidas, incluso…, de aramidas</v>
      </c>
      <c r="I4302" s="16" t="s">
        <v>9427</v>
      </c>
    </row>
    <row r="4303" spans="1:9" x14ac:dyDescent="0.25">
      <c r="A4303" s="16" t="s">
        <v>5248</v>
      </c>
      <c r="B4303" s="16" t="str">
        <f>TEXT(PARTIDA[[#This Row],[PARTIDA]],"0000000000")</f>
        <v>5402191000</v>
      </c>
      <c r="C4303" s="16" t="s">
        <v>815</v>
      </c>
      <c r="D4303" s="16" t="s">
        <v>835</v>
      </c>
      <c r="E4303" s="16" t="s">
        <v>842</v>
      </c>
      <c r="F4303" s="27" t="s">
        <v>13010</v>
      </c>
      <c r="G4303" s="27"/>
      <c r="H4303" s="16" t="str">
        <f>IF(ISBLANK(PARTIDAS!$G4303),PARTIDAS!$F4303,CONCATENATE(PARTIDAS!$F4303," (",PARTIDAS!$G4303,")"))</f>
        <v>Hilados de alta tenacidad de nailon o demás poliamidas, incluso…, de nailon 6,6</v>
      </c>
      <c r="I4303" s="16" t="s">
        <v>9427</v>
      </c>
    </row>
    <row r="4304" spans="1:9" x14ac:dyDescent="0.25">
      <c r="A4304" s="16" t="s">
        <v>5249</v>
      </c>
      <c r="B4304" s="16" t="str">
        <f>TEXT(PARTIDA[[#This Row],[PARTIDA]],"0000000000")</f>
        <v>5402199000</v>
      </c>
      <c r="C4304" s="16" t="s">
        <v>815</v>
      </c>
      <c r="D4304" s="16" t="s">
        <v>835</v>
      </c>
      <c r="E4304" s="16" t="s">
        <v>842</v>
      </c>
      <c r="F4304" s="27" t="s">
        <v>13011</v>
      </c>
      <c r="G4304" s="27"/>
      <c r="H4304" s="16" t="str">
        <f>IF(ISBLANK(PARTIDAS!$G4304),PARTIDAS!$F4304,CONCATENATE(PARTIDAS!$F4304," (",PARTIDAS!$G4304,")"))</f>
        <v>Hilados de alta tenacidad de nailon o demás poliamidas, incluso… (los demás)</v>
      </c>
      <c r="I4304" s="16" t="s">
        <v>9427</v>
      </c>
    </row>
    <row r="4305" spans="1:9" x14ac:dyDescent="0.25">
      <c r="A4305" s="16" t="s">
        <v>5250</v>
      </c>
      <c r="B4305" s="16" t="str">
        <f>TEXT(PARTIDA[[#This Row],[PARTIDA]],"0000000000")</f>
        <v>5402200000</v>
      </c>
      <c r="C4305" s="16" t="s">
        <v>815</v>
      </c>
      <c r="D4305" s="16" t="s">
        <v>835</v>
      </c>
      <c r="E4305" s="16" t="s">
        <v>842</v>
      </c>
      <c r="F4305" s="27" t="s">
        <v>13012</v>
      </c>
      <c r="G4305" s="27"/>
      <c r="H4305" s="16" t="str">
        <f>IF(ISBLANK(PARTIDAS!$G4305),PARTIDAS!$F4305,CONCATENATE(PARTIDAS!$F4305," (",PARTIDAS!$G4305,")"))</f>
        <v>Hilados de alta tenacidad de poliésteres, incluso texturados</v>
      </c>
      <c r="I4305" s="16" t="s">
        <v>9427</v>
      </c>
    </row>
    <row r="4306" spans="1:9" x14ac:dyDescent="0.25">
      <c r="A4306" s="16" t="s">
        <v>5251</v>
      </c>
      <c r="B4306" s="16" t="str">
        <f>TEXT(PARTIDA[[#This Row],[PARTIDA]],"0000000000")</f>
        <v>5402310000</v>
      </c>
      <c r="C4306" s="16" t="s">
        <v>815</v>
      </c>
      <c r="D4306" s="16" t="s">
        <v>835</v>
      </c>
      <c r="E4306" s="16" t="s">
        <v>842</v>
      </c>
      <c r="F4306" s="27" t="s">
        <v>13013</v>
      </c>
      <c r="G4306" s="27"/>
      <c r="H4306" s="16" t="str">
        <f>IF(ISBLANK(PARTIDAS!$G4306),PARTIDAS!$F4306,CONCATENATE(PARTIDAS!$F4306," (",PARTIDAS!$G4306,")"))</f>
        <v>Hilados texturados, de nailon o demás poliamidas, de título inferior o igual a 50 tex por hilo sencillo</v>
      </c>
      <c r="I4306" s="16" t="s">
        <v>9427</v>
      </c>
    </row>
    <row r="4307" spans="1:9" x14ac:dyDescent="0.25">
      <c r="A4307" s="16" t="s">
        <v>5252</v>
      </c>
      <c r="B4307" s="16" t="str">
        <f>TEXT(PARTIDA[[#This Row],[PARTIDA]],"0000000000")</f>
        <v>5402320000</v>
      </c>
      <c r="C4307" s="16" t="s">
        <v>815</v>
      </c>
      <c r="D4307" s="16" t="s">
        <v>835</v>
      </c>
      <c r="E4307" s="16" t="s">
        <v>842</v>
      </c>
      <c r="F4307" s="27" t="s">
        <v>13014</v>
      </c>
      <c r="G4307" s="27"/>
      <c r="H4307" s="16" t="str">
        <f>IF(ISBLANK(PARTIDAS!$G4307),PARTIDAS!$F4307,CONCATENATE(PARTIDAS!$F4307," (",PARTIDAS!$G4307,")"))</f>
        <v>Hilados texturados, de nailon o demás poliamidas, de título superior a 50 tex por hilo sencillo</v>
      </c>
      <c r="I4307" s="16" t="s">
        <v>9427</v>
      </c>
    </row>
    <row r="4308" spans="1:9" x14ac:dyDescent="0.25">
      <c r="A4308" s="16" t="s">
        <v>5253</v>
      </c>
      <c r="B4308" s="16" t="str">
        <f>TEXT(PARTIDA[[#This Row],[PARTIDA]],"0000000000")</f>
        <v>5402330000</v>
      </c>
      <c r="C4308" s="16" t="s">
        <v>815</v>
      </c>
      <c r="D4308" s="16" t="s">
        <v>835</v>
      </c>
      <c r="E4308" s="16" t="s">
        <v>842</v>
      </c>
      <c r="F4308" s="27" t="s">
        <v>13015</v>
      </c>
      <c r="G4308" s="27"/>
      <c r="H4308" s="16" t="str">
        <f>IF(ISBLANK(PARTIDAS!$G4308),PARTIDAS!$F4308,CONCATENATE(PARTIDAS!$F4308," (",PARTIDAS!$G4308,")"))</f>
        <v>Hilados texturados, de poliésteres</v>
      </c>
      <c r="I4308" s="16" t="s">
        <v>9427</v>
      </c>
    </row>
    <row r="4309" spans="1:9" x14ac:dyDescent="0.25">
      <c r="A4309" s="16" t="s">
        <v>5254</v>
      </c>
      <c r="B4309" s="16" t="str">
        <f>TEXT(PARTIDA[[#This Row],[PARTIDA]],"0000000000")</f>
        <v>5402340000</v>
      </c>
      <c r="C4309" s="16" t="s">
        <v>815</v>
      </c>
      <c r="D4309" s="16" t="s">
        <v>835</v>
      </c>
      <c r="E4309" s="16" t="s">
        <v>842</v>
      </c>
      <c r="F4309" s="27" t="s">
        <v>13016</v>
      </c>
      <c r="G4309" s="27"/>
      <c r="H4309" s="16" t="str">
        <f>IF(ISBLANK(PARTIDAS!$G4309),PARTIDAS!$F4309,CONCATENATE(PARTIDAS!$F4309," (",PARTIDAS!$G4309,")"))</f>
        <v>Hilados texturados, de polipropileno</v>
      </c>
      <c r="I4309" s="16" t="s">
        <v>9427</v>
      </c>
    </row>
    <row r="4310" spans="1:9" x14ac:dyDescent="0.25">
      <c r="A4310" s="16" t="s">
        <v>5255</v>
      </c>
      <c r="B4310" s="16" t="str">
        <f>TEXT(PARTIDA[[#This Row],[PARTIDA]],"0000000000")</f>
        <v>5402390000</v>
      </c>
      <c r="C4310" s="16" t="s">
        <v>815</v>
      </c>
      <c r="D4310" s="16" t="s">
        <v>835</v>
      </c>
      <c r="E4310" s="16" t="s">
        <v>842</v>
      </c>
      <c r="F4310" s="27" t="s">
        <v>13017</v>
      </c>
      <c r="G4310" s="27"/>
      <c r="H4310" s="16" t="str">
        <f>IF(ISBLANK(PARTIDAS!$G4310),PARTIDAS!$F4310,CONCATENATE(PARTIDAS!$F4310," (",PARTIDAS!$G4310,")"))</f>
        <v>Hilados texturados (los demás)</v>
      </c>
      <c r="I4310" s="16" t="s">
        <v>9427</v>
      </c>
    </row>
    <row r="4311" spans="1:9" x14ac:dyDescent="0.25">
      <c r="A4311" s="16" t="s">
        <v>5256</v>
      </c>
      <c r="B4311" s="16" t="str">
        <f>TEXT(PARTIDA[[#This Row],[PARTIDA]],"0000000000")</f>
        <v>5402440010</v>
      </c>
      <c r="C4311" s="16" t="s">
        <v>815</v>
      </c>
      <c r="D4311" s="16" t="s">
        <v>835</v>
      </c>
      <c r="E4311" s="16" t="s">
        <v>842</v>
      </c>
      <c r="F4311" s="27" t="s">
        <v>13018</v>
      </c>
      <c r="G4311" s="27"/>
      <c r="H4311" s="16" t="str">
        <f>IF(ISBLANK(PARTIDAS!$G4311),PARTIDAS!$F4311,CONCATENATE(PARTIDAS!$F4311," (",PARTIDAS!$G4311,")"))</f>
        <v>Hilados de filamentos sintéticos, de elastómeros, de poliuretano</v>
      </c>
      <c r="I4311" s="16" t="s">
        <v>9427</v>
      </c>
    </row>
    <row r="4312" spans="1:9" x14ac:dyDescent="0.25">
      <c r="A4312" s="16" t="s">
        <v>5257</v>
      </c>
      <c r="B4312" s="16" t="str">
        <f>TEXT(PARTIDA[[#This Row],[PARTIDA]],"0000000000")</f>
        <v>5402440090</v>
      </c>
      <c r="C4312" s="16" t="s">
        <v>815</v>
      </c>
      <c r="D4312" s="16" t="s">
        <v>835</v>
      </c>
      <c r="E4312" s="16" t="s">
        <v>842</v>
      </c>
      <c r="F4312" s="27" t="s">
        <v>13019</v>
      </c>
      <c r="G4312" s="27"/>
      <c r="H4312" s="16" t="str">
        <f>IF(ISBLANK(PARTIDAS!$G4312),PARTIDAS!$F4312,CONCATENATE(PARTIDAS!$F4312," (",PARTIDAS!$G4312,")"))</f>
        <v>Hilados de filamentos sintéticos, de elastómeros (los demás)</v>
      </c>
      <c r="I4312" s="16" t="s">
        <v>9427</v>
      </c>
    </row>
    <row r="4313" spans="1:9" x14ac:dyDescent="0.25">
      <c r="A4313" s="16" t="s">
        <v>5258</v>
      </c>
      <c r="B4313" s="16" t="str">
        <f>TEXT(PARTIDA[[#This Row],[PARTIDA]],"0000000000")</f>
        <v>5402450000</v>
      </c>
      <c r="C4313" s="16" t="s">
        <v>815</v>
      </c>
      <c r="D4313" s="16" t="s">
        <v>835</v>
      </c>
      <c r="E4313" s="16" t="s">
        <v>842</v>
      </c>
      <c r="F4313" s="27" t="s">
        <v>13020</v>
      </c>
      <c r="G4313" s="27"/>
      <c r="H4313" s="16" t="str">
        <f>IF(ISBLANK(PARTIDAS!$G4313),PARTIDAS!$F4313,CONCATENATE(PARTIDAS!$F4313," (",PARTIDAS!$G4313,")"))</f>
        <v>Hilados de filamentos sintéticos (los demás, de nailon o demás poliamidas)</v>
      </c>
      <c r="I4313" s="16" t="s">
        <v>9427</v>
      </c>
    </row>
    <row r="4314" spans="1:9" x14ac:dyDescent="0.25">
      <c r="A4314" s="16" t="s">
        <v>5259</v>
      </c>
      <c r="B4314" s="16" t="str">
        <f>TEXT(PARTIDA[[#This Row],[PARTIDA]],"0000000000")</f>
        <v>5402460000</v>
      </c>
      <c r="C4314" s="16" t="s">
        <v>815</v>
      </c>
      <c r="D4314" s="16" t="s">
        <v>835</v>
      </c>
      <c r="E4314" s="16" t="s">
        <v>842</v>
      </c>
      <c r="F4314" s="27" t="s">
        <v>13021</v>
      </c>
      <c r="G4314" s="27"/>
      <c r="H4314" s="16" t="str">
        <f>IF(ISBLANK(PARTIDAS!$G4314),PARTIDAS!$F4314,CONCATENATE(PARTIDAS!$F4314," (",PARTIDAS!$G4314,")"))</f>
        <v>Hilados de filamentos sintéticos (los demás, de poliésteres, parcialmente orientados)</v>
      </c>
      <c r="I4314" s="16" t="s">
        <v>9427</v>
      </c>
    </row>
    <row r="4315" spans="1:9" x14ac:dyDescent="0.25">
      <c r="A4315" s="16" t="s">
        <v>5260</v>
      </c>
      <c r="B4315" s="16" t="str">
        <f>TEXT(PARTIDA[[#This Row],[PARTIDA]],"0000000000")</f>
        <v>5402470000</v>
      </c>
      <c r="C4315" s="16" t="s">
        <v>815</v>
      </c>
      <c r="D4315" s="16" t="s">
        <v>835</v>
      </c>
      <c r="E4315" s="16" t="s">
        <v>842</v>
      </c>
      <c r="F4315" s="27" t="s">
        <v>13022</v>
      </c>
      <c r="G4315" s="27"/>
      <c r="H4315" s="16" t="str">
        <f>IF(ISBLANK(PARTIDAS!$G4315),PARTIDAS!$F4315,CONCATENATE(PARTIDAS!$F4315," (",PARTIDAS!$G4315,")"))</f>
        <v>Hilados de filamentos sintéticos (los demás, de poliésteres)</v>
      </c>
      <c r="I4315" s="16" t="s">
        <v>9427</v>
      </c>
    </row>
    <row r="4316" spans="1:9" x14ac:dyDescent="0.25">
      <c r="A4316" s="16" t="s">
        <v>5261</v>
      </c>
      <c r="B4316" s="16" t="str">
        <f>TEXT(PARTIDA[[#This Row],[PARTIDA]],"0000000000")</f>
        <v>5402480000</v>
      </c>
      <c r="C4316" s="16" t="s">
        <v>815</v>
      </c>
      <c r="D4316" s="16" t="s">
        <v>835</v>
      </c>
      <c r="E4316" s="16" t="s">
        <v>842</v>
      </c>
      <c r="F4316" s="27" t="s">
        <v>13023</v>
      </c>
      <c r="G4316" s="27"/>
      <c r="H4316" s="16" t="str">
        <f>IF(ISBLANK(PARTIDAS!$G4316),PARTIDAS!$F4316,CONCATENATE(PARTIDAS!$F4316," (",PARTIDAS!$G4316,")"))</f>
        <v>Hilados de filamentos sintéticos (los demás, de polipropileno)</v>
      </c>
      <c r="I4316" s="16" t="s">
        <v>9427</v>
      </c>
    </row>
    <row r="4317" spans="1:9" x14ac:dyDescent="0.25">
      <c r="A4317" s="16" t="s">
        <v>5262</v>
      </c>
      <c r="B4317" s="16" t="str">
        <f>TEXT(PARTIDA[[#This Row],[PARTIDA]],"0000000000")</f>
        <v>5402491000</v>
      </c>
      <c r="C4317" s="16" t="s">
        <v>815</v>
      </c>
      <c r="D4317" s="16" t="s">
        <v>835</v>
      </c>
      <c r="E4317" s="16" t="s">
        <v>842</v>
      </c>
      <c r="F4317" s="27" t="s">
        <v>13024</v>
      </c>
      <c r="G4317" s="27"/>
      <c r="H4317" s="16" t="str">
        <f>IF(ISBLANK(PARTIDAS!$G4317),PARTIDAS!$F4317,CONCATENATE(PARTIDAS!$F4317," (",PARTIDAS!$G4317,")"))</f>
        <v>Hilados de filamentos sintéticos, de poliuretano</v>
      </c>
      <c r="I4317" s="16" t="s">
        <v>9427</v>
      </c>
    </row>
    <row r="4318" spans="1:9" x14ac:dyDescent="0.25">
      <c r="A4318" s="16" t="s">
        <v>5263</v>
      </c>
      <c r="B4318" s="16" t="str">
        <f>TEXT(PARTIDA[[#This Row],[PARTIDA]],"0000000000")</f>
        <v>5402499000</v>
      </c>
      <c r="C4318" s="16" t="s">
        <v>815</v>
      </c>
      <c r="D4318" s="16" t="s">
        <v>835</v>
      </c>
      <c r="E4318" s="16" t="s">
        <v>842</v>
      </c>
      <c r="F4318" s="27" t="s">
        <v>13025</v>
      </c>
      <c r="G4318" s="27"/>
      <c r="H4318" s="16" t="str">
        <f>IF(ISBLANK(PARTIDAS!$G4318),PARTIDAS!$F4318,CONCATENATE(PARTIDAS!$F4318," (",PARTIDAS!$G4318,")"))</f>
        <v>Hilados de filamentos sintéticos (los demás)</v>
      </c>
      <c r="I4318" s="16" t="s">
        <v>9427</v>
      </c>
    </row>
    <row r="4319" spans="1:9" x14ac:dyDescent="0.25">
      <c r="A4319" s="16" t="s">
        <v>5264</v>
      </c>
      <c r="B4319" s="16" t="str">
        <f>TEXT(PARTIDA[[#This Row],[PARTIDA]],"0000000000")</f>
        <v>5402510000</v>
      </c>
      <c r="C4319" s="16" t="s">
        <v>815</v>
      </c>
      <c r="D4319" s="16" t="s">
        <v>835</v>
      </c>
      <c r="E4319" s="16" t="s">
        <v>842</v>
      </c>
      <c r="F4319" s="27" t="s">
        <v>13026</v>
      </c>
      <c r="G4319" s="27"/>
      <c r="H4319" s="16" t="str">
        <f>IF(ISBLANK(PARTIDAS!$G4319),PARTIDAS!$F4319,CONCATENATE(PARTIDAS!$F4319," (",PARTIDAS!$G4319,")"))</f>
        <v>Hilados de filamentos sintéticos, de nailon o demás poliamidas</v>
      </c>
      <c r="I4319" s="16" t="s">
        <v>9427</v>
      </c>
    </row>
    <row r="4320" spans="1:9" x14ac:dyDescent="0.25">
      <c r="A4320" s="16" t="s">
        <v>5265</v>
      </c>
      <c r="B4320" s="16" t="str">
        <f>TEXT(PARTIDA[[#This Row],[PARTIDA]],"0000000000")</f>
        <v>5402520000</v>
      </c>
      <c r="C4320" s="16" t="s">
        <v>815</v>
      </c>
      <c r="D4320" s="16" t="s">
        <v>835</v>
      </c>
      <c r="E4320" s="16" t="s">
        <v>842</v>
      </c>
      <c r="F4320" s="27" t="s">
        <v>13027</v>
      </c>
      <c r="G4320" s="27"/>
      <c r="H4320" s="16" t="str">
        <f>IF(ISBLANK(PARTIDAS!$G4320),PARTIDAS!$F4320,CONCATENATE(PARTIDAS!$F4320," (",PARTIDAS!$G4320,")"))</f>
        <v>Hilados de filamentos sintéticos, de poliésteres</v>
      </c>
      <c r="I4320" s="16" t="s">
        <v>9427</v>
      </c>
    </row>
    <row r="4321" spans="1:9" x14ac:dyDescent="0.25">
      <c r="A4321" s="16" t="s">
        <v>5266</v>
      </c>
      <c r="B4321" s="16" t="str">
        <f>TEXT(PARTIDA[[#This Row],[PARTIDA]],"0000000000")</f>
        <v>5402530000</v>
      </c>
      <c r="C4321" s="16" t="s">
        <v>815</v>
      </c>
      <c r="D4321" s="16" t="s">
        <v>835</v>
      </c>
      <c r="E4321" s="16" t="s">
        <v>842</v>
      </c>
      <c r="F4321" s="27" t="s">
        <v>13028</v>
      </c>
      <c r="G4321" s="27"/>
      <c r="H4321" s="16" t="str">
        <f>IF(ISBLANK(PARTIDAS!$G4321),PARTIDAS!$F4321,CONCATENATE(PARTIDAS!$F4321," (",PARTIDAS!$G4321,")"))</f>
        <v>Hilados de filamentos sintéticos, de polipropileno</v>
      </c>
      <c r="I4321" s="16" t="s">
        <v>9427</v>
      </c>
    </row>
    <row r="4322" spans="1:9" x14ac:dyDescent="0.25">
      <c r="A4322" s="16" t="s">
        <v>5267</v>
      </c>
      <c r="B4322" s="16" t="str">
        <f>TEXT(PARTIDA[[#This Row],[PARTIDA]],"0000000000")</f>
        <v>5402590000</v>
      </c>
      <c r="C4322" s="16" t="s">
        <v>815</v>
      </c>
      <c r="D4322" s="16" t="s">
        <v>835</v>
      </c>
      <c r="E4322" s="16" t="s">
        <v>842</v>
      </c>
      <c r="F4322" s="27" t="s">
        <v>13025</v>
      </c>
      <c r="G4322" s="27"/>
      <c r="H4322" s="16" t="str">
        <f>IF(ISBLANK(PARTIDAS!$G4322),PARTIDAS!$F4322,CONCATENATE(PARTIDAS!$F4322," (",PARTIDAS!$G4322,")"))</f>
        <v>Hilados de filamentos sintéticos (los demás)</v>
      </c>
      <c r="I4322" s="16" t="s">
        <v>9427</v>
      </c>
    </row>
    <row r="4323" spans="1:9" x14ac:dyDescent="0.25">
      <c r="A4323" s="16" t="s">
        <v>5268</v>
      </c>
      <c r="B4323" s="16" t="str">
        <f>TEXT(PARTIDA[[#This Row],[PARTIDA]],"0000000000")</f>
        <v>5402610000</v>
      </c>
      <c r="C4323" s="16" t="s">
        <v>815</v>
      </c>
      <c r="D4323" s="16" t="s">
        <v>835</v>
      </c>
      <c r="E4323" s="16" t="s">
        <v>842</v>
      </c>
      <c r="F4323" s="27" t="s">
        <v>13026</v>
      </c>
      <c r="G4323" s="27"/>
      <c r="H4323" s="16" t="str">
        <f>IF(ISBLANK(PARTIDAS!$G4323),PARTIDAS!$F4323,CONCATENATE(PARTIDAS!$F4323," (",PARTIDAS!$G4323,")"))</f>
        <v>Hilados de filamentos sintéticos, de nailon o demás poliamidas</v>
      </c>
      <c r="I4323" s="16" t="s">
        <v>9427</v>
      </c>
    </row>
    <row r="4324" spans="1:9" x14ac:dyDescent="0.25">
      <c r="A4324" s="16" t="s">
        <v>5269</v>
      </c>
      <c r="B4324" s="16" t="str">
        <f>TEXT(PARTIDA[[#This Row],[PARTIDA]],"0000000000")</f>
        <v>5402620000</v>
      </c>
      <c r="C4324" s="16" t="s">
        <v>815</v>
      </c>
      <c r="D4324" s="16" t="s">
        <v>835</v>
      </c>
      <c r="E4324" s="16" t="s">
        <v>842</v>
      </c>
      <c r="F4324" s="27" t="s">
        <v>13027</v>
      </c>
      <c r="G4324" s="27"/>
      <c r="H4324" s="16" t="str">
        <f>IF(ISBLANK(PARTIDAS!$G4324),PARTIDAS!$F4324,CONCATENATE(PARTIDAS!$F4324," (",PARTIDAS!$G4324,")"))</f>
        <v>Hilados de filamentos sintéticos, de poliésteres</v>
      </c>
      <c r="I4324" s="16" t="s">
        <v>9427</v>
      </c>
    </row>
    <row r="4325" spans="1:9" x14ac:dyDescent="0.25">
      <c r="A4325" s="16" t="s">
        <v>5270</v>
      </c>
      <c r="B4325" s="16" t="str">
        <f>TEXT(PARTIDA[[#This Row],[PARTIDA]],"0000000000")</f>
        <v>5402630000</v>
      </c>
      <c r="C4325" s="16" t="s">
        <v>815</v>
      </c>
      <c r="D4325" s="16" t="s">
        <v>835</v>
      </c>
      <c r="E4325" s="16" t="s">
        <v>842</v>
      </c>
      <c r="F4325" s="27" t="s">
        <v>13028</v>
      </c>
      <c r="G4325" s="27"/>
      <c r="H4325" s="16" t="str">
        <f>IF(ISBLANK(PARTIDAS!$G4325),PARTIDAS!$F4325,CONCATENATE(PARTIDAS!$F4325," (",PARTIDAS!$G4325,")"))</f>
        <v>Hilados de filamentos sintéticos, de polipropileno</v>
      </c>
      <c r="I4325" s="16" t="s">
        <v>9427</v>
      </c>
    </row>
    <row r="4326" spans="1:9" x14ac:dyDescent="0.25">
      <c r="A4326" s="16" t="s">
        <v>5271</v>
      </c>
      <c r="B4326" s="16" t="str">
        <f>TEXT(PARTIDA[[#This Row],[PARTIDA]],"0000000000")</f>
        <v>5402690000</v>
      </c>
      <c r="C4326" s="16" t="s">
        <v>815</v>
      </c>
      <c r="D4326" s="16" t="s">
        <v>835</v>
      </c>
      <c r="E4326" s="16" t="s">
        <v>842</v>
      </c>
      <c r="F4326" s="27" t="s">
        <v>13025</v>
      </c>
      <c r="G4326" s="27"/>
      <c r="H4326" s="16" t="str">
        <f>IF(ISBLANK(PARTIDAS!$G4326),PARTIDAS!$F4326,CONCATENATE(PARTIDAS!$F4326," (",PARTIDAS!$G4326,")"))</f>
        <v>Hilados de filamentos sintéticos (los demás)</v>
      </c>
      <c r="I4326" s="16" t="s">
        <v>9427</v>
      </c>
    </row>
    <row r="4327" spans="1:9" x14ac:dyDescent="0.25">
      <c r="A4327" s="16" t="s">
        <v>5272</v>
      </c>
      <c r="B4327" s="16" t="str">
        <f>TEXT(PARTIDA[[#This Row],[PARTIDA]],"0000000000")</f>
        <v>5403100000</v>
      </c>
      <c r="C4327" s="16" t="s">
        <v>815</v>
      </c>
      <c r="D4327" s="16" t="s">
        <v>835</v>
      </c>
      <c r="E4327" s="16" t="s">
        <v>842</v>
      </c>
      <c r="F4327" s="27" t="s">
        <v>13029</v>
      </c>
      <c r="G4327" s="27"/>
      <c r="H4327" s="16" t="str">
        <f>IF(ISBLANK(PARTIDAS!$G4327),PARTIDAS!$F4327,CONCATENATE(PARTIDAS!$F4327," (",PARTIDAS!$G4327,")"))</f>
        <v>Hilados de alta tenacidad de rayón viscosa</v>
      </c>
      <c r="I4327" s="16" t="s">
        <v>9427</v>
      </c>
    </row>
    <row r="4328" spans="1:9" x14ac:dyDescent="0.25">
      <c r="A4328" s="16" t="s">
        <v>5273</v>
      </c>
      <c r="B4328" s="16" t="str">
        <f>TEXT(PARTIDA[[#This Row],[PARTIDA]],"0000000000")</f>
        <v>5403310000</v>
      </c>
      <c r="C4328" s="16" t="s">
        <v>815</v>
      </c>
      <c r="D4328" s="16" t="s">
        <v>835</v>
      </c>
      <c r="E4328" s="16" t="s">
        <v>842</v>
      </c>
      <c r="F4328" s="27" t="s">
        <v>13030</v>
      </c>
      <c r="G4328" s="27"/>
      <c r="H4328" s="16" t="str">
        <f>IF(ISBLANK(PARTIDAS!$G4328),PARTIDAS!$F4328,CONCATENATE(PARTIDAS!$F4328," (",PARTIDAS!$G4328,")"))</f>
        <v>Hilados de filamentos artificiales, de rayón viscosa, sin torsión o con una torsión inferior o igual a 120 vueltas por metro</v>
      </c>
      <c r="I4328" s="16" t="s">
        <v>9427</v>
      </c>
    </row>
    <row r="4329" spans="1:9" x14ac:dyDescent="0.25">
      <c r="A4329" s="16" t="s">
        <v>5274</v>
      </c>
      <c r="B4329" s="16" t="str">
        <f>TEXT(PARTIDA[[#This Row],[PARTIDA]],"0000000000")</f>
        <v>5403320000</v>
      </c>
      <c r="C4329" s="16" t="s">
        <v>815</v>
      </c>
      <c r="D4329" s="16" t="s">
        <v>835</v>
      </c>
      <c r="E4329" s="16" t="s">
        <v>842</v>
      </c>
      <c r="F4329" s="27" t="s">
        <v>13031</v>
      </c>
      <c r="G4329" s="27"/>
      <c r="H4329" s="16" t="str">
        <f>IF(ISBLANK(PARTIDAS!$G4329),PARTIDAS!$F4329,CONCATENATE(PARTIDAS!$F4329," (",PARTIDAS!$G4329,")"))</f>
        <v>Hilados de filamentos artificiales, de rayón viscosa, con una torsión superior a 120 vueltas por metro</v>
      </c>
      <c r="I4329" s="16" t="s">
        <v>9427</v>
      </c>
    </row>
    <row r="4330" spans="1:9" x14ac:dyDescent="0.25">
      <c r="A4330" s="16" t="s">
        <v>5275</v>
      </c>
      <c r="B4330" s="16" t="str">
        <f>TEXT(PARTIDA[[#This Row],[PARTIDA]],"0000000000")</f>
        <v>5403330000</v>
      </c>
      <c r="C4330" s="16" t="s">
        <v>815</v>
      </c>
      <c r="D4330" s="16" t="s">
        <v>835</v>
      </c>
      <c r="E4330" s="16" t="s">
        <v>842</v>
      </c>
      <c r="F4330" s="27" t="s">
        <v>13032</v>
      </c>
      <c r="G4330" s="27"/>
      <c r="H4330" s="16" t="str">
        <f>IF(ISBLANK(PARTIDAS!$G4330),PARTIDAS!$F4330,CONCATENATE(PARTIDAS!$F4330," (",PARTIDAS!$G4330,")"))</f>
        <v>Hilados de filamentos artificiales, de acetato de celulosa</v>
      </c>
      <c r="I4330" s="16" t="s">
        <v>9427</v>
      </c>
    </row>
    <row r="4331" spans="1:9" x14ac:dyDescent="0.25">
      <c r="A4331" s="16" t="s">
        <v>5276</v>
      </c>
      <c r="B4331" s="16" t="str">
        <f>TEXT(PARTIDA[[#This Row],[PARTIDA]],"0000000000")</f>
        <v>5403390000</v>
      </c>
      <c r="C4331" s="16" t="s">
        <v>815</v>
      </c>
      <c r="D4331" s="16" t="s">
        <v>835</v>
      </c>
      <c r="E4331" s="16" t="s">
        <v>842</v>
      </c>
      <c r="F4331" s="27" t="s">
        <v>13033</v>
      </c>
      <c r="G4331" s="27"/>
      <c r="H4331" s="16" t="str">
        <f>IF(ISBLANK(PARTIDAS!$G4331),PARTIDAS!$F4331,CONCATENATE(PARTIDAS!$F4331," (",PARTIDAS!$G4331,")"))</f>
        <v>Hilados de filamentos artificiales (los demás)</v>
      </c>
      <c r="I4331" s="16" t="s">
        <v>9427</v>
      </c>
    </row>
    <row r="4332" spans="1:9" x14ac:dyDescent="0.25">
      <c r="A4332" s="16" t="s">
        <v>5277</v>
      </c>
      <c r="B4332" s="16" t="str">
        <f>TEXT(PARTIDA[[#This Row],[PARTIDA]],"0000000000")</f>
        <v>5403410000</v>
      </c>
      <c r="C4332" s="16" t="s">
        <v>815</v>
      </c>
      <c r="D4332" s="16" t="s">
        <v>835</v>
      </c>
      <c r="E4332" s="16" t="s">
        <v>842</v>
      </c>
      <c r="F4332" s="27" t="s">
        <v>13034</v>
      </c>
      <c r="G4332" s="27"/>
      <c r="H4332" s="16" t="str">
        <f>IF(ISBLANK(PARTIDAS!$G4332),PARTIDAS!$F4332,CONCATENATE(PARTIDAS!$F4332," (",PARTIDAS!$G4332,")"))</f>
        <v>Hilados de filamentos artificiales, de rayón viscosa</v>
      </c>
      <c r="I4332" s="16" t="s">
        <v>9427</v>
      </c>
    </row>
    <row r="4333" spans="1:9" x14ac:dyDescent="0.25">
      <c r="A4333" s="16" t="s">
        <v>5278</v>
      </c>
      <c r="B4333" s="16" t="str">
        <f>TEXT(PARTIDA[[#This Row],[PARTIDA]],"0000000000")</f>
        <v>5403420000</v>
      </c>
      <c r="C4333" s="16" t="s">
        <v>815</v>
      </c>
      <c r="D4333" s="16" t="s">
        <v>835</v>
      </c>
      <c r="E4333" s="16" t="s">
        <v>842</v>
      </c>
      <c r="F4333" s="27" t="s">
        <v>13032</v>
      </c>
      <c r="G4333" s="27"/>
      <c r="H4333" s="16" t="str">
        <f>IF(ISBLANK(PARTIDAS!$G4333),PARTIDAS!$F4333,CONCATENATE(PARTIDAS!$F4333," (",PARTIDAS!$G4333,")"))</f>
        <v>Hilados de filamentos artificiales, de acetato de celulosa</v>
      </c>
      <c r="I4333" s="16" t="s">
        <v>9427</v>
      </c>
    </row>
    <row r="4334" spans="1:9" x14ac:dyDescent="0.25">
      <c r="A4334" s="16" t="s">
        <v>5279</v>
      </c>
      <c r="B4334" s="16" t="str">
        <f>TEXT(PARTIDA[[#This Row],[PARTIDA]],"0000000000")</f>
        <v>5403490000</v>
      </c>
      <c r="C4334" s="16" t="s">
        <v>815</v>
      </c>
      <c r="D4334" s="16" t="s">
        <v>835</v>
      </c>
      <c r="E4334" s="16" t="s">
        <v>842</v>
      </c>
      <c r="F4334" s="27" t="s">
        <v>13033</v>
      </c>
      <c r="G4334" s="27"/>
      <c r="H4334" s="16" t="str">
        <f>IF(ISBLANK(PARTIDAS!$G4334),PARTIDAS!$F4334,CONCATENATE(PARTIDAS!$F4334," (",PARTIDAS!$G4334,")"))</f>
        <v>Hilados de filamentos artificiales (los demás)</v>
      </c>
      <c r="I4334" s="16" t="s">
        <v>9427</v>
      </c>
    </row>
    <row r="4335" spans="1:9" x14ac:dyDescent="0.25">
      <c r="A4335" s="16" t="s">
        <v>5280</v>
      </c>
      <c r="B4335" s="16" t="str">
        <f>TEXT(PARTIDA[[#This Row],[PARTIDA]],"0000000000")</f>
        <v>5404111000</v>
      </c>
      <c r="C4335" s="16" t="s">
        <v>815</v>
      </c>
      <c r="D4335" s="16" t="s">
        <v>835</v>
      </c>
      <c r="E4335" s="16" t="s">
        <v>842</v>
      </c>
      <c r="F4335" s="27" t="s">
        <v>13035</v>
      </c>
      <c r="G4335" s="27"/>
      <c r="H4335" s="16" t="str">
        <f>IF(ISBLANK(PARTIDAS!$G4335),PARTIDAS!$F4335,CONCATENATE(PARTIDAS!$F4335," (",PARTIDAS!$G4335,")"))</f>
        <v>Monofilamentos, de elastómeros, de poliuretano</v>
      </c>
      <c r="I4335" s="16" t="s">
        <v>9427</v>
      </c>
    </row>
    <row r="4336" spans="1:9" x14ac:dyDescent="0.25">
      <c r="A4336" s="16" t="s">
        <v>5281</v>
      </c>
      <c r="B4336" s="16" t="str">
        <f>TEXT(PARTIDA[[#This Row],[PARTIDA]],"0000000000")</f>
        <v>5404119000</v>
      </c>
      <c r="C4336" s="16" t="s">
        <v>815</v>
      </c>
      <c r="D4336" s="16" t="s">
        <v>835</v>
      </c>
      <c r="E4336" s="16" t="s">
        <v>842</v>
      </c>
      <c r="F4336" s="27" t="s">
        <v>13036</v>
      </c>
      <c r="G4336" s="27"/>
      <c r="H4336" s="16" t="str">
        <f>IF(ISBLANK(PARTIDAS!$G4336),PARTIDAS!$F4336,CONCATENATE(PARTIDAS!$F4336," (",PARTIDAS!$G4336,")"))</f>
        <v>Monofilamentos, de elastómeros (los demás)</v>
      </c>
      <c r="I4336" s="16" t="s">
        <v>9427</v>
      </c>
    </row>
    <row r="4337" spans="1:9" x14ac:dyDescent="0.25">
      <c r="A4337" s="16" t="s">
        <v>5282</v>
      </c>
      <c r="B4337" s="16" t="str">
        <f>TEXT(PARTIDA[[#This Row],[PARTIDA]],"0000000000")</f>
        <v>5404120000</v>
      </c>
      <c r="C4337" s="16" t="s">
        <v>815</v>
      </c>
      <c r="D4337" s="16" t="s">
        <v>835</v>
      </c>
      <c r="E4337" s="16" t="s">
        <v>842</v>
      </c>
      <c r="F4337" s="27" t="s">
        <v>13037</v>
      </c>
      <c r="G4337" s="27"/>
      <c r="H4337" s="16" t="str">
        <f>IF(ISBLANK(PARTIDAS!$G4337),PARTIDAS!$F4337,CONCATENATE(PARTIDAS!$F4337," (",PARTIDAS!$G4337,")"))</f>
        <v>Monofilamentos (los demás, de polipropileno)</v>
      </c>
      <c r="I4337" s="16" t="s">
        <v>9427</v>
      </c>
    </row>
    <row r="4338" spans="1:9" x14ac:dyDescent="0.25">
      <c r="A4338" s="16" t="s">
        <v>5283</v>
      </c>
      <c r="B4338" s="16" t="str">
        <f>TEXT(PARTIDA[[#This Row],[PARTIDA]],"0000000000")</f>
        <v>5404191000</v>
      </c>
      <c r="C4338" s="16" t="s">
        <v>815</v>
      </c>
      <c r="D4338" s="16" t="s">
        <v>835</v>
      </c>
      <c r="E4338" s="16" t="s">
        <v>842</v>
      </c>
      <c r="F4338" s="27" t="s">
        <v>13038</v>
      </c>
      <c r="G4338" s="27"/>
      <c r="H4338" s="16" t="str">
        <f>IF(ISBLANK(PARTIDAS!$G4338),PARTIDAS!$F4338,CONCATENATE(PARTIDAS!$F4338," (",PARTIDAS!$G4338,")"))</f>
        <v>Monofilamentos, de poliuretano</v>
      </c>
      <c r="I4338" s="16" t="s">
        <v>9427</v>
      </c>
    </row>
    <row r="4339" spans="1:9" x14ac:dyDescent="0.25">
      <c r="A4339" s="16" t="s">
        <v>5284</v>
      </c>
      <c r="B4339" s="16" t="str">
        <f>TEXT(PARTIDA[[#This Row],[PARTIDA]],"0000000000")</f>
        <v>5404199000</v>
      </c>
      <c r="C4339" s="16" t="s">
        <v>815</v>
      </c>
      <c r="D4339" s="16" t="s">
        <v>835</v>
      </c>
      <c r="E4339" s="16" t="s">
        <v>842</v>
      </c>
      <c r="F4339" s="27" t="s">
        <v>13039</v>
      </c>
      <c r="G4339" s="27"/>
      <c r="H4339" s="16" t="str">
        <f>IF(ISBLANK(PARTIDAS!$G4339),PARTIDAS!$F4339,CONCATENATE(PARTIDAS!$F4339," (",PARTIDAS!$G4339,")"))</f>
        <v>Monofilamentos (los demás)</v>
      </c>
      <c r="I4339" s="16" t="s">
        <v>9427</v>
      </c>
    </row>
    <row r="4340" spans="1:9" x14ac:dyDescent="0.25">
      <c r="A4340" s="16" t="s">
        <v>5285</v>
      </c>
      <c r="B4340" s="16" t="str">
        <f>TEXT(PARTIDA[[#This Row],[PARTIDA]],"0000000000")</f>
        <v>5404900000</v>
      </c>
      <c r="C4340" s="16" t="s">
        <v>815</v>
      </c>
      <c r="D4340" s="16" t="s">
        <v>835</v>
      </c>
      <c r="E4340" s="16" t="s">
        <v>842</v>
      </c>
      <c r="F4340" s="27" t="s">
        <v>13040</v>
      </c>
      <c r="G4340" s="27"/>
      <c r="H4340" s="16" t="str">
        <f>IF(ISBLANK(PARTIDAS!$G4340),PARTIDAS!$F4340,CONCATENATE(PARTIDAS!$F4340," (",PARTIDAS!$G4340,")"))</f>
        <v>Monofilamentos sintéticos de título superior o igual a 67 decitex y… (los demás)</v>
      </c>
      <c r="I4340" s="16" t="s">
        <v>9427</v>
      </c>
    </row>
    <row r="4341" spans="1:9" x14ac:dyDescent="0.25">
      <c r="A4341" s="16" t="s">
        <v>5286</v>
      </c>
      <c r="B4341" s="16" t="str">
        <f>TEXT(PARTIDA[[#This Row],[PARTIDA]],"0000000000")</f>
        <v>5405000000</v>
      </c>
      <c r="C4341" s="16" t="s">
        <v>815</v>
      </c>
      <c r="D4341" s="16" t="s">
        <v>835</v>
      </c>
      <c r="E4341" s="16" t="s">
        <v>842</v>
      </c>
      <c r="F4341" s="27" t="s">
        <v>5140</v>
      </c>
      <c r="G4341" s="27"/>
      <c r="H4341" s="16" t="str">
        <f>IF(ISBLANK(PARTIDAS!$G4341),PARTIDAS!$F4341,CONCATENATE(PARTIDAS!$F4341," (",PARTIDAS!$G4341,")"))</f>
        <v>Productos textiles</v>
      </c>
      <c r="I4341" s="16" t="s">
        <v>9427</v>
      </c>
    </row>
    <row r="4342" spans="1:9" x14ac:dyDescent="0.25">
      <c r="A4342" s="16" t="s">
        <v>5287</v>
      </c>
      <c r="B4342" s="16" t="str">
        <f>TEXT(PARTIDA[[#This Row],[PARTIDA]],"0000000000")</f>
        <v>5406001000</v>
      </c>
      <c r="C4342" s="16" t="s">
        <v>815</v>
      </c>
      <c r="D4342" s="16" t="s">
        <v>835</v>
      </c>
      <c r="E4342" s="16" t="s">
        <v>842</v>
      </c>
      <c r="F4342" s="27" t="s">
        <v>13041</v>
      </c>
      <c r="G4342" s="27"/>
      <c r="H4342" s="16" t="str">
        <f>IF(ISBLANK(PARTIDAS!$G4342),PARTIDAS!$F4342,CONCATENATE(PARTIDAS!$F4342," (",PARTIDAS!$G4342,")"))</f>
        <v>Hilados de filamentos sintéticos</v>
      </c>
      <c r="I4342" s="16" t="s">
        <v>9427</v>
      </c>
    </row>
    <row r="4343" spans="1:9" x14ac:dyDescent="0.25">
      <c r="A4343" s="16" t="s">
        <v>5288</v>
      </c>
      <c r="B4343" s="16" t="str">
        <f>TEXT(PARTIDA[[#This Row],[PARTIDA]],"0000000000")</f>
        <v>5406009000</v>
      </c>
      <c r="C4343" s="16" t="s">
        <v>815</v>
      </c>
      <c r="D4343" s="16" t="s">
        <v>835</v>
      </c>
      <c r="E4343" s="16" t="s">
        <v>842</v>
      </c>
      <c r="F4343" s="27" t="s">
        <v>13042</v>
      </c>
      <c r="G4343" s="27"/>
      <c r="H4343" s="16" t="str">
        <f>IF(ISBLANK(PARTIDAS!$G4343),PARTIDAS!$F4343,CONCATENATE(PARTIDAS!$F4343," (",PARTIDAS!$G4343,")"))</f>
        <v>Hilados de filamentos artificiales</v>
      </c>
      <c r="I4343" s="16" t="s">
        <v>9427</v>
      </c>
    </row>
    <row r="4344" spans="1:9" x14ac:dyDescent="0.25">
      <c r="A4344" s="16" t="s">
        <v>5289</v>
      </c>
      <c r="B4344" s="16" t="str">
        <f>TEXT(PARTIDA[[#This Row],[PARTIDA]],"0000000000")</f>
        <v>5407101000</v>
      </c>
      <c r="C4344" s="16" t="s">
        <v>815</v>
      </c>
      <c r="D4344" s="16" t="s">
        <v>835</v>
      </c>
      <c r="E4344" s="16" t="s">
        <v>842</v>
      </c>
      <c r="F4344" s="27" t="s">
        <v>13043</v>
      </c>
      <c r="G4344" s="27"/>
      <c r="H4344" s="16" t="str">
        <f>IF(ISBLANK(PARTIDAS!$G4344),PARTIDAS!$F4344,CONCATENATE(PARTIDAS!$F4344," (",PARTIDAS!$G4344,")"))</f>
        <v>Tejidos fabricados con hilados de alta tenacidad de nailon o demás…, para la fabricación de neumáticos</v>
      </c>
      <c r="I4344" s="16" t="s">
        <v>9427</v>
      </c>
    </row>
    <row r="4345" spans="1:9" x14ac:dyDescent="0.25">
      <c r="A4345" s="16" t="s">
        <v>5290</v>
      </c>
      <c r="B4345" s="16" t="str">
        <f>TEXT(PARTIDA[[#This Row],[PARTIDA]],"0000000000")</f>
        <v>5407109000</v>
      </c>
      <c r="C4345" s="16" t="s">
        <v>815</v>
      </c>
      <c r="D4345" s="16" t="s">
        <v>835</v>
      </c>
      <c r="E4345" s="16" t="s">
        <v>842</v>
      </c>
      <c r="F4345" s="27" t="s">
        <v>13044</v>
      </c>
      <c r="G4345" s="27"/>
      <c r="H4345" s="16" t="str">
        <f>IF(ISBLANK(PARTIDAS!$G4345),PARTIDAS!$F4345,CONCATENATE(PARTIDAS!$F4345," (",PARTIDAS!$G4345,")"))</f>
        <v>Tejidos fabricados con hilados de alta tenacidad de nailon o demás… (los demás)</v>
      </c>
      <c r="I4345" s="16" t="s">
        <v>9427</v>
      </c>
    </row>
    <row r="4346" spans="1:9" x14ac:dyDescent="0.25">
      <c r="A4346" s="16" t="s">
        <v>5291</v>
      </c>
      <c r="B4346" s="16" t="str">
        <f>TEXT(PARTIDA[[#This Row],[PARTIDA]],"0000000000")</f>
        <v>5407200000</v>
      </c>
      <c r="C4346" s="16" t="s">
        <v>815</v>
      </c>
      <c r="D4346" s="16" t="s">
        <v>835</v>
      </c>
      <c r="E4346" s="16" t="s">
        <v>842</v>
      </c>
      <c r="F4346" s="27" t="s">
        <v>13045</v>
      </c>
      <c r="G4346" s="27"/>
      <c r="H4346" s="16" t="str">
        <f>IF(ISBLANK(PARTIDAS!$G4346),PARTIDAS!$F4346,CONCATENATE(PARTIDAS!$F4346," (",PARTIDAS!$G4346,")"))</f>
        <v>Tejidos fabricados con tiras o formas similares</v>
      </c>
      <c r="I4346" s="16" t="s">
        <v>9427</v>
      </c>
    </row>
    <row r="4347" spans="1:9" x14ac:dyDescent="0.25">
      <c r="A4347" s="16" t="s">
        <v>5292</v>
      </c>
      <c r="B4347" s="16" t="str">
        <f>TEXT(PARTIDA[[#This Row],[PARTIDA]],"0000000000")</f>
        <v>5407300000</v>
      </c>
      <c r="C4347" s="16" t="s">
        <v>815</v>
      </c>
      <c r="D4347" s="16" t="s">
        <v>835</v>
      </c>
      <c r="E4347" s="16" t="s">
        <v>842</v>
      </c>
      <c r="F4347" s="27" t="s">
        <v>13046</v>
      </c>
      <c r="G4347" s="27"/>
      <c r="H4347" s="16" t="str">
        <f>IF(ISBLANK(PARTIDAS!$G4347),PARTIDAS!$F4347,CONCATENATE(PARTIDAS!$F4347," (",PARTIDAS!$G4347,")"))</f>
        <v>Productos citados en la Nota 9 de la Sección XI</v>
      </c>
      <c r="I4347" s="16" t="s">
        <v>9427</v>
      </c>
    </row>
    <row r="4348" spans="1:9" x14ac:dyDescent="0.25">
      <c r="A4348" s="16" t="s">
        <v>5293</v>
      </c>
      <c r="B4348" s="16" t="str">
        <f>TEXT(PARTIDA[[#This Row],[PARTIDA]],"0000000000")</f>
        <v>5407410000</v>
      </c>
      <c r="C4348" s="16" t="s">
        <v>815</v>
      </c>
      <c r="D4348" s="16" t="s">
        <v>835</v>
      </c>
      <c r="E4348" s="16" t="s">
        <v>842</v>
      </c>
      <c r="F4348" s="27" t="s">
        <v>13047</v>
      </c>
      <c r="G4348" s="27"/>
      <c r="H4348" s="16" t="str">
        <f>IF(ISBLANK(PARTIDAS!$G4348),PARTIDAS!$F4348,CONCATENATE(PARTIDAS!$F4348," (",PARTIDAS!$G4348,")"))</f>
        <v>Tejidos de hilados de filamentos sintéticos, incluidos los tejidos…, crudos o blanqueados</v>
      </c>
      <c r="I4348" s="16" t="s">
        <v>9427</v>
      </c>
    </row>
    <row r="4349" spans="1:9" x14ac:dyDescent="0.25">
      <c r="A4349" s="16" t="s">
        <v>5294</v>
      </c>
      <c r="B4349" s="16" t="str">
        <f>TEXT(PARTIDA[[#This Row],[PARTIDA]],"0000000000")</f>
        <v>5407420000</v>
      </c>
      <c r="C4349" s="16" t="s">
        <v>815</v>
      </c>
      <c r="D4349" s="16" t="s">
        <v>835</v>
      </c>
      <c r="E4349" s="16" t="s">
        <v>842</v>
      </c>
      <c r="F4349" s="27" t="s">
        <v>13048</v>
      </c>
      <c r="G4349" s="27"/>
      <c r="H4349" s="16" t="str">
        <f>IF(ISBLANK(PARTIDAS!$G4349),PARTIDAS!$F4349,CONCATENATE(PARTIDAS!$F4349," (",PARTIDAS!$G4349,")"))</f>
        <v>Tejidos de hilados de filamentos sintéticos, incluidos los tejidos…, teñidos</v>
      </c>
      <c r="I4349" s="16" t="s">
        <v>9427</v>
      </c>
    </row>
    <row r="4350" spans="1:9" x14ac:dyDescent="0.25">
      <c r="A4350" s="16" t="s">
        <v>5295</v>
      </c>
      <c r="B4350" s="16" t="str">
        <f>TEXT(PARTIDA[[#This Row],[PARTIDA]],"0000000000")</f>
        <v>5407430000</v>
      </c>
      <c r="C4350" s="16" t="s">
        <v>815</v>
      </c>
      <c r="D4350" s="16" t="s">
        <v>835</v>
      </c>
      <c r="E4350" s="16" t="s">
        <v>842</v>
      </c>
      <c r="F4350" s="27" t="s">
        <v>13049</v>
      </c>
      <c r="G4350" s="27"/>
      <c r="H4350" s="16" t="str">
        <f>IF(ISBLANK(PARTIDAS!$G4350),PARTIDAS!$F4350,CONCATENATE(PARTIDAS!$F4350," (",PARTIDAS!$G4350,")"))</f>
        <v>Tejidos de hilados de filamentos sintéticos, incluidos los tejidos…, con hilados de distintos colores</v>
      </c>
      <c r="I4350" s="16" t="s">
        <v>9427</v>
      </c>
    </row>
    <row r="4351" spans="1:9" x14ac:dyDescent="0.25">
      <c r="A4351" s="16" t="s">
        <v>5296</v>
      </c>
      <c r="B4351" s="16" t="str">
        <f>TEXT(PARTIDA[[#This Row],[PARTIDA]],"0000000000")</f>
        <v>5407440000</v>
      </c>
      <c r="C4351" s="16" t="s">
        <v>815</v>
      </c>
      <c r="D4351" s="16" t="s">
        <v>835</v>
      </c>
      <c r="E4351" s="16" t="s">
        <v>842</v>
      </c>
      <c r="F4351" s="27" t="s">
        <v>13050</v>
      </c>
      <c r="G4351" s="27"/>
      <c r="H4351" s="16" t="str">
        <f>IF(ISBLANK(PARTIDAS!$G4351),PARTIDAS!$F4351,CONCATENATE(PARTIDAS!$F4351," (",PARTIDAS!$G4351,")"))</f>
        <v>Tejidos de hilados de filamentos sintéticos, incluidos los tejidos…, estampados</v>
      </c>
      <c r="I4351" s="16" t="s">
        <v>9427</v>
      </c>
    </row>
    <row r="4352" spans="1:9" x14ac:dyDescent="0.25">
      <c r="A4352" s="16" t="s">
        <v>5297</v>
      </c>
      <c r="B4352" s="16" t="str">
        <f>TEXT(PARTIDA[[#This Row],[PARTIDA]],"0000000000")</f>
        <v>5407510000</v>
      </c>
      <c r="C4352" s="16" t="s">
        <v>815</v>
      </c>
      <c r="D4352" s="16" t="s">
        <v>835</v>
      </c>
      <c r="E4352" s="16" t="s">
        <v>842</v>
      </c>
      <c r="F4352" s="27" t="s">
        <v>13047</v>
      </c>
      <c r="G4352" s="27"/>
      <c r="H4352" s="16" t="str">
        <f>IF(ISBLANK(PARTIDAS!$G4352),PARTIDAS!$F4352,CONCATENATE(PARTIDAS!$F4352," (",PARTIDAS!$G4352,")"))</f>
        <v>Tejidos de hilados de filamentos sintéticos, incluidos los tejidos…, crudos o blanqueados</v>
      </c>
      <c r="I4352" s="16" t="s">
        <v>9427</v>
      </c>
    </row>
    <row r="4353" spans="1:9" x14ac:dyDescent="0.25">
      <c r="A4353" s="16" t="s">
        <v>5298</v>
      </c>
      <c r="B4353" s="16" t="str">
        <f>TEXT(PARTIDA[[#This Row],[PARTIDA]],"0000000000")</f>
        <v>5407520000</v>
      </c>
      <c r="C4353" s="16" t="s">
        <v>815</v>
      </c>
      <c r="D4353" s="16" t="s">
        <v>835</v>
      </c>
      <c r="E4353" s="16" t="s">
        <v>842</v>
      </c>
      <c r="F4353" s="27" t="s">
        <v>13048</v>
      </c>
      <c r="G4353" s="27"/>
      <c r="H4353" s="16" t="str">
        <f>IF(ISBLANK(PARTIDAS!$G4353),PARTIDAS!$F4353,CONCATENATE(PARTIDAS!$F4353," (",PARTIDAS!$G4353,")"))</f>
        <v>Tejidos de hilados de filamentos sintéticos, incluidos los tejidos…, teñidos</v>
      </c>
      <c r="I4353" s="16" t="s">
        <v>9427</v>
      </c>
    </row>
    <row r="4354" spans="1:9" x14ac:dyDescent="0.25">
      <c r="A4354" s="16" t="s">
        <v>5299</v>
      </c>
      <c r="B4354" s="16" t="str">
        <f>TEXT(PARTIDA[[#This Row],[PARTIDA]],"0000000000")</f>
        <v>5407530000</v>
      </c>
      <c r="C4354" s="16" t="s">
        <v>815</v>
      </c>
      <c r="D4354" s="16" t="s">
        <v>835</v>
      </c>
      <c r="E4354" s="16" t="s">
        <v>842</v>
      </c>
      <c r="F4354" s="27" t="s">
        <v>13049</v>
      </c>
      <c r="G4354" s="27"/>
      <c r="H4354" s="16" t="str">
        <f>IF(ISBLANK(PARTIDAS!$G4354),PARTIDAS!$F4354,CONCATENATE(PARTIDAS!$F4354," (",PARTIDAS!$G4354,")"))</f>
        <v>Tejidos de hilados de filamentos sintéticos, incluidos los tejidos…, con hilados de distintos colores</v>
      </c>
      <c r="I4354" s="16" t="s">
        <v>9427</v>
      </c>
    </row>
    <row r="4355" spans="1:9" x14ac:dyDescent="0.25">
      <c r="A4355" s="16" t="s">
        <v>5300</v>
      </c>
      <c r="B4355" s="16" t="str">
        <f>TEXT(PARTIDA[[#This Row],[PARTIDA]],"0000000000")</f>
        <v>5407540000</v>
      </c>
      <c r="C4355" s="16" t="s">
        <v>815</v>
      </c>
      <c r="D4355" s="16" t="s">
        <v>835</v>
      </c>
      <c r="E4355" s="16" t="s">
        <v>842</v>
      </c>
      <c r="F4355" s="27" t="s">
        <v>13050</v>
      </c>
      <c r="G4355" s="27"/>
      <c r="H4355" s="16" t="str">
        <f>IF(ISBLANK(PARTIDAS!$G4355),PARTIDAS!$F4355,CONCATENATE(PARTIDAS!$F4355," (",PARTIDAS!$G4355,")"))</f>
        <v>Tejidos de hilados de filamentos sintéticos, incluidos los tejidos…, estampados</v>
      </c>
      <c r="I4355" s="16" t="s">
        <v>9427</v>
      </c>
    </row>
    <row r="4356" spans="1:9" x14ac:dyDescent="0.25">
      <c r="A4356" s="16" t="s">
        <v>5301</v>
      </c>
      <c r="B4356" s="16" t="str">
        <f>TEXT(PARTIDA[[#This Row],[PARTIDA]],"0000000000")</f>
        <v>5407610000</v>
      </c>
      <c r="C4356" s="16" t="s">
        <v>815</v>
      </c>
      <c r="D4356" s="16" t="s">
        <v>835</v>
      </c>
      <c r="E4356" s="16" t="s">
        <v>842</v>
      </c>
      <c r="F4356" s="27" t="s">
        <v>13051</v>
      </c>
      <c r="G4356" s="27"/>
      <c r="H4356" s="16" t="str">
        <f>IF(ISBLANK(PARTIDAS!$G4356),PARTIDAS!$F4356,CONCATENATE(PARTIDAS!$F4356," (",PARTIDAS!$G4356,")"))</f>
        <v>Tejidos de hilados de filamentos sintéticos, incluidos los tejidos…, con un contenido de filamentos de poliéster sin texturar superior o igual al 85 %</v>
      </c>
      <c r="I4356" s="16" t="s">
        <v>9427</v>
      </c>
    </row>
    <row r="4357" spans="1:9" x14ac:dyDescent="0.25">
      <c r="A4357" s="16" t="s">
        <v>5302</v>
      </c>
      <c r="B4357" s="16" t="str">
        <f>TEXT(PARTIDA[[#This Row],[PARTIDA]],"0000000000")</f>
        <v>5407690000</v>
      </c>
      <c r="C4357" s="16" t="s">
        <v>815</v>
      </c>
      <c r="D4357" s="16" t="s">
        <v>835</v>
      </c>
      <c r="E4357" s="16" t="s">
        <v>842</v>
      </c>
      <c r="F4357" s="27" t="s">
        <v>13052</v>
      </c>
      <c r="G4357" s="27"/>
      <c r="H4357" s="16" t="str">
        <f>IF(ISBLANK(PARTIDAS!$G4357),PARTIDAS!$F4357,CONCATENATE(PARTIDAS!$F4357," (",PARTIDAS!$G4357,")"))</f>
        <v>Tejidos de hilados de filamentos sintéticos, incluidos los tejidos… (los demás)</v>
      </c>
      <c r="I4357" s="16" t="s">
        <v>9427</v>
      </c>
    </row>
    <row r="4358" spans="1:9" x14ac:dyDescent="0.25">
      <c r="A4358" s="16" t="s">
        <v>5303</v>
      </c>
      <c r="B4358" s="16" t="str">
        <f>TEXT(PARTIDA[[#This Row],[PARTIDA]],"0000000000")</f>
        <v>5407711000</v>
      </c>
      <c r="C4358" s="16" t="s">
        <v>815</v>
      </c>
      <c r="D4358" s="16" t="s">
        <v>835</v>
      </c>
      <c r="E4358" s="16" t="s">
        <v>842</v>
      </c>
      <c r="F4358" s="27" t="s">
        <v>13053</v>
      </c>
      <c r="G4358" s="27"/>
      <c r="H4358" s="16" t="str">
        <f>IF(ISBLANK(PARTIDAS!$G4358),PARTIDAS!$F4358,CONCATENATE(PARTIDAS!$F4358," (",PARTIDAS!$G4358,")"))</f>
        <v>Napas tramadas para neumáticos fabricadas con hilados de alcohol polivinílico</v>
      </c>
      <c r="I4358" s="16" t="s">
        <v>9427</v>
      </c>
    </row>
    <row r="4359" spans="1:9" x14ac:dyDescent="0.25">
      <c r="A4359" s="16" t="s">
        <v>5304</v>
      </c>
      <c r="B4359" s="16" t="str">
        <f>TEXT(PARTIDA[[#This Row],[PARTIDA]],"0000000000")</f>
        <v>5407719000</v>
      </c>
      <c r="C4359" s="16" t="s">
        <v>815</v>
      </c>
      <c r="D4359" s="16" t="s">
        <v>835</v>
      </c>
      <c r="E4359" s="16" t="s">
        <v>842</v>
      </c>
      <c r="F4359" s="27" t="s">
        <v>13054</v>
      </c>
      <c r="G4359" s="27"/>
      <c r="H4359" s="16" t="str">
        <f>IF(ISBLANK(PARTIDAS!$G4359),PARTIDAS!$F4359,CONCATENATE(PARTIDAS!$F4359," (",PARTIDAS!$G4359,")"))</f>
        <v>Tejidos de hilados de filamentos sintéticos, incluidos…, crudos o blanqueados (los demás)</v>
      </c>
      <c r="I4359" s="16" t="s">
        <v>9427</v>
      </c>
    </row>
    <row r="4360" spans="1:9" x14ac:dyDescent="0.25">
      <c r="A4360" s="16" t="s">
        <v>5305</v>
      </c>
      <c r="B4360" s="16" t="str">
        <f>TEXT(PARTIDA[[#This Row],[PARTIDA]],"0000000000")</f>
        <v>5407720000</v>
      </c>
      <c r="C4360" s="16" t="s">
        <v>815</v>
      </c>
      <c r="D4360" s="16" t="s">
        <v>835</v>
      </c>
      <c r="E4360" s="16" t="s">
        <v>842</v>
      </c>
      <c r="F4360" s="27" t="s">
        <v>13048</v>
      </c>
      <c r="G4360" s="27"/>
      <c r="H4360" s="16" t="str">
        <f>IF(ISBLANK(PARTIDAS!$G4360),PARTIDAS!$F4360,CONCATENATE(PARTIDAS!$F4360," (",PARTIDAS!$G4360,")"))</f>
        <v>Tejidos de hilados de filamentos sintéticos, incluidos los tejidos…, teñidos</v>
      </c>
      <c r="I4360" s="16" t="s">
        <v>9427</v>
      </c>
    </row>
    <row r="4361" spans="1:9" x14ac:dyDescent="0.25">
      <c r="A4361" s="16" t="s">
        <v>5306</v>
      </c>
      <c r="B4361" s="16" t="str">
        <f>TEXT(PARTIDA[[#This Row],[PARTIDA]],"0000000000")</f>
        <v>5407730000</v>
      </c>
      <c r="C4361" s="16" t="s">
        <v>815</v>
      </c>
      <c r="D4361" s="16" t="s">
        <v>835</v>
      </c>
      <c r="E4361" s="16" t="s">
        <v>842</v>
      </c>
      <c r="F4361" s="27" t="s">
        <v>13049</v>
      </c>
      <c r="G4361" s="27"/>
      <c r="H4361" s="16" t="str">
        <f>IF(ISBLANK(PARTIDAS!$G4361),PARTIDAS!$F4361,CONCATENATE(PARTIDAS!$F4361," (",PARTIDAS!$G4361,")"))</f>
        <v>Tejidos de hilados de filamentos sintéticos, incluidos los tejidos…, con hilados de distintos colores</v>
      </c>
      <c r="I4361" s="16" t="s">
        <v>9427</v>
      </c>
    </row>
    <row r="4362" spans="1:9" x14ac:dyDescent="0.25">
      <c r="A4362" s="16" t="s">
        <v>5307</v>
      </c>
      <c r="B4362" s="16" t="str">
        <f>TEXT(PARTIDA[[#This Row],[PARTIDA]],"0000000000")</f>
        <v>5407740000</v>
      </c>
      <c r="C4362" s="16" t="s">
        <v>815</v>
      </c>
      <c r="D4362" s="16" t="s">
        <v>835</v>
      </c>
      <c r="E4362" s="16" t="s">
        <v>842</v>
      </c>
      <c r="F4362" s="27" t="s">
        <v>13050</v>
      </c>
      <c r="G4362" s="27"/>
      <c r="H4362" s="16" t="str">
        <f>IF(ISBLANK(PARTIDAS!$G4362),PARTIDAS!$F4362,CONCATENATE(PARTIDAS!$F4362," (",PARTIDAS!$G4362,")"))</f>
        <v>Tejidos de hilados de filamentos sintéticos, incluidos los tejidos…, estampados</v>
      </c>
      <c r="I4362" s="16" t="s">
        <v>9427</v>
      </c>
    </row>
    <row r="4363" spans="1:9" x14ac:dyDescent="0.25">
      <c r="A4363" s="16" t="s">
        <v>5308</v>
      </c>
      <c r="B4363" s="16" t="str">
        <f>TEXT(PARTIDA[[#This Row],[PARTIDA]],"0000000000")</f>
        <v>5407810000</v>
      </c>
      <c r="C4363" s="16" t="s">
        <v>815</v>
      </c>
      <c r="D4363" s="16" t="s">
        <v>835</v>
      </c>
      <c r="E4363" s="16" t="s">
        <v>842</v>
      </c>
      <c r="F4363" s="27" t="s">
        <v>13047</v>
      </c>
      <c r="G4363" s="27"/>
      <c r="H4363" s="16" t="str">
        <f>IF(ISBLANK(PARTIDAS!$G4363),PARTIDAS!$F4363,CONCATENATE(PARTIDAS!$F4363," (",PARTIDAS!$G4363,")"))</f>
        <v>Tejidos de hilados de filamentos sintéticos, incluidos los tejidos…, crudos o blanqueados</v>
      </c>
      <c r="I4363" s="16" t="s">
        <v>9427</v>
      </c>
    </row>
    <row r="4364" spans="1:9" x14ac:dyDescent="0.25">
      <c r="A4364" s="16" t="s">
        <v>5309</v>
      </c>
      <c r="B4364" s="16" t="str">
        <f>TEXT(PARTIDA[[#This Row],[PARTIDA]],"0000000000")</f>
        <v>5407820000</v>
      </c>
      <c r="C4364" s="16" t="s">
        <v>815</v>
      </c>
      <c r="D4364" s="16" t="s">
        <v>835</v>
      </c>
      <c r="E4364" s="16" t="s">
        <v>842</v>
      </c>
      <c r="F4364" s="27" t="s">
        <v>13048</v>
      </c>
      <c r="G4364" s="27"/>
      <c r="H4364" s="16" t="str">
        <f>IF(ISBLANK(PARTIDAS!$G4364),PARTIDAS!$F4364,CONCATENATE(PARTIDAS!$F4364," (",PARTIDAS!$G4364,")"))</f>
        <v>Tejidos de hilados de filamentos sintéticos, incluidos los tejidos…, teñidos</v>
      </c>
      <c r="I4364" s="16" t="s">
        <v>9427</v>
      </c>
    </row>
    <row r="4365" spans="1:9" x14ac:dyDescent="0.25">
      <c r="A4365" s="16" t="s">
        <v>5310</v>
      </c>
      <c r="B4365" s="16" t="str">
        <f>TEXT(PARTIDA[[#This Row],[PARTIDA]],"0000000000")</f>
        <v>5407830000</v>
      </c>
      <c r="C4365" s="16" t="s">
        <v>815</v>
      </c>
      <c r="D4365" s="16" t="s">
        <v>835</v>
      </c>
      <c r="E4365" s="16" t="s">
        <v>842</v>
      </c>
      <c r="F4365" s="27" t="s">
        <v>13049</v>
      </c>
      <c r="G4365" s="27"/>
      <c r="H4365" s="16" t="str">
        <f>IF(ISBLANK(PARTIDAS!$G4365),PARTIDAS!$F4365,CONCATENATE(PARTIDAS!$F4365," (",PARTIDAS!$G4365,")"))</f>
        <v>Tejidos de hilados de filamentos sintéticos, incluidos los tejidos…, con hilados de distintos colores</v>
      </c>
      <c r="I4365" s="16" t="s">
        <v>9427</v>
      </c>
    </row>
    <row r="4366" spans="1:9" x14ac:dyDescent="0.25">
      <c r="A4366" s="16" t="s">
        <v>5311</v>
      </c>
      <c r="B4366" s="16" t="str">
        <f>TEXT(PARTIDA[[#This Row],[PARTIDA]],"0000000000")</f>
        <v>5407840000</v>
      </c>
      <c r="C4366" s="16" t="s">
        <v>815</v>
      </c>
      <c r="D4366" s="16" t="s">
        <v>835</v>
      </c>
      <c r="E4366" s="16" t="s">
        <v>842</v>
      </c>
      <c r="F4366" s="27" t="s">
        <v>13050</v>
      </c>
      <c r="G4366" s="27"/>
      <c r="H4366" s="16" t="str">
        <f>IF(ISBLANK(PARTIDAS!$G4366),PARTIDAS!$F4366,CONCATENATE(PARTIDAS!$F4366," (",PARTIDAS!$G4366,")"))</f>
        <v>Tejidos de hilados de filamentos sintéticos, incluidos los tejidos…, estampados</v>
      </c>
      <c r="I4366" s="16" t="s">
        <v>9427</v>
      </c>
    </row>
    <row r="4367" spans="1:9" x14ac:dyDescent="0.25">
      <c r="A4367" s="16" t="s">
        <v>5312</v>
      </c>
      <c r="B4367" s="16" t="str">
        <f>TEXT(PARTIDA[[#This Row],[PARTIDA]],"0000000000")</f>
        <v>5407910000</v>
      </c>
      <c r="C4367" s="16" t="s">
        <v>815</v>
      </c>
      <c r="D4367" s="16" t="s">
        <v>835</v>
      </c>
      <c r="E4367" s="16" t="s">
        <v>842</v>
      </c>
      <c r="F4367" s="27" t="s">
        <v>13047</v>
      </c>
      <c r="G4367" s="27"/>
      <c r="H4367" s="16" t="str">
        <f>IF(ISBLANK(PARTIDAS!$G4367),PARTIDAS!$F4367,CONCATENATE(PARTIDAS!$F4367," (",PARTIDAS!$G4367,")"))</f>
        <v>Tejidos de hilados de filamentos sintéticos, incluidos los tejidos…, crudos o blanqueados</v>
      </c>
      <c r="I4367" s="16" t="s">
        <v>9427</v>
      </c>
    </row>
    <row r="4368" spans="1:9" x14ac:dyDescent="0.25">
      <c r="A4368" s="16" t="s">
        <v>5313</v>
      </c>
      <c r="B4368" s="16" t="str">
        <f>TEXT(PARTIDA[[#This Row],[PARTIDA]],"0000000000")</f>
        <v>5407920000</v>
      </c>
      <c r="C4368" s="16" t="s">
        <v>815</v>
      </c>
      <c r="D4368" s="16" t="s">
        <v>835</v>
      </c>
      <c r="E4368" s="16" t="s">
        <v>842</v>
      </c>
      <c r="F4368" s="27" t="s">
        <v>13048</v>
      </c>
      <c r="G4368" s="27"/>
      <c r="H4368" s="16" t="str">
        <f>IF(ISBLANK(PARTIDAS!$G4368),PARTIDAS!$F4368,CONCATENATE(PARTIDAS!$F4368," (",PARTIDAS!$G4368,")"))</f>
        <v>Tejidos de hilados de filamentos sintéticos, incluidos los tejidos…, teñidos</v>
      </c>
      <c r="I4368" s="16" t="s">
        <v>9427</v>
      </c>
    </row>
    <row r="4369" spans="1:9" x14ac:dyDescent="0.25">
      <c r="A4369" s="16" t="s">
        <v>5314</v>
      </c>
      <c r="B4369" s="16" t="str">
        <f>TEXT(PARTIDA[[#This Row],[PARTIDA]],"0000000000")</f>
        <v>5407930000</v>
      </c>
      <c r="C4369" s="16" t="s">
        <v>815</v>
      </c>
      <c r="D4369" s="16" t="s">
        <v>835</v>
      </c>
      <c r="E4369" s="16" t="s">
        <v>842</v>
      </c>
      <c r="F4369" s="27" t="s">
        <v>13049</v>
      </c>
      <c r="G4369" s="27"/>
      <c r="H4369" s="16" t="str">
        <f>IF(ISBLANK(PARTIDAS!$G4369),PARTIDAS!$F4369,CONCATENATE(PARTIDAS!$F4369," (",PARTIDAS!$G4369,")"))</f>
        <v>Tejidos de hilados de filamentos sintéticos, incluidos los tejidos…, con hilados de distintos colores</v>
      </c>
      <c r="I4369" s="16" t="s">
        <v>9427</v>
      </c>
    </row>
    <row r="4370" spans="1:9" x14ac:dyDescent="0.25">
      <c r="A4370" s="16" t="s">
        <v>5315</v>
      </c>
      <c r="B4370" s="16" t="str">
        <f>TEXT(PARTIDA[[#This Row],[PARTIDA]],"0000000000")</f>
        <v>5407940000</v>
      </c>
      <c r="C4370" s="16" t="s">
        <v>815</v>
      </c>
      <c r="D4370" s="16" t="s">
        <v>835</v>
      </c>
      <c r="E4370" s="16" t="s">
        <v>842</v>
      </c>
      <c r="F4370" s="27" t="s">
        <v>13050</v>
      </c>
      <c r="G4370" s="27"/>
      <c r="H4370" s="16" t="str">
        <f>IF(ISBLANK(PARTIDAS!$G4370),PARTIDAS!$F4370,CONCATENATE(PARTIDAS!$F4370," (",PARTIDAS!$G4370,")"))</f>
        <v>Tejidos de hilados de filamentos sintéticos, incluidos los tejidos…, estampados</v>
      </c>
      <c r="I4370" s="16" t="s">
        <v>9427</v>
      </c>
    </row>
    <row r="4371" spans="1:9" x14ac:dyDescent="0.25">
      <c r="A4371" s="16" t="s">
        <v>5316</v>
      </c>
      <c r="B4371" s="16" t="str">
        <f>TEXT(PARTIDA[[#This Row],[PARTIDA]],"0000000000")</f>
        <v>5408100010</v>
      </c>
      <c r="C4371" s="16" t="s">
        <v>815</v>
      </c>
      <c r="D4371" s="16" t="s">
        <v>835</v>
      </c>
      <c r="E4371" s="16" t="s">
        <v>842</v>
      </c>
      <c r="F4371" s="27" t="s">
        <v>13055</v>
      </c>
      <c r="G4371" s="27"/>
      <c r="H4371" s="16" t="str">
        <f>IF(ISBLANK(PARTIDAS!$G4371),PARTIDAS!$F4371,CONCATENATE(PARTIDAS!$F4371," (",PARTIDAS!$G4371,")"))</f>
        <v>Tejidos fabricados con hilados de alta tenacidad de rayón viscosa, para la fabricación de neumáticos</v>
      </c>
      <c r="I4371" s="16" t="s">
        <v>9427</v>
      </c>
    </row>
    <row r="4372" spans="1:9" x14ac:dyDescent="0.25">
      <c r="A4372" s="16" t="s">
        <v>5317</v>
      </c>
      <c r="B4372" s="16" t="str">
        <f>TEXT(PARTIDA[[#This Row],[PARTIDA]],"0000000000")</f>
        <v>5408100090</v>
      </c>
      <c r="C4372" s="16" t="s">
        <v>815</v>
      </c>
      <c r="D4372" s="16" t="s">
        <v>835</v>
      </c>
      <c r="E4372" s="16" t="s">
        <v>842</v>
      </c>
      <c r="F4372" s="27" t="s">
        <v>13056</v>
      </c>
      <c r="G4372" s="27"/>
      <c r="H4372" s="16" t="str">
        <f>IF(ISBLANK(PARTIDAS!$G4372),PARTIDAS!$F4372,CONCATENATE(PARTIDAS!$F4372," (",PARTIDAS!$G4372,")"))</f>
        <v>Tejidos fabricados con hilados de alta tenacidad de rayón viscosa (los demás)</v>
      </c>
      <c r="I4372" s="16" t="s">
        <v>9427</v>
      </c>
    </row>
    <row r="4373" spans="1:9" x14ac:dyDescent="0.25">
      <c r="A4373" s="16" t="s">
        <v>5318</v>
      </c>
      <c r="B4373" s="16" t="str">
        <f>TEXT(PARTIDA[[#This Row],[PARTIDA]],"0000000000")</f>
        <v>5408210000</v>
      </c>
      <c r="C4373" s="16" t="s">
        <v>815</v>
      </c>
      <c r="D4373" s="16" t="s">
        <v>835</v>
      </c>
      <c r="E4373" s="16" t="s">
        <v>842</v>
      </c>
      <c r="F4373" s="27" t="s">
        <v>13057</v>
      </c>
      <c r="G4373" s="27"/>
      <c r="H4373" s="16" t="str">
        <f>IF(ISBLANK(PARTIDAS!$G4373),PARTIDAS!$F4373,CONCATENATE(PARTIDAS!$F4373," (",PARTIDAS!$G4373,")"))</f>
        <v>Tejidos de hilados de filamentos artificiales, incluidos los…, crudos o blanqueados</v>
      </c>
      <c r="I4373" s="16" t="s">
        <v>9427</v>
      </c>
    </row>
    <row r="4374" spans="1:9" x14ac:dyDescent="0.25">
      <c r="A4374" s="16" t="s">
        <v>5319</v>
      </c>
      <c r="B4374" s="16" t="str">
        <f>TEXT(PARTIDA[[#This Row],[PARTIDA]],"0000000000")</f>
        <v>5408220000</v>
      </c>
      <c r="C4374" s="16" t="s">
        <v>815</v>
      </c>
      <c r="D4374" s="16" t="s">
        <v>835</v>
      </c>
      <c r="E4374" s="16" t="s">
        <v>842</v>
      </c>
      <c r="F4374" s="27" t="s">
        <v>13058</v>
      </c>
      <c r="G4374" s="27"/>
      <c r="H4374" s="16" t="str">
        <f>IF(ISBLANK(PARTIDAS!$G4374),PARTIDAS!$F4374,CONCATENATE(PARTIDAS!$F4374," (",PARTIDAS!$G4374,")"))</f>
        <v>Tejidos de hilados de filamentos artificiales, incluidos los…, teñidos</v>
      </c>
      <c r="I4374" s="16" t="s">
        <v>9427</v>
      </c>
    </row>
    <row r="4375" spans="1:9" x14ac:dyDescent="0.25">
      <c r="A4375" s="16" t="s">
        <v>5320</v>
      </c>
      <c r="B4375" s="16" t="str">
        <f>TEXT(PARTIDA[[#This Row],[PARTIDA]],"0000000000")</f>
        <v>5408230000</v>
      </c>
      <c r="C4375" s="16" t="s">
        <v>815</v>
      </c>
      <c r="D4375" s="16" t="s">
        <v>835</v>
      </c>
      <c r="E4375" s="16" t="s">
        <v>842</v>
      </c>
      <c r="F4375" s="27" t="s">
        <v>13059</v>
      </c>
      <c r="G4375" s="27"/>
      <c r="H4375" s="16" t="str">
        <f>IF(ISBLANK(PARTIDAS!$G4375),PARTIDAS!$F4375,CONCATENATE(PARTIDAS!$F4375," (",PARTIDAS!$G4375,")"))</f>
        <v>Tejidos de hilados de filamentos artificiales, incluidos los…, con hilados de distintos colores</v>
      </c>
      <c r="I4375" s="16" t="s">
        <v>9427</v>
      </c>
    </row>
    <row r="4376" spans="1:9" x14ac:dyDescent="0.25">
      <c r="A4376" s="16" t="s">
        <v>5321</v>
      </c>
      <c r="B4376" s="16" t="str">
        <f>TEXT(PARTIDA[[#This Row],[PARTIDA]],"0000000000")</f>
        <v>5408240000</v>
      </c>
      <c r="C4376" s="16" t="s">
        <v>815</v>
      </c>
      <c r="D4376" s="16" t="s">
        <v>835</v>
      </c>
      <c r="E4376" s="16" t="s">
        <v>842</v>
      </c>
      <c r="F4376" s="27" t="s">
        <v>13060</v>
      </c>
      <c r="G4376" s="27"/>
      <c r="H4376" s="16" t="str">
        <f>IF(ISBLANK(PARTIDAS!$G4376),PARTIDAS!$F4376,CONCATENATE(PARTIDAS!$F4376," (",PARTIDAS!$G4376,")"))</f>
        <v>Tejidos de hilados de filamentos artificiales, incluidos los…, estampados</v>
      </c>
      <c r="I4376" s="16" t="s">
        <v>9427</v>
      </c>
    </row>
    <row r="4377" spans="1:9" x14ac:dyDescent="0.25">
      <c r="A4377" s="16" t="s">
        <v>5322</v>
      </c>
      <c r="B4377" s="16" t="str">
        <f>TEXT(PARTIDA[[#This Row],[PARTIDA]],"0000000000")</f>
        <v>5408310000</v>
      </c>
      <c r="C4377" s="16" t="s">
        <v>815</v>
      </c>
      <c r="D4377" s="16" t="s">
        <v>835</v>
      </c>
      <c r="E4377" s="16" t="s">
        <v>842</v>
      </c>
      <c r="F4377" s="27" t="s">
        <v>13057</v>
      </c>
      <c r="G4377" s="27"/>
      <c r="H4377" s="16" t="str">
        <f>IF(ISBLANK(PARTIDAS!$G4377),PARTIDAS!$F4377,CONCATENATE(PARTIDAS!$F4377," (",PARTIDAS!$G4377,")"))</f>
        <v>Tejidos de hilados de filamentos artificiales, incluidos los…, crudos o blanqueados</v>
      </c>
      <c r="I4377" s="16" t="s">
        <v>9427</v>
      </c>
    </row>
    <row r="4378" spans="1:9" x14ac:dyDescent="0.25">
      <c r="A4378" s="16" t="s">
        <v>5323</v>
      </c>
      <c r="B4378" s="16" t="str">
        <f>TEXT(PARTIDA[[#This Row],[PARTIDA]],"0000000000")</f>
        <v>5408320000</v>
      </c>
      <c r="C4378" s="16" t="s">
        <v>815</v>
      </c>
      <c r="D4378" s="16" t="s">
        <v>835</v>
      </c>
      <c r="E4378" s="16" t="s">
        <v>842</v>
      </c>
      <c r="F4378" s="27" t="s">
        <v>13058</v>
      </c>
      <c r="G4378" s="27"/>
      <c r="H4378" s="16" t="str">
        <f>IF(ISBLANK(PARTIDAS!$G4378),PARTIDAS!$F4378,CONCATENATE(PARTIDAS!$F4378," (",PARTIDAS!$G4378,")"))</f>
        <v>Tejidos de hilados de filamentos artificiales, incluidos los…, teñidos</v>
      </c>
      <c r="I4378" s="16" t="s">
        <v>9427</v>
      </c>
    </row>
    <row r="4379" spans="1:9" x14ac:dyDescent="0.25">
      <c r="A4379" s="16" t="s">
        <v>5324</v>
      </c>
      <c r="B4379" s="16" t="str">
        <f>TEXT(PARTIDA[[#This Row],[PARTIDA]],"0000000000")</f>
        <v>5408330000</v>
      </c>
      <c r="C4379" s="16" t="s">
        <v>815</v>
      </c>
      <c r="D4379" s="16" t="s">
        <v>835</v>
      </c>
      <c r="E4379" s="16" t="s">
        <v>842</v>
      </c>
      <c r="F4379" s="27" t="s">
        <v>13059</v>
      </c>
      <c r="G4379" s="27"/>
      <c r="H4379" s="16" t="str">
        <f>IF(ISBLANK(PARTIDAS!$G4379),PARTIDAS!$F4379,CONCATENATE(PARTIDAS!$F4379," (",PARTIDAS!$G4379,")"))</f>
        <v>Tejidos de hilados de filamentos artificiales, incluidos los…, con hilados de distintos colores</v>
      </c>
      <c r="I4379" s="16" t="s">
        <v>9427</v>
      </c>
    </row>
    <row r="4380" spans="1:9" x14ac:dyDescent="0.25">
      <c r="A4380" s="16" t="s">
        <v>5325</v>
      </c>
      <c r="B4380" s="16" t="str">
        <f>TEXT(PARTIDA[[#This Row],[PARTIDA]],"0000000000")</f>
        <v>5408340000</v>
      </c>
      <c r="C4380" s="16" t="s">
        <v>815</v>
      </c>
      <c r="D4380" s="16" t="s">
        <v>835</v>
      </c>
      <c r="E4380" s="16" t="s">
        <v>842</v>
      </c>
      <c r="F4380" s="27" t="s">
        <v>13060</v>
      </c>
      <c r="G4380" s="27"/>
      <c r="H4380" s="16" t="str">
        <f>IF(ISBLANK(PARTIDAS!$G4380),PARTIDAS!$F4380,CONCATENATE(PARTIDAS!$F4380," (",PARTIDAS!$G4380,")"))</f>
        <v>Tejidos de hilados de filamentos artificiales, incluidos los…, estampados</v>
      </c>
      <c r="I4380" s="16" t="s">
        <v>9427</v>
      </c>
    </row>
    <row r="4381" spans="1:9" x14ac:dyDescent="0.25">
      <c r="A4381" s="16" t="s">
        <v>5326</v>
      </c>
      <c r="B4381" s="16" t="str">
        <f>TEXT(PARTIDA[[#This Row],[PARTIDA]],"0000000000")</f>
        <v>5501100000</v>
      </c>
      <c r="C4381" s="16" t="s">
        <v>815</v>
      </c>
      <c r="D4381" s="16" t="s">
        <v>835</v>
      </c>
      <c r="E4381" s="16" t="s">
        <v>842</v>
      </c>
      <c r="F4381" s="27" t="s">
        <v>13061</v>
      </c>
      <c r="G4381" s="27"/>
      <c r="H4381" s="16" t="str">
        <f>IF(ISBLANK(PARTIDAS!$G4381),PARTIDAS!$F4381,CONCATENATE(PARTIDAS!$F4381," (",PARTIDAS!$G4381,")"))</f>
        <v>De nailon o demás poliamidas</v>
      </c>
      <c r="I4381" s="16" t="s">
        <v>9648</v>
      </c>
    </row>
    <row r="4382" spans="1:9" x14ac:dyDescent="0.25">
      <c r="A4382" s="16" t="s">
        <v>13062</v>
      </c>
      <c r="B4382" s="16" t="str">
        <f>TEXT(PARTIDA[[#This Row],[PARTIDA]],"0000000000")</f>
        <v>5501110000</v>
      </c>
      <c r="C4382" s="16" t="s">
        <v>815</v>
      </c>
      <c r="D4382" s="16" t="s">
        <v>835</v>
      </c>
      <c r="E4382" s="16" t="s">
        <v>842</v>
      </c>
      <c r="F4382" s="27" t="s">
        <v>13063</v>
      </c>
      <c r="G4382" s="27"/>
      <c r="H4382" s="16" t="str">
        <f>IF(ISBLANK(PARTIDAS!$G4382),PARTIDAS!$F4382,CONCATENATE(PARTIDAS!$F4382," (",PARTIDAS!$G4382,")"))</f>
        <v>Cables de filamentos sintéticos, de nailon o demás poliamidas, de aramidas</v>
      </c>
      <c r="I4382" s="16" t="s">
        <v>9427</v>
      </c>
    </row>
    <row r="4383" spans="1:9" x14ac:dyDescent="0.25">
      <c r="A4383" s="16" t="s">
        <v>13064</v>
      </c>
      <c r="B4383" s="16" t="str">
        <f>TEXT(PARTIDA[[#This Row],[PARTIDA]],"0000000000")</f>
        <v>5501190000</v>
      </c>
      <c r="C4383" s="16" t="s">
        <v>815</v>
      </c>
      <c r="D4383" s="16" t="s">
        <v>835</v>
      </c>
      <c r="E4383" s="16" t="s">
        <v>842</v>
      </c>
      <c r="F4383" s="27" t="s">
        <v>13065</v>
      </c>
      <c r="G4383" s="27"/>
      <c r="H4383" s="16" t="str">
        <f>IF(ISBLANK(PARTIDAS!$G4383),PARTIDAS!$F4383,CONCATENATE(PARTIDAS!$F4383," (",PARTIDAS!$G4383,")"))</f>
        <v>Cables de filamentos sintéticos, de nailon o demás poliamidas (los demás)</v>
      </c>
      <c r="I4383" s="16" t="s">
        <v>9427</v>
      </c>
    </row>
    <row r="4384" spans="1:9" x14ac:dyDescent="0.25">
      <c r="A4384" s="16" t="s">
        <v>5327</v>
      </c>
      <c r="B4384" s="16" t="str">
        <f>TEXT(PARTIDA[[#This Row],[PARTIDA]],"0000000000")</f>
        <v>5501200000</v>
      </c>
      <c r="C4384" s="16" t="s">
        <v>815</v>
      </c>
      <c r="D4384" s="16" t="s">
        <v>835</v>
      </c>
      <c r="E4384" s="16" t="s">
        <v>842</v>
      </c>
      <c r="F4384" s="27" t="s">
        <v>13066</v>
      </c>
      <c r="G4384" s="27"/>
      <c r="H4384" s="16" t="str">
        <f>IF(ISBLANK(PARTIDAS!$G4384),PARTIDAS!$F4384,CONCATENATE(PARTIDAS!$F4384," (",PARTIDAS!$G4384,")"))</f>
        <v>Cables de filamentos sintéticos, de poliésteres</v>
      </c>
      <c r="I4384" s="16" t="s">
        <v>9427</v>
      </c>
    </row>
    <row r="4385" spans="1:9" x14ac:dyDescent="0.25">
      <c r="A4385" s="16" t="s">
        <v>5328</v>
      </c>
      <c r="B4385" s="16" t="str">
        <f>TEXT(PARTIDA[[#This Row],[PARTIDA]],"0000000000")</f>
        <v>5501301000</v>
      </c>
      <c r="C4385" s="16" t="s">
        <v>815</v>
      </c>
      <c r="D4385" s="16" t="s">
        <v>835</v>
      </c>
      <c r="E4385" s="16" t="s">
        <v>842</v>
      </c>
      <c r="F4385" s="27" t="s">
        <v>13067</v>
      </c>
      <c r="G4385" s="27"/>
      <c r="H4385" s="16" t="str">
        <f>IF(ISBLANK(PARTIDAS!$G4385),PARTIDAS!$F4385,CONCATENATE(PARTIDAS!$F4385," (",PARTIDAS!$G4385,")"))</f>
        <v>Obtenidos por extrusión húmeda</v>
      </c>
      <c r="I4385" s="16" t="s">
        <v>9427</v>
      </c>
    </row>
    <row r="4386" spans="1:9" x14ac:dyDescent="0.25">
      <c r="A4386" s="16" t="s">
        <v>5329</v>
      </c>
      <c r="B4386" s="16" t="str">
        <f>TEXT(PARTIDA[[#This Row],[PARTIDA]],"0000000000")</f>
        <v>5501309000</v>
      </c>
      <c r="C4386" s="16" t="s">
        <v>815</v>
      </c>
      <c r="D4386" s="16" t="s">
        <v>835</v>
      </c>
      <c r="E4386" s="16" t="s">
        <v>842</v>
      </c>
      <c r="F4386" s="27" t="s">
        <v>13068</v>
      </c>
      <c r="G4386" s="27"/>
      <c r="H4386" s="16" t="str">
        <f>IF(ISBLANK(PARTIDAS!$G4386),PARTIDAS!$F4386,CONCATENATE(PARTIDAS!$F4386," (",PARTIDAS!$G4386,")"))</f>
        <v>Acrílicos o modacrílicos (los demás)</v>
      </c>
      <c r="I4386" s="16" t="s">
        <v>9427</v>
      </c>
    </row>
    <row r="4387" spans="1:9" x14ac:dyDescent="0.25">
      <c r="A4387" s="16" t="s">
        <v>5330</v>
      </c>
      <c r="B4387" s="16" t="str">
        <f>TEXT(PARTIDA[[#This Row],[PARTIDA]],"0000000000")</f>
        <v>5501400000</v>
      </c>
      <c r="C4387" s="16" t="s">
        <v>815</v>
      </c>
      <c r="D4387" s="16" t="s">
        <v>835</v>
      </c>
      <c r="E4387" s="16" t="s">
        <v>842</v>
      </c>
      <c r="F4387" s="27" t="s">
        <v>13069</v>
      </c>
      <c r="G4387" s="27"/>
      <c r="H4387" s="16" t="str">
        <f>IF(ISBLANK(PARTIDAS!$G4387),PARTIDAS!$F4387,CONCATENATE(PARTIDAS!$F4387," (",PARTIDAS!$G4387,")"))</f>
        <v>Cables de filamentos sintéticos, de polipropileno</v>
      </c>
      <c r="I4387" s="16" t="s">
        <v>9427</v>
      </c>
    </row>
    <row r="4388" spans="1:9" x14ac:dyDescent="0.25">
      <c r="A4388" s="16" t="s">
        <v>5331</v>
      </c>
      <c r="B4388" s="16" t="str">
        <f>TEXT(PARTIDA[[#This Row],[PARTIDA]],"0000000000")</f>
        <v>5501900000</v>
      </c>
      <c r="C4388" s="16" t="s">
        <v>815</v>
      </c>
      <c r="D4388" s="16" t="s">
        <v>835</v>
      </c>
      <c r="E4388" s="16" t="s">
        <v>842</v>
      </c>
      <c r="F4388" s="27" t="s">
        <v>13070</v>
      </c>
      <c r="G4388" s="27"/>
      <c r="H4388" s="16" t="str">
        <f>IF(ISBLANK(PARTIDAS!$G4388),PARTIDAS!$F4388,CONCATENATE(PARTIDAS!$F4388," (",PARTIDAS!$G4388,")"))</f>
        <v>Cables de filamentos sintéticos (los demás)</v>
      </c>
      <c r="I4388" s="16" t="s">
        <v>9427</v>
      </c>
    </row>
    <row r="4389" spans="1:9" x14ac:dyDescent="0.25">
      <c r="A4389" s="16" t="s">
        <v>5332</v>
      </c>
      <c r="B4389" s="16" t="str">
        <f>TEXT(PARTIDA[[#This Row],[PARTIDA]],"0000000000")</f>
        <v>5502100000</v>
      </c>
      <c r="C4389" s="16" t="s">
        <v>815</v>
      </c>
      <c r="D4389" s="16" t="s">
        <v>835</v>
      </c>
      <c r="E4389" s="16" t="s">
        <v>842</v>
      </c>
      <c r="F4389" s="27" t="s">
        <v>13071</v>
      </c>
      <c r="G4389" s="27"/>
      <c r="H4389" s="16" t="str">
        <f>IF(ISBLANK(PARTIDAS!$G4389),PARTIDAS!$F4389,CONCATENATE(PARTIDAS!$F4389," (",PARTIDAS!$G4389,")"))</f>
        <v>Cables de filamentos artificiales, de acetato de celulosa</v>
      </c>
      <c r="I4389" s="16" t="s">
        <v>9427</v>
      </c>
    </row>
    <row r="4390" spans="1:9" x14ac:dyDescent="0.25">
      <c r="A4390" s="16" t="s">
        <v>5333</v>
      </c>
      <c r="B4390" s="16" t="str">
        <f>TEXT(PARTIDA[[#This Row],[PARTIDA]],"0000000000")</f>
        <v>5502901000</v>
      </c>
      <c r="C4390" s="16" t="s">
        <v>815</v>
      </c>
      <c r="D4390" s="16" t="s">
        <v>835</v>
      </c>
      <c r="E4390" s="16" t="s">
        <v>842</v>
      </c>
      <c r="F4390" s="27" t="s">
        <v>13072</v>
      </c>
      <c r="G4390" s="27"/>
      <c r="H4390" s="16" t="str">
        <f>IF(ISBLANK(PARTIDAS!$G4390),PARTIDAS!$F4390,CONCATENATE(PARTIDAS!$F4390," (",PARTIDAS!$G4390,")"))</f>
        <v>Cables de filamentos artificiales, de rayón viscosa</v>
      </c>
      <c r="I4390" s="16" t="s">
        <v>9427</v>
      </c>
    </row>
    <row r="4391" spans="1:9" x14ac:dyDescent="0.25">
      <c r="A4391" s="16" t="s">
        <v>5334</v>
      </c>
      <c r="B4391" s="16" t="str">
        <f>TEXT(PARTIDA[[#This Row],[PARTIDA]],"0000000000")</f>
        <v>5502909000</v>
      </c>
      <c r="C4391" s="16" t="s">
        <v>815</v>
      </c>
      <c r="D4391" s="16" t="s">
        <v>835</v>
      </c>
      <c r="E4391" s="16" t="s">
        <v>842</v>
      </c>
      <c r="F4391" s="27" t="s">
        <v>13073</v>
      </c>
      <c r="G4391" s="27"/>
      <c r="H4391" s="16" t="str">
        <f>IF(ISBLANK(PARTIDAS!$G4391),PARTIDAS!$F4391,CONCATENATE(PARTIDAS!$F4391," (",PARTIDAS!$G4391,")"))</f>
        <v>Cables de filamentos artificiales (los demás)</v>
      </c>
      <c r="I4391" s="16" t="s">
        <v>9427</v>
      </c>
    </row>
    <row r="4392" spans="1:9" x14ac:dyDescent="0.25">
      <c r="A4392" s="16" t="s">
        <v>5335</v>
      </c>
      <c r="B4392" s="16" t="str">
        <f>TEXT(PARTIDA[[#This Row],[PARTIDA]],"0000000000")</f>
        <v>5503110000</v>
      </c>
      <c r="C4392" s="16" t="s">
        <v>815</v>
      </c>
      <c r="D4392" s="16" t="s">
        <v>835</v>
      </c>
      <c r="E4392" s="16" t="s">
        <v>842</v>
      </c>
      <c r="F4392" s="27" t="s">
        <v>13074</v>
      </c>
      <c r="G4392" s="27"/>
      <c r="H4392" s="16" t="str">
        <f>IF(ISBLANK(PARTIDAS!$G4392),PARTIDAS!$F4392,CONCATENATE(PARTIDAS!$F4392," (",PARTIDAS!$G4392,")"))</f>
        <v>Fibras sintéticas discontinuas, sin cardar, peinar ni…, de nailon o demás poliamidas, de aramidas</v>
      </c>
      <c r="I4392" s="16" t="s">
        <v>9427</v>
      </c>
    </row>
    <row r="4393" spans="1:9" x14ac:dyDescent="0.25">
      <c r="A4393" s="16" t="s">
        <v>5336</v>
      </c>
      <c r="B4393" s="16" t="str">
        <f>TEXT(PARTIDA[[#This Row],[PARTIDA]],"0000000000")</f>
        <v>5503190000</v>
      </c>
      <c r="C4393" s="16" t="s">
        <v>815</v>
      </c>
      <c r="D4393" s="16" t="s">
        <v>835</v>
      </c>
      <c r="E4393" s="16" t="s">
        <v>842</v>
      </c>
      <c r="F4393" s="27" t="s">
        <v>13075</v>
      </c>
      <c r="G4393" s="27"/>
      <c r="H4393" s="16" t="str">
        <f>IF(ISBLANK(PARTIDAS!$G4393),PARTIDAS!$F4393,CONCATENATE(PARTIDAS!$F4393," (",PARTIDAS!$G4393,")"))</f>
        <v>Fibras sintéticas discontinuas, sin cardar, peinar ni…, de nailon o demás poliamidas (los demás)</v>
      </c>
      <c r="I4393" s="16" t="s">
        <v>9427</v>
      </c>
    </row>
    <row r="4394" spans="1:9" x14ac:dyDescent="0.25">
      <c r="A4394" s="16" t="s">
        <v>5337</v>
      </c>
      <c r="B4394" s="16" t="str">
        <f>TEXT(PARTIDA[[#This Row],[PARTIDA]],"0000000000")</f>
        <v>5503200000</v>
      </c>
      <c r="C4394" s="16" t="s">
        <v>815</v>
      </c>
      <c r="D4394" s="16" t="s">
        <v>835</v>
      </c>
      <c r="E4394" s="16" t="s">
        <v>842</v>
      </c>
      <c r="F4394" s="27" t="s">
        <v>13076</v>
      </c>
      <c r="G4394" s="27"/>
      <c r="H4394" s="16" t="str">
        <f>IF(ISBLANK(PARTIDAS!$G4394),PARTIDAS!$F4394,CONCATENATE(PARTIDAS!$F4394," (",PARTIDAS!$G4394,")"))</f>
        <v>Fibras sintéticas discontinuas, sin cardar, peinar ni transformar de…, de poliésteres</v>
      </c>
      <c r="I4394" s="16" t="s">
        <v>9427</v>
      </c>
    </row>
    <row r="4395" spans="1:9" x14ac:dyDescent="0.25">
      <c r="A4395" s="16" t="s">
        <v>5338</v>
      </c>
      <c r="B4395" s="16" t="str">
        <f>TEXT(PARTIDA[[#This Row],[PARTIDA]],"0000000000")</f>
        <v>5503301000</v>
      </c>
      <c r="C4395" s="16" t="s">
        <v>815</v>
      </c>
      <c r="D4395" s="16" t="s">
        <v>835</v>
      </c>
      <c r="E4395" s="16" t="s">
        <v>842</v>
      </c>
      <c r="F4395" s="27" t="s">
        <v>13067</v>
      </c>
      <c r="G4395" s="27"/>
      <c r="H4395" s="16" t="str">
        <f>IF(ISBLANK(PARTIDAS!$G4395),PARTIDAS!$F4395,CONCATENATE(PARTIDAS!$F4395," (",PARTIDAS!$G4395,")"))</f>
        <v>Obtenidos por extrusión húmeda</v>
      </c>
      <c r="I4395" s="16" t="s">
        <v>9427</v>
      </c>
    </row>
    <row r="4396" spans="1:9" x14ac:dyDescent="0.25">
      <c r="A4396" s="16" t="s">
        <v>5339</v>
      </c>
      <c r="B4396" s="16" t="str">
        <f>TEXT(PARTIDA[[#This Row],[PARTIDA]],"0000000000")</f>
        <v>5503309000</v>
      </c>
      <c r="C4396" s="16" t="s">
        <v>815</v>
      </c>
      <c r="D4396" s="16" t="s">
        <v>835</v>
      </c>
      <c r="E4396" s="16" t="s">
        <v>842</v>
      </c>
      <c r="F4396" s="27" t="s">
        <v>13077</v>
      </c>
      <c r="G4396" s="27"/>
      <c r="H4396" s="16" t="str">
        <f>IF(ISBLANK(PARTIDAS!$G4396),PARTIDAS!$F4396,CONCATENATE(PARTIDAS!$F4396," (",PARTIDAS!$G4396,")"))</f>
        <v>Acrílicas o modacrílicas (los demás)</v>
      </c>
      <c r="I4396" s="16" t="s">
        <v>9427</v>
      </c>
    </row>
    <row r="4397" spans="1:9" x14ac:dyDescent="0.25">
      <c r="A4397" s="16" t="s">
        <v>5340</v>
      </c>
      <c r="B4397" s="16" t="str">
        <f>TEXT(PARTIDA[[#This Row],[PARTIDA]],"0000000000")</f>
        <v>5503400000</v>
      </c>
      <c r="C4397" s="16" t="s">
        <v>815</v>
      </c>
      <c r="D4397" s="16" t="s">
        <v>835</v>
      </c>
      <c r="E4397" s="16" t="s">
        <v>842</v>
      </c>
      <c r="F4397" s="27" t="s">
        <v>13078</v>
      </c>
      <c r="G4397" s="27"/>
      <c r="H4397" s="16" t="str">
        <f>IF(ISBLANK(PARTIDAS!$G4397),PARTIDAS!$F4397,CONCATENATE(PARTIDAS!$F4397," (",PARTIDAS!$G4397,")"))</f>
        <v>Fibras sintéticas discontinuas, sin cardar, peinar ni transformar de…, de polipropileno</v>
      </c>
      <c r="I4397" s="16" t="s">
        <v>9427</v>
      </c>
    </row>
    <row r="4398" spans="1:9" x14ac:dyDescent="0.25">
      <c r="A4398" s="16" t="s">
        <v>5341</v>
      </c>
      <c r="B4398" s="16" t="str">
        <f>TEXT(PARTIDA[[#This Row],[PARTIDA]],"0000000000")</f>
        <v>5503901000</v>
      </c>
      <c r="C4398" s="16" t="s">
        <v>815</v>
      </c>
      <c r="D4398" s="16" t="s">
        <v>835</v>
      </c>
      <c r="E4398" s="16" t="s">
        <v>842</v>
      </c>
      <c r="F4398" s="27" t="s">
        <v>13079</v>
      </c>
      <c r="G4398" s="27"/>
      <c r="H4398" s="16" t="str">
        <f>IF(ISBLANK(PARTIDAS!$G4398),PARTIDAS!$F4398,CONCATENATE(PARTIDAS!$F4398," (",PARTIDAS!$G4398,")"))</f>
        <v>Fibras sintéticas discontinuas, sin cardar, peinar ni transformar de…, vinílicas</v>
      </c>
      <c r="I4398" s="16" t="s">
        <v>9427</v>
      </c>
    </row>
    <row r="4399" spans="1:9" x14ac:dyDescent="0.25">
      <c r="A4399" s="16" t="s">
        <v>5342</v>
      </c>
      <c r="B4399" s="16" t="str">
        <f>TEXT(PARTIDA[[#This Row],[PARTIDA]],"0000000000")</f>
        <v>5503909000</v>
      </c>
      <c r="C4399" s="16" t="s">
        <v>815</v>
      </c>
      <c r="D4399" s="16" t="s">
        <v>835</v>
      </c>
      <c r="E4399" s="16" t="s">
        <v>842</v>
      </c>
      <c r="F4399" s="27" t="s">
        <v>13080</v>
      </c>
      <c r="G4399" s="27"/>
      <c r="H4399" s="16" t="str">
        <f>IF(ISBLANK(PARTIDAS!$G4399),PARTIDAS!$F4399,CONCATENATE(PARTIDAS!$F4399," (",PARTIDAS!$G4399,")"))</f>
        <v>Fibras sintéticas discontinuas, sin cardar, peinar ni transformar de… (los demás)</v>
      </c>
      <c r="I4399" s="16" t="s">
        <v>9427</v>
      </c>
    </row>
    <row r="4400" spans="1:9" x14ac:dyDescent="0.25">
      <c r="A4400" s="16" t="s">
        <v>5343</v>
      </c>
      <c r="B4400" s="16" t="str">
        <f>TEXT(PARTIDA[[#This Row],[PARTIDA]],"0000000000")</f>
        <v>5504100000</v>
      </c>
      <c r="C4400" s="16" t="s">
        <v>815</v>
      </c>
      <c r="D4400" s="16" t="s">
        <v>835</v>
      </c>
      <c r="E4400" s="16" t="s">
        <v>842</v>
      </c>
      <c r="F4400" s="27" t="s">
        <v>13081</v>
      </c>
      <c r="G4400" s="27"/>
      <c r="H4400" s="16" t="str">
        <f>IF(ISBLANK(PARTIDAS!$G4400),PARTIDAS!$F4400,CONCATENATE(PARTIDAS!$F4400," (",PARTIDAS!$G4400,")"))</f>
        <v>Fibras artificiales discontinuas, sin cardar, peinar ni transformar…, de rayón viscosa</v>
      </c>
      <c r="I4400" s="16" t="s">
        <v>9427</v>
      </c>
    </row>
    <row r="4401" spans="1:9" x14ac:dyDescent="0.25">
      <c r="A4401" s="16" t="s">
        <v>5344</v>
      </c>
      <c r="B4401" s="16" t="str">
        <f>TEXT(PARTIDA[[#This Row],[PARTIDA]],"0000000000")</f>
        <v>5504900000</v>
      </c>
      <c r="C4401" s="16" t="s">
        <v>815</v>
      </c>
      <c r="D4401" s="16" t="s">
        <v>835</v>
      </c>
      <c r="E4401" s="16" t="s">
        <v>842</v>
      </c>
      <c r="F4401" s="27" t="s">
        <v>13082</v>
      </c>
      <c r="G4401" s="27"/>
      <c r="H4401" s="16" t="str">
        <f>IF(ISBLANK(PARTIDAS!$G4401),PARTIDAS!$F4401,CONCATENATE(PARTIDAS!$F4401," (",PARTIDAS!$G4401,")"))</f>
        <v>Fibras artificiales discontinuas, sin cardar, peinar ni transformar… (los demás)</v>
      </c>
      <c r="I4401" s="16" t="s">
        <v>9427</v>
      </c>
    </row>
    <row r="4402" spans="1:9" x14ac:dyDescent="0.25">
      <c r="A4402" s="16" t="s">
        <v>5345</v>
      </c>
      <c r="B4402" s="16" t="str">
        <f>TEXT(PARTIDA[[#This Row],[PARTIDA]],"0000000000")</f>
        <v>5505100000</v>
      </c>
      <c r="C4402" s="16" t="s">
        <v>815</v>
      </c>
      <c r="D4402" s="16" t="s">
        <v>835</v>
      </c>
      <c r="E4402" s="16" t="s">
        <v>842</v>
      </c>
      <c r="F4402" s="27" t="s">
        <v>13083</v>
      </c>
      <c r="G4402" s="27"/>
      <c r="H4402" s="16" t="str">
        <f>IF(ISBLANK(PARTIDAS!$G4402),PARTIDAS!$F4402,CONCATENATE(PARTIDAS!$F4402," (",PARTIDAS!$G4402,")"))</f>
        <v>Desperdicios de fibras sintéticas o artificiales (incluidas las…, de fibras sintéticas</v>
      </c>
      <c r="I4402" s="16" t="s">
        <v>9427</v>
      </c>
    </row>
    <row r="4403" spans="1:9" x14ac:dyDescent="0.25">
      <c r="A4403" s="16" t="s">
        <v>5346</v>
      </c>
      <c r="B4403" s="16" t="str">
        <f>TEXT(PARTIDA[[#This Row],[PARTIDA]],"0000000000")</f>
        <v>5505200000</v>
      </c>
      <c r="C4403" s="16" t="s">
        <v>815</v>
      </c>
      <c r="D4403" s="16" t="s">
        <v>835</v>
      </c>
      <c r="E4403" s="16" t="s">
        <v>842</v>
      </c>
      <c r="F4403" s="27" t="s">
        <v>13084</v>
      </c>
      <c r="G4403" s="27"/>
      <c r="H4403" s="16" t="str">
        <f>IF(ISBLANK(PARTIDAS!$G4403),PARTIDAS!$F4403,CONCATENATE(PARTIDAS!$F4403," (",PARTIDAS!$G4403,")"))</f>
        <v>Desperdicios de fibras sintéticas o artificiales (incluidas las…, de fibras artificiales</v>
      </c>
      <c r="I4403" s="16" t="s">
        <v>9427</v>
      </c>
    </row>
    <row r="4404" spans="1:9" x14ac:dyDescent="0.25">
      <c r="A4404" s="16" t="s">
        <v>5347</v>
      </c>
      <c r="B4404" s="16" t="str">
        <f>TEXT(PARTIDA[[#This Row],[PARTIDA]],"0000000000")</f>
        <v>5506100000</v>
      </c>
      <c r="C4404" s="16" t="s">
        <v>815</v>
      </c>
      <c r="D4404" s="16" t="s">
        <v>835</v>
      </c>
      <c r="E4404" s="16" t="s">
        <v>842</v>
      </c>
      <c r="F4404" s="27" t="s">
        <v>13085</v>
      </c>
      <c r="G4404" s="27"/>
      <c r="H4404" s="16" t="str">
        <f>IF(ISBLANK(PARTIDAS!$G4404),PARTIDAS!$F4404,CONCATENATE(PARTIDAS!$F4404," (",PARTIDAS!$G4404,")"))</f>
        <v>Fibras sintéticas discontinuas, cardadas, peinadas o transformadas de…, de nailon o demás poliamidas</v>
      </c>
      <c r="I4404" s="16" t="s">
        <v>9427</v>
      </c>
    </row>
    <row r="4405" spans="1:9" x14ac:dyDescent="0.25">
      <c r="A4405" s="16" t="s">
        <v>5348</v>
      </c>
      <c r="B4405" s="16" t="str">
        <f>TEXT(PARTIDA[[#This Row],[PARTIDA]],"0000000000")</f>
        <v>5506200000</v>
      </c>
      <c r="C4405" s="16" t="s">
        <v>815</v>
      </c>
      <c r="D4405" s="16" t="s">
        <v>835</v>
      </c>
      <c r="E4405" s="16" t="s">
        <v>842</v>
      </c>
      <c r="F4405" s="27" t="s">
        <v>13086</v>
      </c>
      <c r="G4405" s="27"/>
      <c r="H4405" s="16" t="str">
        <f>IF(ISBLANK(PARTIDAS!$G4405),PARTIDAS!$F4405,CONCATENATE(PARTIDAS!$F4405," (",PARTIDAS!$G4405,")"))</f>
        <v>Fibras sintéticas discontinuas, cardadas, peinadas o transformadas de…, de poliésteres</v>
      </c>
      <c r="I4405" s="16" t="s">
        <v>9427</v>
      </c>
    </row>
    <row r="4406" spans="1:9" x14ac:dyDescent="0.25">
      <c r="A4406" s="16" t="s">
        <v>5349</v>
      </c>
      <c r="B4406" s="16" t="str">
        <f>TEXT(PARTIDA[[#This Row],[PARTIDA]],"0000000000")</f>
        <v>5506300000</v>
      </c>
      <c r="C4406" s="16" t="s">
        <v>815</v>
      </c>
      <c r="D4406" s="16" t="s">
        <v>835</v>
      </c>
      <c r="E4406" s="16" t="s">
        <v>842</v>
      </c>
      <c r="F4406" s="27" t="s">
        <v>13087</v>
      </c>
      <c r="G4406" s="27"/>
      <c r="H4406" s="16" t="str">
        <f>IF(ISBLANK(PARTIDAS!$G4406),PARTIDAS!$F4406,CONCATENATE(PARTIDAS!$F4406," (",PARTIDAS!$G4406,")"))</f>
        <v>Acrílicas o modacrílicas</v>
      </c>
      <c r="I4406" s="16" t="s">
        <v>9427</v>
      </c>
    </row>
    <row r="4407" spans="1:9" x14ac:dyDescent="0.25">
      <c r="A4407" s="16" t="s">
        <v>5350</v>
      </c>
      <c r="B4407" s="16" t="str">
        <f>TEXT(PARTIDA[[#This Row],[PARTIDA]],"0000000000")</f>
        <v>5506400000</v>
      </c>
      <c r="C4407" s="16" t="s">
        <v>815</v>
      </c>
      <c r="D4407" s="16" t="s">
        <v>835</v>
      </c>
      <c r="E4407" s="16" t="s">
        <v>842</v>
      </c>
      <c r="F4407" s="27" t="s">
        <v>13088</v>
      </c>
      <c r="G4407" s="27"/>
      <c r="H4407" s="16" t="str">
        <f>IF(ISBLANK(PARTIDAS!$G4407),PARTIDAS!$F4407,CONCATENATE(PARTIDAS!$F4407," (",PARTIDAS!$G4407,")"))</f>
        <v>Fibras sintéticas discontinuas, cardadas, peinadas o transformadas de…, de polipropileno</v>
      </c>
      <c r="I4407" s="16" t="s">
        <v>9427</v>
      </c>
    </row>
    <row r="4408" spans="1:9" x14ac:dyDescent="0.25">
      <c r="A4408" s="16" t="s">
        <v>5351</v>
      </c>
      <c r="B4408" s="16" t="str">
        <f>TEXT(PARTIDA[[#This Row],[PARTIDA]],"0000000000")</f>
        <v>5506900000</v>
      </c>
      <c r="C4408" s="16" t="s">
        <v>815</v>
      </c>
      <c r="D4408" s="16" t="s">
        <v>835</v>
      </c>
      <c r="E4408" s="16" t="s">
        <v>842</v>
      </c>
      <c r="F4408" s="27" t="s">
        <v>13089</v>
      </c>
      <c r="G4408" s="27"/>
      <c r="H4408" s="16" t="str">
        <f>IF(ISBLANK(PARTIDAS!$G4408),PARTIDAS!$F4408,CONCATENATE(PARTIDAS!$F4408," (",PARTIDAS!$G4408,")"))</f>
        <v>Fibras sintéticas discontinuas, cardadas, peinadas o transformadas de… (los demás)</v>
      </c>
      <c r="I4408" s="16" t="s">
        <v>9427</v>
      </c>
    </row>
    <row r="4409" spans="1:9" x14ac:dyDescent="0.25">
      <c r="A4409" s="16" t="s">
        <v>5352</v>
      </c>
      <c r="B4409" s="16" t="str">
        <f>TEXT(PARTIDA[[#This Row],[PARTIDA]],"0000000000")</f>
        <v>5507000000</v>
      </c>
      <c r="C4409" s="16" t="s">
        <v>815</v>
      </c>
      <c r="D4409" s="16" t="s">
        <v>835</v>
      </c>
      <c r="E4409" s="16" t="s">
        <v>842</v>
      </c>
      <c r="F4409" s="27" t="s">
        <v>5140</v>
      </c>
      <c r="G4409" s="27"/>
      <c r="H4409" s="16" t="str">
        <f>IF(ISBLANK(PARTIDAS!$G4409),PARTIDAS!$F4409,CONCATENATE(PARTIDAS!$F4409," (",PARTIDAS!$G4409,")"))</f>
        <v>Productos textiles</v>
      </c>
      <c r="I4409" s="16" t="s">
        <v>9427</v>
      </c>
    </row>
    <row r="4410" spans="1:9" x14ac:dyDescent="0.25">
      <c r="A4410" s="16" t="s">
        <v>5353</v>
      </c>
      <c r="B4410" s="16" t="str">
        <f>TEXT(PARTIDA[[#This Row],[PARTIDA]],"0000000000")</f>
        <v>5508101000</v>
      </c>
      <c r="C4410" s="16" t="s">
        <v>815</v>
      </c>
      <c r="D4410" s="16" t="s">
        <v>835</v>
      </c>
      <c r="E4410" s="16" t="s">
        <v>842</v>
      </c>
      <c r="F4410" s="27" t="s">
        <v>13090</v>
      </c>
      <c r="G4410" s="27"/>
      <c r="H4410" s="16" t="str">
        <f>IF(ISBLANK(PARTIDAS!$G4410),PARTIDAS!$F4410,CONCATENATE(PARTIDAS!$F4410," (",PARTIDAS!$G4410,")"))</f>
        <v>Hilo de coser de fibras sintéticas o artificiales…, de fibras sintéticas discontinuas, acondicionados para la venta al por menor</v>
      </c>
      <c r="I4410" s="16" t="s">
        <v>9427</v>
      </c>
    </row>
    <row r="4411" spans="1:9" x14ac:dyDescent="0.25">
      <c r="A4411" s="16" t="s">
        <v>5354</v>
      </c>
      <c r="B4411" s="16" t="str">
        <f>TEXT(PARTIDA[[#This Row],[PARTIDA]],"0000000000")</f>
        <v>5508109000</v>
      </c>
      <c r="C4411" s="16" t="s">
        <v>815</v>
      </c>
      <c r="D4411" s="16" t="s">
        <v>835</v>
      </c>
      <c r="E4411" s="16" t="s">
        <v>842</v>
      </c>
      <c r="F4411" s="27" t="s">
        <v>13091</v>
      </c>
      <c r="G4411" s="27"/>
      <c r="H4411" s="16" t="str">
        <f>IF(ISBLANK(PARTIDAS!$G4411),PARTIDAS!$F4411,CONCATENATE(PARTIDAS!$F4411," (",PARTIDAS!$G4411,")"))</f>
        <v>Hilo de coser de fibras sintéticas o artificiales…, de fibras sintéticas discontinuas (los demás)</v>
      </c>
      <c r="I4411" s="16" t="s">
        <v>9427</v>
      </c>
    </row>
    <row r="4412" spans="1:9" x14ac:dyDescent="0.25">
      <c r="A4412" s="16" t="s">
        <v>5355</v>
      </c>
      <c r="B4412" s="16" t="str">
        <f>TEXT(PARTIDA[[#This Row],[PARTIDA]],"0000000000")</f>
        <v>5508201000</v>
      </c>
      <c r="C4412" s="16" t="s">
        <v>815</v>
      </c>
      <c r="D4412" s="16" t="s">
        <v>835</v>
      </c>
      <c r="E4412" s="16" t="s">
        <v>842</v>
      </c>
      <c r="F4412" s="27" t="s">
        <v>13092</v>
      </c>
      <c r="G4412" s="27"/>
      <c r="H4412" s="16" t="str">
        <f>IF(ISBLANK(PARTIDAS!$G4412),PARTIDAS!$F4412,CONCATENATE(PARTIDAS!$F4412," (",PARTIDAS!$G4412,")"))</f>
        <v>Hilo de coser de fibras sintéticas o artificiales…, de fibras artificiales discontinuas, acondicionados para la venta al por menor</v>
      </c>
      <c r="I4412" s="16" t="s">
        <v>9427</v>
      </c>
    </row>
    <row r="4413" spans="1:9" x14ac:dyDescent="0.25">
      <c r="A4413" s="16" t="s">
        <v>5356</v>
      </c>
      <c r="B4413" s="16" t="str">
        <f>TEXT(PARTIDA[[#This Row],[PARTIDA]],"0000000000")</f>
        <v>5508209000</v>
      </c>
      <c r="C4413" s="16" t="s">
        <v>815</v>
      </c>
      <c r="D4413" s="16" t="s">
        <v>835</v>
      </c>
      <c r="E4413" s="16" t="s">
        <v>842</v>
      </c>
      <c r="F4413" s="27" t="s">
        <v>13093</v>
      </c>
      <c r="G4413" s="27"/>
      <c r="H4413" s="16" t="str">
        <f>IF(ISBLANK(PARTIDAS!$G4413),PARTIDAS!$F4413,CONCATENATE(PARTIDAS!$F4413," (",PARTIDAS!$G4413,")"))</f>
        <v>Hilo de coser de fibras sintéticas o artificiales…, de fibras artificiales discontinuas (los demás)</v>
      </c>
      <c r="I4413" s="16" t="s">
        <v>9427</v>
      </c>
    </row>
    <row r="4414" spans="1:9" x14ac:dyDescent="0.25">
      <c r="A4414" s="16" t="s">
        <v>5357</v>
      </c>
      <c r="B4414" s="16" t="str">
        <f>TEXT(PARTIDA[[#This Row],[PARTIDA]],"0000000000")</f>
        <v>5509110000</v>
      </c>
      <c r="C4414" s="16" t="s">
        <v>815</v>
      </c>
      <c r="D4414" s="16" t="s">
        <v>835</v>
      </c>
      <c r="E4414" s="16" t="s">
        <v>842</v>
      </c>
      <c r="F4414" s="27" t="s">
        <v>13094</v>
      </c>
      <c r="G4414" s="27"/>
      <c r="H4414" s="16" t="str">
        <f>IF(ISBLANK(PARTIDAS!$G4414),PARTIDAS!$F4414,CONCATENATE(PARTIDAS!$F4414," (",PARTIDAS!$G4414,")"))</f>
        <v>Hilados de fibras sintéticas discontinuas, con un contenido de fibras discontinuas de nailon o demás poliamidas…, sencillos</v>
      </c>
      <c r="I4414" s="16" t="s">
        <v>9427</v>
      </c>
    </row>
    <row r="4415" spans="1:9" x14ac:dyDescent="0.25">
      <c r="A4415" s="16" t="s">
        <v>5358</v>
      </c>
      <c r="B4415" s="16" t="str">
        <f>TEXT(PARTIDA[[#This Row],[PARTIDA]],"0000000000")</f>
        <v>5509120000</v>
      </c>
      <c r="C4415" s="16" t="s">
        <v>815</v>
      </c>
      <c r="D4415" s="16" t="s">
        <v>835</v>
      </c>
      <c r="E4415" s="16" t="s">
        <v>842</v>
      </c>
      <c r="F4415" s="27" t="s">
        <v>12996</v>
      </c>
      <c r="G4415" s="27"/>
      <c r="H4415" s="16" t="str">
        <f>IF(ISBLANK(PARTIDAS!$G4415),PARTIDAS!$F4415,CONCATENATE(PARTIDAS!$F4415," (",PARTIDAS!$G4415,")"))</f>
        <v>Retorcidos o cableados</v>
      </c>
      <c r="I4415" s="16" t="s">
        <v>9427</v>
      </c>
    </row>
    <row r="4416" spans="1:9" x14ac:dyDescent="0.25">
      <c r="A4416" s="16" t="s">
        <v>5359</v>
      </c>
      <c r="B4416" s="16" t="str">
        <f>TEXT(PARTIDA[[#This Row],[PARTIDA]],"0000000000")</f>
        <v>5509210000</v>
      </c>
      <c r="C4416" s="16" t="s">
        <v>815</v>
      </c>
      <c r="D4416" s="16" t="s">
        <v>835</v>
      </c>
      <c r="E4416" s="16" t="s">
        <v>842</v>
      </c>
      <c r="F4416" s="27" t="s">
        <v>13095</v>
      </c>
      <c r="G4416" s="27"/>
      <c r="H4416" s="16" t="str">
        <f>IF(ISBLANK(PARTIDAS!$G4416),PARTIDAS!$F4416,CONCATENATE(PARTIDAS!$F4416," (",PARTIDAS!$G4416,")"))</f>
        <v>Hilados de fibras sintéticas discontinuas, con un contenido de fibras discontinuas de poliéster superior o igual…, sencillos</v>
      </c>
      <c r="I4416" s="16" t="s">
        <v>9427</v>
      </c>
    </row>
    <row r="4417" spans="1:9" x14ac:dyDescent="0.25">
      <c r="A4417" s="16" t="s">
        <v>5360</v>
      </c>
      <c r="B4417" s="16" t="str">
        <f>TEXT(PARTIDA[[#This Row],[PARTIDA]],"0000000000")</f>
        <v>5509220000</v>
      </c>
      <c r="C4417" s="16" t="s">
        <v>815</v>
      </c>
      <c r="D4417" s="16" t="s">
        <v>835</v>
      </c>
      <c r="E4417" s="16" t="s">
        <v>842</v>
      </c>
      <c r="F4417" s="27" t="s">
        <v>12996</v>
      </c>
      <c r="G4417" s="27"/>
      <c r="H4417" s="16" t="str">
        <f>IF(ISBLANK(PARTIDAS!$G4417),PARTIDAS!$F4417,CONCATENATE(PARTIDAS!$F4417," (",PARTIDAS!$G4417,")"))</f>
        <v>Retorcidos o cableados</v>
      </c>
      <c r="I4417" s="16" t="s">
        <v>9427</v>
      </c>
    </row>
    <row r="4418" spans="1:9" x14ac:dyDescent="0.25">
      <c r="A4418" s="16" t="s">
        <v>5361</v>
      </c>
      <c r="B4418" s="16" t="str">
        <f>TEXT(PARTIDA[[#This Row],[PARTIDA]],"0000000000")</f>
        <v>5509310000</v>
      </c>
      <c r="C4418" s="16" t="s">
        <v>815</v>
      </c>
      <c r="D4418" s="16" t="s">
        <v>835</v>
      </c>
      <c r="E4418" s="16" t="s">
        <v>842</v>
      </c>
      <c r="F4418" s="27" t="s">
        <v>13096</v>
      </c>
      <c r="G4418" s="27"/>
      <c r="H4418" s="16" t="str">
        <f>IF(ISBLANK(PARTIDAS!$G4418),PARTIDAS!$F4418,CONCATENATE(PARTIDAS!$F4418," (",PARTIDAS!$G4418,")"))</f>
        <v>Hilados de fibras sintéticas discontinuas, con un contenido de fibras discontinuas acrílicas o modacrílicas…, sencillos</v>
      </c>
      <c r="I4418" s="16" t="s">
        <v>9427</v>
      </c>
    </row>
    <row r="4419" spans="1:9" x14ac:dyDescent="0.25">
      <c r="A4419" s="16" t="s">
        <v>5362</v>
      </c>
      <c r="B4419" s="16" t="str">
        <f>TEXT(PARTIDA[[#This Row],[PARTIDA]],"0000000000")</f>
        <v>5509320000</v>
      </c>
      <c r="C4419" s="16" t="s">
        <v>815</v>
      </c>
      <c r="D4419" s="16" t="s">
        <v>835</v>
      </c>
      <c r="E4419" s="16" t="s">
        <v>842</v>
      </c>
      <c r="F4419" s="27" t="s">
        <v>12996</v>
      </c>
      <c r="G4419" s="27"/>
      <c r="H4419" s="16" t="str">
        <f>IF(ISBLANK(PARTIDAS!$G4419),PARTIDAS!$F4419,CONCATENATE(PARTIDAS!$F4419," (",PARTIDAS!$G4419,")"))</f>
        <v>Retorcidos o cableados</v>
      </c>
      <c r="I4419" s="16" t="s">
        <v>9427</v>
      </c>
    </row>
    <row r="4420" spans="1:9" x14ac:dyDescent="0.25">
      <c r="A4420" s="16" t="s">
        <v>5363</v>
      </c>
      <c r="B4420" s="16" t="str">
        <f>TEXT(PARTIDA[[#This Row],[PARTIDA]],"0000000000")</f>
        <v>5509410000</v>
      </c>
      <c r="C4420" s="16" t="s">
        <v>815</v>
      </c>
      <c r="D4420" s="16" t="s">
        <v>835</v>
      </c>
      <c r="E4420" s="16" t="s">
        <v>842</v>
      </c>
      <c r="F4420" s="27" t="s">
        <v>13097</v>
      </c>
      <c r="G4420" s="27"/>
      <c r="H4420" s="16" t="str">
        <f>IF(ISBLANK(PARTIDAS!$G4420),PARTIDAS!$F4420,CONCATENATE(PARTIDAS!$F4420," (",PARTIDAS!$G4420,")"))</f>
        <v>Hilados de fibras sintéticas discontinuas, sencillos</v>
      </c>
      <c r="I4420" s="16" t="s">
        <v>9427</v>
      </c>
    </row>
    <row r="4421" spans="1:9" x14ac:dyDescent="0.25">
      <c r="A4421" s="16" t="s">
        <v>5364</v>
      </c>
      <c r="B4421" s="16" t="str">
        <f>TEXT(PARTIDA[[#This Row],[PARTIDA]],"0000000000")</f>
        <v>5509420000</v>
      </c>
      <c r="C4421" s="16" t="s">
        <v>815</v>
      </c>
      <c r="D4421" s="16" t="s">
        <v>835</v>
      </c>
      <c r="E4421" s="16" t="s">
        <v>842</v>
      </c>
      <c r="F4421" s="27" t="s">
        <v>12996</v>
      </c>
      <c r="G4421" s="27"/>
      <c r="H4421" s="16" t="str">
        <f>IF(ISBLANK(PARTIDAS!$G4421),PARTIDAS!$F4421,CONCATENATE(PARTIDAS!$F4421," (",PARTIDAS!$G4421,")"))</f>
        <v>Retorcidos o cableados</v>
      </c>
      <c r="I4421" s="16" t="s">
        <v>9427</v>
      </c>
    </row>
    <row r="4422" spans="1:9" x14ac:dyDescent="0.25">
      <c r="A4422" s="16" t="s">
        <v>5365</v>
      </c>
      <c r="B4422" s="16" t="str">
        <f>TEXT(PARTIDA[[#This Row],[PARTIDA]],"0000000000")</f>
        <v>5509510000</v>
      </c>
      <c r="C4422" s="16" t="s">
        <v>815</v>
      </c>
      <c r="D4422" s="16" t="s">
        <v>835</v>
      </c>
      <c r="E4422" s="16" t="s">
        <v>842</v>
      </c>
      <c r="F4422" s="27" t="s">
        <v>13098</v>
      </c>
      <c r="G4422" s="27"/>
      <c r="H4422" s="16" t="str">
        <f>IF(ISBLANK(PARTIDAS!$G4422),PARTIDAS!$F4422,CONCATENATE(PARTIDAS!$F4422," (",PARTIDAS!$G4422,")"))</f>
        <v>Hilados de fibras sintéticas discontinuas, mezclados exclusiva o principalmente con fibras artificiales discontinuas</v>
      </c>
      <c r="I4422" s="16" t="s">
        <v>9427</v>
      </c>
    </row>
    <row r="4423" spans="1:9" x14ac:dyDescent="0.25">
      <c r="A4423" s="16" t="s">
        <v>5366</v>
      </c>
      <c r="B4423" s="16" t="str">
        <f>TEXT(PARTIDA[[#This Row],[PARTIDA]],"0000000000")</f>
        <v>5509520000</v>
      </c>
      <c r="C4423" s="16" t="s">
        <v>815</v>
      </c>
      <c r="D4423" s="16" t="s">
        <v>835</v>
      </c>
      <c r="E4423" s="16" t="s">
        <v>842</v>
      </c>
      <c r="F4423" s="27" t="s">
        <v>13099</v>
      </c>
      <c r="G4423" s="27"/>
      <c r="H4423" s="16" t="str">
        <f>IF(ISBLANK(PARTIDAS!$G4423),PARTIDAS!$F4423,CONCATENATE(PARTIDAS!$F4423," (",PARTIDAS!$G4423,")"))</f>
        <v>Hilados de fibras sintéticas discontinuas, mezclados exclusiva o principalmente con lana o pelo fino</v>
      </c>
      <c r="I4423" s="16" t="s">
        <v>9427</v>
      </c>
    </row>
    <row r="4424" spans="1:9" x14ac:dyDescent="0.25">
      <c r="A4424" s="16" t="s">
        <v>5367</v>
      </c>
      <c r="B4424" s="16" t="str">
        <f>TEXT(PARTIDA[[#This Row],[PARTIDA]],"0000000000")</f>
        <v>5509530000</v>
      </c>
      <c r="C4424" s="16" t="s">
        <v>815</v>
      </c>
      <c r="D4424" s="16" t="s">
        <v>835</v>
      </c>
      <c r="E4424" s="16" t="s">
        <v>842</v>
      </c>
      <c r="F4424" s="27" t="s">
        <v>13100</v>
      </c>
      <c r="G4424" s="27"/>
      <c r="H4424" s="16" t="str">
        <f>IF(ISBLANK(PARTIDAS!$G4424),PARTIDAS!$F4424,CONCATENATE(PARTIDAS!$F4424," (",PARTIDAS!$G4424,")"))</f>
        <v>Hilados de fibras sintéticas discontinuas, mezclados exclusiva o principalmente con algodón</v>
      </c>
      <c r="I4424" s="16" t="s">
        <v>9427</v>
      </c>
    </row>
    <row r="4425" spans="1:9" x14ac:dyDescent="0.25">
      <c r="A4425" s="16" t="s">
        <v>5368</v>
      </c>
      <c r="B4425" s="16" t="str">
        <f>TEXT(PARTIDA[[#This Row],[PARTIDA]],"0000000000")</f>
        <v>5509590000</v>
      </c>
      <c r="C4425" s="16" t="s">
        <v>815</v>
      </c>
      <c r="D4425" s="16" t="s">
        <v>835</v>
      </c>
      <c r="E4425" s="16" t="s">
        <v>842</v>
      </c>
      <c r="F4425" s="27" t="s">
        <v>13101</v>
      </c>
      <c r="G4425" s="27"/>
      <c r="H4425" s="16" t="str">
        <f>IF(ISBLANK(PARTIDAS!$G4425),PARTIDAS!$F4425,CONCATENATE(PARTIDAS!$F4425," (",PARTIDAS!$G4425,")"))</f>
        <v>Hilados de fibras sintéticas discontinuas (los demás)</v>
      </c>
      <c r="I4425" s="16" t="s">
        <v>9427</v>
      </c>
    </row>
    <row r="4426" spans="1:9" x14ac:dyDescent="0.25">
      <c r="A4426" s="16" t="s">
        <v>5369</v>
      </c>
      <c r="B4426" s="16" t="str">
        <f>TEXT(PARTIDA[[#This Row],[PARTIDA]],"0000000000")</f>
        <v>5509610000</v>
      </c>
      <c r="C4426" s="16" t="s">
        <v>815</v>
      </c>
      <c r="D4426" s="16" t="s">
        <v>835</v>
      </c>
      <c r="E4426" s="16" t="s">
        <v>842</v>
      </c>
      <c r="F4426" s="27" t="s">
        <v>13099</v>
      </c>
      <c r="G4426" s="27"/>
      <c r="H4426" s="16" t="str">
        <f>IF(ISBLANK(PARTIDAS!$G4426),PARTIDAS!$F4426,CONCATENATE(PARTIDAS!$F4426," (",PARTIDAS!$G4426,")"))</f>
        <v>Hilados de fibras sintéticas discontinuas, mezclados exclusiva o principalmente con lana o pelo fino</v>
      </c>
      <c r="I4426" s="16" t="s">
        <v>9427</v>
      </c>
    </row>
    <row r="4427" spans="1:9" x14ac:dyDescent="0.25">
      <c r="A4427" s="16" t="s">
        <v>5370</v>
      </c>
      <c r="B4427" s="16" t="str">
        <f>TEXT(PARTIDA[[#This Row],[PARTIDA]],"0000000000")</f>
        <v>5509620000</v>
      </c>
      <c r="C4427" s="16" t="s">
        <v>815</v>
      </c>
      <c r="D4427" s="16" t="s">
        <v>835</v>
      </c>
      <c r="E4427" s="16" t="s">
        <v>842</v>
      </c>
      <c r="F4427" s="27" t="s">
        <v>13100</v>
      </c>
      <c r="G4427" s="27"/>
      <c r="H4427" s="16" t="str">
        <f>IF(ISBLANK(PARTIDAS!$G4427),PARTIDAS!$F4427,CONCATENATE(PARTIDAS!$F4427," (",PARTIDAS!$G4427,")"))</f>
        <v>Hilados de fibras sintéticas discontinuas, mezclados exclusiva o principalmente con algodón</v>
      </c>
      <c r="I4427" s="16" t="s">
        <v>9427</v>
      </c>
    </row>
    <row r="4428" spans="1:9" x14ac:dyDescent="0.25">
      <c r="A4428" s="16" t="s">
        <v>5371</v>
      </c>
      <c r="B4428" s="16" t="str">
        <f>TEXT(PARTIDA[[#This Row],[PARTIDA]],"0000000000")</f>
        <v>5509690000</v>
      </c>
      <c r="C4428" s="16" t="s">
        <v>815</v>
      </c>
      <c r="D4428" s="16" t="s">
        <v>835</v>
      </c>
      <c r="E4428" s="16" t="s">
        <v>842</v>
      </c>
      <c r="F4428" s="27" t="s">
        <v>13101</v>
      </c>
      <c r="G4428" s="27"/>
      <c r="H4428" s="16" t="str">
        <f>IF(ISBLANK(PARTIDAS!$G4428),PARTIDAS!$F4428,CONCATENATE(PARTIDAS!$F4428," (",PARTIDAS!$G4428,")"))</f>
        <v>Hilados de fibras sintéticas discontinuas (los demás)</v>
      </c>
      <c r="I4428" s="16" t="s">
        <v>9427</v>
      </c>
    </row>
    <row r="4429" spans="1:9" x14ac:dyDescent="0.25">
      <c r="A4429" s="16" t="s">
        <v>5372</v>
      </c>
      <c r="B4429" s="16" t="str">
        <f>TEXT(PARTIDA[[#This Row],[PARTIDA]],"0000000000")</f>
        <v>5509910000</v>
      </c>
      <c r="C4429" s="16" t="s">
        <v>815</v>
      </c>
      <c r="D4429" s="16" t="s">
        <v>835</v>
      </c>
      <c r="E4429" s="16" t="s">
        <v>842</v>
      </c>
      <c r="F4429" s="27" t="s">
        <v>13099</v>
      </c>
      <c r="G4429" s="27"/>
      <c r="H4429" s="16" t="str">
        <f>IF(ISBLANK(PARTIDAS!$G4429),PARTIDAS!$F4429,CONCATENATE(PARTIDAS!$F4429," (",PARTIDAS!$G4429,")"))</f>
        <v>Hilados de fibras sintéticas discontinuas, mezclados exclusiva o principalmente con lana o pelo fino</v>
      </c>
      <c r="I4429" s="16" t="s">
        <v>9427</v>
      </c>
    </row>
    <row r="4430" spans="1:9" x14ac:dyDescent="0.25">
      <c r="A4430" s="16" t="s">
        <v>5373</v>
      </c>
      <c r="B4430" s="16" t="str">
        <f>TEXT(PARTIDA[[#This Row],[PARTIDA]],"0000000000")</f>
        <v>5509920000</v>
      </c>
      <c r="C4430" s="16" t="s">
        <v>815</v>
      </c>
      <c r="D4430" s="16" t="s">
        <v>835</v>
      </c>
      <c r="E4430" s="16" t="s">
        <v>842</v>
      </c>
      <c r="F4430" s="27" t="s">
        <v>13100</v>
      </c>
      <c r="G4430" s="27"/>
      <c r="H4430" s="16" t="str">
        <f>IF(ISBLANK(PARTIDAS!$G4430),PARTIDAS!$F4430,CONCATENATE(PARTIDAS!$F4430," (",PARTIDAS!$G4430,")"))</f>
        <v>Hilados de fibras sintéticas discontinuas, mezclados exclusiva o principalmente con algodón</v>
      </c>
      <c r="I4430" s="16" t="s">
        <v>9427</v>
      </c>
    </row>
    <row r="4431" spans="1:9" x14ac:dyDescent="0.25">
      <c r="A4431" s="16" t="s">
        <v>5374</v>
      </c>
      <c r="B4431" s="16" t="str">
        <f>TEXT(PARTIDA[[#This Row],[PARTIDA]],"0000000000")</f>
        <v>5509990000</v>
      </c>
      <c r="C4431" s="16" t="s">
        <v>815</v>
      </c>
      <c r="D4431" s="16" t="s">
        <v>835</v>
      </c>
      <c r="E4431" s="16" t="s">
        <v>842</v>
      </c>
      <c r="F4431" s="27" t="s">
        <v>13101</v>
      </c>
      <c r="G4431" s="27"/>
      <c r="H4431" s="16" t="str">
        <f>IF(ISBLANK(PARTIDAS!$G4431),PARTIDAS!$F4431,CONCATENATE(PARTIDAS!$F4431," (",PARTIDAS!$G4431,")"))</f>
        <v>Hilados de fibras sintéticas discontinuas (los demás)</v>
      </c>
      <c r="I4431" s="16" t="s">
        <v>9427</v>
      </c>
    </row>
    <row r="4432" spans="1:9" x14ac:dyDescent="0.25">
      <c r="A4432" s="16" t="s">
        <v>5375</v>
      </c>
      <c r="B4432" s="16" t="str">
        <f>TEXT(PARTIDA[[#This Row],[PARTIDA]],"0000000000")</f>
        <v>5510110000</v>
      </c>
      <c r="C4432" s="16" t="s">
        <v>815</v>
      </c>
      <c r="D4432" s="16" t="s">
        <v>835</v>
      </c>
      <c r="E4432" s="16" t="s">
        <v>842</v>
      </c>
      <c r="F4432" s="27" t="s">
        <v>13102</v>
      </c>
      <c r="G4432" s="27"/>
      <c r="H4432" s="16" t="str">
        <f>IF(ISBLANK(PARTIDAS!$G4432),PARTIDAS!$F4432,CONCATENATE(PARTIDAS!$F4432," (",PARTIDAS!$G4432,")"))</f>
        <v>Hilados de fibras artificiales discontinuas, con un contenido de fibras artificiales discontinuas superior o igual…, sencillos</v>
      </c>
      <c r="I4432" s="16" t="s">
        <v>9427</v>
      </c>
    </row>
    <row r="4433" spans="1:9" x14ac:dyDescent="0.25">
      <c r="A4433" s="16" t="s">
        <v>5376</v>
      </c>
      <c r="B4433" s="16" t="str">
        <f>TEXT(PARTIDA[[#This Row],[PARTIDA]],"0000000000")</f>
        <v>5510120000</v>
      </c>
      <c r="C4433" s="16" t="s">
        <v>815</v>
      </c>
      <c r="D4433" s="16" t="s">
        <v>835</v>
      </c>
      <c r="E4433" s="16" t="s">
        <v>842</v>
      </c>
      <c r="F4433" s="27" t="s">
        <v>12996</v>
      </c>
      <c r="G4433" s="27"/>
      <c r="H4433" s="16" t="str">
        <f>IF(ISBLANK(PARTIDAS!$G4433),PARTIDAS!$F4433,CONCATENATE(PARTIDAS!$F4433," (",PARTIDAS!$G4433,")"))</f>
        <v>Retorcidos o cableados</v>
      </c>
      <c r="I4433" s="16" t="s">
        <v>9427</v>
      </c>
    </row>
    <row r="4434" spans="1:9" x14ac:dyDescent="0.25">
      <c r="A4434" s="16" t="s">
        <v>5377</v>
      </c>
      <c r="B4434" s="16" t="str">
        <f>TEXT(PARTIDA[[#This Row],[PARTIDA]],"0000000000")</f>
        <v>5510200000</v>
      </c>
      <c r="C4434" s="16" t="s">
        <v>815</v>
      </c>
      <c r="D4434" s="16" t="s">
        <v>835</v>
      </c>
      <c r="E4434" s="16" t="s">
        <v>842</v>
      </c>
      <c r="F4434" s="27" t="s">
        <v>13103</v>
      </c>
      <c r="G4434" s="27"/>
      <c r="H4434" s="16" t="str">
        <f>IF(ISBLANK(PARTIDAS!$G4434),PARTIDAS!$F4434,CONCATENATE(PARTIDAS!$F4434," (",PARTIDAS!$G4434,")"))</f>
        <v>Hilados de fibras artificiales discontinuas (los demás, hilados mezclados exclusiva o principalmente con lana o pelo fino)</v>
      </c>
      <c r="I4434" s="16" t="s">
        <v>9427</v>
      </c>
    </row>
    <row r="4435" spans="1:9" x14ac:dyDescent="0.25">
      <c r="A4435" s="16" t="s">
        <v>5378</v>
      </c>
      <c r="B4435" s="16" t="str">
        <f>TEXT(PARTIDA[[#This Row],[PARTIDA]],"0000000000")</f>
        <v>5510300000</v>
      </c>
      <c r="C4435" s="16" t="s">
        <v>815</v>
      </c>
      <c r="D4435" s="16" t="s">
        <v>835</v>
      </c>
      <c r="E4435" s="16" t="s">
        <v>842</v>
      </c>
      <c r="F4435" s="27" t="s">
        <v>13104</v>
      </c>
      <c r="G4435" s="27"/>
      <c r="H4435" s="16" t="str">
        <f>IF(ISBLANK(PARTIDAS!$G4435),PARTIDAS!$F4435,CONCATENATE(PARTIDAS!$F4435," (",PARTIDAS!$G4435,")"))</f>
        <v>Hilados de fibras artificiales discontinuas (los demás, hilados mezclados exclusiva o principalmente con algodón)</v>
      </c>
      <c r="I4435" s="16" t="s">
        <v>9427</v>
      </c>
    </row>
    <row r="4436" spans="1:9" x14ac:dyDescent="0.25">
      <c r="A4436" s="16" t="s">
        <v>5379</v>
      </c>
      <c r="B4436" s="16" t="str">
        <f>TEXT(PARTIDA[[#This Row],[PARTIDA]],"0000000000")</f>
        <v>5510900000</v>
      </c>
      <c r="C4436" s="16" t="s">
        <v>815</v>
      </c>
      <c r="D4436" s="16" t="s">
        <v>835</v>
      </c>
      <c r="E4436" s="16" t="s">
        <v>842</v>
      </c>
      <c r="F4436" s="27" t="s">
        <v>13105</v>
      </c>
      <c r="G4436" s="27"/>
      <c r="H4436" s="16" t="str">
        <f>IF(ISBLANK(PARTIDAS!$G4436),PARTIDAS!$F4436,CONCATENATE(PARTIDAS!$F4436," (",PARTIDAS!$G4436,")"))</f>
        <v>Hilados de fibras artificiales discontinuas (los demás, hilados)</v>
      </c>
      <c r="I4436" s="16" t="s">
        <v>9427</v>
      </c>
    </row>
    <row r="4437" spans="1:9" x14ac:dyDescent="0.25">
      <c r="A4437" s="16" t="s">
        <v>5380</v>
      </c>
      <c r="B4437" s="16" t="str">
        <f>TEXT(PARTIDA[[#This Row],[PARTIDA]],"0000000000")</f>
        <v>5511100000</v>
      </c>
      <c r="C4437" s="16" t="s">
        <v>815</v>
      </c>
      <c r="D4437" s="16" t="s">
        <v>835</v>
      </c>
      <c r="E4437" s="16" t="s">
        <v>842</v>
      </c>
      <c r="F4437" s="27" t="s">
        <v>13106</v>
      </c>
      <c r="G4437" s="27"/>
      <c r="H4437" s="16" t="str">
        <f>IF(ISBLANK(PARTIDAS!$G4437),PARTIDAS!$F4437,CONCATENATE(PARTIDAS!$F4437," (",PARTIDAS!$G4437,")"))</f>
        <v>Hilados de fibras sintéticas o artificiales, discontinuas, de fibras sintéticas discontinuas con un contenido de estas fibras superior o igual al 85 %</v>
      </c>
      <c r="I4437" s="16" t="s">
        <v>9427</v>
      </c>
    </row>
    <row r="4438" spans="1:9" x14ac:dyDescent="0.25">
      <c r="A4438" s="16" t="s">
        <v>5381</v>
      </c>
      <c r="B4438" s="16" t="str">
        <f>TEXT(PARTIDA[[#This Row],[PARTIDA]],"0000000000")</f>
        <v>5511200000</v>
      </c>
      <c r="C4438" s="16" t="s">
        <v>815</v>
      </c>
      <c r="D4438" s="16" t="s">
        <v>835</v>
      </c>
      <c r="E4438" s="16" t="s">
        <v>842</v>
      </c>
      <c r="F4438" s="27" t="s">
        <v>13107</v>
      </c>
      <c r="G4438" s="27"/>
      <c r="H4438" s="16" t="str">
        <f>IF(ISBLANK(PARTIDAS!$G4438),PARTIDAS!$F4438,CONCATENATE(PARTIDAS!$F4438," (",PARTIDAS!$G4438,")"))</f>
        <v>Hilados de fibras sintéticas o artificiales, discontinuas, de fibras sintéticas discontinuas con un contenido de estas fibras inferior al 85 % en peso</v>
      </c>
      <c r="I4438" s="16" t="s">
        <v>9427</v>
      </c>
    </row>
    <row r="4439" spans="1:9" x14ac:dyDescent="0.25">
      <c r="A4439" s="16" t="s">
        <v>5382</v>
      </c>
      <c r="B4439" s="16" t="str">
        <f>TEXT(PARTIDA[[#This Row],[PARTIDA]],"0000000000")</f>
        <v>5511300000</v>
      </c>
      <c r="C4439" s="16" t="s">
        <v>815</v>
      </c>
      <c r="D4439" s="16" t="s">
        <v>835</v>
      </c>
      <c r="E4439" s="16" t="s">
        <v>842</v>
      </c>
      <c r="F4439" s="27" t="s">
        <v>13108</v>
      </c>
      <c r="G4439" s="27"/>
      <c r="H4439" s="16" t="str">
        <f>IF(ISBLANK(PARTIDAS!$G4439),PARTIDAS!$F4439,CONCATENATE(PARTIDAS!$F4439," (",PARTIDAS!$G4439,")"))</f>
        <v>Hilados de fibras sintéticas o artificiales, discontinuas, de fibras artificiales discontinuas</v>
      </c>
      <c r="I4439" s="16" t="s">
        <v>9427</v>
      </c>
    </row>
    <row r="4440" spans="1:9" x14ac:dyDescent="0.25">
      <c r="A4440" s="16" t="s">
        <v>5383</v>
      </c>
      <c r="B4440" s="16" t="str">
        <f>TEXT(PARTIDA[[#This Row],[PARTIDA]],"0000000000")</f>
        <v>5512110000</v>
      </c>
      <c r="C4440" s="16" t="s">
        <v>815</v>
      </c>
      <c r="D4440" s="16" t="s">
        <v>835</v>
      </c>
      <c r="E4440" s="16" t="s">
        <v>842</v>
      </c>
      <c r="F4440" s="27" t="s">
        <v>13109</v>
      </c>
      <c r="G4440" s="27"/>
      <c r="H4440" s="16" t="str">
        <f>IF(ISBLANK(PARTIDAS!$G4440),PARTIDAS!$F4440,CONCATENATE(PARTIDAS!$F4440," (",PARTIDAS!$G4440,")"))</f>
        <v>Tejidos de fibras sintéticas discontinuas con un…, con un contenido de fibras discontinuas de poliéster superior o igual…, crudos o blanqueados</v>
      </c>
      <c r="I4440" s="16" t="s">
        <v>9427</v>
      </c>
    </row>
    <row r="4441" spans="1:9" x14ac:dyDescent="0.25">
      <c r="A4441" s="16" t="s">
        <v>5384</v>
      </c>
      <c r="B4441" s="16" t="str">
        <f>TEXT(PARTIDA[[#This Row],[PARTIDA]],"0000000000")</f>
        <v>5512190000</v>
      </c>
      <c r="C4441" s="16" t="s">
        <v>815</v>
      </c>
      <c r="D4441" s="16" t="s">
        <v>835</v>
      </c>
      <c r="E4441" s="16" t="s">
        <v>842</v>
      </c>
      <c r="F4441" s="27" t="s">
        <v>13110</v>
      </c>
      <c r="G4441" s="27"/>
      <c r="H4441" s="16" t="str">
        <f>IF(ISBLANK(PARTIDAS!$G4441),PARTIDAS!$F4441,CONCATENATE(PARTIDAS!$F4441," (",PARTIDAS!$G4441,")"))</f>
        <v>Tejidos de fibras sintéticas discontinuas con un…, con un contenido de fibras discontinuas de poliéster superior o igual… (los demás)</v>
      </c>
      <c r="I4441" s="16" t="s">
        <v>9427</v>
      </c>
    </row>
    <row r="4442" spans="1:9" x14ac:dyDescent="0.25">
      <c r="A4442" s="16" t="s">
        <v>5385</v>
      </c>
      <c r="B4442" s="16" t="str">
        <f>TEXT(PARTIDA[[#This Row],[PARTIDA]],"0000000000")</f>
        <v>5512210000</v>
      </c>
      <c r="C4442" s="16" t="s">
        <v>815</v>
      </c>
      <c r="D4442" s="16" t="s">
        <v>835</v>
      </c>
      <c r="E4442" s="16" t="s">
        <v>842</v>
      </c>
      <c r="F4442" s="27" t="s">
        <v>13111</v>
      </c>
      <c r="G4442" s="27"/>
      <c r="H4442" s="16" t="str">
        <f>IF(ISBLANK(PARTIDAS!$G4442),PARTIDAS!$F4442,CONCATENATE(PARTIDAS!$F4442," (",PARTIDAS!$G4442,")"))</f>
        <v>Tejidos de fibras sintéticas discontinuas con un…, con un contenido de fibras discontinuas acrílicas o modacrílicas…, crudos o blanqueados</v>
      </c>
      <c r="I4442" s="16" t="s">
        <v>9427</v>
      </c>
    </row>
    <row r="4443" spans="1:9" x14ac:dyDescent="0.25">
      <c r="A4443" s="16" t="s">
        <v>5386</v>
      </c>
      <c r="B4443" s="16" t="str">
        <f>TEXT(PARTIDA[[#This Row],[PARTIDA]],"0000000000")</f>
        <v>5512290000</v>
      </c>
      <c r="C4443" s="16" t="s">
        <v>815</v>
      </c>
      <c r="D4443" s="16" t="s">
        <v>835</v>
      </c>
      <c r="E4443" s="16" t="s">
        <v>842</v>
      </c>
      <c r="F4443" s="27" t="s">
        <v>13112</v>
      </c>
      <c r="G4443" s="27"/>
      <c r="H4443" s="16" t="str">
        <f>IF(ISBLANK(PARTIDAS!$G4443),PARTIDAS!$F4443,CONCATENATE(PARTIDAS!$F4443," (",PARTIDAS!$G4443,")"))</f>
        <v>Tejidos de fibras sintéticas discontinuas con un…, con un contenido de fibras discontinuas acrílicas o modacrílicas… (los demás)</v>
      </c>
      <c r="I4443" s="16" t="s">
        <v>9427</v>
      </c>
    </row>
    <row r="4444" spans="1:9" x14ac:dyDescent="0.25">
      <c r="A4444" s="16" t="s">
        <v>5387</v>
      </c>
      <c r="B4444" s="16" t="str">
        <f>TEXT(PARTIDA[[#This Row],[PARTIDA]],"0000000000")</f>
        <v>5512910000</v>
      </c>
      <c r="C4444" s="16" t="s">
        <v>815</v>
      </c>
      <c r="D4444" s="16" t="s">
        <v>835</v>
      </c>
      <c r="E4444" s="16" t="s">
        <v>842</v>
      </c>
      <c r="F4444" s="27" t="s">
        <v>13113</v>
      </c>
      <c r="G4444" s="27"/>
      <c r="H4444" s="16" t="str">
        <f>IF(ISBLANK(PARTIDAS!$G4444),PARTIDAS!$F4444,CONCATENATE(PARTIDAS!$F4444," (",PARTIDAS!$G4444,")"))</f>
        <v>Tejidos de fibras sintéticas discontinuas con un contenido de fibras…, crudos o blanqueados</v>
      </c>
      <c r="I4444" s="16" t="s">
        <v>9427</v>
      </c>
    </row>
    <row r="4445" spans="1:9" x14ac:dyDescent="0.25">
      <c r="A4445" s="16" t="s">
        <v>5388</v>
      </c>
      <c r="B4445" s="16" t="str">
        <f>TEXT(PARTIDA[[#This Row],[PARTIDA]],"0000000000")</f>
        <v>5512990000</v>
      </c>
      <c r="C4445" s="16" t="s">
        <v>815</v>
      </c>
      <c r="D4445" s="16" t="s">
        <v>835</v>
      </c>
      <c r="E4445" s="16" t="s">
        <v>842</v>
      </c>
      <c r="F4445" s="27" t="s">
        <v>13114</v>
      </c>
      <c r="G4445" s="27"/>
      <c r="H4445" s="16" t="str">
        <f>IF(ISBLANK(PARTIDAS!$G4445),PARTIDAS!$F4445,CONCATENATE(PARTIDAS!$F4445," (",PARTIDAS!$G4445,")"))</f>
        <v>Tejidos de fibras sintéticas discontinuas con un contenido de fibras… (los demás)</v>
      </c>
      <c r="I4445" s="16" t="s">
        <v>9427</v>
      </c>
    </row>
    <row r="4446" spans="1:9" x14ac:dyDescent="0.25">
      <c r="A4446" s="16" t="s">
        <v>5389</v>
      </c>
      <c r="B4446" s="16" t="str">
        <f>TEXT(PARTIDA[[#This Row],[PARTIDA]],"0000000000")</f>
        <v>5513110000</v>
      </c>
      <c r="C4446" s="16" t="s">
        <v>815</v>
      </c>
      <c r="D4446" s="16" t="s">
        <v>835</v>
      </c>
      <c r="E4446" s="16" t="s">
        <v>842</v>
      </c>
      <c r="F4446" s="27" t="s">
        <v>13115</v>
      </c>
      <c r="G4446" s="27"/>
      <c r="H4446" s="16" t="str">
        <f>IF(ISBLANK(PARTIDAS!$G4446),PARTIDAS!$F4446,CONCATENATE(PARTIDAS!$F4446," (",PARTIDAS!$G4446,")"))</f>
        <v>Tejidos de fibras sintéticas discontinuas con un…, crudos o blanqueados, de fibras discontinuas de poliéster, de ligamento tafetán</v>
      </c>
      <c r="I4446" s="16" t="s">
        <v>9427</v>
      </c>
    </row>
    <row r="4447" spans="1:9" x14ac:dyDescent="0.25">
      <c r="A4447" s="16" t="s">
        <v>5390</v>
      </c>
      <c r="B4447" s="16" t="str">
        <f>TEXT(PARTIDA[[#This Row],[PARTIDA]],"0000000000")</f>
        <v>5513120000</v>
      </c>
      <c r="C4447" s="16" t="s">
        <v>815</v>
      </c>
      <c r="D4447" s="16" t="s">
        <v>835</v>
      </c>
      <c r="E4447" s="16" t="s">
        <v>842</v>
      </c>
      <c r="F4447" s="27" t="s">
        <v>13116</v>
      </c>
      <c r="G4447" s="27"/>
      <c r="H4447" s="16" t="str">
        <f>IF(ISBLANK(PARTIDAS!$G4447),PARTIDAS!$F4447,CONCATENATE(PARTIDAS!$F4447," (",PARTIDAS!$G4447,")"))</f>
        <v>Tejidos de fibras sintéticas discontinuas con un…, crudos o blanqueados, de fibras discontinuas de poliéster, de ligamento sarga, incluido el cruzado,</v>
      </c>
      <c r="I4447" s="16" t="s">
        <v>9427</v>
      </c>
    </row>
    <row r="4448" spans="1:9" x14ac:dyDescent="0.25">
      <c r="A4448" s="16" t="s">
        <v>5391</v>
      </c>
      <c r="B4448" s="16" t="str">
        <f>TEXT(PARTIDA[[#This Row],[PARTIDA]],"0000000000")</f>
        <v>5513130000</v>
      </c>
      <c r="C4448" s="16" t="s">
        <v>815</v>
      </c>
      <c r="D4448" s="16" t="s">
        <v>835</v>
      </c>
      <c r="E4448" s="16" t="s">
        <v>842</v>
      </c>
      <c r="F4448" s="27" t="s">
        <v>13117</v>
      </c>
      <c r="G4448" s="27"/>
      <c r="H4448" s="16" t="str">
        <f>IF(ISBLANK(PARTIDAS!$G4448),PARTIDAS!$F4448,CONCATENATE(PARTIDAS!$F4448," (",PARTIDAS!$G4448,")"))</f>
        <v>Tejidos de fibras sintéticas discontinuas con un…, crudos o blanqueados (los demás, tejidos de fibras discontinuas de poliéster)</v>
      </c>
      <c r="I4448" s="16" t="s">
        <v>9427</v>
      </c>
    </row>
    <row r="4449" spans="1:9" x14ac:dyDescent="0.25">
      <c r="A4449" s="16" t="s">
        <v>5392</v>
      </c>
      <c r="B4449" s="16" t="str">
        <f>TEXT(PARTIDA[[#This Row],[PARTIDA]],"0000000000")</f>
        <v>5513190000</v>
      </c>
      <c r="C4449" s="16" t="s">
        <v>815</v>
      </c>
      <c r="D4449" s="16" t="s">
        <v>835</v>
      </c>
      <c r="E4449" s="16" t="s">
        <v>842</v>
      </c>
      <c r="F4449" s="27" t="s">
        <v>13118</v>
      </c>
      <c r="G4449" s="27"/>
      <c r="H4449" s="16" t="str">
        <f>IF(ISBLANK(PARTIDAS!$G4449),PARTIDAS!$F4449,CONCATENATE(PARTIDAS!$F4449," (",PARTIDAS!$G4449,")"))</f>
        <v>Tejidos de fibras sintéticas discontinuas con un…, crudos o blanqueados (los demás, tejidos)</v>
      </c>
      <c r="I4449" s="16" t="s">
        <v>9427</v>
      </c>
    </row>
    <row r="4450" spans="1:9" x14ac:dyDescent="0.25">
      <c r="A4450" s="16" t="s">
        <v>5393</v>
      </c>
      <c r="B4450" s="16" t="str">
        <f>TEXT(PARTIDA[[#This Row],[PARTIDA]],"0000000000")</f>
        <v>5513210000</v>
      </c>
      <c r="C4450" s="16" t="s">
        <v>815</v>
      </c>
      <c r="D4450" s="16" t="s">
        <v>835</v>
      </c>
      <c r="E4450" s="16" t="s">
        <v>842</v>
      </c>
      <c r="F4450" s="27" t="s">
        <v>13119</v>
      </c>
      <c r="G4450" s="27"/>
      <c r="H4450" s="16" t="str">
        <f>IF(ISBLANK(PARTIDAS!$G4450),PARTIDAS!$F4450,CONCATENATE(PARTIDAS!$F4450," (",PARTIDAS!$G4450,")"))</f>
        <v>Teñidos, de fibras discontinuas de poliéster, de ligamento tafetán</v>
      </c>
      <c r="I4450" s="16" t="s">
        <v>9427</v>
      </c>
    </row>
    <row r="4451" spans="1:9" x14ac:dyDescent="0.25">
      <c r="A4451" s="16" t="s">
        <v>5394</v>
      </c>
      <c r="B4451" s="16" t="str">
        <f>TEXT(PARTIDA[[#This Row],[PARTIDA]],"0000000000")</f>
        <v>5513231000</v>
      </c>
      <c r="C4451" s="16" t="s">
        <v>815</v>
      </c>
      <c r="D4451" s="16" t="s">
        <v>835</v>
      </c>
      <c r="E4451" s="16" t="s">
        <v>842</v>
      </c>
      <c r="F4451" s="27" t="s">
        <v>13120</v>
      </c>
      <c r="G4451" s="27"/>
      <c r="H4451" s="16" t="str">
        <f>IF(ISBLANK(PARTIDAS!$G4451),PARTIDAS!$F4451,CONCATENATE(PARTIDAS!$F4451," (",PARTIDAS!$G4451,")"))</f>
        <v>Teñidos, de fibras discontinuas de poliéster, de ligamento sarga, incluido el cruzado, de curso inferior o igual a 4</v>
      </c>
      <c r="I4451" s="16" t="s">
        <v>9427</v>
      </c>
    </row>
    <row r="4452" spans="1:9" x14ac:dyDescent="0.25">
      <c r="A4452" s="16" t="s">
        <v>5395</v>
      </c>
      <c r="B4452" s="16" t="str">
        <f>TEXT(PARTIDA[[#This Row],[PARTIDA]],"0000000000")</f>
        <v>5513239000</v>
      </c>
      <c r="C4452" s="16" t="s">
        <v>815</v>
      </c>
      <c r="D4452" s="16" t="s">
        <v>835</v>
      </c>
      <c r="E4452" s="16" t="s">
        <v>842</v>
      </c>
      <c r="F4452" s="27" t="s">
        <v>13121</v>
      </c>
      <c r="G4452" s="27"/>
      <c r="H4452" s="16" t="str">
        <f>IF(ISBLANK(PARTIDAS!$G4452),PARTIDAS!$F4452,CONCATENATE(PARTIDAS!$F4452," (",PARTIDAS!$G4452,")"))</f>
        <v>Teñidos (los demás)</v>
      </c>
      <c r="I4452" s="16" t="s">
        <v>9427</v>
      </c>
    </row>
    <row r="4453" spans="1:9" x14ac:dyDescent="0.25">
      <c r="A4453" s="16" t="s">
        <v>5396</v>
      </c>
      <c r="B4453" s="16" t="str">
        <f>TEXT(PARTIDA[[#This Row],[PARTIDA]],"0000000000")</f>
        <v>5513290000</v>
      </c>
      <c r="C4453" s="16" t="s">
        <v>815</v>
      </c>
      <c r="D4453" s="16" t="s">
        <v>835</v>
      </c>
      <c r="E4453" s="16" t="s">
        <v>842</v>
      </c>
      <c r="F4453" s="27" t="s">
        <v>12952</v>
      </c>
      <c r="G4453" s="27"/>
      <c r="H4453" s="16" t="str">
        <f>IF(ISBLANK(PARTIDAS!$G4453),PARTIDAS!$F4453,CONCATENATE(PARTIDAS!$F4453," (",PARTIDAS!$G4453,")"))</f>
        <v>Teñidos (los demás, tejidos)</v>
      </c>
      <c r="I4453" s="16" t="s">
        <v>9427</v>
      </c>
    </row>
    <row r="4454" spans="1:9" x14ac:dyDescent="0.25">
      <c r="A4454" s="16" t="s">
        <v>5397</v>
      </c>
      <c r="B4454" s="16" t="str">
        <f>TEXT(PARTIDA[[#This Row],[PARTIDA]],"0000000000")</f>
        <v>5513310000</v>
      </c>
      <c r="C4454" s="16" t="s">
        <v>815</v>
      </c>
      <c r="D4454" s="16" t="s">
        <v>835</v>
      </c>
      <c r="E4454" s="16" t="s">
        <v>842</v>
      </c>
      <c r="F4454" s="27" t="s">
        <v>13122</v>
      </c>
      <c r="G4454" s="27"/>
      <c r="H4454" s="16" t="str">
        <f>IF(ISBLANK(PARTIDAS!$G4454),PARTIDAS!$F4454,CONCATENATE(PARTIDAS!$F4454," (",PARTIDAS!$G4454,")"))</f>
        <v>Tejidos de fibras sintéticas discontinuas con un…, con hilados de distintos colores, de fibras discontinuas de poliéster, de ligamento tafetán</v>
      </c>
      <c r="I4454" s="16" t="s">
        <v>9427</v>
      </c>
    </row>
    <row r="4455" spans="1:9" x14ac:dyDescent="0.25">
      <c r="A4455" s="16" t="s">
        <v>5398</v>
      </c>
      <c r="B4455" s="16" t="str">
        <f>TEXT(PARTIDA[[#This Row],[PARTIDA]],"0000000000")</f>
        <v>5513391000</v>
      </c>
      <c r="C4455" s="16" t="s">
        <v>815</v>
      </c>
      <c r="D4455" s="16" t="s">
        <v>835</v>
      </c>
      <c r="E4455" s="16" t="s">
        <v>842</v>
      </c>
      <c r="F4455" s="27" t="s">
        <v>13123</v>
      </c>
      <c r="G4455" s="27"/>
      <c r="H4455" s="16" t="str">
        <f>IF(ISBLANK(PARTIDAS!$G4455),PARTIDAS!$F4455,CONCATENATE(PARTIDAS!$F4455," (",PARTIDAS!$G4455,")"))</f>
        <v>Tejidos de fibras sintéticas discontinuas con un…, con hilados de distintos colores, de fibras discontinuas de poliéster, de ligamento sarga, incluido</v>
      </c>
      <c r="I4455" s="16" t="s">
        <v>9427</v>
      </c>
    </row>
    <row r="4456" spans="1:9" x14ac:dyDescent="0.25">
      <c r="A4456" s="16" t="s">
        <v>5399</v>
      </c>
      <c r="B4456" s="16" t="str">
        <f>TEXT(PARTIDA[[#This Row],[PARTIDA]],"0000000000")</f>
        <v>5513392000</v>
      </c>
      <c r="C4456" s="16" t="s">
        <v>815</v>
      </c>
      <c r="D4456" s="16" t="s">
        <v>835</v>
      </c>
      <c r="E4456" s="16" t="s">
        <v>842</v>
      </c>
      <c r="F4456" s="27" t="s">
        <v>13124</v>
      </c>
      <c r="G4456" s="27"/>
      <c r="H4456" s="16" t="str">
        <f>IF(ISBLANK(PARTIDAS!$G4456),PARTIDAS!$F4456,CONCATENATE(PARTIDAS!$F4456," (",PARTIDAS!$G4456,")"))</f>
        <v>Tejidos de fibras sintéticas discontinuas con un…, con hilados de distintos colores (los demás, tejidos de fibras discontinuas de poliéster)</v>
      </c>
      <c r="I4456" s="16" t="s">
        <v>9427</v>
      </c>
    </row>
    <row r="4457" spans="1:9" x14ac:dyDescent="0.25">
      <c r="A4457" s="16" t="s">
        <v>5400</v>
      </c>
      <c r="B4457" s="16" t="str">
        <f>TEXT(PARTIDA[[#This Row],[PARTIDA]],"0000000000")</f>
        <v>5513399000</v>
      </c>
      <c r="C4457" s="16" t="s">
        <v>815</v>
      </c>
      <c r="D4457" s="16" t="s">
        <v>835</v>
      </c>
      <c r="E4457" s="16" t="s">
        <v>842</v>
      </c>
      <c r="F4457" s="27" t="s">
        <v>13125</v>
      </c>
      <c r="G4457" s="27"/>
      <c r="H4457" s="16" t="str">
        <f>IF(ISBLANK(PARTIDAS!$G4457),PARTIDAS!$F4457,CONCATENATE(PARTIDAS!$F4457," (",PARTIDAS!$G4457,")"))</f>
        <v>Tejidos de fibras sintéticas discontinuas con un…, con hilados de distintos colores (los demás)</v>
      </c>
      <c r="I4457" s="16" t="s">
        <v>9427</v>
      </c>
    </row>
    <row r="4458" spans="1:9" x14ac:dyDescent="0.25">
      <c r="A4458" s="16" t="s">
        <v>5401</v>
      </c>
      <c r="B4458" s="16" t="str">
        <f>TEXT(PARTIDA[[#This Row],[PARTIDA]],"0000000000")</f>
        <v>5513410000</v>
      </c>
      <c r="C4458" s="16" t="s">
        <v>815</v>
      </c>
      <c r="D4458" s="16" t="s">
        <v>835</v>
      </c>
      <c r="E4458" s="16" t="s">
        <v>842</v>
      </c>
      <c r="F4458" s="27" t="s">
        <v>13126</v>
      </c>
      <c r="G4458" s="27"/>
      <c r="H4458" s="16" t="str">
        <f>IF(ISBLANK(PARTIDAS!$G4458),PARTIDAS!$F4458,CONCATENATE(PARTIDAS!$F4458," (",PARTIDAS!$G4458,")"))</f>
        <v>Estampados, de fibras discontinuas de poliéster, de ligamento tafetán</v>
      </c>
      <c r="I4458" s="16" t="s">
        <v>9427</v>
      </c>
    </row>
    <row r="4459" spans="1:9" x14ac:dyDescent="0.25">
      <c r="A4459" s="16" t="s">
        <v>5402</v>
      </c>
      <c r="B4459" s="16" t="str">
        <f>TEXT(PARTIDA[[#This Row],[PARTIDA]],"0000000000")</f>
        <v>5513491000</v>
      </c>
      <c r="C4459" s="16" t="s">
        <v>815</v>
      </c>
      <c r="D4459" s="16" t="s">
        <v>835</v>
      </c>
      <c r="E4459" s="16" t="s">
        <v>842</v>
      </c>
      <c r="F4459" s="27" t="s">
        <v>13127</v>
      </c>
      <c r="G4459" s="27"/>
      <c r="H4459" s="16" t="str">
        <f>IF(ISBLANK(PARTIDAS!$G4459),PARTIDAS!$F4459,CONCATENATE(PARTIDAS!$F4459," (",PARTIDAS!$G4459,")"))</f>
        <v>Estampados, de fibras discontinuas de poliéster, de ligamento sarga, incluido el cruzado, de curso inferior o igual a 4</v>
      </c>
      <c r="I4459" s="16" t="s">
        <v>9427</v>
      </c>
    </row>
    <row r="4460" spans="1:9" x14ac:dyDescent="0.25">
      <c r="A4460" s="16" t="s">
        <v>5403</v>
      </c>
      <c r="B4460" s="16" t="str">
        <f>TEXT(PARTIDA[[#This Row],[PARTIDA]],"0000000000")</f>
        <v>5513492000</v>
      </c>
      <c r="C4460" s="16" t="s">
        <v>815</v>
      </c>
      <c r="D4460" s="16" t="s">
        <v>835</v>
      </c>
      <c r="E4460" s="16" t="s">
        <v>842</v>
      </c>
      <c r="F4460" s="27" t="s">
        <v>13128</v>
      </c>
      <c r="G4460" s="27"/>
      <c r="H4460" s="16" t="str">
        <f>IF(ISBLANK(PARTIDAS!$G4460),PARTIDAS!$F4460,CONCATENATE(PARTIDAS!$F4460," (",PARTIDAS!$G4460,")"))</f>
        <v>Estampados (los demás, tejidos de fibras discontinuas de poliéster)</v>
      </c>
      <c r="I4460" s="16" t="s">
        <v>9427</v>
      </c>
    </row>
    <row r="4461" spans="1:9" x14ac:dyDescent="0.25">
      <c r="A4461" s="16" t="s">
        <v>5404</v>
      </c>
      <c r="B4461" s="16" t="str">
        <f>TEXT(PARTIDA[[#This Row],[PARTIDA]],"0000000000")</f>
        <v>5513499000</v>
      </c>
      <c r="C4461" s="16" t="s">
        <v>815</v>
      </c>
      <c r="D4461" s="16" t="s">
        <v>835</v>
      </c>
      <c r="E4461" s="16" t="s">
        <v>842</v>
      </c>
      <c r="F4461" s="27" t="s">
        <v>12960</v>
      </c>
      <c r="G4461" s="27"/>
      <c r="H4461" s="16" t="str">
        <f>IF(ISBLANK(PARTIDAS!$G4461),PARTIDAS!$F4461,CONCATENATE(PARTIDAS!$F4461," (",PARTIDAS!$G4461,")"))</f>
        <v>Estampados (los demás)</v>
      </c>
      <c r="I4461" s="16" t="s">
        <v>9427</v>
      </c>
    </row>
    <row r="4462" spans="1:9" x14ac:dyDescent="0.25">
      <c r="A4462" s="16" t="s">
        <v>5405</v>
      </c>
      <c r="B4462" s="16" t="str">
        <f>TEXT(PARTIDA[[#This Row],[PARTIDA]],"0000000000")</f>
        <v>5514110000</v>
      </c>
      <c r="C4462" s="16" t="s">
        <v>815</v>
      </c>
      <c r="D4462" s="16" t="s">
        <v>835</v>
      </c>
      <c r="E4462" s="16" t="s">
        <v>842</v>
      </c>
      <c r="F4462" s="27" t="s">
        <v>13115</v>
      </c>
      <c r="G4462" s="27"/>
      <c r="H4462" s="16" t="str">
        <f>IF(ISBLANK(PARTIDAS!$G4462),PARTIDAS!$F4462,CONCATENATE(PARTIDAS!$F4462," (",PARTIDAS!$G4462,")"))</f>
        <v>Tejidos de fibras sintéticas discontinuas con un…, crudos o blanqueados, de fibras discontinuas de poliéster, de ligamento tafetán</v>
      </c>
      <c r="I4462" s="16" t="s">
        <v>9427</v>
      </c>
    </row>
    <row r="4463" spans="1:9" x14ac:dyDescent="0.25">
      <c r="A4463" s="16" t="s">
        <v>5406</v>
      </c>
      <c r="B4463" s="16" t="str">
        <f>TEXT(PARTIDA[[#This Row],[PARTIDA]],"0000000000")</f>
        <v>5514120000</v>
      </c>
      <c r="C4463" s="16" t="s">
        <v>815</v>
      </c>
      <c r="D4463" s="16" t="s">
        <v>835</v>
      </c>
      <c r="E4463" s="16" t="s">
        <v>842</v>
      </c>
      <c r="F4463" s="27" t="s">
        <v>13116</v>
      </c>
      <c r="G4463" s="27"/>
      <c r="H4463" s="16" t="str">
        <f>IF(ISBLANK(PARTIDAS!$G4463),PARTIDAS!$F4463,CONCATENATE(PARTIDAS!$F4463," (",PARTIDAS!$G4463,")"))</f>
        <v>Tejidos de fibras sintéticas discontinuas con un…, crudos o blanqueados, de fibras discontinuas de poliéster, de ligamento sarga, incluido el cruzado,</v>
      </c>
      <c r="I4463" s="16" t="s">
        <v>9427</v>
      </c>
    </row>
    <row r="4464" spans="1:9" x14ac:dyDescent="0.25">
      <c r="A4464" s="16" t="s">
        <v>5407</v>
      </c>
      <c r="B4464" s="16" t="str">
        <f>TEXT(PARTIDA[[#This Row],[PARTIDA]],"0000000000")</f>
        <v>5514191000</v>
      </c>
      <c r="C4464" s="16" t="s">
        <v>815</v>
      </c>
      <c r="D4464" s="16" t="s">
        <v>835</v>
      </c>
      <c r="E4464" s="16" t="s">
        <v>842</v>
      </c>
      <c r="F4464" s="27" t="s">
        <v>13129</v>
      </c>
      <c r="G4464" s="27"/>
      <c r="H4464" s="16" t="str">
        <f>IF(ISBLANK(PARTIDAS!$G4464),PARTIDAS!$F4464,CONCATENATE(PARTIDAS!$F4464," (",PARTIDAS!$G4464,")"))</f>
        <v>Tejidos de fibras sintéticas discontinuas con un…, crudos o blanqueados, de fibras discontinuas de poliéster</v>
      </c>
      <c r="I4464" s="16" t="s">
        <v>9427</v>
      </c>
    </row>
    <row r="4465" spans="1:9" x14ac:dyDescent="0.25">
      <c r="A4465" s="16" t="s">
        <v>5408</v>
      </c>
      <c r="B4465" s="16" t="str">
        <f>TEXT(PARTIDA[[#This Row],[PARTIDA]],"0000000000")</f>
        <v>5514199000</v>
      </c>
      <c r="C4465" s="16" t="s">
        <v>815</v>
      </c>
      <c r="D4465" s="16" t="s">
        <v>835</v>
      </c>
      <c r="E4465" s="16" t="s">
        <v>842</v>
      </c>
      <c r="F4465" s="27" t="s">
        <v>13130</v>
      </c>
      <c r="G4465" s="27"/>
      <c r="H4465" s="16" t="str">
        <f>IF(ISBLANK(PARTIDAS!$G4465),PARTIDAS!$F4465,CONCATENATE(PARTIDAS!$F4465," (",PARTIDAS!$G4465,")"))</f>
        <v>Tejidos de fibras sintéticas discontinuas con un…, crudos o blanqueados (los demás)</v>
      </c>
      <c r="I4465" s="16" t="s">
        <v>9427</v>
      </c>
    </row>
    <row r="4466" spans="1:9" x14ac:dyDescent="0.25">
      <c r="A4466" s="16" t="s">
        <v>5409</v>
      </c>
      <c r="B4466" s="16" t="str">
        <f>TEXT(PARTIDA[[#This Row],[PARTIDA]],"0000000000")</f>
        <v>5514210000</v>
      </c>
      <c r="C4466" s="16" t="s">
        <v>815</v>
      </c>
      <c r="D4466" s="16" t="s">
        <v>835</v>
      </c>
      <c r="E4466" s="16" t="s">
        <v>842</v>
      </c>
      <c r="F4466" s="27" t="s">
        <v>13119</v>
      </c>
      <c r="G4466" s="27"/>
      <c r="H4466" s="16" t="str">
        <f>IF(ISBLANK(PARTIDAS!$G4466),PARTIDAS!$F4466,CONCATENATE(PARTIDAS!$F4466," (",PARTIDAS!$G4466,")"))</f>
        <v>Teñidos, de fibras discontinuas de poliéster, de ligamento tafetán</v>
      </c>
      <c r="I4466" s="16" t="s">
        <v>9427</v>
      </c>
    </row>
    <row r="4467" spans="1:9" x14ac:dyDescent="0.25">
      <c r="A4467" s="16" t="s">
        <v>5410</v>
      </c>
      <c r="B4467" s="16" t="str">
        <f>TEXT(PARTIDA[[#This Row],[PARTIDA]],"0000000000")</f>
        <v>5514220000</v>
      </c>
      <c r="C4467" s="16" t="s">
        <v>815</v>
      </c>
      <c r="D4467" s="16" t="s">
        <v>835</v>
      </c>
      <c r="E4467" s="16" t="s">
        <v>842</v>
      </c>
      <c r="F4467" s="27" t="s">
        <v>13120</v>
      </c>
      <c r="G4467" s="27"/>
      <c r="H4467" s="16" t="str">
        <f>IF(ISBLANK(PARTIDAS!$G4467),PARTIDAS!$F4467,CONCATENATE(PARTIDAS!$F4467," (",PARTIDAS!$G4467,")"))</f>
        <v>Teñidos, de fibras discontinuas de poliéster, de ligamento sarga, incluido el cruzado, de curso inferior o igual a 4</v>
      </c>
      <c r="I4467" s="16" t="s">
        <v>9427</v>
      </c>
    </row>
    <row r="4468" spans="1:9" x14ac:dyDescent="0.25">
      <c r="A4468" s="16" t="s">
        <v>5411</v>
      </c>
      <c r="B4468" s="16" t="str">
        <f>TEXT(PARTIDA[[#This Row],[PARTIDA]],"0000000000")</f>
        <v>5514230000</v>
      </c>
      <c r="C4468" s="16" t="s">
        <v>815</v>
      </c>
      <c r="D4468" s="16" t="s">
        <v>835</v>
      </c>
      <c r="E4468" s="16" t="s">
        <v>842</v>
      </c>
      <c r="F4468" s="27" t="s">
        <v>13131</v>
      </c>
      <c r="G4468" s="27"/>
      <c r="H4468" s="16" t="str">
        <f>IF(ISBLANK(PARTIDAS!$G4468),PARTIDAS!$F4468,CONCATENATE(PARTIDAS!$F4468," (",PARTIDAS!$G4468,")"))</f>
        <v>Teñidos (los demás, tejidos de fibras discontinuas de poliéster)</v>
      </c>
      <c r="I4468" s="16" t="s">
        <v>9427</v>
      </c>
    </row>
    <row r="4469" spans="1:9" x14ac:dyDescent="0.25">
      <c r="A4469" s="16" t="s">
        <v>5412</v>
      </c>
      <c r="B4469" s="16" t="str">
        <f>TEXT(PARTIDA[[#This Row],[PARTIDA]],"0000000000")</f>
        <v>5514290000</v>
      </c>
      <c r="C4469" s="16" t="s">
        <v>815</v>
      </c>
      <c r="D4469" s="16" t="s">
        <v>835</v>
      </c>
      <c r="E4469" s="16" t="s">
        <v>842</v>
      </c>
      <c r="F4469" s="27" t="s">
        <v>12952</v>
      </c>
      <c r="G4469" s="27"/>
      <c r="H4469" s="16" t="str">
        <f>IF(ISBLANK(PARTIDAS!$G4469),PARTIDAS!$F4469,CONCATENATE(PARTIDAS!$F4469," (",PARTIDAS!$G4469,")"))</f>
        <v>Teñidos (los demás, tejidos)</v>
      </c>
      <c r="I4469" s="16" t="s">
        <v>9427</v>
      </c>
    </row>
    <row r="4470" spans="1:9" x14ac:dyDescent="0.25">
      <c r="A4470" s="16" t="s">
        <v>5413</v>
      </c>
      <c r="B4470" s="16" t="str">
        <f>TEXT(PARTIDA[[#This Row],[PARTIDA]],"0000000000")</f>
        <v>5514301000</v>
      </c>
      <c r="C4470" s="16" t="s">
        <v>815</v>
      </c>
      <c r="D4470" s="16" t="s">
        <v>835</v>
      </c>
      <c r="E4470" s="16" t="s">
        <v>842</v>
      </c>
      <c r="F4470" s="27" t="s">
        <v>13122</v>
      </c>
      <c r="G4470" s="27"/>
      <c r="H4470" s="16" t="str">
        <f>IF(ISBLANK(PARTIDAS!$G4470),PARTIDAS!$F4470,CONCATENATE(PARTIDAS!$F4470," (",PARTIDAS!$G4470,")"))</f>
        <v>Tejidos de fibras sintéticas discontinuas con un…, con hilados de distintos colores, de fibras discontinuas de poliéster, de ligamento tafetán</v>
      </c>
      <c r="I4470" s="16" t="s">
        <v>9427</v>
      </c>
    </row>
    <row r="4471" spans="1:9" x14ac:dyDescent="0.25">
      <c r="A4471" s="16" t="s">
        <v>5414</v>
      </c>
      <c r="B4471" s="16" t="str">
        <f>TEXT(PARTIDA[[#This Row],[PARTIDA]],"0000000000")</f>
        <v>5514302000</v>
      </c>
      <c r="C4471" s="16" t="s">
        <v>815</v>
      </c>
      <c r="D4471" s="16" t="s">
        <v>835</v>
      </c>
      <c r="E4471" s="16" t="s">
        <v>842</v>
      </c>
      <c r="F4471" s="27" t="s">
        <v>13123</v>
      </c>
      <c r="G4471" s="27"/>
      <c r="H4471" s="16" t="str">
        <f>IF(ISBLANK(PARTIDAS!$G4471),PARTIDAS!$F4471,CONCATENATE(PARTIDAS!$F4471," (",PARTIDAS!$G4471,")"))</f>
        <v>Tejidos de fibras sintéticas discontinuas con un…, con hilados de distintos colores, de fibras discontinuas de poliéster, de ligamento sarga, incluido</v>
      </c>
      <c r="I4471" s="16" t="s">
        <v>9427</v>
      </c>
    </row>
    <row r="4472" spans="1:9" x14ac:dyDescent="0.25">
      <c r="A4472" s="16" t="s">
        <v>5415</v>
      </c>
      <c r="B4472" s="16" t="str">
        <f>TEXT(PARTIDA[[#This Row],[PARTIDA]],"0000000000")</f>
        <v>5514303000</v>
      </c>
      <c r="C4472" s="16" t="s">
        <v>815</v>
      </c>
      <c r="D4472" s="16" t="s">
        <v>835</v>
      </c>
      <c r="E4472" s="16" t="s">
        <v>842</v>
      </c>
      <c r="F4472" s="27" t="s">
        <v>13124</v>
      </c>
      <c r="G4472" s="27"/>
      <c r="H4472" s="16" t="str">
        <f>IF(ISBLANK(PARTIDAS!$G4472),PARTIDAS!$F4472,CONCATENATE(PARTIDAS!$F4472," (",PARTIDAS!$G4472,")"))</f>
        <v>Tejidos de fibras sintéticas discontinuas con un…, con hilados de distintos colores (los demás, tejidos de fibras discontinuas de poliéster)</v>
      </c>
      <c r="I4472" s="16" t="s">
        <v>9427</v>
      </c>
    </row>
    <row r="4473" spans="1:9" x14ac:dyDescent="0.25">
      <c r="A4473" s="16" t="s">
        <v>5416</v>
      </c>
      <c r="B4473" s="16" t="str">
        <f>TEXT(PARTIDA[[#This Row],[PARTIDA]],"0000000000")</f>
        <v>5514309000</v>
      </c>
      <c r="C4473" s="16" t="s">
        <v>815</v>
      </c>
      <c r="D4473" s="16" t="s">
        <v>835</v>
      </c>
      <c r="E4473" s="16" t="s">
        <v>842</v>
      </c>
      <c r="F4473" s="27" t="s">
        <v>13132</v>
      </c>
      <c r="G4473" s="27"/>
      <c r="H4473" s="16" t="str">
        <f>IF(ISBLANK(PARTIDAS!$G4473),PARTIDAS!$F4473,CONCATENATE(PARTIDAS!$F4473," (",PARTIDAS!$G4473,")"))</f>
        <v>Tejidos de fibras sintéticas discontinuas con un…, con hilados de distintos colores (los demás, tejidos)</v>
      </c>
      <c r="I4473" s="16" t="s">
        <v>9427</v>
      </c>
    </row>
    <row r="4474" spans="1:9" x14ac:dyDescent="0.25">
      <c r="A4474" s="16" t="s">
        <v>5417</v>
      </c>
      <c r="B4474" s="16" t="str">
        <f>TEXT(PARTIDA[[#This Row],[PARTIDA]],"0000000000")</f>
        <v>5514410000</v>
      </c>
      <c r="C4474" s="16" t="s">
        <v>815</v>
      </c>
      <c r="D4474" s="16" t="s">
        <v>835</v>
      </c>
      <c r="E4474" s="16" t="s">
        <v>842</v>
      </c>
      <c r="F4474" s="27" t="s">
        <v>13126</v>
      </c>
      <c r="G4474" s="27"/>
      <c r="H4474" s="16" t="str">
        <f>IF(ISBLANK(PARTIDAS!$G4474),PARTIDAS!$F4474,CONCATENATE(PARTIDAS!$F4474," (",PARTIDAS!$G4474,")"))</f>
        <v>Estampados, de fibras discontinuas de poliéster, de ligamento tafetán</v>
      </c>
      <c r="I4474" s="16" t="s">
        <v>9427</v>
      </c>
    </row>
    <row r="4475" spans="1:9" x14ac:dyDescent="0.25">
      <c r="A4475" s="16" t="s">
        <v>5418</v>
      </c>
      <c r="B4475" s="16" t="str">
        <f>TEXT(PARTIDA[[#This Row],[PARTIDA]],"0000000000")</f>
        <v>5514420000</v>
      </c>
      <c r="C4475" s="16" t="s">
        <v>815</v>
      </c>
      <c r="D4475" s="16" t="s">
        <v>835</v>
      </c>
      <c r="E4475" s="16" t="s">
        <v>842</v>
      </c>
      <c r="F4475" s="27" t="s">
        <v>13127</v>
      </c>
      <c r="G4475" s="27"/>
      <c r="H4475" s="16" t="str">
        <f>IF(ISBLANK(PARTIDAS!$G4475),PARTIDAS!$F4475,CONCATENATE(PARTIDAS!$F4475," (",PARTIDAS!$G4475,")"))</f>
        <v>Estampados, de fibras discontinuas de poliéster, de ligamento sarga, incluido el cruzado, de curso inferior o igual a 4</v>
      </c>
      <c r="I4475" s="16" t="s">
        <v>9427</v>
      </c>
    </row>
    <row r="4476" spans="1:9" x14ac:dyDescent="0.25">
      <c r="A4476" s="16" t="s">
        <v>5419</v>
      </c>
      <c r="B4476" s="16" t="str">
        <f>TEXT(PARTIDA[[#This Row],[PARTIDA]],"0000000000")</f>
        <v>5514430000</v>
      </c>
      <c r="C4476" s="16" t="s">
        <v>815</v>
      </c>
      <c r="D4476" s="16" t="s">
        <v>835</v>
      </c>
      <c r="E4476" s="16" t="s">
        <v>842</v>
      </c>
      <c r="F4476" s="27" t="s">
        <v>13128</v>
      </c>
      <c r="G4476" s="27"/>
      <c r="H4476" s="16" t="str">
        <f>IF(ISBLANK(PARTIDAS!$G4476),PARTIDAS!$F4476,CONCATENATE(PARTIDAS!$F4476," (",PARTIDAS!$G4476,")"))</f>
        <v>Estampados (los demás, tejidos de fibras discontinuas de poliéster)</v>
      </c>
      <c r="I4476" s="16" t="s">
        <v>9427</v>
      </c>
    </row>
    <row r="4477" spans="1:9" x14ac:dyDescent="0.25">
      <c r="A4477" s="16" t="s">
        <v>5420</v>
      </c>
      <c r="B4477" s="16" t="str">
        <f>TEXT(PARTIDA[[#This Row],[PARTIDA]],"0000000000")</f>
        <v>5514490000</v>
      </c>
      <c r="C4477" s="16" t="s">
        <v>815</v>
      </c>
      <c r="D4477" s="16" t="s">
        <v>835</v>
      </c>
      <c r="E4477" s="16" t="s">
        <v>842</v>
      </c>
      <c r="F4477" s="27" t="s">
        <v>12968</v>
      </c>
      <c r="G4477" s="27"/>
      <c r="H4477" s="16" t="str">
        <f>IF(ISBLANK(PARTIDAS!$G4477),PARTIDAS!$F4477,CONCATENATE(PARTIDAS!$F4477," (",PARTIDAS!$G4477,")"))</f>
        <v>Estampados (los demás, tejidos)</v>
      </c>
      <c r="I4477" s="16" t="s">
        <v>9427</v>
      </c>
    </row>
    <row r="4478" spans="1:9" x14ac:dyDescent="0.25">
      <c r="A4478" s="16" t="s">
        <v>5421</v>
      </c>
      <c r="B4478" s="16" t="str">
        <f>TEXT(PARTIDA[[#This Row],[PARTIDA]],"0000000000")</f>
        <v>5515110000</v>
      </c>
      <c r="C4478" s="16" t="s">
        <v>815</v>
      </c>
      <c r="D4478" s="16" t="s">
        <v>835</v>
      </c>
      <c r="E4478" s="16" t="s">
        <v>842</v>
      </c>
      <c r="F4478" s="27" t="s">
        <v>13133</v>
      </c>
      <c r="G4478" s="27"/>
      <c r="H4478" s="16" t="str">
        <f>IF(ISBLANK(PARTIDAS!$G4478),PARTIDAS!$F4478,CONCATENATE(PARTIDAS!$F4478," (",PARTIDAS!$G4478,")"))</f>
        <v>Fibras sintéticas o artificiales discontinuas, de fibras discontinuas de poliéster, mezcladas exclusiva o principalmente con fibras discontinuas de ra</v>
      </c>
      <c r="I4478" s="16" t="s">
        <v>9427</v>
      </c>
    </row>
    <row r="4479" spans="1:9" x14ac:dyDescent="0.25">
      <c r="A4479" s="16" t="s">
        <v>5422</v>
      </c>
      <c r="B4479" s="16" t="str">
        <f>TEXT(PARTIDA[[#This Row],[PARTIDA]],"0000000000")</f>
        <v>5515120000</v>
      </c>
      <c r="C4479" s="16" t="s">
        <v>815</v>
      </c>
      <c r="D4479" s="16" t="s">
        <v>835</v>
      </c>
      <c r="E4479" s="16" t="s">
        <v>842</v>
      </c>
      <c r="F4479" s="27" t="s">
        <v>13134</v>
      </c>
      <c r="G4479" s="27"/>
      <c r="H4479" s="16" t="str">
        <f>IF(ISBLANK(PARTIDAS!$G4479),PARTIDAS!$F4479,CONCATENATE(PARTIDAS!$F4479," (",PARTIDAS!$G4479,")"))</f>
        <v>Fibras sintéticas o artificiales discontinuas, de fibras discontinuas de poliéster, mezcladas exclusiva o principalmente con filamentos sintéticos o a</v>
      </c>
      <c r="I4479" s="16" t="s">
        <v>9427</v>
      </c>
    </row>
    <row r="4480" spans="1:9" x14ac:dyDescent="0.25">
      <c r="A4480" s="16" t="s">
        <v>5423</v>
      </c>
      <c r="B4480" s="16" t="str">
        <f>TEXT(PARTIDA[[#This Row],[PARTIDA]],"0000000000")</f>
        <v>5515130000</v>
      </c>
      <c r="C4480" s="16" t="s">
        <v>815</v>
      </c>
      <c r="D4480" s="16" t="s">
        <v>835</v>
      </c>
      <c r="E4480" s="16" t="s">
        <v>842</v>
      </c>
      <c r="F4480" s="27" t="s">
        <v>13135</v>
      </c>
      <c r="G4480" s="27"/>
      <c r="H4480" s="16" t="str">
        <f>IF(ISBLANK(PARTIDAS!$G4480),PARTIDAS!$F4480,CONCATENATE(PARTIDAS!$F4480," (",PARTIDAS!$G4480,")"))</f>
        <v>Fibras sintéticas o artificiales discontinuas, de fibras discontinuas de poliéster, mezcladas exclusiva o principalmente con lana o pelo fino</v>
      </c>
      <c r="I4480" s="16" t="s">
        <v>9427</v>
      </c>
    </row>
    <row r="4481" spans="1:9" x14ac:dyDescent="0.25">
      <c r="A4481" s="16" t="s">
        <v>5424</v>
      </c>
      <c r="B4481" s="16" t="str">
        <f>TEXT(PARTIDA[[#This Row],[PARTIDA]],"0000000000")</f>
        <v>5515190000</v>
      </c>
      <c r="C4481" s="16" t="s">
        <v>815</v>
      </c>
      <c r="D4481" s="16" t="s">
        <v>835</v>
      </c>
      <c r="E4481" s="16" t="s">
        <v>842</v>
      </c>
      <c r="F4481" s="27" t="s">
        <v>13136</v>
      </c>
      <c r="G4481" s="27"/>
      <c r="H4481" s="16" t="str">
        <f>IF(ISBLANK(PARTIDAS!$G4481),PARTIDAS!$F4481,CONCATENATE(PARTIDAS!$F4481," (",PARTIDAS!$G4481,")"))</f>
        <v>Fibras sintéticas o artificiales discontinuas, de fibras discontinuas de poliéster (los demás)</v>
      </c>
      <c r="I4481" s="16" t="s">
        <v>9427</v>
      </c>
    </row>
    <row r="4482" spans="1:9" x14ac:dyDescent="0.25">
      <c r="A4482" s="16" t="s">
        <v>5425</v>
      </c>
      <c r="B4482" s="16" t="str">
        <f>TEXT(PARTIDA[[#This Row],[PARTIDA]],"0000000000")</f>
        <v>5515210000</v>
      </c>
      <c r="C4482" s="16" t="s">
        <v>815</v>
      </c>
      <c r="D4482" s="16" t="s">
        <v>835</v>
      </c>
      <c r="E4482" s="16" t="s">
        <v>842</v>
      </c>
      <c r="F4482" s="27" t="s">
        <v>13137</v>
      </c>
      <c r="G4482" s="27"/>
      <c r="H4482" s="16" t="str">
        <f>IF(ISBLANK(PARTIDAS!$G4482),PARTIDAS!$F4482,CONCATENATE(PARTIDAS!$F4482," (",PARTIDAS!$G4482,")"))</f>
        <v>Fibras sintéticas o artificiales discontinuas, de fibras discontinuas acrílicas o modacrílicas, mezcladas exclusiva o principalmente con filamentos si</v>
      </c>
      <c r="I4482" s="16" t="s">
        <v>9427</v>
      </c>
    </row>
    <row r="4483" spans="1:9" x14ac:dyDescent="0.25">
      <c r="A4483" s="16" t="s">
        <v>5426</v>
      </c>
      <c r="B4483" s="16" t="str">
        <f>TEXT(PARTIDA[[#This Row],[PARTIDA]],"0000000000")</f>
        <v>5515220000</v>
      </c>
      <c r="C4483" s="16" t="s">
        <v>815</v>
      </c>
      <c r="D4483" s="16" t="s">
        <v>835</v>
      </c>
      <c r="E4483" s="16" t="s">
        <v>842</v>
      </c>
      <c r="F4483" s="27" t="s">
        <v>13138</v>
      </c>
      <c r="G4483" s="27"/>
      <c r="H4483" s="16" t="str">
        <f>IF(ISBLANK(PARTIDAS!$G4483),PARTIDAS!$F4483,CONCATENATE(PARTIDAS!$F4483," (",PARTIDAS!$G4483,")"))</f>
        <v>Fibras sintéticas o artificiales discontinuas, de fibras discontinuas acrílicas o modacrílicas, mezcladas exclusiva o principalmente con lana o pelo f</v>
      </c>
      <c r="I4483" s="16" t="s">
        <v>9427</v>
      </c>
    </row>
    <row r="4484" spans="1:9" x14ac:dyDescent="0.25">
      <c r="A4484" s="16" t="s">
        <v>5427</v>
      </c>
      <c r="B4484" s="16" t="str">
        <f>TEXT(PARTIDA[[#This Row],[PARTIDA]],"0000000000")</f>
        <v>5515290000</v>
      </c>
      <c r="C4484" s="16" t="s">
        <v>815</v>
      </c>
      <c r="D4484" s="16" t="s">
        <v>835</v>
      </c>
      <c r="E4484" s="16" t="s">
        <v>842</v>
      </c>
      <c r="F4484" s="27" t="s">
        <v>13139</v>
      </c>
      <c r="G4484" s="27"/>
      <c r="H4484" s="16" t="str">
        <f>IF(ISBLANK(PARTIDAS!$G4484),PARTIDAS!$F4484,CONCATENATE(PARTIDAS!$F4484," (",PARTIDAS!$G4484,")"))</f>
        <v>Fibras sintéticas o artificiales discontinuas, de fibras discontinuas acrílicas o modacrílicas (los demás)</v>
      </c>
      <c r="I4484" s="16" t="s">
        <v>9427</v>
      </c>
    </row>
    <row r="4485" spans="1:9" x14ac:dyDescent="0.25">
      <c r="A4485" s="16" t="s">
        <v>5428</v>
      </c>
      <c r="B4485" s="16" t="str">
        <f>TEXT(PARTIDA[[#This Row],[PARTIDA]],"0000000000")</f>
        <v>5515910000</v>
      </c>
      <c r="C4485" s="16" t="s">
        <v>815</v>
      </c>
      <c r="D4485" s="16" t="s">
        <v>835</v>
      </c>
      <c r="E4485" s="16" t="s">
        <v>842</v>
      </c>
      <c r="F4485" s="27" t="s">
        <v>13140</v>
      </c>
      <c r="G4485" s="27"/>
      <c r="H4485" s="16" t="str">
        <f>IF(ISBLANK(PARTIDAS!$G4485),PARTIDAS!$F4485,CONCATENATE(PARTIDAS!$F4485," (",PARTIDAS!$G4485,")"))</f>
        <v>Fibras sintéticas o artificiales discontinuas, mezclados exclusiva o principalmente con filamentos sintéticos o artificiales</v>
      </c>
      <c r="I4485" s="16" t="s">
        <v>9427</v>
      </c>
    </row>
    <row r="4486" spans="1:9" x14ac:dyDescent="0.25">
      <c r="A4486" s="16" t="s">
        <v>5429</v>
      </c>
      <c r="B4486" s="16" t="str">
        <f>TEXT(PARTIDA[[#This Row],[PARTIDA]],"0000000000")</f>
        <v>5515990000</v>
      </c>
      <c r="C4486" s="16" t="s">
        <v>815</v>
      </c>
      <c r="D4486" s="16" t="s">
        <v>835</v>
      </c>
      <c r="E4486" s="16" t="s">
        <v>842</v>
      </c>
      <c r="F4486" s="27" t="s">
        <v>13141</v>
      </c>
      <c r="G4486" s="27"/>
      <c r="H4486" s="16" t="str">
        <f>IF(ISBLANK(PARTIDAS!$G4486),PARTIDAS!$F4486,CONCATENATE(PARTIDAS!$F4486," (",PARTIDAS!$G4486,")"))</f>
        <v>Fibras sintéticas o artificiales discontinuas (los demás)</v>
      </c>
      <c r="I4486" s="16" t="s">
        <v>9427</v>
      </c>
    </row>
    <row r="4487" spans="1:9" x14ac:dyDescent="0.25">
      <c r="A4487" s="16" t="s">
        <v>5430</v>
      </c>
      <c r="B4487" s="16" t="str">
        <f>TEXT(PARTIDA[[#This Row],[PARTIDA]],"0000000000")</f>
        <v>5516110000</v>
      </c>
      <c r="C4487" s="16" t="s">
        <v>815</v>
      </c>
      <c r="D4487" s="16" t="s">
        <v>835</v>
      </c>
      <c r="E4487" s="16" t="s">
        <v>842</v>
      </c>
      <c r="F4487" s="27" t="s">
        <v>13142</v>
      </c>
      <c r="G4487" s="27"/>
      <c r="H4487" s="16" t="str">
        <f>IF(ISBLANK(PARTIDAS!$G4487),PARTIDAS!$F4487,CONCATENATE(PARTIDAS!$F4487," (",PARTIDAS!$G4487,")"))</f>
        <v>Tejidos de fibras artificiales discontinuas, con un contenido de fibras artificiales discontinuas superior o igual…, crudos o blanqueados</v>
      </c>
      <c r="I4487" s="16" t="s">
        <v>9427</v>
      </c>
    </row>
    <row r="4488" spans="1:9" x14ac:dyDescent="0.25">
      <c r="A4488" s="16" t="s">
        <v>5431</v>
      </c>
      <c r="B4488" s="16" t="str">
        <f>TEXT(PARTIDA[[#This Row],[PARTIDA]],"0000000000")</f>
        <v>5516120000</v>
      </c>
      <c r="C4488" s="16" t="s">
        <v>815</v>
      </c>
      <c r="D4488" s="16" t="s">
        <v>835</v>
      </c>
      <c r="E4488" s="16" t="s">
        <v>842</v>
      </c>
      <c r="F4488" s="27" t="s">
        <v>13143</v>
      </c>
      <c r="G4488" s="27"/>
      <c r="H4488" s="16" t="str">
        <f>IF(ISBLANK(PARTIDAS!$G4488),PARTIDAS!$F4488,CONCATENATE(PARTIDAS!$F4488," (",PARTIDAS!$G4488,")"))</f>
        <v>Tejidos de fibras artificiales discontinuas, con un contenido de fibras artificiales discontinuas superior o igual…, teñidos</v>
      </c>
      <c r="I4488" s="16" t="s">
        <v>9427</v>
      </c>
    </row>
    <row r="4489" spans="1:9" x14ac:dyDescent="0.25">
      <c r="A4489" s="16" t="s">
        <v>5432</v>
      </c>
      <c r="B4489" s="16" t="str">
        <f>TEXT(PARTIDA[[#This Row],[PARTIDA]],"0000000000")</f>
        <v>5516130000</v>
      </c>
      <c r="C4489" s="16" t="s">
        <v>815</v>
      </c>
      <c r="D4489" s="16" t="s">
        <v>835</v>
      </c>
      <c r="E4489" s="16" t="s">
        <v>842</v>
      </c>
      <c r="F4489" s="27" t="s">
        <v>13144</v>
      </c>
      <c r="G4489" s="27"/>
      <c r="H4489" s="16" t="str">
        <f>IF(ISBLANK(PARTIDAS!$G4489),PARTIDAS!$F4489,CONCATENATE(PARTIDAS!$F4489," (",PARTIDAS!$G4489,")"))</f>
        <v>Tejidos de fibras artificiales discontinuas, con un contenido de fibras artificiales discontinuas superior o igual…, con hilados de distintos colores</v>
      </c>
      <c r="I4489" s="16" t="s">
        <v>9427</v>
      </c>
    </row>
    <row r="4490" spans="1:9" x14ac:dyDescent="0.25">
      <c r="A4490" s="16" t="s">
        <v>5433</v>
      </c>
      <c r="B4490" s="16" t="str">
        <f>TEXT(PARTIDA[[#This Row],[PARTIDA]],"0000000000")</f>
        <v>5516140000</v>
      </c>
      <c r="C4490" s="16" t="s">
        <v>815</v>
      </c>
      <c r="D4490" s="16" t="s">
        <v>835</v>
      </c>
      <c r="E4490" s="16" t="s">
        <v>842</v>
      </c>
      <c r="F4490" s="27" t="s">
        <v>13145</v>
      </c>
      <c r="G4490" s="27"/>
      <c r="H4490" s="16" t="str">
        <f>IF(ISBLANK(PARTIDAS!$G4490),PARTIDAS!$F4490,CONCATENATE(PARTIDAS!$F4490," (",PARTIDAS!$G4490,")"))</f>
        <v>Tejidos de fibras artificiales discontinuas, con un contenido de fibras artificiales discontinuas superior o igual…, estampados</v>
      </c>
      <c r="I4490" s="16" t="s">
        <v>9427</v>
      </c>
    </row>
    <row r="4491" spans="1:9" x14ac:dyDescent="0.25">
      <c r="A4491" s="16" t="s">
        <v>5434</v>
      </c>
      <c r="B4491" s="16" t="str">
        <f>TEXT(PARTIDA[[#This Row],[PARTIDA]],"0000000000")</f>
        <v>5516210000</v>
      </c>
      <c r="C4491" s="16" t="s">
        <v>815</v>
      </c>
      <c r="D4491" s="16" t="s">
        <v>835</v>
      </c>
      <c r="E4491" s="16" t="s">
        <v>842</v>
      </c>
      <c r="F4491" s="27" t="s">
        <v>13146</v>
      </c>
      <c r="G4491" s="27"/>
      <c r="H4491" s="16" t="str">
        <f>IF(ISBLANK(PARTIDAS!$G4491),PARTIDAS!$F4491,CONCATENATE(PARTIDAS!$F4491," (",PARTIDAS!$G4491,")"))</f>
        <v>Tejidos de fibras artificiales discontinuas, con un contenido de fibras artificiales discontinuas inferior al 85 %…, crudos o blanqueados</v>
      </c>
      <c r="I4491" s="16" t="s">
        <v>9427</v>
      </c>
    </row>
    <row r="4492" spans="1:9" x14ac:dyDescent="0.25">
      <c r="A4492" s="16" t="s">
        <v>5435</v>
      </c>
      <c r="B4492" s="16" t="str">
        <f>TEXT(PARTIDA[[#This Row],[PARTIDA]],"0000000000")</f>
        <v>5516220000</v>
      </c>
      <c r="C4492" s="16" t="s">
        <v>815</v>
      </c>
      <c r="D4492" s="16" t="s">
        <v>835</v>
      </c>
      <c r="E4492" s="16" t="s">
        <v>842</v>
      </c>
      <c r="F4492" s="27" t="s">
        <v>13147</v>
      </c>
      <c r="G4492" s="27"/>
      <c r="H4492" s="16" t="str">
        <f>IF(ISBLANK(PARTIDAS!$G4492),PARTIDAS!$F4492,CONCATENATE(PARTIDAS!$F4492," (",PARTIDAS!$G4492,")"))</f>
        <v>Tejidos de fibras artificiales discontinuas, con un contenido de fibras artificiales discontinuas inferior al 85 %…, teñidos</v>
      </c>
      <c r="I4492" s="16" t="s">
        <v>9427</v>
      </c>
    </row>
    <row r="4493" spans="1:9" x14ac:dyDescent="0.25">
      <c r="A4493" s="16" t="s">
        <v>5436</v>
      </c>
      <c r="B4493" s="16" t="str">
        <f>TEXT(PARTIDA[[#This Row],[PARTIDA]],"0000000000")</f>
        <v>5516230000</v>
      </c>
      <c r="C4493" s="16" t="s">
        <v>815</v>
      </c>
      <c r="D4493" s="16" t="s">
        <v>835</v>
      </c>
      <c r="E4493" s="16" t="s">
        <v>842</v>
      </c>
      <c r="F4493" s="27" t="s">
        <v>13148</v>
      </c>
      <c r="G4493" s="27"/>
      <c r="H4493" s="16" t="str">
        <f>IF(ISBLANK(PARTIDAS!$G4493),PARTIDAS!$F4493,CONCATENATE(PARTIDAS!$F4493," (",PARTIDAS!$G4493,")"))</f>
        <v>Tejidos de fibras artificiales discontinuas, con un contenido de fibras artificiales discontinuas inferior al 85 %…, con hilados de distintos colores</v>
      </c>
      <c r="I4493" s="16" t="s">
        <v>9427</v>
      </c>
    </row>
    <row r="4494" spans="1:9" x14ac:dyDescent="0.25">
      <c r="A4494" s="16" t="s">
        <v>5437</v>
      </c>
      <c r="B4494" s="16" t="str">
        <f>TEXT(PARTIDA[[#This Row],[PARTIDA]],"0000000000")</f>
        <v>5516240000</v>
      </c>
      <c r="C4494" s="16" t="s">
        <v>815</v>
      </c>
      <c r="D4494" s="16" t="s">
        <v>835</v>
      </c>
      <c r="E4494" s="16" t="s">
        <v>842</v>
      </c>
      <c r="F4494" s="27" t="s">
        <v>13149</v>
      </c>
      <c r="G4494" s="27"/>
      <c r="H4494" s="16" t="str">
        <f>IF(ISBLANK(PARTIDAS!$G4494),PARTIDAS!$F4494,CONCATENATE(PARTIDAS!$F4494," (",PARTIDAS!$G4494,")"))</f>
        <v>Tejidos de fibras artificiales discontinuas, con un contenido de fibras artificiales discontinuas inferior al 85 %…, estampados</v>
      </c>
      <c r="I4494" s="16" t="s">
        <v>9427</v>
      </c>
    </row>
    <row r="4495" spans="1:9" x14ac:dyDescent="0.25">
      <c r="A4495" s="16" t="s">
        <v>5438</v>
      </c>
      <c r="B4495" s="16" t="str">
        <f>TEXT(PARTIDA[[#This Row],[PARTIDA]],"0000000000")</f>
        <v>5516310000</v>
      </c>
      <c r="C4495" s="16" t="s">
        <v>815</v>
      </c>
      <c r="D4495" s="16" t="s">
        <v>835</v>
      </c>
      <c r="E4495" s="16" t="s">
        <v>842</v>
      </c>
      <c r="F4495" s="27" t="s">
        <v>13146</v>
      </c>
      <c r="G4495" s="27"/>
      <c r="H4495" s="16" t="str">
        <f>IF(ISBLANK(PARTIDAS!$G4495),PARTIDAS!$F4495,CONCATENATE(PARTIDAS!$F4495," (",PARTIDAS!$G4495,")"))</f>
        <v>Tejidos de fibras artificiales discontinuas, con un contenido de fibras artificiales discontinuas inferior al 85 %…, crudos o blanqueados</v>
      </c>
      <c r="I4495" s="16" t="s">
        <v>9427</v>
      </c>
    </row>
    <row r="4496" spans="1:9" x14ac:dyDescent="0.25">
      <c r="A4496" s="16" t="s">
        <v>5439</v>
      </c>
      <c r="B4496" s="16" t="str">
        <f>TEXT(PARTIDA[[#This Row],[PARTIDA]],"0000000000")</f>
        <v>5516320000</v>
      </c>
      <c r="C4496" s="16" t="s">
        <v>815</v>
      </c>
      <c r="D4496" s="16" t="s">
        <v>835</v>
      </c>
      <c r="E4496" s="16" t="s">
        <v>842</v>
      </c>
      <c r="F4496" s="27" t="s">
        <v>13147</v>
      </c>
      <c r="G4496" s="27"/>
      <c r="H4496" s="16" t="str">
        <f>IF(ISBLANK(PARTIDAS!$G4496),PARTIDAS!$F4496,CONCATENATE(PARTIDAS!$F4496," (",PARTIDAS!$G4496,")"))</f>
        <v>Tejidos de fibras artificiales discontinuas, con un contenido de fibras artificiales discontinuas inferior al 85 %…, teñidos</v>
      </c>
      <c r="I4496" s="16" t="s">
        <v>9427</v>
      </c>
    </row>
    <row r="4497" spans="1:9" x14ac:dyDescent="0.25">
      <c r="A4497" s="16" t="s">
        <v>5440</v>
      </c>
      <c r="B4497" s="16" t="str">
        <f>TEXT(PARTIDA[[#This Row],[PARTIDA]],"0000000000")</f>
        <v>5516330000</v>
      </c>
      <c r="C4497" s="16" t="s">
        <v>815</v>
      </c>
      <c r="D4497" s="16" t="s">
        <v>835</v>
      </c>
      <c r="E4497" s="16" t="s">
        <v>842</v>
      </c>
      <c r="F4497" s="27" t="s">
        <v>13148</v>
      </c>
      <c r="G4497" s="27"/>
      <c r="H4497" s="16" t="str">
        <f>IF(ISBLANK(PARTIDAS!$G4497),PARTIDAS!$F4497,CONCATENATE(PARTIDAS!$F4497," (",PARTIDAS!$G4497,")"))</f>
        <v>Tejidos de fibras artificiales discontinuas, con un contenido de fibras artificiales discontinuas inferior al 85 %…, con hilados de distintos colores</v>
      </c>
      <c r="I4497" s="16" t="s">
        <v>9427</v>
      </c>
    </row>
    <row r="4498" spans="1:9" x14ac:dyDescent="0.25">
      <c r="A4498" s="16" t="s">
        <v>5441</v>
      </c>
      <c r="B4498" s="16" t="str">
        <f>TEXT(PARTIDA[[#This Row],[PARTIDA]],"0000000000")</f>
        <v>5516340000</v>
      </c>
      <c r="C4498" s="16" t="s">
        <v>815</v>
      </c>
      <c r="D4498" s="16" t="s">
        <v>835</v>
      </c>
      <c r="E4498" s="16" t="s">
        <v>842</v>
      </c>
      <c r="F4498" s="27" t="s">
        <v>13149</v>
      </c>
      <c r="G4498" s="27"/>
      <c r="H4498" s="16" t="str">
        <f>IF(ISBLANK(PARTIDAS!$G4498),PARTIDAS!$F4498,CONCATENATE(PARTIDAS!$F4498," (",PARTIDAS!$G4498,")"))</f>
        <v>Tejidos de fibras artificiales discontinuas, con un contenido de fibras artificiales discontinuas inferior al 85 %…, estampados</v>
      </c>
      <c r="I4498" s="16" t="s">
        <v>9427</v>
      </c>
    </row>
    <row r="4499" spans="1:9" x14ac:dyDescent="0.25">
      <c r="A4499" s="16" t="s">
        <v>5442</v>
      </c>
      <c r="B4499" s="16" t="str">
        <f>TEXT(PARTIDA[[#This Row],[PARTIDA]],"0000000000")</f>
        <v>5516410000</v>
      </c>
      <c r="C4499" s="16" t="s">
        <v>815</v>
      </c>
      <c r="D4499" s="16" t="s">
        <v>835</v>
      </c>
      <c r="E4499" s="16" t="s">
        <v>842</v>
      </c>
      <c r="F4499" s="27" t="s">
        <v>13146</v>
      </c>
      <c r="G4499" s="27"/>
      <c r="H4499" s="16" t="str">
        <f>IF(ISBLANK(PARTIDAS!$G4499),PARTIDAS!$F4499,CONCATENATE(PARTIDAS!$F4499," (",PARTIDAS!$G4499,")"))</f>
        <v>Tejidos de fibras artificiales discontinuas, con un contenido de fibras artificiales discontinuas inferior al 85 %…, crudos o blanqueados</v>
      </c>
      <c r="I4499" s="16" t="s">
        <v>9427</v>
      </c>
    </row>
    <row r="4500" spans="1:9" x14ac:dyDescent="0.25">
      <c r="A4500" s="16" t="s">
        <v>5443</v>
      </c>
      <c r="B4500" s="16" t="str">
        <f>TEXT(PARTIDA[[#This Row],[PARTIDA]],"0000000000")</f>
        <v>5516420000</v>
      </c>
      <c r="C4500" s="16" t="s">
        <v>815</v>
      </c>
      <c r="D4500" s="16" t="s">
        <v>835</v>
      </c>
      <c r="E4500" s="16" t="s">
        <v>842</v>
      </c>
      <c r="F4500" s="27" t="s">
        <v>13147</v>
      </c>
      <c r="G4500" s="27"/>
      <c r="H4500" s="16" t="str">
        <f>IF(ISBLANK(PARTIDAS!$G4500),PARTIDAS!$F4500,CONCATENATE(PARTIDAS!$F4500," (",PARTIDAS!$G4500,")"))</f>
        <v>Tejidos de fibras artificiales discontinuas, con un contenido de fibras artificiales discontinuas inferior al 85 %…, teñidos</v>
      </c>
      <c r="I4500" s="16" t="s">
        <v>9427</v>
      </c>
    </row>
    <row r="4501" spans="1:9" x14ac:dyDescent="0.25">
      <c r="A4501" s="16" t="s">
        <v>5444</v>
      </c>
      <c r="B4501" s="16" t="str">
        <f>TEXT(PARTIDA[[#This Row],[PARTIDA]],"0000000000")</f>
        <v>5516430000</v>
      </c>
      <c r="C4501" s="16" t="s">
        <v>815</v>
      </c>
      <c r="D4501" s="16" t="s">
        <v>835</v>
      </c>
      <c r="E4501" s="16" t="s">
        <v>842</v>
      </c>
      <c r="F4501" s="27" t="s">
        <v>13148</v>
      </c>
      <c r="G4501" s="27"/>
      <c r="H4501" s="16" t="str">
        <f>IF(ISBLANK(PARTIDAS!$G4501),PARTIDAS!$F4501,CONCATENATE(PARTIDAS!$F4501," (",PARTIDAS!$G4501,")"))</f>
        <v>Tejidos de fibras artificiales discontinuas, con un contenido de fibras artificiales discontinuas inferior al 85 %…, con hilados de distintos colores</v>
      </c>
      <c r="I4501" s="16" t="s">
        <v>9427</v>
      </c>
    </row>
    <row r="4502" spans="1:9" x14ac:dyDescent="0.25">
      <c r="A4502" s="16" t="s">
        <v>5445</v>
      </c>
      <c r="B4502" s="16" t="str">
        <f>TEXT(PARTIDA[[#This Row],[PARTIDA]],"0000000000")</f>
        <v>5516440000</v>
      </c>
      <c r="C4502" s="16" t="s">
        <v>815</v>
      </c>
      <c r="D4502" s="16" t="s">
        <v>835</v>
      </c>
      <c r="E4502" s="16" t="s">
        <v>842</v>
      </c>
      <c r="F4502" s="27" t="s">
        <v>13149</v>
      </c>
      <c r="G4502" s="27"/>
      <c r="H4502" s="16" t="str">
        <f>IF(ISBLANK(PARTIDAS!$G4502),PARTIDAS!$F4502,CONCATENATE(PARTIDAS!$F4502," (",PARTIDAS!$G4502,")"))</f>
        <v>Tejidos de fibras artificiales discontinuas, con un contenido de fibras artificiales discontinuas inferior al 85 %…, estampados</v>
      </c>
      <c r="I4502" s="16" t="s">
        <v>9427</v>
      </c>
    </row>
    <row r="4503" spans="1:9" x14ac:dyDescent="0.25">
      <c r="A4503" s="16" t="s">
        <v>5446</v>
      </c>
      <c r="B4503" s="16" t="str">
        <f>TEXT(PARTIDA[[#This Row],[PARTIDA]],"0000000000")</f>
        <v>5516910000</v>
      </c>
      <c r="C4503" s="16" t="s">
        <v>815</v>
      </c>
      <c r="D4503" s="16" t="s">
        <v>835</v>
      </c>
      <c r="E4503" s="16" t="s">
        <v>842</v>
      </c>
      <c r="F4503" s="27" t="s">
        <v>13150</v>
      </c>
      <c r="G4503" s="27"/>
      <c r="H4503" s="16" t="str">
        <f>IF(ISBLANK(PARTIDAS!$G4503),PARTIDAS!$F4503,CONCATENATE(PARTIDAS!$F4503," (",PARTIDAS!$G4503,")"))</f>
        <v>Tejidos de fibras artificiales discontinuas, crudos o blanqueados</v>
      </c>
      <c r="I4503" s="16" t="s">
        <v>9427</v>
      </c>
    </row>
    <row r="4504" spans="1:9" x14ac:dyDescent="0.25">
      <c r="A4504" s="16" t="s">
        <v>5447</v>
      </c>
      <c r="B4504" s="16" t="str">
        <f>TEXT(PARTIDA[[#This Row],[PARTIDA]],"0000000000")</f>
        <v>5516920000</v>
      </c>
      <c r="C4504" s="16" t="s">
        <v>815</v>
      </c>
      <c r="D4504" s="16" t="s">
        <v>835</v>
      </c>
      <c r="E4504" s="16" t="s">
        <v>842</v>
      </c>
      <c r="F4504" s="27" t="s">
        <v>13151</v>
      </c>
      <c r="G4504" s="27"/>
      <c r="H4504" s="16" t="str">
        <f>IF(ISBLANK(PARTIDAS!$G4504),PARTIDAS!$F4504,CONCATENATE(PARTIDAS!$F4504," (",PARTIDAS!$G4504,")"))</f>
        <v>Tejidos de fibras artificiales discontinuas, teñidos</v>
      </c>
      <c r="I4504" s="16" t="s">
        <v>9427</v>
      </c>
    </row>
    <row r="4505" spans="1:9" x14ac:dyDescent="0.25">
      <c r="A4505" s="16" t="s">
        <v>5448</v>
      </c>
      <c r="B4505" s="16" t="str">
        <f>TEXT(PARTIDA[[#This Row],[PARTIDA]],"0000000000")</f>
        <v>5516930000</v>
      </c>
      <c r="C4505" s="16" t="s">
        <v>815</v>
      </c>
      <c r="D4505" s="16" t="s">
        <v>835</v>
      </c>
      <c r="E4505" s="16" t="s">
        <v>842</v>
      </c>
      <c r="F4505" s="27" t="s">
        <v>13152</v>
      </c>
      <c r="G4505" s="27"/>
      <c r="H4505" s="16" t="str">
        <f>IF(ISBLANK(PARTIDAS!$G4505),PARTIDAS!$F4505,CONCATENATE(PARTIDAS!$F4505," (",PARTIDAS!$G4505,")"))</f>
        <v>Tejidos de fibras artificiales discontinuas, con hilados de distintos colores</v>
      </c>
      <c r="I4505" s="16" t="s">
        <v>9427</v>
      </c>
    </row>
    <row r="4506" spans="1:9" x14ac:dyDescent="0.25">
      <c r="A4506" s="16" t="s">
        <v>5449</v>
      </c>
      <c r="B4506" s="16" t="str">
        <f>TEXT(PARTIDA[[#This Row],[PARTIDA]],"0000000000")</f>
        <v>5516940000</v>
      </c>
      <c r="C4506" s="16" t="s">
        <v>815</v>
      </c>
      <c r="D4506" s="16" t="s">
        <v>835</v>
      </c>
      <c r="E4506" s="16" t="s">
        <v>842</v>
      </c>
      <c r="F4506" s="27" t="s">
        <v>13153</v>
      </c>
      <c r="G4506" s="27"/>
      <c r="H4506" s="16" t="str">
        <f>IF(ISBLANK(PARTIDAS!$G4506),PARTIDAS!$F4506,CONCATENATE(PARTIDAS!$F4506," (",PARTIDAS!$G4506,")"))</f>
        <v>Tejidos de fibras artificiales discontinuas, estampados</v>
      </c>
      <c r="I4506" s="16" t="s">
        <v>9427</v>
      </c>
    </row>
    <row r="4507" spans="1:9" x14ac:dyDescent="0.25">
      <c r="A4507" s="16" t="s">
        <v>5450</v>
      </c>
      <c r="B4507" s="16" t="str">
        <f>TEXT(PARTIDA[[#This Row],[PARTIDA]],"0000000000")</f>
        <v>5601210000</v>
      </c>
      <c r="C4507" s="16" t="s">
        <v>815</v>
      </c>
      <c r="D4507" s="16" t="s">
        <v>835</v>
      </c>
      <c r="E4507" s="16" t="s">
        <v>844</v>
      </c>
      <c r="F4507" s="27" t="s">
        <v>13154</v>
      </c>
      <c r="G4507" s="27"/>
      <c r="H4507" s="16" t="str">
        <f>IF(ISBLANK(PARTIDAS!$G4507),PARTIDAS!$F4507,CONCATENATE(PARTIDAS!$F4507," (",PARTIDAS!$G4507,")"))</f>
        <v>Guata de materia textil y artículos de esta guata, de algodón</v>
      </c>
      <c r="I4507" s="16" t="s">
        <v>9427</v>
      </c>
    </row>
    <row r="4508" spans="1:9" x14ac:dyDescent="0.25">
      <c r="A4508" s="16" t="s">
        <v>5451</v>
      </c>
      <c r="B4508" s="16" t="str">
        <f>TEXT(PARTIDA[[#This Row],[PARTIDA]],"0000000000")</f>
        <v>5601220000</v>
      </c>
      <c r="C4508" s="16" t="s">
        <v>815</v>
      </c>
      <c r="D4508" s="16" t="s">
        <v>835</v>
      </c>
      <c r="E4508" s="16" t="s">
        <v>844</v>
      </c>
      <c r="F4508" s="27" t="s">
        <v>13155</v>
      </c>
      <c r="G4508" s="27"/>
      <c r="H4508" s="16" t="str">
        <f>IF(ISBLANK(PARTIDAS!$G4508),PARTIDAS!$F4508,CONCATENATE(PARTIDAS!$F4508," (",PARTIDAS!$G4508,")"))</f>
        <v>Guata de materia textil y artículos de esta guata, de fibras sintéticas o artificiales</v>
      </c>
      <c r="I4508" s="16" t="s">
        <v>9427</v>
      </c>
    </row>
    <row r="4509" spans="1:9" x14ac:dyDescent="0.25">
      <c r="A4509" s="16" t="s">
        <v>5452</v>
      </c>
      <c r="B4509" s="16" t="str">
        <f>TEXT(PARTIDA[[#This Row],[PARTIDA]],"0000000000")</f>
        <v>5601290000</v>
      </c>
      <c r="C4509" s="16" t="s">
        <v>815</v>
      </c>
      <c r="D4509" s="16" t="s">
        <v>835</v>
      </c>
      <c r="E4509" s="16" t="s">
        <v>844</v>
      </c>
      <c r="F4509" s="27" t="s">
        <v>13156</v>
      </c>
      <c r="G4509" s="27"/>
      <c r="H4509" s="16" t="str">
        <f>IF(ISBLANK(PARTIDAS!$G4509),PARTIDAS!$F4509,CONCATENATE(PARTIDAS!$F4509," (",PARTIDAS!$G4509,")"))</f>
        <v>Guata de materia textil y artículos de esta guata (los demás)</v>
      </c>
      <c r="I4509" s="16" t="s">
        <v>9427</v>
      </c>
    </row>
    <row r="4510" spans="1:9" x14ac:dyDescent="0.25">
      <c r="A4510" s="16" t="s">
        <v>5453</v>
      </c>
      <c r="B4510" s="16" t="str">
        <f>TEXT(PARTIDA[[#This Row],[PARTIDA]],"0000000000")</f>
        <v>5601300000</v>
      </c>
      <c r="C4510" s="16" t="s">
        <v>815</v>
      </c>
      <c r="D4510" s="16" t="s">
        <v>835</v>
      </c>
      <c r="E4510" s="16" t="s">
        <v>844</v>
      </c>
      <c r="F4510" s="27" t="s">
        <v>13157</v>
      </c>
      <c r="G4510" s="27"/>
      <c r="H4510" s="16" t="str">
        <f>IF(ISBLANK(PARTIDAS!$G4510),PARTIDAS!$F4510,CONCATENATE(PARTIDAS!$F4510," (",PARTIDAS!$G4510,")"))</f>
        <v>Tundizno, nudos y motas de materia textil</v>
      </c>
      <c r="I4510" s="16" t="s">
        <v>9427</v>
      </c>
    </row>
    <row r="4511" spans="1:9" x14ac:dyDescent="0.25">
      <c r="A4511" s="16" t="s">
        <v>5454</v>
      </c>
      <c r="B4511" s="16" t="str">
        <f>TEXT(PARTIDA[[#This Row],[PARTIDA]],"0000000000")</f>
        <v>5602100000</v>
      </c>
      <c r="C4511" s="16" t="s">
        <v>815</v>
      </c>
      <c r="D4511" s="16" t="s">
        <v>835</v>
      </c>
      <c r="E4511" s="16" t="s">
        <v>844</v>
      </c>
      <c r="F4511" s="27" t="s">
        <v>13158</v>
      </c>
      <c r="G4511" s="27"/>
      <c r="H4511" s="16" t="str">
        <f>IF(ISBLANK(PARTIDAS!$G4511),PARTIDAS!$F4511,CONCATENATE(PARTIDAS!$F4511," (",PARTIDAS!$G4511,")"))</f>
        <v>Fieltro punzonado y productos obtenidos mediante costura por cadeneta</v>
      </c>
      <c r="I4511" s="16" t="s">
        <v>9427</v>
      </c>
    </row>
    <row r="4512" spans="1:9" x14ac:dyDescent="0.25">
      <c r="A4512" s="16" t="s">
        <v>5455</v>
      </c>
      <c r="B4512" s="16" t="str">
        <f>TEXT(PARTIDA[[#This Row],[PARTIDA]],"0000000000")</f>
        <v>5602210000</v>
      </c>
      <c r="C4512" s="16" t="s">
        <v>815</v>
      </c>
      <c r="D4512" s="16" t="s">
        <v>835</v>
      </c>
      <c r="E4512" s="16" t="s">
        <v>844</v>
      </c>
      <c r="F4512" s="27" t="s">
        <v>13159</v>
      </c>
      <c r="G4512" s="27"/>
      <c r="H4512" s="16" t="str">
        <f>IF(ISBLANK(PARTIDAS!$G4512),PARTIDAS!$F4512,CONCATENATE(PARTIDAS!$F4512," (",PARTIDAS!$G4512,")"))</f>
        <v>Fieltro, incluso impregnado, recubierto, revestido o estratificado, de lana o pelo fino</v>
      </c>
      <c r="I4512" s="16" t="s">
        <v>9427</v>
      </c>
    </row>
    <row r="4513" spans="1:9" x14ac:dyDescent="0.25">
      <c r="A4513" s="16" t="s">
        <v>5456</v>
      </c>
      <c r="B4513" s="16" t="str">
        <f>TEXT(PARTIDA[[#This Row],[PARTIDA]],"0000000000")</f>
        <v>5602290000</v>
      </c>
      <c r="C4513" s="16" t="s">
        <v>815</v>
      </c>
      <c r="D4513" s="16" t="s">
        <v>835</v>
      </c>
      <c r="E4513" s="16" t="s">
        <v>844</v>
      </c>
      <c r="F4513" s="27" t="s">
        <v>13160</v>
      </c>
      <c r="G4513" s="27"/>
      <c r="H4513" s="16" t="str">
        <f>IF(ISBLANK(PARTIDAS!$G4513),PARTIDAS!$F4513,CONCATENATE(PARTIDAS!$F4513," (",PARTIDAS!$G4513,")"))</f>
        <v>Fieltro, incluso impregnado, recubierto, revestido o estratificado, de las demás materias textiles</v>
      </c>
      <c r="I4513" s="16" t="s">
        <v>9427</v>
      </c>
    </row>
    <row r="4514" spans="1:9" x14ac:dyDescent="0.25">
      <c r="A4514" s="16" t="s">
        <v>5457</v>
      </c>
      <c r="B4514" s="16" t="str">
        <f>TEXT(PARTIDA[[#This Row],[PARTIDA]],"0000000000")</f>
        <v>5602900000</v>
      </c>
      <c r="C4514" s="16" t="s">
        <v>815</v>
      </c>
      <c r="D4514" s="16" t="s">
        <v>835</v>
      </c>
      <c r="E4514" s="16" t="s">
        <v>844</v>
      </c>
      <c r="F4514" s="27" t="s">
        <v>13161</v>
      </c>
      <c r="G4514" s="27"/>
      <c r="H4514" s="16" t="str">
        <f>IF(ISBLANK(PARTIDAS!$G4514),PARTIDAS!$F4514,CONCATENATE(PARTIDAS!$F4514," (",PARTIDAS!$G4514,")"))</f>
        <v>Fieltro, incluso impregnado, recubierto, revestido o estratificado (los demás)</v>
      </c>
      <c r="I4514" s="16" t="s">
        <v>9427</v>
      </c>
    </row>
    <row r="4515" spans="1:9" x14ac:dyDescent="0.25">
      <c r="A4515" s="16" t="s">
        <v>5458</v>
      </c>
      <c r="B4515" s="16" t="str">
        <f>TEXT(PARTIDA[[#This Row],[PARTIDA]],"0000000000")</f>
        <v>5603110000</v>
      </c>
      <c r="C4515" s="16" t="s">
        <v>815</v>
      </c>
      <c r="D4515" s="16" t="s">
        <v>835</v>
      </c>
      <c r="E4515" s="16" t="s">
        <v>844</v>
      </c>
      <c r="F4515" s="27" t="s">
        <v>13162</v>
      </c>
      <c r="G4515" s="27"/>
      <c r="H4515" s="16" t="str">
        <f>IF(ISBLANK(PARTIDAS!$G4515),PARTIDAS!$F4515,CONCATENATE(PARTIDAS!$F4515," (",PARTIDAS!$G4515,")"))</f>
        <v>Tela sin tejer, incluso impregnada, recubierta…, de filamentos sintéticos o artificiales, de peso inferior o igual a 25 g/m2</v>
      </c>
      <c r="I4515" s="16" t="s">
        <v>9427</v>
      </c>
    </row>
    <row r="4516" spans="1:9" x14ac:dyDescent="0.25">
      <c r="A4516" s="16" t="s">
        <v>5459</v>
      </c>
      <c r="B4516" s="16" t="str">
        <f>TEXT(PARTIDA[[#This Row],[PARTIDA]],"0000000000")</f>
        <v>5603121000</v>
      </c>
      <c r="C4516" s="16" t="s">
        <v>815</v>
      </c>
      <c r="D4516" s="16" t="s">
        <v>835</v>
      </c>
      <c r="E4516" s="16" t="s">
        <v>844</v>
      </c>
      <c r="F4516" s="27" t="s">
        <v>13163</v>
      </c>
      <c r="G4516" s="27"/>
      <c r="H4516" s="16" t="str">
        <f>IF(ISBLANK(PARTIDAS!$G4516),PARTIDAS!$F4516,CONCATENATE(PARTIDAS!$F4516," (",PARTIDAS!$G4516,")"))</f>
        <v xml:space="preserve">Tela sin tejer, incluso impregnada, recubierta…, de filamentos sintéticos o artificiales, de peso superior a 25 g/m2 pero inferior o igual a 70 g/m2, </v>
      </c>
      <c r="I4516" s="16" t="s">
        <v>9427</v>
      </c>
    </row>
    <row r="4517" spans="1:9" x14ac:dyDescent="0.25">
      <c r="A4517" s="16" t="s">
        <v>5460</v>
      </c>
      <c r="B4517" s="16" t="str">
        <f>TEXT(PARTIDA[[#This Row],[PARTIDA]],"0000000000")</f>
        <v>5603129000</v>
      </c>
      <c r="C4517" s="16" t="s">
        <v>815</v>
      </c>
      <c r="D4517" s="16" t="s">
        <v>835</v>
      </c>
      <c r="E4517" s="16" t="s">
        <v>844</v>
      </c>
      <c r="F4517" s="27" t="s">
        <v>13164</v>
      </c>
      <c r="G4517" s="27"/>
      <c r="H4517" s="16" t="str">
        <f>IF(ISBLANK(PARTIDAS!$G4517),PARTIDAS!$F4517,CONCATENATE(PARTIDAS!$F4517," (",PARTIDAS!$G4517,")"))</f>
        <v>Tela sin tejer, incluso impregnada, recubierta…, de filamentos sintéticos o artificiales, de peso superior a 25 g/m2 pero inferior o igual a 70 g/m2 (</v>
      </c>
      <c r="I4517" s="16" t="s">
        <v>9427</v>
      </c>
    </row>
    <row r="4518" spans="1:9" x14ac:dyDescent="0.25">
      <c r="A4518" s="16" t="s">
        <v>5461</v>
      </c>
      <c r="B4518" s="16" t="str">
        <f>TEXT(PARTIDA[[#This Row],[PARTIDA]],"0000000000")</f>
        <v>5603130000</v>
      </c>
      <c r="C4518" s="16" t="s">
        <v>815</v>
      </c>
      <c r="D4518" s="16" t="s">
        <v>835</v>
      </c>
      <c r="E4518" s="16" t="s">
        <v>844</v>
      </c>
      <c r="F4518" s="27" t="s">
        <v>13165</v>
      </c>
      <c r="G4518" s="27"/>
      <c r="H4518" s="16" t="str">
        <f>IF(ISBLANK(PARTIDAS!$G4518),PARTIDAS!$F4518,CONCATENATE(PARTIDAS!$F4518," (",PARTIDAS!$G4518,")"))</f>
        <v>Tela sin tejer, incluso impregnada, recubierta…, de filamentos sintéticos o artificiales, de peso superior a 70 g/m2 pero inferior o igual a 150 g/m2</v>
      </c>
      <c r="I4518" s="16" t="s">
        <v>9427</v>
      </c>
    </row>
    <row r="4519" spans="1:9" x14ac:dyDescent="0.25">
      <c r="A4519" s="16" t="s">
        <v>5462</v>
      </c>
      <c r="B4519" s="16" t="str">
        <f>TEXT(PARTIDA[[#This Row],[PARTIDA]],"0000000000")</f>
        <v>5603140000</v>
      </c>
      <c r="C4519" s="16" t="s">
        <v>815</v>
      </c>
      <c r="D4519" s="16" t="s">
        <v>835</v>
      </c>
      <c r="E4519" s="16" t="s">
        <v>844</v>
      </c>
      <c r="F4519" s="27" t="s">
        <v>13166</v>
      </c>
      <c r="G4519" s="27"/>
      <c r="H4519" s="16" t="str">
        <f>IF(ISBLANK(PARTIDAS!$G4519),PARTIDAS!$F4519,CONCATENATE(PARTIDAS!$F4519," (",PARTIDAS!$G4519,")"))</f>
        <v>Tela sin tejer, incluso impregnada, recubierta…, de filamentos sintéticos o artificiales, de peso superior a 150 g/m2</v>
      </c>
      <c r="I4519" s="16" t="s">
        <v>9427</v>
      </c>
    </row>
    <row r="4520" spans="1:9" x14ac:dyDescent="0.25">
      <c r="A4520" s="16" t="s">
        <v>5463</v>
      </c>
      <c r="B4520" s="16" t="str">
        <f>TEXT(PARTIDA[[#This Row],[PARTIDA]],"0000000000")</f>
        <v>5603910000</v>
      </c>
      <c r="C4520" s="16" t="s">
        <v>815</v>
      </c>
      <c r="D4520" s="16" t="s">
        <v>835</v>
      </c>
      <c r="E4520" s="16" t="s">
        <v>844</v>
      </c>
      <c r="F4520" s="27" t="s">
        <v>13167</v>
      </c>
      <c r="G4520" s="27"/>
      <c r="H4520" s="16" t="str">
        <f>IF(ISBLANK(PARTIDAS!$G4520),PARTIDAS!$F4520,CONCATENATE(PARTIDAS!$F4520," (",PARTIDAS!$G4520,")"))</f>
        <v>Tela sin tejer, incluso impregnada, recubierta, revestida o…, de peso inferior o igual a 25 g/m2</v>
      </c>
      <c r="I4520" s="16" t="s">
        <v>9427</v>
      </c>
    </row>
    <row r="4521" spans="1:9" x14ac:dyDescent="0.25">
      <c r="A4521" s="16" t="s">
        <v>5464</v>
      </c>
      <c r="B4521" s="16" t="str">
        <f>TEXT(PARTIDA[[#This Row],[PARTIDA]],"0000000000")</f>
        <v>5603920000</v>
      </c>
      <c r="C4521" s="16" t="s">
        <v>815</v>
      </c>
      <c r="D4521" s="16" t="s">
        <v>835</v>
      </c>
      <c r="E4521" s="16" t="s">
        <v>844</v>
      </c>
      <c r="F4521" s="27" t="s">
        <v>13168</v>
      </c>
      <c r="G4521" s="27"/>
      <c r="H4521" s="16" t="str">
        <f>IF(ISBLANK(PARTIDAS!$G4521),PARTIDAS!$F4521,CONCATENATE(PARTIDAS!$F4521," (",PARTIDAS!$G4521,")"))</f>
        <v>Tela sin tejer, incluso impregnada, recubierta, revestida o…, de peso superior a 25 g/m2 pero inferior o igual a 70 g/m2</v>
      </c>
      <c r="I4521" s="16" t="s">
        <v>9427</v>
      </c>
    </row>
    <row r="4522" spans="1:9" x14ac:dyDescent="0.25">
      <c r="A4522" s="16" t="s">
        <v>5465</v>
      </c>
      <c r="B4522" s="16" t="str">
        <f>TEXT(PARTIDA[[#This Row],[PARTIDA]],"0000000000")</f>
        <v>5603930000</v>
      </c>
      <c r="C4522" s="16" t="s">
        <v>815</v>
      </c>
      <c r="D4522" s="16" t="s">
        <v>835</v>
      </c>
      <c r="E4522" s="16" t="s">
        <v>844</v>
      </c>
      <c r="F4522" s="27" t="s">
        <v>13169</v>
      </c>
      <c r="G4522" s="27"/>
      <c r="H4522" s="16" t="str">
        <f>IF(ISBLANK(PARTIDAS!$G4522),PARTIDAS!$F4522,CONCATENATE(PARTIDAS!$F4522," (",PARTIDAS!$G4522,")"))</f>
        <v>Tela sin tejer, incluso impregnada, recubierta, revestida o…, de peso superior a 70 g/m2 pero inferior o igual a 150 g/m2</v>
      </c>
      <c r="I4522" s="16" t="s">
        <v>9427</v>
      </c>
    </row>
    <row r="4523" spans="1:9" x14ac:dyDescent="0.25">
      <c r="A4523" s="16" t="s">
        <v>5466</v>
      </c>
      <c r="B4523" s="16" t="str">
        <f>TEXT(PARTIDA[[#This Row],[PARTIDA]],"0000000000")</f>
        <v>5603940000</v>
      </c>
      <c r="C4523" s="16" t="s">
        <v>815</v>
      </c>
      <c r="D4523" s="16" t="s">
        <v>835</v>
      </c>
      <c r="E4523" s="16" t="s">
        <v>844</v>
      </c>
      <c r="F4523" s="27" t="s">
        <v>13170</v>
      </c>
      <c r="G4523" s="27"/>
      <c r="H4523" s="16" t="str">
        <f>IF(ISBLANK(PARTIDAS!$G4523),PARTIDAS!$F4523,CONCATENATE(PARTIDAS!$F4523," (",PARTIDAS!$G4523,")"))</f>
        <v>Tela sin tejer, incluso impregnada, recubierta, revestida o…, de peso superior a 150 g/m2</v>
      </c>
      <c r="I4523" s="16" t="s">
        <v>9427</v>
      </c>
    </row>
    <row r="4524" spans="1:9" x14ac:dyDescent="0.25">
      <c r="A4524" s="16" t="s">
        <v>5467</v>
      </c>
      <c r="B4524" s="16" t="str">
        <f>TEXT(PARTIDA[[#This Row],[PARTIDA]],"0000000000")</f>
        <v>5604100000</v>
      </c>
      <c r="C4524" s="16" t="s">
        <v>815</v>
      </c>
      <c r="D4524" s="16" t="s">
        <v>835</v>
      </c>
      <c r="E4524" s="16" t="s">
        <v>844</v>
      </c>
      <c r="F4524" s="27" t="s">
        <v>13171</v>
      </c>
      <c r="G4524" s="27"/>
      <c r="H4524" s="16" t="str">
        <f>IF(ISBLANK(PARTIDAS!$G4524),PARTIDAS!$F4524,CONCATENATE(PARTIDAS!$F4524," (",PARTIDAS!$G4524,")"))</f>
        <v>Hilos y cuerdas de caucho revestidos de textiles</v>
      </c>
      <c r="I4524" s="16" t="s">
        <v>9427</v>
      </c>
    </row>
    <row r="4525" spans="1:9" x14ac:dyDescent="0.25">
      <c r="A4525" s="16" t="s">
        <v>5468</v>
      </c>
      <c r="B4525" s="16" t="str">
        <f>TEXT(PARTIDA[[#This Row],[PARTIDA]],"0000000000")</f>
        <v>5604902000</v>
      </c>
      <c r="C4525" s="16" t="s">
        <v>815</v>
      </c>
      <c r="D4525" s="16" t="s">
        <v>835</v>
      </c>
      <c r="E4525" s="16" t="s">
        <v>844</v>
      </c>
      <c r="F4525" s="27" t="s">
        <v>13172</v>
      </c>
      <c r="G4525" s="27"/>
      <c r="H4525" s="16" t="str">
        <f>IF(ISBLANK(PARTIDAS!$G4525),PARTIDAS!$F4525,CONCATENATE(PARTIDAS!$F4525," (",PARTIDAS!$G4525,")"))</f>
        <v>Hilados de alta tenacidad, impregnados o recubiertos, con caucho sin vulcanizar para la fabricación de neumáticos</v>
      </c>
      <c r="I4525" s="16" t="s">
        <v>9427</v>
      </c>
    </row>
    <row r="4526" spans="1:9" x14ac:dyDescent="0.25">
      <c r="A4526" s="16" t="s">
        <v>5469</v>
      </c>
      <c r="B4526" s="16" t="str">
        <f>TEXT(PARTIDA[[#This Row],[PARTIDA]],"0000000000")</f>
        <v>5604909000</v>
      </c>
      <c r="C4526" s="16" t="s">
        <v>815</v>
      </c>
      <c r="D4526" s="16" t="s">
        <v>835</v>
      </c>
      <c r="E4526" s="16" t="s">
        <v>844</v>
      </c>
      <c r="F4526" s="27" t="s">
        <v>13173</v>
      </c>
      <c r="G4526" s="27"/>
      <c r="H4526" s="16" t="str">
        <f>IF(ISBLANK(PARTIDAS!$G4526),PARTIDAS!$F4526,CONCATENATE(PARTIDAS!$F4526," (",PARTIDAS!$G4526,")"))</f>
        <v>Hilos y cuerdas de caucho revestidos de textiles (los demás)</v>
      </c>
      <c r="I4526" s="16" t="s">
        <v>9427</v>
      </c>
    </row>
    <row r="4527" spans="1:9" x14ac:dyDescent="0.25">
      <c r="A4527" s="16" t="s">
        <v>5470</v>
      </c>
      <c r="B4527" s="16" t="str">
        <f>TEXT(PARTIDA[[#This Row],[PARTIDA]],"0000000000")</f>
        <v>5605000000</v>
      </c>
      <c r="C4527" s="16" t="s">
        <v>815</v>
      </c>
      <c r="D4527" s="16" t="s">
        <v>835</v>
      </c>
      <c r="E4527" s="16" t="s">
        <v>844</v>
      </c>
      <c r="F4527" s="27" t="s">
        <v>5140</v>
      </c>
      <c r="G4527" s="27"/>
      <c r="H4527" s="16" t="str">
        <f>IF(ISBLANK(PARTIDAS!$G4527),PARTIDAS!$F4527,CONCATENATE(PARTIDAS!$F4527," (",PARTIDAS!$G4527,")"))</f>
        <v>Productos textiles</v>
      </c>
      <c r="I4527" s="16" t="s">
        <v>9427</v>
      </c>
    </row>
    <row r="4528" spans="1:9" x14ac:dyDescent="0.25">
      <c r="A4528" s="16" t="s">
        <v>5471</v>
      </c>
      <c r="B4528" s="16" t="str">
        <f>TEXT(PARTIDA[[#This Row],[PARTIDA]],"0000000000")</f>
        <v>5606000000</v>
      </c>
      <c r="C4528" s="16" t="s">
        <v>815</v>
      </c>
      <c r="D4528" s="16" t="s">
        <v>835</v>
      </c>
      <c r="E4528" s="16" t="s">
        <v>844</v>
      </c>
      <c r="F4528" s="27" t="s">
        <v>5140</v>
      </c>
      <c r="G4528" s="27"/>
      <c r="H4528" s="16" t="str">
        <f>IF(ISBLANK(PARTIDAS!$G4528),PARTIDAS!$F4528,CONCATENATE(PARTIDAS!$F4528," (",PARTIDAS!$G4528,")"))</f>
        <v>Productos textiles</v>
      </c>
      <c r="I4528" s="16" t="s">
        <v>9427</v>
      </c>
    </row>
    <row r="4529" spans="1:9" x14ac:dyDescent="0.25">
      <c r="A4529" s="16" t="s">
        <v>5472</v>
      </c>
      <c r="B4529" s="16" t="str">
        <f>TEXT(PARTIDA[[#This Row],[PARTIDA]],"0000000000")</f>
        <v>5607210000</v>
      </c>
      <c r="C4529" s="16" t="s">
        <v>815</v>
      </c>
      <c r="D4529" s="16" t="s">
        <v>835</v>
      </c>
      <c r="E4529" s="16" t="s">
        <v>844</v>
      </c>
      <c r="F4529" s="27" t="s">
        <v>13174</v>
      </c>
      <c r="G4529" s="27"/>
      <c r="H4529" s="16" t="str">
        <f>IF(ISBLANK(PARTIDAS!$G4529),PARTIDAS!$F4529,CONCATENATE(PARTIDAS!$F4529," (",PARTIDAS!$G4529,")"))</f>
        <v>Cordeles para atar o engavillar</v>
      </c>
      <c r="I4529" s="16" t="s">
        <v>9427</v>
      </c>
    </row>
    <row r="4530" spans="1:9" x14ac:dyDescent="0.25">
      <c r="A4530" s="16" t="s">
        <v>5473</v>
      </c>
      <c r="B4530" s="16" t="str">
        <f>TEXT(PARTIDA[[#This Row],[PARTIDA]],"0000000000")</f>
        <v>5607290000</v>
      </c>
      <c r="C4530" s="16" t="s">
        <v>815</v>
      </c>
      <c r="D4530" s="16" t="s">
        <v>835</v>
      </c>
      <c r="E4530" s="16" t="s">
        <v>844</v>
      </c>
      <c r="F4530" s="27" t="s">
        <v>13175</v>
      </c>
      <c r="G4530" s="27"/>
      <c r="H4530" s="16" t="str">
        <f>IF(ISBLANK(PARTIDAS!$G4530),PARTIDAS!$F4530,CONCATENATE(PARTIDAS!$F4530," (",PARTIDAS!$G4530,")"))</f>
        <v>Cordeles, cuerdas y cordajes, estén o no trenzados…, de sisal o demás fibras textiles del género Agave (los demás)</v>
      </c>
      <c r="I4530" s="16" t="s">
        <v>9427</v>
      </c>
    </row>
    <row r="4531" spans="1:9" x14ac:dyDescent="0.25">
      <c r="A4531" s="16" t="s">
        <v>5474</v>
      </c>
      <c r="B4531" s="16" t="str">
        <f>TEXT(PARTIDA[[#This Row],[PARTIDA]],"0000000000")</f>
        <v>5607410000</v>
      </c>
      <c r="C4531" s="16" t="s">
        <v>815</v>
      </c>
      <c r="D4531" s="16" t="s">
        <v>835</v>
      </c>
      <c r="E4531" s="16" t="s">
        <v>844</v>
      </c>
      <c r="F4531" s="27" t="s">
        <v>13174</v>
      </c>
      <c r="G4531" s="27"/>
      <c r="H4531" s="16" t="str">
        <f>IF(ISBLANK(PARTIDAS!$G4531),PARTIDAS!$F4531,CONCATENATE(PARTIDAS!$F4531," (",PARTIDAS!$G4531,")"))</f>
        <v>Cordeles para atar o engavillar</v>
      </c>
      <c r="I4531" s="16" t="s">
        <v>9427</v>
      </c>
    </row>
    <row r="4532" spans="1:9" x14ac:dyDescent="0.25">
      <c r="A4532" s="16" t="s">
        <v>5475</v>
      </c>
      <c r="B4532" s="16" t="str">
        <f>TEXT(PARTIDA[[#This Row],[PARTIDA]],"0000000000")</f>
        <v>5607490000</v>
      </c>
      <c r="C4532" s="16" t="s">
        <v>815</v>
      </c>
      <c r="D4532" s="16" t="s">
        <v>835</v>
      </c>
      <c r="E4532" s="16" t="s">
        <v>844</v>
      </c>
      <c r="F4532" s="27" t="s">
        <v>13176</v>
      </c>
      <c r="G4532" s="27"/>
      <c r="H4532" s="16" t="str">
        <f>IF(ISBLANK(PARTIDAS!$G4532),PARTIDAS!$F4532,CONCATENATE(PARTIDAS!$F4532," (",PARTIDAS!$G4532,")"))</f>
        <v>Cordeles, cuerdas y cordajes, estén o no trenzados…, de polietileno o polipropileno (los demás)</v>
      </c>
      <c r="I4532" s="16" t="s">
        <v>9427</v>
      </c>
    </row>
    <row r="4533" spans="1:9" x14ac:dyDescent="0.25">
      <c r="A4533" s="16" t="s">
        <v>5476</v>
      </c>
      <c r="B4533" s="16" t="str">
        <f>TEXT(PARTIDA[[#This Row],[PARTIDA]],"0000000000")</f>
        <v>5607500000</v>
      </c>
      <c r="C4533" s="16" t="s">
        <v>815</v>
      </c>
      <c r="D4533" s="16" t="s">
        <v>835</v>
      </c>
      <c r="E4533" s="16" t="s">
        <v>844</v>
      </c>
      <c r="F4533" s="27" t="s">
        <v>5140</v>
      </c>
      <c r="G4533" s="27"/>
      <c r="H4533" s="16" t="str">
        <f>IF(ISBLANK(PARTIDAS!$G4533),PARTIDAS!$F4533,CONCATENATE(PARTIDAS!$F4533," (",PARTIDAS!$G4533,")"))</f>
        <v>Productos textiles</v>
      </c>
      <c r="I4533" s="16" t="s">
        <v>9477</v>
      </c>
    </row>
    <row r="4534" spans="1:9" x14ac:dyDescent="0.25">
      <c r="A4534" s="16" t="s">
        <v>5477</v>
      </c>
      <c r="B4534" s="16" t="str">
        <f>TEXT(PARTIDA[[#This Row],[PARTIDA]],"0000000000")</f>
        <v>5607900000</v>
      </c>
      <c r="C4534" s="16" t="s">
        <v>815</v>
      </c>
      <c r="D4534" s="16" t="s">
        <v>835</v>
      </c>
      <c r="E4534" s="16" t="s">
        <v>844</v>
      </c>
      <c r="F4534" s="27" t="s">
        <v>13177</v>
      </c>
      <c r="G4534" s="27"/>
      <c r="H4534" s="16" t="str">
        <f>IF(ISBLANK(PARTIDAS!$G4534),PARTIDAS!$F4534,CONCATENATE(PARTIDAS!$F4534," (",PARTIDAS!$G4534,")"))</f>
        <v>Cordeles, cuerdas y cordajes, estén o no trenzados, incluso… (los demás)</v>
      </c>
      <c r="I4534" s="16" t="s">
        <v>9427</v>
      </c>
    </row>
    <row r="4535" spans="1:9" x14ac:dyDescent="0.25">
      <c r="A4535" s="16" t="s">
        <v>5478</v>
      </c>
      <c r="B4535" s="16" t="str">
        <f>TEXT(PARTIDA[[#This Row],[PARTIDA]],"0000000000")</f>
        <v>5608110000</v>
      </c>
      <c r="C4535" s="16" t="s">
        <v>815</v>
      </c>
      <c r="D4535" s="16" t="s">
        <v>835</v>
      </c>
      <c r="E4535" s="16" t="s">
        <v>844</v>
      </c>
      <c r="F4535" s="27" t="s">
        <v>13178</v>
      </c>
      <c r="G4535" s="27"/>
      <c r="H4535" s="16" t="str">
        <f>IF(ISBLANK(PARTIDAS!$G4535),PARTIDAS!$F4535,CONCATENATE(PARTIDAS!$F4535," (",PARTIDAS!$G4535,")"))</f>
        <v>Redes confeccionadas para la pesca</v>
      </c>
      <c r="I4535" s="16" t="s">
        <v>9427</v>
      </c>
    </row>
    <row r="4536" spans="1:9" x14ac:dyDescent="0.25">
      <c r="A4536" s="16" t="s">
        <v>5479</v>
      </c>
      <c r="B4536" s="16" t="str">
        <f>TEXT(PARTIDA[[#This Row],[PARTIDA]],"0000000000")</f>
        <v>5608190000</v>
      </c>
      <c r="C4536" s="16" t="s">
        <v>815</v>
      </c>
      <c r="D4536" s="16" t="s">
        <v>835</v>
      </c>
      <c r="E4536" s="16" t="s">
        <v>844</v>
      </c>
      <c r="F4536" s="27" t="s">
        <v>5480</v>
      </c>
      <c r="G4536" s="27"/>
      <c r="H4536" s="16" t="str">
        <f>IF(ISBLANK(PARTIDAS!$G4536),PARTIDAS!$F4536,CONCATENATE(PARTIDAS!$F4536," (",PARTIDAS!$G4536,")"))</f>
        <v>Mallas</v>
      </c>
      <c r="I4536" s="16" t="s">
        <v>9427</v>
      </c>
    </row>
    <row r="4537" spans="1:9" x14ac:dyDescent="0.25">
      <c r="A4537" s="16" t="s">
        <v>5481</v>
      </c>
      <c r="B4537" s="16" t="str">
        <f>TEXT(PARTIDA[[#This Row],[PARTIDA]],"0000000000")</f>
        <v>5608900000</v>
      </c>
      <c r="C4537" s="16" t="s">
        <v>815</v>
      </c>
      <c r="D4537" s="16" t="s">
        <v>835</v>
      </c>
      <c r="E4537" s="16" t="s">
        <v>844</v>
      </c>
      <c r="F4537" s="27" t="s">
        <v>13179</v>
      </c>
      <c r="G4537" s="27"/>
      <c r="H4537" s="16" t="str">
        <f>IF(ISBLANK(PARTIDAS!$G4537),PARTIDAS!$F4537,CONCATENATE(PARTIDAS!$F4537," (",PARTIDAS!$G4537,")"))</f>
        <v>Redes de mallas anudadas, en paño o en pieza, fabricadas con… (los demás)</v>
      </c>
      <c r="I4537" s="16" t="s">
        <v>9427</v>
      </c>
    </row>
    <row r="4538" spans="1:9" x14ac:dyDescent="0.25">
      <c r="A4538" s="16" t="s">
        <v>5482</v>
      </c>
      <c r="B4538" s="16" t="str">
        <f>TEXT(PARTIDA[[#This Row],[PARTIDA]],"0000000000")</f>
        <v>5609001000</v>
      </c>
      <c r="C4538" s="16" t="s">
        <v>815</v>
      </c>
      <c r="D4538" s="16" t="s">
        <v>835</v>
      </c>
      <c r="E4538" s="16" t="s">
        <v>844</v>
      </c>
      <c r="F4538" s="27" t="s">
        <v>13180</v>
      </c>
      <c r="G4538" s="27"/>
      <c r="H4538" s="16" t="str">
        <f>IF(ISBLANK(PARTIDAS!$G4538),PARTIDAS!$F4538,CONCATENATE(PARTIDAS!$F4538," (",PARTIDAS!$G4538,")"))</f>
        <v>Eslingas de carga, incluso con accesorios de metal común</v>
      </c>
      <c r="I4538" s="16" t="s">
        <v>9427</v>
      </c>
    </row>
    <row r="4539" spans="1:9" x14ac:dyDescent="0.25">
      <c r="A4539" s="16" t="s">
        <v>5483</v>
      </c>
      <c r="B4539" s="16" t="str">
        <f>TEXT(PARTIDA[[#This Row],[PARTIDA]],"0000000000")</f>
        <v>5609009000</v>
      </c>
      <c r="C4539" s="16" t="s">
        <v>815</v>
      </c>
      <c r="D4539" s="16" t="s">
        <v>835</v>
      </c>
      <c r="E4539" s="16" t="s">
        <v>844</v>
      </c>
      <c r="F4539" s="27" t="s">
        <v>13179</v>
      </c>
      <c r="G4539" s="27"/>
      <c r="H4539" s="16" t="str">
        <f>IF(ISBLANK(PARTIDAS!$G4539),PARTIDAS!$F4539,CONCATENATE(PARTIDAS!$F4539," (",PARTIDAS!$G4539,")"))</f>
        <v>Redes de mallas anudadas, en paño o en pieza, fabricadas con… (los demás)</v>
      </c>
      <c r="I4539" s="16" t="s">
        <v>9427</v>
      </c>
    </row>
    <row r="4540" spans="1:9" x14ac:dyDescent="0.25">
      <c r="A4540" s="16" t="s">
        <v>5484</v>
      </c>
      <c r="B4540" s="16" t="str">
        <f>TEXT(PARTIDA[[#This Row],[PARTIDA]],"0000000000")</f>
        <v>5701100000</v>
      </c>
      <c r="C4540" s="16" t="s">
        <v>815</v>
      </c>
      <c r="D4540" s="16" t="s">
        <v>835</v>
      </c>
      <c r="E4540" s="16" t="s">
        <v>844</v>
      </c>
      <c r="F4540" s="27" t="s">
        <v>13181</v>
      </c>
      <c r="G4540" s="27"/>
      <c r="H4540" s="16" t="str">
        <f>IF(ISBLANK(PARTIDAS!$G4540),PARTIDAS!$F4540,CONCATENATE(PARTIDAS!$F4540," (",PARTIDAS!$G4540,")"))</f>
        <v>Alfombras de nudo de materia textil, incluso confeccionadas, de lana o pelo fino</v>
      </c>
      <c r="I4540" s="16" t="s">
        <v>9427</v>
      </c>
    </row>
    <row r="4541" spans="1:9" x14ac:dyDescent="0.25">
      <c r="A4541" s="16" t="s">
        <v>5485</v>
      </c>
      <c r="B4541" s="16" t="str">
        <f>TEXT(PARTIDA[[#This Row],[PARTIDA]],"0000000000")</f>
        <v>5701900000</v>
      </c>
      <c r="C4541" s="16" t="s">
        <v>815</v>
      </c>
      <c r="D4541" s="16" t="s">
        <v>835</v>
      </c>
      <c r="E4541" s="16" t="s">
        <v>844</v>
      </c>
      <c r="F4541" s="27" t="s">
        <v>13182</v>
      </c>
      <c r="G4541" s="27"/>
      <c r="H4541" s="16" t="str">
        <f>IF(ISBLANK(PARTIDAS!$G4541),PARTIDAS!$F4541,CONCATENATE(PARTIDAS!$F4541," (",PARTIDAS!$G4541,")"))</f>
        <v>Alfombras de nudo de materia textil, incluso confeccionadas, de las demás materias textiles</v>
      </c>
      <c r="I4541" s="16" t="s">
        <v>9427</v>
      </c>
    </row>
    <row r="4542" spans="1:9" x14ac:dyDescent="0.25">
      <c r="A4542" s="16" t="s">
        <v>5486</v>
      </c>
      <c r="B4542" s="16" t="str">
        <f>TEXT(PARTIDA[[#This Row],[PARTIDA]],"0000000000")</f>
        <v>5702100000</v>
      </c>
      <c r="C4542" s="16" t="s">
        <v>815</v>
      </c>
      <c r="D4542" s="16" t="s">
        <v>835</v>
      </c>
      <c r="E4542" s="16" t="s">
        <v>844</v>
      </c>
      <c r="F4542" s="27" t="s">
        <v>13183</v>
      </c>
      <c r="G4542" s="27"/>
      <c r="H4542" s="16" t="str">
        <f>IF(ISBLANK(PARTIDAS!$G4542),PARTIDAS!$F4542,CONCATENATE(PARTIDAS!$F4542," (",PARTIDAS!$G4542,")"))</f>
        <v>Alfombras llamadas «Kelim» o «Kilim», «Schumacks» o «Soumak», «Karamanie» y alfombras similares tejidas a mano</v>
      </c>
      <c r="I4542" s="16" t="s">
        <v>9427</v>
      </c>
    </row>
    <row r="4543" spans="1:9" x14ac:dyDescent="0.25">
      <c r="A4543" s="16" t="s">
        <v>5487</v>
      </c>
      <c r="B4543" s="16" t="str">
        <f>TEXT(PARTIDA[[#This Row],[PARTIDA]],"0000000000")</f>
        <v>5702200000</v>
      </c>
      <c r="C4543" s="16" t="s">
        <v>815</v>
      </c>
      <c r="D4543" s="16" t="s">
        <v>835</v>
      </c>
      <c r="E4543" s="16" t="s">
        <v>844</v>
      </c>
      <c r="F4543" s="27" t="s">
        <v>13184</v>
      </c>
      <c r="G4543" s="27"/>
      <c r="H4543" s="16" t="str">
        <f>IF(ISBLANK(PARTIDAS!$G4543),PARTIDAS!$F4543,CONCATENATE(PARTIDAS!$F4543," (",PARTIDAS!$G4543,")"))</f>
        <v>Revestimientos para el suelo de fibras de coco</v>
      </c>
      <c r="I4543" s="16" t="s">
        <v>9427</v>
      </c>
    </row>
    <row r="4544" spans="1:9" x14ac:dyDescent="0.25">
      <c r="A4544" s="16" t="s">
        <v>5488</v>
      </c>
      <c r="B4544" s="16" t="str">
        <f>TEXT(PARTIDA[[#This Row],[PARTIDA]],"0000000000")</f>
        <v>5702310000</v>
      </c>
      <c r="C4544" s="16" t="s">
        <v>815</v>
      </c>
      <c r="D4544" s="16" t="s">
        <v>835</v>
      </c>
      <c r="E4544" s="16" t="s">
        <v>844</v>
      </c>
      <c r="F4544" s="27" t="s">
        <v>13185</v>
      </c>
      <c r="G4544" s="27"/>
      <c r="H4544" s="16" t="str">
        <f>IF(ISBLANK(PARTIDAS!$G4544),PARTIDAS!$F4544,CONCATENATE(PARTIDAS!$F4544," (",PARTIDAS!$G4544,")"))</f>
        <v>Alfombras y demás revestimientos para el suelo, de materia textil…, de lana o pelo fino</v>
      </c>
      <c r="I4544" s="16" t="s">
        <v>9427</v>
      </c>
    </row>
    <row r="4545" spans="1:9" x14ac:dyDescent="0.25">
      <c r="A4545" s="16" t="s">
        <v>5489</v>
      </c>
      <c r="B4545" s="16" t="str">
        <f>TEXT(PARTIDA[[#This Row],[PARTIDA]],"0000000000")</f>
        <v>5702320000</v>
      </c>
      <c r="C4545" s="16" t="s">
        <v>815</v>
      </c>
      <c r="D4545" s="16" t="s">
        <v>835</v>
      </c>
      <c r="E4545" s="16" t="s">
        <v>844</v>
      </c>
      <c r="F4545" s="27" t="s">
        <v>13186</v>
      </c>
      <c r="G4545" s="27"/>
      <c r="H4545" s="16" t="str">
        <f>IF(ISBLANK(PARTIDAS!$G4545),PARTIDAS!$F4545,CONCATENATE(PARTIDAS!$F4545," (",PARTIDAS!$G4545,")"))</f>
        <v>Alfombras y demás revestimientos para el suelo, de materia textil…, de materia textil sintética o artificial</v>
      </c>
      <c r="I4545" s="16" t="s">
        <v>9427</v>
      </c>
    </row>
    <row r="4546" spans="1:9" x14ac:dyDescent="0.25">
      <c r="A4546" s="16" t="s">
        <v>5490</v>
      </c>
      <c r="B4546" s="16" t="str">
        <f>TEXT(PARTIDA[[#This Row],[PARTIDA]],"0000000000")</f>
        <v>5702390000</v>
      </c>
      <c r="C4546" s="16" t="s">
        <v>815</v>
      </c>
      <c r="D4546" s="16" t="s">
        <v>835</v>
      </c>
      <c r="E4546" s="16" t="s">
        <v>844</v>
      </c>
      <c r="F4546" s="27" t="s">
        <v>13187</v>
      </c>
      <c r="G4546" s="27"/>
      <c r="H4546" s="16" t="str">
        <f>IF(ISBLANK(PARTIDAS!$G4546),PARTIDAS!$F4546,CONCATENATE(PARTIDAS!$F4546," (",PARTIDAS!$G4546,")"))</f>
        <v>Alfombras y demás revestimientos para el suelo, de materia textil…, de las demás materias textiles</v>
      </c>
      <c r="I4546" s="16" t="s">
        <v>9427</v>
      </c>
    </row>
    <row r="4547" spans="1:9" x14ac:dyDescent="0.25">
      <c r="A4547" s="16" t="s">
        <v>5491</v>
      </c>
      <c r="B4547" s="16" t="str">
        <f>TEXT(PARTIDA[[#This Row],[PARTIDA]],"0000000000")</f>
        <v>5702410000</v>
      </c>
      <c r="C4547" s="16" t="s">
        <v>815</v>
      </c>
      <c r="D4547" s="16" t="s">
        <v>835</v>
      </c>
      <c r="E4547" s="16" t="s">
        <v>844</v>
      </c>
      <c r="F4547" s="27" t="s">
        <v>13185</v>
      </c>
      <c r="G4547" s="27"/>
      <c r="H4547" s="16" t="str">
        <f>IF(ISBLANK(PARTIDAS!$G4547),PARTIDAS!$F4547,CONCATENATE(PARTIDAS!$F4547," (",PARTIDAS!$G4547,")"))</f>
        <v>Alfombras y demás revestimientos para el suelo, de materia textil…, de lana o pelo fino</v>
      </c>
      <c r="I4547" s="16" t="s">
        <v>9427</v>
      </c>
    </row>
    <row r="4548" spans="1:9" x14ac:dyDescent="0.25">
      <c r="A4548" s="16" t="s">
        <v>5492</v>
      </c>
      <c r="B4548" s="16" t="str">
        <f>TEXT(PARTIDA[[#This Row],[PARTIDA]],"0000000000")</f>
        <v>5702420000</v>
      </c>
      <c r="C4548" s="16" t="s">
        <v>815</v>
      </c>
      <c r="D4548" s="16" t="s">
        <v>835</v>
      </c>
      <c r="E4548" s="16" t="s">
        <v>844</v>
      </c>
      <c r="F4548" s="27" t="s">
        <v>13186</v>
      </c>
      <c r="G4548" s="27"/>
      <c r="H4548" s="16" t="str">
        <f>IF(ISBLANK(PARTIDAS!$G4548),PARTIDAS!$F4548,CONCATENATE(PARTIDAS!$F4548," (",PARTIDAS!$G4548,")"))</f>
        <v>Alfombras y demás revestimientos para el suelo, de materia textil…, de materia textil sintética o artificial</v>
      </c>
      <c r="I4548" s="16" t="s">
        <v>9427</v>
      </c>
    </row>
    <row r="4549" spans="1:9" x14ac:dyDescent="0.25">
      <c r="A4549" s="16" t="s">
        <v>5493</v>
      </c>
      <c r="B4549" s="16" t="str">
        <f>TEXT(PARTIDA[[#This Row],[PARTIDA]],"0000000000")</f>
        <v>5702490000</v>
      </c>
      <c r="C4549" s="16" t="s">
        <v>815</v>
      </c>
      <c r="D4549" s="16" t="s">
        <v>835</v>
      </c>
      <c r="E4549" s="16" t="s">
        <v>844</v>
      </c>
      <c r="F4549" s="27" t="s">
        <v>13187</v>
      </c>
      <c r="G4549" s="27"/>
      <c r="H4549" s="16" t="str">
        <f>IF(ISBLANK(PARTIDAS!$G4549),PARTIDAS!$F4549,CONCATENATE(PARTIDAS!$F4549," (",PARTIDAS!$G4549,")"))</f>
        <v>Alfombras y demás revestimientos para el suelo, de materia textil…, de las demás materias textiles</v>
      </c>
      <c r="I4549" s="16" t="s">
        <v>9427</v>
      </c>
    </row>
    <row r="4550" spans="1:9" x14ac:dyDescent="0.25">
      <c r="A4550" s="16" t="s">
        <v>5494</v>
      </c>
      <c r="B4550" s="16" t="str">
        <f>TEXT(PARTIDA[[#This Row],[PARTIDA]],"0000000000")</f>
        <v>5702500000</v>
      </c>
      <c r="C4550" s="16" t="s">
        <v>815</v>
      </c>
      <c r="D4550" s="16" t="s">
        <v>835</v>
      </c>
      <c r="E4550" s="16" t="s">
        <v>844</v>
      </c>
      <c r="F4550" s="27" t="s">
        <v>13188</v>
      </c>
      <c r="G4550" s="27"/>
      <c r="H4550" s="16" t="str">
        <f>IF(ISBLANK(PARTIDAS!$G4550),PARTIDAS!$F4550,CONCATENATE(PARTIDAS!$F4550," (",PARTIDAS!$G4550,")"))</f>
        <v>Alfombras y demás revestimientos para el suelo, de materia textil… (los demás, sin aterciopelar ni confeccionar)</v>
      </c>
      <c r="I4550" s="16" t="s">
        <v>9427</v>
      </c>
    </row>
    <row r="4551" spans="1:9" x14ac:dyDescent="0.25">
      <c r="A4551" s="16" t="s">
        <v>5495</v>
      </c>
      <c r="B4551" s="16" t="str">
        <f>TEXT(PARTIDA[[#This Row],[PARTIDA]],"0000000000")</f>
        <v>5702910000</v>
      </c>
      <c r="C4551" s="16" t="s">
        <v>815</v>
      </c>
      <c r="D4551" s="16" t="s">
        <v>835</v>
      </c>
      <c r="E4551" s="16" t="s">
        <v>844</v>
      </c>
      <c r="F4551" s="27" t="s">
        <v>13185</v>
      </c>
      <c r="G4551" s="27"/>
      <c r="H4551" s="16" t="str">
        <f>IF(ISBLANK(PARTIDAS!$G4551),PARTIDAS!$F4551,CONCATENATE(PARTIDAS!$F4551," (",PARTIDAS!$G4551,")"))</f>
        <v>Alfombras y demás revestimientos para el suelo, de materia textil…, de lana o pelo fino</v>
      </c>
      <c r="I4551" s="16" t="s">
        <v>9427</v>
      </c>
    </row>
    <row r="4552" spans="1:9" x14ac:dyDescent="0.25">
      <c r="A4552" s="16" t="s">
        <v>5496</v>
      </c>
      <c r="B4552" s="16" t="str">
        <f>TEXT(PARTIDA[[#This Row],[PARTIDA]],"0000000000")</f>
        <v>5702920000</v>
      </c>
      <c r="C4552" s="16" t="s">
        <v>815</v>
      </c>
      <c r="D4552" s="16" t="s">
        <v>835</v>
      </c>
      <c r="E4552" s="16" t="s">
        <v>844</v>
      </c>
      <c r="F4552" s="27" t="s">
        <v>13186</v>
      </c>
      <c r="G4552" s="27"/>
      <c r="H4552" s="16" t="str">
        <f>IF(ISBLANK(PARTIDAS!$G4552),PARTIDAS!$F4552,CONCATENATE(PARTIDAS!$F4552," (",PARTIDAS!$G4552,")"))</f>
        <v>Alfombras y demás revestimientos para el suelo, de materia textil…, de materia textil sintética o artificial</v>
      </c>
      <c r="I4552" s="16" t="s">
        <v>9427</v>
      </c>
    </row>
    <row r="4553" spans="1:9" x14ac:dyDescent="0.25">
      <c r="A4553" s="16" t="s">
        <v>5497</v>
      </c>
      <c r="B4553" s="16" t="str">
        <f>TEXT(PARTIDA[[#This Row],[PARTIDA]],"0000000000")</f>
        <v>5702990000</v>
      </c>
      <c r="C4553" s="16" t="s">
        <v>815</v>
      </c>
      <c r="D4553" s="16" t="s">
        <v>835</v>
      </c>
      <c r="E4553" s="16" t="s">
        <v>844</v>
      </c>
      <c r="F4553" s="27" t="s">
        <v>13187</v>
      </c>
      <c r="G4553" s="27"/>
      <c r="H4553" s="16" t="str">
        <f>IF(ISBLANK(PARTIDAS!$G4553),PARTIDAS!$F4553,CONCATENATE(PARTIDAS!$F4553," (",PARTIDAS!$G4553,")"))</f>
        <v>Alfombras y demás revestimientos para el suelo, de materia textil…, de las demás materias textiles</v>
      </c>
      <c r="I4553" s="16" t="s">
        <v>9427</v>
      </c>
    </row>
    <row r="4554" spans="1:9" x14ac:dyDescent="0.25">
      <c r="A4554" s="16" t="s">
        <v>5498</v>
      </c>
      <c r="B4554" s="16" t="str">
        <f>TEXT(PARTIDA[[#This Row],[PARTIDA]],"0000000000")</f>
        <v>5703100000</v>
      </c>
      <c r="C4554" s="16" t="s">
        <v>815</v>
      </c>
      <c r="D4554" s="16" t="s">
        <v>835</v>
      </c>
      <c r="E4554" s="16" t="s">
        <v>844</v>
      </c>
      <c r="F4554" s="27" t="s">
        <v>13189</v>
      </c>
      <c r="G4554" s="27"/>
      <c r="H4554" s="16" t="str">
        <f>IF(ISBLANK(PARTIDAS!$G4554),PARTIDAS!$F4554,CONCATENATE(PARTIDAS!$F4554," (",PARTIDAS!$G4554,")"))</f>
        <v>Alfombras y demás revestimientos para el suelo (incluido el césped)…, de lana o pelo fino</v>
      </c>
      <c r="I4554" s="16" t="s">
        <v>9427</v>
      </c>
    </row>
    <row r="4555" spans="1:9" x14ac:dyDescent="0.25">
      <c r="A4555" s="16" t="s">
        <v>5499</v>
      </c>
      <c r="B4555" s="16" t="str">
        <f>TEXT(PARTIDA[[#This Row],[PARTIDA]],"0000000000")</f>
        <v>5703200000</v>
      </c>
      <c r="C4555" s="16" t="s">
        <v>815</v>
      </c>
      <c r="D4555" s="16" t="s">
        <v>835</v>
      </c>
      <c r="E4555" s="16" t="s">
        <v>844</v>
      </c>
      <c r="F4555" s="27" t="s">
        <v>13061</v>
      </c>
      <c r="G4555" s="27"/>
      <c r="H4555" s="16" t="str">
        <f>IF(ISBLANK(PARTIDAS!$G4555),PARTIDAS!$F4555,CONCATENATE(PARTIDAS!$F4555," (",PARTIDAS!$G4555,")"))</f>
        <v>De nailon o demás poliamidas</v>
      </c>
      <c r="I4555" s="16" t="s">
        <v>9648</v>
      </c>
    </row>
    <row r="4556" spans="1:9" x14ac:dyDescent="0.25">
      <c r="A4556" s="16" t="s">
        <v>13190</v>
      </c>
      <c r="B4556" s="16" t="str">
        <f>TEXT(PARTIDA[[#This Row],[PARTIDA]],"0000000000")</f>
        <v>5703210000</v>
      </c>
      <c r="C4556" s="16" t="s">
        <v>815</v>
      </c>
      <c r="D4556" s="16" t="s">
        <v>835</v>
      </c>
      <c r="E4556" s="16" t="s">
        <v>844</v>
      </c>
      <c r="F4556" s="27" t="s">
        <v>13191</v>
      </c>
      <c r="G4556" s="27"/>
      <c r="H4556" s="16" t="str">
        <f>IF(ISBLANK(PARTIDAS!$G4556),PARTIDAS!$F4556,CONCATENATE(PARTIDAS!$F4556," (",PARTIDAS!$G4556,")"))</f>
        <v>Alfombras y demás revestimientos para el suelo…, de nailon o demás poliamidas, césped</v>
      </c>
      <c r="I4556" s="16" t="s">
        <v>9427</v>
      </c>
    </row>
    <row r="4557" spans="1:9" x14ac:dyDescent="0.25">
      <c r="A4557" s="16" t="s">
        <v>13192</v>
      </c>
      <c r="B4557" s="16" t="str">
        <f>TEXT(PARTIDA[[#This Row],[PARTIDA]],"0000000000")</f>
        <v>5703290000</v>
      </c>
      <c r="C4557" s="16" t="s">
        <v>815</v>
      </c>
      <c r="D4557" s="16" t="s">
        <v>835</v>
      </c>
      <c r="E4557" s="16" t="s">
        <v>844</v>
      </c>
      <c r="F4557" s="27" t="s">
        <v>13193</v>
      </c>
      <c r="G4557" s="27"/>
      <c r="H4557" s="16" t="str">
        <f>IF(ISBLANK(PARTIDAS!$G4557),PARTIDAS!$F4557,CONCATENATE(PARTIDAS!$F4557," (",PARTIDAS!$G4557,")"))</f>
        <v>Alfombras y demás revestimientos para el suelo…, de nailon o demás poliamidas (los demás)</v>
      </c>
      <c r="I4557" s="16" t="s">
        <v>9427</v>
      </c>
    </row>
    <row r="4558" spans="1:9" x14ac:dyDescent="0.25">
      <c r="A4558" s="16" t="s">
        <v>5500</v>
      </c>
      <c r="B4558" s="16" t="str">
        <f>TEXT(PARTIDA[[#This Row],[PARTIDA]],"0000000000")</f>
        <v>5703300000</v>
      </c>
      <c r="C4558" s="16" t="s">
        <v>815</v>
      </c>
      <c r="D4558" s="16" t="s">
        <v>835</v>
      </c>
      <c r="E4558" s="16" t="s">
        <v>844</v>
      </c>
      <c r="F4558" s="27" t="s">
        <v>13194</v>
      </c>
      <c r="G4558" s="27"/>
      <c r="H4558" s="16" t="str">
        <f>IF(ISBLANK(PARTIDAS!$G4558),PARTIDAS!$F4558,CONCATENATE(PARTIDAS!$F4558," (",PARTIDAS!$G4558,")"))</f>
        <v>De las demás materias textiles sintéticas o de materia textil artificial</v>
      </c>
      <c r="I4558" s="16" t="s">
        <v>9648</v>
      </c>
    </row>
    <row r="4559" spans="1:9" x14ac:dyDescent="0.25">
      <c r="A4559" s="16" t="s">
        <v>13195</v>
      </c>
      <c r="B4559" s="16" t="str">
        <f>TEXT(PARTIDA[[#This Row],[PARTIDA]],"0000000000")</f>
        <v>5703310000</v>
      </c>
      <c r="C4559" s="16" t="s">
        <v>815</v>
      </c>
      <c r="D4559" s="16" t="s">
        <v>835</v>
      </c>
      <c r="E4559" s="16" t="s">
        <v>844</v>
      </c>
      <c r="F4559" s="27" t="s">
        <v>13196</v>
      </c>
      <c r="G4559" s="27"/>
      <c r="H4559" s="16" t="str">
        <f>IF(ISBLANK(PARTIDAS!$G4559),PARTIDAS!$F4559,CONCATENATE(PARTIDAS!$F4559," (",PARTIDAS!$G4559,")"))</f>
        <v>Alfombras y demás revestimientos para el suelo…, de las demás materias textiles sintéticas o de materias textiles…, césped</v>
      </c>
      <c r="I4559" s="16" t="s">
        <v>9427</v>
      </c>
    </row>
    <row r="4560" spans="1:9" x14ac:dyDescent="0.25">
      <c r="A4560" s="16" t="s">
        <v>13197</v>
      </c>
      <c r="B4560" s="16" t="str">
        <f>TEXT(PARTIDA[[#This Row],[PARTIDA]],"0000000000")</f>
        <v>5703390000</v>
      </c>
      <c r="C4560" s="16" t="s">
        <v>815</v>
      </c>
      <c r="D4560" s="16" t="s">
        <v>835</v>
      </c>
      <c r="E4560" s="16" t="s">
        <v>844</v>
      </c>
      <c r="F4560" s="27" t="s">
        <v>13198</v>
      </c>
      <c r="G4560" s="27"/>
      <c r="H4560" s="16" t="str">
        <f>IF(ISBLANK(PARTIDAS!$G4560),PARTIDAS!$F4560,CONCATENATE(PARTIDAS!$F4560," (",PARTIDAS!$G4560,")"))</f>
        <v>Alfombras y demás revestimientos para el suelo…, de las demás materias textiles sintéticas o de materias textiles… (los demás)</v>
      </c>
      <c r="I4560" s="16" t="s">
        <v>9427</v>
      </c>
    </row>
    <row r="4561" spans="1:9" x14ac:dyDescent="0.25">
      <c r="A4561" s="16" t="s">
        <v>5501</v>
      </c>
      <c r="B4561" s="16" t="str">
        <f>TEXT(PARTIDA[[#This Row],[PARTIDA]],"0000000000")</f>
        <v>5703900000</v>
      </c>
      <c r="C4561" s="16" t="s">
        <v>815</v>
      </c>
      <c r="D4561" s="16" t="s">
        <v>835</v>
      </c>
      <c r="E4561" s="16" t="s">
        <v>844</v>
      </c>
      <c r="F4561" s="27" t="s">
        <v>4457</v>
      </c>
      <c r="G4561" s="27"/>
      <c r="H4561" s="16" t="str">
        <f>IF(ISBLANK(PARTIDAS!$G4561),PARTIDAS!$F4561,CONCATENATE(PARTIDAS!$F4561," (",PARTIDAS!$G4561,")"))</f>
        <v>Alfombras</v>
      </c>
      <c r="I4561" s="16" t="s">
        <v>9427</v>
      </c>
    </row>
    <row r="4562" spans="1:9" x14ac:dyDescent="0.25">
      <c r="A4562" s="16" t="s">
        <v>5502</v>
      </c>
      <c r="B4562" s="16" t="str">
        <f>TEXT(PARTIDA[[#This Row],[PARTIDA]],"0000000000")</f>
        <v>5704100000</v>
      </c>
      <c r="C4562" s="16" t="s">
        <v>815</v>
      </c>
      <c r="D4562" s="16" t="s">
        <v>835</v>
      </c>
      <c r="E4562" s="16" t="s">
        <v>844</v>
      </c>
      <c r="F4562" s="27" t="s">
        <v>13199</v>
      </c>
      <c r="G4562" s="27"/>
      <c r="H4562" s="16" t="str">
        <f>IF(ISBLANK(PARTIDAS!$G4562),PARTIDAS!$F4562,CONCATENATE(PARTIDAS!$F4562," (",PARTIDAS!$G4562,")"))</f>
        <v>Alfombras y demás revestimientos para el suelo, de fieltro, de superficie inferior o igual a 0,3 m2</v>
      </c>
      <c r="I4562" s="16" t="s">
        <v>9427</v>
      </c>
    </row>
    <row r="4563" spans="1:9" x14ac:dyDescent="0.25">
      <c r="A4563" s="16" t="s">
        <v>5503</v>
      </c>
      <c r="B4563" s="16" t="str">
        <f>TEXT(PARTIDA[[#This Row],[PARTIDA]],"0000000000")</f>
        <v>5704200000</v>
      </c>
      <c r="C4563" s="16" t="s">
        <v>815</v>
      </c>
      <c r="D4563" s="16" t="s">
        <v>835</v>
      </c>
      <c r="E4563" s="16" t="s">
        <v>844</v>
      </c>
      <c r="F4563" s="27" t="s">
        <v>13200</v>
      </c>
      <c r="G4563" s="27"/>
      <c r="H4563" s="16" t="str">
        <f>IF(ISBLANK(PARTIDAS!$G4563),PARTIDAS!$F4563,CONCATENATE(PARTIDAS!$F4563," (",PARTIDAS!$G4563,")"))</f>
        <v>Alfombras y demás revestimientos para el suelo, de fieltro, de superficie superior a 0,3 m2 pero inferior o igual a 1 m²</v>
      </c>
      <c r="I4563" s="16" t="s">
        <v>9427</v>
      </c>
    </row>
    <row r="4564" spans="1:9" x14ac:dyDescent="0.25">
      <c r="A4564" s="16" t="s">
        <v>5504</v>
      </c>
      <c r="B4564" s="16" t="str">
        <f>TEXT(PARTIDA[[#This Row],[PARTIDA]],"0000000000")</f>
        <v>5704900000</v>
      </c>
      <c r="C4564" s="16" t="s">
        <v>815</v>
      </c>
      <c r="D4564" s="16" t="s">
        <v>835</v>
      </c>
      <c r="E4564" s="16" t="s">
        <v>844</v>
      </c>
      <c r="F4564" s="27" t="s">
        <v>13201</v>
      </c>
      <c r="G4564" s="27"/>
      <c r="H4564" s="16" t="str">
        <f>IF(ISBLANK(PARTIDAS!$G4564),PARTIDAS!$F4564,CONCATENATE(PARTIDAS!$F4564," (",PARTIDAS!$G4564,")"))</f>
        <v>Alfombras y demás revestimientos para el suelo, de fieltro (los demás)</v>
      </c>
      <c r="I4564" s="16" t="s">
        <v>9427</v>
      </c>
    </row>
    <row r="4565" spans="1:9" x14ac:dyDescent="0.25">
      <c r="A4565" s="16" t="s">
        <v>5505</v>
      </c>
      <c r="B4565" s="16" t="str">
        <f>TEXT(PARTIDA[[#This Row],[PARTIDA]],"0000000000")</f>
        <v>5705000000</v>
      </c>
      <c r="C4565" s="16" t="s">
        <v>815</v>
      </c>
      <c r="D4565" s="16" t="s">
        <v>835</v>
      </c>
      <c r="E4565" s="16" t="s">
        <v>844</v>
      </c>
      <c r="F4565" s="27" t="s">
        <v>4457</v>
      </c>
      <c r="G4565" s="27"/>
      <c r="H4565" s="16" t="str">
        <f>IF(ISBLANK(PARTIDAS!$G4565),PARTIDAS!$F4565,CONCATENATE(PARTIDAS!$F4565," (",PARTIDAS!$G4565,")"))</f>
        <v>Alfombras</v>
      </c>
      <c r="I4565" s="16" t="s">
        <v>9427</v>
      </c>
    </row>
    <row r="4566" spans="1:9" x14ac:dyDescent="0.25">
      <c r="A4566" s="16" t="s">
        <v>5506</v>
      </c>
      <c r="B4566" s="16" t="str">
        <f>TEXT(PARTIDA[[#This Row],[PARTIDA]],"0000000000")</f>
        <v>5801100000</v>
      </c>
      <c r="C4566" s="16" t="s">
        <v>815</v>
      </c>
      <c r="D4566" s="16" t="s">
        <v>835</v>
      </c>
      <c r="E4566" s="16" t="s">
        <v>844</v>
      </c>
      <c r="F4566" s="27" t="s">
        <v>13202</v>
      </c>
      <c r="G4566" s="27"/>
      <c r="H4566" s="16" t="str">
        <f>IF(ISBLANK(PARTIDAS!$G4566),PARTIDAS!$F4566,CONCATENATE(PARTIDAS!$F4566," (",PARTIDAS!$G4566,")"))</f>
        <v>Terciopelo y felpa, de lana o pelo fino</v>
      </c>
      <c r="I4566" s="16" t="s">
        <v>9427</v>
      </c>
    </row>
    <row r="4567" spans="1:9" x14ac:dyDescent="0.25">
      <c r="A4567" s="16" t="s">
        <v>5507</v>
      </c>
      <c r="B4567" s="16" t="str">
        <f>TEXT(PARTIDA[[#This Row],[PARTIDA]],"0000000000")</f>
        <v>5801210000</v>
      </c>
      <c r="C4567" s="16" t="s">
        <v>815</v>
      </c>
      <c r="D4567" s="16" t="s">
        <v>835</v>
      </c>
      <c r="E4567" s="16" t="s">
        <v>844</v>
      </c>
      <c r="F4567" s="27" t="s">
        <v>13203</v>
      </c>
      <c r="G4567" s="27"/>
      <c r="H4567" s="16" t="str">
        <f>IF(ISBLANK(PARTIDAS!$G4567),PARTIDAS!$F4567,CONCATENATE(PARTIDAS!$F4567," (",PARTIDAS!$G4567,")"))</f>
        <v>Terciopelo y felpa por trama, sin cortar</v>
      </c>
      <c r="I4567" s="16" t="s">
        <v>9427</v>
      </c>
    </row>
    <row r="4568" spans="1:9" x14ac:dyDescent="0.25">
      <c r="A4568" s="16" t="s">
        <v>5508</v>
      </c>
      <c r="B4568" s="16" t="str">
        <f>TEXT(PARTIDA[[#This Row],[PARTIDA]],"0000000000")</f>
        <v>5801220000</v>
      </c>
      <c r="C4568" s="16" t="s">
        <v>815</v>
      </c>
      <c r="D4568" s="16" t="s">
        <v>835</v>
      </c>
      <c r="E4568" s="16" t="s">
        <v>844</v>
      </c>
      <c r="F4568" s="27" t="s">
        <v>13204</v>
      </c>
      <c r="G4568" s="27"/>
      <c r="H4568" s="16" t="str">
        <f>IF(ISBLANK(PARTIDAS!$G4568),PARTIDAS!$F4568,CONCATENATE(PARTIDAS!$F4568," (",PARTIDAS!$G4568,")"))</f>
        <v>Terciopelo y felpa por trama, cortados, rayados (pana rayada, «corduroy»)</v>
      </c>
      <c r="I4568" s="16" t="s">
        <v>9427</v>
      </c>
    </row>
    <row r="4569" spans="1:9" x14ac:dyDescent="0.25">
      <c r="A4569" s="16" t="s">
        <v>5509</v>
      </c>
      <c r="B4569" s="16" t="str">
        <f>TEXT(PARTIDA[[#This Row],[PARTIDA]],"0000000000")</f>
        <v>5801230000</v>
      </c>
      <c r="C4569" s="16" t="s">
        <v>815</v>
      </c>
      <c r="D4569" s="16" t="s">
        <v>835</v>
      </c>
      <c r="E4569" s="16" t="s">
        <v>844</v>
      </c>
      <c r="F4569" s="27" t="s">
        <v>13205</v>
      </c>
      <c r="G4569" s="27"/>
      <c r="H4569" s="16" t="str">
        <f>IF(ISBLANK(PARTIDAS!$G4569),PARTIDAS!$F4569,CONCATENATE(PARTIDAS!$F4569," (",PARTIDAS!$G4569,")"))</f>
        <v>Terciopelo y felpa, de algodón (los demás, terciopelos y felpas por trama)</v>
      </c>
      <c r="I4569" s="16" t="s">
        <v>9427</v>
      </c>
    </row>
    <row r="4570" spans="1:9" x14ac:dyDescent="0.25">
      <c r="A4570" s="16" t="s">
        <v>5510</v>
      </c>
      <c r="B4570" s="16" t="str">
        <f>TEXT(PARTIDA[[#This Row],[PARTIDA]],"0000000000")</f>
        <v>5801260000</v>
      </c>
      <c r="C4570" s="16" t="s">
        <v>815</v>
      </c>
      <c r="D4570" s="16" t="s">
        <v>835</v>
      </c>
      <c r="E4570" s="16" t="s">
        <v>844</v>
      </c>
      <c r="F4570" s="27" t="s">
        <v>13206</v>
      </c>
      <c r="G4570" s="27"/>
      <c r="H4570" s="16" t="str">
        <f>IF(ISBLANK(PARTIDAS!$G4570),PARTIDAS!$F4570,CONCATENATE(PARTIDAS!$F4570," (",PARTIDAS!$G4570,")"))</f>
        <v>Tejidos de chenilla</v>
      </c>
      <c r="I4570" s="16" t="s">
        <v>9427</v>
      </c>
    </row>
    <row r="4571" spans="1:9" x14ac:dyDescent="0.25">
      <c r="A4571" s="16" t="s">
        <v>5511</v>
      </c>
      <c r="B4571" s="16" t="str">
        <f>TEXT(PARTIDA[[#This Row],[PARTIDA]],"0000000000")</f>
        <v>5801271000</v>
      </c>
      <c r="C4571" s="16" t="s">
        <v>815</v>
      </c>
      <c r="D4571" s="16" t="s">
        <v>835</v>
      </c>
      <c r="E4571" s="16" t="s">
        <v>844</v>
      </c>
      <c r="F4571" s="27" t="s">
        <v>13207</v>
      </c>
      <c r="G4571" s="27"/>
      <c r="H4571" s="16" t="str">
        <f>IF(ISBLANK(PARTIDAS!$G4571),PARTIDAS!$F4571,CONCATENATE(PARTIDAS!$F4571," (",PARTIDAS!$G4571,")"))</f>
        <v>Terciopelo y felpa por urdimbre, sin cortar (rizados)</v>
      </c>
      <c r="I4571" s="16" t="s">
        <v>9427</v>
      </c>
    </row>
    <row r="4572" spans="1:9" x14ac:dyDescent="0.25">
      <c r="A4572" s="16" t="s">
        <v>5512</v>
      </c>
      <c r="B4572" s="16" t="str">
        <f>TEXT(PARTIDA[[#This Row],[PARTIDA]],"0000000000")</f>
        <v>5801272000</v>
      </c>
      <c r="C4572" s="16" t="s">
        <v>815</v>
      </c>
      <c r="D4572" s="16" t="s">
        <v>835</v>
      </c>
      <c r="E4572" s="16" t="s">
        <v>844</v>
      </c>
      <c r="F4572" s="27" t="s">
        <v>13208</v>
      </c>
      <c r="G4572" s="27"/>
      <c r="H4572" s="16" t="str">
        <f>IF(ISBLANK(PARTIDAS!$G4572),PARTIDAS!$F4572,CONCATENATE(PARTIDAS!$F4572," (",PARTIDAS!$G4572,")"))</f>
        <v>Terciopelo y felpa por urdimbre, cortados</v>
      </c>
      <c r="I4572" s="16" t="s">
        <v>9427</v>
      </c>
    </row>
    <row r="4573" spans="1:9" x14ac:dyDescent="0.25">
      <c r="A4573" s="16" t="s">
        <v>5513</v>
      </c>
      <c r="B4573" s="16" t="str">
        <f>TEXT(PARTIDA[[#This Row],[PARTIDA]],"0000000000")</f>
        <v>5801310000</v>
      </c>
      <c r="C4573" s="16" t="s">
        <v>815</v>
      </c>
      <c r="D4573" s="16" t="s">
        <v>835</v>
      </c>
      <c r="E4573" s="16" t="s">
        <v>844</v>
      </c>
      <c r="F4573" s="27" t="s">
        <v>13203</v>
      </c>
      <c r="G4573" s="27"/>
      <c r="H4573" s="16" t="str">
        <f>IF(ISBLANK(PARTIDAS!$G4573),PARTIDAS!$F4573,CONCATENATE(PARTIDAS!$F4573," (",PARTIDAS!$G4573,")"))</f>
        <v>Terciopelo y felpa por trama, sin cortar</v>
      </c>
      <c r="I4573" s="16" t="s">
        <v>9427</v>
      </c>
    </row>
    <row r="4574" spans="1:9" x14ac:dyDescent="0.25">
      <c r="A4574" s="16" t="s">
        <v>5514</v>
      </c>
      <c r="B4574" s="16" t="str">
        <f>TEXT(PARTIDA[[#This Row],[PARTIDA]],"0000000000")</f>
        <v>5801320000</v>
      </c>
      <c r="C4574" s="16" t="s">
        <v>815</v>
      </c>
      <c r="D4574" s="16" t="s">
        <v>835</v>
      </c>
      <c r="E4574" s="16" t="s">
        <v>844</v>
      </c>
      <c r="F4574" s="27" t="s">
        <v>13204</v>
      </c>
      <c r="G4574" s="27"/>
      <c r="H4574" s="16" t="str">
        <f>IF(ISBLANK(PARTIDAS!$G4574),PARTIDAS!$F4574,CONCATENATE(PARTIDAS!$F4574," (",PARTIDAS!$G4574,")"))</f>
        <v>Terciopelo y felpa por trama, cortados, rayados (pana rayada, «corduroy»)</v>
      </c>
      <c r="I4574" s="16" t="s">
        <v>9427</v>
      </c>
    </row>
    <row r="4575" spans="1:9" x14ac:dyDescent="0.25">
      <c r="A4575" s="16" t="s">
        <v>5515</v>
      </c>
      <c r="B4575" s="16" t="str">
        <f>TEXT(PARTIDA[[#This Row],[PARTIDA]],"0000000000")</f>
        <v>5801330000</v>
      </c>
      <c r="C4575" s="16" t="s">
        <v>815</v>
      </c>
      <c r="D4575" s="16" t="s">
        <v>835</v>
      </c>
      <c r="E4575" s="16" t="s">
        <v>844</v>
      </c>
      <c r="F4575" s="27" t="s">
        <v>13209</v>
      </c>
      <c r="G4575" s="27"/>
      <c r="H4575" s="16" t="str">
        <f>IF(ISBLANK(PARTIDAS!$G4575),PARTIDAS!$F4575,CONCATENATE(PARTIDAS!$F4575," (",PARTIDAS!$G4575,")"))</f>
        <v>Terciopelo y felpa, de fibras sintéticas o artificiales (los demás, terciopelos y felpas por trama)</v>
      </c>
      <c r="I4575" s="16" t="s">
        <v>9427</v>
      </c>
    </row>
    <row r="4576" spans="1:9" x14ac:dyDescent="0.25">
      <c r="A4576" s="16" t="s">
        <v>5516</v>
      </c>
      <c r="B4576" s="16" t="str">
        <f>TEXT(PARTIDA[[#This Row],[PARTIDA]],"0000000000")</f>
        <v>5801360000</v>
      </c>
      <c r="C4576" s="16" t="s">
        <v>815</v>
      </c>
      <c r="D4576" s="16" t="s">
        <v>835</v>
      </c>
      <c r="E4576" s="16" t="s">
        <v>844</v>
      </c>
      <c r="F4576" s="27" t="s">
        <v>13206</v>
      </c>
      <c r="G4576" s="27"/>
      <c r="H4576" s="16" t="str">
        <f>IF(ISBLANK(PARTIDAS!$G4576),PARTIDAS!$F4576,CONCATENATE(PARTIDAS!$F4576," (",PARTIDAS!$G4576,")"))</f>
        <v>Tejidos de chenilla</v>
      </c>
      <c r="I4576" s="16" t="s">
        <v>9427</v>
      </c>
    </row>
    <row r="4577" spans="1:9" x14ac:dyDescent="0.25">
      <c r="A4577" s="16" t="s">
        <v>5517</v>
      </c>
      <c r="B4577" s="16" t="str">
        <f>TEXT(PARTIDA[[#This Row],[PARTIDA]],"0000000000")</f>
        <v>5801370000</v>
      </c>
      <c r="C4577" s="16" t="s">
        <v>815</v>
      </c>
      <c r="D4577" s="16" t="s">
        <v>835</v>
      </c>
      <c r="E4577" s="16" t="s">
        <v>844</v>
      </c>
      <c r="F4577" s="27" t="s">
        <v>13210</v>
      </c>
      <c r="G4577" s="27"/>
      <c r="H4577" s="16" t="str">
        <f>IF(ISBLANK(PARTIDAS!$G4577),PARTIDAS!$F4577,CONCATENATE(PARTIDAS!$F4577," (",PARTIDAS!$G4577,")"))</f>
        <v>Terciopelo y felpa por urdimbre</v>
      </c>
      <c r="I4577" s="16" t="s">
        <v>9427</v>
      </c>
    </row>
    <row r="4578" spans="1:9" x14ac:dyDescent="0.25">
      <c r="A4578" s="16" t="s">
        <v>5518</v>
      </c>
      <c r="B4578" s="16" t="str">
        <f>TEXT(PARTIDA[[#This Row],[PARTIDA]],"0000000000")</f>
        <v>5801900000</v>
      </c>
      <c r="C4578" s="16" t="s">
        <v>815</v>
      </c>
      <c r="D4578" s="16" t="s">
        <v>835</v>
      </c>
      <c r="E4578" s="16" t="s">
        <v>844</v>
      </c>
      <c r="F4578" s="27" t="s">
        <v>13211</v>
      </c>
      <c r="G4578" s="27"/>
      <c r="H4578" s="16" t="str">
        <f>IF(ISBLANK(PARTIDAS!$G4578),PARTIDAS!$F4578,CONCATENATE(PARTIDAS!$F4578," (",PARTIDAS!$G4578,")"))</f>
        <v>Terciopelo y felpa, de las demás materias textiles</v>
      </c>
      <c r="I4578" s="16" t="s">
        <v>9427</v>
      </c>
    </row>
    <row r="4579" spans="1:9" x14ac:dyDescent="0.25">
      <c r="A4579" s="16" t="s">
        <v>13212</v>
      </c>
      <c r="B4579" s="16" t="str">
        <f>TEXT(PARTIDA[[#This Row],[PARTIDA]],"0000000000")</f>
        <v>5802100000</v>
      </c>
      <c r="C4579" s="16" t="s">
        <v>815</v>
      </c>
      <c r="D4579" s="16" t="s">
        <v>835</v>
      </c>
      <c r="E4579" s="16" t="s">
        <v>844</v>
      </c>
      <c r="F4579" s="27" t="s">
        <v>13213</v>
      </c>
      <c r="G4579" s="27"/>
      <c r="H4579" s="16" t="str">
        <f>IF(ISBLANK(PARTIDAS!$G4579),PARTIDAS!$F4579,CONCATENATE(PARTIDAS!$F4579," (",PARTIDAS!$G4579,")"))</f>
        <v>Tejidos con bucles del tipo toalla, de algodón</v>
      </c>
      <c r="I4579" s="16" t="s">
        <v>9427</v>
      </c>
    </row>
    <row r="4580" spans="1:9" x14ac:dyDescent="0.25">
      <c r="A4580" s="16" t="s">
        <v>5519</v>
      </c>
      <c r="B4580" s="16" t="str">
        <f>TEXT(PARTIDA[[#This Row],[PARTIDA]],"0000000000")</f>
        <v>5802110000</v>
      </c>
      <c r="C4580" s="16" t="s">
        <v>815</v>
      </c>
      <c r="D4580" s="16" t="s">
        <v>835</v>
      </c>
      <c r="E4580" s="16" t="s">
        <v>844</v>
      </c>
      <c r="F4580" s="27" t="s">
        <v>13214</v>
      </c>
      <c r="G4580" s="27"/>
      <c r="H4580" s="16" t="str">
        <f>IF(ISBLANK(PARTIDAS!$G4580),PARTIDAS!$F4580,CONCATENATE(PARTIDAS!$F4580," (",PARTIDAS!$G4580,")"))</f>
        <v>Crudos</v>
      </c>
      <c r="I4580" s="16" t="s">
        <v>9648</v>
      </c>
    </row>
    <row r="4581" spans="1:9" x14ac:dyDescent="0.25">
      <c r="A4581" s="16" t="s">
        <v>5520</v>
      </c>
      <c r="B4581" s="16" t="str">
        <f>TEXT(PARTIDA[[#This Row],[PARTIDA]],"0000000000")</f>
        <v>5802190000</v>
      </c>
      <c r="C4581" s="16" t="s">
        <v>815</v>
      </c>
      <c r="D4581" s="16" t="s">
        <v>835</v>
      </c>
      <c r="E4581" s="16" t="s">
        <v>844</v>
      </c>
      <c r="F4581" s="27" t="s">
        <v>13215</v>
      </c>
      <c r="G4581" s="27"/>
      <c r="H4581" s="16" t="str">
        <f>IF(ISBLANK(PARTIDAS!$G4581),PARTIDAS!$F4581,CONCATENATE(PARTIDAS!$F4581," (",PARTIDAS!$G4581,")"))</f>
        <v>Tejidos con bucles del tipo toalla, excepto los productos de la partid (los demás)</v>
      </c>
      <c r="I4581" s="16" t="s">
        <v>9648</v>
      </c>
    </row>
    <row r="4582" spans="1:9" x14ac:dyDescent="0.25">
      <c r="A4582" s="16" t="s">
        <v>5521</v>
      </c>
      <c r="B4582" s="16" t="str">
        <f>TEXT(PARTIDA[[#This Row],[PARTIDA]],"0000000000")</f>
        <v>5802200000</v>
      </c>
      <c r="C4582" s="16" t="s">
        <v>815</v>
      </c>
      <c r="D4582" s="16" t="s">
        <v>835</v>
      </c>
      <c r="E4582" s="16" t="s">
        <v>844</v>
      </c>
      <c r="F4582" s="27" t="s">
        <v>13216</v>
      </c>
      <c r="G4582" s="27"/>
      <c r="H4582" s="16" t="str">
        <f>IF(ISBLANK(PARTIDAS!$G4582),PARTIDAS!$F4582,CONCATENATE(PARTIDAS!$F4582," (",PARTIDAS!$G4582,")"))</f>
        <v>Tejidos con bucles del tipo toalla, de las demás materias textiles</v>
      </c>
      <c r="I4582" s="16" t="s">
        <v>9427</v>
      </c>
    </row>
    <row r="4583" spans="1:9" x14ac:dyDescent="0.25">
      <c r="A4583" s="16" t="s">
        <v>5522</v>
      </c>
      <c r="B4583" s="16" t="str">
        <f>TEXT(PARTIDA[[#This Row],[PARTIDA]],"0000000000")</f>
        <v>5802300000</v>
      </c>
      <c r="C4583" s="16" t="s">
        <v>815</v>
      </c>
      <c r="D4583" s="16" t="s">
        <v>835</v>
      </c>
      <c r="E4583" s="16" t="s">
        <v>844</v>
      </c>
      <c r="F4583" s="27" t="s">
        <v>13217</v>
      </c>
      <c r="G4583" s="27"/>
      <c r="H4583" s="16" t="str">
        <f>IF(ISBLANK(PARTIDAS!$G4583),PARTIDAS!$F4583,CONCATENATE(PARTIDAS!$F4583," (",PARTIDAS!$G4583,")"))</f>
        <v>Superficies textiles con mechón insertado</v>
      </c>
      <c r="I4583" s="16" t="s">
        <v>9427</v>
      </c>
    </row>
    <row r="4584" spans="1:9" x14ac:dyDescent="0.25">
      <c r="A4584" s="16" t="s">
        <v>5523</v>
      </c>
      <c r="B4584" s="16" t="str">
        <f>TEXT(PARTIDA[[#This Row],[PARTIDA]],"0000000000")</f>
        <v>5803001000</v>
      </c>
      <c r="C4584" s="16" t="s">
        <v>815</v>
      </c>
      <c r="D4584" s="16" t="s">
        <v>835</v>
      </c>
      <c r="E4584" s="16" t="s">
        <v>844</v>
      </c>
      <c r="F4584" s="27" t="s">
        <v>13213</v>
      </c>
      <c r="G4584" s="27"/>
      <c r="H4584" s="16" t="str">
        <f>IF(ISBLANK(PARTIDAS!$G4584),PARTIDAS!$F4584,CONCATENATE(PARTIDAS!$F4584," (",PARTIDAS!$G4584,")"))</f>
        <v>Tejidos con bucles del tipo toalla, de algodón</v>
      </c>
      <c r="I4584" s="16" t="s">
        <v>9427</v>
      </c>
    </row>
    <row r="4585" spans="1:9" x14ac:dyDescent="0.25">
      <c r="A4585" s="16" t="s">
        <v>5524</v>
      </c>
      <c r="B4585" s="16" t="str">
        <f>TEXT(PARTIDA[[#This Row],[PARTIDA]],"0000000000")</f>
        <v>5803009000</v>
      </c>
      <c r="C4585" s="16" t="s">
        <v>815</v>
      </c>
      <c r="D4585" s="16" t="s">
        <v>835</v>
      </c>
      <c r="E4585" s="16" t="s">
        <v>844</v>
      </c>
      <c r="F4585" s="27" t="s">
        <v>13216</v>
      </c>
      <c r="G4585" s="27"/>
      <c r="H4585" s="16" t="str">
        <f>IF(ISBLANK(PARTIDAS!$G4585),PARTIDAS!$F4585,CONCATENATE(PARTIDAS!$F4585," (",PARTIDAS!$G4585,")"))</f>
        <v>Tejidos con bucles del tipo toalla, de las demás materias textiles</v>
      </c>
      <c r="I4585" s="16" t="s">
        <v>9427</v>
      </c>
    </row>
    <row r="4586" spans="1:9" x14ac:dyDescent="0.25">
      <c r="A4586" s="16" t="s">
        <v>5525</v>
      </c>
      <c r="B4586" s="16" t="str">
        <f>TEXT(PARTIDA[[#This Row],[PARTIDA]],"0000000000")</f>
        <v>5804100000</v>
      </c>
      <c r="C4586" s="16" t="s">
        <v>815</v>
      </c>
      <c r="D4586" s="16" t="s">
        <v>835</v>
      </c>
      <c r="E4586" s="16" t="s">
        <v>844</v>
      </c>
      <c r="F4586" s="27" t="s">
        <v>13218</v>
      </c>
      <c r="G4586" s="27"/>
      <c r="H4586" s="16" t="str">
        <f>IF(ISBLANK(PARTIDAS!$G4586),PARTIDAS!$F4586,CONCATENATE(PARTIDAS!$F4586," (",PARTIDAS!$G4586,")"))</f>
        <v>Tul, tul-bobinot y tejidos de mallas anudadas</v>
      </c>
      <c r="I4586" s="16" t="s">
        <v>9427</v>
      </c>
    </row>
    <row r="4587" spans="1:9" x14ac:dyDescent="0.25">
      <c r="A4587" s="16" t="s">
        <v>5526</v>
      </c>
      <c r="B4587" s="16" t="str">
        <f>TEXT(PARTIDA[[#This Row],[PARTIDA]],"0000000000")</f>
        <v>5804210000</v>
      </c>
      <c r="C4587" s="16" t="s">
        <v>815</v>
      </c>
      <c r="D4587" s="16" t="s">
        <v>835</v>
      </c>
      <c r="E4587" s="16" t="s">
        <v>844</v>
      </c>
      <c r="F4587" s="27" t="s">
        <v>13219</v>
      </c>
      <c r="G4587" s="27"/>
      <c r="H4587" s="16" t="str">
        <f>IF(ISBLANK(PARTIDAS!$G4587),PARTIDAS!$F4587,CONCATENATE(PARTIDAS!$F4587," (",PARTIDAS!$G4587,")"))</f>
        <v>Encajes fabricados a máquina, de fibras sintéticas o artificiales</v>
      </c>
      <c r="I4587" s="16" t="s">
        <v>9427</v>
      </c>
    </row>
    <row r="4588" spans="1:9" x14ac:dyDescent="0.25">
      <c r="A4588" s="16" t="s">
        <v>5527</v>
      </c>
      <c r="B4588" s="16" t="str">
        <f>TEXT(PARTIDA[[#This Row],[PARTIDA]],"0000000000")</f>
        <v>5804290000</v>
      </c>
      <c r="C4588" s="16" t="s">
        <v>815</v>
      </c>
      <c r="D4588" s="16" t="s">
        <v>835</v>
      </c>
      <c r="E4588" s="16" t="s">
        <v>844</v>
      </c>
      <c r="F4588" s="27" t="s">
        <v>13220</v>
      </c>
      <c r="G4588" s="27"/>
      <c r="H4588" s="16" t="str">
        <f>IF(ISBLANK(PARTIDAS!$G4588),PARTIDAS!$F4588,CONCATENATE(PARTIDAS!$F4588," (",PARTIDAS!$G4588,")"))</f>
        <v>Encajes fabricados a máquina, de las demás materias textiles</v>
      </c>
      <c r="I4588" s="16" t="s">
        <v>9427</v>
      </c>
    </row>
    <row r="4589" spans="1:9" x14ac:dyDescent="0.25">
      <c r="A4589" s="16" t="s">
        <v>5528</v>
      </c>
      <c r="B4589" s="16" t="str">
        <f>TEXT(PARTIDA[[#This Row],[PARTIDA]],"0000000000")</f>
        <v>5804300000</v>
      </c>
      <c r="C4589" s="16" t="s">
        <v>815</v>
      </c>
      <c r="D4589" s="16" t="s">
        <v>835</v>
      </c>
      <c r="E4589" s="16" t="s">
        <v>844</v>
      </c>
      <c r="F4589" s="27" t="s">
        <v>13221</v>
      </c>
      <c r="G4589" s="27"/>
      <c r="H4589" s="16" t="str">
        <f>IF(ISBLANK(PARTIDAS!$G4589),PARTIDAS!$F4589,CONCATENATE(PARTIDAS!$F4589," (",PARTIDAS!$G4589,")"))</f>
        <v>Encajes hechos a mano</v>
      </c>
      <c r="I4589" s="16" t="s">
        <v>9427</v>
      </c>
    </row>
    <row r="4590" spans="1:9" x14ac:dyDescent="0.25">
      <c r="A4590" s="16" t="s">
        <v>5529</v>
      </c>
      <c r="B4590" s="16" t="str">
        <f>TEXT(PARTIDA[[#This Row],[PARTIDA]],"0000000000")</f>
        <v>5805000000</v>
      </c>
      <c r="C4590" s="16" t="s">
        <v>815</v>
      </c>
      <c r="D4590" s="16" t="s">
        <v>835</v>
      </c>
      <c r="E4590" s="16" t="s">
        <v>844</v>
      </c>
      <c r="F4590" s="27" t="s">
        <v>5140</v>
      </c>
      <c r="G4590" s="27"/>
      <c r="H4590" s="16" t="str">
        <f>IF(ISBLANK(PARTIDAS!$G4590),PARTIDAS!$F4590,CONCATENATE(PARTIDAS!$F4590," (",PARTIDAS!$G4590,")"))</f>
        <v>Productos textiles</v>
      </c>
      <c r="I4590" s="16" t="s">
        <v>9427</v>
      </c>
    </row>
    <row r="4591" spans="1:9" x14ac:dyDescent="0.25">
      <c r="A4591" s="16" t="s">
        <v>5530</v>
      </c>
      <c r="B4591" s="16" t="str">
        <f>TEXT(PARTIDA[[#This Row],[PARTIDA]],"0000000000")</f>
        <v>5806100000</v>
      </c>
      <c r="C4591" s="16" t="s">
        <v>815</v>
      </c>
      <c r="D4591" s="16" t="s">
        <v>835</v>
      </c>
      <c r="E4591" s="16" t="s">
        <v>844</v>
      </c>
      <c r="F4591" s="27" t="s">
        <v>13222</v>
      </c>
      <c r="G4591" s="27"/>
      <c r="H4591" s="16" t="str">
        <f>IF(ISBLANK(PARTIDAS!$G4591),PARTIDAS!$F4591,CONCATENATE(PARTIDAS!$F4591," (",PARTIDAS!$G4591,")"))</f>
        <v>Cintas de terciopelo, de felpa, de tejidos de chenilla o de tejidos con bucles del tipo toalla</v>
      </c>
      <c r="I4591" s="16" t="s">
        <v>9427</v>
      </c>
    </row>
    <row r="4592" spans="1:9" x14ac:dyDescent="0.25">
      <c r="A4592" s="16" t="s">
        <v>5531</v>
      </c>
      <c r="B4592" s="16" t="str">
        <f>TEXT(PARTIDA[[#This Row],[PARTIDA]],"0000000000")</f>
        <v>5806200000</v>
      </c>
      <c r="C4592" s="16" t="s">
        <v>815</v>
      </c>
      <c r="D4592" s="16" t="s">
        <v>835</v>
      </c>
      <c r="E4592" s="16" t="s">
        <v>844</v>
      </c>
      <c r="F4592" s="27" t="s">
        <v>13223</v>
      </c>
      <c r="G4592" s="27"/>
      <c r="H4592" s="16" t="str">
        <f>IF(ISBLANK(PARTIDAS!$G4592),PARTIDAS!$F4592,CONCATENATE(PARTIDAS!$F4592," (",PARTIDAS!$G4592,")"))</f>
        <v>Cintas, excepto los artículos de la partida 58.07 (los demás, cintas, con un contenido de hilos de elastómeros o de hilos de caucho superior o igual a</v>
      </c>
      <c r="I4592" s="16" t="s">
        <v>9427</v>
      </c>
    </row>
    <row r="4593" spans="1:9" x14ac:dyDescent="0.25">
      <c r="A4593" s="16" t="s">
        <v>5532</v>
      </c>
      <c r="B4593" s="16" t="str">
        <f>TEXT(PARTIDA[[#This Row],[PARTIDA]],"0000000000")</f>
        <v>5806310000</v>
      </c>
      <c r="C4593" s="16" t="s">
        <v>815</v>
      </c>
      <c r="D4593" s="16" t="s">
        <v>835</v>
      </c>
      <c r="E4593" s="16" t="s">
        <v>844</v>
      </c>
      <c r="F4593" s="27" t="s">
        <v>13224</v>
      </c>
      <c r="G4593" s="27"/>
      <c r="H4593" s="16" t="str">
        <f>IF(ISBLANK(PARTIDAS!$G4593),PARTIDAS!$F4593,CONCATENATE(PARTIDAS!$F4593," (",PARTIDAS!$G4593,")"))</f>
        <v>Cintas, excepto los artículos de la partida 58.07, de algodón</v>
      </c>
      <c r="I4593" s="16" t="s">
        <v>9427</v>
      </c>
    </row>
    <row r="4594" spans="1:9" x14ac:dyDescent="0.25">
      <c r="A4594" s="16" t="s">
        <v>5533</v>
      </c>
      <c r="B4594" s="16" t="str">
        <f>TEXT(PARTIDA[[#This Row],[PARTIDA]],"0000000000")</f>
        <v>5806321000</v>
      </c>
      <c r="C4594" s="16" t="s">
        <v>815</v>
      </c>
      <c r="D4594" s="16" t="s">
        <v>835</v>
      </c>
      <c r="E4594" s="16" t="s">
        <v>844</v>
      </c>
      <c r="F4594" s="27" t="s">
        <v>13225</v>
      </c>
      <c r="G4594" s="27"/>
      <c r="H4594" s="16" t="str">
        <f>IF(ISBLANK(PARTIDAS!$G4594),PARTIDAS!$F4594,CONCATENATE(PARTIDAS!$F4594," (",PARTIDAS!$G4594,")"))</f>
        <v>Cintas, excepto los artículos de la partida 58.07, de fibras sintéticas o artificiales, de ancho inferior o igual a 4,1 cm</v>
      </c>
      <c r="I4594" s="16" t="s">
        <v>9427</v>
      </c>
    </row>
    <row r="4595" spans="1:9" x14ac:dyDescent="0.25">
      <c r="A4595" s="16" t="s">
        <v>5534</v>
      </c>
      <c r="B4595" s="16" t="str">
        <f>TEXT(PARTIDA[[#This Row],[PARTIDA]],"0000000000")</f>
        <v>5806329000</v>
      </c>
      <c r="C4595" s="16" t="s">
        <v>815</v>
      </c>
      <c r="D4595" s="16" t="s">
        <v>835</v>
      </c>
      <c r="E4595" s="16" t="s">
        <v>844</v>
      </c>
      <c r="F4595" s="27" t="s">
        <v>13226</v>
      </c>
      <c r="G4595" s="27"/>
      <c r="H4595" s="16" t="str">
        <f>IF(ISBLANK(PARTIDAS!$G4595),PARTIDAS!$F4595,CONCATENATE(PARTIDAS!$F4595," (",PARTIDAS!$G4595,")"))</f>
        <v>Cintas, excepto los artículos de la partida 58.07, de fibras sintéticas o artificiales (los demás)</v>
      </c>
      <c r="I4595" s="16" t="s">
        <v>9427</v>
      </c>
    </row>
    <row r="4596" spans="1:9" x14ac:dyDescent="0.25">
      <c r="A4596" s="16" t="s">
        <v>5535</v>
      </c>
      <c r="B4596" s="16" t="str">
        <f>TEXT(PARTIDA[[#This Row],[PARTIDA]],"0000000000")</f>
        <v>5806390000</v>
      </c>
      <c r="C4596" s="16" t="s">
        <v>815</v>
      </c>
      <c r="D4596" s="16" t="s">
        <v>835</v>
      </c>
      <c r="E4596" s="16" t="s">
        <v>844</v>
      </c>
      <c r="F4596" s="27" t="s">
        <v>13227</v>
      </c>
      <c r="G4596" s="27"/>
      <c r="H4596" s="16" t="str">
        <f>IF(ISBLANK(PARTIDAS!$G4596),PARTIDAS!$F4596,CONCATENATE(PARTIDAS!$F4596," (",PARTIDAS!$G4596,")"))</f>
        <v>Cintas, excepto los artículos de la partida 58.07, de las demás materias textiles</v>
      </c>
      <c r="I4596" s="16" t="s">
        <v>9427</v>
      </c>
    </row>
    <row r="4597" spans="1:9" x14ac:dyDescent="0.25">
      <c r="A4597" s="16" t="s">
        <v>5536</v>
      </c>
      <c r="B4597" s="16" t="str">
        <f>TEXT(PARTIDA[[#This Row],[PARTIDA]],"0000000000")</f>
        <v>5806400000</v>
      </c>
      <c r="C4597" s="16" t="s">
        <v>815</v>
      </c>
      <c r="D4597" s="16" t="s">
        <v>835</v>
      </c>
      <c r="E4597" s="16" t="s">
        <v>844</v>
      </c>
      <c r="F4597" s="27" t="s">
        <v>13228</v>
      </c>
      <c r="G4597" s="27"/>
      <c r="H4597" s="16" t="str">
        <f>IF(ISBLANK(PARTIDAS!$G4597),PARTIDAS!$F4597,CONCATENATE(PARTIDAS!$F4597," (",PARTIDAS!$G4597,")"))</f>
        <v>Cintas sin trama, de hilados o fibras paralelizados y aglutinados</v>
      </c>
      <c r="I4597" s="16" t="s">
        <v>9427</v>
      </c>
    </row>
    <row r="4598" spans="1:9" x14ac:dyDescent="0.25">
      <c r="A4598" s="16" t="s">
        <v>5537</v>
      </c>
      <c r="B4598" s="16" t="str">
        <f>TEXT(PARTIDA[[#This Row],[PARTIDA]],"0000000000")</f>
        <v>5807100000</v>
      </c>
      <c r="C4598" s="16" t="s">
        <v>815</v>
      </c>
      <c r="D4598" s="16" t="s">
        <v>835</v>
      </c>
      <c r="E4598" s="16" t="s">
        <v>844</v>
      </c>
      <c r="F4598" s="27" t="s">
        <v>13229</v>
      </c>
      <c r="G4598" s="27"/>
      <c r="H4598" s="16" t="str">
        <f>IF(ISBLANK(PARTIDAS!$G4598),PARTIDAS!$F4598,CONCATENATE(PARTIDAS!$F4598," (",PARTIDAS!$G4598,")"))</f>
        <v>Tejidos</v>
      </c>
      <c r="I4598" s="16" t="s">
        <v>9427</v>
      </c>
    </row>
    <row r="4599" spans="1:9" x14ac:dyDescent="0.25">
      <c r="A4599" s="16" t="s">
        <v>5538</v>
      </c>
      <c r="B4599" s="16" t="str">
        <f>TEXT(PARTIDA[[#This Row],[PARTIDA]],"0000000000")</f>
        <v>5807900000</v>
      </c>
      <c r="C4599" s="16" t="s">
        <v>815</v>
      </c>
      <c r="D4599" s="16" t="s">
        <v>835</v>
      </c>
      <c r="E4599" s="16" t="s">
        <v>844</v>
      </c>
      <c r="F4599" s="27" t="s">
        <v>13230</v>
      </c>
      <c r="G4599" s="27"/>
      <c r="H4599" s="16" t="str">
        <f>IF(ISBLANK(PARTIDAS!$G4599),PARTIDAS!$F4599,CONCATENATE(PARTIDAS!$F4599," (",PARTIDAS!$G4599,")"))</f>
        <v>Etiquetas, escudos y artículos similares, de materia textil, en… (los demás)</v>
      </c>
      <c r="I4599" s="16" t="s">
        <v>9427</v>
      </c>
    </row>
    <row r="4600" spans="1:9" x14ac:dyDescent="0.25">
      <c r="A4600" s="16" t="s">
        <v>5539</v>
      </c>
      <c r="B4600" s="16" t="str">
        <f>TEXT(PARTIDA[[#This Row],[PARTIDA]],"0000000000")</f>
        <v>5808100000</v>
      </c>
      <c r="C4600" s="16" t="s">
        <v>815</v>
      </c>
      <c r="D4600" s="16" t="s">
        <v>835</v>
      </c>
      <c r="E4600" s="16" t="s">
        <v>844</v>
      </c>
      <c r="F4600" s="27" t="s">
        <v>13231</v>
      </c>
      <c r="G4600" s="27"/>
      <c r="H4600" s="16" t="str">
        <f>IF(ISBLANK(PARTIDAS!$G4600),PARTIDAS!$F4600,CONCATENATE(PARTIDAS!$F4600," (",PARTIDAS!$G4600,")"))</f>
        <v>Trenzas en pieza</v>
      </c>
      <c r="I4600" s="16" t="s">
        <v>9427</v>
      </c>
    </row>
    <row r="4601" spans="1:9" x14ac:dyDescent="0.25">
      <c r="A4601" s="16" t="s">
        <v>5540</v>
      </c>
      <c r="B4601" s="16" t="str">
        <f>TEXT(PARTIDA[[#This Row],[PARTIDA]],"0000000000")</f>
        <v>5808900000</v>
      </c>
      <c r="C4601" s="16" t="s">
        <v>815</v>
      </c>
      <c r="D4601" s="16" t="s">
        <v>835</v>
      </c>
      <c r="E4601" s="16" t="s">
        <v>844</v>
      </c>
      <c r="F4601" s="27" t="s">
        <v>13232</v>
      </c>
      <c r="G4601" s="27"/>
      <c r="H4601" s="16" t="str">
        <f>IF(ISBLANK(PARTIDAS!$G4601),PARTIDAS!$F4601,CONCATENATE(PARTIDAS!$F4601," (",PARTIDAS!$G4601,")"))</f>
        <v>Trenzas en pieza (los demás)</v>
      </c>
      <c r="I4601" s="16" t="s">
        <v>9427</v>
      </c>
    </row>
    <row r="4602" spans="1:9" x14ac:dyDescent="0.25">
      <c r="A4602" s="16" t="s">
        <v>5541</v>
      </c>
      <c r="B4602" s="16" t="str">
        <f>TEXT(PARTIDA[[#This Row],[PARTIDA]],"0000000000")</f>
        <v>5809000000</v>
      </c>
      <c r="C4602" s="16" t="s">
        <v>815</v>
      </c>
      <c r="D4602" s="16" t="s">
        <v>835</v>
      </c>
      <c r="E4602" s="16" t="s">
        <v>844</v>
      </c>
      <c r="F4602" s="27" t="s">
        <v>5140</v>
      </c>
      <c r="G4602" s="27"/>
      <c r="H4602" s="16" t="str">
        <f>IF(ISBLANK(PARTIDAS!$G4602),PARTIDAS!$F4602,CONCATENATE(PARTIDAS!$F4602," (",PARTIDAS!$G4602,")"))</f>
        <v>Productos textiles</v>
      </c>
      <c r="I4602" s="16" t="s">
        <v>9427</v>
      </c>
    </row>
    <row r="4603" spans="1:9" x14ac:dyDescent="0.25">
      <c r="A4603" s="16" t="s">
        <v>5542</v>
      </c>
      <c r="B4603" s="16" t="str">
        <f>TEXT(PARTIDA[[#This Row],[PARTIDA]],"0000000000")</f>
        <v>5810100000</v>
      </c>
      <c r="C4603" s="16" t="s">
        <v>815</v>
      </c>
      <c r="D4603" s="16" t="s">
        <v>835</v>
      </c>
      <c r="E4603" s="16" t="s">
        <v>844</v>
      </c>
      <c r="F4603" s="27" t="s">
        <v>13233</v>
      </c>
      <c r="G4603" s="27"/>
      <c r="H4603" s="16" t="str">
        <f>IF(ISBLANK(PARTIDAS!$G4603),PARTIDAS!$F4603,CONCATENATE(PARTIDAS!$F4603," (",PARTIDAS!$G4603,")"))</f>
        <v>Bordados químicos o aéreos y bordados con fondo recortado</v>
      </c>
      <c r="I4603" s="16" t="s">
        <v>9427</v>
      </c>
    </row>
    <row r="4604" spans="1:9" x14ac:dyDescent="0.25">
      <c r="A4604" s="16" t="s">
        <v>5543</v>
      </c>
      <c r="B4604" s="16" t="str">
        <f>TEXT(PARTIDA[[#This Row],[PARTIDA]],"0000000000")</f>
        <v>5810910000</v>
      </c>
      <c r="C4604" s="16" t="s">
        <v>815</v>
      </c>
      <c r="D4604" s="16" t="s">
        <v>835</v>
      </c>
      <c r="E4604" s="16" t="s">
        <v>844</v>
      </c>
      <c r="F4604" s="27" t="s">
        <v>13234</v>
      </c>
      <c r="G4604" s="27"/>
      <c r="H4604" s="16" t="str">
        <f>IF(ISBLANK(PARTIDAS!$G4604),PARTIDAS!$F4604,CONCATENATE(PARTIDAS!$F4604," (",PARTIDAS!$G4604,")"))</f>
        <v>Bordados en pieza, en tiras o en aplicaciones, de algodón</v>
      </c>
      <c r="I4604" s="16" t="s">
        <v>9427</v>
      </c>
    </row>
    <row r="4605" spans="1:9" x14ac:dyDescent="0.25">
      <c r="A4605" s="16" t="s">
        <v>5544</v>
      </c>
      <c r="B4605" s="16" t="str">
        <f>TEXT(PARTIDA[[#This Row],[PARTIDA]],"0000000000")</f>
        <v>5810920000</v>
      </c>
      <c r="C4605" s="16" t="s">
        <v>815</v>
      </c>
      <c r="D4605" s="16" t="s">
        <v>835</v>
      </c>
      <c r="E4605" s="16" t="s">
        <v>844</v>
      </c>
      <c r="F4605" s="27" t="s">
        <v>13235</v>
      </c>
      <c r="G4605" s="27"/>
      <c r="H4605" s="16" t="str">
        <f>IF(ISBLANK(PARTIDAS!$G4605),PARTIDAS!$F4605,CONCATENATE(PARTIDAS!$F4605," (",PARTIDAS!$G4605,")"))</f>
        <v>Bordados en pieza, en tiras o en aplicaciones, de fibras sintéticas o artificiales</v>
      </c>
      <c r="I4605" s="16" t="s">
        <v>9427</v>
      </c>
    </row>
    <row r="4606" spans="1:9" x14ac:dyDescent="0.25">
      <c r="A4606" s="16" t="s">
        <v>5545</v>
      </c>
      <c r="B4606" s="16" t="str">
        <f>TEXT(PARTIDA[[#This Row],[PARTIDA]],"0000000000")</f>
        <v>5810990000</v>
      </c>
      <c r="C4606" s="16" t="s">
        <v>815</v>
      </c>
      <c r="D4606" s="16" t="s">
        <v>835</v>
      </c>
      <c r="E4606" s="16" t="s">
        <v>844</v>
      </c>
      <c r="F4606" s="27" t="s">
        <v>13236</v>
      </c>
      <c r="G4606" s="27"/>
      <c r="H4606" s="16" t="str">
        <f>IF(ISBLANK(PARTIDAS!$G4606),PARTIDAS!$F4606,CONCATENATE(PARTIDAS!$F4606," (",PARTIDAS!$G4606,")"))</f>
        <v>Bordados en pieza, en tiras o en aplicaciones, de las demás materias textiles</v>
      </c>
      <c r="I4606" s="16" t="s">
        <v>9427</v>
      </c>
    </row>
    <row r="4607" spans="1:9" x14ac:dyDescent="0.25">
      <c r="A4607" s="16" t="s">
        <v>5546</v>
      </c>
      <c r="B4607" s="16" t="str">
        <f>TEXT(PARTIDA[[#This Row],[PARTIDA]],"0000000000")</f>
        <v>5811000000</v>
      </c>
      <c r="C4607" s="16" t="s">
        <v>815</v>
      </c>
      <c r="D4607" s="16" t="s">
        <v>835</v>
      </c>
      <c r="E4607" s="16" t="s">
        <v>844</v>
      </c>
      <c r="F4607" s="27" t="s">
        <v>5140</v>
      </c>
      <c r="G4607" s="27"/>
      <c r="H4607" s="16" t="str">
        <f>IF(ISBLANK(PARTIDAS!$G4607),PARTIDAS!$F4607,CONCATENATE(PARTIDAS!$F4607," (",PARTIDAS!$G4607,")"))</f>
        <v>Productos textiles</v>
      </c>
      <c r="I4607" s="16" t="s">
        <v>9427</v>
      </c>
    </row>
    <row r="4608" spans="1:9" x14ac:dyDescent="0.25">
      <c r="A4608" s="16" t="s">
        <v>5547</v>
      </c>
      <c r="B4608" s="16" t="str">
        <f>TEXT(PARTIDA[[#This Row],[PARTIDA]],"0000000000")</f>
        <v>5901100000</v>
      </c>
      <c r="C4608" s="16" t="s">
        <v>815</v>
      </c>
      <c r="D4608" s="16" t="s">
        <v>835</v>
      </c>
      <c r="E4608" s="16" t="s">
        <v>844</v>
      </c>
      <c r="F4608" s="27" t="s">
        <v>13237</v>
      </c>
      <c r="G4608" s="27"/>
      <c r="H4608" s="16" t="str">
        <f>IF(ISBLANK(PARTIDAS!$G4608),PARTIDAS!$F4608,CONCATENATE(PARTIDAS!$F4608," (",PARTIDAS!$G4608,")"))</f>
        <v>Telas recubiertas de cola o materias amiláceas, de los tipos utilizados para encuadernación, cartonaje, estuchería o usos similares</v>
      </c>
      <c r="I4608" s="16" t="s">
        <v>9427</v>
      </c>
    </row>
    <row r="4609" spans="1:9" x14ac:dyDescent="0.25">
      <c r="A4609" s="16" t="s">
        <v>5548</v>
      </c>
      <c r="B4609" s="16" t="str">
        <f>TEXT(PARTIDA[[#This Row],[PARTIDA]],"0000000000")</f>
        <v>5901900000</v>
      </c>
      <c r="C4609" s="16" t="s">
        <v>815</v>
      </c>
      <c r="D4609" s="16" t="s">
        <v>835</v>
      </c>
      <c r="E4609" s="16" t="s">
        <v>844</v>
      </c>
      <c r="F4609" s="27" t="s">
        <v>13238</v>
      </c>
      <c r="G4609" s="27"/>
      <c r="H4609" s="16" t="str">
        <f>IF(ISBLANK(PARTIDAS!$G4609),PARTIDAS!$F4609,CONCATENATE(PARTIDAS!$F4609," (",PARTIDAS!$G4609,")"))</f>
        <v>Telas recubiertas de cola o materias amiláceas, de los tipos… (los demás)</v>
      </c>
      <c r="I4609" s="16" t="s">
        <v>9427</v>
      </c>
    </row>
    <row r="4610" spans="1:9" x14ac:dyDescent="0.25">
      <c r="A4610" s="16" t="s">
        <v>5549</v>
      </c>
      <c r="B4610" s="16" t="str">
        <f>TEXT(PARTIDA[[#This Row],[PARTIDA]],"0000000000")</f>
        <v>5902101000</v>
      </c>
      <c r="C4610" s="16" t="s">
        <v>815</v>
      </c>
      <c r="D4610" s="16" t="s">
        <v>835</v>
      </c>
      <c r="E4610" s="16" t="s">
        <v>844</v>
      </c>
      <c r="F4610" s="27" t="s">
        <v>13239</v>
      </c>
      <c r="G4610" s="27"/>
      <c r="H4610" s="16" t="str">
        <f>IF(ISBLANK(PARTIDAS!$G4610),PARTIDAS!$F4610,CONCATENATE(PARTIDAS!$F4610," (",PARTIDAS!$G4610,")"))</f>
        <v>Napas tramadas para neumáticos fabricadas con hilados…, de nailon o demás poliamidas, cauchutadas</v>
      </c>
      <c r="I4610" s="16" t="s">
        <v>9427</v>
      </c>
    </row>
    <row r="4611" spans="1:9" x14ac:dyDescent="0.25">
      <c r="A4611" s="16" t="s">
        <v>5550</v>
      </c>
      <c r="B4611" s="16" t="str">
        <f>TEXT(PARTIDA[[#This Row],[PARTIDA]],"0000000000")</f>
        <v>5902109000</v>
      </c>
      <c r="C4611" s="16" t="s">
        <v>815</v>
      </c>
      <c r="D4611" s="16" t="s">
        <v>835</v>
      </c>
      <c r="E4611" s="16" t="s">
        <v>844</v>
      </c>
      <c r="F4611" s="27" t="s">
        <v>13240</v>
      </c>
      <c r="G4611" s="27"/>
      <c r="H4611" s="16" t="str">
        <f>IF(ISBLANK(PARTIDAS!$G4611),PARTIDAS!$F4611,CONCATENATE(PARTIDAS!$F4611," (",PARTIDAS!$G4611,")"))</f>
        <v>Napas tramadas para neumáticos fabricadas con hilados…, de nailon o demás poliamidas (los demás)</v>
      </c>
      <c r="I4611" s="16" t="s">
        <v>9427</v>
      </c>
    </row>
    <row r="4612" spans="1:9" x14ac:dyDescent="0.25">
      <c r="A4612" s="16" t="s">
        <v>5551</v>
      </c>
      <c r="B4612" s="16" t="str">
        <f>TEXT(PARTIDA[[#This Row],[PARTIDA]],"0000000000")</f>
        <v>5902201000</v>
      </c>
      <c r="C4612" s="16" t="s">
        <v>815</v>
      </c>
      <c r="D4612" s="16" t="s">
        <v>835</v>
      </c>
      <c r="E4612" s="16" t="s">
        <v>844</v>
      </c>
      <c r="F4612" s="27" t="s">
        <v>13241</v>
      </c>
      <c r="G4612" s="27"/>
      <c r="H4612" s="16" t="str">
        <f>IF(ISBLANK(PARTIDAS!$G4612),PARTIDAS!$F4612,CONCATENATE(PARTIDAS!$F4612," (",PARTIDAS!$G4612,")"))</f>
        <v>Napas tramadas para neumáticos fabricadas con hilados…, de poliésteres, cauchutadas</v>
      </c>
      <c r="I4612" s="16" t="s">
        <v>9427</v>
      </c>
    </row>
    <row r="4613" spans="1:9" x14ac:dyDescent="0.25">
      <c r="A4613" s="16" t="s">
        <v>5552</v>
      </c>
      <c r="B4613" s="16" t="str">
        <f>TEXT(PARTIDA[[#This Row],[PARTIDA]],"0000000000")</f>
        <v>5902209000</v>
      </c>
      <c r="C4613" s="16" t="s">
        <v>815</v>
      </c>
      <c r="D4613" s="16" t="s">
        <v>835</v>
      </c>
      <c r="E4613" s="16" t="s">
        <v>844</v>
      </c>
      <c r="F4613" s="27" t="s">
        <v>13242</v>
      </c>
      <c r="G4613" s="27"/>
      <c r="H4613" s="16" t="str">
        <f>IF(ISBLANK(PARTIDAS!$G4613),PARTIDAS!$F4613,CONCATENATE(PARTIDAS!$F4613," (",PARTIDAS!$G4613,")"))</f>
        <v>Napas tramadas para neumáticos fabricadas con hilados…, de poliésteres (los demás)</v>
      </c>
      <c r="I4613" s="16" t="s">
        <v>9427</v>
      </c>
    </row>
    <row r="4614" spans="1:9" x14ac:dyDescent="0.25">
      <c r="A4614" s="16" t="s">
        <v>5553</v>
      </c>
      <c r="B4614" s="16" t="str">
        <f>TEXT(PARTIDA[[#This Row],[PARTIDA]],"0000000000")</f>
        <v>5902900000</v>
      </c>
      <c r="C4614" s="16" t="s">
        <v>815</v>
      </c>
      <c r="D4614" s="16" t="s">
        <v>835</v>
      </c>
      <c r="E4614" s="16" t="s">
        <v>844</v>
      </c>
      <c r="F4614" s="27" t="s">
        <v>13243</v>
      </c>
      <c r="G4614" s="27"/>
      <c r="H4614" s="16" t="str">
        <f>IF(ISBLANK(PARTIDAS!$G4614),PARTIDAS!$F4614,CONCATENATE(PARTIDAS!$F4614," (",PARTIDAS!$G4614,")"))</f>
        <v>Napas tramadas para neumáticos fabricadas con hilados de alta… (los demás)</v>
      </c>
      <c r="I4614" s="16" t="s">
        <v>9427</v>
      </c>
    </row>
    <row r="4615" spans="1:9" x14ac:dyDescent="0.25">
      <c r="A4615" s="16" t="s">
        <v>5554</v>
      </c>
      <c r="B4615" s="16" t="str">
        <f>TEXT(PARTIDA[[#This Row],[PARTIDA]],"0000000000")</f>
        <v>5903100000</v>
      </c>
      <c r="C4615" s="16" t="s">
        <v>815</v>
      </c>
      <c r="D4615" s="16" t="s">
        <v>835</v>
      </c>
      <c r="E4615" s="16" t="s">
        <v>844</v>
      </c>
      <c r="F4615" s="27" t="s">
        <v>13244</v>
      </c>
      <c r="G4615" s="27"/>
      <c r="H4615" s="16" t="str">
        <f>IF(ISBLANK(PARTIDAS!$G4615),PARTIDAS!$F4615,CONCATENATE(PARTIDAS!$F4615," (",PARTIDAS!$G4615,")"))</f>
        <v>Telas impregnadas, recubiertas, revestidas o estratificadas con…, con poli(cloruro de vinilo)</v>
      </c>
      <c r="I4615" s="16" t="s">
        <v>9427</v>
      </c>
    </row>
    <row r="4616" spans="1:9" x14ac:dyDescent="0.25">
      <c r="A4616" s="16" t="s">
        <v>5555</v>
      </c>
      <c r="B4616" s="16" t="str">
        <f>TEXT(PARTIDA[[#This Row],[PARTIDA]],"0000000000")</f>
        <v>5903200000</v>
      </c>
      <c r="C4616" s="16" t="s">
        <v>815</v>
      </c>
      <c r="D4616" s="16" t="s">
        <v>835</v>
      </c>
      <c r="E4616" s="16" t="s">
        <v>844</v>
      </c>
      <c r="F4616" s="27" t="s">
        <v>13245</v>
      </c>
      <c r="G4616" s="27"/>
      <c r="H4616" s="16" t="str">
        <f>IF(ISBLANK(PARTIDAS!$G4616),PARTIDAS!$F4616,CONCATENATE(PARTIDAS!$F4616," (",PARTIDAS!$G4616,")"))</f>
        <v>Telas impregnadas, recubiertas, revestidas o estratificadas con…, con poliuretano</v>
      </c>
      <c r="I4616" s="16" t="s">
        <v>9427</v>
      </c>
    </row>
    <row r="4617" spans="1:9" x14ac:dyDescent="0.25">
      <c r="A4617" s="16" t="s">
        <v>5556</v>
      </c>
      <c r="B4617" s="16" t="str">
        <f>TEXT(PARTIDA[[#This Row],[PARTIDA]],"0000000000")</f>
        <v>5903900000</v>
      </c>
      <c r="C4617" s="16" t="s">
        <v>815</v>
      </c>
      <c r="D4617" s="16" t="s">
        <v>835</v>
      </c>
      <c r="E4617" s="16" t="s">
        <v>844</v>
      </c>
      <c r="F4617" s="27" t="s">
        <v>13246</v>
      </c>
      <c r="G4617" s="27"/>
      <c r="H4617" s="16" t="str">
        <f>IF(ISBLANK(PARTIDAS!$G4617),PARTIDAS!$F4617,CONCATENATE(PARTIDAS!$F4617," (",PARTIDAS!$G4617,")"))</f>
        <v>Telas impregnadas, recubiertas, revestidas o estratificadas con… (los demás)</v>
      </c>
      <c r="I4617" s="16" t="s">
        <v>9427</v>
      </c>
    </row>
    <row r="4618" spans="1:9" x14ac:dyDescent="0.25">
      <c r="A4618" s="16" t="s">
        <v>5557</v>
      </c>
      <c r="B4618" s="16" t="str">
        <f>TEXT(PARTIDA[[#This Row],[PARTIDA]],"0000000000")</f>
        <v>5904100000</v>
      </c>
      <c r="C4618" s="16" t="s">
        <v>815</v>
      </c>
      <c r="D4618" s="16" t="s">
        <v>835</v>
      </c>
      <c r="E4618" s="16" t="s">
        <v>844</v>
      </c>
      <c r="F4618" s="27" t="s">
        <v>13247</v>
      </c>
      <c r="G4618" s="27"/>
      <c r="H4618" s="16" t="str">
        <f>IF(ISBLANK(PARTIDAS!$G4618),PARTIDAS!$F4618,CONCATENATE(PARTIDAS!$F4618," (",PARTIDAS!$G4618,")"))</f>
        <v>Linóleo</v>
      </c>
      <c r="I4618" s="16" t="s">
        <v>9427</v>
      </c>
    </row>
    <row r="4619" spans="1:9" x14ac:dyDescent="0.25">
      <c r="A4619" s="16" t="s">
        <v>5558</v>
      </c>
      <c r="B4619" s="16" t="str">
        <f>TEXT(PARTIDA[[#This Row],[PARTIDA]],"0000000000")</f>
        <v>5904900000</v>
      </c>
      <c r="C4619" s="16" t="s">
        <v>815</v>
      </c>
      <c r="D4619" s="16" t="s">
        <v>835</v>
      </c>
      <c r="E4619" s="16" t="s">
        <v>844</v>
      </c>
      <c r="F4619" s="27" t="s">
        <v>13248</v>
      </c>
      <c r="G4619" s="27"/>
      <c r="H4619" s="16" t="str">
        <f>IF(ISBLANK(PARTIDAS!$G4619),PARTIDAS!$F4619,CONCATENATE(PARTIDAS!$F4619," (",PARTIDAS!$G4619,")"))</f>
        <v>Linóleo, incluso cortado (los demás)</v>
      </c>
      <c r="I4619" s="16" t="s">
        <v>9427</v>
      </c>
    </row>
    <row r="4620" spans="1:9" x14ac:dyDescent="0.25">
      <c r="A4620" s="16" t="s">
        <v>5559</v>
      </c>
      <c r="B4620" s="16" t="str">
        <f>TEXT(PARTIDA[[#This Row],[PARTIDA]],"0000000000")</f>
        <v>5905000000</v>
      </c>
      <c r="C4620" s="16" t="s">
        <v>815</v>
      </c>
      <c r="D4620" s="16" t="s">
        <v>835</v>
      </c>
      <c r="E4620" s="16" t="s">
        <v>844</v>
      </c>
      <c r="F4620" s="27" t="s">
        <v>5140</v>
      </c>
      <c r="G4620" s="27"/>
      <c r="H4620" s="16" t="str">
        <f>IF(ISBLANK(PARTIDAS!$G4620),PARTIDAS!$F4620,CONCATENATE(PARTIDAS!$F4620," (",PARTIDAS!$G4620,")"))</f>
        <v>Productos textiles</v>
      </c>
      <c r="I4620" s="16" t="s">
        <v>9427</v>
      </c>
    </row>
    <row r="4621" spans="1:9" x14ac:dyDescent="0.25">
      <c r="A4621" s="16" t="s">
        <v>5560</v>
      </c>
      <c r="B4621" s="16" t="str">
        <f>TEXT(PARTIDA[[#This Row],[PARTIDA]],"0000000000")</f>
        <v>5906100000</v>
      </c>
      <c r="C4621" s="16" t="s">
        <v>815</v>
      </c>
      <c r="D4621" s="16" t="s">
        <v>835</v>
      </c>
      <c r="E4621" s="16" t="s">
        <v>844</v>
      </c>
      <c r="F4621" s="27" t="s">
        <v>13249</v>
      </c>
      <c r="G4621" s="27"/>
      <c r="H4621" s="16" t="str">
        <f>IF(ISBLANK(PARTIDAS!$G4621),PARTIDAS!$F4621,CONCATENATE(PARTIDAS!$F4621," (",PARTIDAS!$G4621,")"))</f>
        <v>Cintas adhesivas de anchura inferior o igual a 20 cm</v>
      </c>
      <c r="I4621" s="16" t="s">
        <v>9427</v>
      </c>
    </row>
    <row r="4622" spans="1:9" x14ac:dyDescent="0.25">
      <c r="A4622" s="16" t="s">
        <v>5561</v>
      </c>
      <c r="B4622" s="16" t="str">
        <f>TEXT(PARTIDA[[#This Row],[PARTIDA]],"0000000000")</f>
        <v>5906910000</v>
      </c>
      <c r="C4622" s="16" t="s">
        <v>815</v>
      </c>
      <c r="D4622" s="16" t="s">
        <v>835</v>
      </c>
      <c r="E4622" s="16" t="s">
        <v>844</v>
      </c>
      <c r="F4622" s="27" t="s">
        <v>13250</v>
      </c>
      <c r="G4622" s="27"/>
      <c r="H4622" s="16" t="str">
        <f>IF(ISBLANK(PARTIDAS!$G4622),PARTIDAS!$F4622,CONCATENATE(PARTIDAS!$F4622," (",PARTIDAS!$G4622,")"))</f>
        <v>Telas cauchutadas, de punto</v>
      </c>
      <c r="I4622" s="16" t="s">
        <v>9427</v>
      </c>
    </row>
    <row r="4623" spans="1:9" x14ac:dyDescent="0.25">
      <c r="A4623" s="16" t="s">
        <v>5562</v>
      </c>
      <c r="B4623" s="16" t="str">
        <f>TEXT(PARTIDA[[#This Row],[PARTIDA]],"0000000000")</f>
        <v>5906991000</v>
      </c>
      <c r="C4623" s="16" t="s">
        <v>815</v>
      </c>
      <c r="D4623" s="16" t="s">
        <v>835</v>
      </c>
      <c r="E4623" s="16" t="s">
        <v>844</v>
      </c>
      <c r="F4623" s="27" t="s">
        <v>13251</v>
      </c>
      <c r="G4623" s="27"/>
      <c r="H4623" s="16" t="str">
        <f>IF(ISBLANK(PARTIDAS!$G4623),PARTIDAS!$F4623,CONCATENATE(PARTIDAS!$F4623," (",PARTIDAS!$G4623,")"))</f>
        <v>Tejidos fabricados con hilados de alta tenacidad de nailon o de otras poliamidas o de poliésteres</v>
      </c>
      <c r="I4623" s="16" t="s">
        <v>9427</v>
      </c>
    </row>
    <row r="4624" spans="1:9" x14ac:dyDescent="0.25">
      <c r="A4624" s="16" t="s">
        <v>5563</v>
      </c>
      <c r="B4624" s="16" t="str">
        <f>TEXT(PARTIDA[[#This Row],[PARTIDA]],"0000000000")</f>
        <v>5906999010</v>
      </c>
      <c r="C4624" s="16" t="s">
        <v>815</v>
      </c>
      <c r="D4624" s="16" t="s">
        <v>835</v>
      </c>
      <c r="E4624" s="16" t="s">
        <v>844</v>
      </c>
      <c r="F4624" s="27" t="s">
        <v>13252</v>
      </c>
      <c r="G4624" s="27"/>
      <c r="H4624" s="16" t="str">
        <f>IF(ISBLANK(PARTIDAS!$G4624),PARTIDAS!$F4624,CONCATENATE(PARTIDAS!$F4624," (",PARTIDAS!$G4624,")"))</f>
        <v>Especiales para la fabricación de artículos de caucho</v>
      </c>
      <c r="I4624" s="16" t="s">
        <v>9427</v>
      </c>
    </row>
    <row r="4625" spans="1:9" x14ac:dyDescent="0.25">
      <c r="A4625" s="16" t="s">
        <v>5564</v>
      </c>
      <c r="B4625" s="16" t="str">
        <f>TEXT(PARTIDA[[#This Row],[PARTIDA]],"0000000000")</f>
        <v>5906999090</v>
      </c>
      <c r="C4625" s="16" t="s">
        <v>815</v>
      </c>
      <c r="D4625" s="16" t="s">
        <v>835</v>
      </c>
      <c r="E4625" s="16" t="s">
        <v>844</v>
      </c>
      <c r="F4625" s="27" t="s">
        <v>13253</v>
      </c>
      <c r="G4625" s="27"/>
      <c r="H4625" s="16" t="str">
        <f>IF(ISBLANK(PARTIDAS!$G4625),PARTIDAS!$F4625,CONCATENATE(PARTIDAS!$F4625," (",PARTIDAS!$G4625,")"))</f>
        <v>Telas cauchutadas (los demás)</v>
      </c>
      <c r="I4625" s="16" t="s">
        <v>9427</v>
      </c>
    </row>
    <row r="4626" spans="1:9" x14ac:dyDescent="0.25">
      <c r="A4626" s="16" t="s">
        <v>5565</v>
      </c>
      <c r="B4626" s="16" t="str">
        <f>TEXT(PARTIDA[[#This Row],[PARTIDA]],"0000000000")</f>
        <v>5907000000</v>
      </c>
      <c r="C4626" s="16" t="s">
        <v>815</v>
      </c>
      <c r="D4626" s="16" t="s">
        <v>835</v>
      </c>
      <c r="E4626" s="16" t="s">
        <v>844</v>
      </c>
      <c r="F4626" s="27" t="s">
        <v>5140</v>
      </c>
      <c r="G4626" s="27"/>
      <c r="H4626" s="16" t="str">
        <f>IF(ISBLANK(PARTIDAS!$G4626),PARTIDAS!$F4626,CONCATENATE(PARTIDAS!$F4626," (",PARTIDAS!$G4626,")"))</f>
        <v>Productos textiles</v>
      </c>
      <c r="I4626" s="16" t="s">
        <v>9427</v>
      </c>
    </row>
    <row r="4627" spans="1:9" x14ac:dyDescent="0.25">
      <c r="A4627" s="16" t="s">
        <v>5566</v>
      </c>
      <c r="B4627" s="16" t="str">
        <f>TEXT(PARTIDA[[#This Row],[PARTIDA]],"0000000000")</f>
        <v>5908000000</v>
      </c>
      <c r="C4627" s="16" t="s">
        <v>815</v>
      </c>
      <c r="D4627" s="16" t="s">
        <v>835</v>
      </c>
      <c r="E4627" s="16" t="s">
        <v>844</v>
      </c>
      <c r="F4627" s="27" t="s">
        <v>5140</v>
      </c>
      <c r="G4627" s="27"/>
      <c r="H4627" s="16" t="str">
        <f>IF(ISBLANK(PARTIDAS!$G4627),PARTIDAS!$F4627,CONCATENATE(PARTIDAS!$F4627," (",PARTIDAS!$G4627,")"))</f>
        <v>Productos textiles</v>
      </c>
      <c r="I4627" s="16" t="s">
        <v>9427</v>
      </c>
    </row>
    <row r="4628" spans="1:9" x14ac:dyDescent="0.25">
      <c r="A4628" s="16" t="s">
        <v>5567</v>
      </c>
      <c r="B4628" s="16" t="str">
        <f>TEXT(PARTIDA[[#This Row],[PARTIDA]],"0000000000")</f>
        <v>5909000000</v>
      </c>
      <c r="C4628" s="16" t="s">
        <v>815</v>
      </c>
      <c r="D4628" s="16" t="s">
        <v>835</v>
      </c>
      <c r="E4628" s="16" t="s">
        <v>844</v>
      </c>
      <c r="F4628" s="27" t="s">
        <v>5140</v>
      </c>
      <c r="G4628" s="27"/>
      <c r="H4628" s="16" t="str">
        <f>IF(ISBLANK(PARTIDAS!$G4628),PARTIDAS!$F4628,CONCATENATE(PARTIDAS!$F4628," (",PARTIDAS!$G4628,")"))</f>
        <v>Productos textiles</v>
      </c>
      <c r="I4628" s="16" t="s">
        <v>9427</v>
      </c>
    </row>
    <row r="4629" spans="1:9" x14ac:dyDescent="0.25">
      <c r="A4629" s="16" t="s">
        <v>5568</v>
      </c>
      <c r="B4629" s="16" t="str">
        <f>TEXT(PARTIDA[[#This Row],[PARTIDA]],"0000000000")</f>
        <v>5910000000</v>
      </c>
      <c r="C4629" s="16" t="s">
        <v>815</v>
      </c>
      <c r="D4629" s="16" t="s">
        <v>835</v>
      </c>
      <c r="E4629" s="16" t="s">
        <v>844</v>
      </c>
      <c r="F4629" s="27" t="s">
        <v>5140</v>
      </c>
      <c r="G4629" s="27"/>
      <c r="H4629" s="16" t="str">
        <f>IF(ISBLANK(PARTIDAS!$G4629),PARTIDAS!$F4629,CONCATENATE(PARTIDAS!$F4629," (",PARTIDAS!$G4629,")"))</f>
        <v>Productos textiles</v>
      </c>
      <c r="I4629" s="16" t="s">
        <v>9427</v>
      </c>
    </row>
    <row r="4630" spans="1:9" x14ac:dyDescent="0.25">
      <c r="A4630" s="16" t="s">
        <v>5569</v>
      </c>
      <c r="B4630" s="16" t="str">
        <f>TEXT(PARTIDA[[#This Row],[PARTIDA]],"0000000000")</f>
        <v>5911100000</v>
      </c>
      <c r="C4630" s="16" t="s">
        <v>815</v>
      </c>
      <c r="D4630" s="16" t="s">
        <v>835</v>
      </c>
      <c r="E4630" s="16" t="s">
        <v>844</v>
      </c>
      <c r="F4630" s="27" t="s">
        <v>13254</v>
      </c>
      <c r="G4630" s="27"/>
      <c r="H4630" s="16" t="str">
        <f>IF(ISBLANK(PARTIDAS!$G4630),PARTIDAS!$F4630,CONCATENATE(PARTIDAS!$F4630," (",PARTIDAS!$G4630,")"))</f>
        <v>Telas, fieltro y tejidos forrados de fieltro, combinados con una o varias capas de caucho, cuero u otra materia, de los tipos utilizados para la fabri</v>
      </c>
      <c r="I4630" s="16" t="s">
        <v>9427</v>
      </c>
    </row>
    <row r="4631" spans="1:9" x14ac:dyDescent="0.25">
      <c r="A4631" s="16" t="s">
        <v>5570</v>
      </c>
      <c r="B4631" s="16" t="str">
        <f>TEXT(PARTIDA[[#This Row],[PARTIDA]],"0000000000")</f>
        <v>5911200000</v>
      </c>
      <c r="C4631" s="16" t="s">
        <v>815</v>
      </c>
      <c r="D4631" s="16" t="s">
        <v>835</v>
      </c>
      <c r="E4631" s="16" t="s">
        <v>844</v>
      </c>
      <c r="F4631" s="27" t="s">
        <v>13255</v>
      </c>
      <c r="G4631" s="27"/>
      <c r="H4631" s="16" t="str">
        <f>IF(ISBLANK(PARTIDAS!$G4631),PARTIDAS!$F4631,CONCATENATE(PARTIDAS!$F4631," (",PARTIDAS!$G4631,")"))</f>
        <v>Gasas y telas para cerner, incluso confeccionadas</v>
      </c>
      <c r="I4631" s="16" t="s">
        <v>9427</v>
      </c>
    </row>
    <row r="4632" spans="1:9" x14ac:dyDescent="0.25">
      <c r="A4632" s="16" t="s">
        <v>5571</v>
      </c>
      <c r="B4632" s="16" t="str">
        <f>TEXT(PARTIDA[[#This Row],[PARTIDA]],"0000000000")</f>
        <v>5911310000</v>
      </c>
      <c r="C4632" s="16" t="s">
        <v>815</v>
      </c>
      <c r="D4632" s="16" t="s">
        <v>835</v>
      </c>
      <c r="E4632" s="16" t="s">
        <v>844</v>
      </c>
      <c r="F4632" s="27" t="s">
        <v>13256</v>
      </c>
      <c r="G4632" s="27"/>
      <c r="H4632" s="16" t="str">
        <f>IF(ISBLANK(PARTIDAS!$G4632),PARTIDAS!$F4632,CONCATENATE(PARTIDAS!$F4632," (",PARTIDAS!$G4632,")"))</f>
        <v>Telas y fieltros sin fin o con dispositivos de unión, de los tipos…, de peso inferior a 650 g/m2</v>
      </c>
      <c r="I4632" s="16" t="s">
        <v>9427</v>
      </c>
    </row>
    <row r="4633" spans="1:9" x14ac:dyDescent="0.25">
      <c r="A4633" s="16" t="s">
        <v>5572</v>
      </c>
      <c r="B4633" s="16" t="str">
        <f>TEXT(PARTIDA[[#This Row],[PARTIDA]],"0000000000")</f>
        <v>5911320000</v>
      </c>
      <c r="C4633" s="16" t="s">
        <v>815</v>
      </c>
      <c r="D4633" s="16" t="s">
        <v>835</v>
      </c>
      <c r="E4633" s="16" t="s">
        <v>844</v>
      </c>
      <c r="F4633" s="27" t="s">
        <v>13257</v>
      </c>
      <c r="G4633" s="27"/>
      <c r="H4633" s="16" t="str">
        <f>IF(ISBLANK(PARTIDAS!$G4633),PARTIDAS!$F4633,CONCATENATE(PARTIDAS!$F4633," (",PARTIDAS!$G4633,")"))</f>
        <v>Telas y fieltros sin fin o con dispositivos de unión, de los tipos…, de peso superior o igual a 650 g/m2</v>
      </c>
      <c r="I4633" s="16" t="s">
        <v>9427</v>
      </c>
    </row>
    <row r="4634" spans="1:9" x14ac:dyDescent="0.25">
      <c r="A4634" s="16" t="s">
        <v>5573</v>
      </c>
      <c r="B4634" s="16" t="str">
        <f>TEXT(PARTIDA[[#This Row],[PARTIDA]],"0000000000")</f>
        <v>5911400000</v>
      </c>
      <c r="C4634" s="16" t="s">
        <v>815</v>
      </c>
      <c r="D4634" s="16" t="s">
        <v>835</v>
      </c>
      <c r="E4634" s="16" t="s">
        <v>844</v>
      </c>
      <c r="F4634" s="27" t="s">
        <v>13258</v>
      </c>
      <c r="G4634" s="27"/>
      <c r="H4634" s="16" t="str">
        <f>IF(ISBLANK(PARTIDAS!$G4634),PARTIDAS!$F4634,CONCATENATE(PARTIDAS!$F4634," (",PARTIDAS!$G4634,")"))</f>
        <v>Telas filtrantes, tejidos gruesos y capachos de los tipos utilizados en las prensas de aceite o para usos técnicos análogos, incluidos los de cabello</v>
      </c>
      <c r="I4634" s="16" t="s">
        <v>9427</v>
      </c>
    </row>
    <row r="4635" spans="1:9" x14ac:dyDescent="0.25">
      <c r="A4635" s="16" t="s">
        <v>5574</v>
      </c>
      <c r="B4635" s="16" t="str">
        <f>TEXT(PARTIDA[[#This Row],[PARTIDA]],"0000000000")</f>
        <v>5911901000</v>
      </c>
      <c r="C4635" s="16" t="s">
        <v>815</v>
      </c>
      <c r="D4635" s="16" t="s">
        <v>835</v>
      </c>
      <c r="E4635" s="16" t="s">
        <v>844</v>
      </c>
      <c r="F4635" s="27" t="s">
        <v>4333</v>
      </c>
      <c r="G4635" s="27"/>
      <c r="H4635" s="16" t="str">
        <f>IF(ISBLANK(PARTIDAS!$G4635),PARTIDAS!$F4635,CONCATENATE(PARTIDAS!$F4635," (",PARTIDAS!$G4635,")"))</f>
        <v>Juntas o empaquetaduras</v>
      </c>
      <c r="I4635" s="16" t="s">
        <v>9427</v>
      </c>
    </row>
    <row r="4636" spans="1:9" x14ac:dyDescent="0.25">
      <c r="A4636" s="16" t="s">
        <v>5575</v>
      </c>
      <c r="B4636" s="16" t="str">
        <f>TEXT(PARTIDA[[#This Row],[PARTIDA]],"0000000000")</f>
        <v>5911909000</v>
      </c>
      <c r="C4636" s="16" t="s">
        <v>815</v>
      </c>
      <c r="D4636" s="16" t="s">
        <v>835</v>
      </c>
      <c r="E4636" s="16" t="s">
        <v>844</v>
      </c>
      <c r="F4636" s="27" t="s">
        <v>13259</v>
      </c>
      <c r="G4636" s="27"/>
      <c r="H4636" s="16" t="str">
        <f>IF(ISBLANK(PARTIDAS!$G4636),PARTIDAS!$F4636,CONCATENATE(PARTIDAS!$F4636," (",PARTIDAS!$G4636,")"))</f>
        <v>Productos y artículos textiles para usos técnicos mencionados en la… (los demás)</v>
      </c>
      <c r="I4636" s="16" t="s">
        <v>9427</v>
      </c>
    </row>
    <row r="4637" spans="1:9" x14ac:dyDescent="0.25">
      <c r="A4637" s="16" t="s">
        <v>5576</v>
      </c>
      <c r="B4637" s="16" t="str">
        <f>TEXT(PARTIDA[[#This Row],[PARTIDA]],"0000000000")</f>
        <v>6001100000</v>
      </c>
      <c r="C4637" s="16" t="s">
        <v>815</v>
      </c>
      <c r="D4637" s="16" t="s">
        <v>835</v>
      </c>
      <c r="E4637" s="16" t="s">
        <v>844</v>
      </c>
      <c r="F4637" s="27" t="s">
        <v>13260</v>
      </c>
      <c r="G4637" s="27"/>
      <c r="H4637" s="16" t="str">
        <f>IF(ISBLANK(PARTIDAS!$G4637),PARTIDAS!$F4637,CONCATENATE(PARTIDAS!$F4637," (",PARTIDAS!$G4637,")"))</f>
        <v>Tejidos «de pelo largo»</v>
      </c>
      <c r="I4637" s="16" t="s">
        <v>9427</v>
      </c>
    </row>
    <row r="4638" spans="1:9" x14ac:dyDescent="0.25">
      <c r="A4638" s="16" t="s">
        <v>5577</v>
      </c>
      <c r="B4638" s="16" t="str">
        <f>TEXT(PARTIDA[[#This Row],[PARTIDA]],"0000000000")</f>
        <v>6001210000</v>
      </c>
      <c r="C4638" s="16" t="s">
        <v>815</v>
      </c>
      <c r="D4638" s="16" t="s">
        <v>835</v>
      </c>
      <c r="E4638" s="16" t="s">
        <v>844</v>
      </c>
      <c r="F4638" s="27" t="s">
        <v>13261</v>
      </c>
      <c r="G4638" s="27"/>
      <c r="H4638" s="16" t="str">
        <f>IF(ISBLANK(PARTIDAS!$G4638),PARTIDAS!$F4638,CONCATENATE(PARTIDAS!$F4638," (",PARTIDAS!$G4638,")"))</f>
        <v>Tejidos con bucles, de algodón</v>
      </c>
      <c r="I4638" s="16" t="s">
        <v>9427</v>
      </c>
    </row>
    <row r="4639" spans="1:9" x14ac:dyDescent="0.25">
      <c r="A4639" s="16" t="s">
        <v>5578</v>
      </c>
      <c r="B4639" s="16" t="str">
        <f>TEXT(PARTIDA[[#This Row],[PARTIDA]],"0000000000")</f>
        <v>6001220000</v>
      </c>
      <c r="C4639" s="16" t="s">
        <v>815</v>
      </c>
      <c r="D4639" s="16" t="s">
        <v>835</v>
      </c>
      <c r="E4639" s="16" t="s">
        <v>844</v>
      </c>
      <c r="F4639" s="27" t="s">
        <v>13262</v>
      </c>
      <c r="G4639" s="27"/>
      <c r="H4639" s="16" t="str">
        <f>IF(ISBLANK(PARTIDAS!$G4639),PARTIDAS!$F4639,CONCATENATE(PARTIDAS!$F4639," (",PARTIDAS!$G4639,")"))</f>
        <v>Tejidos con bucles, de fibras sintéticas o artificiales</v>
      </c>
      <c r="I4639" s="16" t="s">
        <v>9427</v>
      </c>
    </row>
    <row r="4640" spans="1:9" x14ac:dyDescent="0.25">
      <c r="A4640" s="16" t="s">
        <v>5579</v>
      </c>
      <c r="B4640" s="16" t="str">
        <f>TEXT(PARTIDA[[#This Row],[PARTIDA]],"0000000000")</f>
        <v>6001290000</v>
      </c>
      <c r="C4640" s="16" t="s">
        <v>815</v>
      </c>
      <c r="D4640" s="16" t="s">
        <v>835</v>
      </c>
      <c r="E4640" s="16" t="s">
        <v>844</v>
      </c>
      <c r="F4640" s="27" t="s">
        <v>13263</v>
      </c>
      <c r="G4640" s="27"/>
      <c r="H4640" s="16" t="str">
        <f>IF(ISBLANK(PARTIDAS!$G4640),PARTIDAS!$F4640,CONCATENATE(PARTIDAS!$F4640," (",PARTIDAS!$G4640,")"))</f>
        <v>Tejidos con bucles, de las demás materias textiles</v>
      </c>
      <c r="I4640" s="16" t="s">
        <v>9427</v>
      </c>
    </row>
    <row r="4641" spans="1:9" x14ac:dyDescent="0.25">
      <c r="A4641" s="16" t="s">
        <v>5580</v>
      </c>
      <c r="B4641" s="16" t="str">
        <f>TEXT(PARTIDA[[#This Row],[PARTIDA]],"0000000000")</f>
        <v>6001910000</v>
      </c>
      <c r="C4641" s="16" t="s">
        <v>815</v>
      </c>
      <c r="D4641" s="16" t="s">
        <v>835</v>
      </c>
      <c r="E4641" s="16" t="s">
        <v>844</v>
      </c>
      <c r="F4641" s="27" t="s">
        <v>13264</v>
      </c>
      <c r="G4641" s="27"/>
      <c r="H4641" s="16" t="str">
        <f>IF(ISBLANK(PARTIDAS!$G4641),PARTIDAS!$F4641,CONCATENATE(PARTIDAS!$F4641," (",PARTIDAS!$G4641,")"))</f>
        <v>Terciopelo, felpa (incluidos los tejidos de punto «de pelo largo») y…, de algodón</v>
      </c>
      <c r="I4641" s="16" t="s">
        <v>9427</v>
      </c>
    </row>
    <row r="4642" spans="1:9" x14ac:dyDescent="0.25">
      <c r="A4642" s="16" t="s">
        <v>5581</v>
      </c>
      <c r="B4642" s="16" t="str">
        <f>TEXT(PARTIDA[[#This Row],[PARTIDA]],"0000000000")</f>
        <v>6001920000</v>
      </c>
      <c r="C4642" s="16" t="s">
        <v>815</v>
      </c>
      <c r="D4642" s="16" t="s">
        <v>835</v>
      </c>
      <c r="E4642" s="16" t="s">
        <v>844</v>
      </c>
      <c r="F4642" s="27" t="s">
        <v>13265</v>
      </c>
      <c r="G4642" s="27"/>
      <c r="H4642" s="16" t="str">
        <f>IF(ISBLANK(PARTIDAS!$G4642),PARTIDAS!$F4642,CONCATENATE(PARTIDAS!$F4642," (",PARTIDAS!$G4642,")"))</f>
        <v>Terciopelo, felpa (incluidos los tejidos de punto «de pelo largo») y…, de fibras sintéticas o artificiales</v>
      </c>
      <c r="I4642" s="16" t="s">
        <v>9427</v>
      </c>
    </row>
    <row r="4643" spans="1:9" x14ac:dyDescent="0.25">
      <c r="A4643" s="16" t="s">
        <v>5582</v>
      </c>
      <c r="B4643" s="16" t="str">
        <f>TEXT(PARTIDA[[#This Row],[PARTIDA]],"0000000000")</f>
        <v>6001990000</v>
      </c>
      <c r="C4643" s="16" t="s">
        <v>815</v>
      </c>
      <c r="D4643" s="16" t="s">
        <v>835</v>
      </c>
      <c r="E4643" s="16" t="s">
        <v>844</v>
      </c>
      <c r="F4643" s="27" t="s">
        <v>5140</v>
      </c>
      <c r="G4643" s="27"/>
      <c r="H4643" s="16" t="str">
        <f>IF(ISBLANK(PARTIDAS!$G4643),PARTIDAS!$F4643,CONCATENATE(PARTIDAS!$F4643," (",PARTIDAS!$G4643,")"))</f>
        <v>Productos textiles</v>
      </c>
      <c r="I4643" s="16" t="s">
        <v>9427</v>
      </c>
    </row>
    <row r="4644" spans="1:9" x14ac:dyDescent="0.25">
      <c r="A4644" s="16" t="s">
        <v>5583</v>
      </c>
      <c r="B4644" s="16" t="str">
        <f>TEXT(PARTIDA[[#This Row],[PARTIDA]],"0000000000")</f>
        <v>6002400000</v>
      </c>
      <c r="C4644" s="16" t="s">
        <v>815</v>
      </c>
      <c r="D4644" s="16" t="s">
        <v>835</v>
      </c>
      <c r="E4644" s="16" t="s">
        <v>844</v>
      </c>
      <c r="F4644" s="27" t="s">
        <v>13266</v>
      </c>
      <c r="G4644" s="27"/>
      <c r="H4644" s="16" t="str">
        <f>IF(ISBLANK(PARTIDAS!$G4644),PARTIDAS!$F4644,CONCATENATE(PARTIDAS!$F4644," (",PARTIDAS!$G4644,")"))</f>
        <v>Tejidos de punto de anchura inferior o igual a 30 cm, con un…, con un contenido de hilados de elastómeros superior o igual al 5 % en peso, sin hilos d</v>
      </c>
      <c r="I4644" s="16" t="s">
        <v>9427</v>
      </c>
    </row>
    <row r="4645" spans="1:9" x14ac:dyDescent="0.25">
      <c r="A4645" s="16" t="s">
        <v>5584</v>
      </c>
      <c r="B4645" s="16" t="str">
        <f>TEXT(PARTIDA[[#This Row],[PARTIDA]],"0000000000")</f>
        <v>6002900000</v>
      </c>
      <c r="C4645" s="16" t="s">
        <v>815</v>
      </c>
      <c r="D4645" s="16" t="s">
        <v>835</v>
      </c>
      <c r="E4645" s="16" t="s">
        <v>844</v>
      </c>
      <c r="F4645" s="27" t="s">
        <v>13267</v>
      </c>
      <c r="G4645" s="27"/>
      <c r="H4645" s="16" t="str">
        <f>IF(ISBLANK(PARTIDAS!$G4645),PARTIDAS!$F4645,CONCATENATE(PARTIDAS!$F4645," (",PARTIDAS!$G4645,")"))</f>
        <v>Tejidos de punto de anchura inferior o igual a 30 cm, con un… (los demás)</v>
      </c>
      <c r="I4645" s="16" t="s">
        <v>9427</v>
      </c>
    </row>
    <row r="4646" spans="1:9" x14ac:dyDescent="0.25">
      <c r="A4646" s="16" t="s">
        <v>5585</v>
      </c>
      <c r="B4646" s="16" t="str">
        <f>TEXT(PARTIDA[[#This Row],[PARTIDA]],"0000000000")</f>
        <v>6003100000</v>
      </c>
      <c r="C4646" s="16" t="s">
        <v>815</v>
      </c>
      <c r="D4646" s="16" t="s">
        <v>835</v>
      </c>
      <c r="E4646" s="16" t="s">
        <v>844</v>
      </c>
      <c r="F4646" s="27" t="s">
        <v>13268</v>
      </c>
      <c r="G4646" s="27"/>
      <c r="H4646" s="16" t="str">
        <f>IF(ISBLANK(PARTIDAS!$G4646),PARTIDAS!$F4646,CONCATENATE(PARTIDAS!$F4646," (",PARTIDAS!$G4646,")"))</f>
        <v>Tejidos de punto de anchura inferior o igual a 30 cm, de lana o pelo fino</v>
      </c>
      <c r="I4646" s="16" t="s">
        <v>9427</v>
      </c>
    </row>
    <row r="4647" spans="1:9" x14ac:dyDescent="0.25">
      <c r="A4647" s="16" t="s">
        <v>5586</v>
      </c>
      <c r="B4647" s="16" t="str">
        <f>TEXT(PARTIDA[[#This Row],[PARTIDA]],"0000000000")</f>
        <v>6003200000</v>
      </c>
      <c r="C4647" s="16" t="s">
        <v>815</v>
      </c>
      <c r="D4647" s="16" t="s">
        <v>835</v>
      </c>
      <c r="E4647" s="16" t="s">
        <v>844</v>
      </c>
      <c r="F4647" s="27" t="s">
        <v>13269</v>
      </c>
      <c r="G4647" s="27"/>
      <c r="H4647" s="16" t="str">
        <f>IF(ISBLANK(PARTIDAS!$G4647),PARTIDAS!$F4647,CONCATENATE(PARTIDAS!$F4647," (",PARTIDAS!$G4647,")"))</f>
        <v>Tejidos de punto de anchura inferior o igual a 30 cm, de algodón</v>
      </c>
      <c r="I4647" s="16" t="s">
        <v>9427</v>
      </c>
    </row>
    <row r="4648" spans="1:9" x14ac:dyDescent="0.25">
      <c r="A4648" s="16" t="s">
        <v>5587</v>
      </c>
      <c r="B4648" s="16" t="str">
        <f>TEXT(PARTIDA[[#This Row],[PARTIDA]],"0000000000")</f>
        <v>6003300000</v>
      </c>
      <c r="C4648" s="16" t="s">
        <v>815</v>
      </c>
      <c r="D4648" s="16" t="s">
        <v>835</v>
      </c>
      <c r="E4648" s="16" t="s">
        <v>844</v>
      </c>
      <c r="F4648" s="27" t="s">
        <v>13270</v>
      </c>
      <c r="G4648" s="27"/>
      <c r="H4648" s="16" t="str">
        <f>IF(ISBLANK(PARTIDAS!$G4648),PARTIDAS!$F4648,CONCATENATE(PARTIDAS!$F4648," (",PARTIDAS!$G4648,")"))</f>
        <v>Tejidos de punto de anchura inferior o igual a 30 cm, de fibras sintéticas</v>
      </c>
      <c r="I4648" s="16" t="s">
        <v>9427</v>
      </c>
    </row>
    <row r="4649" spans="1:9" x14ac:dyDescent="0.25">
      <c r="A4649" s="16" t="s">
        <v>5588</v>
      </c>
      <c r="B4649" s="16" t="str">
        <f>TEXT(PARTIDA[[#This Row],[PARTIDA]],"0000000000")</f>
        <v>6003400000</v>
      </c>
      <c r="C4649" s="16" t="s">
        <v>815</v>
      </c>
      <c r="D4649" s="16" t="s">
        <v>835</v>
      </c>
      <c r="E4649" s="16" t="s">
        <v>844</v>
      </c>
      <c r="F4649" s="27" t="s">
        <v>13271</v>
      </c>
      <c r="G4649" s="27"/>
      <c r="H4649" s="16" t="str">
        <f>IF(ISBLANK(PARTIDAS!$G4649),PARTIDAS!$F4649,CONCATENATE(PARTIDAS!$F4649," (",PARTIDAS!$G4649,")"))</f>
        <v>Tejidos de punto de anchura inferior o igual a 30 cm, de fibras artificiales</v>
      </c>
      <c r="I4649" s="16" t="s">
        <v>9427</v>
      </c>
    </row>
    <row r="4650" spans="1:9" x14ac:dyDescent="0.25">
      <c r="A4650" s="16" t="s">
        <v>5589</v>
      </c>
      <c r="B4650" s="16" t="str">
        <f>TEXT(PARTIDA[[#This Row],[PARTIDA]],"0000000000")</f>
        <v>6003900000</v>
      </c>
      <c r="C4650" s="16" t="s">
        <v>815</v>
      </c>
      <c r="D4650" s="16" t="s">
        <v>835</v>
      </c>
      <c r="E4650" s="16" t="s">
        <v>844</v>
      </c>
      <c r="F4650" s="27" t="s">
        <v>13272</v>
      </c>
      <c r="G4650" s="27"/>
      <c r="H4650" s="16" t="str">
        <f>IF(ISBLANK(PARTIDAS!$G4650),PARTIDAS!$F4650,CONCATENATE(PARTIDAS!$F4650," (",PARTIDAS!$G4650,")"))</f>
        <v>Tejidos de punto de anchura inferior o igual a 30 cm (los demás)</v>
      </c>
      <c r="I4650" s="16" t="s">
        <v>9427</v>
      </c>
    </row>
    <row r="4651" spans="1:9" x14ac:dyDescent="0.25">
      <c r="A4651" s="16" t="s">
        <v>5590</v>
      </c>
      <c r="B4651" s="16" t="str">
        <f>TEXT(PARTIDA[[#This Row],[PARTIDA]],"0000000000")</f>
        <v>6004100000</v>
      </c>
      <c r="C4651" s="16" t="s">
        <v>815</v>
      </c>
      <c r="D4651" s="16" t="s">
        <v>835</v>
      </c>
      <c r="E4651" s="16" t="s">
        <v>844</v>
      </c>
      <c r="F4651" s="27" t="s">
        <v>13273</v>
      </c>
      <c r="G4651" s="27"/>
      <c r="H4651" s="16" t="str">
        <f>IF(ISBLANK(PARTIDAS!$G4651),PARTIDAS!$F4651,CONCATENATE(PARTIDAS!$F4651," (",PARTIDAS!$G4651,")"))</f>
        <v>Tejidos de punto de anchura superior a 30 cm, con un contenido de…, con un contenido de hilados de elastómeros superior o igual al 5 % en peso, sin hi</v>
      </c>
      <c r="I4651" s="16" t="s">
        <v>9427</v>
      </c>
    </row>
    <row r="4652" spans="1:9" x14ac:dyDescent="0.25">
      <c r="A4652" s="16" t="s">
        <v>5591</v>
      </c>
      <c r="B4652" s="16" t="str">
        <f>TEXT(PARTIDA[[#This Row],[PARTIDA]],"0000000000")</f>
        <v>6004900000</v>
      </c>
      <c r="C4652" s="16" t="s">
        <v>815</v>
      </c>
      <c r="D4652" s="16" t="s">
        <v>835</v>
      </c>
      <c r="E4652" s="16" t="s">
        <v>844</v>
      </c>
      <c r="F4652" s="27" t="s">
        <v>13274</v>
      </c>
      <c r="G4652" s="27"/>
      <c r="H4652" s="16" t="str">
        <f>IF(ISBLANK(PARTIDAS!$G4652),PARTIDAS!$F4652,CONCATENATE(PARTIDAS!$F4652," (",PARTIDAS!$G4652,")"))</f>
        <v>Tejidos de punto de anchura superior a 30 cm, con un contenido de… (los demás)</v>
      </c>
      <c r="I4652" s="16" t="s">
        <v>9427</v>
      </c>
    </row>
    <row r="4653" spans="1:9" x14ac:dyDescent="0.25">
      <c r="A4653" s="16" t="s">
        <v>5592</v>
      </c>
      <c r="B4653" s="16" t="str">
        <f>TEXT(PARTIDA[[#This Row],[PARTIDA]],"0000000000")</f>
        <v>6005210000</v>
      </c>
      <c r="C4653" s="16" t="s">
        <v>815</v>
      </c>
      <c r="D4653" s="16" t="s">
        <v>835</v>
      </c>
      <c r="E4653" s="16" t="s">
        <v>844</v>
      </c>
      <c r="F4653" s="27" t="s">
        <v>13275</v>
      </c>
      <c r="G4653" s="27"/>
      <c r="H4653" s="16" t="str">
        <f>IF(ISBLANK(PARTIDAS!$G4653),PARTIDAS!$F4653,CONCATENATE(PARTIDAS!$F4653," (",PARTIDAS!$G4653,")"))</f>
        <v>Tejidos de punto por urdimbre (incluidos los obtenidos…, de algodón, crudos o blanqueados</v>
      </c>
      <c r="I4653" s="16" t="s">
        <v>9427</v>
      </c>
    </row>
    <row r="4654" spans="1:9" x14ac:dyDescent="0.25">
      <c r="A4654" s="16" t="s">
        <v>5593</v>
      </c>
      <c r="B4654" s="16" t="str">
        <f>TEXT(PARTIDA[[#This Row],[PARTIDA]],"0000000000")</f>
        <v>6005220000</v>
      </c>
      <c r="C4654" s="16" t="s">
        <v>815</v>
      </c>
      <c r="D4654" s="16" t="s">
        <v>835</v>
      </c>
      <c r="E4654" s="16" t="s">
        <v>844</v>
      </c>
      <c r="F4654" s="27" t="s">
        <v>13276</v>
      </c>
      <c r="G4654" s="27"/>
      <c r="H4654" s="16" t="str">
        <f>IF(ISBLANK(PARTIDAS!$G4654),PARTIDAS!$F4654,CONCATENATE(PARTIDAS!$F4654," (",PARTIDAS!$G4654,")"))</f>
        <v>Tejidos de punto por urdimbre (incluidos los obtenidos…, de algodón, teñidos</v>
      </c>
      <c r="I4654" s="16" t="s">
        <v>9427</v>
      </c>
    </row>
    <row r="4655" spans="1:9" x14ac:dyDescent="0.25">
      <c r="A4655" s="16" t="s">
        <v>5594</v>
      </c>
      <c r="B4655" s="16" t="str">
        <f>TEXT(PARTIDA[[#This Row],[PARTIDA]],"0000000000")</f>
        <v>6005230000</v>
      </c>
      <c r="C4655" s="16" t="s">
        <v>815</v>
      </c>
      <c r="D4655" s="16" t="s">
        <v>835</v>
      </c>
      <c r="E4655" s="16" t="s">
        <v>844</v>
      </c>
      <c r="F4655" s="27" t="s">
        <v>13277</v>
      </c>
      <c r="G4655" s="27"/>
      <c r="H4655" s="16" t="str">
        <f>IF(ISBLANK(PARTIDAS!$G4655),PARTIDAS!$F4655,CONCATENATE(PARTIDAS!$F4655," (",PARTIDAS!$G4655,")"))</f>
        <v>Tejidos de punto por urdimbre (incluidos los obtenidos…, de algodón, con hilados de distintos colores</v>
      </c>
      <c r="I4655" s="16" t="s">
        <v>9427</v>
      </c>
    </row>
    <row r="4656" spans="1:9" x14ac:dyDescent="0.25">
      <c r="A4656" s="16" t="s">
        <v>5595</v>
      </c>
      <c r="B4656" s="16" t="str">
        <f>TEXT(PARTIDA[[#This Row],[PARTIDA]],"0000000000")</f>
        <v>6005240000</v>
      </c>
      <c r="C4656" s="16" t="s">
        <v>815</v>
      </c>
      <c r="D4656" s="16" t="s">
        <v>835</v>
      </c>
      <c r="E4656" s="16" t="s">
        <v>844</v>
      </c>
      <c r="F4656" s="27" t="s">
        <v>13278</v>
      </c>
      <c r="G4656" s="27"/>
      <c r="H4656" s="16" t="str">
        <f>IF(ISBLANK(PARTIDAS!$G4656),PARTIDAS!$F4656,CONCATENATE(PARTIDAS!$F4656," (",PARTIDAS!$G4656,")"))</f>
        <v>Tejidos de punto por urdimbre (incluidos los obtenidos…, de algodón, estampados</v>
      </c>
      <c r="I4656" s="16" t="s">
        <v>9427</v>
      </c>
    </row>
    <row r="4657" spans="1:9" x14ac:dyDescent="0.25">
      <c r="A4657" s="16" t="s">
        <v>5596</v>
      </c>
      <c r="B4657" s="16" t="str">
        <f>TEXT(PARTIDA[[#This Row],[PARTIDA]],"0000000000")</f>
        <v>6005350000</v>
      </c>
      <c r="C4657" s="16" t="s">
        <v>815</v>
      </c>
      <c r="D4657" s="16" t="s">
        <v>835</v>
      </c>
      <c r="E4657" s="16" t="s">
        <v>844</v>
      </c>
      <c r="F4657" s="27" t="s">
        <v>13279</v>
      </c>
      <c r="G4657" s="27"/>
      <c r="H4657" s="16" t="str">
        <f>IF(ISBLANK(PARTIDAS!$G4657),PARTIDAS!$F4657,CONCATENATE(PARTIDAS!$F4657," (",PARTIDAS!$G4657,")"))</f>
        <v>Tejidos mencionados en la Nota 1 de subpartida de este Capítulo</v>
      </c>
      <c r="I4657" s="16" t="s">
        <v>9427</v>
      </c>
    </row>
    <row r="4658" spans="1:9" x14ac:dyDescent="0.25">
      <c r="A4658" s="16" t="s">
        <v>5597</v>
      </c>
      <c r="B4658" s="16" t="str">
        <f>TEXT(PARTIDA[[#This Row],[PARTIDA]],"0000000000")</f>
        <v>6005360000</v>
      </c>
      <c r="C4658" s="16" t="s">
        <v>815</v>
      </c>
      <c r="D4658" s="16" t="s">
        <v>835</v>
      </c>
      <c r="E4658" s="16" t="s">
        <v>844</v>
      </c>
      <c r="F4658" s="27" t="s">
        <v>13280</v>
      </c>
      <c r="G4658" s="27"/>
      <c r="H4658" s="16" t="str">
        <f>IF(ISBLANK(PARTIDAS!$G4658),PARTIDAS!$F4658,CONCATENATE(PARTIDAS!$F4658," (",PARTIDAS!$G4658,")"))</f>
        <v>Tejidos de punto por urdimbre (incluidos los obtenidos…, de fibras sintéticas (los demás, crudos o blanqueados)</v>
      </c>
      <c r="I4658" s="16" t="s">
        <v>9427</v>
      </c>
    </row>
    <row r="4659" spans="1:9" x14ac:dyDescent="0.25">
      <c r="A4659" s="16" t="s">
        <v>5598</v>
      </c>
      <c r="B4659" s="16" t="str">
        <f>TEXT(PARTIDA[[#This Row],[PARTIDA]],"0000000000")</f>
        <v>6005370000</v>
      </c>
      <c r="C4659" s="16" t="s">
        <v>815</v>
      </c>
      <c r="D4659" s="16" t="s">
        <v>835</v>
      </c>
      <c r="E4659" s="16" t="s">
        <v>844</v>
      </c>
      <c r="F4659" s="27" t="s">
        <v>13281</v>
      </c>
      <c r="G4659" s="27"/>
      <c r="H4659" s="16" t="str">
        <f>IF(ISBLANK(PARTIDAS!$G4659),PARTIDAS!$F4659,CONCATENATE(PARTIDAS!$F4659," (",PARTIDAS!$G4659,")"))</f>
        <v>Tejidos de punto por urdimbre (incluidos los obtenidos…, de fibras sintéticas (los demás, teñidos)</v>
      </c>
      <c r="I4659" s="16" t="s">
        <v>9427</v>
      </c>
    </row>
    <row r="4660" spans="1:9" x14ac:dyDescent="0.25">
      <c r="A4660" s="16" t="s">
        <v>5599</v>
      </c>
      <c r="B4660" s="16" t="str">
        <f>TEXT(PARTIDA[[#This Row],[PARTIDA]],"0000000000")</f>
        <v>6005380000</v>
      </c>
      <c r="C4660" s="16" t="s">
        <v>815</v>
      </c>
      <c r="D4660" s="16" t="s">
        <v>835</v>
      </c>
      <c r="E4660" s="16" t="s">
        <v>844</v>
      </c>
      <c r="F4660" s="27" t="s">
        <v>13282</v>
      </c>
      <c r="G4660" s="27"/>
      <c r="H4660" s="16" t="str">
        <f>IF(ISBLANK(PARTIDAS!$G4660),PARTIDAS!$F4660,CONCATENATE(PARTIDAS!$F4660," (",PARTIDAS!$G4660,")"))</f>
        <v>Tejidos de punto por urdimbre (incluidos los obtenidos…, de fibras sintéticas (los demás, con hilados de distintos colores)</v>
      </c>
      <c r="I4660" s="16" t="s">
        <v>9427</v>
      </c>
    </row>
    <row r="4661" spans="1:9" x14ac:dyDescent="0.25">
      <c r="A4661" s="16" t="s">
        <v>5600</v>
      </c>
      <c r="B4661" s="16" t="str">
        <f>TEXT(PARTIDA[[#This Row],[PARTIDA]],"0000000000")</f>
        <v>6005390000</v>
      </c>
      <c r="C4661" s="16" t="s">
        <v>815</v>
      </c>
      <c r="D4661" s="16" t="s">
        <v>835</v>
      </c>
      <c r="E4661" s="16" t="s">
        <v>844</v>
      </c>
      <c r="F4661" s="27" t="s">
        <v>13283</v>
      </c>
      <c r="G4661" s="27"/>
      <c r="H4661" s="16" t="str">
        <f>IF(ISBLANK(PARTIDAS!$G4661),PARTIDAS!$F4661,CONCATENATE(PARTIDAS!$F4661," (",PARTIDAS!$G4661,")"))</f>
        <v>Tejidos de punto por urdimbre (incluidos los obtenidos…, de fibras sintéticas (los demás, estampados)</v>
      </c>
      <c r="I4661" s="16" t="s">
        <v>9427</v>
      </c>
    </row>
    <row r="4662" spans="1:9" x14ac:dyDescent="0.25">
      <c r="A4662" s="16" t="s">
        <v>5601</v>
      </c>
      <c r="B4662" s="16" t="str">
        <f>TEXT(PARTIDA[[#This Row],[PARTIDA]],"0000000000")</f>
        <v>6005410000</v>
      </c>
      <c r="C4662" s="16" t="s">
        <v>815</v>
      </c>
      <c r="D4662" s="16" t="s">
        <v>835</v>
      </c>
      <c r="E4662" s="16" t="s">
        <v>844</v>
      </c>
      <c r="F4662" s="27" t="s">
        <v>13284</v>
      </c>
      <c r="G4662" s="27"/>
      <c r="H4662" s="16" t="str">
        <f>IF(ISBLANK(PARTIDAS!$G4662),PARTIDAS!$F4662,CONCATENATE(PARTIDAS!$F4662," (",PARTIDAS!$G4662,")"))</f>
        <v>Tejidos de punto por urdimbre (incluidos los obtenidos…, de fibras artificiales, crudos o blanqueados</v>
      </c>
      <c r="I4662" s="16" t="s">
        <v>9427</v>
      </c>
    </row>
    <row r="4663" spans="1:9" x14ac:dyDescent="0.25">
      <c r="A4663" s="16" t="s">
        <v>5602</v>
      </c>
      <c r="B4663" s="16" t="str">
        <f>TEXT(PARTIDA[[#This Row],[PARTIDA]],"0000000000")</f>
        <v>6005420000</v>
      </c>
      <c r="C4663" s="16" t="s">
        <v>815</v>
      </c>
      <c r="D4663" s="16" t="s">
        <v>835</v>
      </c>
      <c r="E4663" s="16" t="s">
        <v>844</v>
      </c>
      <c r="F4663" s="27" t="s">
        <v>13285</v>
      </c>
      <c r="G4663" s="27"/>
      <c r="H4663" s="16" t="str">
        <f>IF(ISBLANK(PARTIDAS!$G4663),PARTIDAS!$F4663,CONCATENATE(PARTIDAS!$F4663," (",PARTIDAS!$G4663,")"))</f>
        <v>Tejidos de punto por urdimbre (incluidos los obtenidos…, de fibras artificiales, teñidos</v>
      </c>
      <c r="I4663" s="16" t="s">
        <v>9427</v>
      </c>
    </row>
    <row r="4664" spans="1:9" x14ac:dyDescent="0.25">
      <c r="A4664" s="16" t="s">
        <v>5603</v>
      </c>
      <c r="B4664" s="16" t="str">
        <f>TEXT(PARTIDA[[#This Row],[PARTIDA]],"0000000000")</f>
        <v>6005430000</v>
      </c>
      <c r="C4664" s="16" t="s">
        <v>815</v>
      </c>
      <c r="D4664" s="16" t="s">
        <v>835</v>
      </c>
      <c r="E4664" s="16" t="s">
        <v>844</v>
      </c>
      <c r="F4664" s="27" t="s">
        <v>13286</v>
      </c>
      <c r="G4664" s="27"/>
      <c r="H4664" s="16" t="str">
        <f>IF(ISBLANK(PARTIDAS!$G4664),PARTIDAS!$F4664,CONCATENATE(PARTIDAS!$F4664," (",PARTIDAS!$G4664,")"))</f>
        <v>Tejidos de punto por urdimbre (incluidos los obtenidos…, de fibras artificiales, con hilados de distintos colores</v>
      </c>
      <c r="I4664" s="16" t="s">
        <v>9427</v>
      </c>
    </row>
    <row r="4665" spans="1:9" x14ac:dyDescent="0.25">
      <c r="A4665" s="16" t="s">
        <v>5604</v>
      </c>
      <c r="B4665" s="16" t="str">
        <f>TEXT(PARTIDA[[#This Row],[PARTIDA]],"0000000000")</f>
        <v>6005440000</v>
      </c>
      <c r="C4665" s="16" t="s">
        <v>815</v>
      </c>
      <c r="D4665" s="16" t="s">
        <v>835</v>
      </c>
      <c r="E4665" s="16" t="s">
        <v>844</v>
      </c>
      <c r="F4665" s="27" t="s">
        <v>13287</v>
      </c>
      <c r="G4665" s="27"/>
      <c r="H4665" s="16" t="str">
        <f>IF(ISBLANK(PARTIDAS!$G4665),PARTIDAS!$F4665,CONCATENATE(PARTIDAS!$F4665," (",PARTIDAS!$G4665,")"))</f>
        <v>Tejidos de punto por urdimbre (incluidos los obtenidos…, de fibras artificiales, estampados</v>
      </c>
      <c r="I4665" s="16" t="s">
        <v>9427</v>
      </c>
    </row>
    <row r="4666" spans="1:9" x14ac:dyDescent="0.25">
      <c r="A4666" s="16" t="s">
        <v>5605</v>
      </c>
      <c r="B4666" s="16" t="str">
        <f>TEXT(PARTIDA[[#This Row],[PARTIDA]],"0000000000")</f>
        <v>6005900000</v>
      </c>
      <c r="C4666" s="16" t="s">
        <v>815</v>
      </c>
      <c r="D4666" s="16" t="s">
        <v>835</v>
      </c>
      <c r="E4666" s="16" t="s">
        <v>844</v>
      </c>
      <c r="F4666" s="27" t="s">
        <v>13288</v>
      </c>
      <c r="G4666" s="27"/>
      <c r="H4666" s="16" t="str">
        <f>IF(ISBLANK(PARTIDAS!$G4666),PARTIDAS!$F4666,CONCATENATE(PARTIDAS!$F4666," (",PARTIDAS!$G4666,")"))</f>
        <v>Tejidos de punto por urdimbre (incluidos los obtenidos en telares de… (los demás)</v>
      </c>
      <c r="I4666" s="16" t="s">
        <v>9427</v>
      </c>
    </row>
    <row r="4667" spans="1:9" x14ac:dyDescent="0.25">
      <c r="A4667" s="16" t="s">
        <v>5606</v>
      </c>
      <c r="B4667" s="16" t="str">
        <f>TEXT(PARTIDA[[#This Row],[PARTIDA]],"0000000000")</f>
        <v>6006100000</v>
      </c>
      <c r="C4667" s="16" t="s">
        <v>815</v>
      </c>
      <c r="D4667" s="16" t="s">
        <v>835</v>
      </c>
      <c r="E4667" s="16" t="s">
        <v>844</v>
      </c>
      <c r="F4667" s="27" t="s">
        <v>13289</v>
      </c>
      <c r="G4667" s="27"/>
      <c r="H4667" s="16" t="str">
        <f>IF(ISBLANK(PARTIDAS!$G4667),PARTIDAS!$F4667,CONCATENATE(PARTIDAS!$F4667," (",PARTIDAS!$G4667,")"))</f>
        <v>Tejidos de punto, de lana o pelo fino</v>
      </c>
      <c r="I4667" s="16" t="s">
        <v>9427</v>
      </c>
    </row>
    <row r="4668" spans="1:9" x14ac:dyDescent="0.25">
      <c r="A4668" s="16" t="s">
        <v>5607</v>
      </c>
      <c r="B4668" s="16" t="str">
        <f>TEXT(PARTIDA[[#This Row],[PARTIDA]],"0000000000")</f>
        <v>6006210000</v>
      </c>
      <c r="C4668" s="16" t="s">
        <v>815</v>
      </c>
      <c r="D4668" s="16" t="s">
        <v>835</v>
      </c>
      <c r="E4668" s="16" t="s">
        <v>844</v>
      </c>
      <c r="F4668" s="27" t="s">
        <v>13290</v>
      </c>
      <c r="G4668" s="27"/>
      <c r="H4668" s="16" t="str">
        <f>IF(ISBLANK(PARTIDAS!$G4668),PARTIDAS!$F4668,CONCATENATE(PARTIDAS!$F4668," (",PARTIDAS!$G4668,")"))</f>
        <v>Tejidos de punto, de algodón, crudos o blanqueados</v>
      </c>
      <c r="I4668" s="16" t="s">
        <v>9427</v>
      </c>
    </row>
    <row r="4669" spans="1:9" x14ac:dyDescent="0.25">
      <c r="A4669" s="16" t="s">
        <v>5608</v>
      </c>
      <c r="B4669" s="16" t="str">
        <f>TEXT(PARTIDA[[#This Row],[PARTIDA]],"0000000000")</f>
        <v>6006220000</v>
      </c>
      <c r="C4669" s="16" t="s">
        <v>815</v>
      </c>
      <c r="D4669" s="16" t="s">
        <v>835</v>
      </c>
      <c r="E4669" s="16" t="s">
        <v>844</v>
      </c>
      <c r="F4669" s="27" t="s">
        <v>13291</v>
      </c>
      <c r="G4669" s="27"/>
      <c r="H4669" s="16" t="str">
        <f>IF(ISBLANK(PARTIDAS!$G4669),PARTIDAS!$F4669,CONCATENATE(PARTIDAS!$F4669," (",PARTIDAS!$G4669,")"))</f>
        <v>Tejidos de punto, de algodón, teñidos</v>
      </c>
      <c r="I4669" s="16" t="s">
        <v>9427</v>
      </c>
    </row>
    <row r="4670" spans="1:9" x14ac:dyDescent="0.25">
      <c r="A4670" s="16" t="s">
        <v>5609</v>
      </c>
      <c r="B4670" s="16" t="str">
        <f>TEXT(PARTIDA[[#This Row],[PARTIDA]],"0000000000")</f>
        <v>6006230000</v>
      </c>
      <c r="C4670" s="16" t="s">
        <v>815</v>
      </c>
      <c r="D4670" s="16" t="s">
        <v>835</v>
      </c>
      <c r="E4670" s="16" t="s">
        <v>844</v>
      </c>
      <c r="F4670" s="27" t="s">
        <v>13292</v>
      </c>
      <c r="G4670" s="27"/>
      <c r="H4670" s="16" t="str">
        <f>IF(ISBLANK(PARTIDAS!$G4670),PARTIDAS!$F4670,CONCATENATE(PARTIDAS!$F4670," (",PARTIDAS!$G4670,")"))</f>
        <v>Tejidos de punto, de algodón, con hilados de distintos colores</v>
      </c>
      <c r="I4670" s="16" t="s">
        <v>9427</v>
      </c>
    </row>
    <row r="4671" spans="1:9" x14ac:dyDescent="0.25">
      <c r="A4671" s="16" t="s">
        <v>5610</v>
      </c>
      <c r="B4671" s="16" t="str">
        <f>TEXT(PARTIDA[[#This Row],[PARTIDA]],"0000000000")</f>
        <v>6006240000</v>
      </c>
      <c r="C4671" s="16" t="s">
        <v>815</v>
      </c>
      <c r="D4671" s="16" t="s">
        <v>835</v>
      </c>
      <c r="E4671" s="16" t="s">
        <v>844</v>
      </c>
      <c r="F4671" s="27" t="s">
        <v>13293</v>
      </c>
      <c r="G4671" s="27"/>
      <c r="H4671" s="16" t="str">
        <f>IF(ISBLANK(PARTIDAS!$G4671),PARTIDAS!$F4671,CONCATENATE(PARTIDAS!$F4671," (",PARTIDAS!$G4671,")"))</f>
        <v>Tejidos de punto, de algodón, estampados</v>
      </c>
      <c r="I4671" s="16" t="s">
        <v>9427</v>
      </c>
    </row>
    <row r="4672" spans="1:9" x14ac:dyDescent="0.25">
      <c r="A4672" s="16" t="s">
        <v>5611</v>
      </c>
      <c r="B4672" s="16" t="str">
        <f>TEXT(PARTIDA[[#This Row],[PARTIDA]],"0000000000")</f>
        <v>6006310000</v>
      </c>
      <c r="C4672" s="16" t="s">
        <v>815</v>
      </c>
      <c r="D4672" s="16" t="s">
        <v>835</v>
      </c>
      <c r="E4672" s="16" t="s">
        <v>844</v>
      </c>
      <c r="F4672" s="27" t="s">
        <v>13294</v>
      </c>
      <c r="G4672" s="27"/>
      <c r="H4672" s="16" t="str">
        <f>IF(ISBLANK(PARTIDAS!$G4672),PARTIDAS!$F4672,CONCATENATE(PARTIDAS!$F4672," (",PARTIDAS!$G4672,")"))</f>
        <v>Tejidos de punto, de fibras sintéticas, crudos o blanqueados</v>
      </c>
      <c r="I4672" s="16" t="s">
        <v>9427</v>
      </c>
    </row>
    <row r="4673" spans="1:9" x14ac:dyDescent="0.25">
      <c r="A4673" s="16" t="s">
        <v>5612</v>
      </c>
      <c r="B4673" s="16" t="str">
        <f>TEXT(PARTIDA[[#This Row],[PARTIDA]],"0000000000")</f>
        <v>6006320000</v>
      </c>
      <c r="C4673" s="16" t="s">
        <v>815</v>
      </c>
      <c r="D4673" s="16" t="s">
        <v>835</v>
      </c>
      <c r="E4673" s="16" t="s">
        <v>844</v>
      </c>
      <c r="F4673" s="27" t="s">
        <v>13295</v>
      </c>
      <c r="G4673" s="27"/>
      <c r="H4673" s="16" t="str">
        <f>IF(ISBLANK(PARTIDAS!$G4673),PARTIDAS!$F4673,CONCATENATE(PARTIDAS!$F4673," (",PARTIDAS!$G4673,")"))</f>
        <v>Tejidos de punto, de fibras sintéticas, teñidos</v>
      </c>
      <c r="I4673" s="16" t="s">
        <v>9427</v>
      </c>
    </row>
    <row r="4674" spans="1:9" x14ac:dyDescent="0.25">
      <c r="A4674" s="16" t="s">
        <v>5613</v>
      </c>
      <c r="B4674" s="16" t="str">
        <f>TEXT(PARTIDA[[#This Row],[PARTIDA]],"0000000000")</f>
        <v>6006330000</v>
      </c>
      <c r="C4674" s="16" t="s">
        <v>815</v>
      </c>
      <c r="D4674" s="16" t="s">
        <v>835</v>
      </c>
      <c r="E4674" s="16" t="s">
        <v>844</v>
      </c>
      <c r="F4674" s="27" t="s">
        <v>9390</v>
      </c>
      <c r="G4674" s="27"/>
      <c r="H4674" s="16" t="str">
        <f>IF(ISBLANK(PARTIDAS!$G4674),PARTIDAS!$F4674,CONCATENATE(PARTIDAS!$F4674," (",PARTIDAS!$G4674,")"))</f>
        <v>Tejidos de punto, de fibras sintéticas, con hilados de distintos colores</v>
      </c>
      <c r="I4674" s="16" t="s">
        <v>9477</v>
      </c>
    </row>
    <row r="4675" spans="1:9" x14ac:dyDescent="0.25">
      <c r="A4675" s="16" t="s">
        <v>5614</v>
      </c>
      <c r="B4675" s="16" t="str">
        <f>TEXT(PARTIDA[[#This Row],[PARTIDA]],"0000000000")</f>
        <v>6006340000</v>
      </c>
      <c r="C4675" s="16" t="s">
        <v>815</v>
      </c>
      <c r="D4675" s="16" t="s">
        <v>835</v>
      </c>
      <c r="E4675" s="16" t="s">
        <v>844</v>
      </c>
      <c r="F4675" s="27" t="s">
        <v>13296</v>
      </c>
      <c r="G4675" s="27"/>
      <c r="H4675" s="16" t="str">
        <f>IF(ISBLANK(PARTIDAS!$G4675),PARTIDAS!$F4675,CONCATENATE(PARTIDAS!$F4675," (",PARTIDAS!$G4675,")"))</f>
        <v>Tejidos de punto, de fibras sintéticas, estampados</v>
      </c>
      <c r="I4675" s="16" t="s">
        <v>9427</v>
      </c>
    </row>
    <row r="4676" spans="1:9" x14ac:dyDescent="0.25">
      <c r="A4676" s="16" t="s">
        <v>5615</v>
      </c>
      <c r="B4676" s="16" t="str">
        <f>TEXT(PARTIDA[[#This Row],[PARTIDA]],"0000000000")</f>
        <v>6006410000</v>
      </c>
      <c r="C4676" s="16" t="s">
        <v>815</v>
      </c>
      <c r="D4676" s="16" t="s">
        <v>835</v>
      </c>
      <c r="E4676" s="16" t="s">
        <v>844</v>
      </c>
      <c r="F4676" s="27" t="s">
        <v>13297</v>
      </c>
      <c r="G4676" s="27"/>
      <c r="H4676" s="16" t="str">
        <f>IF(ISBLANK(PARTIDAS!$G4676),PARTIDAS!$F4676,CONCATENATE(PARTIDAS!$F4676," (",PARTIDAS!$G4676,")"))</f>
        <v>Tejidos de punto, de fibras artificiales, crudos o blanqueados</v>
      </c>
      <c r="I4676" s="16" t="s">
        <v>9427</v>
      </c>
    </row>
    <row r="4677" spans="1:9" x14ac:dyDescent="0.25">
      <c r="A4677" s="16" t="s">
        <v>5616</v>
      </c>
      <c r="B4677" s="16" t="str">
        <f>TEXT(PARTIDA[[#This Row],[PARTIDA]],"0000000000")</f>
        <v>6006420000</v>
      </c>
      <c r="C4677" s="16" t="s">
        <v>815</v>
      </c>
      <c r="D4677" s="16" t="s">
        <v>835</v>
      </c>
      <c r="E4677" s="16" t="s">
        <v>844</v>
      </c>
      <c r="F4677" s="27" t="s">
        <v>13298</v>
      </c>
      <c r="G4677" s="27"/>
      <c r="H4677" s="16" t="str">
        <f>IF(ISBLANK(PARTIDAS!$G4677),PARTIDAS!$F4677,CONCATENATE(PARTIDAS!$F4677," (",PARTIDAS!$G4677,")"))</f>
        <v>Tejidos de punto, de fibras artificiales, teñidos</v>
      </c>
      <c r="I4677" s="16" t="s">
        <v>9427</v>
      </c>
    </row>
    <row r="4678" spans="1:9" x14ac:dyDescent="0.25">
      <c r="A4678" s="16" t="s">
        <v>5617</v>
      </c>
      <c r="B4678" s="16" t="str">
        <f>TEXT(PARTIDA[[#This Row],[PARTIDA]],"0000000000")</f>
        <v>6006430000</v>
      </c>
      <c r="C4678" s="16" t="s">
        <v>815</v>
      </c>
      <c r="D4678" s="16" t="s">
        <v>835</v>
      </c>
      <c r="E4678" s="16" t="s">
        <v>844</v>
      </c>
      <c r="F4678" s="27" t="s">
        <v>13299</v>
      </c>
      <c r="G4678" s="27"/>
      <c r="H4678" s="16" t="str">
        <f>IF(ISBLANK(PARTIDAS!$G4678),PARTIDAS!$F4678,CONCATENATE(PARTIDAS!$F4678," (",PARTIDAS!$G4678,")"))</f>
        <v>Tejidos de punto, de fibras artificiales, con hilados de distintos colores</v>
      </c>
      <c r="I4678" s="16" t="s">
        <v>9427</v>
      </c>
    </row>
    <row r="4679" spans="1:9" x14ac:dyDescent="0.25">
      <c r="A4679" s="16" t="s">
        <v>5618</v>
      </c>
      <c r="B4679" s="16" t="str">
        <f>TEXT(PARTIDA[[#This Row],[PARTIDA]],"0000000000")</f>
        <v>6006440000</v>
      </c>
      <c r="C4679" s="16" t="s">
        <v>815</v>
      </c>
      <c r="D4679" s="16" t="s">
        <v>835</v>
      </c>
      <c r="E4679" s="16" t="s">
        <v>844</v>
      </c>
      <c r="F4679" s="27" t="s">
        <v>13300</v>
      </c>
      <c r="G4679" s="27"/>
      <c r="H4679" s="16" t="str">
        <f>IF(ISBLANK(PARTIDAS!$G4679),PARTIDAS!$F4679,CONCATENATE(PARTIDAS!$F4679," (",PARTIDAS!$G4679,")"))</f>
        <v>Tejidos de punto, de fibras artificiales, estampados</v>
      </c>
      <c r="I4679" s="16" t="s">
        <v>9427</v>
      </c>
    </row>
    <row r="4680" spans="1:9" x14ac:dyDescent="0.25">
      <c r="A4680" s="16" t="s">
        <v>5619</v>
      </c>
      <c r="B4680" s="16" t="str">
        <f>TEXT(PARTIDA[[#This Row],[PARTIDA]],"0000000000")</f>
        <v>6006900000</v>
      </c>
      <c r="C4680" s="16" t="s">
        <v>815</v>
      </c>
      <c r="D4680" s="16" t="s">
        <v>835</v>
      </c>
      <c r="E4680" s="16" t="s">
        <v>844</v>
      </c>
      <c r="F4680" s="27" t="s">
        <v>13301</v>
      </c>
      <c r="G4680" s="27"/>
      <c r="H4680" s="16" t="str">
        <f>IF(ISBLANK(PARTIDAS!$G4680),PARTIDAS!$F4680,CONCATENATE(PARTIDAS!$F4680," (",PARTIDAS!$G4680,")"))</f>
        <v>Tejidos de punto (los demás)</v>
      </c>
      <c r="I4680" s="16" t="s">
        <v>9427</v>
      </c>
    </row>
    <row r="4681" spans="1:9" x14ac:dyDescent="0.25">
      <c r="A4681" s="16" t="s">
        <v>5620</v>
      </c>
      <c r="B4681" s="16" t="str">
        <f>TEXT(PARTIDA[[#This Row],[PARTIDA]],"0000000000")</f>
        <v>6101200000</v>
      </c>
      <c r="C4681" s="16" t="s">
        <v>786</v>
      </c>
      <c r="D4681" s="16" t="s">
        <v>787</v>
      </c>
      <c r="E4681" s="16" t="s">
        <v>9435</v>
      </c>
      <c r="F4681" s="27" t="s">
        <v>13302</v>
      </c>
      <c r="G4681" s="27"/>
      <c r="H4681" s="16" t="str">
        <f>IF(ISBLANK(PARTIDAS!$G4681),PARTIDAS!$F4681,CONCATENATE(PARTIDAS!$F4681," (",PARTIDAS!$G4681,")"))</f>
        <v>Abrigos, chaquetones, capas, anoraks, cazadoras y artículos…, de algodón</v>
      </c>
      <c r="I4681" s="16" t="s">
        <v>9427</v>
      </c>
    </row>
    <row r="4682" spans="1:9" x14ac:dyDescent="0.25">
      <c r="A4682" s="16" t="s">
        <v>5621</v>
      </c>
      <c r="B4682" s="16" t="str">
        <f>TEXT(PARTIDA[[#This Row],[PARTIDA]],"0000000000")</f>
        <v>6101300000</v>
      </c>
      <c r="C4682" s="16" t="s">
        <v>786</v>
      </c>
      <c r="D4682" s="16" t="s">
        <v>787</v>
      </c>
      <c r="E4682" s="16" t="s">
        <v>9435</v>
      </c>
      <c r="F4682" s="27" t="s">
        <v>9128</v>
      </c>
      <c r="G4682" s="27"/>
      <c r="H4682" s="16" t="str">
        <f>IF(ISBLANK(PARTIDAS!$G4682),PARTIDAS!$F4682,CONCATENATE(PARTIDAS!$F4682," (",PARTIDAS!$G4682,")"))</f>
        <v>Abrigos, chaquetones, capas, anoraks, cazadoras y artículos…, de fibras sintéticas o artificiales</v>
      </c>
      <c r="I4682" s="16" t="s">
        <v>9427</v>
      </c>
    </row>
    <row r="4683" spans="1:9" x14ac:dyDescent="0.25">
      <c r="A4683" s="16" t="s">
        <v>5622</v>
      </c>
      <c r="B4683" s="16" t="str">
        <f>TEXT(PARTIDA[[#This Row],[PARTIDA]],"0000000000")</f>
        <v>6101901000</v>
      </c>
      <c r="C4683" s="16" t="s">
        <v>786</v>
      </c>
      <c r="D4683" s="16" t="s">
        <v>787</v>
      </c>
      <c r="E4683" s="16" t="s">
        <v>9435</v>
      </c>
      <c r="F4683" s="27" t="s">
        <v>13303</v>
      </c>
      <c r="G4683" s="27"/>
      <c r="H4683" s="16" t="str">
        <f>IF(ISBLANK(PARTIDAS!$G4683),PARTIDAS!$F4683,CONCATENATE(PARTIDAS!$F4683," (",PARTIDAS!$G4683,")"))</f>
        <v>Abrigos, chaquetones, capas, anoraks, cazadoras y…, de las demás materias textiles, de lana o pelo fino</v>
      </c>
      <c r="I4683" s="16" t="s">
        <v>9427</v>
      </c>
    </row>
    <row r="4684" spans="1:9" x14ac:dyDescent="0.25">
      <c r="A4684" s="16" t="s">
        <v>5623</v>
      </c>
      <c r="B4684" s="16" t="str">
        <f>TEXT(PARTIDA[[#This Row],[PARTIDA]],"0000000000")</f>
        <v>6101909000</v>
      </c>
      <c r="C4684" s="16" t="s">
        <v>786</v>
      </c>
      <c r="D4684" s="16" t="s">
        <v>787</v>
      </c>
      <c r="E4684" s="16" t="s">
        <v>9435</v>
      </c>
      <c r="F4684" s="27" t="s">
        <v>13304</v>
      </c>
      <c r="G4684" s="27"/>
      <c r="H4684" s="16" t="str">
        <f>IF(ISBLANK(PARTIDAS!$G4684),PARTIDAS!$F4684,CONCATENATE(PARTIDAS!$F4684," (",PARTIDAS!$G4684,")"))</f>
        <v>Abrigos, chaquetones, capas, anoraks, cazadoras y…, de las demás materias textiles (los demás)</v>
      </c>
      <c r="I4684" s="16" t="s">
        <v>9427</v>
      </c>
    </row>
    <row r="4685" spans="1:9" x14ac:dyDescent="0.25">
      <c r="A4685" s="16" t="s">
        <v>5624</v>
      </c>
      <c r="B4685" s="16" t="str">
        <f>TEXT(PARTIDA[[#This Row],[PARTIDA]],"0000000000")</f>
        <v>6102100000</v>
      </c>
      <c r="C4685" s="16" t="s">
        <v>786</v>
      </c>
      <c r="D4685" s="16" t="s">
        <v>787</v>
      </c>
      <c r="E4685" s="16" t="s">
        <v>9435</v>
      </c>
      <c r="F4685" s="27" t="s">
        <v>5140</v>
      </c>
      <c r="G4685" s="27"/>
      <c r="H4685" s="16" t="str">
        <f>IF(ISBLANK(PARTIDAS!$G4685),PARTIDAS!$F4685,CONCATENATE(PARTIDAS!$F4685," (",PARTIDAS!$G4685,")"))</f>
        <v>Productos textiles</v>
      </c>
      <c r="I4685" s="16" t="s">
        <v>9427</v>
      </c>
    </row>
    <row r="4686" spans="1:9" x14ac:dyDescent="0.25">
      <c r="A4686" s="16" t="s">
        <v>5625</v>
      </c>
      <c r="B4686" s="16" t="str">
        <f>TEXT(PARTIDA[[#This Row],[PARTIDA]],"0000000000")</f>
        <v>6102200000</v>
      </c>
      <c r="C4686" s="16" t="s">
        <v>786</v>
      </c>
      <c r="D4686" s="16" t="s">
        <v>787</v>
      </c>
      <c r="E4686" s="16" t="s">
        <v>9435</v>
      </c>
      <c r="F4686" s="27" t="s">
        <v>13302</v>
      </c>
      <c r="G4686" s="27"/>
      <c r="H4686" s="16" t="str">
        <f>IF(ISBLANK(PARTIDAS!$G4686),PARTIDAS!$F4686,CONCATENATE(PARTIDAS!$F4686," (",PARTIDAS!$G4686,")"))</f>
        <v>Abrigos, chaquetones, capas, anoraks, cazadoras y artículos…, de algodón</v>
      </c>
      <c r="I4686" s="16" t="s">
        <v>9427</v>
      </c>
    </row>
    <row r="4687" spans="1:9" x14ac:dyDescent="0.25">
      <c r="A4687" s="16" t="s">
        <v>5626</v>
      </c>
      <c r="B4687" s="16" t="str">
        <f>TEXT(PARTIDA[[#This Row],[PARTIDA]],"0000000000")</f>
        <v>6102300000</v>
      </c>
      <c r="C4687" s="16" t="s">
        <v>786</v>
      </c>
      <c r="D4687" s="16" t="s">
        <v>787</v>
      </c>
      <c r="E4687" s="16" t="s">
        <v>9435</v>
      </c>
      <c r="F4687" s="27" t="s">
        <v>9128</v>
      </c>
      <c r="G4687" s="27"/>
      <c r="H4687" s="16" t="str">
        <f>IF(ISBLANK(PARTIDAS!$G4687),PARTIDAS!$F4687,CONCATENATE(PARTIDAS!$F4687," (",PARTIDAS!$G4687,")"))</f>
        <v>Abrigos, chaquetones, capas, anoraks, cazadoras y artículos…, de fibras sintéticas o artificiales</v>
      </c>
      <c r="I4687" s="16" t="s">
        <v>9427</v>
      </c>
    </row>
    <row r="4688" spans="1:9" x14ac:dyDescent="0.25">
      <c r="A4688" s="16" t="s">
        <v>5627</v>
      </c>
      <c r="B4688" s="16" t="str">
        <f>TEXT(PARTIDA[[#This Row],[PARTIDA]],"0000000000")</f>
        <v>6102900000</v>
      </c>
      <c r="C4688" s="16" t="s">
        <v>786</v>
      </c>
      <c r="D4688" s="16" t="s">
        <v>787</v>
      </c>
      <c r="E4688" s="16" t="s">
        <v>9435</v>
      </c>
      <c r="F4688" s="27" t="s">
        <v>13305</v>
      </c>
      <c r="G4688" s="27"/>
      <c r="H4688" s="16" t="str">
        <f>IF(ISBLANK(PARTIDAS!$G4688),PARTIDAS!$F4688,CONCATENATE(PARTIDAS!$F4688," (",PARTIDAS!$G4688,")"))</f>
        <v>Abrigos, chaquetones, capas, anoraks, cazadoras y artículos…, de las demás materias textiles</v>
      </c>
      <c r="I4688" s="16" t="s">
        <v>9427</v>
      </c>
    </row>
    <row r="4689" spans="1:9" x14ac:dyDescent="0.25">
      <c r="A4689" s="16" t="s">
        <v>5628</v>
      </c>
      <c r="B4689" s="16" t="str">
        <f>TEXT(PARTIDA[[#This Row],[PARTIDA]],"0000000000")</f>
        <v>6103101000</v>
      </c>
      <c r="C4689" s="16" t="s">
        <v>786</v>
      </c>
      <c r="D4689" s="16" t="s">
        <v>787</v>
      </c>
      <c r="E4689" s="16" t="s">
        <v>9435</v>
      </c>
      <c r="F4689" s="27" t="s">
        <v>13306</v>
      </c>
      <c r="G4689" s="27"/>
      <c r="H4689" s="16" t="str">
        <f>IF(ISBLANK(PARTIDAS!$G4689),PARTIDAS!$F4689,CONCATENATE(PARTIDAS!$F4689," (",PARTIDAS!$G4689,")"))</f>
        <v>Trajes (ambos o ternos), de lana o pelo fino</v>
      </c>
      <c r="I4689" s="16" t="s">
        <v>9427</v>
      </c>
    </row>
    <row r="4690" spans="1:9" x14ac:dyDescent="0.25">
      <c r="A4690" s="16" t="s">
        <v>5629</v>
      </c>
      <c r="B4690" s="16" t="str">
        <f>TEXT(PARTIDA[[#This Row],[PARTIDA]],"0000000000")</f>
        <v>6103102000</v>
      </c>
      <c r="C4690" s="16" t="s">
        <v>786</v>
      </c>
      <c r="D4690" s="16" t="s">
        <v>787</v>
      </c>
      <c r="E4690" s="16" t="s">
        <v>9435</v>
      </c>
      <c r="F4690" s="27" t="s">
        <v>13307</v>
      </c>
      <c r="G4690" s="27"/>
      <c r="H4690" s="16" t="str">
        <f>IF(ISBLANK(PARTIDAS!$G4690),PARTIDAS!$F4690,CONCATENATE(PARTIDAS!$F4690," (",PARTIDAS!$G4690,")"))</f>
        <v>Trajes (ambos o ternos), de fibras sintéticas</v>
      </c>
      <c r="I4690" s="16" t="s">
        <v>9427</v>
      </c>
    </row>
    <row r="4691" spans="1:9" x14ac:dyDescent="0.25">
      <c r="A4691" s="16" t="s">
        <v>5630</v>
      </c>
      <c r="B4691" s="16" t="str">
        <f>TEXT(PARTIDA[[#This Row],[PARTIDA]],"0000000000")</f>
        <v>6103109000</v>
      </c>
      <c r="C4691" s="16" t="s">
        <v>786</v>
      </c>
      <c r="D4691" s="16" t="s">
        <v>787</v>
      </c>
      <c r="E4691" s="16" t="s">
        <v>9435</v>
      </c>
      <c r="F4691" s="27" t="s">
        <v>13308</v>
      </c>
      <c r="G4691" s="27"/>
      <c r="H4691" s="16" t="str">
        <f>IF(ISBLANK(PARTIDAS!$G4691),PARTIDAS!$F4691,CONCATENATE(PARTIDAS!$F4691," (",PARTIDAS!$G4691,")"))</f>
        <v>Trajes (ambos o ternos), de las demás materias textiles</v>
      </c>
      <c r="I4691" s="16" t="s">
        <v>9427</v>
      </c>
    </row>
    <row r="4692" spans="1:9" x14ac:dyDescent="0.25">
      <c r="A4692" s="16" t="s">
        <v>5631</v>
      </c>
      <c r="B4692" s="16" t="str">
        <f>TEXT(PARTIDA[[#This Row],[PARTIDA]],"0000000000")</f>
        <v>6103220000</v>
      </c>
      <c r="C4692" s="16" t="s">
        <v>786</v>
      </c>
      <c r="D4692" s="16" t="s">
        <v>787</v>
      </c>
      <c r="E4692" s="16" t="s">
        <v>9435</v>
      </c>
      <c r="F4692" s="27" t="s">
        <v>13309</v>
      </c>
      <c r="G4692" s="27"/>
      <c r="H4692" s="16" t="str">
        <f>IF(ISBLANK(PARTIDAS!$G4692),PARTIDAS!$F4692,CONCATENATE(PARTIDAS!$F4692," (",PARTIDAS!$G4692,")"))</f>
        <v>Conjuntos, de algodón</v>
      </c>
      <c r="I4692" s="16" t="s">
        <v>9427</v>
      </c>
    </row>
    <row r="4693" spans="1:9" x14ac:dyDescent="0.25">
      <c r="A4693" s="16" t="s">
        <v>5632</v>
      </c>
      <c r="B4693" s="16" t="str">
        <f>TEXT(PARTIDA[[#This Row],[PARTIDA]],"0000000000")</f>
        <v>6103230000</v>
      </c>
      <c r="C4693" s="16" t="s">
        <v>786</v>
      </c>
      <c r="D4693" s="16" t="s">
        <v>787</v>
      </c>
      <c r="E4693" s="16" t="s">
        <v>9435</v>
      </c>
      <c r="F4693" s="27" t="s">
        <v>13310</v>
      </c>
      <c r="G4693" s="27"/>
      <c r="H4693" s="16" t="str">
        <f>IF(ISBLANK(PARTIDAS!$G4693),PARTIDAS!$F4693,CONCATENATE(PARTIDAS!$F4693," (",PARTIDAS!$G4693,")"))</f>
        <v>Conjuntos, de fibras sintéticas</v>
      </c>
      <c r="I4693" s="16" t="s">
        <v>9427</v>
      </c>
    </row>
    <row r="4694" spans="1:9" x14ac:dyDescent="0.25">
      <c r="A4694" s="16" t="s">
        <v>5633</v>
      </c>
      <c r="B4694" s="16" t="str">
        <f>TEXT(PARTIDA[[#This Row],[PARTIDA]],"0000000000")</f>
        <v>6103291000</v>
      </c>
      <c r="C4694" s="16" t="s">
        <v>786</v>
      </c>
      <c r="D4694" s="16" t="s">
        <v>787</v>
      </c>
      <c r="E4694" s="16" t="s">
        <v>9435</v>
      </c>
      <c r="F4694" s="27" t="s">
        <v>13311</v>
      </c>
      <c r="G4694" s="27"/>
      <c r="H4694" s="16" t="str">
        <f>IF(ISBLANK(PARTIDAS!$G4694),PARTIDAS!$F4694,CONCATENATE(PARTIDAS!$F4694," (",PARTIDAS!$G4694,")"))</f>
        <v>Conjuntos, de las demás materias textiles, de lana o pelo fino</v>
      </c>
      <c r="I4694" s="16" t="s">
        <v>9427</v>
      </c>
    </row>
    <row r="4695" spans="1:9" x14ac:dyDescent="0.25">
      <c r="A4695" s="16" t="s">
        <v>5634</v>
      </c>
      <c r="B4695" s="16" t="str">
        <f>TEXT(PARTIDA[[#This Row],[PARTIDA]],"0000000000")</f>
        <v>6103299000</v>
      </c>
      <c r="C4695" s="16" t="s">
        <v>786</v>
      </c>
      <c r="D4695" s="16" t="s">
        <v>787</v>
      </c>
      <c r="E4695" s="16" t="s">
        <v>9435</v>
      </c>
      <c r="F4695" s="27" t="s">
        <v>13312</v>
      </c>
      <c r="G4695" s="27"/>
      <c r="H4695" s="16" t="str">
        <f>IF(ISBLANK(PARTIDAS!$G4695),PARTIDAS!$F4695,CONCATENATE(PARTIDAS!$F4695," (",PARTIDAS!$G4695,")"))</f>
        <v>Conjuntos, de las demás materias textiles (los demás)</v>
      </c>
      <c r="I4695" s="16" t="s">
        <v>9427</v>
      </c>
    </row>
    <row r="4696" spans="1:9" x14ac:dyDescent="0.25">
      <c r="A4696" s="16" t="s">
        <v>5635</v>
      </c>
      <c r="B4696" s="16" t="str">
        <f>TEXT(PARTIDA[[#This Row],[PARTIDA]],"0000000000")</f>
        <v>6103310000</v>
      </c>
      <c r="C4696" s="16" t="s">
        <v>786</v>
      </c>
      <c r="D4696" s="16" t="s">
        <v>787</v>
      </c>
      <c r="E4696" s="16" t="s">
        <v>9435</v>
      </c>
      <c r="F4696" s="27" t="s">
        <v>13313</v>
      </c>
      <c r="G4696" s="27"/>
      <c r="H4696" s="16" t="str">
        <f>IF(ISBLANK(PARTIDAS!$G4696),PARTIDAS!$F4696,CONCATENATE(PARTIDAS!$F4696," (",PARTIDAS!$G4696,")"))</f>
        <v>Chaquetas (sacos), de lana o pelo fino</v>
      </c>
      <c r="I4696" s="16" t="s">
        <v>9427</v>
      </c>
    </row>
    <row r="4697" spans="1:9" x14ac:dyDescent="0.25">
      <c r="A4697" s="16" t="s">
        <v>5636</v>
      </c>
      <c r="B4697" s="16" t="str">
        <f>TEXT(PARTIDA[[#This Row],[PARTIDA]],"0000000000")</f>
        <v>6103320000</v>
      </c>
      <c r="C4697" s="16" t="s">
        <v>786</v>
      </c>
      <c r="D4697" s="16" t="s">
        <v>787</v>
      </c>
      <c r="E4697" s="16" t="s">
        <v>9435</v>
      </c>
      <c r="F4697" s="27" t="s">
        <v>13314</v>
      </c>
      <c r="G4697" s="27"/>
      <c r="H4697" s="16" t="str">
        <f>IF(ISBLANK(PARTIDAS!$G4697),PARTIDAS!$F4697,CONCATENATE(PARTIDAS!$F4697," (",PARTIDAS!$G4697,")"))</f>
        <v>Chaquetas (sacos), de algodón</v>
      </c>
      <c r="I4697" s="16" t="s">
        <v>9427</v>
      </c>
    </row>
    <row r="4698" spans="1:9" x14ac:dyDescent="0.25">
      <c r="A4698" s="16" t="s">
        <v>5637</v>
      </c>
      <c r="B4698" s="16" t="str">
        <f>TEXT(PARTIDA[[#This Row],[PARTIDA]],"0000000000")</f>
        <v>6103330000</v>
      </c>
      <c r="C4698" s="16" t="s">
        <v>786</v>
      </c>
      <c r="D4698" s="16" t="s">
        <v>787</v>
      </c>
      <c r="E4698" s="16" t="s">
        <v>9435</v>
      </c>
      <c r="F4698" s="27" t="s">
        <v>13315</v>
      </c>
      <c r="G4698" s="27"/>
      <c r="H4698" s="16" t="str">
        <f>IF(ISBLANK(PARTIDAS!$G4698),PARTIDAS!$F4698,CONCATENATE(PARTIDAS!$F4698," (",PARTIDAS!$G4698,")"))</f>
        <v>Chaquetas (sacos), de fibras sintéticas</v>
      </c>
      <c r="I4698" s="16" t="s">
        <v>9427</v>
      </c>
    </row>
    <row r="4699" spans="1:9" x14ac:dyDescent="0.25">
      <c r="A4699" s="16" t="s">
        <v>5638</v>
      </c>
      <c r="B4699" s="16" t="str">
        <f>TEXT(PARTIDA[[#This Row],[PARTIDA]],"0000000000")</f>
        <v>6103390000</v>
      </c>
      <c r="C4699" s="16" t="s">
        <v>786</v>
      </c>
      <c r="D4699" s="16" t="s">
        <v>787</v>
      </c>
      <c r="E4699" s="16" t="s">
        <v>9435</v>
      </c>
      <c r="F4699" s="27" t="s">
        <v>13316</v>
      </c>
      <c r="G4699" s="27"/>
      <c r="H4699" s="16" t="str">
        <f>IF(ISBLANK(PARTIDAS!$G4699),PARTIDAS!$F4699,CONCATENATE(PARTIDAS!$F4699," (",PARTIDAS!$G4699,")"))</f>
        <v>Chaquetas (sacos), de las demás materias textiles</v>
      </c>
      <c r="I4699" s="16" t="s">
        <v>9427</v>
      </c>
    </row>
    <row r="4700" spans="1:9" x14ac:dyDescent="0.25">
      <c r="A4700" s="16" t="s">
        <v>5639</v>
      </c>
      <c r="B4700" s="16" t="str">
        <f>TEXT(PARTIDA[[#This Row],[PARTIDA]],"0000000000")</f>
        <v>6103410000</v>
      </c>
      <c r="C4700" s="16" t="s">
        <v>786</v>
      </c>
      <c r="D4700" s="16" t="s">
        <v>787</v>
      </c>
      <c r="E4700" s="16" t="s">
        <v>9435</v>
      </c>
      <c r="F4700" s="27" t="s">
        <v>13317</v>
      </c>
      <c r="G4700" s="27"/>
      <c r="H4700" s="16" t="str">
        <f>IF(ISBLANK(PARTIDAS!$G4700),PARTIDAS!$F4700,CONCATENATE(PARTIDAS!$F4700," (",PARTIDAS!$G4700,")"))</f>
        <v>Pantalones largos, pantalones con peto, pantalones cortos (calzones)…, de lana o pelo fino</v>
      </c>
      <c r="I4700" s="16" t="s">
        <v>9427</v>
      </c>
    </row>
    <row r="4701" spans="1:9" x14ac:dyDescent="0.25">
      <c r="A4701" s="16" t="s">
        <v>5640</v>
      </c>
      <c r="B4701" s="16" t="str">
        <f>TEXT(PARTIDA[[#This Row],[PARTIDA]],"0000000000")</f>
        <v>6103420000</v>
      </c>
      <c r="C4701" s="16" t="s">
        <v>786</v>
      </c>
      <c r="D4701" s="16" t="s">
        <v>787</v>
      </c>
      <c r="E4701" s="16" t="s">
        <v>9435</v>
      </c>
      <c r="F4701" s="27" t="s">
        <v>13318</v>
      </c>
      <c r="G4701" s="27"/>
      <c r="H4701" s="16" t="str">
        <f>IF(ISBLANK(PARTIDAS!$G4701),PARTIDAS!$F4701,CONCATENATE(PARTIDAS!$F4701," (",PARTIDAS!$G4701,")"))</f>
        <v>Pantalones largos, pantalones con peto, pantalones cortos (calzones)…, de algodón</v>
      </c>
      <c r="I4701" s="16" t="s">
        <v>9427</v>
      </c>
    </row>
    <row r="4702" spans="1:9" x14ac:dyDescent="0.25">
      <c r="A4702" s="16" t="s">
        <v>5641</v>
      </c>
      <c r="B4702" s="16" t="str">
        <f>TEXT(PARTIDA[[#This Row],[PARTIDA]],"0000000000")</f>
        <v>6103430000</v>
      </c>
      <c r="C4702" s="16" t="s">
        <v>786</v>
      </c>
      <c r="D4702" s="16" t="s">
        <v>787</v>
      </c>
      <c r="E4702" s="16" t="s">
        <v>9435</v>
      </c>
      <c r="F4702" s="27" t="s">
        <v>13319</v>
      </c>
      <c r="G4702" s="27"/>
      <c r="H4702" s="16" t="str">
        <f>IF(ISBLANK(PARTIDAS!$G4702),PARTIDAS!$F4702,CONCATENATE(PARTIDAS!$F4702," (",PARTIDAS!$G4702,")"))</f>
        <v>Pantalones largos, pantalones con peto, pantalones cortos (calzones)…, de fibras sintéticas</v>
      </c>
      <c r="I4702" s="16" t="s">
        <v>9427</v>
      </c>
    </row>
    <row r="4703" spans="1:9" x14ac:dyDescent="0.25">
      <c r="A4703" s="16" t="s">
        <v>5642</v>
      </c>
      <c r="B4703" s="16" t="str">
        <f>TEXT(PARTIDA[[#This Row],[PARTIDA]],"0000000000")</f>
        <v>6103490000</v>
      </c>
      <c r="C4703" s="16" t="s">
        <v>786</v>
      </c>
      <c r="D4703" s="16" t="s">
        <v>787</v>
      </c>
      <c r="E4703" s="16" t="s">
        <v>9435</v>
      </c>
      <c r="F4703" s="27" t="s">
        <v>13320</v>
      </c>
      <c r="G4703" s="27"/>
      <c r="H4703" s="16" t="str">
        <f>IF(ISBLANK(PARTIDAS!$G4703),PARTIDAS!$F4703,CONCATENATE(PARTIDAS!$F4703," (",PARTIDAS!$G4703,")"))</f>
        <v>Pantalones largos, pantalones con peto, pantalones cortos (calzones)…, de las demás materias textiles</v>
      </c>
      <c r="I4703" s="16" t="s">
        <v>9427</v>
      </c>
    </row>
    <row r="4704" spans="1:9" x14ac:dyDescent="0.25">
      <c r="A4704" s="16" t="s">
        <v>5643</v>
      </c>
      <c r="B4704" s="16" t="str">
        <f>TEXT(PARTIDA[[#This Row],[PARTIDA]],"0000000000")</f>
        <v>6104130000</v>
      </c>
      <c r="C4704" s="16" t="s">
        <v>786</v>
      </c>
      <c r="D4704" s="16" t="s">
        <v>787</v>
      </c>
      <c r="E4704" s="16" t="s">
        <v>9435</v>
      </c>
      <c r="F4704" s="27" t="s">
        <v>13321</v>
      </c>
      <c r="G4704" s="27"/>
      <c r="H4704" s="16" t="str">
        <f>IF(ISBLANK(PARTIDAS!$G4704),PARTIDAS!$F4704,CONCATENATE(PARTIDAS!$F4704," (",PARTIDAS!$G4704,")"))</f>
        <v>Trajes sastre, de fibras sintéticas</v>
      </c>
      <c r="I4704" s="16" t="s">
        <v>9427</v>
      </c>
    </row>
    <row r="4705" spans="1:9" x14ac:dyDescent="0.25">
      <c r="A4705" s="16" t="s">
        <v>5644</v>
      </c>
      <c r="B4705" s="16" t="str">
        <f>TEXT(PARTIDA[[#This Row],[PARTIDA]],"0000000000")</f>
        <v>6104191000</v>
      </c>
      <c r="C4705" s="16" t="s">
        <v>786</v>
      </c>
      <c r="D4705" s="16" t="s">
        <v>787</v>
      </c>
      <c r="E4705" s="16" t="s">
        <v>9435</v>
      </c>
      <c r="F4705" s="27" t="s">
        <v>13322</v>
      </c>
      <c r="G4705" s="27"/>
      <c r="H4705" s="16" t="str">
        <f>IF(ISBLANK(PARTIDAS!$G4705),PARTIDAS!$F4705,CONCATENATE(PARTIDAS!$F4705," (",PARTIDAS!$G4705,")"))</f>
        <v>Trajes sastre, de las demás materias textiles, de lana o pelo fino</v>
      </c>
      <c r="I4705" s="16" t="s">
        <v>9427</v>
      </c>
    </row>
    <row r="4706" spans="1:9" x14ac:dyDescent="0.25">
      <c r="A4706" s="16" t="s">
        <v>5645</v>
      </c>
      <c r="B4706" s="16" t="str">
        <f>TEXT(PARTIDA[[#This Row],[PARTIDA]],"0000000000")</f>
        <v>6104192000</v>
      </c>
      <c r="C4706" s="16" t="s">
        <v>786</v>
      </c>
      <c r="D4706" s="16" t="s">
        <v>787</v>
      </c>
      <c r="E4706" s="16" t="s">
        <v>9435</v>
      </c>
      <c r="F4706" s="27" t="s">
        <v>13323</v>
      </c>
      <c r="G4706" s="27"/>
      <c r="H4706" s="16" t="str">
        <f>IF(ISBLANK(PARTIDAS!$G4706),PARTIDAS!$F4706,CONCATENATE(PARTIDAS!$F4706," (",PARTIDAS!$G4706,")"))</f>
        <v>Trajes sastre, de las demás materias textiles, de algodón</v>
      </c>
      <c r="I4706" s="16" t="s">
        <v>9427</v>
      </c>
    </row>
    <row r="4707" spans="1:9" x14ac:dyDescent="0.25">
      <c r="A4707" s="16" t="s">
        <v>5646</v>
      </c>
      <c r="B4707" s="16" t="str">
        <f>TEXT(PARTIDA[[#This Row],[PARTIDA]],"0000000000")</f>
        <v>6104199000</v>
      </c>
      <c r="C4707" s="16" t="s">
        <v>786</v>
      </c>
      <c r="D4707" s="16" t="s">
        <v>787</v>
      </c>
      <c r="E4707" s="16" t="s">
        <v>9435</v>
      </c>
      <c r="F4707" s="27" t="s">
        <v>13324</v>
      </c>
      <c r="G4707" s="27"/>
      <c r="H4707" s="16" t="str">
        <f>IF(ISBLANK(PARTIDAS!$G4707),PARTIDAS!$F4707,CONCATENATE(PARTIDAS!$F4707," (",PARTIDAS!$G4707,")"))</f>
        <v>Trajes sastre, de las demás materias textiles (los demás)</v>
      </c>
      <c r="I4707" s="16" t="s">
        <v>9427</v>
      </c>
    </row>
    <row r="4708" spans="1:9" x14ac:dyDescent="0.25">
      <c r="A4708" s="16" t="s">
        <v>5647</v>
      </c>
      <c r="B4708" s="16" t="str">
        <f>TEXT(PARTIDA[[#This Row],[PARTIDA]],"0000000000")</f>
        <v>6104220000</v>
      </c>
      <c r="C4708" s="16" t="s">
        <v>786</v>
      </c>
      <c r="D4708" s="16" t="s">
        <v>787</v>
      </c>
      <c r="E4708" s="16" t="s">
        <v>9435</v>
      </c>
      <c r="F4708" s="27" t="s">
        <v>13309</v>
      </c>
      <c r="G4708" s="27"/>
      <c r="H4708" s="16" t="str">
        <f>IF(ISBLANK(PARTIDAS!$G4708),PARTIDAS!$F4708,CONCATENATE(PARTIDAS!$F4708," (",PARTIDAS!$G4708,")"))</f>
        <v>Conjuntos, de algodón</v>
      </c>
      <c r="I4708" s="16" t="s">
        <v>9427</v>
      </c>
    </row>
    <row r="4709" spans="1:9" x14ac:dyDescent="0.25">
      <c r="A4709" s="16" t="s">
        <v>5648</v>
      </c>
      <c r="B4709" s="16" t="str">
        <f>TEXT(PARTIDA[[#This Row],[PARTIDA]],"0000000000")</f>
        <v>6104230000</v>
      </c>
      <c r="C4709" s="16" t="s">
        <v>786</v>
      </c>
      <c r="D4709" s="16" t="s">
        <v>787</v>
      </c>
      <c r="E4709" s="16" t="s">
        <v>9435</v>
      </c>
      <c r="F4709" s="27" t="s">
        <v>13310</v>
      </c>
      <c r="G4709" s="27"/>
      <c r="H4709" s="16" t="str">
        <f>IF(ISBLANK(PARTIDAS!$G4709),PARTIDAS!$F4709,CONCATENATE(PARTIDAS!$F4709," (",PARTIDAS!$G4709,")"))</f>
        <v>Conjuntos, de fibras sintéticas</v>
      </c>
      <c r="I4709" s="16" t="s">
        <v>9427</v>
      </c>
    </row>
    <row r="4710" spans="1:9" x14ac:dyDescent="0.25">
      <c r="A4710" s="16" t="s">
        <v>5649</v>
      </c>
      <c r="B4710" s="16" t="str">
        <f>TEXT(PARTIDA[[#This Row],[PARTIDA]],"0000000000")</f>
        <v>6104291000</v>
      </c>
      <c r="C4710" s="16" t="s">
        <v>786</v>
      </c>
      <c r="D4710" s="16" t="s">
        <v>787</v>
      </c>
      <c r="E4710" s="16" t="s">
        <v>9435</v>
      </c>
      <c r="F4710" s="27" t="s">
        <v>13311</v>
      </c>
      <c r="G4710" s="27"/>
      <c r="H4710" s="16" t="str">
        <f>IF(ISBLANK(PARTIDAS!$G4710),PARTIDAS!$F4710,CONCATENATE(PARTIDAS!$F4710," (",PARTIDAS!$G4710,")"))</f>
        <v>Conjuntos, de las demás materias textiles, de lana o pelo fino</v>
      </c>
      <c r="I4710" s="16" t="s">
        <v>9427</v>
      </c>
    </row>
    <row r="4711" spans="1:9" x14ac:dyDescent="0.25">
      <c r="A4711" s="16" t="s">
        <v>5650</v>
      </c>
      <c r="B4711" s="16" t="str">
        <f>TEXT(PARTIDA[[#This Row],[PARTIDA]],"0000000000")</f>
        <v>6104299000</v>
      </c>
      <c r="C4711" s="16" t="s">
        <v>786</v>
      </c>
      <c r="D4711" s="16" t="s">
        <v>787</v>
      </c>
      <c r="E4711" s="16" t="s">
        <v>9435</v>
      </c>
      <c r="F4711" s="27" t="s">
        <v>13312</v>
      </c>
      <c r="G4711" s="27"/>
      <c r="H4711" s="16" t="str">
        <f>IF(ISBLANK(PARTIDAS!$G4711),PARTIDAS!$F4711,CONCATENATE(PARTIDAS!$F4711," (",PARTIDAS!$G4711,")"))</f>
        <v>Conjuntos, de las demás materias textiles (los demás)</v>
      </c>
      <c r="I4711" s="16" t="s">
        <v>9427</v>
      </c>
    </row>
    <row r="4712" spans="1:9" x14ac:dyDescent="0.25">
      <c r="A4712" s="16" t="s">
        <v>5651</v>
      </c>
      <c r="B4712" s="16" t="str">
        <f>TEXT(PARTIDA[[#This Row],[PARTIDA]],"0000000000")</f>
        <v>6104310000</v>
      </c>
      <c r="C4712" s="16" t="s">
        <v>786</v>
      </c>
      <c r="D4712" s="16" t="s">
        <v>787</v>
      </c>
      <c r="E4712" s="16" t="s">
        <v>9435</v>
      </c>
      <c r="F4712" s="27" t="s">
        <v>13313</v>
      </c>
      <c r="G4712" s="27"/>
      <c r="H4712" s="16" t="str">
        <f>IF(ISBLANK(PARTIDAS!$G4712),PARTIDAS!$F4712,CONCATENATE(PARTIDAS!$F4712," (",PARTIDAS!$G4712,")"))</f>
        <v>Chaquetas (sacos), de lana o pelo fino</v>
      </c>
      <c r="I4712" s="16" t="s">
        <v>9427</v>
      </c>
    </row>
    <row r="4713" spans="1:9" x14ac:dyDescent="0.25">
      <c r="A4713" s="16" t="s">
        <v>5652</v>
      </c>
      <c r="B4713" s="16" t="str">
        <f>TEXT(PARTIDA[[#This Row],[PARTIDA]],"0000000000")</f>
        <v>6104320000</v>
      </c>
      <c r="C4713" s="16" t="s">
        <v>786</v>
      </c>
      <c r="D4713" s="16" t="s">
        <v>787</v>
      </c>
      <c r="E4713" s="16" t="s">
        <v>9435</v>
      </c>
      <c r="F4713" s="27" t="s">
        <v>13314</v>
      </c>
      <c r="G4713" s="27"/>
      <c r="H4713" s="16" t="str">
        <f>IF(ISBLANK(PARTIDAS!$G4713),PARTIDAS!$F4713,CONCATENATE(PARTIDAS!$F4713," (",PARTIDAS!$G4713,")"))</f>
        <v>Chaquetas (sacos), de algodón</v>
      </c>
      <c r="I4713" s="16" t="s">
        <v>9427</v>
      </c>
    </row>
    <row r="4714" spans="1:9" x14ac:dyDescent="0.25">
      <c r="A4714" s="16" t="s">
        <v>5653</v>
      </c>
      <c r="B4714" s="16" t="str">
        <f>TEXT(PARTIDA[[#This Row],[PARTIDA]],"0000000000")</f>
        <v>6104330000</v>
      </c>
      <c r="C4714" s="16" t="s">
        <v>786</v>
      </c>
      <c r="D4714" s="16" t="s">
        <v>787</v>
      </c>
      <c r="E4714" s="16" t="s">
        <v>9435</v>
      </c>
      <c r="F4714" s="27" t="s">
        <v>13315</v>
      </c>
      <c r="G4714" s="27"/>
      <c r="H4714" s="16" t="str">
        <f>IF(ISBLANK(PARTIDAS!$G4714),PARTIDAS!$F4714,CONCATENATE(PARTIDAS!$F4714," (",PARTIDAS!$G4714,")"))</f>
        <v>Chaquetas (sacos), de fibras sintéticas</v>
      </c>
      <c r="I4714" s="16" t="s">
        <v>9427</v>
      </c>
    </row>
    <row r="4715" spans="1:9" x14ac:dyDescent="0.25">
      <c r="A4715" s="16" t="s">
        <v>5654</v>
      </c>
      <c r="B4715" s="16" t="str">
        <f>TEXT(PARTIDA[[#This Row],[PARTIDA]],"0000000000")</f>
        <v>6104390000</v>
      </c>
      <c r="C4715" s="16" t="s">
        <v>786</v>
      </c>
      <c r="D4715" s="16" t="s">
        <v>787</v>
      </c>
      <c r="E4715" s="16" t="s">
        <v>9435</v>
      </c>
      <c r="F4715" s="27" t="s">
        <v>13316</v>
      </c>
      <c r="G4715" s="27"/>
      <c r="H4715" s="16" t="str">
        <f>IF(ISBLANK(PARTIDAS!$G4715),PARTIDAS!$F4715,CONCATENATE(PARTIDAS!$F4715," (",PARTIDAS!$G4715,")"))</f>
        <v>Chaquetas (sacos), de las demás materias textiles</v>
      </c>
      <c r="I4715" s="16" t="s">
        <v>9427</v>
      </c>
    </row>
    <row r="4716" spans="1:9" x14ac:dyDescent="0.25">
      <c r="A4716" s="16" t="s">
        <v>5655</v>
      </c>
      <c r="B4716" s="16" t="str">
        <f>TEXT(PARTIDA[[#This Row],[PARTIDA]],"0000000000")</f>
        <v>6104410000</v>
      </c>
      <c r="C4716" s="16" t="s">
        <v>786</v>
      </c>
      <c r="D4716" s="16" t="s">
        <v>787</v>
      </c>
      <c r="E4716" s="16" t="s">
        <v>9435</v>
      </c>
      <c r="F4716" s="27" t="s">
        <v>13325</v>
      </c>
      <c r="G4716" s="27"/>
      <c r="H4716" s="16" t="str">
        <f>IF(ISBLANK(PARTIDAS!$G4716),PARTIDAS!$F4716,CONCATENATE(PARTIDAS!$F4716," (",PARTIDAS!$G4716,")"))</f>
        <v>Vestidos, de lana o pelo fino</v>
      </c>
      <c r="I4716" s="16" t="s">
        <v>9427</v>
      </c>
    </row>
    <row r="4717" spans="1:9" x14ac:dyDescent="0.25">
      <c r="A4717" s="16" t="s">
        <v>5656</v>
      </c>
      <c r="B4717" s="16" t="str">
        <f>TEXT(PARTIDA[[#This Row],[PARTIDA]],"0000000000")</f>
        <v>6104420000</v>
      </c>
      <c r="C4717" s="16" t="s">
        <v>786</v>
      </c>
      <c r="D4717" s="16" t="s">
        <v>787</v>
      </c>
      <c r="E4717" s="16" t="s">
        <v>9435</v>
      </c>
      <c r="F4717" s="27" t="s">
        <v>13326</v>
      </c>
      <c r="G4717" s="27"/>
      <c r="H4717" s="16" t="str">
        <f>IF(ISBLANK(PARTIDAS!$G4717),PARTIDAS!$F4717,CONCATENATE(PARTIDAS!$F4717," (",PARTIDAS!$G4717,")"))</f>
        <v>Vestidos, de algodón</v>
      </c>
      <c r="I4717" s="16" t="s">
        <v>9427</v>
      </c>
    </row>
    <row r="4718" spans="1:9" x14ac:dyDescent="0.25">
      <c r="A4718" s="16" t="s">
        <v>5657</v>
      </c>
      <c r="B4718" s="16" t="str">
        <f>TEXT(PARTIDA[[#This Row],[PARTIDA]],"0000000000")</f>
        <v>6104430000</v>
      </c>
      <c r="C4718" s="16" t="s">
        <v>786</v>
      </c>
      <c r="D4718" s="16" t="s">
        <v>787</v>
      </c>
      <c r="E4718" s="16" t="s">
        <v>9435</v>
      </c>
      <c r="F4718" s="27" t="s">
        <v>13327</v>
      </c>
      <c r="G4718" s="27"/>
      <c r="H4718" s="16" t="str">
        <f>IF(ISBLANK(PARTIDAS!$G4718),PARTIDAS!$F4718,CONCATENATE(PARTIDAS!$F4718," (",PARTIDAS!$G4718,")"))</f>
        <v>Vestidos, de fibras sintéticas</v>
      </c>
      <c r="I4718" s="16" t="s">
        <v>9427</v>
      </c>
    </row>
    <row r="4719" spans="1:9" x14ac:dyDescent="0.25">
      <c r="A4719" s="16" t="s">
        <v>5658</v>
      </c>
      <c r="B4719" s="16" t="str">
        <f>TEXT(PARTIDA[[#This Row],[PARTIDA]],"0000000000")</f>
        <v>6104440000</v>
      </c>
      <c r="C4719" s="16" t="s">
        <v>786</v>
      </c>
      <c r="D4719" s="16" t="s">
        <v>787</v>
      </c>
      <c r="E4719" s="16" t="s">
        <v>9435</v>
      </c>
      <c r="F4719" s="27" t="s">
        <v>13328</v>
      </c>
      <c r="G4719" s="27"/>
      <c r="H4719" s="16" t="str">
        <f>IF(ISBLANK(PARTIDAS!$G4719),PARTIDAS!$F4719,CONCATENATE(PARTIDAS!$F4719," (",PARTIDAS!$G4719,")"))</f>
        <v>Vestidos, de fibras artificiales</v>
      </c>
      <c r="I4719" s="16" t="s">
        <v>9427</v>
      </c>
    </row>
    <row r="4720" spans="1:9" x14ac:dyDescent="0.25">
      <c r="A4720" s="16" t="s">
        <v>5659</v>
      </c>
      <c r="B4720" s="16" t="str">
        <f>TEXT(PARTIDA[[#This Row],[PARTIDA]],"0000000000")</f>
        <v>6104490000</v>
      </c>
      <c r="C4720" s="16" t="s">
        <v>786</v>
      </c>
      <c r="D4720" s="16" t="s">
        <v>787</v>
      </c>
      <c r="E4720" s="16" t="s">
        <v>9435</v>
      </c>
      <c r="F4720" s="27" t="s">
        <v>13329</v>
      </c>
      <c r="G4720" s="27"/>
      <c r="H4720" s="16" t="str">
        <f>IF(ISBLANK(PARTIDAS!$G4720),PARTIDAS!$F4720,CONCATENATE(PARTIDAS!$F4720," (",PARTIDAS!$G4720,")"))</f>
        <v>Vestidos, de las demás materias textiles</v>
      </c>
      <c r="I4720" s="16" t="s">
        <v>9427</v>
      </c>
    </row>
    <row r="4721" spans="1:9" x14ac:dyDescent="0.25">
      <c r="A4721" s="16" t="s">
        <v>5660</v>
      </c>
      <c r="B4721" s="16" t="str">
        <f>TEXT(PARTIDA[[#This Row],[PARTIDA]],"0000000000")</f>
        <v>6104510000</v>
      </c>
      <c r="C4721" s="16" t="s">
        <v>786</v>
      </c>
      <c r="D4721" s="16" t="s">
        <v>787</v>
      </c>
      <c r="E4721" s="16" t="s">
        <v>9435</v>
      </c>
      <c r="F4721" s="27" t="s">
        <v>13330</v>
      </c>
      <c r="G4721" s="27"/>
      <c r="H4721" s="16" t="str">
        <f>IF(ISBLANK(PARTIDAS!$G4721),PARTIDAS!$F4721,CONCATENATE(PARTIDAS!$F4721," (",PARTIDAS!$G4721,")"))</f>
        <v>Faldas y faldas pantalón, de lana o pelo fino</v>
      </c>
      <c r="I4721" s="16" t="s">
        <v>9427</v>
      </c>
    </row>
    <row r="4722" spans="1:9" x14ac:dyDescent="0.25">
      <c r="A4722" s="16" t="s">
        <v>5661</v>
      </c>
      <c r="B4722" s="16" t="str">
        <f>TEXT(PARTIDA[[#This Row],[PARTIDA]],"0000000000")</f>
        <v>6104520000</v>
      </c>
      <c r="C4722" s="16" t="s">
        <v>786</v>
      </c>
      <c r="D4722" s="16" t="s">
        <v>787</v>
      </c>
      <c r="E4722" s="16" t="s">
        <v>9435</v>
      </c>
      <c r="F4722" s="27" t="s">
        <v>13331</v>
      </c>
      <c r="G4722" s="27"/>
      <c r="H4722" s="16" t="str">
        <f>IF(ISBLANK(PARTIDAS!$G4722),PARTIDAS!$F4722,CONCATENATE(PARTIDAS!$F4722," (",PARTIDAS!$G4722,")"))</f>
        <v>Faldas y faldas pantalón, de algodón</v>
      </c>
      <c r="I4722" s="16" t="s">
        <v>9427</v>
      </c>
    </row>
    <row r="4723" spans="1:9" x14ac:dyDescent="0.25">
      <c r="A4723" s="16" t="s">
        <v>5662</v>
      </c>
      <c r="B4723" s="16" t="str">
        <f>TEXT(PARTIDA[[#This Row],[PARTIDA]],"0000000000")</f>
        <v>6104530000</v>
      </c>
      <c r="C4723" s="16" t="s">
        <v>786</v>
      </c>
      <c r="D4723" s="16" t="s">
        <v>787</v>
      </c>
      <c r="E4723" s="16" t="s">
        <v>9435</v>
      </c>
      <c r="F4723" s="27" t="s">
        <v>13332</v>
      </c>
      <c r="G4723" s="27"/>
      <c r="H4723" s="16" t="str">
        <f>IF(ISBLANK(PARTIDAS!$G4723),PARTIDAS!$F4723,CONCATENATE(PARTIDAS!$F4723," (",PARTIDAS!$G4723,")"))</f>
        <v>Faldas y faldas pantalón, de fibras sintéticas</v>
      </c>
      <c r="I4723" s="16" t="s">
        <v>9427</v>
      </c>
    </row>
    <row r="4724" spans="1:9" x14ac:dyDescent="0.25">
      <c r="A4724" s="16" t="s">
        <v>5663</v>
      </c>
      <c r="B4724" s="16" t="str">
        <f>TEXT(PARTIDA[[#This Row],[PARTIDA]],"0000000000")</f>
        <v>6104590000</v>
      </c>
      <c r="C4724" s="16" t="s">
        <v>786</v>
      </c>
      <c r="D4724" s="16" t="s">
        <v>787</v>
      </c>
      <c r="E4724" s="16" t="s">
        <v>9435</v>
      </c>
      <c r="F4724" s="27" t="s">
        <v>13333</v>
      </c>
      <c r="G4724" s="27"/>
      <c r="H4724" s="16" t="str">
        <f>IF(ISBLANK(PARTIDAS!$G4724),PARTIDAS!$F4724,CONCATENATE(PARTIDAS!$F4724," (",PARTIDAS!$G4724,")"))</f>
        <v>Faldas y faldas pantalón, de las demás materias textiles</v>
      </c>
      <c r="I4724" s="16" t="s">
        <v>9427</v>
      </c>
    </row>
    <row r="4725" spans="1:9" x14ac:dyDescent="0.25">
      <c r="A4725" s="16" t="s">
        <v>5664</v>
      </c>
      <c r="B4725" s="16" t="str">
        <f>TEXT(PARTIDA[[#This Row],[PARTIDA]],"0000000000")</f>
        <v>6104610000</v>
      </c>
      <c r="C4725" s="16" t="s">
        <v>786</v>
      </c>
      <c r="D4725" s="16" t="s">
        <v>787</v>
      </c>
      <c r="E4725" s="16" t="s">
        <v>9435</v>
      </c>
      <c r="F4725" s="27" t="s">
        <v>13317</v>
      </c>
      <c r="G4725" s="27"/>
      <c r="H4725" s="16" t="str">
        <f>IF(ISBLANK(PARTIDAS!$G4725),PARTIDAS!$F4725,CONCATENATE(PARTIDAS!$F4725," (",PARTIDAS!$G4725,")"))</f>
        <v>Pantalones largos, pantalones con peto, pantalones cortos (calzones)…, de lana o pelo fino</v>
      </c>
      <c r="I4725" s="16" t="s">
        <v>9427</v>
      </c>
    </row>
    <row r="4726" spans="1:9" x14ac:dyDescent="0.25">
      <c r="A4726" s="16" t="s">
        <v>5665</v>
      </c>
      <c r="B4726" s="16" t="str">
        <f>TEXT(PARTIDA[[#This Row],[PARTIDA]],"0000000000")</f>
        <v>6104620000</v>
      </c>
      <c r="C4726" s="16" t="s">
        <v>786</v>
      </c>
      <c r="D4726" s="16" t="s">
        <v>787</v>
      </c>
      <c r="E4726" s="16" t="s">
        <v>9435</v>
      </c>
      <c r="F4726" s="27" t="s">
        <v>5666</v>
      </c>
      <c r="G4726" s="27"/>
      <c r="H4726" s="16" t="str">
        <f>IF(ISBLANK(PARTIDAS!$G4726),PARTIDAS!$F4726,CONCATENATE(PARTIDAS!$F4726," (",PARTIDAS!$G4726,")"))</f>
        <v>Prendas de vestir</v>
      </c>
      <c r="I4726" s="16" t="s">
        <v>9427</v>
      </c>
    </row>
    <row r="4727" spans="1:9" x14ac:dyDescent="0.25">
      <c r="A4727" s="16" t="s">
        <v>5667</v>
      </c>
      <c r="B4727" s="16" t="str">
        <f>TEXT(PARTIDA[[#This Row],[PARTIDA]],"0000000000")</f>
        <v>6104630000</v>
      </c>
      <c r="C4727" s="16" t="s">
        <v>786</v>
      </c>
      <c r="D4727" s="16" t="s">
        <v>787</v>
      </c>
      <c r="E4727" s="16" t="s">
        <v>9435</v>
      </c>
      <c r="F4727" s="27" t="s">
        <v>13319</v>
      </c>
      <c r="G4727" s="27"/>
      <c r="H4727" s="16" t="str">
        <f>IF(ISBLANK(PARTIDAS!$G4727),PARTIDAS!$F4727,CONCATENATE(PARTIDAS!$F4727," (",PARTIDAS!$G4727,")"))</f>
        <v>Pantalones largos, pantalones con peto, pantalones cortos (calzones)…, de fibras sintéticas</v>
      </c>
      <c r="I4727" s="16" t="s">
        <v>9427</v>
      </c>
    </row>
    <row r="4728" spans="1:9" x14ac:dyDescent="0.25">
      <c r="A4728" s="16" t="s">
        <v>5668</v>
      </c>
      <c r="B4728" s="16" t="str">
        <f>TEXT(PARTIDA[[#This Row],[PARTIDA]],"0000000000")</f>
        <v>6104690000</v>
      </c>
      <c r="C4728" s="16" t="s">
        <v>786</v>
      </c>
      <c r="D4728" s="16" t="s">
        <v>787</v>
      </c>
      <c r="E4728" s="16" t="s">
        <v>9435</v>
      </c>
      <c r="F4728" s="27" t="s">
        <v>13320</v>
      </c>
      <c r="G4728" s="27"/>
      <c r="H4728" s="16" t="str">
        <f>IF(ISBLANK(PARTIDAS!$G4728),PARTIDAS!$F4728,CONCATENATE(PARTIDAS!$F4728," (",PARTIDAS!$G4728,")"))</f>
        <v>Pantalones largos, pantalones con peto, pantalones cortos (calzones)…, de las demás materias textiles</v>
      </c>
      <c r="I4728" s="16" t="s">
        <v>9427</v>
      </c>
    </row>
    <row r="4729" spans="1:9" x14ac:dyDescent="0.25">
      <c r="A4729" s="16" t="s">
        <v>5669</v>
      </c>
      <c r="B4729" s="16" t="str">
        <f>TEXT(PARTIDA[[#This Row],[PARTIDA]],"0000000000")</f>
        <v>6105100041</v>
      </c>
      <c r="C4729" s="16" t="s">
        <v>786</v>
      </c>
      <c r="D4729" s="16" t="s">
        <v>787</v>
      </c>
      <c r="E4729" s="16" t="s">
        <v>9435</v>
      </c>
      <c r="F4729" s="27" t="s">
        <v>13334</v>
      </c>
      <c r="G4729" s="27"/>
      <c r="H4729" s="16" t="str">
        <f>IF(ISBLANK(PARTIDAS!$G4729),PARTIDAS!$F4729,CONCATENATE(PARTIDAS!$F4729," (",PARTIDAS!$G4729,")"))</f>
        <v>Camisas de punto para hombres o niños, de algodón, con abertura delantera parcial, con cuello y puño de tejido acanalado…, de tejido teñido de un solo</v>
      </c>
      <c r="I4729" s="16" t="s">
        <v>9427</v>
      </c>
    </row>
    <row r="4730" spans="1:9" x14ac:dyDescent="0.25">
      <c r="A4730" s="16" t="s">
        <v>5670</v>
      </c>
      <c r="B4730" s="16" t="str">
        <f>TEXT(PARTIDA[[#This Row],[PARTIDA]],"0000000000")</f>
        <v>6105100042</v>
      </c>
      <c r="C4730" s="16" t="s">
        <v>786</v>
      </c>
      <c r="D4730" s="16" t="s">
        <v>787</v>
      </c>
      <c r="E4730" s="16" t="s">
        <v>9435</v>
      </c>
      <c r="F4730" s="27" t="s">
        <v>13335</v>
      </c>
      <c r="G4730" s="27"/>
      <c r="H4730" s="16" t="str">
        <f>IF(ISBLANK(PARTIDAS!$G4730),PARTIDAS!$F4730,CONCATENATE(PARTIDAS!$F4730," (",PARTIDAS!$G4730,")"))</f>
        <v>Camisas de punto para hombres o niños, de algodón, con abertura delantera parcial, con cuello y puño de tejido acanalado…, de tejido con hilados de di</v>
      </c>
      <c r="I4730" s="16" t="s">
        <v>9427</v>
      </c>
    </row>
    <row r="4731" spans="1:9" x14ac:dyDescent="0.25">
      <c r="A4731" s="16" t="s">
        <v>5671</v>
      </c>
      <c r="B4731" s="16" t="str">
        <f>TEXT(PARTIDA[[#This Row],[PARTIDA]],"0000000000")</f>
        <v>6105100049</v>
      </c>
      <c r="C4731" s="16" t="s">
        <v>786</v>
      </c>
      <c r="D4731" s="16" t="s">
        <v>787</v>
      </c>
      <c r="E4731" s="16" t="s">
        <v>9435</v>
      </c>
      <c r="F4731" s="27" t="s">
        <v>13336</v>
      </c>
      <c r="G4731" s="27"/>
      <c r="H4731" s="16" t="str">
        <f>IF(ISBLANK(PARTIDAS!$G4731),PARTIDAS!$F4731,CONCATENATE(PARTIDAS!$F4731," (",PARTIDAS!$G4731,")"))</f>
        <v>Camisas de punto para hombres o niños, de algodón, con abertura delantera parcial, con cuello y puño de tejido acanalado… (los demás)</v>
      </c>
      <c r="I4731" s="16" t="s">
        <v>9427</v>
      </c>
    </row>
    <row r="4732" spans="1:9" x14ac:dyDescent="0.25">
      <c r="A4732" s="16" t="s">
        <v>5672</v>
      </c>
      <c r="B4732" s="16" t="str">
        <f>TEXT(PARTIDA[[#This Row],[PARTIDA]],"0000000000")</f>
        <v>6105100051</v>
      </c>
      <c r="C4732" s="16" t="s">
        <v>786</v>
      </c>
      <c r="D4732" s="16" t="s">
        <v>787</v>
      </c>
      <c r="E4732" s="16" t="s">
        <v>9435</v>
      </c>
      <c r="F4732" s="27" t="s">
        <v>13337</v>
      </c>
      <c r="G4732" s="27"/>
      <c r="H4732" s="16" t="str">
        <f>IF(ISBLANK(PARTIDAS!$G4732),PARTIDAS!$F4732,CONCATENATE(PARTIDAS!$F4732," (",PARTIDAS!$G4732,")"))</f>
        <v xml:space="preserve">Camisas de punto para hombres o niños, de algodón, con cuello y abertura delantera parcial, para hombres, de tejido teñido de un solo color uniforme, </v>
      </c>
      <c r="I4732" s="16" t="s">
        <v>9427</v>
      </c>
    </row>
    <row r="4733" spans="1:9" x14ac:dyDescent="0.25">
      <c r="A4733" s="16" t="s">
        <v>5673</v>
      </c>
      <c r="B4733" s="16" t="str">
        <f>TEXT(PARTIDA[[#This Row],[PARTIDA]],"0000000000")</f>
        <v>6105100052</v>
      </c>
      <c r="C4733" s="16" t="s">
        <v>786</v>
      </c>
      <c r="D4733" s="16" t="s">
        <v>787</v>
      </c>
      <c r="E4733" s="16" t="s">
        <v>9435</v>
      </c>
      <c r="F4733" s="27" t="s">
        <v>13338</v>
      </c>
      <c r="G4733" s="27"/>
      <c r="H4733" s="16" t="str">
        <f>IF(ISBLANK(PARTIDAS!$G4733),PARTIDAS!$F4733,CONCATENATE(PARTIDAS!$F4733," (",PARTIDAS!$G4733,")"))</f>
        <v xml:space="preserve">Camisas de punto para hombres o niños, de algodón, con cuello y abertura delantera parcial, para hombres, de tejido con hilados de distintos colores, </v>
      </c>
      <c r="I4733" s="16" t="s">
        <v>9427</v>
      </c>
    </row>
    <row r="4734" spans="1:9" x14ac:dyDescent="0.25">
      <c r="A4734" s="16" t="s">
        <v>5674</v>
      </c>
      <c r="B4734" s="16" t="str">
        <f>TEXT(PARTIDA[[#This Row],[PARTIDA]],"0000000000")</f>
        <v>6105100059</v>
      </c>
      <c r="C4734" s="16" t="s">
        <v>786</v>
      </c>
      <c r="D4734" s="16" t="s">
        <v>787</v>
      </c>
      <c r="E4734" s="16" t="s">
        <v>9435</v>
      </c>
      <c r="F4734" s="27" t="s">
        <v>13339</v>
      </c>
      <c r="G4734" s="27"/>
      <c r="H4734" s="16" t="str">
        <f>IF(ISBLANK(PARTIDAS!$G4734),PARTIDAS!$F4734,CONCATENATE(PARTIDAS!$F4734," (",PARTIDAS!$G4734,")"))</f>
        <v>Camisas de punto para hombres o niños, de algodón, con cuello y abertura delantera parcial, para hombres (los demás)</v>
      </c>
      <c r="I4734" s="16" t="s">
        <v>9427</v>
      </c>
    </row>
    <row r="4735" spans="1:9" x14ac:dyDescent="0.25">
      <c r="A4735" s="16" t="s">
        <v>5675</v>
      </c>
      <c r="B4735" s="16" t="str">
        <f>TEXT(PARTIDA[[#This Row],[PARTIDA]],"0000000000")</f>
        <v>6105100080</v>
      </c>
      <c r="C4735" s="16" t="s">
        <v>786</v>
      </c>
      <c r="D4735" s="16" t="s">
        <v>787</v>
      </c>
      <c r="E4735" s="16" t="s">
        <v>9435</v>
      </c>
      <c r="F4735" s="27" t="s">
        <v>13340</v>
      </c>
      <c r="G4735" s="27"/>
      <c r="H4735" s="16" t="str">
        <f>IF(ISBLANK(PARTIDAS!$G4735),PARTIDAS!$F4735,CONCATENATE(PARTIDAS!$F4735," (",PARTIDAS!$G4735,")"))</f>
        <v>Camisas de punto para hombres o niños, de algodón (los demás, para hombres)</v>
      </c>
      <c r="I4735" s="16" t="s">
        <v>9427</v>
      </c>
    </row>
    <row r="4736" spans="1:9" x14ac:dyDescent="0.25">
      <c r="A4736" s="16" t="s">
        <v>5676</v>
      </c>
      <c r="B4736" s="16" t="str">
        <f>TEXT(PARTIDA[[#This Row],[PARTIDA]],"0000000000")</f>
        <v>6105100091</v>
      </c>
      <c r="C4736" s="16" t="s">
        <v>786</v>
      </c>
      <c r="D4736" s="16" t="s">
        <v>787</v>
      </c>
      <c r="E4736" s="16" t="s">
        <v>9435</v>
      </c>
      <c r="F4736" s="27" t="s">
        <v>13341</v>
      </c>
      <c r="G4736" s="27"/>
      <c r="H4736" s="16" t="str">
        <f>IF(ISBLANK(PARTIDAS!$G4736),PARTIDAS!$F4736,CONCATENATE(PARTIDAS!$F4736," (",PARTIDAS!$G4736,")"))</f>
        <v>Camisas de punto para hombres o niños, de algodón, con abertura delantera parcial, con cuello y puño de tejido acanalado elástico</v>
      </c>
      <c r="I4736" s="16" t="s">
        <v>9427</v>
      </c>
    </row>
    <row r="4737" spans="1:9" x14ac:dyDescent="0.25">
      <c r="A4737" s="16" t="s">
        <v>5677</v>
      </c>
      <c r="B4737" s="16" t="str">
        <f>TEXT(PARTIDA[[#This Row],[PARTIDA]],"0000000000")</f>
        <v>6105100092</v>
      </c>
      <c r="C4737" s="16" t="s">
        <v>786</v>
      </c>
      <c r="D4737" s="16" t="s">
        <v>787</v>
      </c>
      <c r="E4737" s="16" t="s">
        <v>9435</v>
      </c>
      <c r="F4737" s="27" t="s">
        <v>13342</v>
      </c>
      <c r="G4737" s="27"/>
      <c r="H4737" s="16" t="str">
        <f>IF(ISBLANK(PARTIDAS!$G4737),PARTIDAS!$F4737,CONCATENATE(PARTIDAS!$F4737," (",PARTIDAS!$G4737,")"))</f>
        <v>Camisas de punto para hombres o niños, de algodón, con cuello y abertura delantera parcial</v>
      </c>
      <c r="I4737" s="16" t="s">
        <v>9427</v>
      </c>
    </row>
    <row r="4738" spans="1:9" x14ac:dyDescent="0.25">
      <c r="A4738" s="16" t="s">
        <v>5678</v>
      </c>
      <c r="B4738" s="16" t="str">
        <f>TEXT(PARTIDA[[#This Row],[PARTIDA]],"0000000000")</f>
        <v>6105100099</v>
      </c>
      <c r="C4738" s="16" t="s">
        <v>786</v>
      </c>
      <c r="D4738" s="16" t="s">
        <v>787</v>
      </c>
      <c r="E4738" s="16" t="s">
        <v>9435</v>
      </c>
      <c r="F4738" s="27" t="s">
        <v>13343</v>
      </c>
      <c r="G4738" s="27"/>
      <c r="H4738" s="16" t="str">
        <f>IF(ISBLANK(PARTIDAS!$G4738),PARTIDAS!$F4738,CONCATENATE(PARTIDAS!$F4738," (",PARTIDAS!$G4738,")"))</f>
        <v>Camisas de punto para hombres o niños, de algodón (los demás)</v>
      </c>
      <c r="I4738" s="16" t="s">
        <v>9427</v>
      </c>
    </row>
    <row r="4739" spans="1:9" x14ac:dyDescent="0.25">
      <c r="A4739" s="16" t="s">
        <v>5679</v>
      </c>
      <c r="B4739" s="16" t="str">
        <f>TEXT(PARTIDA[[#This Row],[PARTIDA]],"0000000000")</f>
        <v>6105201000</v>
      </c>
      <c r="C4739" s="16" t="s">
        <v>786</v>
      </c>
      <c r="D4739" s="16" t="s">
        <v>787</v>
      </c>
      <c r="E4739" s="16" t="s">
        <v>9435</v>
      </c>
      <c r="F4739" s="27" t="s">
        <v>13344</v>
      </c>
      <c r="G4739" s="27"/>
      <c r="H4739" s="16" t="str">
        <f>IF(ISBLANK(PARTIDAS!$G4739),PARTIDAS!$F4739,CONCATENATE(PARTIDAS!$F4739," (",PARTIDAS!$G4739,")"))</f>
        <v>Camisas de punto para hombres o niños, de fibras sintéticas o artificiales, de fibras acrílicas o modacrílicas</v>
      </c>
      <c r="I4739" s="16" t="s">
        <v>9427</v>
      </c>
    </row>
    <row r="4740" spans="1:9" x14ac:dyDescent="0.25">
      <c r="A4740" s="16" t="s">
        <v>5680</v>
      </c>
      <c r="B4740" s="16" t="str">
        <f>TEXT(PARTIDA[[#This Row],[PARTIDA]],"0000000000")</f>
        <v>6105209000</v>
      </c>
      <c r="C4740" s="16" t="s">
        <v>786</v>
      </c>
      <c r="D4740" s="16" t="s">
        <v>787</v>
      </c>
      <c r="E4740" s="16" t="s">
        <v>9435</v>
      </c>
      <c r="F4740" s="27" t="s">
        <v>13345</v>
      </c>
      <c r="G4740" s="27"/>
      <c r="H4740" s="16" t="str">
        <f>IF(ISBLANK(PARTIDAS!$G4740),PARTIDAS!$F4740,CONCATENATE(PARTIDAS!$F4740," (",PARTIDAS!$G4740,")"))</f>
        <v>Camisas de punto para hombres o niños, de fibras sintéticas o artificiales, de las demás fibras sintéticas o artificiales</v>
      </c>
      <c r="I4740" s="16" t="s">
        <v>9427</v>
      </c>
    </row>
    <row r="4741" spans="1:9" x14ac:dyDescent="0.25">
      <c r="A4741" s="16" t="s">
        <v>5681</v>
      </c>
      <c r="B4741" s="16" t="str">
        <f>TEXT(PARTIDA[[#This Row],[PARTIDA]],"0000000000")</f>
        <v>6105900000</v>
      </c>
      <c r="C4741" s="16" t="s">
        <v>786</v>
      </c>
      <c r="D4741" s="16" t="s">
        <v>787</v>
      </c>
      <c r="E4741" s="16" t="s">
        <v>9435</v>
      </c>
      <c r="F4741" s="27" t="s">
        <v>13346</v>
      </c>
      <c r="G4741" s="27"/>
      <c r="H4741" s="16" t="str">
        <f>IF(ISBLANK(PARTIDAS!$G4741),PARTIDAS!$F4741,CONCATENATE(PARTIDAS!$F4741," (",PARTIDAS!$G4741,")"))</f>
        <v>Camisas de punto para hombres o niños, de las demás materias textiles</v>
      </c>
      <c r="I4741" s="16" t="s">
        <v>9427</v>
      </c>
    </row>
    <row r="4742" spans="1:9" x14ac:dyDescent="0.25">
      <c r="A4742" s="16" t="s">
        <v>5682</v>
      </c>
      <c r="B4742" s="16" t="str">
        <f>TEXT(PARTIDA[[#This Row],[PARTIDA]],"0000000000")</f>
        <v>6106100021</v>
      </c>
      <c r="C4742" s="16" t="s">
        <v>786</v>
      </c>
      <c r="D4742" s="16" t="s">
        <v>787</v>
      </c>
      <c r="E4742" s="16" t="s">
        <v>9435</v>
      </c>
      <c r="F4742" s="27" t="s">
        <v>13347</v>
      </c>
      <c r="G4742" s="27"/>
      <c r="H4742" s="16" t="str">
        <f>IF(ISBLANK(PARTIDAS!$G4742),PARTIDAS!$F4742,CONCATENATE(PARTIDAS!$F4742," (",PARTIDAS!$G4742,")"))</f>
        <v>Camisas, blusas y blusas camiseras, de punto, para…, de algodón, con abertura delantera parcial, con cuello y puño de tejido acanalado…, de tejido teñ</v>
      </c>
      <c r="I4742" s="16" t="s">
        <v>9427</v>
      </c>
    </row>
    <row r="4743" spans="1:9" x14ac:dyDescent="0.25">
      <c r="A4743" s="16" t="s">
        <v>5683</v>
      </c>
      <c r="B4743" s="16" t="str">
        <f>TEXT(PARTIDA[[#This Row],[PARTIDA]],"0000000000")</f>
        <v>6106100022</v>
      </c>
      <c r="C4743" s="16" t="s">
        <v>786</v>
      </c>
      <c r="D4743" s="16" t="s">
        <v>787</v>
      </c>
      <c r="E4743" s="16" t="s">
        <v>9435</v>
      </c>
      <c r="F4743" s="27" t="s">
        <v>13348</v>
      </c>
      <c r="G4743" s="27"/>
      <c r="H4743" s="16" t="str">
        <f>IF(ISBLANK(PARTIDAS!$G4743),PARTIDAS!$F4743,CONCATENATE(PARTIDAS!$F4743," (",PARTIDAS!$G4743,")"))</f>
        <v>Camisas, blusas y blusas camiseras, de punto, para…, de algodón, con abertura delantera parcial, con cuello y puño de tejido acanalado…, de tejido con</v>
      </c>
      <c r="I4743" s="16" t="s">
        <v>9427</v>
      </c>
    </row>
    <row r="4744" spans="1:9" x14ac:dyDescent="0.25">
      <c r="A4744" s="16" t="s">
        <v>5684</v>
      </c>
      <c r="B4744" s="16" t="str">
        <f>TEXT(PARTIDA[[#This Row],[PARTIDA]],"0000000000")</f>
        <v>6106100029</v>
      </c>
      <c r="C4744" s="16" t="s">
        <v>786</v>
      </c>
      <c r="D4744" s="16" t="s">
        <v>787</v>
      </c>
      <c r="E4744" s="16" t="s">
        <v>9435</v>
      </c>
      <c r="F4744" s="27" t="s">
        <v>13349</v>
      </c>
      <c r="G4744" s="27"/>
      <c r="H4744" s="16" t="str">
        <f>IF(ISBLANK(PARTIDAS!$G4744),PARTIDAS!$F4744,CONCATENATE(PARTIDAS!$F4744," (",PARTIDAS!$G4744,")"))</f>
        <v>Camisas, blusas y blusas camiseras, de punto, para…, de algodón, con abertura delantera parcial, con cuello y puño de tejido acanalado… (los demás)</v>
      </c>
      <c r="I4744" s="16" t="s">
        <v>9427</v>
      </c>
    </row>
    <row r="4745" spans="1:9" x14ac:dyDescent="0.25">
      <c r="A4745" s="16" t="s">
        <v>5685</v>
      </c>
      <c r="B4745" s="16" t="str">
        <f>TEXT(PARTIDA[[#This Row],[PARTIDA]],"0000000000")</f>
        <v>6106100031</v>
      </c>
      <c r="C4745" s="16" t="s">
        <v>786</v>
      </c>
      <c r="D4745" s="16" t="s">
        <v>787</v>
      </c>
      <c r="E4745" s="16" t="s">
        <v>9435</v>
      </c>
      <c r="F4745" s="27" t="s">
        <v>13350</v>
      </c>
      <c r="G4745" s="27"/>
      <c r="H4745" s="16" t="str">
        <f>IF(ISBLANK(PARTIDAS!$G4745),PARTIDAS!$F4745,CONCATENATE(PARTIDAS!$F4745," (",PARTIDAS!$G4745,")"))</f>
        <v xml:space="preserve">Camisas, blusas y blusas camiseras, de punto, para…, de algodón, con cuello y abertura delantera parcial, de tejido teñido de un solo color uniforme, </v>
      </c>
      <c r="I4745" s="16" t="s">
        <v>9427</v>
      </c>
    </row>
    <row r="4746" spans="1:9" x14ac:dyDescent="0.25">
      <c r="A4746" s="16" t="s">
        <v>5686</v>
      </c>
      <c r="B4746" s="16" t="str">
        <f>TEXT(PARTIDA[[#This Row],[PARTIDA]],"0000000000")</f>
        <v>6106100032</v>
      </c>
      <c r="C4746" s="16" t="s">
        <v>786</v>
      </c>
      <c r="D4746" s="16" t="s">
        <v>787</v>
      </c>
      <c r="E4746" s="16" t="s">
        <v>9435</v>
      </c>
      <c r="F4746" s="27" t="s">
        <v>13351</v>
      </c>
      <c r="G4746" s="27"/>
      <c r="H4746" s="16" t="str">
        <f>IF(ISBLANK(PARTIDAS!$G4746),PARTIDAS!$F4746,CONCATENATE(PARTIDAS!$F4746," (",PARTIDAS!$G4746,")"))</f>
        <v xml:space="preserve">Camisas, blusas y blusas camiseras, de punto, para…, de algodón, con cuello y abertura delantera parcial, de tejido con hilados de distintos colores, </v>
      </c>
      <c r="I4746" s="16" t="s">
        <v>9427</v>
      </c>
    </row>
    <row r="4747" spans="1:9" x14ac:dyDescent="0.25">
      <c r="A4747" s="16" t="s">
        <v>5687</v>
      </c>
      <c r="B4747" s="16" t="str">
        <f>TEXT(PARTIDA[[#This Row],[PARTIDA]],"0000000000")</f>
        <v>6106100039</v>
      </c>
      <c r="C4747" s="16" t="s">
        <v>786</v>
      </c>
      <c r="D4747" s="16" t="s">
        <v>787</v>
      </c>
      <c r="E4747" s="16" t="s">
        <v>9435</v>
      </c>
      <c r="F4747" s="27" t="s">
        <v>13352</v>
      </c>
      <c r="G4747" s="27"/>
      <c r="H4747" s="16" t="str">
        <f>IF(ISBLANK(PARTIDAS!$G4747),PARTIDAS!$F4747,CONCATENATE(PARTIDAS!$F4747," (",PARTIDAS!$G4747,")"))</f>
        <v>Camisas, blusas y blusas camiseras, de punto, para…, de algodón, con cuello y abertura delantera parcial (los demás)</v>
      </c>
      <c r="I4747" s="16" t="s">
        <v>9427</v>
      </c>
    </row>
    <row r="4748" spans="1:9" x14ac:dyDescent="0.25">
      <c r="A4748" s="16" t="s">
        <v>5688</v>
      </c>
      <c r="B4748" s="16" t="str">
        <f>TEXT(PARTIDA[[#This Row],[PARTIDA]],"0000000000")</f>
        <v>6106100090</v>
      </c>
      <c r="C4748" s="16" t="s">
        <v>786</v>
      </c>
      <c r="D4748" s="16" t="s">
        <v>787</v>
      </c>
      <c r="E4748" s="16" t="s">
        <v>9435</v>
      </c>
      <c r="F4748" s="27" t="s">
        <v>13353</v>
      </c>
      <c r="G4748" s="27"/>
      <c r="H4748" s="16" t="str">
        <f>IF(ISBLANK(PARTIDAS!$G4748),PARTIDAS!$F4748,CONCATENATE(PARTIDAS!$F4748," (",PARTIDAS!$G4748,")"))</f>
        <v>Camisas, blusas y blusas camiseras, de punto, para…, de algodón (los demás)</v>
      </c>
      <c r="I4748" s="16" t="s">
        <v>9427</v>
      </c>
    </row>
    <row r="4749" spans="1:9" x14ac:dyDescent="0.25">
      <c r="A4749" s="16" t="s">
        <v>5689</v>
      </c>
      <c r="B4749" s="16" t="str">
        <f>TEXT(PARTIDA[[#This Row],[PARTIDA]],"0000000000")</f>
        <v>6106200000</v>
      </c>
      <c r="C4749" s="16" t="s">
        <v>786</v>
      </c>
      <c r="D4749" s="16" t="s">
        <v>787</v>
      </c>
      <c r="E4749" s="16" t="s">
        <v>9435</v>
      </c>
      <c r="F4749" s="27" t="s">
        <v>13354</v>
      </c>
      <c r="G4749" s="27"/>
      <c r="H4749" s="16" t="str">
        <f>IF(ISBLANK(PARTIDAS!$G4749),PARTIDAS!$F4749,CONCATENATE(PARTIDAS!$F4749," (",PARTIDAS!$G4749,")"))</f>
        <v>Camisas, blusas y blusas camiseras, de punto, para mujeres o niñas, de fibras sintéticas o artificiales</v>
      </c>
      <c r="I4749" s="16" t="s">
        <v>9427</v>
      </c>
    </row>
    <row r="4750" spans="1:9" x14ac:dyDescent="0.25">
      <c r="A4750" s="16" t="s">
        <v>5690</v>
      </c>
      <c r="B4750" s="16" t="str">
        <f>TEXT(PARTIDA[[#This Row],[PARTIDA]],"0000000000")</f>
        <v>6106900000</v>
      </c>
      <c r="C4750" s="16" t="s">
        <v>786</v>
      </c>
      <c r="D4750" s="16" t="s">
        <v>787</v>
      </c>
      <c r="E4750" s="16" t="s">
        <v>9435</v>
      </c>
      <c r="F4750" s="27" t="s">
        <v>13355</v>
      </c>
      <c r="G4750" s="27"/>
      <c r="H4750" s="16" t="str">
        <f>IF(ISBLANK(PARTIDAS!$G4750),PARTIDAS!$F4750,CONCATENATE(PARTIDAS!$F4750," (",PARTIDAS!$G4750,")"))</f>
        <v>Camisas, blusas y blusas camiseras, de punto, para mujeres o niñas, de las demás materias textiles</v>
      </c>
      <c r="I4750" s="16" t="s">
        <v>9427</v>
      </c>
    </row>
    <row r="4751" spans="1:9" x14ac:dyDescent="0.25">
      <c r="A4751" s="16" t="s">
        <v>5691</v>
      </c>
      <c r="B4751" s="16" t="str">
        <f>TEXT(PARTIDA[[#This Row],[PARTIDA]],"0000000000")</f>
        <v>6107110000</v>
      </c>
      <c r="C4751" s="16" t="s">
        <v>786</v>
      </c>
      <c r="D4751" s="16" t="s">
        <v>787</v>
      </c>
      <c r="E4751" s="16" t="s">
        <v>9435</v>
      </c>
      <c r="F4751" s="27" t="s">
        <v>13356</v>
      </c>
      <c r="G4751" s="27"/>
      <c r="H4751" s="16" t="str">
        <f>IF(ISBLANK(PARTIDAS!$G4751),PARTIDAS!$F4751,CONCATENATE(PARTIDAS!$F4751," (",PARTIDAS!$G4751,")"))</f>
        <v>Calzoncillos (incluidos los largos y los slips), de algodón</v>
      </c>
      <c r="I4751" s="16" t="s">
        <v>9427</v>
      </c>
    </row>
    <row r="4752" spans="1:9" x14ac:dyDescent="0.25">
      <c r="A4752" s="16" t="s">
        <v>5692</v>
      </c>
      <c r="B4752" s="16" t="str">
        <f>TEXT(PARTIDA[[#This Row],[PARTIDA]],"0000000000")</f>
        <v>6107120000</v>
      </c>
      <c r="C4752" s="16" t="s">
        <v>786</v>
      </c>
      <c r="D4752" s="16" t="s">
        <v>787</v>
      </c>
      <c r="E4752" s="16" t="s">
        <v>9435</v>
      </c>
      <c r="F4752" s="27" t="s">
        <v>13357</v>
      </c>
      <c r="G4752" s="27"/>
      <c r="H4752" s="16" t="str">
        <f>IF(ISBLANK(PARTIDAS!$G4752),PARTIDAS!$F4752,CONCATENATE(PARTIDAS!$F4752," (",PARTIDAS!$G4752,")"))</f>
        <v>Calzoncillos (incluidos los largos y los slips), de fibras sintéticas o artificiales</v>
      </c>
      <c r="I4752" s="16" t="s">
        <v>9427</v>
      </c>
    </row>
    <row r="4753" spans="1:9" x14ac:dyDescent="0.25">
      <c r="A4753" s="16" t="s">
        <v>5693</v>
      </c>
      <c r="B4753" s="16" t="str">
        <f>TEXT(PARTIDA[[#This Row],[PARTIDA]],"0000000000")</f>
        <v>6107190000</v>
      </c>
      <c r="C4753" s="16" t="s">
        <v>786</v>
      </c>
      <c r="D4753" s="16" t="s">
        <v>787</v>
      </c>
      <c r="E4753" s="16" t="s">
        <v>9435</v>
      </c>
      <c r="F4753" s="27" t="s">
        <v>13358</v>
      </c>
      <c r="G4753" s="27"/>
      <c r="H4753" s="16" t="str">
        <f>IF(ISBLANK(PARTIDAS!$G4753),PARTIDAS!$F4753,CONCATENATE(PARTIDAS!$F4753," (",PARTIDAS!$G4753,")"))</f>
        <v>Calzoncillos (incluidos los largos y los slips), de las demás materias textiles</v>
      </c>
      <c r="I4753" s="16" t="s">
        <v>9427</v>
      </c>
    </row>
    <row r="4754" spans="1:9" x14ac:dyDescent="0.25">
      <c r="A4754" s="16" t="s">
        <v>5694</v>
      </c>
      <c r="B4754" s="16" t="str">
        <f>TEXT(PARTIDA[[#This Row],[PARTIDA]],"0000000000")</f>
        <v>6107210000</v>
      </c>
      <c r="C4754" s="16" t="s">
        <v>786</v>
      </c>
      <c r="D4754" s="16" t="s">
        <v>787</v>
      </c>
      <c r="E4754" s="16" t="s">
        <v>9435</v>
      </c>
      <c r="F4754" s="27" t="s">
        <v>13359</v>
      </c>
      <c r="G4754" s="27"/>
      <c r="H4754" s="16" t="str">
        <f>IF(ISBLANK(PARTIDAS!$G4754),PARTIDAS!$F4754,CONCATENATE(PARTIDAS!$F4754," (",PARTIDAS!$G4754,")"))</f>
        <v>Camisones y pijamas, de algodón</v>
      </c>
      <c r="I4754" s="16" t="s">
        <v>9427</v>
      </c>
    </row>
    <row r="4755" spans="1:9" x14ac:dyDescent="0.25">
      <c r="A4755" s="16" t="s">
        <v>5695</v>
      </c>
      <c r="B4755" s="16" t="str">
        <f>TEXT(PARTIDA[[#This Row],[PARTIDA]],"0000000000")</f>
        <v>6107220000</v>
      </c>
      <c r="C4755" s="16" t="s">
        <v>786</v>
      </c>
      <c r="D4755" s="16" t="s">
        <v>787</v>
      </c>
      <c r="E4755" s="16" t="s">
        <v>9435</v>
      </c>
      <c r="F4755" s="27" t="s">
        <v>13360</v>
      </c>
      <c r="G4755" s="27"/>
      <c r="H4755" s="16" t="str">
        <f>IF(ISBLANK(PARTIDAS!$G4755),PARTIDAS!$F4755,CONCATENATE(PARTIDAS!$F4755," (",PARTIDAS!$G4755,")"))</f>
        <v>Camisones y pijamas, de fibras sintéticas o artificiales</v>
      </c>
      <c r="I4755" s="16" t="s">
        <v>9427</v>
      </c>
    </row>
    <row r="4756" spans="1:9" x14ac:dyDescent="0.25">
      <c r="A4756" s="16" t="s">
        <v>5696</v>
      </c>
      <c r="B4756" s="16" t="str">
        <f>TEXT(PARTIDA[[#This Row],[PARTIDA]],"0000000000")</f>
        <v>6107290000</v>
      </c>
      <c r="C4756" s="16" t="s">
        <v>786</v>
      </c>
      <c r="D4756" s="16" t="s">
        <v>787</v>
      </c>
      <c r="E4756" s="16" t="s">
        <v>9435</v>
      </c>
      <c r="F4756" s="27" t="s">
        <v>13361</v>
      </c>
      <c r="G4756" s="27"/>
      <c r="H4756" s="16" t="str">
        <f>IF(ISBLANK(PARTIDAS!$G4756),PARTIDAS!$F4756,CONCATENATE(PARTIDAS!$F4756," (",PARTIDAS!$G4756,")"))</f>
        <v>Camisones y pijamas, de las demás materias textiles</v>
      </c>
      <c r="I4756" s="16" t="s">
        <v>9427</v>
      </c>
    </row>
    <row r="4757" spans="1:9" x14ac:dyDescent="0.25">
      <c r="A4757" s="16" t="s">
        <v>5697</v>
      </c>
      <c r="B4757" s="16" t="str">
        <f>TEXT(PARTIDA[[#This Row],[PARTIDA]],"0000000000")</f>
        <v>6107910000</v>
      </c>
      <c r="C4757" s="16" t="s">
        <v>786</v>
      </c>
      <c r="D4757" s="16" t="s">
        <v>787</v>
      </c>
      <c r="E4757" s="16" t="s">
        <v>9435</v>
      </c>
      <c r="F4757" s="27" t="s">
        <v>13362</v>
      </c>
      <c r="G4757" s="27"/>
      <c r="H4757" s="16" t="str">
        <f>IF(ISBLANK(PARTIDAS!$G4757),PARTIDAS!$F4757,CONCATENATE(PARTIDAS!$F4757," (",PARTIDAS!$G4757,")"))</f>
        <v>Calzoncillos (incluidos los largos y los slips), camisones, pijamas…, de algodón</v>
      </c>
      <c r="I4757" s="16" t="s">
        <v>9427</v>
      </c>
    </row>
    <row r="4758" spans="1:9" x14ac:dyDescent="0.25">
      <c r="A4758" s="16" t="s">
        <v>5698</v>
      </c>
      <c r="B4758" s="16" t="str">
        <f>TEXT(PARTIDA[[#This Row],[PARTIDA]],"0000000000")</f>
        <v>6107991000</v>
      </c>
      <c r="C4758" s="16" t="s">
        <v>786</v>
      </c>
      <c r="D4758" s="16" t="s">
        <v>787</v>
      </c>
      <c r="E4758" s="16" t="s">
        <v>9435</v>
      </c>
      <c r="F4758" s="27" t="s">
        <v>13363</v>
      </c>
      <c r="G4758" s="27"/>
      <c r="H4758" s="16" t="str">
        <f>IF(ISBLANK(PARTIDAS!$G4758),PARTIDAS!$F4758,CONCATENATE(PARTIDAS!$F4758," (",PARTIDAS!$G4758,")"))</f>
        <v>Calzoncillos (incluidos los largos y los slips)…, de las demás materias textiles, de fibras sintéticas o artificiales</v>
      </c>
      <c r="I4758" s="16" t="s">
        <v>9427</v>
      </c>
    </row>
    <row r="4759" spans="1:9" x14ac:dyDescent="0.25">
      <c r="A4759" s="16" t="s">
        <v>5699</v>
      </c>
      <c r="B4759" s="16" t="str">
        <f>TEXT(PARTIDA[[#This Row],[PARTIDA]],"0000000000")</f>
        <v>6107999000</v>
      </c>
      <c r="C4759" s="16" t="s">
        <v>786</v>
      </c>
      <c r="D4759" s="16" t="s">
        <v>787</v>
      </c>
      <c r="E4759" s="16" t="s">
        <v>9435</v>
      </c>
      <c r="F4759" s="27" t="s">
        <v>13364</v>
      </c>
      <c r="G4759" s="27"/>
      <c r="H4759" s="16" t="str">
        <f>IF(ISBLANK(PARTIDAS!$G4759),PARTIDAS!$F4759,CONCATENATE(PARTIDAS!$F4759," (",PARTIDAS!$G4759,")"))</f>
        <v>Calzoncillos (incluidos los largos y los slips)…, de las demás materias textiles (los demás)</v>
      </c>
      <c r="I4759" s="16" t="s">
        <v>9427</v>
      </c>
    </row>
    <row r="4760" spans="1:9" x14ac:dyDescent="0.25">
      <c r="A4760" s="16" t="s">
        <v>5700</v>
      </c>
      <c r="B4760" s="16" t="str">
        <f>TEXT(PARTIDA[[#This Row],[PARTIDA]],"0000000000")</f>
        <v>6108110000</v>
      </c>
      <c r="C4760" s="16" t="s">
        <v>786</v>
      </c>
      <c r="D4760" s="16" t="s">
        <v>787</v>
      </c>
      <c r="E4760" s="16" t="s">
        <v>9435</v>
      </c>
      <c r="F4760" s="27" t="s">
        <v>13365</v>
      </c>
      <c r="G4760" s="27"/>
      <c r="H4760" s="16" t="str">
        <f>IF(ISBLANK(PARTIDAS!$G4760),PARTIDAS!$F4760,CONCATENATE(PARTIDAS!$F4760," (",PARTIDAS!$G4760,")"))</f>
        <v>Combinaciones y enaguas, de fibras sintéticas o artificiales</v>
      </c>
      <c r="I4760" s="16" t="s">
        <v>9427</v>
      </c>
    </row>
    <row r="4761" spans="1:9" x14ac:dyDescent="0.25">
      <c r="A4761" s="16" t="s">
        <v>5701</v>
      </c>
      <c r="B4761" s="16" t="str">
        <f>TEXT(PARTIDA[[#This Row],[PARTIDA]],"0000000000")</f>
        <v>6108190000</v>
      </c>
      <c r="C4761" s="16" t="s">
        <v>786</v>
      </c>
      <c r="D4761" s="16" t="s">
        <v>787</v>
      </c>
      <c r="E4761" s="16" t="s">
        <v>9435</v>
      </c>
      <c r="F4761" s="27" t="s">
        <v>13366</v>
      </c>
      <c r="G4761" s="27"/>
      <c r="H4761" s="16" t="str">
        <f>IF(ISBLANK(PARTIDAS!$G4761),PARTIDAS!$F4761,CONCATENATE(PARTIDAS!$F4761," (",PARTIDAS!$G4761,")"))</f>
        <v>Combinaciones y enaguas, de las demás materias textiles</v>
      </c>
      <c r="I4761" s="16" t="s">
        <v>9427</v>
      </c>
    </row>
    <row r="4762" spans="1:9" x14ac:dyDescent="0.25">
      <c r="A4762" s="16" t="s">
        <v>5702</v>
      </c>
      <c r="B4762" s="16" t="str">
        <f>TEXT(PARTIDA[[#This Row],[PARTIDA]],"0000000000")</f>
        <v>6108210000</v>
      </c>
      <c r="C4762" s="16" t="s">
        <v>786</v>
      </c>
      <c r="D4762" s="16" t="s">
        <v>787</v>
      </c>
      <c r="E4762" s="16" t="s">
        <v>9435</v>
      </c>
      <c r="F4762" s="27" t="s">
        <v>13367</v>
      </c>
      <c r="G4762" s="27"/>
      <c r="H4762" s="16" t="str">
        <f>IF(ISBLANK(PARTIDAS!$G4762),PARTIDAS!$F4762,CONCATENATE(PARTIDAS!$F4762," (",PARTIDAS!$G4762,")"))</f>
        <v>Bragas (bombachas, calzones) (incluso las que no llegan hasta la…, de algodón</v>
      </c>
      <c r="I4762" s="16" t="s">
        <v>9427</v>
      </c>
    </row>
    <row r="4763" spans="1:9" x14ac:dyDescent="0.25">
      <c r="A4763" s="16" t="s">
        <v>5703</v>
      </c>
      <c r="B4763" s="16" t="str">
        <f>TEXT(PARTIDA[[#This Row],[PARTIDA]],"0000000000")</f>
        <v>6108220000</v>
      </c>
      <c r="C4763" s="16" t="s">
        <v>786</v>
      </c>
      <c r="D4763" s="16" t="s">
        <v>787</v>
      </c>
      <c r="E4763" s="16" t="s">
        <v>9435</v>
      </c>
      <c r="F4763" s="27" t="s">
        <v>13368</v>
      </c>
      <c r="G4763" s="27"/>
      <c r="H4763" s="16" t="str">
        <f>IF(ISBLANK(PARTIDAS!$G4763),PARTIDAS!$F4763,CONCATENATE(PARTIDAS!$F4763," (",PARTIDAS!$G4763,")"))</f>
        <v>Bragas (bombachas, calzones) (incluso las que no llegan hasta la…, de fibras sintéticas o artificiales</v>
      </c>
      <c r="I4763" s="16" t="s">
        <v>9427</v>
      </c>
    </row>
    <row r="4764" spans="1:9" x14ac:dyDescent="0.25">
      <c r="A4764" s="16" t="s">
        <v>5704</v>
      </c>
      <c r="B4764" s="16" t="str">
        <f>TEXT(PARTIDA[[#This Row],[PARTIDA]],"0000000000")</f>
        <v>6108290000</v>
      </c>
      <c r="C4764" s="16" t="s">
        <v>786</v>
      </c>
      <c r="D4764" s="16" t="s">
        <v>787</v>
      </c>
      <c r="E4764" s="16" t="s">
        <v>9435</v>
      </c>
      <c r="F4764" s="27" t="s">
        <v>13369</v>
      </c>
      <c r="G4764" s="27"/>
      <c r="H4764" s="16" t="str">
        <f>IF(ISBLANK(PARTIDAS!$G4764),PARTIDAS!$F4764,CONCATENATE(PARTIDAS!$F4764," (",PARTIDAS!$G4764,")"))</f>
        <v>Bragas (bombachas, calzones) (incluso las que no llegan hasta la…, de las demás materias textiles</v>
      </c>
      <c r="I4764" s="16" t="s">
        <v>9427</v>
      </c>
    </row>
    <row r="4765" spans="1:9" x14ac:dyDescent="0.25">
      <c r="A4765" s="16" t="s">
        <v>5705</v>
      </c>
      <c r="B4765" s="16" t="str">
        <f>TEXT(PARTIDA[[#This Row],[PARTIDA]],"0000000000")</f>
        <v>6108310000</v>
      </c>
      <c r="C4765" s="16" t="s">
        <v>786</v>
      </c>
      <c r="D4765" s="16" t="s">
        <v>787</v>
      </c>
      <c r="E4765" s="16" t="s">
        <v>9435</v>
      </c>
      <c r="F4765" s="27" t="s">
        <v>13359</v>
      </c>
      <c r="G4765" s="27"/>
      <c r="H4765" s="16" t="str">
        <f>IF(ISBLANK(PARTIDAS!$G4765),PARTIDAS!$F4765,CONCATENATE(PARTIDAS!$F4765," (",PARTIDAS!$G4765,")"))</f>
        <v>Camisones y pijamas, de algodón</v>
      </c>
      <c r="I4765" s="16" t="s">
        <v>9427</v>
      </c>
    </row>
    <row r="4766" spans="1:9" x14ac:dyDescent="0.25">
      <c r="A4766" s="16" t="s">
        <v>5706</v>
      </c>
      <c r="B4766" s="16" t="str">
        <f>TEXT(PARTIDA[[#This Row],[PARTIDA]],"0000000000")</f>
        <v>6108320000</v>
      </c>
      <c r="C4766" s="16" t="s">
        <v>786</v>
      </c>
      <c r="D4766" s="16" t="s">
        <v>787</v>
      </c>
      <c r="E4766" s="16" t="s">
        <v>9435</v>
      </c>
      <c r="F4766" s="27" t="s">
        <v>13360</v>
      </c>
      <c r="G4766" s="27"/>
      <c r="H4766" s="16" t="str">
        <f>IF(ISBLANK(PARTIDAS!$G4766),PARTIDAS!$F4766,CONCATENATE(PARTIDAS!$F4766," (",PARTIDAS!$G4766,")"))</f>
        <v>Camisones y pijamas, de fibras sintéticas o artificiales</v>
      </c>
      <c r="I4766" s="16" t="s">
        <v>9427</v>
      </c>
    </row>
    <row r="4767" spans="1:9" x14ac:dyDescent="0.25">
      <c r="A4767" s="16" t="s">
        <v>5707</v>
      </c>
      <c r="B4767" s="16" t="str">
        <f>TEXT(PARTIDA[[#This Row],[PARTIDA]],"0000000000")</f>
        <v>6108390000</v>
      </c>
      <c r="C4767" s="16" t="s">
        <v>786</v>
      </c>
      <c r="D4767" s="16" t="s">
        <v>787</v>
      </c>
      <c r="E4767" s="16" t="s">
        <v>9435</v>
      </c>
      <c r="F4767" s="27" t="s">
        <v>13361</v>
      </c>
      <c r="G4767" s="27"/>
      <c r="H4767" s="16" t="str">
        <f>IF(ISBLANK(PARTIDAS!$G4767),PARTIDAS!$F4767,CONCATENATE(PARTIDAS!$F4767," (",PARTIDAS!$G4767,")"))</f>
        <v>Camisones y pijamas, de las demás materias textiles</v>
      </c>
      <c r="I4767" s="16" t="s">
        <v>9427</v>
      </c>
    </row>
    <row r="4768" spans="1:9" x14ac:dyDescent="0.25">
      <c r="A4768" s="16" t="s">
        <v>5708</v>
      </c>
      <c r="B4768" s="16" t="str">
        <f>TEXT(PARTIDA[[#This Row],[PARTIDA]],"0000000000")</f>
        <v>6108910000</v>
      </c>
      <c r="C4768" s="16" t="s">
        <v>786</v>
      </c>
      <c r="D4768" s="16" t="s">
        <v>787</v>
      </c>
      <c r="E4768" s="16" t="s">
        <v>9435</v>
      </c>
      <c r="F4768" s="27" t="s">
        <v>13370</v>
      </c>
      <c r="G4768" s="27"/>
      <c r="H4768" s="16" t="str">
        <f>IF(ISBLANK(PARTIDAS!$G4768),PARTIDAS!$F4768,CONCATENATE(PARTIDAS!$F4768," (",PARTIDAS!$G4768,")"))</f>
        <v>Combinaciones, enaguas, bragas (bombachas, calzones) (incluso las que…, de algodón</v>
      </c>
      <c r="I4768" s="16" t="s">
        <v>9427</v>
      </c>
    </row>
    <row r="4769" spans="1:9" x14ac:dyDescent="0.25">
      <c r="A4769" s="16" t="s">
        <v>5709</v>
      </c>
      <c r="B4769" s="16" t="str">
        <f>TEXT(PARTIDA[[#This Row],[PARTIDA]],"0000000000")</f>
        <v>6108920000</v>
      </c>
      <c r="C4769" s="16" t="s">
        <v>786</v>
      </c>
      <c r="D4769" s="16" t="s">
        <v>787</v>
      </c>
      <c r="E4769" s="16" t="s">
        <v>9435</v>
      </c>
      <c r="F4769" s="27" t="s">
        <v>13371</v>
      </c>
      <c r="G4769" s="27"/>
      <c r="H4769" s="16" t="str">
        <f>IF(ISBLANK(PARTIDAS!$G4769),PARTIDAS!$F4769,CONCATENATE(PARTIDAS!$F4769," (",PARTIDAS!$G4769,")"))</f>
        <v>Combinaciones, enaguas, bragas (bombachas, calzones) (incluso las que…, de fibras sintéticas o artificiales</v>
      </c>
      <c r="I4769" s="16" t="s">
        <v>9427</v>
      </c>
    </row>
    <row r="4770" spans="1:9" x14ac:dyDescent="0.25">
      <c r="A4770" s="16" t="s">
        <v>5710</v>
      </c>
      <c r="B4770" s="16" t="str">
        <f>TEXT(PARTIDA[[#This Row],[PARTIDA]],"0000000000")</f>
        <v>6108990000</v>
      </c>
      <c r="C4770" s="16" t="s">
        <v>786</v>
      </c>
      <c r="D4770" s="16" t="s">
        <v>787</v>
      </c>
      <c r="E4770" s="16" t="s">
        <v>9435</v>
      </c>
      <c r="F4770" s="27" t="s">
        <v>13372</v>
      </c>
      <c r="G4770" s="27"/>
      <c r="H4770" s="16" t="str">
        <f>IF(ISBLANK(PARTIDAS!$G4770),PARTIDAS!$F4770,CONCATENATE(PARTIDAS!$F4770," (",PARTIDAS!$G4770,")"))</f>
        <v>Combinaciones, enaguas, bragas (bombachas, calzones) (incluso las que…, de las demás materias textiles</v>
      </c>
      <c r="I4770" s="16" t="s">
        <v>9427</v>
      </c>
    </row>
    <row r="4771" spans="1:9" x14ac:dyDescent="0.25">
      <c r="A4771" s="16" t="s">
        <v>5711</v>
      </c>
      <c r="B4771" s="16" t="str">
        <f>TEXT(PARTIDA[[#This Row],[PARTIDA]],"0000000000")</f>
        <v>6109100031</v>
      </c>
      <c r="C4771" s="16" t="s">
        <v>786</v>
      </c>
      <c r="D4771" s="16" t="s">
        <v>787</v>
      </c>
      <c r="E4771" s="16" t="s">
        <v>9435</v>
      </c>
      <c r="F4771" s="27" t="s">
        <v>5666</v>
      </c>
      <c r="G4771" s="27"/>
      <c r="H4771" s="16" t="str">
        <f>IF(ISBLANK(PARTIDAS!$G4771),PARTIDAS!$F4771,CONCATENATE(PARTIDAS!$F4771," (",PARTIDAS!$G4771,")"))</f>
        <v>Prendas de vestir</v>
      </c>
      <c r="I4771" s="16" t="s">
        <v>9427</v>
      </c>
    </row>
    <row r="4772" spans="1:9" x14ac:dyDescent="0.25">
      <c r="A4772" s="16" t="s">
        <v>5712</v>
      </c>
      <c r="B4772" s="16" t="str">
        <f>TEXT(PARTIDA[[#This Row],[PARTIDA]],"0000000000")</f>
        <v>6109100032</v>
      </c>
      <c r="C4772" s="16" t="s">
        <v>786</v>
      </c>
      <c r="D4772" s="16" t="s">
        <v>787</v>
      </c>
      <c r="E4772" s="16" t="s">
        <v>9435</v>
      </c>
      <c r="F4772" s="27" t="s">
        <v>13373</v>
      </c>
      <c r="G4772" s="27"/>
      <c r="H4772" s="16" t="str">
        <f>IF(ISBLANK(PARTIDAS!$G4772),PARTIDAS!$F4772,CONCATENATE(PARTIDAS!$F4772," (",PARTIDAS!$G4772,")"))</f>
        <v>«T-shirts» para hombres o mujeres, de tejido con hilados de distintos colores, con motivos de rayas</v>
      </c>
      <c r="I4772" s="16" t="s">
        <v>9427</v>
      </c>
    </row>
    <row r="4773" spans="1:9" x14ac:dyDescent="0.25">
      <c r="A4773" s="16" t="s">
        <v>5713</v>
      </c>
      <c r="B4773" s="16" t="str">
        <f>TEXT(PARTIDA[[#This Row],[PARTIDA]],"0000000000")</f>
        <v>6109100039</v>
      </c>
      <c r="C4773" s="16" t="s">
        <v>786</v>
      </c>
      <c r="D4773" s="16" t="s">
        <v>787</v>
      </c>
      <c r="E4773" s="16" t="s">
        <v>9435</v>
      </c>
      <c r="F4773" s="27" t="s">
        <v>9412</v>
      </c>
      <c r="G4773" s="27"/>
      <c r="H4773" s="16" t="str">
        <f>IF(ISBLANK(PARTIDAS!$G4773),PARTIDAS!$F4773,CONCATENATE(PARTIDAS!$F4773," (",PARTIDAS!$G4773,")"))</f>
        <v>«T-shirts» para hombres o mujeres (los demás)</v>
      </c>
      <c r="I4773" s="16" t="s">
        <v>9477</v>
      </c>
    </row>
    <row r="4774" spans="1:9" x14ac:dyDescent="0.25">
      <c r="A4774" s="16" t="s">
        <v>5714</v>
      </c>
      <c r="B4774" s="16" t="str">
        <f>TEXT(PARTIDA[[#This Row],[PARTIDA]],"0000000000")</f>
        <v>6109100041</v>
      </c>
      <c r="C4774" s="16" t="s">
        <v>786</v>
      </c>
      <c r="D4774" s="16" t="s">
        <v>787</v>
      </c>
      <c r="E4774" s="16" t="s">
        <v>9435</v>
      </c>
      <c r="F4774" s="27" t="s">
        <v>13374</v>
      </c>
      <c r="G4774" s="27"/>
      <c r="H4774" s="16" t="str">
        <f>IF(ISBLANK(PARTIDAS!$G4774),PARTIDAS!$F4774,CONCATENATE(PARTIDAS!$F4774," (",PARTIDAS!$G4774,")"))</f>
        <v>«T-shirts» para niños o niñas, de tejido teñido de un solo color uniforme, incluidos los blanqueados</v>
      </c>
      <c r="I4774" s="16" t="s">
        <v>9427</v>
      </c>
    </row>
    <row r="4775" spans="1:9" x14ac:dyDescent="0.25">
      <c r="A4775" s="16" t="s">
        <v>5715</v>
      </c>
      <c r="B4775" s="16" t="str">
        <f>TEXT(PARTIDA[[#This Row],[PARTIDA]],"0000000000")</f>
        <v>6109100042</v>
      </c>
      <c r="C4775" s="16" t="s">
        <v>786</v>
      </c>
      <c r="D4775" s="16" t="s">
        <v>787</v>
      </c>
      <c r="E4775" s="16" t="s">
        <v>9435</v>
      </c>
      <c r="F4775" s="27" t="s">
        <v>13375</v>
      </c>
      <c r="G4775" s="27"/>
      <c r="H4775" s="16" t="str">
        <f>IF(ISBLANK(PARTIDAS!$G4775),PARTIDAS!$F4775,CONCATENATE(PARTIDAS!$F4775," (",PARTIDAS!$G4775,")"))</f>
        <v>«T-shirts» para niños o niñas, de tejido con hilados de distintos colores, con motivos de rayas</v>
      </c>
      <c r="I4775" s="16" t="s">
        <v>9427</v>
      </c>
    </row>
    <row r="4776" spans="1:9" x14ac:dyDescent="0.25">
      <c r="A4776" s="16" t="s">
        <v>5716</v>
      </c>
      <c r="B4776" s="16" t="str">
        <f>TEXT(PARTIDA[[#This Row],[PARTIDA]],"0000000000")</f>
        <v>6109100049</v>
      </c>
      <c r="C4776" s="16" t="s">
        <v>786</v>
      </c>
      <c r="D4776" s="16" t="s">
        <v>787</v>
      </c>
      <c r="E4776" s="16" t="s">
        <v>9435</v>
      </c>
      <c r="F4776" s="27" t="s">
        <v>13376</v>
      </c>
      <c r="G4776" s="27"/>
      <c r="H4776" s="16" t="str">
        <f>IF(ISBLANK(PARTIDAS!$G4776),PARTIDAS!$F4776,CONCATENATE(PARTIDAS!$F4776," (",PARTIDAS!$G4776,")"))</f>
        <v>«T-shirts» para niños o niñas (los demás)</v>
      </c>
      <c r="I4776" s="16" t="s">
        <v>9427</v>
      </c>
    </row>
    <row r="4777" spans="1:9" x14ac:dyDescent="0.25">
      <c r="A4777" s="16" t="s">
        <v>5717</v>
      </c>
      <c r="B4777" s="16" t="str">
        <f>TEXT(PARTIDA[[#This Row],[PARTIDA]],"0000000000")</f>
        <v>6109100050</v>
      </c>
      <c r="C4777" s="16" t="s">
        <v>786</v>
      </c>
      <c r="D4777" s="16" t="s">
        <v>787</v>
      </c>
      <c r="E4777" s="16" t="s">
        <v>9435</v>
      </c>
      <c r="F4777" s="27" t="s">
        <v>13377</v>
      </c>
      <c r="G4777" s="27"/>
      <c r="H4777" s="16" t="str">
        <f>IF(ISBLANK(PARTIDAS!$G4777),PARTIDAS!$F4777,CONCATENATE(PARTIDAS!$F4777," (",PARTIDAS!$G4777,")"))</f>
        <v>«T-shirts» y camisetas, de punto, de algodón, camisetas</v>
      </c>
      <c r="I4777" s="16" t="s">
        <v>9427</v>
      </c>
    </row>
    <row r="4778" spans="1:9" x14ac:dyDescent="0.25">
      <c r="A4778" s="16" t="s">
        <v>5718</v>
      </c>
      <c r="B4778" s="16" t="str">
        <f>TEXT(PARTIDA[[#This Row],[PARTIDA]],"0000000000")</f>
        <v>6109901000</v>
      </c>
      <c r="C4778" s="16" t="s">
        <v>786</v>
      </c>
      <c r="D4778" s="16" t="s">
        <v>787</v>
      </c>
      <c r="E4778" s="16" t="s">
        <v>9435</v>
      </c>
      <c r="F4778" s="27" t="s">
        <v>13378</v>
      </c>
      <c r="G4778" s="27"/>
      <c r="H4778" s="16" t="str">
        <f>IF(ISBLANK(PARTIDAS!$G4778),PARTIDAS!$F4778,CONCATENATE(PARTIDAS!$F4778," (",PARTIDAS!$G4778,")"))</f>
        <v>«T-shirts» y camisetas, de punto, de las demás materias textiles, de fibras acrílicas o modacrílicas</v>
      </c>
      <c r="I4778" s="16" t="s">
        <v>9427</v>
      </c>
    </row>
    <row r="4779" spans="1:9" x14ac:dyDescent="0.25">
      <c r="A4779" s="16" t="s">
        <v>5719</v>
      </c>
      <c r="B4779" s="16" t="str">
        <f>TEXT(PARTIDA[[#This Row],[PARTIDA]],"0000000000")</f>
        <v>6109909000</v>
      </c>
      <c r="C4779" s="16" t="s">
        <v>786</v>
      </c>
      <c r="D4779" s="16" t="s">
        <v>787</v>
      </c>
      <c r="E4779" s="16" t="s">
        <v>9435</v>
      </c>
      <c r="F4779" s="27" t="s">
        <v>13379</v>
      </c>
      <c r="G4779" s="27"/>
      <c r="H4779" s="16" t="str">
        <f>IF(ISBLANK(PARTIDAS!$G4779),PARTIDAS!$F4779,CONCATENATE(PARTIDAS!$F4779," (",PARTIDAS!$G4779,")"))</f>
        <v>«T-shirts» y camisetas, de punto, de las demás materias textiles (los demás)</v>
      </c>
      <c r="I4779" s="16" t="s">
        <v>9427</v>
      </c>
    </row>
    <row r="4780" spans="1:9" x14ac:dyDescent="0.25">
      <c r="A4780" s="16" t="s">
        <v>5720</v>
      </c>
      <c r="B4780" s="16" t="str">
        <f>TEXT(PARTIDA[[#This Row],[PARTIDA]],"0000000000")</f>
        <v>6110111010</v>
      </c>
      <c r="C4780" s="16" t="s">
        <v>786</v>
      </c>
      <c r="D4780" s="16" t="s">
        <v>787</v>
      </c>
      <c r="E4780" s="16" t="s">
        <v>9435</v>
      </c>
      <c r="F4780" s="27" t="s">
        <v>13380</v>
      </c>
      <c r="G4780" s="27"/>
      <c r="H4780" s="16" t="str">
        <f>IF(ISBLANK(PARTIDAS!$G4780),PARTIDAS!$F4780,CONCATENATE(PARTIDAS!$F4780," (",PARTIDAS!$G4780,")"))</f>
        <v>Suéteres (jerseys), con cuello de cisne («Sous pull», «turtle neck»)</v>
      </c>
      <c r="I4780" s="16" t="s">
        <v>9427</v>
      </c>
    </row>
    <row r="4781" spans="1:9" x14ac:dyDescent="0.25">
      <c r="A4781" s="16" t="s">
        <v>5721</v>
      </c>
      <c r="B4781" s="16" t="str">
        <f>TEXT(PARTIDA[[#This Row],[PARTIDA]],"0000000000")</f>
        <v>6110111090</v>
      </c>
      <c r="C4781" s="16" t="s">
        <v>786</v>
      </c>
      <c r="D4781" s="16" t="s">
        <v>787</v>
      </c>
      <c r="E4781" s="16" t="s">
        <v>9435</v>
      </c>
      <c r="F4781" s="27" t="s">
        <v>13381</v>
      </c>
      <c r="G4781" s="27"/>
      <c r="H4781" s="16" t="str">
        <f>IF(ISBLANK(PARTIDAS!$G4781),PARTIDAS!$F4781,CONCATENATE(PARTIDAS!$F4781," (",PARTIDAS!$G4781,")"))</f>
        <v>Suéteres (jerseys) (los demás)</v>
      </c>
      <c r="I4781" s="16" t="s">
        <v>9427</v>
      </c>
    </row>
    <row r="4782" spans="1:9" x14ac:dyDescent="0.25">
      <c r="A4782" s="16" t="s">
        <v>5722</v>
      </c>
      <c r="B4782" s="16" t="str">
        <f>TEXT(PARTIDA[[#This Row],[PARTIDA]],"0000000000")</f>
        <v>6110112000</v>
      </c>
      <c r="C4782" s="16" t="s">
        <v>786</v>
      </c>
      <c r="D4782" s="16" t="s">
        <v>787</v>
      </c>
      <c r="E4782" s="16" t="s">
        <v>9435</v>
      </c>
      <c r="F4782" s="27" t="s">
        <v>13382</v>
      </c>
      <c r="G4782" s="27"/>
      <c r="H4782" s="16" t="str">
        <f>IF(ISBLANK(PARTIDAS!$G4782),PARTIDAS!$F4782,CONCATENATE(PARTIDAS!$F4782," (",PARTIDAS!$G4782,")"))</f>
        <v>Suéteres (jerseys), pulóveres, cárdigan, chalecos y…, de lana o pelo fino, de lana, chalecos</v>
      </c>
      <c r="I4782" s="16" t="s">
        <v>9427</v>
      </c>
    </row>
    <row r="4783" spans="1:9" x14ac:dyDescent="0.25">
      <c r="A4783" s="16" t="s">
        <v>5723</v>
      </c>
      <c r="B4783" s="16" t="str">
        <f>TEXT(PARTIDA[[#This Row],[PARTIDA]],"0000000000")</f>
        <v>6110113000</v>
      </c>
      <c r="C4783" s="16" t="s">
        <v>786</v>
      </c>
      <c r="D4783" s="16" t="s">
        <v>787</v>
      </c>
      <c r="E4783" s="16" t="s">
        <v>9435</v>
      </c>
      <c r="F4783" s="27" t="s">
        <v>13383</v>
      </c>
      <c r="G4783" s="27"/>
      <c r="H4783" s="16" t="str">
        <f>IF(ISBLANK(PARTIDAS!$G4783),PARTIDAS!$F4783,CONCATENATE(PARTIDAS!$F4783," (",PARTIDAS!$G4783,")"))</f>
        <v>Suéteres (jerseys), pulóveres, cárdigan, chalecos y…, de lana o pelo fino, de lana, cárdigan</v>
      </c>
      <c r="I4783" s="16" t="s">
        <v>9427</v>
      </c>
    </row>
    <row r="4784" spans="1:9" x14ac:dyDescent="0.25">
      <c r="A4784" s="16" t="s">
        <v>5724</v>
      </c>
      <c r="B4784" s="16" t="str">
        <f>TEXT(PARTIDA[[#This Row],[PARTIDA]],"0000000000")</f>
        <v>6110119010</v>
      </c>
      <c r="C4784" s="16" t="s">
        <v>786</v>
      </c>
      <c r="D4784" s="16" t="s">
        <v>787</v>
      </c>
      <c r="E4784" s="16" t="s">
        <v>9435</v>
      </c>
      <c r="F4784" s="27" t="s">
        <v>13384</v>
      </c>
      <c r="G4784" s="27"/>
      <c r="H4784" s="16" t="str">
        <f>IF(ISBLANK(PARTIDAS!$G4784),PARTIDAS!$F4784,CONCATENATE(PARTIDAS!$F4784," (",PARTIDAS!$G4784,")"))</f>
        <v>Suéteres (jerseys), pulóveres, cárdigan, chalecos y…, de lana o pelo fino, de lana, con cuello de cisne («Sous pull», «turtle neck»)</v>
      </c>
      <c r="I4784" s="16" t="s">
        <v>9427</v>
      </c>
    </row>
    <row r="4785" spans="1:9" x14ac:dyDescent="0.25">
      <c r="A4785" s="16" t="s">
        <v>5725</v>
      </c>
      <c r="B4785" s="16" t="str">
        <f>TEXT(PARTIDA[[#This Row],[PARTIDA]],"0000000000")</f>
        <v>6110119090</v>
      </c>
      <c r="C4785" s="16" t="s">
        <v>786</v>
      </c>
      <c r="D4785" s="16" t="s">
        <v>787</v>
      </c>
      <c r="E4785" s="16" t="s">
        <v>9435</v>
      </c>
      <c r="F4785" s="27" t="s">
        <v>13385</v>
      </c>
      <c r="G4785" s="27"/>
      <c r="H4785" s="16" t="str">
        <f>IF(ISBLANK(PARTIDAS!$G4785),PARTIDAS!$F4785,CONCATENATE(PARTIDAS!$F4785," (",PARTIDAS!$G4785,")"))</f>
        <v>Suéteres (jerseys), pulóveres, cárdigan, chalecos y…, de lana o pelo fino, de lana (los demás)</v>
      </c>
      <c r="I4785" s="16" t="s">
        <v>9427</v>
      </c>
    </row>
    <row r="4786" spans="1:9" x14ac:dyDescent="0.25">
      <c r="A4786" s="16" t="s">
        <v>5726</v>
      </c>
      <c r="B4786" s="16" t="str">
        <f>TEXT(PARTIDA[[#This Row],[PARTIDA]],"0000000000")</f>
        <v>6110120000</v>
      </c>
      <c r="C4786" s="16" t="s">
        <v>786</v>
      </c>
      <c r="D4786" s="16" t="s">
        <v>787</v>
      </c>
      <c r="E4786" s="16" t="s">
        <v>9435</v>
      </c>
      <c r="F4786" s="27" t="s">
        <v>13386</v>
      </c>
      <c r="G4786" s="27"/>
      <c r="H4786" s="16" t="str">
        <f>IF(ISBLANK(PARTIDAS!$G4786),PARTIDAS!$F4786,CONCATENATE(PARTIDAS!$F4786," (",PARTIDAS!$G4786,")"))</f>
        <v>Suéteres (jerseys), pulóveres, cárdigan, chalecos y…, de lana o pelo fino, de cabra de Cachemira</v>
      </c>
      <c r="I4786" s="16" t="s">
        <v>9427</v>
      </c>
    </row>
    <row r="4787" spans="1:9" x14ac:dyDescent="0.25">
      <c r="A4787" s="16" t="s">
        <v>5727</v>
      </c>
      <c r="B4787" s="16" t="str">
        <f>TEXT(PARTIDA[[#This Row],[PARTIDA]],"0000000000")</f>
        <v>6110191010</v>
      </c>
      <c r="C4787" s="16" t="s">
        <v>786</v>
      </c>
      <c r="D4787" s="16" t="s">
        <v>787</v>
      </c>
      <c r="E4787" s="16" t="s">
        <v>9435</v>
      </c>
      <c r="F4787" s="27" t="s">
        <v>13380</v>
      </c>
      <c r="G4787" s="27"/>
      <c r="H4787" s="16" t="str">
        <f>IF(ISBLANK(PARTIDAS!$G4787),PARTIDAS!$F4787,CONCATENATE(PARTIDAS!$F4787," (",PARTIDAS!$G4787,")"))</f>
        <v>Suéteres (jerseys), con cuello de cisne («Sous pull», «turtle neck»)</v>
      </c>
      <c r="I4787" s="16" t="s">
        <v>9427</v>
      </c>
    </row>
    <row r="4788" spans="1:9" x14ac:dyDescent="0.25">
      <c r="A4788" s="16" t="s">
        <v>5728</v>
      </c>
      <c r="B4788" s="16" t="str">
        <f>TEXT(PARTIDA[[#This Row],[PARTIDA]],"0000000000")</f>
        <v>6110191090</v>
      </c>
      <c r="C4788" s="16" t="s">
        <v>786</v>
      </c>
      <c r="D4788" s="16" t="s">
        <v>787</v>
      </c>
      <c r="E4788" s="16" t="s">
        <v>9435</v>
      </c>
      <c r="F4788" s="27" t="s">
        <v>13381</v>
      </c>
      <c r="G4788" s="27"/>
      <c r="H4788" s="16" t="str">
        <f>IF(ISBLANK(PARTIDAS!$G4788),PARTIDAS!$F4788,CONCATENATE(PARTIDAS!$F4788," (",PARTIDAS!$G4788,")"))</f>
        <v>Suéteres (jerseys) (los demás)</v>
      </c>
      <c r="I4788" s="16" t="s">
        <v>9427</v>
      </c>
    </row>
    <row r="4789" spans="1:9" x14ac:dyDescent="0.25">
      <c r="A4789" s="16" t="s">
        <v>5729</v>
      </c>
      <c r="B4789" s="16" t="str">
        <f>TEXT(PARTIDA[[#This Row],[PARTIDA]],"0000000000")</f>
        <v>6110192000</v>
      </c>
      <c r="C4789" s="16" t="s">
        <v>786</v>
      </c>
      <c r="D4789" s="16" t="s">
        <v>787</v>
      </c>
      <c r="E4789" s="16" t="s">
        <v>9435</v>
      </c>
      <c r="F4789" s="27" t="s">
        <v>13387</v>
      </c>
      <c r="G4789" s="27"/>
      <c r="H4789" s="16" t="str">
        <f>IF(ISBLANK(PARTIDAS!$G4789),PARTIDAS!$F4789,CONCATENATE(PARTIDAS!$F4789," (",PARTIDAS!$G4789,")"))</f>
        <v>Suéteres (jerseys), pulóveres, cárdigan, chalecos y…, de lana o pelo fino, chalecos</v>
      </c>
      <c r="I4789" s="16" t="s">
        <v>9427</v>
      </c>
    </row>
    <row r="4790" spans="1:9" x14ac:dyDescent="0.25">
      <c r="A4790" s="16" t="s">
        <v>5730</v>
      </c>
      <c r="B4790" s="16" t="str">
        <f>TEXT(PARTIDA[[#This Row],[PARTIDA]],"0000000000")</f>
        <v>6110193000</v>
      </c>
      <c r="C4790" s="16" t="s">
        <v>786</v>
      </c>
      <c r="D4790" s="16" t="s">
        <v>787</v>
      </c>
      <c r="E4790" s="16" t="s">
        <v>9435</v>
      </c>
      <c r="F4790" s="27" t="s">
        <v>5666</v>
      </c>
      <c r="G4790" s="27"/>
      <c r="H4790" s="16" t="str">
        <f>IF(ISBLANK(PARTIDAS!$G4790),PARTIDAS!$F4790,CONCATENATE(PARTIDAS!$F4790," (",PARTIDAS!$G4790,")"))</f>
        <v>Prendas de vestir</v>
      </c>
      <c r="I4790" s="16" t="s">
        <v>9427</v>
      </c>
    </row>
    <row r="4791" spans="1:9" x14ac:dyDescent="0.25">
      <c r="A4791" s="16" t="s">
        <v>5731</v>
      </c>
      <c r="B4791" s="16" t="str">
        <f>TEXT(PARTIDA[[#This Row],[PARTIDA]],"0000000000")</f>
        <v>6110199010</v>
      </c>
      <c r="C4791" s="16" t="s">
        <v>786</v>
      </c>
      <c r="D4791" s="16" t="s">
        <v>787</v>
      </c>
      <c r="E4791" s="16" t="s">
        <v>9435</v>
      </c>
      <c r="F4791" s="27" t="s">
        <v>13388</v>
      </c>
      <c r="G4791" s="27"/>
      <c r="H4791" s="16" t="str">
        <f>IF(ISBLANK(PARTIDAS!$G4791),PARTIDAS!$F4791,CONCATENATE(PARTIDAS!$F4791," (",PARTIDAS!$G4791,")"))</f>
        <v>Suéteres (jerseys), pulóveres, cárdigan, chalecos y…, de lana o pelo fino, con cuello de cisne («Sous pull», «turtle neck»)</v>
      </c>
      <c r="I4791" s="16" t="s">
        <v>9427</v>
      </c>
    </row>
    <row r="4792" spans="1:9" x14ac:dyDescent="0.25">
      <c r="A4792" s="16" t="s">
        <v>5732</v>
      </c>
      <c r="B4792" s="16" t="str">
        <f>TEXT(PARTIDA[[#This Row],[PARTIDA]],"0000000000")</f>
        <v>6110199090</v>
      </c>
      <c r="C4792" s="16" t="s">
        <v>786</v>
      </c>
      <c r="D4792" s="16" t="s">
        <v>787</v>
      </c>
      <c r="E4792" s="16" t="s">
        <v>9435</v>
      </c>
      <c r="F4792" s="27" t="s">
        <v>13389</v>
      </c>
      <c r="G4792" s="27"/>
      <c r="H4792" s="16" t="str">
        <f>IF(ISBLANK(PARTIDAS!$G4792),PARTIDAS!$F4792,CONCATENATE(PARTIDAS!$F4792," (",PARTIDAS!$G4792,")"))</f>
        <v>Suéteres (jerseys), pulóveres, cárdigan, chalecos y…, de lana o pelo fino (los demás)</v>
      </c>
      <c r="I4792" s="16" t="s">
        <v>9427</v>
      </c>
    </row>
    <row r="4793" spans="1:9" x14ac:dyDescent="0.25">
      <c r="A4793" s="16" t="s">
        <v>5733</v>
      </c>
      <c r="B4793" s="16" t="str">
        <f>TEXT(PARTIDA[[#This Row],[PARTIDA]],"0000000000")</f>
        <v>6110201010</v>
      </c>
      <c r="C4793" s="16" t="s">
        <v>786</v>
      </c>
      <c r="D4793" s="16" t="s">
        <v>787</v>
      </c>
      <c r="E4793" s="16" t="s">
        <v>9435</v>
      </c>
      <c r="F4793" s="27" t="s">
        <v>13380</v>
      </c>
      <c r="G4793" s="27"/>
      <c r="H4793" s="16" t="str">
        <f>IF(ISBLANK(PARTIDAS!$G4793),PARTIDAS!$F4793,CONCATENATE(PARTIDAS!$F4793," (",PARTIDAS!$G4793,")"))</f>
        <v>Suéteres (jerseys), con cuello de cisne («Sous pull», «turtle neck»)</v>
      </c>
      <c r="I4793" s="16" t="s">
        <v>9427</v>
      </c>
    </row>
    <row r="4794" spans="1:9" x14ac:dyDescent="0.25">
      <c r="A4794" s="16" t="s">
        <v>5734</v>
      </c>
      <c r="B4794" s="16" t="str">
        <f>TEXT(PARTIDA[[#This Row],[PARTIDA]],"0000000000")</f>
        <v>6110201090</v>
      </c>
      <c r="C4794" s="16" t="s">
        <v>786</v>
      </c>
      <c r="D4794" s="16" t="s">
        <v>787</v>
      </c>
      <c r="E4794" s="16" t="s">
        <v>9435</v>
      </c>
      <c r="F4794" s="27" t="s">
        <v>13381</v>
      </c>
      <c r="G4794" s="27"/>
      <c r="H4794" s="16" t="str">
        <f>IF(ISBLANK(PARTIDAS!$G4794),PARTIDAS!$F4794,CONCATENATE(PARTIDAS!$F4794," (",PARTIDAS!$G4794,")"))</f>
        <v>Suéteres (jerseys) (los demás)</v>
      </c>
      <c r="I4794" s="16" t="s">
        <v>9427</v>
      </c>
    </row>
    <row r="4795" spans="1:9" x14ac:dyDescent="0.25">
      <c r="A4795" s="16" t="s">
        <v>5735</v>
      </c>
      <c r="B4795" s="16" t="str">
        <f>TEXT(PARTIDA[[#This Row],[PARTIDA]],"0000000000")</f>
        <v>6110202000</v>
      </c>
      <c r="C4795" s="16" t="s">
        <v>786</v>
      </c>
      <c r="D4795" s="16" t="s">
        <v>787</v>
      </c>
      <c r="E4795" s="16" t="s">
        <v>9435</v>
      </c>
      <c r="F4795" s="27" t="s">
        <v>13390</v>
      </c>
      <c r="G4795" s="27"/>
      <c r="H4795" s="16" t="str">
        <f>IF(ISBLANK(PARTIDAS!$G4795),PARTIDAS!$F4795,CONCATENATE(PARTIDAS!$F4795," (",PARTIDAS!$G4795,")"))</f>
        <v>Suéteres (jerseys), pulóveres, cárdigan, chalecos y…, de algodón, chalecos</v>
      </c>
      <c r="I4795" s="16" t="s">
        <v>9427</v>
      </c>
    </row>
    <row r="4796" spans="1:9" x14ac:dyDescent="0.25">
      <c r="A4796" s="16" t="s">
        <v>5736</v>
      </c>
      <c r="B4796" s="16" t="str">
        <f>TEXT(PARTIDA[[#This Row],[PARTIDA]],"0000000000")</f>
        <v>6110203000</v>
      </c>
      <c r="C4796" s="16" t="s">
        <v>786</v>
      </c>
      <c r="D4796" s="16" t="s">
        <v>787</v>
      </c>
      <c r="E4796" s="16" t="s">
        <v>9435</v>
      </c>
      <c r="F4796" s="27" t="s">
        <v>13391</v>
      </c>
      <c r="G4796" s="27"/>
      <c r="H4796" s="16" t="str">
        <f>IF(ISBLANK(PARTIDAS!$G4796),PARTIDAS!$F4796,CONCATENATE(PARTIDAS!$F4796," (",PARTIDAS!$G4796,")"))</f>
        <v>Suéteres (jerseys), pulóveres, cárdigan, chalecos y…, de algodón, cárdigan</v>
      </c>
      <c r="I4796" s="16" t="s">
        <v>9427</v>
      </c>
    </row>
    <row r="4797" spans="1:9" x14ac:dyDescent="0.25">
      <c r="A4797" s="16" t="s">
        <v>5737</v>
      </c>
      <c r="B4797" s="16" t="str">
        <f>TEXT(PARTIDA[[#This Row],[PARTIDA]],"0000000000")</f>
        <v>6110209010</v>
      </c>
      <c r="C4797" s="16" t="s">
        <v>786</v>
      </c>
      <c r="D4797" s="16" t="s">
        <v>787</v>
      </c>
      <c r="E4797" s="16" t="s">
        <v>9435</v>
      </c>
      <c r="F4797" s="27" t="s">
        <v>13392</v>
      </c>
      <c r="G4797" s="27"/>
      <c r="H4797" s="16" t="str">
        <f>IF(ISBLANK(PARTIDAS!$G4797),PARTIDAS!$F4797,CONCATENATE(PARTIDAS!$F4797," (",PARTIDAS!$G4797,")"))</f>
        <v>Suéteres (jerseys), pulóveres, cárdigan, chalecos y…, de algodón, con cuello de cisne («Sous pull», «turtle neck»)</v>
      </c>
      <c r="I4797" s="16" t="s">
        <v>9427</v>
      </c>
    </row>
    <row r="4798" spans="1:9" x14ac:dyDescent="0.25">
      <c r="A4798" s="16" t="s">
        <v>5738</v>
      </c>
      <c r="B4798" s="16" t="str">
        <f>TEXT(PARTIDA[[#This Row],[PARTIDA]],"0000000000")</f>
        <v>6110209090</v>
      </c>
      <c r="C4798" s="16" t="s">
        <v>786</v>
      </c>
      <c r="D4798" s="16" t="s">
        <v>787</v>
      </c>
      <c r="E4798" s="16" t="s">
        <v>9435</v>
      </c>
      <c r="F4798" s="27" t="s">
        <v>13393</v>
      </c>
      <c r="G4798" s="27"/>
      <c r="H4798" s="16" t="str">
        <f>IF(ISBLANK(PARTIDAS!$G4798),PARTIDAS!$F4798,CONCATENATE(PARTIDAS!$F4798," (",PARTIDAS!$G4798,")"))</f>
        <v>Suéteres (jerseys), pulóveres, cárdigan, chalecos y…, de algodón (los demás)</v>
      </c>
      <c r="I4798" s="16" t="s">
        <v>9427</v>
      </c>
    </row>
    <row r="4799" spans="1:9" x14ac:dyDescent="0.25">
      <c r="A4799" s="16" t="s">
        <v>5739</v>
      </c>
      <c r="B4799" s="16" t="str">
        <f>TEXT(PARTIDA[[#This Row],[PARTIDA]],"0000000000")</f>
        <v>6110301000</v>
      </c>
      <c r="C4799" s="16" t="s">
        <v>786</v>
      </c>
      <c r="D4799" s="16" t="s">
        <v>787</v>
      </c>
      <c r="E4799" s="16" t="s">
        <v>9435</v>
      </c>
      <c r="F4799" s="27" t="s">
        <v>13394</v>
      </c>
      <c r="G4799" s="27"/>
      <c r="H4799" s="16" t="str">
        <f>IF(ISBLANK(PARTIDAS!$G4799),PARTIDAS!$F4799,CONCATENATE(PARTIDAS!$F4799," (",PARTIDAS!$G4799,")"))</f>
        <v>Suéteres (jerseys), pulóveres, cárdigan, chalecos y…, de fibras sintéticas o artificiales, de fibras acrílicas o modacrílicas</v>
      </c>
      <c r="I4799" s="16" t="s">
        <v>9427</v>
      </c>
    </row>
    <row r="4800" spans="1:9" x14ac:dyDescent="0.25">
      <c r="A4800" s="16" t="s">
        <v>5740</v>
      </c>
      <c r="B4800" s="16" t="str">
        <f>TEXT(PARTIDA[[#This Row],[PARTIDA]],"0000000000")</f>
        <v>6110309000</v>
      </c>
      <c r="C4800" s="16" t="s">
        <v>786</v>
      </c>
      <c r="D4800" s="16" t="s">
        <v>787</v>
      </c>
      <c r="E4800" s="16" t="s">
        <v>9435</v>
      </c>
      <c r="F4800" s="27" t="s">
        <v>13395</v>
      </c>
      <c r="G4800" s="27"/>
      <c r="H4800" s="16" t="str">
        <f>IF(ISBLANK(PARTIDAS!$G4800),PARTIDAS!$F4800,CONCATENATE(PARTIDAS!$F4800," (",PARTIDAS!$G4800,")"))</f>
        <v>Suéteres (jerseys), pulóveres, cárdigan, chalecos y…, de fibras sintéticas o artificiales (los demás)</v>
      </c>
      <c r="I4800" s="16" t="s">
        <v>9427</v>
      </c>
    </row>
    <row r="4801" spans="1:9" x14ac:dyDescent="0.25">
      <c r="A4801" s="16" t="s">
        <v>5741</v>
      </c>
      <c r="B4801" s="16" t="str">
        <f>TEXT(PARTIDA[[#This Row],[PARTIDA]],"0000000000")</f>
        <v>6110900000</v>
      </c>
      <c r="C4801" s="16" t="s">
        <v>786</v>
      </c>
      <c r="D4801" s="16" t="s">
        <v>787</v>
      </c>
      <c r="E4801" s="16" t="s">
        <v>9435</v>
      </c>
      <c r="F4801" s="27" t="s">
        <v>13396</v>
      </c>
      <c r="G4801" s="27"/>
      <c r="H4801" s="16" t="str">
        <f>IF(ISBLANK(PARTIDAS!$G4801),PARTIDAS!$F4801,CONCATENATE(PARTIDAS!$F4801," (",PARTIDAS!$G4801,")"))</f>
        <v>Suéteres (jerseys), pulóveres, cárdigan, chalecos y artículos…, de las demás materias textiles</v>
      </c>
      <c r="I4801" s="16" t="s">
        <v>9427</v>
      </c>
    </row>
    <row r="4802" spans="1:9" x14ac:dyDescent="0.25">
      <c r="A4802" s="16" t="s">
        <v>5742</v>
      </c>
      <c r="B4802" s="16" t="str">
        <f>TEXT(PARTIDA[[#This Row],[PARTIDA]],"0000000000")</f>
        <v>6111200000</v>
      </c>
      <c r="C4802" s="16" t="s">
        <v>786</v>
      </c>
      <c r="D4802" s="16" t="s">
        <v>787</v>
      </c>
      <c r="E4802" s="16" t="s">
        <v>9435</v>
      </c>
      <c r="F4802" s="27" t="s">
        <v>5666</v>
      </c>
      <c r="G4802" s="27"/>
      <c r="H4802" s="16" t="str">
        <f>IF(ISBLANK(PARTIDAS!$G4802),PARTIDAS!$F4802,CONCATENATE(PARTIDAS!$F4802," (",PARTIDAS!$G4802,")"))</f>
        <v>Prendas de vestir</v>
      </c>
      <c r="I4802" s="16" t="s">
        <v>9427</v>
      </c>
    </row>
    <row r="4803" spans="1:9" x14ac:dyDescent="0.25">
      <c r="A4803" s="16" t="s">
        <v>5743</v>
      </c>
      <c r="B4803" s="16" t="str">
        <f>TEXT(PARTIDA[[#This Row],[PARTIDA]],"0000000000")</f>
        <v>6111300000</v>
      </c>
      <c r="C4803" s="16" t="s">
        <v>786</v>
      </c>
      <c r="D4803" s="16" t="s">
        <v>787</v>
      </c>
      <c r="E4803" s="16" t="s">
        <v>9435</v>
      </c>
      <c r="F4803" s="27" t="s">
        <v>13397</v>
      </c>
      <c r="G4803" s="27"/>
      <c r="H4803" s="16" t="str">
        <f>IF(ISBLANK(PARTIDAS!$G4803),PARTIDAS!$F4803,CONCATENATE(PARTIDAS!$F4803," (",PARTIDAS!$G4803,")"))</f>
        <v>Prendas y complementos (accesorios), de vestir, de punto, para bebés, de fibras sintéticas</v>
      </c>
      <c r="I4803" s="16" t="s">
        <v>9427</v>
      </c>
    </row>
    <row r="4804" spans="1:9" x14ac:dyDescent="0.25">
      <c r="A4804" s="16" t="s">
        <v>5744</v>
      </c>
      <c r="B4804" s="16" t="str">
        <f>TEXT(PARTIDA[[#This Row],[PARTIDA]],"0000000000")</f>
        <v>6111901000</v>
      </c>
      <c r="C4804" s="16" t="s">
        <v>786</v>
      </c>
      <c r="D4804" s="16" t="s">
        <v>787</v>
      </c>
      <c r="E4804" s="16" t="s">
        <v>9435</v>
      </c>
      <c r="F4804" s="27" t="s">
        <v>13398</v>
      </c>
      <c r="G4804" s="27"/>
      <c r="H4804" s="16" t="str">
        <f>IF(ISBLANK(PARTIDAS!$G4804),PARTIDAS!$F4804,CONCATENATE(PARTIDAS!$F4804," (",PARTIDAS!$G4804,")"))</f>
        <v>Prendas y complementos (accesorios), de vestir, de…, de las demás materias textiles, de lana o pelo fino</v>
      </c>
      <c r="I4804" s="16" t="s">
        <v>9427</v>
      </c>
    </row>
    <row r="4805" spans="1:9" x14ac:dyDescent="0.25">
      <c r="A4805" s="16" t="s">
        <v>5745</v>
      </c>
      <c r="B4805" s="16" t="str">
        <f>TEXT(PARTIDA[[#This Row],[PARTIDA]],"0000000000")</f>
        <v>6111909000</v>
      </c>
      <c r="C4805" s="16" t="s">
        <v>786</v>
      </c>
      <c r="D4805" s="16" t="s">
        <v>787</v>
      </c>
      <c r="E4805" s="16" t="s">
        <v>9435</v>
      </c>
      <c r="F4805" s="27" t="s">
        <v>13399</v>
      </c>
      <c r="G4805" s="27"/>
      <c r="H4805" s="16" t="str">
        <f>IF(ISBLANK(PARTIDAS!$G4805),PARTIDAS!$F4805,CONCATENATE(PARTIDAS!$F4805," (",PARTIDAS!$G4805,")"))</f>
        <v>Prendas y complementos (accesorios), de vestir, de…, de las demás materias textiles (los demás)</v>
      </c>
      <c r="I4805" s="16" t="s">
        <v>9427</v>
      </c>
    </row>
    <row r="4806" spans="1:9" x14ac:dyDescent="0.25">
      <c r="A4806" s="16" t="s">
        <v>5746</v>
      </c>
      <c r="B4806" s="16" t="str">
        <f>TEXT(PARTIDA[[#This Row],[PARTIDA]],"0000000000")</f>
        <v>6112110000</v>
      </c>
      <c r="C4806" s="16" t="s">
        <v>786</v>
      </c>
      <c r="D4806" s="16" t="s">
        <v>787</v>
      </c>
      <c r="E4806" s="16" t="s">
        <v>9435</v>
      </c>
      <c r="F4806" s="27" t="s">
        <v>13400</v>
      </c>
      <c r="G4806" s="27"/>
      <c r="H4806" s="16" t="str">
        <f>IF(ISBLANK(PARTIDAS!$G4806),PARTIDAS!$F4806,CONCATENATE(PARTIDAS!$F4806," (",PARTIDAS!$G4806,")"))</f>
        <v>Conjuntos de abrigo para entrenamiento o deporte (chandales), de algodón</v>
      </c>
      <c r="I4806" s="16" t="s">
        <v>9427</v>
      </c>
    </row>
    <row r="4807" spans="1:9" x14ac:dyDescent="0.25">
      <c r="A4807" s="16" t="s">
        <v>5747</v>
      </c>
      <c r="B4807" s="16" t="str">
        <f>TEXT(PARTIDA[[#This Row],[PARTIDA]],"0000000000")</f>
        <v>6112120000</v>
      </c>
      <c r="C4807" s="16" t="s">
        <v>786</v>
      </c>
      <c r="D4807" s="16" t="s">
        <v>787</v>
      </c>
      <c r="E4807" s="16" t="s">
        <v>9435</v>
      </c>
      <c r="F4807" s="27" t="s">
        <v>13401</v>
      </c>
      <c r="G4807" s="27"/>
      <c r="H4807" s="16" t="str">
        <f>IF(ISBLANK(PARTIDAS!$G4807),PARTIDAS!$F4807,CONCATENATE(PARTIDAS!$F4807," (",PARTIDAS!$G4807,")"))</f>
        <v>Conjuntos de abrigo para entrenamiento o deporte (chandales), de fibras sintéticas</v>
      </c>
      <c r="I4807" s="16" t="s">
        <v>9427</v>
      </c>
    </row>
    <row r="4808" spans="1:9" x14ac:dyDescent="0.25">
      <c r="A4808" s="16" t="s">
        <v>5748</v>
      </c>
      <c r="B4808" s="16" t="str">
        <f>TEXT(PARTIDA[[#This Row],[PARTIDA]],"0000000000")</f>
        <v>6112190000</v>
      </c>
      <c r="C4808" s="16" t="s">
        <v>786</v>
      </c>
      <c r="D4808" s="16" t="s">
        <v>787</v>
      </c>
      <c r="E4808" s="16" t="s">
        <v>9435</v>
      </c>
      <c r="F4808" s="27" t="s">
        <v>13402</v>
      </c>
      <c r="G4808" s="27"/>
      <c r="H4808" s="16" t="str">
        <f>IF(ISBLANK(PARTIDAS!$G4808),PARTIDAS!$F4808,CONCATENATE(PARTIDAS!$F4808," (",PARTIDAS!$G4808,")"))</f>
        <v>Conjuntos de abrigo para entrenamiento o deporte (chandales), de las demás materias textiles</v>
      </c>
      <c r="I4808" s="16" t="s">
        <v>9427</v>
      </c>
    </row>
    <row r="4809" spans="1:9" x14ac:dyDescent="0.25">
      <c r="A4809" s="16" t="s">
        <v>5749</v>
      </c>
      <c r="B4809" s="16" t="str">
        <f>TEXT(PARTIDA[[#This Row],[PARTIDA]],"0000000000")</f>
        <v>6112200000</v>
      </c>
      <c r="C4809" s="16" t="s">
        <v>786</v>
      </c>
      <c r="D4809" s="16" t="s">
        <v>787</v>
      </c>
      <c r="E4809" s="16" t="s">
        <v>9435</v>
      </c>
      <c r="F4809" s="27" t="s">
        <v>13403</v>
      </c>
      <c r="G4809" s="27"/>
      <c r="H4809" s="16" t="str">
        <f>IF(ISBLANK(PARTIDAS!$G4809),PARTIDAS!$F4809,CONCATENATE(PARTIDAS!$F4809," (",PARTIDAS!$G4809,")"))</f>
        <v>Monos (overoles) y conjuntos de esquí</v>
      </c>
      <c r="I4809" s="16" t="s">
        <v>9427</v>
      </c>
    </row>
    <row r="4810" spans="1:9" x14ac:dyDescent="0.25">
      <c r="A4810" s="16" t="s">
        <v>5750</v>
      </c>
      <c r="B4810" s="16" t="str">
        <f>TEXT(PARTIDA[[#This Row],[PARTIDA]],"0000000000")</f>
        <v>6112310000</v>
      </c>
      <c r="C4810" s="16" t="s">
        <v>786</v>
      </c>
      <c r="D4810" s="16" t="s">
        <v>787</v>
      </c>
      <c r="E4810" s="16" t="s">
        <v>9435</v>
      </c>
      <c r="F4810" s="27" t="s">
        <v>13404</v>
      </c>
      <c r="G4810" s="27"/>
      <c r="H4810" s="16" t="str">
        <f>IF(ISBLANK(PARTIDAS!$G4810),PARTIDAS!$F4810,CONCATENATE(PARTIDAS!$F4810," (",PARTIDAS!$G4810,")"))</f>
        <v>Bañadores para hombres o niños, de fibras sintéticas</v>
      </c>
      <c r="I4810" s="16" t="s">
        <v>9427</v>
      </c>
    </row>
    <row r="4811" spans="1:9" x14ac:dyDescent="0.25">
      <c r="A4811" s="16" t="s">
        <v>5751</v>
      </c>
      <c r="B4811" s="16" t="str">
        <f>TEXT(PARTIDA[[#This Row],[PARTIDA]],"0000000000")</f>
        <v>6112390000</v>
      </c>
      <c r="C4811" s="16" t="s">
        <v>786</v>
      </c>
      <c r="D4811" s="16" t="s">
        <v>787</v>
      </c>
      <c r="E4811" s="16" t="s">
        <v>9435</v>
      </c>
      <c r="F4811" s="27" t="s">
        <v>13405</v>
      </c>
      <c r="G4811" s="27"/>
      <c r="H4811" s="16" t="str">
        <f>IF(ISBLANK(PARTIDAS!$G4811),PARTIDAS!$F4811,CONCATENATE(PARTIDAS!$F4811," (",PARTIDAS!$G4811,")"))</f>
        <v>Bañadores para hombres o niños, de las demás materias textiles</v>
      </c>
      <c r="I4811" s="16" t="s">
        <v>9427</v>
      </c>
    </row>
    <row r="4812" spans="1:9" x14ac:dyDescent="0.25">
      <c r="A4812" s="16" t="s">
        <v>5752</v>
      </c>
      <c r="B4812" s="16" t="str">
        <f>TEXT(PARTIDA[[#This Row],[PARTIDA]],"0000000000")</f>
        <v>6112410000</v>
      </c>
      <c r="C4812" s="16" t="s">
        <v>786</v>
      </c>
      <c r="D4812" s="16" t="s">
        <v>787</v>
      </c>
      <c r="E4812" s="16" t="s">
        <v>9435</v>
      </c>
      <c r="F4812" s="27" t="s">
        <v>13406</v>
      </c>
      <c r="G4812" s="27"/>
      <c r="H4812" s="16" t="str">
        <f>IF(ISBLANK(PARTIDAS!$G4812),PARTIDAS!$F4812,CONCATENATE(PARTIDAS!$F4812," (",PARTIDAS!$G4812,")"))</f>
        <v>Bañadores para mujeres o niñas, de fibras sintéticas</v>
      </c>
      <c r="I4812" s="16" t="s">
        <v>9427</v>
      </c>
    </row>
    <row r="4813" spans="1:9" x14ac:dyDescent="0.25">
      <c r="A4813" s="16" t="s">
        <v>5753</v>
      </c>
      <c r="B4813" s="16" t="str">
        <f>TEXT(PARTIDA[[#This Row],[PARTIDA]],"0000000000")</f>
        <v>6112490000</v>
      </c>
      <c r="C4813" s="16" t="s">
        <v>786</v>
      </c>
      <c r="D4813" s="16" t="s">
        <v>787</v>
      </c>
      <c r="E4813" s="16" t="s">
        <v>9435</v>
      </c>
      <c r="F4813" s="27" t="s">
        <v>13407</v>
      </c>
      <c r="G4813" s="27"/>
      <c r="H4813" s="16" t="str">
        <f>IF(ISBLANK(PARTIDAS!$G4813),PARTIDAS!$F4813,CONCATENATE(PARTIDAS!$F4813," (",PARTIDAS!$G4813,")"))</f>
        <v>Bañadores para mujeres o niñas, de las demás materias textiles</v>
      </c>
      <c r="I4813" s="16" t="s">
        <v>9427</v>
      </c>
    </row>
    <row r="4814" spans="1:9" x14ac:dyDescent="0.25">
      <c r="A4814" s="16" t="s">
        <v>5754</v>
      </c>
      <c r="B4814" s="16" t="str">
        <f>TEXT(PARTIDA[[#This Row],[PARTIDA]],"0000000000")</f>
        <v>6113000000</v>
      </c>
      <c r="C4814" s="16" t="s">
        <v>786</v>
      </c>
      <c r="D4814" s="16" t="s">
        <v>787</v>
      </c>
      <c r="E4814" s="16" t="s">
        <v>9435</v>
      </c>
      <c r="F4814" s="27" t="s">
        <v>5666</v>
      </c>
      <c r="G4814" s="27"/>
      <c r="H4814" s="16" t="str">
        <f>IF(ISBLANK(PARTIDAS!$G4814),PARTIDAS!$F4814,CONCATENATE(PARTIDAS!$F4814," (",PARTIDAS!$G4814,")"))</f>
        <v>Prendas de vestir</v>
      </c>
      <c r="I4814" s="16" t="s">
        <v>9427</v>
      </c>
    </row>
    <row r="4815" spans="1:9" x14ac:dyDescent="0.25">
      <c r="A4815" s="16" t="s">
        <v>5755</v>
      </c>
      <c r="B4815" s="16" t="str">
        <f>TEXT(PARTIDA[[#This Row],[PARTIDA]],"0000000000")</f>
        <v>6114200000</v>
      </c>
      <c r="C4815" s="16" t="s">
        <v>786</v>
      </c>
      <c r="D4815" s="16" t="s">
        <v>787</v>
      </c>
      <c r="E4815" s="16" t="s">
        <v>9435</v>
      </c>
      <c r="F4815" s="27" t="s">
        <v>13408</v>
      </c>
      <c r="G4815" s="27"/>
      <c r="H4815" s="16" t="str">
        <f>IF(ISBLANK(PARTIDAS!$G4815),PARTIDAS!$F4815,CONCATENATE(PARTIDAS!$F4815," (",PARTIDAS!$G4815,")"))</f>
        <v>Prendas y complementos (accesorios), de vestir, de punto, de algodón</v>
      </c>
      <c r="I4815" s="16" t="s">
        <v>9427</v>
      </c>
    </row>
    <row r="4816" spans="1:9" x14ac:dyDescent="0.25">
      <c r="A4816" s="16" t="s">
        <v>5756</v>
      </c>
      <c r="B4816" s="16" t="str">
        <f>TEXT(PARTIDA[[#This Row],[PARTIDA]],"0000000000")</f>
        <v>6114300000</v>
      </c>
      <c r="C4816" s="16" t="s">
        <v>786</v>
      </c>
      <c r="D4816" s="16" t="s">
        <v>787</v>
      </c>
      <c r="E4816" s="16" t="s">
        <v>9435</v>
      </c>
      <c r="F4816" s="27" t="s">
        <v>9355</v>
      </c>
      <c r="G4816" s="27"/>
      <c r="H4816" s="16" t="str">
        <f>IF(ISBLANK(PARTIDAS!$G4816),PARTIDAS!$F4816,CONCATENATE(PARTIDAS!$F4816," (",PARTIDAS!$G4816,")"))</f>
        <v>Prendas y complementos (accesorios), de vestir, de punto, de fibras sintéticas o artificiales</v>
      </c>
      <c r="I4816" s="16" t="s">
        <v>9477</v>
      </c>
    </row>
    <row r="4817" spans="1:9" x14ac:dyDescent="0.25">
      <c r="A4817" s="16" t="s">
        <v>5757</v>
      </c>
      <c r="B4817" s="16" t="str">
        <f>TEXT(PARTIDA[[#This Row],[PARTIDA]],"0000000000")</f>
        <v>6114901000</v>
      </c>
      <c r="C4817" s="16" t="s">
        <v>786</v>
      </c>
      <c r="D4817" s="16" t="s">
        <v>787</v>
      </c>
      <c r="E4817" s="16" t="s">
        <v>9435</v>
      </c>
      <c r="F4817" s="27" t="s">
        <v>13398</v>
      </c>
      <c r="G4817" s="27"/>
      <c r="H4817" s="16" t="str">
        <f>IF(ISBLANK(PARTIDAS!$G4817),PARTIDAS!$F4817,CONCATENATE(PARTIDAS!$F4817," (",PARTIDAS!$G4817,")"))</f>
        <v>Prendas y complementos (accesorios), de vestir, de…, de las demás materias textiles, de lana o pelo fino</v>
      </c>
      <c r="I4817" s="16" t="s">
        <v>9427</v>
      </c>
    </row>
    <row r="4818" spans="1:9" x14ac:dyDescent="0.25">
      <c r="A4818" s="16" t="s">
        <v>5758</v>
      </c>
      <c r="B4818" s="16" t="str">
        <f>TEXT(PARTIDA[[#This Row],[PARTIDA]],"0000000000")</f>
        <v>6114909000</v>
      </c>
      <c r="C4818" s="16" t="s">
        <v>786</v>
      </c>
      <c r="D4818" s="16" t="s">
        <v>787</v>
      </c>
      <c r="E4818" s="16" t="s">
        <v>9435</v>
      </c>
      <c r="F4818" s="27" t="s">
        <v>5666</v>
      </c>
      <c r="G4818" s="27"/>
      <c r="H4818" s="16" t="str">
        <f>IF(ISBLANK(PARTIDAS!$G4818),PARTIDAS!$F4818,CONCATENATE(PARTIDAS!$F4818," (",PARTIDAS!$G4818,")"))</f>
        <v>Prendas de vestir</v>
      </c>
      <c r="I4818" s="16" t="s">
        <v>9427</v>
      </c>
    </row>
    <row r="4819" spans="1:9" x14ac:dyDescent="0.25">
      <c r="A4819" s="16" t="s">
        <v>5759</v>
      </c>
      <c r="B4819" s="16" t="str">
        <f>TEXT(PARTIDA[[#This Row],[PARTIDA]],"0000000000")</f>
        <v>6115101000</v>
      </c>
      <c r="C4819" s="16" t="s">
        <v>786</v>
      </c>
      <c r="D4819" s="16" t="s">
        <v>787</v>
      </c>
      <c r="E4819" s="16" t="s">
        <v>9435</v>
      </c>
      <c r="F4819" s="27" t="s">
        <v>9293</v>
      </c>
      <c r="G4819" s="27"/>
      <c r="H4819" s="16" t="str">
        <f>IF(ISBLANK(PARTIDAS!$G4819),PARTIDAS!$F4819,CONCATENATE(PARTIDAS!$F4819," (",PARTIDAS!$G4819,")"))</f>
        <v>Medias de compresión progresiva</v>
      </c>
      <c r="I4819" s="16" t="s">
        <v>9477</v>
      </c>
    </row>
    <row r="4820" spans="1:9" x14ac:dyDescent="0.25">
      <c r="A4820" s="16" t="s">
        <v>5760</v>
      </c>
      <c r="B4820" s="16" t="str">
        <f>TEXT(PARTIDA[[#This Row],[PARTIDA]],"0000000000")</f>
        <v>6115109000</v>
      </c>
      <c r="C4820" s="16" t="s">
        <v>786</v>
      </c>
      <c r="D4820" s="16" t="s">
        <v>787</v>
      </c>
      <c r="E4820" s="16" t="s">
        <v>9435</v>
      </c>
      <c r="F4820" s="27" t="s">
        <v>13409</v>
      </c>
      <c r="G4820" s="27"/>
      <c r="H4820" s="16" t="str">
        <f>IF(ISBLANK(PARTIDAS!$G4820),PARTIDAS!$F4820,CONCATENATE(PARTIDAS!$F4820," (",PARTIDAS!$G4820,")"))</f>
        <v>Calzas, panty-medias, leotardos y medias, de compresión progresiva… (los demás)</v>
      </c>
      <c r="I4820" s="16" t="s">
        <v>9427</v>
      </c>
    </row>
    <row r="4821" spans="1:9" x14ac:dyDescent="0.25">
      <c r="A4821" s="16" t="s">
        <v>5761</v>
      </c>
      <c r="B4821" s="16" t="str">
        <f>TEXT(PARTIDA[[#This Row],[PARTIDA]],"0000000000")</f>
        <v>6115210000</v>
      </c>
      <c r="C4821" s="16" t="s">
        <v>786</v>
      </c>
      <c r="D4821" s="16" t="s">
        <v>787</v>
      </c>
      <c r="E4821" s="16" t="s">
        <v>9435</v>
      </c>
      <c r="F4821" s="27" t="s">
        <v>9182</v>
      </c>
      <c r="G4821" s="27"/>
      <c r="H4821" s="16" t="str">
        <f>IF(ISBLANK(PARTIDAS!$G4821),PARTIDAS!$F4821,CONCATENATE(PARTIDAS!$F4821," (",PARTIDAS!$G4821,")"))</f>
        <v>Calzas, panty-medias, leotardos, medias, calcetines y demás artículos…, de fibras sintéticas, de título inferior a 67 decitex por hilo sencillo</v>
      </c>
      <c r="I4821" s="16" t="s">
        <v>9477</v>
      </c>
    </row>
    <row r="4822" spans="1:9" x14ac:dyDescent="0.25">
      <c r="A4822" s="16" t="s">
        <v>5762</v>
      </c>
      <c r="B4822" s="16" t="str">
        <f>TEXT(PARTIDA[[#This Row],[PARTIDA]],"0000000000")</f>
        <v>6115220000</v>
      </c>
      <c r="C4822" s="16" t="s">
        <v>786</v>
      </c>
      <c r="D4822" s="16" t="s">
        <v>787</v>
      </c>
      <c r="E4822" s="16" t="s">
        <v>9435</v>
      </c>
      <c r="F4822" s="27" t="s">
        <v>13410</v>
      </c>
      <c r="G4822" s="27"/>
      <c r="H4822" s="16" t="str">
        <f>IF(ISBLANK(PARTIDAS!$G4822),PARTIDAS!$F4822,CONCATENATE(PARTIDAS!$F4822," (",PARTIDAS!$G4822,")"))</f>
        <v>Calzas, panty-medias, leotardos, medias, calcetines y demás artículos…, de fibras sintéticas, de título superior o igual a 67 decitex por hilo sencill</v>
      </c>
      <c r="I4822" s="16" t="s">
        <v>9427</v>
      </c>
    </row>
    <row r="4823" spans="1:9" x14ac:dyDescent="0.25">
      <c r="A4823" s="16" t="s">
        <v>5763</v>
      </c>
      <c r="B4823" s="16" t="str">
        <f>TEXT(PARTIDA[[#This Row],[PARTIDA]],"0000000000")</f>
        <v>6115290000</v>
      </c>
      <c r="C4823" s="16" t="s">
        <v>786</v>
      </c>
      <c r="D4823" s="16" t="s">
        <v>787</v>
      </c>
      <c r="E4823" s="16" t="s">
        <v>9435</v>
      </c>
      <c r="F4823" s="27" t="s">
        <v>9184</v>
      </c>
      <c r="G4823" s="27"/>
      <c r="H4823" s="16" t="str">
        <f>IF(ISBLANK(PARTIDAS!$G4823),PARTIDAS!$F4823,CONCATENATE(PARTIDAS!$F4823," (",PARTIDAS!$G4823,")"))</f>
        <v>Calzas, panty-medias, leotardos, medias, calcetines y demás artículos…, de las demás materias textiles</v>
      </c>
      <c r="I4823" s="16" t="s">
        <v>9477</v>
      </c>
    </row>
    <row r="4824" spans="1:9" x14ac:dyDescent="0.25">
      <c r="A4824" s="16" t="s">
        <v>5764</v>
      </c>
      <c r="B4824" s="16" t="str">
        <f>TEXT(PARTIDA[[#This Row],[PARTIDA]],"0000000000")</f>
        <v>6115301000</v>
      </c>
      <c r="C4824" s="16" t="s">
        <v>786</v>
      </c>
      <c r="D4824" s="16" t="s">
        <v>787</v>
      </c>
      <c r="E4824" s="16" t="s">
        <v>9435</v>
      </c>
      <c r="F4824" s="27" t="s">
        <v>9180</v>
      </c>
      <c r="G4824" s="27"/>
      <c r="H4824" s="16" t="str">
        <f>IF(ISBLANK(PARTIDAS!$G4824),PARTIDAS!$F4824,CONCATENATE(PARTIDAS!$F4824," (",PARTIDAS!$G4824,")"))</f>
        <v>Calzas, panty-medias, leotardos, medias, calcetines y demás artículos…, de fibras sintéticas</v>
      </c>
      <c r="I4824" s="16" t="s">
        <v>9477</v>
      </c>
    </row>
    <row r="4825" spans="1:9" x14ac:dyDescent="0.25">
      <c r="A4825" s="16" t="s">
        <v>5765</v>
      </c>
      <c r="B4825" s="16" t="str">
        <f>TEXT(PARTIDA[[#This Row],[PARTIDA]],"0000000000")</f>
        <v>6115309000</v>
      </c>
      <c r="C4825" s="16" t="s">
        <v>786</v>
      </c>
      <c r="D4825" s="16" t="s">
        <v>787</v>
      </c>
      <c r="E4825" s="16" t="s">
        <v>9435</v>
      </c>
      <c r="F4825" s="27" t="s">
        <v>13411</v>
      </c>
      <c r="G4825" s="27"/>
      <c r="H4825" s="16" t="str">
        <f>IF(ISBLANK(PARTIDAS!$G4825),PARTIDAS!$F4825,CONCATENATE(PARTIDAS!$F4825," (",PARTIDAS!$G4825,")"))</f>
        <v>Calzas, panty-medias, leotardos, medias, calcetines y demás artículos… (los demás)</v>
      </c>
      <c r="I4825" s="16" t="s">
        <v>9427</v>
      </c>
    </row>
    <row r="4826" spans="1:9" x14ac:dyDescent="0.25">
      <c r="A4826" s="16" t="s">
        <v>5766</v>
      </c>
      <c r="B4826" s="16" t="str">
        <f>TEXT(PARTIDA[[#This Row],[PARTIDA]],"0000000000")</f>
        <v>6115940000</v>
      </c>
      <c r="C4826" s="16" t="s">
        <v>786</v>
      </c>
      <c r="D4826" s="16" t="s">
        <v>787</v>
      </c>
      <c r="E4826" s="16" t="s">
        <v>9435</v>
      </c>
      <c r="F4826" s="27" t="s">
        <v>13412</v>
      </c>
      <c r="G4826" s="27"/>
      <c r="H4826" s="16" t="str">
        <f>IF(ISBLANK(PARTIDAS!$G4826),PARTIDAS!$F4826,CONCATENATE(PARTIDAS!$F4826," (",PARTIDAS!$G4826,")"))</f>
        <v>Calzas, panty-medias, leotardos, medias, calcetines y demás artículos…, de lana o pelo fino</v>
      </c>
      <c r="I4826" s="16" t="s">
        <v>9427</v>
      </c>
    </row>
    <row r="4827" spans="1:9" x14ac:dyDescent="0.25">
      <c r="A4827" s="16" t="s">
        <v>5767</v>
      </c>
      <c r="B4827" s="16" t="str">
        <f>TEXT(PARTIDA[[#This Row],[PARTIDA]],"0000000000")</f>
        <v>6115950000</v>
      </c>
      <c r="C4827" s="16" t="s">
        <v>786</v>
      </c>
      <c r="D4827" s="16" t="s">
        <v>787</v>
      </c>
      <c r="E4827" s="16" t="s">
        <v>9435</v>
      </c>
      <c r="F4827" s="27" t="s">
        <v>9178</v>
      </c>
      <c r="G4827" s="27"/>
      <c r="H4827" s="16" t="str">
        <f>IF(ISBLANK(PARTIDAS!$G4827),PARTIDAS!$F4827,CONCATENATE(PARTIDAS!$F4827," (",PARTIDAS!$G4827,")"))</f>
        <v>Calzas, panty-medias, leotardos, medias, calcetines y demás artículos…, de algodón</v>
      </c>
      <c r="I4827" s="16" t="s">
        <v>9477</v>
      </c>
    </row>
    <row r="4828" spans="1:9" x14ac:dyDescent="0.25">
      <c r="A4828" s="16" t="s">
        <v>5768</v>
      </c>
      <c r="B4828" s="16" t="str">
        <f>TEXT(PARTIDA[[#This Row],[PARTIDA]],"0000000000")</f>
        <v>6115960000</v>
      </c>
      <c r="C4828" s="16" t="s">
        <v>786</v>
      </c>
      <c r="D4828" s="16" t="s">
        <v>787</v>
      </c>
      <c r="E4828" s="16" t="s">
        <v>9435</v>
      </c>
      <c r="F4828" s="27" t="s">
        <v>9180</v>
      </c>
      <c r="G4828" s="27"/>
      <c r="H4828" s="16" t="str">
        <f>IF(ISBLANK(PARTIDAS!$G4828),PARTIDAS!$F4828,CONCATENATE(PARTIDAS!$F4828," (",PARTIDAS!$G4828,")"))</f>
        <v>Calzas, panty-medias, leotardos, medias, calcetines y demás artículos…, de fibras sintéticas</v>
      </c>
      <c r="I4828" s="16" t="s">
        <v>9427</v>
      </c>
    </row>
    <row r="4829" spans="1:9" x14ac:dyDescent="0.25">
      <c r="A4829" s="16" t="s">
        <v>5769</v>
      </c>
      <c r="B4829" s="16" t="str">
        <f>TEXT(PARTIDA[[#This Row],[PARTIDA]],"0000000000")</f>
        <v>6115990000</v>
      </c>
      <c r="C4829" s="16" t="s">
        <v>786</v>
      </c>
      <c r="D4829" s="16" t="s">
        <v>787</v>
      </c>
      <c r="E4829" s="16" t="s">
        <v>9435</v>
      </c>
      <c r="F4829" s="27" t="s">
        <v>9184</v>
      </c>
      <c r="G4829" s="27"/>
      <c r="H4829" s="16" t="str">
        <f>IF(ISBLANK(PARTIDAS!$G4829),PARTIDAS!$F4829,CONCATENATE(PARTIDAS!$F4829," (",PARTIDAS!$G4829,")"))</f>
        <v>Calzas, panty-medias, leotardos, medias, calcetines y demás artículos…, de las demás materias textiles</v>
      </c>
      <c r="I4829" s="16" t="s">
        <v>9427</v>
      </c>
    </row>
    <row r="4830" spans="1:9" x14ac:dyDescent="0.25">
      <c r="A4830" s="16" t="s">
        <v>5770</v>
      </c>
      <c r="B4830" s="16" t="str">
        <f>TEXT(PARTIDA[[#This Row],[PARTIDA]],"0000000000")</f>
        <v>6116100000</v>
      </c>
      <c r="C4830" s="16" t="s">
        <v>786</v>
      </c>
      <c r="D4830" s="16" t="s">
        <v>787</v>
      </c>
      <c r="E4830" s="16" t="s">
        <v>9435</v>
      </c>
      <c r="F4830" s="27" t="s">
        <v>9264</v>
      </c>
      <c r="G4830" s="27"/>
      <c r="H4830" s="16" t="str">
        <f>IF(ISBLANK(PARTIDAS!$G4830),PARTIDAS!$F4830,CONCATENATE(PARTIDAS!$F4830," (",PARTIDAS!$G4830,")"))</f>
        <v>Impregnados, recubiertos, revestidos o estratificados, con plástico o caucho</v>
      </c>
      <c r="I4830" s="16" t="s">
        <v>9477</v>
      </c>
    </row>
    <row r="4831" spans="1:9" x14ac:dyDescent="0.25">
      <c r="A4831" s="16" t="s">
        <v>5771</v>
      </c>
      <c r="B4831" s="16" t="str">
        <f>TEXT(PARTIDA[[#This Row],[PARTIDA]],"0000000000")</f>
        <v>6116910000</v>
      </c>
      <c r="C4831" s="16" t="s">
        <v>786</v>
      </c>
      <c r="D4831" s="16" t="s">
        <v>787</v>
      </c>
      <c r="E4831" s="16" t="s">
        <v>9435</v>
      </c>
      <c r="F4831" s="27" t="s">
        <v>13413</v>
      </c>
      <c r="G4831" s="27"/>
      <c r="H4831" s="16" t="str">
        <f>IF(ISBLANK(PARTIDAS!$G4831),PARTIDAS!$F4831,CONCATENATE(PARTIDAS!$F4831," (",PARTIDAS!$G4831,")"))</f>
        <v>Guantes, mitones y manoplas, de punto, de lana o pelo fino</v>
      </c>
      <c r="I4831" s="16" t="s">
        <v>9427</v>
      </c>
    </row>
    <row r="4832" spans="1:9" x14ac:dyDescent="0.25">
      <c r="A4832" s="16" t="s">
        <v>5772</v>
      </c>
      <c r="B4832" s="16" t="str">
        <f>TEXT(PARTIDA[[#This Row],[PARTIDA]],"0000000000")</f>
        <v>6116920000</v>
      </c>
      <c r="C4832" s="16" t="s">
        <v>786</v>
      </c>
      <c r="D4832" s="16" t="s">
        <v>787</v>
      </c>
      <c r="E4832" s="16" t="s">
        <v>9435</v>
      </c>
      <c r="F4832" s="27" t="s">
        <v>13414</v>
      </c>
      <c r="G4832" s="27"/>
      <c r="H4832" s="16" t="str">
        <f>IF(ISBLANK(PARTIDAS!$G4832),PARTIDAS!$F4832,CONCATENATE(PARTIDAS!$F4832," (",PARTIDAS!$G4832,")"))</f>
        <v>Guantes, mitones y manoplas, de punto, de algodón</v>
      </c>
      <c r="I4832" s="16" t="s">
        <v>9427</v>
      </c>
    </row>
    <row r="4833" spans="1:9" x14ac:dyDescent="0.25">
      <c r="A4833" s="16" t="s">
        <v>5773</v>
      </c>
      <c r="B4833" s="16" t="str">
        <f>TEXT(PARTIDA[[#This Row],[PARTIDA]],"0000000000")</f>
        <v>6116930000</v>
      </c>
      <c r="C4833" s="16" t="s">
        <v>786</v>
      </c>
      <c r="D4833" s="16" t="s">
        <v>787</v>
      </c>
      <c r="E4833" s="16" t="s">
        <v>9435</v>
      </c>
      <c r="F4833" s="27" t="s">
        <v>13415</v>
      </c>
      <c r="G4833" s="27"/>
      <c r="H4833" s="16" t="str">
        <f>IF(ISBLANK(PARTIDAS!$G4833),PARTIDAS!$F4833,CONCATENATE(PARTIDAS!$F4833," (",PARTIDAS!$G4833,")"))</f>
        <v>Guantes, mitones y manoplas, de punto, de fibras sintéticas</v>
      </c>
      <c r="I4833" s="16" t="s">
        <v>9427</v>
      </c>
    </row>
    <row r="4834" spans="1:9" x14ac:dyDescent="0.25">
      <c r="A4834" s="16" t="s">
        <v>5774</v>
      </c>
      <c r="B4834" s="16" t="str">
        <f>TEXT(PARTIDA[[#This Row],[PARTIDA]],"0000000000")</f>
        <v>6116990000</v>
      </c>
      <c r="C4834" s="16" t="s">
        <v>786</v>
      </c>
      <c r="D4834" s="16" t="s">
        <v>787</v>
      </c>
      <c r="E4834" s="16" t="s">
        <v>9435</v>
      </c>
      <c r="F4834" s="27" t="s">
        <v>13416</v>
      </c>
      <c r="G4834" s="27"/>
      <c r="H4834" s="16" t="str">
        <f>IF(ISBLANK(PARTIDAS!$G4834),PARTIDAS!$F4834,CONCATENATE(PARTIDAS!$F4834," (",PARTIDAS!$G4834,")"))</f>
        <v>Guantes, mitones y manoplas, de punto, de las demás materias textiles</v>
      </c>
      <c r="I4834" s="16" t="s">
        <v>9427</v>
      </c>
    </row>
    <row r="4835" spans="1:9" x14ac:dyDescent="0.25">
      <c r="A4835" s="16" t="s">
        <v>5775</v>
      </c>
      <c r="B4835" s="16" t="str">
        <f>TEXT(PARTIDA[[#This Row],[PARTIDA]],"0000000000")</f>
        <v>6117100000</v>
      </c>
      <c r="C4835" s="16" t="s">
        <v>786</v>
      </c>
      <c r="D4835" s="16" t="s">
        <v>787</v>
      </c>
      <c r="E4835" s="16" t="s">
        <v>9435</v>
      </c>
      <c r="F4835" s="27" t="s">
        <v>13417</v>
      </c>
      <c r="G4835" s="27"/>
      <c r="H4835" s="16" t="str">
        <f>IF(ISBLANK(PARTIDAS!$G4835),PARTIDAS!$F4835,CONCATENATE(PARTIDAS!$F4835," (",PARTIDAS!$G4835,")"))</f>
        <v>Chales, pañuelos de cuello, bufandas, mantillas, velos y artículos similares</v>
      </c>
      <c r="I4835" s="16" t="s">
        <v>9427</v>
      </c>
    </row>
    <row r="4836" spans="1:9" x14ac:dyDescent="0.25">
      <c r="A4836" s="16" t="s">
        <v>5776</v>
      </c>
      <c r="B4836" s="16" t="str">
        <f>TEXT(PARTIDA[[#This Row],[PARTIDA]],"0000000000")</f>
        <v>6117801000</v>
      </c>
      <c r="C4836" s="16" t="s">
        <v>786</v>
      </c>
      <c r="D4836" s="16" t="s">
        <v>787</v>
      </c>
      <c r="E4836" s="16" t="s">
        <v>9435</v>
      </c>
      <c r="F4836" s="27" t="s">
        <v>13418</v>
      </c>
      <c r="G4836" s="27"/>
      <c r="H4836" s="16" t="str">
        <f>IF(ISBLANK(PARTIDAS!$G4836),PARTIDAS!$F4836,CONCATENATE(PARTIDAS!$F4836," (",PARTIDAS!$G4836,")"))</f>
        <v>Rodilleras y tobilleras</v>
      </c>
      <c r="I4836" s="16" t="s">
        <v>9427</v>
      </c>
    </row>
    <row r="4837" spans="1:9" x14ac:dyDescent="0.25">
      <c r="A4837" s="16" t="s">
        <v>5777</v>
      </c>
      <c r="B4837" s="16" t="str">
        <f>TEXT(PARTIDA[[#This Row],[PARTIDA]],"0000000000")</f>
        <v>6117802000</v>
      </c>
      <c r="C4837" s="16" t="s">
        <v>786</v>
      </c>
      <c r="D4837" s="16" t="s">
        <v>787</v>
      </c>
      <c r="E4837" s="16" t="s">
        <v>9435</v>
      </c>
      <c r="F4837" s="27" t="s">
        <v>13419</v>
      </c>
      <c r="G4837" s="27"/>
      <c r="H4837" s="16" t="str">
        <f>IF(ISBLANK(PARTIDAS!$G4837),PARTIDAS!$F4837,CONCATENATE(PARTIDAS!$F4837," (",PARTIDAS!$G4837,")"))</f>
        <v>Corbatas y lazos similares</v>
      </c>
      <c r="I4837" s="16" t="s">
        <v>9427</v>
      </c>
    </row>
    <row r="4838" spans="1:9" x14ac:dyDescent="0.25">
      <c r="A4838" s="16" t="s">
        <v>5778</v>
      </c>
      <c r="B4838" s="16" t="str">
        <f>TEXT(PARTIDA[[#This Row],[PARTIDA]],"0000000000")</f>
        <v>6117809000</v>
      </c>
      <c r="C4838" s="16" t="s">
        <v>786</v>
      </c>
      <c r="D4838" s="16" t="s">
        <v>787</v>
      </c>
      <c r="E4838" s="16" t="s">
        <v>9435</v>
      </c>
      <c r="F4838" s="27" t="s">
        <v>13420</v>
      </c>
      <c r="G4838" s="27"/>
      <c r="H4838" s="16" t="str">
        <f>IF(ISBLANK(PARTIDAS!$G4838),PARTIDAS!$F4838,CONCATENATE(PARTIDAS!$F4838," (",PARTIDAS!$G4838,")"))</f>
        <v>Prendas y complementos (accesorios), de vestir, de punto (los demás)</v>
      </c>
      <c r="I4838" s="16" t="s">
        <v>9427</v>
      </c>
    </row>
    <row r="4839" spans="1:9" x14ac:dyDescent="0.25">
      <c r="A4839" s="16" t="s">
        <v>5779</v>
      </c>
      <c r="B4839" s="16" t="str">
        <f>TEXT(PARTIDA[[#This Row],[PARTIDA]],"0000000000")</f>
        <v>6117901000</v>
      </c>
      <c r="C4839" s="16" t="s">
        <v>786</v>
      </c>
      <c r="D4839" s="16" t="s">
        <v>787</v>
      </c>
      <c r="E4839" s="16" t="s">
        <v>9435</v>
      </c>
      <c r="F4839" s="27" t="s">
        <v>13421</v>
      </c>
      <c r="G4839" s="27"/>
      <c r="H4839" s="16" t="str">
        <f>IF(ISBLANK(PARTIDAS!$G4839),PARTIDAS!$F4839,CONCATENATE(PARTIDAS!$F4839," (",PARTIDAS!$G4839,")"))</f>
        <v>Prendas y complementos (accesorios), de vestir, de…, partes, de fibras sintéticas o artificiales</v>
      </c>
      <c r="I4839" s="16" t="s">
        <v>9427</v>
      </c>
    </row>
    <row r="4840" spans="1:9" x14ac:dyDescent="0.25">
      <c r="A4840" s="16" t="s">
        <v>5780</v>
      </c>
      <c r="B4840" s="16" t="str">
        <f>TEXT(PARTIDA[[#This Row],[PARTIDA]],"0000000000")</f>
        <v>6117909000</v>
      </c>
      <c r="C4840" s="16" t="s">
        <v>786</v>
      </c>
      <c r="D4840" s="16" t="s">
        <v>787</v>
      </c>
      <c r="E4840" s="16" t="s">
        <v>9435</v>
      </c>
      <c r="F4840" s="27" t="s">
        <v>13422</v>
      </c>
      <c r="G4840" s="27"/>
      <c r="H4840" s="16" t="str">
        <f>IF(ISBLANK(PARTIDAS!$G4840),PARTIDAS!$F4840,CONCATENATE(PARTIDAS!$F4840," (",PARTIDAS!$G4840,")"))</f>
        <v>Prendas y complementos (accesorios), de vestir, de…, partes (los demás)</v>
      </c>
      <c r="I4840" s="16" t="s">
        <v>9427</v>
      </c>
    </row>
    <row r="4841" spans="1:9" x14ac:dyDescent="0.25">
      <c r="A4841" s="16" t="s">
        <v>5781</v>
      </c>
      <c r="B4841" s="16" t="str">
        <f>TEXT(PARTIDA[[#This Row],[PARTIDA]],"0000000000")</f>
        <v>6201110000</v>
      </c>
      <c r="C4841" s="16" t="s">
        <v>786</v>
      </c>
      <c r="D4841" s="16" t="s">
        <v>787</v>
      </c>
      <c r="E4841" s="16" t="s">
        <v>9435</v>
      </c>
      <c r="F4841" s="27" t="s">
        <v>13423</v>
      </c>
      <c r="G4841" s="27"/>
      <c r="H4841" s="16" t="str">
        <f>IF(ISBLANK(PARTIDAS!$G4841),PARTIDAS!$F4841,CONCATENATE(PARTIDAS!$F4841," (",PARTIDAS!$G4841,")"))</f>
        <v>De lana o pelo fino</v>
      </c>
      <c r="I4841" s="16" t="s">
        <v>9648</v>
      </c>
    </row>
    <row r="4842" spans="1:9" x14ac:dyDescent="0.25">
      <c r="A4842" s="16" t="s">
        <v>5782</v>
      </c>
      <c r="B4842" s="16" t="str">
        <f>TEXT(PARTIDA[[#This Row],[PARTIDA]],"0000000000")</f>
        <v>6201120000</v>
      </c>
      <c r="C4842" s="16" t="s">
        <v>786</v>
      </c>
      <c r="D4842" s="16" t="s">
        <v>787</v>
      </c>
      <c r="E4842" s="16" t="s">
        <v>9435</v>
      </c>
      <c r="F4842" s="27" t="s">
        <v>13424</v>
      </c>
      <c r="G4842" s="27"/>
      <c r="H4842" s="16" t="str">
        <f>IF(ISBLANK(PARTIDAS!$G4842),PARTIDAS!$F4842,CONCATENATE(PARTIDAS!$F4842," (",PARTIDAS!$G4842,")"))</f>
        <v>De algodón</v>
      </c>
      <c r="I4842" s="16" t="s">
        <v>9648</v>
      </c>
    </row>
    <row r="4843" spans="1:9" x14ac:dyDescent="0.25">
      <c r="A4843" s="16" t="s">
        <v>5783</v>
      </c>
      <c r="B4843" s="16" t="str">
        <f>TEXT(PARTIDA[[#This Row],[PARTIDA]],"0000000000")</f>
        <v>6201130000</v>
      </c>
      <c r="C4843" s="16" t="s">
        <v>786</v>
      </c>
      <c r="D4843" s="16" t="s">
        <v>787</v>
      </c>
      <c r="E4843" s="16" t="s">
        <v>9435</v>
      </c>
      <c r="F4843" s="27" t="s">
        <v>5666</v>
      </c>
      <c r="G4843" s="27"/>
      <c r="H4843" s="16" t="str">
        <f>IF(ISBLANK(PARTIDAS!$G4843),PARTIDAS!$F4843,CONCATENATE(PARTIDAS!$F4843," (",PARTIDAS!$G4843,")"))</f>
        <v>Prendas de vestir</v>
      </c>
      <c r="I4843" s="16" t="s">
        <v>9648</v>
      </c>
    </row>
    <row r="4844" spans="1:9" x14ac:dyDescent="0.25">
      <c r="A4844" s="16" t="s">
        <v>5784</v>
      </c>
      <c r="B4844" s="16" t="str">
        <f>TEXT(PARTIDA[[#This Row],[PARTIDA]],"0000000000")</f>
        <v>6201190000</v>
      </c>
      <c r="C4844" s="16" t="s">
        <v>786</v>
      </c>
      <c r="D4844" s="16" t="s">
        <v>787</v>
      </c>
      <c r="E4844" s="16" t="s">
        <v>9435</v>
      </c>
      <c r="F4844" s="27" t="s">
        <v>13425</v>
      </c>
      <c r="G4844" s="27"/>
      <c r="H4844" s="16" t="str">
        <f>IF(ISBLANK(PARTIDAS!$G4844),PARTIDAS!$F4844,CONCATENATE(PARTIDAS!$F4844," (",PARTIDAS!$G4844,")"))</f>
        <v>De las demás materias textiles</v>
      </c>
      <c r="I4844" s="16" t="s">
        <v>9648</v>
      </c>
    </row>
    <row r="4845" spans="1:9" x14ac:dyDescent="0.25">
      <c r="A4845" s="16" t="s">
        <v>13426</v>
      </c>
      <c r="B4845" s="16" t="str">
        <f>TEXT(PARTIDA[[#This Row],[PARTIDA]],"0000000000")</f>
        <v>6201200000</v>
      </c>
      <c r="C4845" s="16" t="s">
        <v>786</v>
      </c>
      <c r="D4845" s="16" t="s">
        <v>787</v>
      </c>
      <c r="E4845" s="16" t="s">
        <v>9435</v>
      </c>
      <c r="F4845" s="27" t="s">
        <v>13427</v>
      </c>
      <c r="G4845" s="27"/>
      <c r="H4845" s="16" t="str">
        <f>IF(ISBLANK(PARTIDAS!$G4845),PARTIDAS!$F4845,CONCATENATE(PARTIDAS!$F4845," (",PARTIDAS!$G4845,")"))</f>
        <v>Abrigos, chaquetones, capas, anoraks, cazadoras y artículos…, de lana o pelo fino</v>
      </c>
      <c r="I4845" s="16" t="s">
        <v>9427</v>
      </c>
    </row>
    <row r="4846" spans="1:9" x14ac:dyDescent="0.25">
      <c r="A4846" s="16" t="s">
        <v>13428</v>
      </c>
      <c r="B4846" s="16" t="str">
        <f>TEXT(PARTIDA[[#This Row],[PARTIDA]],"0000000000")</f>
        <v>6201300000</v>
      </c>
      <c r="C4846" s="16" t="s">
        <v>786</v>
      </c>
      <c r="D4846" s="16" t="s">
        <v>787</v>
      </c>
      <c r="E4846" s="16" t="s">
        <v>9435</v>
      </c>
      <c r="F4846" s="27" t="s">
        <v>13302</v>
      </c>
      <c r="G4846" s="27"/>
      <c r="H4846" s="16" t="str">
        <f>IF(ISBLANK(PARTIDAS!$G4846),PARTIDAS!$F4846,CONCATENATE(PARTIDAS!$F4846," (",PARTIDAS!$G4846,")"))</f>
        <v>Abrigos, chaquetones, capas, anoraks, cazadoras y artículos…, de algodón</v>
      </c>
      <c r="I4846" s="16" t="s">
        <v>9427</v>
      </c>
    </row>
    <row r="4847" spans="1:9" x14ac:dyDescent="0.25">
      <c r="A4847" s="16" t="s">
        <v>9119</v>
      </c>
      <c r="B4847" s="16" t="str">
        <f>TEXT(PARTIDA[[#This Row],[PARTIDA]],"0000000000")</f>
        <v>6201400000</v>
      </c>
      <c r="C4847" s="16" t="s">
        <v>786</v>
      </c>
      <c r="D4847" s="16" t="s">
        <v>787</v>
      </c>
      <c r="E4847" s="16" t="s">
        <v>9435</v>
      </c>
      <c r="F4847" s="27" t="s">
        <v>9128</v>
      </c>
      <c r="G4847" s="27"/>
      <c r="H4847" s="16" t="str">
        <f>IF(ISBLANK(PARTIDAS!$G4847),PARTIDAS!$F4847,CONCATENATE(PARTIDAS!$F4847," (",PARTIDAS!$G4847,")"))</f>
        <v>Abrigos, chaquetones, capas, anoraks, cazadoras y artículos…, de fibras sintéticas o artificiales</v>
      </c>
      <c r="I4847" s="16" t="s">
        <v>9477</v>
      </c>
    </row>
    <row r="4848" spans="1:9" x14ac:dyDescent="0.25">
      <c r="A4848" s="16" t="s">
        <v>13429</v>
      </c>
      <c r="B4848" s="16" t="str">
        <f>TEXT(PARTIDA[[#This Row],[PARTIDA]],"0000000000")</f>
        <v>6201900000</v>
      </c>
      <c r="C4848" s="16" t="s">
        <v>786</v>
      </c>
      <c r="D4848" s="16" t="s">
        <v>787</v>
      </c>
      <c r="E4848" s="16" t="s">
        <v>9435</v>
      </c>
      <c r="F4848" s="27" t="s">
        <v>13305</v>
      </c>
      <c r="G4848" s="27"/>
      <c r="H4848" s="16" t="str">
        <f>IF(ISBLANK(PARTIDAS!$G4848),PARTIDAS!$F4848,CONCATENATE(PARTIDAS!$F4848," (",PARTIDAS!$G4848,")"))</f>
        <v>Abrigos, chaquetones, capas, anoraks, cazadoras y artículos…, de las demás materias textiles</v>
      </c>
      <c r="I4848" s="16" t="s">
        <v>9427</v>
      </c>
    </row>
    <row r="4849" spans="1:9" x14ac:dyDescent="0.25">
      <c r="A4849" s="16" t="s">
        <v>5785</v>
      </c>
      <c r="B4849" s="16" t="str">
        <f>TEXT(PARTIDA[[#This Row],[PARTIDA]],"0000000000")</f>
        <v>6201910000</v>
      </c>
      <c r="C4849" s="16" t="s">
        <v>786</v>
      </c>
      <c r="D4849" s="16" t="s">
        <v>787</v>
      </c>
      <c r="E4849" s="16" t="s">
        <v>9435</v>
      </c>
      <c r="F4849" s="27" t="s">
        <v>13423</v>
      </c>
      <c r="G4849" s="27"/>
      <c r="H4849" s="16" t="str">
        <f>IF(ISBLANK(PARTIDAS!$G4849),PARTIDAS!$F4849,CONCATENATE(PARTIDAS!$F4849," (",PARTIDAS!$G4849,")"))</f>
        <v>De lana o pelo fino</v>
      </c>
      <c r="I4849" s="16" t="s">
        <v>9648</v>
      </c>
    </row>
    <row r="4850" spans="1:9" x14ac:dyDescent="0.25">
      <c r="A4850" s="16" t="s">
        <v>5786</v>
      </c>
      <c r="B4850" s="16" t="str">
        <f>TEXT(PARTIDA[[#This Row],[PARTIDA]],"0000000000")</f>
        <v>6201920000</v>
      </c>
      <c r="C4850" s="16" t="s">
        <v>786</v>
      </c>
      <c r="D4850" s="16" t="s">
        <v>787</v>
      </c>
      <c r="E4850" s="16" t="s">
        <v>9435</v>
      </c>
      <c r="F4850" s="27" t="s">
        <v>13424</v>
      </c>
      <c r="G4850" s="27"/>
      <c r="H4850" s="16" t="str">
        <f>IF(ISBLANK(PARTIDAS!$G4850),PARTIDAS!$F4850,CONCATENATE(PARTIDAS!$F4850," (",PARTIDAS!$G4850,")"))</f>
        <v>De algodón</v>
      </c>
      <c r="I4850" s="16" t="s">
        <v>9648</v>
      </c>
    </row>
    <row r="4851" spans="1:9" x14ac:dyDescent="0.25">
      <c r="A4851" s="16" t="s">
        <v>5787</v>
      </c>
      <c r="B4851" s="16" t="str">
        <f>TEXT(PARTIDA[[#This Row],[PARTIDA]],"0000000000")</f>
        <v>6201930000</v>
      </c>
      <c r="C4851" s="16" t="s">
        <v>786</v>
      </c>
      <c r="D4851" s="16" t="s">
        <v>787</v>
      </c>
      <c r="E4851" s="16" t="s">
        <v>9435</v>
      </c>
      <c r="F4851" s="27" t="s">
        <v>13430</v>
      </c>
      <c r="G4851" s="27"/>
      <c r="H4851" s="16" t="str">
        <f>IF(ISBLANK(PARTIDAS!$G4851),PARTIDAS!$F4851,CONCATENATE(PARTIDAS!$F4851," (",PARTIDAS!$G4851,")"))</f>
        <v>De fibras sintéticas o artificiales</v>
      </c>
      <c r="I4851" s="16" t="s">
        <v>9648</v>
      </c>
    </row>
    <row r="4852" spans="1:9" x14ac:dyDescent="0.25">
      <c r="A4852" s="16" t="s">
        <v>5788</v>
      </c>
      <c r="B4852" s="16" t="str">
        <f>TEXT(PARTIDA[[#This Row],[PARTIDA]],"0000000000")</f>
        <v>6201990000</v>
      </c>
      <c r="C4852" s="16" t="s">
        <v>786</v>
      </c>
      <c r="D4852" s="16" t="s">
        <v>787</v>
      </c>
      <c r="E4852" s="16" t="s">
        <v>9435</v>
      </c>
      <c r="F4852" s="27" t="s">
        <v>13425</v>
      </c>
      <c r="G4852" s="27"/>
      <c r="H4852" s="16" t="str">
        <f>IF(ISBLANK(PARTIDAS!$G4852),PARTIDAS!$F4852,CONCATENATE(PARTIDAS!$F4852," (",PARTIDAS!$G4852,")"))</f>
        <v>De las demás materias textiles</v>
      </c>
      <c r="I4852" s="16" t="s">
        <v>9648</v>
      </c>
    </row>
    <row r="4853" spans="1:9" x14ac:dyDescent="0.25">
      <c r="A4853" s="16" t="s">
        <v>5789</v>
      </c>
      <c r="B4853" s="16" t="str">
        <f>TEXT(PARTIDA[[#This Row],[PARTIDA]],"0000000000")</f>
        <v>6202110000</v>
      </c>
      <c r="C4853" s="16" t="s">
        <v>786</v>
      </c>
      <c r="D4853" s="16" t="s">
        <v>787</v>
      </c>
      <c r="E4853" s="16" t="s">
        <v>9435</v>
      </c>
      <c r="F4853" s="27" t="s">
        <v>13423</v>
      </c>
      <c r="G4853" s="27"/>
      <c r="H4853" s="16" t="str">
        <f>IF(ISBLANK(PARTIDAS!$G4853),PARTIDAS!$F4853,CONCATENATE(PARTIDAS!$F4853," (",PARTIDAS!$G4853,")"))</f>
        <v>De lana o pelo fino</v>
      </c>
      <c r="I4853" s="16" t="s">
        <v>9648</v>
      </c>
    </row>
    <row r="4854" spans="1:9" x14ac:dyDescent="0.25">
      <c r="A4854" s="16" t="s">
        <v>5790</v>
      </c>
      <c r="B4854" s="16" t="str">
        <f>TEXT(PARTIDA[[#This Row],[PARTIDA]],"0000000000")</f>
        <v>6202120000</v>
      </c>
      <c r="C4854" s="16" t="s">
        <v>786</v>
      </c>
      <c r="D4854" s="16" t="s">
        <v>787</v>
      </c>
      <c r="E4854" s="16" t="s">
        <v>9435</v>
      </c>
      <c r="F4854" s="27" t="s">
        <v>13424</v>
      </c>
      <c r="G4854" s="27"/>
      <c r="H4854" s="16" t="str">
        <f>IF(ISBLANK(PARTIDAS!$G4854),PARTIDAS!$F4854,CONCATENATE(PARTIDAS!$F4854," (",PARTIDAS!$G4854,")"))</f>
        <v>De algodón</v>
      </c>
      <c r="I4854" s="16" t="s">
        <v>9648</v>
      </c>
    </row>
    <row r="4855" spans="1:9" x14ac:dyDescent="0.25">
      <c r="A4855" s="16" t="s">
        <v>5791</v>
      </c>
      <c r="B4855" s="16" t="str">
        <f>TEXT(PARTIDA[[#This Row],[PARTIDA]],"0000000000")</f>
        <v>6202130000</v>
      </c>
      <c r="C4855" s="16" t="s">
        <v>786</v>
      </c>
      <c r="D4855" s="16" t="s">
        <v>787</v>
      </c>
      <c r="E4855" s="16" t="s">
        <v>9435</v>
      </c>
      <c r="F4855" s="27" t="s">
        <v>13430</v>
      </c>
      <c r="G4855" s="27"/>
      <c r="H4855" s="16" t="str">
        <f>IF(ISBLANK(PARTIDAS!$G4855),PARTIDAS!$F4855,CONCATENATE(PARTIDAS!$F4855," (",PARTIDAS!$G4855,")"))</f>
        <v>De fibras sintéticas o artificiales</v>
      </c>
      <c r="I4855" s="16" t="s">
        <v>9648</v>
      </c>
    </row>
    <row r="4856" spans="1:9" x14ac:dyDescent="0.25">
      <c r="A4856" s="16" t="s">
        <v>5792</v>
      </c>
      <c r="B4856" s="16" t="str">
        <f>TEXT(PARTIDA[[#This Row],[PARTIDA]],"0000000000")</f>
        <v>6202190000</v>
      </c>
      <c r="C4856" s="16" t="s">
        <v>786</v>
      </c>
      <c r="D4856" s="16" t="s">
        <v>787</v>
      </c>
      <c r="E4856" s="16" t="s">
        <v>9435</v>
      </c>
      <c r="F4856" s="27" t="s">
        <v>13425</v>
      </c>
      <c r="G4856" s="27"/>
      <c r="H4856" s="16" t="str">
        <f>IF(ISBLANK(PARTIDAS!$G4856),PARTIDAS!$F4856,CONCATENATE(PARTIDAS!$F4856," (",PARTIDAS!$G4856,")"))</f>
        <v>De las demás materias textiles</v>
      </c>
      <c r="I4856" s="16" t="s">
        <v>9648</v>
      </c>
    </row>
    <row r="4857" spans="1:9" x14ac:dyDescent="0.25">
      <c r="A4857" s="16" t="s">
        <v>13431</v>
      </c>
      <c r="B4857" s="16" t="str">
        <f>TEXT(PARTIDA[[#This Row],[PARTIDA]],"0000000000")</f>
        <v>6202200000</v>
      </c>
      <c r="C4857" s="16" t="s">
        <v>786</v>
      </c>
      <c r="D4857" s="16" t="s">
        <v>787</v>
      </c>
      <c r="E4857" s="16" t="s">
        <v>9435</v>
      </c>
      <c r="F4857" s="27" t="s">
        <v>13427</v>
      </c>
      <c r="G4857" s="27"/>
      <c r="H4857" s="16" t="str">
        <f>IF(ISBLANK(PARTIDAS!$G4857),PARTIDAS!$F4857,CONCATENATE(PARTIDAS!$F4857," (",PARTIDAS!$G4857,")"))</f>
        <v>Abrigos, chaquetones, capas, anoraks, cazadoras y artículos…, de lana o pelo fino</v>
      </c>
      <c r="I4857" s="16" t="s">
        <v>9427</v>
      </c>
    </row>
    <row r="4858" spans="1:9" x14ac:dyDescent="0.25">
      <c r="A4858" s="16" t="s">
        <v>13432</v>
      </c>
      <c r="B4858" s="16" t="str">
        <f>TEXT(PARTIDA[[#This Row],[PARTIDA]],"0000000000")</f>
        <v>6202300000</v>
      </c>
      <c r="C4858" s="16" t="s">
        <v>786</v>
      </c>
      <c r="D4858" s="16" t="s">
        <v>787</v>
      </c>
      <c r="E4858" s="16" t="s">
        <v>9435</v>
      </c>
      <c r="F4858" s="27" t="s">
        <v>13302</v>
      </c>
      <c r="G4858" s="27"/>
      <c r="H4858" s="16" t="str">
        <f>IF(ISBLANK(PARTIDAS!$G4858),PARTIDAS!$F4858,CONCATENATE(PARTIDAS!$F4858," (",PARTIDAS!$G4858,")"))</f>
        <v>Abrigos, chaquetones, capas, anoraks, cazadoras y artículos…, de algodón</v>
      </c>
      <c r="I4858" s="16" t="s">
        <v>9427</v>
      </c>
    </row>
    <row r="4859" spans="1:9" x14ac:dyDescent="0.25">
      <c r="A4859" s="16" t="s">
        <v>13433</v>
      </c>
      <c r="B4859" s="16" t="str">
        <f>TEXT(PARTIDA[[#This Row],[PARTIDA]],"0000000000")</f>
        <v>6202400000</v>
      </c>
      <c r="C4859" s="16" t="s">
        <v>786</v>
      </c>
      <c r="D4859" s="16" t="s">
        <v>787</v>
      </c>
      <c r="E4859" s="16" t="s">
        <v>9435</v>
      </c>
      <c r="F4859" s="27" t="s">
        <v>9128</v>
      </c>
      <c r="G4859" s="27"/>
      <c r="H4859" s="16" t="str">
        <f>IF(ISBLANK(PARTIDAS!$G4859),PARTIDAS!$F4859,CONCATENATE(PARTIDAS!$F4859," (",PARTIDAS!$G4859,")"))</f>
        <v>Abrigos, chaquetones, capas, anoraks, cazadoras y artículos…, de fibras sintéticas o artificiales</v>
      </c>
      <c r="I4859" s="16" t="s">
        <v>9427</v>
      </c>
    </row>
    <row r="4860" spans="1:9" x14ac:dyDescent="0.25">
      <c r="A4860" s="16" t="s">
        <v>13434</v>
      </c>
      <c r="B4860" s="16" t="str">
        <f>TEXT(PARTIDA[[#This Row],[PARTIDA]],"0000000000")</f>
        <v>6202900000</v>
      </c>
      <c r="C4860" s="16" t="s">
        <v>786</v>
      </c>
      <c r="D4860" s="16" t="s">
        <v>787</v>
      </c>
      <c r="E4860" s="16" t="s">
        <v>9435</v>
      </c>
      <c r="F4860" s="27" t="s">
        <v>13305</v>
      </c>
      <c r="G4860" s="27"/>
      <c r="H4860" s="16" t="str">
        <f>IF(ISBLANK(PARTIDAS!$G4860),PARTIDAS!$F4860,CONCATENATE(PARTIDAS!$F4860," (",PARTIDAS!$G4860,")"))</f>
        <v>Abrigos, chaquetones, capas, anoraks, cazadoras y artículos…, de las demás materias textiles</v>
      </c>
      <c r="I4860" s="16" t="s">
        <v>9427</v>
      </c>
    </row>
    <row r="4861" spans="1:9" x14ac:dyDescent="0.25">
      <c r="A4861" s="16" t="s">
        <v>5793</v>
      </c>
      <c r="B4861" s="16" t="str">
        <f>TEXT(PARTIDA[[#This Row],[PARTIDA]],"0000000000")</f>
        <v>6202910000</v>
      </c>
      <c r="C4861" s="16" t="s">
        <v>786</v>
      </c>
      <c r="D4861" s="16" t="s">
        <v>787</v>
      </c>
      <c r="E4861" s="16" t="s">
        <v>9435</v>
      </c>
      <c r="F4861" s="27" t="s">
        <v>13423</v>
      </c>
      <c r="G4861" s="27"/>
      <c r="H4861" s="16" t="str">
        <f>IF(ISBLANK(PARTIDAS!$G4861),PARTIDAS!$F4861,CONCATENATE(PARTIDAS!$F4861," (",PARTIDAS!$G4861,")"))</f>
        <v>De lana o pelo fino</v>
      </c>
      <c r="I4861" s="16" t="s">
        <v>9648</v>
      </c>
    </row>
    <row r="4862" spans="1:9" x14ac:dyDescent="0.25">
      <c r="A4862" s="16" t="s">
        <v>5794</v>
      </c>
      <c r="B4862" s="16" t="str">
        <f>TEXT(PARTIDA[[#This Row],[PARTIDA]],"0000000000")</f>
        <v>6202920000</v>
      </c>
      <c r="C4862" s="16" t="s">
        <v>786</v>
      </c>
      <c r="D4862" s="16" t="s">
        <v>787</v>
      </c>
      <c r="E4862" s="16" t="s">
        <v>9435</v>
      </c>
      <c r="F4862" s="27" t="s">
        <v>13424</v>
      </c>
      <c r="G4862" s="27"/>
      <c r="H4862" s="16" t="str">
        <f>IF(ISBLANK(PARTIDAS!$G4862),PARTIDAS!$F4862,CONCATENATE(PARTIDAS!$F4862," (",PARTIDAS!$G4862,")"))</f>
        <v>De algodón</v>
      </c>
      <c r="I4862" s="16" t="s">
        <v>9648</v>
      </c>
    </row>
    <row r="4863" spans="1:9" x14ac:dyDescent="0.25">
      <c r="A4863" s="16" t="s">
        <v>5795</v>
      </c>
      <c r="B4863" s="16" t="str">
        <f>TEXT(PARTIDA[[#This Row],[PARTIDA]],"0000000000")</f>
        <v>6202930000</v>
      </c>
      <c r="C4863" s="16" t="s">
        <v>786</v>
      </c>
      <c r="D4863" s="16" t="s">
        <v>787</v>
      </c>
      <c r="E4863" s="16" t="s">
        <v>9435</v>
      </c>
      <c r="F4863" s="27" t="s">
        <v>13430</v>
      </c>
      <c r="G4863" s="27"/>
      <c r="H4863" s="16" t="str">
        <f>IF(ISBLANK(PARTIDAS!$G4863),PARTIDAS!$F4863,CONCATENATE(PARTIDAS!$F4863," (",PARTIDAS!$G4863,")"))</f>
        <v>De fibras sintéticas o artificiales</v>
      </c>
      <c r="I4863" s="16" t="s">
        <v>9648</v>
      </c>
    </row>
    <row r="4864" spans="1:9" x14ac:dyDescent="0.25">
      <c r="A4864" s="16" t="s">
        <v>5796</v>
      </c>
      <c r="B4864" s="16" t="str">
        <f>TEXT(PARTIDA[[#This Row],[PARTIDA]],"0000000000")</f>
        <v>6202990000</v>
      </c>
      <c r="C4864" s="16" t="s">
        <v>786</v>
      </c>
      <c r="D4864" s="16" t="s">
        <v>787</v>
      </c>
      <c r="E4864" s="16" t="s">
        <v>9435</v>
      </c>
      <c r="F4864" s="27" t="s">
        <v>13425</v>
      </c>
      <c r="G4864" s="27"/>
      <c r="H4864" s="16" t="str">
        <f>IF(ISBLANK(PARTIDAS!$G4864),PARTIDAS!$F4864,CONCATENATE(PARTIDAS!$F4864," (",PARTIDAS!$G4864,")"))</f>
        <v>De las demás materias textiles</v>
      </c>
      <c r="I4864" s="16" t="s">
        <v>9648</v>
      </c>
    </row>
    <row r="4865" spans="1:9" x14ac:dyDescent="0.25">
      <c r="A4865" s="16" t="s">
        <v>5797</v>
      </c>
      <c r="B4865" s="16" t="str">
        <f>TEXT(PARTIDA[[#This Row],[PARTIDA]],"0000000000")</f>
        <v>6203110000</v>
      </c>
      <c r="C4865" s="16" t="s">
        <v>786</v>
      </c>
      <c r="D4865" s="16" t="s">
        <v>787</v>
      </c>
      <c r="E4865" s="16" t="s">
        <v>9435</v>
      </c>
      <c r="F4865" s="27" t="s">
        <v>13306</v>
      </c>
      <c r="G4865" s="27"/>
      <c r="H4865" s="16" t="str">
        <f>IF(ISBLANK(PARTIDAS!$G4865),PARTIDAS!$F4865,CONCATENATE(PARTIDAS!$F4865," (",PARTIDAS!$G4865,")"))</f>
        <v>Trajes (ambos o ternos), de lana o pelo fino</v>
      </c>
      <c r="I4865" s="16" t="s">
        <v>9427</v>
      </c>
    </row>
    <row r="4866" spans="1:9" x14ac:dyDescent="0.25">
      <c r="A4866" s="16" t="s">
        <v>5798</v>
      </c>
      <c r="B4866" s="16" t="str">
        <f>TEXT(PARTIDA[[#This Row],[PARTIDA]],"0000000000")</f>
        <v>6203120000</v>
      </c>
      <c r="C4866" s="16" t="s">
        <v>786</v>
      </c>
      <c r="D4866" s="16" t="s">
        <v>787</v>
      </c>
      <c r="E4866" s="16" t="s">
        <v>9435</v>
      </c>
      <c r="F4866" s="27" t="s">
        <v>13307</v>
      </c>
      <c r="G4866" s="27"/>
      <c r="H4866" s="16" t="str">
        <f>IF(ISBLANK(PARTIDAS!$G4866),PARTIDAS!$F4866,CONCATENATE(PARTIDAS!$F4866," (",PARTIDAS!$G4866,")"))</f>
        <v>Trajes (ambos o ternos), de fibras sintéticas</v>
      </c>
      <c r="I4866" s="16" t="s">
        <v>9427</v>
      </c>
    </row>
    <row r="4867" spans="1:9" x14ac:dyDescent="0.25">
      <c r="A4867" s="16" t="s">
        <v>5799</v>
      </c>
      <c r="B4867" s="16" t="str">
        <f>TEXT(PARTIDA[[#This Row],[PARTIDA]],"0000000000")</f>
        <v>6203190000</v>
      </c>
      <c r="C4867" s="16" t="s">
        <v>786</v>
      </c>
      <c r="D4867" s="16" t="s">
        <v>787</v>
      </c>
      <c r="E4867" s="16" t="s">
        <v>9435</v>
      </c>
      <c r="F4867" s="27" t="s">
        <v>13308</v>
      </c>
      <c r="G4867" s="27"/>
      <c r="H4867" s="16" t="str">
        <f>IF(ISBLANK(PARTIDAS!$G4867),PARTIDAS!$F4867,CONCATENATE(PARTIDAS!$F4867," (",PARTIDAS!$G4867,")"))</f>
        <v>Trajes (ambos o ternos), de las demás materias textiles</v>
      </c>
      <c r="I4867" s="16" t="s">
        <v>9427</v>
      </c>
    </row>
    <row r="4868" spans="1:9" x14ac:dyDescent="0.25">
      <c r="A4868" s="16" t="s">
        <v>5800</v>
      </c>
      <c r="B4868" s="16" t="str">
        <f>TEXT(PARTIDA[[#This Row],[PARTIDA]],"0000000000")</f>
        <v>6203220000</v>
      </c>
      <c r="C4868" s="16" t="s">
        <v>786</v>
      </c>
      <c r="D4868" s="16" t="s">
        <v>787</v>
      </c>
      <c r="E4868" s="16" t="s">
        <v>9435</v>
      </c>
      <c r="F4868" s="27" t="s">
        <v>13309</v>
      </c>
      <c r="G4868" s="27"/>
      <c r="H4868" s="16" t="str">
        <f>IF(ISBLANK(PARTIDAS!$G4868),PARTIDAS!$F4868,CONCATENATE(PARTIDAS!$F4868," (",PARTIDAS!$G4868,")"))</f>
        <v>Conjuntos, de algodón</v>
      </c>
      <c r="I4868" s="16" t="s">
        <v>9427</v>
      </c>
    </row>
    <row r="4869" spans="1:9" x14ac:dyDescent="0.25">
      <c r="A4869" s="16" t="s">
        <v>5801</v>
      </c>
      <c r="B4869" s="16" t="str">
        <f>TEXT(PARTIDA[[#This Row],[PARTIDA]],"0000000000")</f>
        <v>6203230000</v>
      </c>
      <c r="C4869" s="16" t="s">
        <v>786</v>
      </c>
      <c r="D4869" s="16" t="s">
        <v>787</v>
      </c>
      <c r="E4869" s="16" t="s">
        <v>9435</v>
      </c>
      <c r="F4869" s="27" t="s">
        <v>13310</v>
      </c>
      <c r="G4869" s="27"/>
      <c r="H4869" s="16" t="str">
        <f>IF(ISBLANK(PARTIDAS!$G4869),PARTIDAS!$F4869,CONCATENATE(PARTIDAS!$F4869," (",PARTIDAS!$G4869,")"))</f>
        <v>Conjuntos, de fibras sintéticas</v>
      </c>
      <c r="I4869" s="16" t="s">
        <v>9427</v>
      </c>
    </row>
    <row r="4870" spans="1:9" x14ac:dyDescent="0.25">
      <c r="A4870" s="16" t="s">
        <v>5802</v>
      </c>
      <c r="B4870" s="16" t="str">
        <f>TEXT(PARTIDA[[#This Row],[PARTIDA]],"0000000000")</f>
        <v>6203291000</v>
      </c>
      <c r="C4870" s="16" t="s">
        <v>786</v>
      </c>
      <c r="D4870" s="16" t="s">
        <v>787</v>
      </c>
      <c r="E4870" s="16" t="s">
        <v>9435</v>
      </c>
      <c r="F4870" s="27" t="s">
        <v>13311</v>
      </c>
      <c r="G4870" s="27"/>
      <c r="H4870" s="16" t="str">
        <f>IF(ISBLANK(PARTIDAS!$G4870),PARTIDAS!$F4870,CONCATENATE(PARTIDAS!$F4870," (",PARTIDAS!$G4870,")"))</f>
        <v>Conjuntos, de las demás materias textiles, de lana o pelo fino</v>
      </c>
      <c r="I4870" s="16" t="s">
        <v>9427</v>
      </c>
    </row>
    <row r="4871" spans="1:9" x14ac:dyDescent="0.25">
      <c r="A4871" s="16" t="s">
        <v>5803</v>
      </c>
      <c r="B4871" s="16" t="str">
        <f>TEXT(PARTIDA[[#This Row],[PARTIDA]],"0000000000")</f>
        <v>6203299000</v>
      </c>
      <c r="C4871" s="16" t="s">
        <v>786</v>
      </c>
      <c r="D4871" s="16" t="s">
        <v>787</v>
      </c>
      <c r="E4871" s="16" t="s">
        <v>9435</v>
      </c>
      <c r="F4871" s="27" t="s">
        <v>13312</v>
      </c>
      <c r="G4871" s="27"/>
      <c r="H4871" s="16" t="str">
        <f>IF(ISBLANK(PARTIDAS!$G4871),PARTIDAS!$F4871,CONCATENATE(PARTIDAS!$F4871," (",PARTIDAS!$G4871,")"))</f>
        <v>Conjuntos, de las demás materias textiles (los demás)</v>
      </c>
      <c r="I4871" s="16" t="s">
        <v>9427</v>
      </c>
    </row>
    <row r="4872" spans="1:9" x14ac:dyDescent="0.25">
      <c r="A4872" s="16" t="s">
        <v>5804</v>
      </c>
      <c r="B4872" s="16" t="str">
        <f>TEXT(PARTIDA[[#This Row],[PARTIDA]],"0000000000")</f>
        <v>6203310000</v>
      </c>
      <c r="C4872" s="16" t="s">
        <v>786</v>
      </c>
      <c r="D4872" s="16" t="s">
        <v>787</v>
      </c>
      <c r="E4872" s="16" t="s">
        <v>9435</v>
      </c>
      <c r="F4872" s="27" t="s">
        <v>13313</v>
      </c>
      <c r="G4872" s="27"/>
      <c r="H4872" s="16" t="str">
        <f>IF(ISBLANK(PARTIDAS!$G4872),PARTIDAS!$F4872,CONCATENATE(PARTIDAS!$F4872," (",PARTIDAS!$G4872,")"))</f>
        <v>Chaquetas (sacos), de lana o pelo fino</v>
      </c>
      <c r="I4872" s="16" t="s">
        <v>9427</v>
      </c>
    </row>
    <row r="4873" spans="1:9" x14ac:dyDescent="0.25">
      <c r="A4873" s="16" t="s">
        <v>5805</v>
      </c>
      <c r="B4873" s="16" t="str">
        <f>TEXT(PARTIDA[[#This Row],[PARTIDA]],"0000000000")</f>
        <v>6203320000</v>
      </c>
      <c r="C4873" s="16" t="s">
        <v>786</v>
      </c>
      <c r="D4873" s="16" t="s">
        <v>787</v>
      </c>
      <c r="E4873" s="16" t="s">
        <v>9435</v>
      </c>
      <c r="F4873" s="27" t="s">
        <v>13314</v>
      </c>
      <c r="G4873" s="27"/>
      <c r="H4873" s="16" t="str">
        <f>IF(ISBLANK(PARTIDAS!$G4873),PARTIDAS!$F4873,CONCATENATE(PARTIDAS!$F4873," (",PARTIDAS!$G4873,")"))</f>
        <v>Chaquetas (sacos), de algodón</v>
      </c>
      <c r="I4873" s="16" t="s">
        <v>9427</v>
      </c>
    </row>
    <row r="4874" spans="1:9" x14ac:dyDescent="0.25">
      <c r="A4874" s="16" t="s">
        <v>5806</v>
      </c>
      <c r="B4874" s="16" t="str">
        <f>TEXT(PARTIDA[[#This Row],[PARTIDA]],"0000000000")</f>
        <v>6203330000</v>
      </c>
      <c r="C4874" s="16" t="s">
        <v>786</v>
      </c>
      <c r="D4874" s="16" t="s">
        <v>787</v>
      </c>
      <c r="E4874" s="16" t="s">
        <v>9435</v>
      </c>
      <c r="F4874" s="27" t="s">
        <v>13315</v>
      </c>
      <c r="G4874" s="27"/>
      <c r="H4874" s="16" t="str">
        <f>IF(ISBLANK(PARTIDAS!$G4874),PARTIDAS!$F4874,CONCATENATE(PARTIDAS!$F4874," (",PARTIDAS!$G4874,")"))</f>
        <v>Chaquetas (sacos), de fibras sintéticas</v>
      </c>
      <c r="I4874" s="16" t="s">
        <v>9427</v>
      </c>
    </row>
    <row r="4875" spans="1:9" x14ac:dyDescent="0.25">
      <c r="A4875" s="16" t="s">
        <v>5807</v>
      </c>
      <c r="B4875" s="16" t="str">
        <f>TEXT(PARTIDA[[#This Row],[PARTIDA]],"0000000000")</f>
        <v>6203390000</v>
      </c>
      <c r="C4875" s="16" t="s">
        <v>786</v>
      </c>
      <c r="D4875" s="16" t="s">
        <v>787</v>
      </c>
      <c r="E4875" s="16" t="s">
        <v>9435</v>
      </c>
      <c r="F4875" s="27" t="s">
        <v>13316</v>
      </c>
      <c r="G4875" s="27"/>
      <c r="H4875" s="16" t="str">
        <f>IF(ISBLANK(PARTIDAS!$G4875),PARTIDAS!$F4875,CONCATENATE(PARTIDAS!$F4875," (",PARTIDAS!$G4875,")"))</f>
        <v>Chaquetas (sacos), de las demás materias textiles</v>
      </c>
      <c r="I4875" s="16" t="s">
        <v>9427</v>
      </c>
    </row>
    <row r="4876" spans="1:9" x14ac:dyDescent="0.25">
      <c r="A4876" s="16" t="s">
        <v>5808</v>
      </c>
      <c r="B4876" s="16" t="str">
        <f>TEXT(PARTIDA[[#This Row],[PARTIDA]],"0000000000")</f>
        <v>6203410000</v>
      </c>
      <c r="C4876" s="16" t="s">
        <v>786</v>
      </c>
      <c r="D4876" s="16" t="s">
        <v>787</v>
      </c>
      <c r="E4876" s="16" t="s">
        <v>9435</v>
      </c>
      <c r="F4876" s="27" t="s">
        <v>13317</v>
      </c>
      <c r="G4876" s="27"/>
      <c r="H4876" s="16" t="str">
        <f>IF(ISBLANK(PARTIDAS!$G4876),PARTIDAS!$F4876,CONCATENATE(PARTIDAS!$F4876," (",PARTIDAS!$G4876,")"))</f>
        <v>Pantalones largos, pantalones con peto, pantalones cortos (calzones)…, de lana o pelo fino</v>
      </c>
      <c r="I4876" s="16" t="s">
        <v>9427</v>
      </c>
    </row>
    <row r="4877" spans="1:9" x14ac:dyDescent="0.25">
      <c r="A4877" s="16" t="s">
        <v>5809</v>
      </c>
      <c r="B4877" s="16" t="str">
        <f>TEXT(PARTIDA[[#This Row],[PARTIDA]],"0000000000")</f>
        <v>6203421010</v>
      </c>
      <c r="C4877" s="16" t="s">
        <v>786</v>
      </c>
      <c r="D4877" s="16" t="s">
        <v>787</v>
      </c>
      <c r="E4877" s="16" t="s">
        <v>9435</v>
      </c>
      <c r="F4877" s="27" t="s">
        <v>13435</v>
      </c>
      <c r="G4877" s="27"/>
      <c r="H4877" s="16" t="str">
        <f>IF(ISBLANK(PARTIDAS!$G4877),PARTIDAS!$F4877,CONCATENATE(PARTIDAS!$F4877," (",PARTIDAS!$G4877,")"))</f>
        <v>Pantalones largos y pantalones con peto</v>
      </c>
      <c r="I4877" s="16" t="s">
        <v>9427</v>
      </c>
    </row>
    <row r="4878" spans="1:9" x14ac:dyDescent="0.25">
      <c r="A4878" s="16" t="s">
        <v>5810</v>
      </c>
      <c r="B4878" s="16" t="str">
        <f>TEXT(PARTIDA[[#This Row],[PARTIDA]],"0000000000")</f>
        <v>6203421020</v>
      </c>
      <c r="C4878" s="16" t="s">
        <v>786</v>
      </c>
      <c r="D4878" s="16" t="s">
        <v>787</v>
      </c>
      <c r="E4878" s="16" t="s">
        <v>9435</v>
      </c>
      <c r="F4878" s="27" t="s">
        <v>13436</v>
      </c>
      <c r="G4878" s="27"/>
      <c r="H4878" s="16" t="str">
        <f>IF(ISBLANK(PARTIDAS!$G4878),PARTIDAS!$F4878,CONCATENATE(PARTIDAS!$F4878," (",PARTIDAS!$G4878,")"))</f>
        <v>Pantalones cortos (calzones) y shorts</v>
      </c>
      <c r="I4878" s="16" t="s">
        <v>9427</v>
      </c>
    </row>
    <row r="4879" spans="1:9" x14ac:dyDescent="0.25">
      <c r="A4879" s="16" t="s">
        <v>5811</v>
      </c>
      <c r="B4879" s="16" t="str">
        <f>TEXT(PARTIDA[[#This Row],[PARTIDA]],"0000000000")</f>
        <v>6203422010</v>
      </c>
      <c r="C4879" s="16" t="s">
        <v>786</v>
      </c>
      <c r="D4879" s="16" t="s">
        <v>787</v>
      </c>
      <c r="E4879" s="16" t="s">
        <v>9435</v>
      </c>
      <c r="F4879" s="27" t="s">
        <v>13435</v>
      </c>
      <c r="G4879" s="27"/>
      <c r="H4879" s="16" t="str">
        <f>IF(ISBLANK(PARTIDAS!$G4879),PARTIDAS!$F4879,CONCATENATE(PARTIDAS!$F4879," (",PARTIDAS!$G4879,")"))</f>
        <v>Pantalones largos y pantalones con peto</v>
      </c>
      <c r="I4879" s="16" t="s">
        <v>9427</v>
      </c>
    </row>
    <row r="4880" spans="1:9" x14ac:dyDescent="0.25">
      <c r="A4880" s="16" t="s">
        <v>5812</v>
      </c>
      <c r="B4880" s="16" t="str">
        <f>TEXT(PARTIDA[[#This Row],[PARTIDA]],"0000000000")</f>
        <v>6203422020</v>
      </c>
      <c r="C4880" s="16" t="s">
        <v>786</v>
      </c>
      <c r="D4880" s="16" t="s">
        <v>787</v>
      </c>
      <c r="E4880" s="16" t="s">
        <v>9435</v>
      </c>
      <c r="F4880" s="27" t="s">
        <v>5666</v>
      </c>
      <c r="G4880" s="27"/>
      <c r="H4880" s="16" t="str">
        <f>IF(ISBLANK(PARTIDAS!$G4880),PARTIDAS!$F4880,CONCATENATE(PARTIDAS!$F4880," (",PARTIDAS!$G4880,")"))</f>
        <v>Prendas de vestir</v>
      </c>
      <c r="I4880" s="16" t="s">
        <v>9427</v>
      </c>
    </row>
    <row r="4881" spans="1:9" x14ac:dyDescent="0.25">
      <c r="A4881" s="16" t="s">
        <v>5813</v>
      </c>
      <c r="B4881" s="16" t="str">
        <f>TEXT(PARTIDA[[#This Row],[PARTIDA]],"0000000000")</f>
        <v>6203429010</v>
      </c>
      <c r="C4881" s="16" t="s">
        <v>786</v>
      </c>
      <c r="D4881" s="16" t="s">
        <v>787</v>
      </c>
      <c r="E4881" s="16" t="s">
        <v>9435</v>
      </c>
      <c r="F4881" s="27" t="s">
        <v>13435</v>
      </c>
      <c r="G4881" s="27"/>
      <c r="H4881" s="16" t="str">
        <f>IF(ISBLANK(PARTIDAS!$G4881),PARTIDAS!$F4881,CONCATENATE(PARTIDAS!$F4881," (",PARTIDAS!$G4881,")"))</f>
        <v>Pantalones largos y pantalones con peto</v>
      </c>
      <c r="I4881" s="16" t="s">
        <v>9427</v>
      </c>
    </row>
    <row r="4882" spans="1:9" x14ac:dyDescent="0.25">
      <c r="A4882" s="16" t="s">
        <v>5814</v>
      </c>
      <c r="B4882" s="16" t="str">
        <f>TEXT(PARTIDA[[#This Row],[PARTIDA]],"0000000000")</f>
        <v>6203429020</v>
      </c>
      <c r="C4882" s="16" t="s">
        <v>786</v>
      </c>
      <c r="D4882" s="16" t="s">
        <v>787</v>
      </c>
      <c r="E4882" s="16" t="s">
        <v>9435</v>
      </c>
      <c r="F4882" s="27" t="s">
        <v>13436</v>
      </c>
      <c r="G4882" s="27"/>
      <c r="H4882" s="16" t="str">
        <f>IF(ISBLANK(PARTIDAS!$G4882),PARTIDAS!$F4882,CONCATENATE(PARTIDAS!$F4882," (",PARTIDAS!$G4882,")"))</f>
        <v>Pantalones cortos (calzones) y shorts</v>
      </c>
      <c r="I4882" s="16" t="s">
        <v>9427</v>
      </c>
    </row>
    <row r="4883" spans="1:9" x14ac:dyDescent="0.25">
      <c r="A4883" s="16" t="s">
        <v>5815</v>
      </c>
      <c r="B4883" s="16" t="str">
        <f>TEXT(PARTIDA[[#This Row],[PARTIDA]],"0000000000")</f>
        <v>6203430000</v>
      </c>
      <c r="C4883" s="16" t="s">
        <v>786</v>
      </c>
      <c r="D4883" s="16" t="s">
        <v>787</v>
      </c>
      <c r="E4883" s="16" t="s">
        <v>9435</v>
      </c>
      <c r="F4883" s="27" t="s">
        <v>5666</v>
      </c>
      <c r="G4883" s="27"/>
      <c r="H4883" s="16" t="str">
        <f>IF(ISBLANK(PARTIDAS!$G4883),PARTIDAS!$F4883,CONCATENATE(PARTIDAS!$F4883," (",PARTIDAS!$G4883,")"))</f>
        <v>Prendas de vestir</v>
      </c>
      <c r="I4883" s="16" t="s">
        <v>9427</v>
      </c>
    </row>
    <row r="4884" spans="1:9" x14ac:dyDescent="0.25">
      <c r="A4884" s="16" t="s">
        <v>5816</v>
      </c>
      <c r="B4884" s="16" t="str">
        <f>TEXT(PARTIDA[[#This Row],[PARTIDA]],"0000000000")</f>
        <v>6203490000</v>
      </c>
      <c r="C4884" s="16" t="s">
        <v>786</v>
      </c>
      <c r="D4884" s="16" t="s">
        <v>787</v>
      </c>
      <c r="E4884" s="16" t="s">
        <v>9435</v>
      </c>
      <c r="F4884" s="27" t="s">
        <v>5666</v>
      </c>
      <c r="G4884" s="27"/>
      <c r="H4884" s="16" t="str">
        <f>IF(ISBLANK(PARTIDAS!$G4884),PARTIDAS!$F4884,CONCATENATE(PARTIDAS!$F4884," (",PARTIDAS!$G4884,")"))</f>
        <v>Prendas de vestir</v>
      </c>
      <c r="I4884" s="16" t="s">
        <v>9427</v>
      </c>
    </row>
    <row r="4885" spans="1:9" x14ac:dyDescent="0.25">
      <c r="A4885" s="16" t="s">
        <v>5817</v>
      </c>
      <c r="B4885" s="16" t="str">
        <f>TEXT(PARTIDA[[#This Row],[PARTIDA]],"0000000000")</f>
        <v>6204110000</v>
      </c>
      <c r="C4885" s="16" t="s">
        <v>786</v>
      </c>
      <c r="D4885" s="16" t="s">
        <v>787</v>
      </c>
      <c r="E4885" s="16" t="s">
        <v>9435</v>
      </c>
      <c r="F4885" s="27" t="s">
        <v>13437</v>
      </c>
      <c r="G4885" s="27"/>
      <c r="H4885" s="16" t="str">
        <f>IF(ISBLANK(PARTIDAS!$G4885),PARTIDAS!$F4885,CONCATENATE(PARTIDAS!$F4885," (",PARTIDAS!$G4885,")"))</f>
        <v>Trajes sastre, de lana o pelo fino</v>
      </c>
      <c r="I4885" s="16" t="s">
        <v>9427</v>
      </c>
    </row>
    <row r="4886" spans="1:9" x14ac:dyDescent="0.25">
      <c r="A4886" s="16" t="s">
        <v>5818</v>
      </c>
      <c r="B4886" s="16" t="str">
        <f>TEXT(PARTIDA[[#This Row],[PARTIDA]],"0000000000")</f>
        <v>6204120000</v>
      </c>
      <c r="C4886" s="16" t="s">
        <v>786</v>
      </c>
      <c r="D4886" s="16" t="s">
        <v>787</v>
      </c>
      <c r="E4886" s="16" t="s">
        <v>9435</v>
      </c>
      <c r="F4886" s="27" t="s">
        <v>13438</v>
      </c>
      <c r="G4886" s="27"/>
      <c r="H4886" s="16" t="str">
        <f>IF(ISBLANK(PARTIDAS!$G4886),PARTIDAS!$F4886,CONCATENATE(PARTIDAS!$F4886," (",PARTIDAS!$G4886,")"))</f>
        <v>Trajes sastre, de algodón</v>
      </c>
      <c r="I4886" s="16" t="s">
        <v>9427</v>
      </c>
    </row>
    <row r="4887" spans="1:9" x14ac:dyDescent="0.25">
      <c r="A4887" s="16" t="s">
        <v>5819</v>
      </c>
      <c r="B4887" s="16" t="str">
        <f>TEXT(PARTIDA[[#This Row],[PARTIDA]],"0000000000")</f>
        <v>6204130000</v>
      </c>
      <c r="C4887" s="16" t="s">
        <v>786</v>
      </c>
      <c r="D4887" s="16" t="s">
        <v>787</v>
      </c>
      <c r="E4887" s="16" t="s">
        <v>9435</v>
      </c>
      <c r="F4887" s="27" t="s">
        <v>13321</v>
      </c>
      <c r="G4887" s="27"/>
      <c r="H4887" s="16" t="str">
        <f>IF(ISBLANK(PARTIDAS!$G4887),PARTIDAS!$F4887,CONCATENATE(PARTIDAS!$F4887," (",PARTIDAS!$G4887,")"))</f>
        <v>Trajes sastre, de fibras sintéticas</v>
      </c>
      <c r="I4887" s="16" t="s">
        <v>9427</v>
      </c>
    </row>
    <row r="4888" spans="1:9" x14ac:dyDescent="0.25">
      <c r="A4888" s="16" t="s">
        <v>5820</v>
      </c>
      <c r="B4888" s="16" t="str">
        <f>TEXT(PARTIDA[[#This Row],[PARTIDA]],"0000000000")</f>
        <v>6204190000</v>
      </c>
      <c r="C4888" s="16" t="s">
        <v>786</v>
      </c>
      <c r="D4888" s="16" t="s">
        <v>787</v>
      </c>
      <c r="E4888" s="16" t="s">
        <v>9435</v>
      </c>
      <c r="F4888" s="27" t="s">
        <v>13439</v>
      </c>
      <c r="G4888" s="27"/>
      <c r="H4888" s="16" t="str">
        <f>IF(ISBLANK(PARTIDAS!$G4888),PARTIDAS!$F4888,CONCATENATE(PARTIDAS!$F4888," (",PARTIDAS!$G4888,")"))</f>
        <v>Trajes sastre, de las demás materias textiles</v>
      </c>
      <c r="I4888" s="16" t="s">
        <v>9427</v>
      </c>
    </row>
    <row r="4889" spans="1:9" x14ac:dyDescent="0.25">
      <c r="A4889" s="16" t="s">
        <v>5821</v>
      </c>
      <c r="B4889" s="16" t="str">
        <f>TEXT(PARTIDA[[#This Row],[PARTIDA]],"0000000000")</f>
        <v>6204210000</v>
      </c>
      <c r="C4889" s="16" t="s">
        <v>786</v>
      </c>
      <c r="D4889" s="16" t="s">
        <v>787</v>
      </c>
      <c r="E4889" s="16" t="s">
        <v>9435</v>
      </c>
      <c r="F4889" s="27" t="s">
        <v>13440</v>
      </c>
      <c r="G4889" s="27"/>
      <c r="H4889" s="16" t="str">
        <f>IF(ISBLANK(PARTIDAS!$G4889),PARTIDAS!$F4889,CONCATENATE(PARTIDAS!$F4889," (",PARTIDAS!$G4889,")"))</f>
        <v>Conjuntos, de lana o pelo fino</v>
      </c>
      <c r="I4889" s="16" t="s">
        <v>9427</v>
      </c>
    </row>
    <row r="4890" spans="1:9" x14ac:dyDescent="0.25">
      <c r="A4890" s="16" t="s">
        <v>5822</v>
      </c>
      <c r="B4890" s="16" t="str">
        <f>TEXT(PARTIDA[[#This Row],[PARTIDA]],"0000000000")</f>
        <v>6204220000</v>
      </c>
      <c r="C4890" s="16" t="s">
        <v>786</v>
      </c>
      <c r="D4890" s="16" t="s">
        <v>787</v>
      </c>
      <c r="E4890" s="16" t="s">
        <v>9435</v>
      </c>
      <c r="F4890" s="27" t="s">
        <v>13309</v>
      </c>
      <c r="G4890" s="27"/>
      <c r="H4890" s="16" t="str">
        <f>IF(ISBLANK(PARTIDAS!$G4890),PARTIDAS!$F4890,CONCATENATE(PARTIDAS!$F4890," (",PARTIDAS!$G4890,")"))</f>
        <v>Conjuntos, de algodón</v>
      </c>
      <c r="I4890" s="16" t="s">
        <v>9427</v>
      </c>
    </row>
    <row r="4891" spans="1:9" x14ac:dyDescent="0.25">
      <c r="A4891" s="16" t="s">
        <v>5823</v>
      </c>
      <c r="B4891" s="16" t="str">
        <f>TEXT(PARTIDA[[#This Row],[PARTIDA]],"0000000000")</f>
        <v>6204230000</v>
      </c>
      <c r="C4891" s="16" t="s">
        <v>786</v>
      </c>
      <c r="D4891" s="16" t="s">
        <v>787</v>
      </c>
      <c r="E4891" s="16" t="s">
        <v>9435</v>
      </c>
      <c r="F4891" s="27" t="s">
        <v>13310</v>
      </c>
      <c r="G4891" s="27"/>
      <c r="H4891" s="16" t="str">
        <f>IF(ISBLANK(PARTIDAS!$G4891),PARTIDAS!$F4891,CONCATENATE(PARTIDAS!$F4891," (",PARTIDAS!$G4891,")"))</f>
        <v>Conjuntos, de fibras sintéticas</v>
      </c>
      <c r="I4891" s="16" t="s">
        <v>9427</v>
      </c>
    </row>
    <row r="4892" spans="1:9" x14ac:dyDescent="0.25">
      <c r="A4892" s="16" t="s">
        <v>5824</v>
      </c>
      <c r="B4892" s="16" t="str">
        <f>TEXT(PARTIDA[[#This Row],[PARTIDA]],"0000000000")</f>
        <v>6204290000</v>
      </c>
      <c r="C4892" s="16" t="s">
        <v>786</v>
      </c>
      <c r="D4892" s="16" t="s">
        <v>787</v>
      </c>
      <c r="E4892" s="16" t="s">
        <v>9435</v>
      </c>
      <c r="F4892" s="27" t="s">
        <v>13441</v>
      </c>
      <c r="G4892" s="27"/>
      <c r="H4892" s="16" t="str">
        <f>IF(ISBLANK(PARTIDAS!$G4892),PARTIDAS!$F4892,CONCATENATE(PARTIDAS!$F4892," (",PARTIDAS!$G4892,")"))</f>
        <v>Conjuntos, de las demás materias textiles</v>
      </c>
      <c r="I4892" s="16" t="s">
        <v>9427</v>
      </c>
    </row>
    <row r="4893" spans="1:9" x14ac:dyDescent="0.25">
      <c r="A4893" s="16" t="s">
        <v>5825</v>
      </c>
      <c r="B4893" s="16" t="str">
        <f>TEXT(PARTIDA[[#This Row],[PARTIDA]],"0000000000")</f>
        <v>6204310000</v>
      </c>
      <c r="C4893" s="16" t="s">
        <v>786</v>
      </c>
      <c r="D4893" s="16" t="s">
        <v>787</v>
      </c>
      <c r="E4893" s="16" t="s">
        <v>9435</v>
      </c>
      <c r="F4893" s="27" t="s">
        <v>13313</v>
      </c>
      <c r="G4893" s="27"/>
      <c r="H4893" s="16" t="str">
        <f>IF(ISBLANK(PARTIDAS!$G4893),PARTIDAS!$F4893,CONCATENATE(PARTIDAS!$F4893," (",PARTIDAS!$G4893,")"))</f>
        <v>Chaquetas (sacos), de lana o pelo fino</v>
      </c>
      <c r="I4893" s="16" t="s">
        <v>9427</v>
      </c>
    </row>
    <row r="4894" spans="1:9" x14ac:dyDescent="0.25">
      <c r="A4894" s="16" t="s">
        <v>5826</v>
      </c>
      <c r="B4894" s="16" t="str">
        <f>TEXT(PARTIDA[[#This Row],[PARTIDA]],"0000000000")</f>
        <v>6204320000</v>
      </c>
      <c r="C4894" s="16" t="s">
        <v>786</v>
      </c>
      <c r="D4894" s="16" t="s">
        <v>787</v>
      </c>
      <c r="E4894" s="16" t="s">
        <v>9435</v>
      </c>
      <c r="F4894" s="27" t="s">
        <v>13314</v>
      </c>
      <c r="G4894" s="27"/>
      <c r="H4894" s="16" t="str">
        <f>IF(ISBLANK(PARTIDAS!$G4894),PARTIDAS!$F4894,CONCATENATE(PARTIDAS!$F4894," (",PARTIDAS!$G4894,")"))</f>
        <v>Chaquetas (sacos), de algodón</v>
      </c>
      <c r="I4894" s="16" t="s">
        <v>9427</v>
      </c>
    </row>
    <row r="4895" spans="1:9" x14ac:dyDescent="0.25">
      <c r="A4895" s="16" t="s">
        <v>5827</v>
      </c>
      <c r="B4895" s="16" t="str">
        <f>TEXT(PARTIDA[[#This Row],[PARTIDA]],"0000000000")</f>
        <v>6204330000</v>
      </c>
      <c r="C4895" s="16" t="s">
        <v>786</v>
      </c>
      <c r="D4895" s="16" t="s">
        <v>787</v>
      </c>
      <c r="E4895" s="16" t="s">
        <v>9435</v>
      </c>
      <c r="F4895" s="27" t="s">
        <v>13315</v>
      </c>
      <c r="G4895" s="27"/>
      <c r="H4895" s="16" t="str">
        <f>IF(ISBLANK(PARTIDAS!$G4895),PARTIDAS!$F4895,CONCATENATE(PARTIDAS!$F4895," (",PARTIDAS!$G4895,")"))</f>
        <v>Chaquetas (sacos), de fibras sintéticas</v>
      </c>
      <c r="I4895" s="16" t="s">
        <v>9427</v>
      </c>
    </row>
    <row r="4896" spans="1:9" x14ac:dyDescent="0.25">
      <c r="A4896" s="16" t="s">
        <v>5828</v>
      </c>
      <c r="B4896" s="16" t="str">
        <f>TEXT(PARTIDA[[#This Row],[PARTIDA]],"0000000000")</f>
        <v>6204390000</v>
      </c>
      <c r="C4896" s="16" t="s">
        <v>786</v>
      </c>
      <c r="D4896" s="16" t="s">
        <v>787</v>
      </c>
      <c r="E4896" s="16" t="s">
        <v>9435</v>
      </c>
      <c r="F4896" s="27" t="s">
        <v>13316</v>
      </c>
      <c r="G4896" s="27"/>
      <c r="H4896" s="16" t="str">
        <f>IF(ISBLANK(PARTIDAS!$G4896),PARTIDAS!$F4896,CONCATENATE(PARTIDAS!$F4896," (",PARTIDAS!$G4896,")"))</f>
        <v>Chaquetas (sacos), de las demás materias textiles</v>
      </c>
      <c r="I4896" s="16" t="s">
        <v>9427</v>
      </c>
    </row>
    <row r="4897" spans="1:9" x14ac:dyDescent="0.25">
      <c r="A4897" s="16" t="s">
        <v>5829</v>
      </c>
      <c r="B4897" s="16" t="str">
        <f>TEXT(PARTIDA[[#This Row],[PARTIDA]],"0000000000")</f>
        <v>6204410000</v>
      </c>
      <c r="C4897" s="16" t="s">
        <v>786</v>
      </c>
      <c r="D4897" s="16" t="s">
        <v>787</v>
      </c>
      <c r="E4897" s="16" t="s">
        <v>9435</v>
      </c>
      <c r="F4897" s="27" t="s">
        <v>13325</v>
      </c>
      <c r="G4897" s="27"/>
      <c r="H4897" s="16" t="str">
        <f>IF(ISBLANK(PARTIDAS!$G4897),PARTIDAS!$F4897,CONCATENATE(PARTIDAS!$F4897," (",PARTIDAS!$G4897,")"))</f>
        <v>Vestidos, de lana o pelo fino</v>
      </c>
      <c r="I4897" s="16" t="s">
        <v>9427</v>
      </c>
    </row>
    <row r="4898" spans="1:9" x14ac:dyDescent="0.25">
      <c r="A4898" s="16" t="s">
        <v>5830</v>
      </c>
      <c r="B4898" s="16" t="str">
        <f>TEXT(PARTIDA[[#This Row],[PARTIDA]],"0000000000")</f>
        <v>6204420000</v>
      </c>
      <c r="C4898" s="16" t="s">
        <v>786</v>
      </c>
      <c r="D4898" s="16" t="s">
        <v>787</v>
      </c>
      <c r="E4898" s="16" t="s">
        <v>9435</v>
      </c>
      <c r="F4898" s="27" t="s">
        <v>13326</v>
      </c>
      <c r="G4898" s="27"/>
      <c r="H4898" s="16" t="str">
        <f>IF(ISBLANK(PARTIDAS!$G4898),PARTIDAS!$F4898,CONCATENATE(PARTIDAS!$F4898," (",PARTIDAS!$G4898,")"))</f>
        <v>Vestidos, de algodón</v>
      </c>
      <c r="I4898" s="16" t="s">
        <v>9427</v>
      </c>
    </row>
    <row r="4899" spans="1:9" x14ac:dyDescent="0.25">
      <c r="A4899" s="16" t="s">
        <v>5831</v>
      </c>
      <c r="B4899" s="16" t="str">
        <f>TEXT(PARTIDA[[#This Row],[PARTIDA]],"0000000000")</f>
        <v>6204430000</v>
      </c>
      <c r="C4899" s="16" t="s">
        <v>786</v>
      </c>
      <c r="D4899" s="16" t="s">
        <v>787</v>
      </c>
      <c r="E4899" s="16" t="s">
        <v>9435</v>
      </c>
      <c r="F4899" s="27" t="s">
        <v>13327</v>
      </c>
      <c r="G4899" s="27"/>
      <c r="H4899" s="16" t="str">
        <f>IF(ISBLANK(PARTIDAS!$G4899),PARTIDAS!$F4899,CONCATENATE(PARTIDAS!$F4899," (",PARTIDAS!$G4899,")"))</f>
        <v>Vestidos, de fibras sintéticas</v>
      </c>
      <c r="I4899" s="16" t="s">
        <v>9427</v>
      </c>
    </row>
    <row r="4900" spans="1:9" x14ac:dyDescent="0.25">
      <c r="A4900" s="16" t="s">
        <v>5832</v>
      </c>
      <c r="B4900" s="16" t="str">
        <f>TEXT(PARTIDA[[#This Row],[PARTIDA]],"0000000000")</f>
        <v>6204440000</v>
      </c>
      <c r="C4900" s="16" t="s">
        <v>786</v>
      </c>
      <c r="D4900" s="16" t="s">
        <v>787</v>
      </c>
      <c r="E4900" s="16" t="s">
        <v>9435</v>
      </c>
      <c r="F4900" s="27" t="s">
        <v>13328</v>
      </c>
      <c r="G4900" s="27"/>
      <c r="H4900" s="16" t="str">
        <f>IF(ISBLANK(PARTIDAS!$G4900),PARTIDAS!$F4900,CONCATENATE(PARTIDAS!$F4900," (",PARTIDAS!$G4900,")"))</f>
        <v>Vestidos, de fibras artificiales</v>
      </c>
      <c r="I4900" s="16" t="s">
        <v>9427</v>
      </c>
    </row>
    <row r="4901" spans="1:9" x14ac:dyDescent="0.25">
      <c r="A4901" s="16" t="s">
        <v>5833</v>
      </c>
      <c r="B4901" s="16" t="str">
        <f>TEXT(PARTIDA[[#This Row],[PARTIDA]],"0000000000")</f>
        <v>6204490000</v>
      </c>
      <c r="C4901" s="16" t="s">
        <v>786</v>
      </c>
      <c r="D4901" s="16" t="s">
        <v>787</v>
      </c>
      <c r="E4901" s="16" t="s">
        <v>9435</v>
      </c>
      <c r="F4901" s="27" t="s">
        <v>13329</v>
      </c>
      <c r="G4901" s="27"/>
      <c r="H4901" s="16" t="str">
        <f>IF(ISBLANK(PARTIDAS!$G4901),PARTIDAS!$F4901,CONCATENATE(PARTIDAS!$F4901," (",PARTIDAS!$G4901,")"))</f>
        <v>Vestidos, de las demás materias textiles</v>
      </c>
      <c r="I4901" s="16" t="s">
        <v>9427</v>
      </c>
    </row>
    <row r="4902" spans="1:9" x14ac:dyDescent="0.25">
      <c r="A4902" s="16" t="s">
        <v>5834</v>
      </c>
      <c r="B4902" s="16" t="str">
        <f>TEXT(PARTIDA[[#This Row],[PARTIDA]],"0000000000")</f>
        <v>6204510000</v>
      </c>
      <c r="C4902" s="16" t="s">
        <v>786</v>
      </c>
      <c r="D4902" s="16" t="s">
        <v>787</v>
      </c>
      <c r="E4902" s="16" t="s">
        <v>9435</v>
      </c>
      <c r="F4902" s="27" t="s">
        <v>13330</v>
      </c>
      <c r="G4902" s="27"/>
      <c r="H4902" s="16" t="str">
        <f>IF(ISBLANK(PARTIDAS!$G4902),PARTIDAS!$F4902,CONCATENATE(PARTIDAS!$F4902," (",PARTIDAS!$G4902,")"))</f>
        <v>Faldas y faldas pantalón, de lana o pelo fino</v>
      </c>
      <c r="I4902" s="16" t="s">
        <v>9427</v>
      </c>
    </row>
    <row r="4903" spans="1:9" x14ac:dyDescent="0.25">
      <c r="A4903" s="16" t="s">
        <v>5835</v>
      </c>
      <c r="B4903" s="16" t="str">
        <f>TEXT(PARTIDA[[#This Row],[PARTIDA]],"0000000000")</f>
        <v>6204520000</v>
      </c>
      <c r="C4903" s="16" t="s">
        <v>786</v>
      </c>
      <c r="D4903" s="16" t="s">
        <v>787</v>
      </c>
      <c r="E4903" s="16" t="s">
        <v>9435</v>
      </c>
      <c r="F4903" s="27" t="s">
        <v>13331</v>
      </c>
      <c r="G4903" s="27"/>
      <c r="H4903" s="16" t="str">
        <f>IF(ISBLANK(PARTIDAS!$G4903),PARTIDAS!$F4903,CONCATENATE(PARTIDAS!$F4903," (",PARTIDAS!$G4903,")"))</f>
        <v>Faldas y faldas pantalón, de algodón</v>
      </c>
      <c r="I4903" s="16" t="s">
        <v>9427</v>
      </c>
    </row>
    <row r="4904" spans="1:9" x14ac:dyDescent="0.25">
      <c r="A4904" s="16" t="s">
        <v>5836</v>
      </c>
      <c r="B4904" s="16" t="str">
        <f>TEXT(PARTIDA[[#This Row],[PARTIDA]],"0000000000")</f>
        <v>6204530000</v>
      </c>
      <c r="C4904" s="16" t="s">
        <v>786</v>
      </c>
      <c r="D4904" s="16" t="s">
        <v>787</v>
      </c>
      <c r="E4904" s="16" t="s">
        <v>9435</v>
      </c>
      <c r="F4904" s="27" t="s">
        <v>13332</v>
      </c>
      <c r="G4904" s="27"/>
      <c r="H4904" s="16" t="str">
        <f>IF(ISBLANK(PARTIDAS!$G4904),PARTIDAS!$F4904,CONCATENATE(PARTIDAS!$F4904," (",PARTIDAS!$G4904,")"))</f>
        <v>Faldas y faldas pantalón, de fibras sintéticas</v>
      </c>
      <c r="I4904" s="16" t="s">
        <v>9427</v>
      </c>
    </row>
    <row r="4905" spans="1:9" x14ac:dyDescent="0.25">
      <c r="A4905" s="16" t="s">
        <v>5837</v>
      </c>
      <c r="B4905" s="16" t="str">
        <f>TEXT(PARTIDA[[#This Row],[PARTIDA]],"0000000000")</f>
        <v>6204590000</v>
      </c>
      <c r="C4905" s="16" t="s">
        <v>786</v>
      </c>
      <c r="D4905" s="16" t="s">
        <v>787</v>
      </c>
      <c r="E4905" s="16" t="s">
        <v>9435</v>
      </c>
      <c r="F4905" s="27" t="s">
        <v>13333</v>
      </c>
      <c r="G4905" s="27"/>
      <c r="H4905" s="16" t="str">
        <f>IF(ISBLANK(PARTIDAS!$G4905),PARTIDAS!$F4905,CONCATENATE(PARTIDAS!$F4905," (",PARTIDAS!$G4905,")"))</f>
        <v>Faldas y faldas pantalón, de las demás materias textiles</v>
      </c>
      <c r="I4905" s="16" t="s">
        <v>9427</v>
      </c>
    </row>
    <row r="4906" spans="1:9" x14ac:dyDescent="0.25">
      <c r="A4906" s="16" t="s">
        <v>5838</v>
      </c>
      <c r="B4906" s="16" t="str">
        <f>TEXT(PARTIDA[[#This Row],[PARTIDA]],"0000000000")</f>
        <v>6204610000</v>
      </c>
      <c r="C4906" s="16" t="s">
        <v>786</v>
      </c>
      <c r="D4906" s="16" t="s">
        <v>787</v>
      </c>
      <c r="E4906" s="16" t="s">
        <v>9435</v>
      </c>
      <c r="F4906" s="27" t="s">
        <v>13317</v>
      </c>
      <c r="G4906" s="27"/>
      <c r="H4906" s="16" t="str">
        <f>IF(ISBLANK(PARTIDAS!$G4906),PARTIDAS!$F4906,CONCATENATE(PARTIDAS!$F4906," (",PARTIDAS!$G4906,")"))</f>
        <v>Pantalones largos, pantalones con peto, pantalones cortos (calzones)…, de lana o pelo fino</v>
      </c>
      <c r="I4906" s="16" t="s">
        <v>9427</v>
      </c>
    </row>
    <row r="4907" spans="1:9" x14ac:dyDescent="0.25">
      <c r="A4907" s="16" t="s">
        <v>5839</v>
      </c>
      <c r="B4907" s="16" t="str">
        <f>TEXT(PARTIDA[[#This Row],[PARTIDA]],"0000000000")</f>
        <v>6204620000</v>
      </c>
      <c r="C4907" s="16" t="s">
        <v>786</v>
      </c>
      <c r="D4907" s="16" t="s">
        <v>787</v>
      </c>
      <c r="E4907" s="16" t="s">
        <v>9435</v>
      </c>
      <c r="F4907" s="27" t="s">
        <v>13318</v>
      </c>
      <c r="G4907" s="27"/>
      <c r="H4907" s="16" t="str">
        <f>IF(ISBLANK(PARTIDAS!$G4907),PARTIDAS!$F4907,CONCATENATE(PARTIDAS!$F4907," (",PARTIDAS!$G4907,")"))</f>
        <v>Pantalones largos, pantalones con peto, pantalones cortos (calzones)…, de algodón</v>
      </c>
      <c r="I4907" s="16" t="s">
        <v>9427</v>
      </c>
    </row>
    <row r="4908" spans="1:9" x14ac:dyDescent="0.25">
      <c r="A4908" s="16" t="s">
        <v>5840</v>
      </c>
      <c r="B4908" s="16" t="str">
        <f>TEXT(PARTIDA[[#This Row],[PARTIDA]],"0000000000")</f>
        <v>6204630000</v>
      </c>
      <c r="C4908" s="16" t="s">
        <v>786</v>
      </c>
      <c r="D4908" s="16" t="s">
        <v>787</v>
      </c>
      <c r="E4908" s="16" t="s">
        <v>9435</v>
      </c>
      <c r="F4908" s="27" t="s">
        <v>13319</v>
      </c>
      <c r="G4908" s="27"/>
      <c r="H4908" s="16" t="str">
        <f>IF(ISBLANK(PARTIDAS!$G4908),PARTIDAS!$F4908,CONCATENATE(PARTIDAS!$F4908," (",PARTIDAS!$G4908,")"))</f>
        <v>Pantalones largos, pantalones con peto, pantalones cortos (calzones)…, de fibras sintéticas</v>
      </c>
      <c r="I4908" s="16" t="s">
        <v>9427</v>
      </c>
    </row>
    <row r="4909" spans="1:9" x14ac:dyDescent="0.25">
      <c r="A4909" s="16" t="s">
        <v>5841</v>
      </c>
      <c r="B4909" s="16" t="str">
        <f>TEXT(PARTIDA[[#This Row],[PARTIDA]],"0000000000")</f>
        <v>6204690000</v>
      </c>
      <c r="C4909" s="16" t="s">
        <v>786</v>
      </c>
      <c r="D4909" s="16" t="s">
        <v>787</v>
      </c>
      <c r="E4909" s="16" t="s">
        <v>9435</v>
      </c>
      <c r="F4909" s="27" t="s">
        <v>13320</v>
      </c>
      <c r="G4909" s="27"/>
      <c r="H4909" s="16" t="str">
        <f>IF(ISBLANK(PARTIDAS!$G4909),PARTIDAS!$F4909,CONCATENATE(PARTIDAS!$F4909," (",PARTIDAS!$G4909,")"))</f>
        <v>Pantalones largos, pantalones con peto, pantalones cortos (calzones)…, de las demás materias textiles</v>
      </c>
      <c r="I4909" s="16" t="s">
        <v>9427</v>
      </c>
    </row>
    <row r="4910" spans="1:9" x14ac:dyDescent="0.25">
      <c r="A4910" s="16" t="s">
        <v>5842</v>
      </c>
      <c r="B4910" s="16" t="str">
        <f>TEXT(PARTIDA[[#This Row],[PARTIDA]],"0000000000")</f>
        <v>6205200000</v>
      </c>
      <c r="C4910" s="16" t="s">
        <v>786</v>
      </c>
      <c r="D4910" s="16" t="s">
        <v>787</v>
      </c>
      <c r="E4910" s="16" t="s">
        <v>9435</v>
      </c>
      <c r="F4910" s="27" t="s">
        <v>13442</v>
      </c>
      <c r="G4910" s="27"/>
      <c r="H4910" s="16" t="str">
        <f>IF(ISBLANK(PARTIDAS!$G4910),PARTIDAS!$F4910,CONCATENATE(PARTIDAS!$F4910," (",PARTIDAS!$G4910,")"))</f>
        <v>Camisas para hombres o niños, de algodón</v>
      </c>
      <c r="I4910" s="16" t="s">
        <v>9427</v>
      </c>
    </row>
    <row r="4911" spans="1:9" x14ac:dyDescent="0.25">
      <c r="A4911" s="16" t="s">
        <v>5843</v>
      </c>
      <c r="B4911" s="16" t="str">
        <f>TEXT(PARTIDA[[#This Row],[PARTIDA]],"0000000000")</f>
        <v>6205300000</v>
      </c>
      <c r="C4911" s="16" t="s">
        <v>786</v>
      </c>
      <c r="D4911" s="16" t="s">
        <v>787</v>
      </c>
      <c r="E4911" s="16" t="s">
        <v>9435</v>
      </c>
      <c r="F4911" s="27" t="s">
        <v>13443</v>
      </c>
      <c r="G4911" s="27"/>
      <c r="H4911" s="16" t="str">
        <f>IF(ISBLANK(PARTIDAS!$G4911),PARTIDAS!$F4911,CONCATENATE(PARTIDAS!$F4911," (",PARTIDAS!$G4911,")"))</f>
        <v>Camisas para hombres o niños, de fibras sintéticas o artificiales</v>
      </c>
      <c r="I4911" s="16" t="s">
        <v>9427</v>
      </c>
    </row>
    <row r="4912" spans="1:9" x14ac:dyDescent="0.25">
      <c r="A4912" s="16" t="s">
        <v>5844</v>
      </c>
      <c r="B4912" s="16" t="str">
        <f>TEXT(PARTIDA[[#This Row],[PARTIDA]],"0000000000")</f>
        <v>6205901000</v>
      </c>
      <c r="C4912" s="16" t="s">
        <v>786</v>
      </c>
      <c r="D4912" s="16" t="s">
        <v>787</v>
      </c>
      <c r="E4912" s="16" t="s">
        <v>9435</v>
      </c>
      <c r="F4912" s="27" t="s">
        <v>13444</v>
      </c>
      <c r="G4912" s="27"/>
      <c r="H4912" s="16" t="str">
        <f>IF(ISBLANK(PARTIDAS!$G4912),PARTIDAS!$F4912,CONCATENATE(PARTIDAS!$F4912," (",PARTIDAS!$G4912,")"))</f>
        <v>Camisas para hombres o niños, de las demás materias textiles, de lana o pelo fino</v>
      </c>
      <c r="I4912" s="16" t="s">
        <v>9427</v>
      </c>
    </row>
    <row r="4913" spans="1:9" x14ac:dyDescent="0.25">
      <c r="A4913" s="16" t="s">
        <v>5845</v>
      </c>
      <c r="B4913" s="16" t="str">
        <f>TEXT(PARTIDA[[#This Row],[PARTIDA]],"0000000000")</f>
        <v>6205909000</v>
      </c>
      <c r="C4913" s="16" t="s">
        <v>786</v>
      </c>
      <c r="D4913" s="16" t="s">
        <v>787</v>
      </c>
      <c r="E4913" s="16" t="s">
        <v>9435</v>
      </c>
      <c r="F4913" s="27" t="s">
        <v>13445</v>
      </c>
      <c r="G4913" s="27"/>
      <c r="H4913" s="16" t="str">
        <f>IF(ISBLANK(PARTIDAS!$G4913),PARTIDAS!$F4913,CONCATENATE(PARTIDAS!$F4913," (",PARTIDAS!$G4913,")"))</f>
        <v>Camisas para hombres o niños, de las demás materias textiles (los demás)</v>
      </c>
      <c r="I4913" s="16" t="s">
        <v>9427</v>
      </c>
    </row>
    <row r="4914" spans="1:9" x14ac:dyDescent="0.25">
      <c r="A4914" s="16" t="s">
        <v>5846</v>
      </c>
      <c r="B4914" s="16" t="str">
        <f>TEXT(PARTIDA[[#This Row],[PARTIDA]],"0000000000")</f>
        <v>6206100000</v>
      </c>
      <c r="C4914" s="16" t="s">
        <v>786</v>
      </c>
      <c r="D4914" s="16" t="s">
        <v>787</v>
      </c>
      <c r="E4914" s="16" t="s">
        <v>9435</v>
      </c>
      <c r="F4914" s="27" t="s">
        <v>13446</v>
      </c>
      <c r="G4914" s="27"/>
      <c r="H4914" s="16" t="str">
        <f>IF(ISBLANK(PARTIDAS!$G4914),PARTIDAS!$F4914,CONCATENATE(PARTIDAS!$F4914," (",PARTIDAS!$G4914,")"))</f>
        <v>Camisas, blusas y blusas camiseras, para mujeres o niñas, de seda o desperdicios de seda</v>
      </c>
      <c r="I4914" s="16" t="s">
        <v>9427</v>
      </c>
    </row>
    <row r="4915" spans="1:9" x14ac:dyDescent="0.25">
      <c r="A4915" s="16" t="s">
        <v>5847</v>
      </c>
      <c r="B4915" s="16" t="str">
        <f>TEXT(PARTIDA[[#This Row],[PARTIDA]],"0000000000")</f>
        <v>6206200000</v>
      </c>
      <c r="C4915" s="16" t="s">
        <v>786</v>
      </c>
      <c r="D4915" s="16" t="s">
        <v>787</v>
      </c>
      <c r="E4915" s="16" t="s">
        <v>9435</v>
      </c>
      <c r="F4915" s="27" t="s">
        <v>13447</v>
      </c>
      <c r="G4915" s="27"/>
      <c r="H4915" s="16" t="str">
        <f>IF(ISBLANK(PARTIDAS!$G4915),PARTIDAS!$F4915,CONCATENATE(PARTIDAS!$F4915," (",PARTIDAS!$G4915,")"))</f>
        <v>Camisas, blusas y blusas camiseras, para mujeres o niñas, de lana o pelo fino</v>
      </c>
      <c r="I4915" s="16" t="s">
        <v>9427</v>
      </c>
    </row>
    <row r="4916" spans="1:9" x14ac:dyDescent="0.25">
      <c r="A4916" s="16" t="s">
        <v>5848</v>
      </c>
      <c r="B4916" s="16" t="str">
        <f>TEXT(PARTIDA[[#This Row],[PARTIDA]],"0000000000")</f>
        <v>6206300000</v>
      </c>
      <c r="C4916" s="16" t="s">
        <v>786</v>
      </c>
      <c r="D4916" s="16" t="s">
        <v>787</v>
      </c>
      <c r="E4916" s="16" t="s">
        <v>9435</v>
      </c>
      <c r="F4916" s="27" t="s">
        <v>13448</v>
      </c>
      <c r="G4916" s="27"/>
      <c r="H4916" s="16" t="str">
        <f>IF(ISBLANK(PARTIDAS!$G4916),PARTIDAS!$F4916,CONCATENATE(PARTIDAS!$F4916," (",PARTIDAS!$G4916,")"))</f>
        <v>Camisas, blusas y blusas camiseras, para mujeres o niñas, de algodón</v>
      </c>
      <c r="I4916" s="16" t="s">
        <v>9427</v>
      </c>
    </row>
    <row r="4917" spans="1:9" x14ac:dyDescent="0.25">
      <c r="A4917" s="16" t="s">
        <v>5849</v>
      </c>
      <c r="B4917" s="16" t="str">
        <f>TEXT(PARTIDA[[#This Row],[PARTIDA]],"0000000000")</f>
        <v>6206400000</v>
      </c>
      <c r="C4917" s="16" t="s">
        <v>786</v>
      </c>
      <c r="D4917" s="16" t="s">
        <v>787</v>
      </c>
      <c r="E4917" s="16" t="s">
        <v>9435</v>
      </c>
      <c r="F4917" s="27" t="s">
        <v>13449</v>
      </c>
      <c r="G4917" s="27"/>
      <c r="H4917" s="16" t="str">
        <f>IF(ISBLANK(PARTIDAS!$G4917),PARTIDAS!$F4917,CONCATENATE(PARTIDAS!$F4917," (",PARTIDAS!$G4917,")"))</f>
        <v>Camisas, blusas y blusas camiseras, para mujeres o niñas, de fibras sintéticas o artificiales</v>
      </c>
      <c r="I4917" s="16" t="s">
        <v>9427</v>
      </c>
    </row>
    <row r="4918" spans="1:9" x14ac:dyDescent="0.25">
      <c r="A4918" s="16" t="s">
        <v>5850</v>
      </c>
      <c r="B4918" s="16" t="str">
        <f>TEXT(PARTIDA[[#This Row],[PARTIDA]],"0000000000")</f>
        <v>6206900000</v>
      </c>
      <c r="C4918" s="16" t="s">
        <v>786</v>
      </c>
      <c r="D4918" s="16" t="s">
        <v>787</v>
      </c>
      <c r="E4918" s="16" t="s">
        <v>9435</v>
      </c>
      <c r="F4918" s="27" t="s">
        <v>13450</v>
      </c>
      <c r="G4918" s="27"/>
      <c r="H4918" s="16" t="str">
        <f>IF(ISBLANK(PARTIDAS!$G4918),PARTIDAS!$F4918,CONCATENATE(PARTIDAS!$F4918," (",PARTIDAS!$G4918,")"))</f>
        <v>Camisas, blusas y blusas camiseras, para mujeres o niñas, de las demás materias textiles</v>
      </c>
      <c r="I4918" s="16" t="s">
        <v>9427</v>
      </c>
    </row>
    <row r="4919" spans="1:9" x14ac:dyDescent="0.25">
      <c r="A4919" s="16" t="s">
        <v>5851</v>
      </c>
      <c r="B4919" s="16" t="str">
        <f>TEXT(PARTIDA[[#This Row],[PARTIDA]],"0000000000")</f>
        <v>6207110000</v>
      </c>
      <c r="C4919" s="16" t="s">
        <v>786</v>
      </c>
      <c r="D4919" s="16" t="s">
        <v>787</v>
      </c>
      <c r="E4919" s="16" t="s">
        <v>9435</v>
      </c>
      <c r="F4919" s="27" t="s">
        <v>13356</v>
      </c>
      <c r="G4919" s="27"/>
      <c r="H4919" s="16" t="str">
        <f>IF(ISBLANK(PARTIDAS!$G4919),PARTIDAS!$F4919,CONCATENATE(PARTIDAS!$F4919," (",PARTIDAS!$G4919,")"))</f>
        <v>Calzoncillos (incluidos los largos y los slips), de algodón</v>
      </c>
      <c r="I4919" s="16" t="s">
        <v>9427</v>
      </c>
    </row>
    <row r="4920" spans="1:9" x14ac:dyDescent="0.25">
      <c r="A4920" s="16" t="s">
        <v>5852</v>
      </c>
      <c r="B4920" s="16" t="str">
        <f>TEXT(PARTIDA[[#This Row],[PARTIDA]],"0000000000")</f>
        <v>6207190000</v>
      </c>
      <c r="C4920" s="16" t="s">
        <v>786</v>
      </c>
      <c r="D4920" s="16" t="s">
        <v>787</v>
      </c>
      <c r="E4920" s="16" t="s">
        <v>9435</v>
      </c>
      <c r="F4920" s="27" t="s">
        <v>13358</v>
      </c>
      <c r="G4920" s="27"/>
      <c r="H4920" s="16" t="str">
        <f>IF(ISBLANK(PARTIDAS!$G4920),PARTIDAS!$F4920,CONCATENATE(PARTIDAS!$F4920," (",PARTIDAS!$G4920,")"))</f>
        <v>Calzoncillos (incluidos los largos y los slips), de las demás materias textiles</v>
      </c>
      <c r="I4920" s="16" t="s">
        <v>9427</v>
      </c>
    </row>
    <row r="4921" spans="1:9" x14ac:dyDescent="0.25">
      <c r="A4921" s="16" t="s">
        <v>5853</v>
      </c>
      <c r="B4921" s="16" t="str">
        <f>TEXT(PARTIDA[[#This Row],[PARTIDA]],"0000000000")</f>
        <v>6207210000</v>
      </c>
      <c r="C4921" s="16" t="s">
        <v>786</v>
      </c>
      <c r="D4921" s="16" t="s">
        <v>787</v>
      </c>
      <c r="E4921" s="16" t="s">
        <v>9435</v>
      </c>
      <c r="F4921" s="27" t="s">
        <v>13359</v>
      </c>
      <c r="G4921" s="27"/>
      <c r="H4921" s="16" t="str">
        <f>IF(ISBLANK(PARTIDAS!$G4921),PARTIDAS!$F4921,CONCATENATE(PARTIDAS!$F4921," (",PARTIDAS!$G4921,")"))</f>
        <v>Camisones y pijamas, de algodón</v>
      </c>
      <c r="I4921" s="16" t="s">
        <v>9427</v>
      </c>
    </row>
    <row r="4922" spans="1:9" x14ac:dyDescent="0.25">
      <c r="A4922" s="16" t="s">
        <v>5854</v>
      </c>
      <c r="B4922" s="16" t="str">
        <f>TEXT(PARTIDA[[#This Row],[PARTIDA]],"0000000000")</f>
        <v>6207220000</v>
      </c>
      <c r="C4922" s="16" t="s">
        <v>786</v>
      </c>
      <c r="D4922" s="16" t="s">
        <v>787</v>
      </c>
      <c r="E4922" s="16" t="s">
        <v>9435</v>
      </c>
      <c r="F4922" s="27" t="s">
        <v>13360</v>
      </c>
      <c r="G4922" s="27"/>
      <c r="H4922" s="16" t="str">
        <f>IF(ISBLANK(PARTIDAS!$G4922),PARTIDAS!$F4922,CONCATENATE(PARTIDAS!$F4922," (",PARTIDAS!$G4922,")"))</f>
        <v>Camisones y pijamas, de fibras sintéticas o artificiales</v>
      </c>
      <c r="I4922" s="16" t="s">
        <v>9427</v>
      </c>
    </row>
    <row r="4923" spans="1:9" x14ac:dyDescent="0.25">
      <c r="A4923" s="16" t="s">
        <v>5855</v>
      </c>
      <c r="B4923" s="16" t="str">
        <f>TEXT(PARTIDA[[#This Row],[PARTIDA]],"0000000000")</f>
        <v>6207290000</v>
      </c>
      <c r="C4923" s="16" t="s">
        <v>786</v>
      </c>
      <c r="D4923" s="16" t="s">
        <v>787</v>
      </c>
      <c r="E4923" s="16" t="s">
        <v>9435</v>
      </c>
      <c r="F4923" s="27" t="s">
        <v>13361</v>
      </c>
      <c r="G4923" s="27"/>
      <c r="H4923" s="16" t="str">
        <f>IF(ISBLANK(PARTIDAS!$G4923),PARTIDAS!$F4923,CONCATENATE(PARTIDAS!$F4923," (",PARTIDAS!$G4923,")"))</f>
        <v>Camisones y pijamas, de las demás materias textiles</v>
      </c>
      <c r="I4923" s="16" t="s">
        <v>9427</v>
      </c>
    </row>
    <row r="4924" spans="1:9" x14ac:dyDescent="0.25">
      <c r="A4924" s="16" t="s">
        <v>5856</v>
      </c>
      <c r="B4924" s="16" t="str">
        <f>TEXT(PARTIDA[[#This Row],[PARTIDA]],"0000000000")</f>
        <v>6207910000</v>
      </c>
      <c r="C4924" s="16" t="s">
        <v>786</v>
      </c>
      <c r="D4924" s="16" t="s">
        <v>787</v>
      </c>
      <c r="E4924" s="16" t="s">
        <v>9435</v>
      </c>
      <c r="F4924" s="27" t="s">
        <v>13451</v>
      </c>
      <c r="G4924" s="27"/>
      <c r="H4924" s="16" t="str">
        <f>IF(ISBLANK(PARTIDAS!$G4924),PARTIDAS!$F4924,CONCATENATE(PARTIDAS!$F4924," (",PARTIDAS!$G4924,")"))</f>
        <v>Camisetas, calzoncillos (incluidos los largos y los slips)…, de algodón</v>
      </c>
      <c r="I4924" s="16" t="s">
        <v>9427</v>
      </c>
    </row>
    <row r="4925" spans="1:9" x14ac:dyDescent="0.25">
      <c r="A4925" s="16" t="s">
        <v>5857</v>
      </c>
      <c r="B4925" s="16" t="str">
        <f>TEXT(PARTIDA[[#This Row],[PARTIDA]],"0000000000")</f>
        <v>6207991000</v>
      </c>
      <c r="C4925" s="16" t="s">
        <v>786</v>
      </c>
      <c r="D4925" s="16" t="s">
        <v>787</v>
      </c>
      <c r="E4925" s="16" t="s">
        <v>9435</v>
      </c>
      <c r="F4925" s="27" t="s">
        <v>13452</v>
      </c>
      <c r="G4925" s="27"/>
      <c r="H4925" s="16" t="str">
        <f>IF(ISBLANK(PARTIDAS!$G4925),PARTIDAS!$F4925,CONCATENATE(PARTIDAS!$F4925," (",PARTIDAS!$G4925,")"))</f>
        <v>Camisetas, calzoncillos (incluidos los largos y los…, de las demás materias textiles, de fibras sintéticas o artificiales</v>
      </c>
      <c r="I4925" s="16" t="s">
        <v>9427</v>
      </c>
    </row>
    <row r="4926" spans="1:9" x14ac:dyDescent="0.25">
      <c r="A4926" s="16" t="s">
        <v>5858</v>
      </c>
      <c r="B4926" s="16" t="str">
        <f>TEXT(PARTIDA[[#This Row],[PARTIDA]],"0000000000")</f>
        <v>6207999000</v>
      </c>
      <c r="C4926" s="16" t="s">
        <v>786</v>
      </c>
      <c r="D4926" s="16" t="s">
        <v>787</v>
      </c>
      <c r="E4926" s="16" t="s">
        <v>9435</v>
      </c>
      <c r="F4926" s="27" t="s">
        <v>13453</v>
      </c>
      <c r="G4926" s="27"/>
      <c r="H4926" s="16" t="str">
        <f>IF(ISBLANK(PARTIDAS!$G4926),PARTIDAS!$F4926,CONCATENATE(PARTIDAS!$F4926," (",PARTIDAS!$G4926,")"))</f>
        <v>Camisetas, calzoncillos (incluidos los largos y los…, de las demás materias textiles (los demás)</v>
      </c>
      <c r="I4926" s="16" t="s">
        <v>9427</v>
      </c>
    </row>
    <row r="4927" spans="1:9" x14ac:dyDescent="0.25">
      <c r="A4927" s="16" t="s">
        <v>5859</v>
      </c>
      <c r="B4927" s="16" t="str">
        <f>TEXT(PARTIDA[[#This Row],[PARTIDA]],"0000000000")</f>
        <v>6208110000</v>
      </c>
      <c r="C4927" s="16" t="s">
        <v>786</v>
      </c>
      <c r="D4927" s="16" t="s">
        <v>787</v>
      </c>
      <c r="E4927" s="16" t="s">
        <v>9435</v>
      </c>
      <c r="F4927" s="27" t="s">
        <v>13365</v>
      </c>
      <c r="G4927" s="27"/>
      <c r="H4927" s="16" t="str">
        <f>IF(ISBLANK(PARTIDAS!$G4927),PARTIDAS!$F4927,CONCATENATE(PARTIDAS!$F4927," (",PARTIDAS!$G4927,")"))</f>
        <v>Combinaciones y enaguas, de fibras sintéticas o artificiales</v>
      </c>
      <c r="I4927" s="16" t="s">
        <v>9427</v>
      </c>
    </row>
    <row r="4928" spans="1:9" x14ac:dyDescent="0.25">
      <c r="A4928" s="16" t="s">
        <v>5860</v>
      </c>
      <c r="B4928" s="16" t="str">
        <f>TEXT(PARTIDA[[#This Row],[PARTIDA]],"0000000000")</f>
        <v>6208190000</v>
      </c>
      <c r="C4928" s="16" t="s">
        <v>786</v>
      </c>
      <c r="D4928" s="16" t="s">
        <v>787</v>
      </c>
      <c r="E4928" s="16" t="s">
        <v>9435</v>
      </c>
      <c r="F4928" s="27" t="s">
        <v>13366</v>
      </c>
      <c r="G4928" s="27"/>
      <c r="H4928" s="16" t="str">
        <f>IF(ISBLANK(PARTIDAS!$G4928),PARTIDAS!$F4928,CONCATENATE(PARTIDAS!$F4928," (",PARTIDAS!$G4928,")"))</f>
        <v>Combinaciones y enaguas, de las demás materias textiles</v>
      </c>
      <c r="I4928" s="16" t="s">
        <v>9427</v>
      </c>
    </row>
    <row r="4929" spans="1:9" x14ac:dyDescent="0.25">
      <c r="A4929" s="16" t="s">
        <v>5861</v>
      </c>
      <c r="B4929" s="16" t="str">
        <f>TEXT(PARTIDA[[#This Row],[PARTIDA]],"0000000000")</f>
        <v>6208210000</v>
      </c>
      <c r="C4929" s="16" t="s">
        <v>786</v>
      </c>
      <c r="D4929" s="16" t="s">
        <v>787</v>
      </c>
      <c r="E4929" s="16" t="s">
        <v>9435</v>
      </c>
      <c r="F4929" s="27" t="s">
        <v>13359</v>
      </c>
      <c r="G4929" s="27"/>
      <c r="H4929" s="16" t="str">
        <f>IF(ISBLANK(PARTIDAS!$G4929),PARTIDAS!$F4929,CONCATENATE(PARTIDAS!$F4929," (",PARTIDAS!$G4929,")"))</f>
        <v>Camisones y pijamas, de algodón</v>
      </c>
      <c r="I4929" s="16" t="s">
        <v>9427</v>
      </c>
    </row>
    <row r="4930" spans="1:9" x14ac:dyDescent="0.25">
      <c r="A4930" s="16" t="s">
        <v>5862</v>
      </c>
      <c r="B4930" s="16" t="str">
        <f>TEXT(PARTIDA[[#This Row],[PARTIDA]],"0000000000")</f>
        <v>6208220000</v>
      </c>
      <c r="C4930" s="16" t="s">
        <v>786</v>
      </c>
      <c r="D4930" s="16" t="s">
        <v>787</v>
      </c>
      <c r="E4930" s="16" t="s">
        <v>9435</v>
      </c>
      <c r="F4930" s="27" t="s">
        <v>13360</v>
      </c>
      <c r="G4930" s="27"/>
      <c r="H4930" s="16" t="str">
        <f>IF(ISBLANK(PARTIDAS!$G4930),PARTIDAS!$F4930,CONCATENATE(PARTIDAS!$F4930," (",PARTIDAS!$G4930,")"))</f>
        <v>Camisones y pijamas, de fibras sintéticas o artificiales</v>
      </c>
      <c r="I4930" s="16" t="s">
        <v>9427</v>
      </c>
    </row>
    <row r="4931" spans="1:9" x14ac:dyDescent="0.25">
      <c r="A4931" s="16" t="s">
        <v>5863</v>
      </c>
      <c r="B4931" s="16" t="str">
        <f>TEXT(PARTIDA[[#This Row],[PARTIDA]],"0000000000")</f>
        <v>6208290000</v>
      </c>
      <c r="C4931" s="16" t="s">
        <v>786</v>
      </c>
      <c r="D4931" s="16" t="s">
        <v>787</v>
      </c>
      <c r="E4931" s="16" t="s">
        <v>9435</v>
      </c>
      <c r="F4931" s="27" t="s">
        <v>13361</v>
      </c>
      <c r="G4931" s="27"/>
      <c r="H4931" s="16" t="str">
        <f>IF(ISBLANK(PARTIDAS!$G4931),PARTIDAS!$F4931,CONCATENATE(PARTIDAS!$F4931," (",PARTIDAS!$G4931,")"))</f>
        <v>Camisones y pijamas, de las demás materias textiles</v>
      </c>
      <c r="I4931" s="16" t="s">
        <v>9427</v>
      </c>
    </row>
    <row r="4932" spans="1:9" x14ac:dyDescent="0.25">
      <c r="A4932" s="16" t="s">
        <v>5864</v>
      </c>
      <c r="B4932" s="16" t="str">
        <f>TEXT(PARTIDA[[#This Row],[PARTIDA]],"0000000000")</f>
        <v>6208910000</v>
      </c>
      <c r="C4932" s="16" t="s">
        <v>786</v>
      </c>
      <c r="D4932" s="16" t="s">
        <v>787</v>
      </c>
      <c r="E4932" s="16" t="s">
        <v>9435</v>
      </c>
      <c r="F4932" s="27" t="s">
        <v>13454</v>
      </c>
      <c r="G4932" s="27"/>
      <c r="H4932" s="16" t="str">
        <f>IF(ISBLANK(PARTIDAS!$G4932),PARTIDAS!$F4932,CONCATENATE(PARTIDAS!$F4932," (",PARTIDAS!$G4932,")"))</f>
        <v>Camisetas, combinaciones, enaguas, bragas (bombachas, calzones)…, de algodón</v>
      </c>
      <c r="I4932" s="16" t="s">
        <v>9427</v>
      </c>
    </row>
    <row r="4933" spans="1:9" x14ac:dyDescent="0.25">
      <c r="A4933" s="16" t="s">
        <v>5865</v>
      </c>
      <c r="B4933" s="16" t="str">
        <f>TEXT(PARTIDA[[#This Row],[PARTIDA]],"0000000000")</f>
        <v>6208920000</v>
      </c>
      <c r="C4933" s="16" t="s">
        <v>786</v>
      </c>
      <c r="D4933" s="16" t="s">
        <v>787</v>
      </c>
      <c r="E4933" s="16" t="s">
        <v>9435</v>
      </c>
      <c r="F4933" s="27" t="s">
        <v>13455</v>
      </c>
      <c r="G4933" s="27"/>
      <c r="H4933" s="16" t="str">
        <f>IF(ISBLANK(PARTIDAS!$G4933),PARTIDAS!$F4933,CONCATENATE(PARTIDAS!$F4933," (",PARTIDAS!$G4933,")"))</f>
        <v>Camisetas, combinaciones, enaguas, bragas (bombachas, calzones)…, de fibras sintéticas o artificiales</v>
      </c>
      <c r="I4933" s="16" t="s">
        <v>9427</v>
      </c>
    </row>
    <row r="4934" spans="1:9" x14ac:dyDescent="0.25">
      <c r="A4934" s="16" t="s">
        <v>5866</v>
      </c>
      <c r="B4934" s="16" t="str">
        <f>TEXT(PARTIDA[[#This Row],[PARTIDA]],"0000000000")</f>
        <v>6208990000</v>
      </c>
      <c r="C4934" s="16" t="s">
        <v>786</v>
      </c>
      <c r="D4934" s="16" t="s">
        <v>787</v>
      </c>
      <c r="E4934" s="16" t="s">
        <v>9435</v>
      </c>
      <c r="F4934" s="27" t="s">
        <v>13456</v>
      </c>
      <c r="G4934" s="27"/>
      <c r="H4934" s="16" t="str">
        <f>IF(ISBLANK(PARTIDAS!$G4934),PARTIDAS!$F4934,CONCATENATE(PARTIDAS!$F4934," (",PARTIDAS!$G4934,")"))</f>
        <v>Camisetas, combinaciones, enaguas, bragas (bombachas, calzones)…, de las demás materias textiles</v>
      </c>
      <c r="I4934" s="16" t="s">
        <v>9427</v>
      </c>
    </row>
    <row r="4935" spans="1:9" x14ac:dyDescent="0.25">
      <c r="A4935" s="16" t="s">
        <v>5867</v>
      </c>
      <c r="B4935" s="16" t="str">
        <f>TEXT(PARTIDA[[#This Row],[PARTIDA]],"0000000000")</f>
        <v>6209200000</v>
      </c>
      <c r="C4935" s="16" t="s">
        <v>786</v>
      </c>
      <c r="D4935" s="16" t="s">
        <v>787</v>
      </c>
      <c r="E4935" s="16" t="s">
        <v>9435</v>
      </c>
      <c r="F4935" s="27" t="s">
        <v>13457</v>
      </c>
      <c r="G4935" s="27"/>
      <c r="H4935" s="16" t="str">
        <f>IF(ISBLANK(PARTIDAS!$G4935),PARTIDAS!$F4935,CONCATENATE(PARTIDAS!$F4935," (",PARTIDAS!$G4935,")"))</f>
        <v>Prendas y complementos (accesorios), de vestir, para bebés, de algodón</v>
      </c>
      <c r="I4935" s="16" t="s">
        <v>9427</v>
      </c>
    </row>
    <row r="4936" spans="1:9" x14ac:dyDescent="0.25">
      <c r="A4936" s="16" t="s">
        <v>5868</v>
      </c>
      <c r="B4936" s="16" t="str">
        <f>TEXT(PARTIDA[[#This Row],[PARTIDA]],"0000000000")</f>
        <v>6209300000</v>
      </c>
      <c r="C4936" s="16" t="s">
        <v>786</v>
      </c>
      <c r="D4936" s="16" t="s">
        <v>787</v>
      </c>
      <c r="E4936" s="16" t="s">
        <v>9435</v>
      </c>
      <c r="F4936" s="27" t="s">
        <v>13458</v>
      </c>
      <c r="G4936" s="27"/>
      <c r="H4936" s="16" t="str">
        <f>IF(ISBLANK(PARTIDAS!$G4936),PARTIDAS!$F4936,CONCATENATE(PARTIDAS!$F4936," (",PARTIDAS!$G4936,")"))</f>
        <v>Prendas y complementos (accesorios), de vestir, para bebés, de fibras sintéticas</v>
      </c>
      <c r="I4936" s="16" t="s">
        <v>9427</v>
      </c>
    </row>
    <row r="4937" spans="1:9" x14ac:dyDescent="0.25">
      <c r="A4937" s="16" t="s">
        <v>5869</v>
      </c>
      <c r="B4937" s="16" t="str">
        <f>TEXT(PARTIDA[[#This Row],[PARTIDA]],"0000000000")</f>
        <v>6209901000</v>
      </c>
      <c r="C4937" s="16" t="s">
        <v>786</v>
      </c>
      <c r="D4937" s="16" t="s">
        <v>787</v>
      </c>
      <c r="E4937" s="16" t="s">
        <v>9435</v>
      </c>
      <c r="F4937" s="27" t="s">
        <v>13459</v>
      </c>
      <c r="G4937" s="27"/>
      <c r="H4937" s="16" t="str">
        <f>IF(ISBLANK(PARTIDAS!$G4937),PARTIDAS!$F4937,CONCATENATE(PARTIDAS!$F4937," (",PARTIDAS!$G4937,")"))</f>
        <v>Prendas y complementos (accesorios), de vestir, para…, de las demás materias textiles, de lana o pelo fino</v>
      </c>
      <c r="I4937" s="16" t="s">
        <v>9427</v>
      </c>
    </row>
    <row r="4938" spans="1:9" x14ac:dyDescent="0.25">
      <c r="A4938" s="16" t="s">
        <v>5870</v>
      </c>
      <c r="B4938" s="16" t="str">
        <f>TEXT(PARTIDA[[#This Row],[PARTIDA]],"0000000000")</f>
        <v>6209909000</v>
      </c>
      <c r="C4938" s="16" t="s">
        <v>786</v>
      </c>
      <c r="D4938" s="16" t="s">
        <v>787</v>
      </c>
      <c r="E4938" s="16" t="s">
        <v>9435</v>
      </c>
      <c r="F4938" s="27" t="s">
        <v>13460</v>
      </c>
      <c r="G4938" s="27"/>
      <c r="H4938" s="16" t="str">
        <f>IF(ISBLANK(PARTIDAS!$G4938),PARTIDAS!$F4938,CONCATENATE(PARTIDAS!$F4938," (",PARTIDAS!$G4938,")"))</f>
        <v>Prendas y complementos (accesorios), de vestir, para…, de las demás materias textiles (los demás)</v>
      </c>
      <c r="I4938" s="16" t="s">
        <v>9427</v>
      </c>
    </row>
    <row r="4939" spans="1:9" x14ac:dyDescent="0.25">
      <c r="A4939" s="16" t="s">
        <v>5871</v>
      </c>
      <c r="B4939" s="16" t="str">
        <f>TEXT(PARTIDA[[#This Row],[PARTIDA]],"0000000000")</f>
        <v>6210100000</v>
      </c>
      <c r="C4939" s="16" t="s">
        <v>786</v>
      </c>
      <c r="D4939" s="16" t="s">
        <v>787</v>
      </c>
      <c r="E4939" s="16" t="s">
        <v>9435</v>
      </c>
      <c r="F4939" s="27" t="s">
        <v>13461</v>
      </c>
      <c r="G4939" s="27"/>
      <c r="H4939" s="16" t="str">
        <f>IF(ISBLANK(PARTIDAS!$G4939),PARTIDAS!$F4939,CONCATENATE(PARTIDAS!$F4939," (",PARTIDAS!$G4939,")"))</f>
        <v>Prendas de vestir confeccionadas con productos de las partidas 56.02…, con productos de las partidas 56.02 o 56.03</v>
      </c>
      <c r="I4939" s="16" t="s">
        <v>9427</v>
      </c>
    </row>
    <row r="4940" spans="1:9" x14ac:dyDescent="0.25">
      <c r="A4940" s="16" t="s">
        <v>5872</v>
      </c>
      <c r="B4940" s="16" t="str">
        <f>TEXT(PARTIDA[[#This Row],[PARTIDA]],"0000000000")</f>
        <v>6210200000</v>
      </c>
      <c r="C4940" s="16" t="s">
        <v>786</v>
      </c>
      <c r="D4940" s="16" t="s">
        <v>787</v>
      </c>
      <c r="E4940" s="16" t="s">
        <v>9435</v>
      </c>
      <c r="F4940" s="27" t="s">
        <v>13462</v>
      </c>
      <c r="G4940" s="27"/>
      <c r="H4940" s="16" t="str">
        <f>IF(ISBLANK(PARTIDAS!$G4940),PARTIDAS!$F4940,CONCATENATE(PARTIDAS!$F4940," (",PARTIDAS!$G4940,")"))</f>
        <v>Prendas de vestir confeccionadas con productos de las partidas 56.02… (los demás, prendas de vestir de los tipos citados en la partida 62.01)</v>
      </c>
      <c r="I4940" s="16" t="s">
        <v>9427</v>
      </c>
    </row>
    <row r="4941" spans="1:9" x14ac:dyDescent="0.25">
      <c r="A4941" s="16" t="s">
        <v>5873</v>
      </c>
      <c r="B4941" s="16" t="str">
        <f>TEXT(PARTIDA[[#This Row],[PARTIDA]],"0000000000")</f>
        <v>6210300000</v>
      </c>
      <c r="C4941" s="16" t="s">
        <v>786</v>
      </c>
      <c r="D4941" s="16" t="s">
        <v>787</v>
      </c>
      <c r="E4941" s="16" t="s">
        <v>9435</v>
      </c>
      <c r="F4941" s="27" t="s">
        <v>13463</v>
      </c>
      <c r="G4941" s="27"/>
      <c r="H4941" s="16" t="str">
        <f>IF(ISBLANK(PARTIDAS!$G4941),PARTIDAS!$F4941,CONCATENATE(PARTIDAS!$F4941," (",PARTIDAS!$G4941,")"))</f>
        <v>Prendas de vestir confeccionadas con productos de las partidas 56.02… (los demás, prendas de vestir de los tipos citados en la partida 62.02)</v>
      </c>
      <c r="I4941" s="16" t="s">
        <v>9427</v>
      </c>
    </row>
    <row r="4942" spans="1:9" x14ac:dyDescent="0.25">
      <c r="A4942" s="16" t="s">
        <v>5874</v>
      </c>
      <c r="B4942" s="16" t="str">
        <f>TEXT(PARTIDA[[#This Row],[PARTIDA]],"0000000000")</f>
        <v>6210400000</v>
      </c>
      <c r="C4942" s="16" t="s">
        <v>786</v>
      </c>
      <c r="D4942" s="16" t="s">
        <v>787</v>
      </c>
      <c r="E4942" s="16" t="s">
        <v>9435</v>
      </c>
      <c r="F4942" s="27" t="s">
        <v>5666</v>
      </c>
      <c r="G4942" s="27"/>
      <c r="H4942" s="16" t="str">
        <f>IF(ISBLANK(PARTIDAS!$G4942),PARTIDAS!$F4942,CONCATENATE(PARTIDAS!$F4942," (",PARTIDAS!$G4942,")"))</f>
        <v>Prendas de vestir</v>
      </c>
      <c r="I4942" s="16" t="s">
        <v>9427</v>
      </c>
    </row>
    <row r="4943" spans="1:9" x14ac:dyDescent="0.25">
      <c r="A4943" s="16" t="s">
        <v>5875</v>
      </c>
      <c r="B4943" s="16" t="str">
        <f>TEXT(PARTIDA[[#This Row],[PARTIDA]],"0000000000")</f>
        <v>6210500000</v>
      </c>
      <c r="C4943" s="16" t="s">
        <v>786</v>
      </c>
      <c r="D4943" s="16" t="s">
        <v>787</v>
      </c>
      <c r="E4943" s="16" t="s">
        <v>9435</v>
      </c>
      <c r="F4943" s="27" t="s">
        <v>13464</v>
      </c>
      <c r="G4943" s="27"/>
      <c r="H4943" s="16" t="str">
        <f>IF(ISBLANK(PARTIDAS!$G4943),PARTIDAS!$F4943,CONCATENATE(PARTIDAS!$F4943," (",PARTIDAS!$G4943,")"))</f>
        <v>Prendas de vestir confeccionadas con productos de las partidas 56.02… (los demás, prendas de vestir para mujeres o niñas)</v>
      </c>
      <c r="I4943" s="16" t="s">
        <v>9427</v>
      </c>
    </row>
    <row r="4944" spans="1:9" x14ac:dyDescent="0.25">
      <c r="A4944" s="16" t="s">
        <v>5876</v>
      </c>
      <c r="B4944" s="16" t="str">
        <f>TEXT(PARTIDA[[#This Row],[PARTIDA]],"0000000000")</f>
        <v>6211110000</v>
      </c>
      <c r="C4944" s="16" t="s">
        <v>786</v>
      </c>
      <c r="D4944" s="16" t="s">
        <v>787</v>
      </c>
      <c r="E4944" s="16" t="s">
        <v>9435</v>
      </c>
      <c r="F4944" s="27" t="s">
        <v>13465</v>
      </c>
      <c r="G4944" s="27"/>
      <c r="H4944" s="16" t="str">
        <f>IF(ISBLANK(PARTIDAS!$G4944),PARTIDAS!$F4944,CONCATENATE(PARTIDAS!$F4944," (",PARTIDAS!$G4944,")"))</f>
        <v>Bañadores, para hombres o niños</v>
      </c>
      <c r="I4944" s="16" t="s">
        <v>9427</v>
      </c>
    </row>
    <row r="4945" spans="1:9" x14ac:dyDescent="0.25">
      <c r="A4945" s="16" t="s">
        <v>5877</v>
      </c>
      <c r="B4945" s="16" t="str">
        <f>TEXT(PARTIDA[[#This Row],[PARTIDA]],"0000000000")</f>
        <v>6211120000</v>
      </c>
      <c r="C4945" s="16" t="s">
        <v>786</v>
      </c>
      <c r="D4945" s="16" t="s">
        <v>787</v>
      </c>
      <c r="E4945" s="16" t="s">
        <v>9435</v>
      </c>
      <c r="F4945" s="27" t="s">
        <v>13466</v>
      </c>
      <c r="G4945" s="27"/>
      <c r="H4945" s="16" t="str">
        <f>IF(ISBLANK(PARTIDAS!$G4945),PARTIDAS!$F4945,CONCATENATE(PARTIDAS!$F4945," (",PARTIDAS!$G4945,")"))</f>
        <v>Bañadores, para mujeres o niñas</v>
      </c>
      <c r="I4945" s="16" t="s">
        <v>9427</v>
      </c>
    </row>
    <row r="4946" spans="1:9" x14ac:dyDescent="0.25">
      <c r="A4946" s="16" t="s">
        <v>5878</v>
      </c>
      <c r="B4946" s="16" t="str">
        <f>TEXT(PARTIDA[[#This Row],[PARTIDA]],"0000000000")</f>
        <v>6211200000</v>
      </c>
      <c r="C4946" s="16" t="s">
        <v>786</v>
      </c>
      <c r="D4946" s="16" t="s">
        <v>787</v>
      </c>
      <c r="E4946" s="16" t="s">
        <v>9435</v>
      </c>
      <c r="F4946" s="27" t="s">
        <v>13403</v>
      </c>
      <c r="G4946" s="27"/>
      <c r="H4946" s="16" t="str">
        <f>IF(ISBLANK(PARTIDAS!$G4946),PARTIDAS!$F4946,CONCATENATE(PARTIDAS!$F4946," (",PARTIDAS!$G4946,")"))</f>
        <v>Monos (overoles) y conjuntos de esquí</v>
      </c>
      <c r="I4946" s="16" t="s">
        <v>9427</v>
      </c>
    </row>
    <row r="4947" spans="1:9" x14ac:dyDescent="0.25">
      <c r="A4947" s="16" t="s">
        <v>5879</v>
      </c>
      <c r="B4947" s="16" t="str">
        <f>TEXT(PARTIDA[[#This Row],[PARTIDA]],"0000000000")</f>
        <v>6211320000</v>
      </c>
      <c r="C4947" s="16" t="s">
        <v>786</v>
      </c>
      <c r="D4947" s="16" t="s">
        <v>787</v>
      </c>
      <c r="E4947" s="16" t="s">
        <v>9435</v>
      </c>
      <c r="F4947" s="27" t="s">
        <v>13467</v>
      </c>
      <c r="G4947" s="27"/>
      <c r="H4947" s="16" t="str">
        <f>IF(ISBLANK(PARTIDAS!$G4947),PARTIDAS!$F4947,CONCATENATE(PARTIDAS!$F4947," (",PARTIDAS!$G4947,")"))</f>
        <v>Conjuntos de abrigo para entrenamiento o deporte (chandales), monos…, de algodón</v>
      </c>
      <c r="I4947" s="16" t="s">
        <v>9427</v>
      </c>
    </row>
    <row r="4948" spans="1:9" x14ac:dyDescent="0.25">
      <c r="A4948" s="16" t="s">
        <v>5880</v>
      </c>
      <c r="B4948" s="16" t="str">
        <f>TEXT(PARTIDA[[#This Row],[PARTIDA]],"0000000000")</f>
        <v>6211330000</v>
      </c>
      <c r="C4948" s="16" t="s">
        <v>786</v>
      </c>
      <c r="D4948" s="16" t="s">
        <v>787</v>
      </c>
      <c r="E4948" s="16" t="s">
        <v>9435</v>
      </c>
      <c r="F4948" s="27" t="s">
        <v>13468</v>
      </c>
      <c r="G4948" s="27"/>
      <c r="H4948" s="16" t="str">
        <f>IF(ISBLANK(PARTIDAS!$G4948),PARTIDAS!$F4948,CONCATENATE(PARTIDAS!$F4948," (",PARTIDAS!$G4948,")"))</f>
        <v>Conjuntos de abrigo para entrenamiento o deporte (chandales), monos…, de fibras sintéticas o artificiales</v>
      </c>
      <c r="I4948" s="16" t="s">
        <v>9427</v>
      </c>
    </row>
    <row r="4949" spans="1:9" x14ac:dyDescent="0.25">
      <c r="A4949" s="16" t="s">
        <v>5881</v>
      </c>
      <c r="B4949" s="16" t="str">
        <f>TEXT(PARTIDA[[#This Row],[PARTIDA]],"0000000000")</f>
        <v>6211391000</v>
      </c>
      <c r="C4949" s="16" t="s">
        <v>786</v>
      </c>
      <c r="D4949" s="16" t="s">
        <v>787</v>
      </c>
      <c r="E4949" s="16" t="s">
        <v>9435</v>
      </c>
      <c r="F4949" s="27" t="s">
        <v>13469</v>
      </c>
      <c r="G4949" s="27"/>
      <c r="H4949" s="16" t="str">
        <f>IF(ISBLANK(PARTIDAS!$G4949),PARTIDAS!$F4949,CONCATENATE(PARTIDAS!$F4949," (",PARTIDAS!$G4949,")"))</f>
        <v>Conjuntos de abrigo para entrenamiento o deporte…, de las demás materias textiles, de lana o pelo fino</v>
      </c>
      <c r="I4949" s="16" t="s">
        <v>9427</v>
      </c>
    </row>
    <row r="4950" spans="1:9" x14ac:dyDescent="0.25">
      <c r="A4950" s="16" t="s">
        <v>5882</v>
      </c>
      <c r="B4950" s="16" t="str">
        <f>TEXT(PARTIDA[[#This Row],[PARTIDA]],"0000000000")</f>
        <v>6211399000</v>
      </c>
      <c r="C4950" s="16" t="s">
        <v>786</v>
      </c>
      <c r="D4950" s="16" t="s">
        <v>787</v>
      </c>
      <c r="E4950" s="16" t="s">
        <v>9435</v>
      </c>
      <c r="F4950" s="27" t="s">
        <v>13470</v>
      </c>
      <c r="G4950" s="27"/>
      <c r="H4950" s="16" t="str">
        <f>IF(ISBLANK(PARTIDAS!$G4950),PARTIDAS!$F4950,CONCATENATE(PARTIDAS!$F4950," (",PARTIDAS!$G4950,")"))</f>
        <v>Conjuntos de abrigo para entrenamiento o deporte…, de las demás materias textiles (los demás)</v>
      </c>
      <c r="I4950" s="16" t="s">
        <v>9427</v>
      </c>
    </row>
    <row r="4951" spans="1:9" x14ac:dyDescent="0.25">
      <c r="A4951" s="16" t="s">
        <v>5883</v>
      </c>
      <c r="B4951" s="16" t="str">
        <f>TEXT(PARTIDA[[#This Row],[PARTIDA]],"0000000000")</f>
        <v>6211420000</v>
      </c>
      <c r="C4951" s="16" t="s">
        <v>786</v>
      </c>
      <c r="D4951" s="16" t="s">
        <v>787</v>
      </c>
      <c r="E4951" s="16" t="s">
        <v>9435</v>
      </c>
      <c r="F4951" s="27" t="s">
        <v>13467</v>
      </c>
      <c r="G4951" s="27"/>
      <c r="H4951" s="16" t="str">
        <f>IF(ISBLANK(PARTIDAS!$G4951),PARTIDAS!$F4951,CONCATENATE(PARTIDAS!$F4951," (",PARTIDAS!$G4951,")"))</f>
        <v>Conjuntos de abrigo para entrenamiento o deporte (chandales), monos…, de algodón</v>
      </c>
      <c r="I4951" s="16" t="s">
        <v>9427</v>
      </c>
    </row>
    <row r="4952" spans="1:9" x14ac:dyDescent="0.25">
      <c r="A4952" s="16" t="s">
        <v>5884</v>
      </c>
      <c r="B4952" s="16" t="str">
        <f>TEXT(PARTIDA[[#This Row],[PARTIDA]],"0000000000")</f>
        <v>6211430000</v>
      </c>
      <c r="C4952" s="16" t="s">
        <v>786</v>
      </c>
      <c r="D4952" s="16" t="s">
        <v>787</v>
      </c>
      <c r="E4952" s="16" t="s">
        <v>9435</v>
      </c>
      <c r="F4952" s="27" t="s">
        <v>13468</v>
      </c>
      <c r="G4952" s="27"/>
      <c r="H4952" s="16" t="str">
        <f>IF(ISBLANK(PARTIDAS!$G4952),PARTIDAS!$F4952,CONCATENATE(PARTIDAS!$F4952," (",PARTIDAS!$G4952,")"))</f>
        <v>Conjuntos de abrigo para entrenamiento o deporte (chandales), monos…, de fibras sintéticas o artificiales</v>
      </c>
      <c r="I4952" s="16" t="s">
        <v>9427</v>
      </c>
    </row>
    <row r="4953" spans="1:9" x14ac:dyDescent="0.25">
      <c r="A4953" s="16" t="s">
        <v>5885</v>
      </c>
      <c r="B4953" s="16" t="str">
        <f>TEXT(PARTIDA[[#This Row],[PARTIDA]],"0000000000")</f>
        <v>6211491000</v>
      </c>
      <c r="C4953" s="16" t="s">
        <v>786</v>
      </c>
      <c r="D4953" s="16" t="s">
        <v>787</v>
      </c>
      <c r="E4953" s="16" t="s">
        <v>9435</v>
      </c>
      <c r="F4953" s="27" t="s">
        <v>13469</v>
      </c>
      <c r="G4953" s="27"/>
      <c r="H4953" s="16" t="str">
        <f>IF(ISBLANK(PARTIDAS!$G4953),PARTIDAS!$F4953,CONCATENATE(PARTIDAS!$F4953," (",PARTIDAS!$G4953,")"))</f>
        <v>Conjuntos de abrigo para entrenamiento o deporte…, de las demás materias textiles, de lana o pelo fino</v>
      </c>
      <c r="I4953" s="16" t="s">
        <v>9427</v>
      </c>
    </row>
    <row r="4954" spans="1:9" x14ac:dyDescent="0.25">
      <c r="A4954" s="16" t="s">
        <v>5886</v>
      </c>
      <c r="B4954" s="16" t="str">
        <f>TEXT(PARTIDA[[#This Row],[PARTIDA]],"0000000000")</f>
        <v>6211499000</v>
      </c>
      <c r="C4954" s="16" t="s">
        <v>786</v>
      </c>
      <c r="D4954" s="16" t="s">
        <v>787</v>
      </c>
      <c r="E4954" s="16" t="s">
        <v>9435</v>
      </c>
      <c r="F4954" s="27" t="s">
        <v>13470</v>
      </c>
      <c r="G4954" s="27"/>
      <c r="H4954" s="16" t="str">
        <f>IF(ISBLANK(PARTIDAS!$G4954),PARTIDAS!$F4954,CONCATENATE(PARTIDAS!$F4954," (",PARTIDAS!$G4954,")"))</f>
        <v>Conjuntos de abrigo para entrenamiento o deporte…, de las demás materias textiles (los demás)</v>
      </c>
      <c r="I4954" s="16" t="s">
        <v>9427</v>
      </c>
    </row>
    <row r="4955" spans="1:9" x14ac:dyDescent="0.25">
      <c r="A4955" s="16" t="s">
        <v>5887</v>
      </c>
      <c r="B4955" s="16" t="str">
        <f>TEXT(PARTIDA[[#This Row],[PARTIDA]],"0000000000")</f>
        <v>6212100000</v>
      </c>
      <c r="C4955" s="16" t="s">
        <v>786</v>
      </c>
      <c r="D4955" s="16" t="s">
        <v>787</v>
      </c>
      <c r="E4955" s="16" t="s">
        <v>9435</v>
      </c>
      <c r="F4955" s="27" t="s">
        <v>13471</v>
      </c>
      <c r="G4955" s="27"/>
      <c r="H4955" s="16" t="str">
        <f>IF(ISBLANK(PARTIDAS!$G4955),PARTIDAS!$F4955,CONCATENATE(PARTIDAS!$F4955," (",PARTIDAS!$G4955,")"))</f>
        <v>Sostenes (corpiños)</v>
      </c>
      <c r="I4955" s="16" t="s">
        <v>9427</v>
      </c>
    </row>
    <row r="4956" spans="1:9" x14ac:dyDescent="0.25">
      <c r="A4956" s="16" t="s">
        <v>5888</v>
      </c>
      <c r="B4956" s="16" t="str">
        <f>TEXT(PARTIDA[[#This Row],[PARTIDA]],"0000000000")</f>
        <v>6212200000</v>
      </c>
      <c r="C4956" s="16" t="s">
        <v>786</v>
      </c>
      <c r="D4956" s="16" t="s">
        <v>787</v>
      </c>
      <c r="E4956" s="16" t="s">
        <v>9435</v>
      </c>
      <c r="F4956" s="27" t="s">
        <v>13472</v>
      </c>
      <c r="G4956" s="27"/>
      <c r="H4956" s="16" t="str">
        <f>IF(ISBLANK(PARTIDAS!$G4956),PARTIDAS!$F4956,CONCATENATE(PARTIDAS!$F4956," (",PARTIDAS!$G4956,")"))</f>
        <v>Fajas y fajas braga (fajas bombacha)</v>
      </c>
      <c r="I4956" s="16" t="s">
        <v>9427</v>
      </c>
    </row>
    <row r="4957" spans="1:9" x14ac:dyDescent="0.25">
      <c r="A4957" s="16" t="s">
        <v>5889</v>
      </c>
      <c r="B4957" s="16" t="str">
        <f>TEXT(PARTIDA[[#This Row],[PARTIDA]],"0000000000")</f>
        <v>6212300000</v>
      </c>
      <c r="C4957" s="16" t="s">
        <v>786</v>
      </c>
      <c r="D4957" s="16" t="s">
        <v>787</v>
      </c>
      <c r="E4957" s="16" t="s">
        <v>9435</v>
      </c>
      <c r="F4957" s="27" t="s">
        <v>13473</v>
      </c>
      <c r="G4957" s="27"/>
      <c r="H4957" s="16" t="str">
        <f>IF(ISBLANK(PARTIDAS!$G4957),PARTIDAS!$F4957,CONCATENATE(PARTIDAS!$F4957," (",PARTIDAS!$G4957,")"))</f>
        <v>Fajas sostén (fajas corpiño)</v>
      </c>
      <c r="I4957" s="16" t="s">
        <v>9427</v>
      </c>
    </row>
    <row r="4958" spans="1:9" x14ac:dyDescent="0.25">
      <c r="A4958" s="16" t="s">
        <v>5890</v>
      </c>
      <c r="B4958" s="16" t="str">
        <f>TEXT(PARTIDA[[#This Row],[PARTIDA]],"0000000000")</f>
        <v>6212900000</v>
      </c>
      <c r="C4958" s="16" t="s">
        <v>786</v>
      </c>
      <c r="D4958" s="16" t="s">
        <v>787</v>
      </c>
      <c r="E4958" s="16" t="s">
        <v>9435</v>
      </c>
      <c r="F4958" s="27" t="s">
        <v>13474</v>
      </c>
      <c r="G4958" s="27"/>
      <c r="H4958" s="16" t="str">
        <f>IF(ISBLANK(PARTIDAS!$G4958),PARTIDAS!$F4958,CONCATENATE(PARTIDAS!$F4958," (",PARTIDAS!$G4958,")"))</f>
        <v>Sostenes (corpiños), fajas, corsés, tirantes (tiradores), ligas y… (los demás)</v>
      </c>
      <c r="I4958" s="16" t="s">
        <v>9427</v>
      </c>
    </row>
    <row r="4959" spans="1:9" x14ac:dyDescent="0.25">
      <c r="A4959" s="16" t="s">
        <v>5891</v>
      </c>
      <c r="B4959" s="16" t="str">
        <f>TEXT(PARTIDA[[#This Row],[PARTIDA]],"0000000000")</f>
        <v>6213200000</v>
      </c>
      <c r="C4959" s="16" t="s">
        <v>786</v>
      </c>
      <c r="D4959" s="16" t="s">
        <v>787</v>
      </c>
      <c r="E4959" s="16" t="s">
        <v>9435</v>
      </c>
      <c r="F4959" s="27" t="s">
        <v>13475</v>
      </c>
      <c r="G4959" s="27"/>
      <c r="H4959" s="16" t="str">
        <f>IF(ISBLANK(PARTIDAS!$G4959),PARTIDAS!$F4959,CONCATENATE(PARTIDAS!$F4959," (",PARTIDAS!$G4959,")"))</f>
        <v>Pañuelos de bolsillo, de algodón</v>
      </c>
      <c r="I4959" s="16" t="s">
        <v>9427</v>
      </c>
    </row>
    <row r="4960" spans="1:9" x14ac:dyDescent="0.25">
      <c r="A4960" s="16" t="s">
        <v>5892</v>
      </c>
      <c r="B4960" s="16" t="str">
        <f>TEXT(PARTIDA[[#This Row],[PARTIDA]],"0000000000")</f>
        <v>6213901000</v>
      </c>
      <c r="C4960" s="16" t="s">
        <v>786</v>
      </c>
      <c r="D4960" s="16" t="s">
        <v>787</v>
      </c>
      <c r="E4960" s="16" t="s">
        <v>9435</v>
      </c>
      <c r="F4960" s="27" t="s">
        <v>13476</v>
      </c>
      <c r="G4960" s="27"/>
      <c r="H4960" s="16" t="str">
        <f>IF(ISBLANK(PARTIDAS!$G4960),PARTIDAS!$F4960,CONCATENATE(PARTIDAS!$F4960," (",PARTIDAS!$G4960,")"))</f>
        <v>Pañuelos de bolsillo, de las demás materias textiles, de seda o desperdicios de seda</v>
      </c>
      <c r="I4960" s="16" t="s">
        <v>9427</v>
      </c>
    </row>
    <row r="4961" spans="1:9" x14ac:dyDescent="0.25">
      <c r="A4961" s="16" t="s">
        <v>5893</v>
      </c>
      <c r="B4961" s="16" t="str">
        <f>TEXT(PARTIDA[[#This Row],[PARTIDA]],"0000000000")</f>
        <v>6213909000</v>
      </c>
      <c r="C4961" s="16" t="s">
        <v>786</v>
      </c>
      <c r="D4961" s="16" t="s">
        <v>787</v>
      </c>
      <c r="E4961" s="16" t="s">
        <v>9435</v>
      </c>
      <c r="F4961" s="27" t="s">
        <v>13477</v>
      </c>
      <c r="G4961" s="27"/>
      <c r="H4961" s="16" t="str">
        <f>IF(ISBLANK(PARTIDAS!$G4961),PARTIDAS!$F4961,CONCATENATE(PARTIDAS!$F4961," (",PARTIDAS!$G4961,")"))</f>
        <v>Pañuelos de bolsillo, de las demás materias textiles (los demás)</v>
      </c>
      <c r="I4961" s="16" t="s">
        <v>9427</v>
      </c>
    </row>
    <row r="4962" spans="1:9" x14ac:dyDescent="0.25">
      <c r="A4962" s="16" t="s">
        <v>5894</v>
      </c>
      <c r="B4962" s="16" t="str">
        <f>TEXT(PARTIDA[[#This Row],[PARTIDA]],"0000000000")</f>
        <v>6214100000</v>
      </c>
      <c r="C4962" s="16" t="s">
        <v>786</v>
      </c>
      <c r="D4962" s="16" t="s">
        <v>787</v>
      </c>
      <c r="E4962" s="16" t="s">
        <v>9435</v>
      </c>
      <c r="F4962" s="27" t="s">
        <v>13478</v>
      </c>
      <c r="G4962" s="27"/>
      <c r="H4962" s="16" t="str">
        <f>IF(ISBLANK(PARTIDAS!$G4962),PARTIDAS!$F4962,CONCATENATE(PARTIDAS!$F4962," (",PARTIDAS!$G4962,")"))</f>
        <v>Chales, pañuelos de cuello, bufandas, mantillas, velos y artículos…, de seda o desperdicios de seda</v>
      </c>
      <c r="I4962" s="16" t="s">
        <v>9427</v>
      </c>
    </row>
    <row r="4963" spans="1:9" x14ac:dyDescent="0.25">
      <c r="A4963" s="16" t="s">
        <v>5895</v>
      </c>
      <c r="B4963" s="16" t="str">
        <f>TEXT(PARTIDA[[#This Row],[PARTIDA]],"0000000000")</f>
        <v>6214200000</v>
      </c>
      <c r="C4963" s="16" t="s">
        <v>786</v>
      </c>
      <c r="D4963" s="16" t="s">
        <v>787</v>
      </c>
      <c r="E4963" s="16" t="s">
        <v>9435</v>
      </c>
      <c r="F4963" s="27" t="s">
        <v>13479</v>
      </c>
      <c r="G4963" s="27"/>
      <c r="H4963" s="16" t="str">
        <f>IF(ISBLANK(PARTIDAS!$G4963),PARTIDAS!$F4963,CONCATENATE(PARTIDAS!$F4963," (",PARTIDAS!$G4963,")"))</f>
        <v>Chales, pañuelos de cuello, bufandas, mantillas, velos y artículos…, de lana o pelo fino</v>
      </c>
      <c r="I4963" s="16" t="s">
        <v>9427</v>
      </c>
    </row>
    <row r="4964" spans="1:9" x14ac:dyDescent="0.25">
      <c r="A4964" s="16" t="s">
        <v>5896</v>
      </c>
      <c r="B4964" s="16" t="str">
        <f>TEXT(PARTIDA[[#This Row],[PARTIDA]],"0000000000")</f>
        <v>6214300000</v>
      </c>
      <c r="C4964" s="16" t="s">
        <v>786</v>
      </c>
      <c r="D4964" s="16" t="s">
        <v>787</v>
      </c>
      <c r="E4964" s="16" t="s">
        <v>9435</v>
      </c>
      <c r="F4964" s="27" t="s">
        <v>13480</v>
      </c>
      <c r="G4964" s="27"/>
      <c r="H4964" s="16" t="str">
        <f>IF(ISBLANK(PARTIDAS!$G4964),PARTIDAS!$F4964,CONCATENATE(PARTIDAS!$F4964," (",PARTIDAS!$G4964,")"))</f>
        <v>Chales, pañuelos de cuello, bufandas, mantillas, velos y artículos…, de fibras sintéticas</v>
      </c>
      <c r="I4964" s="16" t="s">
        <v>9427</v>
      </c>
    </row>
    <row r="4965" spans="1:9" x14ac:dyDescent="0.25">
      <c r="A4965" s="16" t="s">
        <v>5897</v>
      </c>
      <c r="B4965" s="16" t="str">
        <f>TEXT(PARTIDA[[#This Row],[PARTIDA]],"0000000000")</f>
        <v>6214400000</v>
      </c>
      <c r="C4965" s="16" t="s">
        <v>786</v>
      </c>
      <c r="D4965" s="16" t="s">
        <v>787</v>
      </c>
      <c r="E4965" s="16" t="s">
        <v>9435</v>
      </c>
      <c r="F4965" s="27" t="s">
        <v>13481</v>
      </c>
      <c r="G4965" s="27"/>
      <c r="H4965" s="16" t="str">
        <f>IF(ISBLANK(PARTIDAS!$G4965),PARTIDAS!$F4965,CONCATENATE(PARTIDAS!$F4965," (",PARTIDAS!$G4965,")"))</f>
        <v>Chales, pañuelos de cuello, bufandas, mantillas, velos y artículos…, de fibras artificiales</v>
      </c>
      <c r="I4965" s="16" t="s">
        <v>9427</v>
      </c>
    </row>
    <row r="4966" spans="1:9" x14ac:dyDescent="0.25">
      <c r="A4966" s="16" t="s">
        <v>5898</v>
      </c>
      <c r="B4966" s="16" t="str">
        <f>TEXT(PARTIDA[[#This Row],[PARTIDA]],"0000000000")</f>
        <v>6214900000</v>
      </c>
      <c r="C4966" s="16" t="s">
        <v>786</v>
      </c>
      <c r="D4966" s="16" t="s">
        <v>787</v>
      </c>
      <c r="E4966" s="16" t="s">
        <v>9435</v>
      </c>
      <c r="F4966" s="27" t="s">
        <v>13482</v>
      </c>
      <c r="G4966" s="27"/>
      <c r="H4966" s="16" t="str">
        <f>IF(ISBLANK(PARTIDAS!$G4966),PARTIDAS!$F4966,CONCATENATE(PARTIDAS!$F4966," (",PARTIDAS!$G4966,")"))</f>
        <v>Chales, pañuelos de cuello, bufandas, mantillas, velos y artículos…, de las demás materias textiles</v>
      </c>
      <c r="I4966" s="16" t="s">
        <v>9427</v>
      </c>
    </row>
    <row r="4967" spans="1:9" x14ac:dyDescent="0.25">
      <c r="A4967" s="16" t="s">
        <v>5899</v>
      </c>
      <c r="B4967" s="16" t="str">
        <f>TEXT(PARTIDA[[#This Row],[PARTIDA]],"0000000000")</f>
        <v>6215100000</v>
      </c>
      <c r="C4967" s="16" t="s">
        <v>786</v>
      </c>
      <c r="D4967" s="16" t="s">
        <v>787</v>
      </c>
      <c r="E4967" s="16" t="s">
        <v>9435</v>
      </c>
      <c r="F4967" s="27" t="s">
        <v>13483</v>
      </c>
      <c r="G4967" s="27"/>
      <c r="H4967" s="16" t="str">
        <f>IF(ISBLANK(PARTIDAS!$G4967),PARTIDAS!$F4967,CONCATENATE(PARTIDAS!$F4967," (",PARTIDAS!$G4967,")"))</f>
        <v>Corbatas y lazos similares, de seda o desperdicios de seda</v>
      </c>
      <c r="I4967" s="16" t="s">
        <v>9427</v>
      </c>
    </row>
    <row r="4968" spans="1:9" x14ac:dyDescent="0.25">
      <c r="A4968" s="16" t="s">
        <v>5900</v>
      </c>
      <c r="B4968" s="16" t="str">
        <f>TEXT(PARTIDA[[#This Row],[PARTIDA]],"0000000000")</f>
        <v>6215200000</v>
      </c>
      <c r="C4968" s="16" t="s">
        <v>786</v>
      </c>
      <c r="D4968" s="16" t="s">
        <v>787</v>
      </c>
      <c r="E4968" s="16" t="s">
        <v>9435</v>
      </c>
      <c r="F4968" s="27" t="s">
        <v>13484</v>
      </c>
      <c r="G4968" s="27"/>
      <c r="H4968" s="16" t="str">
        <f>IF(ISBLANK(PARTIDAS!$G4968),PARTIDAS!$F4968,CONCATENATE(PARTIDAS!$F4968," (",PARTIDAS!$G4968,")"))</f>
        <v>Corbatas y lazos similares, de fibras sintéticas o artificiales</v>
      </c>
      <c r="I4968" s="16" t="s">
        <v>9427</v>
      </c>
    </row>
    <row r="4969" spans="1:9" x14ac:dyDescent="0.25">
      <c r="A4969" s="16" t="s">
        <v>5901</v>
      </c>
      <c r="B4969" s="16" t="str">
        <f>TEXT(PARTIDA[[#This Row],[PARTIDA]],"0000000000")</f>
        <v>6215900000</v>
      </c>
      <c r="C4969" s="16" t="s">
        <v>786</v>
      </c>
      <c r="D4969" s="16" t="s">
        <v>787</v>
      </c>
      <c r="E4969" s="16" t="s">
        <v>9435</v>
      </c>
      <c r="F4969" s="27" t="s">
        <v>13485</v>
      </c>
      <c r="G4969" s="27"/>
      <c r="H4969" s="16" t="str">
        <f>IF(ISBLANK(PARTIDAS!$G4969),PARTIDAS!$F4969,CONCATENATE(PARTIDAS!$F4969," (",PARTIDAS!$G4969,")"))</f>
        <v>Corbatas y lazos similares, de las demás materias textiles</v>
      </c>
      <c r="I4969" s="16" t="s">
        <v>9427</v>
      </c>
    </row>
    <row r="4970" spans="1:9" x14ac:dyDescent="0.25">
      <c r="A4970" s="16" t="s">
        <v>5902</v>
      </c>
      <c r="B4970" s="16" t="str">
        <f>TEXT(PARTIDA[[#This Row],[PARTIDA]],"0000000000")</f>
        <v>6216001000</v>
      </c>
      <c r="C4970" s="16" t="s">
        <v>786</v>
      </c>
      <c r="D4970" s="16" t="s">
        <v>787</v>
      </c>
      <c r="E4970" s="16" t="s">
        <v>9435</v>
      </c>
      <c r="F4970" s="27" t="s">
        <v>13486</v>
      </c>
      <c r="G4970" s="27"/>
      <c r="H4970" s="16" t="str">
        <f>IF(ISBLANK(PARTIDAS!$G4970),PARTIDAS!$F4970,CONCATENATE(PARTIDAS!$F4970," (",PARTIDAS!$G4970,")"))</f>
        <v>Especiales para la protección de trabajadores</v>
      </c>
      <c r="I4970" s="16" t="s">
        <v>9427</v>
      </c>
    </row>
    <row r="4971" spans="1:9" x14ac:dyDescent="0.25">
      <c r="A4971" s="16" t="s">
        <v>5903</v>
      </c>
      <c r="B4971" s="16" t="str">
        <f>TEXT(PARTIDA[[#This Row],[PARTIDA]],"0000000000")</f>
        <v>6216009000</v>
      </c>
      <c r="C4971" s="16" t="s">
        <v>786</v>
      </c>
      <c r="D4971" s="16" t="s">
        <v>787</v>
      </c>
      <c r="E4971" s="16" t="s">
        <v>9435</v>
      </c>
      <c r="F4971" s="27" t="s">
        <v>13487</v>
      </c>
      <c r="G4971" s="27"/>
      <c r="H4971" s="16" t="str">
        <f>IF(ISBLANK(PARTIDAS!$G4971),PARTIDAS!$F4971,CONCATENATE(PARTIDAS!$F4971," (",PARTIDAS!$G4971,")"))</f>
        <v>Corbatas y lazos similares. 6216.00 Guantes, mitones y manoplas (los demás)</v>
      </c>
      <c r="I4971" s="16" t="s">
        <v>9427</v>
      </c>
    </row>
    <row r="4972" spans="1:9" x14ac:dyDescent="0.25">
      <c r="A4972" s="16" t="s">
        <v>5904</v>
      </c>
      <c r="B4972" s="16" t="str">
        <f>TEXT(PARTIDA[[#This Row],[PARTIDA]],"0000000000")</f>
        <v>6217100000</v>
      </c>
      <c r="C4972" s="16" t="s">
        <v>786</v>
      </c>
      <c r="D4972" s="16" t="s">
        <v>787</v>
      </c>
      <c r="E4972" s="16" t="s">
        <v>9435</v>
      </c>
      <c r="F4972" s="27" t="s">
        <v>13488</v>
      </c>
      <c r="G4972" s="27"/>
      <c r="H4972" s="16" t="str">
        <f>IF(ISBLANK(PARTIDAS!$G4972),PARTIDAS!$F4972,CONCATENATE(PARTIDAS!$F4972," (",PARTIDAS!$G4972,")"))</f>
        <v>Complementos (accesorios) de vestir</v>
      </c>
      <c r="I4972" s="16" t="s">
        <v>9427</v>
      </c>
    </row>
    <row r="4973" spans="1:9" x14ac:dyDescent="0.25">
      <c r="A4973" s="16" t="s">
        <v>5905</v>
      </c>
      <c r="B4973" s="16" t="str">
        <f>TEXT(PARTIDA[[#This Row],[PARTIDA]],"0000000000")</f>
        <v>6217900000</v>
      </c>
      <c r="C4973" s="16" t="s">
        <v>786</v>
      </c>
      <c r="D4973" s="16" t="s">
        <v>787</v>
      </c>
      <c r="E4973" s="16" t="s">
        <v>9435</v>
      </c>
      <c r="F4973" s="27" t="s">
        <v>13489</v>
      </c>
      <c r="G4973" s="27"/>
      <c r="H4973" s="16" t="str">
        <f>IF(ISBLANK(PARTIDAS!$G4973),PARTIDAS!$F4973,CONCATENATE(PARTIDAS!$F4973," (",PARTIDAS!$G4973,")"))</f>
        <v>Prendas y complementos (accesorios), de vestir, partes</v>
      </c>
      <c r="I4973" s="16" t="s">
        <v>9427</v>
      </c>
    </row>
    <row r="4974" spans="1:9" x14ac:dyDescent="0.25">
      <c r="A4974" s="16" t="s">
        <v>5906</v>
      </c>
      <c r="B4974" s="16" t="str">
        <f>TEXT(PARTIDA[[#This Row],[PARTIDA]],"0000000000")</f>
        <v>6301100000</v>
      </c>
      <c r="C4974" s="16" t="s">
        <v>786</v>
      </c>
      <c r="D4974" s="16" t="s">
        <v>787</v>
      </c>
      <c r="E4974" s="16" t="s">
        <v>9435</v>
      </c>
      <c r="F4974" s="27" t="s">
        <v>13490</v>
      </c>
      <c r="G4974" s="27"/>
      <c r="H4974" s="16" t="str">
        <f>IF(ISBLANK(PARTIDAS!$G4974),PARTIDAS!$F4974,CONCATENATE(PARTIDAS!$F4974," (",PARTIDAS!$G4974,")"))</f>
        <v>Mantas eléctricas</v>
      </c>
      <c r="I4974" s="16" t="s">
        <v>9427</v>
      </c>
    </row>
    <row r="4975" spans="1:9" x14ac:dyDescent="0.25">
      <c r="A4975" s="16" t="s">
        <v>5907</v>
      </c>
      <c r="B4975" s="16" t="str">
        <f>TEXT(PARTIDA[[#This Row],[PARTIDA]],"0000000000")</f>
        <v>6301201000</v>
      </c>
      <c r="C4975" s="16" t="s">
        <v>786</v>
      </c>
      <c r="D4975" s="16" t="s">
        <v>787</v>
      </c>
      <c r="E4975" s="16" t="s">
        <v>9435</v>
      </c>
      <c r="F4975" s="27" t="s">
        <v>13491</v>
      </c>
      <c r="G4975" s="27"/>
      <c r="H4975" s="16" t="str">
        <f>IF(ISBLANK(PARTIDAS!$G4975),PARTIDAS!$F4975,CONCATENATE(PARTIDAS!$F4975," (",PARTIDAS!$G4975,")"))</f>
        <v>Mantas de lana o pelo fino, de lana</v>
      </c>
      <c r="I4975" s="16" t="s">
        <v>9427</v>
      </c>
    </row>
    <row r="4976" spans="1:9" x14ac:dyDescent="0.25">
      <c r="A4976" s="16" t="s">
        <v>5908</v>
      </c>
      <c r="B4976" s="16" t="str">
        <f>TEXT(PARTIDA[[#This Row],[PARTIDA]],"0000000000")</f>
        <v>6301202000</v>
      </c>
      <c r="C4976" s="16" t="s">
        <v>786</v>
      </c>
      <c r="D4976" s="16" t="s">
        <v>787</v>
      </c>
      <c r="E4976" s="16" t="s">
        <v>9435</v>
      </c>
      <c r="F4976" s="27" t="s">
        <v>13492</v>
      </c>
      <c r="G4976" s="27"/>
      <c r="H4976" s="16" t="str">
        <f>IF(ISBLANK(PARTIDAS!$G4976),PARTIDAS!$F4976,CONCATENATE(PARTIDAS!$F4976," (",PARTIDAS!$G4976,")"))</f>
        <v>Mantas de lana o pelo fino, de pelo de vicuña</v>
      </c>
      <c r="I4976" s="16" t="s">
        <v>9427</v>
      </c>
    </row>
    <row r="4977" spans="1:9" x14ac:dyDescent="0.25">
      <c r="A4977" s="16" t="s">
        <v>5909</v>
      </c>
      <c r="B4977" s="16" t="str">
        <f>TEXT(PARTIDA[[#This Row],[PARTIDA]],"0000000000")</f>
        <v>6301209000</v>
      </c>
      <c r="C4977" s="16" t="s">
        <v>786</v>
      </c>
      <c r="D4977" s="16" t="s">
        <v>787</v>
      </c>
      <c r="E4977" s="16" t="s">
        <v>9435</v>
      </c>
      <c r="F4977" s="27" t="s">
        <v>13493</v>
      </c>
      <c r="G4977" s="27"/>
      <c r="H4977" s="16" t="str">
        <f>IF(ISBLANK(PARTIDAS!$G4977),PARTIDAS!$F4977,CONCATENATE(PARTIDAS!$F4977," (",PARTIDAS!$G4977,")"))</f>
        <v>Mantas de lana o pelo fino (los demás)</v>
      </c>
      <c r="I4977" s="16" t="s">
        <v>9427</v>
      </c>
    </row>
    <row r="4978" spans="1:9" x14ac:dyDescent="0.25">
      <c r="A4978" s="16" t="s">
        <v>5910</v>
      </c>
      <c r="B4978" s="16" t="str">
        <f>TEXT(PARTIDA[[#This Row],[PARTIDA]],"0000000000")</f>
        <v>6301300000</v>
      </c>
      <c r="C4978" s="16" t="s">
        <v>786</v>
      </c>
      <c r="D4978" s="16" t="s">
        <v>787</v>
      </c>
      <c r="E4978" s="16" t="s">
        <v>9435</v>
      </c>
      <c r="F4978" s="27" t="s">
        <v>13494</v>
      </c>
      <c r="G4978" s="27"/>
      <c r="H4978" s="16" t="str">
        <f>IF(ISBLANK(PARTIDAS!$G4978),PARTIDAS!$F4978,CONCATENATE(PARTIDAS!$F4978," (",PARTIDAS!$G4978,")"))</f>
        <v>Mantas de algodón (excepto las eléctricas)</v>
      </c>
      <c r="I4978" s="16" t="s">
        <v>9427</v>
      </c>
    </row>
    <row r="4979" spans="1:9" x14ac:dyDescent="0.25">
      <c r="A4979" s="16" t="s">
        <v>5911</v>
      </c>
      <c r="B4979" s="16" t="str">
        <f>TEXT(PARTIDA[[#This Row],[PARTIDA]],"0000000000")</f>
        <v>6301400000</v>
      </c>
      <c r="C4979" s="16" t="s">
        <v>786</v>
      </c>
      <c r="D4979" s="16" t="s">
        <v>787</v>
      </c>
      <c r="E4979" s="16" t="s">
        <v>9435</v>
      </c>
      <c r="F4979" s="27" t="s">
        <v>13495</v>
      </c>
      <c r="G4979" s="27"/>
      <c r="H4979" s="16" t="str">
        <f>IF(ISBLANK(PARTIDAS!$G4979),PARTIDAS!$F4979,CONCATENATE(PARTIDAS!$F4979," (",PARTIDAS!$G4979,")"))</f>
        <v>Mantas de fibras sintéticas (excepto las eléctricas)</v>
      </c>
      <c r="I4979" s="16" t="s">
        <v>9427</v>
      </c>
    </row>
    <row r="4980" spans="1:9" x14ac:dyDescent="0.25">
      <c r="A4980" s="16" t="s">
        <v>5912</v>
      </c>
      <c r="B4980" s="16" t="str">
        <f>TEXT(PARTIDA[[#This Row],[PARTIDA]],"0000000000")</f>
        <v>6301900000</v>
      </c>
      <c r="C4980" s="16" t="s">
        <v>786</v>
      </c>
      <c r="D4980" s="16" t="s">
        <v>787</v>
      </c>
      <c r="E4980" s="16" t="s">
        <v>9435</v>
      </c>
      <c r="F4980" s="27" t="s">
        <v>5913</v>
      </c>
      <c r="G4980" s="27"/>
      <c r="H4980" s="16" t="str">
        <f>IF(ISBLANK(PARTIDAS!$G4980),PARTIDAS!$F4980,CONCATENATE(PARTIDAS!$F4980," (",PARTIDAS!$G4980,")"))</f>
        <v>Mantas</v>
      </c>
      <c r="I4980" s="16" t="s">
        <v>9427</v>
      </c>
    </row>
    <row r="4981" spans="1:9" x14ac:dyDescent="0.25">
      <c r="A4981" s="16" t="s">
        <v>5914</v>
      </c>
      <c r="B4981" s="16" t="str">
        <f>TEXT(PARTIDA[[#This Row],[PARTIDA]],"0000000000")</f>
        <v>6302101000</v>
      </c>
      <c r="C4981" s="16" t="s">
        <v>786</v>
      </c>
      <c r="D4981" s="16" t="s">
        <v>787</v>
      </c>
      <c r="E4981" s="16" t="s">
        <v>9435</v>
      </c>
      <c r="F4981" s="27" t="s">
        <v>13496</v>
      </c>
      <c r="G4981" s="27"/>
      <c r="H4981" s="16" t="str">
        <f>IF(ISBLANK(PARTIDAS!$G4981),PARTIDAS!$F4981,CONCATENATE(PARTIDAS!$F4981," (",PARTIDAS!$G4981,")"))</f>
        <v>Ropa de cama, de punto, de fibras sintéticas o artificiales</v>
      </c>
      <c r="I4981" s="16" t="s">
        <v>9427</v>
      </c>
    </row>
    <row r="4982" spans="1:9" x14ac:dyDescent="0.25">
      <c r="A4982" s="16" t="s">
        <v>5915</v>
      </c>
      <c r="B4982" s="16" t="str">
        <f>TEXT(PARTIDA[[#This Row],[PARTIDA]],"0000000000")</f>
        <v>6302109000</v>
      </c>
      <c r="C4982" s="16" t="s">
        <v>786</v>
      </c>
      <c r="D4982" s="16" t="s">
        <v>787</v>
      </c>
      <c r="E4982" s="16" t="s">
        <v>9435</v>
      </c>
      <c r="F4982" s="27" t="s">
        <v>13497</v>
      </c>
      <c r="G4982" s="27"/>
      <c r="H4982" s="16" t="str">
        <f>IF(ISBLANK(PARTIDAS!$G4982),PARTIDAS!$F4982,CONCATENATE(PARTIDAS!$F4982," (",PARTIDAS!$G4982,")"))</f>
        <v>Ropa de cama, de punto (los demás)</v>
      </c>
      <c r="I4982" s="16" t="s">
        <v>9427</v>
      </c>
    </row>
    <row r="4983" spans="1:9" x14ac:dyDescent="0.25">
      <c r="A4983" s="16" t="s">
        <v>5916</v>
      </c>
      <c r="B4983" s="16" t="str">
        <f>TEXT(PARTIDA[[#This Row],[PARTIDA]],"0000000000")</f>
        <v>6302210000</v>
      </c>
      <c r="C4983" s="16" t="s">
        <v>786</v>
      </c>
      <c r="D4983" s="16" t="s">
        <v>787</v>
      </c>
      <c r="E4983" s="16" t="s">
        <v>9435</v>
      </c>
      <c r="F4983" s="27" t="s">
        <v>13498</v>
      </c>
      <c r="G4983" s="27"/>
      <c r="H4983" s="16" t="str">
        <f>IF(ISBLANK(PARTIDAS!$G4983),PARTIDAS!$F4983,CONCATENATE(PARTIDAS!$F4983," (",PARTIDAS!$G4983,")"))</f>
        <v>Ropa de cama, mesa, tocador o cocina, de algodón</v>
      </c>
      <c r="I4983" s="16" t="s">
        <v>9427</v>
      </c>
    </row>
    <row r="4984" spans="1:9" x14ac:dyDescent="0.25">
      <c r="A4984" s="16" t="s">
        <v>5917</v>
      </c>
      <c r="B4984" s="16" t="str">
        <f>TEXT(PARTIDA[[#This Row],[PARTIDA]],"0000000000")</f>
        <v>6302220000</v>
      </c>
      <c r="C4984" s="16" t="s">
        <v>786</v>
      </c>
      <c r="D4984" s="16" t="s">
        <v>787</v>
      </c>
      <c r="E4984" s="16" t="s">
        <v>9435</v>
      </c>
      <c r="F4984" s="27" t="s">
        <v>13499</v>
      </c>
      <c r="G4984" s="27"/>
      <c r="H4984" s="16" t="str">
        <f>IF(ISBLANK(PARTIDAS!$G4984),PARTIDAS!$F4984,CONCATENATE(PARTIDAS!$F4984," (",PARTIDAS!$G4984,")"))</f>
        <v>Ropa de cama, mesa, tocador o cocina, de fibras sintéticas o artificiales</v>
      </c>
      <c r="I4984" s="16" t="s">
        <v>9427</v>
      </c>
    </row>
    <row r="4985" spans="1:9" x14ac:dyDescent="0.25">
      <c r="A4985" s="16" t="s">
        <v>5918</v>
      </c>
      <c r="B4985" s="16" t="str">
        <f>TEXT(PARTIDA[[#This Row],[PARTIDA]],"0000000000")</f>
        <v>6302290000</v>
      </c>
      <c r="C4985" s="16" t="s">
        <v>786</v>
      </c>
      <c r="D4985" s="16" t="s">
        <v>787</v>
      </c>
      <c r="E4985" s="16" t="s">
        <v>9435</v>
      </c>
      <c r="F4985" s="27" t="s">
        <v>13500</v>
      </c>
      <c r="G4985" s="27"/>
      <c r="H4985" s="16" t="str">
        <f>IF(ISBLANK(PARTIDAS!$G4985),PARTIDAS!$F4985,CONCATENATE(PARTIDAS!$F4985," (",PARTIDAS!$G4985,")"))</f>
        <v>Ropa de cama, mesa, tocador o cocina, de las demás materias textiles</v>
      </c>
      <c r="I4985" s="16" t="s">
        <v>9427</v>
      </c>
    </row>
    <row r="4986" spans="1:9" x14ac:dyDescent="0.25">
      <c r="A4986" s="16" t="s">
        <v>5919</v>
      </c>
      <c r="B4986" s="16" t="str">
        <f>TEXT(PARTIDA[[#This Row],[PARTIDA]],"0000000000")</f>
        <v>6302310000</v>
      </c>
      <c r="C4986" s="16" t="s">
        <v>786</v>
      </c>
      <c r="D4986" s="16" t="s">
        <v>787</v>
      </c>
      <c r="E4986" s="16" t="s">
        <v>9435</v>
      </c>
      <c r="F4986" s="27" t="s">
        <v>13498</v>
      </c>
      <c r="G4986" s="27"/>
      <c r="H4986" s="16" t="str">
        <f>IF(ISBLANK(PARTIDAS!$G4986),PARTIDAS!$F4986,CONCATENATE(PARTIDAS!$F4986," (",PARTIDAS!$G4986,")"))</f>
        <v>Ropa de cama, mesa, tocador o cocina, de algodón</v>
      </c>
      <c r="I4986" s="16" t="s">
        <v>9427</v>
      </c>
    </row>
    <row r="4987" spans="1:9" x14ac:dyDescent="0.25">
      <c r="A4987" s="16" t="s">
        <v>5920</v>
      </c>
      <c r="B4987" s="16" t="str">
        <f>TEXT(PARTIDA[[#This Row],[PARTIDA]],"0000000000")</f>
        <v>6302320000</v>
      </c>
      <c r="C4987" s="16" t="s">
        <v>786</v>
      </c>
      <c r="D4987" s="16" t="s">
        <v>787</v>
      </c>
      <c r="E4987" s="16" t="s">
        <v>9435</v>
      </c>
      <c r="F4987" s="27" t="s">
        <v>13499</v>
      </c>
      <c r="G4987" s="27"/>
      <c r="H4987" s="16" t="str">
        <f>IF(ISBLANK(PARTIDAS!$G4987),PARTIDAS!$F4987,CONCATENATE(PARTIDAS!$F4987," (",PARTIDAS!$G4987,")"))</f>
        <v>Ropa de cama, mesa, tocador o cocina, de fibras sintéticas o artificiales</v>
      </c>
      <c r="I4987" s="16" t="s">
        <v>9427</v>
      </c>
    </row>
    <row r="4988" spans="1:9" x14ac:dyDescent="0.25">
      <c r="A4988" s="16" t="s">
        <v>5921</v>
      </c>
      <c r="B4988" s="16" t="str">
        <f>TEXT(PARTIDA[[#This Row],[PARTIDA]],"0000000000")</f>
        <v>6302390000</v>
      </c>
      <c r="C4988" s="16" t="s">
        <v>786</v>
      </c>
      <c r="D4988" s="16" t="s">
        <v>787</v>
      </c>
      <c r="E4988" s="16" t="s">
        <v>9435</v>
      </c>
      <c r="F4988" s="27" t="s">
        <v>13500</v>
      </c>
      <c r="G4988" s="27"/>
      <c r="H4988" s="16" t="str">
        <f>IF(ISBLANK(PARTIDAS!$G4988),PARTIDAS!$F4988,CONCATENATE(PARTIDAS!$F4988," (",PARTIDAS!$G4988,")"))</f>
        <v>Ropa de cama, mesa, tocador o cocina, de las demás materias textiles</v>
      </c>
      <c r="I4988" s="16" t="s">
        <v>9427</v>
      </c>
    </row>
    <row r="4989" spans="1:9" x14ac:dyDescent="0.25">
      <c r="A4989" s="16" t="s">
        <v>5922</v>
      </c>
      <c r="B4989" s="16" t="str">
        <f>TEXT(PARTIDA[[#This Row],[PARTIDA]],"0000000000")</f>
        <v>6302401000</v>
      </c>
      <c r="C4989" s="16" t="s">
        <v>786</v>
      </c>
      <c r="D4989" s="16" t="s">
        <v>787</v>
      </c>
      <c r="E4989" s="16" t="s">
        <v>9435</v>
      </c>
      <c r="F4989" s="27" t="s">
        <v>13501</v>
      </c>
      <c r="G4989" s="27"/>
      <c r="H4989" s="16" t="str">
        <f>IF(ISBLANK(PARTIDAS!$G4989),PARTIDAS!$F4989,CONCATENATE(PARTIDAS!$F4989," (",PARTIDAS!$G4989,")"))</f>
        <v>Ropa de mesa, de punto, de fibras sintéticas o artificiales</v>
      </c>
      <c r="I4989" s="16" t="s">
        <v>9427</v>
      </c>
    </row>
    <row r="4990" spans="1:9" x14ac:dyDescent="0.25">
      <c r="A4990" s="16" t="s">
        <v>5923</v>
      </c>
      <c r="B4990" s="16" t="str">
        <f>TEXT(PARTIDA[[#This Row],[PARTIDA]],"0000000000")</f>
        <v>6302409000</v>
      </c>
      <c r="C4990" s="16" t="s">
        <v>786</v>
      </c>
      <c r="D4990" s="16" t="s">
        <v>787</v>
      </c>
      <c r="E4990" s="16" t="s">
        <v>9435</v>
      </c>
      <c r="F4990" s="27" t="s">
        <v>13502</v>
      </c>
      <c r="G4990" s="27"/>
      <c r="H4990" s="16" t="str">
        <f>IF(ISBLANK(PARTIDAS!$G4990),PARTIDAS!$F4990,CONCATENATE(PARTIDAS!$F4990," (",PARTIDAS!$G4990,")"))</f>
        <v>Ropa de mesa, de punto (los demás)</v>
      </c>
      <c r="I4990" s="16" t="s">
        <v>9427</v>
      </c>
    </row>
    <row r="4991" spans="1:9" x14ac:dyDescent="0.25">
      <c r="A4991" s="16" t="s">
        <v>5924</v>
      </c>
      <c r="B4991" s="16" t="str">
        <f>TEXT(PARTIDA[[#This Row],[PARTIDA]],"0000000000")</f>
        <v>6302510000</v>
      </c>
      <c r="C4991" s="16" t="s">
        <v>786</v>
      </c>
      <c r="D4991" s="16" t="s">
        <v>787</v>
      </c>
      <c r="E4991" s="16" t="s">
        <v>9435</v>
      </c>
      <c r="F4991" s="27" t="s">
        <v>13498</v>
      </c>
      <c r="G4991" s="27"/>
      <c r="H4991" s="16" t="str">
        <f>IF(ISBLANK(PARTIDAS!$G4991),PARTIDAS!$F4991,CONCATENATE(PARTIDAS!$F4991," (",PARTIDAS!$G4991,")"))</f>
        <v>Ropa de cama, mesa, tocador o cocina, de algodón</v>
      </c>
      <c r="I4991" s="16" t="s">
        <v>9427</v>
      </c>
    </row>
    <row r="4992" spans="1:9" x14ac:dyDescent="0.25">
      <c r="A4992" s="16" t="s">
        <v>5925</v>
      </c>
      <c r="B4992" s="16" t="str">
        <f>TEXT(PARTIDA[[#This Row],[PARTIDA]],"0000000000")</f>
        <v>6302530000</v>
      </c>
      <c r="C4992" s="16" t="s">
        <v>786</v>
      </c>
      <c r="D4992" s="16" t="s">
        <v>787</v>
      </c>
      <c r="E4992" s="16" t="s">
        <v>9435</v>
      </c>
      <c r="F4992" s="27" t="s">
        <v>13499</v>
      </c>
      <c r="G4992" s="27"/>
      <c r="H4992" s="16" t="str">
        <f>IF(ISBLANK(PARTIDAS!$G4992),PARTIDAS!$F4992,CONCATENATE(PARTIDAS!$F4992," (",PARTIDAS!$G4992,")"))</f>
        <v>Ropa de cama, mesa, tocador o cocina, de fibras sintéticas o artificiales</v>
      </c>
      <c r="I4992" s="16" t="s">
        <v>9427</v>
      </c>
    </row>
    <row r="4993" spans="1:9" x14ac:dyDescent="0.25">
      <c r="A4993" s="16" t="s">
        <v>5926</v>
      </c>
      <c r="B4993" s="16" t="str">
        <f>TEXT(PARTIDA[[#This Row],[PARTIDA]],"0000000000")</f>
        <v>6302591000</v>
      </c>
      <c r="C4993" s="16" t="s">
        <v>786</v>
      </c>
      <c r="D4993" s="16" t="s">
        <v>787</v>
      </c>
      <c r="E4993" s="16" t="s">
        <v>9435</v>
      </c>
      <c r="F4993" s="27" t="s">
        <v>13503</v>
      </c>
      <c r="G4993" s="27"/>
      <c r="H4993" s="16" t="str">
        <f>IF(ISBLANK(PARTIDAS!$G4993),PARTIDAS!$F4993,CONCATENATE(PARTIDAS!$F4993," (",PARTIDAS!$G4993,")"))</f>
        <v>Ropa de cama, mesa, tocador o cocina, de las demás materias textiles, de lino</v>
      </c>
      <c r="I4993" s="16" t="s">
        <v>9427</v>
      </c>
    </row>
    <row r="4994" spans="1:9" x14ac:dyDescent="0.25">
      <c r="A4994" s="16" t="s">
        <v>5927</v>
      </c>
      <c r="B4994" s="16" t="str">
        <f>TEXT(PARTIDA[[#This Row],[PARTIDA]],"0000000000")</f>
        <v>6302599000</v>
      </c>
      <c r="C4994" s="16" t="s">
        <v>786</v>
      </c>
      <c r="D4994" s="16" t="s">
        <v>787</v>
      </c>
      <c r="E4994" s="16" t="s">
        <v>9435</v>
      </c>
      <c r="F4994" s="27" t="s">
        <v>13504</v>
      </c>
      <c r="G4994" s="27"/>
      <c r="H4994" s="16" t="str">
        <f>IF(ISBLANK(PARTIDAS!$G4994),PARTIDAS!$F4994,CONCATENATE(PARTIDAS!$F4994," (",PARTIDAS!$G4994,")"))</f>
        <v>Ropa de cama, mesa, tocador o cocina, de las demás materias textiles (los demás)</v>
      </c>
      <c r="I4994" s="16" t="s">
        <v>9427</v>
      </c>
    </row>
    <row r="4995" spans="1:9" x14ac:dyDescent="0.25">
      <c r="A4995" s="16" t="s">
        <v>5928</v>
      </c>
      <c r="B4995" s="16" t="str">
        <f>TEXT(PARTIDA[[#This Row],[PARTIDA]],"0000000000")</f>
        <v>6302600000</v>
      </c>
      <c r="C4995" s="16" t="s">
        <v>786</v>
      </c>
      <c r="D4995" s="16" t="s">
        <v>787</v>
      </c>
      <c r="E4995" s="16" t="s">
        <v>9435</v>
      </c>
      <c r="F4995" s="27" t="s">
        <v>13505</v>
      </c>
      <c r="G4995" s="27"/>
      <c r="H4995" s="16" t="str">
        <f>IF(ISBLANK(PARTIDAS!$G4995),PARTIDAS!$F4995,CONCATENATE(PARTIDAS!$F4995," (",PARTIDAS!$G4995,")"))</f>
        <v>Ropa de tocador o cocina, de tejido con bucles del tipo toalla, de algodón</v>
      </c>
      <c r="I4995" s="16" t="s">
        <v>9427</v>
      </c>
    </row>
    <row r="4996" spans="1:9" x14ac:dyDescent="0.25">
      <c r="A4996" s="16" t="s">
        <v>5929</v>
      </c>
      <c r="B4996" s="16" t="str">
        <f>TEXT(PARTIDA[[#This Row],[PARTIDA]],"0000000000")</f>
        <v>6302910000</v>
      </c>
      <c r="C4996" s="16" t="s">
        <v>786</v>
      </c>
      <c r="D4996" s="16" t="s">
        <v>787</v>
      </c>
      <c r="E4996" s="16" t="s">
        <v>9435</v>
      </c>
      <c r="F4996" s="27" t="s">
        <v>13498</v>
      </c>
      <c r="G4996" s="27"/>
      <c r="H4996" s="16" t="str">
        <f>IF(ISBLANK(PARTIDAS!$G4996),PARTIDAS!$F4996,CONCATENATE(PARTIDAS!$F4996," (",PARTIDAS!$G4996,")"))</f>
        <v>Ropa de cama, mesa, tocador o cocina, de algodón</v>
      </c>
      <c r="I4996" s="16" t="s">
        <v>9427</v>
      </c>
    </row>
    <row r="4997" spans="1:9" x14ac:dyDescent="0.25">
      <c r="A4997" s="16" t="s">
        <v>5930</v>
      </c>
      <c r="B4997" s="16" t="str">
        <f>TEXT(PARTIDA[[#This Row],[PARTIDA]],"0000000000")</f>
        <v>6302930000</v>
      </c>
      <c r="C4997" s="16" t="s">
        <v>786</v>
      </c>
      <c r="D4997" s="16" t="s">
        <v>787</v>
      </c>
      <c r="E4997" s="16" t="s">
        <v>9435</v>
      </c>
      <c r="F4997" s="27" t="s">
        <v>13499</v>
      </c>
      <c r="G4997" s="27"/>
      <c r="H4997" s="16" t="str">
        <f>IF(ISBLANK(PARTIDAS!$G4997),PARTIDAS!$F4997,CONCATENATE(PARTIDAS!$F4997," (",PARTIDAS!$G4997,")"))</f>
        <v>Ropa de cama, mesa, tocador o cocina, de fibras sintéticas o artificiales</v>
      </c>
      <c r="I4997" s="16" t="s">
        <v>9427</v>
      </c>
    </row>
    <row r="4998" spans="1:9" x14ac:dyDescent="0.25">
      <c r="A4998" s="16" t="s">
        <v>5931</v>
      </c>
      <c r="B4998" s="16" t="str">
        <f>TEXT(PARTIDA[[#This Row],[PARTIDA]],"0000000000")</f>
        <v>6302991000</v>
      </c>
      <c r="C4998" s="16" t="s">
        <v>786</v>
      </c>
      <c r="D4998" s="16" t="s">
        <v>787</v>
      </c>
      <c r="E4998" s="16" t="s">
        <v>9435</v>
      </c>
      <c r="F4998" s="27" t="s">
        <v>13503</v>
      </c>
      <c r="G4998" s="27"/>
      <c r="H4998" s="16" t="str">
        <f>IF(ISBLANK(PARTIDAS!$G4998),PARTIDAS!$F4998,CONCATENATE(PARTIDAS!$F4998," (",PARTIDAS!$G4998,")"))</f>
        <v>Ropa de cama, mesa, tocador o cocina, de las demás materias textiles, de lino</v>
      </c>
      <c r="I4998" s="16" t="s">
        <v>9427</v>
      </c>
    </row>
    <row r="4999" spans="1:9" x14ac:dyDescent="0.25">
      <c r="A4999" s="16" t="s">
        <v>5932</v>
      </c>
      <c r="B4999" s="16" t="str">
        <f>TEXT(PARTIDA[[#This Row],[PARTIDA]],"0000000000")</f>
        <v>6302999000</v>
      </c>
      <c r="C4999" s="16" t="s">
        <v>786</v>
      </c>
      <c r="D4999" s="16" t="s">
        <v>787</v>
      </c>
      <c r="E4999" s="16" t="s">
        <v>9435</v>
      </c>
      <c r="F4999" s="27" t="s">
        <v>13504</v>
      </c>
      <c r="G4999" s="27"/>
      <c r="H4999" s="16" t="str">
        <f>IF(ISBLANK(PARTIDAS!$G4999),PARTIDAS!$F4999,CONCATENATE(PARTIDAS!$F4999," (",PARTIDAS!$G4999,")"))</f>
        <v>Ropa de cama, mesa, tocador o cocina, de las demás materias textiles (los demás)</v>
      </c>
      <c r="I4999" s="16" t="s">
        <v>9427</v>
      </c>
    </row>
    <row r="5000" spans="1:9" x14ac:dyDescent="0.25">
      <c r="A5000" s="16" t="s">
        <v>5933</v>
      </c>
      <c r="B5000" s="16" t="str">
        <f>TEXT(PARTIDA[[#This Row],[PARTIDA]],"0000000000")</f>
        <v>6303120000</v>
      </c>
      <c r="C5000" s="16" t="s">
        <v>786</v>
      </c>
      <c r="D5000" s="16" t="s">
        <v>787</v>
      </c>
      <c r="E5000" s="16" t="s">
        <v>9435</v>
      </c>
      <c r="F5000" s="27" t="s">
        <v>13506</v>
      </c>
      <c r="G5000" s="27"/>
      <c r="H5000" s="16" t="str">
        <f>IF(ISBLANK(PARTIDAS!$G5000),PARTIDAS!$F5000,CONCATENATE(PARTIDAS!$F5000," (",PARTIDAS!$G5000,")"))</f>
        <v>Visillos y cortinas, de punto, de fibras sintéticas</v>
      </c>
      <c r="I5000" s="16" t="s">
        <v>9427</v>
      </c>
    </row>
    <row r="5001" spans="1:9" x14ac:dyDescent="0.25">
      <c r="A5001" s="16" t="s">
        <v>5934</v>
      </c>
      <c r="B5001" s="16" t="str">
        <f>TEXT(PARTIDA[[#This Row],[PARTIDA]],"0000000000")</f>
        <v>6303191000</v>
      </c>
      <c r="C5001" s="16" t="s">
        <v>786</v>
      </c>
      <c r="D5001" s="16" t="s">
        <v>787</v>
      </c>
      <c r="E5001" s="16" t="s">
        <v>9435</v>
      </c>
      <c r="F5001" s="27" t="s">
        <v>13507</v>
      </c>
      <c r="G5001" s="27"/>
      <c r="H5001" s="16" t="str">
        <f>IF(ISBLANK(PARTIDAS!$G5001),PARTIDAS!$F5001,CONCATENATE(PARTIDAS!$F5001," (",PARTIDAS!$G5001,")"))</f>
        <v>Visillos y cortinas, de punto, de las demás materias textiles, de algodón</v>
      </c>
      <c r="I5001" s="16" t="s">
        <v>9427</v>
      </c>
    </row>
    <row r="5002" spans="1:9" x14ac:dyDescent="0.25">
      <c r="A5002" s="16" t="s">
        <v>5935</v>
      </c>
      <c r="B5002" s="16" t="str">
        <f>TEXT(PARTIDA[[#This Row],[PARTIDA]],"0000000000")</f>
        <v>6303199000</v>
      </c>
      <c r="C5002" s="16" t="s">
        <v>786</v>
      </c>
      <c r="D5002" s="16" t="s">
        <v>787</v>
      </c>
      <c r="E5002" s="16" t="s">
        <v>9435</v>
      </c>
      <c r="F5002" s="27" t="s">
        <v>13508</v>
      </c>
      <c r="G5002" s="27"/>
      <c r="H5002" s="16" t="str">
        <f>IF(ISBLANK(PARTIDAS!$G5002),PARTIDAS!$F5002,CONCATENATE(PARTIDAS!$F5002," (",PARTIDAS!$G5002,")"))</f>
        <v>Visillos y cortinas, de punto, de las demás materias textiles (los demás)</v>
      </c>
      <c r="I5002" s="16" t="s">
        <v>9427</v>
      </c>
    </row>
    <row r="5003" spans="1:9" x14ac:dyDescent="0.25">
      <c r="A5003" s="16" t="s">
        <v>5936</v>
      </c>
      <c r="B5003" s="16" t="str">
        <f>TEXT(PARTIDA[[#This Row],[PARTIDA]],"0000000000")</f>
        <v>6303910000</v>
      </c>
      <c r="C5003" s="16" t="s">
        <v>786</v>
      </c>
      <c r="D5003" s="16" t="s">
        <v>787</v>
      </c>
      <c r="E5003" s="16" t="s">
        <v>9435</v>
      </c>
      <c r="F5003" s="27" t="s">
        <v>13509</v>
      </c>
      <c r="G5003" s="27"/>
      <c r="H5003" s="16" t="str">
        <f>IF(ISBLANK(PARTIDAS!$G5003),PARTIDAS!$F5003,CONCATENATE(PARTIDAS!$F5003," (",PARTIDAS!$G5003,")"))</f>
        <v>Visillos y cortinas, de algodón</v>
      </c>
      <c r="I5003" s="16" t="s">
        <v>9427</v>
      </c>
    </row>
    <row r="5004" spans="1:9" x14ac:dyDescent="0.25">
      <c r="A5004" s="16" t="s">
        <v>5937</v>
      </c>
      <c r="B5004" s="16" t="str">
        <f>TEXT(PARTIDA[[#This Row],[PARTIDA]],"0000000000")</f>
        <v>6303920000</v>
      </c>
      <c r="C5004" s="16" t="s">
        <v>786</v>
      </c>
      <c r="D5004" s="16" t="s">
        <v>787</v>
      </c>
      <c r="E5004" s="16" t="s">
        <v>9435</v>
      </c>
      <c r="F5004" s="27" t="s">
        <v>13510</v>
      </c>
      <c r="G5004" s="27"/>
      <c r="H5004" s="16" t="str">
        <f>IF(ISBLANK(PARTIDAS!$G5004),PARTIDAS!$F5004,CONCATENATE(PARTIDAS!$F5004," (",PARTIDAS!$G5004,")"))</f>
        <v>Visillos y cortinas, de fibras sintéticas</v>
      </c>
      <c r="I5004" s="16" t="s">
        <v>9427</v>
      </c>
    </row>
    <row r="5005" spans="1:9" x14ac:dyDescent="0.25">
      <c r="A5005" s="16" t="s">
        <v>5938</v>
      </c>
      <c r="B5005" s="16" t="str">
        <f>TEXT(PARTIDA[[#This Row],[PARTIDA]],"0000000000")</f>
        <v>6303990000</v>
      </c>
      <c r="C5005" s="16" t="s">
        <v>786</v>
      </c>
      <c r="D5005" s="16" t="s">
        <v>787</v>
      </c>
      <c r="E5005" s="16" t="s">
        <v>9435</v>
      </c>
      <c r="F5005" s="27" t="s">
        <v>13511</v>
      </c>
      <c r="G5005" s="27"/>
      <c r="H5005" s="16" t="str">
        <f>IF(ISBLANK(PARTIDAS!$G5005),PARTIDAS!$F5005,CONCATENATE(PARTIDAS!$F5005," (",PARTIDAS!$G5005,")"))</f>
        <v>Visillos y cortinas, de las demás materias textiles</v>
      </c>
      <c r="I5005" s="16" t="s">
        <v>9427</v>
      </c>
    </row>
    <row r="5006" spans="1:9" x14ac:dyDescent="0.25">
      <c r="A5006" s="16" t="s">
        <v>5939</v>
      </c>
      <c r="B5006" s="16" t="str">
        <f>TEXT(PARTIDA[[#This Row],[PARTIDA]],"0000000000")</f>
        <v>6304110000</v>
      </c>
      <c r="C5006" s="16" t="s">
        <v>786</v>
      </c>
      <c r="D5006" s="16" t="s">
        <v>787</v>
      </c>
      <c r="E5006" s="16" t="s">
        <v>9435</v>
      </c>
      <c r="F5006" s="27" t="s">
        <v>13512</v>
      </c>
      <c r="G5006" s="27"/>
      <c r="H5006" s="16" t="str">
        <f>IF(ISBLANK(PARTIDAS!$G5006),PARTIDAS!$F5006,CONCATENATE(PARTIDAS!$F5006," (",PARTIDAS!$G5006,")"))</f>
        <v>Colchas, de punto</v>
      </c>
      <c r="I5006" s="16" t="s">
        <v>9427</v>
      </c>
    </row>
    <row r="5007" spans="1:9" x14ac:dyDescent="0.25">
      <c r="A5007" s="16" t="s">
        <v>5940</v>
      </c>
      <c r="B5007" s="16" t="str">
        <f>TEXT(PARTIDA[[#This Row],[PARTIDA]],"0000000000")</f>
        <v>6304190000</v>
      </c>
      <c r="C5007" s="16" t="s">
        <v>786</v>
      </c>
      <c r="D5007" s="16" t="s">
        <v>787</v>
      </c>
      <c r="E5007" s="16" t="s">
        <v>9435</v>
      </c>
      <c r="F5007" s="27" t="s">
        <v>13513</v>
      </c>
      <c r="G5007" s="27"/>
      <c r="H5007" s="16" t="str">
        <f>IF(ISBLANK(PARTIDAS!$G5007),PARTIDAS!$F5007,CONCATENATE(PARTIDAS!$F5007," (",PARTIDAS!$G5007,")"))</f>
        <v>Colchas (los demás)</v>
      </c>
      <c r="I5007" s="16" t="s">
        <v>9427</v>
      </c>
    </row>
    <row r="5008" spans="1:9" x14ac:dyDescent="0.25">
      <c r="A5008" s="16" t="s">
        <v>5941</v>
      </c>
      <c r="B5008" s="16" t="str">
        <f>TEXT(PARTIDA[[#This Row],[PARTIDA]],"0000000000")</f>
        <v>6304200000</v>
      </c>
      <c r="C5008" s="16" t="s">
        <v>786</v>
      </c>
      <c r="D5008" s="16" t="s">
        <v>787</v>
      </c>
      <c r="E5008" s="16" t="s">
        <v>9435</v>
      </c>
      <c r="F5008" s="27" t="s">
        <v>13514</v>
      </c>
      <c r="G5008" s="27"/>
      <c r="H5008" s="16" t="str">
        <f>IF(ISBLANK(PARTIDAS!$G5008),PARTIDAS!$F5008,CONCATENATE(PARTIDAS!$F5008," (",PARTIDAS!$G5008,")"))</f>
        <v>Mosquiteros para camas, especificados en la Nota 1 de subpartida de este Capítulo</v>
      </c>
      <c r="I5008" s="16" t="s">
        <v>9427</v>
      </c>
    </row>
    <row r="5009" spans="1:9" x14ac:dyDescent="0.25">
      <c r="A5009" s="16" t="s">
        <v>5942</v>
      </c>
      <c r="B5009" s="16" t="str">
        <f>TEXT(PARTIDA[[#This Row],[PARTIDA]],"0000000000")</f>
        <v>6304910000</v>
      </c>
      <c r="C5009" s="16" t="s">
        <v>786</v>
      </c>
      <c r="D5009" s="16" t="s">
        <v>787</v>
      </c>
      <c r="E5009" s="16" t="s">
        <v>9435</v>
      </c>
      <c r="F5009" s="27" t="s">
        <v>13515</v>
      </c>
      <c r="G5009" s="27"/>
      <c r="H5009" s="16" t="str">
        <f>IF(ISBLANK(PARTIDAS!$G5009),PARTIDAS!$F5009,CONCATENATE(PARTIDAS!$F5009," (",PARTIDAS!$G5009,")"))</f>
        <v>Los demás artículos textiles confeccionados, de punto</v>
      </c>
      <c r="I5009" s="16" t="s">
        <v>9427</v>
      </c>
    </row>
    <row r="5010" spans="1:9" x14ac:dyDescent="0.25">
      <c r="A5010" s="16" t="s">
        <v>5943</v>
      </c>
      <c r="B5010" s="16" t="str">
        <f>TEXT(PARTIDA[[#This Row],[PARTIDA]],"0000000000")</f>
        <v>6304920000</v>
      </c>
      <c r="C5010" s="16" t="s">
        <v>786</v>
      </c>
      <c r="D5010" s="16" t="s">
        <v>787</v>
      </c>
      <c r="E5010" s="16" t="s">
        <v>9435</v>
      </c>
      <c r="F5010" s="27" t="s">
        <v>13516</v>
      </c>
      <c r="G5010" s="27"/>
      <c r="H5010" s="16" t="str">
        <f>IF(ISBLANK(PARTIDAS!$G5010),PARTIDAS!$F5010,CONCATENATE(PARTIDAS!$F5010," (",PARTIDAS!$G5010,")"))</f>
        <v>Los demás artículos textiles confeccionados, de algodón, excepto de punto</v>
      </c>
      <c r="I5010" s="16" t="s">
        <v>9427</v>
      </c>
    </row>
    <row r="5011" spans="1:9" x14ac:dyDescent="0.25">
      <c r="A5011" s="16" t="s">
        <v>5944</v>
      </c>
      <c r="B5011" s="16" t="str">
        <f>TEXT(PARTIDA[[#This Row],[PARTIDA]],"0000000000")</f>
        <v>6304930000</v>
      </c>
      <c r="C5011" s="16" t="s">
        <v>786</v>
      </c>
      <c r="D5011" s="16" t="s">
        <v>787</v>
      </c>
      <c r="E5011" s="16" t="s">
        <v>9435</v>
      </c>
      <c r="F5011" s="27" t="s">
        <v>13517</v>
      </c>
      <c r="G5011" s="27"/>
      <c r="H5011" s="16" t="str">
        <f>IF(ISBLANK(PARTIDAS!$G5011),PARTIDAS!$F5011,CONCATENATE(PARTIDAS!$F5011," (",PARTIDAS!$G5011,")"))</f>
        <v>Los demás artículos textiles confeccionados, de fibras sintéticas, excepto de punto</v>
      </c>
      <c r="I5011" s="16" t="s">
        <v>9427</v>
      </c>
    </row>
    <row r="5012" spans="1:9" x14ac:dyDescent="0.25">
      <c r="A5012" s="16" t="s">
        <v>5945</v>
      </c>
      <c r="B5012" s="16" t="str">
        <f>TEXT(PARTIDA[[#This Row],[PARTIDA]],"0000000000")</f>
        <v>6304990000</v>
      </c>
      <c r="C5012" s="16" t="s">
        <v>786</v>
      </c>
      <c r="D5012" s="16" t="s">
        <v>787</v>
      </c>
      <c r="E5012" s="16" t="s">
        <v>9435</v>
      </c>
      <c r="F5012" s="27" t="s">
        <v>13518</v>
      </c>
      <c r="G5012" s="27"/>
      <c r="H5012" s="16" t="str">
        <f>IF(ISBLANK(PARTIDAS!$G5012),PARTIDAS!$F5012,CONCATENATE(PARTIDAS!$F5012," (",PARTIDAS!$G5012,")"))</f>
        <v>Los demás artículos textiles confeccionados, de las demás materias textiles, excepto de punto</v>
      </c>
      <c r="I5012" s="16" t="s">
        <v>9427</v>
      </c>
    </row>
    <row r="5013" spans="1:9" x14ac:dyDescent="0.25">
      <c r="A5013" s="16" t="s">
        <v>5946</v>
      </c>
      <c r="B5013" s="16" t="str">
        <f>TEXT(PARTIDA[[#This Row],[PARTIDA]],"0000000000")</f>
        <v>6305101000</v>
      </c>
      <c r="C5013" s="16" t="s">
        <v>815</v>
      </c>
      <c r="D5013" s="16" t="s">
        <v>835</v>
      </c>
      <c r="E5013" s="16" t="s">
        <v>844</v>
      </c>
      <c r="F5013" s="27" t="s">
        <v>13519</v>
      </c>
      <c r="G5013" s="27"/>
      <c r="H5013" s="16" t="str">
        <f>IF(ISBLANK(PARTIDAS!$G5013),PARTIDAS!$F5013,CONCATENATE(PARTIDAS!$F5013," (",PARTIDAS!$G5013,")"))</f>
        <v>Sacos (bolsas) y talegas, para envasar, de yute o demás fibras textiles del líber de la partida 53.03, de yute</v>
      </c>
      <c r="I5013" s="16" t="s">
        <v>9427</v>
      </c>
    </row>
    <row r="5014" spans="1:9" x14ac:dyDescent="0.25">
      <c r="A5014" s="16" t="s">
        <v>5947</v>
      </c>
      <c r="B5014" s="16" t="str">
        <f>TEXT(PARTIDA[[#This Row],[PARTIDA]],"0000000000")</f>
        <v>6305109000</v>
      </c>
      <c r="C5014" s="16" t="s">
        <v>815</v>
      </c>
      <c r="D5014" s="16" t="s">
        <v>835</v>
      </c>
      <c r="E5014" s="16" t="s">
        <v>844</v>
      </c>
      <c r="F5014" s="27" t="s">
        <v>13520</v>
      </c>
      <c r="G5014" s="27"/>
      <c r="H5014" s="16" t="str">
        <f>IF(ISBLANK(PARTIDAS!$G5014),PARTIDAS!$F5014,CONCATENATE(PARTIDAS!$F5014," (",PARTIDAS!$G5014,")"))</f>
        <v>Sacos (bolsas) y talegas, para envasar, de yute o demás fibras textiles del líber de la partida 53.03 (los demás)</v>
      </c>
      <c r="I5014" s="16" t="s">
        <v>9427</v>
      </c>
    </row>
    <row r="5015" spans="1:9" x14ac:dyDescent="0.25">
      <c r="A5015" s="16" t="s">
        <v>5948</v>
      </c>
      <c r="B5015" s="16" t="str">
        <f>TEXT(PARTIDA[[#This Row],[PARTIDA]],"0000000000")</f>
        <v>6305200000</v>
      </c>
      <c r="C5015" s="16" t="s">
        <v>815</v>
      </c>
      <c r="D5015" s="16" t="s">
        <v>835</v>
      </c>
      <c r="E5015" s="16" t="s">
        <v>844</v>
      </c>
      <c r="F5015" s="27" t="s">
        <v>5666</v>
      </c>
      <c r="G5015" s="27"/>
      <c r="H5015" s="16" t="str">
        <f>IF(ISBLANK(PARTIDAS!$G5015),PARTIDAS!$F5015,CONCATENATE(PARTIDAS!$F5015," (",PARTIDAS!$G5015,")"))</f>
        <v>Prendas de vestir</v>
      </c>
      <c r="I5015" s="16" t="s">
        <v>9427</v>
      </c>
    </row>
    <row r="5016" spans="1:9" x14ac:dyDescent="0.25">
      <c r="A5016" s="16" t="s">
        <v>5949</v>
      </c>
      <c r="B5016" s="16" t="str">
        <f>TEXT(PARTIDA[[#This Row],[PARTIDA]],"0000000000")</f>
        <v>6305320000</v>
      </c>
      <c r="C5016" s="16" t="s">
        <v>815</v>
      </c>
      <c r="D5016" s="16" t="s">
        <v>835</v>
      </c>
      <c r="E5016" s="16" t="s">
        <v>844</v>
      </c>
      <c r="F5016" s="27" t="s">
        <v>13521</v>
      </c>
      <c r="G5016" s="27"/>
      <c r="H5016" s="16" t="str">
        <f>IF(ISBLANK(PARTIDAS!$G5016),PARTIDAS!$F5016,CONCATENATE(PARTIDAS!$F5016," (",PARTIDAS!$G5016,")"))</f>
        <v>Continentes intermedios flexibles para productos a granel</v>
      </c>
      <c r="I5016" s="16" t="s">
        <v>9427</v>
      </c>
    </row>
    <row r="5017" spans="1:9" x14ac:dyDescent="0.25">
      <c r="A5017" s="16" t="s">
        <v>5950</v>
      </c>
      <c r="B5017" s="16" t="str">
        <f>TEXT(PARTIDA[[#This Row],[PARTIDA]],"0000000000")</f>
        <v>6305331000</v>
      </c>
      <c r="C5017" s="16" t="s">
        <v>815</v>
      </c>
      <c r="D5017" s="16" t="s">
        <v>835</v>
      </c>
      <c r="E5017" s="16" t="s">
        <v>844</v>
      </c>
      <c r="F5017" s="27" t="s">
        <v>13522</v>
      </c>
      <c r="G5017" s="27"/>
      <c r="H5017" s="16" t="str">
        <f>IF(ISBLANK(PARTIDAS!$G5017),PARTIDAS!$F5017,CONCATENATE(PARTIDAS!$F5017," (",PARTIDAS!$G5017,")"))</f>
        <v>Sacos (bolsas) y talegas, para envasar, de materias textiles sintéticas o artificiales, de polietileno</v>
      </c>
      <c r="I5017" s="16" t="s">
        <v>9427</v>
      </c>
    </row>
    <row r="5018" spans="1:9" x14ac:dyDescent="0.25">
      <c r="A5018" s="16" t="s">
        <v>5951</v>
      </c>
      <c r="B5018" s="16" t="str">
        <f>TEXT(PARTIDA[[#This Row],[PARTIDA]],"0000000000")</f>
        <v>6305332000</v>
      </c>
      <c r="C5018" s="16" t="s">
        <v>815</v>
      </c>
      <c r="D5018" s="16" t="s">
        <v>835</v>
      </c>
      <c r="E5018" s="16" t="s">
        <v>844</v>
      </c>
      <c r="F5018" s="27" t="s">
        <v>9378</v>
      </c>
      <c r="G5018" s="27"/>
      <c r="H5018" s="16" t="str">
        <f>IF(ISBLANK(PARTIDAS!$G5018),PARTIDAS!$F5018,CONCATENATE(PARTIDAS!$F5018," (",PARTIDAS!$G5018,")"))</f>
        <v>Sacos (bolsas) y talegas, para envasar, de materias textiles sintéticas o artificiales, de polipropileno</v>
      </c>
      <c r="I5018" s="16" t="s">
        <v>9477</v>
      </c>
    </row>
    <row r="5019" spans="1:9" x14ac:dyDescent="0.25">
      <c r="A5019" s="16" t="s">
        <v>5952</v>
      </c>
      <c r="B5019" s="16" t="str">
        <f>TEXT(PARTIDA[[#This Row],[PARTIDA]],"0000000000")</f>
        <v>6305390000</v>
      </c>
      <c r="C5019" s="16" t="s">
        <v>815</v>
      </c>
      <c r="D5019" s="16" t="s">
        <v>835</v>
      </c>
      <c r="E5019" s="16" t="s">
        <v>844</v>
      </c>
      <c r="F5019" s="27" t="s">
        <v>13523</v>
      </c>
      <c r="G5019" s="27"/>
      <c r="H5019" s="16" t="str">
        <f>IF(ISBLANK(PARTIDAS!$G5019),PARTIDAS!$F5019,CONCATENATE(PARTIDAS!$F5019," (",PARTIDAS!$G5019,")"))</f>
        <v>Sacos (bolsas) y talegas, para envasar, de materias textiles sintéticas o artificiales (los demás)</v>
      </c>
      <c r="I5019" s="16" t="s">
        <v>9427</v>
      </c>
    </row>
    <row r="5020" spans="1:9" x14ac:dyDescent="0.25">
      <c r="A5020" s="16" t="s">
        <v>5953</v>
      </c>
      <c r="B5020" s="16" t="str">
        <f>TEXT(PARTIDA[[#This Row],[PARTIDA]],"0000000000")</f>
        <v>6305901000</v>
      </c>
      <c r="C5020" s="16" t="s">
        <v>815</v>
      </c>
      <c r="D5020" s="16" t="s">
        <v>835</v>
      </c>
      <c r="E5020" s="16" t="s">
        <v>844</v>
      </c>
      <c r="F5020" s="27" t="s">
        <v>13524</v>
      </c>
      <c r="G5020" s="27"/>
      <c r="H5020" s="16" t="str">
        <f>IF(ISBLANK(PARTIDAS!$G5020),PARTIDAS!$F5020,CONCATENATE(PARTIDAS!$F5020," (",PARTIDAS!$G5020,")"))</f>
        <v>Sacos (bolsas) y talegas, para envasar, de las demás materias textiles, de pita (cabuya, fique)</v>
      </c>
      <c r="I5020" s="16" t="s">
        <v>9427</v>
      </c>
    </row>
    <row r="5021" spans="1:9" x14ac:dyDescent="0.25">
      <c r="A5021" s="16" t="s">
        <v>5954</v>
      </c>
      <c r="B5021" s="16" t="str">
        <f>TEXT(PARTIDA[[#This Row],[PARTIDA]],"0000000000")</f>
        <v>6305909000</v>
      </c>
      <c r="C5021" s="16" t="s">
        <v>815</v>
      </c>
      <c r="D5021" s="16" t="s">
        <v>835</v>
      </c>
      <c r="E5021" s="16" t="s">
        <v>844</v>
      </c>
      <c r="F5021" s="27" t="s">
        <v>13525</v>
      </c>
      <c r="G5021" s="27"/>
      <c r="H5021" s="16" t="str">
        <f>IF(ISBLANK(PARTIDAS!$G5021),PARTIDAS!$F5021,CONCATENATE(PARTIDAS!$F5021," (",PARTIDAS!$G5021,")"))</f>
        <v>Sacos (bolsas) y talegas, para envasar, de las demás materias textiles (los demás)</v>
      </c>
      <c r="I5021" s="16" t="s">
        <v>9427</v>
      </c>
    </row>
    <row r="5022" spans="1:9" x14ac:dyDescent="0.25">
      <c r="A5022" s="16" t="s">
        <v>5955</v>
      </c>
      <c r="B5022" s="16" t="str">
        <f>TEXT(PARTIDA[[#This Row],[PARTIDA]],"0000000000")</f>
        <v>6306120000</v>
      </c>
      <c r="C5022" s="16" t="s">
        <v>815</v>
      </c>
      <c r="D5022" s="16" t="s">
        <v>835</v>
      </c>
      <c r="E5022" s="16" t="s">
        <v>844</v>
      </c>
      <c r="F5022" s="27" t="s">
        <v>13526</v>
      </c>
      <c r="G5022" s="27"/>
      <c r="H5022" s="16" t="str">
        <f>IF(ISBLANK(PARTIDAS!$G5022),PARTIDAS!$F5022,CONCATENATE(PARTIDAS!$F5022," (",PARTIDAS!$G5022,")"))</f>
        <v>Toldos de cualquier clase, de fibras sintéticas</v>
      </c>
      <c r="I5022" s="16" t="s">
        <v>9427</v>
      </c>
    </row>
    <row r="5023" spans="1:9" x14ac:dyDescent="0.25">
      <c r="A5023" s="16" t="s">
        <v>5956</v>
      </c>
      <c r="B5023" s="16" t="str">
        <f>TEXT(PARTIDA[[#This Row],[PARTIDA]],"0000000000")</f>
        <v>6306191000</v>
      </c>
      <c r="C5023" s="16" t="s">
        <v>815</v>
      </c>
      <c r="D5023" s="16" t="s">
        <v>835</v>
      </c>
      <c r="E5023" s="16" t="s">
        <v>844</v>
      </c>
      <c r="F5023" s="27" t="s">
        <v>13527</v>
      </c>
      <c r="G5023" s="27"/>
      <c r="H5023" s="16" t="str">
        <f>IF(ISBLANK(PARTIDAS!$G5023),PARTIDAS!$F5023,CONCATENATE(PARTIDAS!$F5023," (",PARTIDAS!$G5023,")"))</f>
        <v>Toldos de cualquier clase, de las demás materias textiles, de algodón</v>
      </c>
      <c r="I5023" s="16" t="s">
        <v>9427</v>
      </c>
    </row>
    <row r="5024" spans="1:9" x14ac:dyDescent="0.25">
      <c r="A5024" s="16" t="s">
        <v>5957</v>
      </c>
      <c r="B5024" s="16" t="str">
        <f>TEXT(PARTIDA[[#This Row],[PARTIDA]],"0000000000")</f>
        <v>6306199000</v>
      </c>
      <c r="C5024" s="16" t="s">
        <v>815</v>
      </c>
      <c r="D5024" s="16" t="s">
        <v>835</v>
      </c>
      <c r="E5024" s="16" t="s">
        <v>844</v>
      </c>
      <c r="F5024" s="27" t="s">
        <v>13528</v>
      </c>
      <c r="G5024" s="27"/>
      <c r="H5024" s="16" t="str">
        <f>IF(ISBLANK(PARTIDAS!$G5024),PARTIDAS!$F5024,CONCATENATE(PARTIDAS!$F5024," (",PARTIDAS!$G5024,")"))</f>
        <v>Toldos de cualquier clase, de las demás materias textiles (los demás)</v>
      </c>
      <c r="I5024" s="16" t="s">
        <v>9427</v>
      </c>
    </row>
    <row r="5025" spans="1:9" x14ac:dyDescent="0.25">
      <c r="A5025" s="16" t="s">
        <v>5958</v>
      </c>
      <c r="B5025" s="16" t="str">
        <f>TEXT(PARTIDA[[#This Row],[PARTIDA]],"0000000000")</f>
        <v>6306220000</v>
      </c>
      <c r="C5025" s="16" t="s">
        <v>815</v>
      </c>
      <c r="D5025" s="16" t="s">
        <v>835</v>
      </c>
      <c r="E5025" s="16" t="s">
        <v>844</v>
      </c>
      <c r="F5025" s="27" t="s">
        <v>13529</v>
      </c>
      <c r="G5025" s="27"/>
      <c r="H5025" s="16" t="str">
        <f>IF(ISBLANK(PARTIDAS!$G5025),PARTIDAS!$F5025,CONCATENATE(PARTIDAS!$F5025," (",PARTIDAS!$G5025,")"))</f>
        <v>Tiendas (carpas, incluidos los pabellones («gazebos», templetes)…, de fibras sintéticas</v>
      </c>
      <c r="I5025" s="16" t="s">
        <v>9427</v>
      </c>
    </row>
    <row r="5026" spans="1:9" x14ac:dyDescent="0.25">
      <c r="A5026" s="16" t="s">
        <v>5959</v>
      </c>
      <c r="B5026" s="16" t="str">
        <f>TEXT(PARTIDA[[#This Row],[PARTIDA]],"0000000000")</f>
        <v>6306290000</v>
      </c>
      <c r="C5026" s="16" t="s">
        <v>815</v>
      </c>
      <c r="D5026" s="16" t="s">
        <v>835</v>
      </c>
      <c r="E5026" s="16" t="s">
        <v>844</v>
      </c>
      <c r="F5026" s="27" t="s">
        <v>5960</v>
      </c>
      <c r="G5026" s="27"/>
      <c r="H5026" s="16" t="str">
        <f>IF(ISBLANK(PARTIDAS!$G5026),PARTIDAS!$F5026,CONCATENATE(PARTIDAS!$F5026," (",PARTIDAS!$G5026,")"))</f>
        <v>Carpas</v>
      </c>
      <c r="I5026" s="16" t="s">
        <v>9427</v>
      </c>
    </row>
    <row r="5027" spans="1:9" x14ac:dyDescent="0.25">
      <c r="A5027" s="16" t="s">
        <v>5961</v>
      </c>
      <c r="B5027" s="16" t="str">
        <f>TEXT(PARTIDA[[#This Row],[PARTIDA]],"0000000000")</f>
        <v>6306300000</v>
      </c>
      <c r="C5027" s="16" t="s">
        <v>815</v>
      </c>
      <c r="D5027" s="16" t="s">
        <v>835</v>
      </c>
      <c r="E5027" s="16" t="s">
        <v>844</v>
      </c>
      <c r="F5027" s="27" t="s">
        <v>13530</v>
      </c>
      <c r="G5027" s="27"/>
      <c r="H5027" s="16" t="str">
        <f>IF(ISBLANK(PARTIDAS!$G5027),PARTIDAS!$F5027,CONCATENATE(PARTIDAS!$F5027," (",PARTIDAS!$G5027,")"))</f>
        <v>Velas</v>
      </c>
      <c r="I5027" s="16" t="s">
        <v>9427</v>
      </c>
    </row>
    <row r="5028" spans="1:9" x14ac:dyDescent="0.25">
      <c r="A5028" s="16" t="s">
        <v>5962</v>
      </c>
      <c r="B5028" s="16" t="str">
        <f>TEXT(PARTIDA[[#This Row],[PARTIDA]],"0000000000")</f>
        <v>6306400000</v>
      </c>
      <c r="C5028" s="16" t="s">
        <v>815</v>
      </c>
      <c r="D5028" s="16" t="s">
        <v>835</v>
      </c>
      <c r="E5028" s="16" t="s">
        <v>844</v>
      </c>
      <c r="F5028" s="27" t="s">
        <v>13531</v>
      </c>
      <c r="G5028" s="27"/>
      <c r="H5028" s="16" t="str">
        <f>IF(ISBLANK(PARTIDAS!$G5028),PARTIDAS!$F5028,CONCATENATE(PARTIDAS!$F5028," (",PARTIDAS!$G5028,")"))</f>
        <v>Colchones neumáticos</v>
      </c>
      <c r="I5028" s="16" t="s">
        <v>9427</v>
      </c>
    </row>
    <row r="5029" spans="1:9" x14ac:dyDescent="0.25">
      <c r="A5029" s="16" t="s">
        <v>5963</v>
      </c>
      <c r="B5029" s="16" t="str">
        <f>TEXT(PARTIDA[[#This Row],[PARTIDA]],"0000000000")</f>
        <v>6306901000</v>
      </c>
      <c r="C5029" s="16" t="s">
        <v>815</v>
      </c>
      <c r="D5029" s="16" t="s">
        <v>835</v>
      </c>
      <c r="E5029" s="16" t="s">
        <v>844</v>
      </c>
      <c r="F5029" s="27" t="s">
        <v>13532</v>
      </c>
      <c r="G5029" s="27"/>
      <c r="H5029" s="16" t="str">
        <f>IF(ISBLANK(PARTIDAS!$G5029),PARTIDAS!$F5029,CONCATENATE(PARTIDAS!$F5029," (",PARTIDAS!$G5029,")"))</f>
        <v>Toldos de cualquier clase, de algodón</v>
      </c>
      <c r="I5029" s="16" t="s">
        <v>9427</v>
      </c>
    </row>
    <row r="5030" spans="1:9" x14ac:dyDescent="0.25">
      <c r="A5030" s="16" t="s">
        <v>5964</v>
      </c>
      <c r="B5030" s="16" t="str">
        <f>TEXT(PARTIDA[[#This Row],[PARTIDA]],"0000000000")</f>
        <v>6306909000</v>
      </c>
      <c r="C5030" s="16" t="s">
        <v>815</v>
      </c>
      <c r="D5030" s="16" t="s">
        <v>835</v>
      </c>
      <c r="E5030" s="16" t="s">
        <v>844</v>
      </c>
      <c r="F5030" s="27" t="s">
        <v>13533</v>
      </c>
      <c r="G5030" s="27"/>
      <c r="H5030" s="16" t="str">
        <f>IF(ISBLANK(PARTIDAS!$G5030),PARTIDAS!$F5030,CONCATENATE(PARTIDAS!$F5030," (",PARTIDAS!$G5030,")"))</f>
        <v>Toldos de cualquier clase, de las demás materias textiles</v>
      </c>
      <c r="I5030" s="16" t="s">
        <v>9427</v>
      </c>
    </row>
    <row r="5031" spans="1:9" x14ac:dyDescent="0.25">
      <c r="A5031" s="16" t="s">
        <v>5965</v>
      </c>
      <c r="B5031" s="16" t="str">
        <f>TEXT(PARTIDA[[#This Row],[PARTIDA]],"0000000000")</f>
        <v>6307100000</v>
      </c>
      <c r="C5031" s="16" t="s">
        <v>786</v>
      </c>
      <c r="D5031" s="16" t="s">
        <v>787</v>
      </c>
      <c r="E5031" s="16" t="s">
        <v>9435</v>
      </c>
      <c r="F5031" s="27" t="s">
        <v>13534</v>
      </c>
      <c r="G5031" s="27"/>
      <c r="H5031" s="16" t="str">
        <f>IF(ISBLANK(PARTIDAS!$G5031),PARTIDAS!$F5031,CONCATENATE(PARTIDAS!$F5031," (",PARTIDAS!$G5031,")"))</f>
        <v>Paños para fregar o lavar (bayetas, paños rejilla), franelas y artículos similares para limpieza</v>
      </c>
      <c r="I5031" s="16" t="s">
        <v>9427</v>
      </c>
    </row>
    <row r="5032" spans="1:9" x14ac:dyDescent="0.25">
      <c r="A5032" s="16" t="s">
        <v>5966</v>
      </c>
      <c r="B5032" s="16" t="str">
        <f>TEXT(PARTIDA[[#This Row],[PARTIDA]],"0000000000")</f>
        <v>6307200000</v>
      </c>
      <c r="C5032" s="16" t="s">
        <v>786</v>
      </c>
      <c r="D5032" s="16" t="s">
        <v>787</v>
      </c>
      <c r="E5032" s="16" t="s">
        <v>9435</v>
      </c>
      <c r="F5032" s="27" t="s">
        <v>9203</v>
      </c>
      <c r="G5032" s="27"/>
      <c r="H5032" s="16" t="str">
        <f>IF(ISBLANK(PARTIDAS!$G5032),PARTIDAS!$F5032,CONCATENATE(PARTIDAS!$F5032," (",PARTIDAS!$G5032,")"))</f>
        <v>Cinturones y chalecos salvavidas</v>
      </c>
      <c r="I5032" s="16" t="s">
        <v>9477</v>
      </c>
    </row>
    <row r="5033" spans="1:9" x14ac:dyDescent="0.25">
      <c r="A5033" s="16" t="s">
        <v>5967</v>
      </c>
      <c r="B5033" s="16" t="str">
        <f>TEXT(PARTIDA[[#This Row],[PARTIDA]],"0000000000")</f>
        <v>6307901000</v>
      </c>
      <c r="C5033" s="16" t="s">
        <v>786</v>
      </c>
      <c r="D5033" s="16" t="s">
        <v>787</v>
      </c>
      <c r="E5033" s="16" t="s">
        <v>9435</v>
      </c>
      <c r="F5033" s="27" t="s">
        <v>13535</v>
      </c>
      <c r="G5033" s="27"/>
      <c r="H5033" s="16" t="str">
        <f>IF(ISBLANK(PARTIDAS!$G5033),PARTIDAS!$F5033,CONCATENATE(PARTIDAS!$F5033," (",PARTIDAS!$G5033,")"))</f>
        <v>Patrones de prendas de vestir</v>
      </c>
      <c r="I5033" s="16" t="s">
        <v>9427</v>
      </c>
    </row>
    <row r="5034" spans="1:9" x14ac:dyDescent="0.25">
      <c r="A5034" s="16" t="s">
        <v>5968</v>
      </c>
      <c r="B5034" s="16" t="str">
        <f>TEXT(PARTIDA[[#This Row],[PARTIDA]],"0000000000")</f>
        <v>6307902000</v>
      </c>
      <c r="C5034" s="16" t="s">
        <v>786</v>
      </c>
      <c r="D5034" s="16" t="s">
        <v>787</v>
      </c>
      <c r="E5034" s="16" t="s">
        <v>9435</v>
      </c>
      <c r="F5034" s="27" t="s">
        <v>9202</v>
      </c>
      <c r="G5034" s="27"/>
      <c r="H5034" s="16" t="str">
        <f>IF(ISBLANK(PARTIDAS!$G5034),PARTIDAS!$F5034,CONCATENATE(PARTIDAS!$F5034," (",PARTIDAS!$G5034,")"))</f>
        <v>Cinturones de seguridad</v>
      </c>
      <c r="I5034" s="16" t="s">
        <v>9477</v>
      </c>
    </row>
    <row r="5035" spans="1:9" x14ac:dyDescent="0.25">
      <c r="A5035" s="16" t="s">
        <v>5969</v>
      </c>
      <c r="B5035" s="16" t="str">
        <f>TEXT(PARTIDA[[#This Row],[PARTIDA]],"0000000000")</f>
        <v>6307903000</v>
      </c>
      <c r="C5035" s="16" t="s">
        <v>786</v>
      </c>
      <c r="D5035" s="16" t="s">
        <v>787</v>
      </c>
      <c r="E5035" s="16" t="s">
        <v>9435</v>
      </c>
      <c r="F5035" s="27" t="s">
        <v>13536</v>
      </c>
      <c r="G5035" s="27"/>
      <c r="H5035" s="16" t="str">
        <f>IF(ISBLANK(PARTIDAS!$G5035),PARTIDAS!$F5035,CONCATENATE(PARTIDAS!$F5035," (",PARTIDAS!$G5035,")"))</f>
        <v>Mascarillas de protección</v>
      </c>
      <c r="I5035" s="16" t="s">
        <v>9427</v>
      </c>
    </row>
    <row r="5036" spans="1:9" x14ac:dyDescent="0.25">
      <c r="A5036" s="16" t="s">
        <v>5970</v>
      </c>
      <c r="B5036" s="16" t="str">
        <f>TEXT(PARTIDA[[#This Row],[PARTIDA]],"0000000000")</f>
        <v>6307904000</v>
      </c>
      <c r="C5036" s="16" t="s">
        <v>786</v>
      </c>
      <c r="D5036" s="16" t="s">
        <v>787</v>
      </c>
      <c r="E5036" s="16" t="s">
        <v>9435</v>
      </c>
      <c r="F5036" s="27" t="s">
        <v>13180</v>
      </c>
      <c r="G5036" s="27"/>
      <c r="H5036" s="16" t="str">
        <f>IF(ISBLANK(PARTIDAS!$G5036),PARTIDAS!$F5036,CONCATENATE(PARTIDAS!$F5036," (",PARTIDAS!$G5036,")"))</f>
        <v>Eslingas de carga, incluso con accesorios de metal común</v>
      </c>
      <c r="I5036" s="16" t="s">
        <v>9427</v>
      </c>
    </row>
    <row r="5037" spans="1:9" x14ac:dyDescent="0.25">
      <c r="A5037" s="16" t="s">
        <v>5971</v>
      </c>
      <c r="B5037" s="16" t="str">
        <f>TEXT(PARTIDA[[#This Row],[PARTIDA]],"0000000000")</f>
        <v>6307909000</v>
      </c>
      <c r="C5037" s="16" t="s">
        <v>786</v>
      </c>
      <c r="D5037" s="16" t="s">
        <v>787</v>
      </c>
      <c r="E5037" s="16" t="s">
        <v>9435</v>
      </c>
      <c r="F5037" s="27" t="s">
        <v>5140</v>
      </c>
      <c r="G5037" s="27"/>
      <c r="H5037" s="16" t="str">
        <f>IF(ISBLANK(PARTIDAS!$G5037),PARTIDAS!$F5037,CONCATENATE(PARTIDAS!$F5037," (",PARTIDAS!$G5037,")"))</f>
        <v>Productos textiles</v>
      </c>
      <c r="I5037" s="16" t="s">
        <v>9427</v>
      </c>
    </row>
    <row r="5038" spans="1:9" x14ac:dyDescent="0.25">
      <c r="A5038" s="16" t="s">
        <v>5972</v>
      </c>
      <c r="B5038" s="16" t="str">
        <f>TEXT(PARTIDA[[#This Row],[PARTIDA]],"0000000000")</f>
        <v>6308000000</v>
      </c>
      <c r="C5038" s="16" t="s">
        <v>815</v>
      </c>
      <c r="D5038" s="16" t="s">
        <v>835</v>
      </c>
      <c r="E5038" s="16" t="s">
        <v>844</v>
      </c>
      <c r="F5038" s="27" t="s">
        <v>5140</v>
      </c>
      <c r="G5038" s="27"/>
      <c r="H5038" s="16" t="str">
        <f>IF(ISBLANK(PARTIDAS!$G5038),PARTIDAS!$F5038,CONCATENATE(PARTIDAS!$F5038," (",PARTIDAS!$G5038,")"))</f>
        <v>Productos textiles</v>
      </c>
      <c r="I5038" s="16" t="s">
        <v>9427</v>
      </c>
    </row>
    <row r="5039" spans="1:9" x14ac:dyDescent="0.25">
      <c r="A5039" s="16" t="s">
        <v>5973</v>
      </c>
      <c r="B5039" s="16" t="str">
        <f>TEXT(PARTIDA[[#This Row],[PARTIDA]],"0000000000")</f>
        <v>6309000000</v>
      </c>
      <c r="C5039" s="16" t="s">
        <v>786</v>
      </c>
      <c r="D5039" s="16" t="s">
        <v>787</v>
      </c>
      <c r="E5039" s="16" t="s">
        <v>9435</v>
      </c>
      <c r="F5039" s="27" t="s">
        <v>5140</v>
      </c>
      <c r="G5039" s="27"/>
      <c r="H5039" s="16" t="str">
        <f>IF(ISBLANK(PARTIDAS!$G5039),PARTIDAS!$F5039,CONCATENATE(PARTIDAS!$F5039," (",PARTIDAS!$G5039,")"))</f>
        <v>Productos textiles</v>
      </c>
      <c r="I5039" s="16" t="s">
        <v>9427</v>
      </c>
    </row>
    <row r="5040" spans="1:9" x14ac:dyDescent="0.25">
      <c r="A5040" s="16" t="s">
        <v>5974</v>
      </c>
      <c r="B5040" s="16" t="str">
        <f>TEXT(PARTIDA[[#This Row],[PARTIDA]],"0000000000")</f>
        <v>6310101000</v>
      </c>
      <c r="C5040" s="16" t="s">
        <v>815</v>
      </c>
      <c r="D5040" s="16" t="s">
        <v>835</v>
      </c>
      <c r="E5040" s="16" t="s">
        <v>844</v>
      </c>
      <c r="F5040" s="27" t="s">
        <v>13537</v>
      </c>
      <c r="G5040" s="27"/>
      <c r="H5040" s="16" t="str">
        <f>IF(ISBLANK(PARTIDAS!$G5040),PARTIDAS!$F5040,CONCATENATE(PARTIDAS!$F5040," (",PARTIDAS!$G5040,")"))</f>
        <v>Recortes de la industria de la confección</v>
      </c>
      <c r="I5040" s="16" t="s">
        <v>9427</v>
      </c>
    </row>
    <row r="5041" spans="1:9" x14ac:dyDescent="0.25">
      <c r="A5041" s="16" t="s">
        <v>5975</v>
      </c>
      <c r="B5041" s="16" t="str">
        <f>TEXT(PARTIDA[[#This Row],[PARTIDA]],"0000000000")</f>
        <v>6310109000</v>
      </c>
      <c r="C5041" s="16" t="s">
        <v>815</v>
      </c>
      <c r="D5041" s="16" t="s">
        <v>835</v>
      </c>
      <c r="E5041" s="16" t="s">
        <v>844</v>
      </c>
      <c r="F5041" s="27" t="s">
        <v>13538</v>
      </c>
      <c r="G5041" s="27"/>
      <c r="H5041" s="16" t="str">
        <f>IF(ISBLANK(PARTIDAS!$G5041),PARTIDAS!$F5041,CONCATENATE(PARTIDAS!$F5041," (",PARTIDAS!$G5041,")"))</f>
        <v>Clasificados (los demás)</v>
      </c>
      <c r="I5041" s="16" t="s">
        <v>9427</v>
      </c>
    </row>
    <row r="5042" spans="1:9" x14ac:dyDescent="0.25">
      <c r="A5042" s="16" t="s">
        <v>5976</v>
      </c>
      <c r="B5042" s="16" t="str">
        <f>TEXT(PARTIDA[[#This Row],[PARTIDA]],"0000000000")</f>
        <v>6310900000</v>
      </c>
      <c r="C5042" s="16" t="s">
        <v>815</v>
      </c>
      <c r="D5042" s="16" t="s">
        <v>835</v>
      </c>
      <c r="E5042" s="16" t="s">
        <v>844</v>
      </c>
      <c r="F5042" s="27" t="s">
        <v>13539</v>
      </c>
      <c r="G5042" s="27"/>
      <c r="H5042" s="16" t="str">
        <f>IF(ISBLANK(PARTIDAS!$G5042),PARTIDAS!$F5042,CONCATENATE(PARTIDAS!$F5042," (",PARTIDAS!$G5042,")"))</f>
        <v>Trapos; cordeles, cuerdas y cordajes, de materia textil, en… (los demás)</v>
      </c>
      <c r="I5042" s="16" t="s">
        <v>9427</v>
      </c>
    </row>
    <row r="5043" spans="1:9" x14ac:dyDescent="0.25">
      <c r="A5043" s="16" t="s">
        <v>5977</v>
      </c>
      <c r="B5043" s="16" t="str">
        <f>TEXT(PARTIDA[[#This Row],[PARTIDA]],"0000000000")</f>
        <v>6401100000</v>
      </c>
      <c r="C5043" s="16" t="s">
        <v>786</v>
      </c>
      <c r="D5043" s="16" t="s">
        <v>787</v>
      </c>
      <c r="E5043" s="16" t="s">
        <v>9435</v>
      </c>
      <c r="F5043" s="27" t="s">
        <v>13540</v>
      </c>
      <c r="G5043" s="27"/>
      <c r="H5043" s="16" t="str">
        <f>IF(ISBLANK(PARTIDAS!$G5043),PARTIDAS!$F5043,CONCATENATE(PARTIDAS!$F5043," (",PARTIDAS!$G5043,")"))</f>
        <v>Calzado con puntera metálica de protección</v>
      </c>
      <c r="I5043" s="16" t="s">
        <v>9427</v>
      </c>
    </row>
    <row r="5044" spans="1:9" x14ac:dyDescent="0.25">
      <c r="A5044" s="16" t="s">
        <v>5978</v>
      </c>
      <c r="B5044" s="16" t="str">
        <f>TEXT(PARTIDA[[#This Row],[PARTIDA]],"0000000000")</f>
        <v>6401920000</v>
      </c>
      <c r="C5044" s="16" t="s">
        <v>786</v>
      </c>
      <c r="D5044" s="16" t="s">
        <v>787</v>
      </c>
      <c r="E5044" s="16" t="s">
        <v>9435</v>
      </c>
      <c r="F5044" s="27" t="s">
        <v>13541</v>
      </c>
      <c r="G5044" s="27"/>
      <c r="H5044" s="16" t="str">
        <f>IF(ISBLANK(PARTIDAS!$G5044),PARTIDAS!$F5044,CONCATENATE(PARTIDAS!$F5044," (",PARTIDAS!$G5044,")"))</f>
        <v>Calzado impermeable con suela y parte superior de caucho o plástico…, que cubran el tobillo sin cubrir la rodilla</v>
      </c>
      <c r="I5044" s="16" t="s">
        <v>9427</v>
      </c>
    </row>
    <row r="5045" spans="1:9" x14ac:dyDescent="0.25">
      <c r="A5045" s="16" t="s">
        <v>5979</v>
      </c>
      <c r="B5045" s="16" t="str">
        <f>TEXT(PARTIDA[[#This Row],[PARTIDA]],"0000000000")</f>
        <v>6401990000</v>
      </c>
      <c r="C5045" s="16" t="s">
        <v>786</v>
      </c>
      <c r="D5045" s="16" t="s">
        <v>787</v>
      </c>
      <c r="E5045" s="16" t="s">
        <v>9435</v>
      </c>
      <c r="F5045" s="27" t="s">
        <v>13542</v>
      </c>
      <c r="G5045" s="27"/>
      <c r="H5045" s="16" t="str">
        <f>IF(ISBLANK(PARTIDAS!$G5045),PARTIDAS!$F5045,CONCATENATE(PARTIDAS!$F5045," (",PARTIDAS!$G5045,")"))</f>
        <v>Calzado impermeable con suela y parte superior de caucho o plástico… (los demás)</v>
      </c>
      <c r="I5045" s="16" t="s">
        <v>9427</v>
      </c>
    </row>
    <row r="5046" spans="1:9" x14ac:dyDescent="0.25">
      <c r="A5046" s="16" t="s">
        <v>5980</v>
      </c>
      <c r="B5046" s="16" t="str">
        <f>TEXT(PARTIDA[[#This Row],[PARTIDA]],"0000000000")</f>
        <v>6402120000</v>
      </c>
      <c r="C5046" s="16" t="s">
        <v>786</v>
      </c>
      <c r="D5046" s="16" t="s">
        <v>787</v>
      </c>
      <c r="E5046" s="16" t="s">
        <v>9435</v>
      </c>
      <c r="F5046" s="27" t="s">
        <v>13543</v>
      </c>
      <c r="G5046" s="27"/>
      <c r="H5046" s="16" t="str">
        <f>IF(ISBLANK(PARTIDAS!$G5046),PARTIDAS!$F5046,CONCATENATE(PARTIDAS!$F5046," (",PARTIDAS!$G5046,")"))</f>
        <v>Calzado de esquí y calzado para la práctica de «snowboard» (tabla para nieve)</v>
      </c>
      <c r="I5046" s="16" t="s">
        <v>9427</v>
      </c>
    </row>
    <row r="5047" spans="1:9" x14ac:dyDescent="0.25">
      <c r="A5047" s="16" t="s">
        <v>5981</v>
      </c>
      <c r="B5047" s="16" t="str">
        <f>TEXT(PARTIDA[[#This Row],[PARTIDA]],"0000000000")</f>
        <v>6402190000</v>
      </c>
      <c r="C5047" s="16" t="s">
        <v>786</v>
      </c>
      <c r="D5047" s="16" t="s">
        <v>787</v>
      </c>
      <c r="E5047" s="16" t="s">
        <v>9435</v>
      </c>
      <c r="F5047" s="27" t="s">
        <v>13544</v>
      </c>
      <c r="G5047" s="27"/>
      <c r="H5047" s="16" t="str">
        <f>IF(ISBLANK(PARTIDAS!$G5047),PARTIDAS!$F5047,CONCATENATE(PARTIDAS!$F5047," (",PARTIDAS!$G5047,")"))</f>
        <v>Calzado de deporte (los demás)</v>
      </c>
      <c r="I5047" s="16" t="s">
        <v>9427</v>
      </c>
    </row>
    <row r="5048" spans="1:9" x14ac:dyDescent="0.25">
      <c r="A5048" s="16" t="s">
        <v>5982</v>
      </c>
      <c r="B5048" s="16" t="str">
        <f>TEXT(PARTIDA[[#This Row],[PARTIDA]],"0000000000")</f>
        <v>6402200000</v>
      </c>
      <c r="C5048" s="16" t="s">
        <v>786</v>
      </c>
      <c r="D5048" s="16" t="s">
        <v>787</v>
      </c>
      <c r="E5048" s="16" t="s">
        <v>9435</v>
      </c>
      <c r="F5048" s="27" t="s">
        <v>13545</v>
      </c>
      <c r="G5048" s="27"/>
      <c r="H5048" s="16" t="str">
        <f>IF(ISBLANK(PARTIDAS!$G5048),PARTIDAS!$F5048,CONCATENATE(PARTIDAS!$F5048," (",PARTIDAS!$G5048,")"))</f>
        <v>Calzado con la parte superior de tiras o bridas fijadas a la suela por tetones (espigas)</v>
      </c>
      <c r="I5048" s="16" t="s">
        <v>9427</v>
      </c>
    </row>
    <row r="5049" spans="1:9" x14ac:dyDescent="0.25">
      <c r="A5049" s="16" t="s">
        <v>5983</v>
      </c>
      <c r="B5049" s="16" t="str">
        <f>TEXT(PARTIDA[[#This Row],[PARTIDA]],"0000000000")</f>
        <v>6402910000</v>
      </c>
      <c r="C5049" s="16" t="s">
        <v>786</v>
      </c>
      <c r="D5049" s="16" t="s">
        <v>787</v>
      </c>
      <c r="E5049" s="16" t="s">
        <v>797</v>
      </c>
      <c r="F5049" s="27" t="s">
        <v>9176</v>
      </c>
      <c r="G5049" s="27"/>
      <c r="H5049" s="16" t="str">
        <f>IF(ISBLANK(PARTIDAS!$G5049),PARTIDAS!$F5049,CONCATENATE(PARTIDAS!$F5049," (",PARTIDAS!$G5049,")"))</f>
        <v>Calzado, polainas y artículos análogos, que cubran el tobillo</v>
      </c>
      <c r="I5049" s="16" t="s">
        <v>9477</v>
      </c>
    </row>
    <row r="5050" spans="1:9" x14ac:dyDescent="0.25">
      <c r="A5050" s="16" t="s">
        <v>5984</v>
      </c>
      <c r="B5050" s="16" t="str">
        <f>TEXT(PARTIDA[[#This Row],[PARTIDA]],"0000000000")</f>
        <v>6402991000</v>
      </c>
      <c r="C5050" s="16" t="s">
        <v>786</v>
      </c>
      <c r="D5050" s="16" t="s">
        <v>787</v>
      </c>
      <c r="E5050" s="16" t="s">
        <v>9435</v>
      </c>
      <c r="F5050" s="27" t="s">
        <v>13546</v>
      </c>
      <c r="G5050" s="27"/>
      <c r="H5050" s="16" t="str">
        <f>IF(ISBLANK(PARTIDAS!$G5050),PARTIDAS!$F5050,CONCATENATE(PARTIDAS!$F5050," (",PARTIDAS!$G5050,")"))</f>
        <v>Calzado, polainas y artículos análogos, con puntera metálica de protección</v>
      </c>
      <c r="I5050" s="16" t="s">
        <v>9427</v>
      </c>
    </row>
    <row r="5051" spans="1:9" x14ac:dyDescent="0.25">
      <c r="A5051" s="16" t="s">
        <v>5985</v>
      </c>
      <c r="B5051" s="16" t="str">
        <f>TEXT(PARTIDA[[#This Row],[PARTIDA]],"0000000000")</f>
        <v>6402999000</v>
      </c>
      <c r="C5051" s="16" t="s">
        <v>786</v>
      </c>
      <c r="D5051" s="16" t="s">
        <v>787</v>
      </c>
      <c r="E5051" s="16" t="s">
        <v>9435</v>
      </c>
      <c r="F5051" s="27" t="s">
        <v>13547</v>
      </c>
      <c r="G5051" s="27"/>
      <c r="H5051" s="16" t="str">
        <f>IF(ISBLANK(PARTIDAS!$G5051),PARTIDAS!$F5051,CONCATENATE(PARTIDAS!$F5051," (",PARTIDAS!$G5051,")"))</f>
        <v>Calzado, polainas y artículos análogos (los demás)</v>
      </c>
      <c r="I5051" s="16" t="s">
        <v>9427</v>
      </c>
    </row>
    <row r="5052" spans="1:9" x14ac:dyDescent="0.25">
      <c r="A5052" s="16" t="s">
        <v>5986</v>
      </c>
      <c r="B5052" s="16" t="str">
        <f>TEXT(PARTIDA[[#This Row],[PARTIDA]],"0000000000")</f>
        <v>6403120000</v>
      </c>
      <c r="C5052" s="16" t="s">
        <v>786</v>
      </c>
      <c r="D5052" s="16" t="s">
        <v>787</v>
      </c>
      <c r="E5052" s="16" t="s">
        <v>9435</v>
      </c>
      <c r="F5052" s="27" t="s">
        <v>13543</v>
      </c>
      <c r="G5052" s="27"/>
      <c r="H5052" s="16" t="str">
        <f>IF(ISBLANK(PARTIDAS!$G5052),PARTIDAS!$F5052,CONCATENATE(PARTIDAS!$F5052," (",PARTIDAS!$G5052,")"))</f>
        <v>Calzado de esquí y calzado para la práctica de «snowboard» (tabla para nieve)</v>
      </c>
      <c r="I5052" s="16" t="s">
        <v>9427</v>
      </c>
    </row>
    <row r="5053" spans="1:9" x14ac:dyDescent="0.25">
      <c r="A5053" s="16" t="s">
        <v>5987</v>
      </c>
      <c r="B5053" s="16" t="str">
        <f>TEXT(PARTIDA[[#This Row],[PARTIDA]],"0000000000")</f>
        <v>6403190000</v>
      </c>
      <c r="C5053" s="16" t="s">
        <v>786</v>
      </c>
      <c r="D5053" s="16" t="s">
        <v>787</v>
      </c>
      <c r="E5053" s="16" t="s">
        <v>9435</v>
      </c>
      <c r="F5053" s="27" t="s">
        <v>13544</v>
      </c>
      <c r="G5053" s="27"/>
      <c r="H5053" s="16" t="str">
        <f>IF(ISBLANK(PARTIDAS!$G5053),PARTIDAS!$F5053,CONCATENATE(PARTIDAS!$F5053," (",PARTIDAS!$G5053,")"))</f>
        <v>Calzado de deporte (los demás)</v>
      </c>
      <c r="I5053" s="16" t="s">
        <v>9427</v>
      </c>
    </row>
    <row r="5054" spans="1:9" x14ac:dyDescent="0.25">
      <c r="A5054" s="16" t="s">
        <v>5988</v>
      </c>
      <c r="B5054" s="16" t="str">
        <f>TEXT(PARTIDA[[#This Row],[PARTIDA]],"0000000000")</f>
        <v>6403200000</v>
      </c>
      <c r="C5054" s="16" t="s">
        <v>786</v>
      </c>
      <c r="D5054" s="16" t="s">
        <v>787</v>
      </c>
      <c r="E5054" s="16" t="s">
        <v>9435</v>
      </c>
      <c r="F5054" s="27" t="s">
        <v>13548</v>
      </c>
      <c r="G5054" s="27"/>
      <c r="H5054" s="16" t="str">
        <f>IF(ISBLANK(PARTIDAS!$G5054),PARTIDAS!$F5054,CONCATENATE(PARTIDAS!$F5054," (",PARTIDAS!$G5054,")"))</f>
        <v>Calzado con suela de cuero natural y parte superior de tiras de cuero natural que pasan por el empeine y rodean el dedo gordo</v>
      </c>
      <c r="I5054" s="16" t="s">
        <v>9427</v>
      </c>
    </row>
    <row r="5055" spans="1:9" x14ac:dyDescent="0.25">
      <c r="A5055" s="16" t="s">
        <v>5989</v>
      </c>
      <c r="B5055" s="16" t="str">
        <f>TEXT(PARTIDA[[#This Row],[PARTIDA]],"0000000000")</f>
        <v>6403400000</v>
      </c>
      <c r="C5055" s="16" t="s">
        <v>786</v>
      </c>
      <c r="D5055" s="16" t="s">
        <v>787</v>
      </c>
      <c r="E5055" s="16" t="s">
        <v>9435</v>
      </c>
      <c r="F5055" s="27" t="s">
        <v>13549</v>
      </c>
      <c r="G5055" s="27"/>
      <c r="H5055" s="16" t="str">
        <f>IF(ISBLANK(PARTIDAS!$G5055),PARTIDAS!$F5055,CONCATENATE(PARTIDAS!$F5055," (",PARTIDAS!$G5055,")"))</f>
        <v>Calzado con suela de caucho, plástico, cuero natural o regenerado y… (los demás, calzados, con puntera metálica de protección)</v>
      </c>
      <c r="I5055" s="16" t="s">
        <v>9427</v>
      </c>
    </row>
    <row r="5056" spans="1:9" x14ac:dyDescent="0.25">
      <c r="A5056" s="16" t="s">
        <v>5990</v>
      </c>
      <c r="B5056" s="16" t="str">
        <f>TEXT(PARTIDA[[#This Row],[PARTIDA]],"0000000000")</f>
        <v>6403510000</v>
      </c>
      <c r="C5056" s="16" t="s">
        <v>786</v>
      </c>
      <c r="D5056" s="16" t="s">
        <v>787</v>
      </c>
      <c r="E5056" s="16" t="s">
        <v>9435</v>
      </c>
      <c r="F5056" s="27" t="s">
        <v>13550</v>
      </c>
      <c r="G5056" s="27"/>
      <c r="H5056" s="16" t="str">
        <f>IF(ISBLANK(PARTIDAS!$G5056),PARTIDAS!$F5056,CONCATENATE(PARTIDAS!$F5056," (",PARTIDAS!$G5056,")"))</f>
        <v>Calzado con suela de caucho, plástico, cuero natural o regenerado y…, que cubran el tobillo</v>
      </c>
      <c r="I5056" s="16" t="s">
        <v>9427</v>
      </c>
    </row>
    <row r="5057" spans="1:9" x14ac:dyDescent="0.25">
      <c r="A5057" s="16" t="s">
        <v>5991</v>
      </c>
      <c r="B5057" s="16" t="str">
        <f>TEXT(PARTIDA[[#This Row],[PARTIDA]],"0000000000")</f>
        <v>6403590000</v>
      </c>
      <c r="C5057" s="16" t="s">
        <v>786</v>
      </c>
      <c r="D5057" s="16" t="s">
        <v>787</v>
      </c>
      <c r="E5057" s="16" t="s">
        <v>9435</v>
      </c>
      <c r="F5057" s="27" t="s">
        <v>9174</v>
      </c>
      <c r="G5057" s="27"/>
      <c r="H5057" s="16" t="str">
        <f>IF(ISBLANK(PARTIDAS!$G5057),PARTIDAS!$F5057,CONCATENATE(PARTIDAS!$F5057," (",PARTIDAS!$G5057,")"))</f>
        <v>Calzado con suela de caucho, plástico, cuero natural o regenerado y… (los demás)</v>
      </c>
      <c r="I5057" s="16" t="s">
        <v>9427</v>
      </c>
    </row>
    <row r="5058" spans="1:9" x14ac:dyDescent="0.25">
      <c r="A5058" s="16" t="s">
        <v>5992</v>
      </c>
      <c r="B5058" s="16" t="str">
        <f>TEXT(PARTIDA[[#This Row],[PARTIDA]],"0000000000")</f>
        <v>6403911000</v>
      </c>
      <c r="C5058" s="16" t="s">
        <v>786</v>
      </c>
      <c r="D5058" s="16" t="s">
        <v>787</v>
      </c>
      <c r="E5058" s="16" t="s">
        <v>9435</v>
      </c>
      <c r="F5058" s="27" t="s">
        <v>13551</v>
      </c>
      <c r="G5058" s="27"/>
      <c r="H5058" s="16" t="str">
        <f>IF(ISBLANK(PARTIDAS!$G5058),PARTIDAS!$F5058,CONCATENATE(PARTIDAS!$F5058," (",PARTIDAS!$G5058,")"))</f>
        <v>Calzado con palmilla o plataforma de madera, sin plantillas ni puntera metálica de protección</v>
      </c>
      <c r="I5058" s="16" t="s">
        <v>9427</v>
      </c>
    </row>
    <row r="5059" spans="1:9" x14ac:dyDescent="0.25">
      <c r="A5059" s="16" t="s">
        <v>5993</v>
      </c>
      <c r="B5059" s="16" t="str">
        <f>TEXT(PARTIDA[[#This Row],[PARTIDA]],"0000000000")</f>
        <v>6403919000</v>
      </c>
      <c r="C5059" s="16" t="s">
        <v>786</v>
      </c>
      <c r="D5059" s="16" t="s">
        <v>787</v>
      </c>
      <c r="E5059" s="16" t="s">
        <v>9435</v>
      </c>
      <c r="F5059" s="27" t="s">
        <v>13552</v>
      </c>
      <c r="G5059" s="27"/>
      <c r="H5059" s="16" t="str">
        <f>IF(ISBLANK(PARTIDAS!$G5059),PARTIDAS!$F5059,CONCATENATE(PARTIDAS!$F5059," (",PARTIDAS!$G5059,")"))</f>
        <v>Calzado con suela de caucho, plástico, cuero natural o…, que cubran el tobillo (los demás)</v>
      </c>
      <c r="I5059" s="16" t="s">
        <v>9427</v>
      </c>
    </row>
    <row r="5060" spans="1:9" x14ac:dyDescent="0.25">
      <c r="A5060" s="16" t="s">
        <v>5994</v>
      </c>
      <c r="B5060" s="16" t="str">
        <f>TEXT(PARTIDA[[#This Row],[PARTIDA]],"0000000000")</f>
        <v>6403991000</v>
      </c>
      <c r="C5060" s="16" t="s">
        <v>786</v>
      </c>
      <c r="D5060" s="16" t="s">
        <v>787</v>
      </c>
      <c r="E5060" s="16" t="s">
        <v>9435</v>
      </c>
      <c r="F5060" s="27" t="s">
        <v>13551</v>
      </c>
      <c r="G5060" s="27"/>
      <c r="H5060" s="16" t="str">
        <f>IF(ISBLANK(PARTIDAS!$G5060),PARTIDAS!$F5060,CONCATENATE(PARTIDAS!$F5060," (",PARTIDAS!$G5060,")"))</f>
        <v>Calzado con palmilla o plataforma de madera, sin plantillas ni puntera metálica de protección</v>
      </c>
      <c r="I5060" s="16" t="s">
        <v>9427</v>
      </c>
    </row>
    <row r="5061" spans="1:9" x14ac:dyDescent="0.25">
      <c r="A5061" s="16" t="s">
        <v>5995</v>
      </c>
      <c r="B5061" s="16" t="str">
        <f>TEXT(PARTIDA[[#This Row],[PARTIDA]],"0000000000")</f>
        <v>6403999000</v>
      </c>
      <c r="C5061" s="16" t="s">
        <v>786</v>
      </c>
      <c r="D5061" s="16" t="s">
        <v>787</v>
      </c>
      <c r="E5061" s="16" t="s">
        <v>797</v>
      </c>
      <c r="F5061" s="27" t="s">
        <v>9174</v>
      </c>
      <c r="G5061" s="27"/>
      <c r="H5061" s="16" t="str">
        <f>IF(ISBLANK(PARTIDAS!$G5061),PARTIDAS!$F5061,CONCATENATE(PARTIDAS!$F5061," (",PARTIDAS!$G5061,")"))</f>
        <v>Calzado con suela de caucho, plástico, cuero natural o regenerado y… (los demás)</v>
      </c>
      <c r="I5061" s="16" t="s">
        <v>9477</v>
      </c>
    </row>
    <row r="5062" spans="1:9" x14ac:dyDescent="0.25">
      <c r="A5062" s="16" t="s">
        <v>5996</v>
      </c>
      <c r="B5062" s="16" t="str">
        <f>TEXT(PARTIDA[[#This Row],[PARTIDA]],"0000000000")</f>
        <v>6404111000</v>
      </c>
      <c r="C5062" s="16" t="s">
        <v>786</v>
      </c>
      <c r="D5062" s="16" t="s">
        <v>787</v>
      </c>
      <c r="E5062" s="16" t="s">
        <v>9435</v>
      </c>
      <c r="F5062" s="27" t="s">
        <v>13553</v>
      </c>
      <c r="G5062" s="27"/>
      <c r="H5062" s="16" t="str">
        <f>IF(ISBLANK(PARTIDAS!$G5062),PARTIDAS!$F5062,CONCATENATE(PARTIDAS!$F5062," (",PARTIDAS!$G5062,")"))</f>
        <v>Calzado de deporte</v>
      </c>
      <c r="I5062" s="16" t="s">
        <v>9427</v>
      </c>
    </row>
    <row r="5063" spans="1:9" x14ac:dyDescent="0.25">
      <c r="A5063" s="16" t="s">
        <v>5997</v>
      </c>
      <c r="B5063" s="16" t="str">
        <f>TEXT(PARTIDA[[#This Row],[PARTIDA]],"0000000000")</f>
        <v>6404112000</v>
      </c>
      <c r="C5063" s="16" t="s">
        <v>786</v>
      </c>
      <c r="D5063" s="16" t="s">
        <v>787</v>
      </c>
      <c r="E5063" s="16" t="s">
        <v>9435</v>
      </c>
      <c r="F5063" s="27" t="s">
        <v>13554</v>
      </c>
      <c r="G5063" s="27"/>
      <c r="H5063" s="16" t="str">
        <f>IF(ISBLANK(PARTIDAS!$G5063),PARTIDAS!$F5063,CONCATENATE(PARTIDAS!$F5063," (",PARTIDAS!$G5063,")"))</f>
        <v>Calzado de tenis, baloncesto, gimnasia, entrenamiento y calzados similares</v>
      </c>
      <c r="I5063" s="16" t="s">
        <v>9427</v>
      </c>
    </row>
    <row r="5064" spans="1:9" x14ac:dyDescent="0.25">
      <c r="A5064" s="16" t="s">
        <v>5998</v>
      </c>
      <c r="B5064" s="16" t="str">
        <f>TEXT(PARTIDA[[#This Row],[PARTIDA]],"0000000000")</f>
        <v>6404190000</v>
      </c>
      <c r="C5064" s="16" t="s">
        <v>786</v>
      </c>
      <c r="D5064" s="16" t="s">
        <v>787</v>
      </c>
      <c r="E5064" s="16" t="s">
        <v>9435</v>
      </c>
      <c r="F5064" s="27" t="s">
        <v>13555</v>
      </c>
      <c r="G5064" s="27"/>
      <c r="H5064" s="16" t="str">
        <f>IF(ISBLANK(PARTIDAS!$G5064),PARTIDAS!$F5064,CONCATENATE(PARTIDAS!$F5064," (",PARTIDAS!$G5064,")"))</f>
        <v>Calzado con suela de caucho o plástico (los demás)</v>
      </c>
      <c r="I5064" s="16" t="s">
        <v>9427</v>
      </c>
    </row>
    <row r="5065" spans="1:9" x14ac:dyDescent="0.25">
      <c r="A5065" s="16" t="s">
        <v>5999</v>
      </c>
      <c r="B5065" s="16" t="str">
        <f>TEXT(PARTIDA[[#This Row],[PARTIDA]],"0000000000")</f>
        <v>6404200000</v>
      </c>
      <c r="C5065" s="16" t="s">
        <v>786</v>
      </c>
      <c r="D5065" s="16" t="s">
        <v>787</v>
      </c>
      <c r="E5065" s="16" t="s">
        <v>9435</v>
      </c>
      <c r="F5065" s="27" t="s">
        <v>13556</v>
      </c>
      <c r="G5065" s="27"/>
      <c r="H5065" s="16" t="str">
        <f>IF(ISBLANK(PARTIDAS!$G5065),PARTIDAS!$F5065,CONCATENATE(PARTIDAS!$F5065," (",PARTIDAS!$G5065,")"))</f>
        <v>Calzado con suela de cuero natural o regenerado</v>
      </c>
      <c r="I5065" s="16" t="s">
        <v>9427</v>
      </c>
    </row>
    <row r="5066" spans="1:9" x14ac:dyDescent="0.25">
      <c r="A5066" s="16" t="s">
        <v>6000</v>
      </c>
      <c r="B5066" s="16" t="str">
        <f>TEXT(PARTIDA[[#This Row],[PARTIDA]],"0000000000")</f>
        <v>6405100000</v>
      </c>
      <c r="C5066" s="16" t="s">
        <v>786</v>
      </c>
      <c r="D5066" s="16" t="s">
        <v>787</v>
      </c>
      <c r="E5066" s="16" t="s">
        <v>9435</v>
      </c>
      <c r="F5066" s="27" t="s">
        <v>13557</v>
      </c>
      <c r="G5066" s="27"/>
      <c r="H5066" s="16" t="str">
        <f>IF(ISBLANK(PARTIDAS!$G5066),PARTIDAS!$F5066,CONCATENATE(PARTIDAS!$F5066," (",PARTIDAS!$G5066,")"))</f>
        <v>Calzado, polainas y artículos análogos, con la parte superior de cuero natural o regenerado</v>
      </c>
      <c r="I5066" s="16" t="s">
        <v>9427</v>
      </c>
    </row>
    <row r="5067" spans="1:9" x14ac:dyDescent="0.25">
      <c r="A5067" s="16" t="s">
        <v>6001</v>
      </c>
      <c r="B5067" s="16" t="str">
        <f>TEXT(PARTIDA[[#This Row],[PARTIDA]],"0000000000")</f>
        <v>6405200000</v>
      </c>
      <c r="C5067" s="16" t="s">
        <v>786</v>
      </c>
      <c r="D5067" s="16" t="s">
        <v>787</v>
      </c>
      <c r="E5067" s="16" t="s">
        <v>9435</v>
      </c>
      <c r="F5067" s="27" t="s">
        <v>13558</v>
      </c>
      <c r="G5067" s="27"/>
      <c r="H5067" s="16" t="str">
        <f>IF(ISBLANK(PARTIDAS!$G5067),PARTIDAS!$F5067,CONCATENATE(PARTIDAS!$F5067," (",PARTIDAS!$G5067,")"))</f>
        <v>Calzado, polainas y artículos análogos, con la parte superior de materia textil</v>
      </c>
      <c r="I5067" s="16" t="s">
        <v>9427</v>
      </c>
    </row>
    <row r="5068" spans="1:9" x14ac:dyDescent="0.25">
      <c r="A5068" s="16" t="s">
        <v>6002</v>
      </c>
      <c r="B5068" s="16" t="str">
        <f>TEXT(PARTIDA[[#This Row],[PARTIDA]],"0000000000")</f>
        <v>6405900000</v>
      </c>
      <c r="C5068" s="16" t="s">
        <v>786</v>
      </c>
      <c r="D5068" s="16" t="s">
        <v>787</v>
      </c>
      <c r="E5068" s="16" t="s">
        <v>9435</v>
      </c>
      <c r="F5068" s="27" t="s">
        <v>13547</v>
      </c>
      <c r="G5068" s="27"/>
      <c r="H5068" s="16" t="str">
        <f>IF(ISBLANK(PARTIDAS!$G5068),PARTIDAS!$F5068,CONCATENATE(PARTIDAS!$F5068," (",PARTIDAS!$G5068,")"))</f>
        <v>Calzado, polainas y artículos análogos (los demás)</v>
      </c>
      <c r="I5068" s="16" t="s">
        <v>9427</v>
      </c>
    </row>
    <row r="5069" spans="1:9" x14ac:dyDescent="0.25">
      <c r="A5069" s="16" t="s">
        <v>6003</v>
      </c>
      <c r="B5069" s="16" t="str">
        <f>TEXT(PARTIDA[[#This Row],[PARTIDA]],"0000000000")</f>
        <v>6406100000</v>
      </c>
      <c r="C5069" s="16" t="s">
        <v>786</v>
      </c>
      <c r="D5069" s="16" t="s">
        <v>787</v>
      </c>
      <c r="E5069" s="16" t="s">
        <v>9435</v>
      </c>
      <c r="F5069" s="27" t="s">
        <v>6004</v>
      </c>
      <c r="G5069" s="27"/>
      <c r="H5069" s="16" t="str">
        <f>IF(ISBLANK(PARTIDAS!$G5069),PARTIDAS!$F5069,CONCATENATE(PARTIDAS!$F5069," (",PARTIDAS!$G5069,")"))</f>
        <v>Partes de calzado</v>
      </c>
      <c r="I5069" s="16" t="s">
        <v>9427</v>
      </c>
    </row>
    <row r="5070" spans="1:9" x14ac:dyDescent="0.25">
      <c r="A5070" s="16" t="s">
        <v>6005</v>
      </c>
      <c r="B5070" s="16" t="str">
        <f>TEXT(PARTIDA[[#This Row],[PARTIDA]],"0000000000")</f>
        <v>6406200000</v>
      </c>
      <c r="C5070" s="16" t="s">
        <v>786</v>
      </c>
      <c r="D5070" s="16" t="s">
        <v>787</v>
      </c>
      <c r="E5070" s="16" t="s">
        <v>9435</v>
      </c>
      <c r="F5070" s="27" t="s">
        <v>13559</v>
      </c>
      <c r="G5070" s="27"/>
      <c r="H5070" s="16" t="str">
        <f>IF(ISBLANK(PARTIDAS!$G5070),PARTIDAS!$F5070,CONCATENATE(PARTIDAS!$F5070," (",PARTIDAS!$G5070,")"))</f>
        <v>Suelas y tacones (tacos), de caucho o plástico</v>
      </c>
      <c r="I5070" s="16" t="s">
        <v>9427</v>
      </c>
    </row>
    <row r="5071" spans="1:9" x14ac:dyDescent="0.25">
      <c r="A5071" s="16" t="s">
        <v>6006</v>
      </c>
      <c r="B5071" s="16" t="str">
        <f>TEXT(PARTIDA[[#This Row],[PARTIDA]],"0000000000")</f>
        <v>6406901000</v>
      </c>
      <c r="C5071" s="16" t="s">
        <v>786</v>
      </c>
      <c r="D5071" s="16" t="s">
        <v>787</v>
      </c>
      <c r="E5071" s="16" t="s">
        <v>9435</v>
      </c>
      <c r="F5071" s="27" t="s">
        <v>13560</v>
      </c>
      <c r="G5071" s="27"/>
      <c r="H5071" s="16" t="str">
        <f>IF(ISBLANK(PARTIDAS!$G5071),PARTIDAS!$F5071,CONCATENATE(PARTIDAS!$F5071," (",PARTIDAS!$G5071,")"))</f>
        <v>Partes de calzado (incluidas las partes superiores fijadas a las…, plantillas</v>
      </c>
      <c r="I5071" s="16" t="s">
        <v>9427</v>
      </c>
    </row>
    <row r="5072" spans="1:9" x14ac:dyDescent="0.25">
      <c r="A5072" s="16" t="s">
        <v>6007</v>
      </c>
      <c r="B5072" s="16" t="str">
        <f>TEXT(PARTIDA[[#This Row],[PARTIDA]],"0000000000")</f>
        <v>6406909000</v>
      </c>
      <c r="C5072" s="16" t="s">
        <v>786</v>
      </c>
      <c r="D5072" s="16" t="s">
        <v>787</v>
      </c>
      <c r="E5072" s="16" t="s">
        <v>9435</v>
      </c>
      <c r="F5072" s="27" t="s">
        <v>13561</v>
      </c>
      <c r="G5072" s="27"/>
      <c r="H5072" s="16" t="str">
        <f>IF(ISBLANK(PARTIDAS!$G5072),PARTIDAS!$F5072,CONCATENATE(PARTIDAS!$F5072," (",PARTIDAS!$G5072,")"))</f>
        <v>Partes de calzado (incluidas las partes superiores fijadas a las… (los demás)</v>
      </c>
      <c r="I5072" s="16" t="s">
        <v>9427</v>
      </c>
    </row>
    <row r="5073" spans="1:9" x14ac:dyDescent="0.25">
      <c r="A5073" s="16" t="s">
        <v>6008</v>
      </c>
      <c r="B5073" s="16" t="str">
        <f>TEXT(PARTIDA[[#This Row],[PARTIDA]],"0000000000")</f>
        <v>6501000000</v>
      </c>
      <c r="C5073" s="16" t="s">
        <v>815</v>
      </c>
      <c r="D5073" s="16" t="s">
        <v>835</v>
      </c>
      <c r="E5073" s="16" t="s">
        <v>842</v>
      </c>
      <c r="F5073" s="27" t="s">
        <v>6009</v>
      </c>
      <c r="G5073" s="27"/>
      <c r="H5073" s="16" t="str">
        <f>IF(ISBLANK(PARTIDAS!$G5073),PARTIDAS!$F5073,CONCATENATE(PARTIDAS!$F5073," (",PARTIDAS!$G5073,")"))</f>
        <v>Cascos para sombreros</v>
      </c>
      <c r="I5073" s="16" t="s">
        <v>9477</v>
      </c>
    </row>
    <row r="5074" spans="1:9" x14ac:dyDescent="0.25">
      <c r="A5074" s="16" t="s">
        <v>6010</v>
      </c>
      <c r="B5074" s="16" t="str">
        <f>TEXT(PARTIDA[[#This Row],[PARTIDA]],"0000000000")</f>
        <v>6502001000</v>
      </c>
      <c r="C5074" s="16" t="s">
        <v>786</v>
      </c>
      <c r="D5074" s="16" t="s">
        <v>787</v>
      </c>
      <c r="E5074" s="16" t="s">
        <v>9435</v>
      </c>
      <c r="F5074" s="27" t="s">
        <v>13562</v>
      </c>
      <c r="G5074" s="27"/>
      <c r="H5074" s="16" t="str">
        <f>IF(ISBLANK(PARTIDAS!$G5074),PARTIDAS!$F5074,CONCATENATE(PARTIDAS!$F5074," (",PARTIDAS!$G5074,")"))</f>
        <v>Sombreros, demás tocados, y sus partes, de paja toquilla o de paja mocora</v>
      </c>
      <c r="I5074" s="16" t="s">
        <v>9427</v>
      </c>
    </row>
    <row r="5075" spans="1:9" x14ac:dyDescent="0.25">
      <c r="A5075" s="16" t="s">
        <v>6011</v>
      </c>
      <c r="B5075" s="16" t="str">
        <f>TEXT(PARTIDA[[#This Row],[PARTIDA]],"0000000000")</f>
        <v>6502009000</v>
      </c>
      <c r="C5075" s="16" t="s">
        <v>786</v>
      </c>
      <c r="D5075" s="16" t="s">
        <v>787</v>
      </c>
      <c r="E5075" s="16" t="s">
        <v>9435</v>
      </c>
      <c r="F5075" s="27" t="s">
        <v>13563</v>
      </c>
      <c r="G5075" s="27"/>
      <c r="H5075" s="16" t="str">
        <f>IF(ISBLANK(PARTIDAS!$G5075),PARTIDAS!$F5075,CONCATENATE(PARTIDAS!$F5075," (",PARTIDAS!$G5075,")"))</f>
        <v>Sombreros, demás tocados, y sus partes (los demás)</v>
      </c>
      <c r="I5075" s="16" t="s">
        <v>9427</v>
      </c>
    </row>
    <row r="5076" spans="1:9" x14ac:dyDescent="0.25">
      <c r="A5076" s="16" t="s">
        <v>6012</v>
      </c>
      <c r="B5076" s="16" t="str">
        <f>TEXT(PARTIDA[[#This Row],[PARTIDA]],"0000000000")</f>
        <v>6504000000</v>
      </c>
      <c r="C5076" s="16" t="s">
        <v>786</v>
      </c>
      <c r="D5076" s="16" t="s">
        <v>787</v>
      </c>
      <c r="E5076" s="16" t="s">
        <v>9435</v>
      </c>
      <c r="F5076" s="27" t="s">
        <v>6013</v>
      </c>
      <c r="G5076" s="27"/>
      <c r="H5076" s="16" t="str">
        <f>IF(ISBLANK(PARTIDAS!$G5076),PARTIDAS!$F5076,CONCATENATE(PARTIDAS!$F5076," (",PARTIDAS!$G5076,")"))</f>
        <v>Sombreros</v>
      </c>
      <c r="I5076" s="16" t="s">
        <v>9427</v>
      </c>
    </row>
    <row r="5077" spans="1:9" x14ac:dyDescent="0.25">
      <c r="A5077" s="16" t="s">
        <v>6014</v>
      </c>
      <c r="B5077" s="16" t="str">
        <f>TEXT(PARTIDA[[#This Row],[PARTIDA]],"0000000000")</f>
        <v>6505001000</v>
      </c>
      <c r="C5077" s="16" t="s">
        <v>786</v>
      </c>
      <c r="D5077" s="16" t="s">
        <v>787</v>
      </c>
      <c r="E5077" s="16" t="s">
        <v>9435</v>
      </c>
      <c r="F5077" s="27" t="s">
        <v>13564</v>
      </c>
      <c r="G5077" s="27"/>
      <c r="H5077" s="16" t="str">
        <f>IF(ISBLANK(PARTIDAS!$G5077),PARTIDAS!$F5077,CONCATENATE(PARTIDAS!$F5077," (",PARTIDAS!$G5077,")"))</f>
        <v>Redecillas para el cabello</v>
      </c>
      <c r="I5077" s="16" t="s">
        <v>9427</v>
      </c>
    </row>
    <row r="5078" spans="1:9" x14ac:dyDescent="0.25">
      <c r="A5078" s="16" t="s">
        <v>6015</v>
      </c>
      <c r="B5078" s="16" t="str">
        <f>TEXT(PARTIDA[[#This Row],[PARTIDA]],"0000000000")</f>
        <v>6505002000</v>
      </c>
      <c r="C5078" s="16" t="s">
        <v>786</v>
      </c>
      <c r="D5078" s="16" t="s">
        <v>787</v>
      </c>
      <c r="E5078" s="16" t="s">
        <v>9435</v>
      </c>
      <c r="F5078" s="27" t="s">
        <v>13565</v>
      </c>
      <c r="G5078" s="27"/>
      <c r="H5078" s="16" t="str">
        <f>IF(ISBLANK(PARTIDAS!$G5078),PARTIDAS!$F5078,CONCATENATE(PARTIDAS!$F5078," (",PARTIDAS!$G5078,")"))</f>
        <v>Sombreros y demás tocados de fieltro, fabricados con cascos o platos de la subpartida 6501.00.00, incluso guarnecidos</v>
      </c>
      <c r="I5078" s="16" t="s">
        <v>9427</v>
      </c>
    </row>
    <row r="5079" spans="1:9" x14ac:dyDescent="0.25">
      <c r="A5079" s="16" t="s">
        <v>6016</v>
      </c>
      <c r="B5079" s="16" t="str">
        <f>TEXT(PARTIDA[[#This Row],[PARTIDA]],"0000000000")</f>
        <v>6505009000</v>
      </c>
      <c r="C5079" s="16" t="s">
        <v>786</v>
      </c>
      <c r="D5079" s="16" t="s">
        <v>787</v>
      </c>
      <c r="E5079" s="16" t="s">
        <v>9435</v>
      </c>
      <c r="F5079" s="27" t="s">
        <v>13563</v>
      </c>
      <c r="G5079" s="27"/>
      <c r="H5079" s="16" t="str">
        <f>IF(ISBLANK(PARTIDAS!$G5079),PARTIDAS!$F5079,CONCATENATE(PARTIDAS!$F5079," (",PARTIDAS!$G5079,")"))</f>
        <v>Sombreros, demás tocados, y sus partes (los demás)</v>
      </c>
      <c r="I5079" s="16" t="s">
        <v>9427</v>
      </c>
    </row>
    <row r="5080" spans="1:9" x14ac:dyDescent="0.25">
      <c r="A5080" s="16" t="s">
        <v>6017</v>
      </c>
      <c r="B5080" s="16" t="str">
        <f>TEXT(PARTIDA[[#This Row],[PARTIDA]],"0000000000")</f>
        <v>6506100000</v>
      </c>
      <c r="C5080" s="16" t="s">
        <v>786</v>
      </c>
      <c r="D5080" s="16" t="s">
        <v>787</v>
      </c>
      <c r="E5080" s="16" t="s">
        <v>9435</v>
      </c>
      <c r="F5080" s="27" t="s">
        <v>6018</v>
      </c>
      <c r="G5080" s="27"/>
      <c r="H5080" s="16" t="str">
        <f>IF(ISBLANK(PARTIDAS!$G5080),PARTIDAS!$F5080,CONCATENATE(PARTIDAS!$F5080," (",PARTIDAS!$G5080,")"))</f>
        <v>Cascos de seguridad</v>
      </c>
      <c r="I5080" s="16" t="s">
        <v>9427</v>
      </c>
    </row>
    <row r="5081" spans="1:9" x14ac:dyDescent="0.25">
      <c r="A5081" s="16" t="s">
        <v>6019</v>
      </c>
      <c r="B5081" s="16" t="str">
        <f>TEXT(PARTIDA[[#This Row],[PARTIDA]],"0000000000")</f>
        <v>6506910000</v>
      </c>
      <c r="C5081" s="16" t="s">
        <v>786</v>
      </c>
      <c r="D5081" s="16" t="s">
        <v>787</v>
      </c>
      <c r="E5081" s="16" t="s">
        <v>9435</v>
      </c>
      <c r="F5081" s="27" t="s">
        <v>13566</v>
      </c>
      <c r="G5081" s="27"/>
      <c r="H5081" s="16" t="str">
        <f>IF(ISBLANK(PARTIDAS!$G5081),PARTIDAS!$F5081,CONCATENATE(PARTIDAS!$F5081," (",PARTIDAS!$G5081,")"))</f>
        <v>Sombreros, demás tocados, y sus partes, de caucho o plástico</v>
      </c>
      <c r="I5081" s="16" t="s">
        <v>9427</v>
      </c>
    </row>
    <row r="5082" spans="1:9" x14ac:dyDescent="0.25">
      <c r="A5082" s="16" t="s">
        <v>6020</v>
      </c>
      <c r="B5082" s="16" t="str">
        <f>TEXT(PARTIDA[[#This Row],[PARTIDA]],"0000000000")</f>
        <v>6506990000</v>
      </c>
      <c r="C5082" s="16" t="s">
        <v>786</v>
      </c>
      <c r="D5082" s="16" t="s">
        <v>787</v>
      </c>
      <c r="E5082" s="16" t="s">
        <v>9435</v>
      </c>
      <c r="F5082" s="27" t="s">
        <v>9385</v>
      </c>
      <c r="G5082" s="27"/>
      <c r="H5082" s="16" t="str">
        <f>IF(ISBLANK(PARTIDAS!$G5082),PARTIDAS!$F5082,CONCATENATE(PARTIDAS!$F5082," (",PARTIDAS!$G5082,")"))</f>
        <v>Sombreros, demás tocados, y sus partes, de las demás materias</v>
      </c>
      <c r="I5082" s="16" t="s">
        <v>9477</v>
      </c>
    </row>
    <row r="5083" spans="1:9" x14ac:dyDescent="0.25">
      <c r="A5083" s="16" t="s">
        <v>6021</v>
      </c>
      <c r="B5083" s="16" t="str">
        <f>TEXT(PARTIDA[[#This Row],[PARTIDA]],"0000000000")</f>
        <v>6507000000</v>
      </c>
      <c r="C5083" s="16" t="s">
        <v>786</v>
      </c>
      <c r="D5083" s="16" t="s">
        <v>787</v>
      </c>
      <c r="E5083" s="16" t="s">
        <v>9435</v>
      </c>
      <c r="F5083" s="27" t="s">
        <v>6022</v>
      </c>
      <c r="G5083" s="27"/>
      <c r="H5083" s="16" t="str">
        <f>IF(ISBLANK(PARTIDAS!$G5083),PARTIDAS!$F5083,CONCATENATE(PARTIDAS!$F5083," (",PARTIDAS!$G5083,")"))</f>
        <v>Desudadores, forros, fundas, armaduras, viseras
y barboquejos (barbijos), para sombreros y demás
tocados.</v>
      </c>
      <c r="I5083" s="16" t="s">
        <v>9427</v>
      </c>
    </row>
    <row r="5084" spans="1:9" x14ac:dyDescent="0.25">
      <c r="A5084" s="16" t="s">
        <v>6023</v>
      </c>
      <c r="B5084" s="16" t="str">
        <f>TEXT(PARTIDA[[#This Row],[PARTIDA]],"0000000000")</f>
        <v>6601100000</v>
      </c>
      <c r="C5084" s="16" t="s">
        <v>786</v>
      </c>
      <c r="D5084" s="16" t="s">
        <v>787</v>
      </c>
      <c r="E5084" s="16" t="s">
        <v>797</v>
      </c>
      <c r="F5084" s="27" t="s">
        <v>13567</v>
      </c>
      <c r="G5084" s="27"/>
      <c r="H5084" s="16" t="str">
        <f>IF(ISBLANK(PARTIDAS!$G5084),PARTIDAS!$F5084,CONCATENATE(PARTIDAS!$F5084," (",PARTIDAS!$G5084,")"))</f>
        <v>Quitasoles toldo y artículos similares</v>
      </c>
      <c r="I5084" s="16" t="s">
        <v>9427</v>
      </c>
    </row>
    <row r="5085" spans="1:9" x14ac:dyDescent="0.25">
      <c r="A5085" s="16" t="s">
        <v>6024</v>
      </c>
      <c r="B5085" s="16" t="str">
        <f>TEXT(PARTIDA[[#This Row],[PARTIDA]],"0000000000")</f>
        <v>6601910000</v>
      </c>
      <c r="C5085" s="16" t="s">
        <v>786</v>
      </c>
      <c r="D5085" s="16" t="s">
        <v>787</v>
      </c>
      <c r="E5085" s="16" t="s">
        <v>797</v>
      </c>
      <c r="F5085" s="27" t="s">
        <v>13568</v>
      </c>
      <c r="G5085" s="27"/>
      <c r="H5085" s="16" t="str">
        <f>IF(ISBLANK(PARTIDAS!$G5085),PARTIDAS!$F5085,CONCATENATE(PARTIDAS!$F5085," (",PARTIDAS!$G5085,")"))</f>
        <v>Paraguas, sombrillas y quitasoles (incluidos los paraguas bastón, los…, con astil o mango telescópico</v>
      </c>
      <c r="I5085" s="16" t="s">
        <v>9427</v>
      </c>
    </row>
    <row r="5086" spans="1:9" x14ac:dyDescent="0.25">
      <c r="A5086" s="16" t="s">
        <v>6025</v>
      </c>
      <c r="B5086" s="16" t="str">
        <f>TEXT(PARTIDA[[#This Row],[PARTIDA]],"0000000000")</f>
        <v>6601990000</v>
      </c>
      <c r="C5086" s="16" t="s">
        <v>786</v>
      </c>
      <c r="D5086" s="16" t="s">
        <v>787</v>
      </c>
      <c r="E5086" s="16" t="s">
        <v>797</v>
      </c>
      <c r="F5086" s="27" t="s">
        <v>13569</v>
      </c>
      <c r="G5086" s="27"/>
      <c r="H5086" s="16" t="str">
        <f>IF(ISBLANK(PARTIDAS!$G5086),PARTIDAS!$F5086,CONCATENATE(PARTIDAS!$F5086," (",PARTIDAS!$G5086,")"))</f>
        <v>Paraguas, sombrillas y quitasoles (incluidos los paraguas bastón, los… (los demás)</v>
      </c>
      <c r="I5086" s="16" t="s">
        <v>9427</v>
      </c>
    </row>
    <row r="5087" spans="1:9" x14ac:dyDescent="0.25">
      <c r="A5087" s="16" t="s">
        <v>6026</v>
      </c>
      <c r="B5087" s="16" t="str">
        <f>TEXT(PARTIDA[[#This Row],[PARTIDA]],"0000000000")</f>
        <v>6602000000</v>
      </c>
      <c r="C5087" s="16" t="s">
        <v>786</v>
      </c>
      <c r="D5087" s="16" t="s">
        <v>787</v>
      </c>
      <c r="E5087" s="16" t="s">
        <v>797</v>
      </c>
      <c r="F5087" s="27" t="s">
        <v>6027</v>
      </c>
      <c r="G5087" s="27"/>
      <c r="H5087" s="16" t="str">
        <f>IF(ISBLANK(PARTIDAS!$G5087),PARTIDAS!$F5087,CONCATENATE(PARTIDAS!$F5087," (",PARTIDAS!$G5087,")"))</f>
        <v>Bastones, bastones asiento, látigos, fustas y
artículos similares.</v>
      </c>
      <c r="I5087" s="16" t="s">
        <v>9427</v>
      </c>
    </row>
    <row r="5088" spans="1:9" x14ac:dyDescent="0.25">
      <c r="A5088" s="16" t="s">
        <v>6028</v>
      </c>
      <c r="B5088" s="16" t="str">
        <f>TEXT(PARTIDA[[#This Row],[PARTIDA]],"0000000000")</f>
        <v>6603200000</v>
      </c>
      <c r="C5088" s="16" t="s">
        <v>786</v>
      </c>
      <c r="D5088" s="16" t="s">
        <v>787</v>
      </c>
      <c r="E5088" s="16" t="s">
        <v>797</v>
      </c>
      <c r="F5088" s="27" t="s">
        <v>13570</v>
      </c>
      <c r="G5088" s="27"/>
      <c r="H5088" s="16" t="str">
        <f>IF(ISBLANK(PARTIDAS!$G5088),PARTIDAS!$F5088,CONCATENATE(PARTIDAS!$F5088," (",PARTIDAS!$G5088,")"))</f>
        <v>Monturas ensambladas, incluso con el astil o mango, para paraguas, sombrillas o quitasoles</v>
      </c>
      <c r="I5088" s="16" t="s">
        <v>9427</v>
      </c>
    </row>
    <row r="5089" spans="1:9" x14ac:dyDescent="0.25">
      <c r="A5089" s="16" t="s">
        <v>6029</v>
      </c>
      <c r="B5089" s="16" t="str">
        <f>TEXT(PARTIDA[[#This Row],[PARTIDA]],"0000000000")</f>
        <v>6603900000</v>
      </c>
      <c r="C5089" s="16" t="s">
        <v>786</v>
      </c>
      <c r="D5089" s="16" t="s">
        <v>787</v>
      </c>
      <c r="E5089" s="16" t="s">
        <v>797</v>
      </c>
      <c r="F5089" s="27" t="s">
        <v>13571</v>
      </c>
      <c r="G5089" s="27"/>
      <c r="H5089" s="16" t="str">
        <f>IF(ISBLANK(PARTIDAS!$G5089),PARTIDAS!$F5089,CONCATENATE(PARTIDAS!$F5089," (",PARTIDAS!$G5089,")"))</f>
        <v>Partes, guarniciones y accesorios para los artículos de las partidas… (los demás)</v>
      </c>
      <c r="I5089" s="16" t="s">
        <v>9427</v>
      </c>
    </row>
    <row r="5090" spans="1:9" x14ac:dyDescent="0.25">
      <c r="A5090" s="16" t="s">
        <v>6030</v>
      </c>
      <c r="B5090" s="16" t="str">
        <f>TEXT(PARTIDA[[#This Row],[PARTIDA]],"0000000000")</f>
        <v>6701000000</v>
      </c>
      <c r="C5090" s="16" t="s">
        <v>786</v>
      </c>
      <c r="D5090" s="16" t="s">
        <v>787</v>
      </c>
      <c r="E5090" s="16" t="s">
        <v>797</v>
      </c>
      <c r="F5090" s="27" t="s">
        <v>6031</v>
      </c>
      <c r="G5090" s="27"/>
      <c r="H5090" s="16" t="str">
        <f>IF(ISBLANK(PARTIDAS!$G5090),PARTIDAS!$F5090,CONCATENATE(PARTIDAS!$F5090," (",PARTIDAS!$G5090,")"))</f>
        <v>Pieles y demás partes de ave con sus plumas o
plumón; plumas, partes de plumas, plumón y
artículos de estas materias, excepto los productos
de la partida 05.05 y los cañones y astiles de
plumas, trabajados.</v>
      </c>
      <c r="I5090" s="16" t="s">
        <v>9427</v>
      </c>
    </row>
    <row r="5091" spans="1:9" x14ac:dyDescent="0.25">
      <c r="A5091" s="16" t="s">
        <v>6032</v>
      </c>
      <c r="B5091" s="16" t="str">
        <f>TEXT(PARTIDA[[#This Row],[PARTIDA]],"0000000000")</f>
        <v>6702100000</v>
      </c>
      <c r="C5091" s="16" t="s">
        <v>786</v>
      </c>
      <c r="D5091" s="16" t="s">
        <v>787</v>
      </c>
      <c r="E5091" s="16" t="s">
        <v>797</v>
      </c>
      <c r="F5091" s="27" t="s">
        <v>6033</v>
      </c>
      <c r="G5091" s="27"/>
      <c r="H5091" s="16" t="str">
        <f>IF(ISBLANK(PARTIDAS!$G5091),PARTIDAS!$F5091,CONCATENATE(PARTIDAS!$F5091," (",PARTIDAS!$G5091,")"))</f>
        <v>Flores, follaje y frutos de plástico</v>
      </c>
      <c r="I5091" s="16" t="s">
        <v>9427</v>
      </c>
    </row>
    <row r="5092" spans="1:9" x14ac:dyDescent="0.25">
      <c r="A5092" s="16" t="s">
        <v>6034</v>
      </c>
      <c r="B5092" s="16" t="str">
        <f>TEXT(PARTIDA[[#This Row],[PARTIDA]],"0000000000")</f>
        <v>6702900000</v>
      </c>
      <c r="C5092" s="16" t="s">
        <v>786</v>
      </c>
      <c r="D5092" s="16" t="s">
        <v>787</v>
      </c>
      <c r="E5092" s="16" t="s">
        <v>797</v>
      </c>
      <c r="F5092" s="27" t="s">
        <v>13572</v>
      </c>
      <c r="G5092" s="27"/>
      <c r="H5092" s="16" t="str">
        <f>IF(ISBLANK(PARTIDAS!$G5092),PARTIDAS!$F5092,CONCATENATE(PARTIDAS!$F5092," (",PARTIDAS!$G5092,")"))</f>
        <v>Flores, follaje y frutos, artificiales, y sus partes, de las demás materias</v>
      </c>
      <c r="I5092" s="16" t="s">
        <v>9427</v>
      </c>
    </row>
    <row r="5093" spans="1:9" x14ac:dyDescent="0.25">
      <c r="A5093" s="16" t="s">
        <v>6035</v>
      </c>
      <c r="B5093" s="16" t="str">
        <f>TEXT(PARTIDA[[#This Row],[PARTIDA]],"0000000000")</f>
        <v>6703000000</v>
      </c>
      <c r="C5093" s="16" t="s">
        <v>786</v>
      </c>
      <c r="D5093" s="16" t="s">
        <v>787</v>
      </c>
      <c r="E5093" s="16" t="s">
        <v>797</v>
      </c>
      <c r="F5093" s="27" t="s">
        <v>6036</v>
      </c>
      <c r="G5093" s="27"/>
      <c r="H5093" s="16" t="str">
        <f>IF(ISBLANK(PARTIDAS!$G5093),PARTIDAS!$F5093,CONCATENATE(PARTIDAS!$F5093," (",PARTIDAS!$G5093,")"))</f>
        <v>Cabello peinado, afinado, blanqueado o
preparado de otra forma; lana, pelo u otra materia
textil, preparados para la fabricación de pelucas o
artículos similares.</v>
      </c>
      <c r="I5093" s="16" t="s">
        <v>9427</v>
      </c>
    </row>
    <row r="5094" spans="1:9" x14ac:dyDescent="0.25">
      <c r="A5094" s="16" t="s">
        <v>6037</v>
      </c>
      <c r="B5094" s="16" t="str">
        <f>TEXT(PARTIDA[[#This Row],[PARTIDA]],"0000000000")</f>
        <v>6704110000</v>
      </c>
      <c r="C5094" s="16" t="s">
        <v>786</v>
      </c>
      <c r="D5094" s="16" t="s">
        <v>787</v>
      </c>
      <c r="E5094" s="16" t="s">
        <v>797</v>
      </c>
      <c r="F5094" s="27" t="s">
        <v>13573</v>
      </c>
      <c r="G5094" s="27"/>
      <c r="H5094" s="16" t="str">
        <f>IF(ISBLANK(PARTIDAS!$G5094),PARTIDAS!$F5094,CONCATENATE(PARTIDAS!$F5094," (",PARTIDAS!$G5094,")"))</f>
        <v>Pelucas que cubran toda la cabeza</v>
      </c>
      <c r="I5094" s="16" t="s">
        <v>9427</v>
      </c>
    </row>
    <row r="5095" spans="1:9" x14ac:dyDescent="0.25">
      <c r="A5095" s="16" t="s">
        <v>6038</v>
      </c>
      <c r="B5095" s="16" t="str">
        <f>TEXT(PARTIDA[[#This Row],[PARTIDA]],"0000000000")</f>
        <v>6704190000</v>
      </c>
      <c r="C5095" s="16" t="s">
        <v>786</v>
      </c>
      <c r="D5095" s="16" t="s">
        <v>787</v>
      </c>
      <c r="E5095" s="16" t="s">
        <v>797</v>
      </c>
      <c r="F5095" s="27" t="s">
        <v>13574</v>
      </c>
      <c r="G5095" s="27"/>
      <c r="H5095" s="16" t="str">
        <f>IF(ISBLANK(PARTIDAS!$G5095),PARTIDAS!$F5095,CONCATENATE(PARTIDAS!$F5095," (",PARTIDAS!$G5095,")"))</f>
        <v>Pelucas, barbas, cejas, pestañas, mechones y artículos…, de materias textiles sintéticas (los demás)</v>
      </c>
      <c r="I5095" s="16" t="s">
        <v>9427</v>
      </c>
    </row>
    <row r="5096" spans="1:9" x14ac:dyDescent="0.25">
      <c r="A5096" s="16" t="s">
        <v>6039</v>
      </c>
      <c r="B5096" s="16" t="str">
        <f>TEXT(PARTIDA[[#This Row],[PARTIDA]],"0000000000")</f>
        <v>6704200000</v>
      </c>
      <c r="C5096" s="16" t="s">
        <v>786</v>
      </c>
      <c r="D5096" s="16" t="s">
        <v>787</v>
      </c>
      <c r="E5096" s="16" t="s">
        <v>797</v>
      </c>
      <c r="F5096" s="27" t="s">
        <v>13575</v>
      </c>
      <c r="G5096" s="27"/>
      <c r="H5096" s="16" t="str">
        <f>IF(ISBLANK(PARTIDAS!$G5096),PARTIDAS!$F5096,CONCATENATE(PARTIDAS!$F5096," (",PARTIDAS!$G5096,")"))</f>
        <v>Pelucas, barbas, cejas, pestañas, mechones y artículos análogos, de…, de cabello</v>
      </c>
      <c r="I5096" s="16" t="s">
        <v>9427</v>
      </c>
    </row>
    <row r="5097" spans="1:9" x14ac:dyDescent="0.25">
      <c r="A5097" s="16" t="s">
        <v>6040</v>
      </c>
      <c r="B5097" s="16" t="str">
        <f>TEXT(PARTIDA[[#This Row],[PARTIDA]],"0000000000")</f>
        <v>6704900000</v>
      </c>
      <c r="C5097" s="16" t="s">
        <v>786</v>
      </c>
      <c r="D5097" s="16" t="s">
        <v>787</v>
      </c>
      <c r="E5097" s="16" t="s">
        <v>797</v>
      </c>
      <c r="F5097" s="27" t="s">
        <v>13576</v>
      </c>
      <c r="G5097" s="27"/>
      <c r="H5097" s="16" t="str">
        <f>IF(ISBLANK(PARTIDAS!$G5097),PARTIDAS!$F5097,CONCATENATE(PARTIDAS!$F5097," (",PARTIDAS!$G5097,")"))</f>
        <v>Pelucas, barbas, cejas, pestañas, mechones y artículos análogos, de…, de las demás materias</v>
      </c>
      <c r="I5097" s="16" t="s">
        <v>9427</v>
      </c>
    </row>
    <row r="5098" spans="1:9" x14ac:dyDescent="0.25">
      <c r="A5098" s="16" t="s">
        <v>6041</v>
      </c>
      <c r="B5098" s="16" t="str">
        <f>TEXT(PARTIDA[[#This Row],[PARTIDA]],"0000000000")</f>
        <v>6801000000</v>
      </c>
      <c r="C5098" s="16" t="s">
        <v>860</v>
      </c>
      <c r="D5098" s="16" t="s">
        <v>861</v>
      </c>
      <c r="E5098" s="16" t="s">
        <v>9473</v>
      </c>
      <c r="F5098" s="27" t="s">
        <v>6042</v>
      </c>
      <c r="G5098" s="27"/>
      <c r="H5098" s="16" t="str">
        <f>IF(ISBLANK(PARTIDAS!$G5098),PARTIDAS!$F5098,CONCATENATE(PARTIDAS!$F5098," (",PARTIDAS!$G5098,")"))</f>
        <v>Adoquines, encintados (bordillos) y losas para
pavimentos, de piedra natural (excepto la pizarra).</v>
      </c>
      <c r="I5098" s="16" t="s">
        <v>9427</v>
      </c>
    </row>
    <row r="5099" spans="1:9" x14ac:dyDescent="0.25">
      <c r="A5099" s="16" t="s">
        <v>6043</v>
      </c>
      <c r="B5099" s="16" t="str">
        <f>TEXT(PARTIDA[[#This Row],[PARTIDA]],"0000000000")</f>
        <v>6802100000</v>
      </c>
      <c r="C5099" s="16" t="s">
        <v>860</v>
      </c>
      <c r="D5099" s="16" t="s">
        <v>861</v>
      </c>
      <c r="E5099" s="16" t="s">
        <v>9473</v>
      </c>
      <c r="F5099" s="27" t="s">
        <v>13577</v>
      </c>
      <c r="G5099" s="27"/>
      <c r="H5099" s="16" t="str">
        <f>IF(ISBLANK(PARTIDAS!$G5099),PARTIDAS!$F5099,CONCATENATE(PARTIDAS!$F5099," (",PARTIDAS!$G5099,")"))</f>
        <v>Losetas, cubos, dados y artículos similares, incluso de forma distinta a la cuadrada o rectangular, en los que la superficie mayor pueda inscribirse e</v>
      </c>
      <c r="I5099" s="16" t="s">
        <v>9427</v>
      </c>
    </row>
    <row r="5100" spans="1:9" x14ac:dyDescent="0.25">
      <c r="A5100" s="16" t="s">
        <v>6044</v>
      </c>
      <c r="B5100" s="16" t="str">
        <f>TEXT(PARTIDA[[#This Row],[PARTIDA]],"0000000000")</f>
        <v>6802210000</v>
      </c>
      <c r="C5100" s="16" t="s">
        <v>860</v>
      </c>
      <c r="D5100" s="16" t="s">
        <v>861</v>
      </c>
      <c r="E5100" s="16" t="s">
        <v>9473</v>
      </c>
      <c r="F5100" s="27" t="s">
        <v>13578</v>
      </c>
      <c r="G5100" s="27"/>
      <c r="H5100" s="16" t="str">
        <f>IF(ISBLANK(PARTIDAS!$G5100),PARTIDAS!$F5100,CONCATENATE(PARTIDAS!$F5100," (",PARTIDAS!$G5100,")"))</f>
        <v>Mármol, travertinos y alabastro</v>
      </c>
      <c r="I5100" s="16" t="s">
        <v>9427</v>
      </c>
    </row>
    <row r="5101" spans="1:9" x14ac:dyDescent="0.25">
      <c r="A5101" s="16" t="s">
        <v>6045</v>
      </c>
      <c r="B5101" s="16" t="str">
        <f>TEXT(PARTIDA[[#This Row],[PARTIDA]],"0000000000")</f>
        <v>6802230000</v>
      </c>
      <c r="C5101" s="16" t="s">
        <v>860</v>
      </c>
      <c r="D5101" s="16" t="s">
        <v>861</v>
      </c>
      <c r="E5101" s="16" t="s">
        <v>9473</v>
      </c>
      <c r="F5101" s="27" t="s">
        <v>13579</v>
      </c>
      <c r="G5101" s="27"/>
      <c r="H5101" s="16" t="str">
        <f>IF(ISBLANK(PARTIDAS!$G5101),PARTIDAS!$F5101,CONCATENATE(PARTIDAS!$F5101," (",PARTIDAS!$G5101,")"))</f>
        <v>Piedras de talla o de construcción trabajadas (excluida la pizarra) y…, granito</v>
      </c>
      <c r="I5101" s="16" t="s">
        <v>9427</v>
      </c>
    </row>
    <row r="5102" spans="1:9" x14ac:dyDescent="0.25">
      <c r="A5102" s="16" t="s">
        <v>6046</v>
      </c>
      <c r="B5102" s="16" t="str">
        <f>TEXT(PARTIDA[[#This Row],[PARTIDA]],"0000000000")</f>
        <v>6802291000</v>
      </c>
      <c r="C5102" s="16" t="s">
        <v>860</v>
      </c>
      <c r="D5102" s="16" t="s">
        <v>861</v>
      </c>
      <c r="E5102" s="16" t="s">
        <v>9473</v>
      </c>
      <c r="F5102" s="27" t="s">
        <v>13580</v>
      </c>
      <c r="G5102" s="27"/>
      <c r="H5102" s="16" t="str">
        <f>IF(ISBLANK(PARTIDAS!$G5102),PARTIDAS!$F5102,CONCATENATE(PARTIDAS!$F5102," (",PARTIDAS!$G5102,")"))</f>
        <v>Piedras calizas</v>
      </c>
      <c r="I5102" s="16" t="s">
        <v>9427</v>
      </c>
    </row>
    <row r="5103" spans="1:9" x14ac:dyDescent="0.25">
      <c r="A5103" s="16" t="s">
        <v>6047</v>
      </c>
      <c r="B5103" s="16" t="str">
        <f>TEXT(PARTIDA[[#This Row],[PARTIDA]],"0000000000")</f>
        <v>6802299000</v>
      </c>
      <c r="C5103" s="16" t="s">
        <v>860</v>
      </c>
      <c r="D5103" s="16" t="s">
        <v>861</v>
      </c>
      <c r="E5103" s="16" t="s">
        <v>9473</v>
      </c>
      <c r="F5103" s="27" t="s">
        <v>13581</v>
      </c>
      <c r="G5103" s="27"/>
      <c r="H5103" s="16" t="str">
        <f>IF(ISBLANK(PARTIDAS!$G5103),PARTIDAS!$F5103,CONCATENATE(PARTIDAS!$F5103," (",PARTIDAS!$G5103,")"))</f>
        <v>Piedras de talla o de construcción trabajadas (excluida la pizarra) y… (los demás)</v>
      </c>
      <c r="I5103" s="16" t="s">
        <v>9427</v>
      </c>
    </row>
    <row r="5104" spans="1:9" x14ac:dyDescent="0.25">
      <c r="A5104" s="16" t="s">
        <v>6048</v>
      </c>
      <c r="B5104" s="16" t="str">
        <f>TEXT(PARTIDA[[#This Row],[PARTIDA]],"0000000000")</f>
        <v>6802910000</v>
      </c>
      <c r="C5104" s="16" t="s">
        <v>860</v>
      </c>
      <c r="D5104" s="16" t="s">
        <v>861</v>
      </c>
      <c r="E5104" s="16" t="s">
        <v>9473</v>
      </c>
      <c r="F5104" s="27" t="s">
        <v>13578</v>
      </c>
      <c r="G5104" s="27"/>
      <c r="H5104" s="16" t="str">
        <f>IF(ISBLANK(PARTIDAS!$G5104),PARTIDAS!$F5104,CONCATENATE(PARTIDAS!$F5104," (",PARTIDAS!$G5104,")"))</f>
        <v>Mármol, travertinos y alabastro</v>
      </c>
      <c r="I5104" s="16" t="s">
        <v>9427</v>
      </c>
    </row>
    <row r="5105" spans="1:9" x14ac:dyDescent="0.25">
      <c r="A5105" s="16" t="s">
        <v>6049</v>
      </c>
      <c r="B5105" s="16" t="str">
        <f>TEXT(PARTIDA[[#This Row],[PARTIDA]],"0000000000")</f>
        <v>6802920000</v>
      </c>
      <c r="C5105" s="16" t="s">
        <v>860</v>
      </c>
      <c r="D5105" s="16" t="s">
        <v>861</v>
      </c>
      <c r="E5105" s="16" t="s">
        <v>9473</v>
      </c>
      <c r="F5105" s="27" t="s">
        <v>13582</v>
      </c>
      <c r="G5105" s="27"/>
      <c r="H5105" s="16" t="str">
        <f>IF(ISBLANK(PARTIDAS!$G5105),PARTIDAS!$F5105,CONCATENATE(PARTIDAS!$F5105," (",PARTIDAS!$G5105,")"))</f>
        <v>Piedras de talla o de construcción trabajadas (excluida la pizarra) y… (los demás, piedras calizas)</v>
      </c>
      <c r="I5105" s="16" t="s">
        <v>9427</v>
      </c>
    </row>
    <row r="5106" spans="1:9" x14ac:dyDescent="0.25">
      <c r="A5106" s="16" t="s">
        <v>6050</v>
      </c>
      <c r="B5106" s="16" t="str">
        <f>TEXT(PARTIDA[[#This Row],[PARTIDA]],"0000000000")</f>
        <v>6802930000</v>
      </c>
      <c r="C5106" s="16" t="s">
        <v>860</v>
      </c>
      <c r="D5106" s="16" t="s">
        <v>861</v>
      </c>
      <c r="E5106" s="16" t="s">
        <v>9473</v>
      </c>
      <c r="F5106" s="27" t="s">
        <v>13579</v>
      </c>
      <c r="G5106" s="27"/>
      <c r="H5106" s="16" t="str">
        <f>IF(ISBLANK(PARTIDAS!$G5106),PARTIDAS!$F5106,CONCATENATE(PARTIDAS!$F5106," (",PARTIDAS!$G5106,")"))</f>
        <v>Piedras de talla o de construcción trabajadas (excluida la pizarra) y…, granito</v>
      </c>
      <c r="I5106" s="16" t="s">
        <v>9427</v>
      </c>
    </row>
    <row r="5107" spans="1:9" x14ac:dyDescent="0.25">
      <c r="A5107" s="16" t="s">
        <v>6051</v>
      </c>
      <c r="B5107" s="16" t="str">
        <f>TEXT(PARTIDA[[#This Row],[PARTIDA]],"0000000000")</f>
        <v>6802990000</v>
      </c>
      <c r="C5107" s="16" t="s">
        <v>860</v>
      </c>
      <c r="D5107" s="16" t="s">
        <v>861</v>
      </c>
      <c r="E5107" s="16" t="s">
        <v>9473</v>
      </c>
      <c r="F5107" s="27" t="s">
        <v>13583</v>
      </c>
      <c r="G5107" s="27"/>
      <c r="H5107" s="16" t="str">
        <f>IF(ISBLANK(PARTIDAS!$G5107),PARTIDAS!$F5107,CONCATENATE(PARTIDAS!$F5107," (",PARTIDAS!$G5107,")"))</f>
        <v>Piedras de talla o de construcción trabajadas (excluida la pizarra) y… (los demás, piedras)</v>
      </c>
      <c r="I5107" s="16" t="s">
        <v>9427</v>
      </c>
    </row>
    <row r="5108" spans="1:9" x14ac:dyDescent="0.25">
      <c r="A5108" s="16" t="s">
        <v>6052</v>
      </c>
      <c r="B5108" s="16" t="str">
        <f>TEXT(PARTIDA[[#This Row],[PARTIDA]],"0000000000")</f>
        <v>6803000000</v>
      </c>
      <c r="C5108" s="16" t="s">
        <v>860</v>
      </c>
      <c r="D5108" s="16" t="s">
        <v>861</v>
      </c>
      <c r="E5108" s="16" t="s">
        <v>9473</v>
      </c>
      <c r="F5108" s="27" t="s">
        <v>6053</v>
      </c>
      <c r="G5108" s="27"/>
      <c r="H5108" s="16" t="str">
        <f>IF(ISBLANK(PARTIDAS!$G5108),PARTIDAS!$F5108,CONCATENATE(PARTIDAS!$F5108," (",PARTIDAS!$G5108,")"))</f>
        <v>Pizarra natural trabajada y manufacturas de
pizarra natural o aglomerada.</v>
      </c>
      <c r="I5108" s="16" t="s">
        <v>9427</v>
      </c>
    </row>
    <row r="5109" spans="1:9" x14ac:dyDescent="0.25">
      <c r="A5109" s="16" t="s">
        <v>6054</v>
      </c>
      <c r="B5109" s="16" t="str">
        <f>TEXT(PARTIDA[[#This Row],[PARTIDA]],"0000000000")</f>
        <v>6804100000</v>
      </c>
      <c r="C5109" s="16" t="s">
        <v>815</v>
      </c>
      <c r="D5109" s="16" t="s">
        <v>835</v>
      </c>
      <c r="E5109" s="16" t="s">
        <v>9463</v>
      </c>
      <c r="F5109" s="27" t="s">
        <v>13584</v>
      </c>
      <c r="G5109" s="27"/>
      <c r="H5109" s="16" t="str">
        <f>IF(ISBLANK(PARTIDAS!$G5109),PARTIDAS!$F5109,CONCATENATE(PARTIDAS!$F5109," (",PARTIDAS!$G5109,")"))</f>
        <v>Muelas para moler o desfibrar</v>
      </c>
      <c r="I5109" s="16" t="s">
        <v>9427</v>
      </c>
    </row>
    <row r="5110" spans="1:9" x14ac:dyDescent="0.25">
      <c r="A5110" s="16" t="s">
        <v>6055</v>
      </c>
      <c r="B5110" s="16" t="str">
        <f>TEXT(PARTIDA[[#This Row],[PARTIDA]],"0000000000")</f>
        <v>6804210000</v>
      </c>
      <c r="C5110" s="16" t="s">
        <v>815</v>
      </c>
      <c r="D5110" s="16" t="s">
        <v>835</v>
      </c>
      <c r="E5110" s="16" t="s">
        <v>9463</v>
      </c>
      <c r="F5110" s="27" t="s">
        <v>13585</v>
      </c>
      <c r="G5110" s="27"/>
      <c r="H5110" s="16" t="str">
        <f>IF(ISBLANK(PARTIDAS!$G5110),PARTIDAS!$F5110,CONCATENATE(PARTIDAS!$F5110," (",PARTIDAS!$G5110,")"))</f>
        <v>Muelas y artículos similares, sin bastidor, para moler, desfibrar…, de diamante natural o sintético, aglomerado</v>
      </c>
      <c r="I5110" s="16" t="s">
        <v>9427</v>
      </c>
    </row>
    <row r="5111" spans="1:9" x14ac:dyDescent="0.25">
      <c r="A5111" s="16" t="s">
        <v>6056</v>
      </c>
      <c r="B5111" s="16" t="str">
        <f>TEXT(PARTIDA[[#This Row],[PARTIDA]],"0000000000")</f>
        <v>6804220000</v>
      </c>
      <c r="C5111" s="16" t="s">
        <v>860</v>
      </c>
      <c r="D5111" s="16" t="s">
        <v>873</v>
      </c>
      <c r="E5111" s="16" t="s">
        <v>876</v>
      </c>
      <c r="F5111" s="27" t="s">
        <v>6057</v>
      </c>
      <c r="G5111" s="27"/>
      <c r="H5111" s="16" t="str">
        <f>IF(ISBLANK(PARTIDAS!$G5111),PARTIDAS!$F5111,CONCATENATE(PARTIDAS!$F5111," (",PARTIDAS!$G5111,")"))</f>
        <v>Manufacturas de piedra</v>
      </c>
      <c r="I5111" s="16" t="s">
        <v>9477</v>
      </c>
    </row>
    <row r="5112" spans="1:9" x14ac:dyDescent="0.25">
      <c r="A5112" s="16" t="s">
        <v>6058</v>
      </c>
      <c r="B5112" s="16" t="str">
        <f>TEXT(PARTIDA[[#This Row],[PARTIDA]],"0000000000")</f>
        <v>6804230000</v>
      </c>
      <c r="C5112" s="16" t="s">
        <v>815</v>
      </c>
      <c r="D5112" s="16" t="s">
        <v>835</v>
      </c>
      <c r="E5112" s="16" t="s">
        <v>9463</v>
      </c>
      <c r="F5112" s="27" t="s">
        <v>13586</v>
      </c>
      <c r="G5112" s="27"/>
      <c r="H5112" s="16" t="str">
        <f>IF(ISBLANK(PARTIDAS!$G5112),PARTIDAS!$F5112,CONCATENATE(PARTIDAS!$F5112," (",PARTIDAS!$G5112,")"))</f>
        <v>Muelas y artículos similares, sin bastidor, para moler, desfibrar…, de piedras naturales</v>
      </c>
      <c r="I5112" s="16" t="s">
        <v>9427</v>
      </c>
    </row>
    <row r="5113" spans="1:9" x14ac:dyDescent="0.25">
      <c r="A5113" s="16" t="s">
        <v>6059</v>
      </c>
      <c r="B5113" s="16" t="str">
        <f>TEXT(PARTIDA[[#This Row],[PARTIDA]],"0000000000")</f>
        <v>6804300000</v>
      </c>
      <c r="C5113" s="16" t="s">
        <v>815</v>
      </c>
      <c r="D5113" s="16" t="s">
        <v>835</v>
      </c>
      <c r="E5113" s="16" t="s">
        <v>9463</v>
      </c>
      <c r="F5113" s="27" t="s">
        <v>13587</v>
      </c>
      <c r="G5113" s="27"/>
      <c r="H5113" s="16" t="str">
        <f>IF(ISBLANK(PARTIDAS!$G5113),PARTIDAS!$F5113,CONCATENATE(PARTIDAS!$F5113," (",PARTIDAS!$G5113,")"))</f>
        <v>Piedras de afilar o pulir a mano</v>
      </c>
      <c r="I5113" s="16" t="s">
        <v>9427</v>
      </c>
    </row>
    <row r="5114" spans="1:9" x14ac:dyDescent="0.25">
      <c r="A5114" s="16" t="s">
        <v>6060</v>
      </c>
      <c r="B5114" s="16" t="str">
        <f>TEXT(PARTIDA[[#This Row],[PARTIDA]],"0000000000")</f>
        <v>6805100000</v>
      </c>
      <c r="C5114" s="16" t="s">
        <v>815</v>
      </c>
      <c r="D5114" s="16" t="s">
        <v>835</v>
      </c>
      <c r="E5114" s="16" t="s">
        <v>9463</v>
      </c>
      <c r="F5114" s="27" t="s">
        <v>13588</v>
      </c>
      <c r="G5114" s="27"/>
      <c r="H5114" s="16" t="str">
        <f>IF(ISBLANK(PARTIDAS!$G5114),PARTIDAS!$F5114,CONCATENATE(PARTIDAS!$F5114," (",PARTIDAS!$G5114,")"))</f>
        <v>Abrasivos naturales o artificiales en polvo o gránulos con soporte de…, con soporte constituido solamente por tejido de materia textil</v>
      </c>
      <c r="I5114" s="16" t="s">
        <v>9427</v>
      </c>
    </row>
    <row r="5115" spans="1:9" x14ac:dyDescent="0.25">
      <c r="A5115" s="16" t="s">
        <v>6061</v>
      </c>
      <c r="B5115" s="16" t="str">
        <f>TEXT(PARTIDA[[#This Row],[PARTIDA]],"0000000000")</f>
        <v>6805200000</v>
      </c>
      <c r="C5115" s="16" t="s">
        <v>815</v>
      </c>
      <c r="D5115" s="16" t="s">
        <v>835</v>
      </c>
      <c r="E5115" s="16" t="s">
        <v>9463</v>
      </c>
      <c r="F5115" s="27" t="s">
        <v>6062</v>
      </c>
      <c r="G5115" s="27"/>
      <c r="H5115" s="16" t="str">
        <f>IF(ISBLANK(PARTIDAS!$G5115),PARTIDAS!$F5115,CONCATENATE(PARTIDAS!$F5115," (",PARTIDAS!$G5115,")"))</f>
        <v>Lijas</v>
      </c>
      <c r="I5115" s="16" t="s">
        <v>9427</v>
      </c>
    </row>
    <row r="5116" spans="1:9" x14ac:dyDescent="0.25">
      <c r="A5116" s="16" t="s">
        <v>6063</v>
      </c>
      <c r="B5116" s="16" t="str">
        <f>TEXT(PARTIDA[[#This Row],[PARTIDA]],"0000000000")</f>
        <v>6805300000</v>
      </c>
      <c r="C5116" s="16" t="s">
        <v>815</v>
      </c>
      <c r="D5116" s="16" t="s">
        <v>835</v>
      </c>
      <c r="E5116" s="16" t="s">
        <v>9463</v>
      </c>
      <c r="F5116" s="27" t="s">
        <v>9126</v>
      </c>
      <c r="G5116" s="27"/>
      <c r="H5116" s="16" t="str">
        <f>IF(ISBLANK(PARTIDAS!$G5116),PARTIDAS!$F5116,CONCATENATE(PARTIDAS!$F5116," (",PARTIDAS!$G5116,")"))</f>
        <v>Abrasivos naturales o artificiales en polvo o gránulos con soporte de…, con soporte de otras materias</v>
      </c>
      <c r="I5116" s="16" t="s">
        <v>9477</v>
      </c>
    </row>
    <row r="5117" spans="1:9" x14ac:dyDescent="0.25">
      <c r="A5117" s="16" t="s">
        <v>6064</v>
      </c>
      <c r="B5117" s="16" t="str">
        <f>TEXT(PARTIDA[[#This Row],[PARTIDA]],"0000000000")</f>
        <v>6806100000</v>
      </c>
      <c r="C5117" s="16" t="s">
        <v>860</v>
      </c>
      <c r="D5117" s="16" t="s">
        <v>861</v>
      </c>
      <c r="E5117" s="16" t="s">
        <v>9473</v>
      </c>
      <c r="F5117" s="27" t="s">
        <v>13589</v>
      </c>
      <c r="G5117" s="27"/>
      <c r="H5117" s="16" t="str">
        <f>IF(ISBLANK(PARTIDAS!$G5117),PARTIDAS!$F5117,CONCATENATE(PARTIDAS!$F5117," (",PARTIDAS!$G5117,")"))</f>
        <v>Lana de escoria, de roca y lanas minerales similares, incluso mezcladas entre sí, en masa, hojas o enrolladas</v>
      </c>
      <c r="I5117" s="16" t="s">
        <v>9427</v>
      </c>
    </row>
    <row r="5118" spans="1:9" x14ac:dyDescent="0.25">
      <c r="A5118" s="16" t="s">
        <v>6065</v>
      </c>
      <c r="B5118" s="16" t="str">
        <f>TEXT(PARTIDA[[#This Row],[PARTIDA]],"0000000000")</f>
        <v>6806200000</v>
      </c>
      <c r="C5118" s="16" t="s">
        <v>860</v>
      </c>
      <c r="D5118" s="16" t="s">
        <v>861</v>
      </c>
      <c r="E5118" s="16" t="s">
        <v>9473</v>
      </c>
      <c r="F5118" s="27" t="s">
        <v>13590</v>
      </c>
      <c r="G5118" s="27"/>
      <c r="H5118" s="16" t="str">
        <f>IF(ISBLANK(PARTIDAS!$G5118),PARTIDAS!$F5118,CONCATENATE(PARTIDAS!$F5118," (",PARTIDAS!$G5118,")"))</f>
        <v>Vermiculita dilatada, arcilla dilatada, espuma de escoria y productos minerales similares dilatados, incluso mezclados entre sí</v>
      </c>
      <c r="I5118" s="16" t="s">
        <v>9427</v>
      </c>
    </row>
    <row r="5119" spans="1:9" x14ac:dyDescent="0.25">
      <c r="A5119" s="16" t="s">
        <v>6066</v>
      </c>
      <c r="B5119" s="16" t="str">
        <f>TEXT(PARTIDA[[#This Row],[PARTIDA]],"0000000000")</f>
        <v>6806900000</v>
      </c>
      <c r="C5119" s="16" t="s">
        <v>860</v>
      </c>
      <c r="D5119" s="16" t="s">
        <v>861</v>
      </c>
      <c r="E5119" s="16" t="s">
        <v>9473</v>
      </c>
      <c r="F5119" s="27" t="s">
        <v>13591</v>
      </c>
      <c r="G5119" s="27"/>
      <c r="H5119" s="16" t="str">
        <f>IF(ISBLANK(PARTIDAS!$G5119),PARTIDAS!$F5119,CONCATENATE(PARTIDAS!$F5119," (",PARTIDAS!$G5119,")"))</f>
        <v>Lana de escoria, de roca y lanas minerales similares (los demás)</v>
      </c>
      <c r="I5119" s="16" t="s">
        <v>9427</v>
      </c>
    </row>
    <row r="5120" spans="1:9" x14ac:dyDescent="0.25">
      <c r="A5120" s="16" t="s">
        <v>6067</v>
      </c>
      <c r="B5120" s="16" t="str">
        <f>TEXT(PARTIDA[[#This Row],[PARTIDA]],"0000000000")</f>
        <v>6807100000</v>
      </c>
      <c r="C5120" s="16" t="s">
        <v>860</v>
      </c>
      <c r="D5120" s="16" t="s">
        <v>861</v>
      </c>
      <c r="E5120" s="16" t="s">
        <v>9473</v>
      </c>
      <c r="F5120" s="27" t="s">
        <v>13592</v>
      </c>
      <c r="G5120" s="27"/>
      <c r="H5120" s="16" t="str">
        <f>IF(ISBLANK(PARTIDAS!$G5120),PARTIDAS!$F5120,CONCATENATE(PARTIDAS!$F5120," (",PARTIDAS!$G5120,")"))</f>
        <v>Manufacturas de asfalto o de productos similares (por ejemplo, en rollos</v>
      </c>
      <c r="I5120" s="16" t="s">
        <v>9427</v>
      </c>
    </row>
    <row r="5121" spans="1:9" x14ac:dyDescent="0.25">
      <c r="A5121" s="16" t="s">
        <v>6068</v>
      </c>
      <c r="B5121" s="16" t="str">
        <f>TEXT(PARTIDA[[#This Row],[PARTIDA]],"0000000000")</f>
        <v>6807900000</v>
      </c>
      <c r="C5121" s="16" t="s">
        <v>860</v>
      </c>
      <c r="D5121" s="16" t="s">
        <v>861</v>
      </c>
      <c r="E5121" s="16" t="s">
        <v>9473</v>
      </c>
      <c r="F5121" s="27" t="s">
        <v>13593</v>
      </c>
      <c r="G5121" s="27"/>
      <c r="H5121" s="16" t="str">
        <f>IF(ISBLANK(PARTIDAS!$G5121),PARTIDAS!$F5121,CONCATENATE(PARTIDAS!$F5121," (",PARTIDAS!$G5121,")"))</f>
        <v>Manufacturas de asfalto o de productos similares (por ejemplo (los demás)</v>
      </c>
      <c r="I5121" s="16" t="s">
        <v>9427</v>
      </c>
    </row>
    <row r="5122" spans="1:9" x14ac:dyDescent="0.25">
      <c r="A5122" s="16" t="s">
        <v>6069</v>
      </c>
      <c r="B5122" s="16" t="str">
        <f>TEXT(PARTIDA[[#This Row],[PARTIDA]],"0000000000")</f>
        <v>6808000000</v>
      </c>
      <c r="C5122" s="16" t="s">
        <v>860</v>
      </c>
      <c r="D5122" s="16" t="s">
        <v>861</v>
      </c>
      <c r="E5122" s="16" t="s">
        <v>9473</v>
      </c>
      <c r="F5122" s="27" t="s">
        <v>6070</v>
      </c>
      <c r="G5122" s="27"/>
      <c r="H5122" s="16" t="str">
        <f>IF(ISBLANK(PARTIDAS!$G5122),PARTIDAS!$F5122,CONCATENATE(PARTIDAS!$F5122," (",PARTIDAS!$G5122,")"))</f>
        <v>Productos cerámicos</v>
      </c>
      <c r="I5122" s="16" t="s">
        <v>9427</v>
      </c>
    </row>
    <row r="5123" spans="1:9" x14ac:dyDescent="0.25">
      <c r="A5123" s="16" t="s">
        <v>6071</v>
      </c>
      <c r="B5123" s="16" t="str">
        <f>TEXT(PARTIDA[[#This Row],[PARTIDA]],"0000000000")</f>
        <v>6809110000</v>
      </c>
      <c r="C5123" s="16" t="s">
        <v>860</v>
      </c>
      <c r="D5123" s="16" t="s">
        <v>861</v>
      </c>
      <c r="E5123" s="16" t="s">
        <v>9473</v>
      </c>
      <c r="F5123" s="27" t="s">
        <v>13594</v>
      </c>
      <c r="G5123" s="27"/>
      <c r="H5123" s="16" t="str">
        <f>IF(ISBLANK(PARTIDAS!$G5123),PARTIDAS!$F5123,CONCATENATE(PARTIDAS!$F5123," (",PARTIDAS!$G5123,")"))</f>
        <v>Revestidos o reforzados exclusivamente con papel o cartón</v>
      </c>
      <c r="I5123" s="16" t="s">
        <v>9427</v>
      </c>
    </row>
    <row r="5124" spans="1:9" x14ac:dyDescent="0.25">
      <c r="A5124" s="16" t="s">
        <v>6072</v>
      </c>
      <c r="B5124" s="16" t="str">
        <f>TEXT(PARTIDA[[#This Row],[PARTIDA]],"0000000000")</f>
        <v>6809190000</v>
      </c>
      <c r="C5124" s="16" t="s">
        <v>860</v>
      </c>
      <c r="D5124" s="16" t="s">
        <v>861</v>
      </c>
      <c r="E5124" s="16" t="s">
        <v>9473</v>
      </c>
      <c r="F5124" s="27" t="s">
        <v>13595</v>
      </c>
      <c r="G5124" s="27"/>
      <c r="H5124" s="16" t="str">
        <f>IF(ISBLANK(PARTIDAS!$G5124),PARTIDAS!$F5124,CONCATENATE(PARTIDAS!$F5124," (",PARTIDAS!$G5124,")"))</f>
        <v>Placas, hojas, paneles, losetas y artículos similares, sin adornos (los demás)</v>
      </c>
      <c r="I5124" s="16" t="s">
        <v>9427</v>
      </c>
    </row>
    <row r="5125" spans="1:9" x14ac:dyDescent="0.25">
      <c r="A5125" s="16" t="s">
        <v>6073</v>
      </c>
      <c r="B5125" s="16" t="str">
        <f>TEXT(PARTIDA[[#This Row],[PARTIDA]],"0000000000")</f>
        <v>6809900000</v>
      </c>
      <c r="C5125" s="16" t="s">
        <v>860</v>
      </c>
      <c r="D5125" s="16" t="s">
        <v>861</v>
      </c>
      <c r="E5125" s="16" t="s">
        <v>9473</v>
      </c>
      <c r="F5125" s="27" t="s">
        <v>13596</v>
      </c>
      <c r="G5125" s="27"/>
      <c r="H5125" s="16" t="str">
        <f>IF(ISBLANK(PARTIDAS!$G5125),PARTIDAS!$F5125,CONCATENATE(PARTIDAS!$F5125," (",PARTIDAS!$G5125,")"))</f>
        <v>Manufacturas de yeso fraguable o de preparaciones a base de yeso… (los demás, manufacturas)</v>
      </c>
      <c r="I5125" s="16" t="s">
        <v>9427</v>
      </c>
    </row>
    <row r="5126" spans="1:9" x14ac:dyDescent="0.25">
      <c r="A5126" s="16" t="s">
        <v>6074</v>
      </c>
      <c r="B5126" s="16" t="str">
        <f>TEXT(PARTIDA[[#This Row],[PARTIDA]],"0000000000")</f>
        <v>6810110000</v>
      </c>
      <c r="C5126" s="16" t="s">
        <v>860</v>
      </c>
      <c r="D5126" s="16" t="s">
        <v>861</v>
      </c>
      <c r="E5126" s="16" t="s">
        <v>9473</v>
      </c>
      <c r="F5126" s="27" t="s">
        <v>13597</v>
      </c>
      <c r="G5126" s="27"/>
      <c r="H5126" s="16" t="str">
        <f>IF(ISBLANK(PARTIDAS!$G5126),PARTIDAS!$F5126,CONCATENATE(PARTIDAS!$F5126," (",PARTIDAS!$G5126,")"))</f>
        <v>Bloques y ladrillos para la construcción</v>
      </c>
      <c r="I5126" s="16" t="s">
        <v>9427</v>
      </c>
    </row>
    <row r="5127" spans="1:9" x14ac:dyDescent="0.25">
      <c r="A5127" s="16" t="s">
        <v>6075</v>
      </c>
      <c r="B5127" s="16" t="str">
        <f>TEXT(PARTIDA[[#This Row],[PARTIDA]],"0000000000")</f>
        <v>6810190000</v>
      </c>
      <c r="C5127" s="16" t="s">
        <v>860</v>
      </c>
      <c r="D5127" s="16" t="s">
        <v>861</v>
      </c>
      <c r="E5127" s="16" t="s">
        <v>9473</v>
      </c>
      <c r="F5127" s="27" t="s">
        <v>13598</v>
      </c>
      <c r="G5127" s="27"/>
      <c r="H5127" s="16" t="str">
        <f>IF(ISBLANK(PARTIDAS!$G5127),PARTIDAS!$F5127,CONCATENATE(PARTIDAS!$F5127," (",PARTIDAS!$G5127,")"))</f>
        <v>Tejas, losetas, losas, ladrillos y artículos similares (los demás)</v>
      </c>
      <c r="I5127" s="16" t="s">
        <v>9427</v>
      </c>
    </row>
    <row r="5128" spans="1:9" x14ac:dyDescent="0.25">
      <c r="A5128" s="16" t="s">
        <v>6076</v>
      </c>
      <c r="B5128" s="16" t="str">
        <f>TEXT(PARTIDA[[#This Row],[PARTIDA]],"0000000000")</f>
        <v>6810910000</v>
      </c>
      <c r="C5128" s="16" t="s">
        <v>860</v>
      </c>
      <c r="D5128" s="16" t="s">
        <v>861</v>
      </c>
      <c r="E5128" s="16" t="s">
        <v>9473</v>
      </c>
      <c r="F5128" s="27" t="s">
        <v>13599</v>
      </c>
      <c r="G5128" s="27"/>
      <c r="H5128" s="16" t="str">
        <f>IF(ISBLANK(PARTIDAS!$G5128),PARTIDAS!$F5128,CONCATENATE(PARTIDAS!$F5128," (",PARTIDAS!$G5128,")"))</f>
        <v>Elementos prefabricados para la construcción o ingeniería civil</v>
      </c>
      <c r="I5128" s="16" t="s">
        <v>9427</v>
      </c>
    </row>
    <row r="5129" spans="1:9" x14ac:dyDescent="0.25">
      <c r="A5129" s="16" t="s">
        <v>6077</v>
      </c>
      <c r="B5129" s="16" t="str">
        <f>TEXT(PARTIDA[[#This Row],[PARTIDA]],"0000000000")</f>
        <v>6810990000</v>
      </c>
      <c r="C5129" s="16" t="s">
        <v>860</v>
      </c>
      <c r="D5129" s="16" t="s">
        <v>861</v>
      </c>
      <c r="E5129" s="16" t="s">
        <v>9473</v>
      </c>
      <c r="F5129" s="27" t="s">
        <v>13600</v>
      </c>
      <c r="G5129" s="27"/>
      <c r="H5129" s="16" t="str">
        <f>IF(ISBLANK(PARTIDAS!$G5129),PARTIDAS!$F5129,CONCATENATE(PARTIDAS!$F5129," (",PARTIDAS!$G5129,")"))</f>
        <v>Manufacturas de cemento, hormigón o piedra artificial, incluso armadas (los demás)</v>
      </c>
      <c r="I5129" s="16" t="s">
        <v>9427</v>
      </c>
    </row>
    <row r="5130" spans="1:9" x14ac:dyDescent="0.25">
      <c r="A5130" s="16" t="s">
        <v>6078</v>
      </c>
      <c r="B5130" s="16" t="str">
        <f>TEXT(PARTIDA[[#This Row],[PARTIDA]],"0000000000")</f>
        <v>6811400010</v>
      </c>
      <c r="C5130" s="16" t="s">
        <v>860</v>
      </c>
      <c r="D5130" s="16" t="s">
        <v>861</v>
      </c>
      <c r="E5130" s="16" t="s">
        <v>9473</v>
      </c>
      <c r="F5130" s="27" t="s">
        <v>13601</v>
      </c>
      <c r="G5130" s="27"/>
      <c r="H5130" s="16" t="str">
        <f>IF(ISBLANK(PARTIDAS!$G5130),PARTIDAS!$F5130,CONCATENATE(PARTIDAS!$F5130," (",PARTIDAS!$G5130,")"))</f>
        <v>Placas onduladas</v>
      </c>
      <c r="I5130" s="16" t="s">
        <v>9427</v>
      </c>
    </row>
    <row r="5131" spans="1:9" x14ac:dyDescent="0.25">
      <c r="A5131" s="16" t="s">
        <v>6079</v>
      </c>
      <c r="B5131" s="16" t="str">
        <f>TEXT(PARTIDA[[#This Row],[PARTIDA]],"0000000000")</f>
        <v>6811400020</v>
      </c>
      <c r="C5131" s="16" t="s">
        <v>860</v>
      </c>
      <c r="D5131" s="16" t="s">
        <v>861</v>
      </c>
      <c r="E5131" s="16" t="s">
        <v>9473</v>
      </c>
      <c r="F5131" s="27" t="s">
        <v>13602</v>
      </c>
      <c r="G5131" s="27"/>
      <c r="H5131" s="16" t="str">
        <f>IF(ISBLANK(PARTIDAS!$G5131),PARTIDAS!$F5131,CONCATENATE(PARTIDAS!$F5131," (",PARTIDAS!$G5131,")"))</f>
        <v>Manufacturas de amiantocemento, celulosacemento o…, que contengan amianto (asbesto) (los demás, placas, paneles, losetas, tejas y artículos similares)</v>
      </c>
      <c r="I5131" s="16" t="s">
        <v>9427</v>
      </c>
    </row>
    <row r="5132" spans="1:9" x14ac:dyDescent="0.25">
      <c r="A5132" s="16" t="s">
        <v>6080</v>
      </c>
      <c r="B5132" s="16" t="str">
        <f>TEXT(PARTIDA[[#This Row],[PARTIDA]],"0000000000")</f>
        <v>6811400090</v>
      </c>
      <c r="C5132" s="16" t="s">
        <v>860</v>
      </c>
      <c r="D5132" s="16" t="s">
        <v>861</v>
      </c>
      <c r="E5132" s="16" t="s">
        <v>9473</v>
      </c>
      <c r="F5132" s="27" t="s">
        <v>13603</v>
      </c>
      <c r="G5132" s="27"/>
      <c r="H5132" s="16" t="str">
        <f>IF(ISBLANK(PARTIDAS!$G5132),PARTIDAS!$F5132,CONCATENATE(PARTIDAS!$F5132," (",PARTIDAS!$G5132,")"))</f>
        <v>Manufacturas de amiantocemento, celulosacemento o…, que contengan amianto (asbesto) (los demás, manufacturas)</v>
      </c>
      <c r="I5132" s="16" t="s">
        <v>9427</v>
      </c>
    </row>
    <row r="5133" spans="1:9" x14ac:dyDescent="0.25">
      <c r="A5133" s="16" t="s">
        <v>6081</v>
      </c>
      <c r="B5133" s="16" t="str">
        <f>TEXT(PARTIDA[[#This Row],[PARTIDA]],"0000000000")</f>
        <v>6811810000</v>
      </c>
      <c r="C5133" s="16" t="s">
        <v>860</v>
      </c>
      <c r="D5133" s="16" t="s">
        <v>861</v>
      </c>
      <c r="E5133" s="16" t="s">
        <v>9473</v>
      </c>
      <c r="F5133" s="27" t="s">
        <v>13601</v>
      </c>
      <c r="G5133" s="27"/>
      <c r="H5133" s="16" t="str">
        <f>IF(ISBLANK(PARTIDAS!$G5133),PARTIDAS!$F5133,CONCATENATE(PARTIDAS!$F5133," (",PARTIDAS!$G5133,")"))</f>
        <v>Placas onduladas</v>
      </c>
      <c r="I5133" s="16" t="s">
        <v>9427</v>
      </c>
    </row>
    <row r="5134" spans="1:9" x14ac:dyDescent="0.25">
      <c r="A5134" s="16" t="s">
        <v>6082</v>
      </c>
      <c r="B5134" s="16" t="str">
        <f>TEXT(PARTIDA[[#This Row],[PARTIDA]],"0000000000")</f>
        <v>6811820000</v>
      </c>
      <c r="C5134" s="16" t="s">
        <v>860</v>
      </c>
      <c r="D5134" s="16" t="s">
        <v>861</v>
      </c>
      <c r="E5134" s="16" t="s">
        <v>9473</v>
      </c>
      <c r="F5134" s="27" t="s">
        <v>9284</v>
      </c>
      <c r="G5134" s="27"/>
      <c r="H5134" s="16" t="str">
        <f>IF(ISBLANK(PARTIDAS!$G5134),PARTIDAS!$F5134,CONCATENATE(PARTIDAS!$F5134," (",PARTIDAS!$G5134,")"))</f>
        <v>Manufacturas de amiantocemento, celulosacemento o…, que no contengan amianto (asbesto) (los demás, placas, paneles, losetas, tejas y artículos similar</v>
      </c>
      <c r="I5134" s="16" t="s">
        <v>9477</v>
      </c>
    </row>
    <row r="5135" spans="1:9" x14ac:dyDescent="0.25">
      <c r="A5135" s="16" t="s">
        <v>6083</v>
      </c>
      <c r="B5135" s="16" t="str">
        <f>TEXT(PARTIDA[[#This Row],[PARTIDA]],"0000000000")</f>
        <v>6811890000</v>
      </c>
      <c r="C5135" s="16" t="s">
        <v>860</v>
      </c>
      <c r="D5135" s="16" t="s">
        <v>861</v>
      </c>
      <c r="E5135" s="16" t="s">
        <v>9473</v>
      </c>
      <c r="F5135" s="27" t="s">
        <v>13604</v>
      </c>
      <c r="G5135" s="27"/>
      <c r="H5135" s="16" t="str">
        <f>IF(ISBLANK(PARTIDAS!$G5135),PARTIDAS!$F5135,CONCATENATE(PARTIDAS!$F5135," (",PARTIDAS!$G5135,")"))</f>
        <v>Manufacturas de amiantocemento, celulosacemento o…, que no contengan amianto (asbesto) (los demás, manufacturas)</v>
      </c>
      <c r="I5135" s="16" t="s">
        <v>9427</v>
      </c>
    </row>
    <row r="5136" spans="1:9" x14ac:dyDescent="0.25">
      <c r="A5136" s="16" t="s">
        <v>6084</v>
      </c>
      <c r="B5136" s="16" t="str">
        <f>TEXT(PARTIDA[[#This Row],[PARTIDA]],"0000000000")</f>
        <v>6812800010</v>
      </c>
      <c r="C5136" s="16" t="s">
        <v>860</v>
      </c>
      <c r="D5136" s="16" t="s">
        <v>861</v>
      </c>
      <c r="E5136" s="16" t="s">
        <v>9473</v>
      </c>
      <c r="F5136" s="27" t="s">
        <v>13605</v>
      </c>
      <c r="G5136" s="27"/>
      <c r="H5136" s="16" t="str">
        <f>IF(ISBLANK(PARTIDAS!$G5136),PARTIDAS!$F5136,CONCATENATE(PARTIDAS!$F5136," (",PARTIDAS!$G5136,")"))</f>
        <v>Papel, cartón y fieltro</v>
      </c>
      <c r="I5136" s="16" t="s">
        <v>9427</v>
      </c>
    </row>
    <row r="5137" spans="1:9" x14ac:dyDescent="0.25">
      <c r="A5137" s="16" t="s">
        <v>6085</v>
      </c>
      <c r="B5137" s="16" t="str">
        <f>TEXT(PARTIDA[[#This Row],[PARTIDA]],"0000000000")</f>
        <v>6812800020</v>
      </c>
      <c r="C5137" s="16" t="s">
        <v>860</v>
      </c>
      <c r="D5137" s="16" t="s">
        <v>861</v>
      </c>
      <c r="E5137" s="16" t="s">
        <v>9473</v>
      </c>
      <c r="F5137" s="27" t="s">
        <v>13606</v>
      </c>
      <c r="G5137" s="27"/>
      <c r="H5137" s="16" t="str">
        <f>IF(ISBLANK(PARTIDAS!$G5137),PARTIDAS!$F5137,CONCATENATE(PARTIDAS!$F5137," (",PARTIDAS!$G5137,")"))</f>
        <v>Crocidolita y elastómeros comprimidos, para juntas o empaquetaduras, en hojas o rollos</v>
      </c>
      <c r="I5137" s="16" t="s">
        <v>9427</v>
      </c>
    </row>
    <row r="5138" spans="1:9" x14ac:dyDescent="0.25">
      <c r="A5138" s="16" t="s">
        <v>6086</v>
      </c>
      <c r="B5138" s="16" t="str">
        <f>TEXT(PARTIDA[[#This Row],[PARTIDA]],"0000000000")</f>
        <v>6812800030</v>
      </c>
      <c r="C5138" s="16" t="s">
        <v>860</v>
      </c>
      <c r="D5138" s="16" t="s">
        <v>861</v>
      </c>
      <c r="E5138" s="16" t="s">
        <v>9473</v>
      </c>
      <c r="F5138" s="27" t="s">
        <v>13607</v>
      </c>
      <c r="G5138" s="27"/>
      <c r="H5138" s="16" t="str">
        <f>IF(ISBLANK(PARTIDAS!$G5138),PARTIDAS!$F5138,CONCATENATE(PARTIDAS!$F5138," (",PARTIDAS!$G5138,")"))</f>
        <v>Crocidolita en fibras trabajada; mezclas a base de crocidolita o a base de crocidolita y carbonato de magnesio</v>
      </c>
      <c r="I5138" s="16" t="s">
        <v>9427</v>
      </c>
    </row>
    <row r="5139" spans="1:9" x14ac:dyDescent="0.25">
      <c r="A5139" s="16" t="s">
        <v>6087</v>
      </c>
      <c r="B5139" s="16" t="str">
        <f>TEXT(PARTIDA[[#This Row],[PARTIDA]],"0000000000")</f>
        <v>6812800090</v>
      </c>
      <c r="C5139" s="16" t="s">
        <v>860</v>
      </c>
      <c r="D5139" s="16" t="s">
        <v>861</v>
      </c>
      <c r="E5139" s="16" t="s">
        <v>9473</v>
      </c>
      <c r="F5139" s="27" t="s">
        <v>13608</v>
      </c>
      <c r="G5139" s="27"/>
      <c r="H5139" s="16" t="str">
        <f>IF(ISBLANK(PARTIDAS!$G5139),PARTIDAS!$F5139,CONCATENATE(PARTIDAS!$F5139," (",PARTIDAS!$G5139,")"))</f>
        <v>Amianto (asbesto) en fibras trabajado, de crocidolita (los demás)</v>
      </c>
      <c r="I5139" s="16" t="s">
        <v>9427</v>
      </c>
    </row>
    <row r="5140" spans="1:9" x14ac:dyDescent="0.25">
      <c r="A5140" s="16" t="s">
        <v>6088</v>
      </c>
      <c r="B5140" s="16" t="str">
        <f>TEXT(PARTIDA[[#This Row],[PARTIDA]],"0000000000")</f>
        <v>6812910000</v>
      </c>
      <c r="C5140" s="16" t="s">
        <v>860</v>
      </c>
      <c r="D5140" s="16" t="s">
        <v>861</v>
      </c>
      <c r="E5140" s="16" t="s">
        <v>9473</v>
      </c>
      <c r="F5140" s="27" t="s">
        <v>13609</v>
      </c>
      <c r="G5140" s="27"/>
      <c r="H5140" s="16" t="str">
        <f>IF(ISBLANK(PARTIDAS!$G5140),PARTIDAS!$F5140,CONCATENATE(PARTIDAS!$F5140," (",PARTIDAS!$G5140,")"))</f>
        <v>Prendas y complementos (accesorios), de vestir, calzado, sombreros y demás tocados</v>
      </c>
      <c r="I5140" s="16" t="s">
        <v>9427</v>
      </c>
    </row>
    <row r="5141" spans="1:9" x14ac:dyDescent="0.25">
      <c r="A5141" s="16" t="s">
        <v>6089</v>
      </c>
      <c r="B5141" s="16" t="str">
        <f>TEXT(PARTIDA[[#This Row],[PARTIDA]],"0000000000")</f>
        <v>6812920000</v>
      </c>
      <c r="C5141" s="16" t="s">
        <v>860</v>
      </c>
      <c r="D5141" s="16" t="s">
        <v>861</v>
      </c>
      <c r="E5141" s="16" t="s">
        <v>9473</v>
      </c>
      <c r="F5141" s="27" t="s">
        <v>13605</v>
      </c>
      <c r="G5141" s="27"/>
      <c r="H5141" s="16" t="str">
        <f>IF(ISBLANK(PARTIDAS!$G5141),PARTIDAS!$F5141,CONCATENATE(PARTIDAS!$F5141," (",PARTIDAS!$G5141,")"))</f>
        <v>Papel, cartón y fieltro</v>
      </c>
      <c r="I5141" s="16" t="s">
        <v>9648</v>
      </c>
    </row>
    <row r="5142" spans="1:9" x14ac:dyDescent="0.25">
      <c r="A5142" s="16" t="s">
        <v>6090</v>
      </c>
      <c r="B5142" s="16" t="str">
        <f>TEXT(PARTIDA[[#This Row],[PARTIDA]],"0000000000")</f>
        <v>6812930000</v>
      </c>
      <c r="C5142" s="16" t="s">
        <v>860</v>
      </c>
      <c r="D5142" s="16" t="s">
        <v>861</v>
      </c>
      <c r="E5142" s="16" t="s">
        <v>9473</v>
      </c>
      <c r="F5142" s="27" t="s">
        <v>13610</v>
      </c>
      <c r="G5142" s="27"/>
      <c r="H5142" s="16" t="str">
        <f>IF(ISBLANK(PARTIDAS!$G5142),PARTIDAS!$F5142,CONCATENATE(PARTIDAS!$F5142," (",PARTIDAS!$G5142,")"))</f>
        <v>Amianto (asbesto) y elastómeros comprimidos, para juntas o empaquetaduras, en hojas o rollos</v>
      </c>
      <c r="I5142" s="16" t="s">
        <v>9648</v>
      </c>
    </row>
    <row r="5143" spans="1:9" x14ac:dyDescent="0.25">
      <c r="A5143" s="16" t="s">
        <v>6091</v>
      </c>
      <c r="B5143" s="16" t="str">
        <f>TEXT(PARTIDA[[#This Row],[PARTIDA]],"0000000000")</f>
        <v>6812991000</v>
      </c>
      <c r="C5143" s="16" t="s">
        <v>860</v>
      </c>
      <c r="D5143" s="16" t="s">
        <v>861</v>
      </c>
      <c r="E5143" s="16" t="s">
        <v>9473</v>
      </c>
      <c r="F5143" s="27" t="s">
        <v>13611</v>
      </c>
      <c r="G5143" s="27"/>
      <c r="H5143" s="16" t="str">
        <f>IF(ISBLANK(PARTIDAS!$G5143),PARTIDAS!$F5143,CONCATENATE(PARTIDAS!$F5143," (",PARTIDAS!$G5143,")"))</f>
        <v>Amianto en fibras trabajado; mezclas a base de amianto o a base de amianto y carbonato de magnesio</v>
      </c>
      <c r="I5143" s="16" t="s">
        <v>9427</v>
      </c>
    </row>
    <row r="5144" spans="1:9" x14ac:dyDescent="0.25">
      <c r="A5144" s="16" t="s">
        <v>6092</v>
      </c>
      <c r="B5144" s="16" t="str">
        <f>TEXT(PARTIDA[[#This Row],[PARTIDA]],"0000000000")</f>
        <v>6812992000</v>
      </c>
      <c r="C5144" s="16" t="s">
        <v>860</v>
      </c>
      <c r="D5144" s="16" t="s">
        <v>861</v>
      </c>
      <c r="E5144" s="16" t="s">
        <v>9473</v>
      </c>
      <c r="F5144" s="27" t="s">
        <v>13612</v>
      </c>
      <c r="G5144" s="27"/>
      <c r="H5144" s="16" t="str">
        <f>IF(ISBLANK(PARTIDAS!$G5144),PARTIDAS!$F5144,CONCATENATE(PARTIDAS!$F5144," (",PARTIDAS!$G5144,")"))</f>
        <v>Amianto (asbesto) en fibras trabajado, hilados</v>
      </c>
      <c r="I5144" s="16" t="s">
        <v>9427</v>
      </c>
    </row>
    <row r="5145" spans="1:9" x14ac:dyDescent="0.25">
      <c r="A5145" s="16" t="s">
        <v>6093</v>
      </c>
      <c r="B5145" s="16" t="str">
        <f>TEXT(PARTIDA[[#This Row],[PARTIDA]],"0000000000")</f>
        <v>6812993000</v>
      </c>
      <c r="C5145" s="16" t="s">
        <v>860</v>
      </c>
      <c r="D5145" s="16" t="s">
        <v>861</v>
      </c>
      <c r="E5145" s="16" t="s">
        <v>9473</v>
      </c>
      <c r="F5145" s="27" t="s">
        <v>13613</v>
      </c>
      <c r="G5145" s="27"/>
      <c r="H5145" s="16" t="str">
        <f>IF(ISBLANK(PARTIDAS!$G5145),PARTIDAS!$F5145,CONCATENATE(PARTIDAS!$F5145," (",PARTIDAS!$G5145,")"))</f>
        <v>Cuerdas y cordones, incluso trenzados</v>
      </c>
      <c r="I5145" s="16" t="s">
        <v>9427</v>
      </c>
    </row>
    <row r="5146" spans="1:9" x14ac:dyDescent="0.25">
      <c r="A5146" s="16" t="s">
        <v>6094</v>
      </c>
      <c r="B5146" s="16" t="str">
        <f>TEXT(PARTIDA[[#This Row],[PARTIDA]],"0000000000")</f>
        <v>6812994000</v>
      </c>
      <c r="C5146" s="16" t="s">
        <v>860</v>
      </c>
      <c r="D5146" s="16" t="s">
        <v>861</v>
      </c>
      <c r="E5146" s="16" t="s">
        <v>9473</v>
      </c>
      <c r="F5146" s="27" t="s">
        <v>13614</v>
      </c>
      <c r="G5146" s="27"/>
      <c r="H5146" s="16" t="str">
        <f>IF(ISBLANK(PARTIDAS!$G5146),PARTIDAS!$F5146,CONCATENATE(PARTIDAS!$F5146," (",PARTIDAS!$G5146,")"))</f>
        <v>Tejidos, incluso de punto</v>
      </c>
      <c r="I5146" s="16" t="s">
        <v>9427</v>
      </c>
    </row>
    <row r="5147" spans="1:9" x14ac:dyDescent="0.25">
      <c r="A5147" s="16" t="s">
        <v>6095</v>
      </c>
      <c r="B5147" s="16" t="str">
        <f>TEXT(PARTIDA[[#This Row],[PARTIDA]],"0000000000")</f>
        <v>6812995000</v>
      </c>
      <c r="C5147" s="16" t="s">
        <v>860</v>
      </c>
      <c r="D5147" s="16" t="s">
        <v>861</v>
      </c>
      <c r="E5147" s="16" t="s">
        <v>9473</v>
      </c>
      <c r="F5147" s="27" t="s">
        <v>4333</v>
      </c>
      <c r="G5147" s="27"/>
      <c r="H5147" s="16" t="str">
        <f>IF(ISBLANK(PARTIDAS!$G5147),PARTIDAS!$F5147,CONCATENATE(PARTIDAS!$F5147," (",PARTIDAS!$G5147,")"))</f>
        <v>Juntas o empaquetaduras</v>
      </c>
      <c r="I5147" s="16" t="s">
        <v>9427</v>
      </c>
    </row>
    <row r="5148" spans="1:9" x14ac:dyDescent="0.25">
      <c r="A5148" s="16" t="s">
        <v>6096</v>
      </c>
      <c r="B5148" s="16" t="str">
        <f>TEXT(PARTIDA[[#This Row],[PARTIDA]],"0000000000")</f>
        <v>6812999000</v>
      </c>
      <c r="C5148" s="16" t="s">
        <v>860</v>
      </c>
      <c r="D5148" s="16" t="s">
        <v>861</v>
      </c>
      <c r="E5148" s="16" t="s">
        <v>9473</v>
      </c>
      <c r="F5148" s="27" t="s">
        <v>13615</v>
      </c>
      <c r="G5148" s="27"/>
      <c r="H5148" s="16" t="str">
        <f>IF(ISBLANK(PARTIDAS!$G5148),PARTIDAS!$F5148,CONCATENATE(PARTIDAS!$F5148," (",PARTIDAS!$G5148,")"))</f>
        <v>Amianto (asbesto) en fibras trabajado (los demás)</v>
      </c>
      <c r="I5148" s="16" t="s">
        <v>9427</v>
      </c>
    </row>
    <row r="5149" spans="1:9" x14ac:dyDescent="0.25">
      <c r="A5149" s="16" t="s">
        <v>6097</v>
      </c>
      <c r="B5149" s="16" t="str">
        <f>TEXT(PARTIDA[[#This Row],[PARTIDA]],"0000000000")</f>
        <v>6813200000</v>
      </c>
      <c r="C5149" s="16" t="s">
        <v>815</v>
      </c>
      <c r="D5149" s="16" t="s">
        <v>835</v>
      </c>
      <c r="E5149" s="16" t="s">
        <v>9463</v>
      </c>
      <c r="F5149" s="27" t="s">
        <v>13616</v>
      </c>
      <c r="G5149" s="27"/>
      <c r="H5149" s="16" t="str">
        <f>IF(ISBLANK(PARTIDAS!$G5149),PARTIDAS!$F5149,CONCATENATE(PARTIDAS!$F5149," (",PARTIDAS!$G5149,")"))</f>
        <v>Guarniciones de fricción (por ejemplo, que contengan amianto (asbesto)</v>
      </c>
      <c r="I5149" s="16" t="s">
        <v>9427</v>
      </c>
    </row>
    <row r="5150" spans="1:9" x14ac:dyDescent="0.25">
      <c r="A5150" s="16" t="s">
        <v>6098</v>
      </c>
      <c r="B5150" s="16" t="str">
        <f>TEXT(PARTIDA[[#This Row],[PARTIDA]],"0000000000")</f>
        <v>6813810000</v>
      </c>
      <c r="C5150" s="16" t="s">
        <v>815</v>
      </c>
      <c r="D5150" s="16" t="s">
        <v>835</v>
      </c>
      <c r="E5150" s="16" t="s">
        <v>9463</v>
      </c>
      <c r="F5150" s="27" t="s">
        <v>9247</v>
      </c>
      <c r="G5150" s="27"/>
      <c r="H5150" s="16" t="str">
        <f>IF(ISBLANK(PARTIDAS!$G5150),PARTIDAS!$F5150,CONCATENATE(PARTIDAS!$F5150," (",PARTIDAS!$G5150,")"))</f>
        <v>Guarniciones para frenos</v>
      </c>
      <c r="I5150" s="16" t="s">
        <v>9477</v>
      </c>
    </row>
    <row r="5151" spans="1:9" x14ac:dyDescent="0.25">
      <c r="A5151" s="16" t="s">
        <v>6099</v>
      </c>
      <c r="B5151" s="16" t="str">
        <f>TEXT(PARTIDA[[#This Row],[PARTIDA]],"0000000000")</f>
        <v>6813890000</v>
      </c>
      <c r="C5151" s="16" t="s">
        <v>815</v>
      </c>
      <c r="D5151" s="16" t="s">
        <v>835</v>
      </c>
      <c r="E5151" s="16" t="s">
        <v>9463</v>
      </c>
      <c r="F5151" s="27" t="s">
        <v>9245</v>
      </c>
      <c r="G5151" s="27"/>
      <c r="H5151" s="16" t="str">
        <f>IF(ISBLANK(PARTIDAS!$G5151),PARTIDAS!$F5151,CONCATENATE(PARTIDAS!$F5151," (",PARTIDAS!$G5151,")"))</f>
        <v>Guarniciones de fricción (por ejemplo, que no contengan amianto (asbesto) (los demás)</v>
      </c>
      <c r="I5151" s="16" t="s">
        <v>9477</v>
      </c>
    </row>
    <row r="5152" spans="1:9" x14ac:dyDescent="0.25">
      <c r="A5152" s="16" t="s">
        <v>6100</v>
      </c>
      <c r="B5152" s="16" t="str">
        <f>TEXT(PARTIDA[[#This Row],[PARTIDA]],"0000000000")</f>
        <v>6814100000</v>
      </c>
      <c r="C5152" s="16" t="s">
        <v>860</v>
      </c>
      <c r="D5152" s="16" t="s">
        <v>861</v>
      </c>
      <c r="E5152" s="16" t="s">
        <v>9473</v>
      </c>
      <c r="F5152" s="27" t="s">
        <v>13617</v>
      </c>
      <c r="G5152" s="27"/>
      <c r="H5152" s="16" t="str">
        <f>IF(ISBLANK(PARTIDAS!$G5152),PARTIDAS!$F5152,CONCATENATE(PARTIDAS!$F5152," (",PARTIDAS!$G5152,")"))</f>
        <v>Placas, hojas y tiras de mica aglomerada o reconstituida, incluso con soporte</v>
      </c>
      <c r="I5152" s="16" t="s">
        <v>9427</v>
      </c>
    </row>
    <row r="5153" spans="1:9" x14ac:dyDescent="0.25">
      <c r="A5153" s="16" t="s">
        <v>6101</v>
      </c>
      <c r="B5153" s="16" t="str">
        <f>TEXT(PARTIDA[[#This Row],[PARTIDA]],"0000000000")</f>
        <v>6814900000</v>
      </c>
      <c r="C5153" s="16" t="s">
        <v>860</v>
      </c>
      <c r="D5153" s="16" t="s">
        <v>861</v>
      </c>
      <c r="E5153" s="16" t="s">
        <v>9473</v>
      </c>
      <c r="F5153" s="27" t="s">
        <v>13618</v>
      </c>
      <c r="G5153" s="27"/>
      <c r="H5153" s="16" t="str">
        <f>IF(ISBLANK(PARTIDAS!$G5153),PARTIDAS!$F5153,CONCATENATE(PARTIDAS!$F5153," (",PARTIDAS!$G5153,")"))</f>
        <v>Mica trabajada y manufacturas de mica, incluida la aglomerada o… (los demás)</v>
      </c>
      <c r="I5153" s="16" t="s">
        <v>9427</v>
      </c>
    </row>
    <row r="5154" spans="1:9" x14ac:dyDescent="0.25">
      <c r="A5154" s="16" t="s">
        <v>6102</v>
      </c>
      <c r="B5154" s="16" t="str">
        <f>TEXT(PARTIDA[[#This Row],[PARTIDA]],"0000000000")</f>
        <v>6815100000</v>
      </c>
      <c r="C5154" s="16" t="s">
        <v>860</v>
      </c>
      <c r="D5154" s="16" t="s">
        <v>861</v>
      </c>
      <c r="E5154" s="16" t="s">
        <v>9473</v>
      </c>
      <c r="F5154" s="27" t="s">
        <v>13619</v>
      </c>
      <c r="G5154" s="27"/>
      <c r="H5154" s="16" t="str">
        <f>IF(ISBLANK(PARTIDAS!$G5154),PARTIDAS!$F5154,CONCATENATE(PARTIDAS!$F5154," (",PARTIDAS!$G5154,")"))</f>
        <v>Manufacturas de grafito o de otros carbonos, para usos distintos de los eléctricos</v>
      </c>
      <c r="I5154" s="16" t="s">
        <v>9648</v>
      </c>
    </row>
    <row r="5155" spans="1:9" x14ac:dyDescent="0.25">
      <c r="A5155" s="16" t="s">
        <v>13620</v>
      </c>
      <c r="B5155" s="16" t="str">
        <f>TEXT(PARTIDA[[#This Row],[PARTIDA]],"0000000000")</f>
        <v>6815110000</v>
      </c>
      <c r="C5155" s="16" t="s">
        <v>860</v>
      </c>
      <c r="D5155" s="16" t="s">
        <v>861</v>
      </c>
      <c r="E5155" s="16" t="s">
        <v>9473</v>
      </c>
      <c r="F5155" s="27" t="s">
        <v>13621</v>
      </c>
      <c r="G5155" s="27"/>
      <c r="H5155" s="16" t="str">
        <f>IF(ISBLANK(PARTIDAS!$G5155),PARTIDAS!$F5155,CONCATENATE(PARTIDAS!$F5155," (",PARTIDAS!$G5155,")"))</f>
        <v>Fibras de carbono</v>
      </c>
      <c r="I5155" s="16" t="s">
        <v>9427</v>
      </c>
    </row>
    <row r="5156" spans="1:9" x14ac:dyDescent="0.25">
      <c r="A5156" s="16" t="s">
        <v>13622</v>
      </c>
      <c r="B5156" s="16" t="str">
        <f>TEXT(PARTIDA[[#This Row],[PARTIDA]],"0000000000")</f>
        <v>6815120000</v>
      </c>
      <c r="C5156" s="16" t="s">
        <v>860</v>
      </c>
      <c r="D5156" s="16" t="s">
        <v>861</v>
      </c>
      <c r="E5156" s="16" t="s">
        <v>9473</v>
      </c>
      <c r="F5156" s="27" t="s">
        <v>13623</v>
      </c>
      <c r="G5156" s="27"/>
      <c r="H5156" s="16" t="str">
        <f>IF(ISBLANK(PARTIDAS!$G5156),PARTIDAS!$F5156,CONCATENATE(PARTIDAS!$F5156," (",PARTIDAS!$G5156,")"))</f>
        <v>Textiles de fibras de carbono</v>
      </c>
      <c r="I5156" s="16" t="s">
        <v>9427</v>
      </c>
    </row>
    <row r="5157" spans="1:9" x14ac:dyDescent="0.25">
      <c r="A5157" s="16" t="s">
        <v>13624</v>
      </c>
      <c r="B5157" s="16" t="str">
        <f>TEXT(PARTIDA[[#This Row],[PARTIDA]],"0000000000")</f>
        <v>6815130000</v>
      </c>
      <c r="C5157" s="16" t="s">
        <v>860</v>
      </c>
      <c r="D5157" s="16" t="s">
        <v>861</v>
      </c>
      <c r="E5157" s="16" t="s">
        <v>9473</v>
      </c>
      <c r="F5157" s="27" t="s">
        <v>13625</v>
      </c>
      <c r="G5157" s="27"/>
      <c r="H5157" s="16" t="str">
        <f>IF(ISBLANK(PARTIDAS!$G5157),PARTIDAS!$F5157,CONCATENATE(PARTIDAS!$F5157," (",PARTIDAS!$G5157,")"))</f>
        <v>Fibras de carbono (los demás, manufacturas de fibras de carbono)</v>
      </c>
      <c r="I5157" s="16" t="s">
        <v>9427</v>
      </c>
    </row>
    <row r="5158" spans="1:9" x14ac:dyDescent="0.25">
      <c r="A5158" s="16" t="s">
        <v>13626</v>
      </c>
      <c r="B5158" s="16" t="str">
        <f>TEXT(PARTIDA[[#This Row],[PARTIDA]],"0000000000")</f>
        <v>6815190000</v>
      </c>
      <c r="C5158" s="16" t="s">
        <v>860</v>
      </c>
      <c r="D5158" s="16" t="s">
        <v>861</v>
      </c>
      <c r="E5158" s="16" t="s">
        <v>9473</v>
      </c>
      <c r="F5158" s="27" t="s">
        <v>13627</v>
      </c>
      <c r="G5158" s="27"/>
      <c r="H5158" s="16" t="str">
        <f>IF(ISBLANK(PARTIDAS!$G5158),PARTIDAS!$F5158,CONCATENATE(PARTIDAS!$F5158," (",PARTIDAS!$G5158,")"))</f>
        <v>Fibras de carbono (los demás)</v>
      </c>
      <c r="I5158" s="16" t="s">
        <v>9427</v>
      </c>
    </row>
    <row r="5159" spans="1:9" x14ac:dyDescent="0.25">
      <c r="A5159" s="16" t="s">
        <v>6103</v>
      </c>
      <c r="B5159" s="16" t="str">
        <f>TEXT(PARTIDA[[#This Row],[PARTIDA]],"0000000000")</f>
        <v>6815200000</v>
      </c>
      <c r="C5159" s="16" t="s">
        <v>860</v>
      </c>
      <c r="D5159" s="16" t="s">
        <v>861</v>
      </c>
      <c r="E5159" s="16" t="s">
        <v>9473</v>
      </c>
      <c r="F5159" s="27" t="s">
        <v>13628</v>
      </c>
      <c r="G5159" s="27"/>
      <c r="H5159" s="16" t="str">
        <f>IF(ISBLANK(PARTIDAS!$G5159),PARTIDAS!$F5159,CONCATENATE(PARTIDAS!$F5159," (",PARTIDAS!$G5159,")"))</f>
        <v>Manufacturas de turba</v>
      </c>
      <c r="I5159" s="16" t="s">
        <v>9427</v>
      </c>
    </row>
    <row r="5160" spans="1:9" x14ac:dyDescent="0.25">
      <c r="A5160" s="16" t="s">
        <v>6104</v>
      </c>
      <c r="B5160" s="16" t="str">
        <f>TEXT(PARTIDA[[#This Row],[PARTIDA]],"0000000000")</f>
        <v>6815910000</v>
      </c>
      <c r="C5160" s="16" t="s">
        <v>860</v>
      </c>
      <c r="D5160" s="16" t="s">
        <v>861</v>
      </c>
      <c r="E5160" s="16" t="s">
        <v>9473</v>
      </c>
      <c r="F5160" s="27" t="s">
        <v>13629</v>
      </c>
      <c r="G5160" s="27"/>
      <c r="H5160" s="16" t="str">
        <f>IF(ISBLANK(PARTIDAS!$G5160),PARTIDAS!$F5160,CONCATENATE(PARTIDAS!$F5160," (",PARTIDAS!$G5160,")"))</f>
        <v>Manufacturas de piedra o demás materias minerales (incluidas las…, que contengan magnesita, magnesia en forma de periclasa, dolomita incluida la cal d</v>
      </c>
      <c r="I5160" s="16" t="s">
        <v>9427</v>
      </c>
    </row>
    <row r="5161" spans="1:9" x14ac:dyDescent="0.25">
      <c r="A5161" s="16" t="s">
        <v>6105</v>
      </c>
      <c r="B5161" s="16" t="str">
        <f>TEXT(PARTIDA[[#This Row],[PARTIDA]],"0000000000")</f>
        <v>6815990000</v>
      </c>
      <c r="C5161" s="16" t="s">
        <v>860</v>
      </c>
      <c r="D5161" s="16" t="s">
        <v>861</v>
      </c>
      <c r="E5161" s="16" t="s">
        <v>9473</v>
      </c>
      <c r="F5161" s="27" t="s">
        <v>13630</v>
      </c>
      <c r="G5161" s="27"/>
      <c r="H5161" s="16" t="str">
        <f>IF(ISBLANK(PARTIDAS!$G5161),PARTIDAS!$F5161,CONCATENATE(PARTIDAS!$F5161," (",PARTIDAS!$G5161,")"))</f>
        <v>Manufacturas de piedra o demás materias minerales (incluidas las… (los demás)</v>
      </c>
      <c r="I5161" s="16" t="s">
        <v>9427</v>
      </c>
    </row>
    <row r="5162" spans="1:9" x14ac:dyDescent="0.25">
      <c r="A5162" s="16" t="s">
        <v>6106</v>
      </c>
      <c r="B5162" s="16" t="str">
        <f>TEXT(PARTIDA[[#This Row],[PARTIDA]],"0000000000")</f>
        <v>6901000000</v>
      </c>
      <c r="C5162" s="16" t="s">
        <v>815</v>
      </c>
      <c r="D5162" s="16" t="s">
        <v>835</v>
      </c>
      <c r="E5162" s="16" t="s">
        <v>844</v>
      </c>
      <c r="F5162" s="27" t="s">
        <v>6070</v>
      </c>
      <c r="G5162" s="27"/>
      <c r="H5162" s="16" t="str">
        <f>IF(ISBLANK(PARTIDAS!$G5162),PARTIDAS!$F5162,CONCATENATE(PARTIDAS!$F5162," (",PARTIDAS!$G5162,")"))</f>
        <v>Productos cerámicos</v>
      </c>
      <c r="I5162" s="16" t="s">
        <v>9427</v>
      </c>
    </row>
    <row r="5163" spans="1:9" x14ac:dyDescent="0.25">
      <c r="A5163" s="16" t="s">
        <v>6107</v>
      </c>
      <c r="B5163" s="16" t="str">
        <f>TEXT(PARTIDA[[#This Row],[PARTIDA]],"0000000000")</f>
        <v>6902100000</v>
      </c>
      <c r="C5163" s="16" t="s">
        <v>815</v>
      </c>
      <c r="D5163" s="16" t="s">
        <v>835</v>
      </c>
      <c r="E5163" s="16" t="s">
        <v>844</v>
      </c>
      <c r="F5163" s="27" t="s">
        <v>13631</v>
      </c>
      <c r="G5163" s="27"/>
      <c r="H5163" s="16" t="str">
        <f>IF(ISBLANK(PARTIDAS!$G5163),PARTIDAS!$F5163,CONCATENATE(PARTIDAS!$F5163," (",PARTIDAS!$G5163,")"))</f>
        <v>Ladrillos, placas, baldosas y piezas cerámicas análogas de…, con un contenido de los elementos Mg (magnesio), Ca (calcio) o Cr (cromo), considerados a</v>
      </c>
      <c r="I5163" s="16" t="s">
        <v>9427</v>
      </c>
    </row>
    <row r="5164" spans="1:9" x14ac:dyDescent="0.25">
      <c r="A5164" s="16" t="s">
        <v>6108</v>
      </c>
      <c r="B5164" s="16" t="str">
        <f>TEXT(PARTIDA[[#This Row],[PARTIDA]],"0000000000")</f>
        <v>6902201000</v>
      </c>
      <c r="C5164" s="16" t="s">
        <v>815</v>
      </c>
      <c r="D5164" s="16" t="s">
        <v>835</v>
      </c>
      <c r="E5164" s="16" t="s">
        <v>844</v>
      </c>
      <c r="F5164" s="27" t="s">
        <v>13632</v>
      </c>
      <c r="G5164" s="27"/>
      <c r="H5164" s="16" t="str">
        <f>IF(ISBLANK(PARTIDAS!$G5164),PARTIDAS!$F5164,CONCATENATE(PARTIDAS!$F5164," (",PARTIDAS!$G5164,")"))</f>
        <v>Ladrillos, placas, baldosas y piezas cerámicas…, con un contenido de alúmina (Al2O3), de sílice (SiO2) o de una mezcla…, con un contenido de sílice (S</v>
      </c>
      <c r="I5164" s="16" t="s">
        <v>9427</v>
      </c>
    </row>
    <row r="5165" spans="1:9" x14ac:dyDescent="0.25">
      <c r="A5165" s="16" t="s">
        <v>6109</v>
      </c>
      <c r="B5165" s="16" t="str">
        <f>TEXT(PARTIDA[[#This Row],[PARTIDA]],"0000000000")</f>
        <v>6902209000</v>
      </c>
      <c r="C5165" s="16" t="s">
        <v>815</v>
      </c>
      <c r="D5165" s="16" t="s">
        <v>835</v>
      </c>
      <c r="E5165" s="16" t="s">
        <v>844</v>
      </c>
      <c r="F5165" s="27" t="s">
        <v>13633</v>
      </c>
      <c r="G5165" s="27"/>
      <c r="H5165" s="16" t="str">
        <f>IF(ISBLANK(PARTIDAS!$G5165),PARTIDAS!$F5165,CONCATENATE(PARTIDAS!$F5165," (",PARTIDAS!$G5165,")"))</f>
        <v>Ladrillos, placas, baldosas y piezas cerámicas…, con un contenido de alúmina (Al2O3), de sílice (SiO2) o de una mezcla… (los demás)</v>
      </c>
      <c r="I5165" s="16" t="s">
        <v>9427</v>
      </c>
    </row>
    <row r="5166" spans="1:9" x14ac:dyDescent="0.25">
      <c r="A5166" s="16" t="s">
        <v>6110</v>
      </c>
      <c r="B5166" s="16" t="str">
        <f>TEXT(PARTIDA[[#This Row],[PARTIDA]],"0000000000")</f>
        <v>6902900000</v>
      </c>
      <c r="C5166" s="16" t="s">
        <v>815</v>
      </c>
      <c r="D5166" s="16" t="s">
        <v>835</v>
      </c>
      <c r="E5166" s="16" t="s">
        <v>844</v>
      </c>
      <c r="F5166" s="27" t="s">
        <v>13634</v>
      </c>
      <c r="G5166" s="27"/>
      <c r="H5166" s="16" t="str">
        <f>IF(ISBLANK(PARTIDAS!$G5166),PARTIDAS!$F5166,CONCATENATE(PARTIDAS!$F5166," (",PARTIDAS!$G5166,")"))</f>
        <v>Ladrillos, placas, baldosas y piezas cerámicas análogas de… (los demás)</v>
      </c>
      <c r="I5166" s="16" t="s">
        <v>9427</v>
      </c>
    </row>
    <row r="5167" spans="1:9" x14ac:dyDescent="0.25">
      <c r="A5167" s="16" t="s">
        <v>6111</v>
      </c>
      <c r="B5167" s="16" t="str">
        <f>TEXT(PARTIDA[[#This Row],[PARTIDA]],"0000000000")</f>
        <v>6903101000</v>
      </c>
      <c r="C5167" s="16" t="s">
        <v>815</v>
      </c>
      <c r="D5167" s="16" t="s">
        <v>835</v>
      </c>
      <c r="E5167" s="16" t="s">
        <v>844</v>
      </c>
      <c r="F5167" s="27" t="s">
        <v>13635</v>
      </c>
      <c r="G5167" s="27"/>
      <c r="H5167" s="16" t="str">
        <f>IF(ISBLANK(PARTIDAS!$G5167),PARTIDAS!$F5167,CONCATENATE(PARTIDAS!$F5167," (",PARTIDAS!$G5167,")"))</f>
        <v>Retortas y crisoles</v>
      </c>
      <c r="I5167" s="16" t="s">
        <v>9427</v>
      </c>
    </row>
    <row r="5168" spans="1:9" x14ac:dyDescent="0.25">
      <c r="A5168" s="16" t="s">
        <v>6112</v>
      </c>
      <c r="B5168" s="16" t="str">
        <f>TEXT(PARTIDA[[#This Row],[PARTIDA]],"0000000000")</f>
        <v>6903109000</v>
      </c>
      <c r="C5168" s="16" t="s">
        <v>815</v>
      </c>
      <c r="D5168" s="16" t="s">
        <v>835</v>
      </c>
      <c r="E5168" s="16" t="s">
        <v>844</v>
      </c>
      <c r="F5168" s="27" t="s">
        <v>13636</v>
      </c>
      <c r="G5168" s="27"/>
      <c r="H5168" s="16" t="str">
        <f>IF(ISBLANK(PARTIDAS!$G5168),PARTIDAS!$F5168,CONCATENATE(PARTIDAS!$F5168," (",PARTIDAS!$G5168,")"))</f>
        <v>Productos cerámicos, con un contenido de carbono libre, superior al 50 % en peso (los demás)</v>
      </c>
      <c r="I5168" s="16" t="s">
        <v>9427</v>
      </c>
    </row>
    <row r="5169" spans="1:9" x14ac:dyDescent="0.25">
      <c r="A5169" s="16" t="s">
        <v>6113</v>
      </c>
      <c r="B5169" s="16" t="str">
        <f>TEXT(PARTIDA[[#This Row],[PARTIDA]],"0000000000")</f>
        <v>6903201000</v>
      </c>
      <c r="C5169" s="16" t="s">
        <v>815</v>
      </c>
      <c r="D5169" s="16" t="s">
        <v>835</v>
      </c>
      <c r="E5169" s="16" t="s">
        <v>844</v>
      </c>
      <c r="F5169" s="27" t="s">
        <v>13635</v>
      </c>
      <c r="G5169" s="27"/>
      <c r="H5169" s="16" t="str">
        <f>IF(ISBLANK(PARTIDAS!$G5169),PARTIDAS!$F5169,CONCATENATE(PARTIDAS!$F5169," (",PARTIDAS!$G5169,")"))</f>
        <v>Retortas y crisoles</v>
      </c>
      <c r="I5169" s="16" t="s">
        <v>9427</v>
      </c>
    </row>
    <row r="5170" spans="1:9" x14ac:dyDescent="0.25">
      <c r="A5170" s="16" t="s">
        <v>6114</v>
      </c>
      <c r="B5170" s="16" t="str">
        <f>TEXT(PARTIDA[[#This Row],[PARTIDA]],"0000000000")</f>
        <v>6903209000</v>
      </c>
      <c r="C5170" s="16" t="s">
        <v>815</v>
      </c>
      <c r="D5170" s="16" t="s">
        <v>835</v>
      </c>
      <c r="E5170" s="16" t="s">
        <v>844</v>
      </c>
      <c r="F5170" s="27" t="s">
        <v>13637</v>
      </c>
      <c r="G5170" s="27"/>
      <c r="H5170" s="16" t="str">
        <f>IF(ISBLANK(PARTIDAS!$G5170),PARTIDAS!$F5170,CONCATENATE(PARTIDAS!$F5170," (",PARTIDAS!$G5170,")"))</f>
        <v>Productos cerámicos, con un contenido de alúmina (Al2O3) o de una mezcla o combinación de… (los demás)</v>
      </c>
      <c r="I5170" s="16" t="s">
        <v>9427</v>
      </c>
    </row>
    <row r="5171" spans="1:9" x14ac:dyDescent="0.25">
      <c r="A5171" s="16" t="s">
        <v>6115</v>
      </c>
      <c r="B5171" s="16" t="str">
        <f>TEXT(PARTIDA[[#This Row],[PARTIDA]],"0000000000")</f>
        <v>6903901000</v>
      </c>
      <c r="C5171" s="16" t="s">
        <v>815</v>
      </c>
      <c r="D5171" s="16" t="s">
        <v>835</v>
      </c>
      <c r="E5171" s="16" t="s">
        <v>844</v>
      </c>
      <c r="F5171" s="27" t="s">
        <v>13635</v>
      </c>
      <c r="G5171" s="27"/>
      <c r="H5171" s="16" t="str">
        <f>IF(ISBLANK(PARTIDAS!$G5171),PARTIDAS!$F5171,CONCATENATE(PARTIDAS!$F5171," (",PARTIDAS!$G5171,")"))</f>
        <v>Retortas y crisoles</v>
      </c>
      <c r="I5171" s="16" t="s">
        <v>9427</v>
      </c>
    </row>
    <row r="5172" spans="1:9" x14ac:dyDescent="0.25">
      <c r="A5172" s="16" t="s">
        <v>6116</v>
      </c>
      <c r="B5172" s="16" t="str">
        <f>TEXT(PARTIDA[[#This Row],[PARTIDA]],"0000000000")</f>
        <v>6903909000</v>
      </c>
      <c r="C5172" s="16" t="s">
        <v>815</v>
      </c>
      <c r="D5172" s="16" t="s">
        <v>835</v>
      </c>
      <c r="E5172" s="16" t="s">
        <v>844</v>
      </c>
      <c r="F5172" s="27" t="s">
        <v>13638</v>
      </c>
      <c r="G5172" s="27"/>
      <c r="H5172" s="16" t="str">
        <f>IF(ISBLANK(PARTIDAS!$G5172),PARTIDAS!$F5172,CONCATENATE(PARTIDAS!$F5172," (",PARTIDAS!$G5172,")"))</f>
        <v>Productos cerámicos (los demás)</v>
      </c>
      <c r="I5172" s="16" t="s">
        <v>9427</v>
      </c>
    </row>
    <row r="5173" spans="1:9" x14ac:dyDescent="0.25">
      <c r="A5173" s="16" t="s">
        <v>6117</v>
      </c>
      <c r="B5173" s="16" t="str">
        <f>TEXT(PARTIDA[[#This Row],[PARTIDA]],"0000000000")</f>
        <v>6904100000</v>
      </c>
      <c r="C5173" s="16" t="s">
        <v>860</v>
      </c>
      <c r="D5173" s="16" t="s">
        <v>861</v>
      </c>
      <c r="E5173" s="16" t="s">
        <v>9473</v>
      </c>
      <c r="F5173" s="27" t="s">
        <v>9273</v>
      </c>
      <c r="G5173" s="27"/>
      <c r="H5173" s="16" t="str">
        <f>IF(ISBLANK(PARTIDAS!$G5173),PARTIDAS!$F5173,CONCATENATE(PARTIDAS!$F5173," (",PARTIDAS!$G5173,")"))</f>
        <v>Ladrillos de construcción</v>
      </c>
      <c r="I5173" s="16" t="s">
        <v>9477</v>
      </c>
    </row>
    <row r="5174" spans="1:9" x14ac:dyDescent="0.25">
      <c r="A5174" s="16" t="s">
        <v>6118</v>
      </c>
      <c r="B5174" s="16" t="str">
        <f>TEXT(PARTIDA[[#This Row],[PARTIDA]],"0000000000")</f>
        <v>6904900000</v>
      </c>
      <c r="C5174" s="16" t="s">
        <v>860</v>
      </c>
      <c r="D5174" s="16" t="s">
        <v>861</v>
      </c>
      <c r="E5174" s="16" t="s">
        <v>9473</v>
      </c>
      <c r="F5174" s="27" t="s">
        <v>13639</v>
      </c>
      <c r="G5174" s="27"/>
      <c r="H5174" s="16" t="str">
        <f>IF(ISBLANK(PARTIDAS!$G5174),PARTIDAS!$F5174,CONCATENATE(PARTIDAS!$F5174," (",PARTIDAS!$G5174,")"))</f>
        <v>Ladrillos de construcción, bovedillas, cubrevigas y artículos… (los demás)</v>
      </c>
      <c r="I5174" s="16" t="s">
        <v>9427</v>
      </c>
    </row>
    <row r="5175" spans="1:9" x14ac:dyDescent="0.25">
      <c r="A5175" s="16" t="s">
        <v>6119</v>
      </c>
      <c r="B5175" s="16" t="str">
        <f>TEXT(PARTIDA[[#This Row],[PARTIDA]],"0000000000")</f>
        <v>6905100000</v>
      </c>
      <c r="C5175" s="16" t="s">
        <v>860</v>
      </c>
      <c r="D5175" s="16" t="s">
        <v>861</v>
      </c>
      <c r="E5175" s="16" t="s">
        <v>9473</v>
      </c>
      <c r="F5175" s="27" t="s">
        <v>9389</v>
      </c>
      <c r="G5175" s="27"/>
      <c r="H5175" s="16" t="str">
        <f>IF(ISBLANK(PARTIDAS!$G5175),PARTIDAS!$F5175,CONCATENATE(PARTIDAS!$F5175," (",PARTIDAS!$G5175,")"))</f>
        <v>Tejas</v>
      </c>
      <c r="I5175" s="16" t="s">
        <v>9477</v>
      </c>
    </row>
    <row r="5176" spans="1:9" x14ac:dyDescent="0.25">
      <c r="A5176" s="16" t="s">
        <v>6120</v>
      </c>
      <c r="B5176" s="16" t="str">
        <f>TEXT(PARTIDA[[#This Row],[PARTIDA]],"0000000000")</f>
        <v>6905900000</v>
      </c>
      <c r="C5176" s="16" t="s">
        <v>860</v>
      </c>
      <c r="D5176" s="16" t="s">
        <v>861</v>
      </c>
      <c r="E5176" s="16" t="s">
        <v>9473</v>
      </c>
      <c r="F5176" s="27" t="s">
        <v>13640</v>
      </c>
      <c r="G5176" s="27"/>
      <c r="H5176" s="16" t="str">
        <f>IF(ISBLANK(PARTIDAS!$G5176),PARTIDAS!$F5176,CONCATENATE(PARTIDAS!$F5176," (",PARTIDAS!$G5176,")"))</f>
        <v>Tejas, elementos de chimenea, conductos de humo, ornamentos… (los demás)</v>
      </c>
      <c r="I5176" s="16" t="s">
        <v>9427</v>
      </c>
    </row>
    <row r="5177" spans="1:9" x14ac:dyDescent="0.25">
      <c r="A5177" s="16" t="s">
        <v>6121</v>
      </c>
      <c r="B5177" s="16" t="str">
        <f>TEXT(PARTIDA[[#This Row],[PARTIDA]],"0000000000")</f>
        <v>6906000000</v>
      </c>
      <c r="C5177" s="16" t="s">
        <v>860</v>
      </c>
      <c r="D5177" s="16" t="s">
        <v>861</v>
      </c>
      <c r="E5177" s="16" t="s">
        <v>9473</v>
      </c>
      <c r="F5177" s="27" t="s">
        <v>6070</v>
      </c>
      <c r="G5177" s="27"/>
      <c r="H5177" s="16" t="str">
        <f>IF(ISBLANK(PARTIDAS!$G5177),PARTIDAS!$F5177,CONCATENATE(PARTIDAS!$F5177," (",PARTIDAS!$G5177,")"))</f>
        <v>Productos cerámicos</v>
      </c>
      <c r="I5177" s="16" t="s">
        <v>9427</v>
      </c>
    </row>
    <row r="5178" spans="1:9" x14ac:dyDescent="0.25">
      <c r="A5178" s="16" t="s">
        <v>6122</v>
      </c>
      <c r="B5178" s="16" t="str">
        <f>TEXT(PARTIDA[[#This Row],[PARTIDA]],"0000000000")</f>
        <v>6907210000</v>
      </c>
      <c r="C5178" s="16" t="s">
        <v>860</v>
      </c>
      <c r="D5178" s="16" t="s">
        <v>861</v>
      </c>
      <c r="E5178" s="16" t="s">
        <v>9473</v>
      </c>
      <c r="F5178" s="27" t="s">
        <v>13641</v>
      </c>
      <c r="G5178" s="27"/>
      <c r="H5178" s="16" t="str">
        <f>IF(ISBLANK(PARTIDAS!$G5178),PARTIDAS!$F5178,CONCATENATE(PARTIDAS!$F5178," (",PARTIDAS!$G5178,")"))</f>
        <v>Placas y baldosas, para pavimentación o revestimiento, con un coeficiente de absorción de agua inferior o igual al 0,5 % en peso</v>
      </c>
      <c r="I5178" s="16" t="s">
        <v>9427</v>
      </c>
    </row>
    <row r="5179" spans="1:9" x14ac:dyDescent="0.25">
      <c r="A5179" s="16" t="s">
        <v>6123</v>
      </c>
      <c r="B5179" s="16" t="str">
        <f>TEXT(PARTIDA[[#This Row],[PARTIDA]],"0000000000")</f>
        <v>6907220000</v>
      </c>
      <c r="C5179" s="16" t="s">
        <v>860</v>
      </c>
      <c r="D5179" s="16" t="s">
        <v>861</v>
      </c>
      <c r="E5179" s="16" t="s">
        <v>9473</v>
      </c>
      <c r="F5179" s="27" t="s">
        <v>9343</v>
      </c>
      <c r="G5179" s="27"/>
      <c r="H5179" s="16" t="str">
        <f>IF(ISBLANK(PARTIDAS!$G5179),PARTIDAS!$F5179,CONCATENATE(PARTIDAS!$F5179," (",PARTIDAS!$G5179,")"))</f>
        <v>Placas y baldosas, para pavimentación o revestimiento, con un coeficiente de absorción de agua superior al 0,5 % pero inferior o igual al 10 %, en pes</v>
      </c>
      <c r="I5179" s="16" t="s">
        <v>9477</v>
      </c>
    </row>
    <row r="5180" spans="1:9" x14ac:dyDescent="0.25">
      <c r="A5180" s="16" t="s">
        <v>6124</v>
      </c>
      <c r="B5180" s="16" t="str">
        <f>TEXT(PARTIDA[[#This Row],[PARTIDA]],"0000000000")</f>
        <v>6907230000</v>
      </c>
      <c r="C5180" s="16" t="s">
        <v>860</v>
      </c>
      <c r="D5180" s="16" t="s">
        <v>861</v>
      </c>
      <c r="E5180" s="16" t="s">
        <v>9473</v>
      </c>
      <c r="F5180" s="27" t="s">
        <v>13642</v>
      </c>
      <c r="G5180" s="27"/>
      <c r="H5180" s="16" t="str">
        <f>IF(ISBLANK(PARTIDAS!$G5180),PARTIDAS!$F5180,CONCATENATE(PARTIDAS!$F5180," (",PARTIDAS!$G5180,")"))</f>
        <v>Placas y baldosas, para pavimentación o revestimiento, con un coeficiente de absorción de agua superior al 10 % en peso</v>
      </c>
      <c r="I5180" s="16" t="s">
        <v>9427</v>
      </c>
    </row>
    <row r="5181" spans="1:9" x14ac:dyDescent="0.25">
      <c r="A5181" s="16" t="s">
        <v>6125</v>
      </c>
      <c r="B5181" s="16" t="str">
        <f>TEXT(PARTIDA[[#This Row],[PARTIDA]],"0000000000")</f>
        <v>6907300000</v>
      </c>
      <c r="C5181" s="16" t="s">
        <v>860</v>
      </c>
      <c r="D5181" s="16" t="s">
        <v>861</v>
      </c>
      <c r="E5181" s="16" t="s">
        <v>9473</v>
      </c>
      <c r="F5181" s="27" t="s">
        <v>13643</v>
      </c>
      <c r="G5181" s="27"/>
      <c r="H5181" s="16" t="str">
        <f>IF(ISBLANK(PARTIDAS!$G5181),PARTIDAS!$F5181,CONCATENATE(PARTIDAS!$F5181," (",PARTIDAS!$G5181,")"))</f>
        <v>Cubos, dados y artículos similares para mosaicos, excepto los de la subpartida 6907.40</v>
      </c>
      <c r="I5181" s="16" t="s">
        <v>9427</v>
      </c>
    </row>
    <row r="5182" spans="1:9" x14ac:dyDescent="0.25">
      <c r="A5182" s="16" t="s">
        <v>6126</v>
      </c>
      <c r="B5182" s="16" t="str">
        <f>TEXT(PARTIDA[[#This Row],[PARTIDA]],"0000000000")</f>
        <v>6907400000</v>
      </c>
      <c r="C5182" s="16" t="s">
        <v>860</v>
      </c>
      <c r="D5182" s="16" t="s">
        <v>861</v>
      </c>
      <c r="E5182" s="16" t="s">
        <v>9473</v>
      </c>
      <c r="F5182" s="27" t="s">
        <v>13644</v>
      </c>
      <c r="G5182" s="27"/>
      <c r="H5182" s="16" t="str">
        <f>IF(ISBLANK(PARTIDAS!$G5182),PARTIDAS!$F5182,CONCATENATE(PARTIDAS!$F5182," (",PARTIDAS!$G5182,")"))</f>
        <v>Piezas de acabado</v>
      </c>
      <c r="I5182" s="16" t="s">
        <v>9427</v>
      </c>
    </row>
    <row r="5183" spans="1:9" x14ac:dyDescent="0.25">
      <c r="A5183" s="16" t="s">
        <v>6127</v>
      </c>
      <c r="B5183" s="16" t="str">
        <f>TEXT(PARTIDA[[#This Row],[PARTIDA]],"0000000000")</f>
        <v>6909110000</v>
      </c>
      <c r="C5183" s="16" t="s">
        <v>815</v>
      </c>
      <c r="D5183" s="16" t="s">
        <v>835</v>
      </c>
      <c r="E5183" s="16" t="s">
        <v>844</v>
      </c>
      <c r="F5183" s="27" t="s">
        <v>13645</v>
      </c>
      <c r="G5183" s="27"/>
      <c r="H5183" s="16" t="str">
        <f>IF(ISBLANK(PARTIDAS!$G5183),PARTIDAS!$F5183,CONCATENATE(PARTIDAS!$F5183," (",PARTIDAS!$G5183,")"))</f>
        <v>Aparatos y artículos para usos químicos o demás usos técnicos, de porcelana</v>
      </c>
      <c r="I5183" s="16" t="s">
        <v>9427</v>
      </c>
    </row>
    <row r="5184" spans="1:9" x14ac:dyDescent="0.25">
      <c r="A5184" s="16" t="s">
        <v>6128</v>
      </c>
      <c r="B5184" s="16" t="str">
        <f>TEXT(PARTIDA[[#This Row],[PARTIDA]],"0000000000")</f>
        <v>6909120000</v>
      </c>
      <c r="C5184" s="16" t="s">
        <v>815</v>
      </c>
      <c r="D5184" s="16" t="s">
        <v>835</v>
      </c>
      <c r="E5184" s="16" t="s">
        <v>844</v>
      </c>
      <c r="F5184" s="27" t="s">
        <v>13646</v>
      </c>
      <c r="G5184" s="27"/>
      <c r="H5184" s="16" t="str">
        <f>IF(ISBLANK(PARTIDAS!$G5184),PARTIDAS!$F5184,CONCATENATE(PARTIDAS!$F5184," (",PARTIDAS!$G5184,")"))</f>
        <v>Artículos con una dureza equivalente a 9 o superior en la escala de Mohs</v>
      </c>
      <c r="I5184" s="16" t="s">
        <v>9427</v>
      </c>
    </row>
    <row r="5185" spans="1:9" x14ac:dyDescent="0.25">
      <c r="A5185" s="16" t="s">
        <v>6129</v>
      </c>
      <c r="B5185" s="16" t="str">
        <f>TEXT(PARTIDA[[#This Row],[PARTIDA]],"0000000000")</f>
        <v>6909190000</v>
      </c>
      <c r="C5185" s="16" t="s">
        <v>815</v>
      </c>
      <c r="D5185" s="16" t="s">
        <v>835</v>
      </c>
      <c r="E5185" s="16" t="s">
        <v>844</v>
      </c>
      <c r="F5185" s="27" t="s">
        <v>13647</v>
      </c>
      <c r="G5185" s="27"/>
      <c r="H5185" s="16" t="str">
        <f>IF(ISBLANK(PARTIDAS!$G5185),PARTIDAS!$F5185,CONCATENATE(PARTIDAS!$F5185," (",PARTIDAS!$G5185,")"))</f>
        <v>Aparatos y artículos para usos químicos o demás usos técnicos (los demás)</v>
      </c>
      <c r="I5185" s="16" t="s">
        <v>9427</v>
      </c>
    </row>
    <row r="5186" spans="1:9" x14ac:dyDescent="0.25">
      <c r="A5186" s="16" t="s">
        <v>6130</v>
      </c>
      <c r="B5186" s="16" t="str">
        <f>TEXT(PARTIDA[[#This Row],[PARTIDA]],"0000000000")</f>
        <v>6909900000</v>
      </c>
      <c r="C5186" s="16" t="s">
        <v>815</v>
      </c>
      <c r="D5186" s="16" t="s">
        <v>835</v>
      </c>
      <c r="E5186" s="16" t="s">
        <v>844</v>
      </c>
      <c r="F5186" s="27" t="s">
        <v>13648</v>
      </c>
      <c r="G5186" s="27"/>
      <c r="H5186" s="16" t="str">
        <f>IF(ISBLANK(PARTIDAS!$G5186),PARTIDAS!$F5186,CONCATENATE(PARTIDAS!$F5186," (",PARTIDAS!$G5186,")"))</f>
        <v>Aparatos y artículos, de cerámica, para usos químicos o demás usos… (los demás)</v>
      </c>
      <c r="I5186" s="16" t="s">
        <v>9427</v>
      </c>
    </row>
    <row r="5187" spans="1:9" x14ac:dyDescent="0.25">
      <c r="A5187" s="16" t="s">
        <v>6131</v>
      </c>
      <c r="B5187" s="16" t="str">
        <f>TEXT(PARTIDA[[#This Row],[PARTIDA]],"0000000000")</f>
        <v>6910100000</v>
      </c>
      <c r="C5187" s="16" t="s">
        <v>860</v>
      </c>
      <c r="D5187" s="16" t="s">
        <v>861</v>
      </c>
      <c r="E5187" s="16" t="s">
        <v>9473</v>
      </c>
      <c r="F5187" s="27" t="s">
        <v>13649</v>
      </c>
      <c r="G5187" s="27"/>
      <c r="H5187" s="16" t="str">
        <f>IF(ISBLANK(PARTIDAS!$G5187),PARTIDAS!$F5187,CONCATENATE(PARTIDAS!$F5187," (",PARTIDAS!$G5187,")"))</f>
        <v>Fregaderos (piletas de lavar), lavabos, pedestales de lavabo…, de porcelana</v>
      </c>
      <c r="I5187" s="16" t="s">
        <v>9427</v>
      </c>
    </row>
    <row r="5188" spans="1:9" x14ac:dyDescent="0.25">
      <c r="A5188" s="16" t="s">
        <v>6132</v>
      </c>
      <c r="B5188" s="16" t="str">
        <f>TEXT(PARTIDA[[#This Row],[PARTIDA]],"0000000000")</f>
        <v>6910900000</v>
      </c>
      <c r="C5188" s="16" t="s">
        <v>860</v>
      </c>
      <c r="D5188" s="16" t="s">
        <v>861</v>
      </c>
      <c r="E5188" s="16" t="s">
        <v>9473</v>
      </c>
      <c r="F5188" s="27" t="s">
        <v>13650</v>
      </c>
      <c r="G5188" s="27"/>
      <c r="H5188" s="16" t="str">
        <f>IF(ISBLANK(PARTIDAS!$G5188),PARTIDAS!$F5188,CONCATENATE(PARTIDAS!$F5188," (",PARTIDAS!$G5188,")"))</f>
        <v>Fregaderos (piletas de lavar), lavabos, pedestales de lavabo… (los demás)</v>
      </c>
      <c r="I5188" s="16" t="s">
        <v>9427</v>
      </c>
    </row>
    <row r="5189" spans="1:9" x14ac:dyDescent="0.25">
      <c r="A5189" s="16" t="s">
        <v>6133</v>
      </c>
      <c r="B5189" s="16" t="str">
        <f>TEXT(PARTIDA[[#This Row],[PARTIDA]],"0000000000")</f>
        <v>6911100000</v>
      </c>
      <c r="C5189" s="16" t="s">
        <v>786</v>
      </c>
      <c r="D5189" s="16" t="s">
        <v>799</v>
      </c>
      <c r="E5189" s="16" t="s">
        <v>801</v>
      </c>
      <c r="F5189" s="27" t="s">
        <v>13651</v>
      </c>
      <c r="G5189" s="27"/>
      <c r="H5189" s="16" t="str">
        <f>IF(ISBLANK(PARTIDAS!$G5189),PARTIDAS!$F5189,CONCATENATE(PARTIDAS!$F5189," (",PARTIDAS!$G5189,")"))</f>
        <v>Artículos para el servicio de mesa o cocina</v>
      </c>
      <c r="I5189" s="16" t="s">
        <v>9427</v>
      </c>
    </row>
    <row r="5190" spans="1:9" x14ac:dyDescent="0.25">
      <c r="A5190" s="16" t="s">
        <v>6134</v>
      </c>
      <c r="B5190" s="16" t="str">
        <f>TEXT(PARTIDA[[#This Row],[PARTIDA]],"0000000000")</f>
        <v>6911900000</v>
      </c>
      <c r="C5190" s="16" t="s">
        <v>786</v>
      </c>
      <c r="D5190" s="16" t="s">
        <v>799</v>
      </c>
      <c r="E5190" s="16" t="s">
        <v>801</v>
      </c>
      <c r="F5190" s="27" t="s">
        <v>13652</v>
      </c>
      <c r="G5190" s="27"/>
      <c r="H5190" s="16" t="str">
        <f>IF(ISBLANK(PARTIDAS!$G5190),PARTIDAS!$F5190,CONCATENATE(PARTIDAS!$F5190," (",PARTIDAS!$G5190,")"))</f>
        <v>Vajilla y demás artículos de uso doméstico, higiene o tocador, de… (los demás)</v>
      </c>
      <c r="I5190" s="16" t="s">
        <v>9427</v>
      </c>
    </row>
    <row r="5191" spans="1:9" x14ac:dyDescent="0.25">
      <c r="A5191" s="16" t="s">
        <v>6135</v>
      </c>
      <c r="B5191" s="16" t="str">
        <f>TEXT(PARTIDA[[#This Row],[PARTIDA]],"0000000000")</f>
        <v>6912000000</v>
      </c>
      <c r="C5191" s="16" t="s">
        <v>786</v>
      </c>
      <c r="D5191" s="16" t="s">
        <v>799</v>
      </c>
      <c r="E5191" s="16" t="s">
        <v>801</v>
      </c>
      <c r="F5191" s="27" t="s">
        <v>6070</v>
      </c>
      <c r="G5191" s="27"/>
      <c r="H5191" s="16" t="str">
        <f>IF(ISBLANK(PARTIDAS!$G5191),PARTIDAS!$F5191,CONCATENATE(PARTIDAS!$F5191," (",PARTIDAS!$G5191,")"))</f>
        <v>Productos cerámicos</v>
      </c>
      <c r="I5191" s="16" t="s">
        <v>9427</v>
      </c>
    </row>
    <row r="5192" spans="1:9" x14ac:dyDescent="0.25">
      <c r="A5192" s="16" t="s">
        <v>6136</v>
      </c>
      <c r="B5192" s="16" t="str">
        <f>TEXT(PARTIDA[[#This Row],[PARTIDA]],"0000000000")</f>
        <v>6913100000</v>
      </c>
      <c r="C5192" s="16" t="s">
        <v>815</v>
      </c>
      <c r="D5192" s="16" t="s">
        <v>835</v>
      </c>
      <c r="E5192" s="16" t="s">
        <v>844</v>
      </c>
      <c r="F5192" s="27" t="s">
        <v>13653</v>
      </c>
      <c r="G5192" s="27"/>
      <c r="H5192" s="16" t="str">
        <f>IF(ISBLANK(PARTIDAS!$G5192),PARTIDAS!$F5192,CONCATENATE(PARTIDAS!$F5192," (",PARTIDAS!$G5192,")"))</f>
        <v>Estatuillas y demás artículos para adorno, de cerámica, de porcelana</v>
      </c>
      <c r="I5192" s="16" t="s">
        <v>9427</v>
      </c>
    </row>
    <row r="5193" spans="1:9" x14ac:dyDescent="0.25">
      <c r="A5193" s="16" t="s">
        <v>6137</v>
      </c>
      <c r="B5193" s="16" t="str">
        <f>TEXT(PARTIDA[[#This Row],[PARTIDA]],"0000000000")</f>
        <v>6913900000</v>
      </c>
      <c r="C5193" s="16" t="s">
        <v>815</v>
      </c>
      <c r="D5193" s="16" t="s">
        <v>835</v>
      </c>
      <c r="E5193" s="16" t="s">
        <v>844</v>
      </c>
      <c r="F5193" s="27" t="s">
        <v>6070</v>
      </c>
      <c r="G5193" s="27"/>
      <c r="H5193" s="16" t="str">
        <f>IF(ISBLANK(PARTIDAS!$G5193),PARTIDAS!$F5193,CONCATENATE(PARTIDAS!$F5193," (",PARTIDAS!$G5193,")"))</f>
        <v>Productos cerámicos</v>
      </c>
      <c r="I5193" s="16" t="s">
        <v>9427</v>
      </c>
    </row>
    <row r="5194" spans="1:9" x14ac:dyDescent="0.25">
      <c r="A5194" s="16" t="s">
        <v>6138</v>
      </c>
      <c r="B5194" s="16" t="str">
        <f>TEXT(PARTIDA[[#This Row],[PARTIDA]],"0000000000")</f>
        <v>6914100000</v>
      </c>
      <c r="C5194" s="16" t="s">
        <v>815</v>
      </c>
      <c r="D5194" s="16" t="s">
        <v>835</v>
      </c>
      <c r="E5194" s="16" t="s">
        <v>844</v>
      </c>
      <c r="F5194" s="27" t="s">
        <v>13654</v>
      </c>
      <c r="G5194" s="27"/>
      <c r="H5194" s="16" t="str">
        <f>IF(ISBLANK(PARTIDAS!$G5194),PARTIDAS!$F5194,CONCATENATE(PARTIDAS!$F5194," (",PARTIDAS!$G5194,")"))</f>
        <v>Productos cerámicos, de porcelana</v>
      </c>
      <c r="I5194" s="16" t="s">
        <v>9427</v>
      </c>
    </row>
    <row r="5195" spans="1:9" x14ac:dyDescent="0.25">
      <c r="A5195" s="16" t="s">
        <v>6139</v>
      </c>
      <c r="B5195" s="16" t="str">
        <f>TEXT(PARTIDA[[#This Row],[PARTIDA]],"0000000000")</f>
        <v>6914900000</v>
      </c>
      <c r="C5195" s="16" t="s">
        <v>815</v>
      </c>
      <c r="D5195" s="16" t="s">
        <v>835</v>
      </c>
      <c r="E5195" s="16" t="s">
        <v>844</v>
      </c>
      <c r="F5195" s="27" t="s">
        <v>13638</v>
      </c>
      <c r="G5195" s="27"/>
      <c r="H5195" s="16" t="str">
        <f>IF(ISBLANK(PARTIDAS!$G5195),PARTIDAS!$F5195,CONCATENATE(PARTIDAS!$F5195," (",PARTIDAS!$G5195,")"))</f>
        <v>Productos cerámicos (los demás)</v>
      </c>
      <c r="I5195" s="16" t="s">
        <v>9427</v>
      </c>
    </row>
    <row r="5196" spans="1:9" x14ac:dyDescent="0.25">
      <c r="A5196" s="16" t="s">
        <v>6140</v>
      </c>
      <c r="B5196" s="16" t="str">
        <f>TEXT(PARTIDA[[#This Row],[PARTIDA]],"0000000000")</f>
        <v>7001001000</v>
      </c>
      <c r="C5196" s="16" t="s">
        <v>815</v>
      </c>
      <c r="D5196" s="16" t="s">
        <v>835</v>
      </c>
      <c r="E5196" s="16" t="s">
        <v>844</v>
      </c>
      <c r="F5196" s="27" t="s">
        <v>13655</v>
      </c>
      <c r="G5196" s="27"/>
      <c r="H5196" s="16" t="str">
        <f>IF(ISBLANK(PARTIDAS!$G5196),PARTIDAS!$F5196,CONCATENATE(PARTIDAS!$F5196," (",PARTIDAS!$G5196,")"))</f>
        <v>Desperdicios y desechos</v>
      </c>
      <c r="I5196" s="16" t="s">
        <v>9427</v>
      </c>
    </row>
    <row r="5197" spans="1:9" x14ac:dyDescent="0.25">
      <c r="A5197" s="16" t="s">
        <v>6141</v>
      </c>
      <c r="B5197" s="16" t="str">
        <f>TEXT(PARTIDA[[#This Row],[PARTIDA]],"0000000000")</f>
        <v>7001003000</v>
      </c>
      <c r="C5197" s="16" t="s">
        <v>815</v>
      </c>
      <c r="D5197" s="16" t="s">
        <v>835</v>
      </c>
      <c r="E5197" s="16" t="s">
        <v>844</v>
      </c>
      <c r="F5197" s="27" t="s">
        <v>13656</v>
      </c>
      <c r="G5197" s="27"/>
      <c r="H5197" s="16" t="str">
        <f>IF(ISBLANK(PARTIDAS!$G5197),PARTIDAS!$F5197,CONCATENATE(PARTIDAS!$F5197," (",PARTIDAS!$G5197,")"))</f>
        <v>Vidrio en masa</v>
      </c>
      <c r="I5197" s="16" t="s">
        <v>9427</v>
      </c>
    </row>
    <row r="5198" spans="1:9" x14ac:dyDescent="0.25">
      <c r="A5198" s="16" t="s">
        <v>6142</v>
      </c>
      <c r="B5198" s="16" t="str">
        <f>TEXT(PARTIDA[[#This Row],[PARTIDA]],"0000000000")</f>
        <v>7002100000</v>
      </c>
      <c r="C5198" s="16" t="s">
        <v>815</v>
      </c>
      <c r="D5198" s="16" t="s">
        <v>835</v>
      </c>
      <c r="E5198" s="16" t="s">
        <v>844</v>
      </c>
      <c r="F5198" s="27" t="s">
        <v>13657</v>
      </c>
      <c r="G5198" s="27"/>
      <c r="H5198" s="16" t="str">
        <f>IF(ISBLANK(PARTIDAS!$G5198),PARTIDAS!$F5198,CONCATENATE(PARTIDAS!$F5198," (",PARTIDAS!$G5198,")"))</f>
        <v>Bolas</v>
      </c>
      <c r="I5198" s="16" t="s">
        <v>9427</v>
      </c>
    </row>
    <row r="5199" spans="1:9" x14ac:dyDescent="0.25">
      <c r="A5199" s="16" t="s">
        <v>6143</v>
      </c>
      <c r="B5199" s="16" t="str">
        <f>TEXT(PARTIDA[[#This Row],[PARTIDA]],"0000000000")</f>
        <v>7002200000</v>
      </c>
      <c r="C5199" s="16" t="s">
        <v>815</v>
      </c>
      <c r="D5199" s="16" t="s">
        <v>835</v>
      </c>
      <c r="E5199" s="16" t="s">
        <v>844</v>
      </c>
      <c r="F5199" s="27" t="s">
        <v>13658</v>
      </c>
      <c r="G5199" s="27"/>
      <c r="H5199" s="16" t="str">
        <f>IF(ISBLANK(PARTIDAS!$G5199),PARTIDAS!$F5199,CONCATENATE(PARTIDAS!$F5199," (",PARTIDAS!$G5199,")"))</f>
        <v>Barras o varillas</v>
      </c>
      <c r="I5199" s="16" t="s">
        <v>9427</v>
      </c>
    </row>
    <row r="5200" spans="1:9" x14ac:dyDescent="0.25">
      <c r="A5200" s="16" t="s">
        <v>6144</v>
      </c>
      <c r="B5200" s="16" t="str">
        <f>TEXT(PARTIDA[[#This Row],[PARTIDA]],"0000000000")</f>
        <v>7002310000</v>
      </c>
      <c r="C5200" s="16" t="s">
        <v>815</v>
      </c>
      <c r="D5200" s="16" t="s">
        <v>835</v>
      </c>
      <c r="E5200" s="16" t="s">
        <v>844</v>
      </c>
      <c r="F5200" s="27" t="s">
        <v>13659</v>
      </c>
      <c r="G5200" s="27"/>
      <c r="H5200" s="16" t="str">
        <f>IF(ISBLANK(PARTIDAS!$G5200),PARTIDAS!$F5200,CONCATENATE(PARTIDAS!$F5200," (",PARTIDAS!$G5200,")"))</f>
        <v>Tubos, de cuarzo o demás sílices fundidos</v>
      </c>
      <c r="I5200" s="16" t="s">
        <v>9427</v>
      </c>
    </row>
    <row r="5201" spans="1:9" x14ac:dyDescent="0.25">
      <c r="A5201" s="16" t="s">
        <v>6145</v>
      </c>
      <c r="B5201" s="16" t="str">
        <f>TEXT(PARTIDA[[#This Row],[PARTIDA]],"0000000000")</f>
        <v>7002320000</v>
      </c>
      <c r="C5201" s="16" t="s">
        <v>815</v>
      </c>
      <c r="D5201" s="16" t="s">
        <v>835</v>
      </c>
      <c r="E5201" s="16" t="s">
        <v>844</v>
      </c>
      <c r="F5201" s="27" t="s">
        <v>13660</v>
      </c>
      <c r="G5201" s="27"/>
      <c r="H5201" s="16" t="str">
        <f>IF(ISBLANK(PARTIDAS!$G5201),PARTIDAS!$F5201,CONCATENATE(PARTIDAS!$F5201," (",PARTIDAS!$G5201,")"))</f>
        <v>Tubos, de otro vidrio con un coeficiente de dilatación lineal inferior o igual a 5x10-6 por Kelvin, entre 0 °C y 300 °C</v>
      </c>
      <c r="I5201" s="16" t="s">
        <v>9427</v>
      </c>
    </row>
    <row r="5202" spans="1:9" x14ac:dyDescent="0.25">
      <c r="A5202" s="16" t="s">
        <v>6146</v>
      </c>
      <c r="B5202" s="16" t="str">
        <f>TEXT(PARTIDA[[#This Row],[PARTIDA]],"0000000000")</f>
        <v>7002390000</v>
      </c>
      <c r="C5202" s="16" t="s">
        <v>815</v>
      </c>
      <c r="D5202" s="16" t="s">
        <v>835</v>
      </c>
      <c r="E5202" s="16" t="s">
        <v>844</v>
      </c>
      <c r="F5202" s="27" t="s">
        <v>13661</v>
      </c>
      <c r="G5202" s="27"/>
      <c r="H5202" s="16" t="str">
        <f>IF(ISBLANK(PARTIDAS!$G5202),PARTIDAS!$F5202,CONCATENATE(PARTIDAS!$F5202," (",PARTIDAS!$G5202,")"))</f>
        <v>Tubos (los demás)</v>
      </c>
      <c r="I5202" s="16" t="s">
        <v>9427</v>
      </c>
    </row>
    <row r="5203" spans="1:9" x14ac:dyDescent="0.25">
      <c r="A5203" s="16" t="s">
        <v>6147</v>
      </c>
      <c r="B5203" s="16" t="str">
        <f>TEXT(PARTIDA[[#This Row],[PARTIDA]],"0000000000")</f>
        <v>7003121000</v>
      </c>
      <c r="C5203" s="16" t="s">
        <v>860</v>
      </c>
      <c r="D5203" s="16" t="s">
        <v>861</v>
      </c>
      <c r="E5203" s="16" t="s">
        <v>9473</v>
      </c>
      <c r="F5203" s="27" t="s">
        <v>13662</v>
      </c>
      <c r="G5203" s="27"/>
      <c r="H5203" s="16" t="str">
        <f>IF(ISBLANK(PARTIDAS!$G5203),PARTIDAS!$F5203,CONCATENATE(PARTIDAS!$F5203," (",PARTIDAS!$G5203,")"))</f>
        <v>Coloreadas en la masa, opacificadas, chapadas o con capa absorbente…, lisas</v>
      </c>
      <c r="I5203" s="16" t="s">
        <v>9427</v>
      </c>
    </row>
    <row r="5204" spans="1:9" x14ac:dyDescent="0.25">
      <c r="A5204" s="16" t="s">
        <v>6148</v>
      </c>
      <c r="B5204" s="16" t="str">
        <f>TEXT(PARTIDA[[#This Row],[PARTIDA]],"0000000000")</f>
        <v>7003122000</v>
      </c>
      <c r="C5204" s="16" t="s">
        <v>860</v>
      </c>
      <c r="D5204" s="16" t="s">
        <v>861</v>
      </c>
      <c r="E5204" s="16" t="s">
        <v>9473</v>
      </c>
      <c r="F5204" s="27" t="s">
        <v>13663</v>
      </c>
      <c r="G5204" s="27"/>
      <c r="H5204" s="16" t="str">
        <f>IF(ISBLANK(PARTIDAS!$G5204),PARTIDAS!$F5204,CONCATENATE(PARTIDAS!$F5204," (",PARTIDAS!$G5204,")"))</f>
        <v>Estriadas, onduladas, estampadas o similares</v>
      </c>
      <c r="I5204" s="16" t="s">
        <v>9427</v>
      </c>
    </row>
    <row r="5205" spans="1:9" x14ac:dyDescent="0.25">
      <c r="A5205" s="16" t="s">
        <v>6149</v>
      </c>
      <c r="B5205" s="16" t="str">
        <f>TEXT(PARTIDA[[#This Row],[PARTIDA]],"0000000000")</f>
        <v>7003191000</v>
      </c>
      <c r="C5205" s="16" t="s">
        <v>860</v>
      </c>
      <c r="D5205" s="16" t="s">
        <v>861</v>
      </c>
      <c r="E5205" s="16" t="s">
        <v>9473</v>
      </c>
      <c r="F5205" s="27" t="s">
        <v>13664</v>
      </c>
      <c r="G5205" s="27"/>
      <c r="H5205" s="16" t="str">
        <f>IF(ISBLANK(PARTIDAS!$G5205),PARTIDAS!$F5205,CONCATENATE(PARTIDAS!$F5205," (",PARTIDAS!$G5205,")"))</f>
        <v>Placas y hojas, sin armar, lisas</v>
      </c>
      <c r="I5205" s="16" t="s">
        <v>9427</v>
      </c>
    </row>
    <row r="5206" spans="1:9" x14ac:dyDescent="0.25">
      <c r="A5206" s="16" t="s">
        <v>6150</v>
      </c>
      <c r="B5206" s="16" t="str">
        <f>TEXT(PARTIDA[[#This Row],[PARTIDA]],"0000000000")</f>
        <v>7003192000</v>
      </c>
      <c r="C5206" s="16" t="s">
        <v>860</v>
      </c>
      <c r="D5206" s="16" t="s">
        <v>861</v>
      </c>
      <c r="E5206" s="16" t="s">
        <v>9473</v>
      </c>
      <c r="F5206" s="27" t="s">
        <v>13663</v>
      </c>
      <c r="G5206" s="27"/>
      <c r="H5206" s="16" t="str">
        <f>IF(ISBLANK(PARTIDAS!$G5206),PARTIDAS!$F5206,CONCATENATE(PARTIDAS!$F5206," (",PARTIDAS!$G5206,")"))</f>
        <v>Estriadas, onduladas, estampadas o similares</v>
      </c>
      <c r="I5206" s="16" t="s">
        <v>9427</v>
      </c>
    </row>
    <row r="5207" spans="1:9" x14ac:dyDescent="0.25">
      <c r="A5207" s="16" t="s">
        <v>6151</v>
      </c>
      <c r="B5207" s="16" t="str">
        <f>TEXT(PARTIDA[[#This Row],[PARTIDA]],"0000000000")</f>
        <v>7003200000</v>
      </c>
      <c r="C5207" s="16" t="s">
        <v>860</v>
      </c>
      <c r="D5207" s="16" t="s">
        <v>861</v>
      </c>
      <c r="E5207" s="16" t="s">
        <v>9473</v>
      </c>
      <c r="F5207" s="27" t="s">
        <v>13665</v>
      </c>
      <c r="G5207" s="27"/>
      <c r="H5207" s="16" t="str">
        <f>IF(ISBLANK(PARTIDAS!$G5207),PARTIDAS!$F5207,CONCATENATE(PARTIDAS!$F5207," (",PARTIDAS!$G5207,")"))</f>
        <v>Placas y hojas, armadas</v>
      </c>
      <c r="I5207" s="16" t="s">
        <v>9427</v>
      </c>
    </row>
    <row r="5208" spans="1:9" x14ac:dyDescent="0.25">
      <c r="A5208" s="16" t="s">
        <v>6152</v>
      </c>
      <c r="B5208" s="16" t="str">
        <f>TEXT(PARTIDA[[#This Row],[PARTIDA]],"0000000000")</f>
        <v>7003300000</v>
      </c>
      <c r="C5208" s="16" t="s">
        <v>860</v>
      </c>
      <c r="D5208" s="16" t="s">
        <v>861</v>
      </c>
      <c r="E5208" s="16" t="s">
        <v>9473</v>
      </c>
      <c r="F5208" s="27" t="s">
        <v>13666</v>
      </c>
      <c r="G5208" s="27"/>
      <c r="H5208" s="16" t="str">
        <f>IF(ISBLANK(PARTIDAS!$G5208),PARTIDAS!$F5208,CONCATENATE(PARTIDAS!$F5208," (",PARTIDAS!$G5208,")"))</f>
        <v>Perfiles</v>
      </c>
      <c r="I5208" s="16" t="s">
        <v>9427</v>
      </c>
    </row>
    <row r="5209" spans="1:9" x14ac:dyDescent="0.25">
      <c r="A5209" s="16" t="s">
        <v>6153</v>
      </c>
      <c r="B5209" s="16" t="str">
        <f>TEXT(PARTIDA[[#This Row],[PARTIDA]],"0000000000")</f>
        <v>7004200010</v>
      </c>
      <c r="C5209" s="16" t="s">
        <v>860</v>
      </c>
      <c r="D5209" s="16" t="s">
        <v>861</v>
      </c>
      <c r="E5209" s="16" t="s">
        <v>9473</v>
      </c>
      <c r="F5209" s="27" t="s">
        <v>13667</v>
      </c>
      <c r="G5209" s="27"/>
      <c r="H5209" s="16" t="str">
        <f>IF(ISBLANK(PARTIDAS!$G5209),PARTIDAS!$F5209,CONCATENATE(PARTIDAS!$F5209," (",PARTIDAS!$G5209,")"))</f>
        <v>Vidrio coloreado en la masa, opacificado, chapado o con capa…, de espesor inferior o igual a 6 mm</v>
      </c>
      <c r="I5209" s="16" t="s">
        <v>9427</v>
      </c>
    </row>
    <row r="5210" spans="1:9" x14ac:dyDescent="0.25">
      <c r="A5210" s="16" t="s">
        <v>6154</v>
      </c>
      <c r="B5210" s="16" t="str">
        <f>TEXT(PARTIDA[[#This Row],[PARTIDA]],"0000000000")</f>
        <v>7004200090</v>
      </c>
      <c r="C5210" s="16" t="s">
        <v>860</v>
      </c>
      <c r="D5210" s="16" t="s">
        <v>861</v>
      </c>
      <c r="E5210" s="16" t="s">
        <v>9473</v>
      </c>
      <c r="F5210" s="27" t="s">
        <v>13668</v>
      </c>
      <c r="G5210" s="27"/>
      <c r="H5210" s="16" t="str">
        <f>IF(ISBLANK(PARTIDAS!$G5210),PARTIDAS!$F5210,CONCATENATE(PARTIDAS!$F5210," (",PARTIDAS!$G5210,")"))</f>
        <v>Vidrio coloreado en la masa, opacificado, chapado o con capa… (los demás)</v>
      </c>
      <c r="I5210" s="16" t="s">
        <v>9427</v>
      </c>
    </row>
    <row r="5211" spans="1:9" x14ac:dyDescent="0.25">
      <c r="A5211" s="16" t="s">
        <v>6155</v>
      </c>
      <c r="B5211" s="16" t="str">
        <f>TEXT(PARTIDA[[#This Row],[PARTIDA]],"0000000000")</f>
        <v>7004900020</v>
      </c>
      <c r="C5211" s="16" t="s">
        <v>860</v>
      </c>
      <c r="D5211" s="16" t="s">
        <v>861</v>
      </c>
      <c r="E5211" s="16" t="s">
        <v>9473</v>
      </c>
      <c r="F5211" s="27" t="s">
        <v>13669</v>
      </c>
      <c r="G5211" s="27"/>
      <c r="H5211" s="16" t="str">
        <f>IF(ISBLANK(PARTIDAS!$G5211),PARTIDAS!$F5211,CONCATENATE(PARTIDAS!$F5211," (",PARTIDAS!$G5211,")"))</f>
        <v>Vidrio estirado o soplado, en hojas, incluso con capa absorbente…, de espesor inferior o igual a 6 mm</v>
      </c>
      <c r="I5211" s="16" t="s">
        <v>9427</v>
      </c>
    </row>
    <row r="5212" spans="1:9" x14ac:dyDescent="0.25">
      <c r="A5212" s="16" t="s">
        <v>6156</v>
      </c>
      <c r="B5212" s="16" t="str">
        <f>TEXT(PARTIDA[[#This Row],[PARTIDA]],"0000000000")</f>
        <v>7004900090</v>
      </c>
      <c r="C5212" s="16" t="s">
        <v>860</v>
      </c>
      <c r="D5212" s="16" t="s">
        <v>861</v>
      </c>
      <c r="E5212" s="16" t="s">
        <v>9473</v>
      </c>
      <c r="F5212" s="27" t="s">
        <v>13670</v>
      </c>
      <c r="G5212" s="27"/>
      <c r="H5212" s="16" t="str">
        <f>IF(ISBLANK(PARTIDAS!$G5212),PARTIDAS!$F5212,CONCATENATE(PARTIDAS!$F5212," (",PARTIDAS!$G5212,")"))</f>
        <v>Vidrio estirado o soplado, en hojas, incluso con capa absorbente… (los demás)</v>
      </c>
      <c r="I5212" s="16" t="s">
        <v>9427</v>
      </c>
    </row>
    <row r="5213" spans="1:9" x14ac:dyDescent="0.25">
      <c r="A5213" s="16" t="s">
        <v>6157</v>
      </c>
      <c r="B5213" s="16" t="str">
        <f>TEXT(PARTIDA[[#This Row],[PARTIDA]],"0000000000")</f>
        <v>7005100000</v>
      </c>
      <c r="C5213" s="16" t="s">
        <v>860</v>
      </c>
      <c r="D5213" s="16" t="s">
        <v>861</v>
      </c>
      <c r="E5213" s="16" t="s">
        <v>9473</v>
      </c>
      <c r="F5213" s="27" t="s">
        <v>13671</v>
      </c>
      <c r="G5213" s="27"/>
      <c r="H5213" s="16" t="str">
        <f>IF(ISBLANK(PARTIDAS!$G5213),PARTIDAS!$F5213,CONCATENATE(PARTIDAS!$F5213," (",PARTIDAS!$G5213,")"))</f>
        <v>Vidrio sin armar con capa absorbente, reflectante o antirreflectante</v>
      </c>
      <c r="I5213" s="16" t="s">
        <v>9427</v>
      </c>
    </row>
    <row r="5214" spans="1:9" x14ac:dyDescent="0.25">
      <c r="A5214" s="16" t="s">
        <v>6158</v>
      </c>
      <c r="B5214" s="16" t="str">
        <f>TEXT(PARTIDA[[#This Row],[PARTIDA]],"0000000000")</f>
        <v>7005211100</v>
      </c>
      <c r="C5214" s="16" t="s">
        <v>860</v>
      </c>
      <c r="D5214" s="16" t="s">
        <v>861</v>
      </c>
      <c r="E5214" s="16" t="s">
        <v>9473</v>
      </c>
      <c r="F5214" s="27" t="s">
        <v>13672</v>
      </c>
      <c r="G5214" s="27"/>
      <c r="H5214" s="16" t="str">
        <f>IF(ISBLANK(PARTIDAS!$G5214),PARTIDAS!$F5214,CONCATENATE(PARTIDAS!$F5214," (",PARTIDAS!$G5214,")"))</f>
        <v>Coloreados en la masa, opacificados, chapados o…, de espesor inferior o igual a 6 mm, flotado</v>
      </c>
      <c r="I5214" s="16" t="s">
        <v>9427</v>
      </c>
    </row>
    <row r="5215" spans="1:9" x14ac:dyDescent="0.25">
      <c r="A5215" s="16" t="s">
        <v>6159</v>
      </c>
      <c r="B5215" s="16" t="str">
        <f>TEXT(PARTIDA[[#This Row],[PARTIDA]],"0000000000")</f>
        <v>7005211900</v>
      </c>
      <c r="C5215" s="16" t="s">
        <v>860</v>
      </c>
      <c r="D5215" s="16" t="s">
        <v>861</v>
      </c>
      <c r="E5215" s="16" t="s">
        <v>9473</v>
      </c>
      <c r="F5215" s="27" t="s">
        <v>13673</v>
      </c>
      <c r="G5215" s="27"/>
      <c r="H5215" s="16" t="str">
        <f>IF(ISBLANK(PARTIDAS!$G5215),PARTIDAS!$F5215,CONCATENATE(PARTIDAS!$F5215," (",PARTIDAS!$G5215,")"))</f>
        <v>Coloreados en la masa, opacificados, chapados o…, de espesor inferior o igual a 6 mm (los demás)</v>
      </c>
      <c r="I5215" s="16" t="s">
        <v>9427</v>
      </c>
    </row>
    <row r="5216" spans="1:9" x14ac:dyDescent="0.25">
      <c r="A5216" s="16" t="s">
        <v>6160</v>
      </c>
      <c r="B5216" s="16" t="str">
        <f>TEXT(PARTIDA[[#This Row],[PARTIDA]],"0000000000")</f>
        <v>7005219000</v>
      </c>
      <c r="C5216" s="16" t="s">
        <v>860</v>
      </c>
      <c r="D5216" s="16" t="s">
        <v>861</v>
      </c>
      <c r="E5216" s="16" t="s">
        <v>9473</v>
      </c>
      <c r="F5216" s="27" t="s">
        <v>13674</v>
      </c>
      <c r="G5216" s="27"/>
      <c r="H5216" s="16" t="str">
        <f>IF(ISBLANK(PARTIDAS!$G5216),PARTIDAS!$F5216,CONCATENATE(PARTIDAS!$F5216," (",PARTIDAS!$G5216,")"))</f>
        <v>Coloreados en la masa, opacificados, chapados o simplemente… (los demás)</v>
      </c>
      <c r="I5216" s="16" t="s">
        <v>9427</v>
      </c>
    </row>
    <row r="5217" spans="1:9" x14ac:dyDescent="0.25">
      <c r="A5217" s="16" t="s">
        <v>6161</v>
      </c>
      <c r="B5217" s="16" t="str">
        <f>TEXT(PARTIDA[[#This Row],[PARTIDA]],"0000000000")</f>
        <v>7005291000</v>
      </c>
      <c r="C5217" s="16" t="s">
        <v>860</v>
      </c>
      <c r="D5217" s="16" t="s">
        <v>861</v>
      </c>
      <c r="E5217" s="16" t="s">
        <v>9473</v>
      </c>
      <c r="F5217" s="27" t="s">
        <v>13675</v>
      </c>
      <c r="G5217" s="27"/>
      <c r="H5217" s="16" t="str">
        <f>IF(ISBLANK(PARTIDAS!$G5217),PARTIDAS!$F5217,CONCATENATE(PARTIDAS!$F5217," (",PARTIDAS!$G5217,")"))</f>
        <v>Vidrio flotado y vidrio desbastado o pulido por una o las dos caras…, de espesor inferior o igual a 6 mm</v>
      </c>
      <c r="I5217" s="16" t="s">
        <v>9427</v>
      </c>
    </row>
    <row r="5218" spans="1:9" x14ac:dyDescent="0.25">
      <c r="A5218" s="16" t="s">
        <v>6162</v>
      </c>
      <c r="B5218" s="16" t="str">
        <f>TEXT(PARTIDA[[#This Row],[PARTIDA]],"0000000000")</f>
        <v>7005299000</v>
      </c>
      <c r="C5218" s="16" t="s">
        <v>860</v>
      </c>
      <c r="D5218" s="16" t="s">
        <v>861</v>
      </c>
      <c r="E5218" s="16" t="s">
        <v>9473</v>
      </c>
      <c r="F5218" s="27" t="s">
        <v>13676</v>
      </c>
      <c r="G5218" s="27"/>
      <c r="H5218" s="16" t="str">
        <f>IF(ISBLANK(PARTIDAS!$G5218),PARTIDAS!$F5218,CONCATENATE(PARTIDAS!$F5218," (",PARTIDAS!$G5218,")"))</f>
        <v>Vidrio flotado y vidrio desbastado o pulido por una o las dos caras… (los demás)</v>
      </c>
      <c r="I5218" s="16" t="s">
        <v>9427</v>
      </c>
    </row>
    <row r="5219" spans="1:9" x14ac:dyDescent="0.25">
      <c r="A5219" s="16" t="s">
        <v>6163</v>
      </c>
      <c r="B5219" s="16" t="str">
        <f>TEXT(PARTIDA[[#This Row],[PARTIDA]],"0000000000")</f>
        <v>7005300000</v>
      </c>
      <c r="C5219" s="16" t="s">
        <v>860</v>
      </c>
      <c r="D5219" s="16" t="s">
        <v>861</v>
      </c>
      <c r="E5219" s="16" t="s">
        <v>9473</v>
      </c>
      <c r="F5219" s="27" t="s">
        <v>13677</v>
      </c>
      <c r="G5219" s="27"/>
      <c r="H5219" s="16" t="str">
        <f>IF(ISBLANK(PARTIDAS!$G5219),PARTIDAS!$F5219,CONCATENATE(PARTIDAS!$F5219," (",PARTIDAS!$G5219,")"))</f>
        <v>Vidrio armado</v>
      </c>
      <c r="I5219" s="16" t="s">
        <v>9427</v>
      </c>
    </row>
    <row r="5220" spans="1:9" x14ac:dyDescent="0.25">
      <c r="A5220" s="16" t="s">
        <v>6164</v>
      </c>
      <c r="B5220" s="16" t="str">
        <f>TEXT(PARTIDA[[#This Row],[PARTIDA]],"0000000000")</f>
        <v>7006000000</v>
      </c>
      <c r="C5220" s="16" t="s">
        <v>815</v>
      </c>
      <c r="D5220" s="16" t="s">
        <v>835</v>
      </c>
      <c r="E5220" s="16" t="s">
        <v>844</v>
      </c>
      <c r="F5220" s="27" t="s">
        <v>6165</v>
      </c>
      <c r="G5220" s="27"/>
      <c r="H5220" s="16" t="str">
        <f>IF(ISBLANK(PARTIDAS!$G5220),PARTIDAS!$F5220,CONCATENATE(PARTIDAS!$F5220," (",PARTIDAS!$G5220,")"))</f>
        <v>Productos de vidrio</v>
      </c>
      <c r="I5220" s="16" t="s">
        <v>9427</v>
      </c>
    </row>
    <row r="5221" spans="1:9" x14ac:dyDescent="0.25">
      <c r="A5221" s="16" t="s">
        <v>6166</v>
      </c>
      <c r="B5221" s="16" t="str">
        <f>TEXT(PARTIDA[[#This Row],[PARTIDA]],"0000000000")</f>
        <v>7007110000</v>
      </c>
      <c r="C5221" s="16" t="s">
        <v>815</v>
      </c>
      <c r="D5221" s="16" t="s">
        <v>835</v>
      </c>
      <c r="E5221" s="16" t="s">
        <v>844</v>
      </c>
      <c r="F5221" s="27" t="s">
        <v>13678</v>
      </c>
      <c r="G5221" s="27"/>
      <c r="H5221" s="16" t="str">
        <f>IF(ISBLANK(PARTIDAS!$G5221),PARTIDAS!$F5221,CONCATENATE(PARTIDAS!$F5221," (",PARTIDAS!$G5221,")"))</f>
        <v>Vidrio templado, de dimensiones y formatos que permitan su empleo en automóviles, aeronaves, barcos u otros vehículos</v>
      </c>
      <c r="I5221" s="16" t="s">
        <v>9427</v>
      </c>
    </row>
    <row r="5222" spans="1:9" x14ac:dyDescent="0.25">
      <c r="A5222" s="16" t="s">
        <v>6167</v>
      </c>
      <c r="B5222" s="16" t="str">
        <f>TEXT(PARTIDA[[#This Row],[PARTIDA]],"0000000000")</f>
        <v>7007190000</v>
      </c>
      <c r="C5222" s="16" t="s">
        <v>815</v>
      </c>
      <c r="D5222" s="16" t="s">
        <v>835</v>
      </c>
      <c r="E5222" s="16" t="s">
        <v>844</v>
      </c>
      <c r="F5222" s="27" t="s">
        <v>13679</v>
      </c>
      <c r="G5222" s="27"/>
      <c r="H5222" s="16" t="str">
        <f>IF(ISBLANK(PARTIDAS!$G5222),PARTIDAS!$F5222,CONCATENATE(PARTIDAS!$F5222," (",PARTIDAS!$G5222,")"))</f>
        <v>Vidrio templado (los demás)</v>
      </c>
      <c r="I5222" s="16" t="s">
        <v>9427</v>
      </c>
    </row>
    <row r="5223" spans="1:9" x14ac:dyDescent="0.25">
      <c r="A5223" s="16" t="s">
        <v>6168</v>
      </c>
      <c r="B5223" s="16" t="str">
        <f>TEXT(PARTIDA[[#This Row],[PARTIDA]],"0000000000")</f>
        <v>7007210000</v>
      </c>
      <c r="C5223" s="16" t="s">
        <v>815</v>
      </c>
      <c r="D5223" s="16" t="s">
        <v>835</v>
      </c>
      <c r="E5223" s="16" t="s">
        <v>844</v>
      </c>
      <c r="F5223" s="27" t="s">
        <v>13680</v>
      </c>
      <c r="G5223" s="27"/>
      <c r="H5223" s="16" t="str">
        <f>IF(ISBLANK(PARTIDAS!$G5223),PARTIDAS!$F5223,CONCATENATE(PARTIDAS!$F5223," (",PARTIDAS!$G5223,")"))</f>
        <v>Vidrio contrachapado, de dimensiones y formatos que permitan su empleo en automóviles, aeronaves, barcos u otros vehículos</v>
      </c>
      <c r="I5223" s="16" t="s">
        <v>9427</v>
      </c>
    </row>
    <row r="5224" spans="1:9" x14ac:dyDescent="0.25">
      <c r="A5224" s="16" t="s">
        <v>6169</v>
      </c>
      <c r="B5224" s="16" t="str">
        <f>TEXT(PARTIDA[[#This Row],[PARTIDA]],"0000000000")</f>
        <v>7007290000</v>
      </c>
      <c r="C5224" s="16" t="s">
        <v>815</v>
      </c>
      <c r="D5224" s="16" t="s">
        <v>835</v>
      </c>
      <c r="E5224" s="16" t="s">
        <v>844</v>
      </c>
      <c r="F5224" s="27" t="s">
        <v>6165</v>
      </c>
      <c r="G5224" s="27"/>
      <c r="H5224" s="16" t="str">
        <f>IF(ISBLANK(PARTIDAS!$G5224),PARTIDAS!$F5224,CONCATENATE(PARTIDAS!$F5224," (",PARTIDAS!$G5224,")"))</f>
        <v>Productos de vidrio</v>
      </c>
      <c r="I5224" s="16" t="s">
        <v>9427</v>
      </c>
    </row>
    <row r="5225" spans="1:9" x14ac:dyDescent="0.25">
      <c r="A5225" s="16" t="s">
        <v>6170</v>
      </c>
      <c r="B5225" s="16" t="str">
        <f>TEXT(PARTIDA[[#This Row],[PARTIDA]],"0000000000")</f>
        <v>7008000000</v>
      </c>
      <c r="C5225" s="16" t="s">
        <v>860</v>
      </c>
      <c r="D5225" s="16" t="s">
        <v>861</v>
      </c>
      <c r="E5225" s="16" t="s">
        <v>9473</v>
      </c>
      <c r="F5225" s="27" t="s">
        <v>6165</v>
      </c>
      <c r="G5225" s="27"/>
      <c r="H5225" s="16" t="str">
        <f>IF(ISBLANK(PARTIDAS!$G5225),PARTIDAS!$F5225,CONCATENATE(PARTIDAS!$F5225," (",PARTIDAS!$G5225,")"))</f>
        <v>Productos de vidrio</v>
      </c>
      <c r="I5225" s="16" t="s">
        <v>9427</v>
      </c>
    </row>
    <row r="5226" spans="1:9" x14ac:dyDescent="0.25">
      <c r="A5226" s="16" t="s">
        <v>6171</v>
      </c>
      <c r="B5226" s="16" t="str">
        <f>TEXT(PARTIDA[[#This Row],[PARTIDA]],"0000000000")</f>
        <v>7009100000</v>
      </c>
      <c r="C5226" s="16" t="s">
        <v>815</v>
      </c>
      <c r="D5226" s="16" t="s">
        <v>835</v>
      </c>
      <c r="E5226" s="16" t="s">
        <v>844</v>
      </c>
      <c r="F5226" s="27" t="s">
        <v>13681</v>
      </c>
      <c r="G5226" s="27"/>
      <c r="H5226" s="16" t="str">
        <f>IF(ISBLANK(PARTIDAS!$G5226),PARTIDAS!$F5226,CONCATENATE(PARTIDAS!$F5226," (",PARTIDAS!$G5226,")"))</f>
        <v>Espejos retrovisores para vehículos</v>
      </c>
      <c r="I5226" s="16" t="s">
        <v>9427</v>
      </c>
    </row>
    <row r="5227" spans="1:9" x14ac:dyDescent="0.25">
      <c r="A5227" s="16" t="s">
        <v>6172</v>
      </c>
      <c r="B5227" s="16" t="str">
        <f>TEXT(PARTIDA[[#This Row],[PARTIDA]],"0000000000")</f>
        <v>7009910000</v>
      </c>
      <c r="C5227" s="16" t="s">
        <v>815</v>
      </c>
      <c r="D5227" s="16" t="s">
        <v>835</v>
      </c>
      <c r="E5227" s="16" t="s">
        <v>9463</v>
      </c>
      <c r="F5227" s="27" t="s">
        <v>9231</v>
      </c>
      <c r="G5227" s="27"/>
      <c r="H5227" s="16" t="str">
        <f>IF(ISBLANK(PARTIDAS!$G5227),PARTIDAS!$F5227,CONCATENATE(PARTIDAS!$F5227," (",PARTIDAS!$G5227,")"))</f>
        <v>Espejos de vidrio, enmarcados o no, incluidos los espejos retrovisores, sin enmarcar</v>
      </c>
      <c r="I5227" s="16" t="s">
        <v>9477</v>
      </c>
    </row>
    <row r="5228" spans="1:9" x14ac:dyDescent="0.25">
      <c r="A5228" s="16" t="s">
        <v>6173</v>
      </c>
      <c r="B5228" s="16" t="str">
        <f>TEXT(PARTIDA[[#This Row],[PARTIDA]],"0000000000")</f>
        <v>7009920000</v>
      </c>
      <c r="C5228" s="16" t="s">
        <v>815</v>
      </c>
      <c r="D5228" s="16" t="s">
        <v>835</v>
      </c>
      <c r="E5228" s="16" t="s">
        <v>844</v>
      </c>
      <c r="F5228" s="27" t="s">
        <v>13682</v>
      </c>
      <c r="G5228" s="27"/>
      <c r="H5228" s="16" t="str">
        <f>IF(ISBLANK(PARTIDAS!$G5228),PARTIDAS!$F5228,CONCATENATE(PARTIDAS!$F5228," (",PARTIDAS!$G5228,")"))</f>
        <v>Espejos de vidrio, enmarcados o no, incluidos los espejos retrovisores, enmarcados</v>
      </c>
      <c r="I5228" s="16" t="s">
        <v>9427</v>
      </c>
    </row>
    <row r="5229" spans="1:9" x14ac:dyDescent="0.25">
      <c r="A5229" s="16" t="s">
        <v>6174</v>
      </c>
      <c r="B5229" s="16" t="str">
        <f>TEXT(PARTIDA[[#This Row],[PARTIDA]],"0000000000")</f>
        <v>7010100000</v>
      </c>
      <c r="C5229" s="16" t="s">
        <v>815</v>
      </c>
      <c r="D5229" s="16" t="s">
        <v>835</v>
      </c>
      <c r="E5229" s="16" t="s">
        <v>844</v>
      </c>
      <c r="F5229" s="27" t="s">
        <v>13683</v>
      </c>
      <c r="G5229" s="27"/>
      <c r="H5229" s="16" t="str">
        <f>IF(ISBLANK(PARTIDAS!$G5229),PARTIDAS!$F5229,CONCATENATE(PARTIDAS!$F5229," (",PARTIDAS!$G5229,")"))</f>
        <v>Ampollas</v>
      </c>
      <c r="I5229" s="16" t="s">
        <v>9427</v>
      </c>
    </row>
    <row r="5230" spans="1:9" x14ac:dyDescent="0.25">
      <c r="A5230" s="16" t="s">
        <v>6175</v>
      </c>
      <c r="B5230" s="16" t="str">
        <f>TEXT(PARTIDA[[#This Row],[PARTIDA]],"0000000000")</f>
        <v>7010200000</v>
      </c>
      <c r="C5230" s="16" t="s">
        <v>815</v>
      </c>
      <c r="D5230" s="16" t="s">
        <v>835</v>
      </c>
      <c r="E5230" s="16" t="s">
        <v>844</v>
      </c>
      <c r="F5230" s="27" t="s">
        <v>13684</v>
      </c>
      <c r="G5230" s="27"/>
      <c r="H5230" s="16" t="str">
        <f>IF(ISBLANK(PARTIDAS!$G5230),PARTIDAS!$F5230,CONCATENATE(PARTIDAS!$F5230," (",PARTIDAS!$G5230,")"))</f>
        <v>Tapones, tapas y demás dispositivos de cierre</v>
      </c>
      <c r="I5230" s="16" t="s">
        <v>9427</v>
      </c>
    </row>
    <row r="5231" spans="1:9" x14ac:dyDescent="0.25">
      <c r="A5231" s="16" t="s">
        <v>6176</v>
      </c>
      <c r="B5231" s="16" t="str">
        <f>TEXT(PARTIDA[[#This Row],[PARTIDA]],"0000000000")</f>
        <v>7010901000</v>
      </c>
      <c r="C5231" s="16" t="s">
        <v>815</v>
      </c>
      <c r="D5231" s="16" t="s">
        <v>835</v>
      </c>
      <c r="E5231" s="16" t="s">
        <v>844</v>
      </c>
      <c r="F5231" s="27" t="s">
        <v>4314</v>
      </c>
      <c r="G5231" s="27"/>
      <c r="H5231" s="16" t="str">
        <f>IF(ISBLANK(PARTIDAS!$G5231),PARTIDAS!$F5231,CONCATENATE(PARTIDAS!$F5231," (",PARTIDAS!$G5231,")"))</f>
        <v>Botellas y frascos de vidrio</v>
      </c>
      <c r="I5231" s="16" t="s">
        <v>9427</v>
      </c>
    </row>
    <row r="5232" spans="1:9" x14ac:dyDescent="0.25">
      <c r="A5232" s="16" t="s">
        <v>6177</v>
      </c>
      <c r="B5232" s="16" t="str">
        <f>TEXT(PARTIDA[[#This Row],[PARTIDA]],"0000000000")</f>
        <v>7010902000</v>
      </c>
      <c r="C5232" s="16" t="s">
        <v>815</v>
      </c>
      <c r="D5232" s="16" t="s">
        <v>835</v>
      </c>
      <c r="E5232" s="16" t="s">
        <v>844</v>
      </c>
      <c r="F5232" s="27" t="s">
        <v>13685</v>
      </c>
      <c r="G5232" s="27"/>
      <c r="H5232" s="16" t="str">
        <f>IF(ISBLANK(PARTIDAS!$G5232),PARTIDAS!$F5232,CONCATENATE(PARTIDAS!$F5232," (",PARTIDAS!$G5232,")"))</f>
        <v>Bombonas (damajuanas), botellas, frascos, bocales, tarros, envases…, de capacidad superior a 0,33 l pero inferior o igual a 1 l</v>
      </c>
      <c r="I5232" s="16" t="s">
        <v>9427</v>
      </c>
    </row>
    <row r="5233" spans="1:9" x14ac:dyDescent="0.25">
      <c r="A5233" s="16" t="s">
        <v>6178</v>
      </c>
      <c r="B5233" s="16" t="str">
        <f>TEXT(PARTIDA[[#This Row],[PARTIDA]],"0000000000")</f>
        <v>7010903000</v>
      </c>
      <c r="C5233" s="16" t="s">
        <v>815</v>
      </c>
      <c r="D5233" s="16" t="s">
        <v>835</v>
      </c>
      <c r="E5233" s="16" t="s">
        <v>844</v>
      </c>
      <c r="F5233" s="27" t="s">
        <v>13686</v>
      </c>
      <c r="G5233" s="27"/>
      <c r="H5233" s="16" t="str">
        <f>IF(ISBLANK(PARTIDAS!$G5233),PARTIDAS!$F5233,CONCATENATE(PARTIDAS!$F5233," (",PARTIDAS!$G5233,")"))</f>
        <v>Bombonas (damajuanas), botellas, frascos, bocales, tarros, envases…, de capacidad superior a 0,15 l pero inferior o igual a 0,33 l</v>
      </c>
      <c r="I5233" s="16" t="s">
        <v>9427</v>
      </c>
    </row>
    <row r="5234" spans="1:9" x14ac:dyDescent="0.25">
      <c r="A5234" s="16" t="s">
        <v>6179</v>
      </c>
      <c r="B5234" s="16" t="str">
        <f>TEXT(PARTIDA[[#This Row],[PARTIDA]],"0000000000")</f>
        <v>7010904000</v>
      </c>
      <c r="C5234" s="16" t="s">
        <v>815</v>
      </c>
      <c r="D5234" s="16" t="s">
        <v>835</v>
      </c>
      <c r="E5234" s="16" t="s">
        <v>844</v>
      </c>
      <c r="F5234" s="27" t="s">
        <v>4314</v>
      </c>
      <c r="G5234" s="27"/>
      <c r="H5234" s="16" t="str">
        <f>IF(ISBLANK(PARTIDAS!$G5234),PARTIDAS!$F5234,CONCATENATE(PARTIDAS!$F5234," (",PARTIDAS!$G5234,")"))</f>
        <v>Botellas y frascos de vidrio</v>
      </c>
      <c r="I5234" s="16" t="s">
        <v>9427</v>
      </c>
    </row>
    <row r="5235" spans="1:9" x14ac:dyDescent="0.25">
      <c r="A5235" s="16" t="s">
        <v>6180</v>
      </c>
      <c r="B5235" s="16" t="str">
        <f>TEXT(PARTIDA[[#This Row],[PARTIDA]],"0000000000")</f>
        <v>7011100000</v>
      </c>
      <c r="C5235" s="16" t="s">
        <v>815</v>
      </c>
      <c r="D5235" s="16" t="s">
        <v>835</v>
      </c>
      <c r="E5235" s="16" t="s">
        <v>844</v>
      </c>
      <c r="F5235" s="27" t="s">
        <v>13687</v>
      </c>
      <c r="G5235" s="27"/>
      <c r="H5235" s="16" t="str">
        <f>IF(ISBLANK(PARTIDAS!$G5235),PARTIDAS!$F5235,CONCATENATE(PARTIDAS!$F5235," (",PARTIDAS!$G5235,")"))</f>
        <v>Ampollas y envolturas tubulares, abiertas, y sus partes, de vidrio…, para alumbrado eléctrico</v>
      </c>
      <c r="I5235" s="16" t="s">
        <v>9427</v>
      </c>
    </row>
    <row r="5236" spans="1:9" x14ac:dyDescent="0.25">
      <c r="A5236" s="16" t="s">
        <v>6181</v>
      </c>
      <c r="B5236" s="16" t="str">
        <f>TEXT(PARTIDA[[#This Row],[PARTIDA]],"0000000000")</f>
        <v>7011200000</v>
      </c>
      <c r="C5236" s="16" t="s">
        <v>815</v>
      </c>
      <c r="D5236" s="16" t="s">
        <v>835</v>
      </c>
      <c r="E5236" s="16" t="s">
        <v>844</v>
      </c>
      <c r="F5236" s="27" t="s">
        <v>13688</v>
      </c>
      <c r="G5236" s="27"/>
      <c r="H5236" s="16" t="str">
        <f>IF(ISBLANK(PARTIDAS!$G5236),PARTIDAS!$F5236,CONCATENATE(PARTIDAS!$F5236," (",PARTIDAS!$G5236,")"))</f>
        <v>Ampollas y envolturas tubulares, abiertas, y sus partes, de vidrio…, para tubos de rayos catódicos</v>
      </c>
      <c r="I5236" s="16" t="s">
        <v>9427</v>
      </c>
    </row>
    <row r="5237" spans="1:9" x14ac:dyDescent="0.25">
      <c r="A5237" s="16" t="s">
        <v>6182</v>
      </c>
      <c r="B5237" s="16" t="str">
        <f>TEXT(PARTIDA[[#This Row],[PARTIDA]],"0000000000")</f>
        <v>7011900000</v>
      </c>
      <c r="C5237" s="16" t="s">
        <v>815</v>
      </c>
      <c r="D5237" s="16" t="s">
        <v>835</v>
      </c>
      <c r="E5237" s="16" t="s">
        <v>844</v>
      </c>
      <c r="F5237" s="27" t="s">
        <v>13689</v>
      </c>
      <c r="G5237" s="27"/>
      <c r="H5237" s="16" t="str">
        <f>IF(ISBLANK(PARTIDAS!$G5237),PARTIDAS!$F5237,CONCATENATE(PARTIDAS!$F5237," (",PARTIDAS!$G5237,")"))</f>
        <v>Ampollas y envolturas tubulares, abiertas, y sus partes, de vidrio… (los demás)</v>
      </c>
      <c r="I5237" s="16" t="s">
        <v>9427</v>
      </c>
    </row>
    <row r="5238" spans="1:9" x14ac:dyDescent="0.25">
      <c r="A5238" s="16" t="s">
        <v>6183</v>
      </c>
      <c r="B5238" s="16" t="str">
        <f>TEXT(PARTIDA[[#This Row],[PARTIDA]],"0000000000")</f>
        <v>7013100000</v>
      </c>
      <c r="C5238" s="16" t="s">
        <v>786</v>
      </c>
      <c r="D5238" s="16" t="s">
        <v>799</v>
      </c>
      <c r="E5238" s="16" t="s">
        <v>801</v>
      </c>
      <c r="F5238" s="27" t="s">
        <v>13690</v>
      </c>
      <c r="G5238" s="27"/>
      <c r="H5238" s="16" t="str">
        <f>IF(ISBLANK(PARTIDAS!$G5238),PARTIDAS!$F5238,CONCATENATE(PARTIDAS!$F5238," (",PARTIDAS!$G5238,")"))</f>
        <v>Artículos de vitrocerámica</v>
      </c>
      <c r="I5238" s="16" t="s">
        <v>9427</v>
      </c>
    </row>
    <row r="5239" spans="1:9" x14ac:dyDescent="0.25">
      <c r="A5239" s="16" t="s">
        <v>6184</v>
      </c>
      <c r="B5239" s="16" t="str">
        <f>TEXT(PARTIDA[[#This Row],[PARTIDA]],"0000000000")</f>
        <v>7013220000</v>
      </c>
      <c r="C5239" s="16" t="s">
        <v>786</v>
      </c>
      <c r="D5239" s="16" t="s">
        <v>799</v>
      </c>
      <c r="E5239" s="16" t="s">
        <v>801</v>
      </c>
      <c r="F5239" s="27" t="s">
        <v>13691</v>
      </c>
      <c r="G5239" s="27"/>
      <c r="H5239" s="16" t="str">
        <f>IF(ISBLANK(PARTIDAS!$G5239),PARTIDAS!$F5239,CONCATENATE(PARTIDAS!$F5239," (",PARTIDAS!$G5239,")"))</f>
        <v>Recipientes con pie para beber, de cristal al plomo</v>
      </c>
      <c r="I5239" s="16" t="s">
        <v>9427</v>
      </c>
    </row>
    <row r="5240" spans="1:9" x14ac:dyDescent="0.25">
      <c r="A5240" s="16" t="s">
        <v>6185</v>
      </c>
      <c r="B5240" s="16" t="str">
        <f>TEXT(PARTIDA[[#This Row],[PARTIDA]],"0000000000")</f>
        <v>7013280000</v>
      </c>
      <c r="C5240" s="16" t="s">
        <v>786</v>
      </c>
      <c r="D5240" s="16" t="s">
        <v>799</v>
      </c>
      <c r="E5240" s="16" t="s">
        <v>801</v>
      </c>
      <c r="F5240" s="27" t="s">
        <v>13692</v>
      </c>
      <c r="G5240" s="27"/>
      <c r="H5240" s="16" t="str">
        <f>IF(ISBLANK(PARTIDAS!$G5240),PARTIDAS!$F5240,CONCATENATE(PARTIDAS!$F5240," (",PARTIDAS!$G5240,")"))</f>
        <v>Recipientes con pie para beber (los demás)</v>
      </c>
      <c r="I5240" s="16" t="s">
        <v>9427</v>
      </c>
    </row>
    <row r="5241" spans="1:9" x14ac:dyDescent="0.25">
      <c r="A5241" s="16" t="s">
        <v>6186</v>
      </c>
      <c r="B5241" s="16" t="str">
        <f>TEXT(PARTIDA[[#This Row],[PARTIDA]],"0000000000")</f>
        <v>7013330000</v>
      </c>
      <c r="C5241" s="16" t="s">
        <v>786</v>
      </c>
      <c r="D5241" s="16" t="s">
        <v>799</v>
      </c>
      <c r="E5241" s="16" t="s">
        <v>801</v>
      </c>
      <c r="F5241" s="27" t="s">
        <v>13693</v>
      </c>
      <c r="G5241" s="27"/>
      <c r="H5241" s="16" t="str">
        <f>IF(ISBLANK(PARTIDAS!$G5241),PARTIDAS!$F5241,CONCATENATE(PARTIDAS!$F5241," (",PARTIDAS!$G5241,")"))</f>
        <v>Artículos de vidrio para servicio de mesa, cocina, tocador, baño…, de cristal al plomo</v>
      </c>
      <c r="I5241" s="16" t="s">
        <v>9427</v>
      </c>
    </row>
    <row r="5242" spans="1:9" x14ac:dyDescent="0.25">
      <c r="A5242" s="16" t="s">
        <v>6187</v>
      </c>
      <c r="B5242" s="16" t="str">
        <f>TEXT(PARTIDA[[#This Row],[PARTIDA]],"0000000000")</f>
        <v>7013370000</v>
      </c>
      <c r="C5242" s="16" t="s">
        <v>786</v>
      </c>
      <c r="D5242" s="16" t="s">
        <v>799</v>
      </c>
      <c r="E5242" s="16" t="s">
        <v>801</v>
      </c>
      <c r="F5242" s="27" t="s">
        <v>13694</v>
      </c>
      <c r="G5242" s="27"/>
      <c r="H5242" s="16" t="str">
        <f>IF(ISBLANK(PARTIDAS!$G5242),PARTIDAS!$F5242,CONCATENATE(PARTIDAS!$F5242," (",PARTIDAS!$G5242,")"))</f>
        <v>Artículos de vidrio para servicio de mesa, cocina, tocador, baño… (los demás)</v>
      </c>
      <c r="I5242" s="16" t="s">
        <v>9427</v>
      </c>
    </row>
    <row r="5243" spans="1:9" x14ac:dyDescent="0.25">
      <c r="A5243" s="16" t="s">
        <v>6188</v>
      </c>
      <c r="B5243" s="16" t="str">
        <f>TEXT(PARTIDA[[#This Row],[PARTIDA]],"0000000000")</f>
        <v>7013410000</v>
      </c>
      <c r="C5243" s="16" t="s">
        <v>786</v>
      </c>
      <c r="D5243" s="16" t="s">
        <v>799</v>
      </c>
      <c r="E5243" s="16" t="s">
        <v>801</v>
      </c>
      <c r="F5243" s="27" t="s">
        <v>13695</v>
      </c>
      <c r="G5243" s="27"/>
      <c r="H5243" s="16" t="str">
        <f>IF(ISBLANK(PARTIDAS!$G5243),PARTIDAS!$F5243,CONCATENATE(PARTIDAS!$F5243," (",PARTIDAS!$G5243,")"))</f>
        <v>Artículos para servicio de mesa (excluidos los recipientes para…, de cristal al plomo</v>
      </c>
      <c r="I5243" s="16" t="s">
        <v>9427</v>
      </c>
    </row>
    <row r="5244" spans="1:9" x14ac:dyDescent="0.25">
      <c r="A5244" s="16" t="s">
        <v>6189</v>
      </c>
      <c r="B5244" s="16" t="str">
        <f>TEXT(PARTIDA[[#This Row],[PARTIDA]],"0000000000")</f>
        <v>7013420000</v>
      </c>
      <c r="C5244" s="16" t="s">
        <v>786</v>
      </c>
      <c r="D5244" s="16" t="s">
        <v>799</v>
      </c>
      <c r="E5244" s="16" t="s">
        <v>801</v>
      </c>
      <c r="F5244" s="27" t="s">
        <v>13696</v>
      </c>
      <c r="G5244" s="27"/>
      <c r="H5244" s="16" t="str">
        <f>IF(ISBLANK(PARTIDAS!$G5244),PARTIDAS!$F5244,CONCATENATE(PARTIDAS!$F5244," (",PARTIDAS!$G5244,")"))</f>
        <v>Artículos para servicio de mesa (excluidos los recipientes para…, de vidrio con un coeficiente de dilatación lineal inferior o igual a 5 x 10-6 por Ke</v>
      </c>
      <c r="I5244" s="16" t="s">
        <v>9427</v>
      </c>
    </row>
    <row r="5245" spans="1:9" x14ac:dyDescent="0.25">
      <c r="A5245" s="16" t="s">
        <v>6190</v>
      </c>
      <c r="B5245" s="16" t="str">
        <f>TEXT(PARTIDA[[#This Row],[PARTIDA]],"0000000000")</f>
        <v>7013490000</v>
      </c>
      <c r="C5245" s="16" t="s">
        <v>786</v>
      </c>
      <c r="D5245" s="16" t="s">
        <v>799</v>
      </c>
      <c r="E5245" s="16" t="s">
        <v>801</v>
      </c>
      <c r="F5245" s="27" t="s">
        <v>13697</v>
      </c>
      <c r="G5245" s="27"/>
      <c r="H5245" s="16" t="str">
        <f>IF(ISBLANK(PARTIDAS!$G5245),PARTIDAS!$F5245,CONCATENATE(PARTIDAS!$F5245," (",PARTIDAS!$G5245,")"))</f>
        <v>Artículos para servicio de mesa (excluidos los recipientes para… (los demás)</v>
      </c>
      <c r="I5245" s="16" t="s">
        <v>9427</v>
      </c>
    </row>
    <row r="5246" spans="1:9" x14ac:dyDescent="0.25">
      <c r="A5246" s="16" t="s">
        <v>6191</v>
      </c>
      <c r="B5246" s="16" t="str">
        <f>TEXT(PARTIDA[[#This Row],[PARTIDA]],"0000000000")</f>
        <v>7013910000</v>
      </c>
      <c r="C5246" s="16" t="s">
        <v>786</v>
      </c>
      <c r="D5246" s="16" t="s">
        <v>799</v>
      </c>
      <c r="E5246" s="16" t="s">
        <v>801</v>
      </c>
      <c r="F5246" s="27" t="s">
        <v>13693</v>
      </c>
      <c r="G5246" s="27"/>
      <c r="H5246" s="16" t="str">
        <f>IF(ISBLANK(PARTIDAS!$G5246),PARTIDAS!$F5246,CONCATENATE(PARTIDAS!$F5246," (",PARTIDAS!$G5246,")"))</f>
        <v>Artículos de vidrio para servicio de mesa, cocina, tocador, baño…, de cristal al plomo</v>
      </c>
      <c r="I5246" s="16" t="s">
        <v>9427</v>
      </c>
    </row>
    <row r="5247" spans="1:9" x14ac:dyDescent="0.25">
      <c r="A5247" s="16" t="s">
        <v>6192</v>
      </c>
      <c r="B5247" s="16" t="str">
        <f>TEXT(PARTIDA[[#This Row],[PARTIDA]],"0000000000")</f>
        <v>7013990000</v>
      </c>
      <c r="C5247" s="16" t="s">
        <v>786</v>
      </c>
      <c r="D5247" s="16" t="s">
        <v>799</v>
      </c>
      <c r="E5247" s="16" t="s">
        <v>801</v>
      </c>
      <c r="F5247" s="27" t="s">
        <v>13694</v>
      </c>
      <c r="G5247" s="27"/>
      <c r="H5247" s="16" t="str">
        <f>IF(ISBLANK(PARTIDAS!$G5247),PARTIDAS!$F5247,CONCATENATE(PARTIDAS!$F5247," (",PARTIDAS!$G5247,")"))</f>
        <v>Artículos de vidrio para servicio de mesa, cocina, tocador, baño… (los demás)</v>
      </c>
      <c r="I5247" s="16" t="s">
        <v>9427</v>
      </c>
    </row>
    <row r="5248" spans="1:9" x14ac:dyDescent="0.25">
      <c r="A5248" s="16" t="s">
        <v>6193</v>
      </c>
      <c r="B5248" s="16" t="str">
        <f>TEXT(PARTIDA[[#This Row],[PARTIDA]],"0000000000")</f>
        <v>7014000000</v>
      </c>
      <c r="C5248" s="16" t="s">
        <v>815</v>
      </c>
      <c r="D5248" s="16" t="s">
        <v>835</v>
      </c>
      <c r="E5248" s="16" t="s">
        <v>844</v>
      </c>
      <c r="F5248" s="27" t="s">
        <v>6165</v>
      </c>
      <c r="G5248" s="27"/>
      <c r="H5248" s="16" t="str">
        <f>IF(ISBLANK(PARTIDAS!$G5248),PARTIDAS!$F5248,CONCATENATE(PARTIDAS!$F5248," (",PARTIDAS!$G5248,")"))</f>
        <v>Productos de vidrio</v>
      </c>
      <c r="I5248" s="16" t="s">
        <v>9427</v>
      </c>
    </row>
    <row r="5249" spans="1:9" x14ac:dyDescent="0.25">
      <c r="A5249" s="16" t="s">
        <v>6194</v>
      </c>
      <c r="B5249" s="16" t="str">
        <f>TEXT(PARTIDA[[#This Row],[PARTIDA]],"0000000000")</f>
        <v>7015100000</v>
      </c>
      <c r="C5249" s="16" t="s">
        <v>815</v>
      </c>
      <c r="D5249" s="16" t="s">
        <v>835</v>
      </c>
      <c r="E5249" s="16" t="s">
        <v>844</v>
      </c>
      <c r="F5249" s="27" t="s">
        <v>13698</v>
      </c>
      <c r="G5249" s="27"/>
      <c r="H5249" s="16" t="str">
        <f>IF(ISBLANK(PARTIDAS!$G5249),PARTIDAS!$F5249,CONCATENATE(PARTIDAS!$F5249," (",PARTIDAS!$G5249,")"))</f>
        <v>Cristales correctores para gafas (anteojos)</v>
      </c>
      <c r="I5249" s="16" t="s">
        <v>9427</v>
      </c>
    </row>
    <row r="5250" spans="1:9" x14ac:dyDescent="0.25">
      <c r="A5250" s="16" t="s">
        <v>6195</v>
      </c>
      <c r="B5250" s="16" t="str">
        <f>TEXT(PARTIDA[[#This Row],[PARTIDA]],"0000000000")</f>
        <v>7015900000</v>
      </c>
      <c r="C5250" s="16" t="s">
        <v>815</v>
      </c>
      <c r="D5250" s="16" t="s">
        <v>835</v>
      </c>
      <c r="E5250" s="16" t="s">
        <v>844</v>
      </c>
      <c r="F5250" s="27" t="s">
        <v>13699</v>
      </c>
      <c r="G5250" s="27"/>
      <c r="H5250" s="16" t="str">
        <f>IF(ISBLANK(PARTIDAS!$G5250),PARTIDAS!$F5250,CONCATENATE(PARTIDAS!$F5250," (",PARTIDAS!$G5250,")"))</f>
        <v>Cristales para relojes y cristales análogos, cristales para gafas… (los demás)</v>
      </c>
      <c r="I5250" s="16" t="s">
        <v>9427</v>
      </c>
    </row>
    <row r="5251" spans="1:9" x14ac:dyDescent="0.25">
      <c r="A5251" s="16" t="s">
        <v>6196</v>
      </c>
      <c r="B5251" s="16" t="str">
        <f>TEXT(PARTIDA[[#This Row],[PARTIDA]],"0000000000")</f>
        <v>7016100000</v>
      </c>
      <c r="C5251" s="16" t="s">
        <v>860</v>
      </c>
      <c r="D5251" s="16" t="s">
        <v>861</v>
      </c>
      <c r="E5251" s="16" t="s">
        <v>9473</v>
      </c>
      <c r="F5251" s="27" t="s">
        <v>13700</v>
      </c>
      <c r="G5251" s="27"/>
      <c r="H5251" s="16" t="str">
        <f>IF(ISBLANK(PARTIDAS!$G5251),PARTIDAS!$F5251,CONCATENATE(PARTIDAS!$F5251," (",PARTIDAS!$G5251,")"))</f>
        <v>Cubos, dados y demás artículos similares, de vidrio, incluso con soporte, para mosaicos o decoraciones similares</v>
      </c>
      <c r="I5251" s="16" t="s">
        <v>9427</v>
      </c>
    </row>
    <row r="5252" spans="1:9" x14ac:dyDescent="0.25">
      <c r="A5252" s="16" t="s">
        <v>6197</v>
      </c>
      <c r="B5252" s="16" t="str">
        <f>TEXT(PARTIDA[[#This Row],[PARTIDA]],"0000000000")</f>
        <v>7016901000</v>
      </c>
      <c r="C5252" s="16" t="s">
        <v>860</v>
      </c>
      <c r="D5252" s="16" t="s">
        <v>861</v>
      </c>
      <c r="E5252" s="16" t="s">
        <v>9473</v>
      </c>
      <c r="F5252" s="27" t="s">
        <v>13701</v>
      </c>
      <c r="G5252" s="27"/>
      <c r="H5252" s="16" t="str">
        <f>IF(ISBLANK(PARTIDAS!$G5252),PARTIDAS!$F5252,CONCATENATE(PARTIDAS!$F5252," (",PARTIDAS!$G5252,")"))</f>
        <v>Vidrieras artísticas (vitrales, incluso de vidrios incoloros)</v>
      </c>
      <c r="I5252" s="16" t="s">
        <v>9427</v>
      </c>
    </row>
    <row r="5253" spans="1:9" x14ac:dyDescent="0.25">
      <c r="A5253" s="16" t="s">
        <v>6198</v>
      </c>
      <c r="B5253" s="16" t="str">
        <f>TEXT(PARTIDA[[#This Row],[PARTIDA]],"0000000000")</f>
        <v>7016902000</v>
      </c>
      <c r="C5253" s="16" t="s">
        <v>860</v>
      </c>
      <c r="D5253" s="16" t="s">
        <v>861</v>
      </c>
      <c r="E5253" s="16" t="s">
        <v>9473</v>
      </c>
      <c r="F5253" s="27" t="s">
        <v>13702</v>
      </c>
      <c r="G5253" s="27"/>
      <c r="H5253" s="16" t="str">
        <f>IF(ISBLANK(PARTIDAS!$G5253),PARTIDAS!$F5253,CONCATENATE(PARTIDAS!$F5253," (",PARTIDAS!$G5253,")"))</f>
        <v>Vidrio multicelular o vidrio «espuma» en bloques, paneles, placas, coquillas o formas similares</v>
      </c>
      <c r="I5253" s="16" t="s">
        <v>9427</v>
      </c>
    </row>
    <row r="5254" spans="1:9" x14ac:dyDescent="0.25">
      <c r="A5254" s="16" t="s">
        <v>6199</v>
      </c>
      <c r="B5254" s="16" t="str">
        <f>TEXT(PARTIDA[[#This Row],[PARTIDA]],"0000000000")</f>
        <v>7016909000</v>
      </c>
      <c r="C5254" s="16" t="s">
        <v>860</v>
      </c>
      <c r="D5254" s="16" t="s">
        <v>861</v>
      </c>
      <c r="E5254" s="16" t="s">
        <v>9473</v>
      </c>
      <c r="F5254" s="27" t="s">
        <v>13703</v>
      </c>
      <c r="G5254" s="27"/>
      <c r="H5254" s="16" t="str">
        <f>IF(ISBLANK(PARTIDAS!$G5254),PARTIDAS!$F5254,CONCATENATE(PARTIDAS!$F5254," (",PARTIDAS!$G5254,")"))</f>
        <v>Adoquines, baldosas, ladrillos, placas, tejas y demás artículos, de… (los demás)</v>
      </c>
      <c r="I5254" s="16" t="s">
        <v>9427</v>
      </c>
    </row>
    <row r="5255" spans="1:9" x14ac:dyDescent="0.25">
      <c r="A5255" s="16" t="s">
        <v>6200</v>
      </c>
      <c r="B5255" s="16" t="str">
        <f>TEXT(PARTIDA[[#This Row],[PARTIDA]],"0000000000")</f>
        <v>7017100000</v>
      </c>
      <c r="C5255" s="16" t="s">
        <v>815</v>
      </c>
      <c r="D5255" s="16" t="s">
        <v>835</v>
      </c>
      <c r="E5255" s="16" t="s">
        <v>844</v>
      </c>
      <c r="F5255" s="27" t="s">
        <v>13704</v>
      </c>
      <c r="G5255" s="27"/>
      <c r="H5255" s="16" t="str">
        <f>IF(ISBLANK(PARTIDAS!$G5255),PARTIDAS!$F5255,CONCATENATE(PARTIDAS!$F5255," (",PARTIDAS!$G5255,")"))</f>
        <v>Artículos de vidrio para laboratorio, higiene o farmacia, incluso…, de cuarzo o demás sílices fundidos</v>
      </c>
      <c r="I5255" s="16" t="s">
        <v>9427</v>
      </c>
    </row>
    <row r="5256" spans="1:9" x14ac:dyDescent="0.25">
      <c r="A5256" s="16" t="s">
        <v>6201</v>
      </c>
      <c r="B5256" s="16" t="str">
        <f>TEXT(PARTIDA[[#This Row],[PARTIDA]],"0000000000")</f>
        <v>7017200000</v>
      </c>
      <c r="C5256" s="16" t="s">
        <v>815</v>
      </c>
      <c r="D5256" s="16" t="s">
        <v>835</v>
      </c>
      <c r="E5256" s="16" t="s">
        <v>844</v>
      </c>
      <c r="F5256" s="27" t="s">
        <v>13705</v>
      </c>
      <c r="G5256" s="27"/>
      <c r="H5256" s="16" t="str">
        <f>IF(ISBLANK(PARTIDAS!$G5256),PARTIDAS!$F5256,CONCATENATE(PARTIDAS!$F5256," (",PARTIDAS!$G5256,")"))</f>
        <v>Artículos de vidrio para laboratorio, higiene o farmacia, incluso…, de otro vidrio con un coeficiente de dilatación lineal inferior o igual a 5x10-6 p</v>
      </c>
      <c r="I5256" s="16" t="s">
        <v>9427</v>
      </c>
    </row>
    <row r="5257" spans="1:9" x14ac:dyDescent="0.25">
      <c r="A5257" s="16" t="s">
        <v>6202</v>
      </c>
      <c r="B5257" s="16" t="str">
        <f>TEXT(PARTIDA[[#This Row],[PARTIDA]],"0000000000")</f>
        <v>7017900000</v>
      </c>
      <c r="C5257" s="16" t="s">
        <v>815</v>
      </c>
      <c r="D5257" s="16" t="s">
        <v>835</v>
      </c>
      <c r="E5257" s="16" t="s">
        <v>844</v>
      </c>
      <c r="F5257" s="27" t="s">
        <v>13706</v>
      </c>
      <c r="G5257" s="27"/>
      <c r="H5257" s="16" t="str">
        <f>IF(ISBLANK(PARTIDAS!$G5257),PARTIDAS!$F5257,CONCATENATE(PARTIDAS!$F5257," (",PARTIDAS!$G5257,")"))</f>
        <v>Artículos de vidrio para laboratorio, higiene o farmacia, incluso… (los demás)</v>
      </c>
      <c r="I5257" s="16" t="s">
        <v>9427</v>
      </c>
    </row>
    <row r="5258" spans="1:9" x14ac:dyDescent="0.25">
      <c r="A5258" s="16" t="s">
        <v>6203</v>
      </c>
      <c r="B5258" s="16" t="str">
        <f>TEXT(PARTIDA[[#This Row],[PARTIDA]],"0000000000")</f>
        <v>7018100000</v>
      </c>
      <c r="C5258" s="16" t="s">
        <v>815</v>
      </c>
      <c r="D5258" s="16" t="s">
        <v>835</v>
      </c>
      <c r="E5258" s="16" t="s">
        <v>844</v>
      </c>
      <c r="F5258" s="27" t="s">
        <v>13707</v>
      </c>
      <c r="G5258" s="27"/>
      <c r="H5258" s="16" t="str">
        <f>IF(ISBLANK(PARTIDAS!$G5258),PARTIDAS!$F5258,CONCATENATE(PARTIDAS!$F5258," (",PARTIDAS!$G5258,")"))</f>
        <v>Cuentas de vidrio, imitaciones de perlas, de piedras preciosas o semipreciosas y artículos similares de abalorio</v>
      </c>
      <c r="I5258" s="16" t="s">
        <v>9427</v>
      </c>
    </row>
    <row r="5259" spans="1:9" x14ac:dyDescent="0.25">
      <c r="A5259" s="16" t="s">
        <v>6204</v>
      </c>
      <c r="B5259" s="16" t="str">
        <f>TEXT(PARTIDA[[#This Row],[PARTIDA]],"0000000000")</f>
        <v>7018200000</v>
      </c>
      <c r="C5259" s="16" t="s">
        <v>815</v>
      </c>
      <c r="D5259" s="16" t="s">
        <v>835</v>
      </c>
      <c r="E5259" s="16" t="s">
        <v>844</v>
      </c>
      <c r="F5259" s="27" t="s">
        <v>13708</v>
      </c>
      <c r="G5259" s="27"/>
      <c r="H5259" s="16" t="str">
        <f>IF(ISBLANK(PARTIDAS!$G5259),PARTIDAS!$F5259,CONCATENATE(PARTIDAS!$F5259," (",PARTIDAS!$G5259,")"))</f>
        <v>Microesferas de vidrio con un diámetro inferior o igual a 1 mm</v>
      </c>
      <c r="I5259" s="16" t="s">
        <v>9427</v>
      </c>
    </row>
    <row r="5260" spans="1:9" x14ac:dyDescent="0.25">
      <c r="A5260" s="16" t="s">
        <v>6205</v>
      </c>
      <c r="B5260" s="16" t="str">
        <f>TEXT(PARTIDA[[#This Row],[PARTIDA]],"0000000000")</f>
        <v>7018900010</v>
      </c>
      <c r="C5260" s="16" t="s">
        <v>815</v>
      </c>
      <c r="D5260" s="16" t="s">
        <v>835</v>
      </c>
      <c r="E5260" s="16" t="s">
        <v>844</v>
      </c>
      <c r="F5260" s="27" t="s">
        <v>13709</v>
      </c>
      <c r="G5260" s="27"/>
      <c r="H5260" s="16" t="str">
        <f>IF(ISBLANK(PARTIDAS!$G5260),PARTIDAS!$F5260,CONCATENATE(PARTIDAS!$F5260," (",PARTIDAS!$G5260,")"))</f>
        <v>Ojo de vidrio, excepto los de la partida 90.21</v>
      </c>
      <c r="I5260" s="16" t="s">
        <v>9427</v>
      </c>
    </row>
    <row r="5261" spans="1:9" x14ac:dyDescent="0.25">
      <c r="A5261" s="16" t="s">
        <v>6206</v>
      </c>
      <c r="B5261" s="16" t="str">
        <f>TEXT(PARTIDA[[#This Row],[PARTIDA]],"0000000000")</f>
        <v>7018900090</v>
      </c>
      <c r="C5261" s="16" t="s">
        <v>815</v>
      </c>
      <c r="D5261" s="16" t="s">
        <v>835</v>
      </c>
      <c r="E5261" s="16" t="s">
        <v>844</v>
      </c>
      <c r="F5261" s="27" t="s">
        <v>13710</v>
      </c>
      <c r="G5261" s="27"/>
      <c r="H5261" s="16" t="str">
        <f>IF(ISBLANK(PARTIDAS!$G5261),PARTIDAS!$F5261,CONCATENATE(PARTIDAS!$F5261," (",PARTIDAS!$G5261,")"))</f>
        <v>Cuentas de vidrio, imitaciones de perlas, de piedras preciosas o… (los demás)</v>
      </c>
      <c r="I5261" s="16" t="s">
        <v>9427</v>
      </c>
    </row>
    <row r="5262" spans="1:9" x14ac:dyDescent="0.25">
      <c r="A5262" s="16" t="s">
        <v>6207</v>
      </c>
      <c r="B5262" s="16" t="str">
        <f>TEXT(PARTIDA[[#This Row],[PARTIDA]],"0000000000")</f>
        <v>7019110000</v>
      </c>
      <c r="C5262" s="16" t="s">
        <v>815</v>
      </c>
      <c r="D5262" s="16" t="s">
        <v>835</v>
      </c>
      <c r="E5262" s="16" t="s">
        <v>844</v>
      </c>
      <c r="F5262" s="27" t="s">
        <v>13711</v>
      </c>
      <c r="G5262" s="27"/>
      <c r="H5262" s="16" t="str">
        <f>IF(ISBLANK(PARTIDAS!$G5262),PARTIDAS!$F5262,CONCATENATE(PARTIDAS!$F5262," (",PARTIDAS!$G5262,")"))</f>
        <v>Hilados cortados («chopped strands»), de longitud inferior o igual a 50 mm</v>
      </c>
      <c r="I5262" s="16" t="s">
        <v>9427</v>
      </c>
    </row>
    <row r="5263" spans="1:9" x14ac:dyDescent="0.25">
      <c r="A5263" s="16" t="s">
        <v>6208</v>
      </c>
      <c r="B5263" s="16" t="str">
        <f>TEXT(PARTIDA[[#This Row],[PARTIDA]],"0000000000")</f>
        <v>7019120000</v>
      </c>
      <c r="C5263" s="16" t="s">
        <v>815</v>
      </c>
      <c r="D5263" s="16" t="s">
        <v>835</v>
      </c>
      <c r="E5263" s="16" t="s">
        <v>844</v>
      </c>
      <c r="F5263" s="27" t="s">
        <v>13712</v>
      </c>
      <c r="G5263" s="27"/>
      <c r="H5263" s="16" t="str">
        <f>IF(ISBLANK(PARTIDAS!$G5263),PARTIDAS!$F5263,CONCATENATE(PARTIDAS!$F5263," (",PARTIDAS!$G5263,")"))</f>
        <v>Mechas, «rovings», hilados, aunque estén cortados y «mats» de estas…, «Rovings»</v>
      </c>
      <c r="I5263" s="16" t="s">
        <v>9427</v>
      </c>
    </row>
    <row r="5264" spans="1:9" x14ac:dyDescent="0.25">
      <c r="A5264" s="16" t="s">
        <v>13713</v>
      </c>
      <c r="B5264" s="16" t="str">
        <f>TEXT(PARTIDA[[#This Row],[PARTIDA]],"0000000000")</f>
        <v>7019130000</v>
      </c>
      <c r="C5264" s="16" t="s">
        <v>815</v>
      </c>
      <c r="D5264" s="16" t="s">
        <v>835</v>
      </c>
      <c r="E5264" s="16" t="s">
        <v>844</v>
      </c>
      <c r="F5264" s="27" t="s">
        <v>13714</v>
      </c>
      <c r="G5264" s="27"/>
      <c r="H5264" s="16" t="str">
        <f>IF(ISBLANK(PARTIDAS!$G5264),PARTIDAS!$F5264,CONCATENATE(PARTIDAS!$F5264," (",PARTIDAS!$G5264,")"))</f>
        <v>Mechas, «rovings», hilados, aunque estén cortados y «mats» de estas… (los demás, hilados, mechas)</v>
      </c>
      <c r="I5264" s="16" t="s">
        <v>9427</v>
      </c>
    </row>
    <row r="5265" spans="1:9" x14ac:dyDescent="0.25">
      <c r="A5265" s="16" t="s">
        <v>13715</v>
      </c>
      <c r="B5265" s="16" t="str">
        <f>TEXT(PARTIDA[[#This Row],[PARTIDA]],"0000000000")</f>
        <v>7019140000</v>
      </c>
      <c r="C5265" s="16" t="s">
        <v>815</v>
      </c>
      <c r="D5265" s="16" t="s">
        <v>835</v>
      </c>
      <c r="E5265" s="16" t="s">
        <v>844</v>
      </c>
      <c r="F5265" s="27" t="s">
        <v>13716</v>
      </c>
      <c r="G5265" s="27"/>
      <c r="H5265" s="16" t="str">
        <f>IF(ISBLANK(PARTIDAS!$G5265),PARTIDAS!$F5265,CONCATENATE(PARTIDAS!$F5265," (",PARTIDAS!$G5265,")"))</f>
        <v>«Mats» unidos mecánicamente</v>
      </c>
      <c r="I5265" s="16" t="s">
        <v>9427</v>
      </c>
    </row>
    <row r="5266" spans="1:9" x14ac:dyDescent="0.25">
      <c r="A5266" s="16" t="s">
        <v>13717</v>
      </c>
      <c r="B5266" s="16" t="str">
        <f>TEXT(PARTIDA[[#This Row],[PARTIDA]],"0000000000")</f>
        <v>7019150000</v>
      </c>
      <c r="C5266" s="16" t="s">
        <v>815</v>
      </c>
      <c r="D5266" s="16" t="s">
        <v>835</v>
      </c>
      <c r="E5266" s="16" t="s">
        <v>844</v>
      </c>
      <c r="F5266" s="27" t="s">
        <v>13718</v>
      </c>
      <c r="G5266" s="27"/>
      <c r="H5266" s="16" t="str">
        <f>IF(ISBLANK(PARTIDAS!$G5266),PARTIDAS!$F5266,CONCATENATE(PARTIDAS!$F5266," (",PARTIDAS!$G5266,")"))</f>
        <v>«Mats» unidos químicamente</v>
      </c>
      <c r="I5266" s="16" t="s">
        <v>9427</v>
      </c>
    </row>
    <row r="5267" spans="1:9" x14ac:dyDescent="0.25">
      <c r="A5267" s="16" t="s">
        <v>6209</v>
      </c>
      <c r="B5267" s="16" t="str">
        <f>TEXT(PARTIDA[[#This Row],[PARTIDA]],"0000000000")</f>
        <v>7019190000</v>
      </c>
      <c r="C5267" s="16" t="s">
        <v>815</v>
      </c>
      <c r="D5267" s="16" t="s">
        <v>835</v>
      </c>
      <c r="E5267" s="16" t="s">
        <v>844</v>
      </c>
      <c r="F5267" s="27" t="s">
        <v>13719</v>
      </c>
      <c r="G5267" s="27"/>
      <c r="H5267" s="16" t="str">
        <f>IF(ISBLANK(PARTIDAS!$G5267),PARTIDAS!$F5267,CONCATENATE(PARTIDAS!$F5267," (",PARTIDAS!$G5267,")"))</f>
        <v>Mechas, «rovings», hilados, aunque estén cortados y «mats» de estas… (los demás)</v>
      </c>
      <c r="I5267" s="16" t="s">
        <v>9427</v>
      </c>
    </row>
    <row r="5268" spans="1:9" x14ac:dyDescent="0.25">
      <c r="A5268" s="16" t="s">
        <v>6210</v>
      </c>
      <c r="B5268" s="16" t="str">
        <f>TEXT(PARTIDA[[#This Row],[PARTIDA]],"0000000000")</f>
        <v>7019310000</v>
      </c>
      <c r="C5268" s="16" t="s">
        <v>815</v>
      </c>
      <c r="D5268" s="16" t="s">
        <v>835</v>
      </c>
      <c r="E5268" s="16" t="s">
        <v>844</v>
      </c>
      <c r="F5268" s="27" t="s">
        <v>13720</v>
      </c>
      <c r="G5268" s="27"/>
      <c r="H5268" s="16" t="str">
        <f>IF(ISBLANK(PARTIDAS!$G5268),PARTIDAS!$F5268,CONCATENATE(PARTIDAS!$F5268," (",PARTIDAS!$G5268,")"))</f>
        <v>«Mats»</v>
      </c>
      <c r="I5268" s="16" t="s">
        <v>9648</v>
      </c>
    </row>
    <row r="5269" spans="1:9" x14ac:dyDescent="0.25">
      <c r="A5269" s="16" t="s">
        <v>6211</v>
      </c>
      <c r="B5269" s="16" t="str">
        <f>TEXT(PARTIDA[[#This Row],[PARTIDA]],"0000000000")</f>
        <v>7019320000</v>
      </c>
      <c r="C5269" s="16" t="s">
        <v>815</v>
      </c>
      <c r="D5269" s="16" t="s">
        <v>835</v>
      </c>
      <c r="E5269" s="16" t="s">
        <v>844</v>
      </c>
      <c r="F5269" s="27" t="s">
        <v>13721</v>
      </c>
      <c r="G5269" s="27"/>
      <c r="H5269" s="16" t="str">
        <f>IF(ISBLANK(PARTIDAS!$G5269),PARTIDAS!$F5269,CONCATENATE(PARTIDAS!$F5269," (",PARTIDAS!$G5269,")"))</f>
        <v>Velos</v>
      </c>
      <c r="I5269" s="16" t="s">
        <v>9648</v>
      </c>
    </row>
    <row r="5270" spans="1:9" x14ac:dyDescent="0.25">
      <c r="A5270" s="16" t="s">
        <v>6212</v>
      </c>
      <c r="B5270" s="16" t="str">
        <f>TEXT(PARTIDA[[#This Row],[PARTIDA]],"0000000000")</f>
        <v>7019390000</v>
      </c>
      <c r="C5270" s="16" t="s">
        <v>815</v>
      </c>
      <c r="D5270" s="16" t="s">
        <v>835</v>
      </c>
      <c r="E5270" s="16" t="s">
        <v>844</v>
      </c>
      <c r="F5270" s="27" t="s">
        <v>13722</v>
      </c>
      <c r="G5270" s="27"/>
      <c r="H5270" s="16" t="str">
        <f>IF(ISBLANK(PARTIDAS!$G5270),PARTIDAS!$F5270,CONCATENATE(PARTIDAS!$F5270," (",PARTIDAS!$G5270,")"))</f>
        <v>Fibra de vidrio (incluida la lana de vidrio) y manufacturas de esta ma (los demás)</v>
      </c>
      <c r="I5270" s="16" t="s">
        <v>9648</v>
      </c>
    </row>
    <row r="5271" spans="1:9" x14ac:dyDescent="0.25">
      <c r="A5271" s="16" t="s">
        <v>6213</v>
      </c>
      <c r="B5271" s="16" t="str">
        <f>TEXT(PARTIDA[[#This Row],[PARTIDA]],"0000000000")</f>
        <v>7019400000</v>
      </c>
      <c r="C5271" s="16" t="s">
        <v>815</v>
      </c>
      <c r="D5271" s="16" t="s">
        <v>835</v>
      </c>
      <c r="E5271" s="16" t="s">
        <v>844</v>
      </c>
      <c r="F5271" s="27" t="s">
        <v>13723</v>
      </c>
      <c r="G5271" s="27"/>
      <c r="H5271" s="16" t="str">
        <f>IF(ISBLANK(PARTIDAS!$G5271),PARTIDAS!$F5271,CONCATENATE(PARTIDAS!$F5271," (",PARTIDAS!$G5271,")"))</f>
        <v>Tejidos de «rovings»</v>
      </c>
      <c r="I5271" s="16" t="s">
        <v>9648</v>
      </c>
    </row>
    <row r="5272" spans="1:9" x14ac:dyDescent="0.25">
      <c r="A5272" s="16" t="s">
        <v>6214</v>
      </c>
      <c r="B5272" s="16" t="str">
        <f>TEXT(PARTIDA[[#This Row],[PARTIDA]],"0000000000")</f>
        <v>7019510000</v>
      </c>
      <c r="C5272" s="16" t="s">
        <v>815</v>
      </c>
      <c r="D5272" s="16" t="s">
        <v>835</v>
      </c>
      <c r="E5272" s="16" t="s">
        <v>844</v>
      </c>
      <c r="F5272" s="27" t="s">
        <v>13724</v>
      </c>
      <c r="G5272" s="27"/>
      <c r="H5272" s="16" t="str">
        <f>IF(ISBLANK(PARTIDAS!$G5272),PARTIDAS!$F5272,CONCATENATE(PARTIDAS!$F5272," (",PARTIDAS!$G5272,")"))</f>
        <v>De anchura inferior o igual a 30 cm</v>
      </c>
      <c r="I5272" s="16" t="s">
        <v>9648</v>
      </c>
    </row>
    <row r="5273" spans="1:9" x14ac:dyDescent="0.25">
      <c r="A5273" s="16" t="s">
        <v>6215</v>
      </c>
      <c r="B5273" s="16" t="str">
        <f>TEXT(PARTIDA[[#This Row],[PARTIDA]],"0000000000")</f>
        <v>7019520000</v>
      </c>
      <c r="C5273" s="16" t="s">
        <v>815</v>
      </c>
      <c r="D5273" s="16" t="s">
        <v>835</v>
      </c>
      <c r="E5273" s="16" t="s">
        <v>844</v>
      </c>
      <c r="F5273" s="27" t="s">
        <v>13725</v>
      </c>
      <c r="G5273" s="27"/>
      <c r="H5273" s="16" t="str">
        <f>IF(ISBLANK(PARTIDAS!$G5273),PARTIDAS!$F5273,CONCATENATE(PARTIDAS!$F5273," (",PARTIDAS!$G5273,")"))</f>
        <v>De anchura superior a 30 cm, de ligamento tafetán, con peso inferior a 250 g/m², de filamentos de título inferior o igual a 136 tex por hilo sencillo</v>
      </c>
      <c r="I5273" s="16" t="s">
        <v>9648</v>
      </c>
    </row>
    <row r="5274" spans="1:9" x14ac:dyDescent="0.25">
      <c r="A5274" s="16" t="s">
        <v>6216</v>
      </c>
      <c r="B5274" s="16" t="str">
        <f>TEXT(PARTIDA[[#This Row],[PARTIDA]],"0000000000")</f>
        <v>7019590000</v>
      </c>
      <c r="C5274" s="16" t="s">
        <v>815</v>
      </c>
      <c r="D5274" s="16" t="s">
        <v>835</v>
      </c>
      <c r="E5274" s="16" t="s">
        <v>844</v>
      </c>
      <c r="F5274" s="27" t="s">
        <v>13722</v>
      </c>
      <c r="G5274" s="27"/>
      <c r="H5274" s="16" t="str">
        <f>IF(ISBLANK(PARTIDAS!$G5274),PARTIDAS!$F5274,CONCATENATE(PARTIDAS!$F5274," (",PARTIDAS!$G5274,")"))</f>
        <v>Fibra de vidrio (incluida la lana de vidrio) y manufacturas de esta ma (los demás)</v>
      </c>
      <c r="I5274" s="16" t="s">
        <v>9648</v>
      </c>
    </row>
    <row r="5275" spans="1:9" x14ac:dyDescent="0.25">
      <c r="A5275" s="16" t="s">
        <v>13726</v>
      </c>
      <c r="B5275" s="16" t="str">
        <f>TEXT(PARTIDA[[#This Row],[PARTIDA]],"0000000000")</f>
        <v>7019610000</v>
      </c>
      <c r="C5275" s="16" t="s">
        <v>815</v>
      </c>
      <c r="D5275" s="16" t="s">
        <v>835</v>
      </c>
      <c r="E5275" s="16" t="s">
        <v>844</v>
      </c>
      <c r="F5275" s="27" t="s">
        <v>13727</v>
      </c>
      <c r="G5275" s="27"/>
      <c r="H5275" s="16" t="str">
        <f>IF(ISBLANK(PARTIDAS!$G5275),PARTIDAS!$F5275,CONCATENATE(PARTIDAS!$F5275," (",PARTIDAS!$G5275,")"))</f>
        <v>Tejidos planos de «rovings» de malla cerrada</v>
      </c>
      <c r="I5275" s="16" t="s">
        <v>9427</v>
      </c>
    </row>
    <row r="5276" spans="1:9" x14ac:dyDescent="0.25">
      <c r="A5276" s="16" t="s">
        <v>13728</v>
      </c>
      <c r="B5276" s="16" t="str">
        <f>TEXT(PARTIDA[[#This Row],[PARTIDA]],"0000000000")</f>
        <v>7019620000</v>
      </c>
      <c r="C5276" s="16" t="s">
        <v>815</v>
      </c>
      <c r="D5276" s="16" t="s">
        <v>835</v>
      </c>
      <c r="E5276" s="16" t="s">
        <v>844</v>
      </c>
      <c r="F5276" s="27" t="s">
        <v>13729</v>
      </c>
      <c r="G5276" s="27"/>
      <c r="H5276" s="16" t="str">
        <f>IF(ISBLANK(PARTIDAS!$G5276),PARTIDAS!$F5276,CONCATENATE(PARTIDAS!$F5276," (",PARTIDAS!$G5276,")"))</f>
        <v>Telas unidas mecánicamente (los demás, telas de «rovings» de malla cerrada)</v>
      </c>
      <c r="I5276" s="16" t="s">
        <v>9427</v>
      </c>
    </row>
    <row r="5277" spans="1:9" x14ac:dyDescent="0.25">
      <c r="A5277" s="16" t="s">
        <v>13730</v>
      </c>
      <c r="B5277" s="16" t="str">
        <f>TEXT(PARTIDA[[#This Row],[PARTIDA]],"0000000000")</f>
        <v>7019630000</v>
      </c>
      <c r="C5277" s="16" t="s">
        <v>815</v>
      </c>
      <c r="D5277" s="16" t="s">
        <v>835</v>
      </c>
      <c r="E5277" s="16" t="s">
        <v>844</v>
      </c>
      <c r="F5277" s="27" t="s">
        <v>13731</v>
      </c>
      <c r="G5277" s="27"/>
      <c r="H5277" s="16" t="str">
        <f>IF(ISBLANK(PARTIDAS!$G5277),PARTIDAS!$F5277,CONCATENATE(PARTIDAS!$F5277," (",PARTIDAS!$G5277,")"))</f>
        <v>Tejidos de hilados de malla cerrada, de ligamento tafetán, sin recubrir ni estratificar</v>
      </c>
      <c r="I5277" s="16" t="s">
        <v>9427</v>
      </c>
    </row>
    <row r="5278" spans="1:9" x14ac:dyDescent="0.25">
      <c r="A5278" s="16" t="s">
        <v>13732</v>
      </c>
      <c r="B5278" s="16" t="str">
        <f>TEXT(PARTIDA[[#This Row],[PARTIDA]],"0000000000")</f>
        <v>7019640000</v>
      </c>
      <c r="C5278" s="16" t="s">
        <v>815</v>
      </c>
      <c r="D5278" s="16" t="s">
        <v>835</v>
      </c>
      <c r="E5278" s="16" t="s">
        <v>844</v>
      </c>
      <c r="F5278" s="27" t="s">
        <v>13733</v>
      </c>
      <c r="G5278" s="27"/>
      <c r="H5278" s="16" t="str">
        <f>IF(ISBLANK(PARTIDAS!$G5278),PARTIDAS!$F5278,CONCATENATE(PARTIDAS!$F5278," (",PARTIDAS!$G5278,")"))</f>
        <v>Tejidos de hilados de malla cerrada, de ligamento tafetán, recubiertos o estratificados</v>
      </c>
      <c r="I5278" s="16" t="s">
        <v>9427</v>
      </c>
    </row>
    <row r="5279" spans="1:9" x14ac:dyDescent="0.25">
      <c r="A5279" s="16" t="s">
        <v>13734</v>
      </c>
      <c r="B5279" s="16" t="str">
        <f>TEXT(PARTIDA[[#This Row],[PARTIDA]],"0000000000")</f>
        <v>7019650000</v>
      </c>
      <c r="C5279" s="16" t="s">
        <v>815</v>
      </c>
      <c r="D5279" s="16" t="s">
        <v>835</v>
      </c>
      <c r="E5279" s="16" t="s">
        <v>844</v>
      </c>
      <c r="F5279" s="27" t="s">
        <v>13735</v>
      </c>
      <c r="G5279" s="27"/>
      <c r="H5279" s="16" t="str">
        <f>IF(ISBLANK(PARTIDAS!$G5279),PARTIDAS!$F5279,CONCATENATE(PARTIDAS!$F5279," (",PARTIDAS!$G5279,")"))</f>
        <v>Tejidos de malla abierta, de anchura inferior o igual a 30 cm</v>
      </c>
      <c r="I5279" s="16" t="s">
        <v>9427</v>
      </c>
    </row>
    <row r="5280" spans="1:9" x14ac:dyDescent="0.25">
      <c r="A5280" s="16" t="s">
        <v>13736</v>
      </c>
      <c r="B5280" s="16" t="str">
        <f>TEXT(PARTIDA[[#This Row],[PARTIDA]],"0000000000")</f>
        <v>7019660000</v>
      </c>
      <c r="C5280" s="16" t="s">
        <v>815</v>
      </c>
      <c r="D5280" s="16" t="s">
        <v>835</v>
      </c>
      <c r="E5280" s="16" t="s">
        <v>844</v>
      </c>
      <c r="F5280" s="27" t="s">
        <v>13737</v>
      </c>
      <c r="G5280" s="27"/>
      <c r="H5280" s="16" t="str">
        <f>IF(ISBLANK(PARTIDAS!$G5280),PARTIDAS!$F5280,CONCATENATE(PARTIDAS!$F5280," (",PARTIDAS!$G5280,")"))</f>
        <v>Tejidos de malla abierta, de anchura superior a 30 cm</v>
      </c>
      <c r="I5280" s="16" t="s">
        <v>9427</v>
      </c>
    </row>
    <row r="5281" spans="1:9" x14ac:dyDescent="0.25">
      <c r="A5281" s="16" t="s">
        <v>13738</v>
      </c>
      <c r="B5281" s="16" t="str">
        <f>TEXT(PARTIDA[[#This Row],[PARTIDA]],"0000000000")</f>
        <v>7019690000</v>
      </c>
      <c r="C5281" s="16" t="s">
        <v>815</v>
      </c>
      <c r="D5281" s="16" t="s">
        <v>835</v>
      </c>
      <c r="E5281" s="16" t="s">
        <v>844</v>
      </c>
      <c r="F5281" s="27" t="s">
        <v>13739</v>
      </c>
      <c r="G5281" s="27"/>
      <c r="H5281" s="16" t="str">
        <f>IF(ISBLANK(PARTIDAS!$G5281),PARTIDAS!$F5281,CONCATENATE(PARTIDAS!$F5281," (",PARTIDAS!$G5281,")"))</f>
        <v>Telas unidas mecánicamente (los demás)</v>
      </c>
      <c r="I5281" s="16" t="s">
        <v>9427</v>
      </c>
    </row>
    <row r="5282" spans="1:9" x14ac:dyDescent="0.25">
      <c r="A5282" s="16" t="s">
        <v>13740</v>
      </c>
      <c r="B5282" s="16" t="str">
        <f>TEXT(PARTIDA[[#This Row],[PARTIDA]],"0000000000")</f>
        <v>7019710000</v>
      </c>
      <c r="C5282" s="16" t="s">
        <v>815</v>
      </c>
      <c r="D5282" s="16" t="s">
        <v>835</v>
      </c>
      <c r="E5282" s="16" t="s">
        <v>844</v>
      </c>
      <c r="F5282" s="27" t="s">
        <v>13741</v>
      </c>
      <c r="G5282" s="27"/>
      <c r="H5282" s="16" t="str">
        <f>IF(ISBLANK(PARTIDAS!$G5282),PARTIDAS!$F5282,CONCATENATE(PARTIDAS!$F5282," (",PARTIDAS!$G5282,")"))</f>
        <v>Velos (capas delgadas)</v>
      </c>
      <c r="I5282" s="16" t="s">
        <v>9427</v>
      </c>
    </row>
    <row r="5283" spans="1:9" x14ac:dyDescent="0.25">
      <c r="A5283" s="16" t="s">
        <v>13742</v>
      </c>
      <c r="B5283" s="16" t="str">
        <f>TEXT(PARTIDA[[#This Row],[PARTIDA]],"0000000000")</f>
        <v>7019720000</v>
      </c>
      <c r="C5283" s="16" t="s">
        <v>815</v>
      </c>
      <c r="D5283" s="16" t="s">
        <v>835</v>
      </c>
      <c r="E5283" s="16" t="s">
        <v>844</v>
      </c>
      <c r="F5283" s="27" t="s">
        <v>13743</v>
      </c>
      <c r="G5283" s="27"/>
      <c r="H5283" s="16" t="str">
        <f>IF(ISBLANK(PARTIDAS!$G5283),PARTIDAS!$F5283,CONCATENATE(PARTIDAS!$F5283," (",PARTIDAS!$G5283,")"))</f>
        <v>Telas unidas químicamente (los demás, telas de malla cerrada)</v>
      </c>
      <c r="I5283" s="16" t="s">
        <v>9427</v>
      </c>
    </row>
    <row r="5284" spans="1:9" x14ac:dyDescent="0.25">
      <c r="A5284" s="16" t="s">
        <v>13744</v>
      </c>
      <c r="B5284" s="16" t="str">
        <f>TEXT(PARTIDA[[#This Row],[PARTIDA]],"0000000000")</f>
        <v>7019730000</v>
      </c>
      <c r="C5284" s="16" t="s">
        <v>815</v>
      </c>
      <c r="D5284" s="16" t="s">
        <v>835</v>
      </c>
      <c r="E5284" s="16" t="s">
        <v>844</v>
      </c>
      <c r="F5284" s="27" t="s">
        <v>13745</v>
      </c>
      <c r="G5284" s="27"/>
      <c r="H5284" s="16" t="str">
        <f>IF(ISBLANK(PARTIDAS!$G5284),PARTIDAS!$F5284,CONCATENATE(PARTIDAS!$F5284," (",PARTIDAS!$G5284,")"))</f>
        <v>Telas unidas químicamente (los demás, telas de malla abierta)</v>
      </c>
      <c r="I5284" s="16" t="s">
        <v>9427</v>
      </c>
    </row>
    <row r="5285" spans="1:9" x14ac:dyDescent="0.25">
      <c r="A5285" s="16" t="s">
        <v>13746</v>
      </c>
      <c r="B5285" s="16" t="str">
        <f>TEXT(PARTIDA[[#This Row],[PARTIDA]],"0000000000")</f>
        <v>7019800000</v>
      </c>
      <c r="C5285" s="16" t="s">
        <v>815</v>
      </c>
      <c r="D5285" s="16" t="s">
        <v>835</v>
      </c>
      <c r="E5285" s="16" t="s">
        <v>844</v>
      </c>
      <c r="F5285" s="27" t="s">
        <v>13747</v>
      </c>
      <c r="G5285" s="27"/>
      <c r="H5285" s="16" t="str">
        <f>IF(ISBLANK(PARTIDAS!$G5285),PARTIDAS!$F5285,CONCATENATE(PARTIDAS!$F5285," (",PARTIDAS!$G5285,")"))</f>
        <v>Lana de vidrio y sus manufacturas</v>
      </c>
      <c r="I5285" s="16" t="s">
        <v>9427</v>
      </c>
    </row>
    <row r="5286" spans="1:9" x14ac:dyDescent="0.25">
      <c r="A5286" s="16" t="s">
        <v>13748</v>
      </c>
      <c r="B5286" s="16" t="str">
        <f>TEXT(PARTIDA[[#This Row],[PARTIDA]],"0000000000")</f>
        <v>7019900000</v>
      </c>
      <c r="C5286" s="16" t="s">
        <v>815</v>
      </c>
      <c r="D5286" s="16" t="s">
        <v>835</v>
      </c>
      <c r="E5286" s="16" t="s">
        <v>844</v>
      </c>
      <c r="F5286" s="27" t="s">
        <v>13749</v>
      </c>
      <c r="G5286" s="27"/>
      <c r="H5286" s="16" t="str">
        <f>IF(ISBLANK(PARTIDAS!$G5286),PARTIDAS!$F5286,CONCATENATE(PARTIDAS!$F5286," (",PARTIDAS!$G5286,")"))</f>
        <v>Fibra de vidrio (incluida la lana de vidrio) y manufacturas de esta… (los demás)</v>
      </c>
      <c r="I5286" s="16" t="s">
        <v>9427</v>
      </c>
    </row>
    <row r="5287" spans="1:9" x14ac:dyDescent="0.25">
      <c r="A5287" s="16" t="s">
        <v>6217</v>
      </c>
      <c r="B5287" s="16" t="str">
        <f>TEXT(PARTIDA[[#This Row],[PARTIDA]],"0000000000")</f>
        <v>7019901000</v>
      </c>
      <c r="C5287" s="16" t="s">
        <v>815</v>
      </c>
      <c r="D5287" s="16" t="s">
        <v>835</v>
      </c>
      <c r="E5287" s="16" t="s">
        <v>844</v>
      </c>
      <c r="F5287" s="27" t="s">
        <v>13750</v>
      </c>
      <c r="G5287" s="27"/>
      <c r="H5287" s="16" t="str">
        <f>IF(ISBLANK(PARTIDAS!$G5287),PARTIDAS!$F5287,CONCATENATE(PARTIDAS!$F5287," (",PARTIDAS!$G5287,")"))</f>
        <v>Lana de vidrio a granel o en copos</v>
      </c>
      <c r="I5287" s="16" t="s">
        <v>9648</v>
      </c>
    </row>
    <row r="5288" spans="1:9" x14ac:dyDescent="0.25">
      <c r="A5288" s="16" t="s">
        <v>6218</v>
      </c>
      <c r="B5288" s="16" t="str">
        <f>TEXT(PARTIDA[[#This Row],[PARTIDA]],"0000000000")</f>
        <v>7019909000</v>
      </c>
      <c r="C5288" s="16" t="s">
        <v>815</v>
      </c>
      <c r="D5288" s="16" t="s">
        <v>835</v>
      </c>
      <c r="E5288" s="16" t="s">
        <v>844</v>
      </c>
      <c r="F5288" s="27" t="s">
        <v>13722</v>
      </c>
      <c r="G5288" s="27"/>
      <c r="H5288" s="16" t="str">
        <f>IF(ISBLANK(PARTIDAS!$G5288),PARTIDAS!$F5288,CONCATENATE(PARTIDAS!$F5288," (",PARTIDAS!$G5288,")"))</f>
        <v>Fibra de vidrio (incluida la lana de vidrio) y manufacturas de esta ma (los demás)</v>
      </c>
      <c r="I5288" s="16" t="s">
        <v>9648</v>
      </c>
    </row>
    <row r="5289" spans="1:9" x14ac:dyDescent="0.25">
      <c r="A5289" s="16" t="s">
        <v>6219</v>
      </c>
      <c r="B5289" s="16" t="str">
        <f>TEXT(PARTIDA[[#This Row],[PARTIDA]],"0000000000")</f>
        <v>7020001000</v>
      </c>
      <c r="C5289" s="16" t="s">
        <v>815</v>
      </c>
      <c r="D5289" s="16" t="s">
        <v>835</v>
      </c>
      <c r="E5289" s="16" t="s">
        <v>844</v>
      </c>
      <c r="F5289" s="27" t="s">
        <v>13751</v>
      </c>
      <c r="G5289" s="27"/>
      <c r="H5289" s="16" t="str">
        <f>IF(ISBLANK(PARTIDAS!$G5289),PARTIDAS!$F5289,CONCATENATE(PARTIDAS!$F5289," (",PARTIDAS!$G5289,")"))</f>
        <v>Ampollas de vidrio para termos o demás recipientes isotérmicos aislados por vacío</v>
      </c>
      <c r="I5289" s="16" t="s">
        <v>9427</v>
      </c>
    </row>
    <row r="5290" spans="1:9" x14ac:dyDescent="0.25">
      <c r="A5290" s="16" t="s">
        <v>6220</v>
      </c>
      <c r="B5290" s="16" t="str">
        <f>TEXT(PARTIDA[[#This Row],[PARTIDA]],"0000000000")</f>
        <v>7020009000</v>
      </c>
      <c r="C5290" s="16" t="s">
        <v>815</v>
      </c>
      <c r="D5290" s="16" t="s">
        <v>835</v>
      </c>
      <c r="E5290" s="16" t="s">
        <v>844</v>
      </c>
      <c r="F5290" s="27" t="s">
        <v>6165</v>
      </c>
      <c r="G5290" s="27"/>
      <c r="H5290" s="16" t="str">
        <f>IF(ISBLANK(PARTIDAS!$G5290),PARTIDAS!$F5290,CONCATENATE(PARTIDAS!$F5290," (",PARTIDAS!$G5290,")"))</f>
        <v>Productos de vidrio</v>
      </c>
      <c r="I5290" s="16" t="s">
        <v>9427</v>
      </c>
    </row>
    <row r="5291" spans="1:9" x14ac:dyDescent="0.25">
      <c r="A5291" s="16" t="s">
        <v>6221</v>
      </c>
      <c r="B5291" s="16" t="str">
        <f>TEXT(PARTIDA[[#This Row],[PARTIDA]],"0000000000")</f>
        <v>7101100000</v>
      </c>
      <c r="C5291" s="16" t="s">
        <v>815</v>
      </c>
      <c r="D5291" s="16" t="s">
        <v>835</v>
      </c>
      <c r="E5291" s="16" t="s">
        <v>9463</v>
      </c>
      <c r="F5291" s="27" t="s">
        <v>13752</v>
      </c>
      <c r="G5291" s="27"/>
      <c r="H5291" s="16" t="str">
        <f>IF(ISBLANK(PARTIDAS!$G5291),PARTIDAS!$F5291,CONCATENATE(PARTIDAS!$F5291," (",PARTIDAS!$G5291,")"))</f>
        <v>Perlas finas (naturales)</v>
      </c>
      <c r="I5291" s="16" t="s">
        <v>9427</v>
      </c>
    </row>
    <row r="5292" spans="1:9" x14ac:dyDescent="0.25">
      <c r="A5292" s="16" t="s">
        <v>6222</v>
      </c>
      <c r="B5292" s="16" t="str">
        <f>TEXT(PARTIDA[[#This Row],[PARTIDA]],"0000000000")</f>
        <v>7101210000</v>
      </c>
      <c r="C5292" s="16" t="s">
        <v>815</v>
      </c>
      <c r="D5292" s="16" t="s">
        <v>835</v>
      </c>
      <c r="E5292" s="16" t="s">
        <v>9463</v>
      </c>
      <c r="F5292" s="27" t="s">
        <v>13753</v>
      </c>
      <c r="G5292" s="27"/>
      <c r="H5292" s="16" t="str">
        <f>IF(ISBLANK(PARTIDAS!$G5292),PARTIDAS!$F5292,CONCATENATE(PARTIDAS!$F5292," (",PARTIDAS!$G5292,")"))</f>
        <v>Perlas cultivadas, en bruto</v>
      </c>
      <c r="I5292" s="16" t="s">
        <v>9427</v>
      </c>
    </row>
    <row r="5293" spans="1:9" x14ac:dyDescent="0.25">
      <c r="A5293" s="16" t="s">
        <v>6223</v>
      </c>
      <c r="B5293" s="16" t="str">
        <f>TEXT(PARTIDA[[#This Row],[PARTIDA]],"0000000000")</f>
        <v>7101220000</v>
      </c>
      <c r="C5293" s="16" t="s">
        <v>815</v>
      </c>
      <c r="D5293" s="16" t="s">
        <v>835</v>
      </c>
      <c r="E5293" s="16" t="s">
        <v>9463</v>
      </c>
      <c r="F5293" s="27" t="s">
        <v>13754</v>
      </c>
      <c r="G5293" s="27"/>
      <c r="H5293" s="16" t="str">
        <f>IF(ISBLANK(PARTIDAS!$G5293),PARTIDAS!$F5293,CONCATENATE(PARTIDAS!$F5293," (",PARTIDAS!$G5293,")"))</f>
        <v>Perlas cultivadas, trabajadas</v>
      </c>
      <c r="I5293" s="16" t="s">
        <v>9427</v>
      </c>
    </row>
    <row r="5294" spans="1:9" x14ac:dyDescent="0.25">
      <c r="A5294" s="16" t="s">
        <v>6224</v>
      </c>
      <c r="B5294" s="16" t="str">
        <f>TEXT(PARTIDA[[#This Row],[PARTIDA]],"0000000000")</f>
        <v>7102100000</v>
      </c>
      <c r="C5294" s="16" t="s">
        <v>815</v>
      </c>
      <c r="D5294" s="16" t="s">
        <v>835</v>
      </c>
      <c r="E5294" s="16" t="s">
        <v>9463</v>
      </c>
      <c r="F5294" s="27" t="s">
        <v>13755</v>
      </c>
      <c r="G5294" s="27"/>
      <c r="H5294" s="16" t="str">
        <f>IF(ISBLANK(PARTIDAS!$G5294),PARTIDAS!$F5294,CONCATENATE(PARTIDAS!$F5294," (",PARTIDAS!$G5294,")"))</f>
        <v>Diamantes, incluso trabajados, sin montar ni engarzar, sin clasificar</v>
      </c>
      <c r="I5294" s="16" t="s">
        <v>9427</v>
      </c>
    </row>
    <row r="5295" spans="1:9" x14ac:dyDescent="0.25">
      <c r="A5295" s="16" t="s">
        <v>6225</v>
      </c>
      <c r="B5295" s="16" t="str">
        <f>TEXT(PARTIDA[[#This Row],[PARTIDA]],"0000000000")</f>
        <v>7102210000</v>
      </c>
      <c r="C5295" s="16" t="s">
        <v>815</v>
      </c>
      <c r="D5295" s="16" t="s">
        <v>835</v>
      </c>
      <c r="E5295" s="16" t="s">
        <v>9463</v>
      </c>
      <c r="F5295" s="27" t="s">
        <v>13756</v>
      </c>
      <c r="G5295" s="27"/>
      <c r="H5295" s="16" t="str">
        <f>IF(ISBLANK(PARTIDAS!$G5295),PARTIDAS!$F5295,CONCATENATE(PARTIDAS!$F5295," (",PARTIDAS!$G5295,")"))</f>
        <v>Diamantes, incluso trabajados, sin montar ni engarzar, industriales, en bruto o simplemente aserrados, exfoliados o desbastados</v>
      </c>
      <c r="I5295" s="16" t="s">
        <v>9427</v>
      </c>
    </row>
    <row r="5296" spans="1:9" x14ac:dyDescent="0.25">
      <c r="A5296" s="16" t="s">
        <v>6226</v>
      </c>
      <c r="B5296" s="16" t="str">
        <f>TEXT(PARTIDA[[#This Row],[PARTIDA]],"0000000000")</f>
        <v>7102290000</v>
      </c>
      <c r="C5296" s="16" t="s">
        <v>815</v>
      </c>
      <c r="D5296" s="16" t="s">
        <v>835</v>
      </c>
      <c r="E5296" s="16" t="s">
        <v>9463</v>
      </c>
      <c r="F5296" s="27" t="s">
        <v>13757</v>
      </c>
      <c r="G5296" s="27"/>
      <c r="H5296" s="16" t="str">
        <f>IF(ISBLANK(PARTIDAS!$G5296),PARTIDAS!$F5296,CONCATENATE(PARTIDAS!$F5296," (",PARTIDAS!$G5296,")"))</f>
        <v>Diamantes, incluso trabajados, sin montar ni engarzar, industriales (los demás)</v>
      </c>
      <c r="I5296" s="16" t="s">
        <v>9427</v>
      </c>
    </row>
    <row r="5297" spans="1:9" x14ac:dyDescent="0.25">
      <c r="A5297" s="16" t="s">
        <v>6227</v>
      </c>
      <c r="B5297" s="16" t="str">
        <f>TEXT(PARTIDA[[#This Row],[PARTIDA]],"0000000000")</f>
        <v>7102310000</v>
      </c>
      <c r="C5297" s="16" t="s">
        <v>815</v>
      </c>
      <c r="D5297" s="16" t="s">
        <v>835</v>
      </c>
      <c r="E5297" s="16" t="s">
        <v>9463</v>
      </c>
      <c r="F5297" s="27" t="s">
        <v>13758</v>
      </c>
      <c r="G5297" s="27"/>
      <c r="H5297" s="16" t="str">
        <f>IF(ISBLANK(PARTIDAS!$G5297),PARTIDAS!$F5297,CONCATENATE(PARTIDAS!$F5297," (",PARTIDAS!$G5297,")"))</f>
        <v>No industriales, en bruto o simplemente aserrados, exfoliados o desbastados</v>
      </c>
      <c r="I5297" s="16" t="s">
        <v>9427</v>
      </c>
    </row>
    <row r="5298" spans="1:9" x14ac:dyDescent="0.25">
      <c r="A5298" s="16" t="s">
        <v>6228</v>
      </c>
      <c r="B5298" s="16" t="str">
        <f>TEXT(PARTIDA[[#This Row],[PARTIDA]],"0000000000")</f>
        <v>7102390000</v>
      </c>
      <c r="C5298" s="16" t="s">
        <v>815</v>
      </c>
      <c r="D5298" s="16" t="s">
        <v>835</v>
      </c>
      <c r="E5298" s="16" t="s">
        <v>9463</v>
      </c>
      <c r="F5298" s="27" t="s">
        <v>13759</v>
      </c>
      <c r="G5298" s="27"/>
      <c r="H5298" s="16" t="str">
        <f>IF(ISBLANK(PARTIDAS!$G5298),PARTIDAS!$F5298,CONCATENATE(PARTIDAS!$F5298," (",PARTIDAS!$G5298,")"))</f>
        <v>No industriales (los demás)</v>
      </c>
      <c r="I5298" s="16" t="s">
        <v>9427</v>
      </c>
    </row>
    <row r="5299" spans="1:9" x14ac:dyDescent="0.25">
      <c r="A5299" s="16" t="s">
        <v>6229</v>
      </c>
      <c r="B5299" s="16" t="str">
        <f>TEXT(PARTIDA[[#This Row],[PARTIDA]],"0000000000")</f>
        <v>7103101000</v>
      </c>
      <c r="C5299" s="16" t="s">
        <v>815</v>
      </c>
      <c r="D5299" s="16" t="s">
        <v>835</v>
      </c>
      <c r="E5299" s="16" t="s">
        <v>9463</v>
      </c>
      <c r="F5299" s="27" t="s">
        <v>13760</v>
      </c>
      <c r="G5299" s="27"/>
      <c r="H5299" s="16" t="str">
        <f>IF(ISBLANK(PARTIDAS!$G5299),PARTIDAS!$F5299,CONCATENATE(PARTIDAS!$F5299," (",PARTIDAS!$G5299,")"))</f>
        <v>Piedras preciosas, en bruto o simplemente aserradas o desbastadas, esmeraldas</v>
      </c>
      <c r="I5299" s="16" t="s">
        <v>9427</v>
      </c>
    </row>
    <row r="5300" spans="1:9" x14ac:dyDescent="0.25">
      <c r="A5300" s="16" t="s">
        <v>6230</v>
      </c>
      <c r="B5300" s="16" t="str">
        <f>TEXT(PARTIDA[[#This Row],[PARTIDA]],"0000000000")</f>
        <v>7103102000</v>
      </c>
      <c r="C5300" s="16" t="s">
        <v>815</v>
      </c>
      <c r="D5300" s="16" t="s">
        <v>835</v>
      </c>
      <c r="E5300" s="16" t="s">
        <v>9463</v>
      </c>
      <c r="F5300" s="27" t="s">
        <v>13761</v>
      </c>
      <c r="G5300" s="27"/>
      <c r="H5300" s="16" t="str">
        <f>IF(ISBLANK(PARTIDAS!$G5300),PARTIDAS!$F5300,CONCATENATE(PARTIDAS!$F5300," (",PARTIDAS!$G5300,")"))</f>
        <v>Ametrino (bolivianita)</v>
      </c>
      <c r="I5300" s="16" t="s">
        <v>9427</v>
      </c>
    </row>
    <row r="5301" spans="1:9" x14ac:dyDescent="0.25">
      <c r="A5301" s="16" t="s">
        <v>6231</v>
      </c>
      <c r="B5301" s="16" t="str">
        <f>TEXT(PARTIDA[[#This Row],[PARTIDA]],"0000000000")</f>
        <v>7103109000</v>
      </c>
      <c r="C5301" s="16" t="s">
        <v>815</v>
      </c>
      <c r="D5301" s="16" t="s">
        <v>835</v>
      </c>
      <c r="E5301" s="16" t="s">
        <v>9463</v>
      </c>
      <c r="F5301" s="27" t="s">
        <v>13762</v>
      </c>
      <c r="G5301" s="27"/>
      <c r="H5301" s="16" t="str">
        <f>IF(ISBLANK(PARTIDAS!$G5301),PARTIDAS!$F5301,CONCATENATE(PARTIDAS!$F5301," (",PARTIDAS!$G5301,")"))</f>
        <v>Piedras preciosas, en bruto o simplemente aserradas o desbastadas (los demás)</v>
      </c>
      <c r="I5301" s="16" t="s">
        <v>9427</v>
      </c>
    </row>
    <row r="5302" spans="1:9" x14ac:dyDescent="0.25">
      <c r="A5302" s="16" t="s">
        <v>6232</v>
      </c>
      <c r="B5302" s="16" t="str">
        <f>TEXT(PARTIDA[[#This Row],[PARTIDA]],"0000000000")</f>
        <v>7103911000</v>
      </c>
      <c r="C5302" s="16" t="s">
        <v>815</v>
      </c>
      <c r="D5302" s="16" t="s">
        <v>835</v>
      </c>
      <c r="E5302" s="16" t="s">
        <v>9463</v>
      </c>
      <c r="F5302" s="27" t="s">
        <v>13763</v>
      </c>
      <c r="G5302" s="27"/>
      <c r="H5302" s="16" t="str">
        <f>IF(ISBLANK(PARTIDAS!$G5302),PARTIDAS!$F5302,CONCATENATE(PARTIDAS!$F5302," (",PARTIDAS!$G5302,")"))</f>
        <v>Rubíes y zafiros</v>
      </c>
      <c r="I5302" s="16" t="s">
        <v>9427</v>
      </c>
    </row>
    <row r="5303" spans="1:9" x14ac:dyDescent="0.25">
      <c r="A5303" s="16" t="s">
        <v>6233</v>
      </c>
      <c r="B5303" s="16" t="str">
        <f>TEXT(PARTIDA[[#This Row],[PARTIDA]],"0000000000")</f>
        <v>7103912000</v>
      </c>
      <c r="C5303" s="16" t="s">
        <v>815</v>
      </c>
      <c r="D5303" s="16" t="s">
        <v>835</v>
      </c>
      <c r="E5303" s="16" t="s">
        <v>9463</v>
      </c>
      <c r="F5303" s="27" t="s">
        <v>13764</v>
      </c>
      <c r="G5303" s="27"/>
      <c r="H5303" s="16" t="str">
        <f>IF(ISBLANK(PARTIDAS!$G5303),PARTIDAS!$F5303,CONCATENATE(PARTIDAS!$F5303," (",PARTIDAS!$G5303,")"))</f>
        <v>Rubíes, zafiros y esmeraldas, esmeraldas</v>
      </c>
      <c r="I5303" s="16" t="s">
        <v>9427</v>
      </c>
    </row>
    <row r="5304" spans="1:9" x14ac:dyDescent="0.25">
      <c r="A5304" s="16" t="s">
        <v>6234</v>
      </c>
      <c r="B5304" s="16" t="str">
        <f>TEXT(PARTIDA[[#This Row],[PARTIDA]],"0000000000")</f>
        <v>7103991000</v>
      </c>
      <c r="C5304" s="16" t="s">
        <v>815</v>
      </c>
      <c r="D5304" s="16" t="s">
        <v>835</v>
      </c>
      <c r="E5304" s="16" t="s">
        <v>9463</v>
      </c>
      <c r="F5304" s="27" t="s">
        <v>13761</v>
      </c>
      <c r="G5304" s="27"/>
      <c r="H5304" s="16" t="str">
        <f>IF(ISBLANK(PARTIDAS!$G5304),PARTIDAS!$F5304,CONCATENATE(PARTIDAS!$F5304," (",PARTIDAS!$G5304,")"))</f>
        <v>Ametrino (bolivianita)</v>
      </c>
      <c r="I5304" s="16" t="s">
        <v>9427</v>
      </c>
    </row>
    <row r="5305" spans="1:9" x14ac:dyDescent="0.25">
      <c r="A5305" s="16" t="s">
        <v>6235</v>
      </c>
      <c r="B5305" s="16" t="str">
        <f>TEXT(PARTIDA[[#This Row],[PARTIDA]],"0000000000")</f>
        <v>7103999000</v>
      </c>
      <c r="C5305" s="16" t="s">
        <v>815</v>
      </c>
      <c r="D5305" s="16" t="s">
        <v>835</v>
      </c>
      <c r="E5305" s="16" t="s">
        <v>9463</v>
      </c>
      <c r="F5305" s="27" t="s">
        <v>13765</v>
      </c>
      <c r="G5305" s="27"/>
      <c r="H5305" s="16" t="str">
        <f>IF(ISBLANK(PARTIDAS!$G5305),PARTIDAS!$F5305,CONCATENATE(PARTIDAS!$F5305," (",PARTIDAS!$G5305,")"))</f>
        <v>Trabajadas de otro modo (los demás)</v>
      </c>
      <c r="I5305" s="16" t="s">
        <v>9427</v>
      </c>
    </row>
    <row r="5306" spans="1:9" x14ac:dyDescent="0.25">
      <c r="A5306" s="16" t="s">
        <v>6236</v>
      </c>
      <c r="B5306" s="16" t="str">
        <f>TEXT(PARTIDA[[#This Row],[PARTIDA]],"0000000000")</f>
        <v>7104100000</v>
      </c>
      <c r="C5306" s="16" t="s">
        <v>815</v>
      </c>
      <c r="D5306" s="16" t="s">
        <v>835</v>
      </c>
      <c r="E5306" s="16" t="s">
        <v>9463</v>
      </c>
      <c r="F5306" s="27" t="s">
        <v>13766</v>
      </c>
      <c r="G5306" s="27"/>
      <c r="H5306" s="16" t="str">
        <f>IF(ISBLANK(PARTIDAS!$G5306),PARTIDAS!$F5306,CONCATENATE(PARTIDAS!$F5306," (",PARTIDAS!$G5306,")"))</f>
        <v>Cuarzo piezoeléctrico</v>
      </c>
      <c r="I5306" s="16" t="s">
        <v>9427</v>
      </c>
    </row>
    <row r="5307" spans="1:9" x14ac:dyDescent="0.25">
      <c r="A5307" s="16" t="s">
        <v>6237</v>
      </c>
      <c r="B5307" s="16" t="str">
        <f>TEXT(PARTIDA[[#This Row],[PARTIDA]],"0000000000")</f>
        <v>7104200000</v>
      </c>
      <c r="C5307" s="16" t="s">
        <v>815</v>
      </c>
      <c r="D5307" s="16" t="s">
        <v>835</v>
      </c>
      <c r="E5307" s="16" t="s">
        <v>9463</v>
      </c>
      <c r="F5307" s="27" t="s">
        <v>13767</v>
      </c>
      <c r="G5307" s="27"/>
      <c r="H5307" s="16" t="str">
        <f>IF(ISBLANK(PARTIDAS!$G5307),PARTIDAS!$F5307,CONCATENATE(PARTIDAS!$F5307," (",PARTIDAS!$G5307,")"))</f>
        <v>Piedras preciosas o semipreciosas, sintéticas o reconstituidas, inclus (los demás)</v>
      </c>
      <c r="I5307" s="16" t="s">
        <v>9648</v>
      </c>
    </row>
    <row r="5308" spans="1:9" x14ac:dyDescent="0.25">
      <c r="A5308" s="16" t="s">
        <v>13768</v>
      </c>
      <c r="B5308" s="16" t="str">
        <f>TEXT(PARTIDA[[#This Row],[PARTIDA]],"0000000000")</f>
        <v>7104210000</v>
      </c>
      <c r="C5308" s="16" t="s">
        <v>815</v>
      </c>
      <c r="D5308" s="16" t="s">
        <v>835</v>
      </c>
      <c r="E5308" s="16" t="s">
        <v>9463</v>
      </c>
      <c r="F5308" s="27" t="s">
        <v>13769</v>
      </c>
      <c r="G5308" s="27"/>
      <c r="H5308" s="16" t="str">
        <f>IF(ISBLANK(PARTIDAS!$G5308),PARTIDAS!$F5308,CONCATENATE(PARTIDAS!$F5308," (",PARTIDAS!$G5308,")"))</f>
        <v>Piedras preciosas o semipreciosas, sintéticas o reconstituidas…, diamantes</v>
      </c>
      <c r="I5308" s="16" t="s">
        <v>9427</v>
      </c>
    </row>
    <row r="5309" spans="1:9" x14ac:dyDescent="0.25">
      <c r="A5309" s="16" t="s">
        <v>13770</v>
      </c>
      <c r="B5309" s="16" t="str">
        <f>TEXT(PARTIDA[[#This Row],[PARTIDA]],"0000000000")</f>
        <v>7104290000</v>
      </c>
      <c r="C5309" s="16" t="s">
        <v>815</v>
      </c>
      <c r="D5309" s="16" t="s">
        <v>835</v>
      </c>
      <c r="E5309" s="16" t="s">
        <v>9463</v>
      </c>
      <c r="F5309" s="27" t="s">
        <v>13771</v>
      </c>
      <c r="G5309" s="27"/>
      <c r="H5309" s="16" t="str">
        <f>IF(ISBLANK(PARTIDAS!$G5309),PARTIDAS!$F5309,CONCATENATE(PARTIDAS!$F5309," (",PARTIDAS!$G5309,")"))</f>
        <v>Piedras preciosas o semipreciosas, sintéticas o reconstituidas… (los demás)</v>
      </c>
      <c r="I5309" s="16" t="s">
        <v>9427</v>
      </c>
    </row>
    <row r="5310" spans="1:9" x14ac:dyDescent="0.25">
      <c r="A5310" s="16" t="s">
        <v>6238</v>
      </c>
      <c r="B5310" s="16" t="str">
        <f>TEXT(PARTIDA[[#This Row],[PARTIDA]],"0000000000")</f>
        <v>7104900000</v>
      </c>
      <c r="C5310" s="16" t="s">
        <v>815</v>
      </c>
      <c r="D5310" s="16" t="s">
        <v>835</v>
      </c>
      <c r="E5310" s="16" t="s">
        <v>9463</v>
      </c>
      <c r="F5310" s="27" t="s">
        <v>13767</v>
      </c>
      <c r="G5310" s="27"/>
      <c r="H5310" s="16" t="str">
        <f>IF(ISBLANK(PARTIDAS!$G5310),PARTIDAS!$F5310,CONCATENATE(PARTIDAS!$F5310," (",PARTIDAS!$G5310,")"))</f>
        <v>Piedras preciosas o semipreciosas, sintéticas o reconstituidas, inclus (los demás)</v>
      </c>
      <c r="I5310" s="16" t="s">
        <v>9648</v>
      </c>
    </row>
    <row r="5311" spans="1:9" x14ac:dyDescent="0.25">
      <c r="A5311" s="16" t="s">
        <v>13772</v>
      </c>
      <c r="B5311" s="16" t="str">
        <f>TEXT(PARTIDA[[#This Row],[PARTIDA]],"0000000000")</f>
        <v>7104910000</v>
      </c>
      <c r="C5311" s="16" t="s">
        <v>815</v>
      </c>
      <c r="D5311" s="16" t="s">
        <v>835</v>
      </c>
      <c r="E5311" s="16" t="s">
        <v>9463</v>
      </c>
      <c r="F5311" s="27" t="s">
        <v>13769</v>
      </c>
      <c r="G5311" s="27"/>
      <c r="H5311" s="16" t="str">
        <f>IF(ISBLANK(PARTIDAS!$G5311),PARTIDAS!$F5311,CONCATENATE(PARTIDAS!$F5311," (",PARTIDAS!$G5311,")"))</f>
        <v>Piedras preciosas o semipreciosas, sintéticas o reconstituidas…, diamantes</v>
      </c>
      <c r="I5311" s="16" t="s">
        <v>9427</v>
      </c>
    </row>
    <row r="5312" spans="1:9" x14ac:dyDescent="0.25">
      <c r="A5312" s="16" t="s">
        <v>13773</v>
      </c>
      <c r="B5312" s="16" t="str">
        <f>TEXT(PARTIDA[[#This Row],[PARTIDA]],"0000000000")</f>
        <v>7104990000</v>
      </c>
      <c r="C5312" s="16" t="s">
        <v>815</v>
      </c>
      <c r="D5312" s="16" t="s">
        <v>835</v>
      </c>
      <c r="E5312" s="16" t="s">
        <v>9463</v>
      </c>
      <c r="F5312" s="27" t="s">
        <v>13771</v>
      </c>
      <c r="G5312" s="27"/>
      <c r="H5312" s="16" t="str">
        <f>IF(ISBLANK(PARTIDAS!$G5312),PARTIDAS!$F5312,CONCATENATE(PARTIDAS!$F5312," (",PARTIDAS!$G5312,")"))</f>
        <v>Piedras preciosas o semipreciosas, sintéticas o reconstituidas… (los demás)</v>
      </c>
      <c r="I5312" s="16" t="s">
        <v>9427</v>
      </c>
    </row>
    <row r="5313" spans="1:9" x14ac:dyDescent="0.25">
      <c r="A5313" s="16" t="s">
        <v>6239</v>
      </c>
      <c r="B5313" s="16" t="str">
        <f>TEXT(PARTIDA[[#This Row],[PARTIDA]],"0000000000")</f>
        <v>7105100000</v>
      </c>
      <c r="C5313" s="16" t="s">
        <v>815</v>
      </c>
      <c r="D5313" s="16" t="s">
        <v>835</v>
      </c>
      <c r="E5313" s="16" t="s">
        <v>9463</v>
      </c>
      <c r="F5313" s="27" t="s">
        <v>13774</v>
      </c>
      <c r="G5313" s="27"/>
      <c r="H5313" s="16" t="str">
        <f>IF(ISBLANK(PARTIDAS!$G5313),PARTIDAS!$F5313,CONCATENATE(PARTIDAS!$F5313," (",PARTIDAS!$G5313,")"))</f>
        <v>Polvo de piedras preciosas o semipreciosas, naturales o sintéticas, de diamante</v>
      </c>
      <c r="I5313" s="16" t="s">
        <v>9427</v>
      </c>
    </row>
    <row r="5314" spans="1:9" x14ac:dyDescent="0.25">
      <c r="A5314" s="16" t="s">
        <v>6240</v>
      </c>
      <c r="B5314" s="16" t="str">
        <f>TEXT(PARTIDA[[#This Row],[PARTIDA]],"0000000000")</f>
        <v>7105900000</v>
      </c>
      <c r="C5314" s="16" t="s">
        <v>815</v>
      </c>
      <c r="D5314" s="16" t="s">
        <v>835</v>
      </c>
      <c r="E5314" s="16" t="s">
        <v>9463</v>
      </c>
      <c r="F5314" s="27" t="s">
        <v>13775</v>
      </c>
      <c r="G5314" s="27"/>
      <c r="H5314" s="16" t="str">
        <f>IF(ISBLANK(PARTIDAS!$G5314),PARTIDAS!$F5314,CONCATENATE(PARTIDAS!$F5314," (",PARTIDAS!$G5314,")"))</f>
        <v>Polvo de piedras preciosas o semipreciosas, naturales o sintéticas (los demás)</v>
      </c>
      <c r="I5314" s="16" t="s">
        <v>9427</v>
      </c>
    </row>
    <row r="5315" spans="1:9" x14ac:dyDescent="0.25">
      <c r="A5315" s="16" t="s">
        <v>6241</v>
      </c>
      <c r="B5315" s="16" t="str">
        <f>TEXT(PARTIDA[[#This Row],[PARTIDA]],"0000000000")</f>
        <v>7106100000</v>
      </c>
      <c r="C5315" s="16" t="s">
        <v>815</v>
      </c>
      <c r="D5315" s="16" t="s">
        <v>835</v>
      </c>
      <c r="E5315" s="16" t="s">
        <v>9463</v>
      </c>
      <c r="F5315" s="27" t="s">
        <v>13776</v>
      </c>
      <c r="G5315" s="27"/>
      <c r="H5315" s="16" t="str">
        <f>IF(ISBLANK(PARTIDAS!$G5315),PARTIDAS!$F5315,CONCATENATE(PARTIDAS!$F5315," (",PARTIDAS!$G5315,")"))</f>
        <v>Polvo</v>
      </c>
      <c r="I5315" s="16" t="s">
        <v>9427</v>
      </c>
    </row>
    <row r="5316" spans="1:9" x14ac:dyDescent="0.25">
      <c r="A5316" s="16" t="s">
        <v>6242</v>
      </c>
      <c r="B5316" s="16" t="str">
        <f>TEXT(PARTIDA[[#This Row],[PARTIDA]],"0000000000")</f>
        <v>7106911000</v>
      </c>
      <c r="C5316" s="16" t="s">
        <v>815</v>
      </c>
      <c r="D5316" s="16" t="s">
        <v>835</v>
      </c>
      <c r="E5316" s="16" t="s">
        <v>9463</v>
      </c>
      <c r="F5316" s="27" t="s">
        <v>13777</v>
      </c>
      <c r="G5316" s="27"/>
      <c r="H5316" s="16" t="str">
        <f>IF(ISBLANK(PARTIDAS!$G5316),PARTIDAS!$F5316,CONCATENATE(PARTIDAS!$F5316," (",PARTIDAS!$G5316,")"))</f>
        <v>Plata (incluida la plata dorada y la platinada) en…, en bruto, sin alear</v>
      </c>
      <c r="I5316" s="16" t="s">
        <v>9427</v>
      </c>
    </row>
    <row r="5317" spans="1:9" x14ac:dyDescent="0.25">
      <c r="A5317" s="16" t="s">
        <v>6243</v>
      </c>
      <c r="B5317" s="16" t="str">
        <f>TEXT(PARTIDA[[#This Row],[PARTIDA]],"0000000000")</f>
        <v>7106912000</v>
      </c>
      <c r="C5317" s="16" t="s">
        <v>815</v>
      </c>
      <c r="D5317" s="16" t="s">
        <v>835</v>
      </c>
      <c r="E5317" s="16" t="s">
        <v>9463</v>
      </c>
      <c r="F5317" s="27" t="s">
        <v>13778</v>
      </c>
      <c r="G5317" s="27"/>
      <c r="H5317" s="16" t="str">
        <f>IF(ISBLANK(PARTIDAS!$G5317),PARTIDAS!$F5317,CONCATENATE(PARTIDAS!$F5317," (",PARTIDAS!$G5317,")"))</f>
        <v>Plata (incluida la plata dorada y la platinada) en…, en bruto, aleada</v>
      </c>
      <c r="I5317" s="16" t="s">
        <v>9427</v>
      </c>
    </row>
    <row r="5318" spans="1:9" x14ac:dyDescent="0.25">
      <c r="A5318" s="16" t="s">
        <v>6244</v>
      </c>
      <c r="B5318" s="16" t="str">
        <f>TEXT(PARTIDA[[#This Row],[PARTIDA]],"0000000000")</f>
        <v>7106920000</v>
      </c>
      <c r="C5318" s="16" t="s">
        <v>815</v>
      </c>
      <c r="D5318" s="16" t="s">
        <v>835</v>
      </c>
      <c r="E5318" s="16" t="s">
        <v>9463</v>
      </c>
      <c r="F5318" s="27" t="s">
        <v>13779</v>
      </c>
      <c r="G5318" s="27"/>
      <c r="H5318" s="16" t="str">
        <f>IF(ISBLANK(PARTIDAS!$G5318),PARTIDAS!$F5318,CONCATENATE(PARTIDAS!$F5318," (",PARTIDAS!$G5318,")"))</f>
        <v>Plata (incluida la plata dorada y la platinada) en bruto, semilabrada…, semilabrada</v>
      </c>
      <c r="I5318" s="16" t="s">
        <v>9427</v>
      </c>
    </row>
    <row r="5319" spans="1:9" x14ac:dyDescent="0.25">
      <c r="A5319" s="16" t="s">
        <v>6245</v>
      </c>
      <c r="B5319" s="16" t="str">
        <f>TEXT(PARTIDA[[#This Row],[PARTIDA]],"0000000000")</f>
        <v>7107000000</v>
      </c>
      <c r="C5319" s="16" t="s">
        <v>815</v>
      </c>
      <c r="D5319" s="16" t="s">
        <v>835</v>
      </c>
      <c r="E5319" s="16" t="s">
        <v>9463</v>
      </c>
      <c r="F5319" s="27" t="s">
        <v>6246</v>
      </c>
      <c r="G5319" s="27"/>
      <c r="H5319" s="16" t="str">
        <f>IF(ISBLANK(PARTIDAS!$G5319),PARTIDAS!$F5319,CONCATENATE(PARTIDAS!$F5319," (",PARTIDAS!$G5319,")"))</f>
        <v>Joyería</v>
      </c>
      <c r="I5319" s="16" t="s">
        <v>9427</v>
      </c>
    </row>
    <row r="5320" spans="1:9" x14ac:dyDescent="0.25">
      <c r="A5320" s="16" t="s">
        <v>6247</v>
      </c>
      <c r="B5320" s="16" t="str">
        <f>TEXT(PARTIDA[[#This Row],[PARTIDA]],"0000000000")</f>
        <v>7108110000</v>
      </c>
      <c r="C5320" s="16" t="s">
        <v>815</v>
      </c>
      <c r="D5320" s="16" t="s">
        <v>835</v>
      </c>
      <c r="E5320" s="16" t="s">
        <v>9463</v>
      </c>
      <c r="F5320" s="27" t="s">
        <v>13780</v>
      </c>
      <c r="G5320" s="27"/>
      <c r="H5320" s="16" t="str">
        <f>IF(ISBLANK(PARTIDAS!$G5320),PARTIDAS!$F5320,CONCATENATE(PARTIDAS!$F5320," (",PARTIDAS!$G5320,")"))</f>
        <v>Oro (incluido el oro platinado) en bruto, semilabrado…, para uso no monetario, polvo</v>
      </c>
      <c r="I5320" s="16" t="s">
        <v>9427</v>
      </c>
    </row>
    <row r="5321" spans="1:9" x14ac:dyDescent="0.25">
      <c r="A5321" s="16" t="s">
        <v>6248</v>
      </c>
      <c r="B5321" s="16" t="str">
        <f>TEXT(PARTIDA[[#This Row],[PARTIDA]],"0000000000")</f>
        <v>7108120000</v>
      </c>
      <c r="C5321" s="16" t="s">
        <v>815</v>
      </c>
      <c r="D5321" s="16" t="s">
        <v>835</v>
      </c>
      <c r="E5321" s="16" t="s">
        <v>9463</v>
      </c>
      <c r="F5321" s="27" t="s">
        <v>13781</v>
      </c>
      <c r="G5321" s="27"/>
      <c r="H5321" s="16" t="str">
        <f>IF(ISBLANK(PARTIDAS!$G5321),PARTIDAS!$F5321,CONCATENATE(PARTIDAS!$F5321," (",PARTIDAS!$G5321,")"))</f>
        <v>Oro (incluido el oro platinado) en bruto, semilabrado…, para uso no monetario (los demás, formas en bruto)</v>
      </c>
      <c r="I5321" s="16" t="s">
        <v>9427</v>
      </c>
    </row>
    <row r="5322" spans="1:9" x14ac:dyDescent="0.25">
      <c r="A5322" s="16" t="s">
        <v>6249</v>
      </c>
      <c r="B5322" s="16" t="str">
        <f>TEXT(PARTIDA[[#This Row],[PARTIDA]],"0000000000")</f>
        <v>7108130000</v>
      </c>
      <c r="C5322" s="16" t="s">
        <v>815</v>
      </c>
      <c r="D5322" s="16" t="s">
        <v>835</v>
      </c>
      <c r="E5322" s="16" t="s">
        <v>9463</v>
      </c>
      <c r="F5322" s="27" t="s">
        <v>13782</v>
      </c>
      <c r="G5322" s="27"/>
      <c r="H5322" s="16" t="str">
        <f>IF(ISBLANK(PARTIDAS!$G5322),PARTIDAS!$F5322,CONCATENATE(PARTIDAS!$F5322," (",PARTIDAS!$G5322,")"))</f>
        <v>Oro (incluido el oro platinado) en bruto, semilabrado…, para uso no monetario (los demás, formas semilabradas)</v>
      </c>
      <c r="I5322" s="16" t="s">
        <v>9427</v>
      </c>
    </row>
    <row r="5323" spans="1:9" x14ac:dyDescent="0.25">
      <c r="A5323" s="16" t="s">
        <v>6250</v>
      </c>
      <c r="B5323" s="16" t="str">
        <f>TEXT(PARTIDA[[#This Row],[PARTIDA]],"0000000000")</f>
        <v>7108200000</v>
      </c>
      <c r="C5323" s="16" t="s">
        <v>815</v>
      </c>
      <c r="D5323" s="16" t="s">
        <v>835</v>
      </c>
      <c r="E5323" s="16" t="s">
        <v>9463</v>
      </c>
      <c r="F5323" s="27" t="s">
        <v>13783</v>
      </c>
      <c r="G5323" s="27"/>
      <c r="H5323" s="16" t="str">
        <f>IF(ISBLANK(PARTIDAS!$G5323),PARTIDAS!$F5323,CONCATENATE(PARTIDAS!$F5323," (",PARTIDAS!$G5323,")"))</f>
        <v>Oro (incluido el oro platinado) en bruto, semilabrado o en polvo, para uso monetario</v>
      </c>
      <c r="I5323" s="16" t="s">
        <v>9427</v>
      </c>
    </row>
    <row r="5324" spans="1:9" x14ac:dyDescent="0.25">
      <c r="A5324" s="16" t="s">
        <v>6251</v>
      </c>
      <c r="B5324" s="16" t="str">
        <f>TEXT(PARTIDA[[#This Row],[PARTIDA]],"0000000000")</f>
        <v>7109000000</v>
      </c>
      <c r="C5324" s="16" t="s">
        <v>815</v>
      </c>
      <c r="D5324" s="16" t="s">
        <v>835</v>
      </c>
      <c r="E5324" s="16" t="s">
        <v>9463</v>
      </c>
      <c r="F5324" s="27" t="s">
        <v>6246</v>
      </c>
      <c r="G5324" s="27"/>
      <c r="H5324" s="16" t="str">
        <f>IF(ISBLANK(PARTIDAS!$G5324),PARTIDAS!$F5324,CONCATENATE(PARTIDAS!$F5324," (",PARTIDAS!$G5324,")"))</f>
        <v>Joyería</v>
      </c>
      <c r="I5324" s="16" t="s">
        <v>9427</v>
      </c>
    </row>
    <row r="5325" spans="1:9" x14ac:dyDescent="0.25">
      <c r="A5325" s="16" t="s">
        <v>6252</v>
      </c>
      <c r="B5325" s="16" t="str">
        <f>TEXT(PARTIDA[[#This Row],[PARTIDA]],"0000000000")</f>
        <v>7110110000</v>
      </c>
      <c r="C5325" s="16" t="s">
        <v>815</v>
      </c>
      <c r="D5325" s="16" t="s">
        <v>835</v>
      </c>
      <c r="E5325" s="16" t="s">
        <v>9463</v>
      </c>
      <c r="F5325" s="27" t="s">
        <v>13784</v>
      </c>
      <c r="G5325" s="27"/>
      <c r="H5325" s="16" t="str">
        <f>IF(ISBLANK(PARTIDAS!$G5325),PARTIDAS!$F5325,CONCATENATE(PARTIDAS!$F5325," (",PARTIDAS!$G5325,")"))</f>
        <v>Platino, en bruto o en polvo</v>
      </c>
      <c r="I5325" s="16" t="s">
        <v>9427</v>
      </c>
    </row>
    <row r="5326" spans="1:9" x14ac:dyDescent="0.25">
      <c r="A5326" s="16" t="s">
        <v>6253</v>
      </c>
      <c r="B5326" s="16" t="str">
        <f>TEXT(PARTIDA[[#This Row],[PARTIDA]],"0000000000")</f>
        <v>7110190000</v>
      </c>
      <c r="C5326" s="16" t="s">
        <v>815</v>
      </c>
      <c r="D5326" s="16" t="s">
        <v>835</v>
      </c>
      <c r="E5326" s="16" t="s">
        <v>9463</v>
      </c>
      <c r="F5326" s="27" t="s">
        <v>13785</v>
      </c>
      <c r="G5326" s="27"/>
      <c r="H5326" s="16" t="str">
        <f>IF(ISBLANK(PARTIDAS!$G5326),PARTIDAS!$F5326,CONCATENATE(PARTIDAS!$F5326," (",PARTIDAS!$G5326,")"))</f>
        <v>Platino (los demás)</v>
      </c>
      <c r="I5326" s="16" t="s">
        <v>9427</v>
      </c>
    </row>
    <row r="5327" spans="1:9" x14ac:dyDescent="0.25">
      <c r="A5327" s="16" t="s">
        <v>6254</v>
      </c>
      <c r="B5327" s="16" t="str">
        <f>TEXT(PARTIDA[[#This Row],[PARTIDA]],"0000000000")</f>
        <v>7110210000</v>
      </c>
      <c r="C5327" s="16" t="s">
        <v>815</v>
      </c>
      <c r="D5327" s="16" t="s">
        <v>835</v>
      </c>
      <c r="E5327" s="16" t="s">
        <v>9463</v>
      </c>
      <c r="F5327" s="27" t="s">
        <v>13786</v>
      </c>
      <c r="G5327" s="27"/>
      <c r="H5327" s="16" t="str">
        <f>IF(ISBLANK(PARTIDAS!$G5327),PARTIDAS!$F5327,CONCATENATE(PARTIDAS!$F5327," (",PARTIDAS!$G5327,")"))</f>
        <v>Paladio, en bruto o en polvo</v>
      </c>
      <c r="I5327" s="16" t="s">
        <v>9427</v>
      </c>
    </row>
    <row r="5328" spans="1:9" x14ac:dyDescent="0.25">
      <c r="A5328" s="16" t="s">
        <v>6255</v>
      </c>
      <c r="B5328" s="16" t="str">
        <f>TEXT(PARTIDA[[#This Row],[PARTIDA]],"0000000000")</f>
        <v>7110290000</v>
      </c>
      <c r="C5328" s="16" t="s">
        <v>815</v>
      </c>
      <c r="D5328" s="16" t="s">
        <v>835</v>
      </c>
      <c r="E5328" s="16" t="s">
        <v>9463</v>
      </c>
      <c r="F5328" s="27" t="s">
        <v>13787</v>
      </c>
      <c r="G5328" s="27"/>
      <c r="H5328" s="16" t="str">
        <f>IF(ISBLANK(PARTIDAS!$G5328),PARTIDAS!$F5328,CONCATENATE(PARTIDAS!$F5328," (",PARTIDAS!$G5328,")"))</f>
        <v>Paladio (los demás)</v>
      </c>
      <c r="I5328" s="16" t="s">
        <v>9427</v>
      </c>
    </row>
    <row r="5329" spans="1:9" x14ac:dyDescent="0.25">
      <c r="A5329" s="16" t="s">
        <v>6256</v>
      </c>
      <c r="B5329" s="16" t="str">
        <f>TEXT(PARTIDA[[#This Row],[PARTIDA]],"0000000000")</f>
        <v>7110310000</v>
      </c>
      <c r="C5329" s="16" t="s">
        <v>815</v>
      </c>
      <c r="D5329" s="16" t="s">
        <v>835</v>
      </c>
      <c r="E5329" s="16" t="s">
        <v>9463</v>
      </c>
      <c r="F5329" s="27" t="s">
        <v>13788</v>
      </c>
      <c r="G5329" s="27"/>
      <c r="H5329" s="16" t="str">
        <f>IF(ISBLANK(PARTIDAS!$G5329),PARTIDAS!$F5329,CONCATENATE(PARTIDAS!$F5329," (",PARTIDAS!$G5329,")"))</f>
        <v>Rodio, en bruto o en polvo</v>
      </c>
      <c r="I5329" s="16" t="s">
        <v>9427</v>
      </c>
    </row>
    <row r="5330" spans="1:9" x14ac:dyDescent="0.25">
      <c r="A5330" s="16" t="s">
        <v>6257</v>
      </c>
      <c r="B5330" s="16" t="str">
        <f>TEXT(PARTIDA[[#This Row],[PARTIDA]],"0000000000")</f>
        <v>7110390000</v>
      </c>
      <c r="C5330" s="16" t="s">
        <v>815</v>
      </c>
      <c r="D5330" s="16" t="s">
        <v>835</v>
      </c>
      <c r="E5330" s="16" t="s">
        <v>9463</v>
      </c>
      <c r="F5330" s="27" t="s">
        <v>13789</v>
      </c>
      <c r="G5330" s="27"/>
      <c r="H5330" s="16" t="str">
        <f>IF(ISBLANK(PARTIDAS!$G5330),PARTIDAS!$F5330,CONCATENATE(PARTIDAS!$F5330," (",PARTIDAS!$G5330,")"))</f>
        <v>Rodio (los demás)</v>
      </c>
      <c r="I5330" s="16" t="s">
        <v>9427</v>
      </c>
    </row>
    <row r="5331" spans="1:9" x14ac:dyDescent="0.25">
      <c r="A5331" s="16" t="s">
        <v>6258</v>
      </c>
      <c r="B5331" s="16" t="str">
        <f>TEXT(PARTIDA[[#This Row],[PARTIDA]],"0000000000")</f>
        <v>7110410000</v>
      </c>
      <c r="C5331" s="16" t="s">
        <v>815</v>
      </c>
      <c r="D5331" s="16" t="s">
        <v>835</v>
      </c>
      <c r="E5331" s="16" t="s">
        <v>9463</v>
      </c>
      <c r="F5331" s="27" t="s">
        <v>13790</v>
      </c>
      <c r="G5331" s="27"/>
      <c r="H5331" s="16" t="str">
        <f>IF(ISBLANK(PARTIDAS!$G5331),PARTIDAS!$F5331,CONCATENATE(PARTIDAS!$F5331," (",PARTIDAS!$G5331,")"))</f>
        <v>Iridio, osmio y rutenio, en bruto o en polvo</v>
      </c>
      <c r="I5331" s="16" t="s">
        <v>9427</v>
      </c>
    </row>
    <row r="5332" spans="1:9" x14ac:dyDescent="0.25">
      <c r="A5332" s="16" t="s">
        <v>6259</v>
      </c>
      <c r="B5332" s="16" t="str">
        <f>TEXT(PARTIDA[[#This Row],[PARTIDA]],"0000000000")</f>
        <v>7110490000</v>
      </c>
      <c r="C5332" s="16" t="s">
        <v>815</v>
      </c>
      <c r="D5332" s="16" t="s">
        <v>835</v>
      </c>
      <c r="E5332" s="16" t="s">
        <v>9463</v>
      </c>
      <c r="F5332" s="27" t="s">
        <v>13791</v>
      </c>
      <c r="G5332" s="27"/>
      <c r="H5332" s="16" t="str">
        <f>IF(ISBLANK(PARTIDAS!$G5332),PARTIDAS!$F5332,CONCATENATE(PARTIDAS!$F5332," (",PARTIDAS!$G5332,")"))</f>
        <v>Iridio, osmio y rutenio (los demás)</v>
      </c>
      <c r="I5332" s="16" t="s">
        <v>9427</v>
      </c>
    </row>
    <row r="5333" spans="1:9" x14ac:dyDescent="0.25">
      <c r="A5333" s="16" t="s">
        <v>6260</v>
      </c>
      <c r="B5333" s="16" t="str">
        <f>TEXT(PARTIDA[[#This Row],[PARTIDA]],"0000000000")</f>
        <v>7111000000</v>
      </c>
      <c r="C5333" s="16" t="s">
        <v>815</v>
      </c>
      <c r="D5333" s="16" t="s">
        <v>835</v>
      </c>
      <c r="E5333" s="16" t="s">
        <v>9463</v>
      </c>
      <c r="F5333" s="27" t="s">
        <v>6246</v>
      </c>
      <c r="G5333" s="27"/>
      <c r="H5333" s="16" t="str">
        <f>IF(ISBLANK(PARTIDAS!$G5333),PARTIDAS!$F5333,CONCATENATE(PARTIDAS!$F5333," (",PARTIDAS!$G5333,")"))</f>
        <v>Joyería</v>
      </c>
      <c r="I5333" s="16" t="s">
        <v>9427</v>
      </c>
    </row>
    <row r="5334" spans="1:9" x14ac:dyDescent="0.25">
      <c r="A5334" s="16" t="s">
        <v>6261</v>
      </c>
      <c r="B5334" s="16" t="str">
        <f>TEXT(PARTIDA[[#This Row],[PARTIDA]],"0000000000")</f>
        <v>7112300000</v>
      </c>
      <c r="C5334" s="16" t="s">
        <v>815</v>
      </c>
      <c r="D5334" s="16" t="s">
        <v>835</v>
      </c>
      <c r="E5334" s="16" t="s">
        <v>9463</v>
      </c>
      <c r="F5334" s="27" t="s">
        <v>13792</v>
      </c>
      <c r="G5334" s="27"/>
      <c r="H5334" s="16" t="str">
        <f>IF(ISBLANK(PARTIDAS!$G5334),PARTIDAS!$F5334,CONCATENATE(PARTIDAS!$F5334," (",PARTIDAS!$G5334,")"))</f>
        <v>Cenizas que contengan metal precioso o compuestos de metal precioso</v>
      </c>
      <c r="I5334" s="16" t="s">
        <v>9427</v>
      </c>
    </row>
    <row r="5335" spans="1:9" x14ac:dyDescent="0.25">
      <c r="A5335" s="16" t="s">
        <v>6262</v>
      </c>
      <c r="B5335" s="16" t="str">
        <f>TEXT(PARTIDA[[#This Row],[PARTIDA]],"0000000000")</f>
        <v>7112910000</v>
      </c>
      <c r="C5335" s="16" t="s">
        <v>815</v>
      </c>
      <c r="D5335" s="16" t="s">
        <v>835</v>
      </c>
      <c r="E5335" s="16" t="s">
        <v>9463</v>
      </c>
      <c r="F5335" s="27" t="s">
        <v>13793</v>
      </c>
      <c r="G5335" s="27"/>
      <c r="H5335" s="16" t="str">
        <f>IF(ISBLANK(PARTIDAS!$G5335),PARTIDAS!$F5335,CONCATENATE(PARTIDAS!$F5335," (",PARTIDAS!$G5335,")"))</f>
        <v>Desperdicios y desechos, de metal precioso o de chapado de metal…, de oro o de chapado (plaqué) de oro, excepto las barreduras que contengan otro meta</v>
      </c>
      <c r="I5335" s="16" t="s">
        <v>9427</v>
      </c>
    </row>
    <row r="5336" spans="1:9" x14ac:dyDescent="0.25">
      <c r="A5336" s="16" t="s">
        <v>6263</v>
      </c>
      <c r="B5336" s="16" t="str">
        <f>TEXT(PARTIDA[[#This Row],[PARTIDA]],"0000000000")</f>
        <v>7112920000</v>
      </c>
      <c r="C5336" s="16" t="s">
        <v>815</v>
      </c>
      <c r="D5336" s="16" t="s">
        <v>835</v>
      </c>
      <c r="E5336" s="16" t="s">
        <v>9463</v>
      </c>
      <c r="F5336" s="27" t="s">
        <v>13794</v>
      </c>
      <c r="G5336" s="27"/>
      <c r="H5336" s="16" t="str">
        <f>IF(ISBLANK(PARTIDAS!$G5336),PARTIDAS!$F5336,CONCATENATE(PARTIDAS!$F5336," (",PARTIDAS!$G5336,")"))</f>
        <v>Desperdicios y desechos, de metal precioso o de chapado de metal…, de platino o de chapado (plaqué) de platino, excepto las barreduras que contengan o</v>
      </c>
      <c r="I5336" s="16" t="s">
        <v>9427</v>
      </c>
    </row>
    <row r="5337" spans="1:9" x14ac:dyDescent="0.25">
      <c r="A5337" s="16" t="s">
        <v>6264</v>
      </c>
      <c r="B5337" s="16" t="str">
        <f>TEXT(PARTIDA[[#This Row],[PARTIDA]],"0000000000")</f>
        <v>7112990000</v>
      </c>
      <c r="C5337" s="16" t="s">
        <v>815</v>
      </c>
      <c r="D5337" s="16" t="s">
        <v>835</v>
      </c>
      <c r="E5337" s="16" t="s">
        <v>9463</v>
      </c>
      <c r="F5337" s="27" t="s">
        <v>13795</v>
      </c>
      <c r="G5337" s="27"/>
      <c r="H5337" s="16" t="str">
        <f>IF(ISBLANK(PARTIDAS!$G5337),PARTIDAS!$F5337,CONCATENATE(PARTIDAS!$F5337," (",PARTIDAS!$G5337,")"))</f>
        <v>Desperdicios y desechos, de metal precioso o de chapado de metal… (los demás)</v>
      </c>
      <c r="I5337" s="16" t="s">
        <v>9427</v>
      </c>
    </row>
    <row r="5338" spans="1:9" x14ac:dyDescent="0.25">
      <c r="A5338" s="16" t="s">
        <v>6265</v>
      </c>
      <c r="B5338" s="16" t="str">
        <f>TEXT(PARTIDA[[#This Row],[PARTIDA]],"0000000000")</f>
        <v>7113110000</v>
      </c>
      <c r="C5338" s="16" t="s">
        <v>786</v>
      </c>
      <c r="D5338" s="16" t="s">
        <v>799</v>
      </c>
      <c r="E5338" s="16" t="s">
        <v>9440</v>
      </c>
      <c r="F5338" s="27" t="s">
        <v>13796</v>
      </c>
      <c r="G5338" s="27"/>
      <c r="H5338" s="16" t="str">
        <f>IF(ISBLANK(PARTIDAS!$G5338),PARTIDAS!$F5338,CONCATENATE(PARTIDAS!$F5338," (",PARTIDAS!$G5338,")"))</f>
        <v>Artículos de joyería y sus partes, de metal precioso o…, de metal precioso, incluso revestido o chapado de metal precioso…, de plata, incluso revestid</v>
      </c>
      <c r="I5338" s="16" t="s">
        <v>9427</v>
      </c>
    </row>
    <row r="5339" spans="1:9" x14ac:dyDescent="0.25">
      <c r="A5339" s="16" t="s">
        <v>6266</v>
      </c>
      <c r="B5339" s="16" t="str">
        <f>TEXT(PARTIDA[[#This Row],[PARTIDA]],"0000000000")</f>
        <v>7113190000</v>
      </c>
      <c r="C5339" s="16" t="s">
        <v>786</v>
      </c>
      <c r="D5339" s="16" t="s">
        <v>799</v>
      </c>
      <c r="E5339" s="16" t="s">
        <v>9440</v>
      </c>
      <c r="F5339" s="27" t="s">
        <v>6246</v>
      </c>
      <c r="G5339" s="27"/>
      <c r="H5339" s="16" t="str">
        <f>IF(ISBLANK(PARTIDAS!$G5339),PARTIDAS!$F5339,CONCATENATE(PARTIDAS!$F5339," (",PARTIDAS!$G5339,")"))</f>
        <v>Joyería</v>
      </c>
      <c r="I5339" s="16" t="s">
        <v>9427</v>
      </c>
    </row>
    <row r="5340" spans="1:9" x14ac:dyDescent="0.25">
      <c r="A5340" s="16" t="s">
        <v>6267</v>
      </c>
      <c r="B5340" s="16" t="str">
        <f>TEXT(PARTIDA[[#This Row],[PARTIDA]],"0000000000")</f>
        <v>7113200000</v>
      </c>
      <c r="C5340" s="16" t="s">
        <v>786</v>
      </c>
      <c r="D5340" s="16" t="s">
        <v>799</v>
      </c>
      <c r="E5340" s="16" t="s">
        <v>9440</v>
      </c>
      <c r="F5340" s="27" t="s">
        <v>13797</v>
      </c>
      <c r="G5340" s="27"/>
      <c r="H5340" s="16" t="str">
        <f>IF(ISBLANK(PARTIDAS!$G5340),PARTIDAS!$F5340,CONCATENATE(PARTIDAS!$F5340," (",PARTIDAS!$G5340,")"))</f>
        <v>Artículos de joyería y sus partes, de metal precioso o de chapado de…, de chapado de metal precioso (plaqué) sobre metal común</v>
      </c>
      <c r="I5340" s="16" t="s">
        <v>9427</v>
      </c>
    </row>
    <row r="5341" spans="1:9" x14ac:dyDescent="0.25">
      <c r="A5341" s="16" t="s">
        <v>6268</v>
      </c>
      <c r="B5341" s="16" t="str">
        <f>TEXT(PARTIDA[[#This Row],[PARTIDA]],"0000000000")</f>
        <v>7114111000</v>
      </c>
      <c r="C5341" s="16" t="s">
        <v>786</v>
      </c>
      <c r="D5341" s="16" t="s">
        <v>799</v>
      </c>
      <c r="E5341" s="16" t="s">
        <v>9440</v>
      </c>
      <c r="F5341" s="27" t="s">
        <v>13798</v>
      </c>
      <c r="G5341" s="27"/>
      <c r="H5341" s="16" t="str">
        <f>IF(ISBLANK(PARTIDAS!$G5341),PARTIDAS!$F5341,CONCATENATE(PARTIDAS!$F5341," (",PARTIDAS!$G5341,")"))</f>
        <v>Artículos de orfebrería y sus partes, de metal…, de metal precioso, incluso revestido o chapado de…, de plata, incluso revestida o chapada de otro met</v>
      </c>
      <c r="I5341" s="16" t="s">
        <v>9427</v>
      </c>
    </row>
    <row r="5342" spans="1:9" x14ac:dyDescent="0.25">
      <c r="A5342" s="16" t="s">
        <v>6269</v>
      </c>
      <c r="B5342" s="16" t="str">
        <f>TEXT(PARTIDA[[#This Row],[PARTIDA]],"0000000000")</f>
        <v>7114119000</v>
      </c>
      <c r="C5342" s="16" t="s">
        <v>786</v>
      </c>
      <c r="D5342" s="16" t="s">
        <v>799</v>
      </c>
      <c r="E5342" s="16" t="s">
        <v>9440</v>
      </c>
      <c r="F5342" s="27" t="s">
        <v>13798</v>
      </c>
      <c r="G5342" s="27"/>
      <c r="H5342" s="16" t="str">
        <f>IF(ISBLANK(PARTIDAS!$G5342),PARTIDAS!$F5342,CONCATENATE(PARTIDAS!$F5342," (",PARTIDAS!$G5342,")"))</f>
        <v>Artículos de orfebrería y sus partes, de metal…, de metal precioso, incluso revestido o chapado de…, de plata, incluso revestida o chapada de otro met</v>
      </c>
      <c r="I5342" s="16" t="s">
        <v>9427</v>
      </c>
    </row>
    <row r="5343" spans="1:9" x14ac:dyDescent="0.25">
      <c r="A5343" s="16" t="s">
        <v>6270</v>
      </c>
      <c r="B5343" s="16" t="str">
        <f>TEXT(PARTIDA[[#This Row],[PARTIDA]],"0000000000")</f>
        <v>7114190000</v>
      </c>
      <c r="C5343" s="16" t="s">
        <v>786</v>
      </c>
      <c r="D5343" s="16" t="s">
        <v>799</v>
      </c>
      <c r="E5343" s="16" t="s">
        <v>9440</v>
      </c>
      <c r="F5343" s="27" t="s">
        <v>13799</v>
      </c>
      <c r="G5343" s="27"/>
      <c r="H5343" s="16" t="str">
        <f>IF(ISBLANK(PARTIDAS!$G5343),PARTIDAS!$F5343,CONCATENATE(PARTIDAS!$F5343," (",PARTIDAS!$G5343,")"))</f>
        <v>Artículos de orfebrería y sus partes, de metal…, de metal precioso, incluso revestido o chapado de metal precioso…, de los demás metales preciosos, in</v>
      </c>
      <c r="I5343" s="16" t="s">
        <v>9427</v>
      </c>
    </row>
    <row r="5344" spans="1:9" x14ac:dyDescent="0.25">
      <c r="A5344" s="16" t="s">
        <v>6271</v>
      </c>
      <c r="B5344" s="16" t="str">
        <f>TEXT(PARTIDA[[#This Row],[PARTIDA]],"0000000000")</f>
        <v>7114200000</v>
      </c>
      <c r="C5344" s="16" t="s">
        <v>786</v>
      </c>
      <c r="D5344" s="16" t="s">
        <v>799</v>
      </c>
      <c r="E5344" s="16" t="s">
        <v>9440</v>
      </c>
      <c r="F5344" s="27" t="s">
        <v>13800</v>
      </c>
      <c r="G5344" s="27"/>
      <c r="H5344" s="16" t="str">
        <f>IF(ISBLANK(PARTIDAS!$G5344),PARTIDAS!$F5344,CONCATENATE(PARTIDAS!$F5344," (",PARTIDAS!$G5344,")"))</f>
        <v>Artículos de orfebrería y sus partes, de metal precioso o de chapado…, de chapado de metal precioso (plaqué) sobre metal común</v>
      </c>
      <c r="I5344" s="16" t="s">
        <v>9427</v>
      </c>
    </row>
    <row r="5345" spans="1:9" x14ac:dyDescent="0.25">
      <c r="A5345" s="16" t="s">
        <v>6272</v>
      </c>
      <c r="B5345" s="16" t="str">
        <f>TEXT(PARTIDA[[#This Row],[PARTIDA]],"0000000000")</f>
        <v>7115100000</v>
      </c>
      <c r="C5345" s="16" t="s">
        <v>786</v>
      </c>
      <c r="D5345" s="16" t="s">
        <v>799</v>
      </c>
      <c r="E5345" s="16" t="s">
        <v>9440</v>
      </c>
      <c r="F5345" s="27" t="s">
        <v>13801</v>
      </c>
      <c r="G5345" s="27"/>
      <c r="H5345" s="16" t="str">
        <f>IF(ISBLANK(PARTIDAS!$G5345),PARTIDAS!$F5345,CONCATENATE(PARTIDAS!$F5345," (",PARTIDAS!$G5345,")"))</f>
        <v>Catalizadores de platino en forma de tela o enrejado</v>
      </c>
      <c r="I5345" s="16" t="s">
        <v>9427</v>
      </c>
    </row>
    <row r="5346" spans="1:9" x14ac:dyDescent="0.25">
      <c r="A5346" s="16" t="s">
        <v>6273</v>
      </c>
      <c r="B5346" s="16" t="str">
        <f>TEXT(PARTIDA[[#This Row],[PARTIDA]],"0000000000")</f>
        <v>7115900000</v>
      </c>
      <c r="C5346" s="16" t="s">
        <v>786</v>
      </c>
      <c r="D5346" s="16" t="s">
        <v>799</v>
      </c>
      <c r="E5346" s="16" t="s">
        <v>9440</v>
      </c>
      <c r="F5346" s="27" t="s">
        <v>13802</v>
      </c>
      <c r="G5346" s="27"/>
      <c r="H5346" s="16" t="str">
        <f>IF(ISBLANK(PARTIDAS!$G5346),PARTIDAS!$F5346,CONCATENATE(PARTIDAS!$F5346," (",PARTIDAS!$G5346,")"))</f>
        <v>Perlas finas (naturales) o cultivadas, piedras preciosas o… (los demás)</v>
      </c>
      <c r="I5346" s="16" t="s">
        <v>9427</v>
      </c>
    </row>
    <row r="5347" spans="1:9" x14ac:dyDescent="0.25">
      <c r="A5347" s="16" t="s">
        <v>6274</v>
      </c>
      <c r="B5347" s="16" t="str">
        <f>TEXT(PARTIDA[[#This Row],[PARTIDA]],"0000000000")</f>
        <v>7116100000</v>
      </c>
      <c r="C5347" s="16" t="s">
        <v>786</v>
      </c>
      <c r="D5347" s="16" t="s">
        <v>799</v>
      </c>
      <c r="E5347" s="16" t="s">
        <v>9440</v>
      </c>
      <c r="F5347" s="27" t="s">
        <v>13803</v>
      </c>
      <c r="G5347" s="27"/>
      <c r="H5347" s="16" t="str">
        <f>IF(ISBLANK(PARTIDAS!$G5347),PARTIDAS!$F5347,CONCATENATE(PARTIDAS!$F5347," (",PARTIDAS!$G5347,")"))</f>
        <v>Manufacturas de perlas finas (naturales) o cultivadas, de piedras…, de perlas finas (naturales) o cultivadas</v>
      </c>
      <c r="I5347" s="16" t="s">
        <v>9427</v>
      </c>
    </row>
    <row r="5348" spans="1:9" x14ac:dyDescent="0.25">
      <c r="A5348" s="16" t="s">
        <v>6275</v>
      </c>
      <c r="B5348" s="16" t="str">
        <f>TEXT(PARTIDA[[#This Row],[PARTIDA]],"0000000000")</f>
        <v>7116200000</v>
      </c>
      <c r="C5348" s="16" t="s">
        <v>786</v>
      </c>
      <c r="D5348" s="16" t="s">
        <v>799</v>
      </c>
      <c r="E5348" s="16" t="s">
        <v>9440</v>
      </c>
      <c r="F5348" s="27" t="s">
        <v>13804</v>
      </c>
      <c r="G5348" s="27"/>
      <c r="H5348" s="16" t="str">
        <f>IF(ISBLANK(PARTIDAS!$G5348),PARTIDAS!$F5348,CONCATENATE(PARTIDAS!$F5348," (",PARTIDAS!$G5348,")"))</f>
        <v>Manufacturas de perlas finas (naturales) o cultivadas, de piedras…, de piedras preciosas o semipreciosas (naturales, sintéticas o reconstituidas)</v>
      </c>
      <c r="I5348" s="16" t="s">
        <v>9427</v>
      </c>
    </row>
    <row r="5349" spans="1:9" x14ac:dyDescent="0.25">
      <c r="A5349" s="16" t="s">
        <v>6276</v>
      </c>
      <c r="B5349" s="16" t="str">
        <f>TEXT(PARTIDA[[#This Row],[PARTIDA]],"0000000000")</f>
        <v>7117110000</v>
      </c>
      <c r="C5349" s="16" t="s">
        <v>786</v>
      </c>
      <c r="D5349" s="16" t="s">
        <v>799</v>
      </c>
      <c r="E5349" s="16" t="s">
        <v>9440</v>
      </c>
      <c r="F5349" s="27" t="s">
        <v>13805</v>
      </c>
      <c r="G5349" s="27"/>
      <c r="H5349" s="16" t="str">
        <f>IF(ISBLANK(PARTIDAS!$G5349),PARTIDAS!$F5349,CONCATENATE(PARTIDAS!$F5349," (",PARTIDAS!$G5349,")"))</f>
        <v>Gemelos y pasadores similares</v>
      </c>
      <c r="I5349" s="16" t="s">
        <v>9427</v>
      </c>
    </row>
    <row r="5350" spans="1:9" x14ac:dyDescent="0.25">
      <c r="A5350" s="16" t="s">
        <v>6277</v>
      </c>
      <c r="B5350" s="16" t="str">
        <f>TEXT(PARTIDA[[#This Row],[PARTIDA]],"0000000000")</f>
        <v>7117190000</v>
      </c>
      <c r="C5350" s="16" t="s">
        <v>786</v>
      </c>
      <c r="D5350" s="16" t="s">
        <v>799</v>
      </c>
      <c r="E5350" s="16" t="s">
        <v>9440</v>
      </c>
      <c r="F5350" s="27" t="s">
        <v>13806</v>
      </c>
      <c r="G5350" s="27"/>
      <c r="H5350" s="16" t="str">
        <f>IF(ISBLANK(PARTIDAS!$G5350),PARTIDAS!$F5350,CONCATENATE(PARTIDAS!$F5350," (",PARTIDAS!$G5350,")"))</f>
        <v>Bisutería, de metal común, incluso plateado, dorado o platinado (los demás)</v>
      </c>
      <c r="I5350" s="16" t="s">
        <v>9427</v>
      </c>
    </row>
    <row r="5351" spans="1:9" x14ac:dyDescent="0.25">
      <c r="A5351" s="16" t="s">
        <v>6278</v>
      </c>
      <c r="B5351" s="16" t="str">
        <f>TEXT(PARTIDA[[#This Row],[PARTIDA]],"0000000000")</f>
        <v>7117900000</v>
      </c>
      <c r="C5351" s="16" t="s">
        <v>786</v>
      </c>
      <c r="D5351" s="16" t="s">
        <v>799</v>
      </c>
      <c r="E5351" s="16" t="s">
        <v>9440</v>
      </c>
      <c r="F5351" s="27" t="s">
        <v>13807</v>
      </c>
      <c r="G5351" s="27"/>
      <c r="H5351" s="16" t="str">
        <f>IF(ISBLANK(PARTIDAS!$G5351),PARTIDAS!$F5351,CONCATENATE(PARTIDAS!$F5351," (",PARTIDAS!$G5351,")"))</f>
        <v>Bisutería (los demás)</v>
      </c>
      <c r="I5351" s="16" t="s">
        <v>9427</v>
      </c>
    </row>
    <row r="5352" spans="1:9" x14ac:dyDescent="0.25">
      <c r="A5352" s="16" t="s">
        <v>6279</v>
      </c>
      <c r="B5352" s="16" t="str">
        <f>TEXT(PARTIDA[[#This Row],[PARTIDA]],"0000000000")</f>
        <v>7118100000</v>
      </c>
      <c r="C5352" s="16" t="s">
        <v>786</v>
      </c>
      <c r="D5352" s="16" t="s">
        <v>799</v>
      </c>
      <c r="E5352" s="16" t="s">
        <v>9440</v>
      </c>
      <c r="F5352" s="27" t="s">
        <v>13808</v>
      </c>
      <c r="G5352" s="27"/>
      <c r="H5352" s="16" t="str">
        <f>IF(ISBLANK(PARTIDAS!$G5352),PARTIDAS!$F5352,CONCATENATE(PARTIDAS!$F5352," (",PARTIDAS!$G5352,")"))</f>
        <v>Monedas sin curso legal, excepto las de oro</v>
      </c>
      <c r="I5352" s="16" t="s">
        <v>9427</v>
      </c>
    </row>
    <row r="5353" spans="1:9" x14ac:dyDescent="0.25">
      <c r="A5353" s="16" t="s">
        <v>6280</v>
      </c>
      <c r="B5353" s="16" t="str">
        <f>TEXT(PARTIDA[[#This Row],[PARTIDA]],"0000000000")</f>
        <v>7118900000</v>
      </c>
      <c r="C5353" s="16" t="s">
        <v>786</v>
      </c>
      <c r="D5353" s="16" t="s">
        <v>799</v>
      </c>
      <c r="E5353" s="16" t="s">
        <v>9440</v>
      </c>
      <c r="F5353" s="27" t="s">
        <v>13809</v>
      </c>
      <c r="G5353" s="27"/>
      <c r="H5353" s="16" t="str">
        <f>IF(ISBLANK(PARTIDAS!$G5353),PARTIDAS!$F5353,CONCATENATE(PARTIDAS!$F5353," (",PARTIDAS!$G5353,")"))</f>
        <v>Monedas (los demás)</v>
      </c>
      <c r="I5353" s="16" t="s">
        <v>9427</v>
      </c>
    </row>
    <row r="5354" spans="1:9" x14ac:dyDescent="0.25">
      <c r="A5354" s="16" t="s">
        <v>6281</v>
      </c>
      <c r="B5354" s="16" t="str">
        <f>TEXT(PARTIDA[[#This Row],[PARTIDA]],"0000000000")</f>
        <v>7201100000</v>
      </c>
      <c r="C5354" s="16" t="s">
        <v>815</v>
      </c>
      <c r="D5354" s="16" t="s">
        <v>835</v>
      </c>
      <c r="E5354" s="16" t="s">
        <v>9462</v>
      </c>
      <c r="F5354" s="27" t="s">
        <v>13810</v>
      </c>
      <c r="G5354" s="27"/>
      <c r="H5354" s="16" t="str">
        <f>IF(ISBLANK(PARTIDAS!$G5354),PARTIDAS!$F5354,CONCATENATE(PARTIDAS!$F5354," (",PARTIDAS!$G5354,")"))</f>
        <v>Fundición en bruto sin alear con un contenido de fósforo inferior o igual al 0,5 % en peso</v>
      </c>
      <c r="I5354" s="16" t="s">
        <v>9427</v>
      </c>
    </row>
    <row r="5355" spans="1:9" x14ac:dyDescent="0.25">
      <c r="A5355" s="16" t="s">
        <v>6282</v>
      </c>
      <c r="B5355" s="16" t="str">
        <f>TEXT(PARTIDA[[#This Row],[PARTIDA]],"0000000000")</f>
        <v>7201200000</v>
      </c>
      <c r="C5355" s="16" t="s">
        <v>815</v>
      </c>
      <c r="D5355" s="16" t="s">
        <v>835</v>
      </c>
      <c r="E5355" s="16" t="s">
        <v>9462</v>
      </c>
      <c r="F5355" s="27" t="s">
        <v>13811</v>
      </c>
      <c r="G5355" s="27"/>
      <c r="H5355" s="16" t="str">
        <f>IF(ISBLANK(PARTIDAS!$G5355),PARTIDAS!$F5355,CONCATENATE(PARTIDAS!$F5355," (",PARTIDAS!$G5355,")"))</f>
        <v>Fundición en bruto sin alear con un contenido de fósforo superior al 0,5 % en peso</v>
      </c>
      <c r="I5355" s="16" t="s">
        <v>9427</v>
      </c>
    </row>
    <row r="5356" spans="1:9" x14ac:dyDescent="0.25">
      <c r="A5356" s="16" t="s">
        <v>6283</v>
      </c>
      <c r="B5356" s="16" t="str">
        <f>TEXT(PARTIDA[[#This Row],[PARTIDA]],"0000000000")</f>
        <v>7201500000</v>
      </c>
      <c r="C5356" s="16" t="s">
        <v>815</v>
      </c>
      <c r="D5356" s="16" t="s">
        <v>835</v>
      </c>
      <c r="E5356" s="16" t="s">
        <v>9462</v>
      </c>
      <c r="F5356" s="27" t="s">
        <v>13812</v>
      </c>
      <c r="G5356" s="27"/>
      <c r="H5356" s="16" t="str">
        <f>IF(ISBLANK(PARTIDAS!$G5356),PARTIDAS!$F5356,CONCATENATE(PARTIDAS!$F5356," (",PARTIDAS!$G5356,")"))</f>
        <v>Fundición en bruto aleada; fundición especular</v>
      </c>
      <c r="I5356" s="16" t="s">
        <v>9427</v>
      </c>
    </row>
    <row r="5357" spans="1:9" x14ac:dyDescent="0.25">
      <c r="A5357" s="16" t="s">
        <v>6284</v>
      </c>
      <c r="B5357" s="16" t="str">
        <f>TEXT(PARTIDA[[#This Row],[PARTIDA]],"0000000000")</f>
        <v>7202110000</v>
      </c>
      <c r="C5357" s="16" t="s">
        <v>815</v>
      </c>
      <c r="D5357" s="16" t="s">
        <v>835</v>
      </c>
      <c r="E5357" s="16" t="s">
        <v>9462</v>
      </c>
      <c r="F5357" s="27" t="s">
        <v>13813</v>
      </c>
      <c r="G5357" s="27"/>
      <c r="H5357" s="16" t="str">
        <f>IF(ISBLANK(PARTIDAS!$G5357),PARTIDAS!$F5357,CONCATENATE(PARTIDAS!$F5357," (",PARTIDAS!$G5357,")"))</f>
        <v>Ferromanganeso, con un contenido de carbono superior al 2 % en peso</v>
      </c>
      <c r="I5357" s="16" t="s">
        <v>9427</v>
      </c>
    </row>
    <row r="5358" spans="1:9" x14ac:dyDescent="0.25">
      <c r="A5358" s="16" t="s">
        <v>6285</v>
      </c>
      <c r="B5358" s="16" t="str">
        <f>TEXT(PARTIDA[[#This Row],[PARTIDA]],"0000000000")</f>
        <v>7202190000</v>
      </c>
      <c r="C5358" s="16" t="s">
        <v>815</v>
      </c>
      <c r="D5358" s="16" t="s">
        <v>835</v>
      </c>
      <c r="E5358" s="16" t="s">
        <v>9462</v>
      </c>
      <c r="F5358" s="27" t="s">
        <v>13814</v>
      </c>
      <c r="G5358" s="27"/>
      <c r="H5358" s="16" t="str">
        <f>IF(ISBLANK(PARTIDAS!$G5358),PARTIDAS!$F5358,CONCATENATE(PARTIDAS!$F5358," (",PARTIDAS!$G5358,")"))</f>
        <v>Ferromanganeso (los demás)</v>
      </c>
      <c r="I5358" s="16" t="s">
        <v>9427</v>
      </c>
    </row>
    <row r="5359" spans="1:9" x14ac:dyDescent="0.25">
      <c r="A5359" s="16" t="s">
        <v>6286</v>
      </c>
      <c r="B5359" s="16" t="str">
        <f>TEXT(PARTIDA[[#This Row],[PARTIDA]],"0000000000")</f>
        <v>7202210000</v>
      </c>
      <c r="C5359" s="16" t="s">
        <v>815</v>
      </c>
      <c r="D5359" s="16" t="s">
        <v>835</v>
      </c>
      <c r="E5359" s="16" t="s">
        <v>9462</v>
      </c>
      <c r="F5359" s="27" t="s">
        <v>13815</v>
      </c>
      <c r="G5359" s="27"/>
      <c r="H5359" s="16" t="str">
        <f>IF(ISBLANK(PARTIDAS!$G5359),PARTIDAS!$F5359,CONCATENATE(PARTIDAS!$F5359," (",PARTIDAS!$G5359,")"))</f>
        <v>Ferrosilicio, con un contenido de silicio superior al 55 % en peso</v>
      </c>
      <c r="I5359" s="16" t="s">
        <v>9427</v>
      </c>
    </row>
    <row r="5360" spans="1:9" x14ac:dyDescent="0.25">
      <c r="A5360" s="16" t="s">
        <v>6287</v>
      </c>
      <c r="B5360" s="16" t="str">
        <f>TEXT(PARTIDA[[#This Row],[PARTIDA]],"0000000000")</f>
        <v>7202290000</v>
      </c>
      <c r="C5360" s="16" t="s">
        <v>815</v>
      </c>
      <c r="D5360" s="16" t="s">
        <v>835</v>
      </c>
      <c r="E5360" s="16" t="s">
        <v>9462</v>
      </c>
      <c r="F5360" s="27" t="s">
        <v>13816</v>
      </c>
      <c r="G5360" s="27"/>
      <c r="H5360" s="16" t="str">
        <f>IF(ISBLANK(PARTIDAS!$G5360),PARTIDAS!$F5360,CONCATENATE(PARTIDAS!$F5360," (",PARTIDAS!$G5360,")"))</f>
        <v>Ferrosilicio (los demás)</v>
      </c>
      <c r="I5360" s="16" t="s">
        <v>9427</v>
      </c>
    </row>
    <row r="5361" spans="1:9" x14ac:dyDescent="0.25">
      <c r="A5361" s="16" t="s">
        <v>6288</v>
      </c>
      <c r="B5361" s="16" t="str">
        <f>TEXT(PARTIDA[[#This Row],[PARTIDA]],"0000000000")</f>
        <v>7202300000</v>
      </c>
      <c r="C5361" s="16" t="s">
        <v>815</v>
      </c>
      <c r="D5361" s="16" t="s">
        <v>835</v>
      </c>
      <c r="E5361" s="16" t="s">
        <v>9462</v>
      </c>
      <c r="F5361" s="27" t="s">
        <v>13817</v>
      </c>
      <c r="G5361" s="27"/>
      <c r="H5361" s="16" t="str">
        <f>IF(ISBLANK(PARTIDAS!$G5361),PARTIDAS!$F5361,CONCATENATE(PARTIDAS!$F5361," (",PARTIDAS!$G5361,")"))</f>
        <v>Ferro-sílico-manganeso</v>
      </c>
      <c r="I5361" s="16" t="s">
        <v>9427</v>
      </c>
    </row>
    <row r="5362" spans="1:9" x14ac:dyDescent="0.25">
      <c r="A5362" s="16" t="s">
        <v>6289</v>
      </c>
      <c r="B5362" s="16" t="str">
        <f>TEXT(PARTIDA[[#This Row],[PARTIDA]],"0000000000")</f>
        <v>7202410000</v>
      </c>
      <c r="C5362" s="16" t="s">
        <v>815</v>
      </c>
      <c r="D5362" s="16" t="s">
        <v>835</v>
      </c>
      <c r="E5362" s="16" t="s">
        <v>9462</v>
      </c>
      <c r="F5362" s="27" t="s">
        <v>13818</v>
      </c>
      <c r="G5362" s="27"/>
      <c r="H5362" s="16" t="str">
        <f>IF(ISBLANK(PARTIDAS!$G5362),PARTIDAS!$F5362,CONCATENATE(PARTIDAS!$F5362," (",PARTIDAS!$G5362,")"))</f>
        <v>Ferrocromo, con un contenido de carbono superior al 4 % en peso</v>
      </c>
      <c r="I5362" s="16" t="s">
        <v>9427</v>
      </c>
    </row>
    <row r="5363" spans="1:9" x14ac:dyDescent="0.25">
      <c r="A5363" s="16" t="s">
        <v>6290</v>
      </c>
      <c r="B5363" s="16" t="str">
        <f>TEXT(PARTIDA[[#This Row],[PARTIDA]],"0000000000")</f>
        <v>7202490000</v>
      </c>
      <c r="C5363" s="16" t="s">
        <v>815</v>
      </c>
      <c r="D5363" s="16" t="s">
        <v>835</v>
      </c>
      <c r="E5363" s="16" t="s">
        <v>9462</v>
      </c>
      <c r="F5363" s="27" t="s">
        <v>13819</v>
      </c>
      <c r="G5363" s="27"/>
      <c r="H5363" s="16" t="str">
        <f>IF(ISBLANK(PARTIDAS!$G5363),PARTIDAS!$F5363,CONCATENATE(PARTIDAS!$F5363," (",PARTIDAS!$G5363,")"))</f>
        <v>Ferrocromo (los demás)</v>
      </c>
      <c r="I5363" s="16" t="s">
        <v>9427</v>
      </c>
    </row>
    <row r="5364" spans="1:9" x14ac:dyDescent="0.25">
      <c r="A5364" s="16" t="s">
        <v>6291</v>
      </c>
      <c r="B5364" s="16" t="str">
        <f>TEXT(PARTIDA[[#This Row],[PARTIDA]],"0000000000")</f>
        <v>7202500000</v>
      </c>
      <c r="C5364" s="16" t="s">
        <v>815</v>
      </c>
      <c r="D5364" s="16" t="s">
        <v>835</v>
      </c>
      <c r="E5364" s="16" t="s">
        <v>9462</v>
      </c>
      <c r="F5364" s="27" t="s">
        <v>13820</v>
      </c>
      <c r="G5364" s="27"/>
      <c r="H5364" s="16" t="str">
        <f>IF(ISBLANK(PARTIDAS!$G5364),PARTIDAS!$F5364,CONCATENATE(PARTIDAS!$F5364," (",PARTIDAS!$G5364,")"))</f>
        <v>Ferro-sílico-cromo</v>
      </c>
      <c r="I5364" s="16" t="s">
        <v>9427</v>
      </c>
    </row>
    <row r="5365" spans="1:9" x14ac:dyDescent="0.25">
      <c r="A5365" s="16" t="s">
        <v>6292</v>
      </c>
      <c r="B5365" s="16" t="str">
        <f>TEXT(PARTIDA[[#This Row],[PARTIDA]],"0000000000")</f>
        <v>7202600000</v>
      </c>
      <c r="C5365" s="16" t="s">
        <v>815</v>
      </c>
      <c r="D5365" s="16" t="s">
        <v>835</v>
      </c>
      <c r="E5365" s="16" t="s">
        <v>9462</v>
      </c>
      <c r="F5365" s="27" t="s">
        <v>13821</v>
      </c>
      <c r="G5365" s="27"/>
      <c r="H5365" s="16" t="str">
        <f>IF(ISBLANK(PARTIDAS!$G5365),PARTIDAS!$F5365,CONCATENATE(PARTIDAS!$F5365," (",PARTIDAS!$G5365,")"))</f>
        <v>Ferroníquel</v>
      </c>
      <c r="I5365" s="16" t="s">
        <v>9427</v>
      </c>
    </row>
    <row r="5366" spans="1:9" x14ac:dyDescent="0.25">
      <c r="A5366" s="16" t="s">
        <v>6293</v>
      </c>
      <c r="B5366" s="16" t="str">
        <f>TEXT(PARTIDA[[#This Row],[PARTIDA]],"0000000000")</f>
        <v>7202700000</v>
      </c>
      <c r="C5366" s="16" t="s">
        <v>815</v>
      </c>
      <c r="D5366" s="16" t="s">
        <v>835</v>
      </c>
      <c r="E5366" s="16" t="s">
        <v>9462</v>
      </c>
      <c r="F5366" s="27" t="s">
        <v>13822</v>
      </c>
      <c r="G5366" s="27"/>
      <c r="H5366" s="16" t="str">
        <f>IF(ISBLANK(PARTIDAS!$G5366),PARTIDAS!$F5366,CONCATENATE(PARTIDAS!$F5366," (",PARTIDAS!$G5366,")"))</f>
        <v>Ferromolibdeno</v>
      </c>
      <c r="I5366" s="16" t="s">
        <v>9427</v>
      </c>
    </row>
    <row r="5367" spans="1:9" x14ac:dyDescent="0.25">
      <c r="A5367" s="16" t="s">
        <v>6294</v>
      </c>
      <c r="B5367" s="16" t="str">
        <f>TEXT(PARTIDA[[#This Row],[PARTIDA]],"0000000000")</f>
        <v>7202800000</v>
      </c>
      <c r="C5367" s="16" t="s">
        <v>815</v>
      </c>
      <c r="D5367" s="16" t="s">
        <v>835</v>
      </c>
      <c r="E5367" s="16" t="s">
        <v>9462</v>
      </c>
      <c r="F5367" s="27" t="s">
        <v>13823</v>
      </c>
      <c r="G5367" s="27"/>
      <c r="H5367" s="16" t="str">
        <f>IF(ISBLANK(PARTIDAS!$G5367),PARTIDAS!$F5367,CONCATENATE(PARTIDAS!$F5367," (",PARTIDAS!$G5367,")"))</f>
        <v>Ferrovolframio y ferro-sílico-volframio</v>
      </c>
      <c r="I5367" s="16" t="s">
        <v>9427</v>
      </c>
    </row>
    <row r="5368" spans="1:9" x14ac:dyDescent="0.25">
      <c r="A5368" s="16" t="s">
        <v>6295</v>
      </c>
      <c r="B5368" s="16" t="str">
        <f>TEXT(PARTIDA[[#This Row],[PARTIDA]],"0000000000")</f>
        <v>7202910000</v>
      </c>
      <c r="C5368" s="16" t="s">
        <v>815</v>
      </c>
      <c r="D5368" s="16" t="s">
        <v>835</v>
      </c>
      <c r="E5368" s="16" t="s">
        <v>9462</v>
      </c>
      <c r="F5368" s="27" t="s">
        <v>13824</v>
      </c>
      <c r="G5368" s="27"/>
      <c r="H5368" s="16" t="str">
        <f>IF(ISBLANK(PARTIDAS!$G5368),PARTIDAS!$F5368,CONCATENATE(PARTIDAS!$F5368," (",PARTIDAS!$G5368,")"))</f>
        <v>Ferrotitanio y ferro-sílico-titanio</v>
      </c>
      <c r="I5368" s="16" t="s">
        <v>9427</v>
      </c>
    </row>
    <row r="5369" spans="1:9" x14ac:dyDescent="0.25">
      <c r="A5369" s="16" t="s">
        <v>6296</v>
      </c>
      <c r="B5369" s="16" t="str">
        <f>TEXT(PARTIDA[[#This Row],[PARTIDA]],"0000000000")</f>
        <v>7202920000</v>
      </c>
      <c r="C5369" s="16" t="s">
        <v>815</v>
      </c>
      <c r="D5369" s="16" t="s">
        <v>835</v>
      </c>
      <c r="E5369" s="16" t="s">
        <v>9462</v>
      </c>
      <c r="F5369" s="27" t="s">
        <v>13825</v>
      </c>
      <c r="G5369" s="27"/>
      <c r="H5369" s="16" t="str">
        <f>IF(ISBLANK(PARTIDAS!$G5369),PARTIDAS!$F5369,CONCATENATE(PARTIDAS!$F5369," (",PARTIDAS!$G5369,")"))</f>
        <v>Ferroaleaciones, ferrovanadio</v>
      </c>
      <c r="I5369" s="16" t="s">
        <v>9427</v>
      </c>
    </row>
    <row r="5370" spans="1:9" x14ac:dyDescent="0.25">
      <c r="A5370" s="16" t="s">
        <v>6297</v>
      </c>
      <c r="B5370" s="16" t="str">
        <f>TEXT(PARTIDA[[#This Row],[PARTIDA]],"0000000000")</f>
        <v>7202930000</v>
      </c>
      <c r="C5370" s="16" t="s">
        <v>815</v>
      </c>
      <c r="D5370" s="16" t="s">
        <v>835</v>
      </c>
      <c r="E5370" s="16" t="s">
        <v>9462</v>
      </c>
      <c r="F5370" s="27" t="s">
        <v>13826</v>
      </c>
      <c r="G5370" s="27"/>
      <c r="H5370" s="16" t="str">
        <f>IF(ISBLANK(PARTIDAS!$G5370),PARTIDAS!$F5370,CONCATENATE(PARTIDAS!$F5370," (",PARTIDAS!$G5370,")"))</f>
        <v>Ferroaleaciones, ferroniobio</v>
      </c>
      <c r="I5370" s="16" t="s">
        <v>9427</v>
      </c>
    </row>
    <row r="5371" spans="1:9" x14ac:dyDescent="0.25">
      <c r="A5371" s="16" t="s">
        <v>6298</v>
      </c>
      <c r="B5371" s="16" t="str">
        <f>TEXT(PARTIDA[[#This Row],[PARTIDA]],"0000000000")</f>
        <v>7202990000</v>
      </c>
      <c r="C5371" s="16" t="s">
        <v>815</v>
      </c>
      <c r="D5371" s="16" t="s">
        <v>835</v>
      </c>
      <c r="E5371" s="16" t="s">
        <v>9462</v>
      </c>
      <c r="F5371" s="27" t="s">
        <v>13827</v>
      </c>
      <c r="G5371" s="27"/>
      <c r="H5371" s="16" t="str">
        <f>IF(ISBLANK(PARTIDAS!$G5371),PARTIDAS!$F5371,CONCATENATE(PARTIDAS!$F5371," (",PARTIDAS!$G5371,")"))</f>
        <v>Ferroaleaciones (los demás)</v>
      </c>
      <c r="I5371" s="16" t="s">
        <v>9427</v>
      </c>
    </row>
    <row r="5372" spans="1:9" x14ac:dyDescent="0.25">
      <c r="A5372" s="16" t="s">
        <v>6299</v>
      </c>
      <c r="B5372" s="16" t="str">
        <f>TEXT(PARTIDA[[#This Row],[PARTIDA]],"0000000000")</f>
        <v>7203100000</v>
      </c>
      <c r="C5372" s="16" t="s">
        <v>815</v>
      </c>
      <c r="D5372" s="16" t="s">
        <v>835</v>
      </c>
      <c r="E5372" s="16" t="s">
        <v>9462</v>
      </c>
      <c r="F5372" s="27" t="s">
        <v>13828</v>
      </c>
      <c r="G5372" s="27"/>
      <c r="H5372" s="16" t="str">
        <f>IF(ISBLANK(PARTIDAS!$G5372),PARTIDAS!$F5372,CONCATENATE(PARTIDAS!$F5372," (",PARTIDAS!$G5372,")"))</f>
        <v>Productos férreos obtenidos por reducción directa de minerales de hierro</v>
      </c>
      <c r="I5372" s="16" t="s">
        <v>9427</v>
      </c>
    </row>
    <row r="5373" spans="1:9" x14ac:dyDescent="0.25">
      <c r="A5373" s="16" t="s">
        <v>6300</v>
      </c>
      <c r="B5373" s="16" t="str">
        <f>TEXT(PARTIDA[[#This Row],[PARTIDA]],"0000000000")</f>
        <v>7203900000</v>
      </c>
      <c r="C5373" s="16" t="s">
        <v>815</v>
      </c>
      <c r="D5373" s="16" t="s">
        <v>835</v>
      </c>
      <c r="E5373" s="16" t="s">
        <v>9462</v>
      </c>
      <c r="F5373" s="27" t="s">
        <v>13829</v>
      </c>
      <c r="G5373" s="27"/>
      <c r="H5373" s="16" t="str">
        <f>IF(ISBLANK(PARTIDAS!$G5373),PARTIDAS!$F5373,CONCATENATE(PARTIDAS!$F5373," (",PARTIDAS!$G5373,")"))</f>
        <v>Productos férreos obtenidos por reducción directa de minerales de… (los demás)</v>
      </c>
      <c r="I5373" s="16" t="s">
        <v>9427</v>
      </c>
    </row>
    <row r="5374" spans="1:9" x14ac:dyDescent="0.25">
      <c r="A5374" s="16" t="s">
        <v>6301</v>
      </c>
      <c r="B5374" s="16" t="str">
        <f>TEXT(PARTIDA[[#This Row],[PARTIDA]],"0000000000")</f>
        <v>7204100000</v>
      </c>
      <c r="C5374" s="16" t="s">
        <v>815</v>
      </c>
      <c r="D5374" s="16" t="s">
        <v>835</v>
      </c>
      <c r="E5374" s="16" t="s">
        <v>9462</v>
      </c>
      <c r="F5374" s="27" t="s">
        <v>13830</v>
      </c>
      <c r="G5374" s="27"/>
      <c r="H5374" s="16" t="str">
        <f>IF(ISBLANK(PARTIDAS!$G5374),PARTIDAS!$F5374,CONCATENATE(PARTIDAS!$F5374," (",PARTIDAS!$G5374,")"))</f>
        <v>Desperdicios y desechos, de fundición</v>
      </c>
      <c r="I5374" s="16" t="s">
        <v>9427</v>
      </c>
    </row>
    <row r="5375" spans="1:9" x14ac:dyDescent="0.25">
      <c r="A5375" s="16" t="s">
        <v>6302</v>
      </c>
      <c r="B5375" s="16" t="str">
        <f>TEXT(PARTIDA[[#This Row],[PARTIDA]],"0000000000")</f>
        <v>7204210000</v>
      </c>
      <c r="C5375" s="16" t="s">
        <v>815</v>
      </c>
      <c r="D5375" s="16" t="s">
        <v>835</v>
      </c>
      <c r="E5375" s="16" t="s">
        <v>9462</v>
      </c>
      <c r="F5375" s="27" t="s">
        <v>13831</v>
      </c>
      <c r="G5375" s="27"/>
      <c r="H5375" s="16" t="str">
        <f>IF(ISBLANK(PARTIDAS!$G5375),PARTIDAS!$F5375,CONCATENATE(PARTIDAS!$F5375," (",PARTIDAS!$G5375,")"))</f>
        <v>Desperdicios y desechos, de aceros aleados, de acero inoxidable</v>
      </c>
      <c r="I5375" s="16" t="s">
        <v>9427</v>
      </c>
    </row>
    <row r="5376" spans="1:9" x14ac:dyDescent="0.25">
      <c r="A5376" s="16" t="s">
        <v>6303</v>
      </c>
      <c r="B5376" s="16" t="str">
        <f>TEXT(PARTIDA[[#This Row],[PARTIDA]],"0000000000")</f>
        <v>7204290000</v>
      </c>
      <c r="C5376" s="16" t="s">
        <v>815</v>
      </c>
      <c r="D5376" s="16" t="s">
        <v>835</v>
      </c>
      <c r="E5376" s="16" t="s">
        <v>9462</v>
      </c>
      <c r="F5376" s="27" t="s">
        <v>6304</v>
      </c>
      <c r="G5376" s="27"/>
      <c r="H5376" s="16" t="str">
        <f>IF(ISBLANK(PARTIDAS!$G5376),PARTIDAS!$F5376,CONCATENATE(PARTIDAS!$F5376," (",PARTIDAS!$G5376,")"))</f>
        <v>Chatarra</v>
      </c>
      <c r="I5376" s="16" t="s">
        <v>9427</v>
      </c>
    </row>
    <row r="5377" spans="1:9" x14ac:dyDescent="0.25">
      <c r="A5377" s="16" t="s">
        <v>6305</v>
      </c>
      <c r="B5377" s="16" t="str">
        <f>TEXT(PARTIDA[[#This Row],[PARTIDA]],"0000000000")</f>
        <v>7204300000</v>
      </c>
      <c r="C5377" s="16" t="s">
        <v>815</v>
      </c>
      <c r="D5377" s="16" t="s">
        <v>835</v>
      </c>
      <c r="E5377" s="16" t="s">
        <v>9462</v>
      </c>
      <c r="F5377" s="27" t="s">
        <v>13832</v>
      </c>
      <c r="G5377" s="27"/>
      <c r="H5377" s="16" t="str">
        <f>IF(ISBLANK(PARTIDAS!$G5377),PARTIDAS!$F5377,CONCATENATE(PARTIDAS!$F5377," (",PARTIDAS!$G5377,")"))</f>
        <v>Desperdicios y desechos, de hierro o acero estañados</v>
      </c>
      <c r="I5377" s="16" t="s">
        <v>9427</v>
      </c>
    </row>
    <row r="5378" spans="1:9" x14ac:dyDescent="0.25">
      <c r="A5378" s="16" t="s">
        <v>6306</v>
      </c>
      <c r="B5378" s="16" t="str">
        <f>TEXT(PARTIDA[[#This Row],[PARTIDA]],"0000000000")</f>
        <v>7204410000</v>
      </c>
      <c r="C5378" s="16" t="s">
        <v>815</v>
      </c>
      <c r="D5378" s="16" t="s">
        <v>835</v>
      </c>
      <c r="E5378" s="16" t="s">
        <v>9462</v>
      </c>
      <c r="F5378" s="27" t="s">
        <v>13833</v>
      </c>
      <c r="G5378" s="27"/>
      <c r="H5378" s="16" t="str">
        <f>IF(ISBLANK(PARTIDAS!$G5378),PARTIDAS!$F5378,CONCATENATE(PARTIDAS!$F5378," (",PARTIDAS!$G5378,")"))</f>
        <v>Torneaduras, virutas, esquirlas, limaduras (de amolado, aserrado, limado) y recortes de estampado o de corte, incluso en paquetes</v>
      </c>
      <c r="I5378" s="16" t="s">
        <v>9427</v>
      </c>
    </row>
    <row r="5379" spans="1:9" x14ac:dyDescent="0.25">
      <c r="A5379" s="16" t="s">
        <v>6307</v>
      </c>
      <c r="B5379" s="16" t="str">
        <f>TEXT(PARTIDA[[#This Row],[PARTIDA]],"0000000000")</f>
        <v>7204490000</v>
      </c>
      <c r="C5379" s="16" t="s">
        <v>815</v>
      </c>
      <c r="D5379" s="16" t="s">
        <v>835</v>
      </c>
      <c r="E5379" s="16" t="s">
        <v>855</v>
      </c>
      <c r="F5379" s="27" t="s">
        <v>9223</v>
      </c>
      <c r="G5379" s="27"/>
      <c r="H5379" s="16" t="str">
        <f>IF(ISBLANK(PARTIDAS!$G5379),PARTIDAS!$F5379,CONCATENATE(PARTIDAS!$F5379," (",PARTIDAS!$G5379,")"))</f>
        <v>Desperdicios y desechos (chatarra), de fundición, hierro o acero (los demás)</v>
      </c>
      <c r="I5379" s="16" t="s">
        <v>9477</v>
      </c>
    </row>
    <row r="5380" spans="1:9" x14ac:dyDescent="0.25">
      <c r="A5380" s="16" t="s">
        <v>6308</v>
      </c>
      <c r="B5380" s="16" t="str">
        <f>TEXT(PARTIDA[[#This Row],[PARTIDA]],"0000000000")</f>
        <v>7204500000</v>
      </c>
      <c r="C5380" s="16" t="s">
        <v>815</v>
      </c>
      <c r="D5380" s="16" t="s">
        <v>835</v>
      </c>
      <c r="E5380" s="16" t="s">
        <v>9462</v>
      </c>
      <c r="F5380" s="27" t="s">
        <v>13834</v>
      </c>
      <c r="G5380" s="27"/>
      <c r="H5380" s="16" t="str">
        <f>IF(ISBLANK(PARTIDAS!$G5380),PARTIDAS!$F5380,CONCATENATE(PARTIDAS!$F5380," (",PARTIDAS!$G5380,")"))</f>
        <v>Lingotes de chatarra</v>
      </c>
      <c r="I5380" s="16" t="s">
        <v>9427</v>
      </c>
    </row>
    <row r="5381" spans="1:9" x14ac:dyDescent="0.25">
      <c r="A5381" s="16" t="s">
        <v>6309</v>
      </c>
      <c r="B5381" s="16" t="str">
        <f>TEXT(PARTIDA[[#This Row],[PARTIDA]],"0000000000")</f>
        <v>7205100000</v>
      </c>
      <c r="C5381" s="16" t="s">
        <v>815</v>
      </c>
      <c r="D5381" s="16" t="s">
        <v>835</v>
      </c>
      <c r="E5381" s="16" t="s">
        <v>9462</v>
      </c>
      <c r="F5381" s="27" t="s">
        <v>13835</v>
      </c>
      <c r="G5381" s="27"/>
      <c r="H5381" s="16" t="str">
        <f>IF(ISBLANK(PARTIDAS!$G5381),PARTIDAS!$F5381,CONCATENATE(PARTIDAS!$F5381," (",PARTIDAS!$G5381,")"))</f>
        <v>Granallas</v>
      </c>
      <c r="I5381" s="16" t="s">
        <v>9427</v>
      </c>
    </row>
    <row r="5382" spans="1:9" x14ac:dyDescent="0.25">
      <c r="A5382" s="16" t="s">
        <v>6310</v>
      </c>
      <c r="B5382" s="16" t="str">
        <f>TEXT(PARTIDA[[#This Row],[PARTIDA]],"0000000000")</f>
        <v>7205210000</v>
      </c>
      <c r="C5382" s="16" t="s">
        <v>815</v>
      </c>
      <c r="D5382" s="16" t="s">
        <v>835</v>
      </c>
      <c r="E5382" s="16" t="s">
        <v>9462</v>
      </c>
      <c r="F5382" s="27" t="s">
        <v>13836</v>
      </c>
      <c r="G5382" s="27"/>
      <c r="H5382" s="16" t="str">
        <f>IF(ISBLANK(PARTIDAS!$G5382),PARTIDAS!$F5382,CONCATENATE(PARTIDAS!$F5382," (",PARTIDAS!$G5382,")"))</f>
        <v>Polvo, de aceros aleados</v>
      </c>
      <c r="I5382" s="16" t="s">
        <v>9427</v>
      </c>
    </row>
    <row r="5383" spans="1:9" x14ac:dyDescent="0.25">
      <c r="A5383" s="16" t="s">
        <v>6311</v>
      </c>
      <c r="B5383" s="16" t="str">
        <f>TEXT(PARTIDA[[#This Row],[PARTIDA]],"0000000000")</f>
        <v>7205290000</v>
      </c>
      <c r="C5383" s="16" t="s">
        <v>815</v>
      </c>
      <c r="D5383" s="16" t="s">
        <v>835</v>
      </c>
      <c r="E5383" s="16" t="s">
        <v>9462</v>
      </c>
      <c r="F5383" s="27" t="s">
        <v>13837</v>
      </c>
      <c r="G5383" s="27"/>
      <c r="H5383" s="16" t="str">
        <f>IF(ISBLANK(PARTIDAS!$G5383),PARTIDAS!$F5383,CONCATENATE(PARTIDAS!$F5383," (",PARTIDAS!$G5383,")"))</f>
        <v>Polvo (los demás)</v>
      </c>
      <c r="I5383" s="16" t="s">
        <v>9427</v>
      </c>
    </row>
    <row r="5384" spans="1:9" x14ac:dyDescent="0.25">
      <c r="A5384" s="16" t="s">
        <v>6312</v>
      </c>
      <c r="B5384" s="16" t="str">
        <f>TEXT(PARTIDA[[#This Row],[PARTIDA]],"0000000000")</f>
        <v>7206100000</v>
      </c>
      <c r="C5384" s="16" t="s">
        <v>815</v>
      </c>
      <c r="D5384" s="16" t="s">
        <v>835</v>
      </c>
      <c r="E5384" s="16" t="s">
        <v>9462</v>
      </c>
      <c r="F5384" s="27" t="s">
        <v>13838</v>
      </c>
      <c r="G5384" s="27"/>
      <c r="H5384" s="16" t="str">
        <f>IF(ISBLANK(PARTIDAS!$G5384),PARTIDAS!$F5384,CONCATENATE(PARTIDAS!$F5384," (",PARTIDAS!$G5384,")"))</f>
        <v>Lingotes</v>
      </c>
      <c r="I5384" s="16" t="s">
        <v>9427</v>
      </c>
    </row>
    <row r="5385" spans="1:9" x14ac:dyDescent="0.25">
      <c r="A5385" s="16" t="s">
        <v>6313</v>
      </c>
      <c r="B5385" s="16" t="str">
        <f>TEXT(PARTIDA[[#This Row],[PARTIDA]],"0000000000")</f>
        <v>7206900000</v>
      </c>
      <c r="C5385" s="16" t="s">
        <v>815</v>
      </c>
      <c r="D5385" s="16" t="s">
        <v>835</v>
      </c>
      <c r="E5385" s="16" t="s">
        <v>9462</v>
      </c>
      <c r="F5385" s="27" t="s">
        <v>13839</v>
      </c>
      <c r="G5385" s="27"/>
      <c r="H5385" s="16" t="str">
        <f>IF(ISBLANK(PARTIDAS!$G5385),PARTIDAS!$F5385,CONCATENATE(PARTIDAS!$F5385," (",PARTIDAS!$G5385,")"))</f>
        <v>Hierro y acero sin alear, en lingotes o demás formas primarias (los demás)</v>
      </c>
      <c r="I5385" s="16" t="s">
        <v>9427</v>
      </c>
    </row>
    <row r="5386" spans="1:9" x14ac:dyDescent="0.25">
      <c r="A5386" s="16" t="s">
        <v>6314</v>
      </c>
      <c r="B5386" s="16" t="str">
        <f>TEXT(PARTIDA[[#This Row],[PARTIDA]],"0000000000")</f>
        <v>7207110000</v>
      </c>
      <c r="C5386" s="16" t="s">
        <v>815</v>
      </c>
      <c r="D5386" s="16" t="s">
        <v>835</v>
      </c>
      <c r="E5386" s="16" t="s">
        <v>9462</v>
      </c>
      <c r="F5386" s="27" t="s">
        <v>13840</v>
      </c>
      <c r="G5386" s="27"/>
      <c r="H5386" s="16" t="str">
        <f>IF(ISBLANK(PARTIDAS!$G5386),PARTIDAS!$F5386,CONCATENATE(PARTIDAS!$F5386," (",PARTIDAS!$G5386,")"))</f>
        <v>Productos intermedios de hierro o acero sin alear, con un contenido de carbono inferior al 0,25 % en peso, de sección transversal cuadrada o rectangul</v>
      </c>
      <c r="I5386" s="16" t="s">
        <v>9427</v>
      </c>
    </row>
    <row r="5387" spans="1:9" x14ac:dyDescent="0.25">
      <c r="A5387" s="16" t="s">
        <v>6315</v>
      </c>
      <c r="B5387" s="16" t="str">
        <f>TEXT(PARTIDA[[#This Row],[PARTIDA]],"0000000000")</f>
        <v>7207120000</v>
      </c>
      <c r="C5387" s="16" t="s">
        <v>815</v>
      </c>
      <c r="D5387" s="16" t="s">
        <v>835</v>
      </c>
      <c r="E5387" s="16" t="s">
        <v>9462</v>
      </c>
      <c r="F5387" s="27" t="s">
        <v>13841</v>
      </c>
      <c r="G5387" s="27"/>
      <c r="H5387" s="16" t="str">
        <f>IF(ISBLANK(PARTIDAS!$G5387),PARTIDAS!$F5387,CONCATENATE(PARTIDAS!$F5387," (",PARTIDAS!$G5387,")"))</f>
        <v>Productos intermedios de hierro o acero sin alear, con un contenido de carbono inferior al 0,25 % en peso (los demás, de sección transversal rectangul</v>
      </c>
      <c r="I5387" s="16" t="s">
        <v>9427</v>
      </c>
    </row>
    <row r="5388" spans="1:9" x14ac:dyDescent="0.25">
      <c r="A5388" s="16" t="s">
        <v>6316</v>
      </c>
      <c r="B5388" s="16" t="str">
        <f>TEXT(PARTIDA[[#This Row],[PARTIDA]],"0000000000")</f>
        <v>7207190000</v>
      </c>
      <c r="C5388" s="16" t="s">
        <v>815</v>
      </c>
      <c r="D5388" s="16" t="s">
        <v>835</v>
      </c>
      <c r="E5388" s="16" t="s">
        <v>9462</v>
      </c>
      <c r="F5388" s="27" t="s">
        <v>13842</v>
      </c>
      <c r="G5388" s="27"/>
      <c r="H5388" s="16" t="str">
        <f>IF(ISBLANK(PARTIDAS!$G5388),PARTIDAS!$F5388,CONCATENATE(PARTIDAS!$F5388," (",PARTIDAS!$G5388,")"))</f>
        <v>Productos intermedios de hierro o acero sin alear, con un contenido de carbono inferior al 0,25 % en peso (los demás)</v>
      </c>
      <c r="I5388" s="16" t="s">
        <v>9427</v>
      </c>
    </row>
    <row r="5389" spans="1:9" x14ac:dyDescent="0.25">
      <c r="A5389" s="16" t="s">
        <v>6317</v>
      </c>
      <c r="B5389" s="16" t="str">
        <f>TEXT(PARTIDA[[#This Row],[PARTIDA]],"0000000000")</f>
        <v>7207200000</v>
      </c>
      <c r="C5389" s="16" t="s">
        <v>815</v>
      </c>
      <c r="D5389" s="16" t="s">
        <v>835</v>
      </c>
      <c r="E5389" s="16" t="s">
        <v>9462</v>
      </c>
      <c r="F5389" s="27" t="s">
        <v>13843</v>
      </c>
      <c r="G5389" s="27"/>
      <c r="H5389" s="16" t="str">
        <f>IF(ISBLANK(PARTIDAS!$G5389),PARTIDAS!$F5389,CONCATENATE(PARTIDAS!$F5389," (",PARTIDAS!$G5389,")"))</f>
        <v>Productos intermedios de hierro o acero sin alear, con un contenido de carbono superior o igual al 0,25 % en peso</v>
      </c>
      <c r="I5389" s="16" t="s">
        <v>9427</v>
      </c>
    </row>
    <row r="5390" spans="1:9" x14ac:dyDescent="0.25">
      <c r="A5390" s="16" t="s">
        <v>6318</v>
      </c>
      <c r="B5390" s="16" t="str">
        <f>TEXT(PARTIDA[[#This Row],[PARTIDA]],"0000000000")</f>
        <v>7208101000</v>
      </c>
      <c r="C5390" s="16" t="s">
        <v>815</v>
      </c>
      <c r="D5390" s="16" t="s">
        <v>835</v>
      </c>
      <c r="E5390" s="16" t="s">
        <v>9462</v>
      </c>
      <c r="F5390" s="27" t="s">
        <v>13844</v>
      </c>
      <c r="G5390" s="27"/>
      <c r="H5390" s="16" t="str">
        <f>IF(ISBLANK(PARTIDAS!$G5390),PARTIDAS!$F5390,CONCATENATE(PARTIDAS!$F5390," (",PARTIDAS!$G5390,")"))</f>
        <v>Enrollados, simplemente laminados en caliente, con motivos en relieve, de espesor superior a 10 mm</v>
      </c>
      <c r="I5390" s="16" t="s">
        <v>9427</v>
      </c>
    </row>
    <row r="5391" spans="1:9" x14ac:dyDescent="0.25">
      <c r="A5391" s="16" t="s">
        <v>6319</v>
      </c>
      <c r="B5391" s="16" t="str">
        <f>TEXT(PARTIDA[[#This Row],[PARTIDA]],"0000000000")</f>
        <v>7208102000</v>
      </c>
      <c r="C5391" s="16" t="s">
        <v>815</v>
      </c>
      <c r="D5391" s="16" t="s">
        <v>835</v>
      </c>
      <c r="E5391" s="16" t="s">
        <v>9462</v>
      </c>
      <c r="F5391" s="27" t="s">
        <v>13845</v>
      </c>
      <c r="G5391" s="27"/>
      <c r="H5391" s="16" t="str">
        <f>IF(ISBLANK(PARTIDAS!$G5391),PARTIDAS!$F5391,CONCATENATE(PARTIDAS!$F5391," (",PARTIDAS!$G5391,")"))</f>
        <v>Enrollados, simplemente laminados en caliente, con motivos en relieve, de espesor superior o igual a 4,75 mm pero inferior o igual a 10 mm</v>
      </c>
      <c r="I5391" s="16" t="s">
        <v>9427</v>
      </c>
    </row>
    <row r="5392" spans="1:9" x14ac:dyDescent="0.25">
      <c r="A5392" s="16" t="s">
        <v>6320</v>
      </c>
      <c r="B5392" s="16" t="str">
        <f>TEXT(PARTIDA[[#This Row],[PARTIDA]],"0000000000")</f>
        <v>7208103000</v>
      </c>
      <c r="C5392" s="16" t="s">
        <v>815</v>
      </c>
      <c r="D5392" s="16" t="s">
        <v>835</v>
      </c>
      <c r="E5392" s="16" t="s">
        <v>9462</v>
      </c>
      <c r="F5392" s="27" t="s">
        <v>13846</v>
      </c>
      <c r="G5392" s="27"/>
      <c r="H5392" s="16" t="str">
        <f>IF(ISBLANK(PARTIDAS!$G5392),PARTIDAS!$F5392,CONCATENATE(PARTIDAS!$F5392," (",PARTIDAS!$G5392,")"))</f>
        <v>Enrollados, simplemente laminados en caliente, con motivos en relieve, de espesor superior o igual a 3 mm pero inferior a 4,75 mm</v>
      </c>
      <c r="I5392" s="16" t="s">
        <v>9427</v>
      </c>
    </row>
    <row r="5393" spans="1:9" x14ac:dyDescent="0.25">
      <c r="A5393" s="16" t="s">
        <v>6321</v>
      </c>
      <c r="B5393" s="16" t="str">
        <f>TEXT(PARTIDA[[#This Row],[PARTIDA]],"0000000000")</f>
        <v>7208104000</v>
      </c>
      <c r="C5393" s="16" t="s">
        <v>815</v>
      </c>
      <c r="D5393" s="16" t="s">
        <v>835</v>
      </c>
      <c r="E5393" s="16" t="s">
        <v>9462</v>
      </c>
      <c r="F5393" s="27" t="s">
        <v>13847</v>
      </c>
      <c r="G5393" s="27"/>
      <c r="H5393" s="16" t="str">
        <f>IF(ISBLANK(PARTIDAS!$G5393),PARTIDAS!$F5393,CONCATENATE(PARTIDAS!$F5393," (",PARTIDAS!$G5393,")"))</f>
        <v>Enrollados, simplemente laminados en caliente, con motivos en relieve, de espesor inferior a 3 mm</v>
      </c>
      <c r="I5393" s="16" t="s">
        <v>9427</v>
      </c>
    </row>
    <row r="5394" spans="1:9" x14ac:dyDescent="0.25">
      <c r="A5394" s="16" t="s">
        <v>6322</v>
      </c>
      <c r="B5394" s="16" t="str">
        <f>TEXT(PARTIDA[[#This Row],[PARTIDA]],"0000000000")</f>
        <v>7208251000</v>
      </c>
      <c r="C5394" s="16" t="s">
        <v>815</v>
      </c>
      <c r="D5394" s="16" t="s">
        <v>835</v>
      </c>
      <c r="E5394" s="16" t="s">
        <v>9462</v>
      </c>
      <c r="F5394" s="27" t="s">
        <v>13848</v>
      </c>
      <c r="G5394" s="27"/>
      <c r="H5394" s="16" t="str">
        <f>IF(ISBLANK(PARTIDAS!$G5394),PARTIDAS!$F5394,CONCATENATE(PARTIDAS!$F5394," (",PARTIDAS!$G5394,")"))</f>
        <v>Productos laminados planos de hierro o acero sin…, de espesor superior o igual a 4,75 mm, de espesor superior a 10 mm</v>
      </c>
      <c r="I5394" s="16" t="s">
        <v>9427</v>
      </c>
    </row>
    <row r="5395" spans="1:9" x14ac:dyDescent="0.25">
      <c r="A5395" s="16" t="s">
        <v>6323</v>
      </c>
      <c r="B5395" s="16" t="str">
        <f>TEXT(PARTIDA[[#This Row],[PARTIDA]],"0000000000")</f>
        <v>7208252000</v>
      </c>
      <c r="C5395" s="16" t="s">
        <v>815</v>
      </c>
      <c r="D5395" s="16" t="s">
        <v>835</v>
      </c>
      <c r="E5395" s="16" t="s">
        <v>9462</v>
      </c>
      <c r="F5395" s="27" t="s">
        <v>13849</v>
      </c>
      <c r="G5395" s="27"/>
      <c r="H5395" s="16" t="str">
        <f>IF(ISBLANK(PARTIDAS!$G5395),PARTIDAS!$F5395,CONCATENATE(PARTIDAS!$F5395," (",PARTIDAS!$G5395,")"))</f>
        <v xml:space="preserve">Productos laminados planos de hierro o acero sin…, de espesor superior o igual a 4,75 mm, de espesor superior o igual a 4,75 mm pero inferior o igual </v>
      </c>
      <c r="I5395" s="16" t="s">
        <v>9427</v>
      </c>
    </row>
    <row r="5396" spans="1:9" x14ac:dyDescent="0.25">
      <c r="A5396" s="16" t="s">
        <v>6324</v>
      </c>
      <c r="B5396" s="16" t="str">
        <f>TEXT(PARTIDA[[#This Row],[PARTIDA]],"0000000000")</f>
        <v>7208260000</v>
      </c>
      <c r="C5396" s="16" t="s">
        <v>815</v>
      </c>
      <c r="D5396" s="16" t="s">
        <v>835</v>
      </c>
      <c r="E5396" s="16" t="s">
        <v>9462</v>
      </c>
      <c r="F5396" s="27" t="s">
        <v>13850</v>
      </c>
      <c r="G5396" s="27"/>
      <c r="H5396" s="16" t="str">
        <f>IF(ISBLANK(PARTIDAS!$G5396),PARTIDAS!$F5396,CONCATENATE(PARTIDAS!$F5396," (",PARTIDAS!$G5396,")"))</f>
        <v>Productos laminados planos de hierro o acero sin alear, de anchura…, de espesor superior o igual a 3 mm pero inferior a 4,75 mm</v>
      </c>
      <c r="I5396" s="16" t="s">
        <v>9427</v>
      </c>
    </row>
    <row r="5397" spans="1:9" x14ac:dyDescent="0.25">
      <c r="A5397" s="16" t="s">
        <v>6325</v>
      </c>
      <c r="B5397" s="16" t="str">
        <f>TEXT(PARTIDA[[#This Row],[PARTIDA]],"0000000000")</f>
        <v>7208270000</v>
      </c>
      <c r="C5397" s="16" t="s">
        <v>815</v>
      </c>
      <c r="D5397" s="16" t="s">
        <v>835</v>
      </c>
      <c r="E5397" s="16" t="s">
        <v>9462</v>
      </c>
      <c r="F5397" s="27" t="s">
        <v>13851</v>
      </c>
      <c r="G5397" s="27"/>
      <c r="H5397" s="16" t="str">
        <f>IF(ISBLANK(PARTIDAS!$G5397),PARTIDAS!$F5397,CONCATENATE(PARTIDAS!$F5397," (",PARTIDAS!$G5397,")"))</f>
        <v>Productos laminados planos de hierro o acero sin alear, de anchura…, de espesor inferior a 3 mm</v>
      </c>
      <c r="I5397" s="16" t="s">
        <v>9427</v>
      </c>
    </row>
    <row r="5398" spans="1:9" x14ac:dyDescent="0.25">
      <c r="A5398" s="16" t="s">
        <v>6326</v>
      </c>
      <c r="B5398" s="16" t="str">
        <f>TEXT(PARTIDA[[#This Row],[PARTIDA]],"0000000000")</f>
        <v>7208360000</v>
      </c>
      <c r="C5398" s="16" t="s">
        <v>815</v>
      </c>
      <c r="D5398" s="16" t="s">
        <v>835</v>
      </c>
      <c r="E5398" s="16" t="s">
        <v>9462</v>
      </c>
      <c r="F5398" s="27" t="s">
        <v>13852</v>
      </c>
      <c r="G5398" s="27"/>
      <c r="H5398" s="16" t="str">
        <f>IF(ISBLANK(PARTIDAS!$G5398),PARTIDAS!$F5398,CONCATENATE(PARTIDAS!$F5398," (",PARTIDAS!$G5398,")"))</f>
        <v>Productos laminados planos de hierro o acero sin alear, de anchura…, de espesor superior a 10 mm</v>
      </c>
      <c r="I5398" s="16" t="s">
        <v>9427</v>
      </c>
    </row>
    <row r="5399" spans="1:9" x14ac:dyDescent="0.25">
      <c r="A5399" s="16" t="s">
        <v>6327</v>
      </c>
      <c r="B5399" s="16" t="str">
        <f>TEXT(PARTIDA[[#This Row],[PARTIDA]],"0000000000")</f>
        <v>7208371000</v>
      </c>
      <c r="C5399" s="16" t="s">
        <v>815</v>
      </c>
      <c r="D5399" s="16" t="s">
        <v>835</v>
      </c>
      <c r="E5399" s="16" t="s">
        <v>9462</v>
      </c>
      <c r="F5399" s="27" t="s">
        <v>13853</v>
      </c>
      <c r="G5399" s="27"/>
      <c r="H5399" s="16" t="str">
        <f>IF(ISBLANK(PARTIDAS!$G5399),PARTIDAS!$F5399,CONCATENATE(PARTIDAS!$F5399," (",PARTIDAS!$G5399,")"))</f>
        <v>Productos laminados planos de hierro o acero sin…, de espesor superior o igual a 4,75 mm pero inferior o igual a 10 mm, con un contenido de carbono su</v>
      </c>
      <c r="I5399" s="16" t="s">
        <v>9427</v>
      </c>
    </row>
    <row r="5400" spans="1:9" x14ac:dyDescent="0.25">
      <c r="A5400" s="16" t="s">
        <v>6328</v>
      </c>
      <c r="B5400" s="16" t="str">
        <f>TEXT(PARTIDA[[#This Row],[PARTIDA]],"0000000000")</f>
        <v>7208379000</v>
      </c>
      <c r="C5400" s="16" t="s">
        <v>815</v>
      </c>
      <c r="D5400" s="16" t="s">
        <v>835</v>
      </c>
      <c r="E5400" s="16" t="s">
        <v>9462</v>
      </c>
      <c r="F5400" s="27" t="s">
        <v>13854</v>
      </c>
      <c r="G5400" s="27"/>
      <c r="H5400" s="16" t="str">
        <f>IF(ISBLANK(PARTIDAS!$G5400),PARTIDAS!$F5400,CONCATENATE(PARTIDAS!$F5400," (",PARTIDAS!$G5400,")"))</f>
        <v>Productos laminados planos de hierro o acero sin…, de espesor superior o igual a 4,75 mm pero inferior o igual a 10 mm (los demás)</v>
      </c>
      <c r="I5400" s="16" t="s">
        <v>9427</v>
      </c>
    </row>
    <row r="5401" spans="1:9" x14ac:dyDescent="0.25">
      <c r="A5401" s="16" t="s">
        <v>6329</v>
      </c>
      <c r="B5401" s="16" t="str">
        <f>TEXT(PARTIDA[[#This Row],[PARTIDA]],"0000000000")</f>
        <v>7208381000</v>
      </c>
      <c r="C5401" s="16" t="s">
        <v>815</v>
      </c>
      <c r="D5401" s="16" t="s">
        <v>835</v>
      </c>
      <c r="E5401" s="16" t="s">
        <v>9462</v>
      </c>
      <c r="F5401" s="27" t="s">
        <v>13855</v>
      </c>
      <c r="G5401" s="27"/>
      <c r="H5401" s="16" t="str">
        <f>IF(ISBLANK(PARTIDAS!$G5401),PARTIDAS!$F5401,CONCATENATE(PARTIDAS!$F5401," (",PARTIDAS!$G5401,")"))</f>
        <v xml:space="preserve">Productos laminados planos de hierro o acero sin…, de espesor superior o igual a 3 mm pero inferior a 4,75 mm, con un contenido de carbono superior o </v>
      </c>
      <c r="I5401" s="16" t="s">
        <v>9427</v>
      </c>
    </row>
    <row r="5402" spans="1:9" x14ac:dyDescent="0.25">
      <c r="A5402" s="16" t="s">
        <v>6330</v>
      </c>
      <c r="B5402" s="16" t="str">
        <f>TEXT(PARTIDA[[#This Row],[PARTIDA]],"0000000000")</f>
        <v>7208389000</v>
      </c>
      <c r="C5402" s="16" t="s">
        <v>815</v>
      </c>
      <c r="D5402" s="16" t="s">
        <v>835</v>
      </c>
      <c r="E5402" s="16" t="s">
        <v>9462</v>
      </c>
      <c r="F5402" s="27" t="s">
        <v>13856</v>
      </c>
      <c r="G5402" s="27"/>
      <c r="H5402" s="16" t="str">
        <f>IF(ISBLANK(PARTIDAS!$G5402),PARTIDAS!$F5402,CONCATENATE(PARTIDAS!$F5402," (",PARTIDAS!$G5402,")"))</f>
        <v>Productos laminados planos de hierro o acero sin…, de espesor superior o igual a 3 mm pero inferior a 4,75 mm (los demás)</v>
      </c>
      <c r="I5402" s="16" t="s">
        <v>9427</v>
      </c>
    </row>
    <row r="5403" spans="1:9" x14ac:dyDescent="0.25">
      <c r="A5403" s="16" t="s">
        <v>6331</v>
      </c>
      <c r="B5403" s="16" t="str">
        <f>TEXT(PARTIDA[[#This Row],[PARTIDA]],"0000000000")</f>
        <v>7208391000</v>
      </c>
      <c r="C5403" s="16" t="s">
        <v>815</v>
      </c>
      <c r="D5403" s="16" t="s">
        <v>835</v>
      </c>
      <c r="E5403" s="16" t="s">
        <v>9462</v>
      </c>
      <c r="F5403" s="27" t="s">
        <v>13857</v>
      </c>
      <c r="G5403" s="27"/>
      <c r="H5403" s="16" t="str">
        <f>IF(ISBLANK(PARTIDAS!$G5403),PARTIDAS!$F5403,CONCATENATE(PARTIDAS!$F5403," (",PARTIDAS!$G5403,")"))</f>
        <v>Productos laminados planos de hierro o acero sin…, de espesor inferior a 3 mm, con un contenido de carbono superior o igual a 0,12 % en peso</v>
      </c>
      <c r="I5403" s="16" t="s">
        <v>9427</v>
      </c>
    </row>
    <row r="5404" spans="1:9" x14ac:dyDescent="0.25">
      <c r="A5404" s="16" t="s">
        <v>6332</v>
      </c>
      <c r="B5404" s="16" t="str">
        <f>TEXT(PARTIDA[[#This Row],[PARTIDA]],"0000000000")</f>
        <v>7208399100</v>
      </c>
      <c r="C5404" s="16" t="s">
        <v>815</v>
      </c>
      <c r="D5404" s="16" t="s">
        <v>835</v>
      </c>
      <c r="E5404" s="16" t="s">
        <v>9462</v>
      </c>
      <c r="F5404" s="27" t="s">
        <v>13858</v>
      </c>
      <c r="G5404" s="27"/>
      <c r="H5404" s="16" t="str">
        <f>IF(ISBLANK(PARTIDAS!$G5404),PARTIDAS!$F5404,CONCATENATE(PARTIDAS!$F5404," (",PARTIDAS!$G5404,")"))</f>
        <v>Productos laminados planos de hierro o acero sin…, de espesor inferior a 3 mm, de espesor inferior o igual a 1,8 mm</v>
      </c>
      <c r="I5404" s="16" t="s">
        <v>9427</v>
      </c>
    </row>
    <row r="5405" spans="1:9" x14ac:dyDescent="0.25">
      <c r="A5405" s="16" t="s">
        <v>6333</v>
      </c>
      <c r="B5405" s="16" t="str">
        <f>TEXT(PARTIDA[[#This Row],[PARTIDA]],"0000000000")</f>
        <v>7208399900</v>
      </c>
      <c r="C5405" s="16" t="s">
        <v>815</v>
      </c>
      <c r="D5405" s="16" t="s">
        <v>835</v>
      </c>
      <c r="E5405" s="16" t="s">
        <v>9462</v>
      </c>
      <c r="F5405" s="27" t="s">
        <v>13859</v>
      </c>
      <c r="G5405" s="27"/>
      <c r="H5405" s="16" t="str">
        <f>IF(ISBLANK(PARTIDAS!$G5405),PARTIDAS!$F5405,CONCATENATE(PARTIDAS!$F5405," (",PARTIDAS!$G5405,")"))</f>
        <v>Productos laminados planos de hierro o acero sin…, de espesor inferior a 3 mm (los demás)</v>
      </c>
      <c r="I5405" s="16" t="s">
        <v>9427</v>
      </c>
    </row>
    <row r="5406" spans="1:9" x14ac:dyDescent="0.25">
      <c r="A5406" s="16" t="s">
        <v>6334</v>
      </c>
      <c r="B5406" s="16" t="str">
        <f>TEXT(PARTIDA[[#This Row],[PARTIDA]],"0000000000")</f>
        <v>7208401000</v>
      </c>
      <c r="C5406" s="16" t="s">
        <v>815</v>
      </c>
      <c r="D5406" s="16" t="s">
        <v>835</v>
      </c>
      <c r="E5406" s="16" t="s">
        <v>9462</v>
      </c>
      <c r="F5406" s="27" t="s">
        <v>13860</v>
      </c>
      <c r="G5406" s="27"/>
      <c r="H5406" s="16" t="str">
        <f>IF(ISBLANK(PARTIDAS!$G5406),PARTIDAS!$F5406,CONCATENATE(PARTIDAS!$F5406," (",PARTIDAS!$G5406,")"))</f>
        <v>Productos laminados planos de hierro o acero sin…, sin enrollar, simplemente laminados en caliente, con motivos en…, de espesor superior a 10 mm</v>
      </c>
      <c r="I5406" s="16" t="s">
        <v>9427</v>
      </c>
    </row>
    <row r="5407" spans="1:9" x14ac:dyDescent="0.25">
      <c r="A5407" s="16" t="s">
        <v>6335</v>
      </c>
      <c r="B5407" s="16" t="str">
        <f>TEXT(PARTIDA[[#This Row],[PARTIDA]],"0000000000")</f>
        <v>7208402000</v>
      </c>
      <c r="C5407" s="16" t="s">
        <v>815</v>
      </c>
      <c r="D5407" s="16" t="s">
        <v>835</v>
      </c>
      <c r="E5407" s="16" t="s">
        <v>9462</v>
      </c>
      <c r="F5407" s="27" t="s">
        <v>13861</v>
      </c>
      <c r="G5407" s="27"/>
      <c r="H5407" s="16" t="str">
        <f>IF(ISBLANK(PARTIDAS!$G5407),PARTIDAS!$F5407,CONCATENATE(PARTIDAS!$F5407," (",PARTIDAS!$G5407,")"))</f>
        <v>Productos laminados planos de hierro o acero sin…, sin enrollar, simplemente laminados en caliente, con motivos en…, de espesor superior o igual a 4,7</v>
      </c>
      <c r="I5407" s="16" t="s">
        <v>9427</v>
      </c>
    </row>
    <row r="5408" spans="1:9" x14ac:dyDescent="0.25">
      <c r="A5408" s="16" t="s">
        <v>6336</v>
      </c>
      <c r="B5408" s="16" t="str">
        <f>TEXT(PARTIDA[[#This Row],[PARTIDA]],"0000000000")</f>
        <v>7208403000</v>
      </c>
      <c r="C5408" s="16" t="s">
        <v>815</v>
      </c>
      <c r="D5408" s="16" t="s">
        <v>835</v>
      </c>
      <c r="E5408" s="16" t="s">
        <v>9462</v>
      </c>
      <c r="F5408" s="27" t="s">
        <v>13862</v>
      </c>
      <c r="G5408" s="27"/>
      <c r="H5408" s="16" t="str">
        <f>IF(ISBLANK(PARTIDAS!$G5408),PARTIDAS!$F5408,CONCATENATE(PARTIDAS!$F5408," (",PARTIDAS!$G5408,")"))</f>
        <v>Productos laminados planos de hierro o acero sin…, sin enrollar, simplemente laminados en caliente, con motivos en…, de espesor superior o igual a 3 m</v>
      </c>
      <c r="I5408" s="16" t="s">
        <v>9427</v>
      </c>
    </row>
    <row r="5409" spans="1:9" x14ac:dyDescent="0.25">
      <c r="A5409" s="16" t="s">
        <v>6337</v>
      </c>
      <c r="B5409" s="16" t="str">
        <f>TEXT(PARTIDA[[#This Row],[PARTIDA]],"0000000000")</f>
        <v>7208404000</v>
      </c>
      <c r="C5409" s="16" t="s">
        <v>815</v>
      </c>
      <c r="D5409" s="16" t="s">
        <v>835</v>
      </c>
      <c r="E5409" s="16" t="s">
        <v>9462</v>
      </c>
      <c r="F5409" s="27" t="s">
        <v>13863</v>
      </c>
      <c r="G5409" s="27"/>
      <c r="H5409" s="16" t="str">
        <f>IF(ISBLANK(PARTIDAS!$G5409),PARTIDAS!$F5409,CONCATENATE(PARTIDAS!$F5409," (",PARTIDAS!$G5409,")"))</f>
        <v>Productos laminados planos de hierro o acero sin…, sin enrollar, simplemente laminados en caliente, con motivos en…, de espesor inferior a 3 mm</v>
      </c>
      <c r="I5409" s="16" t="s">
        <v>9427</v>
      </c>
    </row>
    <row r="5410" spans="1:9" x14ac:dyDescent="0.25">
      <c r="A5410" s="16" t="s">
        <v>6338</v>
      </c>
      <c r="B5410" s="16" t="str">
        <f>TEXT(PARTIDA[[#This Row],[PARTIDA]],"0000000000")</f>
        <v>7208511000</v>
      </c>
      <c r="C5410" s="16" t="s">
        <v>815</v>
      </c>
      <c r="D5410" s="16" t="s">
        <v>835</v>
      </c>
      <c r="E5410" s="16" t="s">
        <v>9462</v>
      </c>
      <c r="F5410" s="27" t="s">
        <v>13864</v>
      </c>
      <c r="G5410" s="27"/>
      <c r="H5410" s="16" t="str">
        <f>IF(ISBLANK(PARTIDAS!$G5410),PARTIDAS!$F5410,CONCATENATE(PARTIDAS!$F5410," (",PARTIDAS!$G5410,")"))</f>
        <v>Productos laminados planos de hierro o acero sin…, de espesor superior a 10 mm, de espesor superior a 12,5 mm</v>
      </c>
      <c r="I5410" s="16" t="s">
        <v>9427</v>
      </c>
    </row>
    <row r="5411" spans="1:9" x14ac:dyDescent="0.25">
      <c r="A5411" s="16" t="s">
        <v>6339</v>
      </c>
      <c r="B5411" s="16" t="str">
        <f>TEXT(PARTIDA[[#This Row],[PARTIDA]],"0000000000")</f>
        <v>7208512000</v>
      </c>
      <c r="C5411" s="16" t="s">
        <v>815</v>
      </c>
      <c r="D5411" s="16" t="s">
        <v>835</v>
      </c>
      <c r="E5411" s="16" t="s">
        <v>9462</v>
      </c>
      <c r="F5411" s="27" t="s">
        <v>13865</v>
      </c>
      <c r="G5411" s="27"/>
      <c r="H5411" s="16" t="str">
        <f>IF(ISBLANK(PARTIDAS!$G5411),PARTIDAS!$F5411,CONCATENATE(PARTIDAS!$F5411," (",PARTIDAS!$G5411,")"))</f>
        <v>Productos laminados planos de hierro o acero sin…, de espesor superior a 10 mm, de espesor superior a 10 mm pero inferior o igual a 12,5 mm</v>
      </c>
      <c r="I5411" s="16" t="s">
        <v>9427</v>
      </c>
    </row>
    <row r="5412" spans="1:9" x14ac:dyDescent="0.25">
      <c r="A5412" s="16" t="s">
        <v>6340</v>
      </c>
      <c r="B5412" s="16" t="str">
        <f>TEXT(PARTIDA[[#This Row],[PARTIDA]],"0000000000")</f>
        <v>7208521000</v>
      </c>
      <c r="C5412" s="16" t="s">
        <v>815</v>
      </c>
      <c r="D5412" s="16" t="s">
        <v>835</v>
      </c>
      <c r="E5412" s="16" t="s">
        <v>9462</v>
      </c>
      <c r="F5412" s="27" t="s">
        <v>13853</v>
      </c>
      <c r="G5412" s="27"/>
      <c r="H5412" s="16" t="str">
        <f>IF(ISBLANK(PARTIDAS!$G5412),PARTIDAS!$F5412,CONCATENATE(PARTIDAS!$F5412," (",PARTIDAS!$G5412,")"))</f>
        <v>Productos laminados planos de hierro o acero sin…, de espesor superior o igual a 4,75 mm pero inferior o igual a 10 mm, con un contenido de carbono su</v>
      </c>
      <c r="I5412" s="16" t="s">
        <v>9427</v>
      </c>
    </row>
    <row r="5413" spans="1:9" x14ac:dyDescent="0.25">
      <c r="A5413" s="16" t="s">
        <v>6341</v>
      </c>
      <c r="B5413" s="16" t="str">
        <f>TEXT(PARTIDA[[#This Row],[PARTIDA]],"0000000000")</f>
        <v>7208529000</v>
      </c>
      <c r="C5413" s="16" t="s">
        <v>815</v>
      </c>
      <c r="D5413" s="16" t="s">
        <v>835</v>
      </c>
      <c r="E5413" s="16" t="s">
        <v>9462</v>
      </c>
      <c r="F5413" s="27" t="s">
        <v>13854</v>
      </c>
      <c r="G5413" s="27"/>
      <c r="H5413" s="16" t="str">
        <f>IF(ISBLANK(PARTIDAS!$G5413),PARTIDAS!$F5413,CONCATENATE(PARTIDAS!$F5413," (",PARTIDAS!$G5413,")"))</f>
        <v>Productos laminados planos de hierro o acero sin…, de espesor superior o igual a 4,75 mm pero inferior o igual a 10 mm (los demás)</v>
      </c>
      <c r="I5413" s="16" t="s">
        <v>9427</v>
      </c>
    </row>
    <row r="5414" spans="1:9" x14ac:dyDescent="0.25">
      <c r="A5414" s="16" t="s">
        <v>6342</v>
      </c>
      <c r="B5414" s="16" t="str">
        <f>TEXT(PARTIDA[[#This Row],[PARTIDA]],"0000000000")</f>
        <v>7208530000</v>
      </c>
      <c r="C5414" s="16" t="s">
        <v>815</v>
      </c>
      <c r="D5414" s="16" t="s">
        <v>835</v>
      </c>
      <c r="E5414" s="16" t="s">
        <v>9462</v>
      </c>
      <c r="F5414" s="27" t="s">
        <v>13850</v>
      </c>
      <c r="G5414" s="27"/>
      <c r="H5414" s="16" t="str">
        <f>IF(ISBLANK(PARTIDAS!$G5414),PARTIDAS!$F5414,CONCATENATE(PARTIDAS!$F5414," (",PARTIDAS!$G5414,")"))</f>
        <v>Productos laminados planos de hierro o acero sin alear, de anchura…, de espesor superior o igual a 3 mm pero inferior a 4,75 mm</v>
      </c>
      <c r="I5414" s="16" t="s">
        <v>9427</v>
      </c>
    </row>
    <row r="5415" spans="1:9" x14ac:dyDescent="0.25">
      <c r="A5415" s="16" t="s">
        <v>6343</v>
      </c>
      <c r="B5415" s="16" t="str">
        <f>TEXT(PARTIDA[[#This Row],[PARTIDA]],"0000000000")</f>
        <v>7208540000</v>
      </c>
      <c r="C5415" s="16" t="s">
        <v>815</v>
      </c>
      <c r="D5415" s="16" t="s">
        <v>835</v>
      </c>
      <c r="E5415" s="16" t="s">
        <v>9462</v>
      </c>
      <c r="F5415" s="27" t="s">
        <v>13851</v>
      </c>
      <c r="G5415" s="27"/>
      <c r="H5415" s="16" t="str">
        <f>IF(ISBLANK(PARTIDAS!$G5415),PARTIDAS!$F5415,CONCATENATE(PARTIDAS!$F5415," (",PARTIDAS!$G5415,")"))</f>
        <v>Productos laminados planos de hierro o acero sin alear, de anchura…, de espesor inferior a 3 mm</v>
      </c>
      <c r="I5415" s="16" t="s">
        <v>9427</v>
      </c>
    </row>
    <row r="5416" spans="1:9" x14ac:dyDescent="0.25">
      <c r="A5416" s="16" t="s">
        <v>6344</v>
      </c>
      <c r="B5416" s="16" t="str">
        <f>TEXT(PARTIDA[[#This Row],[PARTIDA]],"0000000000")</f>
        <v>7208900000</v>
      </c>
      <c r="C5416" s="16" t="s">
        <v>815</v>
      </c>
      <c r="D5416" s="16" t="s">
        <v>835</v>
      </c>
      <c r="E5416" s="16" t="s">
        <v>9462</v>
      </c>
      <c r="F5416" s="27" t="s">
        <v>13866</v>
      </c>
      <c r="G5416" s="27"/>
      <c r="H5416" s="16" t="str">
        <f>IF(ISBLANK(PARTIDAS!$G5416),PARTIDAS!$F5416,CONCATENATE(PARTIDAS!$F5416," (",PARTIDAS!$G5416,")"))</f>
        <v>Productos laminados planos de hierro o acero sin alear, de anchura… (los demás)</v>
      </c>
      <c r="I5416" s="16" t="s">
        <v>9427</v>
      </c>
    </row>
    <row r="5417" spans="1:9" x14ac:dyDescent="0.25">
      <c r="A5417" s="16" t="s">
        <v>6345</v>
      </c>
      <c r="B5417" s="16" t="str">
        <f>TEXT(PARTIDA[[#This Row],[PARTIDA]],"0000000000")</f>
        <v>7209150000</v>
      </c>
      <c r="C5417" s="16" t="s">
        <v>815</v>
      </c>
      <c r="D5417" s="16" t="s">
        <v>835</v>
      </c>
      <c r="E5417" s="16" t="s">
        <v>9462</v>
      </c>
      <c r="F5417" s="27" t="s">
        <v>13867</v>
      </c>
      <c r="G5417" s="27"/>
      <c r="H5417" s="16" t="str">
        <f>IF(ISBLANK(PARTIDAS!$G5417),PARTIDAS!$F5417,CONCATENATE(PARTIDAS!$F5417," (",PARTIDAS!$G5417,")"))</f>
        <v>Enrollados, simplemente laminados en frío, de espesor superior o igual a 3 mm</v>
      </c>
      <c r="I5417" s="16" t="s">
        <v>9427</v>
      </c>
    </row>
    <row r="5418" spans="1:9" x14ac:dyDescent="0.25">
      <c r="A5418" s="16" t="s">
        <v>6346</v>
      </c>
      <c r="B5418" s="16" t="str">
        <f>TEXT(PARTIDA[[#This Row],[PARTIDA]],"0000000000")</f>
        <v>7209160000</v>
      </c>
      <c r="C5418" s="16" t="s">
        <v>815</v>
      </c>
      <c r="D5418" s="16" t="s">
        <v>835</v>
      </c>
      <c r="E5418" s="16" t="s">
        <v>9462</v>
      </c>
      <c r="F5418" s="27" t="s">
        <v>13868</v>
      </c>
      <c r="G5418" s="27"/>
      <c r="H5418" s="16" t="str">
        <f>IF(ISBLANK(PARTIDAS!$G5418),PARTIDAS!$F5418,CONCATENATE(PARTIDAS!$F5418," (",PARTIDAS!$G5418,")"))</f>
        <v>Enrollados, simplemente laminados en frío, de espesor superior a 1 mm pero inferior a 3 mm</v>
      </c>
      <c r="I5418" s="16" t="s">
        <v>9427</v>
      </c>
    </row>
    <row r="5419" spans="1:9" x14ac:dyDescent="0.25">
      <c r="A5419" s="16" t="s">
        <v>6347</v>
      </c>
      <c r="B5419" s="16" t="str">
        <f>TEXT(PARTIDA[[#This Row],[PARTIDA]],"0000000000")</f>
        <v>7209170000</v>
      </c>
      <c r="C5419" s="16" t="s">
        <v>815</v>
      </c>
      <c r="D5419" s="16" t="s">
        <v>835</v>
      </c>
      <c r="E5419" s="16" t="s">
        <v>9462</v>
      </c>
      <c r="F5419" s="27" t="s">
        <v>13869</v>
      </c>
      <c r="G5419" s="27"/>
      <c r="H5419" s="16" t="str">
        <f>IF(ISBLANK(PARTIDAS!$G5419),PARTIDAS!$F5419,CONCATENATE(PARTIDAS!$F5419," (",PARTIDAS!$G5419,")"))</f>
        <v>Enrollados, simplemente laminados en frío, de espesor superior o igual a 0,5 mm pero inferior o igual a 1 mm</v>
      </c>
      <c r="I5419" s="16" t="s">
        <v>9427</v>
      </c>
    </row>
    <row r="5420" spans="1:9" x14ac:dyDescent="0.25">
      <c r="A5420" s="16" t="s">
        <v>6348</v>
      </c>
      <c r="B5420" s="16" t="str">
        <f>TEXT(PARTIDA[[#This Row],[PARTIDA]],"0000000000")</f>
        <v>7209181000</v>
      </c>
      <c r="C5420" s="16" t="s">
        <v>815</v>
      </c>
      <c r="D5420" s="16" t="s">
        <v>835</v>
      </c>
      <c r="E5420" s="16" t="s">
        <v>9462</v>
      </c>
      <c r="F5420" s="27" t="s">
        <v>13870</v>
      </c>
      <c r="G5420" s="27"/>
      <c r="H5420" s="16" t="str">
        <f>IF(ISBLANK(PARTIDAS!$G5420),PARTIDAS!$F5420,CONCATENATE(PARTIDAS!$F5420," (",PARTIDAS!$G5420,")"))</f>
        <v>Enrollados, simplemente laminados en frío, de espesor inferior a 0,5 mm, de espesor inferior a 0,5 mm pero superior o igual a 0,25 mm</v>
      </c>
      <c r="I5420" s="16" t="s">
        <v>9427</v>
      </c>
    </row>
    <row r="5421" spans="1:9" x14ac:dyDescent="0.25">
      <c r="A5421" s="16" t="s">
        <v>6349</v>
      </c>
      <c r="B5421" s="16" t="str">
        <f>TEXT(PARTIDA[[#This Row],[PARTIDA]],"0000000000")</f>
        <v>7209182000</v>
      </c>
      <c r="C5421" s="16" t="s">
        <v>815</v>
      </c>
      <c r="D5421" s="16" t="s">
        <v>835</v>
      </c>
      <c r="E5421" s="16" t="s">
        <v>9462</v>
      </c>
      <c r="F5421" s="27" t="s">
        <v>13871</v>
      </c>
      <c r="G5421" s="27"/>
      <c r="H5421" s="16" t="str">
        <f>IF(ISBLANK(PARTIDAS!$G5421),PARTIDAS!$F5421,CONCATENATE(PARTIDAS!$F5421," (",PARTIDAS!$G5421,")"))</f>
        <v>Enrollados, simplemente laminados en frío, de espesor inferior a 0,5 mm, de espesor inferior a 0,25 mm</v>
      </c>
      <c r="I5421" s="16" t="s">
        <v>9427</v>
      </c>
    </row>
    <row r="5422" spans="1:9" x14ac:dyDescent="0.25">
      <c r="A5422" s="16" t="s">
        <v>6350</v>
      </c>
      <c r="B5422" s="16" t="str">
        <f>TEXT(PARTIDA[[#This Row],[PARTIDA]],"0000000000")</f>
        <v>7209250000</v>
      </c>
      <c r="C5422" s="16" t="s">
        <v>815</v>
      </c>
      <c r="D5422" s="16" t="s">
        <v>835</v>
      </c>
      <c r="E5422" s="16" t="s">
        <v>9462</v>
      </c>
      <c r="F5422" s="27" t="s">
        <v>13872</v>
      </c>
      <c r="G5422" s="27"/>
      <c r="H5422" s="16" t="str">
        <f>IF(ISBLANK(PARTIDAS!$G5422),PARTIDAS!$F5422,CONCATENATE(PARTIDAS!$F5422," (",PARTIDAS!$G5422,")"))</f>
        <v>Productos laminados planos de hierro o acero sin…, sin enrollar, simplemente laminados en frío, de espesor superior o igual a 3 mm</v>
      </c>
      <c r="I5422" s="16" t="s">
        <v>9427</v>
      </c>
    </row>
    <row r="5423" spans="1:9" x14ac:dyDescent="0.25">
      <c r="A5423" s="16" t="s">
        <v>6351</v>
      </c>
      <c r="B5423" s="16" t="str">
        <f>TEXT(PARTIDA[[#This Row],[PARTIDA]],"0000000000")</f>
        <v>7209260000</v>
      </c>
      <c r="C5423" s="16" t="s">
        <v>815</v>
      </c>
      <c r="D5423" s="16" t="s">
        <v>835</v>
      </c>
      <c r="E5423" s="16" t="s">
        <v>9462</v>
      </c>
      <c r="F5423" s="27" t="s">
        <v>13873</v>
      </c>
      <c r="G5423" s="27"/>
      <c r="H5423" s="16" t="str">
        <f>IF(ISBLANK(PARTIDAS!$G5423),PARTIDAS!$F5423,CONCATENATE(PARTIDAS!$F5423," (",PARTIDAS!$G5423,")"))</f>
        <v>Productos laminados planos de hierro o acero sin…, sin enrollar, simplemente laminados en frío, de espesor superior a 1 mm pero inferior a 3 mm</v>
      </c>
      <c r="I5423" s="16" t="s">
        <v>9427</v>
      </c>
    </row>
    <row r="5424" spans="1:9" x14ac:dyDescent="0.25">
      <c r="A5424" s="16" t="s">
        <v>6352</v>
      </c>
      <c r="B5424" s="16" t="str">
        <f>TEXT(PARTIDA[[#This Row],[PARTIDA]],"0000000000")</f>
        <v>7209270000</v>
      </c>
      <c r="C5424" s="16" t="s">
        <v>815</v>
      </c>
      <c r="D5424" s="16" t="s">
        <v>835</v>
      </c>
      <c r="E5424" s="16" t="s">
        <v>9462</v>
      </c>
      <c r="F5424" s="27" t="s">
        <v>13874</v>
      </c>
      <c r="G5424" s="27"/>
      <c r="H5424" s="16" t="str">
        <f>IF(ISBLANK(PARTIDAS!$G5424),PARTIDAS!$F5424,CONCATENATE(PARTIDAS!$F5424," (",PARTIDAS!$G5424,")"))</f>
        <v>Productos laminados planos de hierro o acero sin…, sin enrollar, simplemente laminados en frío, de espesor superior o igual a 0,5 mm pero inferior o i</v>
      </c>
      <c r="I5424" s="16" t="s">
        <v>9427</v>
      </c>
    </row>
    <row r="5425" spans="1:9" x14ac:dyDescent="0.25">
      <c r="A5425" s="16" t="s">
        <v>6353</v>
      </c>
      <c r="B5425" s="16" t="str">
        <f>TEXT(PARTIDA[[#This Row],[PARTIDA]],"0000000000")</f>
        <v>7209280000</v>
      </c>
      <c r="C5425" s="16" t="s">
        <v>815</v>
      </c>
      <c r="D5425" s="16" t="s">
        <v>835</v>
      </c>
      <c r="E5425" s="16" t="s">
        <v>9462</v>
      </c>
      <c r="F5425" s="27" t="s">
        <v>13875</v>
      </c>
      <c r="G5425" s="27"/>
      <c r="H5425" s="16" t="str">
        <f>IF(ISBLANK(PARTIDAS!$G5425),PARTIDAS!$F5425,CONCATENATE(PARTIDAS!$F5425," (",PARTIDAS!$G5425,")"))</f>
        <v>Productos laminados planos de hierro o acero sin…, sin enrollar, simplemente laminados en frío, de espesor inferior a 0,5 mm</v>
      </c>
      <c r="I5425" s="16" t="s">
        <v>9427</v>
      </c>
    </row>
    <row r="5426" spans="1:9" x14ac:dyDescent="0.25">
      <c r="A5426" s="16" t="s">
        <v>6354</v>
      </c>
      <c r="B5426" s="16" t="str">
        <f>TEXT(PARTIDA[[#This Row],[PARTIDA]],"0000000000")</f>
        <v>7209900000</v>
      </c>
      <c r="C5426" s="16" t="s">
        <v>815</v>
      </c>
      <c r="D5426" s="16" t="s">
        <v>835</v>
      </c>
      <c r="E5426" s="16" t="s">
        <v>9462</v>
      </c>
      <c r="F5426" s="27" t="s">
        <v>13866</v>
      </c>
      <c r="G5426" s="27"/>
      <c r="H5426" s="16" t="str">
        <f>IF(ISBLANK(PARTIDAS!$G5426),PARTIDAS!$F5426,CONCATENATE(PARTIDAS!$F5426," (",PARTIDAS!$G5426,")"))</f>
        <v>Productos laminados planos de hierro o acero sin alear, de anchura… (los demás)</v>
      </c>
      <c r="I5426" s="16" t="s">
        <v>9427</v>
      </c>
    </row>
    <row r="5427" spans="1:9" x14ac:dyDescent="0.25">
      <c r="A5427" s="16" t="s">
        <v>6355</v>
      </c>
      <c r="B5427" s="16" t="str">
        <f>TEXT(PARTIDA[[#This Row],[PARTIDA]],"0000000000")</f>
        <v>7210110000</v>
      </c>
      <c r="C5427" s="16" t="s">
        <v>815</v>
      </c>
      <c r="D5427" s="16" t="s">
        <v>835</v>
      </c>
      <c r="E5427" s="16" t="s">
        <v>9462</v>
      </c>
      <c r="F5427" s="27" t="s">
        <v>13876</v>
      </c>
      <c r="G5427" s="27"/>
      <c r="H5427" s="16" t="str">
        <f>IF(ISBLANK(PARTIDAS!$G5427),PARTIDAS!$F5427,CONCATENATE(PARTIDAS!$F5427," (",PARTIDAS!$G5427,")"))</f>
        <v>Estañados, de espesor superior o igual a 0,5 mm</v>
      </c>
      <c r="I5427" s="16" t="s">
        <v>9427</v>
      </c>
    </row>
    <row r="5428" spans="1:9" x14ac:dyDescent="0.25">
      <c r="A5428" s="16" t="s">
        <v>6356</v>
      </c>
      <c r="B5428" s="16" t="str">
        <f>TEXT(PARTIDA[[#This Row],[PARTIDA]],"0000000000")</f>
        <v>7210120000</v>
      </c>
      <c r="C5428" s="16" t="s">
        <v>815</v>
      </c>
      <c r="D5428" s="16" t="s">
        <v>835</v>
      </c>
      <c r="E5428" s="16" t="s">
        <v>9462</v>
      </c>
      <c r="F5428" s="27" t="s">
        <v>13877</v>
      </c>
      <c r="G5428" s="27"/>
      <c r="H5428" s="16" t="str">
        <f>IF(ISBLANK(PARTIDAS!$G5428),PARTIDAS!$F5428,CONCATENATE(PARTIDAS!$F5428," (",PARTIDAS!$G5428,")"))</f>
        <v>Estañados, de espesor inferior a 0,5 mm</v>
      </c>
      <c r="I5428" s="16" t="s">
        <v>9427</v>
      </c>
    </row>
    <row r="5429" spans="1:9" x14ac:dyDescent="0.25">
      <c r="A5429" s="16" t="s">
        <v>6357</v>
      </c>
      <c r="B5429" s="16" t="str">
        <f>TEXT(PARTIDA[[#This Row],[PARTIDA]],"0000000000")</f>
        <v>7210200000</v>
      </c>
      <c r="C5429" s="16" t="s">
        <v>815</v>
      </c>
      <c r="D5429" s="16" t="s">
        <v>835</v>
      </c>
      <c r="E5429" s="16" t="s">
        <v>9462</v>
      </c>
      <c r="F5429" s="27" t="s">
        <v>13878</v>
      </c>
      <c r="G5429" s="27"/>
      <c r="H5429" s="16" t="str">
        <f>IF(ISBLANK(PARTIDAS!$G5429),PARTIDAS!$F5429,CONCATENATE(PARTIDAS!$F5429," (",PARTIDAS!$G5429,")"))</f>
        <v>Emplomados, incluidos los revestidos con una aleación de plomo y estaño</v>
      </c>
      <c r="I5429" s="16" t="s">
        <v>9427</v>
      </c>
    </row>
    <row r="5430" spans="1:9" x14ac:dyDescent="0.25">
      <c r="A5430" s="16" t="s">
        <v>6358</v>
      </c>
      <c r="B5430" s="16" t="str">
        <f>TEXT(PARTIDA[[#This Row],[PARTIDA]],"0000000000")</f>
        <v>7210300000</v>
      </c>
      <c r="C5430" s="16" t="s">
        <v>815</v>
      </c>
      <c r="D5430" s="16" t="s">
        <v>835</v>
      </c>
      <c r="E5430" s="16" t="s">
        <v>9462</v>
      </c>
      <c r="F5430" s="27" t="s">
        <v>13879</v>
      </c>
      <c r="G5430" s="27"/>
      <c r="H5430" s="16" t="str">
        <f>IF(ISBLANK(PARTIDAS!$G5430),PARTIDAS!$F5430,CONCATENATE(PARTIDAS!$F5430," (",PARTIDAS!$G5430,")"))</f>
        <v>Cincados electrolíticamente</v>
      </c>
      <c r="I5430" s="16" t="s">
        <v>9427</v>
      </c>
    </row>
    <row r="5431" spans="1:9" x14ac:dyDescent="0.25">
      <c r="A5431" s="16" t="s">
        <v>6359</v>
      </c>
      <c r="B5431" s="16" t="str">
        <f>TEXT(PARTIDA[[#This Row],[PARTIDA]],"0000000000")</f>
        <v>7210410000</v>
      </c>
      <c r="C5431" s="16" t="s">
        <v>815</v>
      </c>
      <c r="D5431" s="16" t="s">
        <v>835</v>
      </c>
      <c r="E5431" s="16" t="s">
        <v>9462</v>
      </c>
      <c r="F5431" s="27" t="s">
        <v>13880</v>
      </c>
      <c r="G5431" s="27"/>
      <c r="H5431" s="16" t="str">
        <f>IF(ISBLANK(PARTIDAS!$G5431),PARTIDAS!$F5431,CONCATENATE(PARTIDAS!$F5431," (",PARTIDAS!$G5431,")"))</f>
        <v>Cincados de otro modo, ondulados</v>
      </c>
      <c r="I5431" s="16" t="s">
        <v>9427</v>
      </c>
    </row>
    <row r="5432" spans="1:9" x14ac:dyDescent="0.25">
      <c r="A5432" s="16" t="s">
        <v>6360</v>
      </c>
      <c r="B5432" s="16" t="str">
        <f>TEXT(PARTIDA[[#This Row],[PARTIDA]],"0000000000")</f>
        <v>7210490000</v>
      </c>
      <c r="C5432" s="16" t="s">
        <v>815</v>
      </c>
      <c r="D5432" s="16" t="s">
        <v>835</v>
      </c>
      <c r="E5432" s="16" t="s">
        <v>9462</v>
      </c>
      <c r="F5432" s="27" t="s">
        <v>13881</v>
      </c>
      <c r="G5432" s="27"/>
      <c r="H5432" s="16" t="str">
        <f>IF(ISBLANK(PARTIDAS!$G5432),PARTIDAS!$F5432,CONCATENATE(PARTIDAS!$F5432," (",PARTIDAS!$G5432,")"))</f>
        <v>Cincados de otro modo (los demás)</v>
      </c>
      <c r="I5432" s="16" t="s">
        <v>9427</v>
      </c>
    </row>
    <row r="5433" spans="1:9" x14ac:dyDescent="0.25">
      <c r="A5433" s="16" t="s">
        <v>6361</v>
      </c>
      <c r="B5433" s="16" t="str">
        <f>TEXT(PARTIDA[[#This Row],[PARTIDA]],"0000000000")</f>
        <v>7210500000</v>
      </c>
      <c r="C5433" s="16" t="s">
        <v>815</v>
      </c>
      <c r="D5433" s="16" t="s">
        <v>835</v>
      </c>
      <c r="E5433" s="16" t="s">
        <v>9462</v>
      </c>
      <c r="F5433" s="27" t="s">
        <v>13882</v>
      </c>
      <c r="G5433" s="27"/>
      <c r="H5433" s="16" t="str">
        <f>IF(ISBLANK(PARTIDAS!$G5433),PARTIDAS!$F5433,CONCATENATE(PARTIDAS!$F5433," (",PARTIDAS!$G5433,")"))</f>
        <v>Revestidos de óxidos de cromo o de cromo y óxidos de cromo</v>
      </c>
      <c r="I5433" s="16" t="s">
        <v>9427</v>
      </c>
    </row>
    <row r="5434" spans="1:9" x14ac:dyDescent="0.25">
      <c r="A5434" s="16" t="s">
        <v>6362</v>
      </c>
      <c r="B5434" s="16" t="str">
        <f>TEXT(PARTIDA[[#This Row],[PARTIDA]],"0000000000")</f>
        <v>7210610000</v>
      </c>
      <c r="C5434" s="16" t="s">
        <v>815</v>
      </c>
      <c r="D5434" s="16" t="s">
        <v>835</v>
      </c>
      <c r="E5434" s="16" t="s">
        <v>9462</v>
      </c>
      <c r="F5434" s="27" t="s">
        <v>13883</v>
      </c>
      <c r="G5434" s="27"/>
      <c r="H5434" s="16" t="str">
        <f>IF(ISBLANK(PARTIDAS!$G5434),PARTIDAS!$F5434,CONCATENATE(PARTIDAS!$F5434," (",PARTIDAS!$G5434,")"))</f>
        <v>Revestidos de aleaciones de aluminio y cinc</v>
      </c>
      <c r="I5434" s="16" t="s">
        <v>9427</v>
      </c>
    </row>
    <row r="5435" spans="1:9" x14ac:dyDescent="0.25">
      <c r="A5435" s="16" t="s">
        <v>6363</v>
      </c>
      <c r="B5435" s="16" t="str">
        <f>TEXT(PARTIDA[[#This Row],[PARTIDA]],"0000000000")</f>
        <v>7210690000</v>
      </c>
      <c r="C5435" s="16" t="s">
        <v>815</v>
      </c>
      <c r="D5435" s="16" t="s">
        <v>835</v>
      </c>
      <c r="E5435" s="16" t="s">
        <v>9462</v>
      </c>
      <c r="F5435" s="27" t="s">
        <v>13884</v>
      </c>
      <c r="G5435" s="27"/>
      <c r="H5435" s="16" t="str">
        <f>IF(ISBLANK(PARTIDAS!$G5435),PARTIDAS!$F5435,CONCATENATE(PARTIDAS!$F5435," (",PARTIDAS!$G5435,")"))</f>
        <v>Revestidos de aluminio (los demás)</v>
      </c>
      <c r="I5435" s="16" t="s">
        <v>9427</v>
      </c>
    </row>
    <row r="5436" spans="1:9" x14ac:dyDescent="0.25">
      <c r="A5436" s="16" t="s">
        <v>6364</v>
      </c>
      <c r="B5436" s="16" t="str">
        <f>TEXT(PARTIDA[[#This Row],[PARTIDA]],"0000000000")</f>
        <v>7210701000</v>
      </c>
      <c r="C5436" s="16" t="s">
        <v>815</v>
      </c>
      <c r="D5436" s="16" t="s">
        <v>835</v>
      </c>
      <c r="E5436" s="16" t="s">
        <v>9462</v>
      </c>
      <c r="F5436" s="27" t="s">
        <v>13885</v>
      </c>
      <c r="G5436" s="27"/>
      <c r="H5436" s="16" t="str">
        <f>IF(ISBLANK(PARTIDAS!$G5436),PARTIDAS!$F5436,CONCATENATE(PARTIDAS!$F5436," (",PARTIDAS!$G5436,")"))</f>
        <v>Revestidos previamente de aleaciones de aluminio-cinc</v>
      </c>
      <c r="I5436" s="16" t="s">
        <v>9427</v>
      </c>
    </row>
    <row r="5437" spans="1:9" x14ac:dyDescent="0.25">
      <c r="A5437" s="16" t="s">
        <v>6365</v>
      </c>
      <c r="B5437" s="16" t="str">
        <f>TEXT(PARTIDA[[#This Row],[PARTIDA]],"0000000000")</f>
        <v>7210709000</v>
      </c>
      <c r="C5437" s="16" t="s">
        <v>815</v>
      </c>
      <c r="D5437" s="16" t="s">
        <v>835</v>
      </c>
      <c r="E5437" s="16" t="s">
        <v>9462</v>
      </c>
      <c r="F5437" s="27" t="s">
        <v>13886</v>
      </c>
      <c r="G5437" s="27"/>
      <c r="H5437" s="16" t="str">
        <f>IF(ISBLANK(PARTIDAS!$G5437),PARTIDAS!$F5437,CONCATENATE(PARTIDAS!$F5437," (",PARTIDAS!$G5437,")"))</f>
        <v>Pintados, barnizados o revestidos de plástico (los demás)</v>
      </c>
      <c r="I5437" s="16" t="s">
        <v>9427</v>
      </c>
    </row>
    <row r="5438" spans="1:9" x14ac:dyDescent="0.25">
      <c r="A5438" s="16" t="s">
        <v>6366</v>
      </c>
      <c r="B5438" s="16" t="str">
        <f>TEXT(PARTIDA[[#This Row],[PARTIDA]],"0000000000")</f>
        <v>7210900000</v>
      </c>
      <c r="C5438" s="16" t="s">
        <v>815</v>
      </c>
      <c r="D5438" s="16" t="s">
        <v>835</v>
      </c>
      <c r="E5438" s="16" t="s">
        <v>9462</v>
      </c>
      <c r="F5438" s="27" t="s">
        <v>13866</v>
      </c>
      <c r="G5438" s="27"/>
      <c r="H5438" s="16" t="str">
        <f>IF(ISBLANK(PARTIDAS!$G5438),PARTIDAS!$F5438,CONCATENATE(PARTIDAS!$F5438," (",PARTIDAS!$G5438,")"))</f>
        <v>Productos laminados planos de hierro o acero sin alear, de anchura… (los demás)</v>
      </c>
      <c r="I5438" s="16" t="s">
        <v>9427</v>
      </c>
    </row>
    <row r="5439" spans="1:9" x14ac:dyDescent="0.25">
      <c r="A5439" s="16" t="s">
        <v>6367</v>
      </c>
      <c r="B5439" s="16" t="str">
        <f>TEXT(PARTIDA[[#This Row],[PARTIDA]],"0000000000")</f>
        <v>7211130000</v>
      </c>
      <c r="C5439" s="16" t="s">
        <v>815</v>
      </c>
      <c r="D5439" s="16" t="s">
        <v>835</v>
      </c>
      <c r="E5439" s="16" t="s">
        <v>9462</v>
      </c>
      <c r="F5439" s="27" t="s">
        <v>13887</v>
      </c>
      <c r="G5439" s="27"/>
      <c r="H5439" s="16" t="str">
        <f>IF(ISBLANK(PARTIDAS!$G5439),PARTIDAS!$F5439,CONCATENATE(PARTIDAS!$F5439," (",PARTIDAS!$G5439,")"))</f>
        <v>Laminados en las cuatro caras o en acanaladuras cerradas, de anchura superior a 150 mm y espesor superior o igual a 4 mm, sin enrollar y sin motivos e</v>
      </c>
      <c r="I5439" s="16" t="s">
        <v>9427</v>
      </c>
    </row>
    <row r="5440" spans="1:9" x14ac:dyDescent="0.25">
      <c r="A5440" s="16" t="s">
        <v>6368</v>
      </c>
      <c r="B5440" s="16" t="str">
        <f>TEXT(PARTIDA[[#This Row],[PARTIDA]],"0000000000")</f>
        <v>7211140000</v>
      </c>
      <c r="C5440" s="16" t="s">
        <v>815</v>
      </c>
      <c r="D5440" s="16" t="s">
        <v>835</v>
      </c>
      <c r="E5440" s="16" t="s">
        <v>9462</v>
      </c>
      <c r="F5440" s="27" t="s">
        <v>13888</v>
      </c>
      <c r="G5440" s="27"/>
      <c r="H5440" s="16" t="str">
        <f>IF(ISBLANK(PARTIDAS!$G5440),PARTIDAS!$F5440,CONCATENATE(PARTIDAS!$F5440," (",PARTIDAS!$G5440,")"))</f>
        <v>Productos laminados planos de hierro o acero sin…, simplemente laminados en caliente (los demás, de espesor superior o igual a 4,75 mm)</v>
      </c>
      <c r="I5440" s="16" t="s">
        <v>9427</v>
      </c>
    </row>
    <row r="5441" spans="1:9" x14ac:dyDescent="0.25">
      <c r="A5441" s="16" t="s">
        <v>6369</v>
      </c>
      <c r="B5441" s="16" t="str">
        <f>TEXT(PARTIDA[[#This Row],[PARTIDA]],"0000000000")</f>
        <v>7211191000</v>
      </c>
      <c r="C5441" s="16" t="s">
        <v>815</v>
      </c>
      <c r="D5441" s="16" t="s">
        <v>835</v>
      </c>
      <c r="E5441" s="16" t="s">
        <v>9462</v>
      </c>
      <c r="F5441" s="27" t="s">
        <v>13889</v>
      </c>
      <c r="G5441" s="27"/>
      <c r="H5441" s="16" t="str">
        <f>IF(ISBLANK(PARTIDAS!$G5441),PARTIDAS!$F5441,CONCATENATE(PARTIDAS!$F5441," (",PARTIDAS!$G5441,")"))</f>
        <v>Productos laminados planos de hierro o acero sin…, simplemente laminados en caliente, con un contenido de carbono superior o igual a 0,6 % en peso</v>
      </c>
      <c r="I5441" s="16" t="s">
        <v>9427</v>
      </c>
    </row>
    <row r="5442" spans="1:9" x14ac:dyDescent="0.25">
      <c r="A5442" s="16" t="s">
        <v>6370</v>
      </c>
      <c r="B5442" s="16" t="str">
        <f>TEXT(PARTIDA[[#This Row],[PARTIDA]],"0000000000")</f>
        <v>7211199000</v>
      </c>
      <c r="C5442" s="16" t="s">
        <v>815</v>
      </c>
      <c r="D5442" s="16" t="s">
        <v>835</v>
      </c>
      <c r="E5442" s="16" t="s">
        <v>9462</v>
      </c>
      <c r="F5442" s="27" t="s">
        <v>13890</v>
      </c>
      <c r="G5442" s="27"/>
      <c r="H5442" s="16" t="str">
        <f>IF(ISBLANK(PARTIDAS!$G5442),PARTIDAS!$F5442,CONCATENATE(PARTIDAS!$F5442," (",PARTIDAS!$G5442,")"))</f>
        <v>Productos laminados planos de hierro o acero sin…, simplemente laminados en caliente (los demás)</v>
      </c>
      <c r="I5442" s="16" t="s">
        <v>9427</v>
      </c>
    </row>
    <row r="5443" spans="1:9" x14ac:dyDescent="0.25">
      <c r="A5443" s="16" t="s">
        <v>6371</v>
      </c>
      <c r="B5443" s="16" t="str">
        <f>TEXT(PARTIDA[[#This Row],[PARTIDA]],"0000000000")</f>
        <v>7211230000</v>
      </c>
      <c r="C5443" s="16" t="s">
        <v>815</v>
      </c>
      <c r="D5443" s="16" t="s">
        <v>835</v>
      </c>
      <c r="E5443" s="16" t="s">
        <v>9462</v>
      </c>
      <c r="F5443" s="27" t="s">
        <v>13891</v>
      </c>
      <c r="G5443" s="27"/>
      <c r="H5443" s="16" t="str">
        <f>IF(ISBLANK(PARTIDAS!$G5443),PARTIDAS!$F5443,CONCATENATE(PARTIDAS!$F5443," (",PARTIDAS!$G5443,")"))</f>
        <v>Productos laminados planos de hierro o acero sin…, simplemente laminados en frío, con un contenido de carbono inferior al 0,25 % en peso</v>
      </c>
      <c r="I5443" s="16" t="s">
        <v>9427</v>
      </c>
    </row>
    <row r="5444" spans="1:9" x14ac:dyDescent="0.25">
      <c r="A5444" s="16" t="s">
        <v>6372</v>
      </c>
      <c r="B5444" s="16" t="str">
        <f>TEXT(PARTIDA[[#This Row],[PARTIDA]],"0000000000")</f>
        <v>7211290000</v>
      </c>
      <c r="C5444" s="16" t="s">
        <v>815</v>
      </c>
      <c r="D5444" s="16" t="s">
        <v>835</v>
      </c>
      <c r="E5444" s="16" t="s">
        <v>9462</v>
      </c>
      <c r="F5444" s="27" t="s">
        <v>13892</v>
      </c>
      <c r="G5444" s="27"/>
      <c r="H5444" s="16" t="str">
        <f>IF(ISBLANK(PARTIDAS!$G5444),PARTIDAS!$F5444,CONCATENATE(PARTIDAS!$F5444," (",PARTIDAS!$G5444,")"))</f>
        <v>Productos laminados planos de hierro o acero sin…, simplemente laminados en frío (los demás)</v>
      </c>
      <c r="I5444" s="16" t="s">
        <v>9427</v>
      </c>
    </row>
    <row r="5445" spans="1:9" x14ac:dyDescent="0.25">
      <c r="A5445" s="16" t="s">
        <v>6373</v>
      </c>
      <c r="B5445" s="16" t="str">
        <f>TEXT(PARTIDA[[#This Row],[PARTIDA]],"0000000000")</f>
        <v>7211900000</v>
      </c>
      <c r="C5445" s="16" t="s">
        <v>815</v>
      </c>
      <c r="D5445" s="16" t="s">
        <v>835</v>
      </c>
      <c r="E5445" s="16" t="s">
        <v>9462</v>
      </c>
      <c r="F5445" s="27" t="s">
        <v>13866</v>
      </c>
      <c r="G5445" s="27"/>
      <c r="H5445" s="16" t="str">
        <f>IF(ISBLANK(PARTIDAS!$G5445),PARTIDAS!$F5445,CONCATENATE(PARTIDAS!$F5445," (",PARTIDAS!$G5445,")"))</f>
        <v>Productos laminados planos de hierro o acero sin alear, de anchura… (los demás)</v>
      </c>
      <c r="I5445" s="16" t="s">
        <v>9427</v>
      </c>
    </row>
    <row r="5446" spans="1:9" x14ac:dyDescent="0.25">
      <c r="A5446" s="16" t="s">
        <v>6374</v>
      </c>
      <c r="B5446" s="16" t="str">
        <f>TEXT(PARTIDA[[#This Row],[PARTIDA]],"0000000000")</f>
        <v>7212100000</v>
      </c>
      <c r="C5446" s="16" t="s">
        <v>815</v>
      </c>
      <c r="D5446" s="16" t="s">
        <v>835</v>
      </c>
      <c r="E5446" s="16" t="s">
        <v>9462</v>
      </c>
      <c r="F5446" s="27" t="s">
        <v>13893</v>
      </c>
      <c r="G5446" s="27"/>
      <c r="H5446" s="16" t="str">
        <f>IF(ISBLANK(PARTIDAS!$G5446),PARTIDAS!$F5446,CONCATENATE(PARTIDAS!$F5446," (",PARTIDAS!$G5446,")"))</f>
        <v>Estañados</v>
      </c>
      <c r="I5446" s="16" t="s">
        <v>9427</v>
      </c>
    </row>
    <row r="5447" spans="1:9" x14ac:dyDescent="0.25">
      <c r="A5447" s="16" t="s">
        <v>6375</v>
      </c>
      <c r="B5447" s="16" t="str">
        <f>TEXT(PARTIDA[[#This Row],[PARTIDA]],"0000000000")</f>
        <v>7212200000</v>
      </c>
      <c r="C5447" s="16" t="s">
        <v>815</v>
      </c>
      <c r="D5447" s="16" t="s">
        <v>835</v>
      </c>
      <c r="E5447" s="16" t="s">
        <v>9462</v>
      </c>
      <c r="F5447" s="27" t="s">
        <v>13879</v>
      </c>
      <c r="G5447" s="27"/>
      <c r="H5447" s="16" t="str">
        <f>IF(ISBLANK(PARTIDAS!$G5447),PARTIDAS!$F5447,CONCATENATE(PARTIDAS!$F5447," (",PARTIDAS!$G5447,")"))</f>
        <v>Cincados electrolíticamente</v>
      </c>
      <c r="I5447" s="16" t="s">
        <v>9427</v>
      </c>
    </row>
    <row r="5448" spans="1:9" x14ac:dyDescent="0.25">
      <c r="A5448" s="16" t="s">
        <v>6376</v>
      </c>
      <c r="B5448" s="16" t="str">
        <f>TEXT(PARTIDA[[#This Row],[PARTIDA]],"0000000000")</f>
        <v>7212300000</v>
      </c>
      <c r="C5448" s="16" t="s">
        <v>815</v>
      </c>
      <c r="D5448" s="16" t="s">
        <v>835</v>
      </c>
      <c r="E5448" s="16" t="s">
        <v>9462</v>
      </c>
      <c r="F5448" s="27" t="s">
        <v>13894</v>
      </c>
      <c r="G5448" s="27"/>
      <c r="H5448" s="16" t="str">
        <f>IF(ISBLANK(PARTIDAS!$G5448),PARTIDAS!$F5448,CONCATENATE(PARTIDAS!$F5448," (",PARTIDAS!$G5448,")"))</f>
        <v>Cincados de otro modo</v>
      </c>
      <c r="I5448" s="16" t="s">
        <v>9427</v>
      </c>
    </row>
    <row r="5449" spans="1:9" x14ac:dyDescent="0.25">
      <c r="A5449" s="16" t="s">
        <v>6377</v>
      </c>
      <c r="B5449" s="16" t="str">
        <f>TEXT(PARTIDA[[#This Row],[PARTIDA]],"0000000000")</f>
        <v>7212400000</v>
      </c>
      <c r="C5449" s="16" t="s">
        <v>815</v>
      </c>
      <c r="D5449" s="16" t="s">
        <v>835</v>
      </c>
      <c r="E5449" s="16" t="s">
        <v>9462</v>
      </c>
      <c r="F5449" s="27" t="s">
        <v>13895</v>
      </c>
      <c r="G5449" s="27"/>
      <c r="H5449" s="16" t="str">
        <f>IF(ISBLANK(PARTIDAS!$G5449),PARTIDAS!$F5449,CONCATENATE(PARTIDAS!$F5449," (",PARTIDAS!$G5449,")"))</f>
        <v>Pintados, barnizados o revestidos de plástico</v>
      </c>
      <c r="I5449" s="16" t="s">
        <v>9427</v>
      </c>
    </row>
    <row r="5450" spans="1:9" x14ac:dyDescent="0.25">
      <c r="A5450" s="16" t="s">
        <v>6378</v>
      </c>
      <c r="B5450" s="16" t="str">
        <f>TEXT(PARTIDA[[#This Row],[PARTIDA]],"0000000000")</f>
        <v>7212500000</v>
      </c>
      <c r="C5450" s="16" t="s">
        <v>815</v>
      </c>
      <c r="D5450" s="16" t="s">
        <v>835</v>
      </c>
      <c r="E5450" s="16" t="s">
        <v>9462</v>
      </c>
      <c r="F5450" s="27" t="s">
        <v>13896</v>
      </c>
      <c r="G5450" s="27"/>
      <c r="H5450" s="16" t="str">
        <f>IF(ISBLANK(PARTIDAS!$G5450),PARTIDAS!$F5450,CONCATENATE(PARTIDAS!$F5450," (",PARTIDAS!$G5450,")"))</f>
        <v>Revestidos de otro modo</v>
      </c>
      <c r="I5450" s="16" t="s">
        <v>9427</v>
      </c>
    </row>
    <row r="5451" spans="1:9" x14ac:dyDescent="0.25">
      <c r="A5451" s="16" t="s">
        <v>6379</v>
      </c>
      <c r="B5451" s="16" t="str">
        <f>TEXT(PARTIDA[[#This Row],[PARTIDA]],"0000000000")</f>
        <v>7212600000</v>
      </c>
      <c r="C5451" s="16" t="s">
        <v>815</v>
      </c>
      <c r="D5451" s="16" t="s">
        <v>835</v>
      </c>
      <c r="E5451" s="16" t="s">
        <v>9462</v>
      </c>
      <c r="F5451" s="27" t="s">
        <v>13897</v>
      </c>
      <c r="G5451" s="27"/>
      <c r="H5451" s="16" t="str">
        <f>IF(ISBLANK(PARTIDAS!$G5451),PARTIDAS!$F5451,CONCATENATE(PARTIDAS!$F5451," (",PARTIDAS!$G5451,")"))</f>
        <v>Chapados</v>
      </c>
      <c r="I5451" s="16" t="s">
        <v>9427</v>
      </c>
    </row>
    <row r="5452" spans="1:9" x14ac:dyDescent="0.25">
      <c r="A5452" s="16" t="s">
        <v>6380</v>
      </c>
      <c r="B5452" s="16" t="str">
        <f>TEXT(PARTIDA[[#This Row],[PARTIDA]],"0000000000")</f>
        <v>7213100000</v>
      </c>
      <c r="C5452" s="16" t="s">
        <v>815</v>
      </c>
      <c r="D5452" s="16" t="s">
        <v>835</v>
      </c>
      <c r="E5452" s="16" t="s">
        <v>9462</v>
      </c>
      <c r="F5452" s="27" t="s">
        <v>13898</v>
      </c>
      <c r="G5452" s="27"/>
      <c r="H5452" s="16" t="str">
        <f>IF(ISBLANK(PARTIDAS!$G5452),PARTIDAS!$F5452,CONCATENATE(PARTIDAS!$F5452," (",PARTIDAS!$G5452,")"))</f>
        <v>Alambrón de hierro o acero sin alear, con muescas, cordones, surcos o relieves, producidos en el laminado</v>
      </c>
      <c r="I5452" s="16" t="s">
        <v>9427</v>
      </c>
    </row>
    <row r="5453" spans="1:9" x14ac:dyDescent="0.25">
      <c r="A5453" s="16" t="s">
        <v>6381</v>
      </c>
      <c r="B5453" s="16" t="str">
        <f>TEXT(PARTIDA[[#This Row],[PARTIDA]],"0000000000")</f>
        <v>7213200000</v>
      </c>
      <c r="C5453" s="16" t="s">
        <v>815</v>
      </c>
      <c r="D5453" s="16" t="s">
        <v>835</v>
      </c>
      <c r="E5453" s="16" t="s">
        <v>9462</v>
      </c>
      <c r="F5453" s="27" t="s">
        <v>13899</v>
      </c>
      <c r="G5453" s="27"/>
      <c r="H5453" s="16" t="str">
        <f>IF(ISBLANK(PARTIDAS!$G5453),PARTIDAS!$F5453,CONCATENATE(PARTIDAS!$F5453," (",PARTIDAS!$G5453,")"))</f>
        <v>Alambrón de hierro o acero sin alear (los demás, de acero de fácil mecanización)</v>
      </c>
      <c r="I5453" s="16" t="s">
        <v>9427</v>
      </c>
    </row>
    <row r="5454" spans="1:9" x14ac:dyDescent="0.25">
      <c r="A5454" s="16" t="s">
        <v>6382</v>
      </c>
      <c r="B5454" s="16" t="str">
        <f>TEXT(PARTIDA[[#This Row],[PARTIDA]],"0000000000")</f>
        <v>7213911000</v>
      </c>
      <c r="C5454" s="16" t="s">
        <v>815</v>
      </c>
      <c r="D5454" s="16" t="s">
        <v>835</v>
      </c>
      <c r="E5454" s="16" t="s">
        <v>9462</v>
      </c>
      <c r="F5454" s="27" t="s">
        <v>13900</v>
      </c>
      <c r="G5454" s="27"/>
      <c r="H5454" s="16" t="str">
        <f>IF(ISBLANK(PARTIDAS!$G5454),PARTIDAS!$F5454,CONCATENATE(PARTIDAS!$F5454," (",PARTIDAS!$G5454,")"))</f>
        <v>Alambrón de hierro o acero sin alear, de sección circular con diámetro inferior a 14 mm, con un contenido de cromo, níquel, cobre y molibdeno inferior</v>
      </c>
      <c r="I5454" s="16" t="s">
        <v>9427</v>
      </c>
    </row>
    <row r="5455" spans="1:9" x14ac:dyDescent="0.25">
      <c r="A5455" s="16" t="s">
        <v>6383</v>
      </c>
      <c r="B5455" s="16" t="str">
        <f>TEXT(PARTIDA[[#This Row],[PARTIDA]],"0000000000")</f>
        <v>7213919000</v>
      </c>
      <c r="C5455" s="16" t="s">
        <v>815</v>
      </c>
      <c r="D5455" s="16" t="s">
        <v>835</v>
      </c>
      <c r="E5455" s="16" t="s">
        <v>9462</v>
      </c>
      <c r="F5455" s="27" t="s">
        <v>13901</v>
      </c>
      <c r="G5455" s="27"/>
      <c r="H5455" s="16" t="str">
        <f>IF(ISBLANK(PARTIDAS!$G5455),PARTIDAS!$F5455,CONCATENATE(PARTIDAS!$F5455," (",PARTIDAS!$G5455,")"))</f>
        <v>Alambrón de hierro o acero sin alear, de sección circular con diámetro inferior a 14 mm (los demás)</v>
      </c>
      <c r="I5455" s="16" t="s">
        <v>9427</v>
      </c>
    </row>
    <row r="5456" spans="1:9" x14ac:dyDescent="0.25">
      <c r="A5456" s="16" t="s">
        <v>6384</v>
      </c>
      <c r="B5456" s="16" t="str">
        <f>TEXT(PARTIDA[[#This Row],[PARTIDA]],"0000000000")</f>
        <v>7213990000</v>
      </c>
      <c r="C5456" s="16" t="s">
        <v>815</v>
      </c>
      <c r="D5456" s="16" t="s">
        <v>835</v>
      </c>
      <c r="E5456" s="16" t="s">
        <v>9462</v>
      </c>
      <c r="F5456" s="27" t="s">
        <v>13902</v>
      </c>
      <c r="G5456" s="27"/>
      <c r="H5456" s="16" t="str">
        <f>IF(ISBLANK(PARTIDAS!$G5456),PARTIDAS!$F5456,CONCATENATE(PARTIDAS!$F5456," (",PARTIDAS!$G5456,")"))</f>
        <v>Alambrón de hierro o acero sin alear (los demás)</v>
      </c>
      <c r="I5456" s="16" t="s">
        <v>9427</v>
      </c>
    </row>
    <row r="5457" spans="1:9" x14ac:dyDescent="0.25">
      <c r="A5457" s="16" t="s">
        <v>6385</v>
      </c>
      <c r="B5457" s="16" t="str">
        <f>TEXT(PARTIDA[[#This Row],[PARTIDA]],"0000000000")</f>
        <v>7214100000</v>
      </c>
      <c r="C5457" s="16" t="s">
        <v>815</v>
      </c>
      <c r="D5457" s="16" t="s">
        <v>835</v>
      </c>
      <c r="E5457" s="16" t="s">
        <v>9462</v>
      </c>
      <c r="F5457" s="27" t="s">
        <v>13903</v>
      </c>
      <c r="G5457" s="27"/>
      <c r="H5457" s="16" t="str">
        <f>IF(ISBLANK(PARTIDAS!$G5457),PARTIDAS!$F5457,CONCATENATE(PARTIDAS!$F5457," (",PARTIDAS!$G5457,")"))</f>
        <v>Forjadas</v>
      </c>
      <c r="I5457" s="16" t="s">
        <v>9427</v>
      </c>
    </row>
    <row r="5458" spans="1:9" x14ac:dyDescent="0.25">
      <c r="A5458" s="16" t="s">
        <v>6386</v>
      </c>
      <c r="B5458" s="16" t="str">
        <f>TEXT(PARTIDA[[#This Row],[PARTIDA]],"0000000000")</f>
        <v>7214200000</v>
      </c>
      <c r="C5458" s="16" t="s">
        <v>815</v>
      </c>
      <c r="D5458" s="16" t="s">
        <v>835</v>
      </c>
      <c r="E5458" s="16" t="s">
        <v>9462</v>
      </c>
      <c r="F5458" s="27" t="s">
        <v>13904</v>
      </c>
      <c r="G5458" s="27"/>
      <c r="H5458" s="16" t="str">
        <f>IF(ISBLANK(PARTIDAS!$G5458),PARTIDAS!$F5458,CONCATENATE(PARTIDAS!$F5458," (",PARTIDAS!$G5458,")"))</f>
        <v>Barras de hierro o acero sin alear, simplemente forjadas, laminadas o…, con muescas, cordones, surcos o relieves, producidos en el laminado o sometida</v>
      </c>
      <c r="I5458" s="16" t="s">
        <v>9427</v>
      </c>
    </row>
    <row r="5459" spans="1:9" x14ac:dyDescent="0.25">
      <c r="A5459" s="16" t="s">
        <v>6387</v>
      </c>
      <c r="B5459" s="16" t="str">
        <f>TEXT(PARTIDA[[#This Row],[PARTIDA]],"0000000000")</f>
        <v>7214301000</v>
      </c>
      <c r="C5459" s="16" t="s">
        <v>815</v>
      </c>
      <c r="D5459" s="16" t="s">
        <v>835</v>
      </c>
      <c r="E5459" s="16" t="s">
        <v>9462</v>
      </c>
      <c r="F5459" s="27" t="s">
        <v>13905</v>
      </c>
      <c r="G5459" s="27"/>
      <c r="H5459" s="16" t="str">
        <f>IF(ISBLANK(PARTIDAS!$G5459),PARTIDAS!$F5459,CONCATENATE(PARTIDAS!$F5459," (",PARTIDAS!$G5459,")"))</f>
        <v>Barras de hierro o acero sin alear, simplemente forjadas, laminadas o…, de sección circular, de diámetro inferior o igual a 100 mm</v>
      </c>
      <c r="I5459" s="16" t="s">
        <v>9427</v>
      </c>
    </row>
    <row r="5460" spans="1:9" x14ac:dyDescent="0.25">
      <c r="A5460" s="16" t="s">
        <v>6388</v>
      </c>
      <c r="B5460" s="16" t="str">
        <f>TEXT(PARTIDA[[#This Row],[PARTIDA]],"0000000000")</f>
        <v>7214309000</v>
      </c>
      <c r="C5460" s="16" t="s">
        <v>815</v>
      </c>
      <c r="D5460" s="16" t="s">
        <v>835</v>
      </c>
      <c r="E5460" s="16" t="s">
        <v>9462</v>
      </c>
      <c r="F5460" s="27" t="s">
        <v>13906</v>
      </c>
      <c r="G5460" s="27"/>
      <c r="H5460" s="16" t="str">
        <f>IF(ISBLANK(PARTIDAS!$G5460),PARTIDAS!$F5460,CONCATENATE(PARTIDAS!$F5460," (",PARTIDAS!$G5460,")"))</f>
        <v>Barras de hierro o acero sin alear, simplemente forjadas, laminadas o… (los demás)</v>
      </c>
      <c r="I5460" s="16" t="s">
        <v>9427</v>
      </c>
    </row>
    <row r="5461" spans="1:9" x14ac:dyDescent="0.25">
      <c r="A5461" s="16" t="s">
        <v>6389</v>
      </c>
      <c r="B5461" s="16" t="str">
        <f>TEXT(PARTIDA[[#This Row],[PARTIDA]],"0000000000")</f>
        <v>7214912000</v>
      </c>
      <c r="C5461" s="16" t="s">
        <v>815</v>
      </c>
      <c r="D5461" s="16" t="s">
        <v>835</v>
      </c>
      <c r="E5461" s="16" t="s">
        <v>9462</v>
      </c>
      <c r="F5461" s="27" t="s">
        <v>13907</v>
      </c>
      <c r="G5461" s="27"/>
      <c r="H5461" s="16" t="str">
        <f>IF(ISBLANK(PARTIDAS!$G5461),PARTIDAS!$F5461,CONCATENATE(PARTIDAS!$F5461," (",PARTIDAS!$G5461,")"))</f>
        <v>Barras de hierro o acero sin alear, simplemente…, de sección transversal rectangular, con el lado de mayor dimensión inferior o igual a 100 mm</v>
      </c>
      <c r="I5461" s="16" t="s">
        <v>9427</v>
      </c>
    </row>
    <row r="5462" spans="1:9" x14ac:dyDescent="0.25">
      <c r="A5462" s="16" t="s">
        <v>6390</v>
      </c>
      <c r="B5462" s="16" t="str">
        <f>TEXT(PARTIDA[[#This Row],[PARTIDA]],"0000000000")</f>
        <v>7214919000</v>
      </c>
      <c r="C5462" s="16" t="s">
        <v>815</v>
      </c>
      <c r="D5462" s="16" t="s">
        <v>835</v>
      </c>
      <c r="E5462" s="16" t="s">
        <v>9462</v>
      </c>
      <c r="F5462" s="27" t="s">
        <v>13908</v>
      </c>
      <c r="G5462" s="27"/>
      <c r="H5462" s="16" t="str">
        <f>IF(ISBLANK(PARTIDAS!$G5462),PARTIDAS!$F5462,CONCATENATE(PARTIDAS!$F5462," (",PARTIDAS!$G5462,")"))</f>
        <v>Barras de hierro o acero sin alear, simplemente…, de sección transversal rectangular (los demás)</v>
      </c>
      <c r="I5462" s="16" t="s">
        <v>9427</v>
      </c>
    </row>
    <row r="5463" spans="1:9" x14ac:dyDescent="0.25">
      <c r="A5463" s="16" t="s">
        <v>6391</v>
      </c>
      <c r="B5463" s="16" t="str">
        <f>TEXT(PARTIDA[[#This Row],[PARTIDA]],"0000000000")</f>
        <v>7214991000</v>
      </c>
      <c r="C5463" s="16" t="s">
        <v>815</v>
      </c>
      <c r="D5463" s="16" t="s">
        <v>835</v>
      </c>
      <c r="E5463" s="16" t="s">
        <v>9462</v>
      </c>
      <c r="F5463" s="27" t="s">
        <v>13905</v>
      </c>
      <c r="G5463" s="27"/>
      <c r="H5463" s="16" t="str">
        <f>IF(ISBLANK(PARTIDAS!$G5463),PARTIDAS!$F5463,CONCATENATE(PARTIDAS!$F5463," (",PARTIDAS!$G5463,")"))</f>
        <v>Barras de hierro o acero sin alear, simplemente forjadas, laminadas o…, de sección circular, de diámetro inferior o igual a 100 mm</v>
      </c>
      <c r="I5463" s="16" t="s">
        <v>9427</v>
      </c>
    </row>
    <row r="5464" spans="1:9" x14ac:dyDescent="0.25">
      <c r="A5464" s="16" t="s">
        <v>6392</v>
      </c>
      <c r="B5464" s="16" t="str">
        <f>TEXT(PARTIDA[[#This Row],[PARTIDA]],"0000000000")</f>
        <v>7214999000</v>
      </c>
      <c r="C5464" s="16" t="s">
        <v>815</v>
      </c>
      <c r="D5464" s="16" t="s">
        <v>835</v>
      </c>
      <c r="E5464" s="16" t="s">
        <v>9462</v>
      </c>
      <c r="F5464" s="27" t="s">
        <v>13906</v>
      </c>
      <c r="G5464" s="27"/>
      <c r="H5464" s="16" t="str">
        <f>IF(ISBLANK(PARTIDAS!$G5464),PARTIDAS!$F5464,CONCATENATE(PARTIDAS!$F5464," (",PARTIDAS!$G5464,")"))</f>
        <v>Barras de hierro o acero sin alear, simplemente forjadas, laminadas o… (los demás)</v>
      </c>
      <c r="I5464" s="16" t="s">
        <v>9427</v>
      </c>
    </row>
    <row r="5465" spans="1:9" x14ac:dyDescent="0.25">
      <c r="A5465" s="16" t="s">
        <v>6393</v>
      </c>
      <c r="B5465" s="16" t="str">
        <f>TEXT(PARTIDA[[#This Row],[PARTIDA]],"0000000000")</f>
        <v>7215101000</v>
      </c>
      <c r="C5465" s="16" t="s">
        <v>815</v>
      </c>
      <c r="D5465" s="16" t="s">
        <v>835</v>
      </c>
      <c r="E5465" s="16" t="s">
        <v>9462</v>
      </c>
      <c r="F5465" s="27" t="s">
        <v>13909</v>
      </c>
      <c r="G5465" s="27"/>
      <c r="H5465" s="16" t="str">
        <f>IF(ISBLANK(PARTIDAS!$G5465),PARTIDAS!$F5465,CONCATENATE(PARTIDAS!$F5465," (",PARTIDAS!$G5465,")"))</f>
        <v>Fundición, hierro y acero, de acero de fácil mecanización, simplemente obtenidas o acabadas en…, de sección circular, de diámetro inferior o igual a 1</v>
      </c>
      <c r="I5465" s="16" t="s">
        <v>9427</v>
      </c>
    </row>
    <row r="5466" spans="1:9" x14ac:dyDescent="0.25">
      <c r="A5466" s="16" t="s">
        <v>6394</v>
      </c>
      <c r="B5466" s="16" t="str">
        <f>TEXT(PARTIDA[[#This Row],[PARTIDA]],"0000000000")</f>
        <v>7215109000</v>
      </c>
      <c r="C5466" s="16" t="s">
        <v>815</v>
      </c>
      <c r="D5466" s="16" t="s">
        <v>835</v>
      </c>
      <c r="E5466" s="16" t="s">
        <v>9462</v>
      </c>
      <c r="F5466" s="27" t="s">
        <v>13910</v>
      </c>
      <c r="G5466" s="27"/>
      <c r="H5466" s="16" t="str">
        <f>IF(ISBLANK(PARTIDAS!$G5466),PARTIDAS!$F5466,CONCATENATE(PARTIDAS!$F5466," (",PARTIDAS!$G5466,")"))</f>
        <v>Fundición, hierro y acero, de acero de fácil mecanización, simplemente obtenidas o acabadas en… (los demás)</v>
      </c>
      <c r="I5466" s="16" t="s">
        <v>9427</v>
      </c>
    </row>
    <row r="5467" spans="1:9" x14ac:dyDescent="0.25">
      <c r="A5467" s="16" t="s">
        <v>6395</v>
      </c>
      <c r="B5467" s="16" t="str">
        <f>TEXT(PARTIDA[[#This Row],[PARTIDA]],"0000000000")</f>
        <v>7215501000</v>
      </c>
      <c r="C5467" s="16" t="s">
        <v>815</v>
      </c>
      <c r="D5467" s="16" t="s">
        <v>835</v>
      </c>
      <c r="E5467" s="16" t="s">
        <v>9462</v>
      </c>
      <c r="F5467" s="27" t="s">
        <v>13911</v>
      </c>
      <c r="G5467" s="27"/>
      <c r="H5467" s="16" t="str">
        <f>IF(ISBLANK(PARTIDAS!$G5467),PARTIDAS!$F5467,CONCATENATE(PARTIDAS!$F5467," (",PARTIDAS!$G5467,")"))</f>
        <v>Fundición, hierro y acero, de sección circular, de diámetro inferior o igual a 100 mm</v>
      </c>
      <c r="I5467" s="16" t="s">
        <v>9427</v>
      </c>
    </row>
    <row r="5468" spans="1:9" x14ac:dyDescent="0.25">
      <c r="A5468" s="16" t="s">
        <v>6396</v>
      </c>
      <c r="B5468" s="16" t="str">
        <f>TEXT(PARTIDA[[#This Row],[PARTIDA]],"0000000000")</f>
        <v>7215509000</v>
      </c>
      <c r="C5468" s="16" t="s">
        <v>815</v>
      </c>
      <c r="D5468" s="16" t="s">
        <v>835</v>
      </c>
      <c r="E5468" s="16" t="s">
        <v>9462</v>
      </c>
      <c r="F5468" s="27" t="s">
        <v>13912</v>
      </c>
      <c r="G5468" s="27"/>
      <c r="H5468" s="16" t="str">
        <f>IF(ISBLANK(PARTIDAS!$G5468),PARTIDAS!$F5468,CONCATENATE(PARTIDAS!$F5468," (",PARTIDAS!$G5468,")"))</f>
        <v>Fundición, hierro y acero (los demás)</v>
      </c>
      <c r="I5468" s="16" t="s">
        <v>9427</v>
      </c>
    </row>
    <row r="5469" spans="1:9" x14ac:dyDescent="0.25">
      <c r="A5469" s="16" t="s">
        <v>6397</v>
      </c>
      <c r="B5469" s="16" t="str">
        <f>TEXT(PARTIDA[[#This Row],[PARTIDA]],"0000000000")</f>
        <v>7215901000</v>
      </c>
      <c r="C5469" s="16" t="s">
        <v>815</v>
      </c>
      <c r="D5469" s="16" t="s">
        <v>835</v>
      </c>
      <c r="E5469" s="16" t="s">
        <v>9462</v>
      </c>
      <c r="F5469" s="27" t="s">
        <v>13911</v>
      </c>
      <c r="G5469" s="27"/>
      <c r="H5469" s="16" t="str">
        <f>IF(ISBLANK(PARTIDAS!$G5469),PARTIDAS!$F5469,CONCATENATE(PARTIDAS!$F5469," (",PARTIDAS!$G5469,")"))</f>
        <v>Fundición, hierro y acero, de sección circular, de diámetro inferior o igual a 100 mm</v>
      </c>
      <c r="I5469" s="16" t="s">
        <v>9427</v>
      </c>
    </row>
    <row r="5470" spans="1:9" x14ac:dyDescent="0.25">
      <c r="A5470" s="16" t="s">
        <v>6398</v>
      </c>
      <c r="B5470" s="16" t="str">
        <f>TEXT(PARTIDA[[#This Row],[PARTIDA]],"0000000000")</f>
        <v>7215909000</v>
      </c>
      <c r="C5470" s="16" t="s">
        <v>815</v>
      </c>
      <c r="D5470" s="16" t="s">
        <v>835</v>
      </c>
      <c r="E5470" s="16" t="s">
        <v>9462</v>
      </c>
      <c r="F5470" s="27" t="s">
        <v>13912</v>
      </c>
      <c r="G5470" s="27"/>
      <c r="H5470" s="16" t="str">
        <f>IF(ISBLANK(PARTIDAS!$G5470),PARTIDAS!$F5470,CONCATENATE(PARTIDAS!$F5470," (",PARTIDAS!$G5470,")"))</f>
        <v>Fundición, hierro y acero (los demás)</v>
      </c>
      <c r="I5470" s="16" t="s">
        <v>9427</v>
      </c>
    </row>
    <row r="5471" spans="1:9" x14ac:dyDescent="0.25">
      <c r="A5471" s="16" t="s">
        <v>6399</v>
      </c>
      <c r="B5471" s="16" t="str">
        <f>TEXT(PARTIDA[[#This Row],[PARTIDA]],"0000000000")</f>
        <v>7216100000</v>
      </c>
      <c r="C5471" s="16" t="s">
        <v>815</v>
      </c>
      <c r="D5471" s="16" t="s">
        <v>835</v>
      </c>
      <c r="E5471" s="16" t="s">
        <v>9462</v>
      </c>
      <c r="F5471" s="27" t="s">
        <v>13913</v>
      </c>
      <c r="G5471" s="27"/>
      <c r="H5471" s="16" t="str">
        <f>IF(ISBLANK(PARTIDAS!$G5471),PARTIDAS!$F5471,CONCATENATE(PARTIDAS!$F5471," (",PARTIDAS!$G5471,")"))</f>
        <v>Perfiles en U, en I o en H, simplemente laminados o extrudidos en caliente, de altura inferior a 80 mm</v>
      </c>
      <c r="I5471" s="16" t="s">
        <v>9427</v>
      </c>
    </row>
    <row r="5472" spans="1:9" x14ac:dyDescent="0.25">
      <c r="A5472" s="16" t="s">
        <v>6400</v>
      </c>
      <c r="B5472" s="16" t="str">
        <f>TEXT(PARTIDA[[#This Row],[PARTIDA]],"0000000000")</f>
        <v>7216210000</v>
      </c>
      <c r="C5472" s="16" t="s">
        <v>815</v>
      </c>
      <c r="D5472" s="16" t="s">
        <v>835</v>
      </c>
      <c r="E5472" s="16" t="s">
        <v>9462</v>
      </c>
      <c r="F5472" s="27" t="s">
        <v>13914</v>
      </c>
      <c r="G5472" s="27"/>
      <c r="H5472" s="16" t="str">
        <f>IF(ISBLANK(PARTIDAS!$G5472),PARTIDAS!$F5472,CONCATENATE(PARTIDAS!$F5472," (",PARTIDAS!$G5472,")"))</f>
        <v>Perfiles en L</v>
      </c>
      <c r="I5472" s="16" t="s">
        <v>9427</v>
      </c>
    </row>
    <row r="5473" spans="1:9" x14ac:dyDescent="0.25">
      <c r="A5473" s="16" t="s">
        <v>6401</v>
      </c>
      <c r="B5473" s="16" t="str">
        <f>TEXT(PARTIDA[[#This Row],[PARTIDA]],"0000000000")</f>
        <v>7216220000</v>
      </c>
      <c r="C5473" s="16" t="s">
        <v>815</v>
      </c>
      <c r="D5473" s="16" t="s">
        <v>835</v>
      </c>
      <c r="E5473" s="16" t="s">
        <v>9462</v>
      </c>
      <c r="F5473" s="27" t="s">
        <v>13915</v>
      </c>
      <c r="G5473" s="27"/>
      <c r="H5473" s="16" t="str">
        <f>IF(ISBLANK(PARTIDAS!$G5473),PARTIDAS!$F5473,CONCATENATE(PARTIDAS!$F5473," (",PARTIDAS!$G5473,")"))</f>
        <v>Perfiles en T</v>
      </c>
      <c r="I5473" s="16" t="s">
        <v>9427</v>
      </c>
    </row>
    <row r="5474" spans="1:9" x14ac:dyDescent="0.25">
      <c r="A5474" s="16" t="s">
        <v>6402</v>
      </c>
      <c r="B5474" s="16" t="str">
        <f>TEXT(PARTIDA[[#This Row],[PARTIDA]],"0000000000")</f>
        <v>7216310000</v>
      </c>
      <c r="C5474" s="16" t="s">
        <v>815</v>
      </c>
      <c r="D5474" s="16" t="s">
        <v>835</v>
      </c>
      <c r="E5474" s="16" t="s">
        <v>9462</v>
      </c>
      <c r="F5474" s="27" t="s">
        <v>13916</v>
      </c>
      <c r="G5474" s="27"/>
      <c r="H5474" s="16" t="str">
        <f>IF(ISBLANK(PARTIDAS!$G5474),PARTIDAS!$F5474,CONCATENATE(PARTIDAS!$F5474," (",PARTIDAS!$G5474,")"))</f>
        <v>Perfiles en U</v>
      </c>
      <c r="I5474" s="16" t="s">
        <v>9427</v>
      </c>
    </row>
    <row r="5475" spans="1:9" x14ac:dyDescent="0.25">
      <c r="A5475" s="16" t="s">
        <v>6403</v>
      </c>
      <c r="B5475" s="16" t="str">
        <f>TEXT(PARTIDA[[#This Row],[PARTIDA]],"0000000000")</f>
        <v>7216320000</v>
      </c>
      <c r="C5475" s="16" t="s">
        <v>815</v>
      </c>
      <c r="D5475" s="16" t="s">
        <v>835</v>
      </c>
      <c r="E5475" s="16" t="s">
        <v>9462</v>
      </c>
      <c r="F5475" s="27" t="s">
        <v>13917</v>
      </c>
      <c r="G5475" s="27"/>
      <c r="H5475" s="16" t="str">
        <f>IF(ISBLANK(PARTIDAS!$G5475),PARTIDAS!$F5475,CONCATENATE(PARTIDAS!$F5475," (",PARTIDAS!$G5475,")"))</f>
        <v>Perfiles en I</v>
      </c>
      <c r="I5475" s="16" t="s">
        <v>9427</v>
      </c>
    </row>
    <row r="5476" spans="1:9" x14ac:dyDescent="0.25">
      <c r="A5476" s="16" t="s">
        <v>6404</v>
      </c>
      <c r="B5476" s="16" t="str">
        <f>TEXT(PARTIDA[[#This Row],[PARTIDA]],"0000000000")</f>
        <v>7216330000</v>
      </c>
      <c r="C5476" s="16" t="s">
        <v>815</v>
      </c>
      <c r="D5476" s="16" t="s">
        <v>835</v>
      </c>
      <c r="E5476" s="16" t="s">
        <v>9462</v>
      </c>
      <c r="F5476" s="27" t="s">
        <v>13918</v>
      </c>
      <c r="G5476" s="27"/>
      <c r="H5476" s="16" t="str">
        <f>IF(ISBLANK(PARTIDAS!$G5476),PARTIDAS!$F5476,CONCATENATE(PARTIDAS!$F5476," (",PARTIDAS!$G5476,")"))</f>
        <v>Perfiles en H</v>
      </c>
      <c r="I5476" s="16" t="s">
        <v>9427</v>
      </c>
    </row>
    <row r="5477" spans="1:9" x14ac:dyDescent="0.25">
      <c r="A5477" s="16" t="s">
        <v>6405</v>
      </c>
      <c r="B5477" s="16" t="str">
        <f>TEXT(PARTIDA[[#This Row],[PARTIDA]],"0000000000")</f>
        <v>7216400000</v>
      </c>
      <c r="C5477" s="16" t="s">
        <v>815</v>
      </c>
      <c r="D5477" s="16" t="s">
        <v>835</v>
      </c>
      <c r="E5477" s="16" t="s">
        <v>9462</v>
      </c>
      <c r="F5477" s="27" t="s">
        <v>13919</v>
      </c>
      <c r="G5477" s="27"/>
      <c r="H5477" s="16" t="str">
        <f>IF(ISBLANK(PARTIDAS!$G5477),PARTIDAS!$F5477,CONCATENATE(PARTIDAS!$F5477," (",PARTIDAS!$G5477,")"))</f>
        <v>Perfiles en L o en T, simplemente laminados o extrudidos en caliente, de altura superior o igual a 80 mm</v>
      </c>
      <c r="I5477" s="16" t="s">
        <v>9427</v>
      </c>
    </row>
    <row r="5478" spans="1:9" x14ac:dyDescent="0.25">
      <c r="A5478" s="16" t="s">
        <v>6406</v>
      </c>
      <c r="B5478" s="16" t="str">
        <f>TEXT(PARTIDA[[#This Row],[PARTIDA]],"0000000000")</f>
        <v>7216500000</v>
      </c>
      <c r="C5478" s="16" t="s">
        <v>815</v>
      </c>
      <c r="D5478" s="16" t="s">
        <v>835</v>
      </c>
      <c r="E5478" s="16" t="s">
        <v>9462</v>
      </c>
      <c r="F5478" s="27" t="s">
        <v>13920</v>
      </c>
      <c r="G5478" s="27"/>
      <c r="H5478" s="16" t="str">
        <f>IF(ISBLANK(PARTIDAS!$G5478),PARTIDAS!$F5478,CONCATENATE(PARTIDAS!$F5478," (",PARTIDAS!$G5478,")"))</f>
        <v>Perfiles de hierro o acero sin alear (los demás, perfiles, simplemente laminados o extrudidos en caliente)</v>
      </c>
      <c r="I5478" s="16" t="s">
        <v>9427</v>
      </c>
    </row>
    <row r="5479" spans="1:9" x14ac:dyDescent="0.25">
      <c r="A5479" s="16" t="s">
        <v>6407</v>
      </c>
      <c r="B5479" s="16" t="str">
        <f>TEXT(PARTIDA[[#This Row],[PARTIDA]],"0000000000")</f>
        <v>7216610000</v>
      </c>
      <c r="C5479" s="16" t="s">
        <v>815</v>
      </c>
      <c r="D5479" s="16" t="s">
        <v>835</v>
      </c>
      <c r="E5479" s="16" t="s">
        <v>9462</v>
      </c>
      <c r="F5479" s="27" t="s">
        <v>13921</v>
      </c>
      <c r="G5479" s="27"/>
      <c r="H5479" s="16" t="str">
        <f>IF(ISBLANK(PARTIDAS!$G5479),PARTIDAS!$F5479,CONCATENATE(PARTIDAS!$F5479," (",PARTIDAS!$G5479,")"))</f>
        <v>Obtenidos a partir de productos laminados planos</v>
      </c>
      <c r="I5479" s="16" t="s">
        <v>9427</v>
      </c>
    </row>
    <row r="5480" spans="1:9" x14ac:dyDescent="0.25">
      <c r="A5480" s="16" t="s">
        <v>6408</v>
      </c>
      <c r="B5480" s="16" t="str">
        <f>TEXT(PARTIDA[[#This Row],[PARTIDA]],"0000000000")</f>
        <v>7216690000</v>
      </c>
      <c r="C5480" s="16" t="s">
        <v>815</v>
      </c>
      <c r="D5480" s="16" t="s">
        <v>835</v>
      </c>
      <c r="E5480" s="16" t="s">
        <v>9462</v>
      </c>
      <c r="F5480" s="27" t="s">
        <v>13922</v>
      </c>
      <c r="G5480" s="27"/>
      <c r="H5480" s="16" t="str">
        <f>IF(ISBLANK(PARTIDAS!$G5480),PARTIDAS!$F5480,CONCATENATE(PARTIDAS!$F5480," (",PARTIDAS!$G5480,")"))</f>
        <v>Perfiles simplemente obtenidos o acabados en frío (los demás)</v>
      </c>
      <c r="I5480" s="16" t="s">
        <v>9427</v>
      </c>
    </row>
    <row r="5481" spans="1:9" x14ac:dyDescent="0.25">
      <c r="A5481" s="16" t="s">
        <v>6409</v>
      </c>
      <c r="B5481" s="16" t="str">
        <f>TEXT(PARTIDA[[#This Row],[PARTIDA]],"0000000000")</f>
        <v>7216910000</v>
      </c>
      <c r="C5481" s="16" t="s">
        <v>815</v>
      </c>
      <c r="D5481" s="16" t="s">
        <v>835</v>
      </c>
      <c r="E5481" s="16" t="s">
        <v>9462</v>
      </c>
      <c r="F5481" s="27" t="s">
        <v>13923</v>
      </c>
      <c r="G5481" s="27"/>
      <c r="H5481" s="16" t="str">
        <f>IF(ISBLANK(PARTIDAS!$G5481),PARTIDAS!$F5481,CONCATENATE(PARTIDAS!$F5481," (",PARTIDAS!$G5481,")"))</f>
        <v>Obtenidos o acabados en frío, a partir de productos laminados planos</v>
      </c>
      <c r="I5481" s="16" t="s">
        <v>9427</v>
      </c>
    </row>
    <row r="5482" spans="1:9" x14ac:dyDescent="0.25">
      <c r="A5482" s="16" t="s">
        <v>6410</v>
      </c>
      <c r="B5482" s="16" t="str">
        <f>TEXT(PARTIDA[[#This Row],[PARTIDA]],"0000000000")</f>
        <v>7216990000</v>
      </c>
      <c r="C5482" s="16" t="s">
        <v>815</v>
      </c>
      <c r="D5482" s="16" t="s">
        <v>835</v>
      </c>
      <c r="E5482" s="16" t="s">
        <v>9462</v>
      </c>
      <c r="F5482" s="27" t="s">
        <v>13924</v>
      </c>
      <c r="G5482" s="27"/>
      <c r="H5482" s="16" t="str">
        <f>IF(ISBLANK(PARTIDAS!$G5482),PARTIDAS!$F5482,CONCATENATE(PARTIDAS!$F5482," (",PARTIDAS!$G5482,")"))</f>
        <v>Perfiles de hierro o acero sin alear (los demás)</v>
      </c>
      <c r="I5482" s="16" t="s">
        <v>9427</v>
      </c>
    </row>
    <row r="5483" spans="1:9" x14ac:dyDescent="0.25">
      <c r="A5483" s="16" t="s">
        <v>6411</v>
      </c>
      <c r="B5483" s="16" t="str">
        <f>TEXT(PARTIDA[[#This Row],[PARTIDA]],"0000000000")</f>
        <v>7217100000</v>
      </c>
      <c r="C5483" s="16" t="s">
        <v>815</v>
      </c>
      <c r="D5483" s="16" t="s">
        <v>835</v>
      </c>
      <c r="E5483" s="16" t="s">
        <v>9462</v>
      </c>
      <c r="F5483" s="27" t="s">
        <v>13925</v>
      </c>
      <c r="G5483" s="27"/>
      <c r="H5483" s="16" t="str">
        <f>IF(ISBLANK(PARTIDAS!$G5483),PARTIDAS!$F5483,CONCATENATE(PARTIDAS!$F5483," (",PARTIDAS!$G5483,")"))</f>
        <v>Alambre de hierro o acero sin alear, sin revestir, incluso pulido</v>
      </c>
      <c r="I5483" s="16" t="s">
        <v>9427</v>
      </c>
    </row>
    <row r="5484" spans="1:9" x14ac:dyDescent="0.25">
      <c r="A5484" s="16" t="s">
        <v>6412</v>
      </c>
      <c r="B5484" s="16" t="str">
        <f>TEXT(PARTIDA[[#This Row],[PARTIDA]],"0000000000")</f>
        <v>7217200000</v>
      </c>
      <c r="C5484" s="16" t="s">
        <v>815</v>
      </c>
      <c r="D5484" s="16" t="s">
        <v>835</v>
      </c>
      <c r="E5484" s="16" t="s">
        <v>9462</v>
      </c>
      <c r="F5484" s="27" t="s">
        <v>13926</v>
      </c>
      <c r="G5484" s="27"/>
      <c r="H5484" s="16" t="str">
        <f>IF(ISBLANK(PARTIDAS!$G5484),PARTIDAS!$F5484,CONCATENATE(PARTIDAS!$F5484," (",PARTIDAS!$G5484,")"))</f>
        <v>Cincado</v>
      </c>
      <c r="I5484" s="16" t="s">
        <v>9427</v>
      </c>
    </row>
    <row r="5485" spans="1:9" x14ac:dyDescent="0.25">
      <c r="A5485" s="16" t="s">
        <v>6413</v>
      </c>
      <c r="B5485" s="16" t="str">
        <f>TEXT(PARTIDA[[#This Row],[PARTIDA]],"0000000000")</f>
        <v>7217300000</v>
      </c>
      <c r="C5485" s="16" t="s">
        <v>815</v>
      </c>
      <c r="D5485" s="16" t="s">
        <v>835</v>
      </c>
      <c r="E5485" s="16" t="s">
        <v>9462</v>
      </c>
      <c r="F5485" s="27" t="s">
        <v>13927</v>
      </c>
      <c r="G5485" s="27"/>
      <c r="H5485" s="16" t="str">
        <f>IF(ISBLANK(PARTIDAS!$G5485),PARTIDAS!$F5485,CONCATENATE(PARTIDAS!$F5485," (",PARTIDAS!$G5485,")"))</f>
        <v>Revestido de otro metal común</v>
      </c>
      <c r="I5485" s="16" t="s">
        <v>9427</v>
      </c>
    </row>
    <row r="5486" spans="1:9" x14ac:dyDescent="0.25">
      <c r="A5486" s="16" t="s">
        <v>6414</v>
      </c>
      <c r="B5486" s="16" t="str">
        <f>TEXT(PARTIDA[[#This Row],[PARTIDA]],"0000000000")</f>
        <v>7217900000</v>
      </c>
      <c r="C5486" s="16" t="s">
        <v>815</v>
      </c>
      <c r="D5486" s="16" t="s">
        <v>835</v>
      </c>
      <c r="E5486" s="16" t="s">
        <v>9462</v>
      </c>
      <c r="F5486" s="27" t="s">
        <v>6415</v>
      </c>
      <c r="G5486" s="27"/>
      <c r="H5486" s="16" t="str">
        <f>IF(ISBLANK(PARTIDAS!$G5486),PARTIDAS!$F5486,CONCATENATE(PARTIDAS!$F5486," (",PARTIDAS!$G5486,")"))</f>
        <v>Alambre de hierro o acero</v>
      </c>
      <c r="I5486" s="16" t="s">
        <v>9427</v>
      </c>
    </row>
    <row r="5487" spans="1:9" x14ac:dyDescent="0.25">
      <c r="A5487" s="16" t="s">
        <v>6416</v>
      </c>
      <c r="B5487" s="16" t="str">
        <f>TEXT(PARTIDA[[#This Row],[PARTIDA]],"0000000000")</f>
        <v>7218100000</v>
      </c>
      <c r="C5487" s="16" t="s">
        <v>815</v>
      </c>
      <c r="D5487" s="16" t="s">
        <v>835</v>
      </c>
      <c r="E5487" s="16" t="s">
        <v>9462</v>
      </c>
      <c r="F5487" s="27" t="s">
        <v>13928</v>
      </c>
      <c r="G5487" s="27"/>
      <c r="H5487" s="16" t="str">
        <f>IF(ISBLANK(PARTIDAS!$G5487),PARTIDAS!$F5487,CONCATENATE(PARTIDAS!$F5487," (",PARTIDAS!$G5487,")"))</f>
        <v>Lingotes o demás formas primarias</v>
      </c>
      <c r="I5487" s="16" t="s">
        <v>9427</v>
      </c>
    </row>
    <row r="5488" spans="1:9" x14ac:dyDescent="0.25">
      <c r="A5488" s="16" t="s">
        <v>6417</v>
      </c>
      <c r="B5488" s="16" t="str">
        <f>TEXT(PARTIDA[[#This Row],[PARTIDA]],"0000000000")</f>
        <v>7218910000</v>
      </c>
      <c r="C5488" s="16" t="s">
        <v>815</v>
      </c>
      <c r="D5488" s="16" t="s">
        <v>835</v>
      </c>
      <c r="E5488" s="16" t="s">
        <v>9462</v>
      </c>
      <c r="F5488" s="27" t="s">
        <v>13929</v>
      </c>
      <c r="G5488" s="27"/>
      <c r="H5488" s="16" t="str">
        <f>IF(ISBLANK(PARTIDAS!$G5488),PARTIDAS!$F5488,CONCATENATE(PARTIDAS!$F5488," (",PARTIDAS!$G5488,")"))</f>
        <v>Acero inoxidable en lingotes o demás formas primarias, de sección transversal rectangular</v>
      </c>
      <c r="I5488" s="16" t="s">
        <v>9427</v>
      </c>
    </row>
    <row r="5489" spans="1:9" x14ac:dyDescent="0.25">
      <c r="A5489" s="16" t="s">
        <v>6418</v>
      </c>
      <c r="B5489" s="16" t="str">
        <f>TEXT(PARTIDA[[#This Row],[PARTIDA]],"0000000000")</f>
        <v>7218990000</v>
      </c>
      <c r="C5489" s="16" t="s">
        <v>815</v>
      </c>
      <c r="D5489" s="16" t="s">
        <v>835</v>
      </c>
      <c r="E5489" s="16" t="s">
        <v>9462</v>
      </c>
      <c r="F5489" s="27" t="s">
        <v>13930</v>
      </c>
      <c r="G5489" s="27"/>
      <c r="H5489" s="16" t="str">
        <f>IF(ISBLANK(PARTIDAS!$G5489),PARTIDAS!$F5489,CONCATENATE(PARTIDAS!$F5489," (",PARTIDAS!$G5489,")"))</f>
        <v>Acero inoxidable en lingotes o demás formas primarias (los demás)</v>
      </c>
      <c r="I5489" s="16" t="s">
        <v>9427</v>
      </c>
    </row>
    <row r="5490" spans="1:9" x14ac:dyDescent="0.25">
      <c r="A5490" s="16" t="s">
        <v>6419</v>
      </c>
      <c r="B5490" s="16" t="str">
        <f>TEXT(PARTIDA[[#This Row],[PARTIDA]],"0000000000")</f>
        <v>7219110000</v>
      </c>
      <c r="C5490" s="16" t="s">
        <v>815</v>
      </c>
      <c r="D5490" s="16" t="s">
        <v>835</v>
      </c>
      <c r="E5490" s="16" t="s">
        <v>9462</v>
      </c>
      <c r="F5490" s="27" t="s">
        <v>13931</v>
      </c>
      <c r="G5490" s="27"/>
      <c r="H5490" s="16" t="str">
        <f>IF(ISBLANK(PARTIDAS!$G5490),PARTIDAS!$F5490,CONCATENATE(PARTIDAS!$F5490," (",PARTIDAS!$G5490,")"))</f>
        <v>Productos laminados planos de acero inoxidable, de…, simplemente laminados en caliente, enrollados, de espesor superior a 10 mm</v>
      </c>
      <c r="I5490" s="16" t="s">
        <v>9427</v>
      </c>
    </row>
    <row r="5491" spans="1:9" x14ac:dyDescent="0.25">
      <c r="A5491" s="16" t="s">
        <v>6420</v>
      </c>
      <c r="B5491" s="16" t="str">
        <f>TEXT(PARTIDA[[#This Row],[PARTIDA]],"0000000000")</f>
        <v>7219120000</v>
      </c>
      <c r="C5491" s="16" t="s">
        <v>815</v>
      </c>
      <c r="D5491" s="16" t="s">
        <v>835</v>
      </c>
      <c r="E5491" s="16" t="s">
        <v>9462</v>
      </c>
      <c r="F5491" s="27" t="s">
        <v>13932</v>
      </c>
      <c r="G5491" s="27"/>
      <c r="H5491" s="16" t="str">
        <f>IF(ISBLANK(PARTIDAS!$G5491),PARTIDAS!$F5491,CONCATENATE(PARTIDAS!$F5491," (",PARTIDAS!$G5491,")"))</f>
        <v>Productos laminados planos de acero inoxidable, de…, simplemente laminados en caliente, enrollados, de espesor superior o igual a 4,75 mm pero inferio</v>
      </c>
      <c r="I5491" s="16" t="s">
        <v>9427</v>
      </c>
    </row>
    <row r="5492" spans="1:9" x14ac:dyDescent="0.25">
      <c r="A5492" s="16" t="s">
        <v>6421</v>
      </c>
      <c r="B5492" s="16" t="str">
        <f>TEXT(PARTIDA[[#This Row],[PARTIDA]],"0000000000")</f>
        <v>7219130000</v>
      </c>
      <c r="C5492" s="16" t="s">
        <v>815</v>
      </c>
      <c r="D5492" s="16" t="s">
        <v>835</v>
      </c>
      <c r="E5492" s="16" t="s">
        <v>9462</v>
      </c>
      <c r="F5492" s="27" t="s">
        <v>13933</v>
      </c>
      <c r="G5492" s="27"/>
      <c r="H5492" s="16" t="str">
        <f>IF(ISBLANK(PARTIDAS!$G5492),PARTIDAS!$F5492,CONCATENATE(PARTIDAS!$F5492," (",PARTIDAS!$G5492,")"))</f>
        <v>Productos laminados planos de acero inoxidable, de…, simplemente laminados en caliente, enrollados, de espesor superior o igual a 3 mm pero inferior a</v>
      </c>
      <c r="I5492" s="16" t="s">
        <v>9427</v>
      </c>
    </row>
    <row r="5493" spans="1:9" x14ac:dyDescent="0.25">
      <c r="A5493" s="16" t="s">
        <v>6422</v>
      </c>
      <c r="B5493" s="16" t="str">
        <f>TEXT(PARTIDA[[#This Row],[PARTIDA]],"0000000000")</f>
        <v>7219140000</v>
      </c>
      <c r="C5493" s="16" t="s">
        <v>815</v>
      </c>
      <c r="D5493" s="16" t="s">
        <v>835</v>
      </c>
      <c r="E5493" s="16" t="s">
        <v>9462</v>
      </c>
      <c r="F5493" s="27" t="s">
        <v>13934</v>
      </c>
      <c r="G5493" s="27"/>
      <c r="H5493" s="16" t="str">
        <f>IF(ISBLANK(PARTIDAS!$G5493),PARTIDAS!$F5493,CONCATENATE(PARTIDAS!$F5493," (",PARTIDAS!$G5493,")"))</f>
        <v>Productos laminados planos de acero inoxidable, de…, simplemente laminados en caliente, enrollados, de espesor inferior a 3 mm</v>
      </c>
      <c r="I5493" s="16" t="s">
        <v>9427</v>
      </c>
    </row>
    <row r="5494" spans="1:9" x14ac:dyDescent="0.25">
      <c r="A5494" s="16" t="s">
        <v>6423</v>
      </c>
      <c r="B5494" s="16" t="str">
        <f>TEXT(PARTIDA[[#This Row],[PARTIDA]],"0000000000")</f>
        <v>7219210000</v>
      </c>
      <c r="C5494" s="16" t="s">
        <v>815</v>
      </c>
      <c r="D5494" s="16" t="s">
        <v>835</v>
      </c>
      <c r="E5494" s="16" t="s">
        <v>9462</v>
      </c>
      <c r="F5494" s="27" t="s">
        <v>13935</v>
      </c>
      <c r="G5494" s="27"/>
      <c r="H5494" s="16" t="str">
        <f>IF(ISBLANK(PARTIDAS!$G5494),PARTIDAS!$F5494,CONCATENATE(PARTIDAS!$F5494," (",PARTIDAS!$G5494,")"))</f>
        <v>Productos laminados planos de acero inoxidable, de…, simplemente laminados en caliente, sin enrollar, de espesor superior a 10 mm</v>
      </c>
      <c r="I5494" s="16" t="s">
        <v>9427</v>
      </c>
    </row>
    <row r="5495" spans="1:9" x14ac:dyDescent="0.25">
      <c r="A5495" s="16" t="s">
        <v>6424</v>
      </c>
      <c r="B5495" s="16" t="str">
        <f>TEXT(PARTIDA[[#This Row],[PARTIDA]],"0000000000")</f>
        <v>7219220000</v>
      </c>
      <c r="C5495" s="16" t="s">
        <v>815</v>
      </c>
      <c r="D5495" s="16" t="s">
        <v>835</v>
      </c>
      <c r="E5495" s="16" t="s">
        <v>9462</v>
      </c>
      <c r="F5495" s="27" t="s">
        <v>13936</v>
      </c>
      <c r="G5495" s="27"/>
      <c r="H5495" s="16" t="str">
        <f>IF(ISBLANK(PARTIDAS!$G5495),PARTIDAS!$F5495,CONCATENATE(PARTIDAS!$F5495," (",PARTIDAS!$G5495,")"))</f>
        <v>Productos laminados planos de acero inoxidable, de…, simplemente laminados en caliente, sin enrollar, de espesor superior o igual a 4,75 mm pero infer</v>
      </c>
      <c r="I5495" s="16" t="s">
        <v>9427</v>
      </c>
    </row>
    <row r="5496" spans="1:9" x14ac:dyDescent="0.25">
      <c r="A5496" s="16" t="s">
        <v>6425</v>
      </c>
      <c r="B5496" s="16" t="str">
        <f>TEXT(PARTIDA[[#This Row],[PARTIDA]],"0000000000")</f>
        <v>7219230000</v>
      </c>
      <c r="C5496" s="16" t="s">
        <v>815</v>
      </c>
      <c r="D5496" s="16" t="s">
        <v>835</v>
      </c>
      <c r="E5496" s="16" t="s">
        <v>9462</v>
      </c>
      <c r="F5496" s="27" t="s">
        <v>13937</v>
      </c>
      <c r="G5496" s="27"/>
      <c r="H5496" s="16" t="str">
        <f>IF(ISBLANK(PARTIDAS!$G5496),PARTIDAS!$F5496,CONCATENATE(PARTIDAS!$F5496," (",PARTIDAS!$G5496,")"))</f>
        <v>Productos laminados planos de acero inoxidable, de…, simplemente laminados en caliente, sin enrollar, de espesor superior o igual a 3 mm pero inferior</v>
      </c>
      <c r="I5496" s="16" t="s">
        <v>9427</v>
      </c>
    </row>
    <row r="5497" spans="1:9" x14ac:dyDescent="0.25">
      <c r="A5497" s="16" t="s">
        <v>6426</v>
      </c>
      <c r="B5497" s="16" t="str">
        <f>TEXT(PARTIDA[[#This Row],[PARTIDA]],"0000000000")</f>
        <v>7219240000</v>
      </c>
      <c r="C5497" s="16" t="s">
        <v>815</v>
      </c>
      <c r="D5497" s="16" t="s">
        <v>835</v>
      </c>
      <c r="E5497" s="16" t="s">
        <v>9462</v>
      </c>
      <c r="F5497" s="27" t="s">
        <v>13938</v>
      </c>
      <c r="G5497" s="27"/>
      <c r="H5497" s="16" t="str">
        <f>IF(ISBLANK(PARTIDAS!$G5497),PARTIDAS!$F5497,CONCATENATE(PARTIDAS!$F5497," (",PARTIDAS!$G5497,")"))</f>
        <v>Productos laminados planos de acero inoxidable, de…, simplemente laminados en caliente, sin enrollar, de espesor inferior a 3 mm</v>
      </c>
      <c r="I5497" s="16" t="s">
        <v>9427</v>
      </c>
    </row>
    <row r="5498" spans="1:9" x14ac:dyDescent="0.25">
      <c r="A5498" s="16" t="s">
        <v>6427</v>
      </c>
      <c r="B5498" s="16" t="str">
        <f>TEXT(PARTIDA[[#This Row],[PARTIDA]],"0000000000")</f>
        <v>7219310000</v>
      </c>
      <c r="C5498" s="16" t="s">
        <v>815</v>
      </c>
      <c r="D5498" s="16" t="s">
        <v>835</v>
      </c>
      <c r="E5498" s="16" t="s">
        <v>9462</v>
      </c>
      <c r="F5498" s="27" t="s">
        <v>13939</v>
      </c>
      <c r="G5498" s="27"/>
      <c r="H5498" s="16" t="str">
        <f>IF(ISBLANK(PARTIDAS!$G5498),PARTIDAS!$F5498,CONCATENATE(PARTIDAS!$F5498," (",PARTIDAS!$G5498,")"))</f>
        <v>Productos laminados planos de acero inoxidable, de…, simplemente laminados en frío, de espesor superior o igual a 4,75 mm</v>
      </c>
      <c r="I5498" s="16" t="s">
        <v>9427</v>
      </c>
    </row>
    <row r="5499" spans="1:9" x14ac:dyDescent="0.25">
      <c r="A5499" s="16" t="s">
        <v>6428</v>
      </c>
      <c r="B5499" s="16" t="str">
        <f>TEXT(PARTIDA[[#This Row],[PARTIDA]],"0000000000")</f>
        <v>7219320000</v>
      </c>
      <c r="C5499" s="16" t="s">
        <v>815</v>
      </c>
      <c r="D5499" s="16" t="s">
        <v>835</v>
      </c>
      <c r="E5499" s="16" t="s">
        <v>9462</v>
      </c>
      <c r="F5499" s="27" t="s">
        <v>13940</v>
      </c>
      <c r="G5499" s="27"/>
      <c r="H5499" s="16" t="str">
        <f>IF(ISBLANK(PARTIDAS!$G5499),PARTIDAS!$F5499,CONCATENATE(PARTIDAS!$F5499," (",PARTIDAS!$G5499,")"))</f>
        <v>Productos laminados planos de acero inoxidable, de…, simplemente laminados en frío, de espesor superior o igual a 3 mm pero inferior a 4,75 mm</v>
      </c>
      <c r="I5499" s="16" t="s">
        <v>9427</v>
      </c>
    </row>
    <row r="5500" spans="1:9" x14ac:dyDescent="0.25">
      <c r="A5500" s="16" t="s">
        <v>6429</v>
      </c>
      <c r="B5500" s="16" t="str">
        <f>TEXT(PARTIDA[[#This Row],[PARTIDA]],"0000000000")</f>
        <v>7219330000</v>
      </c>
      <c r="C5500" s="16" t="s">
        <v>815</v>
      </c>
      <c r="D5500" s="16" t="s">
        <v>835</v>
      </c>
      <c r="E5500" s="16" t="s">
        <v>9462</v>
      </c>
      <c r="F5500" s="27" t="s">
        <v>13941</v>
      </c>
      <c r="G5500" s="27"/>
      <c r="H5500" s="16" t="str">
        <f>IF(ISBLANK(PARTIDAS!$G5500),PARTIDAS!$F5500,CONCATENATE(PARTIDAS!$F5500," (",PARTIDAS!$G5500,")"))</f>
        <v>Productos laminados planos de acero inoxidable, de…, simplemente laminados en frío, de espesor superior a 1 mm pero inferior a 3 mm</v>
      </c>
      <c r="I5500" s="16" t="s">
        <v>9427</v>
      </c>
    </row>
    <row r="5501" spans="1:9" x14ac:dyDescent="0.25">
      <c r="A5501" s="16" t="s">
        <v>6430</v>
      </c>
      <c r="B5501" s="16" t="str">
        <f>TEXT(PARTIDA[[#This Row],[PARTIDA]],"0000000000")</f>
        <v>7219340000</v>
      </c>
      <c r="C5501" s="16" t="s">
        <v>815</v>
      </c>
      <c r="D5501" s="16" t="s">
        <v>835</v>
      </c>
      <c r="E5501" s="16" t="s">
        <v>9462</v>
      </c>
      <c r="F5501" s="27" t="s">
        <v>13942</v>
      </c>
      <c r="G5501" s="27"/>
      <c r="H5501" s="16" t="str">
        <f>IF(ISBLANK(PARTIDAS!$G5501),PARTIDAS!$F5501,CONCATENATE(PARTIDAS!$F5501," (",PARTIDAS!$G5501,")"))</f>
        <v>Productos laminados planos de acero inoxidable, de…, simplemente laminados en frío, de espesor superior o igual a 0,5 mm pero inferior o igual a 1 mm</v>
      </c>
      <c r="I5501" s="16" t="s">
        <v>9427</v>
      </c>
    </row>
    <row r="5502" spans="1:9" x14ac:dyDescent="0.25">
      <c r="A5502" s="16" t="s">
        <v>6431</v>
      </c>
      <c r="B5502" s="16" t="str">
        <f>TEXT(PARTIDA[[#This Row],[PARTIDA]],"0000000000")</f>
        <v>7219350000</v>
      </c>
      <c r="C5502" s="16" t="s">
        <v>815</v>
      </c>
      <c r="D5502" s="16" t="s">
        <v>835</v>
      </c>
      <c r="E5502" s="16" t="s">
        <v>9462</v>
      </c>
      <c r="F5502" s="27" t="s">
        <v>13943</v>
      </c>
      <c r="G5502" s="27"/>
      <c r="H5502" s="16" t="str">
        <f>IF(ISBLANK(PARTIDAS!$G5502),PARTIDAS!$F5502,CONCATENATE(PARTIDAS!$F5502," (",PARTIDAS!$G5502,")"))</f>
        <v>Productos laminados planos de acero inoxidable, de…, simplemente laminados en frío, de espesor inferior a 0,5 mm</v>
      </c>
      <c r="I5502" s="16" t="s">
        <v>9427</v>
      </c>
    </row>
    <row r="5503" spans="1:9" x14ac:dyDescent="0.25">
      <c r="A5503" s="16" t="s">
        <v>6432</v>
      </c>
      <c r="B5503" s="16" t="str">
        <f>TEXT(PARTIDA[[#This Row],[PARTIDA]],"0000000000")</f>
        <v>7219900000</v>
      </c>
      <c r="C5503" s="16" t="s">
        <v>815</v>
      </c>
      <c r="D5503" s="16" t="s">
        <v>835</v>
      </c>
      <c r="E5503" s="16" t="s">
        <v>9462</v>
      </c>
      <c r="F5503" s="27" t="s">
        <v>13944</v>
      </c>
      <c r="G5503" s="27"/>
      <c r="H5503" s="16" t="str">
        <f>IF(ISBLANK(PARTIDAS!$G5503),PARTIDAS!$F5503,CONCATENATE(PARTIDAS!$F5503," (",PARTIDAS!$G5503,")"))</f>
        <v>Productos laminados planos de acero inoxidable, de anchura superior o… (los demás)</v>
      </c>
      <c r="I5503" s="16" t="s">
        <v>9427</v>
      </c>
    </row>
    <row r="5504" spans="1:9" x14ac:dyDescent="0.25">
      <c r="A5504" s="16" t="s">
        <v>6433</v>
      </c>
      <c r="B5504" s="16" t="str">
        <f>TEXT(PARTIDA[[#This Row],[PARTIDA]],"0000000000")</f>
        <v>7220110000</v>
      </c>
      <c r="C5504" s="16" t="s">
        <v>815</v>
      </c>
      <c r="D5504" s="16" t="s">
        <v>835</v>
      </c>
      <c r="E5504" s="16" t="s">
        <v>9462</v>
      </c>
      <c r="F5504" s="27" t="s">
        <v>13945</v>
      </c>
      <c r="G5504" s="27"/>
      <c r="H5504" s="16" t="str">
        <f>IF(ISBLANK(PARTIDAS!$G5504),PARTIDAS!$F5504,CONCATENATE(PARTIDAS!$F5504," (",PARTIDAS!$G5504,")"))</f>
        <v>Productos laminados planos de acero inoxidable, de…, simplemente laminados en caliente, de espesor superior o igual a 4,75 mm</v>
      </c>
      <c r="I5504" s="16" t="s">
        <v>9427</v>
      </c>
    </row>
    <row r="5505" spans="1:9" x14ac:dyDescent="0.25">
      <c r="A5505" s="16" t="s">
        <v>6434</v>
      </c>
      <c r="B5505" s="16" t="str">
        <f>TEXT(PARTIDA[[#This Row],[PARTIDA]],"0000000000")</f>
        <v>7220120000</v>
      </c>
      <c r="C5505" s="16" t="s">
        <v>815</v>
      </c>
      <c r="D5505" s="16" t="s">
        <v>835</v>
      </c>
      <c r="E5505" s="16" t="s">
        <v>9462</v>
      </c>
      <c r="F5505" s="27" t="s">
        <v>13946</v>
      </c>
      <c r="G5505" s="27"/>
      <c r="H5505" s="16" t="str">
        <f>IF(ISBLANK(PARTIDAS!$G5505),PARTIDAS!$F5505,CONCATENATE(PARTIDAS!$F5505," (",PARTIDAS!$G5505,")"))</f>
        <v>Productos laminados planos de acero inoxidable, de…, simplemente laminados en caliente, de espesor inferior a 4,75 mm</v>
      </c>
      <c r="I5505" s="16" t="s">
        <v>9427</v>
      </c>
    </row>
    <row r="5506" spans="1:9" x14ac:dyDescent="0.25">
      <c r="A5506" s="16" t="s">
        <v>6435</v>
      </c>
      <c r="B5506" s="16" t="str">
        <f>TEXT(PARTIDA[[#This Row],[PARTIDA]],"0000000000")</f>
        <v>7220200000</v>
      </c>
      <c r="C5506" s="16" t="s">
        <v>815</v>
      </c>
      <c r="D5506" s="16" t="s">
        <v>835</v>
      </c>
      <c r="E5506" s="16" t="s">
        <v>9462</v>
      </c>
      <c r="F5506" s="27" t="s">
        <v>13947</v>
      </c>
      <c r="G5506" s="27"/>
      <c r="H5506" s="16" t="str">
        <f>IF(ISBLANK(PARTIDAS!$G5506),PARTIDAS!$F5506,CONCATENATE(PARTIDAS!$F5506," (",PARTIDAS!$G5506,")"))</f>
        <v>Productos laminados planos de acero inoxidable, de anchura inferior a…, simplemente laminados en frío</v>
      </c>
      <c r="I5506" s="16" t="s">
        <v>9427</v>
      </c>
    </row>
    <row r="5507" spans="1:9" x14ac:dyDescent="0.25">
      <c r="A5507" s="16" t="s">
        <v>6436</v>
      </c>
      <c r="B5507" s="16" t="str">
        <f>TEXT(PARTIDA[[#This Row],[PARTIDA]],"0000000000")</f>
        <v>7220900000</v>
      </c>
      <c r="C5507" s="16" t="s">
        <v>815</v>
      </c>
      <c r="D5507" s="16" t="s">
        <v>835</v>
      </c>
      <c r="E5507" s="16" t="s">
        <v>9462</v>
      </c>
      <c r="F5507" s="27" t="s">
        <v>13948</v>
      </c>
      <c r="G5507" s="27"/>
      <c r="H5507" s="16" t="str">
        <f>IF(ISBLANK(PARTIDAS!$G5507),PARTIDAS!$F5507,CONCATENATE(PARTIDAS!$F5507," (",PARTIDAS!$G5507,")"))</f>
        <v>Productos laminados planos de acero inoxidable, de anchura inferior a… (los demás)</v>
      </c>
      <c r="I5507" s="16" t="s">
        <v>9427</v>
      </c>
    </row>
    <row r="5508" spans="1:9" x14ac:dyDescent="0.25">
      <c r="A5508" s="16" t="s">
        <v>6437</v>
      </c>
      <c r="B5508" s="16" t="str">
        <f>TEXT(PARTIDA[[#This Row],[PARTIDA]],"0000000000")</f>
        <v>7221000000</v>
      </c>
      <c r="C5508" s="16" t="s">
        <v>815</v>
      </c>
      <c r="D5508" s="16" t="s">
        <v>835</v>
      </c>
      <c r="E5508" s="16" t="s">
        <v>9462</v>
      </c>
      <c r="F5508" s="27" t="s">
        <v>6438</v>
      </c>
      <c r="G5508" s="27"/>
      <c r="H5508" s="16" t="str">
        <f>IF(ISBLANK(PARTIDAS!$G5508),PARTIDAS!$F5508,CONCATENATE(PARTIDAS!$F5508," (",PARTIDAS!$G5508,")"))</f>
        <v>Alambre de acero inoxidable</v>
      </c>
      <c r="I5508" s="16" t="s">
        <v>9427</v>
      </c>
    </row>
    <row r="5509" spans="1:9" x14ac:dyDescent="0.25">
      <c r="A5509" s="16" t="s">
        <v>6439</v>
      </c>
      <c r="B5509" s="16" t="str">
        <f>TEXT(PARTIDA[[#This Row],[PARTIDA]],"0000000000")</f>
        <v>7222111000</v>
      </c>
      <c r="C5509" s="16" t="s">
        <v>815</v>
      </c>
      <c r="D5509" s="16" t="s">
        <v>835</v>
      </c>
      <c r="E5509" s="16" t="s">
        <v>9462</v>
      </c>
      <c r="F5509" s="27" t="s">
        <v>13949</v>
      </c>
      <c r="G5509" s="27"/>
      <c r="H5509" s="16" t="str">
        <f>IF(ISBLANK(PARTIDAS!$G5509),PARTIDAS!$F5509,CONCATENATE(PARTIDAS!$F5509," (",PARTIDAS!$G5509,")"))</f>
        <v>Barras simplemente laminadas o extrudidas en caliente, de sección circular, con diámetro inferior o igual a 65 mm</v>
      </c>
      <c r="I5509" s="16" t="s">
        <v>9427</v>
      </c>
    </row>
    <row r="5510" spans="1:9" x14ac:dyDescent="0.25">
      <c r="A5510" s="16" t="s">
        <v>6440</v>
      </c>
      <c r="B5510" s="16" t="str">
        <f>TEXT(PARTIDA[[#This Row],[PARTIDA]],"0000000000")</f>
        <v>7222119000</v>
      </c>
      <c r="C5510" s="16" t="s">
        <v>815</v>
      </c>
      <c r="D5510" s="16" t="s">
        <v>835</v>
      </c>
      <c r="E5510" s="16" t="s">
        <v>9462</v>
      </c>
      <c r="F5510" s="27" t="s">
        <v>13950</v>
      </c>
      <c r="G5510" s="27"/>
      <c r="H5510" s="16" t="str">
        <f>IF(ISBLANK(PARTIDAS!$G5510),PARTIDAS!$F5510,CONCATENATE(PARTIDAS!$F5510," (",PARTIDAS!$G5510,")"))</f>
        <v>Barras simplemente laminadas o extrudidas en caliente, de sección circular (los demás)</v>
      </c>
      <c r="I5510" s="16" t="s">
        <v>9427</v>
      </c>
    </row>
    <row r="5511" spans="1:9" x14ac:dyDescent="0.25">
      <c r="A5511" s="16" t="s">
        <v>6441</v>
      </c>
      <c r="B5511" s="16" t="str">
        <f>TEXT(PARTIDA[[#This Row],[PARTIDA]],"0000000000")</f>
        <v>7222191000</v>
      </c>
      <c r="C5511" s="16" t="s">
        <v>815</v>
      </c>
      <c r="D5511" s="16" t="s">
        <v>835</v>
      </c>
      <c r="E5511" s="16" t="s">
        <v>9462</v>
      </c>
      <c r="F5511" s="27" t="s">
        <v>13951</v>
      </c>
      <c r="G5511" s="27"/>
      <c r="H5511" s="16" t="str">
        <f>IF(ISBLANK(PARTIDAS!$G5511),PARTIDAS!$F5511,CONCATENATE(PARTIDAS!$F5511," (",PARTIDAS!$G5511,")"))</f>
        <v>Barras simplemente laminadas o extrudidas en caliente, de sección transversal, con el lado de mayor dimensión inferior o igual a 65 mm</v>
      </c>
      <c r="I5511" s="16" t="s">
        <v>9427</v>
      </c>
    </row>
    <row r="5512" spans="1:9" x14ac:dyDescent="0.25">
      <c r="A5512" s="16" t="s">
        <v>6442</v>
      </c>
      <c r="B5512" s="16" t="str">
        <f>TEXT(PARTIDA[[#This Row],[PARTIDA]],"0000000000")</f>
        <v>7222199000</v>
      </c>
      <c r="C5512" s="16" t="s">
        <v>815</v>
      </c>
      <c r="D5512" s="16" t="s">
        <v>835</v>
      </c>
      <c r="E5512" s="16" t="s">
        <v>9462</v>
      </c>
      <c r="F5512" s="27" t="s">
        <v>13952</v>
      </c>
      <c r="G5512" s="27"/>
      <c r="H5512" s="16" t="str">
        <f>IF(ISBLANK(PARTIDAS!$G5512),PARTIDAS!$F5512,CONCATENATE(PARTIDAS!$F5512," (",PARTIDAS!$G5512,")"))</f>
        <v>Barras simplemente laminadas o extrudidas en caliente (los demás)</v>
      </c>
      <c r="I5512" s="16" t="s">
        <v>9427</v>
      </c>
    </row>
    <row r="5513" spans="1:9" x14ac:dyDescent="0.25">
      <c r="A5513" s="16" t="s">
        <v>6443</v>
      </c>
      <c r="B5513" s="16" t="str">
        <f>TEXT(PARTIDA[[#This Row],[PARTIDA]],"0000000000")</f>
        <v>7222201000</v>
      </c>
      <c r="C5513" s="16" t="s">
        <v>815</v>
      </c>
      <c r="D5513" s="16" t="s">
        <v>835</v>
      </c>
      <c r="E5513" s="16" t="s">
        <v>9462</v>
      </c>
      <c r="F5513" s="27" t="s">
        <v>13953</v>
      </c>
      <c r="G5513" s="27"/>
      <c r="H5513" s="16" t="str">
        <f>IF(ISBLANK(PARTIDAS!$G5513),PARTIDAS!$F5513,CONCATENATE(PARTIDAS!$F5513," (",PARTIDAS!$G5513,")"))</f>
        <v>Barras simplemente obtenidas o acabadas en frío, de sección circular, de diámetro inferior o igual a 65 mm</v>
      </c>
      <c r="I5513" s="16" t="s">
        <v>9427</v>
      </c>
    </row>
    <row r="5514" spans="1:9" x14ac:dyDescent="0.25">
      <c r="A5514" s="16" t="s">
        <v>6444</v>
      </c>
      <c r="B5514" s="16" t="str">
        <f>TEXT(PARTIDA[[#This Row],[PARTIDA]],"0000000000")</f>
        <v>7222209000</v>
      </c>
      <c r="C5514" s="16" t="s">
        <v>815</v>
      </c>
      <c r="D5514" s="16" t="s">
        <v>835</v>
      </c>
      <c r="E5514" s="16" t="s">
        <v>9462</v>
      </c>
      <c r="F5514" s="27" t="s">
        <v>13954</v>
      </c>
      <c r="G5514" s="27"/>
      <c r="H5514" s="16" t="str">
        <f>IF(ISBLANK(PARTIDAS!$G5514),PARTIDAS!$F5514,CONCATENATE(PARTIDAS!$F5514," (",PARTIDAS!$G5514,")"))</f>
        <v>Barras simplemente obtenidas o acabadas en frío (los demás)</v>
      </c>
      <c r="I5514" s="16" t="s">
        <v>9427</v>
      </c>
    </row>
    <row r="5515" spans="1:9" x14ac:dyDescent="0.25">
      <c r="A5515" s="16" t="s">
        <v>6445</v>
      </c>
      <c r="B5515" s="16" t="str">
        <f>TEXT(PARTIDA[[#This Row],[PARTIDA]],"0000000000")</f>
        <v>7222301000</v>
      </c>
      <c r="C5515" s="16" t="s">
        <v>815</v>
      </c>
      <c r="D5515" s="16" t="s">
        <v>835</v>
      </c>
      <c r="E5515" s="16" t="s">
        <v>9462</v>
      </c>
      <c r="F5515" s="27" t="s">
        <v>13955</v>
      </c>
      <c r="G5515" s="27"/>
      <c r="H5515" s="16" t="str">
        <f>IF(ISBLANK(PARTIDAS!$G5515),PARTIDAS!$F5515,CONCATENATE(PARTIDAS!$F5515," (",PARTIDAS!$G5515,")"))</f>
        <v>Barras y perfiles, de acero inoxidable, de sección circular, de diámetro inferior o igual a 65 mm</v>
      </c>
      <c r="I5515" s="16" t="s">
        <v>9427</v>
      </c>
    </row>
    <row r="5516" spans="1:9" x14ac:dyDescent="0.25">
      <c r="A5516" s="16" t="s">
        <v>6446</v>
      </c>
      <c r="B5516" s="16" t="str">
        <f>TEXT(PARTIDA[[#This Row],[PARTIDA]],"0000000000")</f>
        <v>7222309000</v>
      </c>
      <c r="C5516" s="16" t="s">
        <v>815</v>
      </c>
      <c r="D5516" s="16" t="s">
        <v>835</v>
      </c>
      <c r="E5516" s="16" t="s">
        <v>9462</v>
      </c>
      <c r="F5516" s="27" t="s">
        <v>13956</v>
      </c>
      <c r="G5516" s="27"/>
      <c r="H5516" s="16" t="str">
        <f>IF(ISBLANK(PARTIDAS!$G5516),PARTIDAS!$F5516,CONCATENATE(PARTIDAS!$F5516," (",PARTIDAS!$G5516,")"))</f>
        <v>Barras y perfiles, de acero inoxidable (los demás)</v>
      </c>
      <c r="I5516" s="16" t="s">
        <v>9427</v>
      </c>
    </row>
    <row r="5517" spans="1:9" x14ac:dyDescent="0.25">
      <c r="A5517" s="16" t="s">
        <v>6447</v>
      </c>
      <c r="B5517" s="16" t="str">
        <f>TEXT(PARTIDA[[#This Row],[PARTIDA]],"0000000000")</f>
        <v>7222400000</v>
      </c>
      <c r="C5517" s="16" t="s">
        <v>815</v>
      </c>
      <c r="D5517" s="16" t="s">
        <v>835</v>
      </c>
      <c r="E5517" s="16" t="s">
        <v>9462</v>
      </c>
      <c r="F5517" s="27" t="s">
        <v>13666</v>
      </c>
      <c r="G5517" s="27"/>
      <c r="H5517" s="16" t="str">
        <f>IF(ISBLANK(PARTIDAS!$G5517),PARTIDAS!$F5517,CONCATENATE(PARTIDAS!$F5517," (",PARTIDAS!$G5517,")"))</f>
        <v>Perfiles</v>
      </c>
      <c r="I5517" s="16" t="s">
        <v>9427</v>
      </c>
    </row>
    <row r="5518" spans="1:9" x14ac:dyDescent="0.25">
      <c r="A5518" s="16" t="s">
        <v>6448</v>
      </c>
      <c r="B5518" s="16" t="str">
        <f>TEXT(PARTIDA[[#This Row],[PARTIDA]],"0000000000")</f>
        <v>7223000000</v>
      </c>
      <c r="C5518" s="16" t="s">
        <v>815</v>
      </c>
      <c r="D5518" s="16" t="s">
        <v>835</v>
      </c>
      <c r="E5518" s="16" t="s">
        <v>9462</v>
      </c>
      <c r="F5518" s="27" t="s">
        <v>6438</v>
      </c>
      <c r="G5518" s="27"/>
      <c r="H5518" s="16" t="str">
        <f>IF(ISBLANK(PARTIDAS!$G5518),PARTIDAS!$F5518,CONCATENATE(PARTIDAS!$F5518," (",PARTIDAS!$G5518,")"))</f>
        <v>Alambre de acero inoxidable</v>
      </c>
      <c r="I5518" s="16" t="s">
        <v>9427</v>
      </c>
    </row>
    <row r="5519" spans="1:9" x14ac:dyDescent="0.25">
      <c r="A5519" s="16" t="s">
        <v>6449</v>
      </c>
      <c r="B5519" s="16" t="str">
        <f>TEXT(PARTIDA[[#This Row],[PARTIDA]],"0000000000")</f>
        <v>7224100000</v>
      </c>
      <c r="C5519" s="16" t="s">
        <v>815</v>
      </c>
      <c r="D5519" s="16" t="s">
        <v>835</v>
      </c>
      <c r="E5519" s="16" t="s">
        <v>9462</v>
      </c>
      <c r="F5519" s="27" t="s">
        <v>13928</v>
      </c>
      <c r="G5519" s="27"/>
      <c r="H5519" s="16" t="str">
        <f>IF(ISBLANK(PARTIDAS!$G5519),PARTIDAS!$F5519,CONCATENATE(PARTIDAS!$F5519," (",PARTIDAS!$G5519,")"))</f>
        <v>Lingotes o demás formas primarias</v>
      </c>
      <c r="I5519" s="16" t="s">
        <v>9427</v>
      </c>
    </row>
    <row r="5520" spans="1:9" x14ac:dyDescent="0.25">
      <c r="A5520" s="16" t="s">
        <v>6450</v>
      </c>
      <c r="B5520" s="16" t="str">
        <f>TEXT(PARTIDA[[#This Row],[PARTIDA]],"0000000000")</f>
        <v>7224900000</v>
      </c>
      <c r="C5520" s="16" t="s">
        <v>815</v>
      </c>
      <c r="D5520" s="16" t="s">
        <v>835</v>
      </c>
      <c r="E5520" s="16" t="s">
        <v>9462</v>
      </c>
      <c r="F5520" s="27" t="s">
        <v>13912</v>
      </c>
      <c r="G5520" s="27"/>
      <c r="H5520" s="16" t="str">
        <f>IF(ISBLANK(PARTIDAS!$G5520),PARTIDAS!$F5520,CONCATENATE(PARTIDAS!$F5520," (",PARTIDAS!$G5520,")"))</f>
        <v>Fundición, hierro y acero (los demás)</v>
      </c>
      <c r="I5520" s="16" t="s">
        <v>9427</v>
      </c>
    </row>
    <row r="5521" spans="1:9" x14ac:dyDescent="0.25">
      <c r="A5521" s="16" t="s">
        <v>6451</v>
      </c>
      <c r="B5521" s="16" t="str">
        <f>TEXT(PARTIDA[[#This Row],[PARTIDA]],"0000000000")</f>
        <v>7225110000</v>
      </c>
      <c r="C5521" s="16" t="s">
        <v>815</v>
      </c>
      <c r="D5521" s="16" t="s">
        <v>835</v>
      </c>
      <c r="E5521" s="16" t="s">
        <v>9462</v>
      </c>
      <c r="F5521" s="27" t="s">
        <v>13957</v>
      </c>
      <c r="G5521" s="27"/>
      <c r="H5521" s="16" t="str">
        <f>IF(ISBLANK(PARTIDAS!$G5521),PARTIDAS!$F5521,CONCATENATE(PARTIDAS!$F5521," (",PARTIDAS!$G5521,")"))</f>
        <v>Productos laminados planos de los demás aceros…, de acero al silicio llamado «magnético» (acero magnético al silicio), de grano orientado</v>
      </c>
      <c r="I5521" s="16" t="s">
        <v>9427</v>
      </c>
    </row>
    <row r="5522" spans="1:9" x14ac:dyDescent="0.25">
      <c r="A5522" s="16" t="s">
        <v>6452</v>
      </c>
      <c r="B5522" s="16" t="str">
        <f>TEXT(PARTIDA[[#This Row],[PARTIDA]],"0000000000")</f>
        <v>7225190000</v>
      </c>
      <c r="C5522" s="16" t="s">
        <v>815</v>
      </c>
      <c r="D5522" s="16" t="s">
        <v>835</v>
      </c>
      <c r="E5522" s="16" t="s">
        <v>9462</v>
      </c>
      <c r="F5522" s="27" t="s">
        <v>13958</v>
      </c>
      <c r="G5522" s="27"/>
      <c r="H5522" s="16" t="str">
        <f>IF(ISBLANK(PARTIDAS!$G5522),PARTIDAS!$F5522,CONCATENATE(PARTIDAS!$F5522," (",PARTIDAS!$G5522,")"))</f>
        <v>Productos laminados planos de los demás aceros…, de acero al silicio llamado «magnético» (acero magnético al silicio) (los demás)</v>
      </c>
      <c r="I5522" s="16" t="s">
        <v>9427</v>
      </c>
    </row>
    <row r="5523" spans="1:9" x14ac:dyDescent="0.25">
      <c r="A5523" s="16" t="s">
        <v>6453</v>
      </c>
      <c r="B5523" s="16" t="str">
        <f>TEXT(PARTIDA[[#This Row],[PARTIDA]],"0000000000")</f>
        <v>7225300000</v>
      </c>
      <c r="C5523" s="16" t="s">
        <v>815</v>
      </c>
      <c r="D5523" s="16" t="s">
        <v>835</v>
      </c>
      <c r="E5523" s="16" t="s">
        <v>9462</v>
      </c>
      <c r="F5523" s="27" t="s">
        <v>13959</v>
      </c>
      <c r="G5523" s="27"/>
      <c r="H5523" s="16" t="str">
        <f>IF(ISBLANK(PARTIDAS!$G5523),PARTIDAS!$F5523,CONCATENATE(PARTIDAS!$F5523," (",PARTIDAS!$G5523,")"))</f>
        <v>Productos laminados planos de los demás aceros aleados, de anchura… (los demás, simplemente laminados en caliente, enrollados)</v>
      </c>
      <c r="I5523" s="16" t="s">
        <v>9427</v>
      </c>
    </row>
    <row r="5524" spans="1:9" x14ac:dyDescent="0.25">
      <c r="A5524" s="16" t="s">
        <v>6454</v>
      </c>
      <c r="B5524" s="16" t="str">
        <f>TEXT(PARTIDA[[#This Row],[PARTIDA]],"0000000000")</f>
        <v>7225400000</v>
      </c>
      <c r="C5524" s="16" t="s">
        <v>815</v>
      </c>
      <c r="D5524" s="16" t="s">
        <v>835</v>
      </c>
      <c r="E5524" s="16" t="s">
        <v>9462</v>
      </c>
      <c r="F5524" s="27" t="s">
        <v>13960</v>
      </c>
      <c r="G5524" s="27"/>
      <c r="H5524" s="16" t="str">
        <f>IF(ISBLANK(PARTIDAS!$G5524),PARTIDAS!$F5524,CONCATENATE(PARTIDAS!$F5524," (",PARTIDAS!$G5524,")"))</f>
        <v>Productos laminados planos de los demás aceros aleados, de anchura… (los demás, simplemente laminados en caliente, sin enrollar)</v>
      </c>
      <c r="I5524" s="16" t="s">
        <v>9427</v>
      </c>
    </row>
    <row r="5525" spans="1:9" x14ac:dyDescent="0.25">
      <c r="A5525" s="16" t="s">
        <v>6455</v>
      </c>
      <c r="B5525" s="16" t="str">
        <f>TEXT(PARTIDA[[#This Row],[PARTIDA]],"0000000000")</f>
        <v>7225500000</v>
      </c>
      <c r="C5525" s="16" t="s">
        <v>815</v>
      </c>
      <c r="D5525" s="16" t="s">
        <v>835</v>
      </c>
      <c r="E5525" s="16" t="s">
        <v>9462</v>
      </c>
      <c r="F5525" s="27" t="s">
        <v>13961</v>
      </c>
      <c r="G5525" s="27"/>
      <c r="H5525" s="16" t="str">
        <f>IF(ISBLANK(PARTIDAS!$G5525),PARTIDAS!$F5525,CONCATENATE(PARTIDAS!$F5525," (",PARTIDAS!$G5525,")"))</f>
        <v>Productos laminados planos de los demás aceros aleados, de anchura… (los demás, simplemente laminados en frío)</v>
      </c>
      <c r="I5525" s="16" t="s">
        <v>9427</v>
      </c>
    </row>
    <row r="5526" spans="1:9" x14ac:dyDescent="0.25">
      <c r="A5526" s="16" t="s">
        <v>6456</v>
      </c>
      <c r="B5526" s="16" t="str">
        <f>TEXT(PARTIDA[[#This Row],[PARTIDA]],"0000000000")</f>
        <v>7225910000</v>
      </c>
      <c r="C5526" s="16" t="s">
        <v>815</v>
      </c>
      <c r="D5526" s="16" t="s">
        <v>835</v>
      </c>
      <c r="E5526" s="16" t="s">
        <v>9462</v>
      </c>
      <c r="F5526" s="27" t="s">
        <v>13879</v>
      </c>
      <c r="G5526" s="27"/>
      <c r="H5526" s="16" t="str">
        <f>IF(ISBLANK(PARTIDAS!$G5526),PARTIDAS!$F5526,CONCATENATE(PARTIDAS!$F5526," (",PARTIDAS!$G5526,")"))</f>
        <v>Cincados electrolíticamente</v>
      </c>
      <c r="I5526" s="16" t="s">
        <v>9427</v>
      </c>
    </row>
    <row r="5527" spans="1:9" x14ac:dyDescent="0.25">
      <c r="A5527" s="16" t="s">
        <v>6457</v>
      </c>
      <c r="B5527" s="16" t="str">
        <f>TEXT(PARTIDA[[#This Row],[PARTIDA]],"0000000000")</f>
        <v>7225920000</v>
      </c>
      <c r="C5527" s="16" t="s">
        <v>815</v>
      </c>
      <c r="D5527" s="16" t="s">
        <v>835</v>
      </c>
      <c r="E5527" s="16" t="s">
        <v>9462</v>
      </c>
      <c r="F5527" s="27" t="s">
        <v>13894</v>
      </c>
      <c r="G5527" s="27"/>
      <c r="H5527" s="16" t="str">
        <f>IF(ISBLANK(PARTIDAS!$G5527),PARTIDAS!$F5527,CONCATENATE(PARTIDAS!$F5527," (",PARTIDAS!$G5527,")"))</f>
        <v>Cincados de otro modo</v>
      </c>
      <c r="I5527" s="16" t="s">
        <v>9427</v>
      </c>
    </row>
    <row r="5528" spans="1:9" x14ac:dyDescent="0.25">
      <c r="A5528" s="16" t="s">
        <v>6458</v>
      </c>
      <c r="B5528" s="16" t="str">
        <f>TEXT(PARTIDA[[#This Row],[PARTIDA]],"0000000000")</f>
        <v>7225990000</v>
      </c>
      <c r="C5528" s="16" t="s">
        <v>815</v>
      </c>
      <c r="D5528" s="16" t="s">
        <v>835</v>
      </c>
      <c r="E5528" s="16" t="s">
        <v>9462</v>
      </c>
      <c r="F5528" s="27" t="s">
        <v>13962</v>
      </c>
      <c r="G5528" s="27"/>
      <c r="H5528" s="16" t="str">
        <f>IF(ISBLANK(PARTIDAS!$G5528),PARTIDAS!$F5528,CONCATENATE(PARTIDAS!$F5528," (",PARTIDAS!$G5528,")"))</f>
        <v>Productos laminados planos de los demás aceros aleados, de anchura… (los demás)</v>
      </c>
      <c r="I5528" s="16" t="s">
        <v>9427</v>
      </c>
    </row>
    <row r="5529" spans="1:9" x14ac:dyDescent="0.25">
      <c r="A5529" s="16" t="s">
        <v>6459</v>
      </c>
      <c r="B5529" s="16" t="str">
        <f>TEXT(PARTIDA[[#This Row],[PARTIDA]],"0000000000")</f>
        <v>7226110000</v>
      </c>
      <c r="C5529" s="16" t="s">
        <v>815</v>
      </c>
      <c r="D5529" s="16" t="s">
        <v>835</v>
      </c>
      <c r="E5529" s="16" t="s">
        <v>9462</v>
      </c>
      <c r="F5529" s="27" t="s">
        <v>13957</v>
      </c>
      <c r="G5529" s="27"/>
      <c r="H5529" s="16" t="str">
        <f>IF(ISBLANK(PARTIDAS!$G5529),PARTIDAS!$F5529,CONCATENATE(PARTIDAS!$F5529," (",PARTIDAS!$G5529,")"))</f>
        <v>Productos laminados planos de los demás aceros…, de acero al silicio llamado «magnético» (acero magnético al silicio), de grano orientado</v>
      </c>
      <c r="I5529" s="16" t="s">
        <v>9427</v>
      </c>
    </row>
    <row r="5530" spans="1:9" x14ac:dyDescent="0.25">
      <c r="A5530" s="16" t="s">
        <v>6460</v>
      </c>
      <c r="B5530" s="16" t="str">
        <f>TEXT(PARTIDA[[#This Row],[PARTIDA]],"0000000000")</f>
        <v>7226190000</v>
      </c>
      <c r="C5530" s="16" t="s">
        <v>815</v>
      </c>
      <c r="D5530" s="16" t="s">
        <v>835</v>
      </c>
      <c r="E5530" s="16" t="s">
        <v>9462</v>
      </c>
      <c r="F5530" s="27" t="s">
        <v>13958</v>
      </c>
      <c r="G5530" s="27"/>
      <c r="H5530" s="16" t="str">
        <f>IF(ISBLANK(PARTIDAS!$G5530),PARTIDAS!$F5530,CONCATENATE(PARTIDAS!$F5530," (",PARTIDAS!$G5530,")"))</f>
        <v>Productos laminados planos de los demás aceros…, de acero al silicio llamado «magnético» (acero magnético al silicio) (los demás)</v>
      </c>
      <c r="I5530" s="16" t="s">
        <v>9427</v>
      </c>
    </row>
    <row r="5531" spans="1:9" x14ac:dyDescent="0.25">
      <c r="A5531" s="16" t="s">
        <v>6461</v>
      </c>
      <c r="B5531" s="16" t="str">
        <f>TEXT(PARTIDA[[#This Row],[PARTIDA]],"0000000000")</f>
        <v>7226200000</v>
      </c>
      <c r="C5531" s="16" t="s">
        <v>815</v>
      </c>
      <c r="D5531" s="16" t="s">
        <v>835</v>
      </c>
      <c r="E5531" s="16" t="s">
        <v>9462</v>
      </c>
      <c r="F5531" s="27" t="s">
        <v>13963</v>
      </c>
      <c r="G5531" s="27"/>
      <c r="H5531" s="16" t="str">
        <f>IF(ISBLANK(PARTIDAS!$G5531),PARTIDAS!$F5531,CONCATENATE(PARTIDAS!$F5531," (",PARTIDAS!$G5531,")"))</f>
        <v>Productos laminados planos de los demás aceros aleados, de anchura…, de acero rápido</v>
      </c>
      <c r="I5531" s="16" t="s">
        <v>9427</v>
      </c>
    </row>
    <row r="5532" spans="1:9" x14ac:dyDescent="0.25">
      <c r="A5532" s="16" t="s">
        <v>6462</v>
      </c>
      <c r="B5532" s="16" t="str">
        <f>TEXT(PARTIDA[[#This Row],[PARTIDA]],"0000000000")</f>
        <v>7226910000</v>
      </c>
      <c r="C5532" s="16" t="s">
        <v>815</v>
      </c>
      <c r="D5532" s="16" t="s">
        <v>835</v>
      </c>
      <c r="E5532" s="16" t="s">
        <v>9462</v>
      </c>
      <c r="F5532" s="27" t="s">
        <v>13964</v>
      </c>
      <c r="G5532" s="27"/>
      <c r="H5532" s="16" t="str">
        <f>IF(ISBLANK(PARTIDAS!$G5532),PARTIDAS!$F5532,CONCATENATE(PARTIDAS!$F5532," (",PARTIDAS!$G5532,")"))</f>
        <v>Productos laminados planos de los demás aceros aleados, de anchura…, simplemente laminados en caliente</v>
      </c>
      <c r="I5532" s="16" t="s">
        <v>9427</v>
      </c>
    </row>
    <row r="5533" spans="1:9" x14ac:dyDescent="0.25">
      <c r="A5533" s="16" t="s">
        <v>6463</v>
      </c>
      <c r="B5533" s="16" t="str">
        <f>TEXT(PARTIDA[[#This Row],[PARTIDA]],"0000000000")</f>
        <v>7226920000</v>
      </c>
      <c r="C5533" s="16" t="s">
        <v>815</v>
      </c>
      <c r="D5533" s="16" t="s">
        <v>835</v>
      </c>
      <c r="E5533" s="16" t="s">
        <v>9462</v>
      </c>
      <c r="F5533" s="27" t="s">
        <v>13965</v>
      </c>
      <c r="G5533" s="27"/>
      <c r="H5533" s="16" t="str">
        <f>IF(ISBLANK(PARTIDAS!$G5533),PARTIDAS!$F5533,CONCATENATE(PARTIDAS!$F5533," (",PARTIDAS!$G5533,")"))</f>
        <v>Productos laminados planos de los demás aceros aleados, de anchura…, simplemente laminados en frío</v>
      </c>
      <c r="I5533" s="16" t="s">
        <v>9427</v>
      </c>
    </row>
    <row r="5534" spans="1:9" x14ac:dyDescent="0.25">
      <c r="A5534" s="16" t="s">
        <v>6464</v>
      </c>
      <c r="B5534" s="16" t="str">
        <f>TEXT(PARTIDA[[#This Row],[PARTIDA]],"0000000000")</f>
        <v>7226990000</v>
      </c>
      <c r="C5534" s="16" t="s">
        <v>815</v>
      </c>
      <c r="D5534" s="16" t="s">
        <v>835</v>
      </c>
      <c r="E5534" s="16" t="s">
        <v>9462</v>
      </c>
      <c r="F5534" s="27" t="s">
        <v>13962</v>
      </c>
      <c r="G5534" s="27"/>
      <c r="H5534" s="16" t="str">
        <f>IF(ISBLANK(PARTIDAS!$G5534),PARTIDAS!$F5534,CONCATENATE(PARTIDAS!$F5534," (",PARTIDAS!$G5534,")"))</f>
        <v>Productos laminados planos de los demás aceros aleados, de anchura… (los demás)</v>
      </c>
      <c r="I5534" s="16" t="s">
        <v>9427</v>
      </c>
    </row>
    <row r="5535" spans="1:9" x14ac:dyDescent="0.25">
      <c r="A5535" s="16" t="s">
        <v>6465</v>
      </c>
      <c r="B5535" s="16" t="str">
        <f>TEXT(PARTIDA[[#This Row],[PARTIDA]],"0000000000")</f>
        <v>7227100000</v>
      </c>
      <c r="C5535" s="16" t="s">
        <v>815</v>
      </c>
      <c r="D5535" s="16" t="s">
        <v>835</v>
      </c>
      <c r="E5535" s="16" t="s">
        <v>9462</v>
      </c>
      <c r="F5535" s="27" t="s">
        <v>13966</v>
      </c>
      <c r="G5535" s="27"/>
      <c r="H5535" s="16" t="str">
        <f>IF(ISBLANK(PARTIDAS!$G5535),PARTIDAS!$F5535,CONCATENATE(PARTIDAS!$F5535," (",PARTIDAS!$G5535,")"))</f>
        <v>Alambrón de los demás aceros aleados, de acero rápido</v>
      </c>
      <c r="I5535" s="16" t="s">
        <v>9427</v>
      </c>
    </row>
    <row r="5536" spans="1:9" x14ac:dyDescent="0.25">
      <c r="A5536" s="16" t="s">
        <v>6466</v>
      </c>
      <c r="B5536" s="16" t="str">
        <f>TEXT(PARTIDA[[#This Row],[PARTIDA]],"0000000000")</f>
        <v>7227200000</v>
      </c>
      <c r="C5536" s="16" t="s">
        <v>815</v>
      </c>
      <c r="D5536" s="16" t="s">
        <v>835</v>
      </c>
      <c r="E5536" s="16" t="s">
        <v>9462</v>
      </c>
      <c r="F5536" s="27" t="s">
        <v>13967</v>
      </c>
      <c r="G5536" s="27"/>
      <c r="H5536" s="16" t="str">
        <f>IF(ISBLANK(PARTIDAS!$G5536),PARTIDAS!$F5536,CONCATENATE(PARTIDAS!$F5536," (",PARTIDAS!$G5536,")"))</f>
        <v>Alambrón de los demás aceros aleados, de acero silicomanganeso</v>
      </c>
      <c r="I5536" s="16" t="s">
        <v>9427</v>
      </c>
    </row>
    <row r="5537" spans="1:9" x14ac:dyDescent="0.25">
      <c r="A5537" s="16" t="s">
        <v>6467</v>
      </c>
      <c r="B5537" s="16" t="str">
        <f>TEXT(PARTIDA[[#This Row],[PARTIDA]],"0000000000")</f>
        <v>7227900000</v>
      </c>
      <c r="C5537" s="16" t="s">
        <v>815</v>
      </c>
      <c r="D5537" s="16" t="s">
        <v>835</v>
      </c>
      <c r="E5537" s="16" t="s">
        <v>9462</v>
      </c>
      <c r="F5537" s="27" t="s">
        <v>13968</v>
      </c>
      <c r="G5537" s="27"/>
      <c r="H5537" s="16" t="str">
        <f>IF(ISBLANK(PARTIDAS!$G5537),PARTIDAS!$F5537,CONCATENATE(PARTIDAS!$F5537," (",PARTIDAS!$G5537,")"))</f>
        <v>Alambrón de los demás aceros aleados (los demás)</v>
      </c>
      <c r="I5537" s="16" t="s">
        <v>9427</v>
      </c>
    </row>
    <row r="5538" spans="1:9" x14ac:dyDescent="0.25">
      <c r="A5538" s="16" t="s">
        <v>6468</v>
      </c>
      <c r="B5538" s="16" t="str">
        <f>TEXT(PARTIDA[[#This Row],[PARTIDA]],"0000000000")</f>
        <v>7228100000</v>
      </c>
      <c r="C5538" s="16" t="s">
        <v>815</v>
      </c>
      <c r="D5538" s="16" t="s">
        <v>835</v>
      </c>
      <c r="E5538" s="16" t="s">
        <v>9462</v>
      </c>
      <c r="F5538" s="27" t="s">
        <v>13969</v>
      </c>
      <c r="G5538" s="27"/>
      <c r="H5538" s="16" t="str">
        <f>IF(ISBLANK(PARTIDAS!$G5538),PARTIDAS!$F5538,CONCATENATE(PARTIDAS!$F5538," (",PARTIDAS!$G5538,")"))</f>
        <v>Barras de acero rápido</v>
      </c>
      <c r="I5538" s="16" t="s">
        <v>9427</v>
      </c>
    </row>
    <row r="5539" spans="1:9" x14ac:dyDescent="0.25">
      <c r="A5539" s="16" t="s">
        <v>6469</v>
      </c>
      <c r="B5539" s="16" t="str">
        <f>TEXT(PARTIDA[[#This Row],[PARTIDA]],"0000000000")</f>
        <v>7228201000</v>
      </c>
      <c r="C5539" s="16" t="s">
        <v>815</v>
      </c>
      <c r="D5539" s="16" t="s">
        <v>835</v>
      </c>
      <c r="E5539" s="16" t="s">
        <v>9462</v>
      </c>
      <c r="F5539" s="27" t="s">
        <v>13970</v>
      </c>
      <c r="G5539" s="27"/>
      <c r="H5539" s="16" t="str">
        <f>IF(ISBLANK(PARTIDAS!$G5539),PARTIDAS!$F5539,CONCATENATE(PARTIDAS!$F5539," (",PARTIDAS!$G5539,")"))</f>
        <v>Barras de acero silicomanganeso, de sección circular, de diámetro inferior o igual a 100 mm</v>
      </c>
      <c r="I5539" s="16" t="s">
        <v>9427</v>
      </c>
    </row>
    <row r="5540" spans="1:9" x14ac:dyDescent="0.25">
      <c r="A5540" s="16" t="s">
        <v>6470</v>
      </c>
      <c r="B5540" s="16" t="str">
        <f>TEXT(PARTIDA[[#This Row],[PARTIDA]],"0000000000")</f>
        <v>7228209000</v>
      </c>
      <c r="C5540" s="16" t="s">
        <v>815</v>
      </c>
      <c r="D5540" s="16" t="s">
        <v>835</v>
      </c>
      <c r="E5540" s="16" t="s">
        <v>9462</v>
      </c>
      <c r="F5540" s="27" t="s">
        <v>13971</v>
      </c>
      <c r="G5540" s="27"/>
      <c r="H5540" s="16" t="str">
        <f>IF(ISBLANK(PARTIDAS!$G5540),PARTIDAS!$F5540,CONCATENATE(PARTIDAS!$F5540," (",PARTIDAS!$G5540,")"))</f>
        <v>Barras de acero silicomanganeso (los demás)</v>
      </c>
      <c r="I5540" s="16" t="s">
        <v>9427</v>
      </c>
    </row>
    <row r="5541" spans="1:9" x14ac:dyDescent="0.25">
      <c r="A5541" s="16" t="s">
        <v>6471</v>
      </c>
      <c r="B5541" s="16" t="str">
        <f>TEXT(PARTIDA[[#This Row],[PARTIDA]],"0000000000")</f>
        <v>7228300000</v>
      </c>
      <c r="C5541" s="16" t="s">
        <v>815</v>
      </c>
      <c r="D5541" s="16" t="s">
        <v>835</v>
      </c>
      <c r="E5541" s="16" t="s">
        <v>9462</v>
      </c>
      <c r="F5541" s="27" t="s">
        <v>13972</v>
      </c>
      <c r="G5541" s="27"/>
      <c r="H5541" s="16" t="str">
        <f>IF(ISBLANK(PARTIDAS!$G5541),PARTIDAS!$F5541,CONCATENATE(PARTIDAS!$F5541," (",PARTIDAS!$G5541,")"))</f>
        <v>Barras y perfiles, de los demás aceros aleados (los demás, barras, simplemente laminadas o extrudidas en caliente)</v>
      </c>
      <c r="I5541" s="16" t="s">
        <v>9427</v>
      </c>
    </row>
    <row r="5542" spans="1:9" x14ac:dyDescent="0.25">
      <c r="A5542" s="16" t="s">
        <v>6472</v>
      </c>
      <c r="B5542" s="16" t="str">
        <f>TEXT(PARTIDA[[#This Row],[PARTIDA]],"0000000000")</f>
        <v>7228401000</v>
      </c>
      <c r="C5542" s="16" t="s">
        <v>815</v>
      </c>
      <c r="D5542" s="16" t="s">
        <v>835</v>
      </c>
      <c r="E5542" s="16" t="s">
        <v>9462</v>
      </c>
      <c r="F5542" s="27" t="s">
        <v>13973</v>
      </c>
      <c r="G5542" s="27"/>
      <c r="H5542" s="16" t="str">
        <f>IF(ISBLANK(PARTIDAS!$G5542),PARTIDAS!$F5542,CONCATENATE(PARTIDAS!$F5542," (",PARTIDAS!$G5542,")"))</f>
        <v>Barras y perfiles, de los demás aceros aleados, de sección circular, de diámetro inferior o igual a 100 mm</v>
      </c>
      <c r="I5542" s="16" t="s">
        <v>9427</v>
      </c>
    </row>
    <row r="5543" spans="1:9" x14ac:dyDescent="0.25">
      <c r="A5543" s="16" t="s">
        <v>6473</v>
      </c>
      <c r="B5543" s="16" t="str">
        <f>TEXT(PARTIDA[[#This Row],[PARTIDA]],"0000000000")</f>
        <v>7228409000</v>
      </c>
      <c r="C5543" s="16" t="s">
        <v>815</v>
      </c>
      <c r="D5543" s="16" t="s">
        <v>835</v>
      </c>
      <c r="E5543" s="16" t="s">
        <v>9462</v>
      </c>
      <c r="F5543" s="27" t="s">
        <v>13974</v>
      </c>
      <c r="G5543" s="27"/>
      <c r="H5543" s="16" t="str">
        <f>IF(ISBLANK(PARTIDAS!$G5543),PARTIDAS!$F5543,CONCATENATE(PARTIDAS!$F5543," (",PARTIDAS!$G5543,")"))</f>
        <v>Barras y perfiles, de los demás aceros aleados (los demás)</v>
      </c>
      <c r="I5543" s="16" t="s">
        <v>9427</v>
      </c>
    </row>
    <row r="5544" spans="1:9" x14ac:dyDescent="0.25">
      <c r="A5544" s="16" t="s">
        <v>6474</v>
      </c>
      <c r="B5544" s="16" t="str">
        <f>TEXT(PARTIDA[[#This Row],[PARTIDA]],"0000000000")</f>
        <v>7228501000</v>
      </c>
      <c r="C5544" s="16" t="s">
        <v>815</v>
      </c>
      <c r="D5544" s="16" t="s">
        <v>835</v>
      </c>
      <c r="E5544" s="16" t="s">
        <v>9462</v>
      </c>
      <c r="F5544" s="27" t="s">
        <v>13973</v>
      </c>
      <c r="G5544" s="27"/>
      <c r="H5544" s="16" t="str">
        <f>IF(ISBLANK(PARTIDAS!$G5544),PARTIDAS!$F5544,CONCATENATE(PARTIDAS!$F5544," (",PARTIDAS!$G5544,")"))</f>
        <v>Barras y perfiles, de los demás aceros aleados, de sección circular, de diámetro inferior o igual a 100 mm</v>
      </c>
      <c r="I5544" s="16" t="s">
        <v>9427</v>
      </c>
    </row>
    <row r="5545" spans="1:9" x14ac:dyDescent="0.25">
      <c r="A5545" s="16" t="s">
        <v>6475</v>
      </c>
      <c r="B5545" s="16" t="str">
        <f>TEXT(PARTIDA[[#This Row],[PARTIDA]],"0000000000")</f>
        <v>7228509000</v>
      </c>
      <c r="C5545" s="16" t="s">
        <v>815</v>
      </c>
      <c r="D5545" s="16" t="s">
        <v>835</v>
      </c>
      <c r="E5545" s="16" t="s">
        <v>9462</v>
      </c>
      <c r="F5545" s="27" t="s">
        <v>13974</v>
      </c>
      <c r="G5545" s="27"/>
      <c r="H5545" s="16" t="str">
        <f>IF(ISBLANK(PARTIDAS!$G5545),PARTIDAS!$F5545,CONCATENATE(PARTIDAS!$F5545," (",PARTIDAS!$G5545,")"))</f>
        <v>Barras y perfiles, de los demás aceros aleados (los demás)</v>
      </c>
      <c r="I5545" s="16" t="s">
        <v>9427</v>
      </c>
    </row>
    <row r="5546" spans="1:9" x14ac:dyDescent="0.25">
      <c r="A5546" s="16" t="s">
        <v>6476</v>
      </c>
      <c r="B5546" s="16" t="str">
        <f>TEXT(PARTIDA[[#This Row],[PARTIDA]],"0000000000")</f>
        <v>7228601000</v>
      </c>
      <c r="C5546" s="16" t="s">
        <v>815</v>
      </c>
      <c r="D5546" s="16" t="s">
        <v>835</v>
      </c>
      <c r="E5546" s="16" t="s">
        <v>9462</v>
      </c>
      <c r="F5546" s="27" t="s">
        <v>13973</v>
      </c>
      <c r="G5546" s="27"/>
      <c r="H5546" s="16" t="str">
        <f>IF(ISBLANK(PARTIDAS!$G5546),PARTIDAS!$F5546,CONCATENATE(PARTIDAS!$F5546," (",PARTIDAS!$G5546,")"))</f>
        <v>Barras y perfiles, de los demás aceros aleados, de sección circular, de diámetro inferior o igual a 100 mm</v>
      </c>
      <c r="I5546" s="16" t="s">
        <v>9427</v>
      </c>
    </row>
    <row r="5547" spans="1:9" x14ac:dyDescent="0.25">
      <c r="A5547" s="16" t="s">
        <v>6477</v>
      </c>
      <c r="B5547" s="16" t="str">
        <f>TEXT(PARTIDA[[#This Row],[PARTIDA]],"0000000000")</f>
        <v>7228609000</v>
      </c>
      <c r="C5547" s="16" t="s">
        <v>815</v>
      </c>
      <c r="D5547" s="16" t="s">
        <v>835</v>
      </c>
      <c r="E5547" s="16" t="s">
        <v>9462</v>
      </c>
      <c r="F5547" s="27" t="s">
        <v>13974</v>
      </c>
      <c r="G5547" s="27"/>
      <c r="H5547" s="16" t="str">
        <f>IF(ISBLANK(PARTIDAS!$G5547),PARTIDAS!$F5547,CONCATENATE(PARTIDAS!$F5547," (",PARTIDAS!$G5547,")"))</f>
        <v>Barras y perfiles, de los demás aceros aleados (los demás)</v>
      </c>
      <c r="I5547" s="16" t="s">
        <v>9427</v>
      </c>
    </row>
    <row r="5548" spans="1:9" x14ac:dyDescent="0.25">
      <c r="A5548" s="16" t="s">
        <v>6478</v>
      </c>
      <c r="B5548" s="16" t="str">
        <f>TEXT(PARTIDA[[#This Row],[PARTIDA]],"0000000000")</f>
        <v>7228700000</v>
      </c>
      <c r="C5548" s="16" t="s">
        <v>815</v>
      </c>
      <c r="D5548" s="16" t="s">
        <v>835</v>
      </c>
      <c r="E5548" s="16" t="s">
        <v>9462</v>
      </c>
      <c r="F5548" s="27" t="s">
        <v>13666</v>
      </c>
      <c r="G5548" s="27"/>
      <c r="H5548" s="16" t="str">
        <f>IF(ISBLANK(PARTIDAS!$G5548),PARTIDAS!$F5548,CONCATENATE(PARTIDAS!$F5548," (",PARTIDAS!$G5548,")"))</f>
        <v>Perfiles</v>
      </c>
      <c r="I5548" s="16" t="s">
        <v>9427</v>
      </c>
    </row>
    <row r="5549" spans="1:9" x14ac:dyDescent="0.25">
      <c r="A5549" s="16" t="s">
        <v>6479</v>
      </c>
      <c r="B5549" s="16" t="str">
        <f>TEXT(PARTIDA[[#This Row],[PARTIDA]],"0000000000")</f>
        <v>7228800000</v>
      </c>
      <c r="C5549" s="16" t="s">
        <v>815</v>
      </c>
      <c r="D5549" s="16" t="s">
        <v>835</v>
      </c>
      <c r="E5549" s="16" t="s">
        <v>9462</v>
      </c>
      <c r="F5549" s="27" t="s">
        <v>13975</v>
      </c>
      <c r="G5549" s="27"/>
      <c r="H5549" s="16" t="str">
        <f>IF(ISBLANK(PARTIDAS!$G5549),PARTIDAS!$F5549,CONCATENATE(PARTIDAS!$F5549," (",PARTIDAS!$G5549,")"))</f>
        <v>Barras huecas para perforación</v>
      </c>
      <c r="I5549" s="16" t="s">
        <v>9427</v>
      </c>
    </row>
    <row r="5550" spans="1:9" x14ac:dyDescent="0.25">
      <c r="A5550" s="16" t="s">
        <v>6480</v>
      </c>
      <c r="B5550" s="16" t="str">
        <f>TEXT(PARTIDA[[#This Row],[PARTIDA]],"0000000000")</f>
        <v>7229200000</v>
      </c>
      <c r="C5550" s="16" t="s">
        <v>815</v>
      </c>
      <c r="D5550" s="16" t="s">
        <v>835</v>
      </c>
      <c r="E5550" s="16" t="s">
        <v>9462</v>
      </c>
      <c r="F5550" s="27" t="s">
        <v>13976</v>
      </c>
      <c r="G5550" s="27"/>
      <c r="H5550" s="16" t="str">
        <f>IF(ISBLANK(PARTIDAS!$G5550),PARTIDAS!$F5550,CONCATENATE(PARTIDAS!$F5550," (",PARTIDAS!$G5550,")"))</f>
        <v>Alambre de los demás aceros aleados, de acero silicomanganeso</v>
      </c>
      <c r="I5550" s="16" t="s">
        <v>9427</v>
      </c>
    </row>
    <row r="5551" spans="1:9" x14ac:dyDescent="0.25">
      <c r="A5551" s="16" t="s">
        <v>6481</v>
      </c>
      <c r="B5551" s="16" t="str">
        <f>TEXT(PARTIDA[[#This Row],[PARTIDA]],"0000000000")</f>
        <v>7229900000</v>
      </c>
      <c r="C5551" s="16" t="s">
        <v>815</v>
      </c>
      <c r="D5551" s="16" t="s">
        <v>835</v>
      </c>
      <c r="E5551" s="16" t="s">
        <v>9462</v>
      </c>
      <c r="F5551" s="27" t="s">
        <v>13977</v>
      </c>
      <c r="G5551" s="27"/>
      <c r="H5551" s="16" t="str">
        <f>IF(ISBLANK(PARTIDAS!$G5551),PARTIDAS!$F5551,CONCATENATE(PARTIDAS!$F5551," (",PARTIDAS!$G5551,")"))</f>
        <v>Alambre de los demás aceros aleados (los demás)</v>
      </c>
      <c r="I5551" s="16" t="s">
        <v>9427</v>
      </c>
    </row>
    <row r="5552" spans="1:9" x14ac:dyDescent="0.25">
      <c r="A5552" s="16" t="s">
        <v>6482</v>
      </c>
      <c r="B5552" s="16" t="str">
        <f>TEXT(PARTIDA[[#This Row],[PARTIDA]],"0000000000")</f>
        <v>7301100000</v>
      </c>
      <c r="C5552" s="16" t="s">
        <v>860</v>
      </c>
      <c r="D5552" s="16" t="s">
        <v>861</v>
      </c>
      <c r="E5552" s="16" t="s">
        <v>9473</v>
      </c>
      <c r="F5552" s="27" t="s">
        <v>13978</v>
      </c>
      <c r="G5552" s="27"/>
      <c r="H5552" s="16" t="str">
        <f>IF(ISBLANK(PARTIDAS!$G5552),PARTIDAS!$F5552,CONCATENATE(PARTIDAS!$F5552," (",PARTIDAS!$G5552,")"))</f>
        <v>Tablestacas</v>
      </c>
      <c r="I5552" s="16" t="s">
        <v>9427</v>
      </c>
    </row>
    <row r="5553" spans="1:9" x14ac:dyDescent="0.25">
      <c r="A5553" s="16" t="s">
        <v>6483</v>
      </c>
      <c r="B5553" s="16" t="str">
        <f>TEXT(PARTIDA[[#This Row],[PARTIDA]],"0000000000")</f>
        <v>7301200000</v>
      </c>
      <c r="C5553" s="16" t="s">
        <v>860</v>
      </c>
      <c r="D5553" s="16" t="s">
        <v>861</v>
      </c>
      <c r="E5553" s="16" t="s">
        <v>9473</v>
      </c>
      <c r="F5553" s="27" t="s">
        <v>13666</v>
      </c>
      <c r="G5553" s="27"/>
      <c r="H5553" s="16" t="str">
        <f>IF(ISBLANK(PARTIDAS!$G5553),PARTIDAS!$F5553,CONCATENATE(PARTIDAS!$F5553," (",PARTIDAS!$G5553,")"))</f>
        <v>Perfiles</v>
      </c>
      <c r="I5553" s="16" t="s">
        <v>9427</v>
      </c>
    </row>
    <row r="5554" spans="1:9" x14ac:dyDescent="0.25">
      <c r="A5554" s="16" t="s">
        <v>6484</v>
      </c>
      <c r="B5554" s="16" t="str">
        <f>TEXT(PARTIDA[[#This Row],[PARTIDA]],"0000000000")</f>
        <v>7302100000</v>
      </c>
      <c r="C5554" s="16" t="s">
        <v>860</v>
      </c>
      <c r="D5554" s="16" t="s">
        <v>861</v>
      </c>
      <c r="E5554" s="16" t="s">
        <v>9473</v>
      </c>
      <c r="F5554" s="27" t="s">
        <v>13979</v>
      </c>
      <c r="G5554" s="27"/>
      <c r="H5554" s="16" t="str">
        <f>IF(ISBLANK(PARTIDAS!$G5554),PARTIDAS!$F5554,CONCATENATE(PARTIDAS!$F5554," (",PARTIDAS!$G5554,")"))</f>
        <v>Carriles (rieles)</v>
      </c>
      <c r="I5554" s="16" t="s">
        <v>9427</v>
      </c>
    </row>
    <row r="5555" spans="1:9" x14ac:dyDescent="0.25">
      <c r="A5555" s="16" t="s">
        <v>6485</v>
      </c>
      <c r="B5555" s="16" t="str">
        <f>TEXT(PARTIDA[[#This Row],[PARTIDA]],"0000000000")</f>
        <v>7302300000</v>
      </c>
      <c r="C5555" s="16" t="s">
        <v>860</v>
      </c>
      <c r="D5555" s="16" t="s">
        <v>861</v>
      </c>
      <c r="E5555" s="16" t="s">
        <v>9473</v>
      </c>
      <c r="F5555" s="27" t="s">
        <v>13980</v>
      </c>
      <c r="G5555" s="27"/>
      <c r="H5555" s="16" t="str">
        <f>IF(ISBLANK(PARTIDAS!$G5555),PARTIDAS!$F5555,CONCATENATE(PARTIDAS!$F5555," (",PARTIDAS!$G5555,")"))</f>
        <v>Agujas, puntas de corazón, varillas para mando de agujas y otros elementos para cruce o cambio de vías</v>
      </c>
      <c r="I5555" s="16" t="s">
        <v>9427</v>
      </c>
    </row>
    <row r="5556" spans="1:9" x14ac:dyDescent="0.25">
      <c r="A5556" s="16" t="s">
        <v>6486</v>
      </c>
      <c r="B5556" s="16" t="str">
        <f>TEXT(PARTIDA[[#This Row],[PARTIDA]],"0000000000")</f>
        <v>7302400000</v>
      </c>
      <c r="C5556" s="16" t="s">
        <v>860</v>
      </c>
      <c r="D5556" s="16" t="s">
        <v>861</v>
      </c>
      <c r="E5556" s="16" t="s">
        <v>9473</v>
      </c>
      <c r="F5556" s="27" t="s">
        <v>13981</v>
      </c>
      <c r="G5556" s="27"/>
      <c r="H5556" s="16" t="str">
        <f>IF(ISBLANK(PARTIDAS!$G5556),PARTIDAS!$F5556,CONCATENATE(PARTIDAS!$F5556," (",PARTIDAS!$G5556,")"))</f>
        <v>Bridas y placas de asiento</v>
      </c>
      <c r="I5556" s="16" t="s">
        <v>9427</v>
      </c>
    </row>
    <row r="5557" spans="1:9" x14ac:dyDescent="0.25">
      <c r="A5557" s="16" t="s">
        <v>6487</v>
      </c>
      <c r="B5557" s="16" t="str">
        <f>TEXT(PARTIDA[[#This Row],[PARTIDA]],"0000000000")</f>
        <v>7302901000</v>
      </c>
      <c r="C5557" s="16" t="s">
        <v>860</v>
      </c>
      <c r="D5557" s="16" t="s">
        <v>861</v>
      </c>
      <c r="E5557" s="16" t="s">
        <v>9473</v>
      </c>
      <c r="F5557" s="27" t="s">
        <v>13982</v>
      </c>
      <c r="G5557" s="27"/>
      <c r="H5557" s="16" t="str">
        <f>IF(ISBLANK(PARTIDAS!$G5557),PARTIDAS!$F5557,CONCATENATE(PARTIDAS!$F5557," (",PARTIDAS!$G5557,")"))</f>
        <v>Traviesas (durmientes)</v>
      </c>
      <c r="I5557" s="16" t="s">
        <v>9427</v>
      </c>
    </row>
    <row r="5558" spans="1:9" x14ac:dyDescent="0.25">
      <c r="A5558" s="16" t="s">
        <v>6488</v>
      </c>
      <c r="B5558" s="16" t="str">
        <f>TEXT(PARTIDA[[#This Row],[PARTIDA]],"0000000000")</f>
        <v>7302909000</v>
      </c>
      <c r="C5558" s="16" t="s">
        <v>860</v>
      </c>
      <c r="D5558" s="16" t="s">
        <v>861</v>
      </c>
      <c r="E5558" s="16" t="s">
        <v>9473</v>
      </c>
      <c r="F5558" s="27" t="s">
        <v>13983</v>
      </c>
      <c r="G5558" s="27"/>
      <c r="H5558" s="16" t="str">
        <f>IF(ISBLANK(PARTIDAS!$G5558),PARTIDAS!$F5558,CONCATENATE(PARTIDAS!$F5558," (",PARTIDAS!$G5558,")"))</f>
        <v>Elementos para vías férreas, de fundición, hierro o acero (los demás)</v>
      </c>
      <c r="I5558" s="16" t="s">
        <v>9427</v>
      </c>
    </row>
    <row r="5559" spans="1:9" x14ac:dyDescent="0.25">
      <c r="A5559" s="16" t="s">
        <v>6489</v>
      </c>
      <c r="B5559" s="16" t="str">
        <f>TEXT(PARTIDA[[#This Row],[PARTIDA]],"0000000000")</f>
        <v>7303000000</v>
      </c>
      <c r="C5559" s="16" t="s">
        <v>860</v>
      </c>
      <c r="D5559" s="16" t="s">
        <v>861</v>
      </c>
      <c r="E5559" s="16" t="s">
        <v>9473</v>
      </c>
      <c r="F5559" s="27" t="s">
        <v>6490</v>
      </c>
      <c r="G5559" s="27"/>
      <c r="H5559" s="16" t="str">
        <f>IF(ISBLANK(PARTIDAS!$G5559),PARTIDAS!$F5559,CONCATENATE(PARTIDAS!$F5559," (",PARTIDAS!$G5559,")"))</f>
        <v>Tubos de hierro o acero</v>
      </c>
      <c r="I5559" s="16" t="s">
        <v>9427</v>
      </c>
    </row>
    <row r="5560" spans="1:9" x14ac:dyDescent="0.25">
      <c r="A5560" s="16" t="s">
        <v>6491</v>
      </c>
      <c r="B5560" s="16" t="str">
        <f>TEXT(PARTIDA[[#This Row],[PARTIDA]],"0000000000")</f>
        <v>7304110000</v>
      </c>
      <c r="C5560" s="16" t="s">
        <v>860</v>
      </c>
      <c r="D5560" s="16" t="s">
        <v>861</v>
      </c>
      <c r="E5560" s="16" t="s">
        <v>9473</v>
      </c>
      <c r="F5560" s="27" t="s">
        <v>13984</v>
      </c>
      <c r="G5560" s="27"/>
      <c r="H5560" s="16" t="str">
        <f>IF(ISBLANK(PARTIDAS!$G5560),PARTIDAS!$F5560,CONCATENATE(PARTIDAS!$F5560," (",PARTIDAS!$G5560,")"))</f>
        <v>Tubos de los tipos utilizados en oleoductos o gasoductos, de acero inoxidable</v>
      </c>
      <c r="I5560" s="16" t="s">
        <v>9427</v>
      </c>
    </row>
    <row r="5561" spans="1:9" x14ac:dyDescent="0.25">
      <c r="A5561" s="16" t="s">
        <v>6492</v>
      </c>
      <c r="B5561" s="16" t="str">
        <f>TEXT(PARTIDA[[#This Row],[PARTIDA]],"0000000000")</f>
        <v>7304190000</v>
      </c>
      <c r="C5561" s="16" t="s">
        <v>860</v>
      </c>
      <c r="D5561" s="16" t="s">
        <v>861</v>
      </c>
      <c r="E5561" s="16" t="s">
        <v>9473</v>
      </c>
      <c r="F5561" s="27" t="s">
        <v>13985</v>
      </c>
      <c r="G5561" s="27"/>
      <c r="H5561" s="16" t="str">
        <f>IF(ISBLANK(PARTIDAS!$G5561),PARTIDAS!$F5561,CONCATENATE(PARTIDAS!$F5561," (",PARTIDAS!$G5561,")"))</f>
        <v>Tubos de los tipos utilizados en oleoductos o gasoductos (los demás)</v>
      </c>
      <c r="I5561" s="16" t="s">
        <v>9427</v>
      </c>
    </row>
    <row r="5562" spans="1:9" x14ac:dyDescent="0.25">
      <c r="A5562" s="16" t="s">
        <v>6493</v>
      </c>
      <c r="B5562" s="16" t="str">
        <f>TEXT(PARTIDA[[#This Row],[PARTIDA]],"0000000000")</f>
        <v>7304220000</v>
      </c>
      <c r="C5562" s="16" t="s">
        <v>860</v>
      </c>
      <c r="D5562" s="16" t="s">
        <v>861</v>
      </c>
      <c r="E5562" s="16" t="s">
        <v>9473</v>
      </c>
      <c r="F5562" s="27" t="s">
        <v>13986</v>
      </c>
      <c r="G5562" s="27"/>
      <c r="H5562" s="16" t="str">
        <f>IF(ISBLANK(PARTIDAS!$G5562),PARTIDAS!$F5562,CONCATENATE(PARTIDAS!$F5562," (",PARTIDAS!$G5562,")"))</f>
        <v>Tubos de perforación de acero inoxidable</v>
      </c>
      <c r="I5562" s="16" t="s">
        <v>9427</v>
      </c>
    </row>
    <row r="5563" spans="1:9" x14ac:dyDescent="0.25">
      <c r="A5563" s="16" t="s">
        <v>6494</v>
      </c>
      <c r="B5563" s="16" t="str">
        <f>TEXT(PARTIDA[[#This Row],[PARTIDA]],"0000000000")</f>
        <v>7304230000</v>
      </c>
      <c r="C5563" s="16" t="s">
        <v>860</v>
      </c>
      <c r="D5563" s="16" t="s">
        <v>861</v>
      </c>
      <c r="E5563" s="16" t="s">
        <v>9473</v>
      </c>
      <c r="F5563" s="27" t="s">
        <v>6490</v>
      </c>
      <c r="G5563" s="27"/>
      <c r="H5563" s="16" t="str">
        <f>IF(ISBLANK(PARTIDAS!$G5563),PARTIDAS!$F5563,CONCATENATE(PARTIDAS!$F5563," (",PARTIDAS!$G5563,")"))</f>
        <v>Tubos de hierro o acero</v>
      </c>
      <c r="I5563" s="16" t="s">
        <v>9427</v>
      </c>
    </row>
    <row r="5564" spans="1:9" x14ac:dyDescent="0.25">
      <c r="A5564" s="16" t="s">
        <v>6495</v>
      </c>
      <c r="B5564" s="16" t="str">
        <f>TEXT(PARTIDA[[#This Row],[PARTIDA]],"0000000000")</f>
        <v>7304240000</v>
      </c>
      <c r="C5564" s="16" t="s">
        <v>860</v>
      </c>
      <c r="D5564" s="16" t="s">
        <v>861</v>
      </c>
      <c r="E5564" s="16" t="s">
        <v>9473</v>
      </c>
      <c r="F5564" s="27" t="s">
        <v>6490</v>
      </c>
      <c r="G5564" s="27"/>
      <c r="H5564" s="16" t="str">
        <f>IF(ISBLANK(PARTIDAS!$G5564),PARTIDAS!$F5564,CONCATENATE(PARTIDAS!$F5564," (",PARTIDAS!$G5564,")"))</f>
        <v>Tubos de hierro o acero</v>
      </c>
      <c r="I5564" s="16" t="s">
        <v>9427</v>
      </c>
    </row>
    <row r="5565" spans="1:9" x14ac:dyDescent="0.25">
      <c r="A5565" s="16" t="s">
        <v>6496</v>
      </c>
      <c r="B5565" s="16" t="str">
        <f>TEXT(PARTIDA[[#This Row],[PARTIDA]],"0000000000")</f>
        <v>7304290000</v>
      </c>
      <c r="C5565" s="16" t="s">
        <v>860</v>
      </c>
      <c r="D5565" s="16" t="s">
        <v>861</v>
      </c>
      <c r="E5565" s="16" t="s">
        <v>9473</v>
      </c>
      <c r="F5565" s="27" t="s">
        <v>6490</v>
      </c>
      <c r="G5565" s="27"/>
      <c r="H5565" s="16" t="str">
        <f>IF(ISBLANK(PARTIDAS!$G5565),PARTIDAS!$F5565,CONCATENATE(PARTIDAS!$F5565," (",PARTIDAS!$G5565,")"))</f>
        <v>Tubos de hierro o acero</v>
      </c>
      <c r="I5565" s="16" t="s">
        <v>9427</v>
      </c>
    </row>
    <row r="5566" spans="1:9" x14ac:dyDescent="0.25">
      <c r="A5566" s="16" t="s">
        <v>6497</v>
      </c>
      <c r="B5566" s="16" t="str">
        <f>TEXT(PARTIDA[[#This Row],[PARTIDA]],"0000000000")</f>
        <v>7304310000</v>
      </c>
      <c r="C5566" s="16" t="s">
        <v>860</v>
      </c>
      <c r="D5566" s="16" t="s">
        <v>861</v>
      </c>
      <c r="E5566" s="16" t="s">
        <v>9473</v>
      </c>
      <c r="F5566" s="27" t="s">
        <v>13987</v>
      </c>
      <c r="G5566" s="27"/>
      <c r="H5566" s="16" t="str">
        <f>IF(ISBLANK(PARTIDAS!$G5566),PARTIDAS!$F5566,CONCATENATE(PARTIDAS!$F5566," (",PARTIDAS!$G5566,")"))</f>
        <v>Estirados o laminados en frío</v>
      </c>
      <c r="I5566" s="16" t="s">
        <v>9427</v>
      </c>
    </row>
    <row r="5567" spans="1:9" x14ac:dyDescent="0.25">
      <c r="A5567" s="16" t="s">
        <v>6498</v>
      </c>
      <c r="B5567" s="16" t="str">
        <f>TEXT(PARTIDA[[#This Row],[PARTIDA]],"0000000000")</f>
        <v>7304390000</v>
      </c>
      <c r="C5567" s="16" t="s">
        <v>860</v>
      </c>
      <c r="D5567" s="16" t="s">
        <v>861</v>
      </c>
      <c r="E5567" s="16" t="s">
        <v>9473</v>
      </c>
      <c r="F5567" s="27" t="s">
        <v>13988</v>
      </c>
      <c r="G5567" s="27"/>
      <c r="H5567" s="16" t="str">
        <f>IF(ISBLANK(PARTIDAS!$G5567),PARTIDAS!$F5567,CONCATENATE(PARTIDAS!$F5567," (",PARTIDAS!$G5567,")"))</f>
        <v>Tubos y perfiles huecos, sin soldadura (sin costura), de hierro o… (los demás)</v>
      </c>
      <c r="I5567" s="16" t="s">
        <v>9427</v>
      </c>
    </row>
    <row r="5568" spans="1:9" x14ac:dyDescent="0.25">
      <c r="A5568" s="16" t="s">
        <v>6499</v>
      </c>
      <c r="B5568" s="16" t="str">
        <f>TEXT(PARTIDA[[#This Row],[PARTIDA]],"0000000000")</f>
        <v>7304410000</v>
      </c>
      <c r="C5568" s="16" t="s">
        <v>860</v>
      </c>
      <c r="D5568" s="16" t="s">
        <v>861</v>
      </c>
      <c r="E5568" s="16" t="s">
        <v>9473</v>
      </c>
      <c r="F5568" s="27" t="s">
        <v>13987</v>
      </c>
      <c r="G5568" s="27"/>
      <c r="H5568" s="16" t="str">
        <f>IF(ISBLANK(PARTIDAS!$G5568),PARTIDAS!$F5568,CONCATENATE(PARTIDAS!$F5568," (",PARTIDAS!$G5568,")"))</f>
        <v>Estirados o laminados en frío</v>
      </c>
      <c r="I5568" s="16" t="s">
        <v>9427</v>
      </c>
    </row>
    <row r="5569" spans="1:9" x14ac:dyDescent="0.25">
      <c r="A5569" s="16" t="s">
        <v>6500</v>
      </c>
      <c r="B5569" s="16" t="str">
        <f>TEXT(PARTIDA[[#This Row],[PARTIDA]],"0000000000")</f>
        <v>7304490000</v>
      </c>
      <c r="C5569" s="16" t="s">
        <v>860</v>
      </c>
      <c r="D5569" s="16" t="s">
        <v>861</v>
      </c>
      <c r="E5569" s="16" t="s">
        <v>9473</v>
      </c>
      <c r="F5569" s="27" t="s">
        <v>13988</v>
      </c>
      <c r="G5569" s="27"/>
      <c r="H5569" s="16" t="str">
        <f>IF(ISBLANK(PARTIDAS!$G5569),PARTIDAS!$F5569,CONCATENATE(PARTIDAS!$F5569," (",PARTIDAS!$G5569,")"))</f>
        <v>Tubos y perfiles huecos, sin soldadura (sin costura), de hierro o… (los demás)</v>
      </c>
      <c r="I5569" s="16" t="s">
        <v>9427</v>
      </c>
    </row>
    <row r="5570" spans="1:9" x14ac:dyDescent="0.25">
      <c r="A5570" s="16" t="s">
        <v>6501</v>
      </c>
      <c r="B5570" s="16" t="str">
        <f>TEXT(PARTIDA[[#This Row],[PARTIDA]],"0000000000")</f>
        <v>7304510000</v>
      </c>
      <c r="C5570" s="16" t="s">
        <v>860</v>
      </c>
      <c r="D5570" s="16" t="s">
        <v>861</v>
      </c>
      <c r="E5570" s="16" t="s">
        <v>9473</v>
      </c>
      <c r="F5570" s="27" t="s">
        <v>13987</v>
      </c>
      <c r="G5570" s="27"/>
      <c r="H5570" s="16" t="str">
        <f>IF(ISBLANK(PARTIDAS!$G5570),PARTIDAS!$F5570,CONCATENATE(PARTIDAS!$F5570," (",PARTIDAS!$G5570,")"))</f>
        <v>Estirados o laminados en frío</v>
      </c>
      <c r="I5570" s="16" t="s">
        <v>9427</v>
      </c>
    </row>
    <row r="5571" spans="1:9" x14ac:dyDescent="0.25">
      <c r="A5571" s="16" t="s">
        <v>6502</v>
      </c>
      <c r="B5571" s="16" t="str">
        <f>TEXT(PARTIDA[[#This Row],[PARTIDA]],"0000000000")</f>
        <v>7304590000</v>
      </c>
      <c r="C5571" s="16" t="s">
        <v>860</v>
      </c>
      <c r="D5571" s="16" t="s">
        <v>861</v>
      </c>
      <c r="E5571" s="16" t="s">
        <v>9473</v>
      </c>
      <c r="F5571" s="27" t="s">
        <v>13988</v>
      </c>
      <c r="G5571" s="27"/>
      <c r="H5571" s="16" t="str">
        <f>IF(ISBLANK(PARTIDAS!$G5571),PARTIDAS!$F5571,CONCATENATE(PARTIDAS!$F5571," (",PARTIDAS!$G5571,")"))</f>
        <v>Tubos y perfiles huecos, sin soldadura (sin costura), de hierro o… (los demás)</v>
      </c>
      <c r="I5571" s="16" t="s">
        <v>9427</v>
      </c>
    </row>
    <row r="5572" spans="1:9" x14ac:dyDescent="0.25">
      <c r="A5572" s="16" t="s">
        <v>6503</v>
      </c>
      <c r="B5572" s="16" t="str">
        <f>TEXT(PARTIDA[[#This Row],[PARTIDA]],"0000000000")</f>
        <v>7304900000</v>
      </c>
      <c r="C5572" s="16" t="s">
        <v>860</v>
      </c>
      <c r="D5572" s="16" t="s">
        <v>861</v>
      </c>
      <c r="E5572" s="16" t="s">
        <v>9473</v>
      </c>
      <c r="F5572" s="27" t="s">
        <v>13988</v>
      </c>
      <c r="G5572" s="27"/>
      <c r="H5572" s="16" t="str">
        <f>IF(ISBLANK(PARTIDAS!$G5572),PARTIDAS!$F5572,CONCATENATE(PARTIDAS!$F5572," (",PARTIDAS!$G5572,")"))</f>
        <v>Tubos y perfiles huecos, sin soldadura (sin costura), de hierro o… (los demás)</v>
      </c>
      <c r="I5572" s="16" t="s">
        <v>9427</v>
      </c>
    </row>
    <row r="5573" spans="1:9" x14ac:dyDescent="0.25">
      <c r="A5573" s="16" t="s">
        <v>6504</v>
      </c>
      <c r="B5573" s="16" t="str">
        <f>TEXT(PARTIDA[[#This Row],[PARTIDA]],"0000000000")</f>
        <v>7305110000</v>
      </c>
      <c r="C5573" s="16" t="s">
        <v>860</v>
      </c>
      <c r="D5573" s="16" t="s">
        <v>861</v>
      </c>
      <c r="E5573" s="16" t="s">
        <v>9473</v>
      </c>
      <c r="F5573" s="27" t="s">
        <v>13989</v>
      </c>
      <c r="G5573" s="27"/>
      <c r="H5573" s="16" t="str">
        <f>IF(ISBLANK(PARTIDAS!$G5573),PARTIDAS!$F5573,CONCATENATE(PARTIDAS!$F5573," (",PARTIDAS!$G5573,")"))</f>
        <v>Soldados longitudinalmente con arco sumergido</v>
      </c>
      <c r="I5573" s="16" t="s">
        <v>9427</v>
      </c>
    </row>
    <row r="5574" spans="1:9" x14ac:dyDescent="0.25">
      <c r="A5574" s="16" t="s">
        <v>6505</v>
      </c>
      <c r="B5574" s="16" t="str">
        <f>TEXT(PARTIDA[[#This Row],[PARTIDA]],"0000000000")</f>
        <v>7305120000</v>
      </c>
      <c r="C5574" s="16" t="s">
        <v>860</v>
      </c>
      <c r="D5574" s="16" t="s">
        <v>861</v>
      </c>
      <c r="E5574" s="16" t="s">
        <v>9473</v>
      </c>
      <c r="F5574" s="27" t="s">
        <v>13990</v>
      </c>
      <c r="G5574" s="27"/>
      <c r="H5574" s="16" t="str">
        <f>IF(ISBLANK(PARTIDAS!$G5574),PARTIDAS!$F5574,CONCATENATE(PARTIDAS!$F5574," (",PARTIDAS!$G5574,")"))</f>
        <v>Tubos de los tipos utilizados en oleoductos o gasoductos (los demás, soldados longitudinalmente)</v>
      </c>
      <c r="I5574" s="16" t="s">
        <v>9427</v>
      </c>
    </row>
    <row r="5575" spans="1:9" x14ac:dyDescent="0.25">
      <c r="A5575" s="16" t="s">
        <v>6506</v>
      </c>
      <c r="B5575" s="16" t="str">
        <f>TEXT(PARTIDA[[#This Row],[PARTIDA]],"0000000000")</f>
        <v>7305190000</v>
      </c>
      <c r="C5575" s="16" t="s">
        <v>860</v>
      </c>
      <c r="D5575" s="16" t="s">
        <v>861</v>
      </c>
      <c r="E5575" s="16" t="s">
        <v>9473</v>
      </c>
      <c r="F5575" s="27" t="s">
        <v>13985</v>
      </c>
      <c r="G5575" s="27"/>
      <c r="H5575" s="16" t="str">
        <f>IF(ISBLANK(PARTIDAS!$G5575),PARTIDAS!$F5575,CONCATENATE(PARTIDAS!$F5575," (",PARTIDAS!$G5575,")"))</f>
        <v>Tubos de los tipos utilizados en oleoductos o gasoductos (los demás)</v>
      </c>
      <c r="I5575" s="16" t="s">
        <v>9427</v>
      </c>
    </row>
    <row r="5576" spans="1:9" x14ac:dyDescent="0.25">
      <c r="A5576" s="16" t="s">
        <v>6507</v>
      </c>
      <c r="B5576" s="16" t="str">
        <f>TEXT(PARTIDA[[#This Row],[PARTIDA]],"0000000000")</f>
        <v>7305200000</v>
      </c>
      <c r="C5576" s="16" t="s">
        <v>860</v>
      </c>
      <c r="D5576" s="16" t="s">
        <v>861</v>
      </c>
      <c r="E5576" s="16" t="s">
        <v>9473</v>
      </c>
      <c r="F5576" s="27" t="s">
        <v>13991</v>
      </c>
      <c r="G5576" s="27"/>
      <c r="H5576" s="16" t="str">
        <f>IF(ISBLANK(PARTIDAS!$G5576),PARTIDAS!$F5576,CONCATENATE(PARTIDAS!$F5576," (",PARTIDAS!$G5576,")"))</f>
        <v>Tubos de entubación («casing») de los tipos utilizados para la extracción de petróleo o gas</v>
      </c>
      <c r="I5576" s="16" t="s">
        <v>9427</v>
      </c>
    </row>
    <row r="5577" spans="1:9" x14ac:dyDescent="0.25">
      <c r="A5577" s="16" t="s">
        <v>6508</v>
      </c>
      <c r="B5577" s="16" t="str">
        <f>TEXT(PARTIDA[[#This Row],[PARTIDA]],"0000000000")</f>
        <v>7305310000</v>
      </c>
      <c r="C5577" s="16" t="s">
        <v>860</v>
      </c>
      <c r="D5577" s="16" t="s">
        <v>861</v>
      </c>
      <c r="E5577" s="16" t="s">
        <v>9473</v>
      </c>
      <c r="F5577" s="27" t="s">
        <v>13992</v>
      </c>
      <c r="G5577" s="27"/>
      <c r="H5577" s="16" t="str">
        <f>IF(ISBLANK(PARTIDAS!$G5577),PARTIDAS!$F5577,CONCATENATE(PARTIDAS!$F5577," (",PARTIDAS!$G5577,")"))</f>
        <v>Soldados longitudinalmente</v>
      </c>
      <c r="I5577" s="16" t="s">
        <v>9427</v>
      </c>
    </row>
    <row r="5578" spans="1:9" x14ac:dyDescent="0.25">
      <c r="A5578" s="16" t="s">
        <v>6509</v>
      </c>
      <c r="B5578" s="16" t="str">
        <f>TEXT(PARTIDA[[#This Row],[PARTIDA]],"0000000000")</f>
        <v>7305390000</v>
      </c>
      <c r="C5578" s="16" t="s">
        <v>860</v>
      </c>
      <c r="D5578" s="16" t="s">
        <v>861</v>
      </c>
      <c r="E5578" s="16" t="s">
        <v>9473</v>
      </c>
      <c r="F5578" s="27" t="s">
        <v>13993</v>
      </c>
      <c r="G5578" s="27"/>
      <c r="H5578" s="16" t="str">
        <f>IF(ISBLANK(PARTIDAS!$G5578),PARTIDAS!$F5578,CONCATENATE(PARTIDAS!$F5578," (",PARTIDAS!$G5578,")"))</f>
        <v>Manufacturas de fundición, hierro o acero (los demás)</v>
      </c>
      <c r="I5578" s="16" t="s">
        <v>9427</v>
      </c>
    </row>
    <row r="5579" spans="1:9" x14ac:dyDescent="0.25">
      <c r="A5579" s="16" t="s">
        <v>6510</v>
      </c>
      <c r="B5579" s="16" t="str">
        <f>TEXT(PARTIDA[[#This Row],[PARTIDA]],"0000000000")</f>
        <v>7305900000</v>
      </c>
      <c r="C5579" s="16" t="s">
        <v>860</v>
      </c>
      <c r="D5579" s="16" t="s">
        <v>861</v>
      </c>
      <c r="E5579" s="16" t="s">
        <v>9473</v>
      </c>
      <c r="F5579" s="27" t="s">
        <v>13993</v>
      </c>
      <c r="G5579" s="27"/>
      <c r="H5579" s="16" t="str">
        <f>IF(ISBLANK(PARTIDAS!$G5579),PARTIDAS!$F5579,CONCATENATE(PARTIDAS!$F5579," (",PARTIDAS!$G5579,")"))</f>
        <v>Manufacturas de fundición, hierro o acero (los demás)</v>
      </c>
      <c r="I5579" s="16" t="s">
        <v>9427</v>
      </c>
    </row>
    <row r="5580" spans="1:9" x14ac:dyDescent="0.25">
      <c r="A5580" s="16" t="s">
        <v>6511</v>
      </c>
      <c r="B5580" s="16" t="str">
        <f>TEXT(PARTIDA[[#This Row],[PARTIDA]],"0000000000")</f>
        <v>7306110000</v>
      </c>
      <c r="C5580" s="16" t="s">
        <v>860</v>
      </c>
      <c r="D5580" s="16" t="s">
        <v>861</v>
      </c>
      <c r="E5580" s="16" t="s">
        <v>9473</v>
      </c>
      <c r="F5580" s="27" t="s">
        <v>13994</v>
      </c>
      <c r="G5580" s="27"/>
      <c r="H5580" s="16" t="str">
        <f>IF(ISBLANK(PARTIDAS!$G5580),PARTIDAS!$F5580,CONCATENATE(PARTIDAS!$F5580," (",PARTIDAS!$G5580,")"))</f>
        <v>Soldados, de acero inoxidable</v>
      </c>
      <c r="I5580" s="16" t="s">
        <v>9427</v>
      </c>
    </row>
    <row r="5581" spans="1:9" x14ac:dyDescent="0.25">
      <c r="A5581" s="16" t="s">
        <v>6512</v>
      </c>
      <c r="B5581" s="16" t="str">
        <f>TEXT(PARTIDA[[#This Row],[PARTIDA]],"0000000000")</f>
        <v>7306190000</v>
      </c>
      <c r="C5581" s="16" t="s">
        <v>860</v>
      </c>
      <c r="D5581" s="16" t="s">
        <v>861</v>
      </c>
      <c r="E5581" s="16" t="s">
        <v>9473</v>
      </c>
      <c r="F5581" s="27" t="s">
        <v>13985</v>
      </c>
      <c r="G5581" s="27"/>
      <c r="H5581" s="16" t="str">
        <f>IF(ISBLANK(PARTIDAS!$G5581),PARTIDAS!$F5581,CONCATENATE(PARTIDAS!$F5581," (",PARTIDAS!$G5581,")"))</f>
        <v>Tubos de los tipos utilizados en oleoductos o gasoductos (los demás)</v>
      </c>
      <c r="I5581" s="16" t="s">
        <v>9427</v>
      </c>
    </row>
    <row r="5582" spans="1:9" x14ac:dyDescent="0.25">
      <c r="A5582" s="16" t="s">
        <v>6513</v>
      </c>
      <c r="B5582" s="16" t="str">
        <f>TEXT(PARTIDA[[#This Row],[PARTIDA]],"0000000000")</f>
        <v>7306210000</v>
      </c>
      <c r="C5582" s="16" t="s">
        <v>860</v>
      </c>
      <c r="D5582" s="16" t="s">
        <v>861</v>
      </c>
      <c r="E5582" s="16" t="s">
        <v>9473</v>
      </c>
      <c r="F5582" s="27" t="s">
        <v>13994</v>
      </c>
      <c r="G5582" s="27"/>
      <c r="H5582" s="16" t="str">
        <f>IF(ISBLANK(PARTIDAS!$G5582),PARTIDAS!$F5582,CONCATENATE(PARTIDAS!$F5582," (",PARTIDAS!$G5582,")"))</f>
        <v>Soldados, de acero inoxidable</v>
      </c>
      <c r="I5582" s="16" t="s">
        <v>9427</v>
      </c>
    </row>
    <row r="5583" spans="1:9" x14ac:dyDescent="0.25">
      <c r="A5583" s="16" t="s">
        <v>6514</v>
      </c>
      <c r="B5583" s="16" t="str">
        <f>TEXT(PARTIDA[[#This Row],[PARTIDA]],"0000000000")</f>
        <v>7306290000</v>
      </c>
      <c r="C5583" s="16" t="s">
        <v>860</v>
      </c>
      <c r="D5583" s="16" t="s">
        <v>861</v>
      </c>
      <c r="E5583" s="16" t="s">
        <v>9473</v>
      </c>
      <c r="F5583" s="27" t="s">
        <v>13995</v>
      </c>
      <c r="G5583" s="27"/>
      <c r="H5583" s="16" t="str">
        <f>IF(ISBLANK(PARTIDAS!$G5583),PARTIDAS!$F5583,CONCATENATE(PARTIDAS!$F5583," (",PARTIDAS!$G5583,")"))</f>
        <v>Tubos de entubación («casing») o de producción («tubing»), de los… (los demás)</v>
      </c>
      <c r="I5583" s="16" t="s">
        <v>9427</v>
      </c>
    </row>
    <row r="5584" spans="1:9" x14ac:dyDescent="0.25">
      <c r="A5584" s="16" t="s">
        <v>6515</v>
      </c>
      <c r="B5584" s="16" t="str">
        <f>TEXT(PARTIDA[[#This Row],[PARTIDA]],"0000000000")</f>
        <v>7306301000</v>
      </c>
      <c r="C5584" s="16" t="s">
        <v>860</v>
      </c>
      <c r="D5584" s="16" t="s">
        <v>861</v>
      </c>
      <c r="E5584" s="16" t="s">
        <v>9473</v>
      </c>
      <c r="F5584" s="27" t="s">
        <v>13996</v>
      </c>
      <c r="G5584" s="27"/>
      <c r="H5584" s="16" t="str">
        <f>IF(ISBLANK(PARTIDAS!$G5584),PARTIDAS!$F5584,CONCATENATE(PARTIDAS!$F5584," (",PARTIDAS!$G5584,")"))</f>
        <v>Manufacturas de fundición, hierro o acero, con un contenido de carbono, en peso, superior o igual a 0,6 %</v>
      </c>
      <c r="I5584" s="16" t="s">
        <v>9427</v>
      </c>
    </row>
    <row r="5585" spans="1:9" x14ac:dyDescent="0.25">
      <c r="A5585" s="16" t="s">
        <v>6516</v>
      </c>
      <c r="B5585" s="16" t="str">
        <f>TEXT(PARTIDA[[#This Row],[PARTIDA]],"0000000000")</f>
        <v>7306309100</v>
      </c>
      <c r="C5585" s="16" t="s">
        <v>860</v>
      </c>
      <c r="D5585" s="16" t="s">
        <v>861</v>
      </c>
      <c r="E5585" s="16" t="s">
        <v>9473</v>
      </c>
      <c r="F5585" s="27" t="s">
        <v>13997</v>
      </c>
      <c r="G5585" s="27"/>
      <c r="H5585" s="16" t="str">
        <f>IF(ISBLANK(PARTIDAS!$G5585),PARTIDAS!$F5585,CONCATENATE(PARTIDAS!$F5585," (",PARTIDAS!$G5585,")"))</f>
        <v>Tubos de acero de diámetro externo hasta 16 mm, de doble pared</v>
      </c>
      <c r="I5585" s="16" t="s">
        <v>9427</v>
      </c>
    </row>
    <row r="5586" spans="1:9" x14ac:dyDescent="0.25">
      <c r="A5586" s="16" t="s">
        <v>6517</v>
      </c>
      <c r="B5586" s="16" t="str">
        <f>TEXT(PARTIDA[[#This Row],[PARTIDA]],"0000000000")</f>
        <v>7306309200</v>
      </c>
      <c r="C5586" s="16" t="s">
        <v>860</v>
      </c>
      <c r="D5586" s="16" t="s">
        <v>861</v>
      </c>
      <c r="E5586" s="16" t="s">
        <v>9473</v>
      </c>
      <c r="F5586" s="27" t="s">
        <v>13998</v>
      </c>
      <c r="G5586" s="27"/>
      <c r="H5586" s="16" t="str">
        <f>IF(ISBLANK(PARTIDAS!$G5586),PARTIDAS!$F5586,CONCATENATE(PARTIDAS!$F5586," (",PARTIDAS!$G5586,")"))</f>
        <v>Tubos de acero de diámetro externo inferior o igual a 10 mm, de pared sencilla</v>
      </c>
      <c r="I5586" s="16" t="s">
        <v>9427</v>
      </c>
    </row>
    <row r="5587" spans="1:9" x14ac:dyDescent="0.25">
      <c r="A5587" s="16" t="s">
        <v>6518</v>
      </c>
      <c r="B5587" s="16" t="str">
        <f>TEXT(PARTIDA[[#This Row],[PARTIDA]],"0000000000")</f>
        <v>7306309900</v>
      </c>
      <c r="C5587" s="16" t="s">
        <v>860</v>
      </c>
      <c r="D5587" s="16" t="s">
        <v>861</v>
      </c>
      <c r="E5587" s="16" t="s">
        <v>9473</v>
      </c>
      <c r="F5587" s="27" t="s">
        <v>13993</v>
      </c>
      <c r="G5587" s="27"/>
      <c r="H5587" s="16" t="str">
        <f>IF(ISBLANK(PARTIDAS!$G5587),PARTIDAS!$F5587,CONCATENATE(PARTIDAS!$F5587," (",PARTIDAS!$G5587,")"))</f>
        <v>Manufacturas de fundición, hierro o acero (los demás)</v>
      </c>
      <c r="I5587" s="16" t="s">
        <v>9427</v>
      </c>
    </row>
    <row r="5588" spans="1:9" x14ac:dyDescent="0.25">
      <c r="A5588" s="16" t="s">
        <v>6519</v>
      </c>
      <c r="B5588" s="16" t="str">
        <f>TEXT(PARTIDA[[#This Row],[PARTIDA]],"0000000000")</f>
        <v>7306400000</v>
      </c>
      <c r="C5588" s="16" t="s">
        <v>860</v>
      </c>
      <c r="D5588" s="16" t="s">
        <v>861</v>
      </c>
      <c r="E5588" s="16" t="s">
        <v>9473</v>
      </c>
      <c r="F5588" s="27" t="s">
        <v>13999</v>
      </c>
      <c r="G5588" s="27"/>
      <c r="H5588" s="16" t="str">
        <f>IF(ISBLANK(PARTIDAS!$G5588),PARTIDAS!$F5588,CONCATENATE(PARTIDAS!$F5588," (",PARTIDAS!$G5588,")"))</f>
        <v>Manufacturas de fundición, hierro o acero (los demás, soldados, de sección circular, de acero inoxidable)</v>
      </c>
      <c r="I5588" s="16" t="s">
        <v>9427</v>
      </c>
    </row>
    <row r="5589" spans="1:9" x14ac:dyDescent="0.25">
      <c r="A5589" s="16" t="s">
        <v>6520</v>
      </c>
      <c r="B5589" s="16" t="str">
        <f>TEXT(PARTIDA[[#This Row],[PARTIDA]],"0000000000")</f>
        <v>7306500000</v>
      </c>
      <c r="C5589" s="16" t="s">
        <v>860</v>
      </c>
      <c r="D5589" s="16" t="s">
        <v>861</v>
      </c>
      <c r="E5589" s="16" t="s">
        <v>9473</v>
      </c>
      <c r="F5589" s="27" t="s">
        <v>14000</v>
      </c>
      <c r="G5589" s="27"/>
      <c r="H5589" s="16" t="str">
        <f>IF(ISBLANK(PARTIDAS!$G5589),PARTIDAS!$F5589,CONCATENATE(PARTIDAS!$F5589," (",PARTIDAS!$G5589,")"))</f>
        <v>Manufacturas de fundición, hierro o acero (los demás, soldados, de sección circular, de los demás aceros aleados)</v>
      </c>
      <c r="I5589" s="16" t="s">
        <v>9427</v>
      </c>
    </row>
    <row r="5590" spans="1:9" x14ac:dyDescent="0.25">
      <c r="A5590" s="16" t="s">
        <v>6521</v>
      </c>
      <c r="B5590" s="16" t="str">
        <f>TEXT(PARTIDA[[#This Row],[PARTIDA]],"0000000000")</f>
        <v>7306610000</v>
      </c>
      <c r="C5590" s="16" t="s">
        <v>860</v>
      </c>
      <c r="D5590" s="16" t="s">
        <v>861</v>
      </c>
      <c r="E5590" s="16" t="s">
        <v>9473</v>
      </c>
      <c r="F5590" s="27" t="s">
        <v>14001</v>
      </c>
      <c r="G5590" s="27"/>
      <c r="H5590" s="16" t="str">
        <f>IF(ISBLANK(PARTIDAS!$G5590),PARTIDAS!$F5590,CONCATENATE(PARTIDAS!$F5590," (",PARTIDAS!$G5590,")"))</f>
        <v>Manufacturas de fundición, hierro o acero, de sección cuadrada o rectangular</v>
      </c>
      <c r="I5590" s="16" t="s">
        <v>9427</v>
      </c>
    </row>
    <row r="5591" spans="1:9" x14ac:dyDescent="0.25">
      <c r="A5591" s="16" t="s">
        <v>6522</v>
      </c>
      <c r="B5591" s="16" t="str">
        <f>TEXT(PARTIDA[[#This Row],[PARTIDA]],"0000000000")</f>
        <v>7306690000</v>
      </c>
      <c r="C5591" s="16" t="s">
        <v>860</v>
      </c>
      <c r="D5591" s="16" t="s">
        <v>861</v>
      </c>
      <c r="E5591" s="16" t="s">
        <v>9473</v>
      </c>
      <c r="F5591" s="27" t="s">
        <v>13993</v>
      </c>
      <c r="G5591" s="27"/>
      <c r="H5591" s="16" t="str">
        <f>IF(ISBLANK(PARTIDAS!$G5591),PARTIDAS!$F5591,CONCATENATE(PARTIDAS!$F5591," (",PARTIDAS!$G5591,")"))</f>
        <v>Manufacturas de fundición, hierro o acero (los demás)</v>
      </c>
      <c r="I5591" s="16" t="s">
        <v>9427</v>
      </c>
    </row>
    <row r="5592" spans="1:9" x14ac:dyDescent="0.25">
      <c r="A5592" s="16" t="s">
        <v>6523</v>
      </c>
      <c r="B5592" s="16" t="str">
        <f>TEXT(PARTIDA[[#This Row],[PARTIDA]],"0000000000")</f>
        <v>7306900000</v>
      </c>
      <c r="C5592" s="16" t="s">
        <v>860</v>
      </c>
      <c r="D5592" s="16" t="s">
        <v>861</v>
      </c>
      <c r="E5592" s="16" t="s">
        <v>9473</v>
      </c>
      <c r="F5592" s="27" t="s">
        <v>6490</v>
      </c>
      <c r="G5592" s="27"/>
      <c r="H5592" s="16" t="str">
        <f>IF(ISBLANK(PARTIDAS!$G5592),PARTIDAS!$F5592,CONCATENATE(PARTIDAS!$F5592," (",PARTIDAS!$G5592,")"))</f>
        <v>Tubos de hierro o acero</v>
      </c>
      <c r="I5592" s="16" t="s">
        <v>9427</v>
      </c>
    </row>
    <row r="5593" spans="1:9" x14ac:dyDescent="0.25">
      <c r="A5593" s="16" t="s">
        <v>6524</v>
      </c>
      <c r="B5593" s="16" t="str">
        <f>TEXT(PARTIDA[[#This Row],[PARTIDA]],"0000000000")</f>
        <v>7307110000</v>
      </c>
      <c r="C5593" s="16" t="s">
        <v>860</v>
      </c>
      <c r="D5593" s="16" t="s">
        <v>861</v>
      </c>
      <c r="E5593" s="16" t="s">
        <v>9473</v>
      </c>
      <c r="F5593" s="27" t="s">
        <v>14002</v>
      </c>
      <c r="G5593" s="27"/>
      <c r="H5593" s="16" t="str">
        <f>IF(ISBLANK(PARTIDAS!$G5593),PARTIDAS!$F5593,CONCATENATE(PARTIDAS!$F5593," (",PARTIDAS!$G5593,")"))</f>
        <v>Moldeados, de fundición no maleable</v>
      </c>
      <c r="I5593" s="16" t="s">
        <v>9427</v>
      </c>
    </row>
    <row r="5594" spans="1:9" x14ac:dyDescent="0.25">
      <c r="A5594" s="16" t="s">
        <v>6525</v>
      </c>
      <c r="B5594" s="16" t="str">
        <f>TEXT(PARTIDA[[#This Row],[PARTIDA]],"0000000000")</f>
        <v>7307190000</v>
      </c>
      <c r="C5594" s="16" t="s">
        <v>860</v>
      </c>
      <c r="D5594" s="16" t="s">
        <v>861</v>
      </c>
      <c r="E5594" s="16" t="s">
        <v>9473</v>
      </c>
      <c r="F5594" s="27" t="s">
        <v>6490</v>
      </c>
      <c r="G5594" s="27"/>
      <c r="H5594" s="16" t="str">
        <f>IF(ISBLANK(PARTIDAS!$G5594),PARTIDAS!$F5594,CONCATENATE(PARTIDAS!$F5594," (",PARTIDAS!$G5594,")"))</f>
        <v>Tubos de hierro o acero</v>
      </c>
      <c r="I5594" s="16" t="s">
        <v>9427</v>
      </c>
    </row>
    <row r="5595" spans="1:9" x14ac:dyDescent="0.25">
      <c r="A5595" s="16" t="s">
        <v>6526</v>
      </c>
      <c r="B5595" s="16" t="str">
        <f>TEXT(PARTIDA[[#This Row],[PARTIDA]],"0000000000")</f>
        <v>7307210000</v>
      </c>
      <c r="C5595" s="16" t="s">
        <v>860</v>
      </c>
      <c r="D5595" s="16" t="s">
        <v>861</v>
      </c>
      <c r="E5595" s="16" t="s">
        <v>9473</v>
      </c>
      <c r="F5595" s="27" t="s">
        <v>14003</v>
      </c>
      <c r="G5595" s="27"/>
      <c r="H5595" s="16" t="str">
        <f>IF(ISBLANK(PARTIDAS!$G5595),PARTIDAS!$F5595,CONCATENATE(PARTIDAS!$F5595," (",PARTIDAS!$G5595,")"))</f>
        <v>Accesorios de tubería (por ejemplo, bridas</v>
      </c>
      <c r="I5595" s="16" t="s">
        <v>9427</v>
      </c>
    </row>
    <row r="5596" spans="1:9" x14ac:dyDescent="0.25">
      <c r="A5596" s="16" t="s">
        <v>6527</v>
      </c>
      <c r="B5596" s="16" t="str">
        <f>TEXT(PARTIDA[[#This Row],[PARTIDA]],"0000000000")</f>
        <v>7307220000</v>
      </c>
      <c r="C5596" s="16" t="s">
        <v>860</v>
      </c>
      <c r="D5596" s="16" t="s">
        <v>861</v>
      </c>
      <c r="E5596" s="16" t="s">
        <v>9473</v>
      </c>
      <c r="F5596" s="27" t="s">
        <v>14004</v>
      </c>
      <c r="G5596" s="27"/>
      <c r="H5596" s="16" t="str">
        <f>IF(ISBLANK(PARTIDAS!$G5596),PARTIDAS!$F5596,CONCATENATE(PARTIDAS!$F5596," (",PARTIDAS!$G5596,")"))</f>
        <v>Codos, curvas y manguitos, roscados</v>
      </c>
      <c r="I5596" s="16" t="s">
        <v>9427</v>
      </c>
    </row>
    <row r="5597" spans="1:9" x14ac:dyDescent="0.25">
      <c r="A5597" s="16" t="s">
        <v>6528</v>
      </c>
      <c r="B5597" s="16" t="str">
        <f>TEXT(PARTIDA[[#This Row],[PARTIDA]],"0000000000")</f>
        <v>7307230000</v>
      </c>
      <c r="C5597" s="16" t="s">
        <v>860</v>
      </c>
      <c r="D5597" s="16" t="s">
        <v>861</v>
      </c>
      <c r="E5597" s="16" t="s">
        <v>9473</v>
      </c>
      <c r="F5597" s="27" t="s">
        <v>14005</v>
      </c>
      <c r="G5597" s="27"/>
      <c r="H5597" s="16" t="str">
        <f>IF(ISBLANK(PARTIDAS!$G5597),PARTIDAS!$F5597,CONCATENATE(PARTIDAS!$F5597," (",PARTIDAS!$G5597,")"))</f>
        <v>Accesorios para soldar a tope</v>
      </c>
      <c r="I5597" s="16" t="s">
        <v>9427</v>
      </c>
    </row>
    <row r="5598" spans="1:9" x14ac:dyDescent="0.25">
      <c r="A5598" s="16" t="s">
        <v>6529</v>
      </c>
      <c r="B5598" s="16" t="str">
        <f>TEXT(PARTIDA[[#This Row],[PARTIDA]],"0000000000")</f>
        <v>7307290000</v>
      </c>
      <c r="C5598" s="16" t="s">
        <v>860</v>
      </c>
      <c r="D5598" s="16" t="s">
        <v>861</v>
      </c>
      <c r="E5598" s="16" t="s">
        <v>9473</v>
      </c>
      <c r="F5598" s="27" t="s">
        <v>9130</v>
      </c>
      <c r="G5598" s="27"/>
      <c r="H5598" s="16" t="str">
        <f>IF(ISBLANK(PARTIDAS!$G5598),PARTIDAS!$F5598,CONCATENATE(PARTIDAS!$F5598," (",PARTIDAS!$G5598,")"))</f>
        <v>Accesorios de tubería (por ejemplo (los demás)</v>
      </c>
      <c r="I5598" s="16" t="s">
        <v>9427</v>
      </c>
    </row>
    <row r="5599" spans="1:9" x14ac:dyDescent="0.25">
      <c r="A5599" s="16" t="s">
        <v>6530</v>
      </c>
      <c r="B5599" s="16" t="str">
        <f>TEXT(PARTIDA[[#This Row],[PARTIDA]],"0000000000")</f>
        <v>7307910000</v>
      </c>
      <c r="C5599" s="16" t="s">
        <v>860</v>
      </c>
      <c r="D5599" s="16" t="s">
        <v>861</v>
      </c>
      <c r="E5599" s="16" t="s">
        <v>9473</v>
      </c>
      <c r="F5599" s="27" t="s">
        <v>14003</v>
      </c>
      <c r="G5599" s="27"/>
      <c r="H5599" s="16" t="str">
        <f>IF(ISBLANK(PARTIDAS!$G5599),PARTIDAS!$F5599,CONCATENATE(PARTIDAS!$F5599," (",PARTIDAS!$G5599,")"))</f>
        <v>Accesorios de tubería (por ejemplo, bridas</v>
      </c>
      <c r="I5599" s="16" t="s">
        <v>9427</v>
      </c>
    </row>
    <row r="5600" spans="1:9" x14ac:dyDescent="0.25">
      <c r="A5600" s="16" t="s">
        <v>6531</v>
      </c>
      <c r="B5600" s="16" t="str">
        <f>TEXT(PARTIDA[[#This Row],[PARTIDA]],"0000000000")</f>
        <v>7307920000</v>
      </c>
      <c r="C5600" s="16" t="s">
        <v>860</v>
      </c>
      <c r="D5600" s="16" t="s">
        <v>861</v>
      </c>
      <c r="E5600" s="16" t="s">
        <v>9473</v>
      </c>
      <c r="F5600" s="27" t="s">
        <v>14004</v>
      </c>
      <c r="G5600" s="27"/>
      <c r="H5600" s="16" t="str">
        <f>IF(ISBLANK(PARTIDAS!$G5600),PARTIDAS!$F5600,CONCATENATE(PARTIDAS!$F5600," (",PARTIDAS!$G5600,")"))</f>
        <v>Codos, curvas y manguitos, roscados</v>
      </c>
      <c r="I5600" s="16" t="s">
        <v>9427</v>
      </c>
    </row>
    <row r="5601" spans="1:9" x14ac:dyDescent="0.25">
      <c r="A5601" s="16" t="s">
        <v>6532</v>
      </c>
      <c r="B5601" s="16" t="str">
        <f>TEXT(PARTIDA[[#This Row],[PARTIDA]],"0000000000")</f>
        <v>7307930000</v>
      </c>
      <c r="C5601" s="16" t="s">
        <v>860</v>
      </c>
      <c r="D5601" s="16" t="s">
        <v>861</v>
      </c>
      <c r="E5601" s="16" t="s">
        <v>9473</v>
      </c>
      <c r="F5601" s="27" t="s">
        <v>14005</v>
      </c>
      <c r="G5601" s="27"/>
      <c r="H5601" s="16" t="str">
        <f>IF(ISBLANK(PARTIDAS!$G5601),PARTIDAS!$F5601,CONCATENATE(PARTIDAS!$F5601," (",PARTIDAS!$G5601,")"))</f>
        <v>Accesorios para soldar a tope</v>
      </c>
      <c r="I5601" s="16" t="s">
        <v>9427</v>
      </c>
    </row>
    <row r="5602" spans="1:9" x14ac:dyDescent="0.25">
      <c r="A5602" s="16" t="s">
        <v>6533</v>
      </c>
      <c r="B5602" s="16" t="str">
        <f>TEXT(PARTIDA[[#This Row],[PARTIDA]],"0000000000")</f>
        <v>7307990000</v>
      </c>
      <c r="C5602" s="16" t="s">
        <v>860</v>
      </c>
      <c r="D5602" s="16" t="s">
        <v>861</v>
      </c>
      <c r="E5602" s="16" t="s">
        <v>9473</v>
      </c>
      <c r="F5602" s="27" t="s">
        <v>9130</v>
      </c>
      <c r="G5602" s="27"/>
      <c r="H5602" s="16" t="str">
        <f>IF(ISBLANK(PARTIDAS!$G5602),PARTIDAS!$F5602,CONCATENATE(PARTIDAS!$F5602," (",PARTIDAS!$G5602,")"))</f>
        <v>Accesorios de tubería (por ejemplo (los demás)</v>
      </c>
      <c r="I5602" s="16" t="s">
        <v>9477</v>
      </c>
    </row>
    <row r="5603" spans="1:9" x14ac:dyDescent="0.25">
      <c r="A5603" s="16" t="s">
        <v>6534</v>
      </c>
      <c r="B5603" s="16" t="str">
        <f>TEXT(PARTIDA[[#This Row],[PARTIDA]],"0000000000")</f>
        <v>7308100000</v>
      </c>
      <c r="C5603" s="16" t="s">
        <v>860</v>
      </c>
      <c r="D5603" s="16" t="s">
        <v>861</v>
      </c>
      <c r="E5603" s="16" t="s">
        <v>9473</v>
      </c>
      <c r="F5603" s="27" t="s">
        <v>14006</v>
      </c>
      <c r="G5603" s="27"/>
      <c r="H5603" s="16" t="str">
        <f>IF(ISBLANK(PARTIDAS!$G5603),PARTIDAS!$F5603,CONCATENATE(PARTIDAS!$F5603," (",PARTIDAS!$G5603,")"))</f>
        <v>Puentes y sus partes</v>
      </c>
      <c r="I5603" s="16" t="s">
        <v>9427</v>
      </c>
    </row>
    <row r="5604" spans="1:9" x14ac:dyDescent="0.25">
      <c r="A5604" s="16" t="s">
        <v>6535</v>
      </c>
      <c r="B5604" s="16" t="str">
        <f>TEXT(PARTIDA[[#This Row],[PARTIDA]],"0000000000")</f>
        <v>7308200000</v>
      </c>
      <c r="C5604" s="16" t="s">
        <v>860</v>
      </c>
      <c r="D5604" s="16" t="s">
        <v>861</v>
      </c>
      <c r="E5604" s="16" t="s">
        <v>9473</v>
      </c>
      <c r="F5604" s="27" t="s">
        <v>14007</v>
      </c>
      <c r="G5604" s="27"/>
      <c r="H5604" s="16" t="str">
        <f>IF(ISBLANK(PARTIDAS!$G5604),PARTIDAS!$F5604,CONCATENATE(PARTIDAS!$F5604," (",PARTIDAS!$G5604,")"))</f>
        <v>Torres y castilletes</v>
      </c>
      <c r="I5604" s="16" t="s">
        <v>9427</v>
      </c>
    </row>
    <row r="5605" spans="1:9" x14ac:dyDescent="0.25">
      <c r="A5605" s="16" t="s">
        <v>6536</v>
      </c>
      <c r="B5605" s="16" t="str">
        <f>TEXT(PARTIDA[[#This Row],[PARTIDA]],"0000000000")</f>
        <v>7308300000</v>
      </c>
      <c r="C5605" s="16" t="s">
        <v>860</v>
      </c>
      <c r="D5605" s="16" t="s">
        <v>861</v>
      </c>
      <c r="E5605" s="16" t="s">
        <v>9473</v>
      </c>
      <c r="F5605" s="27" t="s">
        <v>14008</v>
      </c>
      <c r="G5605" s="27"/>
      <c r="H5605" s="16" t="str">
        <f>IF(ISBLANK(PARTIDAS!$G5605),PARTIDAS!$F5605,CONCATENATE(PARTIDAS!$F5605," (",PARTIDAS!$G5605,")"))</f>
        <v>Puertas y ventanas y sus marcos, contramarcos y umbrales</v>
      </c>
      <c r="I5605" s="16" t="s">
        <v>9427</v>
      </c>
    </row>
    <row r="5606" spans="1:9" x14ac:dyDescent="0.25">
      <c r="A5606" s="16" t="s">
        <v>6537</v>
      </c>
      <c r="B5606" s="16" t="str">
        <f>TEXT(PARTIDA[[#This Row],[PARTIDA]],"0000000000")</f>
        <v>7308400000</v>
      </c>
      <c r="C5606" s="16" t="s">
        <v>860</v>
      </c>
      <c r="D5606" s="16" t="s">
        <v>861</v>
      </c>
      <c r="E5606" s="16" t="s">
        <v>9473</v>
      </c>
      <c r="F5606" s="27" t="s">
        <v>14009</v>
      </c>
      <c r="G5606" s="27"/>
      <c r="H5606" s="16" t="str">
        <f>IF(ISBLANK(PARTIDAS!$G5606),PARTIDAS!$F5606,CONCATENATE(PARTIDAS!$F5606," (",PARTIDAS!$G5606,")"))</f>
        <v>Material de andamiaje, encofrado, apeo o apuntalamiento</v>
      </c>
      <c r="I5606" s="16" t="s">
        <v>9427</v>
      </c>
    </row>
    <row r="5607" spans="1:9" x14ac:dyDescent="0.25">
      <c r="A5607" s="16" t="s">
        <v>6538</v>
      </c>
      <c r="B5607" s="16" t="str">
        <f>TEXT(PARTIDA[[#This Row],[PARTIDA]],"0000000000")</f>
        <v>7308901000</v>
      </c>
      <c r="C5607" s="16" t="s">
        <v>860</v>
      </c>
      <c r="D5607" s="16" t="s">
        <v>861</v>
      </c>
      <c r="E5607" s="16" t="s">
        <v>9473</v>
      </c>
      <c r="F5607" s="27" t="s">
        <v>14010</v>
      </c>
      <c r="G5607" s="27"/>
      <c r="H5607" s="16" t="str">
        <f>IF(ISBLANK(PARTIDAS!$G5607),PARTIDAS!$F5607,CONCATENATE(PARTIDAS!$F5607," (",PARTIDAS!$G5607,")"))</f>
        <v>Chapas, barras, perfiles, tubos y similares, preparados para la construcción</v>
      </c>
      <c r="I5607" s="16" t="s">
        <v>9427</v>
      </c>
    </row>
    <row r="5608" spans="1:9" x14ac:dyDescent="0.25">
      <c r="A5608" s="16" t="s">
        <v>6539</v>
      </c>
      <c r="B5608" s="16" t="str">
        <f>TEXT(PARTIDA[[#This Row],[PARTIDA]],"0000000000")</f>
        <v>7308902000</v>
      </c>
      <c r="C5608" s="16" t="s">
        <v>860</v>
      </c>
      <c r="D5608" s="16" t="s">
        <v>861</v>
      </c>
      <c r="E5608" s="16" t="s">
        <v>9473</v>
      </c>
      <c r="F5608" s="27" t="s">
        <v>14011</v>
      </c>
      <c r="G5608" s="27"/>
      <c r="H5608" s="16" t="str">
        <f>IF(ISBLANK(PARTIDAS!$G5608),PARTIDAS!$F5608,CONCATENATE(PARTIDAS!$F5608," (",PARTIDAS!$G5608,")"))</f>
        <v>Compuertas de esclusas</v>
      </c>
      <c r="I5608" s="16" t="s">
        <v>9427</v>
      </c>
    </row>
    <row r="5609" spans="1:9" x14ac:dyDescent="0.25">
      <c r="A5609" s="16" t="s">
        <v>6540</v>
      </c>
      <c r="B5609" s="16" t="str">
        <f>TEXT(PARTIDA[[#This Row],[PARTIDA]],"0000000000")</f>
        <v>7308909000</v>
      </c>
      <c r="C5609" s="16" t="s">
        <v>860</v>
      </c>
      <c r="D5609" s="16" t="s">
        <v>861</v>
      </c>
      <c r="E5609" s="16" t="s">
        <v>9473</v>
      </c>
      <c r="F5609" s="27" t="s">
        <v>6541</v>
      </c>
      <c r="G5609" s="27"/>
      <c r="H5609" s="16" t="str">
        <f>IF(ISBLANK(PARTIDAS!$G5609),PARTIDAS!$F5609,CONCATENATE(PARTIDAS!$F5609," (",PARTIDAS!$G5609,")"))</f>
        <v>Manufacturas de hierro o acero</v>
      </c>
      <c r="I5609" s="16" t="s">
        <v>9427</v>
      </c>
    </row>
    <row r="5610" spans="1:9" x14ac:dyDescent="0.25">
      <c r="A5610" s="16" t="s">
        <v>6542</v>
      </c>
      <c r="B5610" s="16" t="str">
        <f>TEXT(PARTIDA[[#This Row],[PARTIDA]],"0000000000")</f>
        <v>7309000000</v>
      </c>
      <c r="C5610" s="16" t="s">
        <v>815</v>
      </c>
      <c r="D5610" s="16" t="s">
        <v>835</v>
      </c>
      <c r="E5610" s="16" t="s">
        <v>9463</v>
      </c>
      <c r="F5610" s="27" t="s">
        <v>6543</v>
      </c>
      <c r="G5610" s="27"/>
      <c r="H5610" s="16" t="str">
        <f>IF(ISBLANK(PARTIDAS!$G5610),PARTIDAS!$F5610,CONCATENATE(PARTIDAS!$F5610," (",PARTIDAS!$G5610,")"))</f>
        <v>Depósitos, cisternas, cubas y recipientes similares
para cualquier materia (excepto gas comprimido o
licuado), de fundición, hierro o acero, de
capacidad superior a 300 l, sin dispositivos
mecánicos ni térmicos, incluso con revestimiento
interior o calorífugo.</v>
      </c>
      <c r="I5610" s="16" t="s">
        <v>9427</v>
      </c>
    </row>
    <row r="5611" spans="1:9" x14ac:dyDescent="0.25">
      <c r="A5611" s="16" t="s">
        <v>6544</v>
      </c>
      <c r="B5611" s="16" t="str">
        <f>TEXT(PARTIDA[[#This Row],[PARTIDA]],"0000000000")</f>
        <v>7310100000</v>
      </c>
      <c r="C5611" s="16" t="s">
        <v>815</v>
      </c>
      <c r="D5611" s="16" t="s">
        <v>835</v>
      </c>
      <c r="E5611" s="16" t="s">
        <v>9463</v>
      </c>
      <c r="F5611" s="27" t="s">
        <v>14012</v>
      </c>
      <c r="G5611" s="27"/>
      <c r="H5611" s="16" t="str">
        <f>IF(ISBLANK(PARTIDAS!$G5611),PARTIDAS!$F5611,CONCATENATE(PARTIDAS!$F5611," (",PARTIDAS!$G5611,")"))</f>
        <v>Depósitos, barriles, tambores, bidones, latas o botes, cajas y…, de capacidad superior o igual a 50 l</v>
      </c>
      <c r="I5611" s="16" t="s">
        <v>9427</v>
      </c>
    </row>
    <row r="5612" spans="1:9" x14ac:dyDescent="0.25">
      <c r="A5612" s="16" t="s">
        <v>6545</v>
      </c>
      <c r="B5612" s="16" t="str">
        <f>TEXT(PARTIDA[[#This Row],[PARTIDA]],"0000000000")</f>
        <v>7310210000</v>
      </c>
      <c r="C5612" s="16" t="s">
        <v>815</v>
      </c>
      <c r="D5612" s="16" t="s">
        <v>835</v>
      </c>
      <c r="E5612" s="16" t="s">
        <v>9463</v>
      </c>
      <c r="F5612" s="27" t="s">
        <v>14013</v>
      </c>
      <c r="G5612" s="27"/>
      <c r="H5612" s="16" t="str">
        <f>IF(ISBLANK(PARTIDAS!$G5612),PARTIDAS!$F5612,CONCATENATE(PARTIDAS!$F5612," (",PARTIDAS!$G5612,")"))</f>
        <v>Latas o botes para ser cerrados por soldadura o rebordeado</v>
      </c>
      <c r="I5612" s="16" t="s">
        <v>9427</v>
      </c>
    </row>
    <row r="5613" spans="1:9" x14ac:dyDescent="0.25">
      <c r="A5613" s="16" t="s">
        <v>6546</v>
      </c>
      <c r="B5613" s="16" t="str">
        <f>TEXT(PARTIDA[[#This Row],[PARTIDA]],"0000000000")</f>
        <v>7310291000</v>
      </c>
      <c r="C5613" s="16" t="s">
        <v>815</v>
      </c>
      <c r="D5613" s="16" t="s">
        <v>835</v>
      </c>
      <c r="E5613" s="16" t="s">
        <v>9463</v>
      </c>
      <c r="F5613" s="27" t="s">
        <v>14014</v>
      </c>
      <c r="G5613" s="27"/>
      <c r="H5613" s="16" t="str">
        <f>IF(ISBLANK(PARTIDAS!$G5613),PARTIDAS!$F5613,CONCATENATE(PARTIDAS!$F5613," (",PARTIDAS!$G5613,")"))</f>
        <v>Recipientes de doble pared para el transporte y envasado del semen</v>
      </c>
      <c r="I5613" s="16" t="s">
        <v>9427</v>
      </c>
    </row>
    <row r="5614" spans="1:9" x14ac:dyDescent="0.25">
      <c r="A5614" s="16" t="s">
        <v>6547</v>
      </c>
      <c r="B5614" s="16" t="str">
        <f>TEXT(PARTIDA[[#This Row],[PARTIDA]],"0000000000")</f>
        <v>7310299000</v>
      </c>
      <c r="C5614" s="16" t="s">
        <v>815</v>
      </c>
      <c r="D5614" s="16" t="s">
        <v>835</v>
      </c>
      <c r="E5614" s="16" t="s">
        <v>9463</v>
      </c>
      <c r="F5614" s="27" t="s">
        <v>14015</v>
      </c>
      <c r="G5614" s="27"/>
      <c r="H5614" s="16" t="str">
        <f>IF(ISBLANK(PARTIDAS!$G5614),PARTIDAS!$F5614,CONCATENATE(PARTIDAS!$F5614," (",PARTIDAS!$G5614,")"))</f>
        <v>Depósitos, barriles, tambores, bidones, latas o botes…, de capacidad inferior a 50 l (los demás)</v>
      </c>
      <c r="I5614" s="16" t="s">
        <v>9427</v>
      </c>
    </row>
    <row r="5615" spans="1:9" x14ac:dyDescent="0.25">
      <c r="A5615" s="16" t="s">
        <v>6548</v>
      </c>
      <c r="B5615" s="16" t="str">
        <f>TEXT(PARTIDA[[#This Row],[PARTIDA]],"0000000000")</f>
        <v>7311001000</v>
      </c>
      <c r="C5615" s="16" t="s">
        <v>860</v>
      </c>
      <c r="D5615" s="16" t="s">
        <v>873</v>
      </c>
      <c r="E5615" s="16" t="s">
        <v>9482</v>
      </c>
      <c r="F5615" s="27" t="s">
        <v>9219</v>
      </c>
      <c r="G5615" s="27"/>
      <c r="H5615" s="16" t="str">
        <f>IF(ISBLANK(PARTIDAS!$G5615),PARTIDAS!$F5615,CONCATENATE(PARTIDAS!$F5615," (",PARTIDAS!$G5615,")"))</f>
        <v>Depósitos, barriles, tambores, bidones, latas o botes, cajas y…, sin soldadura</v>
      </c>
      <c r="I5615" s="16" t="s">
        <v>9477</v>
      </c>
    </row>
    <row r="5616" spans="1:9" x14ac:dyDescent="0.25">
      <c r="A5616" s="16" t="s">
        <v>6549</v>
      </c>
      <c r="B5616" s="16" t="str">
        <f>TEXT(PARTIDA[[#This Row],[PARTIDA]],"0000000000")</f>
        <v>7311009000</v>
      </c>
      <c r="C5616" s="16" t="s">
        <v>815</v>
      </c>
      <c r="D5616" s="16" t="s">
        <v>835</v>
      </c>
      <c r="E5616" s="16" t="s">
        <v>9463</v>
      </c>
      <c r="F5616" s="27" t="s">
        <v>14016</v>
      </c>
      <c r="G5616" s="27"/>
      <c r="H5616" s="16" t="str">
        <f>IF(ISBLANK(PARTIDAS!$G5616),PARTIDAS!$F5616,CONCATENATE(PARTIDAS!$F5616," (",PARTIDAS!$G5616,")"))</f>
        <v>Depósitos, barriles, tambores, bidones, latas o botes, cajas y… (los demás)</v>
      </c>
      <c r="I5616" s="16" t="s">
        <v>9427</v>
      </c>
    </row>
    <row r="5617" spans="1:9" x14ac:dyDescent="0.25">
      <c r="A5617" s="16" t="s">
        <v>6550</v>
      </c>
      <c r="B5617" s="16" t="str">
        <f>TEXT(PARTIDA[[#This Row],[PARTIDA]],"0000000000")</f>
        <v>7312101000</v>
      </c>
      <c r="C5617" s="16" t="s">
        <v>815</v>
      </c>
      <c r="D5617" s="16" t="s">
        <v>835</v>
      </c>
      <c r="E5617" s="16" t="s">
        <v>9463</v>
      </c>
      <c r="F5617" s="27" t="s">
        <v>14017</v>
      </c>
      <c r="G5617" s="27"/>
      <c r="H5617" s="16" t="str">
        <f>IF(ISBLANK(PARTIDAS!$G5617),PARTIDAS!$F5617,CONCATENATE(PARTIDAS!$F5617," (",PARTIDAS!$G5617,")"))</f>
        <v>Cables, para armadura de neumáticos</v>
      </c>
      <c r="I5617" s="16" t="s">
        <v>9427</v>
      </c>
    </row>
    <row r="5618" spans="1:9" x14ac:dyDescent="0.25">
      <c r="A5618" s="16" t="s">
        <v>6551</v>
      </c>
      <c r="B5618" s="16" t="str">
        <f>TEXT(PARTIDA[[#This Row],[PARTIDA]],"0000000000")</f>
        <v>7312109000</v>
      </c>
      <c r="C5618" s="16" t="s">
        <v>815</v>
      </c>
      <c r="D5618" s="16" t="s">
        <v>835</v>
      </c>
      <c r="E5618" s="16" t="s">
        <v>9463</v>
      </c>
      <c r="F5618" s="27" t="s">
        <v>6552</v>
      </c>
      <c r="G5618" s="27"/>
      <c r="H5618" s="16" t="str">
        <f>IF(ISBLANK(PARTIDAS!$G5618),PARTIDAS!$F5618,CONCATENATE(PARTIDAS!$F5618," (",PARTIDAS!$G5618,")"))</f>
        <v>Cables de hierro o acero</v>
      </c>
      <c r="I5618" s="16" t="s">
        <v>9477</v>
      </c>
    </row>
    <row r="5619" spans="1:9" x14ac:dyDescent="0.25">
      <c r="A5619" s="16" t="s">
        <v>6553</v>
      </c>
      <c r="B5619" s="16" t="str">
        <f>TEXT(PARTIDA[[#This Row],[PARTIDA]],"0000000000")</f>
        <v>7312900000</v>
      </c>
      <c r="C5619" s="16" t="s">
        <v>815</v>
      </c>
      <c r="D5619" s="16" t="s">
        <v>835</v>
      </c>
      <c r="E5619" s="16" t="s">
        <v>9463</v>
      </c>
      <c r="F5619" s="27" t="s">
        <v>14018</v>
      </c>
      <c r="G5619" s="27"/>
      <c r="H5619" s="16" t="str">
        <f>IF(ISBLANK(PARTIDAS!$G5619),PARTIDAS!$F5619,CONCATENATE(PARTIDAS!$F5619," (",PARTIDAS!$G5619,")"))</f>
        <v>Cables, trenzas, eslingas y artículos similares, de hierro o acero… (los demás)</v>
      </c>
      <c r="I5619" s="16" t="s">
        <v>9427</v>
      </c>
    </row>
    <row r="5620" spans="1:9" x14ac:dyDescent="0.25">
      <c r="A5620" s="16" t="s">
        <v>6554</v>
      </c>
      <c r="B5620" s="16" t="str">
        <f>TEXT(PARTIDA[[#This Row],[PARTIDA]],"0000000000")</f>
        <v>7313001000</v>
      </c>
      <c r="C5620" s="16" t="s">
        <v>815</v>
      </c>
      <c r="D5620" s="16" t="s">
        <v>835</v>
      </c>
      <c r="E5620" s="16" t="s">
        <v>9463</v>
      </c>
      <c r="F5620" s="27" t="s">
        <v>14019</v>
      </c>
      <c r="G5620" s="27"/>
      <c r="H5620" s="16" t="str">
        <f>IF(ISBLANK(PARTIDAS!$G5620),PARTIDAS!$F5620,CONCATENATE(PARTIDAS!$F5620," (",PARTIDAS!$G5620,")"))</f>
        <v>Alambre de púas</v>
      </c>
      <c r="I5620" s="16" t="s">
        <v>9427</v>
      </c>
    </row>
    <row r="5621" spans="1:9" x14ac:dyDescent="0.25">
      <c r="A5621" s="16" t="s">
        <v>6555</v>
      </c>
      <c r="B5621" s="16" t="str">
        <f>TEXT(PARTIDA[[#This Row],[PARTIDA]],"0000000000")</f>
        <v>7313009000</v>
      </c>
      <c r="C5621" s="16" t="s">
        <v>815</v>
      </c>
      <c r="D5621" s="16" t="s">
        <v>835</v>
      </c>
      <c r="E5621" s="16" t="s">
        <v>9463</v>
      </c>
      <c r="F5621" s="27" t="s">
        <v>14018</v>
      </c>
      <c r="G5621" s="27"/>
      <c r="H5621" s="16" t="str">
        <f>IF(ISBLANK(PARTIDAS!$G5621),PARTIDAS!$F5621,CONCATENATE(PARTIDAS!$F5621," (",PARTIDAS!$G5621,")"))</f>
        <v>Cables, trenzas, eslingas y artículos similares, de hierro o acero… (los demás)</v>
      </c>
      <c r="I5621" s="16" t="s">
        <v>9427</v>
      </c>
    </row>
    <row r="5622" spans="1:9" x14ac:dyDescent="0.25">
      <c r="A5622" s="16" t="s">
        <v>6556</v>
      </c>
      <c r="B5622" s="16" t="str">
        <f>TEXT(PARTIDA[[#This Row],[PARTIDA]],"0000000000")</f>
        <v>7314120000</v>
      </c>
      <c r="C5622" s="16" t="s">
        <v>815</v>
      </c>
      <c r="D5622" s="16" t="s">
        <v>835</v>
      </c>
      <c r="E5622" s="16" t="s">
        <v>9463</v>
      </c>
      <c r="F5622" s="27" t="s">
        <v>14020</v>
      </c>
      <c r="G5622" s="27"/>
      <c r="H5622" s="16" t="str">
        <f>IF(ISBLANK(PARTIDAS!$G5622),PARTIDAS!$F5622,CONCATENATE(PARTIDAS!$F5622," (",PARTIDAS!$G5622,")"))</f>
        <v>Telas metálicas continuas o sin fin, de acero inoxidable, para máquinas</v>
      </c>
      <c r="I5622" s="16" t="s">
        <v>9427</v>
      </c>
    </row>
    <row r="5623" spans="1:9" x14ac:dyDescent="0.25">
      <c r="A5623" s="16" t="s">
        <v>6557</v>
      </c>
      <c r="B5623" s="16" t="str">
        <f>TEXT(PARTIDA[[#This Row],[PARTIDA]],"0000000000")</f>
        <v>7314140000</v>
      </c>
      <c r="C5623" s="16" t="s">
        <v>815</v>
      </c>
      <c r="D5623" s="16" t="s">
        <v>835</v>
      </c>
      <c r="E5623" s="16" t="s">
        <v>9463</v>
      </c>
      <c r="F5623" s="27" t="s">
        <v>14021</v>
      </c>
      <c r="G5623" s="27"/>
      <c r="H5623" s="16" t="str">
        <f>IF(ISBLANK(PARTIDAS!$G5623),PARTIDAS!$F5623,CONCATENATE(PARTIDAS!$F5623," (",PARTIDAS!$G5623,")"))</f>
        <v>Telas metálicas tejidas (los demás, telas metálicas tejidas, de acero inoxidable)</v>
      </c>
      <c r="I5623" s="16" t="s">
        <v>9427</v>
      </c>
    </row>
    <row r="5624" spans="1:9" x14ac:dyDescent="0.25">
      <c r="A5624" s="16" t="s">
        <v>6558</v>
      </c>
      <c r="B5624" s="16" t="str">
        <f>TEXT(PARTIDA[[#This Row],[PARTIDA]],"0000000000")</f>
        <v>7314191000</v>
      </c>
      <c r="C5624" s="16" t="s">
        <v>815</v>
      </c>
      <c r="D5624" s="16" t="s">
        <v>835</v>
      </c>
      <c r="E5624" s="16" t="s">
        <v>9463</v>
      </c>
      <c r="F5624" s="27" t="s">
        <v>14022</v>
      </c>
      <c r="G5624" s="27"/>
      <c r="H5624" s="16" t="str">
        <f>IF(ISBLANK(PARTIDAS!$G5624),PARTIDAS!$F5624,CONCATENATE(PARTIDAS!$F5624," (",PARTIDAS!$G5624,")"))</f>
        <v>Telas metálicas continuas o sin fin, para máquinas</v>
      </c>
      <c r="I5624" s="16" t="s">
        <v>9427</v>
      </c>
    </row>
    <row r="5625" spans="1:9" x14ac:dyDescent="0.25">
      <c r="A5625" s="16" t="s">
        <v>6559</v>
      </c>
      <c r="B5625" s="16" t="str">
        <f>TEXT(PARTIDA[[#This Row],[PARTIDA]],"0000000000")</f>
        <v>7314199000</v>
      </c>
      <c r="C5625" s="16" t="s">
        <v>815</v>
      </c>
      <c r="D5625" s="16" t="s">
        <v>835</v>
      </c>
      <c r="E5625" s="16" t="s">
        <v>9463</v>
      </c>
      <c r="F5625" s="27" t="s">
        <v>6560</v>
      </c>
      <c r="G5625" s="27"/>
      <c r="H5625" s="16" t="str">
        <f>IF(ISBLANK(PARTIDAS!$G5625),PARTIDAS!$F5625,CONCATENATE(PARTIDAS!$F5625," (",PARTIDAS!$G5625,")"))</f>
        <v>Telas metálicas</v>
      </c>
      <c r="I5625" s="16" t="s">
        <v>9427</v>
      </c>
    </row>
    <row r="5626" spans="1:9" x14ac:dyDescent="0.25">
      <c r="A5626" s="16" t="s">
        <v>6561</v>
      </c>
      <c r="B5626" s="16" t="str">
        <f>TEXT(PARTIDA[[#This Row],[PARTIDA]],"0000000000")</f>
        <v>7314200000</v>
      </c>
      <c r="C5626" s="16" t="s">
        <v>815</v>
      </c>
      <c r="D5626" s="16" t="s">
        <v>835</v>
      </c>
      <c r="E5626" s="16" t="s">
        <v>9463</v>
      </c>
      <c r="F5626" s="27" t="s">
        <v>14023</v>
      </c>
      <c r="G5626" s="27"/>
      <c r="H5626" s="16" t="str">
        <f>IF(ISBLANK(PARTIDAS!$G5626),PARTIDAS!$F5626,CONCATENATE(PARTIDAS!$F5626," (",PARTIDAS!$G5626,")"))</f>
        <v>Redes y rejas, soldadas en los puntos de cruce, de alambre cuya mayor dimensión de la sección transversal sea superior o igual a 3 mm y con malla de s</v>
      </c>
      <c r="I5626" s="16" t="s">
        <v>9427</v>
      </c>
    </row>
    <row r="5627" spans="1:9" x14ac:dyDescent="0.25">
      <c r="A5627" s="16" t="s">
        <v>6562</v>
      </c>
      <c r="B5627" s="16" t="str">
        <f>TEXT(PARTIDA[[#This Row],[PARTIDA]],"0000000000")</f>
        <v>7314310000</v>
      </c>
      <c r="C5627" s="16" t="s">
        <v>815</v>
      </c>
      <c r="D5627" s="16" t="s">
        <v>835</v>
      </c>
      <c r="E5627" s="16" t="s">
        <v>9463</v>
      </c>
      <c r="F5627" s="27" t="s">
        <v>14024</v>
      </c>
      <c r="G5627" s="27"/>
      <c r="H5627" s="16" t="str">
        <f>IF(ISBLANK(PARTIDAS!$G5627),PARTIDAS!$F5627,CONCATENATE(PARTIDAS!$F5627," (",PARTIDAS!$G5627,")"))</f>
        <v>Telas metálicas (incluidas las continuas o sin fin), redes y rejas…, cincadas</v>
      </c>
      <c r="I5627" s="16" t="s">
        <v>9427</v>
      </c>
    </row>
    <row r="5628" spans="1:9" x14ac:dyDescent="0.25">
      <c r="A5628" s="16" t="s">
        <v>6563</v>
      </c>
      <c r="B5628" s="16" t="str">
        <f>TEXT(PARTIDA[[#This Row],[PARTIDA]],"0000000000")</f>
        <v>7314390000</v>
      </c>
      <c r="C5628" s="16" t="s">
        <v>815</v>
      </c>
      <c r="D5628" s="16" t="s">
        <v>835</v>
      </c>
      <c r="E5628" s="16" t="s">
        <v>9463</v>
      </c>
      <c r="F5628" s="27" t="s">
        <v>6541</v>
      </c>
      <c r="G5628" s="27"/>
      <c r="H5628" s="16" t="str">
        <f>IF(ISBLANK(PARTIDAS!$G5628),PARTIDAS!$F5628,CONCATENATE(PARTIDAS!$F5628," (",PARTIDAS!$G5628,")"))</f>
        <v>Manufacturas de hierro o acero</v>
      </c>
      <c r="I5628" s="16" t="s">
        <v>9427</v>
      </c>
    </row>
    <row r="5629" spans="1:9" x14ac:dyDescent="0.25">
      <c r="A5629" s="16" t="s">
        <v>6564</v>
      </c>
      <c r="B5629" s="16" t="str">
        <f>TEXT(PARTIDA[[#This Row],[PARTIDA]],"0000000000")</f>
        <v>7314410000</v>
      </c>
      <c r="C5629" s="16" t="s">
        <v>815</v>
      </c>
      <c r="D5629" s="16" t="s">
        <v>835</v>
      </c>
      <c r="E5629" s="16" t="s">
        <v>9463</v>
      </c>
      <c r="F5629" s="27" t="s">
        <v>14024</v>
      </c>
      <c r="G5629" s="27"/>
      <c r="H5629" s="16" t="str">
        <f>IF(ISBLANK(PARTIDAS!$G5629),PARTIDAS!$F5629,CONCATENATE(PARTIDAS!$F5629," (",PARTIDAS!$G5629,")"))</f>
        <v>Telas metálicas (incluidas las continuas o sin fin), redes y rejas…, cincadas</v>
      </c>
      <c r="I5629" s="16" t="s">
        <v>9427</v>
      </c>
    </row>
    <row r="5630" spans="1:9" x14ac:dyDescent="0.25">
      <c r="A5630" s="16" t="s">
        <v>6565</v>
      </c>
      <c r="B5630" s="16" t="str">
        <f>TEXT(PARTIDA[[#This Row],[PARTIDA]],"0000000000")</f>
        <v>7314420000</v>
      </c>
      <c r="C5630" s="16" t="s">
        <v>815</v>
      </c>
      <c r="D5630" s="16" t="s">
        <v>835</v>
      </c>
      <c r="E5630" s="16" t="s">
        <v>9463</v>
      </c>
      <c r="F5630" s="27" t="s">
        <v>14025</v>
      </c>
      <c r="G5630" s="27"/>
      <c r="H5630" s="16" t="str">
        <f>IF(ISBLANK(PARTIDAS!$G5630),PARTIDAS!$F5630,CONCATENATE(PARTIDAS!$F5630," (",PARTIDAS!$G5630,")"))</f>
        <v>Revestidas de plástico</v>
      </c>
      <c r="I5630" s="16" t="s">
        <v>9427</v>
      </c>
    </row>
    <row r="5631" spans="1:9" x14ac:dyDescent="0.25">
      <c r="A5631" s="16" t="s">
        <v>6566</v>
      </c>
      <c r="B5631" s="16" t="str">
        <f>TEXT(PARTIDA[[#This Row],[PARTIDA]],"0000000000")</f>
        <v>7314490000</v>
      </c>
      <c r="C5631" s="16" t="s">
        <v>815</v>
      </c>
      <c r="D5631" s="16" t="s">
        <v>835</v>
      </c>
      <c r="E5631" s="16" t="s">
        <v>9463</v>
      </c>
      <c r="F5631" s="27" t="s">
        <v>6541</v>
      </c>
      <c r="G5631" s="27"/>
      <c r="H5631" s="16" t="str">
        <f>IF(ISBLANK(PARTIDAS!$G5631),PARTIDAS!$F5631,CONCATENATE(PARTIDAS!$F5631," (",PARTIDAS!$G5631,")"))</f>
        <v>Manufacturas de hierro o acero</v>
      </c>
      <c r="I5631" s="16" t="s">
        <v>9427</v>
      </c>
    </row>
    <row r="5632" spans="1:9" x14ac:dyDescent="0.25">
      <c r="A5632" s="16" t="s">
        <v>6567</v>
      </c>
      <c r="B5632" s="16" t="str">
        <f>TEXT(PARTIDA[[#This Row],[PARTIDA]],"0000000000")</f>
        <v>7314500000</v>
      </c>
      <c r="C5632" s="16" t="s">
        <v>815</v>
      </c>
      <c r="D5632" s="16" t="s">
        <v>835</v>
      </c>
      <c r="E5632" s="16" t="s">
        <v>9463</v>
      </c>
      <c r="F5632" s="27" t="s">
        <v>14026</v>
      </c>
      <c r="G5632" s="27"/>
      <c r="H5632" s="16" t="str">
        <f>IF(ISBLANK(PARTIDAS!$G5632),PARTIDAS!$F5632,CONCATENATE(PARTIDAS!$F5632," (",PARTIDAS!$G5632,")"))</f>
        <v>Chapas y tiras, extendidas (desplegadas)</v>
      </c>
      <c r="I5632" s="16" t="s">
        <v>9427</v>
      </c>
    </row>
    <row r="5633" spans="1:9" x14ac:dyDescent="0.25">
      <c r="A5633" s="16" t="s">
        <v>6568</v>
      </c>
      <c r="B5633" s="16" t="str">
        <f>TEXT(PARTIDA[[#This Row],[PARTIDA]],"0000000000")</f>
        <v>7315110000</v>
      </c>
      <c r="C5633" s="16" t="s">
        <v>815</v>
      </c>
      <c r="D5633" s="16" t="s">
        <v>835</v>
      </c>
      <c r="E5633" s="16" t="s">
        <v>9463</v>
      </c>
      <c r="F5633" s="27" t="s">
        <v>14027</v>
      </c>
      <c r="G5633" s="27"/>
      <c r="H5633" s="16" t="str">
        <f>IF(ISBLANK(PARTIDAS!$G5633),PARTIDAS!$F5633,CONCATENATE(PARTIDAS!$F5633," (",PARTIDAS!$G5633,")"))</f>
        <v>Cadenas de rodillos</v>
      </c>
      <c r="I5633" s="16" t="s">
        <v>9427</v>
      </c>
    </row>
    <row r="5634" spans="1:9" x14ac:dyDescent="0.25">
      <c r="A5634" s="16" t="s">
        <v>6569</v>
      </c>
      <c r="B5634" s="16" t="str">
        <f>TEXT(PARTIDA[[#This Row],[PARTIDA]],"0000000000")</f>
        <v>7315120000</v>
      </c>
      <c r="C5634" s="16" t="s">
        <v>815</v>
      </c>
      <c r="D5634" s="16" t="s">
        <v>835</v>
      </c>
      <c r="E5634" s="16" t="s">
        <v>9463</v>
      </c>
      <c r="F5634" s="27" t="s">
        <v>14028</v>
      </c>
      <c r="G5634" s="27"/>
      <c r="H5634" s="16" t="str">
        <f>IF(ISBLANK(PARTIDAS!$G5634),PARTIDAS!$F5634,CONCATENATE(PARTIDAS!$F5634," (",PARTIDAS!$G5634,")"))</f>
        <v>Cadenas de eslabones articulados y sus partes (los demás, cadenas)</v>
      </c>
      <c r="I5634" s="16" t="s">
        <v>9427</v>
      </c>
    </row>
    <row r="5635" spans="1:9" x14ac:dyDescent="0.25">
      <c r="A5635" s="16" t="s">
        <v>6570</v>
      </c>
      <c r="B5635" s="16" t="str">
        <f>TEXT(PARTIDA[[#This Row],[PARTIDA]],"0000000000")</f>
        <v>7315190000</v>
      </c>
      <c r="C5635" s="16" t="s">
        <v>815</v>
      </c>
      <c r="D5635" s="16" t="s">
        <v>835</v>
      </c>
      <c r="E5635" s="16" t="s">
        <v>9463</v>
      </c>
      <c r="F5635" s="27" t="s">
        <v>14029</v>
      </c>
      <c r="G5635" s="27"/>
      <c r="H5635" s="16" t="str">
        <f>IF(ISBLANK(PARTIDAS!$G5635),PARTIDAS!$F5635,CONCATENATE(PARTIDAS!$F5635," (",PARTIDAS!$G5635,")"))</f>
        <v>Cadenas de eslabones articulados y sus partes, partes</v>
      </c>
      <c r="I5635" s="16" t="s">
        <v>9427</v>
      </c>
    </row>
    <row r="5636" spans="1:9" x14ac:dyDescent="0.25">
      <c r="A5636" s="16" t="s">
        <v>6571</v>
      </c>
      <c r="B5636" s="16" t="str">
        <f>TEXT(PARTIDA[[#This Row],[PARTIDA]],"0000000000")</f>
        <v>7315200000</v>
      </c>
      <c r="C5636" s="16" t="s">
        <v>815</v>
      </c>
      <c r="D5636" s="16" t="s">
        <v>835</v>
      </c>
      <c r="E5636" s="16" t="s">
        <v>9463</v>
      </c>
      <c r="F5636" s="27" t="s">
        <v>14030</v>
      </c>
      <c r="G5636" s="27"/>
      <c r="H5636" s="16" t="str">
        <f>IF(ISBLANK(PARTIDAS!$G5636),PARTIDAS!$F5636,CONCATENATE(PARTIDAS!$F5636," (",PARTIDAS!$G5636,")"))</f>
        <v>Cadenas antideslizantes</v>
      </c>
      <c r="I5636" s="16" t="s">
        <v>9427</v>
      </c>
    </row>
    <row r="5637" spans="1:9" x14ac:dyDescent="0.25">
      <c r="A5637" s="16" t="s">
        <v>6572</v>
      </c>
      <c r="B5637" s="16" t="str">
        <f>TEXT(PARTIDA[[#This Row],[PARTIDA]],"0000000000")</f>
        <v>7315810000</v>
      </c>
      <c r="C5637" s="16" t="s">
        <v>815</v>
      </c>
      <c r="D5637" s="16" t="s">
        <v>835</v>
      </c>
      <c r="E5637" s="16" t="s">
        <v>9463</v>
      </c>
      <c r="F5637" s="27" t="s">
        <v>9170</v>
      </c>
      <c r="G5637" s="27"/>
      <c r="H5637" s="16" t="str">
        <f>IF(ISBLANK(PARTIDAS!$G5637),PARTIDAS!$F5637,CONCATENATE(PARTIDAS!$F5637," (",PARTIDAS!$G5637,")"))</f>
        <v>Cadenas de eslabones con contrete (travesaño)</v>
      </c>
      <c r="I5637" s="16" t="s">
        <v>9477</v>
      </c>
    </row>
    <row r="5638" spans="1:9" x14ac:dyDescent="0.25">
      <c r="A5638" s="16" t="s">
        <v>6573</v>
      </c>
      <c r="B5638" s="16" t="str">
        <f>TEXT(PARTIDA[[#This Row],[PARTIDA]],"0000000000")</f>
        <v>7315820000</v>
      </c>
      <c r="C5638" s="16" t="s">
        <v>815</v>
      </c>
      <c r="D5638" s="16" t="s">
        <v>835</v>
      </c>
      <c r="E5638" s="16" t="s">
        <v>9463</v>
      </c>
      <c r="F5638" s="27" t="s">
        <v>14031</v>
      </c>
      <c r="G5638" s="27"/>
      <c r="H5638" s="16" t="str">
        <f>IF(ISBLANK(PARTIDAS!$G5638),PARTIDAS!$F5638,CONCATENATE(PARTIDAS!$F5638," (",PARTIDAS!$G5638,")"))</f>
        <v>Cadenas y sus partes, de fundición, hierro o acero (los demás, cadenas, de eslabones soldados)</v>
      </c>
      <c r="I5638" s="16" t="s">
        <v>9427</v>
      </c>
    </row>
    <row r="5639" spans="1:9" x14ac:dyDescent="0.25">
      <c r="A5639" s="16" t="s">
        <v>6574</v>
      </c>
      <c r="B5639" s="16" t="str">
        <f>TEXT(PARTIDA[[#This Row],[PARTIDA]],"0000000000")</f>
        <v>7315890000</v>
      </c>
      <c r="C5639" s="16" t="s">
        <v>815</v>
      </c>
      <c r="D5639" s="16" t="s">
        <v>835</v>
      </c>
      <c r="E5639" s="16" t="s">
        <v>9463</v>
      </c>
      <c r="F5639" s="27" t="s">
        <v>14032</v>
      </c>
      <c r="G5639" s="27"/>
      <c r="H5639" s="16" t="str">
        <f>IF(ISBLANK(PARTIDAS!$G5639),PARTIDAS!$F5639,CONCATENATE(PARTIDAS!$F5639," (",PARTIDAS!$G5639,")"))</f>
        <v>Cadenas y sus partes, de fundición, hierro o acero (los demás)</v>
      </c>
      <c r="I5639" s="16" t="s">
        <v>9427</v>
      </c>
    </row>
    <row r="5640" spans="1:9" x14ac:dyDescent="0.25">
      <c r="A5640" s="16" t="s">
        <v>6575</v>
      </c>
      <c r="B5640" s="16" t="str">
        <f>TEXT(PARTIDA[[#This Row],[PARTIDA]],"0000000000")</f>
        <v>7315900000</v>
      </c>
      <c r="C5640" s="16" t="s">
        <v>815</v>
      </c>
      <c r="D5640" s="16" t="s">
        <v>835</v>
      </c>
      <c r="E5640" s="16" t="s">
        <v>9463</v>
      </c>
      <c r="F5640" s="27" t="s">
        <v>14033</v>
      </c>
      <c r="G5640" s="27"/>
      <c r="H5640" s="16" t="str">
        <f>IF(ISBLANK(PARTIDAS!$G5640),PARTIDAS!$F5640,CONCATENATE(PARTIDAS!$F5640," (",PARTIDAS!$G5640,")"))</f>
        <v>Cadenas y sus partes, de fundición, hierro o acero (los demás, partes)</v>
      </c>
      <c r="I5640" s="16" t="s">
        <v>9427</v>
      </c>
    </row>
    <row r="5641" spans="1:9" x14ac:dyDescent="0.25">
      <c r="A5641" s="16" t="s">
        <v>6576</v>
      </c>
      <c r="B5641" s="16" t="str">
        <f>TEXT(PARTIDA[[#This Row],[PARTIDA]],"0000000000")</f>
        <v>7316000000</v>
      </c>
      <c r="C5641" s="16" t="s">
        <v>815</v>
      </c>
      <c r="D5641" s="16" t="s">
        <v>835</v>
      </c>
      <c r="E5641" s="16" t="s">
        <v>9463</v>
      </c>
      <c r="F5641" s="27" t="s">
        <v>6577</v>
      </c>
      <c r="G5641" s="27"/>
      <c r="H5641" s="16" t="str">
        <f>IF(ISBLANK(PARTIDAS!$G5641),PARTIDAS!$F5641,CONCATENATE(PARTIDAS!$F5641," (",PARTIDAS!$G5641,")"))</f>
        <v>Anclas, rezones y sus partes, de fundición, hierro
o acero.</v>
      </c>
      <c r="I5641" s="16" t="s">
        <v>9427</v>
      </c>
    </row>
    <row r="5642" spans="1:9" x14ac:dyDescent="0.25">
      <c r="A5642" s="16" t="s">
        <v>6578</v>
      </c>
      <c r="B5642" s="16" t="str">
        <f>TEXT(PARTIDA[[#This Row],[PARTIDA]],"0000000000")</f>
        <v>7317000000</v>
      </c>
      <c r="C5642" s="16" t="s">
        <v>815</v>
      </c>
      <c r="D5642" s="16" t="s">
        <v>835</v>
      </c>
      <c r="E5642" s="16" t="s">
        <v>9463</v>
      </c>
      <c r="F5642" s="27" t="s">
        <v>6579</v>
      </c>
      <c r="G5642" s="27"/>
      <c r="H5642" s="16" t="str">
        <f>IF(ISBLANK(PARTIDAS!$G5642),PARTIDAS!$F5642,CONCATENATE(PARTIDAS!$F5642," (",PARTIDAS!$G5642,")"))</f>
        <v>Puntas, clavos, chinches, grapas</v>
      </c>
      <c r="I5642" s="16" t="s">
        <v>9427</v>
      </c>
    </row>
    <row r="5643" spans="1:9" x14ac:dyDescent="0.25">
      <c r="A5643" s="16" t="s">
        <v>6580</v>
      </c>
      <c r="B5643" s="16" t="str">
        <f>TEXT(PARTIDA[[#This Row],[PARTIDA]],"0000000000")</f>
        <v>7318110000</v>
      </c>
      <c r="C5643" s="16" t="s">
        <v>815</v>
      </c>
      <c r="D5643" s="16" t="s">
        <v>835</v>
      </c>
      <c r="E5643" s="16" t="s">
        <v>9463</v>
      </c>
      <c r="F5643" s="27" t="s">
        <v>6581</v>
      </c>
      <c r="G5643" s="27"/>
      <c r="H5643" s="16" t="str">
        <f>IF(ISBLANK(PARTIDAS!$G5643),PARTIDAS!$F5643,CONCATENATE(PARTIDAS!$F5643," (",PARTIDAS!$G5643,")"))</f>
        <v>Tirafondos</v>
      </c>
      <c r="I5643" s="16" t="s">
        <v>9427</v>
      </c>
    </row>
    <row r="5644" spans="1:9" x14ac:dyDescent="0.25">
      <c r="A5644" s="16" t="s">
        <v>6582</v>
      </c>
      <c r="B5644" s="16" t="str">
        <f>TEXT(PARTIDA[[#This Row],[PARTIDA]],"0000000000")</f>
        <v>7318120000</v>
      </c>
      <c r="C5644" s="16" t="s">
        <v>815</v>
      </c>
      <c r="D5644" s="16" t="s">
        <v>835</v>
      </c>
      <c r="E5644" s="16" t="s">
        <v>9463</v>
      </c>
      <c r="F5644" s="27" t="s">
        <v>14034</v>
      </c>
      <c r="G5644" s="27"/>
      <c r="H5644" s="16" t="str">
        <f>IF(ISBLANK(PARTIDAS!$G5644),PARTIDAS!$F5644,CONCATENATE(PARTIDAS!$F5644," (",PARTIDAS!$G5644,")"))</f>
        <v>Artículos roscados (los demás, tornillos para madera)</v>
      </c>
      <c r="I5644" s="16" t="s">
        <v>9427</v>
      </c>
    </row>
    <row r="5645" spans="1:9" x14ac:dyDescent="0.25">
      <c r="A5645" s="16" t="s">
        <v>6583</v>
      </c>
      <c r="B5645" s="16" t="str">
        <f>TEXT(PARTIDA[[#This Row],[PARTIDA]],"0000000000")</f>
        <v>7318130000</v>
      </c>
      <c r="C5645" s="16" t="s">
        <v>815</v>
      </c>
      <c r="D5645" s="16" t="s">
        <v>835</v>
      </c>
      <c r="E5645" s="16" t="s">
        <v>9463</v>
      </c>
      <c r="F5645" s="27" t="s">
        <v>14035</v>
      </c>
      <c r="G5645" s="27"/>
      <c r="H5645" s="16" t="str">
        <f>IF(ISBLANK(PARTIDAS!$G5645),PARTIDAS!$F5645,CONCATENATE(PARTIDAS!$F5645," (",PARTIDAS!$G5645,")"))</f>
        <v>Escarpias y armellas, roscadas</v>
      </c>
      <c r="I5645" s="16" t="s">
        <v>9427</v>
      </c>
    </row>
    <row r="5646" spans="1:9" x14ac:dyDescent="0.25">
      <c r="A5646" s="16" t="s">
        <v>6584</v>
      </c>
      <c r="B5646" s="16" t="str">
        <f>TEXT(PARTIDA[[#This Row],[PARTIDA]],"0000000000")</f>
        <v>7318140000</v>
      </c>
      <c r="C5646" s="16" t="s">
        <v>815</v>
      </c>
      <c r="D5646" s="16" t="s">
        <v>835</v>
      </c>
      <c r="E5646" s="16" t="s">
        <v>9463</v>
      </c>
      <c r="F5646" s="27" t="s">
        <v>14036</v>
      </c>
      <c r="G5646" s="27"/>
      <c r="H5646" s="16" t="str">
        <f>IF(ISBLANK(PARTIDAS!$G5646),PARTIDAS!$F5646,CONCATENATE(PARTIDAS!$F5646," (",PARTIDAS!$G5646,")"))</f>
        <v>Tornillos taladradores</v>
      </c>
      <c r="I5646" s="16" t="s">
        <v>9427</v>
      </c>
    </row>
    <row r="5647" spans="1:9" x14ac:dyDescent="0.25">
      <c r="A5647" s="16" t="s">
        <v>6585</v>
      </c>
      <c r="B5647" s="16" t="str">
        <f>TEXT(PARTIDA[[#This Row],[PARTIDA]],"0000000000")</f>
        <v>7318151000</v>
      </c>
      <c r="C5647" s="16" t="s">
        <v>815</v>
      </c>
      <c r="D5647" s="16" t="s">
        <v>835</v>
      </c>
      <c r="E5647" s="16" t="s">
        <v>9463</v>
      </c>
      <c r="F5647" s="27" t="s">
        <v>14037</v>
      </c>
      <c r="G5647" s="27"/>
      <c r="H5647" s="16" t="str">
        <f>IF(ISBLANK(PARTIDAS!$G5647),PARTIDAS!$F5647,CONCATENATE(PARTIDAS!$F5647," (",PARTIDAS!$G5647,")"))</f>
        <v>Pernos de anclaje expandibles, para concreto</v>
      </c>
      <c r="I5647" s="16" t="s">
        <v>9427</v>
      </c>
    </row>
    <row r="5648" spans="1:9" x14ac:dyDescent="0.25">
      <c r="A5648" s="16" t="s">
        <v>6586</v>
      </c>
      <c r="B5648" s="16" t="str">
        <f>TEXT(PARTIDA[[#This Row],[PARTIDA]],"0000000000")</f>
        <v>7318159000</v>
      </c>
      <c r="C5648" s="16" t="s">
        <v>815</v>
      </c>
      <c r="D5648" s="16" t="s">
        <v>835</v>
      </c>
      <c r="E5648" s="16" t="s">
        <v>9463</v>
      </c>
      <c r="F5648" s="27" t="s">
        <v>6587</v>
      </c>
      <c r="G5648" s="27"/>
      <c r="H5648" s="16" t="str">
        <f>IF(ISBLANK(PARTIDAS!$G5648),PARTIDAS!$F5648,CONCATENATE(PARTIDAS!$F5648," (",PARTIDAS!$G5648,")"))</f>
        <v>Tornillos y pernos</v>
      </c>
      <c r="I5648" s="16" t="s">
        <v>9427</v>
      </c>
    </row>
    <row r="5649" spans="1:9" x14ac:dyDescent="0.25">
      <c r="A5649" s="16" t="s">
        <v>6588</v>
      </c>
      <c r="B5649" s="16" t="str">
        <f>TEXT(PARTIDA[[#This Row],[PARTIDA]],"0000000000")</f>
        <v>7318160000</v>
      </c>
      <c r="C5649" s="16" t="s">
        <v>815</v>
      </c>
      <c r="D5649" s="16" t="s">
        <v>835</v>
      </c>
      <c r="E5649" s="16" t="s">
        <v>9463</v>
      </c>
      <c r="F5649" s="27" t="s">
        <v>6589</v>
      </c>
      <c r="G5649" s="27"/>
      <c r="H5649" s="16" t="str">
        <f>IF(ISBLANK(PARTIDAS!$G5649),PARTIDAS!$F5649,CONCATENATE(PARTIDAS!$F5649," (",PARTIDAS!$G5649,")"))</f>
        <v>Tuercas</v>
      </c>
      <c r="I5649" s="16" t="s">
        <v>9427</v>
      </c>
    </row>
    <row r="5650" spans="1:9" x14ac:dyDescent="0.25">
      <c r="A5650" s="16" t="s">
        <v>6590</v>
      </c>
      <c r="B5650" s="16" t="str">
        <f>TEXT(PARTIDA[[#This Row],[PARTIDA]],"0000000000")</f>
        <v>7318190000</v>
      </c>
      <c r="C5650" s="16" t="s">
        <v>815</v>
      </c>
      <c r="D5650" s="16" t="s">
        <v>835</v>
      </c>
      <c r="E5650" s="16" t="s">
        <v>9463</v>
      </c>
      <c r="F5650" s="27" t="s">
        <v>14038</v>
      </c>
      <c r="G5650" s="27"/>
      <c r="H5650" s="16" t="str">
        <f>IF(ISBLANK(PARTIDAS!$G5650),PARTIDAS!$F5650,CONCATENATE(PARTIDAS!$F5650," (",PARTIDAS!$G5650,")"))</f>
        <v>Artículos roscados (los demás)</v>
      </c>
      <c r="I5650" s="16" t="s">
        <v>9427</v>
      </c>
    </row>
    <row r="5651" spans="1:9" x14ac:dyDescent="0.25">
      <c r="A5651" s="16" t="s">
        <v>6591</v>
      </c>
      <c r="B5651" s="16" t="str">
        <f>TEXT(PARTIDA[[#This Row],[PARTIDA]],"0000000000")</f>
        <v>7318210000</v>
      </c>
      <c r="C5651" s="16" t="s">
        <v>815</v>
      </c>
      <c r="D5651" s="16" t="s">
        <v>835</v>
      </c>
      <c r="E5651" s="16" t="s">
        <v>9463</v>
      </c>
      <c r="F5651" s="27" t="s">
        <v>14039</v>
      </c>
      <c r="G5651" s="27"/>
      <c r="H5651" s="16" t="str">
        <f>IF(ISBLANK(PARTIDAS!$G5651),PARTIDAS!$F5651,CONCATENATE(PARTIDAS!$F5651," (",PARTIDAS!$G5651,")"))</f>
        <v>Arandelas de muelle (resorte) y las demás de seguridad</v>
      </c>
      <c r="I5651" s="16" t="s">
        <v>9427</v>
      </c>
    </row>
    <row r="5652" spans="1:9" x14ac:dyDescent="0.25">
      <c r="A5652" s="16" t="s">
        <v>6592</v>
      </c>
      <c r="B5652" s="16" t="str">
        <f>TEXT(PARTIDA[[#This Row],[PARTIDA]],"0000000000")</f>
        <v>7318220000</v>
      </c>
      <c r="C5652" s="16" t="s">
        <v>815</v>
      </c>
      <c r="D5652" s="16" t="s">
        <v>835</v>
      </c>
      <c r="E5652" s="16" t="s">
        <v>9463</v>
      </c>
      <c r="F5652" s="27" t="s">
        <v>6593</v>
      </c>
      <c r="G5652" s="27"/>
      <c r="H5652" s="16" t="str">
        <f>IF(ISBLANK(PARTIDAS!$G5652),PARTIDAS!$F5652,CONCATENATE(PARTIDAS!$F5652," (",PARTIDAS!$G5652,")"))</f>
        <v>Arandelas</v>
      </c>
      <c r="I5652" s="16" t="s">
        <v>9427</v>
      </c>
    </row>
    <row r="5653" spans="1:9" x14ac:dyDescent="0.25">
      <c r="A5653" s="16" t="s">
        <v>6594</v>
      </c>
      <c r="B5653" s="16" t="str">
        <f>TEXT(PARTIDA[[#This Row],[PARTIDA]],"0000000000")</f>
        <v>7318230000</v>
      </c>
      <c r="C5653" s="16" t="s">
        <v>815</v>
      </c>
      <c r="D5653" s="16" t="s">
        <v>835</v>
      </c>
      <c r="E5653" s="16" t="s">
        <v>9463</v>
      </c>
      <c r="F5653" s="27" t="s">
        <v>6595</v>
      </c>
      <c r="G5653" s="27"/>
      <c r="H5653" s="16" t="str">
        <f>IF(ISBLANK(PARTIDAS!$G5653),PARTIDAS!$F5653,CONCATENATE(PARTIDAS!$F5653," (",PARTIDAS!$G5653,")"))</f>
        <v>Remaches</v>
      </c>
      <c r="I5653" s="16" t="s">
        <v>9427</v>
      </c>
    </row>
    <row r="5654" spans="1:9" x14ac:dyDescent="0.25">
      <c r="A5654" s="16" t="s">
        <v>6596</v>
      </c>
      <c r="B5654" s="16" t="str">
        <f>TEXT(PARTIDA[[#This Row],[PARTIDA]],"0000000000")</f>
        <v>7318240000</v>
      </c>
      <c r="C5654" s="16" t="s">
        <v>815</v>
      </c>
      <c r="D5654" s="16" t="s">
        <v>835</v>
      </c>
      <c r="E5654" s="16" t="s">
        <v>9463</v>
      </c>
      <c r="F5654" s="27" t="s">
        <v>6597</v>
      </c>
      <c r="G5654" s="27"/>
      <c r="H5654" s="16" t="str">
        <f>IF(ISBLANK(PARTIDAS!$G5654),PARTIDAS!$F5654,CONCATENATE(PARTIDAS!$F5654," (",PARTIDAS!$G5654,")"))</f>
        <v>Pasadores, clavijas y chavetas</v>
      </c>
      <c r="I5654" s="16" t="s">
        <v>9427</v>
      </c>
    </row>
    <row r="5655" spans="1:9" x14ac:dyDescent="0.25">
      <c r="A5655" s="16" t="s">
        <v>6598</v>
      </c>
      <c r="B5655" s="16" t="str">
        <f>TEXT(PARTIDA[[#This Row],[PARTIDA]],"0000000000")</f>
        <v>7318290000</v>
      </c>
      <c r="C5655" s="16" t="s">
        <v>815</v>
      </c>
      <c r="D5655" s="16" t="s">
        <v>835</v>
      </c>
      <c r="E5655" s="16" t="s">
        <v>9463</v>
      </c>
      <c r="F5655" s="27" t="s">
        <v>14040</v>
      </c>
      <c r="G5655" s="27"/>
      <c r="H5655" s="16" t="str">
        <f>IF(ISBLANK(PARTIDAS!$G5655),PARTIDAS!$F5655,CONCATENATE(PARTIDAS!$F5655," (",PARTIDAS!$G5655,")"))</f>
        <v>Artículos sin rosca (los demás)</v>
      </c>
      <c r="I5655" s="16" t="s">
        <v>9427</v>
      </c>
    </row>
    <row r="5656" spans="1:9" x14ac:dyDescent="0.25">
      <c r="A5656" s="16" t="s">
        <v>6599</v>
      </c>
      <c r="B5656" s="16" t="str">
        <f>TEXT(PARTIDA[[#This Row],[PARTIDA]],"0000000000")</f>
        <v>7319400000</v>
      </c>
      <c r="C5656" s="16" t="s">
        <v>815</v>
      </c>
      <c r="D5656" s="16" t="s">
        <v>835</v>
      </c>
      <c r="E5656" s="16" t="s">
        <v>9463</v>
      </c>
      <c r="F5656" s="27" t="s">
        <v>14041</v>
      </c>
      <c r="G5656" s="27"/>
      <c r="H5656" s="16" t="str">
        <f>IF(ISBLANK(PARTIDAS!$G5656),PARTIDAS!$F5656,CONCATENATE(PARTIDAS!$F5656," (",PARTIDAS!$G5656,")"))</f>
        <v>Alfileres de gancho (imperdibles) y demás alfileres</v>
      </c>
      <c r="I5656" s="16" t="s">
        <v>9427</v>
      </c>
    </row>
    <row r="5657" spans="1:9" x14ac:dyDescent="0.25">
      <c r="A5657" s="16" t="s">
        <v>6600</v>
      </c>
      <c r="B5657" s="16" t="str">
        <f>TEXT(PARTIDA[[#This Row],[PARTIDA]],"0000000000")</f>
        <v>7319901000</v>
      </c>
      <c r="C5657" s="16" t="s">
        <v>815</v>
      </c>
      <c r="D5657" s="16" t="s">
        <v>835</v>
      </c>
      <c r="E5657" s="16" t="s">
        <v>9463</v>
      </c>
      <c r="F5657" s="27" t="s">
        <v>14042</v>
      </c>
      <c r="G5657" s="27"/>
      <c r="H5657" s="16" t="str">
        <f>IF(ISBLANK(PARTIDAS!$G5657),PARTIDAS!$F5657,CONCATENATE(PARTIDAS!$F5657," (",PARTIDAS!$G5657,")"))</f>
        <v>Agujas de coser, zurcir o bordar</v>
      </c>
      <c r="I5657" s="16" t="s">
        <v>9427</v>
      </c>
    </row>
    <row r="5658" spans="1:9" x14ac:dyDescent="0.25">
      <c r="A5658" s="16" t="s">
        <v>6601</v>
      </c>
      <c r="B5658" s="16" t="str">
        <f>TEXT(PARTIDA[[#This Row],[PARTIDA]],"0000000000")</f>
        <v>7319909000</v>
      </c>
      <c r="C5658" s="16" t="s">
        <v>815</v>
      </c>
      <c r="D5658" s="16" t="s">
        <v>835</v>
      </c>
      <c r="E5658" s="16" t="s">
        <v>9463</v>
      </c>
      <c r="F5658" s="27" t="s">
        <v>14043</v>
      </c>
      <c r="G5658" s="27"/>
      <c r="H5658" s="16" t="str">
        <f>IF(ISBLANK(PARTIDAS!$G5658),PARTIDAS!$F5658,CONCATENATE(PARTIDAS!$F5658," (",PARTIDAS!$G5658,")"))</f>
        <v>Agujas de coser, de tejer, pasacintas, agujas de ganchillo (croché)… (los demás)</v>
      </c>
      <c r="I5658" s="16" t="s">
        <v>9427</v>
      </c>
    </row>
    <row r="5659" spans="1:9" x14ac:dyDescent="0.25">
      <c r="A5659" s="16" t="s">
        <v>6602</v>
      </c>
      <c r="B5659" s="16" t="str">
        <f>TEXT(PARTIDA[[#This Row],[PARTIDA]],"0000000000")</f>
        <v>7320100000</v>
      </c>
      <c r="C5659" s="16" t="s">
        <v>815</v>
      </c>
      <c r="D5659" s="16" t="s">
        <v>835</v>
      </c>
      <c r="E5659" s="16" t="s">
        <v>9463</v>
      </c>
      <c r="F5659" s="27" t="s">
        <v>9157</v>
      </c>
      <c r="G5659" s="27"/>
      <c r="H5659" s="16" t="str">
        <f>IF(ISBLANK(PARTIDAS!$G5659),PARTIDAS!$F5659,CONCATENATE(PARTIDAS!$F5659," (",PARTIDAS!$G5659,")"))</f>
        <v>Ballestas y sus hojas</v>
      </c>
      <c r="I5659" s="16" t="s">
        <v>9477</v>
      </c>
    </row>
    <row r="5660" spans="1:9" x14ac:dyDescent="0.25">
      <c r="A5660" s="16" t="s">
        <v>6603</v>
      </c>
      <c r="B5660" s="16" t="str">
        <f>TEXT(PARTIDA[[#This Row],[PARTIDA]],"0000000000")</f>
        <v>7320201000</v>
      </c>
      <c r="C5660" s="16" t="s">
        <v>815</v>
      </c>
      <c r="D5660" s="16" t="s">
        <v>835</v>
      </c>
      <c r="E5660" s="16" t="s">
        <v>9463</v>
      </c>
      <c r="F5660" s="27" t="s">
        <v>14044</v>
      </c>
      <c r="G5660" s="27"/>
      <c r="H5660" s="16" t="str">
        <f>IF(ISBLANK(PARTIDAS!$G5660),PARTIDAS!$F5660,CONCATENATE(PARTIDAS!$F5660," (",PARTIDAS!$G5660,")"))</f>
        <v>Muelles (resortes) helicoidales, para sistemas de suspensión de vehículos</v>
      </c>
      <c r="I5660" s="16" t="s">
        <v>9427</v>
      </c>
    </row>
    <row r="5661" spans="1:9" x14ac:dyDescent="0.25">
      <c r="A5661" s="16" t="s">
        <v>6604</v>
      </c>
      <c r="B5661" s="16" t="str">
        <f>TEXT(PARTIDA[[#This Row],[PARTIDA]],"0000000000")</f>
        <v>7320209000</v>
      </c>
      <c r="C5661" s="16" t="s">
        <v>815</v>
      </c>
      <c r="D5661" s="16" t="s">
        <v>835</v>
      </c>
      <c r="E5661" s="16" t="s">
        <v>9463</v>
      </c>
      <c r="F5661" s="27" t="s">
        <v>14045</v>
      </c>
      <c r="G5661" s="27"/>
      <c r="H5661" s="16" t="str">
        <f>IF(ISBLANK(PARTIDAS!$G5661),PARTIDAS!$F5661,CONCATENATE(PARTIDAS!$F5661," (",PARTIDAS!$G5661,")"))</f>
        <v>Muelles (resortes) helicoidales (los demás)</v>
      </c>
      <c r="I5661" s="16" t="s">
        <v>9427</v>
      </c>
    </row>
    <row r="5662" spans="1:9" x14ac:dyDescent="0.25">
      <c r="A5662" s="16" t="s">
        <v>6605</v>
      </c>
      <c r="B5662" s="16" t="str">
        <f>TEXT(PARTIDA[[#This Row],[PARTIDA]],"0000000000")</f>
        <v>7320900000</v>
      </c>
      <c r="C5662" s="16" t="s">
        <v>815</v>
      </c>
      <c r="D5662" s="16" t="s">
        <v>835</v>
      </c>
      <c r="E5662" s="16" t="s">
        <v>9463</v>
      </c>
      <c r="F5662" s="27" t="s">
        <v>6606</v>
      </c>
      <c r="G5662" s="27"/>
      <c r="H5662" s="16" t="str">
        <f>IF(ISBLANK(PARTIDAS!$G5662),PARTIDAS!$F5662,CONCATENATE(PARTIDAS!$F5662," (",PARTIDAS!$G5662,")"))</f>
        <v>Resortes</v>
      </c>
      <c r="I5662" s="16" t="s">
        <v>9427</v>
      </c>
    </row>
    <row r="5663" spans="1:9" x14ac:dyDescent="0.25">
      <c r="A5663" s="16" t="s">
        <v>6607</v>
      </c>
      <c r="B5663" s="16" t="str">
        <f>TEXT(PARTIDA[[#This Row],[PARTIDA]],"0000000000")</f>
        <v>7321111100</v>
      </c>
      <c r="C5663" s="16" t="s">
        <v>786</v>
      </c>
      <c r="D5663" s="16" t="s">
        <v>799</v>
      </c>
      <c r="E5663" s="16" t="s">
        <v>806</v>
      </c>
      <c r="F5663" s="27" t="s">
        <v>9207</v>
      </c>
      <c r="G5663" s="27"/>
      <c r="H5663" s="16" t="str">
        <f>IF(ISBLANK(PARTIDAS!$G5663),PARTIDAS!$F5663,CONCATENATE(PARTIDAS!$F5663," (",PARTIDAS!$G5663,")"))</f>
        <v>Cocinas, empotrables</v>
      </c>
      <c r="I5663" s="16" t="s">
        <v>9477</v>
      </c>
    </row>
    <row r="5664" spans="1:9" x14ac:dyDescent="0.25">
      <c r="A5664" s="16" t="s">
        <v>6608</v>
      </c>
      <c r="B5664" s="16" t="str">
        <f>TEXT(PARTIDA[[#This Row],[PARTIDA]],"0000000000")</f>
        <v>7321111200</v>
      </c>
      <c r="C5664" s="16" t="s">
        <v>786</v>
      </c>
      <c r="D5664" s="16" t="s">
        <v>799</v>
      </c>
      <c r="E5664" s="16" t="s">
        <v>806</v>
      </c>
      <c r="F5664" s="27" t="s">
        <v>14046</v>
      </c>
      <c r="G5664" s="27"/>
      <c r="H5664" s="16" t="str">
        <f>IF(ISBLANK(PARTIDAS!$G5664),PARTIDAS!$F5664,CONCATENATE(PARTIDAS!$F5664," (",PARTIDAS!$G5664,")"))</f>
        <v>Cocinas, de mesa</v>
      </c>
      <c r="I5664" s="16" t="s">
        <v>9427</v>
      </c>
    </row>
    <row r="5665" spans="1:9" x14ac:dyDescent="0.25">
      <c r="A5665" s="16" t="s">
        <v>6609</v>
      </c>
      <c r="B5665" s="16" t="str">
        <f>TEXT(PARTIDA[[#This Row],[PARTIDA]],"0000000000")</f>
        <v>7321111900</v>
      </c>
      <c r="C5665" s="16" t="s">
        <v>786</v>
      </c>
      <c r="D5665" s="16" t="s">
        <v>799</v>
      </c>
      <c r="E5665" s="16" t="s">
        <v>806</v>
      </c>
      <c r="F5665" s="27" t="s">
        <v>14047</v>
      </c>
      <c r="G5665" s="27"/>
      <c r="H5665" s="16" t="str">
        <f>IF(ISBLANK(PARTIDAS!$G5665),PARTIDAS!$F5665,CONCATENATE(PARTIDAS!$F5665," (",PARTIDAS!$G5665,")"))</f>
        <v>Cocinas (los demás)</v>
      </c>
      <c r="I5665" s="16" t="s">
        <v>9427</v>
      </c>
    </row>
    <row r="5666" spans="1:9" x14ac:dyDescent="0.25">
      <c r="A5666" s="16" t="s">
        <v>6610</v>
      </c>
      <c r="B5666" s="16" t="str">
        <f>TEXT(PARTIDA[[#This Row],[PARTIDA]],"0000000000")</f>
        <v>7321119000</v>
      </c>
      <c r="C5666" s="16" t="s">
        <v>786</v>
      </c>
      <c r="D5666" s="16" t="s">
        <v>799</v>
      </c>
      <c r="E5666" s="16" t="s">
        <v>806</v>
      </c>
      <c r="F5666" s="27" t="s">
        <v>14048</v>
      </c>
      <c r="G5666" s="27"/>
      <c r="H5666" s="16" t="str">
        <f>IF(ISBLANK(PARTIDAS!$G5666),PARTIDAS!$F5666,CONCATENATE(PARTIDAS!$F5666," (",PARTIDAS!$G5666,")"))</f>
        <v>Aparatos de cocción y calientaplatos, de combustibles gaseosos, o de gas y otros combustibles (los demás)</v>
      </c>
      <c r="I5666" s="16" t="s">
        <v>9427</v>
      </c>
    </row>
    <row r="5667" spans="1:9" x14ac:dyDescent="0.25">
      <c r="A5667" s="16" t="s">
        <v>6611</v>
      </c>
      <c r="B5667" s="16" t="str">
        <f>TEXT(PARTIDA[[#This Row],[PARTIDA]],"0000000000")</f>
        <v>7321120000</v>
      </c>
      <c r="C5667" s="16" t="s">
        <v>786</v>
      </c>
      <c r="D5667" s="16" t="s">
        <v>799</v>
      </c>
      <c r="E5667" s="16" t="s">
        <v>806</v>
      </c>
      <c r="F5667" s="27" t="s">
        <v>14049</v>
      </c>
      <c r="G5667" s="27"/>
      <c r="H5667" s="16" t="str">
        <f>IF(ISBLANK(PARTIDAS!$G5667),PARTIDAS!$F5667,CONCATENATE(PARTIDAS!$F5667," (",PARTIDAS!$G5667,")"))</f>
        <v>Aparatos de cocción y calientaplatos, de combustibles líquidos</v>
      </c>
      <c r="I5667" s="16" t="s">
        <v>9427</v>
      </c>
    </row>
    <row r="5668" spans="1:9" x14ac:dyDescent="0.25">
      <c r="A5668" s="16" t="s">
        <v>6612</v>
      </c>
      <c r="B5668" s="16" t="str">
        <f>TEXT(PARTIDA[[#This Row],[PARTIDA]],"0000000000")</f>
        <v>7321191000</v>
      </c>
      <c r="C5668" s="16" t="s">
        <v>786</v>
      </c>
      <c r="D5668" s="16" t="s">
        <v>799</v>
      </c>
      <c r="E5668" s="16" t="s">
        <v>806</v>
      </c>
      <c r="F5668" s="27" t="s">
        <v>14050</v>
      </c>
      <c r="G5668" s="27"/>
      <c r="H5668" s="16" t="str">
        <f>IF(ISBLANK(PARTIDAS!$G5668),PARTIDAS!$F5668,CONCATENATE(PARTIDAS!$F5668," (",PARTIDAS!$G5668,")"))</f>
        <v>Aparatos de cocción y calientaplatos, de combustibles sólidos</v>
      </c>
      <c r="I5668" s="16" t="s">
        <v>9427</v>
      </c>
    </row>
    <row r="5669" spans="1:9" x14ac:dyDescent="0.25">
      <c r="A5669" s="16" t="s">
        <v>6613</v>
      </c>
      <c r="B5669" s="16" t="str">
        <f>TEXT(PARTIDA[[#This Row],[PARTIDA]],"0000000000")</f>
        <v>7321199000</v>
      </c>
      <c r="C5669" s="16" t="s">
        <v>786</v>
      </c>
      <c r="D5669" s="16" t="s">
        <v>799</v>
      </c>
      <c r="E5669" s="16" t="s">
        <v>806</v>
      </c>
      <c r="F5669" s="27" t="s">
        <v>14051</v>
      </c>
      <c r="G5669" s="27"/>
      <c r="H5669" s="16" t="str">
        <f>IF(ISBLANK(PARTIDAS!$G5669),PARTIDAS!$F5669,CONCATENATE(PARTIDAS!$F5669," (",PARTIDAS!$G5669,")"))</f>
        <v>Aparatos de cocción y calientaplatos (los demás)</v>
      </c>
      <c r="I5669" s="16" t="s">
        <v>9427</v>
      </c>
    </row>
    <row r="5670" spans="1:9" x14ac:dyDescent="0.25">
      <c r="A5670" s="16" t="s">
        <v>6614</v>
      </c>
      <c r="B5670" s="16" t="str">
        <f>TEXT(PARTIDA[[#This Row],[PARTIDA]],"0000000000")</f>
        <v>7321810000</v>
      </c>
      <c r="C5670" s="16" t="s">
        <v>786</v>
      </c>
      <c r="D5670" s="16" t="s">
        <v>799</v>
      </c>
      <c r="E5670" s="16" t="s">
        <v>806</v>
      </c>
      <c r="F5670" s="27" t="s">
        <v>14052</v>
      </c>
      <c r="G5670" s="27"/>
      <c r="H5670" s="16" t="str">
        <f>IF(ISBLANK(PARTIDAS!$G5670),PARTIDAS!$F5670,CONCATENATE(PARTIDAS!$F5670," (",PARTIDAS!$G5670,")"))</f>
        <v>Estufas, calderas con hogar, cocinas (incluidas las que puedan…, de combustibles gaseosos, o de gas y otros combustibles</v>
      </c>
      <c r="I5670" s="16" t="s">
        <v>9427</v>
      </c>
    </row>
    <row r="5671" spans="1:9" x14ac:dyDescent="0.25">
      <c r="A5671" s="16" t="s">
        <v>6615</v>
      </c>
      <c r="B5671" s="16" t="str">
        <f>TEXT(PARTIDA[[#This Row],[PARTIDA]],"0000000000")</f>
        <v>7321820000</v>
      </c>
      <c r="C5671" s="16" t="s">
        <v>786</v>
      </c>
      <c r="D5671" s="16" t="s">
        <v>799</v>
      </c>
      <c r="E5671" s="16" t="s">
        <v>806</v>
      </c>
      <c r="F5671" s="27" t="s">
        <v>14053</v>
      </c>
      <c r="G5671" s="27"/>
      <c r="H5671" s="16" t="str">
        <f>IF(ISBLANK(PARTIDAS!$G5671),PARTIDAS!$F5671,CONCATENATE(PARTIDAS!$F5671," (",PARTIDAS!$G5671,")"))</f>
        <v>Estufas, calderas con hogar, cocinas (incluidas las que puedan…, de combustibles líquidos</v>
      </c>
      <c r="I5671" s="16" t="s">
        <v>9427</v>
      </c>
    </row>
    <row r="5672" spans="1:9" x14ac:dyDescent="0.25">
      <c r="A5672" s="16" t="s">
        <v>6616</v>
      </c>
      <c r="B5672" s="16" t="str">
        <f>TEXT(PARTIDA[[#This Row],[PARTIDA]],"0000000000")</f>
        <v>7321891000</v>
      </c>
      <c r="C5672" s="16" t="s">
        <v>786</v>
      </c>
      <c r="D5672" s="16" t="s">
        <v>799</v>
      </c>
      <c r="E5672" s="16" t="s">
        <v>806</v>
      </c>
      <c r="F5672" s="27" t="s">
        <v>14054</v>
      </c>
      <c r="G5672" s="27"/>
      <c r="H5672" s="16" t="str">
        <f>IF(ISBLANK(PARTIDAS!$G5672),PARTIDAS!$F5672,CONCATENATE(PARTIDAS!$F5672," (",PARTIDAS!$G5672,")"))</f>
        <v>Estufas, calderas con hogar, cocinas (incluidas las que puedan…, de combustibles sólidos</v>
      </c>
      <c r="I5672" s="16" t="s">
        <v>9427</v>
      </c>
    </row>
    <row r="5673" spans="1:9" x14ac:dyDescent="0.25">
      <c r="A5673" s="16" t="s">
        <v>6617</v>
      </c>
      <c r="B5673" s="16" t="str">
        <f>TEXT(PARTIDA[[#This Row],[PARTIDA]],"0000000000")</f>
        <v>7321899000</v>
      </c>
      <c r="C5673" s="16" t="s">
        <v>786</v>
      </c>
      <c r="D5673" s="16" t="s">
        <v>799</v>
      </c>
      <c r="E5673" s="16" t="s">
        <v>806</v>
      </c>
      <c r="F5673" s="27" t="s">
        <v>14055</v>
      </c>
      <c r="G5673" s="27"/>
      <c r="H5673" s="16" t="str">
        <f>IF(ISBLANK(PARTIDAS!$G5673),PARTIDAS!$F5673,CONCATENATE(PARTIDAS!$F5673," (",PARTIDAS!$G5673,")"))</f>
        <v>Estufas, calderas con hogar, cocinas (incluidas las que puedan… (los demás)</v>
      </c>
      <c r="I5673" s="16" t="s">
        <v>9427</v>
      </c>
    </row>
    <row r="5674" spans="1:9" x14ac:dyDescent="0.25">
      <c r="A5674" s="16" t="s">
        <v>6618</v>
      </c>
      <c r="B5674" s="16" t="str">
        <f>TEXT(PARTIDA[[#This Row],[PARTIDA]],"0000000000")</f>
        <v>7321901000</v>
      </c>
      <c r="C5674" s="16" t="s">
        <v>786</v>
      </c>
      <c r="D5674" s="16" t="s">
        <v>799</v>
      </c>
      <c r="E5674" s="16" t="s">
        <v>806</v>
      </c>
      <c r="F5674" s="27" t="s">
        <v>14056</v>
      </c>
      <c r="G5674" s="27"/>
      <c r="H5674" s="16" t="str">
        <f>IF(ISBLANK(PARTIDAS!$G5674),PARTIDAS!$F5674,CONCATENATE(PARTIDAS!$F5674," (",PARTIDAS!$G5674,")"))</f>
        <v>Quemadores de gas para calentadores de paso</v>
      </c>
      <c r="I5674" s="16" t="s">
        <v>9427</v>
      </c>
    </row>
    <row r="5675" spans="1:9" x14ac:dyDescent="0.25">
      <c r="A5675" s="16" t="s">
        <v>6619</v>
      </c>
      <c r="B5675" s="16" t="str">
        <f>TEXT(PARTIDA[[#This Row],[PARTIDA]],"0000000000")</f>
        <v>7321909000</v>
      </c>
      <c r="C5675" s="16" t="s">
        <v>786</v>
      </c>
      <c r="D5675" s="16" t="s">
        <v>799</v>
      </c>
      <c r="E5675" s="16" t="s">
        <v>806</v>
      </c>
      <c r="F5675" s="27" t="s">
        <v>14057</v>
      </c>
      <c r="G5675" s="27"/>
      <c r="H5675" s="16" t="str">
        <f>IF(ISBLANK(PARTIDAS!$G5675),PARTIDAS!$F5675,CONCATENATE(PARTIDAS!$F5675," (",PARTIDAS!$G5675,")"))</f>
        <v>Estufas, calderas con hogar, cocinas (incluidas las…, partes (los demás)</v>
      </c>
      <c r="I5675" s="16" t="s">
        <v>9427</v>
      </c>
    </row>
    <row r="5676" spans="1:9" x14ac:dyDescent="0.25">
      <c r="A5676" s="16" t="s">
        <v>6620</v>
      </c>
      <c r="B5676" s="16" t="str">
        <f>TEXT(PARTIDA[[#This Row],[PARTIDA]],"0000000000")</f>
        <v>7322110000</v>
      </c>
      <c r="C5676" s="16" t="s">
        <v>815</v>
      </c>
      <c r="D5676" s="16" t="s">
        <v>835</v>
      </c>
      <c r="E5676" s="16" t="s">
        <v>9463</v>
      </c>
      <c r="F5676" s="27" t="s">
        <v>14058</v>
      </c>
      <c r="G5676" s="27"/>
      <c r="H5676" s="16" t="str">
        <f>IF(ISBLANK(PARTIDAS!$G5676),PARTIDAS!$F5676,CONCATENATE(PARTIDAS!$F5676," (",PARTIDAS!$G5676,")"))</f>
        <v>Radiadores y sus partes, de fundición</v>
      </c>
      <c r="I5676" s="16" t="s">
        <v>9427</v>
      </c>
    </row>
    <row r="5677" spans="1:9" x14ac:dyDescent="0.25">
      <c r="A5677" s="16" t="s">
        <v>6621</v>
      </c>
      <c r="B5677" s="16" t="str">
        <f>TEXT(PARTIDA[[#This Row],[PARTIDA]],"0000000000")</f>
        <v>7322190000</v>
      </c>
      <c r="C5677" s="16" t="s">
        <v>815</v>
      </c>
      <c r="D5677" s="16" t="s">
        <v>835</v>
      </c>
      <c r="E5677" s="16" t="s">
        <v>9463</v>
      </c>
      <c r="F5677" s="27" t="s">
        <v>14059</v>
      </c>
      <c r="G5677" s="27"/>
      <c r="H5677" s="16" t="str">
        <f>IF(ISBLANK(PARTIDAS!$G5677),PARTIDAS!$F5677,CONCATENATE(PARTIDAS!$F5677," (",PARTIDAS!$G5677,")"))</f>
        <v>Radiadores y sus partes (los demás)</v>
      </c>
      <c r="I5677" s="16" t="s">
        <v>9427</v>
      </c>
    </row>
    <row r="5678" spans="1:9" x14ac:dyDescent="0.25">
      <c r="A5678" s="16" t="s">
        <v>6622</v>
      </c>
      <c r="B5678" s="16" t="str">
        <f>TEXT(PARTIDA[[#This Row],[PARTIDA]],"0000000000")</f>
        <v>7322900000</v>
      </c>
      <c r="C5678" s="16" t="s">
        <v>815</v>
      </c>
      <c r="D5678" s="16" t="s">
        <v>835</v>
      </c>
      <c r="E5678" s="16" t="s">
        <v>9463</v>
      </c>
      <c r="F5678" s="27" t="s">
        <v>14060</v>
      </c>
      <c r="G5678" s="27"/>
      <c r="H5678" s="16" t="str">
        <f>IF(ISBLANK(PARTIDAS!$G5678),PARTIDAS!$F5678,CONCATENATE(PARTIDAS!$F5678," (",PARTIDAS!$G5678,")"))</f>
        <v>Radiadores para calefacción central, de calentamiento no eléctrico, y… (los demás)</v>
      </c>
      <c r="I5678" s="16" t="s">
        <v>9427</v>
      </c>
    </row>
    <row r="5679" spans="1:9" x14ac:dyDescent="0.25">
      <c r="A5679" s="16" t="s">
        <v>6623</v>
      </c>
      <c r="B5679" s="16" t="str">
        <f>TEXT(PARTIDA[[#This Row],[PARTIDA]],"0000000000")</f>
        <v>7323100000</v>
      </c>
      <c r="C5679" s="16" t="s">
        <v>786</v>
      </c>
      <c r="D5679" s="16" t="s">
        <v>799</v>
      </c>
      <c r="E5679" s="16" t="s">
        <v>801</v>
      </c>
      <c r="F5679" s="27" t="s">
        <v>14061</v>
      </c>
      <c r="G5679" s="27"/>
      <c r="H5679" s="16" t="str">
        <f>IF(ISBLANK(PARTIDAS!$G5679),PARTIDAS!$F5679,CONCATENATE(PARTIDAS!$F5679," (",PARTIDAS!$G5679,")"))</f>
        <v>Lana de hierro o acero; esponjas, estropajos, guantes y artículos similares para fregar, lustrar o usos análogos</v>
      </c>
      <c r="I5679" s="16" t="s">
        <v>9427</v>
      </c>
    </row>
    <row r="5680" spans="1:9" x14ac:dyDescent="0.25">
      <c r="A5680" s="16" t="s">
        <v>6624</v>
      </c>
      <c r="B5680" s="16" t="str">
        <f>TEXT(PARTIDA[[#This Row],[PARTIDA]],"0000000000")</f>
        <v>7323911000</v>
      </c>
      <c r="C5680" s="16" t="s">
        <v>786</v>
      </c>
      <c r="D5680" s="16" t="s">
        <v>799</v>
      </c>
      <c r="E5680" s="16" t="s">
        <v>801</v>
      </c>
      <c r="F5680" s="27" t="s">
        <v>6541</v>
      </c>
      <c r="G5680" s="27"/>
      <c r="H5680" s="16" t="str">
        <f>IF(ISBLANK(PARTIDAS!$G5680),PARTIDAS!$F5680,CONCATENATE(PARTIDAS!$F5680," (",PARTIDAS!$G5680,")"))</f>
        <v>Manufacturas de hierro o acero</v>
      </c>
      <c r="I5680" s="16" t="s">
        <v>9427</v>
      </c>
    </row>
    <row r="5681" spans="1:9" x14ac:dyDescent="0.25">
      <c r="A5681" s="16" t="s">
        <v>6625</v>
      </c>
      <c r="B5681" s="16" t="str">
        <f>TEXT(PARTIDA[[#This Row],[PARTIDA]],"0000000000")</f>
        <v>7323912000</v>
      </c>
      <c r="C5681" s="16" t="s">
        <v>786</v>
      </c>
      <c r="D5681" s="16" t="s">
        <v>799</v>
      </c>
      <c r="E5681" s="16" t="s">
        <v>801</v>
      </c>
      <c r="F5681" s="27" t="s">
        <v>14062</v>
      </c>
      <c r="G5681" s="27"/>
      <c r="H5681" s="16" t="str">
        <f>IF(ISBLANK(PARTIDAS!$G5681),PARTIDAS!$F5681,CONCATENATE(PARTIDAS!$F5681," (",PARTIDAS!$G5681,")"))</f>
        <v>Artículos de uso doméstico y sus partes, de fundición…, de fundición, sin esmaltar, partes</v>
      </c>
      <c r="I5681" s="16" t="s">
        <v>9427</v>
      </c>
    </row>
    <row r="5682" spans="1:9" x14ac:dyDescent="0.25">
      <c r="A5682" s="16" t="s">
        <v>6626</v>
      </c>
      <c r="B5682" s="16" t="str">
        <f>TEXT(PARTIDA[[#This Row],[PARTIDA]],"0000000000")</f>
        <v>7323921000</v>
      </c>
      <c r="C5682" s="16" t="s">
        <v>786</v>
      </c>
      <c r="D5682" s="16" t="s">
        <v>799</v>
      </c>
      <c r="E5682" s="16" t="s">
        <v>801</v>
      </c>
      <c r="F5682" s="27" t="s">
        <v>14063</v>
      </c>
      <c r="G5682" s="27"/>
      <c r="H5682" s="16" t="str">
        <f>IF(ISBLANK(PARTIDAS!$G5682),PARTIDAS!$F5682,CONCATENATE(PARTIDAS!$F5682," (",PARTIDAS!$G5682,")"))</f>
        <v>Artículos de uso doméstico y sus partes, de fundición…, de fundición, esmaltados, artículos</v>
      </c>
      <c r="I5682" s="16" t="s">
        <v>9427</v>
      </c>
    </row>
    <row r="5683" spans="1:9" x14ac:dyDescent="0.25">
      <c r="A5683" s="16" t="s">
        <v>6627</v>
      </c>
      <c r="B5683" s="16" t="str">
        <f>TEXT(PARTIDA[[#This Row],[PARTIDA]],"0000000000")</f>
        <v>7323922000</v>
      </c>
      <c r="C5683" s="16" t="s">
        <v>786</v>
      </c>
      <c r="D5683" s="16" t="s">
        <v>799</v>
      </c>
      <c r="E5683" s="16" t="s">
        <v>801</v>
      </c>
      <c r="F5683" s="27" t="s">
        <v>14064</v>
      </c>
      <c r="G5683" s="27"/>
      <c r="H5683" s="16" t="str">
        <f>IF(ISBLANK(PARTIDAS!$G5683),PARTIDAS!$F5683,CONCATENATE(PARTIDAS!$F5683," (",PARTIDAS!$G5683,")"))</f>
        <v>Artículos de uso doméstico y sus partes, de fundición…, de fundición, esmaltados, partes</v>
      </c>
      <c r="I5683" s="16" t="s">
        <v>9427</v>
      </c>
    </row>
    <row r="5684" spans="1:9" x14ac:dyDescent="0.25">
      <c r="A5684" s="16" t="s">
        <v>6628</v>
      </c>
      <c r="B5684" s="16" t="str">
        <f>TEXT(PARTIDA[[#This Row],[PARTIDA]],"0000000000")</f>
        <v>7323931000</v>
      </c>
      <c r="C5684" s="16" t="s">
        <v>786</v>
      </c>
      <c r="D5684" s="16" t="s">
        <v>799</v>
      </c>
      <c r="E5684" s="16" t="s">
        <v>801</v>
      </c>
      <c r="F5684" s="27" t="s">
        <v>14065</v>
      </c>
      <c r="G5684" s="27"/>
      <c r="H5684" s="16" t="str">
        <f>IF(ISBLANK(PARTIDAS!$G5684),PARTIDAS!$F5684,CONCATENATE(PARTIDAS!$F5684," (",PARTIDAS!$G5684,")"))</f>
        <v>Artículos de uso doméstico y sus partes, de fundición…, de acero inoxidable, artículos</v>
      </c>
      <c r="I5684" s="16" t="s">
        <v>9427</v>
      </c>
    </row>
    <row r="5685" spans="1:9" x14ac:dyDescent="0.25">
      <c r="A5685" s="16" t="s">
        <v>6629</v>
      </c>
      <c r="B5685" s="16" t="str">
        <f>TEXT(PARTIDA[[#This Row],[PARTIDA]],"0000000000")</f>
        <v>7323932000</v>
      </c>
      <c r="C5685" s="16" t="s">
        <v>786</v>
      </c>
      <c r="D5685" s="16" t="s">
        <v>799</v>
      </c>
      <c r="E5685" s="16" t="s">
        <v>801</v>
      </c>
      <c r="F5685" s="27" t="s">
        <v>14066</v>
      </c>
      <c r="G5685" s="27"/>
      <c r="H5685" s="16" t="str">
        <f>IF(ISBLANK(PARTIDAS!$G5685),PARTIDAS!$F5685,CONCATENATE(PARTIDAS!$F5685," (",PARTIDAS!$G5685,")"))</f>
        <v>Artículos de uso doméstico y sus partes, de fundición…, de acero inoxidable, partes</v>
      </c>
      <c r="I5685" s="16" t="s">
        <v>9427</v>
      </c>
    </row>
    <row r="5686" spans="1:9" x14ac:dyDescent="0.25">
      <c r="A5686" s="16" t="s">
        <v>6630</v>
      </c>
      <c r="B5686" s="16" t="str">
        <f>TEXT(PARTIDA[[#This Row],[PARTIDA]],"0000000000")</f>
        <v>7323941000</v>
      </c>
      <c r="C5686" s="16" t="s">
        <v>786</v>
      </c>
      <c r="D5686" s="16" t="s">
        <v>799</v>
      </c>
      <c r="E5686" s="16" t="s">
        <v>801</v>
      </c>
      <c r="F5686" s="27" t="s">
        <v>14067</v>
      </c>
      <c r="G5686" s="27"/>
      <c r="H5686" s="16" t="str">
        <f>IF(ISBLANK(PARTIDAS!$G5686),PARTIDAS!$F5686,CONCATENATE(PARTIDAS!$F5686," (",PARTIDAS!$G5686,")"))</f>
        <v>Artículos de uso doméstico y sus partes, de fundición…, de hierro o acero, esmaltados, artículos</v>
      </c>
      <c r="I5686" s="16" t="s">
        <v>9427</v>
      </c>
    </row>
    <row r="5687" spans="1:9" x14ac:dyDescent="0.25">
      <c r="A5687" s="16" t="s">
        <v>6631</v>
      </c>
      <c r="B5687" s="16" t="str">
        <f>TEXT(PARTIDA[[#This Row],[PARTIDA]],"0000000000")</f>
        <v>7323949000</v>
      </c>
      <c r="C5687" s="16" t="s">
        <v>786</v>
      </c>
      <c r="D5687" s="16" t="s">
        <v>799</v>
      </c>
      <c r="E5687" s="16" t="s">
        <v>801</v>
      </c>
      <c r="F5687" s="27" t="s">
        <v>14068</v>
      </c>
      <c r="G5687" s="27"/>
      <c r="H5687" s="16" t="str">
        <f>IF(ISBLANK(PARTIDAS!$G5687),PARTIDAS!$F5687,CONCATENATE(PARTIDAS!$F5687," (",PARTIDAS!$G5687,")"))</f>
        <v>Artículos de uso doméstico y sus partes, de fundición…, de hierro o acero, esmaltados, partes</v>
      </c>
      <c r="I5687" s="16" t="s">
        <v>9427</v>
      </c>
    </row>
    <row r="5688" spans="1:9" x14ac:dyDescent="0.25">
      <c r="A5688" s="16" t="s">
        <v>6632</v>
      </c>
      <c r="B5688" s="16" t="str">
        <f>TEXT(PARTIDA[[#This Row],[PARTIDA]],"0000000000")</f>
        <v>7323991000</v>
      </c>
      <c r="C5688" s="16" t="s">
        <v>786</v>
      </c>
      <c r="D5688" s="16" t="s">
        <v>799</v>
      </c>
      <c r="E5688" s="16" t="s">
        <v>801</v>
      </c>
      <c r="F5688" s="27" t="s">
        <v>14069</v>
      </c>
      <c r="G5688" s="27"/>
      <c r="H5688" s="16" t="str">
        <f>IF(ISBLANK(PARTIDAS!$G5688),PARTIDAS!$F5688,CONCATENATE(PARTIDAS!$F5688," (",PARTIDAS!$G5688,")"))</f>
        <v>Artículos de uso doméstico y sus partes, de fundición, hierro o acero, artículos</v>
      </c>
      <c r="I5688" s="16" t="s">
        <v>9427</v>
      </c>
    </row>
    <row r="5689" spans="1:9" x14ac:dyDescent="0.25">
      <c r="A5689" s="16" t="s">
        <v>6633</v>
      </c>
      <c r="B5689" s="16" t="str">
        <f>TEXT(PARTIDA[[#This Row],[PARTIDA]],"0000000000")</f>
        <v>7323999000</v>
      </c>
      <c r="C5689" s="16" t="s">
        <v>786</v>
      </c>
      <c r="D5689" s="16" t="s">
        <v>799</v>
      </c>
      <c r="E5689" s="16" t="s">
        <v>801</v>
      </c>
      <c r="F5689" s="27" t="s">
        <v>14070</v>
      </c>
      <c r="G5689" s="27"/>
      <c r="H5689" s="16" t="str">
        <f>IF(ISBLANK(PARTIDAS!$G5689),PARTIDAS!$F5689,CONCATENATE(PARTIDAS!$F5689," (",PARTIDAS!$G5689,")"))</f>
        <v>Artículos de uso doméstico y sus partes, de fundición, hierro o acero, partes</v>
      </c>
      <c r="I5689" s="16" t="s">
        <v>9427</v>
      </c>
    </row>
    <row r="5690" spans="1:9" x14ac:dyDescent="0.25">
      <c r="A5690" s="16" t="s">
        <v>6634</v>
      </c>
      <c r="B5690" s="16" t="str">
        <f>TEXT(PARTIDA[[#This Row],[PARTIDA]],"0000000000")</f>
        <v>7324100000</v>
      </c>
      <c r="C5690" s="16" t="s">
        <v>860</v>
      </c>
      <c r="D5690" s="16" t="s">
        <v>861</v>
      </c>
      <c r="E5690" s="16" t="s">
        <v>9473</v>
      </c>
      <c r="F5690" s="27" t="s">
        <v>14071</v>
      </c>
      <c r="G5690" s="27"/>
      <c r="H5690" s="16" t="str">
        <f>IF(ISBLANK(PARTIDAS!$G5690),PARTIDAS!$F5690,CONCATENATE(PARTIDAS!$F5690," (",PARTIDAS!$G5690,")"))</f>
        <v>Fregaderos (piletas de lavar) y lavabos, de acero inoxidable</v>
      </c>
      <c r="I5690" s="16" t="s">
        <v>9427</v>
      </c>
    </row>
    <row r="5691" spans="1:9" x14ac:dyDescent="0.25">
      <c r="A5691" s="16" t="s">
        <v>6635</v>
      </c>
      <c r="B5691" s="16" t="str">
        <f>TEXT(PARTIDA[[#This Row],[PARTIDA]],"0000000000")</f>
        <v>7324210000</v>
      </c>
      <c r="C5691" s="16" t="s">
        <v>860</v>
      </c>
      <c r="D5691" s="16" t="s">
        <v>861</v>
      </c>
      <c r="E5691" s="16" t="s">
        <v>9473</v>
      </c>
      <c r="F5691" s="27" t="s">
        <v>14072</v>
      </c>
      <c r="G5691" s="27"/>
      <c r="H5691" s="16" t="str">
        <f>IF(ISBLANK(PARTIDAS!$G5691),PARTIDAS!$F5691,CONCATENATE(PARTIDAS!$F5691," (",PARTIDAS!$G5691,")"))</f>
        <v>Bañeras, de fundición, incluso esmaltadas</v>
      </c>
      <c r="I5691" s="16" t="s">
        <v>9427</v>
      </c>
    </row>
    <row r="5692" spans="1:9" x14ac:dyDescent="0.25">
      <c r="A5692" s="16" t="s">
        <v>6636</v>
      </c>
      <c r="B5692" s="16" t="str">
        <f>TEXT(PARTIDA[[#This Row],[PARTIDA]],"0000000000")</f>
        <v>7324290000</v>
      </c>
      <c r="C5692" s="16" t="s">
        <v>860</v>
      </c>
      <c r="D5692" s="16" t="s">
        <v>861</v>
      </c>
      <c r="E5692" s="16" t="s">
        <v>9473</v>
      </c>
      <c r="F5692" s="27" t="s">
        <v>14073</v>
      </c>
      <c r="G5692" s="27"/>
      <c r="H5692" s="16" t="str">
        <f>IF(ISBLANK(PARTIDAS!$G5692),PARTIDAS!$F5692,CONCATENATE(PARTIDAS!$F5692," (",PARTIDAS!$G5692,")"))</f>
        <v>Bañeras (los demás)</v>
      </c>
      <c r="I5692" s="16" t="s">
        <v>9427</v>
      </c>
    </row>
    <row r="5693" spans="1:9" x14ac:dyDescent="0.25">
      <c r="A5693" s="16" t="s">
        <v>6637</v>
      </c>
      <c r="B5693" s="16" t="str">
        <f>TEXT(PARTIDA[[#This Row],[PARTIDA]],"0000000000")</f>
        <v>7324900000</v>
      </c>
      <c r="C5693" s="16" t="s">
        <v>860</v>
      </c>
      <c r="D5693" s="16" t="s">
        <v>861</v>
      </c>
      <c r="E5693" s="16" t="s">
        <v>9473</v>
      </c>
      <c r="F5693" s="27" t="s">
        <v>14074</v>
      </c>
      <c r="G5693" s="27"/>
      <c r="H5693" s="16" t="str">
        <f>IF(ISBLANK(PARTIDAS!$G5693),PARTIDAS!$F5693,CONCATENATE(PARTIDAS!$F5693," (",PARTIDAS!$G5693,")"))</f>
        <v>Artículos de higiene o tocador, y sus partes, de fundición, hierro o… (los demás, incluidas las partes)</v>
      </c>
      <c r="I5693" s="16" t="s">
        <v>9427</v>
      </c>
    </row>
    <row r="5694" spans="1:9" x14ac:dyDescent="0.25">
      <c r="A5694" s="16" t="s">
        <v>6638</v>
      </c>
      <c r="B5694" s="16" t="str">
        <f>TEXT(PARTIDA[[#This Row],[PARTIDA]],"0000000000")</f>
        <v>7325100000</v>
      </c>
      <c r="C5694" s="16" t="s">
        <v>815</v>
      </c>
      <c r="D5694" s="16" t="s">
        <v>835</v>
      </c>
      <c r="E5694" s="16" t="s">
        <v>9463</v>
      </c>
      <c r="F5694" s="27" t="s">
        <v>14075</v>
      </c>
      <c r="G5694" s="27"/>
      <c r="H5694" s="16" t="str">
        <f>IF(ISBLANK(PARTIDAS!$G5694),PARTIDAS!$F5694,CONCATENATE(PARTIDAS!$F5694," (",PARTIDAS!$G5694,")"))</f>
        <v>Manufacturas de fundición, hierro o acero, de fundición no maleable</v>
      </c>
      <c r="I5694" s="16" t="s">
        <v>9427</v>
      </c>
    </row>
    <row r="5695" spans="1:9" x14ac:dyDescent="0.25">
      <c r="A5695" s="16" t="s">
        <v>6639</v>
      </c>
      <c r="B5695" s="16" t="str">
        <f>TEXT(PARTIDA[[#This Row],[PARTIDA]],"0000000000")</f>
        <v>7325910000</v>
      </c>
      <c r="C5695" s="16" t="s">
        <v>815</v>
      </c>
      <c r="D5695" s="16" t="s">
        <v>835</v>
      </c>
      <c r="E5695" s="16" t="s">
        <v>9463</v>
      </c>
      <c r="F5695" s="27" t="s">
        <v>14076</v>
      </c>
      <c r="G5695" s="27"/>
      <c r="H5695" s="16" t="str">
        <f>IF(ISBLANK(PARTIDAS!$G5695),PARTIDAS!$F5695,CONCATENATE(PARTIDAS!$F5695," (",PARTIDAS!$G5695,")"))</f>
        <v>Bolas y artículos similares para molinos</v>
      </c>
      <c r="I5695" s="16" t="s">
        <v>9427</v>
      </c>
    </row>
    <row r="5696" spans="1:9" x14ac:dyDescent="0.25">
      <c r="A5696" s="16" t="s">
        <v>6640</v>
      </c>
      <c r="B5696" s="16" t="str">
        <f>TEXT(PARTIDA[[#This Row],[PARTIDA]],"0000000000")</f>
        <v>7325990000</v>
      </c>
      <c r="C5696" s="16" t="s">
        <v>815</v>
      </c>
      <c r="D5696" s="16" t="s">
        <v>835</v>
      </c>
      <c r="E5696" s="16" t="s">
        <v>9463</v>
      </c>
      <c r="F5696" s="27" t="s">
        <v>13993</v>
      </c>
      <c r="G5696" s="27"/>
      <c r="H5696" s="16" t="str">
        <f>IF(ISBLANK(PARTIDAS!$G5696),PARTIDAS!$F5696,CONCATENATE(PARTIDAS!$F5696," (",PARTIDAS!$G5696,")"))</f>
        <v>Manufacturas de fundición, hierro o acero (los demás)</v>
      </c>
      <c r="I5696" s="16" t="s">
        <v>9427</v>
      </c>
    </row>
    <row r="5697" spans="1:9" x14ac:dyDescent="0.25">
      <c r="A5697" s="16" t="s">
        <v>6641</v>
      </c>
      <c r="B5697" s="16" t="str">
        <f>TEXT(PARTIDA[[#This Row],[PARTIDA]],"0000000000")</f>
        <v>7326110000</v>
      </c>
      <c r="C5697" s="16" t="s">
        <v>815</v>
      </c>
      <c r="D5697" s="16" t="s">
        <v>835</v>
      </c>
      <c r="E5697" s="16" t="s">
        <v>9463</v>
      </c>
      <c r="F5697" s="27" t="s">
        <v>14076</v>
      </c>
      <c r="G5697" s="27"/>
      <c r="H5697" s="16" t="str">
        <f>IF(ISBLANK(PARTIDAS!$G5697),PARTIDAS!$F5697,CONCATENATE(PARTIDAS!$F5697," (",PARTIDAS!$G5697,")"))</f>
        <v>Bolas y artículos similares para molinos</v>
      </c>
      <c r="I5697" s="16" t="s">
        <v>9427</v>
      </c>
    </row>
    <row r="5698" spans="1:9" x14ac:dyDescent="0.25">
      <c r="A5698" s="16" t="s">
        <v>6642</v>
      </c>
      <c r="B5698" s="16" t="str">
        <f>TEXT(PARTIDA[[#This Row],[PARTIDA]],"0000000000")</f>
        <v>7326190000</v>
      </c>
      <c r="C5698" s="16" t="s">
        <v>815</v>
      </c>
      <c r="D5698" s="16" t="s">
        <v>835</v>
      </c>
      <c r="E5698" s="16" t="s">
        <v>9463</v>
      </c>
      <c r="F5698" s="27" t="s">
        <v>14077</v>
      </c>
      <c r="G5698" s="27"/>
      <c r="H5698" s="16" t="str">
        <f>IF(ISBLANK(PARTIDAS!$G5698),PARTIDAS!$F5698,CONCATENATE(PARTIDAS!$F5698," (",PARTIDAS!$G5698,")"))</f>
        <v>Forjadas o estampadas pero sin trabajar de otro modo (los demás)</v>
      </c>
      <c r="I5698" s="16" t="s">
        <v>9427</v>
      </c>
    </row>
    <row r="5699" spans="1:9" x14ac:dyDescent="0.25">
      <c r="A5699" s="16" t="s">
        <v>6643</v>
      </c>
      <c r="B5699" s="16" t="str">
        <f>TEXT(PARTIDA[[#This Row],[PARTIDA]],"0000000000")</f>
        <v>7326200000</v>
      </c>
      <c r="C5699" s="16" t="s">
        <v>815</v>
      </c>
      <c r="D5699" s="16" t="s">
        <v>835</v>
      </c>
      <c r="E5699" s="16" t="s">
        <v>9463</v>
      </c>
      <c r="F5699" s="27" t="s">
        <v>14078</v>
      </c>
      <c r="G5699" s="27"/>
      <c r="H5699" s="16" t="str">
        <f>IF(ISBLANK(PARTIDAS!$G5699),PARTIDAS!$F5699,CONCATENATE(PARTIDAS!$F5699," (",PARTIDAS!$G5699,")"))</f>
        <v>Manufacturas de alambre de hierro o acero</v>
      </c>
      <c r="I5699" s="16" t="s">
        <v>9427</v>
      </c>
    </row>
    <row r="5700" spans="1:9" x14ac:dyDescent="0.25">
      <c r="A5700" s="16" t="s">
        <v>6644</v>
      </c>
      <c r="B5700" s="16" t="str">
        <f>TEXT(PARTIDA[[#This Row],[PARTIDA]],"0000000000")</f>
        <v>7326901000</v>
      </c>
      <c r="C5700" s="16" t="s">
        <v>815</v>
      </c>
      <c r="D5700" s="16" t="s">
        <v>835</v>
      </c>
      <c r="E5700" s="16" t="s">
        <v>9463</v>
      </c>
      <c r="F5700" s="27" t="s">
        <v>14079</v>
      </c>
      <c r="G5700" s="27"/>
      <c r="H5700" s="16" t="str">
        <f>IF(ISBLANK(PARTIDAS!$G5700),PARTIDAS!$F5700,CONCATENATE(PARTIDAS!$F5700," (",PARTIDAS!$G5700,")"))</f>
        <v>Barras de sección variable</v>
      </c>
      <c r="I5700" s="16" t="s">
        <v>9427</v>
      </c>
    </row>
    <row r="5701" spans="1:9" x14ac:dyDescent="0.25">
      <c r="A5701" s="16" t="s">
        <v>6645</v>
      </c>
      <c r="B5701" s="16" t="str">
        <f>TEXT(PARTIDA[[#This Row],[PARTIDA]],"0000000000")</f>
        <v>7326909000</v>
      </c>
      <c r="C5701" s="16" t="s">
        <v>815</v>
      </c>
      <c r="D5701" s="16" t="s">
        <v>835</v>
      </c>
      <c r="E5701" s="16" t="s">
        <v>9463</v>
      </c>
      <c r="F5701" s="27" t="s">
        <v>6541</v>
      </c>
      <c r="G5701" s="27"/>
      <c r="H5701" s="16" t="str">
        <f>IF(ISBLANK(PARTIDAS!$G5701),PARTIDAS!$F5701,CONCATENATE(PARTIDAS!$F5701," (",PARTIDAS!$G5701,")"))</f>
        <v>Manufacturas de hierro o acero</v>
      </c>
      <c r="I5701" s="16" t="s">
        <v>9477</v>
      </c>
    </row>
    <row r="5702" spans="1:9" x14ac:dyDescent="0.25">
      <c r="A5702" s="16" t="s">
        <v>6646</v>
      </c>
      <c r="B5702" s="16" t="str">
        <f>TEXT(PARTIDA[[#This Row],[PARTIDA]],"0000000000")</f>
        <v>7401001000</v>
      </c>
      <c r="C5702" s="16" t="s">
        <v>815</v>
      </c>
      <c r="D5702" s="16" t="s">
        <v>835</v>
      </c>
      <c r="E5702" s="16" t="s">
        <v>9462</v>
      </c>
      <c r="F5702" s="27" t="s">
        <v>14080</v>
      </c>
      <c r="G5702" s="27"/>
      <c r="H5702" s="16" t="str">
        <f>IF(ISBLANK(PARTIDAS!$G5702),PARTIDAS!$F5702,CONCATENATE(PARTIDAS!$F5702," (",PARTIDAS!$G5702,")"))</f>
        <v>Matas de cobre</v>
      </c>
      <c r="I5702" s="16" t="s">
        <v>9427</v>
      </c>
    </row>
    <row r="5703" spans="1:9" x14ac:dyDescent="0.25">
      <c r="A5703" s="16" t="s">
        <v>6647</v>
      </c>
      <c r="B5703" s="16" t="str">
        <f>TEXT(PARTIDA[[#This Row],[PARTIDA]],"0000000000")</f>
        <v>7401002000</v>
      </c>
      <c r="C5703" s="16" t="s">
        <v>815</v>
      </c>
      <c r="D5703" s="16" t="s">
        <v>835</v>
      </c>
      <c r="E5703" s="16" t="s">
        <v>9462</v>
      </c>
      <c r="F5703" s="27" t="s">
        <v>14081</v>
      </c>
      <c r="G5703" s="27"/>
      <c r="H5703" s="16" t="str">
        <f>IF(ISBLANK(PARTIDAS!$G5703),PARTIDAS!$F5703,CONCATENATE(PARTIDAS!$F5703," (",PARTIDAS!$G5703,")"))</f>
        <v>Cobre de cementación (cobre precipitado)</v>
      </c>
      <c r="I5703" s="16" t="s">
        <v>9427</v>
      </c>
    </row>
    <row r="5704" spans="1:9" x14ac:dyDescent="0.25">
      <c r="A5704" s="16" t="s">
        <v>6648</v>
      </c>
      <c r="B5704" s="16" t="str">
        <f>TEXT(PARTIDA[[#This Row],[PARTIDA]],"0000000000")</f>
        <v>7402001000</v>
      </c>
      <c r="C5704" s="16" t="s">
        <v>815</v>
      </c>
      <c r="D5704" s="16" t="s">
        <v>835</v>
      </c>
      <c r="E5704" s="16" t="s">
        <v>9462</v>
      </c>
      <c r="F5704" s="27" t="s">
        <v>14082</v>
      </c>
      <c r="G5704" s="27"/>
      <c r="H5704" s="16" t="str">
        <f>IF(ISBLANK(PARTIDAS!$G5704),PARTIDAS!$F5704,CONCATENATE(PARTIDAS!$F5704," (",PARTIDAS!$G5704,")"))</f>
        <v>Cobre «blister» sin refinar</v>
      </c>
      <c r="I5704" s="16" t="s">
        <v>9427</v>
      </c>
    </row>
    <row r="5705" spans="1:9" x14ac:dyDescent="0.25">
      <c r="A5705" s="16" t="s">
        <v>6649</v>
      </c>
      <c r="B5705" s="16" t="str">
        <f>TEXT(PARTIDA[[#This Row],[PARTIDA]],"0000000000")</f>
        <v>7402002000</v>
      </c>
      <c r="C5705" s="16" t="s">
        <v>815</v>
      </c>
      <c r="D5705" s="16" t="s">
        <v>835</v>
      </c>
      <c r="E5705" s="16" t="s">
        <v>9462</v>
      </c>
      <c r="F5705" s="27" t="s">
        <v>14083</v>
      </c>
      <c r="G5705" s="27"/>
      <c r="H5705" s="16" t="str">
        <f>IF(ISBLANK(PARTIDAS!$G5705),PARTIDAS!$F5705,CONCATENATE(PARTIDAS!$F5705," (",PARTIDAS!$G5705,")"))</f>
        <v>Cobre y sus manufacturas (los demás, sin refinar)</v>
      </c>
      <c r="I5705" s="16" t="s">
        <v>9427</v>
      </c>
    </row>
    <row r="5706" spans="1:9" x14ac:dyDescent="0.25">
      <c r="A5706" s="16" t="s">
        <v>6650</v>
      </c>
      <c r="B5706" s="16" t="str">
        <f>TEXT(PARTIDA[[#This Row],[PARTIDA]],"0000000000")</f>
        <v>7402003000</v>
      </c>
      <c r="C5706" s="16" t="s">
        <v>815</v>
      </c>
      <c r="D5706" s="16" t="s">
        <v>835</v>
      </c>
      <c r="E5706" s="16" t="s">
        <v>9462</v>
      </c>
      <c r="F5706" s="27" t="s">
        <v>14084</v>
      </c>
      <c r="G5706" s="27"/>
      <c r="H5706" s="16" t="str">
        <f>IF(ISBLANK(PARTIDAS!$G5706),PARTIDAS!$F5706,CONCATENATE(PARTIDAS!$F5706," (",PARTIDAS!$G5706,")"))</f>
        <v>Ánodos de cobre para refinado electrolítico</v>
      </c>
      <c r="I5706" s="16" t="s">
        <v>9427</v>
      </c>
    </row>
    <row r="5707" spans="1:9" x14ac:dyDescent="0.25">
      <c r="A5707" s="16" t="s">
        <v>6651</v>
      </c>
      <c r="B5707" s="16" t="str">
        <f>TEXT(PARTIDA[[#This Row],[PARTIDA]],"0000000000")</f>
        <v>7403110000</v>
      </c>
      <c r="C5707" s="16" t="s">
        <v>815</v>
      </c>
      <c r="D5707" s="16" t="s">
        <v>835</v>
      </c>
      <c r="E5707" s="16" t="s">
        <v>9462</v>
      </c>
      <c r="F5707" s="27" t="s">
        <v>14085</v>
      </c>
      <c r="G5707" s="27"/>
      <c r="H5707" s="16" t="str">
        <f>IF(ISBLANK(PARTIDAS!$G5707),PARTIDAS!$F5707,CONCATENATE(PARTIDAS!$F5707," (",PARTIDAS!$G5707,")"))</f>
        <v>Cátodos y secciones de cátodos</v>
      </c>
      <c r="I5707" s="16" t="s">
        <v>9427</v>
      </c>
    </row>
    <row r="5708" spans="1:9" x14ac:dyDescent="0.25">
      <c r="A5708" s="16" t="s">
        <v>6652</v>
      </c>
      <c r="B5708" s="16" t="str">
        <f>TEXT(PARTIDA[[#This Row],[PARTIDA]],"0000000000")</f>
        <v>7403120000</v>
      </c>
      <c r="C5708" s="16" t="s">
        <v>815</v>
      </c>
      <c r="D5708" s="16" t="s">
        <v>835</v>
      </c>
      <c r="E5708" s="16" t="s">
        <v>9462</v>
      </c>
      <c r="F5708" s="27" t="s">
        <v>14086</v>
      </c>
      <c r="G5708" s="27"/>
      <c r="H5708" s="16" t="str">
        <f>IF(ISBLANK(PARTIDAS!$G5708),PARTIDAS!$F5708,CONCATENATE(PARTIDAS!$F5708," (",PARTIDAS!$G5708,")"))</f>
        <v>Barras para alambrón («wire-bars»)</v>
      </c>
      <c r="I5708" s="16" t="s">
        <v>9427</v>
      </c>
    </row>
    <row r="5709" spans="1:9" x14ac:dyDescent="0.25">
      <c r="A5709" s="16" t="s">
        <v>6653</v>
      </c>
      <c r="B5709" s="16" t="str">
        <f>TEXT(PARTIDA[[#This Row],[PARTIDA]],"0000000000")</f>
        <v>7403130000</v>
      </c>
      <c r="C5709" s="16" t="s">
        <v>815</v>
      </c>
      <c r="D5709" s="16" t="s">
        <v>835</v>
      </c>
      <c r="E5709" s="16" t="s">
        <v>9462</v>
      </c>
      <c r="F5709" s="27" t="s">
        <v>14087</v>
      </c>
      <c r="G5709" s="27"/>
      <c r="H5709" s="16" t="str">
        <f>IF(ISBLANK(PARTIDAS!$G5709),PARTIDAS!$F5709,CONCATENATE(PARTIDAS!$F5709," (",PARTIDAS!$G5709,")"))</f>
        <v>Cobre refinado, tochos</v>
      </c>
      <c r="I5709" s="16" t="s">
        <v>9427</v>
      </c>
    </row>
    <row r="5710" spans="1:9" x14ac:dyDescent="0.25">
      <c r="A5710" s="16" t="s">
        <v>6654</v>
      </c>
      <c r="B5710" s="16" t="str">
        <f>TEXT(PARTIDA[[#This Row],[PARTIDA]],"0000000000")</f>
        <v>7403190000</v>
      </c>
      <c r="C5710" s="16" t="s">
        <v>815</v>
      </c>
      <c r="D5710" s="16" t="s">
        <v>835</v>
      </c>
      <c r="E5710" s="16" t="s">
        <v>9462</v>
      </c>
      <c r="F5710" s="27" t="s">
        <v>14088</v>
      </c>
      <c r="G5710" s="27"/>
      <c r="H5710" s="16" t="str">
        <f>IF(ISBLANK(PARTIDAS!$G5710),PARTIDAS!$F5710,CONCATENATE(PARTIDAS!$F5710," (",PARTIDAS!$G5710,")"))</f>
        <v>Cobre refinado (los demás)</v>
      </c>
      <c r="I5710" s="16" t="s">
        <v>9427</v>
      </c>
    </row>
    <row r="5711" spans="1:9" x14ac:dyDescent="0.25">
      <c r="A5711" s="16" t="s">
        <v>6655</v>
      </c>
      <c r="B5711" s="16" t="str">
        <f>TEXT(PARTIDA[[#This Row],[PARTIDA]],"0000000000")</f>
        <v>7403210000</v>
      </c>
      <c r="C5711" s="16" t="s">
        <v>815</v>
      </c>
      <c r="D5711" s="16" t="s">
        <v>835</v>
      </c>
      <c r="E5711" s="16" t="s">
        <v>9462</v>
      </c>
      <c r="F5711" s="27" t="s">
        <v>14089</v>
      </c>
      <c r="G5711" s="27"/>
      <c r="H5711" s="16" t="str">
        <f>IF(ISBLANK(PARTIDAS!$G5711),PARTIDAS!$F5711,CONCATENATE(PARTIDAS!$F5711," (",PARTIDAS!$G5711,")"))</f>
        <v>Aleaciones de cobre, a base de cobre-cinc (latón)</v>
      </c>
      <c r="I5711" s="16" t="s">
        <v>9427</v>
      </c>
    </row>
    <row r="5712" spans="1:9" x14ac:dyDescent="0.25">
      <c r="A5712" s="16" t="s">
        <v>6656</v>
      </c>
      <c r="B5712" s="16" t="str">
        <f>TEXT(PARTIDA[[#This Row],[PARTIDA]],"0000000000")</f>
        <v>7403220000</v>
      </c>
      <c r="C5712" s="16" t="s">
        <v>815</v>
      </c>
      <c r="D5712" s="16" t="s">
        <v>835</v>
      </c>
      <c r="E5712" s="16" t="s">
        <v>9462</v>
      </c>
      <c r="F5712" s="27" t="s">
        <v>14090</v>
      </c>
      <c r="G5712" s="27"/>
      <c r="H5712" s="16" t="str">
        <f>IF(ISBLANK(PARTIDAS!$G5712),PARTIDAS!$F5712,CONCATENATE(PARTIDAS!$F5712," (",PARTIDAS!$G5712,")"))</f>
        <v>Aleaciones de cobre, a base de cobre-estaño (bronce)</v>
      </c>
      <c r="I5712" s="16" t="s">
        <v>9427</v>
      </c>
    </row>
    <row r="5713" spans="1:9" x14ac:dyDescent="0.25">
      <c r="A5713" s="16" t="s">
        <v>6657</v>
      </c>
      <c r="B5713" s="16" t="str">
        <f>TEXT(PARTIDA[[#This Row],[PARTIDA]],"0000000000")</f>
        <v>7403291000</v>
      </c>
      <c r="C5713" s="16" t="s">
        <v>815</v>
      </c>
      <c r="D5713" s="16" t="s">
        <v>835</v>
      </c>
      <c r="E5713" s="16" t="s">
        <v>9462</v>
      </c>
      <c r="F5713" s="27" t="s">
        <v>14091</v>
      </c>
      <c r="G5713" s="27"/>
      <c r="H5713" s="16" t="str">
        <f>IF(ISBLANK(PARTIDAS!$G5713),PARTIDAS!$F5713,CONCATENATE(PARTIDAS!$F5713," (",PARTIDAS!$G5713,")"))</f>
        <v>Aleaciones de cobre, a base de cobre-níquel (cuproníquel) o de cobre-níquel-cinc (alpaca)</v>
      </c>
      <c r="I5713" s="16" t="s">
        <v>9427</v>
      </c>
    </row>
    <row r="5714" spans="1:9" x14ac:dyDescent="0.25">
      <c r="A5714" s="16" t="s">
        <v>6658</v>
      </c>
      <c r="B5714" s="16" t="str">
        <f>TEXT(PARTIDA[[#This Row],[PARTIDA]],"0000000000")</f>
        <v>7403299000</v>
      </c>
      <c r="C5714" s="16" t="s">
        <v>815</v>
      </c>
      <c r="D5714" s="16" t="s">
        <v>835</v>
      </c>
      <c r="E5714" s="16" t="s">
        <v>9462</v>
      </c>
      <c r="F5714" s="27" t="s">
        <v>14092</v>
      </c>
      <c r="G5714" s="27"/>
      <c r="H5714" s="16" t="str">
        <f>IF(ISBLANK(PARTIDAS!$G5714),PARTIDAS!$F5714,CONCATENATE(PARTIDAS!$F5714," (",PARTIDAS!$G5714,")"))</f>
        <v>Aleaciones de cobre (los demás)</v>
      </c>
      <c r="I5714" s="16" t="s">
        <v>9427</v>
      </c>
    </row>
    <row r="5715" spans="1:9" x14ac:dyDescent="0.25">
      <c r="A5715" s="16" t="s">
        <v>6659</v>
      </c>
      <c r="B5715" s="16" t="str">
        <f>TEXT(PARTIDA[[#This Row],[PARTIDA]],"0000000000")</f>
        <v>7404000000</v>
      </c>
      <c r="C5715" s="16" t="s">
        <v>815</v>
      </c>
      <c r="D5715" s="16" t="s">
        <v>835</v>
      </c>
      <c r="E5715" s="16" t="s">
        <v>855</v>
      </c>
      <c r="F5715" s="27" t="s">
        <v>6660</v>
      </c>
      <c r="G5715" s="27"/>
      <c r="H5715" s="16" t="str">
        <f>IF(ISBLANK(PARTIDAS!$G5715),PARTIDAS!$F5715,CONCATENATE(PARTIDAS!$F5715," (",PARTIDAS!$G5715,")"))</f>
        <v>Manufacturas de cobre</v>
      </c>
      <c r="I5715" s="16" t="s">
        <v>9477</v>
      </c>
    </row>
    <row r="5716" spans="1:9" x14ac:dyDescent="0.25">
      <c r="A5716" s="16" t="s">
        <v>6661</v>
      </c>
      <c r="B5716" s="16" t="str">
        <f>TEXT(PARTIDA[[#This Row],[PARTIDA]],"0000000000")</f>
        <v>7405000000</v>
      </c>
      <c r="C5716" s="16" t="s">
        <v>815</v>
      </c>
      <c r="D5716" s="16" t="s">
        <v>835</v>
      </c>
      <c r="E5716" s="16" t="s">
        <v>9462</v>
      </c>
      <c r="F5716" s="27" t="s">
        <v>6660</v>
      </c>
      <c r="G5716" s="27"/>
      <c r="H5716" s="16" t="str">
        <f>IF(ISBLANK(PARTIDAS!$G5716),PARTIDAS!$F5716,CONCATENATE(PARTIDAS!$F5716," (",PARTIDAS!$G5716,")"))</f>
        <v>Manufacturas de cobre</v>
      </c>
      <c r="I5716" s="16" t="s">
        <v>9427</v>
      </c>
    </row>
    <row r="5717" spans="1:9" x14ac:dyDescent="0.25">
      <c r="A5717" s="16" t="s">
        <v>6662</v>
      </c>
      <c r="B5717" s="16" t="str">
        <f>TEXT(PARTIDA[[#This Row],[PARTIDA]],"0000000000")</f>
        <v>7406100000</v>
      </c>
      <c r="C5717" s="16" t="s">
        <v>815</v>
      </c>
      <c r="D5717" s="16" t="s">
        <v>835</v>
      </c>
      <c r="E5717" s="16" t="s">
        <v>9462</v>
      </c>
      <c r="F5717" s="27" t="s">
        <v>14093</v>
      </c>
      <c r="G5717" s="27"/>
      <c r="H5717" s="16" t="str">
        <f>IF(ISBLANK(PARTIDAS!$G5717),PARTIDAS!$F5717,CONCATENATE(PARTIDAS!$F5717," (",PARTIDAS!$G5717,")"))</f>
        <v>Polvo de estructura no laminar</v>
      </c>
      <c r="I5717" s="16" t="s">
        <v>9427</v>
      </c>
    </row>
    <row r="5718" spans="1:9" x14ac:dyDescent="0.25">
      <c r="A5718" s="16" t="s">
        <v>6663</v>
      </c>
      <c r="B5718" s="16" t="str">
        <f>TEXT(PARTIDA[[#This Row],[PARTIDA]],"0000000000")</f>
        <v>7406200000</v>
      </c>
      <c r="C5718" s="16" t="s">
        <v>815</v>
      </c>
      <c r="D5718" s="16" t="s">
        <v>835</v>
      </c>
      <c r="E5718" s="16" t="s">
        <v>9462</v>
      </c>
      <c r="F5718" s="27" t="s">
        <v>14094</v>
      </c>
      <c r="G5718" s="27"/>
      <c r="H5718" s="16" t="str">
        <f>IF(ISBLANK(PARTIDAS!$G5718),PARTIDAS!$F5718,CONCATENATE(PARTIDAS!$F5718," (",PARTIDAS!$G5718,")"))</f>
        <v>Polvo de estructura laminar; escamillas</v>
      </c>
      <c r="I5718" s="16" t="s">
        <v>9427</v>
      </c>
    </row>
    <row r="5719" spans="1:9" x14ac:dyDescent="0.25">
      <c r="A5719" s="16" t="s">
        <v>6664</v>
      </c>
      <c r="B5719" s="16" t="str">
        <f>TEXT(PARTIDA[[#This Row],[PARTIDA]],"0000000000")</f>
        <v>7407100000</v>
      </c>
      <c r="C5719" s="16" t="s">
        <v>815</v>
      </c>
      <c r="D5719" s="16" t="s">
        <v>835</v>
      </c>
      <c r="E5719" s="16" t="s">
        <v>9463</v>
      </c>
      <c r="F5719" s="27" t="s">
        <v>14095</v>
      </c>
      <c r="G5719" s="27"/>
      <c r="H5719" s="16" t="str">
        <f>IF(ISBLANK(PARTIDAS!$G5719),PARTIDAS!$F5719,CONCATENATE(PARTIDAS!$F5719," (",PARTIDAS!$G5719,")"))</f>
        <v>Barras y perfiles, de cobre, de cobre refinado</v>
      </c>
      <c r="I5719" s="16" t="s">
        <v>9427</v>
      </c>
    </row>
    <row r="5720" spans="1:9" x14ac:dyDescent="0.25">
      <c r="A5720" s="16" t="s">
        <v>6665</v>
      </c>
      <c r="B5720" s="16" t="str">
        <f>TEXT(PARTIDA[[#This Row],[PARTIDA]],"0000000000")</f>
        <v>7407210000</v>
      </c>
      <c r="C5720" s="16" t="s">
        <v>815</v>
      </c>
      <c r="D5720" s="16" t="s">
        <v>835</v>
      </c>
      <c r="E5720" s="16" t="s">
        <v>9463</v>
      </c>
      <c r="F5720" s="27" t="s">
        <v>14096</v>
      </c>
      <c r="G5720" s="27"/>
      <c r="H5720" s="16" t="str">
        <f>IF(ISBLANK(PARTIDAS!$G5720),PARTIDAS!$F5720,CONCATENATE(PARTIDAS!$F5720," (",PARTIDAS!$G5720,")"))</f>
        <v>Barras y perfiles, de cobre, de aleaciones de cobre, a base de cobre-cinc (latón)</v>
      </c>
      <c r="I5720" s="16" t="s">
        <v>9427</v>
      </c>
    </row>
    <row r="5721" spans="1:9" x14ac:dyDescent="0.25">
      <c r="A5721" s="16" t="s">
        <v>6666</v>
      </c>
      <c r="B5721" s="16" t="str">
        <f>TEXT(PARTIDA[[#This Row],[PARTIDA]],"0000000000")</f>
        <v>7407290000</v>
      </c>
      <c r="C5721" s="16" t="s">
        <v>815</v>
      </c>
      <c r="D5721" s="16" t="s">
        <v>835</v>
      </c>
      <c r="E5721" s="16" t="s">
        <v>9463</v>
      </c>
      <c r="F5721" s="27" t="s">
        <v>14097</v>
      </c>
      <c r="G5721" s="27"/>
      <c r="H5721" s="16" t="str">
        <f>IF(ISBLANK(PARTIDAS!$G5721),PARTIDAS!$F5721,CONCATENATE(PARTIDAS!$F5721," (",PARTIDAS!$G5721,")"))</f>
        <v>Barras y perfiles, de cobre, de aleaciones de cobre (los demás)</v>
      </c>
      <c r="I5721" s="16" t="s">
        <v>9427</v>
      </c>
    </row>
    <row r="5722" spans="1:9" x14ac:dyDescent="0.25">
      <c r="A5722" s="16" t="s">
        <v>6667</v>
      </c>
      <c r="B5722" s="16" t="str">
        <f>TEXT(PARTIDA[[#This Row],[PARTIDA]],"0000000000")</f>
        <v>7408110000</v>
      </c>
      <c r="C5722" s="16" t="s">
        <v>815</v>
      </c>
      <c r="D5722" s="16" t="s">
        <v>835</v>
      </c>
      <c r="E5722" s="16" t="s">
        <v>9463</v>
      </c>
      <c r="F5722" s="27" t="s">
        <v>14098</v>
      </c>
      <c r="G5722" s="27"/>
      <c r="H5722" s="16" t="str">
        <f>IF(ISBLANK(PARTIDAS!$G5722),PARTIDAS!$F5722,CONCATENATE(PARTIDAS!$F5722," (",PARTIDAS!$G5722,")"))</f>
        <v>Alambre de cobre, de cobre refinado, con la mayor dimensión de la sección transversal superior a 6 mm</v>
      </c>
      <c r="I5722" s="16" t="s">
        <v>9427</v>
      </c>
    </row>
    <row r="5723" spans="1:9" x14ac:dyDescent="0.25">
      <c r="A5723" s="16" t="s">
        <v>6668</v>
      </c>
      <c r="B5723" s="16" t="str">
        <f>TEXT(PARTIDA[[#This Row],[PARTIDA]],"0000000000")</f>
        <v>7408190000</v>
      </c>
      <c r="C5723" s="16" t="s">
        <v>815</v>
      </c>
      <c r="D5723" s="16" t="s">
        <v>835</v>
      </c>
      <c r="E5723" s="16" t="s">
        <v>9463</v>
      </c>
      <c r="F5723" s="27" t="s">
        <v>14099</v>
      </c>
      <c r="G5723" s="27"/>
      <c r="H5723" s="16" t="str">
        <f>IF(ISBLANK(PARTIDAS!$G5723),PARTIDAS!$F5723,CONCATENATE(PARTIDAS!$F5723," (",PARTIDAS!$G5723,")"))</f>
        <v>Alambre de cobre, de cobre refinado (los demás)</v>
      </c>
      <c r="I5723" s="16" t="s">
        <v>9427</v>
      </c>
    </row>
    <row r="5724" spans="1:9" x14ac:dyDescent="0.25">
      <c r="A5724" s="16" t="s">
        <v>6669</v>
      </c>
      <c r="B5724" s="16" t="str">
        <f>TEXT(PARTIDA[[#This Row],[PARTIDA]],"0000000000")</f>
        <v>7408210000</v>
      </c>
      <c r="C5724" s="16" t="s">
        <v>815</v>
      </c>
      <c r="D5724" s="16" t="s">
        <v>835</v>
      </c>
      <c r="E5724" s="16" t="s">
        <v>9463</v>
      </c>
      <c r="F5724" s="27" t="s">
        <v>14100</v>
      </c>
      <c r="G5724" s="27"/>
      <c r="H5724" s="16" t="str">
        <f>IF(ISBLANK(PARTIDAS!$G5724),PARTIDAS!$F5724,CONCATENATE(PARTIDAS!$F5724," (",PARTIDAS!$G5724,")"))</f>
        <v>Alambre de cobre, de aleaciones de cobre, a base de cobre-cinc (latón)</v>
      </c>
      <c r="I5724" s="16" t="s">
        <v>9427</v>
      </c>
    </row>
    <row r="5725" spans="1:9" x14ac:dyDescent="0.25">
      <c r="A5725" s="16" t="s">
        <v>6670</v>
      </c>
      <c r="B5725" s="16" t="str">
        <f>TEXT(PARTIDA[[#This Row],[PARTIDA]],"0000000000")</f>
        <v>7408220000</v>
      </c>
      <c r="C5725" s="16" t="s">
        <v>815</v>
      </c>
      <c r="D5725" s="16" t="s">
        <v>835</v>
      </c>
      <c r="E5725" s="16" t="s">
        <v>9463</v>
      </c>
      <c r="F5725" s="27" t="s">
        <v>14101</v>
      </c>
      <c r="G5725" s="27"/>
      <c r="H5725" s="16" t="str">
        <f>IF(ISBLANK(PARTIDAS!$G5725),PARTIDAS!$F5725,CONCATENATE(PARTIDAS!$F5725," (",PARTIDAS!$G5725,")"))</f>
        <v>Alambre de cobre, de aleaciones de cobre, a base de cobre-níquel (cuproníquel) o de cobre-níquel-cinc (alpaca)</v>
      </c>
      <c r="I5725" s="16" t="s">
        <v>9427</v>
      </c>
    </row>
    <row r="5726" spans="1:9" x14ac:dyDescent="0.25">
      <c r="A5726" s="16" t="s">
        <v>6671</v>
      </c>
      <c r="B5726" s="16" t="str">
        <f>TEXT(PARTIDA[[#This Row],[PARTIDA]],"0000000000")</f>
        <v>7408290000</v>
      </c>
      <c r="C5726" s="16" t="s">
        <v>815</v>
      </c>
      <c r="D5726" s="16" t="s">
        <v>835</v>
      </c>
      <c r="E5726" s="16" t="s">
        <v>9463</v>
      </c>
      <c r="F5726" s="27" t="s">
        <v>14102</v>
      </c>
      <c r="G5726" s="27"/>
      <c r="H5726" s="16" t="str">
        <f>IF(ISBLANK(PARTIDAS!$G5726),PARTIDAS!$F5726,CONCATENATE(PARTIDAS!$F5726," (",PARTIDAS!$G5726,")"))</f>
        <v>Alambre de cobre, de aleaciones de cobre (los demás)</v>
      </c>
      <c r="I5726" s="16" t="s">
        <v>9427</v>
      </c>
    </row>
    <row r="5727" spans="1:9" x14ac:dyDescent="0.25">
      <c r="A5727" s="16" t="s">
        <v>6672</v>
      </c>
      <c r="B5727" s="16" t="str">
        <f>TEXT(PARTIDA[[#This Row],[PARTIDA]],"0000000000")</f>
        <v>7409110000</v>
      </c>
      <c r="C5727" s="16" t="s">
        <v>815</v>
      </c>
      <c r="D5727" s="16" t="s">
        <v>835</v>
      </c>
      <c r="E5727" s="16" t="s">
        <v>9463</v>
      </c>
      <c r="F5727" s="27" t="s">
        <v>14103</v>
      </c>
      <c r="G5727" s="27"/>
      <c r="H5727" s="16" t="str">
        <f>IF(ISBLANK(PARTIDAS!$G5727),PARTIDAS!$F5727,CONCATENATE(PARTIDAS!$F5727," (",PARTIDAS!$G5727,")"))</f>
        <v>Chapas y tiras, de cobre, de espesor superior a 0,15 mm, de cobre refinado, enrolladas</v>
      </c>
      <c r="I5727" s="16" t="s">
        <v>9427</v>
      </c>
    </row>
    <row r="5728" spans="1:9" x14ac:dyDescent="0.25">
      <c r="A5728" s="16" t="s">
        <v>6673</v>
      </c>
      <c r="B5728" s="16" t="str">
        <f>TEXT(PARTIDA[[#This Row],[PARTIDA]],"0000000000")</f>
        <v>7409190000</v>
      </c>
      <c r="C5728" s="16" t="s">
        <v>815</v>
      </c>
      <c r="D5728" s="16" t="s">
        <v>835</v>
      </c>
      <c r="E5728" s="16" t="s">
        <v>9463</v>
      </c>
      <c r="F5728" s="27" t="s">
        <v>14104</v>
      </c>
      <c r="G5728" s="27"/>
      <c r="H5728" s="16" t="str">
        <f>IF(ISBLANK(PARTIDAS!$G5728),PARTIDAS!$F5728,CONCATENATE(PARTIDAS!$F5728," (",PARTIDAS!$G5728,")"))</f>
        <v>Chapas y tiras, de cobre, de espesor superior a 0,15 mm, de cobre refinado (los demás)</v>
      </c>
      <c r="I5728" s="16" t="s">
        <v>9427</v>
      </c>
    </row>
    <row r="5729" spans="1:9" x14ac:dyDescent="0.25">
      <c r="A5729" s="16" t="s">
        <v>6674</v>
      </c>
      <c r="B5729" s="16" t="str">
        <f>TEXT(PARTIDA[[#This Row],[PARTIDA]],"0000000000")</f>
        <v>7409210000</v>
      </c>
      <c r="C5729" s="16" t="s">
        <v>815</v>
      </c>
      <c r="D5729" s="16" t="s">
        <v>835</v>
      </c>
      <c r="E5729" s="16" t="s">
        <v>9463</v>
      </c>
      <c r="F5729" s="27" t="s">
        <v>14105</v>
      </c>
      <c r="G5729" s="27"/>
      <c r="H5729" s="16" t="str">
        <f>IF(ISBLANK(PARTIDAS!$G5729),PARTIDAS!$F5729,CONCATENATE(PARTIDAS!$F5729," (",PARTIDAS!$G5729,")"))</f>
        <v>Chapas y tiras, de cobre, de espesor superior a 0,15 mm, de aleaciones a base de cobre-cinc (latón), enrolladas</v>
      </c>
      <c r="I5729" s="16" t="s">
        <v>9427</v>
      </c>
    </row>
    <row r="5730" spans="1:9" x14ac:dyDescent="0.25">
      <c r="A5730" s="16" t="s">
        <v>6675</v>
      </c>
      <c r="B5730" s="16" t="str">
        <f>TEXT(PARTIDA[[#This Row],[PARTIDA]],"0000000000")</f>
        <v>7409290000</v>
      </c>
      <c r="C5730" s="16" t="s">
        <v>815</v>
      </c>
      <c r="D5730" s="16" t="s">
        <v>835</v>
      </c>
      <c r="E5730" s="16" t="s">
        <v>9463</v>
      </c>
      <c r="F5730" s="27" t="s">
        <v>14106</v>
      </c>
      <c r="G5730" s="27"/>
      <c r="H5730" s="16" t="str">
        <f>IF(ISBLANK(PARTIDAS!$G5730),PARTIDAS!$F5730,CONCATENATE(PARTIDAS!$F5730," (",PARTIDAS!$G5730,")"))</f>
        <v>Chapas y tiras, de cobre, de espesor superior a 0,15 mm, de aleaciones a base de cobre-cinc (latón) (los demás)</v>
      </c>
      <c r="I5730" s="16" t="s">
        <v>9427</v>
      </c>
    </row>
    <row r="5731" spans="1:9" x14ac:dyDescent="0.25">
      <c r="A5731" s="16" t="s">
        <v>6676</v>
      </c>
      <c r="B5731" s="16" t="str">
        <f>TEXT(PARTIDA[[#This Row],[PARTIDA]],"0000000000")</f>
        <v>7409310000</v>
      </c>
      <c r="C5731" s="16" t="s">
        <v>815</v>
      </c>
      <c r="D5731" s="16" t="s">
        <v>835</v>
      </c>
      <c r="E5731" s="16" t="s">
        <v>9463</v>
      </c>
      <c r="F5731" s="27" t="s">
        <v>14107</v>
      </c>
      <c r="G5731" s="27"/>
      <c r="H5731" s="16" t="str">
        <f>IF(ISBLANK(PARTIDAS!$G5731),PARTIDAS!$F5731,CONCATENATE(PARTIDAS!$F5731," (",PARTIDAS!$G5731,")"))</f>
        <v>Chapas y tiras, de cobre, de espesor superior a 0,15 mm, de aleaciones a base de cobre-estaño (bronce), enrolladas</v>
      </c>
      <c r="I5731" s="16" t="s">
        <v>9427</v>
      </c>
    </row>
    <row r="5732" spans="1:9" x14ac:dyDescent="0.25">
      <c r="A5732" s="16" t="s">
        <v>6677</v>
      </c>
      <c r="B5732" s="16" t="str">
        <f>TEXT(PARTIDA[[#This Row],[PARTIDA]],"0000000000")</f>
        <v>7409390000</v>
      </c>
      <c r="C5732" s="16" t="s">
        <v>815</v>
      </c>
      <c r="D5732" s="16" t="s">
        <v>835</v>
      </c>
      <c r="E5732" s="16" t="s">
        <v>9463</v>
      </c>
      <c r="F5732" s="27" t="s">
        <v>14108</v>
      </c>
      <c r="G5732" s="27"/>
      <c r="H5732" s="16" t="str">
        <f>IF(ISBLANK(PARTIDAS!$G5732),PARTIDAS!$F5732,CONCATENATE(PARTIDAS!$F5732," (",PARTIDAS!$G5732,")"))</f>
        <v>Chapas y tiras, de cobre, de espesor superior a 0,15 mm, de aleaciones a base de cobre-estaño (bronce) (los demás)</v>
      </c>
      <c r="I5732" s="16" t="s">
        <v>9427</v>
      </c>
    </row>
    <row r="5733" spans="1:9" x14ac:dyDescent="0.25">
      <c r="A5733" s="16" t="s">
        <v>6678</v>
      </c>
      <c r="B5733" s="16" t="str">
        <f>TEXT(PARTIDA[[#This Row],[PARTIDA]],"0000000000")</f>
        <v>7409400000</v>
      </c>
      <c r="C5733" s="16" t="s">
        <v>815</v>
      </c>
      <c r="D5733" s="16" t="s">
        <v>835</v>
      </c>
      <c r="E5733" s="16" t="s">
        <v>9463</v>
      </c>
      <c r="F5733" s="27" t="s">
        <v>14109</v>
      </c>
      <c r="G5733" s="27"/>
      <c r="H5733" s="16" t="str">
        <f>IF(ISBLANK(PARTIDAS!$G5733),PARTIDAS!$F5733,CONCATENATE(PARTIDAS!$F5733," (",PARTIDAS!$G5733,")"))</f>
        <v>Chapas y tiras, de cobre, de espesor superior a 0,15 mm, de aleaciones a base de cobre-níquel (cuproníquel) o de cobre-níquel-cinc (alpaca)</v>
      </c>
      <c r="I5733" s="16" t="s">
        <v>9427</v>
      </c>
    </row>
    <row r="5734" spans="1:9" x14ac:dyDescent="0.25">
      <c r="A5734" s="16" t="s">
        <v>6679</v>
      </c>
      <c r="B5734" s="16" t="str">
        <f>TEXT(PARTIDA[[#This Row],[PARTIDA]],"0000000000")</f>
        <v>7409900000</v>
      </c>
      <c r="C5734" s="16" t="s">
        <v>815</v>
      </c>
      <c r="D5734" s="16" t="s">
        <v>835</v>
      </c>
      <c r="E5734" s="16" t="s">
        <v>9463</v>
      </c>
      <c r="F5734" s="27" t="s">
        <v>14110</v>
      </c>
      <c r="G5734" s="27"/>
      <c r="H5734" s="16" t="str">
        <f>IF(ISBLANK(PARTIDAS!$G5734),PARTIDAS!$F5734,CONCATENATE(PARTIDAS!$F5734," (",PARTIDAS!$G5734,")"))</f>
        <v>Chapas y tiras, de cobre, de espesor superior a 0,15 mm, de las demás aleaciones de cobre</v>
      </c>
      <c r="I5734" s="16" t="s">
        <v>9427</v>
      </c>
    </row>
    <row r="5735" spans="1:9" x14ac:dyDescent="0.25">
      <c r="A5735" s="16" t="s">
        <v>6680</v>
      </c>
      <c r="B5735" s="16" t="str">
        <f>TEXT(PARTIDA[[#This Row],[PARTIDA]],"0000000000")</f>
        <v>7410110000</v>
      </c>
      <c r="C5735" s="16" t="s">
        <v>815</v>
      </c>
      <c r="D5735" s="16" t="s">
        <v>835</v>
      </c>
      <c r="E5735" s="16" t="s">
        <v>9463</v>
      </c>
      <c r="F5735" s="27" t="s">
        <v>14111</v>
      </c>
      <c r="G5735" s="27"/>
      <c r="H5735" s="16" t="str">
        <f>IF(ISBLANK(PARTIDAS!$G5735),PARTIDAS!$F5735,CONCATENATE(PARTIDAS!$F5735," (",PARTIDAS!$G5735,")"))</f>
        <v>Hojas y tiras, delgadas, de cobre (incluso impresas o…, sin soporte, de cobre refinado</v>
      </c>
      <c r="I5735" s="16" t="s">
        <v>9427</v>
      </c>
    </row>
    <row r="5736" spans="1:9" x14ac:dyDescent="0.25">
      <c r="A5736" s="16" t="s">
        <v>6681</v>
      </c>
      <c r="B5736" s="16" t="str">
        <f>TEXT(PARTIDA[[#This Row],[PARTIDA]],"0000000000")</f>
        <v>7410120000</v>
      </c>
      <c r="C5736" s="16" t="s">
        <v>815</v>
      </c>
      <c r="D5736" s="16" t="s">
        <v>835</v>
      </c>
      <c r="E5736" s="16" t="s">
        <v>9463</v>
      </c>
      <c r="F5736" s="27" t="s">
        <v>14112</v>
      </c>
      <c r="G5736" s="27"/>
      <c r="H5736" s="16" t="str">
        <f>IF(ISBLANK(PARTIDAS!$G5736),PARTIDAS!$F5736,CONCATENATE(PARTIDAS!$F5736," (",PARTIDAS!$G5736,")"))</f>
        <v>Hojas y tiras, delgadas, de cobre (incluso impresas o…, sin soporte, de aleaciones de cobre</v>
      </c>
      <c r="I5736" s="16" t="s">
        <v>9427</v>
      </c>
    </row>
    <row r="5737" spans="1:9" x14ac:dyDescent="0.25">
      <c r="A5737" s="16" t="s">
        <v>6682</v>
      </c>
      <c r="B5737" s="16" t="str">
        <f>TEXT(PARTIDA[[#This Row],[PARTIDA]],"0000000000")</f>
        <v>7410210000</v>
      </c>
      <c r="C5737" s="16" t="s">
        <v>815</v>
      </c>
      <c r="D5737" s="16" t="s">
        <v>835</v>
      </c>
      <c r="E5737" s="16" t="s">
        <v>9463</v>
      </c>
      <c r="F5737" s="27" t="s">
        <v>14113</v>
      </c>
      <c r="G5737" s="27"/>
      <c r="H5737" s="16" t="str">
        <f>IF(ISBLANK(PARTIDAS!$G5737),PARTIDAS!$F5737,CONCATENATE(PARTIDAS!$F5737," (",PARTIDAS!$G5737,")"))</f>
        <v>Hojas y tiras, delgadas, de cobre (incluso impresas o…, con soporte, de cobre refinado</v>
      </c>
      <c r="I5737" s="16" t="s">
        <v>9427</v>
      </c>
    </row>
    <row r="5738" spans="1:9" x14ac:dyDescent="0.25">
      <c r="A5738" s="16" t="s">
        <v>6683</v>
      </c>
      <c r="B5738" s="16" t="str">
        <f>TEXT(PARTIDA[[#This Row],[PARTIDA]],"0000000000")</f>
        <v>7410220000</v>
      </c>
      <c r="C5738" s="16" t="s">
        <v>815</v>
      </c>
      <c r="D5738" s="16" t="s">
        <v>835</v>
      </c>
      <c r="E5738" s="16" t="s">
        <v>9463</v>
      </c>
      <c r="F5738" s="27" t="s">
        <v>14114</v>
      </c>
      <c r="G5738" s="27"/>
      <c r="H5738" s="16" t="str">
        <f>IF(ISBLANK(PARTIDAS!$G5738),PARTIDAS!$F5738,CONCATENATE(PARTIDAS!$F5738," (",PARTIDAS!$G5738,")"))</f>
        <v>Hojas y tiras, delgadas, de cobre (incluso impresas o…, con soporte, de aleaciones de cobre</v>
      </c>
      <c r="I5738" s="16" t="s">
        <v>9427</v>
      </c>
    </row>
    <row r="5739" spans="1:9" x14ac:dyDescent="0.25">
      <c r="A5739" s="16" t="s">
        <v>6684</v>
      </c>
      <c r="B5739" s="16" t="str">
        <f>TEXT(PARTIDA[[#This Row],[PARTIDA]],"0000000000")</f>
        <v>7411100000</v>
      </c>
      <c r="C5739" s="16" t="s">
        <v>815</v>
      </c>
      <c r="D5739" s="16" t="s">
        <v>835</v>
      </c>
      <c r="E5739" s="16" t="s">
        <v>9463</v>
      </c>
      <c r="F5739" s="27" t="s">
        <v>14115</v>
      </c>
      <c r="G5739" s="27"/>
      <c r="H5739" s="16" t="str">
        <f>IF(ISBLANK(PARTIDAS!$G5739),PARTIDAS!$F5739,CONCATENATE(PARTIDAS!$F5739," (",PARTIDAS!$G5739,")"))</f>
        <v>Tubos de cobre, de cobre refinado</v>
      </c>
      <c r="I5739" s="16" t="s">
        <v>9427</v>
      </c>
    </row>
    <row r="5740" spans="1:9" x14ac:dyDescent="0.25">
      <c r="A5740" s="16" t="s">
        <v>6685</v>
      </c>
      <c r="B5740" s="16" t="str">
        <f>TEXT(PARTIDA[[#This Row],[PARTIDA]],"0000000000")</f>
        <v>7411210000</v>
      </c>
      <c r="C5740" s="16" t="s">
        <v>815</v>
      </c>
      <c r="D5740" s="16" t="s">
        <v>835</v>
      </c>
      <c r="E5740" s="16" t="s">
        <v>9463</v>
      </c>
      <c r="F5740" s="27" t="s">
        <v>14116</v>
      </c>
      <c r="G5740" s="27"/>
      <c r="H5740" s="16" t="str">
        <f>IF(ISBLANK(PARTIDAS!$G5740),PARTIDAS!$F5740,CONCATENATE(PARTIDAS!$F5740," (",PARTIDAS!$G5740,")"))</f>
        <v>Tubos de cobre, de aleaciones de cobre, a base de cobre-cinc (latón)</v>
      </c>
      <c r="I5740" s="16" t="s">
        <v>9427</v>
      </c>
    </row>
    <row r="5741" spans="1:9" x14ac:dyDescent="0.25">
      <c r="A5741" s="16" t="s">
        <v>6686</v>
      </c>
      <c r="B5741" s="16" t="str">
        <f>TEXT(PARTIDA[[#This Row],[PARTIDA]],"0000000000")</f>
        <v>7411220000</v>
      </c>
      <c r="C5741" s="16" t="s">
        <v>815</v>
      </c>
      <c r="D5741" s="16" t="s">
        <v>835</v>
      </c>
      <c r="E5741" s="16" t="s">
        <v>9463</v>
      </c>
      <c r="F5741" s="27" t="s">
        <v>14117</v>
      </c>
      <c r="G5741" s="27"/>
      <c r="H5741" s="16" t="str">
        <f>IF(ISBLANK(PARTIDAS!$G5741),PARTIDAS!$F5741,CONCATENATE(PARTIDAS!$F5741," (",PARTIDAS!$G5741,")"))</f>
        <v>Tubos de cobre, de aleaciones de cobre, a base de cobre-níquel (cuproníquel) o de cobre-níquel-cinc (alpaca)</v>
      </c>
      <c r="I5741" s="16" t="s">
        <v>9427</v>
      </c>
    </row>
    <row r="5742" spans="1:9" x14ac:dyDescent="0.25">
      <c r="A5742" s="16" t="s">
        <v>6687</v>
      </c>
      <c r="B5742" s="16" t="str">
        <f>TEXT(PARTIDA[[#This Row],[PARTIDA]],"0000000000")</f>
        <v>7411290000</v>
      </c>
      <c r="C5742" s="16" t="s">
        <v>815</v>
      </c>
      <c r="D5742" s="16" t="s">
        <v>835</v>
      </c>
      <c r="E5742" s="16" t="s">
        <v>9463</v>
      </c>
      <c r="F5742" s="27" t="s">
        <v>14118</v>
      </c>
      <c r="G5742" s="27"/>
      <c r="H5742" s="16" t="str">
        <f>IF(ISBLANK(PARTIDAS!$G5742),PARTIDAS!$F5742,CONCATENATE(PARTIDAS!$F5742," (",PARTIDAS!$G5742,")"))</f>
        <v>Tubos de cobre, de aleaciones de cobre (los demás)</v>
      </c>
      <c r="I5742" s="16" t="s">
        <v>9427</v>
      </c>
    </row>
    <row r="5743" spans="1:9" x14ac:dyDescent="0.25">
      <c r="A5743" s="16" t="s">
        <v>6688</v>
      </c>
      <c r="B5743" s="16" t="str">
        <f>TEXT(PARTIDA[[#This Row],[PARTIDA]],"0000000000")</f>
        <v>7412100000</v>
      </c>
      <c r="C5743" s="16" t="s">
        <v>815</v>
      </c>
      <c r="D5743" s="16" t="s">
        <v>835</v>
      </c>
      <c r="E5743" s="16" t="s">
        <v>9463</v>
      </c>
      <c r="F5743" s="27" t="s">
        <v>14119</v>
      </c>
      <c r="G5743" s="27"/>
      <c r="H5743" s="16" t="str">
        <f>IF(ISBLANK(PARTIDAS!$G5743),PARTIDAS!$F5743,CONCATENATE(PARTIDAS!$F5743," (",PARTIDAS!$G5743,")"))</f>
        <v>Accesorios de tubería (por ejemplo, de cobre refinado</v>
      </c>
      <c r="I5743" s="16" t="s">
        <v>9427</v>
      </c>
    </row>
    <row r="5744" spans="1:9" x14ac:dyDescent="0.25">
      <c r="A5744" s="16" t="s">
        <v>6689</v>
      </c>
      <c r="B5744" s="16" t="str">
        <f>TEXT(PARTIDA[[#This Row],[PARTIDA]],"0000000000")</f>
        <v>7412200000</v>
      </c>
      <c r="C5744" s="16" t="s">
        <v>815</v>
      </c>
      <c r="D5744" s="16" t="s">
        <v>835</v>
      </c>
      <c r="E5744" s="16" t="s">
        <v>9463</v>
      </c>
      <c r="F5744" s="27" t="s">
        <v>14120</v>
      </c>
      <c r="G5744" s="27"/>
      <c r="H5744" s="16" t="str">
        <f>IF(ISBLANK(PARTIDAS!$G5744),PARTIDAS!$F5744,CONCATENATE(PARTIDAS!$F5744," (",PARTIDAS!$G5744,")"))</f>
        <v>Accesorios de tubería (por ejemplo, de aleaciones de cobre</v>
      </c>
      <c r="I5744" s="16" t="s">
        <v>9427</v>
      </c>
    </row>
    <row r="5745" spans="1:9" x14ac:dyDescent="0.25">
      <c r="A5745" s="16" t="s">
        <v>6690</v>
      </c>
      <c r="B5745" s="16" t="str">
        <f>TEXT(PARTIDA[[#This Row],[PARTIDA]],"0000000000")</f>
        <v>7413000000</v>
      </c>
      <c r="C5745" s="16" t="s">
        <v>815</v>
      </c>
      <c r="D5745" s="16" t="s">
        <v>835</v>
      </c>
      <c r="E5745" s="16" t="s">
        <v>9463</v>
      </c>
      <c r="F5745" s="27" t="s">
        <v>6660</v>
      </c>
      <c r="G5745" s="27"/>
      <c r="H5745" s="16" t="str">
        <f>IF(ISBLANK(PARTIDAS!$G5745),PARTIDAS!$F5745,CONCATENATE(PARTIDAS!$F5745," (",PARTIDAS!$G5745,")"))</f>
        <v>Manufacturas de cobre</v>
      </c>
      <c r="I5745" s="16" t="s">
        <v>9427</v>
      </c>
    </row>
    <row r="5746" spans="1:9" x14ac:dyDescent="0.25">
      <c r="A5746" s="16" t="s">
        <v>6691</v>
      </c>
      <c r="B5746" s="16" t="str">
        <f>TEXT(PARTIDA[[#This Row],[PARTIDA]],"0000000000")</f>
        <v>7415100000</v>
      </c>
      <c r="C5746" s="16" t="s">
        <v>815</v>
      </c>
      <c r="D5746" s="16" t="s">
        <v>835</v>
      </c>
      <c r="E5746" s="16" t="s">
        <v>9463</v>
      </c>
      <c r="F5746" s="27" t="s">
        <v>14121</v>
      </c>
      <c r="G5746" s="27"/>
      <c r="H5746" s="16" t="str">
        <f>IF(ISBLANK(PARTIDAS!$G5746),PARTIDAS!$F5746,CONCATENATE(PARTIDAS!$F5746," (",PARTIDAS!$G5746,")"))</f>
        <v>Puntas y clavos, chinchetas (chinches), grapas apuntadas y artículos similares</v>
      </c>
      <c r="I5746" s="16" t="s">
        <v>9427</v>
      </c>
    </row>
    <row r="5747" spans="1:9" x14ac:dyDescent="0.25">
      <c r="A5747" s="16" t="s">
        <v>6692</v>
      </c>
      <c r="B5747" s="16" t="str">
        <f>TEXT(PARTIDA[[#This Row],[PARTIDA]],"0000000000")</f>
        <v>7415210000</v>
      </c>
      <c r="C5747" s="16" t="s">
        <v>815</v>
      </c>
      <c r="D5747" s="16" t="s">
        <v>835</v>
      </c>
      <c r="E5747" s="16" t="s">
        <v>9463</v>
      </c>
      <c r="F5747" s="27" t="s">
        <v>14122</v>
      </c>
      <c r="G5747" s="27"/>
      <c r="H5747" s="16" t="str">
        <f>IF(ISBLANK(PARTIDAS!$G5747),PARTIDAS!$F5747,CONCATENATE(PARTIDAS!$F5747," (",PARTIDAS!$G5747,")"))</f>
        <v>Arandelas (incluidas las arandelas de muelle (resorte))</v>
      </c>
      <c r="I5747" s="16" t="s">
        <v>9427</v>
      </c>
    </row>
    <row r="5748" spans="1:9" x14ac:dyDescent="0.25">
      <c r="A5748" s="16" t="s">
        <v>6693</v>
      </c>
      <c r="B5748" s="16" t="str">
        <f>TEXT(PARTIDA[[#This Row],[PARTIDA]],"0000000000")</f>
        <v>7415290000</v>
      </c>
      <c r="C5748" s="16" t="s">
        <v>815</v>
      </c>
      <c r="D5748" s="16" t="s">
        <v>835</v>
      </c>
      <c r="E5748" s="16" t="s">
        <v>9463</v>
      </c>
      <c r="F5748" s="27" t="s">
        <v>14123</v>
      </c>
      <c r="G5748" s="27"/>
      <c r="H5748" s="16" t="str">
        <f>IF(ISBLANK(PARTIDAS!$G5748),PARTIDAS!$F5748,CONCATENATE(PARTIDAS!$F5748," (",PARTIDAS!$G5748,")"))</f>
        <v>Puntas, clavos, chinchetas (chinches), grapas apuntadas y artículos… (los demás)</v>
      </c>
      <c r="I5748" s="16" t="s">
        <v>9427</v>
      </c>
    </row>
    <row r="5749" spans="1:9" x14ac:dyDescent="0.25">
      <c r="A5749" s="16" t="s">
        <v>6694</v>
      </c>
      <c r="B5749" s="16" t="str">
        <f>TEXT(PARTIDA[[#This Row],[PARTIDA]],"0000000000")</f>
        <v>7415330000</v>
      </c>
      <c r="C5749" s="16" t="s">
        <v>815</v>
      </c>
      <c r="D5749" s="16" t="s">
        <v>835</v>
      </c>
      <c r="E5749" s="16" t="s">
        <v>9463</v>
      </c>
      <c r="F5749" s="27" t="s">
        <v>14124</v>
      </c>
      <c r="G5749" s="27"/>
      <c r="H5749" s="16" t="str">
        <f>IF(ISBLANK(PARTIDAS!$G5749),PARTIDAS!$F5749,CONCATENATE(PARTIDAS!$F5749," (",PARTIDAS!$G5749,")"))</f>
        <v>Tornillos; pernos y tuercas</v>
      </c>
      <c r="I5749" s="16" t="s">
        <v>9427</v>
      </c>
    </row>
    <row r="5750" spans="1:9" x14ac:dyDescent="0.25">
      <c r="A5750" s="16" t="s">
        <v>6695</v>
      </c>
      <c r="B5750" s="16" t="str">
        <f>TEXT(PARTIDA[[#This Row],[PARTIDA]],"0000000000")</f>
        <v>7415390000</v>
      </c>
      <c r="C5750" s="16" t="s">
        <v>815</v>
      </c>
      <c r="D5750" s="16" t="s">
        <v>835</v>
      </c>
      <c r="E5750" s="16" t="s">
        <v>9463</v>
      </c>
      <c r="F5750" s="27" t="s">
        <v>14125</v>
      </c>
      <c r="G5750" s="27"/>
      <c r="H5750" s="16" t="str">
        <f>IF(ISBLANK(PARTIDAS!$G5750),PARTIDAS!$F5750,CONCATENATE(PARTIDAS!$F5750," (",PARTIDAS!$G5750,")"))</f>
        <v>Puntas, clavos, chinchetas (chinches), grapas apuntadas y artículos… (los demás, [74.16])</v>
      </c>
      <c r="I5750" s="16" t="s">
        <v>9427</v>
      </c>
    </row>
    <row r="5751" spans="1:9" x14ac:dyDescent="0.25">
      <c r="A5751" s="16" t="s">
        <v>6696</v>
      </c>
      <c r="B5751" s="16" t="str">
        <f>TEXT(PARTIDA[[#This Row],[PARTIDA]],"0000000000")</f>
        <v>7418101000</v>
      </c>
      <c r="C5751" s="16" t="s">
        <v>815</v>
      </c>
      <c r="D5751" s="16" t="s">
        <v>835</v>
      </c>
      <c r="E5751" s="16" t="s">
        <v>9463</v>
      </c>
      <c r="F5751" s="27" t="s">
        <v>14126</v>
      </c>
      <c r="G5751" s="27"/>
      <c r="H5751" s="16" t="str">
        <f>IF(ISBLANK(PARTIDAS!$G5751),PARTIDAS!$F5751,CONCATENATE(PARTIDAS!$F5751," (",PARTIDAS!$G5751,")"))</f>
        <v>Esponjas, estropajos, guantes y artículos similares para fregar, lustrar o usos análogos</v>
      </c>
      <c r="I5751" s="16" t="s">
        <v>9427</v>
      </c>
    </row>
    <row r="5752" spans="1:9" x14ac:dyDescent="0.25">
      <c r="A5752" s="16" t="s">
        <v>6697</v>
      </c>
      <c r="B5752" s="16" t="str">
        <f>TEXT(PARTIDA[[#This Row],[PARTIDA]],"0000000000")</f>
        <v>7418102000</v>
      </c>
      <c r="C5752" s="16" t="s">
        <v>815</v>
      </c>
      <c r="D5752" s="16" t="s">
        <v>835</v>
      </c>
      <c r="E5752" s="16" t="s">
        <v>9463</v>
      </c>
      <c r="F5752" s="27" t="s">
        <v>14127</v>
      </c>
      <c r="G5752" s="27"/>
      <c r="H5752" s="16" t="str">
        <f>IF(ISBLANK(PARTIDAS!$G5752),PARTIDAS!$F5752,CONCATENATE(PARTIDAS!$F5752," (",PARTIDAS!$G5752,")"))</f>
        <v>Aparatos no eléctricos de cocción o de calefacción y sus partes</v>
      </c>
      <c r="I5752" s="16" t="s">
        <v>9427</v>
      </c>
    </row>
    <row r="5753" spans="1:9" x14ac:dyDescent="0.25">
      <c r="A5753" s="16" t="s">
        <v>6698</v>
      </c>
      <c r="B5753" s="16" t="str">
        <f>TEXT(PARTIDA[[#This Row],[PARTIDA]],"0000000000")</f>
        <v>7418109000</v>
      </c>
      <c r="C5753" s="16" t="s">
        <v>815</v>
      </c>
      <c r="D5753" s="16" t="s">
        <v>835</v>
      </c>
      <c r="E5753" s="16" t="s">
        <v>9463</v>
      </c>
      <c r="F5753" s="27" t="s">
        <v>14128</v>
      </c>
      <c r="G5753" s="27"/>
      <c r="H5753" s="16" t="str">
        <f>IF(ISBLANK(PARTIDAS!$G5753),PARTIDAS!$F5753,CONCATENATE(PARTIDAS!$F5753," (",PARTIDAS!$G5753,")"))</f>
        <v>Artículos de uso doméstico y sus partes (los demás)</v>
      </c>
      <c r="I5753" s="16" t="s">
        <v>9427</v>
      </c>
    </row>
    <row r="5754" spans="1:9" x14ac:dyDescent="0.25">
      <c r="A5754" s="16" t="s">
        <v>6699</v>
      </c>
      <c r="B5754" s="16" t="str">
        <f>TEXT(PARTIDA[[#This Row],[PARTIDA]],"0000000000")</f>
        <v>7418200000</v>
      </c>
      <c r="C5754" s="16" t="s">
        <v>815</v>
      </c>
      <c r="D5754" s="16" t="s">
        <v>835</v>
      </c>
      <c r="E5754" s="16" t="s">
        <v>9463</v>
      </c>
      <c r="F5754" s="27" t="s">
        <v>14129</v>
      </c>
      <c r="G5754" s="27"/>
      <c r="H5754" s="16" t="str">
        <f>IF(ISBLANK(PARTIDAS!$G5754),PARTIDAS!$F5754,CONCATENATE(PARTIDAS!$F5754," (",PARTIDAS!$G5754,")"))</f>
        <v>Artículos de higiene o tocador, y sus partes</v>
      </c>
      <c r="I5754" s="16" t="s">
        <v>9427</v>
      </c>
    </row>
    <row r="5755" spans="1:9" x14ac:dyDescent="0.25">
      <c r="A5755" s="16" t="s">
        <v>6700</v>
      </c>
      <c r="B5755" s="16" t="str">
        <f>TEXT(PARTIDA[[#This Row],[PARTIDA]],"0000000000")</f>
        <v>7419100000</v>
      </c>
      <c r="C5755" s="16" t="s">
        <v>815</v>
      </c>
      <c r="D5755" s="16" t="s">
        <v>835</v>
      </c>
      <c r="E5755" s="16" t="s">
        <v>9463</v>
      </c>
      <c r="F5755" s="27" t="s">
        <v>14130</v>
      </c>
      <c r="G5755" s="27"/>
      <c r="H5755" s="16" t="str">
        <f>IF(ISBLANK(PARTIDAS!$G5755),PARTIDAS!$F5755,CONCATENATE(PARTIDAS!$F5755," (",PARTIDAS!$G5755,")"))</f>
        <v>Cadenas y sus partes</v>
      </c>
      <c r="I5755" s="16" t="s">
        <v>9648</v>
      </c>
    </row>
    <row r="5756" spans="1:9" x14ac:dyDescent="0.25">
      <c r="A5756" s="16" t="s">
        <v>14131</v>
      </c>
      <c r="B5756" s="16" t="str">
        <f>TEXT(PARTIDA[[#This Row],[PARTIDA]],"0000000000")</f>
        <v>7419200000</v>
      </c>
      <c r="C5756" s="16" t="s">
        <v>815</v>
      </c>
      <c r="D5756" s="16" t="s">
        <v>835</v>
      </c>
      <c r="E5756" s="16" t="s">
        <v>9463</v>
      </c>
      <c r="F5756" s="27" t="s">
        <v>14132</v>
      </c>
      <c r="G5756" s="27"/>
      <c r="H5756" s="16" t="str">
        <f>IF(ISBLANK(PARTIDAS!$G5756),PARTIDAS!$F5756,CONCATENATE(PARTIDAS!$F5756," (",PARTIDAS!$G5756,")"))</f>
        <v>Coladas, moldeadas, estampadas o forjadas, pero sin trabajar de otro modo</v>
      </c>
      <c r="I5756" s="16" t="s">
        <v>9427</v>
      </c>
    </row>
    <row r="5757" spans="1:9" x14ac:dyDescent="0.25">
      <c r="A5757" s="16" t="s">
        <v>14133</v>
      </c>
      <c r="B5757" s="16" t="str">
        <f>TEXT(PARTIDA[[#This Row],[PARTIDA]],"0000000000")</f>
        <v>7419801000</v>
      </c>
      <c r="C5757" s="16" t="s">
        <v>815</v>
      </c>
      <c r="D5757" s="16" t="s">
        <v>835</v>
      </c>
      <c r="E5757" s="16" t="s">
        <v>9463</v>
      </c>
      <c r="F5757" s="27" t="s">
        <v>14134</v>
      </c>
      <c r="G5757" s="27"/>
      <c r="H5757" s="16" t="str">
        <f>IF(ISBLANK(PARTIDAS!$G5757),PARTIDAS!$F5757,CONCATENATE(PARTIDAS!$F5757," (",PARTIDAS!$G5757,")"))</f>
        <v>Telas metálicas (incluidas las continuas o sin fin)</v>
      </c>
      <c r="I5757" s="16" t="s">
        <v>9427</v>
      </c>
    </row>
    <row r="5758" spans="1:9" x14ac:dyDescent="0.25">
      <c r="A5758" s="16" t="s">
        <v>14135</v>
      </c>
      <c r="B5758" s="16" t="str">
        <f>TEXT(PARTIDA[[#This Row],[PARTIDA]],"0000000000")</f>
        <v>7419802000</v>
      </c>
      <c r="C5758" s="16" t="s">
        <v>815</v>
      </c>
      <c r="D5758" s="16" t="s">
        <v>835</v>
      </c>
      <c r="E5758" s="16" t="s">
        <v>9463</v>
      </c>
      <c r="F5758" s="27" t="s">
        <v>14136</v>
      </c>
      <c r="G5758" s="27"/>
      <c r="H5758" s="16" t="str">
        <f>IF(ISBLANK(PARTIDAS!$G5758),PARTIDAS!$F5758,CONCATENATE(PARTIDAS!$F5758," (",PARTIDAS!$G5758,")"))</f>
        <v>Muelles (resortes)</v>
      </c>
      <c r="I5758" s="16" t="s">
        <v>9427</v>
      </c>
    </row>
    <row r="5759" spans="1:9" x14ac:dyDescent="0.25">
      <c r="A5759" s="16" t="s">
        <v>14137</v>
      </c>
      <c r="B5759" s="16" t="str">
        <f>TEXT(PARTIDA[[#This Row],[PARTIDA]],"0000000000")</f>
        <v>7419809000</v>
      </c>
      <c r="C5759" s="16" t="s">
        <v>815</v>
      </c>
      <c r="D5759" s="16" t="s">
        <v>835</v>
      </c>
      <c r="E5759" s="16" t="s">
        <v>9463</v>
      </c>
      <c r="F5759" s="27" t="s">
        <v>14138</v>
      </c>
      <c r="G5759" s="27"/>
      <c r="H5759" s="16" t="str">
        <f>IF(ISBLANK(PARTIDAS!$G5759),PARTIDAS!$F5759,CONCATENATE(PARTIDAS!$F5759," (",PARTIDAS!$G5759,")"))</f>
        <v>Cobre y sus manufacturas (los demás)</v>
      </c>
      <c r="I5759" s="16" t="s">
        <v>9427</v>
      </c>
    </row>
    <row r="5760" spans="1:9" x14ac:dyDescent="0.25">
      <c r="A5760" s="16" t="s">
        <v>6701</v>
      </c>
      <c r="B5760" s="16" t="str">
        <f>TEXT(PARTIDA[[#This Row],[PARTIDA]],"0000000000")</f>
        <v>7419910000</v>
      </c>
      <c r="C5760" s="16" t="s">
        <v>815</v>
      </c>
      <c r="D5760" s="16" t="s">
        <v>835</v>
      </c>
      <c r="E5760" s="16" t="s">
        <v>9463</v>
      </c>
      <c r="F5760" s="27" t="s">
        <v>14132</v>
      </c>
      <c r="G5760" s="27"/>
      <c r="H5760" s="16" t="str">
        <f>IF(ISBLANK(PARTIDAS!$G5760),PARTIDAS!$F5760,CONCATENATE(PARTIDAS!$F5760," (",PARTIDAS!$G5760,")"))</f>
        <v>Coladas, moldeadas, estampadas o forjadas, pero sin trabajar de otro modo</v>
      </c>
      <c r="I5760" s="16" t="s">
        <v>9648</v>
      </c>
    </row>
    <row r="5761" spans="1:9" x14ac:dyDescent="0.25">
      <c r="A5761" s="16" t="s">
        <v>6702</v>
      </c>
      <c r="B5761" s="16" t="str">
        <f>TEXT(PARTIDA[[#This Row],[PARTIDA]],"0000000000")</f>
        <v>7419991000</v>
      </c>
      <c r="C5761" s="16" t="s">
        <v>815</v>
      </c>
      <c r="D5761" s="16" t="s">
        <v>835</v>
      </c>
      <c r="E5761" s="16" t="s">
        <v>9463</v>
      </c>
      <c r="F5761" s="27" t="s">
        <v>14134</v>
      </c>
      <c r="G5761" s="27"/>
      <c r="H5761" s="16" t="str">
        <f>IF(ISBLANK(PARTIDAS!$G5761),PARTIDAS!$F5761,CONCATENATE(PARTIDAS!$F5761," (",PARTIDAS!$G5761,")"))</f>
        <v>Telas metálicas (incluidas las continuas o sin fin)</v>
      </c>
      <c r="I5761" s="16" t="s">
        <v>9648</v>
      </c>
    </row>
    <row r="5762" spans="1:9" x14ac:dyDescent="0.25">
      <c r="A5762" s="16" t="s">
        <v>6703</v>
      </c>
      <c r="B5762" s="16" t="str">
        <f>TEXT(PARTIDA[[#This Row],[PARTIDA]],"0000000000")</f>
        <v>7419992000</v>
      </c>
      <c r="C5762" s="16" t="s">
        <v>815</v>
      </c>
      <c r="D5762" s="16" t="s">
        <v>835</v>
      </c>
      <c r="E5762" s="16" t="s">
        <v>9463</v>
      </c>
      <c r="F5762" s="27" t="s">
        <v>14139</v>
      </c>
      <c r="G5762" s="27"/>
      <c r="H5762" s="16" t="str">
        <f>IF(ISBLANK(PARTIDAS!$G5762),PARTIDAS!$F5762,CONCATENATE(PARTIDAS!$F5762," (",PARTIDAS!$G5762,")"))</f>
        <v>Muelles (resortes) de cobre</v>
      </c>
      <c r="I5762" s="16" t="s">
        <v>9648</v>
      </c>
    </row>
    <row r="5763" spans="1:9" x14ac:dyDescent="0.25">
      <c r="A5763" s="16" t="s">
        <v>6704</v>
      </c>
      <c r="B5763" s="16" t="str">
        <f>TEXT(PARTIDA[[#This Row],[PARTIDA]],"0000000000")</f>
        <v>7419999000</v>
      </c>
      <c r="C5763" s="16" t="s">
        <v>815</v>
      </c>
      <c r="D5763" s="16" t="s">
        <v>835</v>
      </c>
      <c r="E5763" s="16" t="s">
        <v>9463</v>
      </c>
      <c r="F5763" s="27" t="s">
        <v>14140</v>
      </c>
      <c r="G5763" s="27"/>
      <c r="H5763" s="16" t="str">
        <f>IF(ISBLANK(PARTIDAS!$G5763),PARTIDAS!$F5763,CONCATENATE(PARTIDAS!$F5763," (",PARTIDAS!$G5763,")"))</f>
        <v>Las demás manufacturas de cobre (los demás)</v>
      </c>
      <c r="I5763" s="16" t="s">
        <v>9648</v>
      </c>
    </row>
    <row r="5764" spans="1:9" x14ac:dyDescent="0.25">
      <c r="A5764" s="16" t="s">
        <v>6705</v>
      </c>
      <c r="B5764" s="16" t="str">
        <f>TEXT(PARTIDA[[#This Row],[PARTIDA]],"0000000000")</f>
        <v>7501100000</v>
      </c>
      <c r="C5764" s="16" t="s">
        <v>815</v>
      </c>
      <c r="D5764" s="16" t="s">
        <v>835</v>
      </c>
      <c r="E5764" s="16" t="s">
        <v>9462</v>
      </c>
      <c r="F5764" s="27" t="s">
        <v>14141</v>
      </c>
      <c r="G5764" s="27"/>
      <c r="H5764" s="16" t="str">
        <f>IF(ISBLANK(PARTIDAS!$G5764),PARTIDAS!$F5764,CONCATENATE(PARTIDAS!$F5764," (",PARTIDAS!$G5764,")"))</f>
        <v>Matas de níquel</v>
      </c>
      <c r="I5764" s="16" t="s">
        <v>9427</v>
      </c>
    </row>
    <row r="5765" spans="1:9" x14ac:dyDescent="0.25">
      <c r="A5765" s="16" t="s">
        <v>6706</v>
      </c>
      <c r="B5765" s="16" t="str">
        <f>TEXT(PARTIDA[[#This Row],[PARTIDA]],"0000000000")</f>
        <v>7501200000</v>
      </c>
      <c r="C5765" s="16" t="s">
        <v>815</v>
      </c>
      <c r="D5765" s="16" t="s">
        <v>835</v>
      </c>
      <c r="E5765" s="16" t="s">
        <v>9462</v>
      </c>
      <c r="F5765" s="27" t="s">
        <v>14142</v>
      </c>
      <c r="G5765" s="27"/>
      <c r="H5765" s="16" t="str">
        <f>IF(ISBLANK(PARTIDAS!$G5765),PARTIDAS!$F5765,CONCATENATE(PARTIDAS!$F5765," (",PARTIDAS!$G5765,")"))</f>
        <v>«Sinters» de óxidos de níquel y demás productos intermedios de la metalurgia del níquel</v>
      </c>
      <c r="I5765" s="16" t="s">
        <v>9427</v>
      </c>
    </row>
    <row r="5766" spans="1:9" x14ac:dyDescent="0.25">
      <c r="A5766" s="16" t="s">
        <v>6707</v>
      </c>
      <c r="B5766" s="16" t="str">
        <f>TEXT(PARTIDA[[#This Row],[PARTIDA]],"0000000000")</f>
        <v>7502100000</v>
      </c>
      <c r="C5766" s="16" t="s">
        <v>815</v>
      </c>
      <c r="D5766" s="16" t="s">
        <v>835</v>
      </c>
      <c r="E5766" s="16" t="s">
        <v>9462</v>
      </c>
      <c r="F5766" s="27" t="s">
        <v>14143</v>
      </c>
      <c r="G5766" s="27"/>
      <c r="H5766" s="16" t="str">
        <f>IF(ISBLANK(PARTIDAS!$G5766),PARTIDAS!$F5766,CONCATENATE(PARTIDAS!$F5766," (",PARTIDAS!$G5766,")"))</f>
        <v>Níquel sin alear</v>
      </c>
      <c r="I5766" s="16" t="s">
        <v>9427</v>
      </c>
    </row>
    <row r="5767" spans="1:9" x14ac:dyDescent="0.25">
      <c r="A5767" s="16" t="s">
        <v>6708</v>
      </c>
      <c r="B5767" s="16" t="str">
        <f>TEXT(PARTIDA[[#This Row],[PARTIDA]],"0000000000")</f>
        <v>7502200000</v>
      </c>
      <c r="C5767" s="16" t="s">
        <v>815</v>
      </c>
      <c r="D5767" s="16" t="s">
        <v>835</v>
      </c>
      <c r="E5767" s="16" t="s">
        <v>9462</v>
      </c>
      <c r="F5767" s="27" t="s">
        <v>14144</v>
      </c>
      <c r="G5767" s="27"/>
      <c r="H5767" s="16" t="str">
        <f>IF(ISBLANK(PARTIDAS!$G5767),PARTIDAS!$F5767,CONCATENATE(PARTIDAS!$F5767," (",PARTIDAS!$G5767,")"))</f>
        <v>Aleaciones de níquel</v>
      </c>
      <c r="I5767" s="16" t="s">
        <v>9427</v>
      </c>
    </row>
    <row r="5768" spans="1:9" x14ac:dyDescent="0.25">
      <c r="A5768" s="16" t="s">
        <v>6709</v>
      </c>
      <c r="B5768" s="16" t="str">
        <f>TEXT(PARTIDA[[#This Row],[PARTIDA]],"0000000000")</f>
        <v>7503000000</v>
      </c>
      <c r="C5768" s="16" t="s">
        <v>815</v>
      </c>
      <c r="D5768" s="16" t="s">
        <v>835</v>
      </c>
      <c r="E5768" s="16" t="s">
        <v>9462</v>
      </c>
      <c r="F5768" s="27" t="s">
        <v>6710</v>
      </c>
      <c r="G5768" s="27"/>
      <c r="H5768" s="16" t="str">
        <f>IF(ISBLANK(PARTIDAS!$G5768),PARTIDAS!$F5768,CONCATENATE(PARTIDAS!$F5768," (",PARTIDAS!$G5768,")"))</f>
        <v>Manfacturas de níquel</v>
      </c>
      <c r="I5768" s="16" t="s">
        <v>9427</v>
      </c>
    </row>
    <row r="5769" spans="1:9" x14ac:dyDescent="0.25">
      <c r="A5769" s="16" t="s">
        <v>6711</v>
      </c>
      <c r="B5769" s="16" t="str">
        <f>TEXT(PARTIDA[[#This Row],[PARTIDA]],"0000000000")</f>
        <v>7504000000</v>
      </c>
      <c r="C5769" s="16" t="s">
        <v>815</v>
      </c>
      <c r="D5769" s="16" t="s">
        <v>835</v>
      </c>
      <c r="E5769" s="16" t="s">
        <v>9462</v>
      </c>
      <c r="F5769" s="27" t="s">
        <v>6710</v>
      </c>
      <c r="G5769" s="27"/>
      <c r="H5769" s="16" t="str">
        <f>IF(ISBLANK(PARTIDAS!$G5769),PARTIDAS!$F5769,CONCATENATE(PARTIDAS!$F5769," (",PARTIDAS!$G5769,")"))</f>
        <v>Manfacturas de níquel</v>
      </c>
      <c r="I5769" s="16" t="s">
        <v>9427</v>
      </c>
    </row>
    <row r="5770" spans="1:9" x14ac:dyDescent="0.25">
      <c r="A5770" s="16" t="s">
        <v>6712</v>
      </c>
      <c r="B5770" s="16" t="str">
        <f>TEXT(PARTIDA[[#This Row],[PARTIDA]],"0000000000")</f>
        <v>7505110000</v>
      </c>
      <c r="C5770" s="16" t="s">
        <v>815</v>
      </c>
      <c r="D5770" s="16" t="s">
        <v>835</v>
      </c>
      <c r="E5770" s="16" t="s">
        <v>9462</v>
      </c>
      <c r="F5770" s="27" t="s">
        <v>14145</v>
      </c>
      <c r="G5770" s="27"/>
      <c r="H5770" s="16" t="str">
        <f>IF(ISBLANK(PARTIDAS!$G5770),PARTIDAS!$F5770,CONCATENATE(PARTIDAS!$F5770," (",PARTIDAS!$G5770,")"))</f>
        <v>Barras y perfiles, de níquel sin alear</v>
      </c>
      <c r="I5770" s="16" t="s">
        <v>9427</v>
      </c>
    </row>
    <row r="5771" spans="1:9" x14ac:dyDescent="0.25">
      <c r="A5771" s="16" t="s">
        <v>6713</v>
      </c>
      <c r="B5771" s="16" t="str">
        <f>TEXT(PARTIDA[[#This Row],[PARTIDA]],"0000000000")</f>
        <v>7505120000</v>
      </c>
      <c r="C5771" s="16" t="s">
        <v>815</v>
      </c>
      <c r="D5771" s="16" t="s">
        <v>835</v>
      </c>
      <c r="E5771" s="16" t="s">
        <v>9462</v>
      </c>
      <c r="F5771" s="27" t="s">
        <v>14146</v>
      </c>
      <c r="G5771" s="27"/>
      <c r="H5771" s="16" t="str">
        <f>IF(ISBLANK(PARTIDAS!$G5771),PARTIDAS!$F5771,CONCATENATE(PARTIDAS!$F5771," (",PARTIDAS!$G5771,")"))</f>
        <v>Barras y perfiles, de aleaciones de níquel</v>
      </c>
      <c r="I5771" s="16" t="s">
        <v>9427</v>
      </c>
    </row>
    <row r="5772" spans="1:9" x14ac:dyDescent="0.25">
      <c r="A5772" s="16" t="s">
        <v>6714</v>
      </c>
      <c r="B5772" s="16" t="str">
        <f>TEXT(PARTIDA[[#This Row],[PARTIDA]],"0000000000")</f>
        <v>7505210000</v>
      </c>
      <c r="C5772" s="16" t="s">
        <v>815</v>
      </c>
      <c r="D5772" s="16" t="s">
        <v>835</v>
      </c>
      <c r="E5772" s="16" t="s">
        <v>9462</v>
      </c>
      <c r="F5772" s="27" t="s">
        <v>14147</v>
      </c>
      <c r="G5772" s="27"/>
      <c r="H5772" s="16" t="str">
        <f>IF(ISBLANK(PARTIDAS!$G5772),PARTIDAS!$F5772,CONCATENATE(PARTIDAS!$F5772," (",PARTIDAS!$G5772,")"))</f>
        <v>Alambre, de níquel sin alear</v>
      </c>
      <c r="I5772" s="16" t="s">
        <v>9427</v>
      </c>
    </row>
    <row r="5773" spans="1:9" x14ac:dyDescent="0.25">
      <c r="A5773" s="16" t="s">
        <v>6715</v>
      </c>
      <c r="B5773" s="16" t="str">
        <f>TEXT(PARTIDA[[#This Row],[PARTIDA]],"0000000000")</f>
        <v>7505220000</v>
      </c>
      <c r="C5773" s="16" t="s">
        <v>815</v>
      </c>
      <c r="D5773" s="16" t="s">
        <v>835</v>
      </c>
      <c r="E5773" s="16" t="s">
        <v>9462</v>
      </c>
      <c r="F5773" s="27" t="s">
        <v>14148</v>
      </c>
      <c r="G5773" s="27"/>
      <c r="H5773" s="16" t="str">
        <f>IF(ISBLANK(PARTIDAS!$G5773),PARTIDAS!$F5773,CONCATENATE(PARTIDAS!$F5773," (",PARTIDAS!$G5773,")"))</f>
        <v>Alambre, de aleaciones de níquel</v>
      </c>
      <c r="I5773" s="16" t="s">
        <v>9427</v>
      </c>
    </row>
    <row r="5774" spans="1:9" x14ac:dyDescent="0.25">
      <c r="A5774" s="16" t="s">
        <v>6716</v>
      </c>
      <c r="B5774" s="16" t="str">
        <f>TEXT(PARTIDA[[#This Row],[PARTIDA]],"0000000000")</f>
        <v>7506100000</v>
      </c>
      <c r="C5774" s="16" t="s">
        <v>815</v>
      </c>
      <c r="D5774" s="16" t="s">
        <v>835</v>
      </c>
      <c r="E5774" s="16" t="s">
        <v>9462</v>
      </c>
      <c r="F5774" s="27" t="s">
        <v>14149</v>
      </c>
      <c r="G5774" s="27"/>
      <c r="H5774" s="16" t="str">
        <f>IF(ISBLANK(PARTIDAS!$G5774),PARTIDAS!$F5774,CONCATENATE(PARTIDAS!$F5774," (",PARTIDAS!$G5774,")"))</f>
        <v>Chapas, hojas y tiras, de níquel, de níquel sin alear</v>
      </c>
      <c r="I5774" s="16" t="s">
        <v>9427</v>
      </c>
    </row>
    <row r="5775" spans="1:9" x14ac:dyDescent="0.25">
      <c r="A5775" s="16" t="s">
        <v>6717</v>
      </c>
      <c r="B5775" s="16" t="str">
        <f>TEXT(PARTIDA[[#This Row],[PARTIDA]],"0000000000")</f>
        <v>7506200000</v>
      </c>
      <c r="C5775" s="16" t="s">
        <v>815</v>
      </c>
      <c r="D5775" s="16" t="s">
        <v>835</v>
      </c>
      <c r="E5775" s="16" t="s">
        <v>9462</v>
      </c>
      <c r="F5775" s="27" t="s">
        <v>14150</v>
      </c>
      <c r="G5775" s="27"/>
      <c r="H5775" s="16" t="str">
        <f>IF(ISBLANK(PARTIDAS!$G5775),PARTIDAS!$F5775,CONCATENATE(PARTIDAS!$F5775," (",PARTIDAS!$G5775,")"))</f>
        <v>Chapas, hojas y tiras, de níquel, de aleaciones de níquel</v>
      </c>
      <c r="I5775" s="16" t="s">
        <v>9427</v>
      </c>
    </row>
    <row r="5776" spans="1:9" x14ac:dyDescent="0.25">
      <c r="A5776" s="16" t="s">
        <v>6718</v>
      </c>
      <c r="B5776" s="16" t="str">
        <f>TEXT(PARTIDA[[#This Row],[PARTIDA]],"0000000000")</f>
        <v>7507110000</v>
      </c>
      <c r="C5776" s="16" t="s">
        <v>815</v>
      </c>
      <c r="D5776" s="16" t="s">
        <v>835</v>
      </c>
      <c r="E5776" s="16" t="s">
        <v>9463</v>
      </c>
      <c r="F5776" s="27" t="s">
        <v>14151</v>
      </c>
      <c r="G5776" s="27"/>
      <c r="H5776" s="16" t="str">
        <f>IF(ISBLANK(PARTIDAS!$G5776),PARTIDAS!$F5776,CONCATENATE(PARTIDAS!$F5776," (",PARTIDAS!$G5776,")"))</f>
        <v>Tubos, de níquel sin alear</v>
      </c>
      <c r="I5776" s="16" t="s">
        <v>9427</v>
      </c>
    </row>
    <row r="5777" spans="1:9" x14ac:dyDescent="0.25">
      <c r="A5777" s="16" t="s">
        <v>6719</v>
      </c>
      <c r="B5777" s="16" t="str">
        <f>TEXT(PARTIDA[[#This Row],[PARTIDA]],"0000000000")</f>
        <v>7507120000</v>
      </c>
      <c r="C5777" s="16" t="s">
        <v>815</v>
      </c>
      <c r="D5777" s="16" t="s">
        <v>835</v>
      </c>
      <c r="E5777" s="16" t="s">
        <v>9463</v>
      </c>
      <c r="F5777" s="27" t="s">
        <v>14152</v>
      </c>
      <c r="G5777" s="27"/>
      <c r="H5777" s="16" t="str">
        <f>IF(ISBLANK(PARTIDAS!$G5777),PARTIDAS!$F5777,CONCATENATE(PARTIDAS!$F5777," (",PARTIDAS!$G5777,")"))</f>
        <v>Tubos, de aleaciones de níquel</v>
      </c>
      <c r="I5777" s="16" t="s">
        <v>9427</v>
      </c>
    </row>
    <row r="5778" spans="1:9" x14ac:dyDescent="0.25">
      <c r="A5778" s="16" t="s">
        <v>6720</v>
      </c>
      <c r="B5778" s="16" t="str">
        <f>TEXT(PARTIDA[[#This Row],[PARTIDA]],"0000000000")</f>
        <v>7507200000</v>
      </c>
      <c r="C5778" s="16" t="s">
        <v>815</v>
      </c>
      <c r="D5778" s="16" t="s">
        <v>835</v>
      </c>
      <c r="E5778" s="16" t="s">
        <v>9463</v>
      </c>
      <c r="F5778" s="27" t="s">
        <v>9131</v>
      </c>
      <c r="G5778" s="27"/>
      <c r="H5778" s="16" t="str">
        <f>IF(ISBLANK(PARTIDAS!$G5778),PARTIDAS!$F5778,CONCATENATE(PARTIDAS!$F5778," (",PARTIDAS!$G5778,")"))</f>
        <v>Accesorios de tubería</v>
      </c>
      <c r="I5778" s="16" t="s">
        <v>9427</v>
      </c>
    </row>
    <row r="5779" spans="1:9" x14ac:dyDescent="0.25">
      <c r="A5779" s="16" t="s">
        <v>6721</v>
      </c>
      <c r="B5779" s="16" t="str">
        <f>TEXT(PARTIDA[[#This Row],[PARTIDA]],"0000000000")</f>
        <v>7508100000</v>
      </c>
      <c r="C5779" s="16" t="s">
        <v>815</v>
      </c>
      <c r="D5779" s="16" t="s">
        <v>835</v>
      </c>
      <c r="E5779" s="16" t="s">
        <v>9463</v>
      </c>
      <c r="F5779" s="27" t="s">
        <v>14153</v>
      </c>
      <c r="G5779" s="27"/>
      <c r="H5779" s="16" t="str">
        <f>IF(ISBLANK(PARTIDAS!$G5779),PARTIDAS!$F5779,CONCATENATE(PARTIDAS!$F5779," (",PARTIDAS!$G5779,")"))</f>
        <v>Telas metálicas, redes y rejas, de alambre de níquel</v>
      </c>
      <c r="I5779" s="16" t="s">
        <v>9427</v>
      </c>
    </row>
    <row r="5780" spans="1:9" x14ac:dyDescent="0.25">
      <c r="A5780" s="16" t="s">
        <v>6722</v>
      </c>
      <c r="B5780" s="16" t="str">
        <f>TEXT(PARTIDA[[#This Row],[PARTIDA]],"0000000000")</f>
        <v>7508901000</v>
      </c>
      <c r="C5780" s="16" t="s">
        <v>815</v>
      </c>
      <c r="D5780" s="16" t="s">
        <v>835</v>
      </c>
      <c r="E5780" s="16" t="s">
        <v>9463</v>
      </c>
      <c r="F5780" s="27" t="s">
        <v>14154</v>
      </c>
      <c r="G5780" s="27"/>
      <c r="H5780" s="16" t="str">
        <f>IF(ISBLANK(PARTIDAS!$G5780),PARTIDAS!$F5780,CONCATENATE(PARTIDAS!$F5780," (",PARTIDAS!$G5780,")"))</f>
        <v>Ánodos para niquelar, incluso los obtenidos por electrólisis</v>
      </c>
      <c r="I5780" s="16" t="s">
        <v>9427</v>
      </c>
    </row>
    <row r="5781" spans="1:9" x14ac:dyDescent="0.25">
      <c r="A5781" s="16" t="s">
        <v>6723</v>
      </c>
      <c r="B5781" s="16" t="str">
        <f>TEXT(PARTIDA[[#This Row],[PARTIDA]],"0000000000")</f>
        <v>7508909000</v>
      </c>
      <c r="C5781" s="16" t="s">
        <v>815</v>
      </c>
      <c r="D5781" s="16" t="s">
        <v>835</v>
      </c>
      <c r="E5781" s="16" t="s">
        <v>9463</v>
      </c>
      <c r="F5781" s="27" t="s">
        <v>14155</v>
      </c>
      <c r="G5781" s="27"/>
      <c r="H5781" s="16" t="str">
        <f>IF(ISBLANK(PARTIDAS!$G5781),PARTIDAS!$F5781,CONCATENATE(PARTIDAS!$F5781," (",PARTIDAS!$G5781,")"))</f>
        <v>Níquel y sus manufacturas (los demás)</v>
      </c>
      <c r="I5781" s="16" t="s">
        <v>9427</v>
      </c>
    </row>
    <row r="5782" spans="1:9" x14ac:dyDescent="0.25">
      <c r="A5782" s="16" t="s">
        <v>6724</v>
      </c>
      <c r="B5782" s="16" t="str">
        <f>TEXT(PARTIDA[[#This Row],[PARTIDA]],"0000000000")</f>
        <v>7601100000</v>
      </c>
      <c r="C5782" s="16" t="s">
        <v>815</v>
      </c>
      <c r="D5782" s="16" t="s">
        <v>835</v>
      </c>
      <c r="E5782" s="16" t="s">
        <v>9462</v>
      </c>
      <c r="F5782" s="27" t="s">
        <v>14156</v>
      </c>
      <c r="G5782" s="27"/>
      <c r="H5782" s="16" t="str">
        <f>IF(ISBLANK(PARTIDAS!$G5782),PARTIDAS!$F5782,CONCATENATE(PARTIDAS!$F5782," (",PARTIDAS!$G5782,")"))</f>
        <v>Aluminio sin alear</v>
      </c>
      <c r="I5782" s="16" t="s">
        <v>9427</v>
      </c>
    </row>
    <row r="5783" spans="1:9" x14ac:dyDescent="0.25">
      <c r="A5783" s="16" t="s">
        <v>6725</v>
      </c>
      <c r="B5783" s="16" t="str">
        <f>TEXT(PARTIDA[[#This Row],[PARTIDA]],"0000000000")</f>
        <v>7601200000</v>
      </c>
      <c r="C5783" s="16" t="s">
        <v>815</v>
      </c>
      <c r="D5783" s="16" t="s">
        <v>835</v>
      </c>
      <c r="E5783" s="16" t="s">
        <v>9462</v>
      </c>
      <c r="F5783" s="27" t="s">
        <v>14157</v>
      </c>
      <c r="G5783" s="27"/>
      <c r="H5783" s="16" t="str">
        <f>IF(ISBLANK(PARTIDAS!$G5783),PARTIDAS!$F5783,CONCATENATE(PARTIDAS!$F5783," (",PARTIDAS!$G5783,")"))</f>
        <v>Aleaciones de aluminio</v>
      </c>
      <c r="I5783" s="16" t="s">
        <v>9427</v>
      </c>
    </row>
    <row r="5784" spans="1:9" x14ac:dyDescent="0.25">
      <c r="A5784" s="16" t="s">
        <v>6726</v>
      </c>
      <c r="B5784" s="16" t="str">
        <f>TEXT(PARTIDA[[#This Row],[PARTIDA]],"0000000000")</f>
        <v>7602000000</v>
      </c>
      <c r="C5784" s="16" t="s">
        <v>815</v>
      </c>
      <c r="D5784" s="16" t="s">
        <v>835</v>
      </c>
      <c r="E5784" s="16" t="s">
        <v>9462</v>
      </c>
      <c r="F5784" s="27" t="s">
        <v>6727</v>
      </c>
      <c r="G5784" s="27"/>
      <c r="H5784" s="16" t="str">
        <f>IF(ISBLANK(PARTIDAS!$G5784),PARTIDAS!$F5784,CONCATENATE(PARTIDAS!$F5784," (",PARTIDAS!$G5784,")"))</f>
        <v>Desperdicios y desechos, de aluminio.</v>
      </c>
      <c r="I5784" s="16" t="s">
        <v>9427</v>
      </c>
    </row>
    <row r="5785" spans="1:9" x14ac:dyDescent="0.25">
      <c r="A5785" s="16" t="s">
        <v>6728</v>
      </c>
      <c r="B5785" s="16" t="str">
        <f>TEXT(PARTIDA[[#This Row],[PARTIDA]],"0000000000")</f>
        <v>7603100000</v>
      </c>
      <c r="C5785" s="16" t="s">
        <v>815</v>
      </c>
      <c r="D5785" s="16" t="s">
        <v>835</v>
      </c>
      <c r="E5785" s="16" t="s">
        <v>9462</v>
      </c>
      <c r="F5785" s="27" t="s">
        <v>14093</v>
      </c>
      <c r="G5785" s="27"/>
      <c r="H5785" s="16" t="str">
        <f>IF(ISBLANK(PARTIDAS!$G5785),PARTIDAS!$F5785,CONCATENATE(PARTIDAS!$F5785," (",PARTIDAS!$G5785,")"))</f>
        <v>Polvo de estructura no laminar</v>
      </c>
      <c r="I5785" s="16" t="s">
        <v>9427</v>
      </c>
    </row>
    <row r="5786" spans="1:9" x14ac:dyDescent="0.25">
      <c r="A5786" s="16" t="s">
        <v>6729</v>
      </c>
      <c r="B5786" s="16" t="str">
        <f>TEXT(PARTIDA[[#This Row],[PARTIDA]],"0000000000")</f>
        <v>7603200000</v>
      </c>
      <c r="C5786" s="16" t="s">
        <v>815</v>
      </c>
      <c r="D5786" s="16" t="s">
        <v>835</v>
      </c>
      <c r="E5786" s="16" t="s">
        <v>9462</v>
      </c>
      <c r="F5786" s="27" t="s">
        <v>14094</v>
      </c>
      <c r="G5786" s="27"/>
      <c r="H5786" s="16" t="str">
        <f>IF(ISBLANK(PARTIDAS!$G5786),PARTIDAS!$F5786,CONCATENATE(PARTIDAS!$F5786," (",PARTIDAS!$G5786,")"))</f>
        <v>Polvo de estructura laminar; escamillas</v>
      </c>
      <c r="I5786" s="16" t="s">
        <v>9427</v>
      </c>
    </row>
    <row r="5787" spans="1:9" x14ac:dyDescent="0.25">
      <c r="A5787" s="16" t="s">
        <v>6730</v>
      </c>
      <c r="B5787" s="16" t="str">
        <f>TEXT(PARTIDA[[#This Row],[PARTIDA]],"0000000000")</f>
        <v>7604101000</v>
      </c>
      <c r="C5787" s="16" t="s">
        <v>815</v>
      </c>
      <c r="D5787" s="16" t="s">
        <v>835</v>
      </c>
      <c r="E5787" s="16" t="s">
        <v>9462</v>
      </c>
      <c r="F5787" s="27" t="s">
        <v>14158</v>
      </c>
      <c r="G5787" s="27"/>
      <c r="H5787" s="16" t="str">
        <f>IF(ISBLANK(PARTIDAS!$G5787),PARTIDAS!$F5787,CONCATENATE(PARTIDAS!$F5787," (",PARTIDAS!$G5787,")"))</f>
        <v>Barras y perfiles, de aluminio, de aluminio sin alear, barras</v>
      </c>
      <c r="I5787" s="16" t="s">
        <v>9427</v>
      </c>
    </row>
    <row r="5788" spans="1:9" x14ac:dyDescent="0.25">
      <c r="A5788" s="16" t="s">
        <v>6731</v>
      </c>
      <c r="B5788" s="16" t="str">
        <f>TEXT(PARTIDA[[#This Row],[PARTIDA]],"0000000000")</f>
        <v>7604102000</v>
      </c>
      <c r="C5788" s="16" t="s">
        <v>815</v>
      </c>
      <c r="D5788" s="16" t="s">
        <v>835</v>
      </c>
      <c r="E5788" s="16" t="s">
        <v>9462</v>
      </c>
      <c r="F5788" s="27" t="s">
        <v>14159</v>
      </c>
      <c r="G5788" s="27"/>
      <c r="H5788" s="16" t="str">
        <f>IF(ISBLANK(PARTIDAS!$G5788),PARTIDAS!$F5788,CONCATENATE(PARTIDAS!$F5788," (",PARTIDAS!$G5788,")"))</f>
        <v>Perfiles, incluso huecos</v>
      </c>
      <c r="I5788" s="16" t="s">
        <v>9427</v>
      </c>
    </row>
    <row r="5789" spans="1:9" x14ac:dyDescent="0.25">
      <c r="A5789" s="16" t="s">
        <v>6732</v>
      </c>
      <c r="B5789" s="16" t="str">
        <f>TEXT(PARTIDA[[#This Row],[PARTIDA]],"0000000000")</f>
        <v>7604210000</v>
      </c>
      <c r="C5789" s="16" t="s">
        <v>815</v>
      </c>
      <c r="D5789" s="16" t="s">
        <v>835</v>
      </c>
      <c r="E5789" s="16" t="s">
        <v>9462</v>
      </c>
      <c r="F5789" s="27" t="s">
        <v>14160</v>
      </c>
      <c r="G5789" s="27"/>
      <c r="H5789" s="16" t="str">
        <f>IF(ISBLANK(PARTIDAS!$G5789),PARTIDAS!$F5789,CONCATENATE(PARTIDAS!$F5789," (",PARTIDAS!$G5789,")"))</f>
        <v>Perfiles huecos</v>
      </c>
      <c r="I5789" s="16" t="s">
        <v>9427</v>
      </c>
    </row>
    <row r="5790" spans="1:9" x14ac:dyDescent="0.25">
      <c r="A5790" s="16" t="s">
        <v>6733</v>
      </c>
      <c r="B5790" s="16" t="str">
        <f>TEXT(PARTIDA[[#This Row],[PARTIDA]],"0000000000")</f>
        <v>7604291000</v>
      </c>
      <c r="C5790" s="16" t="s">
        <v>815</v>
      </c>
      <c r="D5790" s="16" t="s">
        <v>835</v>
      </c>
      <c r="E5790" s="16" t="s">
        <v>9462</v>
      </c>
      <c r="F5790" s="27" t="s">
        <v>14161</v>
      </c>
      <c r="G5790" s="27"/>
      <c r="H5790" s="16" t="str">
        <f>IF(ISBLANK(PARTIDAS!$G5790),PARTIDAS!$F5790,CONCATENATE(PARTIDAS!$F5790," (",PARTIDAS!$G5790,")"))</f>
        <v>Barras y perfiles, de aluminio, de aleaciones de aluminio, barras</v>
      </c>
      <c r="I5790" s="16" t="s">
        <v>9427</v>
      </c>
    </row>
    <row r="5791" spans="1:9" x14ac:dyDescent="0.25">
      <c r="A5791" s="16" t="s">
        <v>6734</v>
      </c>
      <c r="B5791" s="16" t="str">
        <f>TEXT(PARTIDA[[#This Row],[PARTIDA]],"0000000000")</f>
        <v>7604292000</v>
      </c>
      <c r="C5791" s="16" t="s">
        <v>815</v>
      </c>
      <c r="D5791" s="16" t="s">
        <v>835</v>
      </c>
      <c r="E5791" s="16" t="s">
        <v>9462</v>
      </c>
      <c r="F5791" s="27" t="s">
        <v>14162</v>
      </c>
      <c r="G5791" s="27"/>
      <c r="H5791" s="16" t="str">
        <f>IF(ISBLANK(PARTIDAS!$G5791),PARTIDAS!$F5791,CONCATENATE(PARTIDAS!$F5791," (",PARTIDAS!$G5791,")"))</f>
        <v>Barras y perfiles, de aluminio, de aleaciones de aluminio (los demás, perfiles)</v>
      </c>
      <c r="I5791" s="16" t="s">
        <v>9427</v>
      </c>
    </row>
    <row r="5792" spans="1:9" x14ac:dyDescent="0.25">
      <c r="A5792" s="16" t="s">
        <v>6735</v>
      </c>
      <c r="B5792" s="16" t="str">
        <f>TEXT(PARTIDA[[#This Row],[PARTIDA]],"0000000000")</f>
        <v>7605110000</v>
      </c>
      <c r="C5792" s="16" t="s">
        <v>815</v>
      </c>
      <c r="D5792" s="16" t="s">
        <v>835</v>
      </c>
      <c r="E5792" s="16" t="s">
        <v>9462</v>
      </c>
      <c r="F5792" s="27" t="s">
        <v>14163</v>
      </c>
      <c r="G5792" s="27"/>
      <c r="H5792" s="16" t="str">
        <f>IF(ISBLANK(PARTIDAS!$G5792),PARTIDAS!$F5792,CONCATENATE(PARTIDAS!$F5792," (",PARTIDAS!$G5792,")"))</f>
        <v>Alambre de aluminio, de aluminio sin alear, con la mayor dimensión de la sección transversal superior a 7 mm</v>
      </c>
      <c r="I5792" s="16" t="s">
        <v>9427</v>
      </c>
    </row>
    <row r="5793" spans="1:9" x14ac:dyDescent="0.25">
      <c r="A5793" s="16" t="s">
        <v>6736</v>
      </c>
      <c r="B5793" s="16" t="str">
        <f>TEXT(PARTIDA[[#This Row],[PARTIDA]],"0000000000")</f>
        <v>7605190000</v>
      </c>
      <c r="C5793" s="16" t="s">
        <v>815</v>
      </c>
      <c r="D5793" s="16" t="s">
        <v>835</v>
      </c>
      <c r="E5793" s="16" t="s">
        <v>9462</v>
      </c>
      <c r="F5793" s="27" t="s">
        <v>14164</v>
      </c>
      <c r="G5793" s="27"/>
      <c r="H5793" s="16" t="str">
        <f>IF(ISBLANK(PARTIDAS!$G5793),PARTIDAS!$F5793,CONCATENATE(PARTIDAS!$F5793," (",PARTIDAS!$G5793,")"))</f>
        <v>Alambre de aluminio, de aluminio sin alear (los demás)</v>
      </c>
      <c r="I5793" s="16" t="s">
        <v>9427</v>
      </c>
    </row>
    <row r="5794" spans="1:9" x14ac:dyDescent="0.25">
      <c r="A5794" s="16" t="s">
        <v>6737</v>
      </c>
      <c r="B5794" s="16" t="str">
        <f>TEXT(PARTIDA[[#This Row],[PARTIDA]],"0000000000")</f>
        <v>7605210000</v>
      </c>
      <c r="C5794" s="16" t="s">
        <v>815</v>
      </c>
      <c r="D5794" s="16" t="s">
        <v>835</v>
      </c>
      <c r="E5794" s="16" t="s">
        <v>9462</v>
      </c>
      <c r="F5794" s="27" t="s">
        <v>14165</v>
      </c>
      <c r="G5794" s="27"/>
      <c r="H5794" s="16" t="str">
        <f>IF(ISBLANK(PARTIDAS!$G5794),PARTIDAS!$F5794,CONCATENATE(PARTIDAS!$F5794," (",PARTIDAS!$G5794,")"))</f>
        <v>Alambre de aluminio, de aleaciones de aluminio, con la mayor dimensión de la sección transversal superior a 7 mm</v>
      </c>
      <c r="I5794" s="16" t="s">
        <v>9427</v>
      </c>
    </row>
    <row r="5795" spans="1:9" x14ac:dyDescent="0.25">
      <c r="A5795" s="16" t="s">
        <v>6738</v>
      </c>
      <c r="B5795" s="16" t="str">
        <f>TEXT(PARTIDA[[#This Row],[PARTIDA]],"0000000000")</f>
        <v>7605290000</v>
      </c>
      <c r="C5795" s="16" t="s">
        <v>815</v>
      </c>
      <c r="D5795" s="16" t="s">
        <v>835</v>
      </c>
      <c r="E5795" s="16" t="s">
        <v>9462</v>
      </c>
      <c r="F5795" s="27" t="s">
        <v>14166</v>
      </c>
      <c r="G5795" s="27"/>
      <c r="H5795" s="16" t="str">
        <f>IF(ISBLANK(PARTIDAS!$G5795),PARTIDAS!$F5795,CONCATENATE(PARTIDAS!$F5795," (",PARTIDAS!$G5795,")"))</f>
        <v>Alambre de aluminio, de aleaciones de aluminio (los demás)</v>
      </c>
      <c r="I5795" s="16" t="s">
        <v>9427</v>
      </c>
    </row>
    <row r="5796" spans="1:9" x14ac:dyDescent="0.25">
      <c r="A5796" s="16" t="s">
        <v>6739</v>
      </c>
      <c r="B5796" s="16" t="str">
        <f>TEXT(PARTIDA[[#This Row],[PARTIDA]],"0000000000")</f>
        <v>7606110000</v>
      </c>
      <c r="C5796" s="16" t="s">
        <v>815</v>
      </c>
      <c r="D5796" s="16" t="s">
        <v>835</v>
      </c>
      <c r="E5796" s="16" t="s">
        <v>9462</v>
      </c>
      <c r="F5796" s="27" t="s">
        <v>14167</v>
      </c>
      <c r="G5796" s="27"/>
      <c r="H5796" s="16" t="str">
        <f>IF(ISBLANK(PARTIDAS!$G5796),PARTIDAS!$F5796,CONCATENATE(PARTIDAS!$F5796," (",PARTIDAS!$G5796,")"))</f>
        <v>Cuadradas o rectangulares, de aluminio sin alear</v>
      </c>
      <c r="I5796" s="16" t="s">
        <v>9427</v>
      </c>
    </row>
    <row r="5797" spans="1:9" x14ac:dyDescent="0.25">
      <c r="A5797" s="16" t="s">
        <v>6740</v>
      </c>
      <c r="B5797" s="16" t="str">
        <f>TEXT(PARTIDA[[#This Row],[PARTIDA]],"0000000000")</f>
        <v>7606122000</v>
      </c>
      <c r="C5797" s="16" t="s">
        <v>815</v>
      </c>
      <c r="D5797" s="16" t="s">
        <v>835</v>
      </c>
      <c r="E5797" s="16" t="s">
        <v>9462</v>
      </c>
      <c r="F5797" s="27" t="s">
        <v>14168</v>
      </c>
      <c r="G5797" s="27"/>
      <c r="H5797" s="16" t="str">
        <f>IF(ISBLANK(PARTIDAS!$G5797),PARTIDAS!$F5797,CONCATENATE(PARTIDAS!$F5797," (",PARTIDAS!$G5797,")"))</f>
        <v>Cuadradas o rectangulares, de aleaciones de aluminio, con un contenido de magnesio superior o igual a 0,5 % en peso (duraluminio)</v>
      </c>
      <c r="I5797" s="16" t="s">
        <v>9427</v>
      </c>
    </row>
    <row r="5798" spans="1:9" x14ac:dyDescent="0.25">
      <c r="A5798" s="16" t="s">
        <v>6741</v>
      </c>
      <c r="B5798" s="16" t="str">
        <f>TEXT(PARTIDA[[#This Row],[PARTIDA]],"0000000000")</f>
        <v>7606129000</v>
      </c>
      <c r="C5798" s="16" t="s">
        <v>815</v>
      </c>
      <c r="D5798" s="16" t="s">
        <v>835</v>
      </c>
      <c r="E5798" s="16" t="s">
        <v>9462</v>
      </c>
      <c r="F5798" s="27" t="s">
        <v>14169</v>
      </c>
      <c r="G5798" s="27"/>
      <c r="H5798" s="16" t="str">
        <f>IF(ISBLANK(PARTIDAS!$G5798),PARTIDAS!$F5798,CONCATENATE(PARTIDAS!$F5798," (",PARTIDAS!$G5798,")"))</f>
        <v>Cuadradas o rectangulares, de aleaciones de aluminio (los demás)</v>
      </c>
      <c r="I5798" s="16" t="s">
        <v>9427</v>
      </c>
    </row>
    <row r="5799" spans="1:9" x14ac:dyDescent="0.25">
      <c r="A5799" s="16" t="s">
        <v>6742</v>
      </c>
      <c r="B5799" s="16" t="str">
        <f>TEXT(PARTIDA[[#This Row],[PARTIDA]],"0000000000")</f>
        <v>7606911000</v>
      </c>
      <c r="C5799" s="16" t="s">
        <v>815</v>
      </c>
      <c r="D5799" s="16" t="s">
        <v>835</v>
      </c>
      <c r="E5799" s="16" t="s">
        <v>9462</v>
      </c>
      <c r="F5799" s="27" t="s">
        <v>14170</v>
      </c>
      <c r="G5799" s="27"/>
      <c r="H5799" s="16" t="str">
        <f>IF(ISBLANK(PARTIDAS!$G5799),PARTIDAS!$F5799,CONCATENATE(PARTIDAS!$F5799," (",PARTIDAS!$G5799,")"))</f>
        <v>Discos para la fabricación de envases tubulares</v>
      </c>
      <c r="I5799" s="16" t="s">
        <v>9427</v>
      </c>
    </row>
    <row r="5800" spans="1:9" x14ac:dyDescent="0.25">
      <c r="A5800" s="16" t="s">
        <v>6743</v>
      </c>
      <c r="B5800" s="16" t="str">
        <f>TEXT(PARTIDA[[#This Row],[PARTIDA]],"0000000000")</f>
        <v>7606919000</v>
      </c>
      <c r="C5800" s="16" t="s">
        <v>815</v>
      </c>
      <c r="D5800" s="16" t="s">
        <v>835</v>
      </c>
      <c r="E5800" s="16" t="s">
        <v>9462</v>
      </c>
      <c r="F5800" s="27" t="s">
        <v>14171</v>
      </c>
      <c r="G5800" s="27"/>
      <c r="H5800" s="16" t="str">
        <f>IF(ISBLANK(PARTIDAS!$G5800),PARTIDAS!$F5800,CONCATENATE(PARTIDAS!$F5800," (",PARTIDAS!$G5800,")"))</f>
        <v>Chapas y tiras, de aluminio, de espesor superior a 0,2…, de aluminio sin alear (los demás)</v>
      </c>
      <c r="I5800" s="16" t="s">
        <v>9427</v>
      </c>
    </row>
    <row r="5801" spans="1:9" x14ac:dyDescent="0.25">
      <c r="A5801" s="16" t="s">
        <v>6744</v>
      </c>
      <c r="B5801" s="16" t="str">
        <f>TEXT(PARTIDA[[#This Row],[PARTIDA]],"0000000000")</f>
        <v>7606922000</v>
      </c>
      <c r="C5801" s="16" t="s">
        <v>815</v>
      </c>
      <c r="D5801" s="16" t="s">
        <v>835</v>
      </c>
      <c r="E5801" s="16" t="s">
        <v>9462</v>
      </c>
      <c r="F5801" s="27" t="s">
        <v>14170</v>
      </c>
      <c r="G5801" s="27"/>
      <c r="H5801" s="16" t="str">
        <f>IF(ISBLANK(PARTIDAS!$G5801),PARTIDAS!$F5801,CONCATENATE(PARTIDAS!$F5801," (",PARTIDAS!$G5801,")"))</f>
        <v>Discos para la fabricación de envases tubulares</v>
      </c>
      <c r="I5801" s="16" t="s">
        <v>9427</v>
      </c>
    </row>
    <row r="5802" spans="1:9" x14ac:dyDescent="0.25">
      <c r="A5802" s="16" t="s">
        <v>6745</v>
      </c>
      <c r="B5802" s="16" t="str">
        <f>TEXT(PARTIDA[[#This Row],[PARTIDA]],"0000000000")</f>
        <v>7606923000</v>
      </c>
      <c r="C5802" s="16" t="s">
        <v>815</v>
      </c>
      <c r="D5802" s="16" t="s">
        <v>835</v>
      </c>
      <c r="E5802" s="16" t="s">
        <v>9462</v>
      </c>
      <c r="F5802" s="27" t="s">
        <v>14172</v>
      </c>
      <c r="G5802" s="27"/>
      <c r="H5802" s="16" t="str">
        <f>IF(ISBLANK(PARTIDAS!$G5802),PARTIDAS!$F5802,CONCATENATE(PARTIDAS!$F5802," (",PARTIDAS!$G5802,")"))</f>
        <v>Chapas y tiras, de aluminio, de espesor superior a 0,2…, de aleaciones de aluminio, con un contenido de magnesio superior o igual a 0,5 % en peso (dur</v>
      </c>
      <c r="I5802" s="16" t="s">
        <v>9427</v>
      </c>
    </row>
    <row r="5803" spans="1:9" x14ac:dyDescent="0.25">
      <c r="A5803" s="16" t="s">
        <v>6746</v>
      </c>
      <c r="B5803" s="16" t="str">
        <f>TEXT(PARTIDA[[#This Row],[PARTIDA]],"0000000000")</f>
        <v>7606929000</v>
      </c>
      <c r="C5803" s="16" t="s">
        <v>815</v>
      </c>
      <c r="D5803" s="16" t="s">
        <v>835</v>
      </c>
      <c r="E5803" s="16" t="s">
        <v>9462</v>
      </c>
      <c r="F5803" s="27" t="s">
        <v>14173</v>
      </c>
      <c r="G5803" s="27"/>
      <c r="H5803" s="16" t="str">
        <f>IF(ISBLANK(PARTIDAS!$G5803),PARTIDAS!$F5803,CONCATENATE(PARTIDAS!$F5803," (",PARTIDAS!$G5803,")"))</f>
        <v>Chapas y tiras, de aluminio, de espesor superior a 0,2…, de aleaciones de aluminio (los demás)</v>
      </c>
      <c r="I5803" s="16" t="s">
        <v>9427</v>
      </c>
    </row>
    <row r="5804" spans="1:9" x14ac:dyDescent="0.25">
      <c r="A5804" s="16" t="s">
        <v>6747</v>
      </c>
      <c r="B5804" s="16" t="str">
        <f>TEXT(PARTIDA[[#This Row],[PARTIDA]],"0000000000")</f>
        <v>7607110000</v>
      </c>
      <c r="C5804" s="16" t="s">
        <v>815</v>
      </c>
      <c r="D5804" s="16" t="s">
        <v>835</v>
      </c>
      <c r="E5804" s="16" t="s">
        <v>9463</v>
      </c>
      <c r="F5804" s="27" t="s">
        <v>14174</v>
      </c>
      <c r="G5804" s="27"/>
      <c r="H5804" s="16" t="str">
        <f>IF(ISBLANK(PARTIDAS!$G5804),PARTIDAS!$F5804,CONCATENATE(PARTIDAS!$F5804," (",PARTIDAS!$G5804,")"))</f>
        <v>Hojas y tiras, delgadas, de aluminio (incluso impresas…, sin soporte, simplemente laminadas</v>
      </c>
      <c r="I5804" s="16" t="s">
        <v>9427</v>
      </c>
    </row>
    <row r="5805" spans="1:9" x14ac:dyDescent="0.25">
      <c r="A5805" s="16" t="s">
        <v>6748</v>
      </c>
      <c r="B5805" s="16" t="str">
        <f>TEXT(PARTIDA[[#This Row],[PARTIDA]],"0000000000")</f>
        <v>7607190000</v>
      </c>
      <c r="C5805" s="16" t="s">
        <v>815</v>
      </c>
      <c r="D5805" s="16" t="s">
        <v>835</v>
      </c>
      <c r="E5805" s="16" t="s">
        <v>9463</v>
      </c>
      <c r="F5805" s="27" t="s">
        <v>14175</v>
      </c>
      <c r="G5805" s="27"/>
      <c r="H5805" s="16" t="str">
        <f>IF(ISBLANK(PARTIDAS!$G5805),PARTIDAS!$F5805,CONCATENATE(PARTIDAS!$F5805," (",PARTIDAS!$G5805,")"))</f>
        <v>Hojas y tiras, delgadas, de aluminio (incluso impresas…, sin soporte (los demás)</v>
      </c>
      <c r="I5805" s="16" t="s">
        <v>9427</v>
      </c>
    </row>
    <row r="5806" spans="1:9" x14ac:dyDescent="0.25">
      <c r="A5806" s="16" t="s">
        <v>6749</v>
      </c>
      <c r="B5806" s="16" t="str">
        <f>TEXT(PARTIDA[[#This Row],[PARTIDA]],"0000000000")</f>
        <v>7607200000</v>
      </c>
      <c r="C5806" s="16" t="s">
        <v>815</v>
      </c>
      <c r="D5806" s="16" t="s">
        <v>835</v>
      </c>
      <c r="E5806" s="16" t="s">
        <v>9463</v>
      </c>
      <c r="F5806" s="27" t="s">
        <v>14176</v>
      </c>
      <c r="G5806" s="27"/>
      <c r="H5806" s="16" t="str">
        <f>IF(ISBLANK(PARTIDAS!$G5806),PARTIDAS!$F5806,CONCATENATE(PARTIDAS!$F5806," (",PARTIDAS!$G5806,")"))</f>
        <v>Hojas y tiras, delgadas, de aluminio (incluso impresas o fijadas…, con soporte</v>
      </c>
      <c r="I5806" s="16" t="s">
        <v>9427</v>
      </c>
    </row>
    <row r="5807" spans="1:9" x14ac:dyDescent="0.25">
      <c r="A5807" s="16" t="s">
        <v>6750</v>
      </c>
      <c r="B5807" s="16" t="str">
        <f>TEXT(PARTIDA[[#This Row],[PARTIDA]],"0000000000")</f>
        <v>7608101000</v>
      </c>
      <c r="C5807" s="16" t="s">
        <v>815</v>
      </c>
      <c r="D5807" s="16" t="s">
        <v>835</v>
      </c>
      <c r="E5807" s="16" t="s">
        <v>9463</v>
      </c>
      <c r="F5807" s="27" t="s">
        <v>14177</v>
      </c>
      <c r="G5807" s="27"/>
      <c r="H5807" s="16" t="str">
        <f>IF(ISBLANK(PARTIDAS!$G5807),PARTIDAS!$F5807,CONCATENATE(PARTIDAS!$F5807," (",PARTIDAS!$G5807,")"))</f>
        <v>Tubos de aluminio, de aluminio sin alear, con diámetro exterior inferior o igual a 9.52 mm y espesor de pared inferior a 0.9 mm</v>
      </c>
      <c r="I5807" s="16" t="s">
        <v>9427</v>
      </c>
    </row>
    <row r="5808" spans="1:9" x14ac:dyDescent="0.25">
      <c r="A5808" s="16" t="s">
        <v>6751</v>
      </c>
      <c r="B5808" s="16" t="str">
        <f>TEXT(PARTIDA[[#This Row],[PARTIDA]],"0000000000")</f>
        <v>7608109000</v>
      </c>
      <c r="C5808" s="16" t="s">
        <v>815</v>
      </c>
      <c r="D5808" s="16" t="s">
        <v>835</v>
      </c>
      <c r="E5808" s="16" t="s">
        <v>9463</v>
      </c>
      <c r="F5808" s="27" t="s">
        <v>14178</v>
      </c>
      <c r="G5808" s="27"/>
      <c r="H5808" s="16" t="str">
        <f>IF(ISBLANK(PARTIDAS!$G5808),PARTIDAS!$F5808,CONCATENATE(PARTIDAS!$F5808," (",PARTIDAS!$G5808,")"))</f>
        <v>Tubos de aluminio, de aluminio sin alear (los demás)</v>
      </c>
      <c r="I5808" s="16" t="s">
        <v>9427</v>
      </c>
    </row>
    <row r="5809" spans="1:9" x14ac:dyDescent="0.25">
      <c r="A5809" s="16" t="s">
        <v>6752</v>
      </c>
      <c r="B5809" s="16" t="str">
        <f>TEXT(PARTIDA[[#This Row],[PARTIDA]],"0000000000")</f>
        <v>7608200000</v>
      </c>
      <c r="C5809" s="16" t="s">
        <v>815</v>
      </c>
      <c r="D5809" s="16" t="s">
        <v>835</v>
      </c>
      <c r="E5809" s="16" t="s">
        <v>9463</v>
      </c>
      <c r="F5809" s="27" t="s">
        <v>6753</v>
      </c>
      <c r="G5809" s="27"/>
      <c r="H5809" s="16" t="str">
        <f>IF(ISBLANK(PARTIDAS!$G5809),PARTIDAS!$F5809,CONCATENATE(PARTIDAS!$F5809," (",PARTIDAS!$G5809,")"))</f>
        <v>Tubos de aluminio</v>
      </c>
      <c r="I5809" s="16" t="s">
        <v>9427</v>
      </c>
    </row>
    <row r="5810" spans="1:9" x14ac:dyDescent="0.25">
      <c r="A5810" s="16" t="s">
        <v>6754</v>
      </c>
      <c r="B5810" s="16" t="str">
        <f>TEXT(PARTIDA[[#This Row],[PARTIDA]],"0000000000")</f>
        <v>7609000000</v>
      </c>
      <c r="C5810" s="16" t="s">
        <v>815</v>
      </c>
      <c r="D5810" s="16" t="s">
        <v>835</v>
      </c>
      <c r="E5810" s="16" t="s">
        <v>9463</v>
      </c>
      <c r="F5810" s="27" t="s">
        <v>6755</v>
      </c>
      <c r="G5810" s="27"/>
      <c r="H5810" s="16" t="str">
        <f>IF(ISBLANK(PARTIDAS!$G5810),PARTIDAS!$F5810,CONCATENATE(PARTIDAS!$F5810," (",PARTIDAS!$G5810,")"))</f>
        <v>Accesorios de tubería (por ejemplo: empalmes
(racores), codos, manguitos) de aluminio.</v>
      </c>
      <c r="I5810" s="16" t="s">
        <v>9427</v>
      </c>
    </row>
    <row r="5811" spans="1:9" x14ac:dyDescent="0.25">
      <c r="A5811" s="16" t="s">
        <v>6756</v>
      </c>
      <c r="B5811" s="16" t="str">
        <f>TEXT(PARTIDA[[#This Row],[PARTIDA]],"0000000000")</f>
        <v>7610100000</v>
      </c>
      <c r="C5811" s="16" t="s">
        <v>815</v>
      </c>
      <c r="D5811" s="16" t="s">
        <v>835</v>
      </c>
      <c r="E5811" s="16" t="s">
        <v>9463</v>
      </c>
      <c r="F5811" s="27" t="s">
        <v>14179</v>
      </c>
      <c r="G5811" s="27"/>
      <c r="H5811" s="16" t="str">
        <f>IF(ISBLANK(PARTIDAS!$G5811),PARTIDAS!$F5811,CONCATENATE(PARTIDAS!$F5811," (",PARTIDAS!$G5811,")"))</f>
        <v>Puertas y ventanas, y sus marcos, contramarcos y umbrales</v>
      </c>
      <c r="I5811" s="16" t="s">
        <v>9427</v>
      </c>
    </row>
    <row r="5812" spans="1:9" x14ac:dyDescent="0.25">
      <c r="A5812" s="16" t="s">
        <v>6757</v>
      </c>
      <c r="B5812" s="16" t="str">
        <f>TEXT(PARTIDA[[#This Row],[PARTIDA]],"0000000000")</f>
        <v>7610900000</v>
      </c>
      <c r="C5812" s="16" t="s">
        <v>815</v>
      </c>
      <c r="D5812" s="16" t="s">
        <v>835</v>
      </c>
      <c r="E5812" s="16" t="s">
        <v>9463</v>
      </c>
      <c r="F5812" s="27" t="s">
        <v>14180</v>
      </c>
      <c r="G5812" s="27"/>
      <c r="H5812" s="16" t="str">
        <f>IF(ISBLANK(PARTIDAS!$G5812),PARTIDAS!$F5812,CONCATENATE(PARTIDAS!$F5812," (",PARTIDAS!$G5812,")"))</f>
        <v>Construcciones y sus partes (por ejemplo (los demás)</v>
      </c>
      <c r="I5812" s="16" t="s">
        <v>9427</v>
      </c>
    </row>
    <row r="5813" spans="1:9" x14ac:dyDescent="0.25">
      <c r="A5813" s="16" t="s">
        <v>6758</v>
      </c>
      <c r="B5813" s="16" t="str">
        <f>TEXT(PARTIDA[[#This Row],[PARTIDA]],"0000000000")</f>
        <v>7611000000</v>
      </c>
      <c r="C5813" s="16" t="s">
        <v>815</v>
      </c>
      <c r="D5813" s="16" t="s">
        <v>835</v>
      </c>
      <c r="E5813" s="16" t="s">
        <v>9463</v>
      </c>
      <c r="F5813" s="27" t="s">
        <v>6759</v>
      </c>
      <c r="G5813" s="27"/>
      <c r="H5813" s="16" t="str">
        <f>IF(ISBLANK(PARTIDAS!$G5813),PARTIDAS!$F5813,CONCATENATE(PARTIDAS!$F5813," (",PARTIDAS!$G5813,")"))</f>
        <v>Depósitos, cisternas, cubas y recipientes similares
para cualquier materia (excepto gas comprimido o
licuado), de aluminio, de capacidad superior a 300
l, sin dispositivos mecánicos ni térmicos, incluso
con revestimiento interior o calorífugo.</v>
      </c>
      <c r="I5813" s="16" t="s">
        <v>9427</v>
      </c>
    </row>
    <row r="5814" spans="1:9" x14ac:dyDescent="0.25">
      <c r="A5814" s="16" t="s">
        <v>6760</v>
      </c>
      <c r="B5814" s="16" t="str">
        <f>TEXT(PARTIDA[[#This Row],[PARTIDA]],"0000000000")</f>
        <v>7612100000</v>
      </c>
      <c r="C5814" s="16" t="s">
        <v>815</v>
      </c>
      <c r="D5814" s="16" t="s">
        <v>835</v>
      </c>
      <c r="E5814" s="16" t="s">
        <v>9463</v>
      </c>
      <c r="F5814" s="27" t="s">
        <v>14181</v>
      </c>
      <c r="G5814" s="27"/>
      <c r="H5814" s="16" t="str">
        <f>IF(ISBLANK(PARTIDAS!$G5814),PARTIDAS!$F5814,CONCATENATE(PARTIDAS!$F5814," (",PARTIDAS!$G5814,")"))</f>
        <v>Envases tubulares flexibles</v>
      </c>
      <c r="I5814" s="16" t="s">
        <v>9427</v>
      </c>
    </row>
    <row r="5815" spans="1:9" x14ac:dyDescent="0.25">
      <c r="A5815" s="16" t="s">
        <v>6761</v>
      </c>
      <c r="B5815" s="16" t="str">
        <f>TEXT(PARTIDA[[#This Row],[PARTIDA]],"0000000000")</f>
        <v>7612901000</v>
      </c>
      <c r="C5815" s="16" t="s">
        <v>815</v>
      </c>
      <c r="D5815" s="16" t="s">
        <v>835</v>
      </c>
      <c r="E5815" s="16" t="s">
        <v>9463</v>
      </c>
      <c r="F5815" s="27" t="s">
        <v>14182</v>
      </c>
      <c r="G5815" s="27"/>
      <c r="H5815" s="16" t="str">
        <f>IF(ISBLANK(PARTIDAS!$G5815),PARTIDAS!$F5815,CONCATENATE(PARTIDAS!$F5815," (",PARTIDAS!$G5815,")"))</f>
        <v>Envases para el transporte de leche</v>
      </c>
      <c r="I5815" s="16" t="s">
        <v>9427</v>
      </c>
    </row>
    <row r="5816" spans="1:9" x14ac:dyDescent="0.25">
      <c r="A5816" s="16" t="s">
        <v>6762</v>
      </c>
      <c r="B5816" s="16" t="str">
        <f>TEXT(PARTIDA[[#This Row],[PARTIDA]],"0000000000")</f>
        <v>7612903000</v>
      </c>
      <c r="C5816" s="16" t="s">
        <v>815</v>
      </c>
      <c r="D5816" s="16" t="s">
        <v>835</v>
      </c>
      <c r="E5816" s="16" t="s">
        <v>9463</v>
      </c>
      <c r="F5816" s="27" t="s">
        <v>14183</v>
      </c>
      <c r="G5816" s="27"/>
      <c r="H5816" s="16" t="str">
        <f>IF(ISBLANK(PARTIDAS!$G5816),PARTIDAS!$F5816,CONCATENATE(PARTIDAS!$F5816," (",PARTIDAS!$G5816,")"))</f>
        <v>Envases criógenos</v>
      </c>
      <c r="I5816" s="16" t="s">
        <v>9427</v>
      </c>
    </row>
    <row r="5817" spans="1:9" x14ac:dyDescent="0.25">
      <c r="A5817" s="16" t="s">
        <v>6763</v>
      </c>
      <c r="B5817" s="16" t="str">
        <f>TEXT(PARTIDA[[#This Row],[PARTIDA]],"0000000000")</f>
        <v>7612904000</v>
      </c>
      <c r="C5817" s="16" t="s">
        <v>815</v>
      </c>
      <c r="D5817" s="16" t="s">
        <v>835</v>
      </c>
      <c r="E5817" s="16" t="s">
        <v>9463</v>
      </c>
      <c r="F5817" s="27" t="s">
        <v>14184</v>
      </c>
      <c r="G5817" s="27"/>
      <c r="H5817" s="16" t="str">
        <f>IF(ISBLANK(PARTIDAS!$G5817),PARTIDAS!$F5817,CONCATENATE(PARTIDAS!$F5817," (",PARTIDAS!$G5817,")"))</f>
        <v>Barriles, tambores y bidones</v>
      </c>
      <c r="I5817" s="16" t="s">
        <v>9427</v>
      </c>
    </row>
    <row r="5818" spans="1:9" x14ac:dyDescent="0.25">
      <c r="A5818" s="16" t="s">
        <v>6764</v>
      </c>
      <c r="B5818" s="16" t="str">
        <f>TEXT(PARTIDA[[#This Row],[PARTIDA]],"0000000000")</f>
        <v>7612909000</v>
      </c>
      <c r="C5818" s="16" t="s">
        <v>815</v>
      </c>
      <c r="D5818" s="16" t="s">
        <v>835</v>
      </c>
      <c r="E5818" s="16" t="s">
        <v>9463</v>
      </c>
      <c r="F5818" s="27" t="s">
        <v>14185</v>
      </c>
      <c r="G5818" s="27"/>
      <c r="H5818" s="16" t="str">
        <f>IF(ISBLANK(PARTIDAS!$G5818),PARTIDAS!$F5818,CONCATENATE(PARTIDAS!$F5818," (",PARTIDAS!$G5818,")"))</f>
        <v>Depósitos, barriles, tambores, bidones, botes, cajas y recipientes… (los demás)</v>
      </c>
      <c r="I5818" s="16" t="s">
        <v>9427</v>
      </c>
    </row>
    <row r="5819" spans="1:9" x14ac:dyDescent="0.25">
      <c r="A5819" s="16" t="s">
        <v>6765</v>
      </c>
      <c r="B5819" s="16" t="str">
        <f>TEXT(PARTIDA[[#This Row],[PARTIDA]],"0000000000")</f>
        <v>7613000000</v>
      </c>
      <c r="C5819" s="16" t="s">
        <v>815</v>
      </c>
      <c r="D5819" s="16" t="s">
        <v>835</v>
      </c>
      <c r="E5819" s="16" t="s">
        <v>9463</v>
      </c>
      <c r="F5819" s="27" t="s">
        <v>6766</v>
      </c>
      <c r="G5819" s="27"/>
      <c r="H5819" s="16" t="str">
        <f>IF(ISBLANK(PARTIDAS!$G5819),PARTIDAS!$F5819,CONCATENATE(PARTIDAS!$F5819," (",PARTIDAS!$G5819,")"))</f>
        <v>Recipientes para gas comprimido o licuado, de
aluminio.</v>
      </c>
      <c r="I5819" s="16" t="s">
        <v>9427</v>
      </c>
    </row>
    <row r="5820" spans="1:9" x14ac:dyDescent="0.25">
      <c r="A5820" s="16" t="s">
        <v>6767</v>
      </c>
      <c r="B5820" s="16" t="str">
        <f>TEXT(PARTIDA[[#This Row],[PARTIDA]],"0000000000")</f>
        <v>7614100000</v>
      </c>
      <c r="C5820" s="16" t="s">
        <v>815</v>
      </c>
      <c r="D5820" s="16" t="s">
        <v>835</v>
      </c>
      <c r="E5820" s="16" t="s">
        <v>9463</v>
      </c>
      <c r="F5820" s="27" t="s">
        <v>14186</v>
      </c>
      <c r="G5820" s="27"/>
      <c r="H5820" s="16" t="str">
        <f>IF(ISBLANK(PARTIDAS!$G5820),PARTIDAS!$F5820,CONCATENATE(PARTIDAS!$F5820," (",PARTIDAS!$G5820,")"))</f>
        <v>Cables, trenzas y similares, de aluminio, sin aislar para electricidad, con alma de acero</v>
      </c>
      <c r="I5820" s="16" t="s">
        <v>9427</v>
      </c>
    </row>
    <row r="5821" spans="1:9" x14ac:dyDescent="0.25">
      <c r="A5821" s="16" t="s">
        <v>6768</v>
      </c>
      <c r="B5821" s="16" t="str">
        <f>TEXT(PARTIDA[[#This Row],[PARTIDA]],"0000000000")</f>
        <v>7614900000</v>
      </c>
      <c r="C5821" s="16" t="s">
        <v>815</v>
      </c>
      <c r="D5821" s="16" t="s">
        <v>835</v>
      </c>
      <c r="E5821" s="16" t="s">
        <v>9463</v>
      </c>
      <c r="F5821" s="27" t="s">
        <v>14187</v>
      </c>
      <c r="G5821" s="27"/>
      <c r="H5821" s="16" t="str">
        <f>IF(ISBLANK(PARTIDAS!$G5821),PARTIDAS!$F5821,CONCATENATE(PARTIDAS!$F5821," (",PARTIDAS!$G5821,")"))</f>
        <v>Cables, trenzas y similares, de aluminio, sin aislar para electricidad (los demás)</v>
      </c>
      <c r="I5821" s="16" t="s">
        <v>9427</v>
      </c>
    </row>
    <row r="5822" spans="1:9" x14ac:dyDescent="0.25">
      <c r="A5822" s="16" t="s">
        <v>6769</v>
      </c>
      <c r="B5822" s="16" t="str">
        <f>TEXT(PARTIDA[[#This Row],[PARTIDA]],"0000000000")</f>
        <v>7615101000</v>
      </c>
      <c r="C5822" s="16" t="s">
        <v>815</v>
      </c>
      <c r="D5822" s="16" t="s">
        <v>835</v>
      </c>
      <c r="E5822" s="16" t="s">
        <v>9463</v>
      </c>
      <c r="F5822" s="27" t="s">
        <v>14188</v>
      </c>
      <c r="G5822" s="27"/>
      <c r="H5822" s="16" t="str">
        <f>IF(ISBLANK(PARTIDAS!$G5822),PARTIDAS!$F5822,CONCATENATE(PARTIDAS!$F5822," (",PARTIDAS!$G5822,")"))</f>
        <v>Ollas de presión</v>
      </c>
      <c r="I5822" s="16" t="s">
        <v>9427</v>
      </c>
    </row>
    <row r="5823" spans="1:9" x14ac:dyDescent="0.25">
      <c r="A5823" s="16" t="s">
        <v>6770</v>
      </c>
      <c r="B5823" s="16" t="str">
        <f>TEXT(PARTIDA[[#This Row],[PARTIDA]],"0000000000")</f>
        <v>7615102000</v>
      </c>
      <c r="C5823" s="16" t="s">
        <v>815</v>
      </c>
      <c r="D5823" s="16" t="s">
        <v>835</v>
      </c>
      <c r="E5823" s="16" t="s">
        <v>9463</v>
      </c>
      <c r="F5823" s="27" t="s">
        <v>14189</v>
      </c>
      <c r="G5823" s="27"/>
      <c r="H5823" s="16" t="str">
        <f>IF(ISBLANK(PARTIDAS!$G5823),PARTIDAS!$F5823,CONCATENATE(PARTIDAS!$F5823," (",PARTIDAS!$G5823,")"))</f>
        <v>Artículos de uso doméstico y sus partes (los demás, ollas, sartenes y artículos similares)</v>
      </c>
      <c r="I5823" s="16" t="s">
        <v>9427</v>
      </c>
    </row>
    <row r="5824" spans="1:9" x14ac:dyDescent="0.25">
      <c r="A5824" s="16" t="s">
        <v>6771</v>
      </c>
      <c r="B5824" s="16" t="str">
        <f>TEXT(PARTIDA[[#This Row],[PARTIDA]],"0000000000")</f>
        <v>7615108000</v>
      </c>
      <c r="C5824" s="16" t="s">
        <v>815</v>
      </c>
      <c r="D5824" s="16" t="s">
        <v>835</v>
      </c>
      <c r="E5824" s="16" t="s">
        <v>9463</v>
      </c>
      <c r="F5824" s="27" t="s">
        <v>14128</v>
      </c>
      <c r="G5824" s="27"/>
      <c r="H5824" s="16" t="str">
        <f>IF(ISBLANK(PARTIDAS!$G5824),PARTIDAS!$F5824,CONCATENATE(PARTIDAS!$F5824," (",PARTIDAS!$G5824,")"))</f>
        <v>Artículos de uso doméstico y sus partes (los demás)</v>
      </c>
      <c r="I5824" s="16" t="s">
        <v>9427</v>
      </c>
    </row>
    <row r="5825" spans="1:9" x14ac:dyDescent="0.25">
      <c r="A5825" s="16" t="s">
        <v>6772</v>
      </c>
      <c r="B5825" s="16" t="str">
        <f>TEXT(PARTIDA[[#This Row],[PARTIDA]],"0000000000")</f>
        <v>7615109000</v>
      </c>
      <c r="C5825" s="16" t="s">
        <v>815</v>
      </c>
      <c r="D5825" s="16" t="s">
        <v>835</v>
      </c>
      <c r="E5825" s="16" t="s">
        <v>9463</v>
      </c>
      <c r="F5825" s="27" t="s">
        <v>14190</v>
      </c>
      <c r="G5825" s="27"/>
      <c r="H5825" s="16" t="str">
        <f>IF(ISBLANK(PARTIDAS!$G5825),PARTIDAS!$F5825,CONCATENATE(PARTIDAS!$F5825," (",PARTIDAS!$G5825,")"))</f>
        <v>Artículos de uso doméstico y sus partes, partes de artículos de uso doméstico</v>
      </c>
      <c r="I5825" s="16" t="s">
        <v>9427</v>
      </c>
    </row>
    <row r="5826" spans="1:9" x14ac:dyDescent="0.25">
      <c r="A5826" s="16" t="s">
        <v>6773</v>
      </c>
      <c r="B5826" s="16" t="str">
        <f>TEXT(PARTIDA[[#This Row],[PARTIDA]],"0000000000")</f>
        <v>7615200000</v>
      </c>
      <c r="C5826" s="16" t="s">
        <v>815</v>
      </c>
      <c r="D5826" s="16" t="s">
        <v>835</v>
      </c>
      <c r="E5826" s="16" t="s">
        <v>9463</v>
      </c>
      <c r="F5826" s="27" t="s">
        <v>14129</v>
      </c>
      <c r="G5826" s="27"/>
      <c r="H5826" s="16" t="str">
        <f>IF(ISBLANK(PARTIDAS!$G5826),PARTIDAS!$F5826,CONCATENATE(PARTIDAS!$F5826," (",PARTIDAS!$G5826,")"))</f>
        <v>Artículos de higiene o tocador, y sus partes</v>
      </c>
      <c r="I5826" s="16" t="s">
        <v>9427</v>
      </c>
    </row>
    <row r="5827" spans="1:9" x14ac:dyDescent="0.25">
      <c r="A5827" s="16" t="s">
        <v>6774</v>
      </c>
      <c r="B5827" s="16" t="str">
        <f>TEXT(PARTIDA[[#This Row],[PARTIDA]],"0000000000")</f>
        <v>7616100000</v>
      </c>
      <c r="C5827" s="16" t="s">
        <v>815</v>
      </c>
      <c r="D5827" s="16" t="s">
        <v>835</v>
      </c>
      <c r="E5827" s="16" t="s">
        <v>9463</v>
      </c>
      <c r="F5827" s="27" t="s">
        <v>14191</v>
      </c>
      <c r="G5827" s="27"/>
      <c r="H5827" s="16" t="str">
        <f>IF(ISBLANK(PARTIDAS!$G5827),PARTIDAS!$F5827,CONCATENATE(PARTIDAS!$F5827," (",PARTIDAS!$G5827,")"))</f>
        <v>Puntas, clavos, grapas apuntadas, tornillos, pernos, tuercas, escarpias roscadas, remaches, pasadores, chavetas, arandelas y artículos similares</v>
      </c>
      <c r="I5827" s="16" t="s">
        <v>9427</v>
      </c>
    </row>
    <row r="5828" spans="1:9" x14ac:dyDescent="0.25">
      <c r="A5828" s="16" t="s">
        <v>6775</v>
      </c>
      <c r="B5828" s="16" t="str">
        <f>TEXT(PARTIDA[[#This Row],[PARTIDA]],"0000000000")</f>
        <v>7616910000</v>
      </c>
      <c r="C5828" s="16" t="s">
        <v>815</v>
      </c>
      <c r="D5828" s="16" t="s">
        <v>835</v>
      </c>
      <c r="E5828" s="16" t="s">
        <v>9463</v>
      </c>
      <c r="F5828" s="27" t="s">
        <v>14192</v>
      </c>
      <c r="G5828" s="27"/>
      <c r="H5828" s="16" t="str">
        <f>IF(ISBLANK(PARTIDAS!$G5828),PARTIDAS!$F5828,CONCATENATE(PARTIDAS!$F5828," (",PARTIDAS!$G5828,")"))</f>
        <v>Telas metálicas, redes y rejas, de alambre de aluminio</v>
      </c>
      <c r="I5828" s="16" t="s">
        <v>9427</v>
      </c>
    </row>
    <row r="5829" spans="1:9" x14ac:dyDescent="0.25">
      <c r="A5829" s="16" t="s">
        <v>6776</v>
      </c>
      <c r="B5829" s="16" t="str">
        <f>TEXT(PARTIDA[[#This Row],[PARTIDA]],"0000000000")</f>
        <v>7616991000</v>
      </c>
      <c r="C5829" s="16" t="s">
        <v>815</v>
      </c>
      <c r="D5829" s="16" t="s">
        <v>835</v>
      </c>
      <c r="E5829" s="16" t="s">
        <v>9463</v>
      </c>
      <c r="F5829" s="27" t="s">
        <v>14026</v>
      </c>
      <c r="G5829" s="27"/>
      <c r="H5829" s="16" t="str">
        <f>IF(ISBLANK(PARTIDAS!$G5829),PARTIDAS!$F5829,CONCATENATE(PARTIDAS!$F5829," (",PARTIDAS!$G5829,")"))</f>
        <v>Chapas y tiras, extendidas (desplegadas)</v>
      </c>
      <c r="I5829" s="16" t="s">
        <v>9427</v>
      </c>
    </row>
    <row r="5830" spans="1:9" x14ac:dyDescent="0.25">
      <c r="A5830" s="16" t="s">
        <v>6777</v>
      </c>
      <c r="B5830" s="16" t="str">
        <f>TEXT(PARTIDA[[#This Row],[PARTIDA]],"0000000000")</f>
        <v>7616999000</v>
      </c>
      <c r="C5830" s="16" t="s">
        <v>815</v>
      </c>
      <c r="D5830" s="16" t="s">
        <v>835</v>
      </c>
      <c r="E5830" s="16" t="s">
        <v>9463</v>
      </c>
      <c r="F5830" s="27" t="s">
        <v>9146</v>
      </c>
      <c r="G5830" s="27"/>
      <c r="H5830" s="16" t="str">
        <f>IF(ISBLANK(PARTIDAS!$G5830),PARTIDAS!$F5830,CONCATENATE(PARTIDAS!$F5830," (",PARTIDAS!$G5830,")"))</f>
        <v>Aluminio y sus manufacturas (los demás)</v>
      </c>
      <c r="I5830" s="16" t="s">
        <v>9477</v>
      </c>
    </row>
    <row r="5831" spans="1:9" x14ac:dyDescent="0.25">
      <c r="A5831" s="16" t="s">
        <v>6778</v>
      </c>
      <c r="B5831" s="16" t="str">
        <f>TEXT(PARTIDA[[#This Row],[PARTIDA]],"0000000000")</f>
        <v>7801100000</v>
      </c>
      <c r="C5831" s="16" t="s">
        <v>815</v>
      </c>
      <c r="D5831" s="16" t="s">
        <v>835</v>
      </c>
      <c r="E5831" s="16" t="s">
        <v>9462</v>
      </c>
      <c r="F5831" s="27" t="s">
        <v>14193</v>
      </c>
      <c r="G5831" s="27"/>
      <c r="H5831" s="16" t="str">
        <f>IF(ISBLANK(PARTIDAS!$G5831),PARTIDAS!$F5831,CONCATENATE(PARTIDAS!$F5831," (",PARTIDAS!$G5831,")"))</f>
        <v>Plomo refinado</v>
      </c>
      <c r="I5831" s="16" t="s">
        <v>9427</v>
      </c>
    </row>
    <row r="5832" spans="1:9" x14ac:dyDescent="0.25">
      <c r="A5832" s="16" t="s">
        <v>6779</v>
      </c>
      <c r="B5832" s="16" t="str">
        <f>TEXT(PARTIDA[[#This Row],[PARTIDA]],"0000000000")</f>
        <v>7801910000</v>
      </c>
      <c r="C5832" s="16" t="s">
        <v>815</v>
      </c>
      <c r="D5832" s="16" t="s">
        <v>835</v>
      </c>
      <c r="E5832" s="16" t="s">
        <v>9462</v>
      </c>
      <c r="F5832" s="27" t="s">
        <v>14194</v>
      </c>
      <c r="G5832" s="27"/>
      <c r="H5832" s="16" t="str">
        <f>IF(ISBLANK(PARTIDAS!$G5832),PARTIDAS!$F5832,CONCATENATE(PARTIDAS!$F5832," (",PARTIDAS!$G5832,")"))</f>
        <v>Plomo en bruto, con antimonio como el otro elemento predominante en peso</v>
      </c>
      <c r="I5832" s="16" t="s">
        <v>9427</v>
      </c>
    </row>
    <row r="5833" spans="1:9" x14ac:dyDescent="0.25">
      <c r="A5833" s="16" t="s">
        <v>6780</v>
      </c>
      <c r="B5833" s="16" t="str">
        <f>TEXT(PARTIDA[[#This Row],[PARTIDA]],"0000000000")</f>
        <v>7801990000</v>
      </c>
      <c r="C5833" s="16" t="s">
        <v>815</v>
      </c>
      <c r="D5833" s="16" t="s">
        <v>835</v>
      </c>
      <c r="E5833" s="16" t="s">
        <v>9462</v>
      </c>
      <c r="F5833" s="27" t="s">
        <v>14195</v>
      </c>
      <c r="G5833" s="27"/>
      <c r="H5833" s="16" t="str">
        <f>IF(ISBLANK(PARTIDAS!$G5833),PARTIDAS!$F5833,CONCATENATE(PARTIDAS!$F5833," (",PARTIDAS!$G5833,")"))</f>
        <v>Plomo en bruto (los demás)</v>
      </c>
      <c r="I5833" s="16" t="s">
        <v>9427</v>
      </c>
    </row>
    <row r="5834" spans="1:9" x14ac:dyDescent="0.25">
      <c r="A5834" s="16" t="s">
        <v>6781</v>
      </c>
      <c r="B5834" s="16" t="str">
        <f>TEXT(PARTIDA[[#This Row],[PARTIDA]],"0000000000")</f>
        <v>7802000000</v>
      </c>
      <c r="C5834" s="16" t="s">
        <v>815</v>
      </c>
      <c r="D5834" s="16" t="s">
        <v>835</v>
      </c>
      <c r="E5834" s="16" t="s">
        <v>9462</v>
      </c>
      <c r="F5834" s="27" t="s">
        <v>6782</v>
      </c>
      <c r="G5834" s="27"/>
      <c r="H5834" s="16" t="str">
        <f>IF(ISBLANK(PARTIDAS!$G5834),PARTIDAS!$F5834,CONCATENATE(PARTIDAS!$F5834," (",PARTIDAS!$G5834,")"))</f>
        <v>Desperdicios y desechos, de plomo.</v>
      </c>
      <c r="I5834" s="16" t="s">
        <v>9427</v>
      </c>
    </row>
    <row r="5835" spans="1:9" x14ac:dyDescent="0.25">
      <c r="A5835" s="16" t="s">
        <v>6783</v>
      </c>
      <c r="B5835" s="16" t="str">
        <f>TEXT(PARTIDA[[#This Row],[PARTIDA]],"0000000000")</f>
        <v>7804110000</v>
      </c>
      <c r="C5835" s="16" t="s">
        <v>815</v>
      </c>
      <c r="D5835" s="16" t="s">
        <v>835</v>
      </c>
      <c r="E5835" s="16" t="s">
        <v>9462</v>
      </c>
      <c r="F5835" s="27" t="s">
        <v>14196</v>
      </c>
      <c r="G5835" s="27"/>
      <c r="H5835" s="16" t="str">
        <f>IF(ISBLANK(PARTIDAS!$G5835),PARTIDAS!$F5835,CONCATENATE(PARTIDAS!$F5835," (",PARTIDAS!$G5835,")"))</f>
        <v>Hojas y tiras, de espesor inferior o igual a 0,2 mm (sin incluir el soporte)</v>
      </c>
      <c r="I5835" s="16" t="s">
        <v>9427</v>
      </c>
    </row>
    <row r="5836" spans="1:9" x14ac:dyDescent="0.25">
      <c r="A5836" s="16" t="s">
        <v>6784</v>
      </c>
      <c r="B5836" s="16" t="str">
        <f>TEXT(PARTIDA[[#This Row],[PARTIDA]],"0000000000")</f>
        <v>7804190000</v>
      </c>
      <c r="C5836" s="16" t="s">
        <v>815</v>
      </c>
      <c r="D5836" s="16" t="s">
        <v>835</v>
      </c>
      <c r="E5836" s="16" t="s">
        <v>9462</v>
      </c>
      <c r="F5836" s="27" t="s">
        <v>14197</v>
      </c>
      <c r="G5836" s="27"/>
      <c r="H5836" s="16" t="str">
        <f>IF(ISBLANK(PARTIDAS!$G5836),PARTIDAS!$F5836,CONCATENATE(PARTIDAS!$F5836," (",PARTIDAS!$G5836,")"))</f>
        <v>Chapas, hojas y tiras (los demás)</v>
      </c>
      <c r="I5836" s="16" t="s">
        <v>9427</v>
      </c>
    </row>
    <row r="5837" spans="1:9" x14ac:dyDescent="0.25">
      <c r="A5837" s="16" t="s">
        <v>6785</v>
      </c>
      <c r="B5837" s="16" t="str">
        <f>TEXT(PARTIDA[[#This Row],[PARTIDA]],"0000000000")</f>
        <v>7804200000</v>
      </c>
      <c r="C5837" s="16" t="s">
        <v>815</v>
      </c>
      <c r="D5837" s="16" t="s">
        <v>835</v>
      </c>
      <c r="E5837" s="16" t="s">
        <v>9462</v>
      </c>
      <c r="F5837" s="27" t="s">
        <v>14198</v>
      </c>
      <c r="G5837" s="27"/>
      <c r="H5837" s="16" t="str">
        <f>IF(ISBLANK(PARTIDAS!$G5837),PARTIDAS!$F5837,CONCATENATE(PARTIDAS!$F5837," (",PARTIDAS!$G5837,")"))</f>
        <v>Polvo y escamillas</v>
      </c>
      <c r="I5837" s="16" t="s">
        <v>9427</v>
      </c>
    </row>
    <row r="5838" spans="1:9" x14ac:dyDescent="0.25">
      <c r="A5838" s="16" t="s">
        <v>6786</v>
      </c>
      <c r="B5838" s="16" t="str">
        <f>TEXT(PARTIDA[[#This Row],[PARTIDA]],"0000000000")</f>
        <v>7806001000</v>
      </c>
      <c r="C5838" s="16" t="s">
        <v>815</v>
      </c>
      <c r="D5838" s="16" t="s">
        <v>835</v>
      </c>
      <c r="E5838" s="16" t="s">
        <v>9462</v>
      </c>
      <c r="F5838" s="27" t="s">
        <v>14199</v>
      </c>
      <c r="G5838" s="27"/>
      <c r="H5838" s="16" t="str">
        <f>IF(ISBLANK(PARTIDAS!$G5838),PARTIDAS!$F5838,CONCATENATE(PARTIDAS!$F5838," (",PARTIDAS!$G5838,")"))</f>
        <v>Envases blindados para materias radiactivas</v>
      </c>
      <c r="I5838" s="16" t="s">
        <v>9427</v>
      </c>
    </row>
    <row r="5839" spans="1:9" x14ac:dyDescent="0.25">
      <c r="A5839" s="16" t="s">
        <v>6787</v>
      </c>
      <c r="B5839" s="16" t="str">
        <f>TEXT(PARTIDA[[#This Row],[PARTIDA]],"0000000000")</f>
        <v>7806002000</v>
      </c>
      <c r="C5839" s="16" t="s">
        <v>815</v>
      </c>
      <c r="D5839" s="16" t="s">
        <v>835</v>
      </c>
      <c r="E5839" s="16" t="s">
        <v>9462</v>
      </c>
      <c r="F5839" s="27" t="s">
        <v>14200</v>
      </c>
      <c r="G5839" s="27"/>
      <c r="H5839" s="16" t="str">
        <f>IF(ISBLANK(PARTIDAS!$G5839),PARTIDAS!$F5839,CONCATENATE(PARTIDAS!$F5839," (",PARTIDAS!$G5839,")"))</f>
        <v>Barras, perfiles y alambre</v>
      </c>
      <c r="I5839" s="16" t="s">
        <v>9427</v>
      </c>
    </row>
    <row r="5840" spans="1:9" x14ac:dyDescent="0.25">
      <c r="A5840" s="16" t="s">
        <v>6788</v>
      </c>
      <c r="B5840" s="16" t="str">
        <f>TEXT(PARTIDA[[#This Row],[PARTIDA]],"0000000000")</f>
        <v>7806003000</v>
      </c>
      <c r="C5840" s="16" t="s">
        <v>815</v>
      </c>
      <c r="D5840" s="16" t="s">
        <v>835</v>
      </c>
      <c r="E5840" s="16" t="s">
        <v>9462</v>
      </c>
      <c r="F5840" s="27" t="s">
        <v>14201</v>
      </c>
      <c r="G5840" s="27"/>
      <c r="H5840" s="16" t="str">
        <f>IF(ISBLANK(PARTIDAS!$G5840),PARTIDAS!$F5840,CONCATENATE(PARTIDAS!$F5840," (",PARTIDAS!$G5840,")"))</f>
        <v>Tubos y accesorios de tubería (por ejemplo: empalmes [racores], codos, manguitos)</v>
      </c>
      <c r="I5840" s="16" t="s">
        <v>9427</v>
      </c>
    </row>
    <row r="5841" spans="1:9" x14ac:dyDescent="0.25">
      <c r="A5841" s="16" t="s">
        <v>6789</v>
      </c>
      <c r="B5841" s="16" t="str">
        <f>TEXT(PARTIDA[[#This Row],[PARTIDA]],"0000000000")</f>
        <v>7806009000</v>
      </c>
      <c r="C5841" s="16" t="s">
        <v>815</v>
      </c>
      <c r="D5841" s="16" t="s">
        <v>835</v>
      </c>
      <c r="E5841" s="16" t="s">
        <v>9462</v>
      </c>
      <c r="F5841" s="27" t="s">
        <v>14202</v>
      </c>
      <c r="G5841" s="27"/>
      <c r="H5841" s="16" t="str">
        <f>IF(ISBLANK(PARTIDAS!$G5841),PARTIDAS!$F5841,CONCATENATE(PARTIDAS!$F5841," (",PARTIDAS!$G5841,")"))</f>
        <v>Chapas, hojas y tiras, de plomo (los demás)</v>
      </c>
      <c r="I5841" s="16" t="s">
        <v>9427</v>
      </c>
    </row>
    <row r="5842" spans="1:9" x14ac:dyDescent="0.25">
      <c r="A5842" s="16" t="s">
        <v>6790</v>
      </c>
      <c r="B5842" s="16" t="str">
        <f>TEXT(PARTIDA[[#This Row],[PARTIDA]],"0000000000")</f>
        <v>7901110000</v>
      </c>
      <c r="C5842" s="16" t="s">
        <v>815</v>
      </c>
      <c r="D5842" s="16" t="s">
        <v>835</v>
      </c>
      <c r="E5842" s="16" t="s">
        <v>9462</v>
      </c>
      <c r="F5842" s="27" t="s">
        <v>14203</v>
      </c>
      <c r="G5842" s="27"/>
      <c r="H5842" s="16" t="str">
        <f>IF(ISBLANK(PARTIDAS!$G5842),PARTIDAS!$F5842,CONCATENATE(PARTIDAS!$F5842," (",PARTIDAS!$G5842,")"))</f>
        <v>Cinc sin alear, con un contenido de cinc superior o igual al 99,99 % en peso</v>
      </c>
      <c r="I5842" s="16" t="s">
        <v>9427</v>
      </c>
    </row>
    <row r="5843" spans="1:9" x14ac:dyDescent="0.25">
      <c r="A5843" s="16" t="s">
        <v>6791</v>
      </c>
      <c r="B5843" s="16" t="str">
        <f>TEXT(PARTIDA[[#This Row],[PARTIDA]],"0000000000")</f>
        <v>7901120000</v>
      </c>
      <c r="C5843" s="16" t="s">
        <v>815</v>
      </c>
      <c r="D5843" s="16" t="s">
        <v>835</v>
      </c>
      <c r="E5843" s="16" t="s">
        <v>9462</v>
      </c>
      <c r="F5843" s="27" t="s">
        <v>14204</v>
      </c>
      <c r="G5843" s="27"/>
      <c r="H5843" s="16" t="str">
        <f>IF(ISBLANK(PARTIDAS!$G5843),PARTIDAS!$F5843,CONCATENATE(PARTIDAS!$F5843," (",PARTIDAS!$G5843,")"))</f>
        <v>Cinc sin alear, con un contenido de cinc inferior al 99,99 % en peso</v>
      </c>
      <c r="I5843" s="16" t="s">
        <v>9427</v>
      </c>
    </row>
    <row r="5844" spans="1:9" x14ac:dyDescent="0.25">
      <c r="A5844" s="16" t="s">
        <v>6792</v>
      </c>
      <c r="B5844" s="16" t="str">
        <f>TEXT(PARTIDA[[#This Row],[PARTIDA]],"0000000000")</f>
        <v>7901200000</v>
      </c>
      <c r="C5844" s="16" t="s">
        <v>815</v>
      </c>
      <c r="D5844" s="16" t="s">
        <v>835</v>
      </c>
      <c r="E5844" s="16" t="s">
        <v>9462</v>
      </c>
      <c r="F5844" s="27" t="s">
        <v>14205</v>
      </c>
      <c r="G5844" s="27"/>
      <c r="H5844" s="16" t="str">
        <f>IF(ISBLANK(PARTIDAS!$G5844),PARTIDAS!$F5844,CONCATENATE(PARTIDAS!$F5844," (",PARTIDAS!$G5844,")"))</f>
        <v>Aleaciones de cinc</v>
      </c>
      <c r="I5844" s="16" t="s">
        <v>9427</v>
      </c>
    </row>
    <row r="5845" spans="1:9" x14ac:dyDescent="0.25">
      <c r="A5845" s="16" t="s">
        <v>6793</v>
      </c>
      <c r="B5845" s="16" t="str">
        <f>TEXT(PARTIDA[[#This Row],[PARTIDA]],"0000000000")</f>
        <v>7902000000</v>
      </c>
      <c r="C5845" s="16" t="s">
        <v>815</v>
      </c>
      <c r="D5845" s="16" t="s">
        <v>835</v>
      </c>
      <c r="E5845" s="16" t="s">
        <v>9462</v>
      </c>
      <c r="F5845" s="27" t="s">
        <v>6794</v>
      </c>
      <c r="G5845" s="27"/>
      <c r="H5845" s="16" t="str">
        <f>IF(ISBLANK(PARTIDAS!$G5845),PARTIDAS!$F5845,CONCATENATE(PARTIDAS!$F5845," (",PARTIDAS!$G5845,")"))</f>
        <v>Desperdicios y desechos, de cinc.</v>
      </c>
      <c r="I5845" s="16" t="s">
        <v>9427</v>
      </c>
    </row>
    <row r="5846" spans="1:9" x14ac:dyDescent="0.25">
      <c r="A5846" s="16" t="s">
        <v>6795</v>
      </c>
      <c r="B5846" s="16" t="str">
        <f>TEXT(PARTIDA[[#This Row],[PARTIDA]],"0000000000")</f>
        <v>7903100000</v>
      </c>
      <c r="C5846" s="16" t="s">
        <v>815</v>
      </c>
      <c r="D5846" s="16" t="s">
        <v>835</v>
      </c>
      <c r="E5846" s="16" t="s">
        <v>9462</v>
      </c>
      <c r="F5846" s="27" t="s">
        <v>14206</v>
      </c>
      <c r="G5846" s="27"/>
      <c r="H5846" s="16" t="str">
        <f>IF(ISBLANK(PARTIDAS!$G5846),PARTIDAS!$F5846,CONCATENATE(PARTIDAS!$F5846," (",PARTIDAS!$G5846,")"))</f>
        <v>Polvo de condensación</v>
      </c>
      <c r="I5846" s="16" t="s">
        <v>9427</v>
      </c>
    </row>
    <row r="5847" spans="1:9" x14ac:dyDescent="0.25">
      <c r="A5847" s="16" t="s">
        <v>6796</v>
      </c>
      <c r="B5847" s="16" t="str">
        <f>TEXT(PARTIDA[[#This Row],[PARTIDA]],"0000000000")</f>
        <v>7903900000</v>
      </c>
      <c r="C5847" s="16" t="s">
        <v>815</v>
      </c>
      <c r="D5847" s="16" t="s">
        <v>835</v>
      </c>
      <c r="E5847" s="16" t="s">
        <v>9462</v>
      </c>
      <c r="F5847" s="27" t="s">
        <v>14207</v>
      </c>
      <c r="G5847" s="27"/>
      <c r="H5847" s="16" t="str">
        <f>IF(ISBLANK(PARTIDAS!$G5847),PARTIDAS!$F5847,CONCATENATE(PARTIDAS!$F5847," (",PARTIDAS!$G5847,")"))</f>
        <v>Polvo y escamillas, de cinc (los demás)</v>
      </c>
      <c r="I5847" s="16" t="s">
        <v>9427</v>
      </c>
    </row>
    <row r="5848" spans="1:9" x14ac:dyDescent="0.25">
      <c r="A5848" s="16" t="s">
        <v>6797</v>
      </c>
      <c r="B5848" s="16" t="str">
        <f>TEXT(PARTIDA[[#This Row],[PARTIDA]],"0000000000")</f>
        <v>7904001000</v>
      </c>
      <c r="C5848" s="16" t="s">
        <v>815</v>
      </c>
      <c r="D5848" s="16" t="s">
        <v>835</v>
      </c>
      <c r="E5848" s="16" t="s">
        <v>9462</v>
      </c>
      <c r="F5848" s="27" t="s">
        <v>14208</v>
      </c>
      <c r="G5848" s="27"/>
      <c r="H5848" s="16" t="str">
        <f>IF(ISBLANK(PARTIDAS!$G5848),PARTIDAS!$F5848,CONCATENATE(PARTIDAS!$F5848," (",PARTIDAS!$G5848,")"))</f>
        <v>Alambre</v>
      </c>
      <c r="I5848" s="16" t="s">
        <v>9427</v>
      </c>
    </row>
    <row r="5849" spans="1:9" x14ac:dyDescent="0.25">
      <c r="A5849" s="16" t="s">
        <v>6798</v>
      </c>
      <c r="B5849" s="16" t="str">
        <f>TEXT(PARTIDA[[#This Row],[PARTIDA]],"0000000000")</f>
        <v>7904009000</v>
      </c>
      <c r="C5849" s="16" t="s">
        <v>815</v>
      </c>
      <c r="D5849" s="16" t="s">
        <v>835</v>
      </c>
      <c r="E5849" s="16" t="s">
        <v>9462</v>
      </c>
      <c r="F5849" s="27" t="s">
        <v>14209</v>
      </c>
      <c r="G5849" s="27"/>
      <c r="H5849" s="16" t="str">
        <f>IF(ISBLANK(PARTIDAS!$G5849),PARTIDAS!$F5849,CONCATENATE(PARTIDAS!$F5849," (",PARTIDAS!$G5849,")"))</f>
        <v>Polvo y escamillas, de cinc. 7904.00 Barras, perfiles y alambre, de… (los demás)</v>
      </c>
      <c r="I5849" s="16" t="s">
        <v>9427</v>
      </c>
    </row>
    <row r="5850" spans="1:9" x14ac:dyDescent="0.25">
      <c r="A5850" s="16" t="s">
        <v>6799</v>
      </c>
      <c r="B5850" s="16" t="str">
        <f>TEXT(PARTIDA[[#This Row],[PARTIDA]],"0000000000")</f>
        <v>7905000011</v>
      </c>
      <c r="C5850" s="16" t="s">
        <v>815</v>
      </c>
      <c r="D5850" s="16" t="s">
        <v>835</v>
      </c>
      <c r="E5850" s="16" t="s">
        <v>9462</v>
      </c>
      <c r="F5850" s="27" t="s">
        <v>14210</v>
      </c>
      <c r="G5850" s="27"/>
      <c r="H5850" s="16" t="str">
        <f>IF(ISBLANK(PARTIDAS!$G5850),PARTIDAS!$F5850,CONCATENATE(PARTIDAS!$F5850," (",PARTIDAS!$G5850,")"))</f>
        <v>Polvo y escamillas, de cinc. 7904.00 Barras, perfiles…, en forma cuadrada o rectangular, de espesor inferior o igual a 0,65 mm</v>
      </c>
      <c r="I5850" s="16" t="s">
        <v>9427</v>
      </c>
    </row>
    <row r="5851" spans="1:9" x14ac:dyDescent="0.25">
      <c r="A5851" s="16" t="s">
        <v>6800</v>
      </c>
      <c r="B5851" s="16" t="str">
        <f>TEXT(PARTIDA[[#This Row],[PARTIDA]],"0000000000")</f>
        <v>7905000012</v>
      </c>
      <c r="C5851" s="16" t="s">
        <v>815</v>
      </c>
      <c r="D5851" s="16" t="s">
        <v>835</v>
      </c>
      <c r="E5851" s="16" t="s">
        <v>9462</v>
      </c>
      <c r="F5851" s="27" t="s">
        <v>14211</v>
      </c>
      <c r="G5851" s="27"/>
      <c r="H5851" s="16" t="str">
        <f>IF(ISBLANK(PARTIDAS!$G5851),PARTIDAS!$F5851,CONCATENATE(PARTIDAS!$F5851," (",PARTIDAS!$G5851,")"))</f>
        <v>Polvo y escamillas, de cinc. 7904.00 Barras, perfiles…, en forma cuadrada o rectangular, de espesor superior a 0,65 mm</v>
      </c>
      <c r="I5851" s="16" t="s">
        <v>9427</v>
      </c>
    </row>
    <row r="5852" spans="1:9" x14ac:dyDescent="0.25">
      <c r="A5852" s="16" t="s">
        <v>6801</v>
      </c>
      <c r="B5852" s="16" t="str">
        <f>TEXT(PARTIDA[[#This Row],[PARTIDA]],"0000000000")</f>
        <v>7905000091</v>
      </c>
      <c r="C5852" s="16" t="s">
        <v>815</v>
      </c>
      <c r="D5852" s="16" t="s">
        <v>835</v>
      </c>
      <c r="E5852" s="16" t="s">
        <v>9462</v>
      </c>
      <c r="F5852" s="27" t="s">
        <v>14212</v>
      </c>
      <c r="G5852" s="27"/>
      <c r="H5852" s="16" t="str">
        <f>IF(ISBLANK(PARTIDAS!$G5852),PARTIDAS!$F5852,CONCATENATE(PARTIDAS!$F5852," (",PARTIDAS!$G5852,")"))</f>
        <v>Discos cuyo diámetro no exceda de 30 mm; hexágonos cuyo lado de mayor longitud no exceda de 30 mm</v>
      </c>
      <c r="I5852" s="16" t="s">
        <v>9427</v>
      </c>
    </row>
    <row r="5853" spans="1:9" x14ac:dyDescent="0.25">
      <c r="A5853" s="16" t="s">
        <v>6802</v>
      </c>
      <c r="B5853" s="16" t="str">
        <f>TEXT(PARTIDA[[#This Row],[PARTIDA]],"0000000000")</f>
        <v>7905000099</v>
      </c>
      <c r="C5853" s="16" t="s">
        <v>815</v>
      </c>
      <c r="D5853" s="16" t="s">
        <v>835</v>
      </c>
      <c r="E5853" s="16" t="s">
        <v>9462</v>
      </c>
      <c r="F5853" s="27" t="s">
        <v>14209</v>
      </c>
      <c r="G5853" s="27"/>
      <c r="H5853" s="16" t="str">
        <f>IF(ISBLANK(PARTIDAS!$G5853),PARTIDAS!$F5853,CONCATENATE(PARTIDAS!$F5853," (",PARTIDAS!$G5853,")"))</f>
        <v>Polvo y escamillas, de cinc. 7904.00 Barras, perfiles y alambre, de… (los demás)</v>
      </c>
      <c r="I5853" s="16" t="s">
        <v>9427</v>
      </c>
    </row>
    <row r="5854" spans="1:9" x14ac:dyDescent="0.25">
      <c r="A5854" s="16" t="s">
        <v>6803</v>
      </c>
      <c r="B5854" s="16" t="str">
        <f>TEXT(PARTIDA[[#This Row],[PARTIDA]],"0000000000")</f>
        <v>7907001000</v>
      </c>
      <c r="C5854" s="16" t="s">
        <v>815</v>
      </c>
      <c r="D5854" s="16" t="s">
        <v>835</v>
      </c>
      <c r="E5854" s="16" t="s">
        <v>9463</v>
      </c>
      <c r="F5854" s="27" t="s">
        <v>14213</v>
      </c>
      <c r="G5854" s="27"/>
      <c r="H5854" s="16" t="str">
        <f>IF(ISBLANK(PARTIDAS!$G5854),PARTIDAS!$F5854,CONCATENATE(PARTIDAS!$F5854," (",PARTIDAS!$G5854,")"))</f>
        <v>Canalones, caballetes para tejados, claraboyas y otras manufacturas para la construcción</v>
      </c>
      <c r="I5854" s="16" t="s">
        <v>9427</v>
      </c>
    </row>
    <row r="5855" spans="1:9" x14ac:dyDescent="0.25">
      <c r="A5855" s="16" t="s">
        <v>6804</v>
      </c>
      <c r="B5855" s="16" t="str">
        <f>TEXT(PARTIDA[[#This Row],[PARTIDA]],"0000000000")</f>
        <v>7907002000</v>
      </c>
      <c r="C5855" s="16" t="s">
        <v>815</v>
      </c>
      <c r="D5855" s="16" t="s">
        <v>835</v>
      </c>
      <c r="E5855" s="16" t="s">
        <v>9463</v>
      </c>
      <c r="F5855" s="27" t="s">
        <v>14201</v>
      </c>
      <c r="G5855" s="27"/>
      <c r="H5855" s="16" t="str">
        <f>IF(ISBLANK(PARTIDAS!$G5855),PARTIDAS!$F5855,CONCATENATE(PARTIDAS!$F5855," (",PARTIDAS!$G5855,")"))</f>
        <v>Tubos y accesorios de tubería (por ejemplo: empalmes [racores], codos, manguitos)</v>
      </c>
      <c r="I5855" s="16" t="s">
        <v>9427</v>
      </c>
    </row>
    <row r="5856" spans="1:9" x14ac:dyDescent="0.25">
      <c r="A5856" s="16" t="s">
        <v>6805</v>
      </c>
      <c r="B5856" s="16" t="str">
        <f>TEXT(PARTIDA[[#This Row],[PARTIDA]],"0000000000")</f>
        <v>7907009000</v>
      </c>
      <c r="C5856" s="16" t="s">
        <v>815</v>
      </c>
      <c r="D5856" s="16" t="s">
        <v>835</v>
      </c>
      <c r="E5856" s="16" t="s">
        <v>9463</v>
      </c>
      <c r="F5856" s="27" t="s">
        <v>14209</v>
      </c>
      <c r="G5856" s="27"/>
      <c r="H5856" s="16" t="str">
        <f>IF(ISBLANK(PARTIDAS!$G5856),PARTIDAS!$F5856,CONCATENATE(PARTIDAS!$F5856," (",PARTIDAS!$G5856,")"))</f>
        <v>Polvo y escamillas, de cinc. 7904.00 Barras, perfiles y alambre, de… (los demás)</v>
      </c>
      <c r="I5856" s="16" t="s">
        <v>9427</v>
      </c>
    </row>
    <row r="5857" spans="1:9" x14ac:dyDescent="0.25">
      <c r="A5857" s="16" t="s">
        <v>6806</v>
      </c>
      <c r="B5857" s="16" t="str">
        <f>TEXT(PARTIDA[[#This Row],[PARTIDA]],"0000000000")</f>
        <v>8001100000</v>
      </c>
      <c r="C5857" s="16" t="s">
        <v>815</v>
      </c>
      <c r="D5857" s="16" t="s">
        <v>835</v>
      </c>
      <c r="E5857" s="16" t="s">
        <v>9462</v>
      </c>
      <c r="F5857" s="27" t="s">
        <v>14214</v>
      </c>
      <c r="G5857" s="27"/>
      <c r="H5857" s="16" t="str">
        <f>IF(ISBLANK(PARTIDAS!$G5857),PARTIDAS!$F5857,CONCATENATE(PARTIDAS!$F5857," (",PARTIDAS!$G5857,")"))</f>
        <v>Estaño sin alear</v>
      </c>
      <c r="I5857" s="16" t="s">
        <v>9427</v>
      </c>
    </row>
    <row r="5858" spans="1:9" x14ac:dyDescent="0.25">
      <c r="A5858" s="16" t="s">
        <v>6807</v>
      </c>
      <c r="B5858" s="16" t="str">
        <f>TEXT(PARTIDA[[#This Row],[PARTIDA]],"0000000000")</f>
        <v>8001200000</v>
      </c>
      <c r="C5858" s="16" t="s">
        <v>815</v>
      </c>
      <c r="D5858" s="16" t="s">
        <v>835</v>
      </c>
      <c r="E5858" s="16" t="s">
        <v>9462</v>
      </c>
      <c r="F5858" s="27" t="s">
        <v>14215</v>
      </c>
      <c r="G5858" s="27"/>
      <c r="H5858" s="16" t="str">
        <f>IF(ISBLANK(PARTIDAS!$G5858),PARTIDAS!$F5858,CONCATENATE(PARTIDAS!$F5858," (",PARTIDAS!$G5858,")"))</f>
        <v>Aleaciones de estaño</v>
      </c>
      <c r="I5858" s="16" t="s">
        <v>9427</v>
      </c>
    </row>
    <row r="5859" spans="1:9" x14ac:dyDescent="0.25">
      <c r="A5859" s="16" t="s">
        <v>6808</v>
      </c>
      <c r="B5859" s="16" t="str">
        <f>TEXT(PARTIDA[[#This Row],[PARTIDA]],"0000000000")</f>
        <v>8002000000</v>
      </c>
      <c r="C5859" s="16" t="s">
        <v>815</v>
      </c>
      <c r="D5859" s="16" t="s">
        <v>835</v>
      </c>
      <c r="E5859" s="16" t="s">
        <v>9462</v>
      </c>
      <c r="F5859" s="27" t="s">
        <v>6809</v>
      </c>
      <c r="G5859" s="27"/>
      <c r="H5859" s="16" t="str">
        <f>IF(ISBLANK(PARTIDAS!$G5859),PARTIDAS!$F5859,CONCATENATE(PARTIDAS!$F5859," (",PARTIDAS!$G5859,")"))</f>
        <v>Desperdicios y desechos, de estaño.</v>
      </c>
      <c r="I5859" s="16" t="s">
        <v>9427</v>
      </c>
    </row>
    <row r="5860" spans="1:9" x14ac:dyDescent="0.25">
      <c r="A5860" s="16" t="s">
        <v>6810</v>
      </c>
      <c r="B5860" s="16" t="str">
        <f>TEXT(PARTIDA[[#This Row],[PARTIDA]],"0000000000")</f>
        <v>8003001000</v>
      </c>
      <c r="C5860" s="16" t="s">
        <v>815</v>
      </c>
      <c r="D5860" s="16" t="s">
        <v>835</v>
      </c>
      <c r="E5860" s="16" t="s">
        <v>9462</v>
      </c>
      <c r="F5860" s="27" t="s">
        <v>14216</v>
      </c>
      <c r="G5860" s="27"/>
      <c r="H5860" s="16" t="str">
        <f>IF(ISBLANK(PARTIDAS!$G5860),PARTIDAS!$F5860,CONCATENATE(PARTIDAS!$F5860," (",PARTIDAS!$G5860,")"))</f>
        <v>Barras y alambres de estaño aleado, para soldadura</v>
      </c>
      <c r="I5860" s="16" t="s">
        <v>9427</v>
      </c>
    </row>
    <row r="5861" spans="1:9" x14ac:dyDescent="0.25">
      <c r="A5861" s="16" t="s">
        <v>6811</v>
      </c>
      <c r="B5861" s="16" t="str">
        <f>TEXT(PARTIDA[[#This Row],[PARTIDA]],"0000000000")</f>
        <v>8003009000</v>
      </c>
      <c r="C5861" s="16" t="s">
        <v>815</v>
      </c>
      <c r="D5861" s="16" t="s">
        <v>835</v>
      </c>
      <c r="E5861" s="16" t="s">
        <v>9462</v>
      </c>
      <c r="F5861" s="27" t="s">
        <v>14217</v>
      </c>
      <c r="G5861" s="27"/>
      <c r="H5861" s="16" t="str">
        <f>IF(ISBLANK(PARTIDAS!$G5861),PARTIDAS!$F5861,CONCATENATE(PARTIDAS!$F5861," (",PARTIDAS!$G5861,")"))</f>
        <v>Estaño en bruto. 8003.00 Barras, perfiles y alambre, de estaño (los demás)</v>
      </c>
      <c r="I5861" s="16" t="s">
        <v>9427</v>
      </c>
    </row>
    <row r="5862" spans="1:9" x14ac:dyDescent="0.25">
      <c r="A5862" s="16" t="s">
        <v>6812</v>
      </c>
      <c r="B5862" s="16" t="str">
        <f>TEXT(PARTIDA[[#This Row],[PARTIDA]],"0000000000")</f>
        <v>8007001000</v>
      </c>
      <c r="C5862" s="16" t="s">
        <v>815</v>
      </c>
      <c r="D5862" s="16" t="s">
        <v>835</v>
      </c>
      <c r="E5862" s="16" t="s">
        <v>9463</v>
      </c>
      <c r="F5862" s="27" t="s">
        <v>14218</v>
      </c>
      <c r="G5862" s="27"/>
      <c r="H5862" s="16" t="str">
        <f>IF(ISBLANK(PARTIDAS!$G5862),PARTIDAS!$F5862,CONCATENATE(PARTIDAS!$F5862," (",PARTIDAS!$G5862,")"))</f>
        <v>Chapas, hojas y tiras, de espesor superior a 0,2 mm</v>
      </c>
      <c r="I5862" s="16" t="s">
        <v>9427</v>
      </c>
    </row>
    <row r="5863" spans="1:9" x14ac:dyDescent="0.25">
      <c r="A5863" s="16" t="s">
        <v>6813</v>
      </c>
      <c r="B5863" s="16" t="str">
        <f>TEXT(PARTIDA[[#This Row],[PARTIDA]],"0000000000")</f>
        <v>8007002000</v>
      </c>
      <c r="C5863" s="16" t="s">
        <v>815</v>
      </c>
      <c r="D5863" s="16" t="s">
        <v>835</v>
      </c>
      <c r="E5863" s="16" t="s">
        <v>9463</v>
      </c>
      <c r="F5863" s="27" t="s">
        <v>14219</v>
      </c>
      <c r="G5863" s="27"/>
      <c r="H5863" s="16" t="str">
        <f>IF(ISBLANK(PARTIDAS!$G5863),PARTIDAS!$F5863,CONCATENATE(PARTIDAS!$F5863," (",PARTIDAS!$G5863,")"))</f>
        <v>Hojas y tiras, delgadas (incluso impresas o fijadas sobre papel, cartón, plástico o soportes similares), de espesor inferior o igual a 0,2 mm (sin inc</v>
      </c>
      <c r="I5863" s="16" t="s">
        <v>9427</v>
      </c>
    </row>
    <row r="5864" spans="1:9" x14ac:dyDescent="0.25">
      <c r="A5864" s="16" t="s">
        <v>6814</v>
      </c>
      <c r="B5864" s="16" t="str">
        <f>TEXT(PARTIDA[[#This Row],[PARTIDA]],"0000000000")</f>
        <v>8007003000</v>
      </c>
      <c r="C5864" s="16" t="s">
        <v>815</v>
      </c>
      <c r="D5864" s="16" t="s">
        <v>835</v>
      </c>
      <c r="E5864" s="16" t="s">
        <v>9463</v>
      </c>
      <c r="F5864" s="27" t="s">
        <v>14201</v>
      </c>
      <c r="G5864" s="27"/>
      <c r="H5864" s="16" t="str">
        <f>IF(ISBLANK(PARTIDAS!$G5864),PARTIDAS!$F5864,CONCATENATE(PARTIDAS!$F5864," (",PARTIDAS!$G5864,")"))</f>
        <v>Tubos y accesorios de tubería (por ejemplo: empalmes [racores], codos, manguitos)</v>
      </c>
      <c r="I5864" s="16" t="s">
        <v>9427</v>
      </c>
    </row>
    <row r="5865" spans="1:9" x14ac:dyDescent="0.25">
      <c r="A5865" s="16" t="s">
        <v>6815</v>
      </c>
      <c r="B5865" s="16" t="str">
        <f>TEXT(PARTIDA[[#This Row],[PARTIDA]],"0000000000")</f>
        <v>8007009000</v>
      </c>
      <c r="C5865" s="16" t="s">
        <v>815</v>
      </c>
      <c r="D5865" s="16" t="s">
        <v>835</v>
      </c>
      <c r="E5865" s="16" t="s">
        <v>9463</v>
      </c>
      <c r="F5865" s="27" t="s">
        <v>14220</v>
      </c>
      <c r="G5865" s="27"/>
      <c r="H5865" s="16" t="str">
        <f>IF(ISBLANK(PARTIDAS!$G5865),PARTIDAS!$F5865,CONCATENATE(PARTIDAS!$F5865," (",PARTIDAS!$G5865,")"))</f>
        <v>Estaño en bruto. 8003.00 Barras, perfiles y alambre, de estaño.… (los demás)</v>
      </c>
      <c r="I5865" s="16" t="s">
        <v>9427</v>
      </c>
    </row>
    <row r="5866" spans="1:9" x14ac:dyDescent="0.25">
      <c r="A5866" s="16" t="s">
        <v>6816</v>
      </c>
      <c r="B5866" s="16" t="str">
        <f>TEXT(PARTIDA[[#This Row],[PARTIDA]],"0000000000")</f>
        <v>8101100000</v>
      </c>
      <c r="C5866" s="16" t="s">
        <v>815</v>
      </c>
      <c r="D5866" s="16" t="s">
        <v>835</v>
      </c>
      <c r="E5866" s="16" t="s">
        <v>9462</v>
      </c>
      <c r="F5866" s="27" t="s">
        <v>13776</v>
      </c>
      <c r="G5866" s="27"/>
      <c r="H5866" s="16" t="str">
        <f>IF(ISBLANK(PARTIDAS!$G5866),PARTIDAS!$F5866,CONCATENATE(PARTIDAS!$F5866," (",PARTIDAS!$G5866,")"))</f>
        <v>Polvo</v>
      </c>
      <c r="I5866" s="16" t="s">
        <v>9427</v>
      </c>
    </row>
    <row r="5867" spans="1:9" x14ac:dyDescent="0.25">
      <c r="A5867" s="16" t="s">
        <v>6817</v>
      </c>
      <c r="B5867" s="16" t="str">
        <f>TEXT(PARTIDA[[#This Row],[PARTIDA]],"0000000000")</f>
        <v>8101940000</v>
      </c>
      <c r="C5867" s="16" t="s">
        <v>815</v>
      </c>
      <c r="D5867" s="16" t="s">
        <v>835</v>
      </c>
      <c r="E5867" s="16" t="s">
        <v>9462</v>
      </c>
      <c r="F5867" s="27" t="s">
        <v>14221</v>
      </c>
      <c r="G5867" s="27"/>
      <c r="H5867" s="16" t="str">
        <f>IF(ISBLANK(PARTIDAS!$G5867),PARTIDAS!$F5867,CONCATENATE(PARTIDAS!$F5867," (",PARTIDAS!$G5867,")"))</f>
        <v>Volframio (tungsteno) en bruto, incluidas las barras simplemente obtenidas por sinterizado</v>
      </c>
      <c r="I5867" s="16" t="s">
        <v>9427</v>
      </c>
    </row>
    <row r="5868" spans="1:9" x14ac:dyDescent="0.25">
      <c r="A5868" s="16" t="s">
        <v>6818</v>
      </c>
      <c r="B5868" s="16" t="str">
        <f>TEXT(PARTIDA[[#This Row],[PARTIDA]],"0000000000")</f>
        <v>8101960000</v>
      </c>
      <c r="C5868" s="16" t="s">
        <v>815</v>
      </c>
      <c r="D5868" s="16" t="s">
        <v>835</v>
      </c>
      <c r="E5868" s="16" t="s">
        <v>9462</v>
      </c>
      <c r="F5868" s="27" t="s">
        <v>14222</v>
      </c>
      <c r="G5868" s="27"/>
      <c r="H5868" s="16" t="str">
        <f>IF(ISBLANK(PARTIDAS!$G5868),PARTIDAS!$F5868,CONCATENATE(PARTIDAS!$F5868," (",PARTIDAS!$G5868,")"))</f>
        <v>Volframio (tungsteno) y sus manufacturas, incluidos los desperdicios…, alambre</v>
      </c>
      <c r="I5868" s="16" t="s">
        <v>9427</v>
      </c>
    </row>
    <row r="5869" spans="1:9" x14ac:dyDescent="0.25">
      <c r="A5869" s="16" t="s">
        <v>6819</v>
      </c>
      <c r="B5869" s="16" t="str">
        <f>TEXT(PARTIDA[[#This Row],[PARTIDA]],"0000000000")</f>
        <v>8101970000</v>
      </c>
      <c r="C5869" s="16" t="s">
        <v>815</v>
      </c>
      <c r="D5869" s="16" t="s">
        <v>835</v>
      </c>
      <c r="E5869" s="16" t="s">
        <v>9462</v>
      </c>
      <c r="F5869" s="27" t="s">
        <v>13655</v>
      </c>
      <c r="G5869" s="27"/>
      <c r="H5869" s="16" t="str">
        <f>IF(ISBLANK(PARTIDAS!$G5869),PARTIDAS!$F5869,CONCATENATE(PARTIDAS!$F5869," (",PARTIDAS!$G5869,")"))</f>
        <v>Desperdicios y desechos</v>
      </c>
      <c r="I5869" s="16" t="s">
        <v>9427</v>
      </c>
    </row>
    <row r="5870" spans="1:9" x14ac:dyDescent="0.25">
      <c r="A5870" s="16" t="s">
        <v>6820</v>
      </c>
      <c r="B5870" s="16" t="str">
        <f>TEXT(PARTIDA[[#This Row],[PARTIDA]],"0000000000")</f>
        <v>8101990000</v>
      </c>
      <c r="C5870" s="16" t="s">
        <v>815</v>
      </c>
      <c r="D5870" s="16" t="s">
        <v>835</v>
      </c>
      <c r="E5870" s="16" t="s">
        <v>9462</v>
      </c>
      <c r="F5870" s="27" t="s">
        <v>14223</v>
      </c>
      <c r="G5870" s="27"/>
      <c r="H5870" s="16" t="str">
        <f>IF(ISBLANK(PARTIDAS!$G5870),PARTIDAS!$F5870,CONCATENATE(PARTIDAS!$F5870," (",PARTIDAS!$G5870,")"))</f>
        <v>Volframio (tungsteno) y sus manufacturas, incluidos los desperdicios… (los demás)</v>
      </c>
      <c r="I5870" s="16" t="s">
        <v>9427</v>
      </c>
    </row>
    <row r="5871" spans="1:9" x14ac:dyDescent="0.25">
      <c r="A5871" s="16" t="s">
        <v>6821</v>
      </c>
      <c r="B5871" s="16" t="str">
        <f>TEXT(PARTIDA[[#This Row],[PARTIDA]],"0000000000")</f>
        <v>8102100000</v>
      </c>
      <c r="C5871" s="16" t="s">
        <v>815</v>
      </c>
      <c r="D5871" s="16" t="s">
        <v>835</v>
      </c>
      <c r="E5871" s="16" t="s">
        <v>9462</v>
      </c>
      <c r="F5871" s="27" t="s">
        <v>13776</v>
      </c>
      <c r="G5871" s="27"/>
      <c r="H5871" s="16" t="str">
        <f>IF(ISBLANK(PARTIDAS!$G5871),PARTIDAS!$F5871,CONCATENATE(PARTIDAS!$F5871," (",PARTIDAS!$G5871,")"))</f>
        <v>Polvo</v>
      </c>
      <c r="I5871" s="16" t="s">
        <v>9427</v>
      </c>
    </row>
    <row r="5872" spans="1:9" x14ac:dyDescent="0.25">
      <c r="A5872" s="16" t="s">
        <v>6822</v>
      </c>
      <c r="B5872" s="16" t="str">
        <f>TEXT(PARTIDA[[#This Row],[PARTIDA]],"0000000000")</f>
        <v>8102940000</v>
      </c>
      <c r="C5872" s="16" t="s">
        <v>815</v>
      </c>
      <c r="D5872" s="16" t="s">
        <v>835</v>
      </c>
      <c r="E5872" s="16" t="s">
        <v>9462</v>
      </c>
      <c r="F5872" s="27" t="s">
        <v>14224</v>
      </c>
      <c r="G5872" s="27"/>
      <c r="H5872" s="16" t="str">
        <f>IF(ISBLANK(PARTIDAS!$G5872),PARTIDAS!$F5872,CONCATENATE(PARTIDAS!$F5872," (",PARTIDAS!$G5872,")"))</f>
        <v>Molibdeno en bruto, incluidas las barras simplemente obtenidas por sinterizado</v>
      </c>
      <c r="I5872" s="16" t="s">
        <v>9427</v>
      </c>
    </row>
    <row r="5873" spans="1:9" x14ac:dyDescent="0.25">
      <c r="A5873" s="16" t="s">
        <v>6823</v>
      </c>
      <c r="B5873" s="16" t="str">
        <f>TEXT(PARTIDA[[#This Row],[PARTIDA]],"0000000000")</f>
        <v>8102950000</v>
      </c>
      <c r="C5873" s="16" t="s">
        <v>815</v>
      </c>
      <c r="D5873" s="16" t="s">
        <v>835</v>
      </c>
      <c r="E5873" s="16" t="s">
        <v>9462</v>
      </c>
      <c r="F5873" s="27" t="s">
        <v>14225</v>
      </c>
      <c r="G5873" s="27"/>
      <c r="H5873" s="16" t="str">
        <f>IF(ISBLANK(PARTIDAS!$G5873),PARTIDAS!$F5873,CONCATENATE(PARTIDAS!$F5873," (",PARTIDAS!$G5873,")"))</f>
        <v>Barras, excepto las simplemente obtenidas por sinterizado, perfiles, chapas, hojas y tiras</v>
      </c>
      <c r="I5873" s="16" t="s">
        <v>9427</v>
      </c>
    </row>
    <row r="5874" spans="1:9" x14ac:dyDescent="0.25">
      <c r="A5874" s="16" t="s">
        <v>6824</v>
      </c>
      <c r="B5874" s="16" t="str">
        <f>TEXT(PARTIDA[[#This Row],[PARTIDA]],"0000000000")</f>
        <v>8102960000</v>
      </c>
      <c r="C5874" s="16" t="s">
        <v>815</v>
      </c>
      <c r="D5874" s="16" t="s">
        <v>835</v>
      </c>
      <c r="E5874" s="16" t="s">
        <v>9462</v>
      </c>
      <c r="F5874" s="27" t="s">
        <v>14226</v>
      </c>
      <c r="G5874" s="27"/>
      <c r="H5874" s="16" t="str">
        <f>IF(ISBLANK(PARTIDAS!$G5874),PARTIDAS!$F5874,CONCATENATE(PARTIDAS!$F5874," (",PARTIDAS!$G5874,")"))</f>
        <v>Molibdeno y sus manufacturas, incluidos los desperdicios y desechos, alambre</v>
      </c>
      <c r="I5874" s="16" t="s">
        <v>9427</v>
      </c>
    </row>
    <row r="5875" spans="1:9" x14ac:dyDescent="0.25">
      <c r="A5875" s="16" t="s">
        <v>6825</v>
      </c>
      <c r="B5875" s="16" t="str">
        <f>TEXT(PARTIDA[[#This Row],[PARTIDA]],"0000000000")</f>
        <v>8102970000</v>
      </c>
      <c r="C5875" s="16" t="s">
        <v>815</v>
      </c>
      <c r="D5875" s="16" t="s">
        <v>835</v>
      </c>
      <c r="E5875" s="16" t="s">
        <v>9462</v>
      </c>
      <c r="F5875" s="27" t="s">
        <v>13655</v>
      </c>
      <c r="G5875" s="27"/>
      <c r="H5875" s="16" t="str">
        <f>IF(ISBLANK(PARTIDAS!$G5875),PARTIDAS!$F5875,CONCATENATE(PARTIDAS!$F5875," (",PARTIDAS!$G5875,")"))</f>
        <v>Desperdicios y desechos</v>
      </c>
      <c r="I5875" s="16" t="s">
        <v>9427</v>
      </c>
    </row>
    <row r="5876" spans="1:9" x14ac:dyDescent="0.25">
      <c r="A5876" s="16" t="s">
        <v>6826</v>
      </c>
      <c r="B5876" s="16" t="str">
        <f>TEXT(PARTIDA[[#This Row],[PARTIDA]],"0000000000")</f>
        <v>8102990000</v>
      </c>
      <c r="C5876" s="16" t="s">
        <v>815</v>
      </c>
      <c r="D5876" s="16" t="s">
        <v>835</v>
      </c>
      <c r="E5876" s="16" t="s">
        <v>9462</v>
      </c>
      <c r="F5876" s="27" t="s">
        <v>14227</v>
      </c>
      <c r="G5876" s="27"/>
      <c r="H5876" s="16" t="str">
        <f>IF(ISBLANK(PARTIDAS!$G5876),PARTIDAS!$F5876,CONCATENATE(PARTIDAS!$F5876," (",PARTIDAS!$G5876,")"))</f>
        <v>Molibdeno y sus manufacturas, incluidos los desperdicios y desechos (los demás)</v>
      </c>
      <c r="I5876" s="16" t="s">
        <v>9427</v>
      </c>
    </row>
    <row r="5877" spans="1:9" x14ac:dyDescent="0.25">
      <c r="A5877" s="16" t="s">
        <v>6827</v>
      </c>
      <c r="B5877" s="16" t="str">
        <f>TEXT(PARTIDA[[#This Row],[PARTIDA]],"0000000000")</f>
        <v>8103200000</v>
      </c>
      <c r="C5877" s="16" t="s">
        <v>815</v>
      </c>
      <c r="D5877" s="16" t="s">
        <v>835</v>
      </c>
      <c r="E5877" s="16" t="s">
        <v>9462</v>
      </c>
      <c r="F5877" s="27" t="s">
        <v>14228</v>
      </c>
      <c r="G5877" s="27"/>
      <c r="H5877" s="16" t="str">
        <f>IF(ISBLANK(PARTIDAS!$G5877),PARTIDAS!$F5877,CONCATENATE(PARTIDAS!$F5877," (",PARTIDAS!$G5877,")"))</f>
        <v>Tantalio en bruto, incluidas las barras simplemente obtenidas por sinterizado; polvo</v>
      </c>
      <c r="I5877" s="16" t="s">
        <v>9427</v>
      </c>
    </row>
    <row r="5878" spans="1:9" x14ac:dyDescent="0.25">
      <c r="A5878" s="16" t="s">
        <v>6828</v>
      </c>
      <c r="B5878" s="16" t="str">
        <f>TEXT(PARTIDA[[#This Row],[PARTIDA]],"0000000000")</f>
        <v>8103300000</v>
      </c>
      <c r="C5878" s="16" t="s">
        <v>815</v>
      </c>
      <c r="D5878" s="16" t="s">
        <v>835</v>
      </c>
      <c r="E5878" s="16" t="s">
        <v>9462</v>
      </c>
      <c r="F5878" s="27" t="s">
        <v>13655</v>
      </c>
      <c r="G5878" s="27"/>
      <c r="H5878" s="16" t="str">
        <f>IF(ISBLANK(PARTIDAS!$G5878),PARTIDAS!$F5878,CONCATENATE(PARTIDAS!$F5878," (",PARTIDAS!$G5878,")"))</f>
        <v>Desperdicios y desechos</v>
      </c>
      <c r="I5878" s="16" t="s">
        <v>9427</v>
      </c>
    </row>
    <row r="5879" spans="1:9" x14ac:dyDescent="0.25">
      <c r="A5879" s="16" t="s">
        <v>6829</v>
      </c>
      <c r="B5879" s="16" t="str">
        <f>TEXT(PARTIDA[[#This Row],[PARTIDA]],"0000000000")</f>
        <v>8103900000</v>
      </c>
      <c r="C5879" s="16" t="s">
        <v>815</v>
      </c>
      <c r="D5879" s="16" t="s">
        <v>835</v>
      </c>
      <c r="E5879" s="16" t="s">
        <v>9462</v>
      </c>
      <c r="F5879" s="27" t="s">
        <v>14229</v>
      </c>
      <c r="G5879" s="27"/>
      <c r="H5879" s="16" t="str">
        <f>IF(ISBLANK(PARTIDAS!$G5879),PARTIDAS!$F5879,CONCATENATE(PARTIDAS!$F5879," (",PARTIDAS!$G5879,")"))</f>
        <v>Tantalio y sus manufacturas, incluidos los desperdicios y desechos (los demás)</v>
      </c>
      <c r="I5879" s="16" t="s">
        <v>9648</v>
      </c>
    </row>
    <row r="5880" spans="1:9" x14ac:dyDescent="0.25">
      <c r="A5880" s="16" t="s">
        <v>14230</v>
      </c>
      <c r="B5880" s="16" t="str">
        <f>TEXT(PARTIDA[[#This Row],[PARTIDA]],"0000000000")</f>
        <v>8103910000</v>
      </c>
      <c r="C5880" s="16" t="s">
        <v>815</v>
      </c>
      <c r="D5880" s="16" t="s">
        <v>835</v>
      </c>
      <c r="E5880" s="16" t="s">
        <v>9462</v>
      </c>
      <c r="F5880" s="27" t="s">
        <v>14231</v>
      </c>
      <c r="G5880" s="27"/>
      <c r="H5880" s="16" t="str">
        <f>IF(ISBLANK(PARTIDAS!$G5880),PARTIDAS!$F5880,CONCATENATE(PARTIDAS!$F5880," (",PARTIDAS!$G5880,")"))</f>
        <v>Tantalio y sus manufacturas, incluidos los desperdicios y desechos, crisoles</v>
      </c>
      <c r="I5880" s="16" t="s">
        <v>9427</v>
      </c>
    </row>
    <row r="5881" spans="1:9" x14ac:dyDescent="0.25">
      <c r="A5881" s="16" t="s">
        <v>14232</v>
      </c>
      <c r="B5881" s="16" t="str">
        <f>TEXT(PARTIDA[[#This Row],[PARTIDA]],"0000000000")</f>
        <v>8103990000</v>
      </c>
      <c r="C5881" s="16" t="s">
        <v>815</v>
      </c>
      <c r="D5881" s="16" t="s">
        <v>835</v>
      </c>
      <c r="E5881" s="16" t="s">
        <v>9462</v>
      </c>
      <c r="F5881" s="27" t="s">
        <v>14229</v>
      </c>
      <c r="G5881" s="27"/>
      <c r="H5881" s="16" t="str">
        <f>IF(ISBLANK(PARTIDAS!$G5881),PARTIDAS!$F5881,CONCATENATE(PARTIDAS!$F5881," (",PARTIDAS!$G5881,")"))</f>
        <v>Tantalio y sus manufacturas, incluidos los desperdicios y desechos (los demás)</v>
      </c>
      <c r="I5881" s="16" t="s">
        <v>9427</v>
      </c>
    </row>
    <row r="5882" spans="1:9" x14ac:dyDescent="0.25">
      <c r="A5882" s="16" t="s">
        <v>6830</v>
      </c>
      <c r="B5882" s="16" t="str">
        <f>TEXT(PARTIDA[[#This Row],[PARTIDA]],"0000000000")</f>
        <v>8104110000</v>
      </c>
      <c r="C5882" s="16" t="s">
        <v>815</v>
      </c>
      <c r="D5882" s="16" t="s">
        <v>835</v>
      </c>
      <c r="E5882" s="16" t="s">
        <v>9462</v>
      </c>
      <c r="F5882" s="27" t="s">
        <v>14233</v>
      </c>
      <c r="G5882" s="27"/>
      <c r="H5882" s="16" t="str">
        <f>IF(ISBLANK(PARTIDAS!$G5882),PARTIDAS!$F5882,CONCATENATE(PARTIDAS!$F5882," (",PARTIDAS!$G5882,")"))</f>
        <v>Magnesio en bruto, con un contenido de magnesio superior o igual al 99,8 % en peso</v>
      </c>
      <c r="I5882" s="16" t="s">
        <v>9427</v>
      </c>
    </row>
    <row r="5883" spans="1:9" x14ac:dyDescent="0.25">
      <c r="A5883" s="16" t="s">
        <v>6831</v>
      </c>
      <c r="B5883" s="16" t="str">
        <f>TEXT(PARTIDA[[#This Row],[PARTIDA]],"0000000000")</f>
        <v>8104190000</v>
      </c>
      <c r="C5883" s="16" t="s">
        <v>815</v>
      </c>
      <c r="D5883" s="16" t="s">
        <v>835</v>
      </c>
      <c r="E5883" s="16" t="s">
        <v>9462</v>
      </c>
      <c r="F5883" s="27" t="s">
        <v>14234</v>
      </c>
      <c r="G5883" s="27"/>
      <c r="H5883" s="16" t="str">
        <f>IF(ISBLANK(PARTIDAS!$G5883),PARTIDAS!$F5883,CONCATENATE(PARTIDAS!$F5883," (",PARTIDAS!$G5883,")"))</f>
        <v>Magnesio en bruto (los demás)</v>
      </c>
      <c r="I5883" s="16" t="s">
        <v>9427</v>
      </c>
    </row>
    <row r="5884" spans="1:9" x14ac:dyDescent="0.25">
      <c r="A5884" s="16" t="s">
        <v>6832</v>
      </c>
      <c r="B5884" s="16" t="str">
        <f>TEXT(PARTIDA[[#This Row],[PARTIDA]],"0000000000")</f>
        <v>8104200000</v>
      </c>
      <c r="C5884" s="16" t="s">
        <v>815</v>
      </c>
      <c r="D5884" s="16" t="s">
        <v>835</v>
      </c>
      <c r="E5884" s="16" t="s">
        <v>9462</v>
      </c>
      <c r="F5884" s="27" t="s">
        <v>13655</v>
      </c>
      <c r="G5884" s="27"/>
      <c r="H5884" s="16" t="str">
        <f>IF(ISBLANK(PARTIDAS!$G5884),PARTIDAS!$F5884,CONCATENATE(PARTIDAS!$F5884," (",PARTIDAS!$G5884,")"))</f>
        <v>Desperdicios y desechos</v>
      </c>
      <c r="I5884" s="16" t="s">
        <v>9427</v>
      </c>
    </row>
    <row r="5885" spans="1:9" x14ac:dyDescent="0.25">
      <c r="A5885" s="16" t="s">
        <v>6833</v>
      </c>
      <c r="B5885" s="16" t="str">
        <f>TEXT(PARTIDA[[#This Row],[PARTIDA]],"0000000000")</f>
        <v>8104300000</v>
      </c>
      <c r="C5885" s="16" t="s">
        <v>815</v>
      </c>
      <c r="D5885" s="16" t="s">
        <v>835</v>
      </c>
      <c r="E5885" s="16" t="s">
        <v>9462</v>
      </c>
      <c r="F5885" s="27" t="s">
        <v>14235</v>
      </c>
      <c r="G5885" s="27"/>
      <c r="H5885" s="16" t="str">
        <f>IF(ISBLANK(PARTIDAS!$G5885),PARTIDAS!$F5885,CONCATENATE(PARTIDAS!$F5885," (",PARTIDAS!$G5885,")"))</f>
        <v>Virutas, torneaduras y gránulos calibrados; polvo</v>
      </c>
      <c r="I5885" s="16" t="s">
        <v>9427</v>
      </c>
    </row>
    <row r="5886" spans="1:9" x14ac:dyDescent="0.25">
      <c r="A5886" s="16" t="s">
        <v>6834</v>
      </c>
      <c r="B5886" s="16" t="str">
        <f>TEXT(PARTIDA[[#This Row],[PARTIDA]],"0000000000")</f>
        <v>8104900000</v>
      </c>
      <c r="C5886" s="16" t="s">
        <v>815</v>
      </c>
      <c r="D5886" s="16" t="s">
        <v>835</v>
      </c>
      <c r="E5886" s="16" t="s">
        <v>9462</v>
      </c>
      <c r="F5886" s="27" t="s">
        <v>14236</v>
      </c>
      <c r="G5886" s="27"/>
      <c r="H5886" s="16" t="str">
        <f>IF(ISBLANK(PARTIDAS!$G5886),PARTIDAS!$F5886,CONCATENATE(PARTIDAS!$F5886," (",PARTIDAS!$G5886,")"))</f>
        <v>Magnesio y sus manufacturas, incluidos los desperdicios y desechos (los demás)</v>
      </c>
      <c r="I5886" s="16" t="s">
        <v>9427</v>
      </c>
    </row>
    <row r="5887" spans="1:9" x14ac:dyDescent="0.25">
      <c r="A5887" s="16" t="s">
        <v>6835</v>
      </c>
      <c r="B5887" s="16" t="str">
        <f>TEXT(PARTIDA[[#This Row],[PARTIDA]],"0000000000")</f>
        <v>8105200000</v>
      </c>
      <c r="C5887" s="16" t="s">
        <v>815</v>
      </c>
      <c r="D5887" s="16" t="s">
        <v>835</v>
      </c>
      <c r="E5887" s="16" t="s">
        <v>9462</v>
      </c>
      <c r="F5887" s="27" t="s">
        <v>14237</v>
      </c>
      <c r="G5887" s="27"/>
      <c r="H5887" s="16" t="str">
        <f>IF(ISBLANK(PARTIDAS!$G5887),PARTIDAS!$F5887,CONCATENATE(PARTIDAS!$F5887," (",PARTIDAS!$G5887,")"))</f>
        <v>Matas de cobalto y demás productos intermedios de la metalurgia del cobalto; cobalto en bruto; polvo</v>
      </c>
      <c r="I5887" s="16" t="s">
        <v>9427</v>
      </c>
    </row>
    <row r="5888" spans="1:9" x14ac:dyDescent="0.25">
      <c r="A5888" s="16" t="s">
        <v>6836</v>
      </c>
      <c r="B5888" s="16" t="str">
        <f>TEXT(PARTIDA[[#This Row],[PARTIDA]],"0000000000")</f>
        <v>8105300000</v>
      </c>
      <c r="C5888" s="16" t="s">
        <v>815</v>
      </c>
      <c r="D5888" s="16" t="s">
        <v>835</v>
      </c>
      <c r="E5888" s="16" t="s">
        <v>9462</v>
      </c>
      <c r="F5888" s="27" t="s">
        <v>13655</v>
      </c>
      <c r="G5888" s="27"/>
      <c r="H5888" s="16" t="str">
        <f>IF(ISBLANK(PARTIDAS!$G5888),PARTIDAS!$F5888,CONCATENATE(PARTIDAS!$F5888," (",PARTIDAS!$G5888,")"))</f>
        <v>Desperdicios y desechos</v>
      </c>
      <c r="I5888" s="16" t="s">
        <v>9427</v>
      </c>
    </row>
    <row r="5889" spans="1:9" x14ac:dyDescent="0.25">
      <c r="A5889" s="16" t="s">
        <v>6837</v>
      </c>
      <c r="B5889" s="16" t="str">
        <f>TEXT(PARTIDA[[#This Row],[PARTIDA]],"0000000000")</f>
        <v>8105900000</v>
      </c>
      <c r="C5889" s="16" t="s">
        <v>815</v>
      </c>
      <c r="D5889" s="16" t="s">
        <v>835</v>
      </c>
      <c r="E5889" s="16" t="s">
        <v>9462</v>
      </c>
      <c r="F5889" s="27" t="s">
        <v>14238</v>
      </c>
      <c r="G5889" s="27"/>
      <c r="H5889" s="16" t="str">
        <f>IF(ISBLANK(PARTIDAS!$G5889),PARTIDAS!$F5889,CONCATENATE(PARTIDAS!$F5889," (",PARTIDAS!$G5889,")"))</f>
        <v>Matas de cobalto y demás productos intermedios de la metalurgia del… (los demás)</v>
      </c>
      <c r="I5889" s="16" t="s">
        <v>9427</v>
      </c>
    </row>
    <row r="5890" spans="1:9" x14ac:dyDescent="0.25">
      <c r="A5890" s="16" t="s">
        <v>6838</v>
      </c>
      <c r="B5890" s="16" t="str">
        <f>TEXT(PARTIDA[[#This Row],[PARTIDA]],"0000000000")</f>
        <v>8106001100</v>
      </c>
      <c r="C5890" s="16" t="s">
        <v>815</v>
      </c>
      <c r="D5890" s="16" t="s">
        <v>835</v>
      </c>
      <c r="E5890" s="16" t="s">
        <v>9462</v>
      </c>
      <c r="F5890" s="27" t="s">
        <v>14239</v>
      </c>
      <c r="G5890" s="27"/>
      <c r="H5890" s="16" t="str">
        <f>IF(ISBLANK(PARTIDAS!$G5890),PARTIDAS!$F5890,CONCATENATE(PARTIDAS!$F5890," (",PARTIDAS!$G5890,")"))</f>
        <v>En agujas</v>
      </c>
      <c r="I5890" s="16" t="s">
        <v>9648</v>
      </c>
    </row>
    <row r="5891" spans="1:9" x14ac:dyDescent="0.25">
      <c r="A5891" s="16" t="s">
        <v>6839</v>
      </c>
      <c r="B5891" s="16" t="str">
        <f>TEXT(PARTIDA[[#This Row],[PARTIDA]],"0000000000")</f>
        <v>8106001900</v>
      </c>
      <c r="C5891" s="16" t="s">
        <v>815</v>
      </c>
      <c r="D5891" s="16" t="s">
        <v>835</v>
      </c>
      <c r="E5891" s="16" t="s">
        <v>9462</v>
      </c>
      <c r="F5891" s="27" t="s">
        <v>14240</v>
      </c>
      <c r="G5891" s="27"/>
      <c r="H5891" s="16" t="str">
        <f>IF(ISBLANK(PARTIDAS!$G5891),PARTIDAS!$F5891,CONCATENATE(PARTIDAS!$F5891," (",PARTIDAS!$G5891,")"))</f>
        <v>Bismuto y sus manufacturas, incluidos los desperdicios y desechos (los demás)</v>
      </c>
      <c r="I5891" s="16" t="s">
        <v>9648</v>
      </c>
    </row>
    <row r="5892" spans="1:9" x14ac:dyDescent="0.25">
      <c r="A5892" s="16" t="s">
        <v>6840</v>
      </c>
      <c r="B5892" s="16" t="str">
        <f>TEXT(PARTIDA[[#This Row],[PARTIDA]],"0000000000")</f>
        <v>8106002000</v>
      </c>
      <c r="C5892" s="16" t="s">
        <v>815</v>
      </c>
      <c r="D5892" s="16" t="s">
        <v>835</v>
      </c>
      <c r="E5892" s="16" t="s">
        <v>9462</v>
      </c>
      <c r="F5892" s="27" t="s">
        <v>13655</v>
      </c>
      <c r="G5892" s="27"/>
      <c r="H5892" s="16" t="str">
        <f>IF(ISBLANK(PARTIDAS!$G5892),PARTIDAS!$F5892,CONCATENATE(PARTIDAS!$F5892," (",PARTIDAS!$G5892,")"))</f>
        <v>Desperdicios y desechos</v>
      </c>
      <c r="I5892" s="16" t="s">
        <v>9648</v>
      </c>
    </row>
    <row r="5893" spans="1:9" x14ac:dyDescent="0.25">
      <c r="A5893" s="16" t="s">
        <v>6841</v>
      </c>
      <c r="B5893" s="16" t="str">
        <f>TEXT(PARTIDA[[#This Row],[PARTIDA]],"0000000000")</f>
        <v>8106009000</v>
      </c>
      <c r="C5893" s="16" t="s">
        <v>815</v>
      </c>
      <c r="D5893" s="16" t="s">
        <v>835</v>
      </c>
      <c r="E5893" s="16" t="s">
        <v>9462</v>
      </c>
      <c r="F5893" s="27" t="s">
        <v>14240</v>
      </c>
      <c r="G5893" s="27"/>
      <c r="H5893" s="16" t="str">
        <f>IF(ISBLANK(PARTIDAS!$G5893),PARTIDAS!$F5893,CONCATENATE(PARTIDAS!$F5893," (",PARTIDAS!$G5893,")"))</f>
        <v>Bismuto y sus manufacturas, incluidos los desperdicios y desechos (los demás)</v>
      </c>
      <c r="I5893" s="16" t="s">
        <v>9648</v>
      </c>
    </row>
    <row r="5894" spans="1:9" x14ac:dyDescent="0.25">
      <c r="A5894" s="16" t="s">
        <v>14241</v>
      </c>
      <c r="B5894" s="16" t="str">
        <f>TEXT(PARTIDA[[#This Row],[PARTIDA]],"0000000000")</f>
        <v>8106101000</v>
      </c>
      <c r="C5894" s="16" t="s">
        <v>815</v>
      </c>
      <c r="D5894" s="16" t="s">
        <v>835</v>
      </c>
      <c r="E5894" s="16" t="s">
        <v>9462</v>
      </c>
      <c r="F5894" s="27" t="s">
        <v>14242</v>
      </c>
      <c r="G5894" s="27"/>
      <c r="H5894" s="16" t="str">
        <f>IF(ISBLANK(PARTIDAS!$G5894),PARTIDAS!$F5894,CONCATENATE(PARTIDAS!$F5894," (",PARTIDAS!$G5894,")"))</f>
        <v>Bismuto y sus manufacturas, incluidos los desperdicios…, con un contenido de bismuto superior al 99,99 % en peso, en agujas</v>
      </c>
      <c r="I5894" s="16" t="s">
        <v>9427</v>
      </c>
    </row>
    <row r="5895" spans="1:9" x14ac:dyDescent="0.25">
      <c r="A5895" s="16" t="s">
        <v>14243</v>
      </c>
      <c r="B5895" s="16" t="str">
        <f>TEXT(PARTIDA[[#This Row],[PARTIDA]],"0000000000")</f>
        <v>8106102000</v>
      </c>
      <c r="C5895" s="16" t="s">
        <v>815</v>
      </c>
      <c r="D5895" s="16" t="s">
        <v>835</v>
      </c>
      <c r="E5895" s="16" t="s">
        <v>9462</v>
      </c>
      <c r="F5895" s="27" t="s">
        <v>13655</v>
      </c>
      <c r="G5895" s="27"/>
      <c r="H5895" s="16" t="str">
        <f>IF(ISBLANK(PARTIDAS!$G5895),PARTIDAS!$F5895,CONCATENATE(PARTIDAS!$F5895," (",PARTIDAS!$G5895,")"))</f>
        <v>Desperdicios y desechos</v>
      </c>
      <c r="I5895" s="16" t="s">
        <v>9427</v>
      </c>
    </row>
    <row r="5896" spans="1:9" x14ac:dyDescent="0.25">
      <c r="A5896" s="16" t="s">
        <v>14244</v>
      </c>
      <c r="B5896" s="16" t="str">
        <f>TEXT(PARTIDA[[#This Row],[PARTIDA]],"0000000000")</f>
        <v>8106109000</v>
      </c>
      <c r="C5896" s="16" t="s">
        <v>815</v>
      </c>
      <c r="D5896" s="16" t="s">
        <v>835</v>
      </c>
      <c r="E5896" s="16" t="s">
        <v>9462</v>
      </c>
      <c r="F5896" s="27" t="s">
        <v>14245</v>
      </c>
      <c r="G5896" s="27"/>
      <c r="H5896" s="16" t="str">
        <f>IF(ISBLANK(PARTIDAS!$G5896),PARTIDAS!$F5896,CONCATENATE(PARTIDAS!$F5896," (",PARTIDAS!$G5896,")"))</f>
        <v>Bismuto y sus manufacturas, incluidos los desperdicios…, con un contenido de bismuto superior al 99,99 % en peso (los demás)</v>
      </c>
      <c r="I5896" s="16" t="s">
        <v>9427</v>
      </c>
    </row>
    <row r="5897" spans="1:9" x14ac:dyDescent="0.25">
      <c r="A5897" s="16" t="s">
        <v>14246</v>
      </c>
      <c r="B5897" s="16" t="str">
        <f>TEXT(PARTIDA[[#This Row],[PARTIDA]],"0000000000")</f>
        <v>8106901000</v>
      </c>
      <c r="C5897" s="16" t="s">
        <v>815</v>
      </c>
      <c r="D5897" s="16" t="s">
        <v>835</v>
      </c>
      <c r="E5897" s="16" t="s">
        <v>9462</v>
      </c>
      <c r="F5897" s="27" t="s">
        <v>14247</v>
      </c>
      <c r="G5897" s="27"/>
      <c r="H5897" s="16" t="str">
        <f>IF(ISBLANK(PARTIDAS!$G5897),PARTIDAS!$F5897,CONCATENATE(PARTIDAS!$F5897," (",PARTIDAS!$G5897,")"))</f>
        <v>Bismuto y sus manufacturas, incluidos los desperdicios y desechos, en agujas</v>
      </c>
      <c r="I5897" s="16" t="s">
        <v>9427</v>
      </c>
    </row>
    <row r="5898" spans="1:9" x14ac:dyDescent="0.25">
      <c r="A5898" s="16" t="s">
        <v>14248</v>
      </c>
      <c r="B5898" s="16" t="str">
        <f>TEXT(PARTIDA[[#This Row],[PARTIDA]],"0000000000")</f>
        <v>8106902000</v>
      </c>
      <c r="C5898" s="16" t="s">
        <v>815</v>
      </c>
      <c r="D5898" s="16" t="s">
        <v>835</v>
      </c>
      <c r="E5898" s="16" t="s">
        <v>9462</v>
      </c>
      <c r="F5898" s="27" t="s">
        <v>13655</v>
      </c>
      <c r="G5898" s="27"/>
      <c r="H5898" s="16" t="str">
        <f>IF(ISBLANK(PARTIDAS!$G5898),PARTIDAS!$F5898,CONCATENATE(PARTIDAS!$F5898," (",PARTIDAS!$G5898,")"))</f>
        <v>Desperdicios y desechos</v>
      </c>
      <c r="I5898" s="16" t="s">
        <v>9427</v>
      </c>
    </row>
    <row r="5899" spans="1:9" x14ac:dyDescent="0.25">
      <c r="A5899" s="16" t="s">
        <v>14249</v>
      </c>
      <c r="B5899" s="16" t="str">
        <f>TEXT(PARTIDA[[#This Row],[PARTIDA]],"0000000000")</f>
        <v>8106909000</v>
      </c>
      <c r="C5899" s="16" t="s">
        <v>815</v>
      </c>
      <c r="D5899" s="16" t="s">
        <v>835</v>
      </c>
      <c r="E5899" s="16" t="s">
        <v>9462</v>
      </c>
      <c r="F5899" s="27" t="s">
        <v>14240</v>
      </c>
      <c r="G5899" s="27"/>
      <c r="H5899" s="16" t="str">
        <f>IF(ISBLANK(PARTIDAS!$G5899),PARTIDAS!$F5899,CONCATENATE(PARTIDAS!$F5899," (",PARTIDAS!$G5899,")"))</f>
        <v>Bismuto y sus manufacturas, incluidos los desperdicios y desechos (los demás)</v>
      </c>
      <c r="I5899" s="16" t="s">
        <v>9427</v>
      </c>
    </row>
    <row r="5900" spans="1:9" x14ac:dyDescent="0.25">
      <c r="A5900" s="16" t="s">
        <v>6842</v>
      </c>
      <c r="B5900" s="16" t="str">
        <f>TEXT(PARTIDA[[#This Row],[PARTIDA]],"0000000000")</f>
        <v>8107200010</v>
      </c>
      <c r="C5900" s="16" t="s">
        <v>815</v>
      </c>
      <c r="D5900" s="16" t="s">
        <v>835</v>
      </c>
      <c r="E5900" s="16" t="s">
        <v>9463</v>
      </c>
      <c r="F5900" s="27" t="s">
        <v>14250</v>
      </c>
      <c r="G5900" s="27"/>
      <c r="H5900" s="16" t="str">
        <f>IF(ISBLANK(PARTIDAS!$G5900),PARTIDAS!$F5900,CONCATENATE(PARTIDAS!$F5900," (",PARTIDAS!$G5900,")"))</f>
        <v>En bolas</v>
      </c>
      <c r="I5900" s="16" t="s">
        <v>9648</v>
      </c>
    </row>
    <row r="5901" spans="1:9" x14ac:dyDescent="0.25">
      <c r="A5901" s="16" t="s">
        <v>6843</v>
      </c>
      <c r="B5901" s="16" t="str">
        <f>TEXT(PARTIDA[[#This Row],[PARTIDA]],"0000000000")</f>
        <v>8107200090</v>
      </c>
      <c r="C5901" s="16" t="s">
        <v>815</v>
      </c>
      <c r="D5901" s="16" t="s">
        <v>835</v>
      </c>
      <c r="E5901" s="16" t="s">
        <v>9463</v>
      </c>
      <c r="F5901" s="27" t="s">
        <v>1535</v>
      </c>
      <c r="G5901" s="27"/>
      <c r="H5901" s="16" t="str">
        <f>IF(ISBLANK(PARTIDAS!$G5901),PARTIDAS!$F5901,CONCATENATE(PARTIDAS!$F5901," (",PARTIDAS!$G5901,")"))</f>
        <v>Los demás</v>
      </c>
      <c r="I5901" s="16" t="s">
        <v>9648</v>
      </c>
    </row>
    <row r="5902" spans="1:9" x14ac:dyDescent="0.25">
      <c r="A5902" s="16" t="s">
        <v>6844</v>
      </c>
      <c r="B5902" s="16" t="str">
        <f>TEXT(PARTIDA[[#This Row],[PARTIDA]],"0000000000")</f>
        <v>8107300000</v>
      </c>
      <c r="C5902" s="16" t="s">
        <v>815</v>
      </c>
      <c r="D5902" s="16" t="s">
        <v>835</v>
      </c>
      <c r="E5902" s="16" t="s">
        <v>9463</v>
      </c>
      <c r="F5902" s="27" t="s">
        <v>13655</v>
      </c>
      <c r="G5902" s="27"/>
      <c r="H5902" s="16" t="str">
        <f>IF(ISBLANK(PARTIDAS!$G5902),PARTIDAS!$F5902,CONCATENATE(PARTIDAS!$F5902," (",PARTIDAS!$G5902,")"))</f>
        <v>Desperdicios y desechos</v>
      </c>
      <c r="I5902" s="16" t="s">
        <v>9648</v>
      </c>
    </row>
    <row r="5903" spans="1:9" x14ac:dyDescent="0.25">
      <c r="A5903" s="16" t="s">
        <v>6845</v>
      </c>
      <c r="B5903" s="16" t="str">
        <f>TEXT(PARTIDA[[#This Row],[PARTIDA]],"0000000000")</f>
        <v>8107900000</v>
      </c>
      <c r="C5903" s="16" t="s">
        <v>815</v>
      </c>
      <c r="D5903" s="16" t="s">
        <v>835</v>
      </c>
      <c r="E5903" s="16" t="s">
        <v>9463</v>
      </c>
      <c r="F5903" s="27" t="s">
        <v>1535</v>
      </c>
      <c r="G5903" s="27"/>
      <c r="H5903" s="16" t="str">
        <f>IF(ISBLANK(PARTIDAS!$G5903),PARTIDAS!$F5903,CONCATENATE(PARTIDAS!$F5903," (",PARTIDAS!$G5903,")"))</f>
        <v>Los demás</v>
      </c>
      <c r="I5903" s="16" t="s">
        <v>9648</v>
      </c>
    </row>
    <row r="5904" spans="1:9" x14ac:dyDescent="0.25">
      <c r="A5904" s="16" t="s">
        <v>6846</v>
      </c>
      <c r="B5904" s="16" t="str">
        <f>TEXT(PARTIDA[[#This Row],[PARTIDA]],"0000000000")</f>
        <v>8108200000</v>
      </c>
      <c r="C5904" s="16" t="s">
        <v>815</v>
      </c>
      <c r="D5904" s="16" t="s">
        <v>835</v>
      </c>
      <c r="E5904" s="16" t="s">
        <v>9463</v>
      </c>
      <c r="F5904" s="27" t="s">
        <v>14251</v>
      </c>
      <c r="G5904" s="27"/>
      <c r="H5904" s="16" t="str">
        <f>IF(ISBLANK(PARTIDAS!$G5904),PARTIDAS!$F5904,CONCATENATE(PARTIDAS!$F5904," (",PARTIDAS!$G5904,")"))</f>
        <v>Titanio en bruto; polvo</v>
      </c>
      <c r="I5904" s="16" t="s">
        <v>9427</v>
      </c>
    </row>
    <row r="5905" spans="1:21" x14ac:dyDescent="0.25">
      <c r="A5905" s="16" t="s">
        <v>6847</v>
      </c>
      <c r="B5905" s="16" t="str">
        <f>TEXT(PARTIDA[[#This Row],[PARTIDA]],"0000000000")</f>
        <v>8108300000</v>
      </c>
      <c r="C5905" s="16" t="s">
        <v>815</v>
      </c>
      <c r="D5905" s="16" t="s">
        <v>835</v>
      </c>
      <c r="E5905" s="16" t="s">
        <v>9463</v>
      </c>
      <c r="F5905" s="27" t="s">
        <v>13655</v>
      </c>
      <c r="G5905" s="27"/>
      <c r="H5905" s="16" t="str">
        <f>IF(ISBLANK(PARTIDAS!$G5905),PARTIDAS!$F5905,CONCATENATE(PARTIDAS!$F5905," (",PARTIDAS!$G5905,")"))</f>
        <v>Desperdicios y desechos</v>
      </c>
      <c r="I5905" s="16" t="s">
        <v>9427</v>
      </c>
    </row>
    <row r="5906" spans="1:21" x14ac:dyDescent="0.25">
      <c r="A5906" s="16" t="s">
        <v>6848</v>
      </c>
      <c r="B5906" s="16" t="str">
        <f>TEXT(PARTIDA[[#This Row],[PARTIDA]],"0000000000")</f>
        <v>8108900000</v>
      </c>
      <c r="C5906" s="16" t="s">
        <v>815</v>
      </c>
      <c r="D5906" s="16" t="s">
        <v>835</v>
      </c>
      <c r="E5906" s="16" t="s">
        <v>9463</v>
      </c>
      <c r="F5906" s="27" t="s">
        <v>14252</v>
      </c>
      <c r="G5906" s="27"/>
      <c r="H5906" s="16" t="str">
        <f>IF(ISBLANK(PARTIDAS!$G5906),PARTIDAS!$F5906,CONCATENATE(PARTIDAS!$F5906," (",PARTIDAS!$G5906,")"))</f>
        <v>Titanio y sus manufacturas, incluidos los desperdicios y desechos (los demás)</v>
      </c>
      <c r="I5906" s="16" t="s">
        <v>9427</v>
      </c>
    </row>
    <row r="5907" spans="1:21" x14ac:dyDescent="0.25">
      <c r="A5907" s="16" t="s">
        <v>6849</v>
      </c>
      <c r="B5907" s="16" t="str">
        <f>TEXT(PARTIDA[[#This Row],[PARTIDA]],"0000000000")</f>
        <v>8109200000</v>
      </c>
      <c r="C5907" s="16" t="s">
        <v>815</v>
      </c>
      <c r="D5907" s="16" t="s">
        <v>835</v>
      </c>
      <c r="E5907" s="16" t="s">
        <v>9463</v>
      </c>
      <c r="F5907" s="27" t="s">
        <v>14253</v>
      </c>
      <c r="G5907" s="27"/>
      <c r="H5907" s="16" t="str">
        <f>IF(ISBLANK(PARTIDAS!$G5907),PARTIDAS!$F5907,CONCATENATE(PARTIDAS!$F5907," (",PARTIDAS!$G5907,")"))</f>
        <v>Circonio en bruto; polvo</v>
      </c>
      <c r="I5907" s="16" t="s">
        <v>9648</v>
      </c>
    </row>
    <row r="5908" spans="1:21" x14ac:dyDescent="0.25">
      <c r="A5908" s="16" t="s">
        <v>14254</v>
      </c>
      <c r="B5908" s="16" t="str">
        <f>TEXT(PARTIDA[[#This Row],[PARTIDA]],"0000000000")</f>
        <v>8109210000</v>
      </c>
      <c r="C5908" s="16" t="s">
        <v>815</v>
      </c>
      <c r="D5908" s="16" t="s">
        <v>835</v>
      </c>
      <c r="E5908" s="16" t="s">
        <v>9463</v>
      </c>
      <c r="F5908" s="27" t="s">
        <v>14255</v>
      </c>
      <c r="G5908" s="27"/>
      <c r="H5908" s="16" t="str">
        <f>IF(ISBLANK(PARTIDAS!$G5908),PARTIDAS!$F5908,CONCATENATE(PARTIDAS!$F5908," (",PARTIDAS!$G5908,")"))</f>
        <v>Circonio en bruto, con un contenido inferior a 1 parte de hafnio (celtio) por 500 partes de circonio, en peso</v>
      </c>
      <c r="I5908" s="16" t="s">
        <v>9427</v>
      </c>
    </row>
    <row r="5909" spans="1:21" x14ac:dyDescent="0.25">
      <c r="A5909" s="16" t="s">
        <v>14256</v>
      </c>
      <c r="B5909" s="16" t="str">
        <f>TEXT(PARTIDA[[#This Row],[PARTIDA]],"0000000000")</f>
        <v>8109290000</v>
      </c>
      <c r="C5909" s="16" t="s">
        <v>815</v>
      </c>
      <c r="D5909" s="16" t="s">
        <v>835</v>
      </c>
      <c r="E5909" s="16" t="s">
        <v>9463</v>
      </c>
      <c r="F5909" s="27" t="s">
        <v>14257</v>
      </c>
      <c r="G5909" s="27"/>
      <c r="H5909" s="16" t="str">
        <f>IF(ISBLANK(PARTIDAS!$G5909),PARTIDAS!$F5909,CONCATENATE(PARTIDAS!$F5909," (",PARTIDAS!$G5909,")"))</f>
        <v>Circonio en bruto (los demás)</v>
      </c>
      <c r="I5909" s="16" t="s">
        <v>9427</v>
      </c>
    </row>
    <row r="5910" spans="1:21" x14ac:dyDescent="0.25">
      <c r="A5910" s="16" t="s">
        <v>6850</v>
      </c>
      <c r="B5910" s="16" t="str">
        <f>TEXT(PARTIDA[[#This Row],[PARTIDA]],"0000000000")</f>
        <v>8109300000</v>
      </c>
      <c r="C5910" s="16" t="s">
        <v>815</v>
      </c>
      <c r="D5910" s="16" t="s">
        <v>835</v>
      </c>
      <c r="E5910" s="16" t="s">
        <v>9463</v>
      </c>
      <c r="F5910" s="27" t="s">
        <v>13655</v>
      </c>
      <c r="G5910" s="27"/>
      <c r="H5910" s="16" t="str">
        <f>IF(ISBLANK(PARTIDAS!$G5910),PARTIDAS!$F5910,CONCATENATE(PARTIDAS!$F5910," (",PARTIDAS!$G5910,")"))</f>
        <v>Desperdicios y desechos</v>
      </c>
      <c r="I5910" s="16" t="s">
        <v>9648</v>
      </c>
    </row>
    <row r="5911" spans="1:21" x14ac:dyDescent="0.25">
      <c r="A5911" s="16" t="s">
        <v>14258</v>
      </c>
      <c r="B5911" s="16" t="str">
        <f>TEXT(PARTIDA[[#This Row],[PARTIDA]],"0000000000")</f>
        <v>8109310000</v>
      </c>
      <c r="C5911" s="16" t="s">
        <v>815</v>
      </c>
      <c r="D5911" s="16" t="s">
        <v>835</v>
      </c>
      <c r="E5911" s="16" t="s">
        <v>9463</v>
      </c>
      <c r="F5911" s="27" t="s">
        <v>14259</v>
      </c>
      <c r="G5911" s="27"/>
      <c r="H5911" s="16" t="str">
        <f>IF(ISBLANK(PARTIDAS!$G5911),PARTIDAS!$F5911,CONCATENATE(PARTIDAS!$F5911," (",PARTIDAS!$G5911,")"))</f>
        <v>Desperdicios y desechos, con un contenido inferior a 1 parte de hafnio (celtio) por 500 partes de circonio, en peso</v>
      </c>
      <c r="I5911" s="16" t="s">
        <v>9427</v>
      </c>
    </row>
    <row r="5912" spans="1:21" x14ac:dyDescent="0.25">
      <c r="A5912" s="16" t="s">
        <v>14260</v>
      </c>
      <c r="B5912" s="16" t="str">
        <f>TEXT(PARTIDA[[#This Row],[PARTIDA]],"0000000000")</f>
        <v>8109390000</v>
      </c>
      <c r="C5912" s="16" t="s">
        <v>815</v>
      </c>
      <c r="D5912" s="16" t="s">
        <v>835</v>
      </c>
      <c r="E5912" s="16" t="s">
        <v>9463</v>
      </c>
      <c r="F5912" s="27" t="s">
        <v>14261</v>
      </c>
      <c r="G5912" s="27"/>
      <c r="H5912" s="16" t="str">
        <f>IF(ISBLANK(PARTIDAS!$G5912),PARTIDAS!$F5912,CONCATENATE(PARTIDAS!$F5912," (",PARTIDAS!$G5912,")"))</f>
        <v>Desperdicios y desechos (los demás)</v>
      </c>
      <c r="I5912" s="16" t="s">
        <v>9427</v>
      </c>
    </row>
    <row r="5913" spans="1:21" x14ac:dyDescent="0.25">
      <c r="A5913" s="16" t="s">
        <v>6851</v>
      </c>
      <c r="B5913" s="16" t="str">
        <f>TEXT(PARTIDA[[#This Row],[PARTIDA]],"0000000000")</f>
        <v>8109900000</v>
      </c>
      <c r="C5913" s="16" t="s">
        <v>815</v>
      </c>
      <c r="D5913" s="16" t="s">
        <v>835</v>
      </c>
      <c r="E5913" s="16" t="s">
        <v>9463</v>
      </c>
      <c r="F5913" s="27" t="s">
        <v>14262</v>
      </c>
      <c r="G5913" s="27"/>
      <c r="H5913" s="16" t="str">
        <f>IF(ISBLANK(PARTIDAS!$G5913),PARTIDAS!$F5913,CONCATENATE(PARTIDAS!$F5913," (",PARTIDAS!$G5913,")"))</f>
        <v>Circonio y sus manufacturas, incluidos los desperdicios y desechos (los demás)</v>
      </c>
      <c r="I5913" s="16" t="s">
        <v>9648</v>
      </c>
    </row>
    <row r="5914" spans="1:21" x14ac:dyDescent="0.25">
      <c r="A5914" s="16" t="s">
        <v>14263</v>
      </c>
      <c r="B5914" s="16" t="str">
        <f>TEXT(PARTIDA[[#This Row],[PARTIDA]],"0000000000")</f>
        <v>8109910000</v>
      </c>
      <c r="C5914" s="16" t="s">
        <v>815</v>
      </c>
      <c r="D5914" s="16" t="s">
        <v>835</v>
      </c>
      <c r="E5914" s="16" t="s">
        <v>9463</v>
      </c>
      <c r="F5914" s="27" t="s">
        <v>14264</v>
      </c>
      <c r="G5914" s="27"/>
      <c r="H5914" s="16" t="str">
        <f>IF(ISBLANK(PARTIDAS!$G5914),PARTIDAS!$F5914,CONCATENATE(PARTIDAS!$F5914," (",PARTIDAS!$G5914,")"))</f>
        <v>Circonio y sus manufacturas, incluidos los desperdicios y desechos, con un contenido inferior a 1 parte de hafnio (celtio) por 500 partes de circonio,</v>
      </c>
      <c r="I5914" s="16" t="s">
        <v>9427</v>
      </c>
      <c r="U5914" s="40">
        <v>303890000</v>
      </c>
    </row>
    <row r="5915" spans="1:21" x14ac:dyDescent="0.25">
      <c r="A5915" s="16" t="s">
        <v>14265</v>
      </c>
      <c r="B5915" s="16" t="str">
        <f>TEXT(PARTIDA[[#This Row],[PARTIDA]],"0000000000")</f>
        <v>8109990000</v>
      </c>
      <c r="C5915" s="16" t="s">
        <v>815</v>
      </c>
      <c r="D5915" s="16" t="s">
        <v>835</v>
      </c>
      <c r="E5915" s="16" t="s">
        <v>9463</v>
      </c>
      <c r="F5915" s="27" t="s">
        <v>14262</v>
      </c>
      <c r="G5915" s="27"/>
      <c r="H5915" s="16" t="str">
        <f>IF(ISBLANK(PARTIDAS!$G5915),PARTIDAS!$F5915,CONCATENATE(PARTIDAS!$F5915," (",PARTIDAS!$G5915,")"))</f>
        <v>Circonio y sus manufacturas, incluidos los desperdicios y desechos (los demás)</v>
      </c>
      <c r="I5915" s="16" t="s">
        <v>9427</v>
      </c>
    </row>
    <row r="5916" spans="1:21" x14ac:dyDescent="0.25">
      <c r="A5916" s="16" t="s">
        <v>6852</v>
      </c>
      <c r="B5916" s="16" t="str">
        <f>TEXT(PARTIDA[[#This Row],[PARTIDA]],"0000000000")</f>
        <v>8110100000</v>
      </c>
      <c r="C5916" s="16" t="s">
        <v>815</v>
      </c>
      <c r="D5916" s="16" t="s">
        <v>835</v>
      </c>
      <c r="E5916" s="16" t="s">
        <v>9463</v>
      </c>
      <c r="F5916" s="27" t="s">
        <v>14266</v>
      </c>
      <c r="G5916" s="27"/>
      <c r="H5916" s="16" t="str">
        <f>IF(ISBLANK(PARTIDAS!$G5916),PARTIDAS!$F5916,CONCATENATE(PARTIDAS!$F5916," (",PARTIDAS!$G5916,")"))</f>
        <v>Antimonio en bruto; polvo</v>
      </c>
      <c r="I5916" s="16" t="s">
        <v>9427</v>
      </c>
    </row>
    <row r="5917" spans="1:21" x14ac:dyDescent="0.25">
      <c r="A5917" s="16" t="s">
        <v>6853</v>
      </c>
      <c r="B5917" s="16" t="str">
        <f>TEXT(PARTIDA[[#This Row],[PARTIDA]],"0000000000")</f>
        <v>8110200000</v>
      </c>
      <c r="C5917" s="16" t="s">
        <v>815</v>
      </c>
      <c r="D5917" s="16" t="s">
        <v>835</v>
      </c>
      <c r="E5917" s="16" t="s">
        <v>9463</v>
      </c>
      <c r="F5917" s="27" t="s">
        <v>13655</v>
      </c>
      <c r="G5917" s="27"/>
      <c r="H5917" s="16" t="str">
        <f>IF(ISBLANK(PARTIDAS!$G5917),PARTIDAS!$F5917,CONCATENATE(PARTIDAS!$F5917," (",PARTIDAS!$G5917,")"))</f>
        <v>Desperdicios y desechos</v>
      </c>
      <c r="I5917" s="16" t="s">
        <v>9427</v>
      </c>
    </row>
    <row r="5918" spans="1:21" x14ac:dyDescent="0.25">
      <c r="A5918" s="16" t="s">
        <v>6854</v>
      </c>
      <c r="B5918" s="16" t="str">
        <f>TEXT(PARTIDA[[#This Row],[PARTIDA]],"0000000000")</f>
        <v>8110900000</v>
      </c>
      <c r="C5918" s="16" t="s">
        <v>815</v>
      </c>
      <c r="D5918" s="16" t="s">
        <v>835</v>
      </c>
      <c r="E5918" s="16" t="s">
        <v>9463</v>
      </c>
      <c r="F5918" s="27" t="s">
        <v>14267</v>
      </c>
      <c r="G5918" s="27"/>
      <c r="H5918" s="16" t="str">
        <f>IF(ISBLANK(PARTIDAS!$G5918),PARTIDAS!$F5918,CONCATENATE(PARTIDAS!$F5918," (",PARTIDAS!$G5918,")"))</f>
        <v>Antimonio y sus manufacturas, incluidos los desperdicios y desechos (los demás)</v>
      </c>
      <c r="I5918" s="16" t="s">
        <v>9427</v>
      </c>
    </row>
    <row r="5919" spans="1:21" x14ac:dyDescent="0.25">
      <c r="A5919" s="16" t="s">
        <v>6855</v>
      </c>
      <c r="B5919" s="16" t="str">
        <f>TEXT(PARTIDA[[#This Row],[PARTIDA]],"0000000000")</f>
        <v>8111001100</v>
      </c>
      <c r="C5919" s="16" t="s">
        <v>815</v>
      </c>
      <c r="D5919" s="16" t="s">
        <v>835</v>
      </c>
      <c r="E5919" s="16" t="s">
        <v>9463</v>
      </c>
      <c r="F5919" s="27" t="s">
        <v>14268</v>
      </c>
      <c r="G5919" s="27"/>
      <c r="H5919" s="16" t="str">
        <f>IF(ISBLANK(PARTIDAS!$G5919),PARTIDAS!$F5919,CONCATENATE(PARTIDAS!$F5919," (",PARTIDAS!$G5919,")"))</f>
        <v>Manganeso en bruto; polvo</v>
      </c>
      <c r="I5919" s="16" t="s">
        <v>9427</v>
      </c>
    </row>
    <row r="5920" spans="1:21" x14ac:dyDescent="0.25">
      <c r="A5920" s="16" t="s">
        <v>6856</v>
      </c>
      <c r="B5920" s="16" t="str">
        <f>TEXT(PARTIDA[[#This Row],[PARTIDA]],"0000000000")</f>
        <v>8111001200</v>
      </c>
      <c r="C5920" s="16" t="s">
        <v>815</v>
      </c>
      <c r="D5920" s="16" t="s">
        <v>835</v>
      </c>
      <c r="E5920" s="16" t="s">
        <v>9463</v>
      </c>
      <c r="F5920" s="27" t="s">
        <v>13655</v>
      </c>
      <c r="G5920" s="27"/>
      <c r="H5920" s="16" t="str">
        <f>IF(ISBLANK(PARTIDAS!$G5920),PARTIDAS!$F5920,CONCATENATE(PARTIDAS!$F5920," (",PARTIDAS!$G5920,")"))</f>
        <v>Desperdicios y desechos</v>
      </c>
      <c r="I5920" s="16" t="s">
        <v>9427</v>
      </c>
    </row>
    <row r="5921" spans="1:9" x14ac:dyDescent="0.25">
      <c r="A5921" s="16" t="s">
        <v>6857</v>
      </c>
      <c r="B5921" s="16" t="str">
        <f>TEXT(PARTIDA[[#This Row],[PARTIDA]],"0000000000")</f>
        <v>8111009000</v>
      </c>
      <c r="C5921" s="16" t="s">
        <v>815</v>
      </c>
      <c r="D5921" s="16" t="s">
        <v>835</v>
      </c>
      <c r="E5921" s="16" t="s">
        <v>9463</v>
      </c>
      <c r="F5921" s="27" t="s">
        <v>14269</v>
      </c>
      <c r="G5921" s="27"/>
      <c r="H5921" s="16" t="str">
        <f>IF(ISBLANK(PARTIDAS!$G5921),PARTIDAS!$F5921,CONCATENATE(PARTIDAS!$F5921," (",PARTIDAS!$G5921,")"))</f>
        <v>Antimonio y sus manufacturas, incluidos los desperdicios y desechos.… (los demás)</v>
      </c>
      <c r="I5921" s="16" t="s">
        <v>9427</v>
      </c>
    </row>
    <row r="5922" spans="1:9" x14ac:dyDescent="0.25">
      <c r="A5922" s="16" t="s">
        <v>6858</v>
      </c>
      <c r="B5922" s="16" t="str">
        <f>TEXT(PARTIDA[[#This Row],[PARTIDA]],"0000000000")</f>
        <v>8112120000</v>
      </c>
      <c r="C5922" s="16" t="s">
        <v>815</v>
      </c>
      <c r="D5922" s="16" t="s">
        <v>835</v>
      </c>
      <c r="E5922" s="16" t="s">
        <v>9463</v>
      </c>
      <c r="F5922" s="27" t="s">
        <v>14270</v>
      </c>
      <c r="G5922" s="27"/>
      <c r="H5922" s="16" t="str">
        <f>IF(ISBLANK(PARTIDAS!$G5922),PARTIDAS!$F5922,CONCATENATE(PARTIDAS!$F5922," (",PARTIDAS!$G5922,")"))</f>
        <v>Berilio, en bruto; polvo</v>
      </c>
      <c r="I5922" s="16" t="s">
        <v>9427</v>
      </c>
    </row>
    <row r="5923" spans="1:9" x14ac:dyDescent="0.25">
      <c r="A5923" s="16" t="s">
        <v>6859</v>
      </c>
      <c r="B5923" s="16" t="str">
        <f>TEXT(PARTIDA[[#This Row],[PARTIDA]],"0000000000")</f>
        <v>8112130000</v>
      </c>
      <c r="C5923" s="16" t="s">
        <v>815</v>
      </c>
      <c r="D5923" s="16" t="s">
        <v>835</v>
      </c>
      <c r="E5923" s="16" t="s">
        <v>9463</v>
      </c>
      <c r="F5923" s="27" t="s">
        <v>13655</v>
      </c>
      <c r="G5923" s="27"/>
      <c r="H5923" s="16" t="str">
        <f>IF(ISBLANK(PARTIDAS!$G5923),PARTIDAS!$F5923,CONCATENATE(PARTIDAS!$F5923," (",PARTIDAS!$G5923,")"))</f>
        <v>Desperdicios y desechos</v>
      </c>
      <c r="I5923" s="16" t="s">
        <v>9427</v>
      </c>
    </row>
    <row r="5924" spans="1:9" x14ac:dyDescent="0.25">
      <c r="A5924" s="16" t="s">
        <v>6860</v>
      </c>
      <c r="B5924" s="16" t="str">
        <f>TEXT(PARTIDA[[#This Row],[PARTIDA]],"0000000000")</f>
        <v>8112190000</v>
      </c>
      <c r="C5924" s="16" t="s">
        <v>815</v>
      </c>
      <c r="D5924" s="16" t="s">
        <v>835</v>
      </c>
      <c r="E5924" s="16" t="s">
        <v>9463</v>
      </c>
      <c r="F5924" s="27" t="s">
        <v>14271</v>
      </c>
      <c r="G5924" s="27"/>
      <c r="H5924" s="16" t="str">
        <f>IF(ISBLANK(PARTIDAS!$G5924),PARTIDAS!$F5924,CONCATENATE(PARTIDAS!$F5924," (",PARTIDAS!$G5924,")"))</f>
        <v>Berilio (los demás)</v>
      </c>
      <c r="I5924" s="16" t="s">
        <v>9427</v>
      </c>
    </row>
    <row r="5925" spans="1:9" x14ac:dyDescent="0.25">
      <c r="A5925" s="16" t="s">
        <v>6861</v>
      </c>
      <c r="B5925" s="16" t="str">
        <f>TEXT(PARTIDA[[#This Row],[PARTIDA]],"0000000000")</f>
        <v>8112210000</v>
      </c>
      <c r="C5925" s="16" t="s">
        <v>815</v>
      </c>
      <c r="D5925" s="16" t="s">
        <v>835</v>
      </c>
      <c r="E5925" s="16" t="s">
        <v>9463</v>
      </c>
      <c r="F5925" s="27" t="s">
        <v>14272</v>
      </c>
      <c r="G5925" s="27"/>
      <c r="H5925" s="16" t="str">
        <f>IF(ISBLANK(PARTIDAS!$G5925),PARTIDAS!$F5925,CONCATENATE(PARTIDAS!$F5925," (",PARTIDAS!$G5925,")"))</f>
        <v>Cromo, en bruto; polvo</v>
      </c>
      <c r="I5925" s="16" t="s">
        <v>9427</v>
      </c>
    </row>
    <row r="5926" spans="1:9" x14ac:dyDescent="0.25">
      <c r="A5926" s="16" t="s">
        <v>6862</v>
      </c>
      <c r="B5926" s="16" t="str">
        <f>TEXT(PARTIDA[[#This Row],[PARTIDA]],"0000000000")</f>
        <v>8112220000</v>
      </c>
      <c r="C5926" s="16" t="s">
        <v>815</v>
      </c>
      <c r="D5926" s="16" t="s">
        <v>835</v>
      </c>
      <c r="E5926" s="16" t="s">
        <v>9463</v>
      </c>
      <c r="F5926" s="27" t="s">
        <v>13655</v>
      </c>
      <c r="G5926" s="27"/>
      <c r="H5926" s="16" t="str">
        <f>IF(ISBLANK(PARTIDAS!$G5926),PARTIDAS!$F5926,CONCATENATE(PARTIDAS!$F5926," (",PARTIDAS!$G5926,")"))</f>
        <v>Desperdicios y desechos</v>
      </c>
      <c r="I5926" s="16" t="s">
        <v>9427</v>
      </c>
    </row>
    <row r="5927" spans="1:9" x14ac:dyDescent="0.25">
      <c r="A5927" s="16" t="s">
        <v>6863</v>
      </c>
      <c r="B5927" s="16" t="str">
        <f>TEXT(PARTIDA[[#This Row],[PARTIDA]],"0000000000")</f>
        <v>8112290000</v>
      </c>
      <c r="C5927" s="16" t="s">
        <v>815</v>
      </c>
      <c r="D5927" s="16" t="s">
        <v>835</v>
      </c>
      <c r="E5927" s="16" t="s">
        <v>9463</v>
      </c>
      <c r="F5927" s="27" t="s">
        <v>14273</v>
      </c>
      <c r="G5927" s="27"/>
      <c r="H5927" s="16" t="str">
        <f>IF(ISBLANK(PARTIDAS!$G5927),PARTIDAS!$F5927,CONCATENATE(PARTIDAS!$F5927," (",PARTIDAS!$G5927,")"))</f>
        <v>Cromo (los demás)</v>
      </c>
      <c r="I5927" s="16" t="s">
        <v>9427</v>
      </c>
    </row>
    <row r="5928" spans="1:9" x14ac:dyDescent="0.25">
      <c r="A5928" s="16" t="s">
        <v>14274</v>
      </c>
      <c r="B5928" s="16" t="str">
        <f>TEXT(PARTIDA[[#This Row],[PARTIDA]],"0000000000")</f>
        <v>8112310000</v>
      </c>
      <c r="C5928" s="16" t="s">
        <v>815</v>
      </c>
      <c r="D5928" s="16" t="s">
        <v>835</v>
      </c>
      <c r="E5928" s="16" t="s">
        <v>9463</v>
      </c>
      <c r="F5928" s="27" t="s">
        <v>14275</v>
      </c>
      <c r="G5928" s="27"/>
      <c r="H5928" s="16" t="str">
        <f>IF(ISBLANK(PARTIDAS!$G5928),PARTIDAS!$F5928,CONCATENATE(PARTIDAS!$F5928," (",PARTIDAS!$G5928,")"))</f>
        <v>Hafnio (celio), en bruto; desperdicios y desechos; polvo</v>
      </c>
      <c r="I5928" s="16" t="s">
        <v>9427</v>
      </c>
    </row>
    <row r="5929" spans="1:9" x14ac:dyDescent="0.25">
      <c r="A5929" s="16" t="s">
        <v>14276</v>
      </c>
      <c r="B5929" s="16" t="str">
        <f>TEXT(PARTIDA[[#This Row],[PARTIDA]],"0000000000")</f>
        <v>8112390000</v>
      </c>
      <c r="C5929" s="16" t="s">
        <v>815</v>
      </c>
      <c r="D5929" s="16" t="s">
        <v>835</v>
      </c>
      <c r="E5929" s="16" t="s">
        <v>9463</v>
      </c>
      <c r="F5929" s="27" t="s">
        <v>14277</v>
      </c>
      <c r="G5929" s="27"/>
      <c r="H5929" s="16" t="str">
        <f>IF(ISBLANK(PARTIDAS!$G5929),PARTIDAS!$F5929,CONCATENATE(PARTIDAS!$F5929," (",PARTIDAS!$G5929,")"))</f>
        <v>Hafnio (celio) (los demás)</v>
      </c>
      <c r="I5929" s="16" t="s">
        <v>9427</v>
      </c>
    </row>
    <row r="5930" spans="1:9" x14ac:dyDescent="0.25">
      <c r="A5930" s="16" t="s">
        <v>14278</v>
      </c>
      <c r="B5930" s="16" t="str">
        <f>TEXT(PARTIDA[[#This Row],[PARTIDA]],"0000000000")</f>
        <v>8112410000</v>
      </c>
      <c r="C5930" s="16" t="s">
        <v>815</v>
      </c>
      <c r="D5930" s="16" t="s">
        <v>835</v>
      </c>
      <c r="E5930" s="16" t="s">
        <v>9463</v>
      </c>
      <c r="F5930" s="27" t="s">
        <v>14279</v>
      </c>
      <c r="G5930" s="27"/>
      <c r="H5930" s="16" t="str">
        <f>IF(ISBLANK(PARTIDAS!$G5930),PARTIDAS!$F5930,CONCATENATE(PARTIDAS!$F5930," (",PARTIDAS!$G5930,")"))</f>
        <v>Renio, en bruto; desperdicios y desechos; polvo</v>
      </c>
      <c r="I5930" s="16" t="s">
        <v>9427</v>
      </c>
    </row>
    <row r="5931" spans="1:9" x14ac:dyDescent="0.25">
      <c r="A5931" s="16" t="s">
        <v>14280</v>
      </c>
      <c r="B5931" s="16" t="str">
        <f>TEXT(PARTIDA[[#This Row],[PARTIDA]],"0000000000")</f>
        <v>8112490000</v>
      </c>
      <c r="C5931" s="16" t="s">
        <v>815</v>
      </c>
      <c r="D5931" s="16" t="s">
        <v>835</v>
      </c>
      <c r="E5931" s="16" t="s">
        <v>9463</v>
      </c>
      <c r="F5931" s="27" t="s">
        <v>14281</v>
      </c>
      <c r="G5931" s="27"/>
      <c r="H5931" s="16" t="str">
        <f>IF(ISBLANK(PARTIDAS!$G5931),PARTIDAS!$F5931,CONCATENATE(PARTIDAS!$F5931," (",PARTIDAS!$G5931,")"))</f>
        <v>Renio (los demás)</v>
      </c>
      <c r="I5931" s="16" t="s">
        <v>9427</v>
      </c>
    </row>
    <row r="5932" spans="1:9" x14ac:dyDescent="0.25">
      <c r="A5932" s="16" t="s">
        <v>6864</v>
      </c>
      <c r="B5932" s="16" t="str">
        <f>TEXT(PARTIDA[[#This Row],[PARTIDA]],"0000000000")</f>
        <v>8112510000</v>
      </c>
      <c r="C5932" s="16" t="s">
        <v>815</v>
      </c>
      <c r="D5932" s="16" t="s">
        <v>835</v>
      </c>
      <c r="E5932" s="16" t="s">
        <v>9463</v>
      </c>
      <c r="F5932" s="27" t="s">
        <v>14282</v>
      </c>
      <c r="G5932" s="27"/>
      <c r="H5932" s="16" t="str">
        <f>IF(ISBLANK(PARTIDAS!$G5932),PARTIDAS!$F5932,CONCATENATE(PARTIDAS!$F5932," (",PARTIDAS!$G5932,")"))</f>
        <v>Talio, en bruto; polvo</v>
      </c>
      <c r="I5932" s="16" t="s">
        <v>9427</v>
      </c>
    </row>
    <row r="5933" spans="1:9" x14ac:dyDescent="0.25">
      <c r="A5933" s="16" t="s">
        <v>6865</v>
      </c>
      <c r="B5933" s="16" t="str">
        <f>TEXT(PARTIDA[[#This Row],[PARTIDA]],"0000000000")</f>
        <v>8112520000</v>
      </c>
      <c r="C5933" s="16" t="s">
        <v>815</v>
      </c>
      <c r="D5933" s="16" t="s">
        <v>835</v>
      </c>
      <c r="E5933" s="16" t="s">
        <v>9463</v>
      </c>
      <c r="F5933" s="27" t="s">
        <v>13655</v>
      </c>
      <c r="G5933" s="27"/>
      <c r="H5933" s="16" t="str">
        <f>IF(ISBLANK(PARTIDAS!$G5933),PARTIDAS!$F5933,CONCATENATE(PARTIDAS!$F5933," (",PARTIDAS!$G5933,")"))</f>
        <v>Desperdicios y desechos</v>
      </c>
      <c r="I5933" s="16" t="s">
        <v>9427</v>
      </c>
    </row>
    <row r="5934" spans="1:9" x14ac:dyDescent="0.25">
      <c r="A5934" s="16" t="s">
        <v>6866</v>
      </c>
      <c r="B5934" s="16" t="str">
        <f>TEXT(PARTIDA[[#This Row],[PARTIDA]],"0000000000")</f>
        <v>8112590000</v>
      </c>
      <c r="C5934" s="16" t="s">
        <v>815</v>
      </c>
      <c r="D5934" s="16" t="s">
        <v>835</v>
      </c>
      <c r="E5934" s="16" t="s">
        <v>9463</v>
      </c>
      <c r="F5934" s="27" t="s">
        <v>14283</v>
      </c>
      <c r="G5934" s="27"/>
      <c r="H5934" s="16" t="str">
        <f>IF(ISBLANK(PARTIDAS!$G5934),PARTIDAS!$F5934,CONCATENATE(PARTIDAS!$F5934," (",PARTIDAS!$G5934,")"))</f>
        <v>Talio (los demás)</v>
      </c>
      <c r="I5934" s="16" t="s">
        <v>9427</v>
      </c>
    </row>
    <row r="5935" spans="1:9" x14ac:dyDescent="0.25">
      <c r="A5935" s="16" t="s">
        <v>14284</v>
      </c>
      <c r="B5935" s="16" t="str">
        <f>TEXT(PARTIDA[[#This Row],[PARTIDA]],"0000000000")</f>
        <v>8112610000</v>
      </c>
      <c r="C5935" s="16" t="s">
        <v>815</v>
      </c>
      <c r="D5935" s="16" t="s">
        <v>835</v>
      </c>
      <c r="E5935" s="16" t="s">
        <v>9463</v>
      </c>
      <c r="F5935" s="27" t="s">
        <v>13655</v>
      </c>
      <c r="G5935" s="27"/>
      <c r="H5935" s="16" t="str">
        <f>IF(ISBLANK(PARTIDAS!$G5935),PARTIDAS!$F5935,CONCATENATE(PARTIDAS!$F5935," (",PARTIDAS!$G5935,")"))</f>
        <v>Desperdicios y desechos</v>
      </c>
      <c r="I5935" s="16" t="s">
        <v>9427</v>
      </c>
    </row>
    <row r="5936" spans="1:9" x14ac:dyDescent="0.25">
      <c r="A5936" s="16" t="s">
        <v>14285</v>
      </c>
      <c r="B5936" s="16" t="str">
        <f>TEXT(PARTIDA[[#This Row],[PARTIDA]],"0000000000")</f>
        <v>8112690011</v>
      </c>
      <c r="C5936" s="16" t="s">
        <v>815</v>
      </c>
      <c r="D5936" s="16" t="s">
        <v>835</v>
      </c>
      <c r="E5936" s="16" t="s">
        <v>9463</v>
      </c>
      <c r="F5936" s="27" t="s">
        <v>14286</v>
      </c>
      <c r="G5936" s="27"/>
      <c r="H5936" s="16" t="str">
        <f>IF(ISBLANK(PARTIDAS!$G5936),PARTIDAS!$F5936,CONCATENATE(PARTIDAS!$F5936," (",PARTIDAS!$G5936,")"))</f>
        <v>Cadmio en bruto, en bolas</v>
      </c>
      <c r="I5936" s="16" t="s">
        <v>9427</v>
      </c>
    </row>
    <row r="5937" spans="1:9" x14ac:dyDescent="0.25">
      <c r="A5937" s="16" t="s">
        <v>14287</v>
      </c>
      <c r="B5937" s="16" t="str">
        <f>TEXT(PARTIDA[[#This Row],[PARTIDA]],"0000000000")</f>
        <v>8112690019</v>
      </c>
      <c r="C5937" s="16" t="s">
        <v>815</v>
      </c>
      <c r="D5937" s="16" t="s">
        <v>835</v>
      </c>
      <c r="E5937" s="16" t="s">
        <v>9463</v>
      </c>
      <c r="F5937" s="27" t="s">
        <v>14288</v>
      </c>
      <c r="G5937" s="27"/>
      <c r="H5937" s="16" t="str">
        <f>IF(ISBLANK(PARTIDAS!$G5937),PARTIDAS!$F5937,CONCATENATE(PARTIDAS!$F5937," (",PARTIDAS!$G5937,")"))</f>
        <v>Cadmio en bruto (los demás)</v>
      </c>
      <c r="I5937" s="16" t="s">
        <v>9427</v>
      </c>
    </row>
    <row r="5938" spans="1:9" x14ac:dyDescent="0.25">
      <c r="A5938" s="16" t="s">
        <v>14289</v>
      </c>
      <c r="B5938" s="16" t="str">
        <f>TEXT(PARTIDA[[#This Row],[PARTIDA]],"0000000000")</f>
        <v>8112690090</v>
      </c>
      <c r="C5938" s="16" t="s">
        <v>815</v>
      </c>
      <c r="D5938" s="16" t="s">
        <v>835</v>
      </c>
      <c r="E5938" s="16" t="s">
        <v>9463</v>
      </c>
      <c r="F5938" s="27" t="s">
        <v>14290</v>
      </c>
      <c r="G5938" s="27"/>
      <c r="H5938" s="16" t="str">
        <f>IF(ISBLANK(PARTIDAS!$G5938),PARTIDAS!$F5938,CONCATENATE(PARTIDAS!$F5938," (",PARTIDAS!$G5938,")"))</f>
        <v>Cadmio (los demás)</v>
      </c>
      <c r="I5938" s="16" t="s">
        <v>9427</v>
      </c>
    </row>
    <row r="5939" spans="1:9" x14ac:dyDescent="0.25">
      <c r="A5939" s="16" t="s">
        <v>6867</v>
      </c>
      <c r="B5939" s="16" t="str">
        <f>TEXT(PARTIDA[[#This Row],[PARTIDA]],"0000000000")</f>
        <v>8112921010</v>
      </c>
      <c r="C5939" s="16" t="s">
        <v>815</v>
      </c>
      <c r="D5939" s="16" t="s">
        <v>835</v>
      </c>
      <c r="E5939" s="16" t="s">
        <v>9463</v>
      </c>
      <c r="F5939" s="27" t="s">
        <v>14291</v>
      </c>
      <c r="G5939" s="27"/>
      <c r="H5939" s="16" t="str">
        <f>IF(ISBLANK(PARTIDAS!$G5939),PARTIDAS!$F5939,CONCATENATE(PARTIDAS!$F5939," (",PARTIDAS!$G5939,")"))</f>
        <v>Germanio y vanadio</v>
      </c>
      <c r="I5939" s="16" t="s">
        <v>9427</v>
      </c>
    </row>
    <row r="5940" spans="1:9" x14ac:dyDescent="0.25">
      <c r="A5940" s="16" t="s">
        <v>6868</v>
      </c>
      <c r="B5940" s="16" t="str">
        <f>TEXT(PARTIDA[[#This Row],[PARTIDA]],"0000000000")</f>
        <v>8112921090</v>
      </c>
      <c r="C5940" s="16" t="s">
        <v>815</v>
      </c>
      <c r="D5940" s="16" t="s">
        <v>835</v>
      </c>
      <c r="E5940" s="16" t="s">
        <v>9463</v>
      </c>
      <c r="F5940" s="27" t="s">
        <v>14292</v>
      </c>
      <c r="G5940" s="27"/>
      <c r="H5940" s="16" t="str">
        <f>IF(ISBLANK(PARTIDAS!$G5940),PARTIDAS!$F5940,CONCATENATE(PARTIDAS!$F5940," (",PARTIDAS!$G5940,")"))</f>
        <v>Berilio, cadmio, cromo, germanio, vanadio, galio…, en bruto; desperdicios y desechos; polvo, en bruto; polvo (los demás)</v>
      </c>
      <c r="I5940" s="16" t="s">
        <v>9427</v>
      </c>
    </row>
    <row r="5941" spans="1:9" x14ac:dyDescent="0.25">
      <c r="A5941" s="16" t="s">
        <v>6869</v>
      </c>
      <c r="B5941" s="16" t="str">
        <f>TEXT(PARTIDA[[#This Row],[PARTIDA]],"0000000000")</f>
        <v>8112922010</v>
      </c>
      <c r="C5941" s="16" t="s">
        <v>815</v>
      </c>
      <c r="D5941" s="16" t="s">
        <v>835</v>
      </c>
      <c r="E5941" s="16" t="s">
        <v>9463</v>
      </c>
      <c r="F5941" s="27" t="s">
        <v>14291</v>
      </c>
      <c r="G5941" s="27"/>
      <c r="H5941" s="16" t="str">
        <f>IF(ISBLANK(PARTIDAS!$G5941),PARTIDAS!$F5941,CONCATENATE(PARTIDAS!$F5941," (",PARTIDAS!$G5941,")"))</f>
        <v>Germanio y vanadio</v>
      </c>
      <c r="I5941" s="16" t="s">
        <v>9427</v>
      </c>
    </row>
    <row r="5942" spans="1:9" x14ac:dyDescent="0.25">
      <c r="A5942" s="16" t="s">
        <v>6870</v>
      </c>
      <c r="B5942" s="16" t="str">
        <f>TEXT(PARTIDA[[#This Row],[PARTIDA]],"0000000000")</f>
        <v>8112922090</v>
      </c>
      <c r="C5942" s="16" t="s">
        <v>815</v>
      </c>
      <c r="D5942" s="16" t="s">
        <v>835</v>
      </c>
      <c r="E5942" s="16" t="s">
        <v>9463</v>
      </c>
      <c r="F5942" s="27" t="s">
        <v>14261</v>
      </c>
      <c r="G5942" s="27"/>
      <c r="H5942" s="16" t="str">
        <f>IF(ISBLANK(PARTIDAS!$G5942),PARTIDAS!$F5942,CONCATENATE(PARTIDAS!$F5942," (",PARTIDAS!$G5942,")"))</f>
        <v>Desperdicios y desechos (los demás)</v>
      </c>
      <c r="I5942" s="16" t="s">
        <v>9427</v>
      </c>
    </row>
    <row r="5943" spans="1:9" x14ac:dyDescent="0.25">
      <c r="A5943" s="16" t="s">
        <v>6871</v>
      </c>
      <c r="B5943" s="16" t="str">
        <f>TEXT(PARTIDA[[#This Row],[PARTIDA]],"0000000000")</f>
        <v>8112990000</v>
      </c>
      <c r="C5943" s="16" t="s">
        <v>815</v>
      </c>
      <c r="D5943" s="16" t="s">
        <v>835</v>
      </c>
      <c r="E5943" s="16" t="s">
        <v>9463</v>
      </c>
      <c r="F5943" s="27" t="s">
        <v>14293</v>
      </c>
      <c r="G5943" s="27"/>
      <c r="H5943" s="16" t="str">
        <f>IF(ISBLANK(PARTIDAS!$G5943),PARTIDAS!$F5943,CONCATENATE(PARTIDAS!$F5943," (",PARTIDAS!$G5943,")"))</f>
        <v>Berilio, cadmio, cromo, germanio, vanadio, galio, hafnio (celtio)… (los demás)</v>
      </c>
      <c r="I5943" s="16" t="s">
        <v>9427</v>
      </c>
    </row>
    <row r="5944" spans="1:9" x14ac:dyDescent="0.25">
      <c r="A5944" s="16" t="s">
        <v>6872</v>
      </c>
      <c r="B5944" s="16" t="str">
        <f>TEXT(PARTIDA[[#This Row],[PARTIDA]],"0000000000")</f>
        <v>8113000000</v>
      </c>
      <c r="C5944" s="16" t="s">
        <v>815</v>
      </c>
      <c r="D5944" s="16" t="s">
        <v>835</v>
      </c>
      <c r="E5944" s="16" t="s">
        <v>9463</v>
      </c>
      <c r="F5944" s="27" t="s">
        <v>6873</v>
      </c>
      <c r="G5944" s="27"/>
      <c r="H5944" s="16" t="str">
        <f>IF(ISBLANK(PARTIDAS!$G5944),PARTIDAS!$F5944,CONCATENATE(PARTIDAS!$F5944," (",PARTIDAS!$G5944,")"))</f>
        <v>Cermet y sus manufacturas, incluidos los
desperdicios y desechos.</v>
      </c>
      <c r="I5944" s="16" t="s">
        <v>9427</v>
      </c>
    </row>
    <row r="5945" spans="1:9" x14ac:dyDescent="0.25">
      <c r="A5945" s="16" t="s">
        <v>6874</v>
      </c>
      <c r="B5945" s="16" t="str">
        <f>TEXT(PARTIDA[[#This Row],[PARTIDA]],"0000000000")</f>
        <v>8201100000</v>
      </c>
      <c r="C5945" s="16" t="s">
        <v>860</v>
      </c>
      <c r="D5945" s="16" t="s">
        <v>873</v>
      </c>
      <c r="E5945" s="16" t="s">
        <v>876</v>
      </c>
      <c r="F5945" s="27" t="s">
        <v>14294</v>
      </c>
      <c r="G5945" s="27"/>
      <c r="H5945" s="16" t="str">
        <f>IF(ISBLANK(PARTIDAS!$G5945),PARTIDAS!$F5945,CONCATENATE(PARTIDAS!$F5945," (",PARTIDAS!$G5945,")"))</f>
        <v>Layas y palas</v>
      </c>
      <c r="I5945" s="16" t="s">
        <v>9427</v>
      </c>
    </row>
    <row r="5946" spans="1:9" x14ac:dyDescent="0.25">
      <c r="A5946" s="16" t="s">
        <v>6875</v>
      </c>
      <c r="B5946" s="16" t="str">
        <f>TEXT(PARTIDA[[#This Row],[PARTIDA]],"0000000000")</f>
        <v>8201300000</v>
      </c>
      <c r="C5946" s="16" t="s">
        <v>860</v>
      </c>
      <c r="D5946" s="16" t="s">
        <v>873</v>
      </c>
      <c r="E5946" s="16" t="s">
        <v>876</v>
      </c>
      <c r="F5946" s="27" t="s">
        <v>14295</v>
      </c>
      <c r="G5946" s="27"/>
      <c r="H5946" s="16" t="str">
        <f>IF(ISBLANK(PARTIDAS!$G5946),PARTIDAS!$F5946,CONCATENATE(PARTIDAS!$F5946," (",PARTIDAS!$G5946,")"))</f>
        <v>Azadas, picos, binaderas, rastrillos y raederas</v>
      </c>
      <c r="I5946" s="16" t="s">
        <v>9427</v>
      </c>
    </row>
    <row r="5947" spans="1:9" x14ac:dyDescent="0.25">
      <c r="A5947" s="16" t="s">
        <v>6876</v>
      </c>
      <c r="B5947" s="16" t="str">
        <f>TEXT(PARTIDA[[#This Row],[PARTIDA]],"0000000000")</f>
        <v>8201401000</v>
      </c>
      <c r="C5947" s="16" t="s">
        <v>860</v>
      </c>
      <c r="D5947" s="16" t="s">
        <v>873</v>
      </c>
      <c r="E5947" s="16" t="s">
        <v>876</v>
      </c>
      <c r="F5947" s="27" t="s">
        <v>6877</v>
      </c>
      <c r="G5947" s="27"/>
      <c r="H5947" s="16" t="str">
        <f>IF(ISBLANK(PARTIDAS!$G5947),PARTIDAS!$F5947,CONCATENATE(PARTIDAS!$F5947," (",PARTIDAS!$G5947,")"))</f>
        <v>Machetes</v>
      </c>
      <c r="I5947" s="16" t="s">
        <v>9427</v>
      </c>
    </row>
    <row r="5948" spans="1:9" x14ac:dyDescent="0.25">
      <c r="A5948" s="16" t="s">
        <v>6878</v>
      </c>
      <c r="B5948" s="16" t="str">
        <f>TEXT(PARTIDA[[#This Row],[PARTIDA]],"0000000000")</f>
        <v>8201409000</v>
      </c>
      <c r="C5948" s="16" t="s">
        <v>860</v>
      </c>
      <c r="D5948" s="16" t="s">
        <v>873</v>
      </c>
      <c r="E5948" s="16" t="s">
        <v>876</v>
      </c>
      <c r="F5948" s="27" t="s">
        <v>14296</v>
      </c>
      <c r="G5948" s="27"/>
      <c r="H5948" s="16" t="str">
        <f>IF(ISBLANK(PARTIDAS!$G5948),PARTIDAS!$F5948,CONCATENATE(PARTIDAS!$F5948," (",PARTIDAS!$G5948,")"))</f>
        <v>Hachas, hocinos y herramientas similares con filo (los demás)</v>
      </c>
      <c r="I5948" s="16" t="s">
        <v>9427</v>
      </c>
    </row>
    <row r="5949" spans="1:9" x14ac:dyDescent="0.25">
      <c r="A5949" s="16" t="s">
        <v>6879</v>
      </c>
      <c r="B5949" s="16" t="str">
        <f>TEXT(PARTIDA[[#This Row],[PARTIDA]],"0000000000")</f>
        <v>8201500000</v>
      </c>
      <c r="C5949" s="16" t="s">
        <v>860</v>
      </c>
      <c r="D5949" s="16" t="s">
        <v>873</v>
      </c>
      <c r="E5949" s="16" t="s">
        <v>876</v>
      </c>
      <c r="F5949" s="27" t="s">
        <v>14297</v>
      </c>
      <c r="G5949" s="27"/>
      <c r="H5949" s="16" t="str">
        <f>IF(ISBLANK(PARTIDAS!$G5949),PARTIDAS!$F5949,CONCATENATE(PARTIDAS!$F5949," (",PARTIDAS!$G5949,")"))</f>
        <v>Tijeras de podar (incluidas las de trinchar aves) para usar con una sola mano</v>
      </c>
      <c r="I5949" s="16" t="s">
        <v>9427</v>
      </c>
    </row>
    <row r="5950" spans="1:9" x14ac:dyDescent="0.25">
      <c r="A5950" s="16" t="s">
        <v>6880</v>
      </c>
      <c r="B5950" s="16" t="str">
        <f>TEXT(PARTIDA[[#This Row],[PARTIDA]],"0000000000")</f>
        <v>8201601000</v>
      </c>
      <c r="C5950" s="16" t="s">
        <v>860</v>
      </c>
      <c r="D5950" s="16" t="s">
        <v>873</v>
      </c>
      <c r="E5950" s="16" t="s">
        <v>876</v>
      </c>
      <c r="F5950" s="27" t="s">
        <v>14298</v>
      </c>
      <c r="G5950" s="27"/>
      <c r="H5950" s="16" t="str">
        <f>IF(ISBLANK(PARTIDAS!$G5950),PARTIDAS!$F5950,CONCATENATE(PARTIDAS!$F5950," (",PARTIDAS!$G5950,")"))</f>
        <v>Tijeras de podar</v>
      </c>
      <c r="I5950" s="16" t="s">
        <v>9427</v>
      </c>
    </row>
    <row r="5951" spans="1:9" x14ac:dyDescent="0.25">
      <c r="A5951" s="16" t="s">
        <v>6881</v>
      </c>
      <c r="B5951" s="16" t="str">
        <f>TEXT(PARTIDA[[#This Row],[PARTIDA]],"0000000000")</f>
        <v>8201609000</v>
      </c>
      <c r="C5951" s="16" t="s">
        <v>860</v>
      </c>
      <c r="D5951" s="16" t="s">
        <v>873</v>
      </c>
      <c r="E5951" s="16" t="s">
        <v>876</v>
      </c>
      <c r="F5951" s="27" t="s">
        <v>14299</v>
      </c>
      <c r="G5951" s="27"/>
      <c r="H5951" s="16" t="str">
        <f>IF(ISBLANK(PARTIDAS!$G5951),PARTIDAS!$F5951,CONCATENATE(PARTIDAS!$F5951," (",PARTIDAS!$G5951,")"))</f>
        <v>Cizallas para setos, tijeras de podar y herramientas similares, para… (los demás)</v>
      </c>
      <c r="I5951" s="16" t="s">
        <v>9427</v>
      </c>
    </row>
    <row r="5952" spans="1:9" x14ac:dyDescent="0.25">
      <c r="A5952" s="16" t="s">
        <v>6882</v>
      </c>
      <c r="B5952" s="16" t="str">
        <f>TEXT(PARTIDA[[#This Row],[PARTIDA]],"0000000000")</f>
        <v>8201901000</v>
      </c>
      <c r="C5952" s="16" t="s">
        <v>860</v>
      </c>
      <c r="D5952" s="16" t="s">
        <v>873</v>
      </c>
      <c r="E5952" s="16" t="s">
        <v>876</v>
      </c>
      <c r="F5952" s="27" t="s">
        <v>14300</v>
      </c>
      <c r="G5952" s="27"/>
      <c r="H5952" s="16" t="str">
        <f>IF(ISBLANK(PARTIDAS!$G5952),PARTIDAS!$F5952,CONCATENATE(PARTIDAS!$F5952," (",PARTIDAS!$G5952,")"))</f>
        <v>Hoces y guadañas, cuchillos para heno o para paja</v>
      </c>
      <c r="I5952" s="16" t="s">
        <v>9427</v>
      </c>
    </row>
    <row r="5953" spans="1:9" x14ac:dyDescent="0.25">
      <c r="A5953" s="16" t="s">
        <v>6883</v>
      </c>
      <c r="B5953" s="16" t="str">
        <f>TEXT(PARTIDA[[#This Row],[PARTIDA]],"0000000000")</f>
        <v>8201909000</v>
      </c>
      <c r="C5953" s="16" t="s">
        <v>860</v>
      </c>
      <c r="D5953" s="16" t="s">
        <v>873</v>
      </c>
      <c r="E5953" s="16" t="s">
        <v>876</v>
      </c>
      <c r="F5953" s="27" t="s">
        <v>14301</v>
      </c>
      <c r="G5953" s="27"/>
      <c r="H5953" s="16" t="str">
        <f>IF(ISBLANK(PARTIDAS!$G5953),PARTIDAS!$F5953,CONCATENATE(PARTIDAS!$F5953," (",PARTIDAS!$G5953,")"))</f>
        <v>Layas, palas, azadas, picos, binaderas, horcas de labranza… (los demás)</v>
      </c>
      <c r="I5953" s="16" t="s">
        <v>9427</v>
      </c>
    </row>
    <row r="5954" spans="1:9" x14ac:dyDescent="0.25">
      <c r="A5954" s="16" t="s">
        <v>6884</v>
      </c>
      <c r="B5954" s="16" t="str">
        <f>TEXT(PARTIDA[[#This Row],[PARTIDA]],"0000000000")</f>
        <v>8202101000</v>
      </c>
      <c r="C5954" s="16" t="s">
        <v>860</v>
      </c>
      <c r="D5954" s="16" t="s">
        <v>873</v>
      </c>
      <c r="E5954" s="16" t="s">
        <v>876</v>
      </c>
      <c r="F5954" s="27" t="s">
        <v>14302</v>
      </c>
      <c r="G5954" s="27"/>
      <c r="H5954" s="16" t="str">
        <f>IF(ISBLANK(PARTIDAS!$G5954),PARTIDAS!$F5954,CONCATENATE(PARTIDAS!$F5954," (",PARTIDAS!$G5954,")"))</f>
        <v>Sierras de mano, serruchos</v>
      </c>
      <c r="I5954" s="16" t="s">
        <v>9427</v>
      </c>
    </row>
    <row r="5955" spans="1:9" x14ac:dyDescent="0.25">
      <c r="A5955" s="16" t="s">
        <v>6885</v>
      </c>
      <c r="B5955" s="16" t="str">
        <f>TEXT(PARTIDA[[#This Row],[PARTIDA]],"0000000000")</f>
        <v>8202109000</v>
      </c>
      <c r="C5955" s="16" t="s">
        <v>860</v>
      </c>
      <c r="D5955" s="16" t="s">
        <v>873</v>
      </c>
      <c r="E5955" s="16" t="s">
        <v>876</v>
      </c>
      <c r="F5955" s="27" t="s">
        <v>14303</v>
      </c>
      <c r="G5955" s="27"/>
      <c r="H5955" s="16" t="str">
        <f>IF(ISBLANK(PARTIDAS!$G5955),PARTIDAS!$F5955,CONCATENATE(PARTIDAS!$F5955," (",PARTIDAS!$G5955,")"))</f>
        <v>Sierras de mano (los demás)</v>
      </c>
      <c r="I5955" s="16" t="s">
        <v>9427</v>
      </c>
    </row>
    <row r="5956" spans="1:9" x14ac:dyDescent="0.25">
      <c r="A5956" s="16" t="s">
        <v>6886</v>
      </c>
      <c r="B5956" s="16" t="str">
        <f>TEXT(PARTIDA[[#This Row],[PARTIDA]],"0000000000")</f>
        <v>8202200000</v>
      </c>
      <c r="C5956" s="16" t="s">
        <v>860</v>
      </c>
      <c r="D5956" s="16" t="s">
        <v>873</v>
      </c>
      <c r="E5956" s="16" t="s">
        <v>876</v>
      </c>
      <c r="F5956" s="27" t="s">
        <v>14304</v>
      </c>
      <c r="G5956" s="27"/>
      <c r="H5956" s="16" t="str">
        <f>IF(ISBLANK(PARTIDAS!$G5956),PARTIDAS!$F5956,CONCATENATE(PARTIDAS!$F5956," (",PARTIDAS!$G5956,")"))</f>
        <v>Hojas de sierra de cinta</v>
      </c>
      <c r="I5956" s="16" t="s">
        <v>9427</v>
      </c>
    </row>
    <row r="5957" spans="1:9" x14ac:dyDescent="0.25">
      <c r="A5957" s="16" t="s">
        <v>6887</v>
      </c>
      <c r="B5957" s="16" t="str">
        <f>TEXT(PARTIDA[[#This Row],[PARTIDA]],"0000000000")</f>
        <v>8202310000</v>
      </c>
      <c r="C5957" s="16" t="s">
        <v>860</v>
      </c>
      <c r="D5957" s="16" t="s">
        <v>873</v>
      </c>
      <c r="E5957" s="16" t="s">
        <v>876</v>
      </c>
      <c r="F5957" s="27" t="s">
        <v>14305</v>
      </c>
      <c r="G5957" s="27"/>
      <c r="H5957" s="16" t="str">
        <f>IF(ISBLANK(PARTIDAS!$G5957),PARTIDAS!$F5957,CONCATENATE(PARTIDAS!$F5957," (",PARTIDAS!$G5957,")"))</f>
        <v>Hojas de sierra circulares (incluidas las fresas sierra), con parte operante de acero</v>
      </c>
      <c r="I5957" s="16" t="s">
        <v>9427</v>
      </c>
    </row>
    <row r="5958" spans="1:9" x14ac:dyDescent="0.25">
      <c r="A5958" s="16" t="s">
        <v>6888</v>
      </c>
      <c r="B5958" s="16" t="str">
        <f>TEXT(PARTIDA[[#This Row],[PARTIDA]],"0000000000")</f>
        <v>8202390000</v>
      </c>
      <c r="C5958" s="16" t="s">
        <v>860</v>
      </c>
      <c r="D5958" s="16" t="s">
        <v>873</v>
      </c>
      <c r="E5958" s="16" t="s">
        <v>876</v>
      </c>
      <c r="F5958" s="27" t="s">
        <v>14306</v>
      </c>
      <c r="G5958" s="27"/>
      <c r="H5958" s="16" t="str">
        <f>IF(ISBLANK(PARTIDAS!$G5958),PARTIDAS!$F5958,CONCATENATE(PARTIDAS!$F5958," (",PARTIDAS!$G5958,")"))</f>
        <v>Hojas de sierra circulares (incluidas las fresas sierra) (los demás, incluidas las partes)</v>
      </c>
      <c r="I5958" s="16" t="s">
        <v>9427</v>
      </c>
    </row>
    <row r="5959" spans="1:9" x14ac:dyDescent="0.25">
      <c r="A5959" s="16" t="s">
        <v>6889</v>
      </c>
      <c r="B5959" s="16" t="str">
        <f>TEXT(PARTIDA[[#This Row],[PARTIDA]],"0000000000")</f>
        <v>8202400000</v>
      </c>
      <c r="C5959" s="16" t="s">
        <v>860</v>
      </c>
      <c r="D5959" s="16" t="s">
        <v>873</v>
      </c>
      <c r="E5959" s="16" t="s">
        <v>876</v>
      </c>
      <c r="F5959" s="27" t="s">
        <v>14307</v>
      </c>
      <c r="G5959" s="27"/>
      <c r="H5959" s="16" t="str">
        <f>IF(ISBLANK(PARTIDAS!$G5959),PARTIDAS!$F5959,CONCATENATE(PARTIDAS!$F5959," (",PARTIDAS!$G5959,")"))</f>
        <v>Cadenas cortantes</v>
      </c>
      <c r="I5959" s="16" t="s">
        <v>9427</v>
      </c>
    </row>
    <row r="5960" spans="1:9" x14ac:dyDescent="0.25">
      <c r="A5960" s="16" t="s">
        <v>6890</v>
      </c>
      <c r="B5960" s="16" t="str">
        <f>TEXT(PARTIDA[[#This Row],[PARTIDA]],"0000000000")</f>
        <v>8202910000</v>
      </c>
      <c r="C5960" s="16" t="s">
        <v>860</v>
      </c>
      <c r="D5960" s="16" t="s">
        <v>873</v>
      </c>
      <c r="E5960" s="16" t="s">
        <v>876</v>
      </c>
      <c r="F5960" s="27" t="s">
        <v>14308</v>
      </c>
      <c r="G5960" s="27"/>
      <c r="H5960" s="16" t="str">
        <f>IF(ISBLANK(PARTIDAS!$G5960),PARTIDAS!$F5960,CONCATENATE(PARTIDAS!$F5960," (",PARTIDAS!$G5960,")"))</f>
        <v>Hojas de sierra rectas para trabajar metal</v>
      </c>
      <c r="I5960" s="16" t="s">
        <v>9427</v>
      </c>
    </row>
    <row r="5961" spans="1:9" x14ac:dyDescent="0.25">
      <c r="A5961" s="16" t="s">
        <v>6891</v>
      </c>
      <c r="B5961" s="16" t="str">
        <f>TEXT(PARTIDA[[#This Row],[PARTIDA]],"0000000000")</f>
        <v>8202990000</v>
      </c>
      <c r="C5961" s="16" t="s">
        <v>860</v>
      </c>
      <c r="D5961" s="16" t="s">
        <v>873</v>
      </c>
      <c r="E5961" s="16" t="s">
        <v>876</v>
      </c>
      <c r="F5961" s="27" t="s">
        <v>14303</v>
      </c>
      <c r="G5961" s="27"/>
      <c r="H5961" s="16" t="str">
        <f>IF(ISBLANK(PARTIDAS!$G5961),PARTIDAS!$F5961,CONCATENATE(PARTIDAS!$F5961," (",PARTIDAS!$G5961,")"))</f>
        <v>Sierras de mano (los demás)</v>
      </c>
      <c r="I5961" s="16" t="s">
        <v>9427</v>
      </c>
    </row>
    <row r="5962" spans="1:9" x14ac:dyDescent="0.25">
      <c r="A5962" s="16" t="s">
        <v>6892</v>
      </c>
      <c r="B5962" s="16" t="str">
        <f>TEXT(PARTIDA[[#This Row],[PARTIDA]],"0000000000")</f>
        <v>8203100000</v>
      </c>
      <c r="C5962" s="16" t="s">
        <v>860</v>
      </c>
      <c r="D5962" s="16" t="s">
        <v>873</v>
      </c>
      <c r="E5962" s="16" t="s">
        <v>876</v>
      </c>
      <c r="F5962" s="27" t="s">
        <v>14309</v>
      </c>
      <c r="G5962" s="27"/>
      <c r="H5962" s="16" t="str">
        <f>IF(ISBLANK(PARTIDAS!$G5962),PARTIDAS!$F5962,CONCATENATE(PARTIDAS!$F5962," (",PARTIDAS!$G5962,")"))</f>
        <v>Limas, escofinas y herramientas similares</v>
      </c>
      <c r="I5962" s="16" t="s">
        <v>9427</v>
      </c>
    </row>
    <row r="5963" spans="1:9" x14ac:dyDescent="0.25">
      <c r="A5963" s="16" t="s">
        <v>6893</v>
      </c>
      <c r="B5963" s="16" t="str">
        <f>TEXT(PARTIDA[[#This Row],[PARTIDA]],"0000000000")</f>
        <v>8203200000</v>
      </c>
      <c r="C5963" s="16" t="s">
        <v>860</v>
      </c>
      <c r="D5963" s="16" t="s">
        <v>873</v>
      </c>
      <c r="E5963" s="16" t="s">
        <v>876</v>
      </c>
      <c r="F5963" s="27" t="s">
        <v>9142</v>
      </c>
      <c r="G5963" s="27"/>
      <c r="H5963" s="16" t="str">
        <f>IF(ISBLANK(PARTIDAS!$G5963),PARTIDAS!$F5963,CONCATENATE(PARTIDAS!$F5963," (",PARTIDAS!$G5963,")"))</f>
        <v>Alicates (incluso cortantes), tenazas, pinzas y herramientas similares</v>
      </c>
      <c r="I5963" s="16" t="s">
        <v>9477</v>
      </c>
    </row>
    <row r="5964" spans="1:9" x14ac:dyDescent="0.25">
      <c r="A5964" s="16" t="s">
        <v>6894</v>
      </c>
      <c r="B5964" s="16" t="str">
        <f>TEXT(PARTIDA[[#This Row],[PARTIDA]],"0000000000")</f>
        <v>8203300000</v>
      </c>
      <c r="C5964" s="16" t="s">
        <v>860</v>
      </c>
      <c r="D5964" s="16" t="s">
        <v>873</v>
      </c>
      <c r="E5964" s="16" t="s">
        <v>876</v>
      </c>
      <c r="F5964" s="27" t="s">
        <v>14310</v>
      </c>
      <c r="G5964" s="27"/>
      <c r="H5964" s="16" t="str">
        <f>IF(ISBLANK(PARTIDAS!$G5964),PARTIDAS!$F5964,CONCATENATE(PARTIDAS!$F5964," (",PARTIDAS!$G5964,")"))</f>
        <v>Cizallas para metales y herramientas similares</v>
      </c>
      <c r="I5964" s="16" t="s">
        <v>9427</v>
      </c>
    </row>
    <row r="5965" spans="1:9" x14ac:dyDescent="0.25">
      <c r="A5965" s="16" t="s">
        <v>6895</v>
      </c>
      <c r="B5965" s="16" t="str">
        <f>TEXT(PARTIDA[[#This Row],[PARTIDA]],"0000000000")</f>
        <v>8203400000</v>
      </c>
      <c r="C5965" s="16" t="s">
        <v>860</v>
      </c>
      <c r="D5965" s="16" t="s">
        <v>873</v>
      </c>
      <c r="E5965" s="16" t="s">
        <v>876</v>
      </c>
      <c r="F5965" s="27" t="s">
        <v>14311</v>
      </c>
      <c r="G5965" s="27"/>
      <c r="H5965" s="16" t="str">
        <f>IF(ISBLANK(PARTIDAS!$G5965),PARTIDAS!$F5965,CONCATENATE(PARTIDAS!$F5965," (",PARTIDAS!$G5965,")"))</f>
        <v>Cortatubos, cortapernos, sacabocados y herramientas similares</v>
      </c>
      <c r="I5965" s="16" t="s">
        <v>9427</v>
      </c>
    </row>
    <row r="5966" spans="1:9" x14ac:dyDescent="0.25">
      <c r="A5966" s="16" t="s">
        <v>6896</v>
      </c>
      <c r="B5966" s="16" t="str">
        <f>TEXT(PARTIDA[[#This Row],[PARTIDA]],"0000000000")</f>
        <v>8204110000</v>
      </c>
      <c r="C5966" s="16" t="s">
        <v>860</v>
      </c>
      <c r="D5966" s="16" t="s">
        <v>873</v>
      </c>
      <c r="E5966" s="16" t="s">
        <v>876</v>
      </c>
      <c r="F5966" s="27" t="s">
        <v>9326</v>
      </c>
      <c r="G5966" s="27"/>
      <c r="H5966" s="16" t="str">
        <f>IF(ISBLANK(PARTIDAS!$G5966),PARTIDAS!$F5966,CONCATENATE(PARTIDAS!$F5966," (",PARTIDAS!$G5966,")"))</f>
        <v>No ajustables</v>
      </c>
      <c r="I5966" s="16" t="s">
        <v>9477</v>
      </c>
    </row>
    <row r="5967" spans="1:9" x14ac:dyDescent="0.25">
      <c r="A5967" s="16" t="s">
        <v>6897</v>
      </c>
      <c r="B5967" s="16" t="str">
        <f>TEXT(PARTIDA[[#This Row],[PARTIDA]],"0000000000")</f>
        <v>8204120000</v>
      </c>
      <c r="C5967" s="16" t="s">
        <v>860</v>
      </c>
      <c r="D5967" s="16" t="s">
        <v>873</v>
      </c>
      <c r="E5967" s="16" t="s">
        <v>876</v>
      </c>
      <c r="F5967" s="27" t="s">
        <v>9278</v>
      </c>
      <c r="G5967" s="27"/>
      <c r="H5967" s="16" t="str">
        <f>IF(ISBLANK(PARTIDAS!$G5967),PARTIDAS!$F5967,CONCATENATE(PARTIDAS!$F5967," (",PARTIDAS!$G5967,")"))</f>
        <v>Llaves de ajuste de mano, ajustables</v>
      </c>
      <c r="I5967" s="16" t="s">
        <v>9477</v>
      </c>
    </row>
    <row r="5968" spans="1:9" x14ac:dyDescent="0.25">
      <c r="A5968" s="16" t="s">
        <v>6898</v>
      </c>
      <c r="B5968" s="16" t="str">
        <f>TEXT(PARTIDA[[#This Row],[PARTIDA]],"0000000000")</f>
        <v>8204200000</v>
      </c>
      <c r="C5968" s="16" t="s">
        <v>860</v>
      </c>
      <c r="D5968" s="16" t="s">
        <v>873</v>
      </c>
      <c r="E5968" s="16" t="s">
        <v>876</v>
      </c>
      <c r="F5968" s="27" t="s">
        <v>9213</v>
      </c>
      <c r="G5968" s="27"/>
      <c r="H5968" s="16" t="str">
        <f>IF(ISBLANK(PARTIDAS!$G5968),PARTIDAS!$F5968,CONCATENATE(PARTIDAS!$F5968," (",PARTIDAS!$G5968,")"))</f>
        <v>Cubos (vasos) de ajuste intercambiables, incluso con mango</v>
      </c>
      <c r="I5968" s="16" t="s">
        <v>9477</v>
      </c>
    </row>
    <row r="5969" spans="1:9" x14ac:dyDescent="0.25">
      <c r="A5969" s="16" t="s">
        <v>6899</v>
      </c>
      <c r="B5969" s="16" t="str">
        <f>TEXT(PARTIDA[[#This Row],[PARTIDA]],"0000000000")</f>
        <v>8205100000</v>
      </c>
      <c r="C5969" s="16" t="s">
        <v>860</v>
      </c>
      <c r="D5969" s="16" t="s">
        <v>873</v>
      </c>
      <c r="E5969" s="16" t="s">
        <v>876</v>
      </c>
      <c r="F5969" s="27" t="s">
        <v>14312</v>
      </c>
      <c r="G5969" s="27"/>
      <c r="H5969" s="16" t="str">
        <f>IF(ISBLANK(PARTIDAS!$G5969),PARTIDAS!$F5969,CONCATENATE(PARTIDAS!$F5969," (",PARTIDAS!$G5969,")"))</f>
        <v>Herramientas de taladrar o roscar (incluidas las terrajas)</v>
      </c>
      <c r="I5969" s="16" t="s">
        <v>9427</v>
      </c>
    </row>
    <row r="5970" spans="1:9" x14ac:dyDescent="0.25">
      <c r="A5970" s="16" t="s">
        <v>6900</v>
      </c>
      <c r="B5970" s="16" t="str">
        <f>TEXT(PARTIDA[[#This Row],[PARTIDA]],"0000000000")</f>
        <v>8205200000</v>
      </c>
      <c r="C5970" s="16" t="s">
        <v>860</v>
      </c>
      <c r="D5970" s="16" t="s">
        <v>873</v>
      </c>
      <c r="E5970" s="16" t="s">
        <v>876</v>
      </c>
      <c r="F5970" s="27" t="s">
        <v>6901</v>
      </c>
      <c r="G5970" s="27"/>
      <c r="H5970" s="16" t="str">
        <f>IF(ISBLANK(PARTIDAS!$G5970),PARTIDAS!$F5970,CONCATENATE(PARTIDAS!$F5970," (",PARTIDAS!$G5970,")"))</f>
        <v>Martillos y mazas</v>
      </c>
      <c r="I5970" s="16" t="s">
        <v>9477</v>
      </c>
    </row>
    <row r="5971" spans="1:9" x14ac:dyDescent="0.25">
      <c r="A5971" s="16" t="s">
        <v>6902</v>
      </c>
      <c r="B5971" s="16" t="str">
        <f>TEXT(PARTIDA[[#This Row],[PARTIDA]],"0000000000")</f>
        <v>8205300000</v>
      </c>
      <c r="C5971" s="16" t="s">
        <v>860</v>
      </c>
      <c r="D5971" s="16" t="s">
        <v>873</v>
      </c>
      <c r="E5971" s="16" t="s">
        <v>876</v>
      </c>
      <c r="F5971" s="27" t="s">
        <v>14313</v>
      </c>
      <c r="G5971" s="27"/>
      <c r="H5971" s="16" t="str">
        <f>IF(ISBLANK(PARTIDAS!$G5971),PARTIDAS!$F5971,CONCATENATE(PARTIDAS!$F5971," (",PARTIDAS!$G5971,")"))</f>
        <v>Cepillos, formones, gubias y herramientas cortantes similares para trabajar madera</v>
      </c>
      <c r="I5971" s="16" t="s">
        <v>9427</v>
      </c>
    </row>
    <row r="5972" spans="1:9" x14ac:dyDescent="0.25">
      <c r="A5972" s="16" t="s">
        <v>6903</v>
      </c>
      <c r="B5972" s="16" t="str">
        <f>TEXT(PARTIDA[[#This Row],[PARTIDA]],"0000000000")</f>
        <v>8205401000</v>
      </c>
      <c r="C5972" s="16" t="s">
        <v>860</v>
      </c>
      <c r="D5972" s="16" t="s">
        <v>873</v>
      </c>
      <c r="E5972" s="16" t="s">
        <v>876</v>
      </c>
      <c r="F5972" s="27" t="s">
        <v>9225</v>
      </c>
      <c r="G5972" s="27"/>
      <c r="H5972" s="16" t="str">
        <f>IF(ISBLANK(PARTIDAS!$G5972),PARTIDAS!$F5972,CONCATENATE(PARTIDAS!$F5972," (",PARTIDAS!$G5972,")"))</f>
        <v>Destornilladores, para tornillos de ranura recta</v>
      </c>
      <c r="I5972" s="16" t="s">
        <v>9477</v>
      </c>
    </row>
    <row r="5973" spans="1:9" x14ac:dyDescent="0.25">
      <c r="A5973" s="16" t="s">
        <v>6904</v>
      </c>
      <c r="B5973" s="16" t="str">
        <f>TEXT(PARTIDA[[#This Row],[PARTIDA]],"0000000000")</f>
        <v>8205409000</v>
      </c>
      <c r="C5973" s="16" t="s">
        <v>860</v>
      </c>
      <c r="D5973" s="16" t="s">
        <v>873</v>
      </c>
      <c r="E5973" s="16" t="s">
        <v>876</v>
      </c>
      <c r="F5973" s="27" t="s">
        <v>14314</v>
      </c>
      <c r="G5973" s="27"/>
      <c r="H5973" s="16" t="str">
        <f>IF(ISBLANK(PARTIDAS!$G5973),PARTIDAS!$F5973,CONCATENATE(PARTIDAS!$F5973," (",PARTIDAS!$G5973,")"))</f>
        <v>Destornilladores (los demás)</v>
      </c>
      <c r="I5973" s="16" t="s">
        <v>9427</v>
      </c>
    </row>
    <row r="5974" spans="1:9" x14ac:dyDescent="0.25">
      <c r="A5974" s="16" t="s">
        <v>6905</v>
      </c>
      <c r="B5974" s="16" t="str">
        <f>TEXT(PARTIDA[[#This Row],[PARTIDA]],"0000000000")</f>
        <v>8205510000</v>
      </c>
      <c r="C5974" s="16" t="s">
        <v>860</v>
      </c>
      <c r="D5974" s="16" t="s">
        <v>873</v>
      </c>
      <c r="E5974" s="16" t="s">
        <v>876</v>
      </c>
      <c r="F5974" s="27" t="s">
        <v>14315</v>
      </c>
      <c r="G5974" s="27"/>
      <c r="H5974" s="16" t="str">
        <f>IF(ISBLANK(PARTIDAS!$G5974),PARTIDAS!$F5974,CONCATENATE(PARTIDAS!$F5974," (",PARTIDAS!$G5974,")"))</f>
        <v>Herramientas de mano (incluidos los diamantes de vidriero) no…, de uso domestico</v>
      </c>
      <c r="I5974" s="16" t="s">
        <v>9427</v>
      </c>
    </row>
    <row r="5975" spans="1:9" x14ac:dyDescent="0.25">
      <c r="A5975" s="16" t="s">
        <v>6906</v>
      </c>
      <c r="B5975" s="16" t="str">
        <f>TEXT(PARTIDA[[#This Row],[PARTIDA]],"0000000000")</f>
        <v>8205591000</v>
      </c>
      <c r="C5975" s="16" t="s">
        <v>860</v>
      </c>
      <c r="D5975" s="16" t="s">
        <v>873</v>
      </c>
      <c r="E5975" s="16" t="s">
        <v>876</v>
      </c>
      <c r="F5975" s="27" t="s">
        <v>14316</v>
      </c>
      <c r="G5975" s="27"/>
      <c r="H5975" s="16" t="str">
        <f>IF(ISBLANK(PARTIDAS!$G5975),PARTIDAS!$F5975,CONCATENATE(PARTIDAS!$F5975," (",PARTIDAS!$G5975,")"))</f>
        <v>Diamantes de vidriero</v>
      </c>
      <c r="I5975" s="16" t="s">
        <v>9427</v>
      </c>
    </row>
    <row r="5976" spans="1:9" x14ac:dyDescent="0.25">
      <c r="A5976" s="16" t="s">
        <v>6907</v>
      </c>
      <c r="B5976" s="16" t="str">
        <f>TEXT(PARTIDA[[#This Row],[PARTIDA]],"0000000000")</f>
        <v>8205592000</v>
      </c>
      <c r="C5976" s="16" t="s">
        <v>860</v>
      </c>
      <c r="D5976" s="16" t="s">
        <v>873</v>
      </c>
      <c r="E5976" s="16" t="s">
        <v>876</v>
      </c>
      <c r="F5976" s="27" t="s">
        <v>14317</v>
      </c>
      <c r="G5976" s="27"/>
      <c r="H5976" s="16" t="str">
        <f>IF(ISBLANK(PARTIDAS!$G5976),PARTIDAS!$F5976,CONCATENATE(PARTIDAS!$F5976," (",PARTIDAS!$G5976,")"))</f>
        <v>Herramientas de mano (incluidos los diamantes de vidriero) no…, cinceles</v>
      </c>
      <c r="I5976" s="16" t="s">
        <v>9427</v>
      </c>
    </row>
    <row r="5977" spans="1:9" x14ac:dyDescent="0.25">
      <c r="A5977" s="16" t="s">
        <v>6908</v>
      </c>
      <c r="B5977" s="16" t="str">
        <f>TEXT(PARTIDA[[#This Row],[PARTIDA]],"0000000000")</f>
        <v>8205593000</v>
      </c>
      <c r="C5977" s="16" t="s">
        <v>860</v>
      </c>
      <c r="D5977" s="16" t="s">
        <v>873</v>
      </c>
      <c r="E5977" s="16" t="s">
        <v>876</v>
      </c>
      <c r="F5977" s="27" t="s">
        <v>14318</v>
      </c>
      <c r="G5977" s="27"/>
      <c r="H5977" s="16" t="str">
        <f>IF(ISBLANK(PARTIDAS!$G5977),PARTIDAS!$F5977,CONCATENATE(PARTIDAS!$F5977," (",PARTIDAS!$G5977,")"))</f>
        <v>Buriles y puntas</v>
      </c>
      <c r="I5977" s="16" t="s">
        <v>9427</v>
      </c>
    </row>
    <row r="5978" spans="1:9" x14ac:dyDescent="0.25">
      <c r="A5978" s="16" t="s">
        <v>6909</v>
      </c>
      <c r="B5978" s="16" t="str">
        <f>TEXT(PARTIDA[[#This Row],[PARTIDA]],"0000000000")</f>
        <v>8205596000</v>
      </c>
      <c r="C5978" s="16" t="s">
        <v>860</v>
      </c>
      <c r="D5978" s="16" t="s">
        <v>873</v>
      </c>
      <c r="E5978" s="16" t="s">
        <v>876</v>
      </c>
      <c r="F5978" s="27" t="s">
        <v>14319</v>
      </c>
      <c r="G5978" s="27"/>
      <c r="H5978" s="16" t="str">
        <f>IF(ISBLANK(PARTIDAS!$G5978),PARTIDAS!$F5978,CONCATENATE(PARTIDAS!$F5978," (",PARTIDAS!$G5978,")"))</f>
        <v>Aceiteras; jeringas para engrasar</v>
      </c>
      <c r="I5978" s="16" t="s">
        <v>9427</v>
      </c>
    </row>
    <row r="5979" spans="1:9" x14ac:dyDescent="0.25">
      <c r="A5979" s="16" t="s">
        <v>6910</v>
      </c>
      <c r="B5979" s="16" t="str">
        <f>TEXT(PARTIDA[[#This Row],[PARTIDA]],"0000000000")</f>
        <v>8205599100</v>
      </c>
      <c r="C5979" s="16" t="s">
        <v>860</v>
      </c>
      <c r="D5979" s="16" t="s">
        <v>873</v>
      </c>
      <c r="E5979" s="16" t="s">
        <v>876</v>
      </c>
      <c r="F5979" s="27" t="s">
        <v>14320</v>
      </c>
      <c r="G5979" s="27"/>
      <c r="H5979" s="16" t="str">
        <f>IF(ISBLANK(PARTIDAS!$G5979),PARTIDAS!$F5979,CONCATENATE(PARTIDAS!$F5979," (",PARTIDAS!$G5979,")"))</f>
        <v>Herramientas especiales para joyeros y relojeros</v>
      </c>
      <c r="I5979" s="16" t="s">
        <v>9427</v>
      </c>
    </row>
    <row r="5980" spans="1:9" x14ac:dyDescent="0.25">
      <c r="A5980" s="16" t="s">
        <v>6911</v>
      </c>
      <c r="B5980" s="16" t="str">
        <f>TEXT(PARTIDA[[#This Row],[PARTIDA]],"0000000000")</f>
        <v>8205599200</v>
      </c>
      <c r="C5980" s="16" t="s">
        <v>860</v>
      </c>
      <c r="D5980" s="16" t="s">
        <v>873</v>
      </c>
      <c r="E5980" s="16" t="s">
        <v>876</v>
      </c>
      <c r="F5980" s="27" t="s">
        <v>14321</v>
      </c>
      <c r="G5980" s="27"/>
      <c r="H5980" s="16" t="str">
        <f>IF(ISBLANK(PARTIDAS!$G5980),PARTIDAS!$F5980,CONCATENATE(PARTIDAS!$F5980," (",PARTIDAS!$G5980,")"))</f>
        <v>Herramientas para albañiles, fundidores, cementeros, yeseros, pintores (llanas, paletas, pulidores, raspadores, etc.)</v>
      </c>
      <c r="I5980" s="16" t="s">
        <v>9427</v>
      </c>
    </row>
    <row r="5981" spans="1:9" x14ac:dyDescent="0.25">
      <c r="A5981" s="16" t="s">
        <v>6912</v>
      </c>
      <c r="B5981" s="16" t="str">
        <f>TEXT(PARTIDA[[#This Row],[PARTIDA]],"0000000000")</f>
        <v>8205599900</v>
      </c>
      <c r="C5981" s="16" t="s">
        <v>860</v>
      </c>
      <c r="D5981" s="16" t="s">
        <v>873</v>
      </c>
      <c r="E5981" s="16" t="s">
        <v>876</v>
      </c>
      <c r="F5981" s="27" t="s">
        <v>9254</v>
      </c>
      <c r="G5981" s="27"/>
      <c r="H5981" s="16" t="str">
        <f>IF(ISBLANK(PARTIDAS!$G5981),PARTIDAS!$F5981,CONCATENATE(PARTIDAS!$F5981," (",PARTIDAS!$G5981,")"))</f>
        <v>Herramientas de mano (incluidos los diamantes de vidriero) no… (los demás)</v>
      </c>
      <c r="I5981" s="16" t="s">
        <v>9477</v>
      </c>
    </row>
    <row r="5982" spans="1:9" x14ac:dyDescent="0.25">
      <c r="A5982" s="16" t="s">
        <v>6913</v>
      </c>
      <c r="B5982" s="16" t="str">
        <f>TEXT(PARTIDA[[#This Row],[PARTIDA]],"0000000000")</f>
        <v>8205601000</v>
      </c>
      <c r="C5982" s="16" t="s">
        <v>860</v>
      </c>
      <c r="D5982" s="16" t="s">
        <v>873</v>
      </c>
      <c r="E5982" s="16" t="s">
        <v>876</v>
      </c>
      <c r="F5982" s="27" t="s">
        <v>14322</v>
      </c>
      <c r="G5982" s="27"/>
      <c r="H5982" s="16" t="str">
        <f>IF(ISBLANK(PARTIDAS!$G5982),PARTIDAS!$F5982,CONCATENATE(PARTIDAS!$F5982," (",PARTIDAS!$G5982,")"))</f>
        <v>Lámparas de soldar</v>
      </c>
      <c r="I5982" s="16" t="s">
        <v>9427</v>
      </c>
    </row>
    <row r="5983" spans="1:9" x14ac:dyDescent="0.25">
      <c r="A5983" s="16" t="s">
        <v>6914</v>
      </c>
      <c r="B5983" s="16" t="str">
        <f>TEXT(PARTIDA[[#This Row],[PARTIDA]],"0000000000")</f>
        <v>8205609000</v>
      </c>
      <c r="C5983" s="16" t="s">
        <v>860</v>
      </c>
      <c r="D5983" s="16" t="s">
        <v>873</v>
      </c>
      <c r="E5983" s="16" t="s">
        <v>876</v>
      </c>
      <c r="F5983" s="27" t="s">
        <v>14323</v>
      </c>
      <c r="G5983" s="27"/>
      <c r="H5983" s="16" t="str">
        <f>IF(ISBLANK(PARTIDAS!$G5983),PARTIDAS!$F5983,CONCATENATE(PARTIDAS!$F5983," (",PARTIDAS!$G5983,")"))</f>
        <v>Lámparas de soldar y similares (los demás)</v>
      </c>
      <c r="I5983" s="16" t="s">
        <v>9427</v>
      </c>
    </row>
    <row r="5984" spans="1:9" x14ac:dyDescent="0.25">
      <c r="A5984" s="16" t="s">
        <v>6915</v>
      </c>
      <c r="B5984" s="16" t="str">
        <f>TEXT(PARTIDA[[#This Row],[PARTIDA]],"0000000000")</f>
        <v>8205700000</v>
      </c>
      <c r="C5984" s="16" t="s">
        <v>860</v>
      </c>
      <c r="D5984" s="16" t="s">
        <v>873</v>
      </c>
      <c r="E5984" s="16" t="s">
        <v>876</v>
      </c>
      <c r="F5984" s="27" t="s">
        <v>14324</v>
      </c>
      <c r="G5984" s="27"/>
      <c r="H5984" s="16" t="str">
        <f>IF(ISBLANK(PARTIDAS!$G5984),PARTIDAS!$F5984,CONCATENATE(PARTIDAS!$F5984," (",PARTIDAS!$G5984,")"))</f>
        <v>Tornillos de banco, prensas de carpintero y similares</v>
      </c>
      <c r="I5984" s="16" t="s">
        <v>9427</v>
      </c>
    </row>
    <row r="5985" spans="1:9" x14ac:dyDescent="0.25">
      <c r="A5985" s="16" t="s">
        <v>6916</v>
      </c>
      <c r="B5985" s="16" t="str">
        <f>TEXT(PARTIDA[[#This Row],[PARTIDA]],"0000000000")</f>
        <v>8205901000</v>
      </c>
      <c r="C5985" s="16" t="s">
        <v>860</v>
      </c>
      <c r="D5985" s="16" t="s">
        <v>873</v>
      </c>
      <c r="E5985" s="16" t="s">
        <v>876</v>
      </c>
      <c r="F5985" s="27" t="s">
        <v>14325</v>
      </c>
      <c r="G5985" s="27"/>
      <c r="H5985" s="16" t="str">
        <f>IF(ISBLANK(PARTIDAS!$G5985),PARTIDAS!$F5985,CONCATENATE(PARTIDAS!$F5985," (",PARTIDAS!$G5985,")"))</f>
        <v>Yunques; fraguas portátiles; muelas de mano o pedal, con bastidor</v>
      </c>
      <c r="I5985" s="16" t="s">
        <v>9427</v>
      </c>
    </row>
    <row r="5986" spans="1:9" x14ac:dyDescent="0.25">
      <c r="A5986" s="16" t="s">
        <v>6917</v>
      </c>
      <c r="B5986" s="16" t="str">
        <f>TEXT(PARTIDA[[#This Row],[PARTIDA]],"0000000000")</f>
        <v>8205909000</v>
      </c>
      <c r="C5986" s="16" t="s">
        <v>860</v>
      </c>
      <c r="D5986" s="16" t="s">
        <v>873</v>
      </c>
      <c r="E5986" s="16" t="s">
        <v>876</v>
      </c>
      <c r="F5986" s="27" t="s">
        <v>9254</v>
      </c>
      <c r="G5986" s="27"/>
      <c r="H5986" s="16" t="str">
        <f>IF(ISBLANK(PARTIDAS!$G5986),PARTIDAS!$F5986,CONCATENATE(PARTIDAS!$F5986," (",PARTIDAS!$G5986,")"))</f>
        <v>Herramientas de mano (incluidos los diamantes de vidriero) no… (los demás)</v>
      </c>
      <c r="I5986" s="16" t="s">
        <v>9427</v>
      </c>
    </row>
    <row r="5987" spans="1:9" x14ac:dyDescent="0.25">
      <c r="A5987" s="16" t="s">
        <v>6918</v>
      </c>
      <c r="B5987" s="16" t="str">
        <f>TEXT(PARTIDA[[#This Row],[PARTIDA]],"0000000000")</f>
        <v>8206000000</v>
      </c>
      <c r="C5987" s="16" t="s">
        <v>860</v>
      </c>
      <c r="D5987" s="16" t="s">
        <v>873</v>
      </c>
      <c r="E5987" s="16" t="s">
        <v>876</v>
      </c>
      <c r="F5987" s="27" t="s">
        <v>6919</v>
      </c>
      <c r="G5987" s="27"/>
      <c r="H5987" s="16" t="str">
        <f>IF(ISBLANK(PARTIDAS!$G5987),PARTIDAS!$F5987,CONCATENATE(PARTIDAS!$F5987," (",PARTIDAS!$G5987,")"))</f>
        <v>Herramientas de dos o más de las partidas 82.02
a 82.05, acondicionadas en juegos para la venta
al por menor.</v>
      </c>
      <c r="I5987" s="16" t="s">
        <v>9427</v>
      </c>
    </row>
    <row r="5988" spans="1:9" x14ac:dyDescent="0.25">
      <c r="A5988" s="16" t="s">
        <v>6920</v>
      </c>
      <c r="B5988" s="16" t="str">
        <f>TEXT(PARTIDA[[#This Row],[PARTIDA]],"0000000000")</f>
        <v>8207131000</v>
      </c>
      <c r="C5988" s="16" t="s">
        <v>860</v>
      </c>
      <c r="D5988" s="16" t="s">
        <v>873</v>
      </c>
      <c r="E5988" s="16" t="s">
        <v>876</v>
      </c>
      <c r="F5988" s="27" t="s">
        <v>14326</v>
      </c>
      <c r="G5988" s="27"/>
      <c r="H5988" s="16" t="str">
        <f>IF(ISBLANK(PARTIDAS!$G5988),PARTIDAS!$F5988,CONCATENATE(PARTIDAS!$F5988," (",PARTIDAS!$G5988,")"))</f>
        <v>Trépanos y coronas</v>
      </c>
      <c r="I5988" s="16" t="s">
        <v>9427</v>
      </c>
    </row>
    <row r="5989" spans="1:9" x14ac:dyDescent="0.25">
      <c r="A5989" s="16" t="s">
        <v>6921</v>
      </c>
      <c r="B5989" s="16" t="str">
        <f>TEXT(PARTIDA[[#This Row],[PARTIDA]],"0000000000")</f>
        <v>8207132000</v>
      </c>
      <c r="C5989" s="16" t="s">
        <v>860</v>
      </c>
      <c r="D5989" s="16" t="s">
        <v>873</v>
      </c>
      <c r="E5989" s="16" t="s">
        <v>876</v>
      </c>
      <c r="F5989" s="27" t="s">
        <v>14327</v>
      </c>
      <c r="G5989" s="27"/>
      <c r="H5989" s="16" t="str">
        <f>IF(ISBLANK(PARTIDAS!$G5989),PARTIDAS!$F5989,CONCATENATE(PARTIDAS!$F5989," (",PARTIDAS!$G5989,")"))</f>
        <v>Útiles de perforación o sondeo, con parte operante de cermet, brocas</v>
      </c>
      <c r="I5989" s="16" t="s">
        <v>9427</v>
      </c>
    </row>
    <row r="5990" spans="1:9" x14ac:dyDescent="0.25">
      <c r="A5990" s="16" t="s">
        <v>6922</v>
      </c>
      <c r="B5990" s="16" t="str">
        <f>TEXT(PARTIDA[[#This Row],[PARTIDA]],"0000000000")</f>
        <v>8207133000</v>
      </c>
      <c r="C5990" s="16" t="s">
        <v>860</v>
      </c>
      <c r="D5990" s="16" t="s">
        <v>873</v>
      </c>
      <c r="E5990" s="16" t="s">
        <v>876</v>
      </c>
      <c r="F5990" s="27" t="s">
        <v>14328</v>
      </c>
      <c r="G5990" s="27"/>
      <c r="H5990" s="16" t="str">
        <f>IF(ISBLANK(PARTIDAS!$G5990),PARTIDAS!$F5990,CONCATENATE(PARTIDAS!$F5990," (",PARTIDAS!$G5990,")"))</f>
        <v>Barrenas integrales</v>
      </c>
      <c r="I5990" s="16" t="s">
        <v>9427</v>
      </c>
    </row>
    <row r="5991" spans="1:9" x14ac:dyDescent="0.25">
      <c r="A5991" s="16" t="s">
        <v>6923</v>
      </c>
      <c r="B5991" s="16" t="str">
        <f>TEXT(PARTIDA[[#This Row],[PARTIDA]],"0000000000")</f>
        <v>8207139000</v>
      </c>
      <c r="C5991" s="16" t="s">
        <v>860</v>
      </c>
      <c r="D5991" s="16" t="s">
        <v>873</v>
      </c>
      <c r="E5991" s="16" t="s">
        <v>876</v>
      </c>
      <c r="F5991" s="27" t="s">
        <v>14329</v>
      </c>
      <c r="G5991" s="27"/>
      <c r="H5991" s="16" t="str">
        <f>IF(ISBLANK(PARTIDAS!$G5991),PARTIDAS!$F5991,CONCATENATE(PARTIDAS!$F5991," (",PARTIDAS!$G5991,")"))</f>
        <v>Útiles de perforación o sondeo, con parte operante de cermet (los demás, útiles)</v>
      </c>
      <c r="I5991" s="16" t="s">
        <v>9427</v>
      </c>
    </row>
    <row r="5992" spans="1:9" x14ac:dyDescent="0.25">
      <c r="A5992" s="16" t="s">
        <v>6924</v>
      </c>
      <c r="B5992" s="16" t="str">
        <f>TEXT(PARTIDA[[#This Row],[PARTIDA]],"0000000000")</f>
        <v>8207191000</v>
      </c>
      <c r="C5992" s="16" t="s">
        <v>860</v>
      </c>
      <c r="D5992" s="16" t="s">
        <v>873</v>
      </c>
      <c r="E5992" s="16" t="s">
        <v>876</v>
      </c>
      <c r="F5992" s="27" t="s">
        <v>14326</v>
      </c>
      <c r="G5992" s="27"/>
      <c r="H5992" s="16" t="str">
        <f>IF(ISBLANK(PARTIDAS!$G5992),PARTIDAS!$F5992,CONCATENATE(PARTIDAS!$F5992," (",PARTIDAS!$G5992,")"))</f>
        <v>Trépanos y coronas</v>
      </c>
      <c r="I5992" s="16" t="s">
        <v>9427</v>
      </c>
    </row>
    <row r="5993" spans="1:9" x14ac:dyDescent="0.25">
      <c r="A5993" s="16" t="s">
        <v>6925</v>
      </c>
      <c r="B5993" s="16" t="str">
        <f>TEXT(PARTIDA[[#This Row],[PARTIDA]],"0000000000")</f>
        <v>8207192100</v>
      </c>
      <c r="C5993" s="16" t="s">
        <v>860</v>
      </c>
      <c r="D5993" s="16" t="s">
        <v>873</v>
      </c>
      <c r="E5993" s="16" t="s">
        <v>876</v>
      </c>
      <c r="F5993" s="27" t="s">
        <v>14330</v>
      </c>
      <c r="G5993" s="27"/>
      <c r="H5993" s="16" t="str">
        <f>IF(ISBLANK(PARTIDAS!$G5993),PARTIDAS!$F5993,CONCATENATE(PARTIDAS!$F5993," (",PARTIDAS!$G5993,")"))</f>
        <v>Brocas, diamantadas</v>
      </c>
      <c r="I5993" s="16" t="s">
        <v>9427</v>
      </c>
    </row>
    <row r="5994" spans="1:9" x14ac:dyDescent="0.25">
      <c r="A5994" s="16" t="s">
        <v>6926</v>
      </c>
      <c r="B5994" s="16" t="str">
        <f>TEXT(PARTIDA[[#This Row],[PARTIDA]],"0000000000")</f>
        <v>8207192900</v>
      </c>
      <c r="C5994" s="16" t="s">
        <v>860</v>
      </c>
      <c r="D5994" s="16" t="s">
        <v>873</v>
      </c>
      <c r="E5994" s="16" t="s">
        <v>876</v>
      </c>
      <c r="F5994" s="27" t="s">
        <v>14331</v>
      </c>
      <c r="G5994" s="27"/>
      <c r="H5994" s="16" t="str">
        <f>IF(ISBLANK(PARTIDAS!$G5994),PARTIDAS!$F5994,CONCATENATE(PARTIDAS!$F5994," (",PARTIDAS!$G5994,")"))</f>
        <v>Brocas (los demás)</v>
      </c>
      <c r="I5994" s="16" t="s">
        <v>9427</v>
      </c>
    </row>
    <row r="5995" spans="1:9" x14ac:dyDescent="0.25">
      <c r="A5995" s="16" t="s">
        <v>6927</v>
      </c>
      <c r="B5995" s="16" t="str">
        <f>TEXT(PARTIDA[[#This Row],[PARTIDA]],"0000000000")</f>
        <v>8207193000</v>
      </c>
      <c r="C5995" s="16" t="s">
        <v>860</v>
      </c>
      <c r="D5995" s="16" t="s">
        <v>873</v>
      </c>
      <c r="E5995" s="16" t="s">
        <v>876</v>
      </c>
      <c r="F5995" s="27" t="s">
        <v>14328</v>
      </c>
      <c r="G5995" s="27"/>
      <c r="H5995" s="16" t="str">
        <f>IF(ISBLANK(PARTIDAS!$G5995),PARTIDAS!$F5995,CONCATENATE(PARTIDAS!$F5995," (",PARTIDAS!$G5995,")"))</f>
        <v>Barrenas integrales</v>
      </c>
      <c r="I5995" s="16" t="s">
        <v>9427</v>
      </c>
    </row>
    <row r="5996" spans="1:9" x14ac:dyDescent="0.25">
      <c r="A5996" s="16" t="s">
        <v>6928</v>
      </c>
      <c r="B5996" s="16" t="str">
        <f>TEXT(PARTIDA[[#This Row],[PARTIDA]],"0000000000")</f>
        <v>8207198000</v>
      </c>
      <c r="C5996" s="16" t="s">
        <v>860</v>
      </c>
      <c r="D5996" s="16" t="s">
        <v>873</v>
      </c>
      <c r="E5996" s="16" t="s">
        <v>876</v>
      </c>
      <c r="F5996" s="27" t="s">
        <v>14332</v>
      </c>
      <c r="G5996" s="27"/>
      <c r="H5996" s="16" t="str">
        <f>IF(ISBLANK(PARTIDAS!$G5996),PARTIDAS!$F5996,CONCATENATE(PARTIDAS!$F5996," (",PARTIDAS!$G5996,")"))</f>
        <v>Útiles de perforación o sondeo (los demás, útiles)</v>
      </c>
      <c r="I5996" s="16" t="s">
        <v>9427</v>
      </c>
    </row>
    <row r="5997" spans="1:9" x14ac:dyDescent="0.25">
      <c r="A5997" s="16" t="s">
        <v>6929</v>
      </c>
      <c r="B5997" s="16" t="str">
        <f>TEXT(PARTIDA[[#This Row],[PARTIDA]],"0000000000")</f>
        <v>8207200000</v>
      </c>
      <c r="C5997" s="16" t="s">
        <v>860</v>
      </c>
      <c r="D5997" s="16" t="s">
        <v>873</v>
      </c>
      <c r="E5997" s="16" t="s">
        <v>876</v>
      </c>
      <c r="F5997" s="27" t="s">
        <v>14333</v>
      </c>
      <c r="G5997" s="27"/>
      <c r="H5997" s="16" t="str">
        <f>IF(ISBLANK(PARTIDAS!$G5997),PARTIDAS!$F5997,CONCATENATE(PARTIDAS!$F5997," (",PARTIDAS!$G5997,")"))</f>
        <v>Hileras de extrudir o de estirar (trefilar) metal</v>
      </c>
      <c r="I5997" s="16" t="s">
        <v>9427</v>
      </c>
    </row>
    <row r="5998" spans="1:9" x14ac:dyDescent="0.25">
      <c r="A5998" s="16" t="s">
        <v>6930</v>
      </c>
      <c r="B5998" s="16" t="str">
        <f>TEXT(PARTIDA[[#This Row],[PARTIDA]],"0000000000")</f>
        <v>8207300000</v>
      </c>
      <c r="C5998" s="16" t="s">
        <v>860</v>
      </c>
      <c r="D5998" s="16" t="s">
        <v>873</v>
      </c>
      <c r="E5998" s="16" t="s">
        <v>9478</v>
      </c>
      <c r="F5998" s="27" t="s">
        <v>9417</v>
      </c>
      <c r="G5998" s="27"/>
      <c r="H5998" s="16" t="str">
        <f>IF(ISBLANK(PARTIDAS!$G5998),PARTIDAS!$F5998,CONCATENATE(PARTIDAS!$F5998," (",PARTIDAS!$G5998,")"))</f>
        <v>Útiles de embutir, estampar o punzonar</v>
      </c>
      <c r="I5998" s="16" t="s">
        <v>9477</v>
      </c>
    </row>
    <row r="5999" spans="1:9" x14ac:dyDescent="0.25">
      <c r="A5999" s="16" t="s">
        <v>6931</v>
      </c>
      <c r="B5999" s="16" t="str">
        <f>TEXT(PARTIDA[[#This Row],[PARTIDA]],"0000000000")</f>
        <v>8207400000</v>
      </c>
      <c r="C5999" s="16" t="s">
        <v>860</v>
      </c>
      <c r="D5999" s="16" t="s">
        <v>873</v>
      </c>
      <c r="E5999" s="16" t="s">
        <v>9478</v>
      </c>
      <c r="F5999" s="27" t="s">
        <v>9419</v>
      </c>
      <c r="G5999" s="27"/>
      <c r="H5999" s="16" t="str">
        <f>IF(ISBLANK(PARTIDAS!$G5999),PARTIDAS!$F5999,CONCATENATE(PARTIDAS!$F5999," (",PARTIDAS!$G5999,")"))</f>
        <v>Útiles de roscar (incluso aterrajar)</v>
      </c>
      <c r="I5999" s="16" t="s">
        <v>9477</v>
      </c>
    </row>
    <row r="6000" spans="1:9" x14ac:dyDescent="0.25">
      <c r="A6000" s="16" t="s">
        <v>6932</v>
      </c>
      <c r="B6000" s="16" t="str">
        <f>TEXT(PARTIDA[[#This Row],[PARTIDA]],"0000000000")</f>
        <v>8207500000</v>
      </c>
      <c r="C6000" s="16" t="s">
        <v>860</v>
      </c>
      <c r="D6000" s="16" t="s">
        <v>873</v>
      </c>
      <c r="E6000" s="16" t="s">
        <v>9478</v>
      </c>
      <c r="F6000" s="27" t="s">
        <v>9421</v>
      </c>
      <c r="G6000" s="27"/>
      <c r="H6000" s="16" t="str">
        <f>IF(ISBLANK(PARTIDAS!$G6000),PARTIDAS!$F6000,CONCATENATE(PARTIDAS!$F6000," (",PARTIDAS!$G6000,")"))</f>
        <v>Útiles de taladrar</v>
      </c>
      <c r="I6000" s="16" t="s">
        <v>9477</v>
      </c>
    </row>
    <row r="6001" spans="1:9" x14ac:dyDescent="0.25">
      <c r="A6001" s="16" t="s">
        <v>6933</v>
      </c>
      <c r="B6001" s="16" t="str">
        <f>TEXT(PARTIDA[[#This Row],[PARTIDA]],"0000000000")</f>
        <v>8207600000</v>
      </c>
      <c r="C6001" s="16" t="s">
        <v>860</v>
      </c>
      <c r="D6001" s="16" t="s">
        <v>873</v>
      </c>
      <c r="E6001" s="16" t="s">
        <v>876</v>
      </c>
      <c r="F6001" s="27" t="s">
        <v>14334</v>
      </c>
      <c r="G6001" s="27"/>
      <c r="H6001" s="16" t="str">
        <f>IF(ISBLANK(PARTIDAS!$G6001),PARTIDAS!$F6001,CONCATENATE(PARTIDAS!$F6001," (",PARTIDAS!$G6001,")"))</f>
        <v>Útiles de escariar o brochar</v>
      </c>
      <c r="I6001" s="16" t="s">
        <v>9427</v>
      </c>
    </row>
    <row r="6002" spans="1:9" x14ac:dyDescent="0.25">
      <c r="A6002" s="16" t="s">
        <v>6934</v>
      </c>
      <c r="B6002" s="16" t="str">
        <f>TEXT(PARTIDA[[#This Row],[PARTIDA]],"0000000000")</f>
        <v>8207700000</v>
      </c>
      <c r="C6002" s="16" t="s">
        <v>860</v>
      </c>
      <c r="D6002" s="16" t="s">
        <v>873</v>
      </c>
      <c r="E6002" s="16" t="s">
        <v>876</v>
      </c>
      <c r="F6002" s="27" t="s">
        <v>14335</v>
      </c>
      <c r="G6002" s="27"/>
      <c r="H6002" s="16" t="str">
        <f>IF(ISBLANK(PARTIDAS!$G6002),PARTIDAS!$F6002,CONCATENATE(PARTIDAS!$F6002," (",PARTIDAS!$G6002,")"))</f>
        <v>Útiles de fresar</v>
      </c>
      <c r="I6002" s="16" t="s">
        <v>9427</v>
      </c>
    </row>
    <row r="6003" spans="1:9" x14ac:dyDescent="0.25">
      <c r="A6003" s="16" t="s">
        <v>6935</v>
      </c>
      <c r="B6003" s="16" t="str">
        <f>TEXT(PARTIDA[[#This Row],[PARTIDA]],"0000000000")</f>
        <v>8207800000</v>
      </c>
      <c r="C6003" s="16" t="s">
        <v>860</v>
      </c>
      <c r="D6003" s="16" t="s">
        <v>873</v>
      </c>
      <c r="E6003" s="16" t="s">
        <v>876</v>
      </c>
      <c r="F6003" s="27" t="s">
        <v>14336</v>
      </c>
      <c r="G6003" s="27"/>
      <c r="H6003" s="16" t="str">
        <f>IF(ISBLANK(PARTIDAS!$G6003),PARTIDAS!$F6003,CONCATENATE(PARTIDAS!$F6003," (",PARTIDAS!$G6003,")"))</f>
        <v>Útiles de tornear</v>
      </c>
      <c r="I6003" s="16" t="s">
        <v>9427</v>
      </c>
    </row>
    <row r="6004" spans="1:9" x14ac:dyDescent="0.25">
      <c r="A6004" s="16" t="s">
        <v>6936</v>
      </c>
      <c r="B6004" s="16" t="str">
        <f>TEXT(PARTIDA[[#This Row],[PARTIDA]],"0000000000")</f>
        <v>8207900000</v>
      </c>
      <c r="C6004" s="16" t="s">
        <v>860</v>
      </c>
      <c r="D6004" s="16" t="s">
        <v>873</v>
      </c>
      <c r="E6004" s="16" t="s">
        <v>9478</v>
      </c>
      <c r="F6004" s="27" t="s">
        <v>9423</v>
      </c>
      <c r="G6004" s="27"/>
      <c r="H6004" s="16" t="str">
        <f>IF(ISBLANK(PARTIDAS!$G6004),PARTIDAS!$F6004,CONCATENATE(PARTIDAS!$F6004," (",PARTIDAS!$G6004,")"))</f>
        <v>Útiles intercambiables para herramientas de mano, incluso mecánicas… (los demás, útiles intercambiables)</v>
      </c>
      <c r="I6004" s="16" t="s">
        <v>9477</v>
      </c>
    </row>
    <row r="6005" spans="1:9" x14ac:dyDescent="0.25">
      <c r="A6005" s="16" t="s">
        <v>6937</v>
      </c>
      <c r="B6005" s="16" t="str">
        <f>TEXT(PARTIDA[[#This Row],[PARTIDA]],"0000000000")</f>
        <v>8208100000</v>
      </c>
      <c r="C6005" s="16" t="s">
        <v>860</v>
      </c>
      <c r="D6005" s="16" t="s">
        <v>873</v>
      </c>
      <c r="E6005" s="16" t="s">
        <v>876</v>
      </c>
      <c r="F6005" s="27" t="s">
        <v>14337</v>
      </c>
      <c r="G6005" s="27"/>
      <c r="H6005" s="16" t="str">
        <f>IF(ISBLANK(PARTIDAS!$G6005),PARTIDAS!$F6005,CONCATENATE(PARTIDAS!$F6005," (",PARTIDAS!$G6005,")"))</f>
        <v>Cuchillas y hojas cortantes, para máquinas o aparatos mecánicos, para trabajar metal</v>
      </c>
      <c r="I6005" s="16" t="s">
        <v>9427</v>
      </c>
    </row>
    <row r="6006" spans="1:9" x14ac:dyDescent="0.25">
      <c r="A6006" s="16" t="s">
        <v>6938</v>
      </c>
      <c r="B6006" s="16" t="str">
        <f>TEXT(PARTIDA[[#This Row],[PARTIDA]],"0000000000")</f>
        <v>8208200000</v>
      </c>
      <c r="C6006" s="16" t="s">
        <v>860</v>
      </c>
      <c r="D6006" s="16" t="s">
        <v>873</v>
      </c>
      <c r="E6006" s="16" t="s">
        <v>876</v>
      </c>
      <c r="F6006" s="27" t="s">
        <v>14338</v>
      </c>
      <c r="G6006" s="27"/>
      <c r="H6006" s="16" t="str">
        <f>IF(ISBLANK(PARTIDAS!$G6006),PARTIDAS!$F6006,CONCATENATE(PARTIDAS!$F6006," (",PARTIDAS!$G6006,")"))</f>
        <v>Cuchillas y hojas cortantes, para máquinas o aparatos mecánicos, para trabajar madera</v>
      </c>
      <c r="I6006" s="16" t="s">
        <v>9427</v>
      </c>
    </row>
    <row r="6007" spans="1:9" x14ac:dyDescent="0.25">
      <c r="A6007" s="16" t="s">
        <v>6939</v>
      </c>
      <c r="B6007" s="16" t="str">
        <f>TEXT(PARTIDA[[#This Row],[PARTIDA]],"0000000000")</f>
        <v>8208300000</v>
      </c>
      <c r="C6007" s="16" t="s">
        <v>860</v>
      </c>
      <c r="D6007" s="16" t="s">
        <v>873</v>
      </c>
      <c r="E6007" s="16" t="s">
        <v>876</v>
      </c>
      <c r="F6007" s="27" t="s">
        <v>14339</v>
      </c>
      <c r="G6007" s="27"/>
      <c r="H6007" s="16" t="str">
        <f>IF(ISBLANK(PARTIDAS!$G6007),PARTIDAS!$F6007,CONCATENATE(PARTIDAS!$F6007," (",PARTIDAS!$G6007,")"))</f>
        <v>Cuchillas y hojas cortantes, para máquinas o aparatos mecánicos, para aparatos de cocina o máquinas de la industria alimentaria</v>
      </c>
      <c r="I6007" s="16" t="s">
        <v>9427</v>
      </c>
    </row>
    <row r="6008" spans="1:9" x14ac:dyDescent="0.25">
      <c r="A6008" s="16" t="s">
        <v>6940</v>
      </c>
      <c r="B6008" s="16" t="str">
        <f>TEXT(PARTIDA[[#This Row],[PARTIDA]],"0000000000")</f>
        <v>8208400000</v>
      </c>
      <c r="C6008" s="16" t="s">
        <v>860</v>
      </c>
      <c r="D6008" s="16" t="s">
        <v>873</v>
      </c>
      <c r="E6008" s="16" t="s">
        <v>876</v>
      </c>
      <c r="F6008" s="27" t="s">
        <v>14340</v>
      </c>
      <c r="G6008" s="27"/>
      <c r="H6008" s="16" t="str">
        <f>IF(ISBLANK(PARTIDAS!$G6008),PARTIDAS!$F6008,CONCATENATE(PARTIDAS!$F6008," (",PARTIDAS!$G6008,")"))</f>
        <v>Cuchillas y hojas cortantes, para máquinas o aparatos mecánicos, para máquinas agrícolas, hortícolas o forestales</v>
      </c>
      <c r="I6008" s="16" t="s">
        <v>9427</v>
      </c>
    </row>
    <row r="6009" spans="1:9" x14ac:dyDescent="0.25">
      <c r="A6009" s="16" t="s">
        <v>6941</v>
      </c>
      <c r="B6009" s="16" t="str">
        <f>TEXT(PARTIDA[[#This Row],[PARTIDA]],"0000000000")</f>
        <v>8208900000</v>
      </c>
      <c r="C6009" s="16" t="s">
        <v>860</v>
      </c>
      <c r="D6009" s="16" t="s">
        <v>873</v>
      </c>
      <c r="E6009" s="16" t="s">
        <v>876</v>
      </c>
      <c r="F6009" s="27" t="s">
        <v>14341</v>
      </c>
      <c r="G6009" s="27"/>
      <c r="H6009" s="16" t="str">
        <f>IF(ISBLANK(PARTIDAS!$G6009),PARTIDAS!$F6009,CONCATENATE(PARTIDAS!$F6009," (",PARTIDAS!$G6009,")"))</f>
        <v>Cuchillas y hojas cortantes, para máquinas o aparatos mecánicos (los demás)</v>
      </c>
      <c r="I6009" s="16" t="s">
        <v>9427</v>
      </c>
    </row>
    <row r="6010" spans="1:9" x14ac:dyDescent="0.25">
      <c r="A6010" s="16" t="s">
        <v>6942</v>
      </c>
      <c r="B6010" s="16" t="str">
        <f>TEXT(PARTIDA[[#This Row],[PARTIDA]],"0000000000")</f>
        <v>8209001000</v>
      </c>
      <c r="C6010" s="16" t="s">
        <v>860</v>
      </c>
      <c r="D6010" s="16" t="s">
        <v>873</v>
      </c>
      <c r="E6010" s="16" t="s">
        <v>876</v>
      </c>
      <c r="F6010" s="27" t="s">
        <v>14342</v>
      </c>
      <c r="G6010" s="27"/>
      <c r="H6010" s="16" t="str">
        <f>IF(ISBLANK(PARTIDAS!$G6010),PARTIDAS!$F6010,CONCATENATE(PARTIDAS!$F6010," (",PARTIDAS!$G6010,")"))</f>
        <v>Cuchillas y hojas cortantes, para máquinas o aparatos mecánicos.…, de carburos de tungsteno (volframio)</v>
      </c>
      <c r="I6010" s="16" t="s">
        <v>9427</v>
      </c>
    </row>
    <row r="6011" spans="1:9" x14ac:dyDescent="0.25">
      <c r="A6011" s="16" t="s">
        <v>6943</v>
      </c>
      <c r="B6011" s="16" t="str">
        <f>TEXT(PARTIDA[[#This Row],[PARTIDA]],"0000000000")</f>
        <v>8209009000</v>
      </c>
      <c r="C6011" s="16" t="s">
        <v>860</v>
      </c>
      <c r="D6011" s="16" t="s">
        <v>873</v>
      </c>
      <c r="E6011" s="16" t="s">
        <v>876</v>
      </c>
      <c r="F6011" s="27" t="s">
        <v>14343</v>
      </c>
      <c r="G6011" s="27"/>
      <c r="H6011" s="16" t="str">
        <f>IF(ISBLANK(PARTIDAS!$G6011),PARTIDAS!$F6011,CONCATENATE(PARTIDAS!$F6011," (",PARTIDAS!$G6011,")"))</f>
        <v>Cuchillas y hojas cortantes, para máquinas o aparatos mecánicos.… (los demás)</v>
      </c>
      <c r="I6011" s="16" t="s">
        <v>9427</v>
      </c>
    </row>
    <row r="6012" spans="1:9" x14ac:dyDescent="0.25">
      <c r="A6012" s="16" t="s">
        <v>6944</v>
      </c>
      <c r="B6012" s="16" t="str">
        <f>TEXT(PARTIDA[[#This Row],[PARTIDA]],"0000000000")</f>
        <v>8210001000</v>
      </c>
      <c r="C6012" s="16" t="s">
        <v>860</v>
      </c>
      <c r="D6012" s="16" t="s">
        <v>873</v>
      </c>
      <c r="E6012" s="16" t="s">
        <v>876</v>
      </c>
      <c r="F6012" s="27" t="s">
        <v>14344</v>
      </c>
      <c r="G6012" s="27"/>
      <c r="H6012" s="16" t="str">
        <f>IF(ISBLANK(PARTIDAS!$G6012),PARTIDAS!$F6012,CONCATENATE(PARTIDAS!$F6012," (",PARTIDAS!$G6012,")"))</f>
        <v>Molinillos</v>
      </c>
      <c r="I6012" s="16" t="s">
        <v>9427</v>
      </c>
    </row>
    <row r="6013" spans="1:9" x14ac:dyDescent="0.25">
      <c r="A6013" s="16" t="s">
        <v>6945</v>
      </c>
      <c r="B6013" s="16" t="str">
        <f>TEXT(PARTIDA[[#This Row],[PARTIDA]],"0000000000")</f>
        <v>8210009000</v>
      </c>
      <c r="C6013" s="16" t="s">
        <v>860</v>
      </c>
      <c r="D6013" s="16" t="s">
        <v>873</v>
      </c>
      <c r="E6013" s="16" t="s">
        <v>876</v>
      </c>
      <c r="F6013" s="27" t="s">
        <v>14343</v>
      </c>
      <c r="G6013" s="27"/>
      <c r="H6013" s="16" t="str">
        <f>IF(ISBLANK(PARTIDAS!$G6013),PARTIDAS!$F6013,CONCATENATE(PARTIDAS!$F6013," (",PARTIDAS!$G6013,")"))</f>
        <v>Cuchillas y hojas cortantes, para máquinas o aparatos mecánicos.… (los demás)</v>
      </c>
      <c r="I6013" s="16" t="s">
        <v>9427</v>
      </c>
    </row>
    <row r="6014" spans="1:9" x14ac:dyDescent="0.25">
      <c r="A6014" s="16" t="s">
        <v>6946</v>
      </c>
      <c r="B6014" s="16" t="str">
        <f>TEXT(PARTIDA[[#This Row],[PARTIDA]],"0000000000")</f>
        <v>8211100000</v>
      </c>
      <c r="C6014" s="16" t="s">
        <v>786</v>
      </c>
      <c r="D6014" s="16" t="s">
        <v>799</v>
      </c>
      <c r="E6014" s="16" t="s">
        <v>801</v>
      </c>
      <c r="F6014" s="27" t="s">
        <v>14345</v>
      </c>
      <c r="G6014" s="27"/>
      <c r="H6014" s="16" t="str">
        <f>IF(ISBLANK(PARTIDAS!$G6014),PARTIDAS!$F6014,CONCATENATE(PARTIDAS!$F6014," (",PARTIDAS!$G6014,")"))</f>
        <v>Surtidos</v>
      </c>
      <c r="I6014" s="16" t="s">
        <v>9427</v>
      </c>
    </row>
    <row r="6015" spans="1:9" x14ac:dyDescent="0.25">
      <c r="A6015" s="16" t="s">
        <v>6947</v>
      </c>
      <c r="B6015" s="16" t="str">
        <f>TEXT(PARTIDA[[#This Row],[PARTIDA]],"0000000000")</f>
        <v>8211910000</v>
      </c>
      <c r="C6015" s="16" t="s">
        <v>786</v>
      </c>
      <c r="D6015" s="16" t="s">
        <v>799</v>
      </c>
      <c r="E6015" s="16" t="s">
        <v>801</v>
      </c>
      <c r="F6015" s="27" t="s">
        <v>14346</v>
      </c>
      <c r="G6015" s="27"/>
      <c r="H6015" s="16" t="str">
        <f>IF(ISBLANK(PARTIDAS!$G6015),PARTIDAS!$F6015,CONCATENATE(PARTIDAS!$F6015," (",PARTIDAS!$G6015,")"))</f>
        <v>Cuchillos de mesa de hoja fija</v>
      </c>
      <c r="I6015" s="16" t="s">
        <v>9427</v>
      </c>
    </row>
    <row r="6016" spans="1:9" x14ac:dyDescent="0.25">
      <c r="A6016" s="16" t="s">
        <v>6948</v>
      </c>
      <c r="B6016" s="16" t="str">
        <f>TEXT(PARTIDA[[#This Row],[PARTIDA]],"0000000000")</f>
        <v>8211920000</v>
      </c>
      <c r="C6016" s="16" t="s">
        <v>786</v>
      </c>
      <c r="D6016" s="16" t="s">
        <v>799</v>
      </c>
      <c r="E6016" s="16" t="s">
        <v>801</v>
      </c>
      <c r="F6016" s="27" t="s">
        <v>14347</v>
      </c>
      <c r="G6016" s="27"/>
      <c r="H6016" s="16" t="str">
        <f>IF(ISBLANK(PARTIDAS!$G6016),PARTIDAS!$F6016,CONCATENATE(PARTIDAS!$F6016," (",PARTIDAS!$G6016,")"))</f>
        <v>Cuchillos con hoja cortante o dentada, incluidas las navajas de… (los demás, cuchillos de hoja fija)</v>
      </c>
      <c r="I6016" s="16" t="s">
        <v>9427</v>
      </c>
    </row>
    <row r="6017" spans="1:9" x14ac:dyDescent="0.25">
      <c r="A6017" s="16" t="s">
        <v>6949</v>
      </c>
      <c r="B6017" s="16" t="str">
        <f>TEXT(PARTIDA[[#This Row],[PARTIDA]],"0000000000")</f>
        <v>8211931000</v>
      </c>
      <c r="C6017" s="16" t="s">
        <v>786</v>
      </c>
      <c r="D6017" s="16" t="s">
        <v>799</v>
      </c>
      <c r="E6017" s="16" t="s">
        <v>801</v>
      </c>
      <c r="F6017" s="27" t="s">
        <v>14348</v>
      </c>
      <c r="G6017" s="27"/>
      <c r="H6017" s="16" t="str">
        <f>IF(ISBLANK(PARTIDAS!$G6017),PARTIDAS!$F6017,CONCATENATE(PARTIDAS!$F6017," (",PARTIDAS!$G6017,")"))</f>
        <v>Cuchillos, de podar y de injertar</v>
      </c>
      <c r="I6017" s="16" t="s">
        <v>9427</v>
      </c>
    </row>
    <row r="6018" spans="1:9" x14ac:dyDescent="0.25">
      <c r="A6018" s="16" t="s">
        <v>6950</v>
      </c>
      <c r="B6018" s="16" t="str">
        <f>TEXT(PARTIDA[[#This Row],[PARTIDA]],"0000000000")</f>
        <v>8211939000</v>
      </c>
      <c r="C6018" s="16" t="s">
        <v>786</v>
      </c>
      <c r="D6018" s="16" t="s">
        <v>799</v>
      </c>
      <c r="E6018" s="16" t="s">
        <v>801</v>
      </c>
      <c r="F6018" s="27" t="s">
        <v>14349</v>
      </c>
      <c r="G6018" s="27"/>
      <c r="H6018" s="16" t="str">
        <f>IF(ISBLANK(PARTIDAS!$G6018),PARTIDAS!$F6018,CONCATENATE(PARTIDAS!$F6018," (",PARTIDAS!$G6018,")"))</f>
        <v>Cuchillos (los demás)</v>
      </c>
      <c r="I6018" s="16" t="s">
        <v>9427</v>
      </c>
    </row>
    <row r="6019" spans="1:9" x14ac:dyDescent="0.25">
      <c r="A6019" s="16" t="s">
        <v>6951</v>
      </c>
      <c r="B6019" s="16" t="str">
        <f>TEXT(PARTIDA[[#This Row],[PARTIDA]],"0000000000")</f>
        <v>8211941000</v>
      </c>
      <c r="C6019" s="16" t="s">
        <v>786</v>
      </c>
      <c r="D6019" s="16" t="s">
        <v>799</v>
      </c>
      <c r="E6019" s="16" t="s">
        <v>801</v>
      </c>
      <c r="F6019" s="27" t="s">
        <v>14350</v>
      </c>
      <c r="G6019" s="27"/>
      <c r="H6019" s="16" t="str">
        <f>IF(ISBLANK(PARTIDAS!$G6019),PARTIDAS!$F6019,CONCATENATE(PARTIDAS!$F6019," (",PARTIDAS!$G6019,")"))</f>
        <v>Hojas, para cuchillos de mesa</v>
      </c>
      <c r="I6019" s="16" t="s">
        <v>9427</v>
      </c>
    </row>
    <row r="6020" spans="1:9" x14ac:dyDescent="0.25">
      <c r="A6020" s="16" t="s">
        <v>6952</v>
      </c>
      <c r="B6020" s="16" t="str">
        <f>TEXT(PARTIDA[[#This Row],[PARTIDA]],"0000000000")</f>
        <v>8211949000</v>
      </c>
      <c r="C6020" s="16" t="s">
        <v>815</v>
      </c>
      <c r="D6020" s="16" t="s">
        <v>835</v>
      </c>
      <c r="E6020" s="16" t="s">
        <v>9463</v>
      </c>
      <c r="F6020" s="27" t="s">
        <v>9260</v>
      </c>
      <c r="G6020" s="27"/>
      <c r="H6020" s="16" t="str">
        <f>IF(ISBLANK(PARTIDAS!$G6020),PARTIDAS!$F6020,CONCATENATE(PARTIDAS!$F6020," (",PARTIDAS!$G6020,")"))</f>
        <v>Hojas (los demás)</v>
      </c>
      <c r="I6020" s="16" t="s">
        <v>9477</v>
      </c>
    </row>
    <row r="6021" spans="1:9" x14ac:dyDescent="0.25">
      <c r="A6021" s="16" t="s">
        <v>6953</v>
      </c>
      <c r="B6021" s="16" t="str">
        <f>TEXT(PARTIDA[[#This Row],[PARTIDA]],"0000000000")</f>
        <v>8211950000</v>
      </c>
      <c r="C6021" s="16" t="s">
        <v>786</v>
      </c>
      <c r="D6021" s="16" t="s">
        <v>799</v>
      </c>
      <c r="E6021" s="16" t="s">
        <v>801</v>
      </c>
      <c r="F6021" s="27" t="s">
        <v>14351</v>
      </c>
      <c r="G6021" s="27"/>
      <c r="H6021" s="16" t="str">
        <f>IF(ISBLANK(PARTIDAS!$G6021),PARTIDAS!$F6021,CONCATENATE(PARTIDAS!$F6021," (",PARTIDAS!$G6021,")"))</f>
        <v>Mangos de metal común</v>
      </c>
      <c r="I6021" s="16" t="s">
        <v>9427</v>
      </c>
    </row>
    <row r="6022" spans="1:9" x14ac:dyDescent="0.25">
      <c r="A6022" s="16" t="s">
        <v>6954</v>
      </c>
      <c r="B6022" s="16" t="str">
        <f>TEXT(PARTIDA[[#This Row],[PARTIDA]],"0000000000")</f>
        <v>8212101000</v>
      </c>
      <c r="C6022" s="16" t="s">
        <v>786</v>
      </c>
      <c r="D6022" s="16" t="s">
        <v>799</v>
      </c>
      <c r="E6022" s="16" t="s">
        <v>801</v>
      </c>
      <c r="F6022" s="27" t="s">
        <v>14352</v>
      </c>
      <c r="G6022" s="27"/>
      <c r="H6022" s="16" t="str">
        <f>IF(ISBLANK(PARTIDAS!$G6022),PARTIDAS!$F6022,CONCATENATE(PARTIDAS!$F6022," (",PARTIDAS!$G6022,")"))</f>
        <v>Navajas de afeitar</v>
      </c>
      <c r="I6022" s="16" t="s">
        <v>9427</v>
      </c>
    </row>
    <row r="6023" spans="1:9" x14ac:dyDescent="0.25">
      <c r="A6023" s="16" t="s">
        <v>6955</v>
      </c>
      <c r="B6023" s="16" t="str">
        <f>TEXT(PARTIDA[[#This Row],[PARTIDA]],"0000000000")</f>
        <v>8212102000</v>
      </c>
      <c r="C6023" s="16" t="s">
        <v>786</v>
      </c>
      <c r="D6023" s="16" t="s">
        <v>799</v>
      </c>
      <c r="E6023" s="16" t="s">
        <v>801</v>
      </c>
      <c r="F6023" s="27" t="s">
        <v>14353</v>
      </c>
      <c r="G6023" s="27"/>
      <c r="H6023" s="16" t="str">
        <f>IF(ISBLANK(PARTIDAS!$G6023),PARTIDAS!$F6023,CONCATENATE(PARTIDAS!$F6023," (",PARTIDAS!$G6023,")"))</f>
        <v>Máquinas de afeitar</v>
      </c>
      <c r="I6023" s="16" t="s">
        <v>9427</v>
      </c>
    </row>
    <row r="6024" spans="1:9" x14ac:dyDescent="0.25">
      <c r="A6024" s="16" t="s">
        <v>6956</v>
      </c>
      <c r="B6024" s="16" t="str">
        <f>TEXT(PARTIDA[[#This Row],[PARTIDA]],"0000000000")</f>
        <v>8212200000</v>
      </c>
      <c r="C6024" s="16" t="s">
        <v>786</v>
      </c>
      <c r="D6024" s="16" t="s">
        <v>799</v>
      </c>
      <c r="E6024" s="16" t="s">
        <v>801</v>
      </c>
      <c r="F6024" s="27" t="s">
        <v>14354</v>
      </c>
      <c r="G6024" s="27"/>
      <c r="H6024" s="16" t="str">
        <f>IF(ISBLANK(PARTIDAS!$G6024),PARTIDAS!$F6024,CONCATENATE(PARTIDAS!$F6024," (",PARTIDAS!$G6024,")"))</f>
        <v>Hojas para maquinillas de afeitar, incluidos los esbozos en fleje</v>
      </c>
      <c r="I6024" s="16" t="s">
        <v>9427</v>
      </c>
    </row>
    <row r="6025" spans="1:9" x14ac:dyDescent="0.25">
      <c r="A6025" s="16" t="s">
        <v>6957</v>
      </c>
      <c r="B6025" s="16" t="str">
        <f>TEXT(PARTIDA[[#This Row],[PARTIDA]],"0000000000")</f>
        <v>8212900000</v>
      </c>
      <c r="C6025" s="16" t="s">
        <v>786</v>
      </c>
      <c r="D6025" s="16" t="s">
        <v>799</v>
      </c>
      <c r="E6025" s="16" t="s">
        <v>801</v>
      </c>
      <c r="F6025" s="27" t="s">
        <v>14355</v>
      </c>
      <c r="G6025" s="27"/>
      <c r="H6025" s="16" t="str">
        <f>IF(ISBLANK(PARTIDAS!$G6025),PARTIDAS!$F6025,CONCATENATE(PARTIDAS!$F6025," (",PARTIDAS!$G6025,")"))</f>
        <v>Navajas y máquinas de afeitar y sus hojas (incluidos los esbozos en… (los demás, partes)</v>
      </c>
      <c r="I6025" s="16" t="s">
        <v>9427</v>
      </c>
    </row>
    <row r="6026" spans="1:9" x14ac:dyDescent="0.25">
      <c r="A6026" s="16" t="s">
        <v>6958</v>
      </c>
      <c r="B6026" s="16" t="str">
        <f>TEXT(PARTIDA[[#This Row],[PARTIDA]],"0000000000")</f>
        <v>8213000000</v>
      </c>
      <c r="C6026" s="16" t="s">
        <v>786</v>
      </c>
      <c r="D6026" s="16" t="s">
        <v>799</v>
      </c>
      <c r="E6026" s="16" t="s">
        <v>801</v>
      </c>
      <c r="F6026" s="27" t="s">
        <v>6959</v>
      </c>
      <c r="G6026" s="27"/>
      <c r="H6026" s="16" t="str">
        <f>IF(ISBLANK(PARTIDAS!$G6026),PARTIDAS!$F6026,CONCATENATE(PARTIDAS!$F6026," (",PARTIDAS!$G6026,")"))</f>
        <v>Tijeras y sus hojas</v>
      </c>
      <c r="I6026" s="16" t="s">
        <v>9427</v>
      </c>
    </row>
    <row r="6027" spans="1:9" x14ac:dyDescent="0.25">
      <c r="A6027" s="16" t="s">
        <v>6960</v>
      </c>
      <c r="B6027" s="16" t="str">
        <f>TEXT(PARTIDA[[#This Row],[PARTIDA]],"0000000000")</f>
        <v>8214100000</v>
      </c>
      <c r="C6027" s="16" t="s">
        <v>786</v>
      </c>
      <c r="D6027" s="16" t="s">
        <v>799</v>
      </c>
      <c r="E6027" s="16" t="s">
        <v>801</v>
      </c>
      <c r="F6027" s="27" t="s">
        <v>14356</v>
      </c>
      <c r="G6027" s="27"/>
      <c r="H6027" s="16" t="str">
        <f>IF(ISBLANK(PARTIDAS!$G6027),PARTIDAS!$F6027,CONCATENATE(PARTIDAS!$F6027," (",PARTIDAS!$G6027,")"))</f>
        <v>Cortapapeles, abrecartas, raspadores, sacapuntas y sus cuchillas</v>
      </c>
      <c r="I6027" s="16" t="s">
        <v>9427</v>
      </c>
    </row>
    <row r="6028" spans="1:9" x14ac:dyDescent="0.25">
      <c r="A6028" s="16" t="s">
        <v>6961</v>
      </c>
      <c r="B6028" s="16" t="str">
        <f>TEXT(PARTIDA[[#This Row],[PARTIDA]],"0000000000")</f>
        <v>8214200000</v>
      </c>
      <c r="C6028" s="16" t="s">
        <v>786</v>
      </c>
      <c r="D6028" s="16" t="s">
        <v>799</v>
      </c>
      <c r="E6028" s="16" t="s">
        <v>801</v>
      </c>
      <c r="F6028" s="27" t="s">
        <v>6962</v>
      </c>
      <c r="G6028" s="27"/>
      <c r="H6028" s="16" t="str">
        <f>IF(ISBLANK(PARTIDAS!$G6028),PARTIDAS!$F6028,CONCATENATE(PARTIDAS!$F6028," (",PARTIDAS!$G6028,")"))</f>
        <v>Herramientas de manicura o de pedicuro</v>
      </c>
      <c r="I6028" s="16" t="s">
        <v>9427</v>
      </c>
    </row>
    <row r="6029" spans="1:9" x14ac:dyDescent="0.25">
      <c r="A6029" s="16" t="s">
        <v>6963</v>
      </c>
      <c r="B6029" s="16" t="str">
        <f>TEXT(PARTIDA[[#This Row],[PARTIDA]],"0000000000")</f>
        <v>8214901000</v>
      </c>
      <c r="C6029" s="16" t="s">
        <v>786</v>
      </c>
      <c r="D6029" s="16" t="s">
        <v>799</v>
      </c>
      <c r="E6029" s="16" t="s">
        <v>801</v>
      </c>
      <c r="F6029" s="27" t="s">
        <v>14357</v>
      </c>
      <c r="G6029" s="27"/>
      <c r="H6029" s="16" t="str">
        <f>IF(ISBLANK(PARTIDAS!$G6029),PARTIDAS!$F6029,CONCATENATE(PARTIDAS!$F6029," (",PARTIDAS!$G6029,")"))</f>
        <v>Máquinas de cortar el pelo o de esquilar</v>
      </c>
      <c r="I6029" s="16" t="s">
        <v>9427</v>
      </c>
    </row>
    <row r="6030" spans="1:9" x14ac:dyDescent="0.25">
      <c r="A6030" s="16" t="s">
        <v>6964</v>
      </c>
      <c r="B6030" s="16" t="str">
        <f>TEXT(PARTIDA[[#This Row],[PARTIDA]],"0000000000")</f>
        <v>8214909000</v>
      </c>
      <c r="C6030" s="16" t="s">
        <v>786</v>
      </c>
      <c r="D6030" s="16" t="s">
        <v>799</v>
      </c>
      <c r="E6030" s="16" t="s">
        <v>801</v>
      </c>
      <c r="F6030" s="27" t="s">
        <v>14358</v>
      </c>
      <c r="G6030" s="27"/>
      <c r="H6030" s="16" t="str">
        <f>IF(ISBLANK(PARTIDAS!$G6030),PARTIDAS!$F6030,CONCATENATE(PARTIDAS!$F6030," (",PARTIDAS!$G6030,")"))</f>
        <v>Herramientas y útiles, artículos de cuchillería y cubiertos de mesa… (los demás)</v>
      </c>
      <c r="I6030" s="16" t="s">
        <v>9427</v>
      </c>
    </row>
    <row r="6031" spans="1:9" x14ac:dyDescent="0.25">
      <c r="A6031" s="16" t="s">
        <v>6965</v>
      </c>
      <c r="B6031" s="16" t="str">
        <f>TEXT(PARTIDA[[#This Row],[PARTIDA]],"0000000000")</f>
        <v>8215100000</v>
      </c>
      <c r="C6031" s="16" t="s">
        <v>786</v>
      </c>
      <c r="D6031" s="16" t="s">
        <v>799</v>
      </c>
      <c r="E6031" s="16" t="s">
        <v>801</v>
      </c>
      <c r="F6031" s="27" t="s">
        <v>14359</v>
      </c>
      <c r="G6031" s="27"/>
      <c r="H6031" s="16" t="str">
        <f>IF(ISBLANK(PARTIDAS!$G6031),PARTIDAS!$F6031,CONCATENATE(PARTIDAS!$F6031," (",PARTIDAS!$G6031,")"))</f>
        <v>Surtidos que contengan por lo menos un objeto plateado, dorado o platinado</v>
      </c>
      <c r="I6031" s="16" t="s">
        <v>9427</v>
      </c>
    </row>
    <row r="6032" spans="1:9" x14ac:dyDescent="0.25">
      <c r="A6032" s="16" t="s">
        <v>6966</v>
      </c>
      <c r="B6032" s="16" t="str">
        <f>TEXT(PARTIDA[[#This Row],[PARTIDA]],"0000000000")</f>
        <v>8215200000</v>
      </c>
      <c r="C6032" s="16" t="s">
        <v>786</v>
      </c>
      <c r="D6032" s="16" t="s">
        <v>799</v>
      </c>
      <c r="E6032" s="16" t="s">
        <v>801</v>
      </c>
      <c r="F6032" s="27" t="s">
        <v>14360</v>
      </c>
      <c r="G6032" s="27"/>
      <c r="H6032" s="16" t="str">
        <f>IF(ISBLANK(PARTIDAS!$G6032),PARTIDAS!$F6032,CONCATENATE(PARTIDAS!$F6032," (",PARTIDAS!$G6032,")"))</f>
        <v>Cucharas, tenedores, cucharones, espumaderas, palas para tarta… (los demás, surtidos)</v>
      </c>
      <c r="I6032" s="16" t="s">
        <v>9427</v>
      </c>
    </row>
    <row r="6033" spans="1:9" x14ac:dyDescent="0.25">
      <c r="A6033" s="16" t="s">
        <v>6967</v>
      </c>
      <c r="B6033" s="16" t="str">
        <f>TEXT(PARTIDA[[#This Row],[PARTIDA]],"0000000000")</f>
        <v>8215910000</v>
      </c>
      <c r="C6033" s="16" t="s">
        <v>786</v>
      </c>
      <c r="D6033" s="16" t="s">
        <v>799</v>
      </c>
      <c r="E6033" s="16" t="s">
        <v>801</v>
      </c>
      <c r="F6033" s="27" t="s">
        <v>14361</v>
      </c>
      <c r="G6033" s="27"/>
      <c r="H6033" s="16" t="str">
        <f>IF(ISBLANK(PARTIDAS!$G6033),PARTIDAS!$F6033,CONCATENATE(PARTIDAS!$F6033," (",PARTIDAS!$G6033,")"))</f>
        <v>Plateados, dorados o platinados</v>
      </c>
      <c r="I6033" s="16" t="s">
        <v>9427</v>
      </c>
    </row>
    <row r="6034" spans="1:9" x14ac:dyDescent="0.25">
      <c r="A6034" s="16" t="s">
        <v>6968</v>
      </c>
      <c r="B6034" s="16" t="str">
        <f>TEXT(PARTIDA[[#This Row],[PARTIDA]],"0000000000")</f>
        <v>8215990000</v>
      </c>
      <c r="C6034" s="16" t="s">
        <v>786</v>
      </c>
      <c r="D6034" s="16" t="s">
        <v>799</v>
      </c>
      <c r="E6034" s="16" t="s">
        <v>801</v>
      </c>
      <c r="F6034" s="27" t="s">
        <v>14362</v>
      </c>
      <c r="G6034" s="27"/>
      <c r="H6034" s="16" t="str">
        <f>IF(ISBLANK(PARTIDAS!$G6034),PARTIDAS!$F6034,CONCATENATE(PARTIDAS!$F6034," (",PARTIDAS!$G6034,")"))</f>
        <v>Cucharas, tenedores, cucharones, espumaderas, palas para tarta… (los demás)</v>
      </c>
      <c r="I6034" s="16" t="s">
        <v>9427</v>
      </c>
    </row>
    <row r="6035" spans="1:9" x14ac:dyDescent="0.25">
      <c r="A6035" s="16" t="s">
        <v>6969</v>
      </c>
      <c r="B6035" s="16" t="str">
        <f>TEXT(PARTIDA[[#This Row],[PARTIDA]],"0000000000")</f>
        <v>8301100000</v>
      </c>
      <c r="C6035" s="16" t="s">
        <v>815</v>
      </c>
      <c r="D6035" s="16" t="s">
        <v>835</v>
      </c>
      <c r="E6035" s="16" t="s">
        <v>9463</v>
      </c>
      <c r="F6035" s="27" t="s">
        <v>14363</v>
      </c>
      <c r="G6035" s="27"/>
      <c r="H6035" s="16" t="str">
        <f>IF(ISBLANK(PARTIDAS!$G6035),PARTIDAS!$F6035,CONCATENATE(PARTIDAS!$F6035," (",PARTIDAS!$G6035,")"))</f>
        <v>Candados</v>
      </c>
      <c r="I6035" s="16" t="s">
        <v>9427</v>
      </c>
    </row>
    <row r="6036" spans="1:9" x14ac:dyDescent="0.25">
      <c r="A6036" s="16" t="s">
        <v>6970</v>
      </c>
      <c r="B6036" s="16" t="str">
        <f>TEXT(PARTIDA[[#This Row],[PARTIDA]],"0000000000")</f>
        <v>8301200000</v>
      </c>
      <c r="C6036" s="16" t="s">
        <v>815</v>
      </c>
      <c r="D6036" s="16" t="s">
        <v>835</v>
      </c>
      <c r="E6036" s="16" t="s">
        <v>9463</v>
      </c>
      <c r="F6036" s="27" t="s">
        <v>14364</v>
      </c>
      <c r="G6036" s="27"/>
      <c r="H6036" s="16" t="str">
        <f>IF(ISBLANK(PARTIDAS!$G6036),PARTIDAS!$F6036,CONCATENATE(PARTIDAS!$F6036," (",PARTIDAS!$G6036,")"))</f>
        <v>Cerraduras de los tipos utilizados en vehículos automóviles</v>
      </c>
      <c r="I6036" s="16" t="s">
        <v>9427</v>
      </c>
    </row>
    <row r="6037" spans="1:9" x14ac:dyDescent="0.25">
      <c r="A6037" s="16" t="s">
        <v>6971</v>
      </c>
      <c r="B6037" s="16" t="str">
        <f>TEXT(PARTIDA[[#This Row],[PARTIDA]],"0000000000")</f>
        <v>8301300000</v>
      </c>
      <c r="C6037" s="16" t="s">
        <v>815</v>
      </c>
      <c r="D6037" s="16" t="s">
        <v>835</v>
      </c>
      <c r="E6037" s="16" t="s">
        <v>9463</v>
      </c>
      <c r="F6037" s="27" t="s">
        <v>14365</v>
      </c>
      <c r="G6037" s="27"/>
      <c r="H6037" s="16" t="str">
        <f>IF(ISBLANK(PARTIDAS!$G6037),PARTIDAS!$F6037,CONCATENATE(PARTIDAS!$F6037," (",PARTIDAS!$G6037,")"))</f>
        <v>Cerraduras de los tipos utilizados en muebles</v>
      </c>
      <c r="I6037" s="16" t="s">
        <v>9427</v>
      </c>
    </row>
    <row r="6038" spans="1:9" x14ac:dyDescent="0.25">
      <c r="A6038" s="16" t="s">
        <v>6972</v>
      </c>
      <c r="B6038" s="16" t="str">
        <f>TEXT(PARTIDA[[#This Row],[PARTIDA]],"0000000000")</f>
        <v>8301401000</v>
      </c>
      <c r="C6038" s="16" t="s">
        <v>815</v>
      </c>
      <c r="D6038" s="16" t="s">
        <v>835</v>
      </c>
      <c r="E6038" s="16" t="s">
        <v>9463</v>
      </c>
      <c r="F6038" s="27" t="s">
        <v>14366</v>
      </c>
      <c r="G6038" s="27"/>
      <c r="H6038" s="16" t="str">
        <f>IF(ISBLANK(PARTIDAS!$G6038),PARTIDAS!$F6038,CONCATENATE(PARTIDAS!$F6038," (",PARTIDAS!$G6038,")"))</f>
        <v>Candados, cerraduras y cerrojos (de llave, combinación o eléctricos)…, para cajas de caudales</v>
      </c>
      <c r="I6038" s="16" t="s">
        <v>9427</v>
      </c>
    </row>
    <row r="6039" spans="1:9" x14ac:dyDescent="0.25">
      <c r="A6039" s="16" t="s">
        <v>6973</v>
      </c>
      <c r="B6039" s="16" t="str">
        <f>TEXT(PARTIDA[[#This Row],[PARTIDA]],"0000000000")</f>
        <v>8301409000</v>
      </c>
      <c r="C6039" s="16" t="s">
        <v>815</v>
      </c>
      <c r="D6039" s="16" t="s">
        <v>835</v>
      </c>
      <c r="E6039" s="16" t="s">
        <v>9463</v>
      </c>
      <c r="F6039" s="27" t="s">
        <v>14367</v>
      </c>
      <c r="G6039" s="27"/>
      <c r="H6039" s="16" t="str">
        <f>IF(ISBLANK(PARTIDAS!$G6039),PARTIDAS!$F6039,CONCATENATE(PARTIDAS!$F6039," (",PARTIDAS!$G6039,")"))</f>
        <v>Candados, cerraduras y cerrojos (de llave, combinación o eléctricos)… (los demás)</v>
      </c>
      <c r="I6039" s="16" t="s">
        <v>9427</v>
      </c>
    </row>
    <row r="6040" spans="1:9" x14ac:dyDescent="0.25">
      <c r="A6040" s="16" t="s">
        <v>6974</v>
      </c>
      <c r="B6040" s="16" t="str">
        <f>TEXT(PARTIDA[[#This Row],[PARTIDA]],"0000000000")</f>
        <v>8301500000</v>
      </c>
      <c r="C6040" s="16" t="s">
        <v>815</v>
      </c>
      <c r="D6040" s="16" t="s">
        <v>835</v>
      </c>
      <c r="E6040" s="16" t="s">
        <v>9463</v>
      </c>
      <c r="F6040" s="27" t="s">
        <v>14368</v>
      </c>
      <c r="G6040" s="27"/>
      <c r="H6040" s="16" t="str">
        <f>IF(ISBLANK(PARTIDAS!$G6040),PARTIDAS!$F6040,CONCATENATE(PARTIDAS!$F6040," (",PARTIDAS!$G6040,")"))</f>
        <v>Cierres y monturas cierre, con cerradura incorporada</v>
      </c>
      <c r="I6040" s="16" t="s">
        <v>9427</v>
      </c>
    </row>
    <row r="6041" spans="1:9" x14ac:dyDescent="0.25">
      <c r="A6041" s="16" t="s">
        <v>6975</v>
      </c>
      <c r="B6041" s="16" t="str">
        <f>TEXT(PARTIDA[[#This Row],[PARTIDA]],"0000000000")</f>
        <v>8301600000</v>
      </c>
      <c r="C6041" s="16" t="s">
        <v>815</v>
      </c>
      <c r="D6041" s="16" t="s">
        <v>835</v>
      </c>
      <c r="E6041" s="16" t="s">
        <v>9463</v>
      </c>
      <c r="F6041" s="27" t="s">
        <v>14369</v>
      </c>
      <c r="G6041" s="27"/>
      <c r="H6041" s="16" t="str">
        <f>IF(ISBLANK(PARTIDAS!$G6041),PARTIDAS!$F6041,CONCATENATE(PARTIDAS!$F6041," (",PARTIDAS!$G6041,")"))</f>
        <v>Candados, cerraduras y cerrojos (de llave, combinación o eléctricos)…, partes</v>
      </c>
      <c r="I6041" s="16" t="s">
        <v>9427</v>
      </c>
    </row>
    <row r="6042" spans="1:9" x14ac:dyDescent="0.25">
      <c r="A6042" s="16" t="s">
        <v>6976</v>
      </c>
      <c r="B6042" s="16" t="str">
        <f>TEXT(PARTIDA[[#This Row],[PARTIDA]],"0000000000")</f>
        <v>8301700000</v>
      </c>
      <c r="C6042" s="16" t="s">
        <v>815</v>
      </c>
      <c r="D6042" s="16" t="s">
        <v>835</v>
      </c>
      <c r="E6042" s="16" t="s">
        <v>9463</v>
      </c>
      <c r="F6042" s="27" t="s">
        <v>14370</v>
      </c>
      <c r="G6042" s="27"/>
      <c r="H6042" s="16" t="str">
        <f>IF(ISBLANK(PARTIDAS!$G6042),PARTIDAS!$F6042,CONCATENATE(PARTIDAS!$F6042," (",PARTIDAS!$G6042,")"))</f>
        <v>Llaves presentadas aisladamente</v>
      </c>
      <c r="I6042" s="16" t="s">
        <v>9427</v>
      </c>
    </row>
    <row r="6043" spans="1:9" x14ac:dyDescent="0.25">
      <c r="A6043" s="16" t="s">
        <v>6977</v>
      </c>
      <c r="B6043" s="16" t="str">
        <f>TEXT(PARTIDA[[#This Row],[PARTIDA]],"0000000000")</f>
        <v>8302101000</v>
      </c>
      <c r="C6043" s="16" t="s">
        <v>815</v>
      </c>
      <c r="D6043" s="16" t="s">
        <v>835</v>
      </c>
      <c r="E6043" s="16" t="s">
        <v>9463</v>
      </c>
      <c r="F6043" s="27" t="s">
        <v>14371</v>
      </c>
      <c r="G6043" s="27"/>
      <c r="H6043" s="16" t="str">
        <f>IF(ISBLANK(PARTIDAS!$G6043),PARTIDAS!$F6043,CONCATENATE(PARTIDAS!$F6043," (",PARTIDAS!$G6043,")"))</f>
        <v>Bisagras de cualquier clase (incluidos los pernios y demás goznes), para vehículos automóviles</v>
      </c>
      <c r="I6043" s="16" t="s">
        <v>9427</v>
      </c>
    </row>
    <row r="6044" spans="1:9" x14ac:dyDescent="0.25">
      <c r="A6044" s="16" t="s">
        <v>6978</v>
      </c>
      <c r="B6044" s="16" t="str">
        <f>TEXT(PARTIDA[[#This Row],[PARTIDA]],"0000000000")</f>
        <v>8302109000</v>
      </c>
      <c r="C6044" s="16" t="s">
        <v>815</v>
      </c>
      <c r="D6044" s="16" t="s">
        <v>835</v>
      </c>
      <c r="E6044" s="16" t="s">
        <v>9463</v>
      </c>
      <c r="F6044" s="27" t="s">
        <v>14372</v>
      </c>
      <c r="G6044" s="27"/>
      <c r="H6044" s="16" t="str">
        <f>IF(ISBLANK(PARTIDAS!$G6044),PARTIDAS!$F6044,CONCATENATE(PARTIDAS!$F6044," (",PARTIDAS!$G6044,")"))</f>
        <v>Bisagras de cualquier clase (incluidos los pernios y demás goznes) (los demás)</v>
      </c>
      <c r="I6044" s="16" t="s">
        <v>9427</v>
      </c>
    </row>
    <row r="6045" spans="1:9" x14ac:dyDescent="0.25">
      <c r="A6045" s="16" t="s">
        <v>6979</v>
      </c>
      <c r="B6045" s="16" t="str">
        <f>TEXT(PARTIDA[[#This Row],[PARTIDA]],"0000000000")</f>
        <v>8302200000</v>
      </c>
      <c r="C6045" s="16" t="s">
        <v>815</v>
      </c>
      <c r="D6045" s="16" t="s">
        <v>835</v>
      </c>
      <c r="E6045" s="16" t="s">
        <v>9463</v>
      </c>
      <c r="F6045" s="27" t="s">
        <v>6980</v>
      </c>
      <c r="G6045" s="27"/>
      <c r="H6045" s="16" t="str">
        <f>IF(ISBLANK(PARTIDAS!$G6045),PARTIDAS!$F6045,CONCATENATE(PARTIDAS!$F6045," (",PARTIDAS!$G6045,")"))</f>
        <v>Ruedas</v>
      </c>
      <c r="I6045" s="16" t="s">
        <v>9427</v>
      </c>
    </row>
    <row r="6046" spans="1:9" x14ac:dyDescent="0.25">
      <c r="A6046" s="16" t="s">
        <v>6981</v>
      </c>
      <c r="B6046" s="16" t="str">
        <f>TEXT(PARTIDA[[#This Row],[PARTIDA]],"0000000000")</f>
        <v>8302300000</v>
      </c>
      <c r="C6046" s="16" t="s">
        <v>815</v>
      </c>
      <c r="D6046" s="16" t="s">
        <v>835</v>
      </c>
      <c r="E6046" s="16" t="s">
        <v>9463</v>
      </c>
      <c r="F6046" s="27" t="s">
        <v>14373</v>
      </c>
      <c r="G6046" s="27"/>
      <c r="H6046" s="16" t="str">
        <f>IF(ISBLANK(PARTIDAS!$G6046),PARTIDAS!$F6046,CONCATENATE(PARTIDAS!$F6046," (",PARTIDAS!$G6046,")"))</f>
        <v>Guarniciones, herrajes y artículos similares, de metal común, para… (los demás, guarniciones, herrajes y artículos similares, para vehículos automóvil</v>
      </c>
      <c r="I6046" s="16" t="s">
        <v>9427</v>
      </c>
    </row>
    <row r="6047" spans="1:9" x14ac:dyDescent="0.25">
      <c r="A6047" s="16" t="s">
        <v>6982</v>
      </c>
      <c r="B6047" s="16" t="str">
        <f>TEXT(PARTIDA[[#This Row],[PARTIDA]],"0000000000")</f>
        <v>8302410000</v>
      </c>
      <c r="C6047" s="16" t="s">
        <v>815</v>
      </c>
      <c r="D6047" s="16" t="s">
        <v>835</v>
      </c>
      <c r="E6047" s="16" t="s">
        <v>9463</v>
      </c>
      <c r="F6047" s="27" t="s">
        <v>14374</v>
      </c>
      <c r="G6047" s="27"/>
      <c r="H6047" s="16" t="str">
        <f>IF(ISBLANK(PARTIDAS!$G6047),PARTIDAS!$F6047,CONCATENATE(PARTIDAS!$F6047," (",PARTIDAS!$G6047,")"))</f>
        <v>Guarniciones, herrajes y artículos similares, de metal común, para…, para edificios</v>
      </c>
      <c r="I6047" s="16" t="s">
        <v>9427</v>
      </c>
    </row>
    <row r="6048" spans="1:9" x14ac:dyDescent="0.25">
      <c r="A6048" s="16" t="s">
        <v>6983</v>
      </c>
      <c r="B6048" s="16" t="str">
        <f>TEXT(PARTIDA[[#This Row],[PARTIDA]],"0000000000")</f>
        <v>8302420000</v>
      </c>
      <c r="C6048" s="16" t="s">
        <v>815</v>
      </c>
      <c r="D6048" s="16" t="s">
        <v>835</v>
      </c>
      <c r="E6048" s="16" t="s">
        <v>9463</v>
      </c>
      <c r="F6048" s="27" t="s">
        <v>14375</v>
      </c>
      <c r="G6048" s="27"/>
      <c r="H6048" s="16" t="str">
        <f>IF(ISBLANK(PARTIDAS!$G6048),PARTIDAS!$F6048,CONCATENATE(PARTIDAS!$F6048," (",PARTIDAS!$G6048,")"))</f>
        <v>Guarniciones, herrajes y artículos similares, de metal común, para… (los demás, para muebles)</v>
      </c>
      <c r="I6048" s="16" t="s">
        <v>9427</v>
      </c>
    </row>
    <row r="6049" spans="1:9" x14ac:dyDescent="0.25">
      <c r="A6049" s="16" t="s">
        <v>6984</v>
      </c>
      <c r="B6049" s="16" t="str">
        <f>TEXT(PARTIDA[[#This Row],[PARTIDA]],"0000000000")</f>
        <v>8302490000</v>
      </c>
      <c r="C6049" s="16" t="s">
        <v>815</v>
      </c>
      <c r="D6049" s="16" t="s">
        <v>835</v>
      </c>
      <c r="E6049" s="16" t="s">
        <v>9463</v>
      </c>
      <c r="F6049" s="27" t="s">
        <v>14376</v>
      </c>
      <c r="G6049" s="27"/>
      <c r="H6049" s="16" t="str">
        <f>IF(ISBLANK(PARTIDAS!$G6049),PARTIDAS!$F6049,CONCATENATE(PARTIDAS!$F6049," (",PARTIDAS!$G6049,")"))</f>
        <v>Guarniciones, herrajes y artículos similares, de metal común, para… (los demás)</v>
      </c>
      <c r="I6049" s="16" t="s">
        <v>9427</v>
      </c>
    </row>
    <row r="6050" spans="1:9" x14ac:dyDescent="0.25">
      <c r="A6050" s="16" t="s">
        <v>6985</v>
      </c>
      <c r="B6050" s="16" t="str">
        <f>TEXT(PARTIDA[[#This Row],[PARTIDA]],"0000000000")</f>
        <v>8302500000</v>
      </c>
      <c r="C6050" s="16" t="s">
        <v>815</v>
      </c>
      <c r="D6050" s="16" t="s">
        <v>835</v>
      </c>
      <c r="E6050" s="16" t="s">
        <v>9463</v>
      </c>
      <c r="F6050" s="27" t="s">
        <v>14377</v>
      </c>
      <c r="G6050" s="27"/>
      <c r="H6050" s="16" t="str">
        <f>IF(ISBLANK(PARTIDAS!$G6050),PARTIDAS!$F6050,CONCATENATE(PARTIDAS!$F6050," (",PARTIDAS!$G6050,")"))</f>
        <v>Colgadores, perchas, soportes y artículos similares</v>
      </c>
      <c r="I6050" s="16" t="s">
        <v>9427</v>
      </c>
    </row>
    <row r="6051" spans="1:9" x14ac:dyDescent="0.25">
      <c r="A6051" s="16" t="s">
        <v>6986</v>
      </c>
      <c r="B6051" s="16" t="str">
        <f>TEXT(PARTIDA[[#This Row],[PARTIDA]],"0000000000")</f>
        <v>8302600000</v>
      </c>
      <c r="C6051" s="16" t="s">
        <v>815</v>
      </c>
      <c r="D6051" s="16" t="s">
        <v>835</v>
      </c>
      <c r="E6051" s="16" t="s">
        <v>9463</v>
      </c>
      <c r="F6051" s="27" t="s">
        <v>14378</v>
      </c>
      <c r="G6051" s="27"/>
      <c r="H6051" s="16" t="str">
        <f>IF(ISBLANK(PARTIDAS!$G6051),PARTIDAS!$F6051,CONCATENATE(PARTIDAS!$F6051," (",PARTIDAS!$G6051,")"))</f>
        <v>Cierrapuertas automáticos</v>
      </c>
      <c r="I6051" s="16" t="s">
        <v>9427</v>
      </c>
    </row>
    <row r="6052" spans="1:9" x14ac:dyDescent="0.25">
      <c r="A6052" s="16" t="s">
        <v>6987</v>
      </c>
      <c r="B6052" s="16" t="str">
        <f>TEXT(PARTIDA[[#This Row],[PARTIDA]],"0000000000")</f>
        <v>8303001000</v>
      </c>
      <c r="C6052" s="16" t="s">
        <v>815</v>
      </c>
      <c r="D6052" s="16" t="s">
        <v>835</v>
      </c>
      <c r="E6052" s="16" t="s">
        <v>9463</v>
      </c>
      <c r="F6052" s="27" t="s">
        <v>14379</v>
      </c>
      <c r="G6052" s="27"/>
      <c r="H6052" s="16" t="str">
        <f>IF(ISBLANK(PARTIDAS!$G6052),PARTIDAS!$F6052,CONCATENATE(PARTIDAS!$F6052," (",PARTIDAS!$G6052,")"))</f>
        <v>Cajas de caudales</v>
      </c>
      <c r="I6052" s="16" t="s">
        <v>9427</v>
      </c>
    </row>
    <row r="6053" spans="1:9" x14ac:dyDescent="0.25">
      <c r="A6053" s="16" t="s">
        <v>6988</v>
      </c>
      <c r="B6053" s="16" t="str">
        <f>TEXT(PARTIDA[[#This Row],[PARTIDA]],"0000000000")</f>
        <v>8303002000</v>
      </c>
      <c r="C6053" s="16" t="s">
        <v>815</v>
      </c>
      <c r="D6053" s="16" t="s">
        <v>835</v>
      </c>
      <c r="E6053" s="16" t="s">
        <v>9463</v>
      </c>
      <c r="F6053" s="27" t="s">
        <v>14380</v>
      </c>
      <c r="G6053" s="27"/>
      <c r="H6053" s="16" t="str">
        <f>IF(ISBLANK(PARTIDAS!$G6053),PARTIDAS!$F6053,CONCATENATE(PARTIDAS!$F6053," (",PARTIDAS!$G6053,")"))</f>
        <v>Puertas blindadas y compartimientos para cámaras acorazadas</v>
      </c>
      <c r="I6053" s="16" t="s">
        <v>9427</v>
      </c>
    </row>
    <row r="6054" spans="1:9" x14ac:dyDescent="0.25">
      <c r="A6054" s="16" t="s">
        <v>6989</v>
      </c>
      <c r="B6054" s="16" t="str">
        <f>TEXT(PARTIDA[[#This Row],[PARTIDA]],"0000000000")</f>
        <v>8303009000</v>
      </c>
      <c r="C6054" s="16" t="s">
        <v>815</v>
      </c>
      <c r="D6054" s="16" t="s">
        <v>835</v>
      </c>
      <c r="E6054" s="16" t="s">
        <v>9463</v>
      </c>
      <c r="F6054" s="27" t="s">
        <v>14376</v>
      </c>
      <c r="G6054" s="27"/>
      <c r="H6054" s="16" t="str">
        <f>IF(ISBLANK(PARTIDAS!$G6054),PARTIDAS!$F6054,CONCATENATE(PARTIDAS!$F6054," (",PARTIDAS!$G6054,")"))</f>
        <v>Guarniciones, herrajes y artículos similares, de metal común, para… (los demás)</v>
      </c>
      <c r="I6054" s="16" t="s">
        <v>9427</v>
      </c>
    </row>
    <row r="6055" spans="1:9" x14ac:dyDescent="0.25">
      <c r="A6055" s="16" t="s">
        <v>6990</v>
      </c>
      <c r="B6055" s="16" t="str">
        <f>TEXT(PARTIDA[[#This Row],[PARTIDA]],"0000000000")</f>
        <v>8304000000</v>
      </c>
      <c r="C6055" s="16" t="s">
        <v>815</v>
      </c>
      <c r="D6055" s="16" t="s">
        <v>835</v>
      </c>
      <c r="E6055" s="16" t="s">
        <v>9463</v>
      </c>
      <c r="F6055" s="27" t="s">
        <v>6991</v>
      </c>
      <c r="G6055" s="27"/>
      <c r="H6055" s="16" t="str">
        <f>IF(ISBLANK(PARTIDAS!$G6055),PARTIDAS!$F6055,CONCATENATE(PARTIDAS!$F6055," (",PARTIDAS!$G6055,")"))</f>
        <v>Clasificadores, ficheros, cajas de clasificación,
bandejas de correspondencia, plumeros (vasos o
cajas para plumas de escribir), portasellos y
material similar de oficina, de metal común,
excepto los muebles de oficina de la partida
94.03.</v>
      </c>
      <c r="I6055" s="16" t="s">
        <v>9427</v>
      </c>
    </row>
    <row r="6056" spans="1:9" x14ac:dyDescent="0.25">
      <c r="A6056" s="16" t="s">
        <v>6992</v>
      </c>
      <c r="B6056" s="16" t="str">
        <f>TEXT(PARTIDA[[#This Row],[PARTIDA]],"0000000000")</f>
        <v>8305100000</v>
      </c>
      <c r="C6056" s="16" t="s">
        <v>815</v>
      </c>
      <c r="D6056" s="16" t="s">
        <v>835</v>
      </c>
      <c r="E6056" s="16" t="s">
        <v>9463</v>
      </c>
      <c r="F6056" s="27" t="s">
        <v>14381</v>
      </c>
      <c r="G6056" s="27"/>
      <c r="H6056" s="16" t="str">
        <f>IF(ISBLANK(PARTIDAS!$G6056),PARTIDAS!$F6056,CONCATENATE(PARTIDAS!$F6056," (",PARTIDAS!$G6056,")"))</f>
        <v>Mecanismos para encuadernación de hojas intercambiables o para clasificadores</v>
      </c>
      <c r="I6056" s="16" t="s">
        <v>9427</v>
      </c>
    </row>
    <row r="6057" spans="1:9" x14ac:dyDescent="0.25">
      <c r="A6057" s="16" t="s">
        <v>6993</v>
      </c>
      <c r="B6057" s="16" t="str">
        <f>TEXT(PARTIDA[[#This Row],[PARTIDA]],"0000000000")</f>
        <v>8305200000</v>
      </c>
      <c r="C6057" s="16" t="s">
        <v>815</v>
      </c>
      <c r="D6057" s="16" t="s">
        <v>835</v>
      </c>
      <c r="E6057" s="16" t="s">
        <v>9463</v>
      </c>
      <c r="F6057" s="27" t="s">
        <v>14382</v>
      </c>
      <c r="G6057" s="27"/>
      <c r="H6057" s="16" t="str">
        <f>IF(ISBLANK(PARTIDAS!$G6057),PARTIDAS!$F6057,CONCATENATE(PARTIDAS!$F6057," (",PARTIDAS!$G6057,")"))</f>
        <v>Grapas en tiras</v>
      </c>
      <c r="I6057" s="16" t="s">
        <v>9427</v>
      </c>
    </row>
    <row r="6058" spans="1:9" x14ac:dyDescent="0.25">
      <c r="A6058" s="16" t="s">
        <v>6994</v>
      </c>
      <c r="B6058" s="16" t="str">
        <f>TEXT(PARTIDA[[#This Row],[PARTIDA]],"0000000000")</f>
        <v>8305900000</v>
      </c>
      <c r="C6058" s="16" t="s">
        <v>815</v>
      </c>
      <c r="D6058" s="16" t="s">
        <v>835</v>
      </c>
      <c r="E6058" s="16" t="s">
        <v>9463</v>
      </c>
      <c r="F6058" s="27" t="s">
        <v>14383</v>
      </c>
      <c r="G6058" s="27"/>
      <c r="H6058" s="16" t="str">
        <f>IF(ISBLANK(PARTIDAS!$G6058),PARTIDAS!$F6058,CONCATENATE(PARTIDAS!$F6058," (",PARTIDAS!$G6058,")"))</f>
        <v>Mecanismos para encuadernación de hojas intercambiables o para… (los demás, incluidas las partes)</v>
      </c>
      <c r="I6058" s="16" t="s">
        <v>9427</v>
      </c>
    </row>
    <row r="6059" spans="1:9" x14ac:dyDescent="0.25">
      <c r="A6059" s="16" t="s">
        <v>6995</v>
      </c>
      <c r="B6059" s="16" t="str">
        <f>TEXT(PARTIDA[[#This Row],[PARTIDA]],"0000000000")</f>
        <v>8306100000</v>
      </c>
      <c r="C6059" s="16" t="s">
        <v>815</v>
      </c>
      <c r="D6059" s="16" t="s">
        <v>835</v>
      </c>
      <c r="E6059" s="16" t="s">
        <v>9463</v>
      </c>
      <c r="F6059" s="27" t="s">
        <v>14384</v>
      </c>
      <c r="G6059" s="27"/>
      <c r="H6059" s="16" t="str">
        <f>IF(ISBLANK(PARTIDAS!$G6059),PARTIDAS!$F6059,CONCATENATE(PARTIDAS!$F6059," (",PARTIDAS!$G6059,")"))</f>
        <v>Campanas, campanillas, gongos y artículos similares</v>
      </c>
      <c r="I6059" s="16" t="s">
        <v>9427</v>
      </c>
    </row>
    <row r="6060" spans="1:9" x14ac:dyDescent="0.25">
      <c r="A6060" s="16" t="s">
        <v>6996</v>
      </c>
      <c r="B6060" s="16" t="str">
        <f>TEXT(PARTIDA[[#This Row],[PARTIDA]],"0000000000")</f>
        <v>8306210000</v>
      </c>
      <c r="C6060" s="16" t="s">
        <v>815</v>
      </c>
      <c r="D6060" s="16" t="s">
        <v>835</v>
      </c>
      <c r="E6060" s="16" t="s">
        <v>9463</v>
      </c>
      <c r="F6060" s="27" t="s">
        <v>14361</v>
      </c>
      <c r="G6060" s="27"/>
      <c r="H6060" s="16" t="str">
        <f>IF(ISBLANK(PARTIDAS!$G6060),PARTIDAS!$F6060,CONCATENATE(PARTIDAS!$F6060," (",PARTIDAS!$G6060,")"))</f>
        <v>Plateados, dorados o platinados</v>
      </c>
      <c r="I6060" s="16" t="s">
        <v>9427</v>
      </c>
    </row>
    <row r="6061" spans="1:9" x14ac:dyDescent="0.25">
      <c r="A6061" s="16" t="s">
        <v>6997</v>
      </c>
      <c r="B6061" s="16" t="str">
        <f>TEXT(PARTIDA[[#This Row],[PARTIDA]],"0000000000")</f>
        <v>8306290000</v>
      </c>
      <c r="C6061" s="16" t="s">
        <v>815</v>
      </c>
      <c r="D6061" s="16" t="s">
        <v>835</v>
      </c>
      <c r="E6061" s="16" t="s">
        <v>9463</v>
      </c>
      <c r="F6061" s="27" t="s">
        <v>14385</v>
      </c>
      <c r="G6061" s="27"/>
      <c r="H6061" s="16" t="str">
        <f>IF(ISBLANK(PARTIDAS!$G6061),PARTIDAS!$F6061,CONCATENATE(PARTIDAS!$F6061," (",PARTIDAS!$G6061,")"))</f>
        <v>Estatuillas y demás artículos de adorno (los demás)</v>
      </c>
      <c r="I6061" s="16" t="s">
        <v>9427</v>
      </c>
    </row>
    <row r="6062" spans="1:9" x14ac:dyDescent="0.25">
      <c r="A6062" s="16" t="s">
        <v>6998</v>
      </c>
      <c r="B6062" s="16" t="str">
        <f>TEXT(PARTIDA[[#This Row],[PARTIDA]],"0000000000")</f>
        <v>8306300000</v>
      </c>
      <c r="C6062" s="16" t="s">
        <v>815</v>
      </c>
      <c r="D6062" s="16" t="s">
        <v>835</v>
      </c>
      <c r="E6062" s="16" t="s">
        <v>9463</v>
      </c>
      <c r="F6062" s="27" t="s">
        <v>14386</v>
      </c>
      <c r="G6062" s="27"/>
      <c r="H6062" s="16" t="str">
        <f>IF(ISBLANK(PARTIDAS!$G6062),PARTIDAS!$F6062,CONCATENATE(PARTIDAS!$F6062," (",PARTIDAS!$G6062,")"))</f>
        <v>Marcos para fotografías, grabados o similares; espejos</v>
      </c>
      <c r="I6062" s="16" t="s">
        <v>9427</v>
      </c>
    </row>
    <row r="6063" spans="1:9" x14ac:dyDescent="0.25">
      <c r="A6063" s="16" t="s">
        <v>6999</v>
      </c>
      <c r="B6063" s="16" t="str">
        <f>TEXT(PARTIDA[[#This Row],[PARTIDA]],"0000000000")</f>
        <v>8307100000</v>
      </c>
      <c r="C6063" s="16" t="s">
        <v>815</v>
      </c>
      <c r="D6063" s="16" t="s">
        <v>835</v>
      </c>
      <c r="E6063" s="16" t="s">
        <v>9463</v>
      </c>
      <c r="F6063" s="27" t="s">
        <v>14387</v>
      </c>
      <c r="G6063" s="27"/>
      <c r="H6063" s="16" t="str">
        <f>IF(ISBLANK(PARTIDAS!$G6063),PARTIDAS!$F6063,CONCATENATE(PARTIDAS!$F6063," (",PARTIDAS!$G6063,")"))</f>
        <v>Tubos flexibles de metal común, incluso con sus accesorios, de hierro o acero</v>
      </c>
      <c r="I6063" s="16" t="s">
        <v>9427</v>
      </c>
    </row>
    <row r="6064" spans="1:9" x14ac:dyDescent="0.25">
      <c r="A6064" s="16" t="s">
        <v>7000</v>
      </c>
      <c r="B6064" s="16" t="str">
        <f>TEXT(PARTIDA[[#This Row],[PARTIDA]],"0000000000")</f>
        <v>8307900000</v>
      </c>
      <c r="C6064" s="16" t="s">
        <v>815</v>
      </c>
      <c r="D6064" s="16" t="s">
        <v>835</v>
      </c>
      <c r="E6064" s="16" t="s">
        <v>9463</v>
      </c>
      <c r="F6064" s="27" t="s">
        <v>14388</v>
      </c>
      <c r="G6064" s="27"/>
      <c r="H6064" s="16" t="str">
        <f>IF(ISBLANK(PARTIDAS!$G6064),PARTIDAS!$F6064,CONCATENATE(PARTIDAS!$F6064," (",PARTIDAS!$G6064,")"))</f>
        <v>Tubos flexibles de metal común, incluso con sus accesorios, de los demás metales comunes</v>
      </c>
      <c r="I6064" s="16" t="s">
        <v>9427</v>
      </c>
    </row>
    <row r="6065" spans="1:9" x14ac:dyDescent="0.25">
      <c r="A6065" s="16" t="s">
        <v>7001</v>
      </c>
      <c r="B6065" s="16" t="str">
        <f>TEXT(PARTIDA[[#This Row],[PARTIDA]],"0000000000")</f>
        <v>8308101100</v>
      </c>
      <c r="C6065" s="16" t="s">
        <v>815</v>
      </c>
      <c r="D6065" s="16" t="s">
        <v>835</v>
      </c>
      <c r="E6065" s="16" t="s">
        <v>9463</v>
      </c>
      <c r="F6065" s="27" t="s">
        <v>14389</v>
      </c>
      <c r="G6065" s="27"/>
      <c r="H6065" s="16" t="str">
        <f>IF(ISBLANK(PARTIDAS!$G6065),PARTIDAS!$F6065,CONCATENATE(PARTIDAS!$F6065," (",PARTIDAS!$G6065,")"))</f>
        <v>Anillos para ojetes (ojalillos), de hierro o acero</v>
      </c>
      <c r="I6065" s="16" t="s">
        <v>9427</v>
      </c>
    </row>
    <row r="6066" spans="1:9" x14ac:dyDescent="0.25">
      <c r="A6066" s="16" t="s">
        <v>7002</v>
      </c>
      <c r="B6066" s="16" t="str">
        <f>TEXT(PARTIDA[[#This Row],[PARTIDA]],"0000000000")</f>
        <v>8308101200</v>
      </c>
      <c r="C6066" s="16" t="s">
        <v>815</v>
      </c>
      <c r="D6066" s="16" t="s">
        <v>835</v>
      </c>
      <c r="E6066" s="16" t="s">
        <v>9463</v>
      </c>
      <c r="F6066" s="27" t="s">
        <v>14390</v>
      </c>
      <c r="G6066" s="27"/>
      <c r="H6066" s="16" t="str">
        <f>IF(ISBLANK(PARTIDAS!$G6066),PARTIDAS!$F6066,CONCATENATE(PARTIDAS!$F6066," (",PARTIDAS!$G6066,")"))</f>
        <v>Anillos para ojetes (ojalillos), de aluminio</v>
      </c>
      <c r="I6066" s="16" t="s">
        <v>9427</v>
      </c>
    </row>
    <row r="6067" spans="1:9" x14ac:dyDescent="0.25">
      <c r="A6067" s="16" t="s">
        <v>7003</v>
      </c>
      <c r="B6067" s="16" t="str">
        <f>TEXT(PARTIDA[[#This Row],[PARTIDA]],"0000000000")</f>
        <v>8308101900</v>
      </c>
      <c r="C6067" s="16" t="s">
        <v>815</v>
      </c>
      <c r="D6067" s="16" t="s">
        <v>835</v>
      </c>
      <c r="E6067" s="16" t="s">
        <v>9463</v>
      </c>
      <c r="F6067" s="27" t="s">
        <v>14391</v>
      </c>
      <c r="G6067" s="27"/>
      <c r="H6067" s="16" t="str">
        <f>IF(ISBLANK(PARTIDAS!$G6067),PARTIDAS!$F6067,CONCATENATE(PARTIDAS!$F6067," (",PARTIDAS!$G6067,")"))</f>
        <v>Anillos para ojetes (ojalillos) (los demás)</v>
      </c>
      <c r="I6067" s="16" t="s">
        <v>9427</v>
      </c>
    </row>
    <row r="6068" spans="1:9" x14ac:dyDescent="0.25">
      <c r="A6068" s="16" t="s">
        <v>7004</v>
      </c>
      <c r="B6068" s="16" t="str">
        <f>TEXT(PARTIDA[[#This Row],[PARTIDA]],"0000000000")</f>
        <v>8308109000</v>
      </c>
      <c r="C6068" s="16" t="s">
        <v>815</v>
      </c>
      <c r="D6068" s="16" t="s">
        <v>835</v>
      </c>
      <c r="E6068" s="16" t="s">
        <v>9463</v>
      </c>
      <c r="F6068" s="27" t="s">
        <v>14392</v>
      </c>
      <c r="G6068" s="27"/>
      <c r="H6068" s="16" t="str">
        <f>IF(ISBLANK(PARTIDAS!$G6068),PARTIDAS!$F6068,CONCATENATE(PARTIDAS!$F6068," (",PARTIDAS!$G6068,")"))</f>
        <v>Corchetes, ganchos y anillos para ojetes (los demás)</v>
      </c>
      <c r="I6068" s="16" t="s">
        <v>9427</v>
      </c>
    </row>
    <row r="6069" spans="1:9" x14ac:dyDescent="0.25">
      <c r="A6069" s="16" t="s">
        <v>7005</v>
      </c>
      <c r="B6069" s="16" t="str">
        <f>TEXT(PARTIDA[[#This Row],[PARTIDA]],"0000000000")</f>
        <v>8308200000</v>
      </c>
      <c r="C6069" s="16" t="s">
        <v>815</v>
      </c>
      <c r="D6069" s="16" t="s">
        <v>835</v>
      </c>
      <c r="E6069" s="16" t="s">
        <v>9463</v>
      </c>
      <c r="F6069" s="27" t="s">
        <v>14393</v>
      </c>
      <c r="G6069" s="27"/>
      <c r="H6069" s="16" t="str">
        <f>IF(ISBLANK(PARTIDAS!$G6069),PARTIDAS!$F6069,CONCATENATE(PARTIDAS!$F6069," (",PARTIDAS!$G6069,")"))</f>
        <v>Remaches tubulares o con espiga hendida</v>
      </c>
      <c r="I6069" s="16" t="s">
        <v>9427</v>
      </c>
    </row>
    <row r="6070" spans="1:9" x14ac:dyDescent="0.25">
      <c r="A6070" s="16" t="s">
        <v>7006</v>
      </c>
      <c r="B6070" s="16" t="str">
        <f>TEXT(PARTIDA[[#This Row],[PARTIDA]],"0000000000")</f>
        <v>8308900000</v>
      </c>
      <c r="C6070" s="16" t="s">
        <v>815</v>
      </c>
      <c r="D6070" s="16" t="s">
        <v>835</v>
      </c>
      <c r="E6070" s="16" t="s">
        <v>9463</v>
      </c>
      <c r="F6070" s="27" t="s">
        <v>14394</v>
      </c>
      <c r="G6070" s="27"/>
      <c r="H6070" s="16" t="str">
        <f>IF(ISBLANK(PARTIDAS!$G6070),PARTIDAS!$F6070,CONCATENATE(PARTIDAS!$F6070," (",PARTIDAS!$G6070,")"))</f>
        <v>Cierres, monturas cierre, hebillas, hebillas cierre, corchetes… (los demás, incluidas las partes)</v>
      </c>
      <c r="I6070" s="16" t="s">
        <v>9427</v>
      </c>
    </row>
    <row r="6071" spans="1:9" x14ac:dyDescent="0.25">
      <c r="A6071" s="16" t="s">
        <v>7007</v>
      </c>
      <c r="B6071" s="16" t="str">
        <f>TEXT(PARTIDA[[#This Row],[PARTIDA]],"0000000000")</f>
        <v>8309100000</v>
      </c>
      <c r="C6071" s="16" t="s">
        <v>815</v>
      </c>
      <c r="D6071" s="16" t="s">
        <v>835</v>
      </c>
      <c r="E6071" s="16" t="s">
        <v>9463</v>
      </c>
      <c r="F6071" s="27" t="s">
        <v>14395</v>
      </c>
      <c r="G6071" s="27"/>
      <c r="H6071" s="16" t="str">
        <f>IF(ISBLANK(PARTIDAS!$G6071),PARTIDAS!$F6071,CONCATENATE(PARTIDAS!$F6071," (",PARTIDAS!$G6071,")"))</f>
        <v>Tapas corona</v>
      </c>
      <c r="I6071" s="16" t="s">
        <v>9427</v>
      </c>
    </row>
    <row r="6072" spans="1:9" x14ac:dyDescent="0.25">
      <c r="A6072" s="16" t="s">
        <v>7008</v>
      </c>
      <c r="B6072" s="16" t="str">
        <f>TEXT(PARTIDA[[#This Row],[PARTIDA]],"0000000000")</f>
        <v>8309900000</v>
      </c>
      <c r="C6072" s="16" t="s">
        <v>815</v>
      </c>
      <c r="D6072" s="16" t="s">
        <v>835</v>
      </c>
      <c r="E6072" s="16" t="s">
        <v>9463</v>
      </c>
      <c r="F6072" s="27" t="s">
        <v>14396</v>
      </c>
      <c r="G6072" s="27"/>
      <c r="H6072" s="16" t="str">
        <f>IF(ISBLANK(PARTIDAS!$G6072),PARTIDAS!$F6072,CONCATENATE(PARTIDAS!$F6072," (",PARTIDAS!$G6072,")"))</f>
        <v>Tapones y tapas (incluidas las tapas corona, las tapas roscadas y los… (los demás)</v>
      </c>
      <c r="I6072" s="16" t="s">
        <v>9427</v>
      </c>
    </row>
    <row r="6073" spans="1:9" x14ac:dyDescent="0.25">
      <c r="A6073" s="16" t="s">
        <v>7009</v>
      </c>
      <c r="B6073" s="16" t="str">
        <f>TEXT(PARTIDA[[#This Row],[PARTIDA]],"0000000000")</f>
        <v>8310000000</v>
      </c>
      <c r="C6073" s="16" t="s">
        <v>815</v>
      </c>
      <c r="D6073" s="16" t="s">
        <v>835</v>
      </c>
      <c r="E6073" s="16" t="s">
        <v>9463</v>
      </c>
      <c r="F6073" s="27" t="s">
        <v>7010</v>
      </c>
      <c r="G6073" s="27"/>
      <c r="H6073" s="16" t="str">
        <f>IF(ISBLANK(PARTIDAS!$G6073),PARTIDAS!$F6073,CONCATENATE(PARTIDAS!$F6073," (",PARTIDAS!$G6073,")"))</f>
        <v>Placas indicadoras, placas rótulo, placas de
direcciones y placas similares, cifras, letras y
signos diversos, de metal común, excepto los de
la partida 94.05.</v>
      </c>
      <c r="I6073" s="16" t="s">
        <v>9427</v>
      </c>
    </row>
    <row r="6074" spans="1:9" x14ac:dyDescent="0.25">
      <c r="A6074" s="16" t="s">
        <v>7011</v>
      </c>
      <c r="B6074" s="16" t="str">
        <f>TEXT(PARTIDA[[#This Row],[PARTIDA]],"0000000000")</f>
        <v>8311100000</v>
      </c>
      <c r="C6074" s="16" t="s">
        <v>815</v>
      </c>
      <c r="D6074" s="16" t="s">
        <v>835</v>
      </c>
      <c r="E6074" s="16" t="s">
        <v>9463</v>
      </c>
      <c r="F6074" s="27" t="s">
        <v>14397</v>
      </c>
      <c r="G6074" s="27"/>
      <c r="H6074" s="16" t="str">
        <f>IF(ISBLANK(PARTIDAS!$G6074),PARTIDAS!$F6074,CONCATENATE(PARTIDAS!$F6074," (",PARTIDAS!$G6074,")"))</f>
        <v>Electrodos recubiertos para soldadura de arco, de metal común</v>
      </c>
      <c r="I6074" s="16" t="s">
        <v>9427</v>
      </c>
    </row>
    <row r="6075" spans="1:9" x14ac:dyDescent="0.25">
      <c r="A6075" s="16" t="s">
        <v>7012</v>
      </c>
      <c r="B6075" s="16" t="str">
        <f>TEXT(PARTIDA[[#This Row],[PARTIDA]],"0000000000")</f>
        <v>8311200000</v>
      </c>
      <c r="C6075" s="16" t="s">
        <v>815</v>
      </c>
      <c r="D6075" s="16" t="s">
        <v>835</v>
      </c>
      <c r="E6075" s="16" t="s">
        <v>9463</v>
      </c>
      <c r="F6075" s="27" t="s">
        <v>14398</v>
      </c>
      <c r="G6075" s="27"/>
      <c r="H6075" s="16" t="str">
        <f>IF(ISBLANK(PARTIDAS!$G6075),PARTIDAS!$F6075,CONCATENATE(PARTIDAS!$F6075," (",PARTIDAS!$G6075,")"))</f>
        <v>Alambre «relleno» para soldadura de arco, de metal común</v>
      </c>
      <c r="I6075" s="16" t="s">
        <v>9427</v>
      </c>
    </row>
    <row r="6076" spans="1:9" x14ac:dyDescent="0.25">
      <c r="A6076" s="16" t="s">
        <v>7013</v>
      </c>
      <c r="B6076" s="16" t="str">
        <f>TEXT(PARTIDA[[#This Row],[PARTIDA]],"0000000000")</f>
        <v>8311300000</v>
      </c>
      <c r="C6076" s="16" t="s">
        <v>815</v>
      </c>
      <c r="D6076" s="16" t="s">
        <v>835</v>
      </c>
      <c r="E6076" s="16" t="s">
        <v>9463</v>
      </c>
      <c r="F6076" s="27" t="s">
        <v>14399</v>
      </c>
      <c r="G6076" s="27"/>
      <c r="H6076" s="16" t="str">
        <f>IF(ISBLANK(PARTIDAS!$G6076),PARTIDAS!$F6076,CONCATENATE(PARTIDAS!$F6076," (",PARTIDAS!$G6076,")"))</f>
        <v>Varillas recubiertas y alambre «relleno» para soldar al soplete, de metal común</v>
      </c>
      <c r="I6076" s="16" t="s">
        <v>9427</v>
      </c>
    </row>
    <row r="6077" spans="1:9" x14ac:dyDescent="0.25">
      <c r="A6077" s="16" t="s">
        <v>7014</v>
      </c>
      <c r="B6077" s="16" t="str">
        <f>TEXT(PARTIDA[[#This Row],[PARTIDA]],"0000000000")</f>
        <v>8311900000</v>
      </c>
      <c r="C6077" s="16" t="s">
        <v>815</v>
      </c>
      <c r="D6077" s="16" t="s">
        <v>835</v>
      </c>
      <c r="E6077" s="16" t="s">
        <v>9463</v>
      </c>
      <c r="F6077" s="27" t="s">
        <v>14400</v>
      </c>
      <c r="G6077" s="27"/>
      <c r="H6077" s="16" t="str">
        <f>IF(ISBLANK(PARTIDAS!$G6077),PARTIDAS!$F6077,CONCATENATE(PARTIDAS!$F6077," (",PARTIDAS!$G6077,")"))</f>
        <v>Alambres, varillas, tubos, placas, electrodos y artículos similares… (los demás)</v>
      </c>
      <c r="I6077" s="16" t="s">
        <v>9427</v>
      </c>
    </row>
    <row r="6078" spans="1:9" x14ac:dyDescent="0.25">
      <c r="A6078" s="16" t="s">
        <v>7015</v>
      </c>
      <c r="B6078" s="16" t="str">
        <f>TEXT(PARTIDA[[#This Row],[PARTIDA]],"0000000000")</f>
        <v>8401100000</v>
      </c>
      <c r="C6078" s="16" t="s">
        <v>860</v>
      </c>
      <c r="D6078" s="16" t="s">
        <v>873</v>
      </c>
      <c r="E6078" s="16" t="s">
        <v>9480</v>
      </c>
      <c r="F6078" s="27" t="s">
        <v>14401</v>
      </c>
      <c r="G6078" s="27"/>
      <c r="H6078" s="16" t="str">
        <f>IF(ISBLANK(PARTIDAS!$G6078),PARTIDAS!$F6078,CONCATENATE(PARTIDAS!$F6078," (",PARTIDAS!$G6078,")"))</f>
        <v>Reactores nucleares</v>
      </c>
      <c r="I6078" s="16" t="s">
        <v>9427</v>
      </c>
    </row>
    <row r="6079" spans="1:9" x14ac:dyDescent="0.25">
      <c r="A6079" s="16" t="s">
        <v>7016</v>
      </c>
      <c r="B6079" s="16" t="str">
        <f>TEXT(PARTIDA[[#This Row],[PARTIDA]],"0000000000")</f>
        <v>8401200000</v>
      </c>
      <c r="C6079" s="16" t="s">
        <v>860</v>
      </c>
      <c r="D6079" s="16" t="s">
        <v>873</v>
      </c>
      <c r="E6079" s="16" t="s">
        <v>9480</v>
      </c>
      <c r="F6079" s="27" t="s">
        <v>14402</v>
      </c>
      <c r="G6079" s="27"/>
      <c r="H6079" s="16" t="str">
        <f>IF(ISBLANK(PARTIDAS!$G6079),PARTIDAS!$F6079,CONCATENATE(PARTIDAS!$F6079," (",PARTIDAS!$G6079,")"))</f>
        <v>Máquinas y aparatos para la separación isotópica, y sus partes</v>
      </c>
      <c r="I6079" s="16" t="s">
        <v>9427</v>
      </c>
    </row>
    <row r="6080" spans="1:9" x14ac:dyDescent="0.25">
      <c r="A6080" s="16" t="s">
        <v>7017</v>
      </c>
      <c r="B6080" s="16" t="str">
        <f>TEXT(PARTIDA[[#This Row],[PARTIDA]],"0000000000")</f>
        <v>8401300000</v>
      </c>
      <c r="C6080" s="16" t="s">
        <v>860</v>
      </c>
      <c r="D6080" s="16" t="s">
        <v>873</v>
      </c>
      <c r="E6080" s="16" t="s">
        <v>9480</v>
      </c>
      <c r="F6080" s="27" t="s">
        <v>14403</v>
      </c>
      <c r="G6080" s="27"/>
      <c r="H6080" s="16" t="str">
        <f>IF(ISBLANK(PARTIDAS!$G6080),PARTIDAS!$F6080,CONCATENATE(PARTIDAS!$F6080," (",PARTIDAS!$G6080,")"))</f>
        <v>Elementos combustibles (cartuchos) sin irradiar</v>
      </c>
      <c r="I6080" s="16" t="s">
        <v>9427</v>
      </c>
    </row>
    <row r="6081" spans="1:9" x14ac:dyDescent="0.25">
      <c r="A6081" s="16" t="s">
        <v>7018</v>
      </c>
      <c r="B6081" s="16" t="str">
        <f>TEXT(PARTIDA[[#This Row],[PARTIDA]],"0000000000")</f>
        <v>8401400000</v>
      </c>
      <c r="C6081" s="16" t="s">
        <v>860</v>
      </c>
      <c r="D6081" s="16" t="s">
        <v>873</v>
      </c>
      <c r="E6081" s="16" t="s">
        <v>9480</v>
      </c>
      <c r="F6081" s="27" t="s">
        <v>14404</v>
      </c>
      <c r="G6081" s="27"/>
      <c r="H6081" s="16" t="str">
        <f>IF(ISBLANK(PARTIDAS!$G6081),PARTIDAS!$F6081,CONCATENATE(PARTIDAS!$F6081," (",PARTIDAS!$G6081,")"))</f>
        <v>Reactores nucleares, partes de reactores nucleares</v>
      </c>
      <c r="I6081" s="16" t="s">
        <v>9427</v>
      </c>
    </row>
    <row r="6082" spans="1:9" x14ac:dyDescent="0.25">
      <c r="A6082" s="16" t="s">
        <v>7019</v>
      </c>
      <c r="B6082" s="16" t="str">
        <f>TEXT(PARTIDA[[#This Row],[PARTIDA]],"0000000000")</f>
        <v>8402110000</v>
      </c>
      <c r="C6082" s="16" t="s">
        <v>860</v>
      </c>
      <c r="D6082" s="16" t="s">
        <v>873</v>
      </c>
      <c r="E6082" s="16" t="s">
        <v>9480</v>
      </c>
      <c r="F6082" s="27" t="s">
        <v>14405</v>
      </c>
      <c r="G6082" s="27"/>
      <c r="H6082" s="16" t="str">
        <f>IF(ISBLANK(PARTIDAS!$G6082),PARTIDAS!$F6082,CONCATENATE(PARTIDAS!$F6082," (",PARTIDAS!$G6082,")"))</f>
        <v>Calderas acuotubulares con una producción de vapor superior a 45 t por hora</v>
      </c>
      <c r="I6082" s="16" t="s">
        <v>9427</v>
      </c>
    </row>
    <row r="6083" spans="1:9" x14ac:dyDescent="0.25">
      <c r="A6083" s="16" t="s">
        <v>7020</v>
      </c>
      <c r="B6083" s="16" t="str">
        <f>TEXT(PARTIDA[[#This Row],[PARTIDA]],"0000000000")</f>
        <v>8402120000</v>
      </c>
      <c r="C6083" s="16" t="s">
        <v>860</v>
      </c>
      <c r="D6083" s="16" t="s">
        <v>873</v>
      </c>
      <c r="E6083" s="16" t="s">
        <v>9480</v>
      </c>
      <c r="F6083" s="27" t="s">
        <v>7021</v>
      </c>
      <c r="G6083" s="27"/>
      <c r="H6083" s="16" t="str">
        <f>IF(ISBLANK(PARTIDAS!$G6083),PARTIDAS!$F6083,CONCATENATE(PARTIDAS!$F6083," (",PARTIDAS!$G6083,")"))</f>
        <v>Calderas</v>
      </c>
      <c r="I6083" s="16" t="s">
        <v>9427</v>
      </c>
    </row>
    <row r="6084" spans="1:9" x14ac:dyDescent="0.25">
      <c r="A6084" s="16" t="s">
        <v>7022</v>
      </c>
      <c r="B6084" s="16" t="str">
        <f>TEXT(PARTIDA[[#This Row],[PARTIDA]],"0000000000")</f>
        <v>8402190000</v>
      </c>
      <c r="C6084" s="16" t="s">
        <v>860</v>
      </c>
      <c r="D6084" s="16" t="s">
        <v>873</v>
      </c>
      <c r="E6084" s="16" t="s">
        <v>9480</v>
      </c>
      <c r="F6084" s="27" t="s">
        <v>14406</v>
      </c>
      <c r="G6084" s="27"/>
      <c r="H6084" s="16" t="str">
        <f>IF(ISBLANK(PARTIDAS!$G6084),PARTIDAS!$F6084,CONCATENATE(PARTIDAS!$F6084," (",PARTIDAS!$G6084,")"))</f>
        <v>Calderas de vapor (los demás, calderas de vapor, incluidas las calderas mixtas)</v>
      </c>
      <c r="I6084" s="16" t="s">
        <v>9427</v>
      </c>
    </row>
    <row r="6085" spans="1:9" x14ac:dyDescent="0.25">
      <c r="A6085" s="16" t="s">
        <v>7023</v>
      </c>
      <c r="B6085" s="16" t="str">
        <f>TEXT(PARTIDA[[#This Row],[PARTIDA]],"0000000000")</f>
        <v>8402200000</v>
      </c>
      <c r="C6085" s="16" t="s">
        <v>860</v>
      </c>
      <c r="D6085" s="16" t="s">
        <v>873</v>
      </c>
      <c r="E6085" s="16" t="s">
        <v>9480</v>
      </c>
      <c r="F6085" s="27" t="s">
        <v>14407</v>
      </c>
      <c r="G6085" s="27"/>
      <c r="H6085" s="16" t="str">
        <f>IF(ISBLANK(PARTIDAS!$G6085),PARTIDAS!$F6085,CONCATENATE(PARTIDAS!$F6085," (",PARTIDAS!$G6085,")"))</f>
        <v>Calderas denominadas «de agua sobrecalentada»</v>
      </c>
      <c r="I6085" s="16" t="s">
        <v>9427</v>
      </c>
    </row>
    <row r="6086" spans="1:9" x14ac:dyDescent="0.25">
      <c r="A6086" s="16" t="s">
        <v>7024</v>
      </c>
      <c r="B6086" s="16" t="str">
        <f>TEXT(PARTIDA[[#This Row],[PARTIDA]],"0000000000")</f>
        <v>8402900000</v>
      </c>
      <c r="C6086" s="16" t="s">
        <v>860</v>
      </c>
      <c r="D6086" s="16" t="s">
        <v>873</v>
      </c>
      <c r="E6086" s="16" t="s">
        <v>9480</v>
      </c>
      <c r="F6086" s="27" t="s">
        <v>14408</v>
      </c>
      <c r="G6086" s="27"/>
      <c r="H6086" s="16" t="str">
        <f>IF(ISBLANK(PARTIDAS!$G6086),PARTIDAS!$F6086,CONCATENATE(PARTIDAS!$F6086," (",PARTIDAS!$G6086,")"))</f>
        <v>Calderas de vapor (generadores de vapor), partes</v>
      </c>
      <c r="I6086" s="16" t="s">
        <v>9427</v>
      </c>
    </row>
    <row r="6087" spans="1:9" x14ac:dyDescent="0.25">
      <c r="A6087" s="16" t="s">
        <v>7025</v>
      </c>
      <c r="B6087" s="16" t="str">
        <f>TEXT(PARTIDA[[#This Row],[PARTIDA]],"0000000000")</f>
        <v>8403100000</v>
      </c>
      <c r="C6087" s="16" t="s">
        <v>860</v>
      </c>
      <c r="D6087" s="16" t="s">
        <v>873</v>
      </c>
      <c r="E6087" s="16" t="s">
        <v>9480</v>
      </c>
      <c r="F6087" s="27" t="s">
        <v>7021</v>
      </c>
      <c r="G6087" s="27"/>
      <c r="H6087" s="16" t="str">
        <f>IF(ISBLANK(PARTIDAS!$G6087),PARTIDAS!$F6087,CONCATENATE(PARTIDAS!$F6087," (",PARTIDAS!$G6087,")"))</f>
        <v>Calderas</v>
      </c>
      <c r="I6087" s="16" t="s">
        <v>9427</v>
      </c>
    </row>
    <row r="6088" spans="1:9" x14ac:dyDescent="0.25">
      <c r="A6088" s="16" t="s">
        <v>7026</v>
      </c>
      <c r="B6088" s="16" t="str">
        <f>TEXT(PARTIDA[[#This Row],[PARTIDA]],"0000000000")</f>
        <v>8403900000</v>
      </c>
      <c r="C6088" s="16" t="s">
        <v>860</v>
      </c>
      <c r="D6088" s="16" t="s">
        <v>873</v>
      </c>
      <c r="E6088" s="16" t="s">
        <v>9480</v>
      </c>
      <c r="F6088" s="27" t="s">
        <v>14409</v>
      </c>
      <c r="G6088" s="27"/>
      <c r="H6088" s="16" t="str">
        <f>IF(ISBLANK(PARTIDAS!$G6088),PARTIDAS!$F6088,CONCATENATE(PARTIDAS!$F6088," (",PARTIDAS!$G6088,")"))</f>
        <v>Calderas para calefacción central, partes</v>
      </c>
      <c r="I6088" s="16" t="s">
        <v>9427</v>
      </c>
    </row>
    <row r="6089" spans="1:9" x14ac:dyDescent="0.25">
      <c r="A6089" s="16" t="s">
        <v>7027</v>
      </c>
      <c r="B6089" s="16" t="str">
        <f>TEXT(PARTIDA[[#This Row],[PARTIDA]],"0000000000")</f>
        <v>8404100000</v>
      </c>
      <c r="C6089" s="16" t="s">
        <v>860</v>
      </c>
      <c r="D6089" s="16" t="s">
        <v>873</v>
      </c>
      <c r="E6089" s="16" t="s">
        <v>9480</v>
      </c>
      <c r="F6089" s="27" t="s">
        <v>14410</v>
      </c>
      <c r="G6089" s="27"/>
      <c r="H6089" s="16" t="str">
        <f>IF(ISBLANK(PARTIDAS!$G6089),PARTIDAS!$F6089,CONCATENATE(PARTIDAS!$F6089," (",PARTIDAS!$G6089,")"))</f>
        <v>Aparatos auxiliares para las calderas de las partidas 84.02 u 84.03</v>
      </c>
      <c r="I6089" s="16" t="s">
        <v>9427</v>
      </c>
    </row>
    <row r="6090" spans="1:9" x14ac:dyDescent="0.25">
      <c r="A6090" s="16" t="s">
        <v>7028</v>
      </c>
      <c r="B6090" s="16" t="str">
        <f>TEXT(PARTIDA[[#This Row],[PARTIDA]],"0000000000")</f>
        <v>8404200000</v>
      </c>
      <c r="C6090" s="16" t="s">
        <v>860</v>
      </c>
      <c r="D6090" s="16" t="s">
        <v>873</v>
      </c>
      <c r="E6090" s="16" t="s">
        <v>9480</v>
      </c>
      <c r="F6090" s="27" t="s">
        <v>14411</v>
      </c>
      <c r="G6090" s="27"/>
      <c r="H6090" s="16" t="str">
        <f>IF(ISBLANK(PARTIDAS!$G6090),PARTIDAS!$F6090,CONCATENATE(PARTIDAS!$F6090," (",PARTIDAS!$G6090,")"))</f>
        <v>Condensadores para máquinas de vapor</v>
      </c>
      <c r="I6090" s="16" t="s">
        <v>9427</v>
      </c>
    </row>
    <row r="6091" spans="1:9" x14ac:dyDescent="0.25">
      <c r="A6091" s="16" t="s">
        <v>7029</v>
      </c>
      <c r="B6091" s="16" t="str">
        <f>TEXT(PARTIDA[[#This Row],[PARTIDA]],"0000000000")</f>
        <v>8404900000</v>
      </c>
      <c r="C6091" s="16" t="s">
        <v>860</v>
      </c>
      <c r="D6091" s="16" t="s">
        <v>873</v>
      </c>
      <c r="E6091" s="16" t="s">
        <v>9480</v>
      </c>
      <c r="F6091" s="27" t="s">
        <v>14412</v>
      </c>
      <c r="G6091" s="27"/>
      <c r="H6091" s="16" t="str">
        <f>IF(ISBLANK(PARTIDAS!$G6091),PARTIDAS!$F6091,CONCATENATE(PARTIDAS!$F6091," (",PARTIDAS!$G6091,")"))</f>
        <v>Aparatos auxiliares para las calderas de las partidas 84.02 u 84.03…, partes</v>
      </c>
      <c r="I6091" s="16" t="s">
        <v>9427</v>
      </c>
    </row>
    <row r="6092" spans="1:9" x14ac:dyDescent="0.25">
      <c r="A6092" s="16" t="s">
        <v>7030</v>
      </c>
      <c r="B6092" s="16" t="str">
        <f>TEXT(PARTIDA[[#This Row],[PARTIDA]],"0000000000")</f>
        <v>8405100000</v>
      </c>
      <c r="C6092" s="16" t="s">
        <v>860</v>
      </c>
      <c r="D6092" s="16" t="s">
        <v>873</v>
      </c>
      <c r="E6092" s="16" t="s">
        <v>9480</v>
      </c>
      <c r="F6092" s="27" t="s">
        <v>14413</v>
      </c>
      <c r="G6092" s="27"/>
      <c r="H6092" s="16" t="str">
        <f>IF(ISBLANK(PARTIDAS!$G6092),PARTIDAS!$F6092,CONCATENATE(PARTIDAS!$F6092," (",PARTIDAS!$G6092,")"))</f>
        <v>Generadores de gas pobre (gas de aire) o de gas de agua, incluso con sus depuradores; generadores de acetileno y generadores similares de gases, por v</v>
      </c>
      <c r="I6092" s="16" t="s">
        <v>9427</v>
      </c>
    </row>
    <row r="6093" spans="1:9" x14ac:dyDescent="0.25">
      <c r="A6093" s="16" t="s">
        <v>7031</v>
      </c>
      <c r="B6093" s="16" t="str">
        <f>TEXT(PARTIDA[[#This Row],[PARTIDA]],"0000000000")</f>
        <v>8405900000</v>
      </c>
      <c r="C6093" s="16" t="s">
        <v>860</v>
      </c>
      <c r="D6093" s="16" t="s">
        <v>873</v>
      </c>
      <c r="E6093" s="16" t="s">
        <v>9480</v>
      </c>
      <c r="F6093" s="27" t="s">
        <v>14414</v>
      </c>
      <c r="G6093" s="27"/>
      <c r="H6093" s="16" t="str">
        <f>IF(ISBLANK(PARTIDAS!$G6093),PARTIDAS!$F6093,CONCATENATE(PARTIDAS!$F6093," (",PARTIDAS!$G6093,")"))</f>
        <v>Generadores de gas pobre (gas de aire) o de gas de agua, incluso con…, partes</v>
      </c>
      <c r="I6093" s="16" t="s">
        <v>9427</v>
      </c>
    </row>
    <row r="6094" spans="1:9" x14ac:dyDescent="0.25">
      <c r="A6094" s="16" t="s">
        <v>7032</v>
      </c>
      <c r="B6094" s="16" t="str">
        <f>TEXT(PARTIDA[[#This Row],[PARTIDA]],"0000000000")</f>
        <v>8406100000</v>
      </c>
      <c r="C6094" s="16" t="s">
        <v>860</v>
      </c>
      <c r="D6094" s="16" t="s">
        <v>873</v>
      </c>
      <c r="E6094" s="16" t="s">
        <v>9480</v>
      </c>
      <c r="F6094" s="27" t="s">
        <v>14415</v>
      </c>
      <c r="G6094" s="27"/>
      <c r="H6094" s="16" t="str">
        <f>IF(ISBLANK(PARTIDAS!$G6094),PARTIDAS!$F6094,CONCATENATE(PARTIDAS!$F6094," (",PARTIDAS!$G6094,")"))</f>
        <v>Turbinas para la propulsión de barcos</v>
      </c>
      <c r="I6094" s="16" t="s">
        <v>9427</v>
      </c>
    </row>
    <row r="6095" spans="1:9" x14ac:dyDescent="0.25">
      <c r="A6095" s="16" t="s">
        <v>7033</v>
      </c>
      <c r="B6095" s="16" t="str">
        <f>TEXT(PARTIDA[[#This Row],[PARTIDA]],"0000000000")</f>
        <v>8406810000</v>
      </c>
      <c r="C6095" s="16" t="s">
        <v>860</v>
      </c>
      <c r="D6095" s="16" t="s">
        <v>873</v>
      </c>
      <c r="E6095" s="16" t="s">
        <v>9480</v>
      </c>
      <c r="F6095" s="27" t="s">
        <v>14416</v>
      </c>
      <c r="G6095" s="27"/>
      <c r="H6095" s="16" t="str">
        <f>IF(ISBLANK(PARTIDAS!$G6095),PARTIDAS!$F6095,CONCATENATE(PARTIDAS!$F6095," (",PARTIDAS!$G6095,")"))</f>
        <v>Turbinas de vapor, de potencia superior a 40 MW</v>
      </c>
      <c r="I6095" s="16" t="s">
        <v>9427</v>
      </c>
    </row>
    <row r="6096" spans="1:9" x14ac:dyDescent="0.25">
      <c r="A6096" s="16" t="s">
        <v>7034</v>
      </c>
      <c r="B6096" s="16" t="str">
        <f>TEXT(PARTIDA[[#This Row],[PARTIDA]],"0000000000")</f>
        <v>8406820000</v>
      </c>
      <c r="C6096" s="16" t="s">
        <v>860</v>
      </c>
      <c r="D6096" s="16" t="s">
        <v>873</v>
      </c>
      <c r="E6096" s="16" t="s">
        <v>9480</v>
      </c>
      <c r="F6096" s="27" t="s">
        <v>14417</v>
      </c>
      <c r="G6096" s="27"/>
      <c r="H6096" s="16" t="str">
        <f>IF(ISBLANK(PARTIDAS!$G6096),PARTIDAS!$F6096,CONCATENATE(PARTIDAS!$F6096," (",PARTIDAS!$G6096,")"))</f>
        <v>Turbinas de vapor, de potencia inferior o igual a 40 MW</v>
      </c>
      <c r="I6096" s="16" t="s">
        <v>9427</v>
      </c>
    </row>
    <row r="6097" spans="1:9" x14ac:dyDescent="0.25">
      <c r="A6097" s="16" t="s">
        <v>7035</v>
      </c>
      <c r="B6097" s="16" t="str">
        <f>TEXT(PARTIDA[[#This Row],[PARTIDA]],"0000000000")</f>
        <v>8406900000</v>
      </c>
      <c r="C6097" s="16" t="s">
        <v>860</v>
      </c>
      <c r="D6097" s="16" t="s">
        <v>873</v>
      </c>
      <c r="E6097" s="16" t="s">
        <v>9478</v>
      </c>
      <c r="F6097" s="27" t="s">
        <v>14418</v>
      </c>
      <c r="G6097" s="27"/>
      <c r="H6097" s="16" t="str">
        <f>IF(ISBLANK(PARTIDAS!$G6097),PARTIDAS!$F6097,CONCATENATE(PARTIDAS!$F6097," (",PARTIDAS!$G6097,")"))</f>
        <v>Turbinas de vapor, partes</v>
      </c>
      <c r="I6097" s="16" t="s">
        <v>9427</v>
      </c>
    </row>
    <row r="6098" spans="1:9" x14ac:dyDescent="0.25">
      <c r="A6098" s="16" t="s">
        <v>7036</v>
      </c>
      <c r="B6098" s="16" t="str">
        <f>TEXT(PARTIDA[[#This Row],[PARTIDA]],"0000000000")</f>
        <v>8407100000</v>
      </c>
      <c r="C6098" s="16" t="s">
        <v>860</v>
      </c>
      <c r="D6098" s="16" t="s">
        <v>873</v>
      </c>
      <c r="E6098" s="16" t="s">
        <v>9480</v>
      </c>
      <c r="F6098" s="27" t="s">
        <v>7037</v>
      </c>
      <c r="G6098" s="27"/>
      <c r="H6098" s="16" t="str">
        <f>IF(ISBLANK(PARTIDAS!$G6098),PARTIDAS!$F6098,CONCATENATE(PARTIDAS!$F6098," (",PARTIDAS!$G6098,")"))</f>
        <v>Motores de aviación</v>
      </c>
      <c r="I6098" s="16" t="s">
        <v>9427</v>
      </c>
    </row>
    <row r="6099" spans="1:9" x14ac:dyDescent="0.25">
      <c r="A6099" s="16" t="s">
        <v>7038</v>
      </c>
      <c r="B6099" s="16" t="str">
        <f>TEXT(PARTIDA[[#This Row],[PARTIDA]],"0000000000")</f>
        <v>8407210000</v>
      </c>
      <c r="C6099" s="16" t="s">
        <v>860</v>
      </c>
      <c r="D6099" s="16" t="s">
        <v>873</v>
      </c>
      <c r="E6099" s="16" t="s">
        <v>9480</v>
      </c>
      <c r="F6099" s="27" t="s">
        <v>14419</v>
      </c>
      <c r="G6099" s="27"/>
      <c r="H6099" s="16" t="str">
        <f>IF(ISBLANK(PARTIDAS!$G6099),PARTIDAS!$F6099,CONCATENATE(PARTIDAS!$F6099," (",PARTIDAS!$G6099,")"))</f>
        <v>Motores para la propulsión de barcos, del tipo fueraborda</v>
      </c>
      <c r="I6099" s="16" t="s">
        <v>9427</v>
      </c>
    </row>
    <row r="6100" spans="1:9" x14ac:dyDescent="0.25">
      <c r="A6100" s="16" t="s">
        <v>7039</v>
      </c>
      <c r="B6100" s="16" t="str">
        <f>TEXT(PARTIDA[[#This Row],[PARTIDA]],"0000000000")</f>
        <v>8407290000</v>
      </c>
      <c r="C6100" s="16" t="s">
        <v>860</v>
      </c>
      <c r="D6100" s="16" t="s">
        <v>873</v>
      </c>
      <c r="E6100" s="16" t="s">
        <v>9480</v>
      </c>
      <c r="F6100" s="27" t="s">
        <v>14420</v>
      </c>
      <c r="G6100" s="27"/>
      <c r="H6100" s="16" t="str">
        <f>IF(ISBLANK(PARTIDAS!$G6100),PARTIDAS!$F6100,CONCATENATE(PARTIDAS!$F6100," (",PARTIDAS!$G6100,")"))</f>
        <v>Motores para la propulsión de barcos (los demás)</v>
      </c>
      <c r="I6100" s="16" t="s">
        <v>9427</v>
      </c>
    </row>
    <row r="6101" spans="1:9" x14ac:dyDescent="0.25">
      <c r="A6101" s="16" t="s">
        <v>7040</v>
      </c>
      <c r="B6101" s="16" t="str">
        <f>TEXT(PARTIDA[[#This Row],[PARTIDA]],"0000000000")</f>
        <v>8407310000</v>
      </c>
      <c r="C6101" s="16" t="s">
        <v>860</v>
      </c>
      <c r="D6101" s="16" t="s">
        <v>881</v>
      </c>
      <c r="E6101" s="16" t="s">
        <v>9483</v>
      </c>
      <c r="F6101" s="27" t="s">
        <v>14421</v>
      </c>
      <c r="G6101" s="27"/>
      <c r="H6101" s="16" t="str">
        <f>IF(ISBLANK(PARTIDAS!$G6101),PARTIDAS!$F6101,CONCATENATE(PARTIDAS!$F6101," (",PARTIDAS!$G6101,")"))</f>
        <v>Motores de émbolo (pistón) alternativo de los tipos utilizados para…, de cilindrada inferior o igual a 50 cm3</v>
      </c>
      <c r="I6101" s="16" t="s">
        <v>9427</v>
      </c>
    </row>
    <row r="6102" spans="1:9" x14ac:dyDescent="0.25">
      <c r="A6102" s="16" t="s">
        <v>7041</v>
      </c>
      <c r="B6102" s="16" t="str">
        <f>TEXT(PARTIDA[[#This Row],[PARTIDA]],"0000000000")</f>
        <v>8407320000</v>
      </c>
      <c r="C6102" s="16" t="s">
        <v>860</v>
      </c>
      <c r="D6102" s="16" t="s">
        <v>881</v>
      </c>
      <c r="E6102" s="16" t="s">
        <v>9483</v>
      </c>
      <c r="F6102" s="27" t="s">
        <v>14422</v>
      </c>
      <c r="G6102" s="27"/>
      <c r="H6102" s="16" t="str">
        <f>IF(ISBLANK(PARTIDAS!$G6102),PARTIDAS!$F6102,CONCATENATE(PARTIDAS!$F6102," (",PARTIDAS!$G6102,")"))</f>
        <v>Motores de émbolo (pistón) alternativo de los tipos utilizados para…, de cilindrada superior a 50 cm3 pero inferior o igual a 250 cm3</v>
      </c>
      <c r="I6102" s="16" t="s">
        <v>9427</v>
      </c>
    </row>
    <row r="6103" spans="1:9" x14ac:dyDescent="0.25">
      <c r="A6103" s="16" t="s">
        <v>7042</v>
      </c>
      <c r="B6103" s="16" t="str">
        <f>TEXT(PARTIDA[[#This Row],[PARTIDA]],"0000000000")</f>
        <v>8407330000</v>
      </c>
      <c r="C6103" s="16" t="s">
        <v>860</v>
      </c>
      <c r="D6103" s="16" t="s">
        <v>881</v>
      </c>
      <c r="E6103" s="16" t="s">
        <v>9483</v>
      </c>
      <c r="F6103" s="27" t="s">
        <v>14423</v>
      </c>
      <c r="G6103" s="27"/>
      <c r="H6103" s="16" t="str">
        <f>IF(ISBLANK(PARTIDAS!$G6103),PARTIDAS!$F6103,CONCATENATE(PARTIDAS!$F6103," (",PARTIDAS!$G6103,")"))</f>
        <v>Motores de émbolo (pistón) alternativo de los tipos utilizados para…, de cilindrada superior a 250 cm3 pero inferior o igual a 1.000 cm3</v>
      </c>
      <c r="I6103" s="16" t="s">
        <v>9427</v>
      </c>
    </row>
    <row r="6104" spans="1:9" x14ac:dyDescent="0.25">
      <c r="A6104" s="16" t="s">
        <v>7043</v>
      </c>
      <c r="B6104" s="16" t="str">
        <f>TEXT(PARTIDA[[#This Row],[PARTIDA]],"0000000000")</f>
        <v>8407340000</v>
      </c>
      <c r="C6104" s="16" t="s">
        <v>860</v>
      </c>
      <c r="D6104" s="16" t="s">
        <v>881</v>
      </c>
      <c r="E6104" s="16" t="s">
        <v>9483</v>
      </c>
      <c r="F6104" s="27" t="s">
        <v>14424</v>
      </c>
      <c r="G6104" s="27"/>
      <c r="H6104" s="16" t="str">
        <f>IF(ISBLANK(PARTIDAS!$G6104),PARTIDAS!$F6104,CONCATENATE(PARTIDAS!$F6104," (",PARTIDAS!$G6104,")"))</f>
        <v>Motores de émbolo (pistón) alternativo de los tipos utilizados para…, de cilindrada superior a 1.000 cm3</v>
      </c>
      <c r="I6104" s="16" t="s">
        <v>9427</v>
      </c>
    </row>
    <row r="6105" spans="1:9" x14ac:dyDescent="0.25">
      <c r="A6105" s="16" t="s">
        <v>7044</v>
      </c>
      <c r="B6105" s="16" t="str">
        <f>TEXT(PARTIDA[[#This Row],[PARTIDA]],"0000000000")</f>
        <v>8407900000</v>
      </c>
      <c r="C6105" s="16" t="s">
        <v>860</v>
      </c>
      <c r="D6105" s="16" t="s">
        <v>873</v>
      </c>
      <c r="E6105" s="16" t="s">
        <v>9480</v>
      </c>
      <c r="F6105" s="27" t="s">
        <v>14425</v>
      </c>
      <c r="G6105" s="27"/>
      <c r="H6105" s="16" t="str">
        <f>IF(ISBLANK(PARTIDAS!$G6105),PARTIDAS!$F6105,CONCATENATE(PARTIDAS!$F6105," (",PARTIDAS!$G6105,")"))</f>
        <v>Motores de émbolo (pistón) alternativo y motores rotativos, de… (los demás, motores)</v>
      </c>
      <c r="I6105" s="16" t="s">
        <v>9427</v>
      </c>
    </row>
    <row r="6106" spans="1:9" x14ac:dyDescent="0.25">
      <c r="A6106" s="16" t="s">
        <v>30</v>
      </c>
      <c r="B6106" s="16" t="str">
        <f>TEXT(PARTIDA[[#This Row],[PARTIDA]],"0000000000")</f>
        <v>8408100000</v>
      </c>
      <c r="C6106" s="16" t="s">
        <v>860</v>
      </c>
      <c r="D6106" s="16" t="s">
        <v>881</v>
      </c>
      <c r="E6106" s="16" t="s">
        <v>9483</v>
      </c>
      <c r="F6106" s="27" t="s">
        <v>7045</v>
      </c>
      <c r="G6106" s="27"/>
      <c r="H6106" s="16" t="str">
        <f>IF(ISBLANK(PARTIDAS!$G6106),PARTIDAS!$F6106,CONCATENATE(PARTIDAS!$F6106," (",PARTIDAS!$G6106,")"))</f>
        <v>Motores para barcos</v>
      </c>
      <c r="I6106" s="16" t="s">
        <v>9559</v>
      </c>
    </row>
    <row r="6107" spans="1:9" x14ac:dyDescent="0.25">
      <c r="A6107" s="16" t="s">
        <v>7046</v>
      </c>
      <c r="B6107" s="16" t="str">
        <f>TEXT(PARTIDA[[#This Row],[PARTIDA]],"0000000000")</f>
        <v>8408201000</v>
      </c>
      <c r="C6107" s="16" t="s">
        <v>860</v>
      </c>
      <c r="D6107" s="16" t="s">
        <v>881</v>
      </c>
      <c r="E6107" s="16" t="s">
        <v>9483</v>
      </c>
      <c r="F6107" s="27" t="s">
        <v>14426</v>
      </c>
      <c r="G6107" s="27"/>
      <c r="H6107" s="16" t="str">
        <f>IF(ISBLANK(PARTIDAS!$G6107),PARTIDAS!$F6107,CONCATENATE(PARTIDAS!$F6107," (",PARTIDAS!$G6107,")"))</f>
        <v>Motores de los tipos utilizados para la propulsión de vehículos del…, de cilindrada inferior o igual a 4000 cm3</v>
      </c>
      <c r="I6107" s="16" t="s">
        <v>9427</v>
      </c>
    </row>
    <row r="6108" spans="1:9" x14ac:dyDescent="0.25">
      <c r="A6108" s="16" t="s">
        <v>7047</v>
      </c>
      <c r="B6108" s="16" t="str">
        <f>TEXT(PARTIDA[[#This Row],[PARTIDA]],"0000000000")</f>
        <v>8408209000</v>
      </c>
      <c r="C6108" s="16" t="s">
        <v>860</v>
      </c>
      <c r="D6108" s="16" t="s">
        <v>881</v>
      </c>
      <c r="E6108" s="16" t="s">
        <v>9483</v>
      </c>
      <c r="F6108" s="27" t="s">
        <v>14427</v>
      </c>
      <c r="G6108" s="27"/>
      <c r="H6108" s="16" t="str">
        <f>IF(ISBLANK(PARTIDAS!$G6108),PARTIDAS!$F6108,CONCATENATE(PARTIDAS!$F6108," (",PARTIDAS!$G6108,")"))</f>
        <v>Motores de los tipos utilizados para la propulsión de vehículos del… (los demás)</v>
      </c>
      <c r="I6108" s="16" t="s">
        <v>9427</v>
      </c>
    </row>
    <row r="6109" spans="1:9" x14ac:dyDescent="0.25">
      <c r="A6109" s="16" t="s">
        <v>7048</v>
      </c>
      <c r="B6109" s="16" t="str">
        <f>TEXT(PARTIDA[[#This Row],[PARTIDA]],"0000000000")</f>
        <v>8408901000</v>
      </c>
      <c r="C6109" s="16" t="s">
        <v>860</v>
      </c>
      <c r="D6109" s="16" t="s">
        <v>873</v>
      </c>
      <c r="E6109" s="16" t="s">
        <v>9480</v>
      </c>
      <c r="F6109" s="27" t="s">
        <v>14428</v>
      </c>
      <c r="G6109" s="27"/>
      <c r="H6109" s="16" t="str">
        <f>IF(ISBLANK(PARTIDAS!$G6109),PARTIDAS!$F6109,CONCATENATE(PARTIDAS!$F6109," (",PARTIDAS!$G6109,")"))</f>
        <v>Motores de émbolo (pistón) de encendido por compresión (motores…, de potencia inferior o igual a 130 kW (174 HP)</v>
      </c>
      <c r="I6109" s="16" t="s">
        <v>9427</v>
      </c>
    </row>
    <row r="6110" spans="1:9" x14ac:dyDescent="0.25">
      <c r="A6110" s="16" t="s">
        <v>7049</v>
      </c>
      <c r="B6110" s="16" t="str">
        <f>TEXT(PARTIDA[[#This Row],[PARTIDA]],"0000000000")</f>
        <v>8408902000</v>
      </c>
      <c r="C6110" s="16" t="s">
        <v>860</v>
      </c>
      <c r="D6110" s="16" t="s">
        <v>873</v>
      </c>
      <c r="E6110" s="16" t="s">
        <v>9480</v>
      </c>
      <c r="F6110" s="27" t="s">
        <v>14429</v>
      </c>
      <c r="G6110" s="27"/>
      <c r="H6110" s="16" t="str">
        <f>IF(ISBLANK(PARTIDAS!$G6110),PARTIDAS!$F6110,CONCATENATE(PARTIDAS!$F6110," (",PARTIDAS!$G6110,")"))</f>
        <v>Motores de émbolo (pistón) de encendido por compresión (motores…, de potencia superior a 130 kW (174 HP)</v>
      </c>
      <c r="I6110" s="16" t="s">
        <v>9427</v>
      </c>
    </row>
    <row r="6111" spans="1:9" x14ac:dyDescent="0.25">
      <c r="A6111" s="16" t="s">
        <v>7050</v>
      </c>
      <c r="B6111" s="16" t="str">
        <f>TEXT(PARTIDA[[#This Row],[PARTIDA]],"0000000000")</f>
        <v>8409100000</v>
      </c>
      <c r="C6111" s="16" t="s">
        <v>860</v>
      </c>
      <c r="D6111" s="16" t="s">
        <v>873</v>
      </c>
      <c r="E6111" s="16" t="s">
        <v>9478</v>
      </c>
      <c r="F6111" s="27" t="s">
        <v>7051</v>
      </c>
      <c r="G6111" s="27"/>
      <c r="H6111" s="16" t="str">
        <f>IF(ISBLANK(PARTIDAS!$G6111),PARTIDAS!$F6111,CONCATENATE(PARTIDAS!$F6111," (",PARTIDAS!$G6111,")"))</f>
        <v>Partes de motores de aviación</v>
      </c>
      <c r="I6111" s="16" t="s">
        <v>9427</v>
      </c>
    </row>
    <row r="6112" spans="1:9" x14ac:dyDescent="0.25">
      <c r="A6112" s="16" t="s">
        <v>7052</v>
      </c>
      <c r="B6112" s="16" t="str">
        <f>TEXT(PARTIDA[[#This Row],[PARTIDA]],"0000000000")</f>
        <v>8409911000</v>
      </c>
      <c r="C6112" s="16" t="s">
        <v>860</v>
      </c>
      <c r="D6112" s="16" t="s">
        <v>873</v>
      </c>
      <c r="E6112" s="16" t="s">
        <v>9478</v>
      </c>
      <c r="F6112" s="27" t="s">
        <v>14430</v>
      </c>
      <c r="G6112" s="27"/>
      <c r="H6112" s="16" t="str">
        <f>IF(ISBLANK(PARTIDAS!$G6112),PARTIDAS!$F6112,CONCATENATE(PARTIDAS!$F6112," (",PARTIDAS!$G6112,")"))</f>
        <v>Bloques y culatas</v>
      </c>
      <c r="I6112" s="16" t="s">
        <v>9427</v>
      </c>
    </row>
    <row r="6113" spans="1:9" x14ac:dyDescent="0.25">
      <c r="A6113" s="16" t="s">
        <v>7053</v>
      </c>
      <c r="B6113" s="16" t="str">
        <f>TEXT(PARTIDA[[#This Row],[PARTIDA]],"0000000000")</f>
        <v>8409912000</v>
      </c>
      <c r="C6113" s="16" t="s">
        <v>860</v>
      </c>
      <c r="D6113" s="16" t="s">
        <v>873</v>
      </c>
      <c r="E6113" s="16" t="s">
        <v>9478</v>
      </c>
      <c r="F6113" s="27" t="s">
        <v>14431</v>
      </c>
      <c r="G6113" s="27"/>
      <c r="H6113" s="16" t="str">
        <f>IF(ISBLANK(PARTIDAS!$G6113),PARTIDAS!$F6113,CONCATENATE(PARTIDAS!$F6113," (",PARTIDAS!$G6113,")"))</f>
        <v>Camisas de cilindros</v>
      </c>
      <c r="I6113" s="16" t="s">
        <v>9427</v>
      </c>
    </row>
    <row r="6114" spans="1:9" x14ac:dyDescent="0.25">
      <c r="A6114" s="16" t="s">
        <v>7054</v>
      </c>
      <c r="B6114" s="16" t="str">
        <f>TEXT(PARTIDA[[#This Row],[PARTIDA]],"0000000000")</f>
        <v>8409913000</v>
      </c>
      <c r="C6114" s="16" t="s">
        <v>860</v>
      </c>
      <c r="D6114" s="16" t="s">
        <v>873</v>
      </c>
      <c r="E6114" s="16" t="s">
        <v>9478</v>
      </c>
      <c r="F6114" s="27" t="s">
        <v>14432</v>
      </c>
      <c r="G6114" s="27"/>
      <c r="H6114" s="16" t="str">
        <f>IF(ISBLANK(PARTIDAS!$G6114),PARTIDAS!$F6114,CONCATENATE(PARTIDAS!$F6114," (",PARTIDAS!$G6114,")"))</f>
        <v>Identificables como destinadas, exclusiva o principalmente, a los…, bielas</v>
      </c>
      <c r="I6114" s="16" t="s">
        <v>9427</v>
      </c>
    </row>
    <row r="6115" spans="1:9" x14ac:dyDescent="0.25">
      <c r="A6115" s="16" t="s">
        <v>7055</v>
      </c>
      <c r="B6115" s="16" t="str">
        <f>TEXT(PARTIDA[[#This Row],[PARTIDA]],"0000000000")</f>
        <v>8409914000</v>
      </c>
      <c r="C6115" s="16" t="s">
        <v>860</v>
      </c>
      <c r="D6115" s="16" t="s">
        <v>873</v>
      </c>
      <c r="E6115" s="16" t="s">
        <v>9478</v>
      </c>
      <c r="F6115" s="27" t="s">
        <v>14433</v>
      </c>
      <c r="G6115" s="27"/>
      <c r="H6115" s="16" t="str">
        <f>IF(ISBLANK(PARTIDAS!$G6115),PARTIDAS!$F6115,CONCATENATE(PARTIDAS!$F6115," (",PARTIDAS!$G6115,")"))</f>
        <v>Embolos (pistones)</v>
      </c>
      <c r="I6115" s="16" t="s">
        <v>9427</v>
      </c>
    </row>
    <row r="6116" spans="1:9" x14ac:dyDescent="0.25">
      <c r="A6116" s="16" t="s">
        <v>7056</v>
      </c>
      <c r="B6116" s="16" t="str">
        <f>TEXT(PARTIDA[[#This Row],[PARTIDA]],"0000000000")</f>
        <v>8409915000</v>
      </c>
      <c r="C6116" s="16" t="s">
        <v>860</v>
      </c>
      <c r="D6116" s="16" t="s">
        <v>873</v>
      </c>
      <c r="E6116" s="16" t="s">
        <v>9478</v>
      </c>
      <c r="F6116" s="27" t="s">
        <v>14434</v>
      </c>
      <c r="G6116" s="27"/>
      <c r="H6116" s="16" t="str">
        <f>IF(ISBLANK(PARTIDAS!$G6116),PARTIDAS!$F6116,CONCATENATE(PARTIDAS!$F6116," (",PARTIDAS!$G6116,")"))</f>
        <v>Segmentos (anillos)</v>
      </c>
      <c r="I6116" s="16" t="s">
        <v>9427</v>
      </c>
    </row>
    <row r="6117" spans="1:9" x14ac:dyDescent="0.25">
      <c r="A6117" s="16" t="s">
        <v>7057</v>
      </c>
      <c r="B6117" s="16" t="str">
        <f>TEXT(PARTIDA[[#This Row],[PARTIDA]],"0000000000")</f>
        <v>8409916000</v>
      </c>
      <c r="C6117" s="16" t="s">
        <v>860</v>
      </c>
      <c r="D6117" s="16" t="s">
        <v>873</v>
      </c>
      <c r="E6117" s="16" t="s">
        <v>9478</v>
      </c>
      <c r="F6117" s="27" t="s">
        <v>14435</v>
      </c>
      <c r="G6117" s="27"/>
      <c r="H6117" s="16" t="str">
        <f>IF(ISBLANK(PARTIDAS!$G6117),PARTIDAS!$F6117,CONCATENATE(PARTIDAS!$F6117," (",PARTIDAS!$G6117,")"))</f>
        <v>Carburadores y sus partes</v>
      </c>
      <c r="I6117" s="16" t="s">
        <v>9427</v>
      </c>
    </row>
    <row r="6118" spans="1:9" x14ac:dyDescent="0.25">
      <c r="A6118" s="16" t="s">
        <v>7058</v>
      </c>
      <c r="B6118" s="16" t="str">
        <f>TEXT(PARTIDA[[#This Row],[PARTIDA]],"0000000000")</f>
        <v>8409917000</v>
      </c>
      <c r="C6118" s="16" t="s">
        <v>860</v>
      </c>
      <c r="D6118" s="16" t="s">
        <v>873</v>
      </c>
      <c r="E6118" s="16" t="s">
        <v>9478</v>
      </c>
      <c r="F6118" s="27" t="s">
        <v>14436</v>
      </c>
      <c r="G6118" s="27"/>
      <c r="H6118" s="16" t="str">
        <f>IF(ISBLANK(PARTIDAS!$G6118),PARTIDAS!$F6118,CONCATENATE(PARTIDAS!$F6118," (",PARTIDAS!$G6118,")"))</f>
        <v>Identificables como destinadas, exclusiva o principalmente, a los…, válvulas</v>
      </c>
      <c r="I6118" s="16" t="s">
        <v>9427</v>
      </c>
    </row>
    <row r="6119" spans="1:9" x14ac:dyDescent="0.25">
      <c r="A6119" s="16" t="s">
        <v>7059</v>
      </c>
      <c r="B6119" s="16" t="str">
        <f>TEXT(PARTIDA[[#This Row],[PARTIDA]],"0000000000")</f>
        <v>8409918000</v>
      </c>
      <c r="C6119" s="16" t="s">
        <v>860</v>
      </c>
      <c r="D6119" s="16" t="s">
        <v>873</v>
      </c>
      <c r="E6119" s="16" t="s">
        <v>9478</v>
      </c>
      <c r="F6119" s="27" t="s">
        <v>14437</v>
      </c>
      <c r="G6119" s="27"/>
      <c r="H6119" s="16" t="str">
        <f>IF(ISBLANK(PARTIDAS!$G6119),PARTIDAS!$F6119,CONCATENATE(PARTIDAS!$F6119," (",PARTIDAS!$G6119,")"))</f>
        <v>Identificables como destinadas, exclusiva o principalmente, a los…, cárteres</v>
      </c>
      <c r="I6119" s="16" t="s">
        <v>9427</v>
      </c>
    </row>
    <row r="6120" spans="1:9" x14ac:dyDescent="0.25">
      <c r="A6120" s="16" t="s">
        <v>7060</v>
      </c>
      <c r="B6120" s="16" t="str">
        <f>TEXT(PARTIDA[[#This Row],[PARTIDA]],"0000000000")</f>
        <v>8409919100</v>
      </c>
      <c r="C6120" s="16" t="s">
        <v>860</v>
      </c>
      <c r="D6120" s="16" t="s">
        <v>881</v>
      </c>
      <c r="E6120" s="16" t="s">
        <v>9483</v>
      </c>
      <c r="F6120" s="27" t="s">
        <v>14438</v>
      </c>
      <c r="G6120" s="27"/>
      <c r="H6120" s="16" t="str">
        <f>IF(ISBLANK(PARTIDAS!$G6120),PARTIDAS!$F6120,CONCATENATE(PARTIDAS!$F6120," (",PARTIDAS!$G6120,")"))</f>
        <v>Equipo para la conversión del sistema de alimentación de combustible para vehículos automóviles a uso dual (gas/gasolina)</v>
      </c>
      <c r="I6120" s="16" t="s">
        <v>9427</v>
      </c>
    </row>
    <row r="6121" spans="1:9" x14ac:dyDescent="0.25">
      <c r="A6121" s="16" t="s">
        <v>7061</v>
      </c>
      <c r="B6121" s="16" t="str">
        <f>TEXT(PARTIDA[[#This Row],[PARTIDA]],"0000000000")</f>
        <v>8409919900</v>
      </c>
      <c r="C6121" s="16" t="s">
        <v>860</v>
      </c>
      <c r="D6121" s="16" t="s">
        <v>873</v>
      </c>
      <c r="E6121" s="16" t="s">
        <v>9478</v>
      </c>
      <c r="F6121" s="27" t="s">
        <v>14439</v>
      </c>
      <c r="G6121" s="27"/>
      <c r="H6121" s="16" t="str">
        <f>IF(ISBLANK(PARTIDAS!$G6121),PARTIDAS!$F6121,CONCATENATE(PARTIDAS!$F6121," (",PARTIDAS!$G6121,")"))</f>
        <v>Identificables como destinadas, exclusiva o principalmente, a los… (los demás)</v>
      </c>
      <c r="I6121" s="16" t="s">
        <v>9427</v>
      </c>
    </row>
    <row r="6122" spans="1:9" x14ac:dyDescent="0.25">
      <c r="A6122" s="16" t="s">
        <v>7062</v>
      </c>
      <c r="B6122" s="16" t="str">
        <f>TEXT(PARTIDA[[#This Row],[PARTIDA]],"0000000000")</f>
        <v>8409991000</v>
      </c>
      <c r="C6122" s="16" t="s">
        <v>860</v>
      </c>
      <c r="D6122" s="16" t="s">
        <v>873</v>
      </c>
      <c r="E6122" s="16" t="s">
        <v>9478</v>
      </c>
      <c r="F6122" s="27" t="s">
        <v>7063</v>
      </c>
      <c r="G6122" s="27"/>
      <c r="H6122" s="16" t="str">
        <f>IF(ISBLANK(PARTIDAS!$G6122),PARTIDAS!$F6122,CONCATENATE(PARTIDAS!$F6122," (",PARTIDAS!$G6122,")"))</f>
        <v>Pistones</v>
      </c>
      <c r="I6122" s="16" t="s">
        <v>9427</v>
      </c>
    </row>
    <row r="6123" spans="1:9" x14ac:dyDescent="0.25">
      <c r="A6123" s="16" t="s">
        <v>7064</v>
      </c>
      <c r="B6123" s="16" t="str">
        <f>TEXT(PARTIDA[[#This Row],[PARTIDA]],"0000000000")</f>
        <v>8409992000</v>
      </c>
      <c r="C6123" s="16" t="s">
        <v>860</v>
      </c>
      <c r="D6123" s="16" t="s">
        <v>873</v>
      </c>
      <c r="E6123" s="16" t="s">
        <v>9478</v>
      </c>
      <c r="F6123" s="27" t="s">
        <v>14434</v>
      </c>
      <c r="G6123" s="27"/>
      <c r="H6123" s="16" t="str">
        <f>IF(ISBLANK(PARTIDAS!$G6123),PARTIDAS!$F6123,CONCATENATE(PARTIDAS!$F6123," (",PARTIDAS!$G6123,")"))</f>
        <v>Segmentos (anillos)</v>
      </c>
      <c r="I6123" s="16" t="s">
        <v>9427</v>
      </c>
    </row>
    <row r="6124" spans="1:9" x14ac:dyDescent="0.25">
      <c r="A6124" s="16" t="s">
        <v>7065</v>
      </c>
      <c r="B6124" s="16" t="str">
        <f>TEXT(PARTIDA[[#This Row],[PARTIDA]],"0000000000")</f>
        <v>8409993000</v>
      </c>
      <c r="C6124" s="16" t="s">
        <v>860</v>
      </c>
      <c r="D6124" s="16" t="s">
        <v>873</v>
      </c>
      <c r="E6124" s="16" t="s">
        <v>9478</v>
      </c>
      <c r="F6124" s="27" t="s">
        <v>7066</v>
      </c>
      <c r="G6124" s="27"/>
      <c r="H6124" s="16" t="str">
        <f>IF(ISBLANK(PARTIDAS!$G6124),PARTIDAS!$F6124,CONCATENATE(PARTIDAS!$F6124," (",PARTIDAS!$G6124,")"))</f>
        <v>Inyectores de combustible</v>
      </c>
      <c r="I6124" s="16" t="s">
        <v>9427</v>
      </c>
    </row>
    <row r="6125" spans="1:9" x14ac:dyDescent="0.25">
      <c r="A6125" s="16" t="s">
        <v>7067</v>
      </c>
      <c r="B6125" s="16" t="str">
        <f>TEXT(PARTIDA[[#This Row],[PARTIDA]],"0000000000")</f>
        <v>8409994000</v>
      </c>
      <c r="C6125" s="16" t="s">
        <v>860</v>
      </c>
      <c r="D6125" s="16" t="s">
        <v>873</v>
      </c>
      <c r="E6125" s="16" t="s">
        <v>9478</v>
      </c>
      <c r="F6125" s="27" t="s">
        <v>14430</v>
      </c>
      <c r="G6125" s="27"/>
      <c r="H6125" s="16" t="str">
        <f>IF(ISBLANK(PARTIDAS!$G6125),PARTIDAS!$F6125,CONCATENATE(PARTIDAS!$F6125," (",PARTIDAS!$G6125,")"))</f>
        <v>Bloques y culatas</v>
      </c>
      <c r="I6125" s="16" t="s">
        <v>9427</v>
      </c>
    </row>
    <row r="6126" spans="1:9" x14ac:dyDescent="0.25">
      <c r="A6126" s="16" t="s">
        <v>7068</v>
      </c>
      <c r="B6126" s="16" t="str">
        <f>TEXT(PARTIDA[[#This Row],[PARTIDA]],"0000000000")</f>
        <v>8409995000</v>
      </c>
      <c r="C6126" s="16" t="s">
        <v>860</v>
      </c>
      <c r="D6126" s="16" t="s">
        <v>873</v>
      </c>
      <c r="E6126" s="16" t="s">
        <v>9478</v>
      </c>
      <c r="F6126" s="27" t="s">
        <v>14431</v>
      </c>
      <c r="G6126" s="27"/>
      <c r="H6126" s="16" t="str">
        <f>IF(ISBLANK(PARTIDAS!$G6126),PARTIDAS!$F6126,CONCATENATE(PARTIDAS!$F6126," (",PARTIDAS!$G6126,")"))</f>
        <v>Camisas de cilindros</v>
      </c>
      <c r="I6126" s="16" t="s">
        <v>9427</v>
      </c>
    </row>
    <row r="6127" spans="1:9" x14ac:dyDescent="0.25">
      <c r="A6127" s="16" t="s">
        <v>7069</v>
      </c>
      <c r="B6127" s="16" t="str">
        <f>TEXT(PARTIDA[[#This Row],[PARTIDA]],"0000000000")</f>
        <v>8409996000</v>
      </c>
      <c r="C6127" s="16" t="s">
        <v>860</v>
      </c>
      <c r="D6127" s="16" t="s">
        <v>873</v>
      </c>
      <c r="E6127" s="16" t="s">
        <v>9478</v>
      </c>
      <c r="F6127" s="27" t="s">
        <v>14440</v>
      </c>
      <c r="G6127" s="27"/>
      <c r="H6127" s="16" t="str">
        <f>IF(ISBLANK(PARTIDAS!$G6127),PARTIDAS!$F6127,CONCATENATE(PARTIDAS!$F6127," (",PARTIDAS!$G6127,")"))</f>
        <v>Partes identificables como destinadas, exclusiva o principalmente, a…, bielas</v>
      </c>
      <c r="I6127" s="16" t="s">
        <v>9427</v>
      </c>
    </row>
    <row r="6128" spans="1:9" x14ac:dyDescent="0.25">
      <c r="A6128" s="16" t="s">
        <v>7070</v>
      </c>
      <c r="B6128" s="16" t="str">
        <f>TEXT(PARTIDA[[#This Row],[PARTIDA]],"0000000000")</f>
        <v>8409997000</v>
      </c>
      <c r="C6128" s="16" t="s">
        <v>860</v>
      </c>
      <c r="D6128" s="16" t="s">
        <v>873</v>
      </c>
      <c r="E6128" s="16" t="s">
        <v>9478</v>
      </c>
      <c r="F6128" s="27" t="s">
        <v>14441</v>
      </c>
      <c r="G6128" s="27"/>
      <c r="H6128" s="16" t="str">
        <f>IF(ISBLANK(PARTIDAS!$G6128),PARTIDAS!$F6128,CONCATENATE(PARTIDAS!$F6128," (",PARTIDAS!$G6128,")"))</f>
        <v>Partes identificables como destinadas, exclusiva o principalmente, a…, válvulas</v>
      </c>
      <c r="I6128" s="16" t="s">
        <v>9427</v>
      </c>
    </row>
    <row r="6129" spans="1:9" x14ac:dyDescent="0.25">
      <c r="A6129" s="16" t="s">
        <v>7071</v>
      </c>
      <c r="B6129" s="16" t="str">
        <f>TEXT(PARTIDA[[#This Row],[PARTIDA]],"0000000000")</f>
        <v>8409998000</v>
      </c>
      <c r="C6129" s="16" t="s">
        <v>860</v>
      </c>
      <c r="D6129" s="16" t="s">
        <v>873</v>
      </c>
      <c r="E6129" s="16" t="s">
        <v>9478</v>
      </c>
      <c r="F6129" s="27" t="s">
        <v>14442</v>
      </c>
      <c r="G6129" s="27"/>
      <c r="H6129" s="16" t="str">
        <f>IF(ISBLANK(PARTIDAS!$G6129),PARTIDAS!$F6129,CONCATENATE(PARTIDAS!$F6129," (",PARTIDAS!$G6129,")"))</f>
        <v>Partes identificables como destinadas, exclusiva o principalmente, a…, cárteres</v>
      </c>
      <c r="I6129" s="16" t="s">
        <v>9427</v>
      </c>
    </row>
    <row r="6130" spans="1:9" x14ac:dyDescent="0.25">
      <c r="A6130" s="16" t="s">
        <v>7072</v>
      </c>
      <c r="B6130" s="16" t="str">
        <f>TEXT(PARTIDA[[#This Row],[PARTIDA]],"0000000000")</f>
        <v>8409999100</v>
      </c>
      <c r="C6130" s="16" t="s">
        <v>860</v>
      </c>
      <c r="D6130" s="16" t="s">
        <v>873</v>
      </c>
      <c r="E6130" s="16" t="s">
        <v>9478</v>
      </c>
      <c r="F6130" s="27" t="s">
        <v>14443</v>
      </c>
      <c r="G6130" s="27"/>
      <c r="H6130" s="16" t="str">
        <f>IF(ISBLANK(PARTIDAS!$G6130),PARTIDAS!$F6130,CONCATENATE(PARTIDAS!$F6130," (",PARTIDAS!$G6130,")"))</f>
        <v>Guías de válvulas</v>
      </c>
      <c r="I6130" s="16" t="s">
        <v>9427</v>
      </c>
    </row>
    <row r="6131" spans="1:9" x14ac:dyDescent="0.25">
      <c r="A6131" s="16" t="s">
        <v>7073</v>
      </c>
      <c r="B6131" s="16" t="str">
        <f>TEXT(PARTIDA[[#This Row],[PARTIDA]],"0000000000")</f>
        <v>8409999200</v>
      </c>
      <c r="C6131" s="16" t="s">
        <v>860</v>
      </c>
      <c r="D6131" s="16" t="s">
        <v>873</v>
      </c>
      <c r="E6131" s="16" t="s">
        <v>9478</v>
      </c>
      <c r="F6131" s="27" t="s">
        <v>14444</v>
      </c>
      <c r="G6131" s="27"/>
      <c r="H6131" s="16" t="str">
        <f>IF(ISBLANK(PARTIDAS!$G6131),PARTIDAS!$F6131,CONCATENATE(PARTIDAS!$F6131," (",PARTIDAS!$G6131,")"))</f>
        <v>Pasadores de piston</v>
      </c>
      <c r="I6131" s="16" t="s">
        <v>9427</v>
      </c>
    </row>
    <row r="6132" spans="1:9" x14ac:dyDescent="0.25">
      <c r="A6132" s="16" t="s">
        <v>7074</v>
      </c>
      <c r="B6132" s="16" t="str">
        <f>TEXT(PARTIDA[[#This Row],[PARTIDA]],"0000000000")</f>
        <v>8409999300</v>
      </c>
      <c r="C6132" s="16" t="s">
        <v>860</v>
      </c>
      <c r="D6132" s="16" t="s">
        <v>881</v>
      </c>
      <c r="E6132" s="16" t="s">
        <v>9483</v>
      </c>
      <c r="F6132" s="27" t="s">
        <v>14445</v>
      </c>
      <c r="G6132" s="27"/>
      <c r="H6132" s="16" t="str">
        <f>IF(ISBLANK(PARTIDAS!$G6132),PARTIDAS!$F6132,CONCATENATE(PARTIDAS!$F6132," (",PARTIDAS!$G6132,")"))</f>
        <v>Equipo para la conversión del sistema de alimentación de combustible para vehículos automóviles a uso dual (diésel/gas o semi-diésel/gas)</v>
      </c>
      <c r="I6132" s="16" t="s">
        <v>9427</v>
      </c>
    </row>
    <row r="6133" spans="1:9" x14ac:dyDescent="0.25">
      <c r="A6133" s="16" t="s">
        <v>7075</v>
      </c>
      <c r="B6133" s="16" t="str">
        <f>TEXT(PARTIDA[[#This Row],[PARTIDA]],"0000000000")</f>
        <v>8409999900</v>
      </c>
      <c r="C6133" s="16" t="s">
        <v>860</v>
      </c>
      <c r="D6133" s="16" t="s">
        <v>873</v>
      </c>
      <c r="E6133" s="16" t="s">
        <v>9478</v>
      </c>
      <c r="F6133" s="27" t="s">
        <v>14446</v>
      </c>
      <c r="G6133" s="27"/>
      <c r="H6133" s="16" t="str">
        <f>IF(ISBLANK(PARTIDAS!$G6133),PARTIDAS!$F6133,CONCATENATE(PARTIDAS!$F6133," (",PARTIDAS!$G6133,")"))</f>
        <v>Partes identificables como destinadas, exclusiva o principalmente, a… (los demás)</v>
      </c>
      <c r="I6133" s="16" t="s">
        <v>9427</v>
      </c>
    </row>
    <row r="6134" spans="1:9" x14ac:dyDescent="0.25">
      <c r="A6134" s="16" t="s">
        <v>7076</v>
      </c>
      <c r="B6134" s="16" t="str">
        <f>TEXT(PARTIDA[[#This Row],[PARTIDA]],"0000000000")</f>
        <v>8410110000</v>
      </c>
      <c r="C6134" s="16" t="s">
        <v>860</v>
      </c>
      <c r="D6134" s="16" t="s">
        <v>873</v>
      </c>
      <c r="E6134" s="16" t="s">
        <v>9480</v>
      </c>
      <c r="F6134" s="27" t="s">
        <v>14447</v>
      </c>
      <c r="G6134" s="27"/>
      <c r="H6134" s="16" t="str">
        <f>IF(ISBLANK(PARTIDAS!$G6134),PARTIDAS!$F6134,CONCATENATE(PARTIDAS!$F6134," (",PARTIDAS!$G6134,")"))</f>
        <v>Turbinas y ruedas hidráulicas, de potencia inferior o igual a 1.000 kW</v>
      </c>
      <c r="I6134" s="16" t="s">
        <v>9427</v>
      </c>
    </row>
    <row r="6135" spans="1:9" x14ac:dyDescent="0.25">
      <c r="A6135" s="16" t="s">
        <v>7077</v>
      </c>
      <c r="B6135" s="16" t="str">
        <f>TEXT(PARTIDA[[#This Row],[PARTIDA]],"0000000000")</f>
        <v>8410120000</v>
      </c>
      <c r="C6135" s="16" t="s">
        <v>860</v>
      </c>
      <c r="D6135" s="16" t="s">
        <v>873</v>
      </c>
      <c r="E6135" s="16" t="s">
        <v>9480</v>
      </c>
      <c r="F6135" s="27" t="s">
        <v>14448</v>
      </c>
      <c r="G6135" s="27"/>
      <c r="H6135" s="16" t="str">
        <f>IF(ISBLANK(PARTIDAS!$G6135),PARTIDAS!$F6135,CONCATENATE(PARTIDAS!$F6135," (",PARTIDAS!$G6135,")"))</f>
        <v>Turbinas y ruedas hidráulicas, de potencia superior a 1.000 kW pero inferior o igual a 10.000 kW</v>
      </c>
      <c r="I6135" s="16" t="s">
        <v>9427</v>
      </c>
    </row>
    <row r="6136" spans="1:9" x14ac:dyDescent="0.25">
      <c r="A6136" s="16" t="s">
        <v>7078</v>
      </c>
      <c r="B6136" s="16" t="str">
        <f>TEXT(PARTIDA[[#This Row],[PARTIDA]],"0000000000")</f>
        <v>8410130000</v>
      </c>
      <c r="C6136" s="16" t="s">
        <v>860</v>
      </c>
      <c r="D6136" s="16" t="s">
        <v>873</v>
      </c>
      <c r="E6136" s="16" t="s">
        <v>9480</v>
      </c>
      <c r="F6136" s="27" t="s">
        <v>14449</v>
      </c>
      <c r="G6136" s="27"/>
      <c r="H6136" s="16" t="str">
        <f>IF(ISBLANK(PARTIDAS!$G6136),PARTIDAS!$F6136,CONCATENATE(PARTIDAS!$F6136," (",PARTIDAS!$G6136,")"))</f>
        <v>Turbinas y ruedas hidráulicas, de potencia superior a 10.000 kW</v>
      </c>
      <c r="I6136" s="16" t="s">
        <v>9427</v>
      </c>
    </row>
    <row r="6137" spans="1:9" x14ac:dyDescent="0.25">
      <c r="A6137" s="16" t="s">
        <v>7079</v>
      </c>
      <c r="B6137" s="16" t="str">
        <f>TEXT(PARTIDA[[#This Row],[PARTIDA]],"0000000000")</f>
        <v>8410900000</v>
      </c>
      <c r="C6137" s="16" t="s">
        <v>860</v>
      </c>
      <c r="D6137" s="16" t="s">
        <v>873</v>
      </c>
      <c r="E6137" s="16" t="s">
        <v>9480</v>
      </c>
      <c r="F6137" s="27" t="s">
        <v>14450</v>
      </c>
      <c r="G6137" s="27"/>
      <c r="H6137" s="16" t="str">
        <f>IF(ISBLANK(PARTIDAS!$G6137),PARTIDAS!$F6137,CONCATENATE(PARTIDAS!$F6137," (",PARTIDAS!$G6137,")"))</f>
        <v>Turbinas hidráulicas, ruedas hidráulicas y sus reguladores, partes, incluidos los reguladores</v>
      </c>
      <c r="I6137" s="16" t="s">
        <v>9427</v>
      </c>
    </row>
    <row r="6138" spans="1:9" x14ac:dyDescent="0.25">
      <c r="A6138" s="16" t="s">
        <v>7080</v>
      </c>
      <c r="B6138" s="16" t="str">
        <f>TEXT(PARTIDA[[#This Row],[PARTIDA]],"0000000000")</f>
        <v>8411110000</v>
      </c>
      <c r="C6138" s="16" t="s">
        <v>860</v>
      </c>
      <c r="D6138" s="16" t="s">
        <v>873</v>
      </c>
      <c r="E6138" s="16" t="s">
        <v>9480</v>
      </c>
      <c r="F6138" s="27" t="s">
        <v>14451</v>
      </c>
      <c r="G6138" s="27"/>
      <c r="H6138" s="16" t="str">
        <f>IF(ISBLANK(PARTIDAS!$G6138),PARTIDAS!$F6138,CONCATENATE(PARTIDAS!$F6138," (",PARTIDAS!$G6138,")"))</f>
        <v>Turborreactores, de empuje inferior o igual a 25 kN</v>
      </c>
      <c r="I6138" s="16" t="s">
        <v>9427</v>
      </c>
    </row>
    <row r="6139" spans="1:9" x14ac:dyDescent="0.25">
      <c r="A6139" s="16" t="s">
        <v>7081</v>
      </c>
      <c r="B6139" s="16" t="str">
        <f>TEXT(PARTIDA[[#This Row],[PARTIDA]],"0000000000")</f>
        <v>8411120000</v>
      </c>
      <c r="C6139" s="16" t="s">
        <v>860</v>
      </c>
      <c r="D6139" s="16" t="s">
        <v>873</v>
      </c>
      <c r="E6139" s="16" t="s">
        <v>9480</v>
      </c>
      <c r="F6139" s="27" t="s">
        <v>14452</v>
      </c>
      <c r="G6139" s="27"/>
      <c r="H6139" s="16" t="str">
        <f>IF(ISBLANK(PARTIDAS!$G6139),PARTIDAS!$F6139,CONCATENATE(PARTIDAS!$F6139," (",PARTIDAS!$G6139,")"))</f>
        <v>Turborreactores, de empuje superior a 25 kN</v>
      </c>
      <c r="I6139" s="16" t="s">
        <v>9427</v>
      </c>
    </row>
    <row r="6140" spans="1:9" x14ac:dyDescent="0.25">
      <c r="A6140" s="16" t="s">
        <v>7082</v>
      </c>
      <c r="B6140" s="16" t="str">
        <f>TEXT(PARTIDA[[#This Row],[PARTIDA]],"0000000000")</f>
        <v>8411210000</v>
      </c>
      <c r="C6140" s="16" t="s">
        <v>860</v>
      </c>
      <c r="D6140" s="16" t="s">
        <v>873</v>
      </c>
      <c r="E6140" s="16" t="s">
        <v>9480</v>
      </c>
      <c r="F6140" s="27" t="s">
        <v>14453</v>
      </c>
      <c r="G6140" s="27"/>
      <c r="H6140" s="16" t="str">
        <f>IF(ISBLANK(PARTIDAS!$G6140),PARTIDAS!$F6140,CONCATENATE(PARTIDAS!$F6140," (",PARTIDAS!$G6140,")"))</f>
        <v>Turbopropulsores, de potencia inferior o igual a 1.100 kW</v>
      </c>
      <c r="I6140" s="16" t="s">
        <v>9427</v>
      </c>
    </row>
    <row r="6141" spans="1:9" x14ac:dyDescent="0.25">
      <c r="A6141" s="16" t="s">
        <v>7083</v>
      </c>
      <c r="B6141" s="16" t="str">
        <f>TEXT(PARTIDA[[#This Row],[PARTIDA]],"0000000000")</f>
        <v>8411220000</v>
      </c>
      <c r="C6141" s="16" t="s">
        <v>860</v>
      </c>
      <c r="D6141" s="16" t="s">
        <v>873</v>
      </c>
      <c r="E6141" s="16" t="s">
        <v>9480</v>
      </c>
      <c r="F6141" s="27" t="s">
        <v>14454</v>
      </c>
      <c r="G6141" s="27"/>
      <c r="H6141" s="16" t="str">
        <f>IF(ISBLANK(PARTIDAS!$G6141),PARTIDAS!$F6141,CONCATENATE(PARTIDAS!$F6141," (",PARTIDAS!$G6141,")"))</f>
        <v>Turbopropulsores, de potencia superior a 1.100 kW</v>
      </c>
      <c r="I6141" s="16" t="s">
        <v>9427</v>
      </c>
    </row>
    <row r="6142" spans="1:9" x14ac:dyDescent="0.25">
      <c r="A6142" s="16" t="s">
        <v>7084</v>
      </c>
      <c r="B6142" s="16" t="str">
        <f>TEXT(PARTIDA[[#This Row],[PARTIDA]],"0000000000")</f>
        <v>8411810000</v>
      </c>
      <c r="C6142" s="16" t="s">
        <v>860</v>
      </c>
      <c r="D6142" s="16" t="s">
        <v>873</v>
      </c>
      <c r="E6142" s="16" t="s">
        <v>9480</v>
      </c>
      <c r="F6142" s="27" t="s">
        <v>14455</v>
      </c>
      <c r="G6142" s="27"/>
      <c r="H6142" s="16" t="str">
        <f>IF(ISBLANK(PARTIDAS!$G6142),PARTIDAS!$F6142,CONCATENATE(PARTIDAS!$F6142," (",PARTIDAS!$G6142,")"))</f>
        <v>Turborreactores, turbopropulsores y demás turbinas de gas, de potencia inferior o igual a 5.000 kW</v>
      </c>
      <c r="I6142" s="16" t="s">
        <v>9427</v>
      </c>
    </row>
    <row r="6143" spans="1:9" x14ac:dyDescent="0.25">
      <c r="A6143" s="16" t="s">
        <v>7085</v>
      </c>
      <c r="B6143" s="16" t="str">
        <f>TEXT(PARTIDA[[#This Row],[PARTIDA]],"0000000000")</f>
        <v>8411820000</v>
      </c>
      <c r="C6143" s="16" t="s">
        <v>860</v>
      </c>
      <c r="D6143" s="16" t="s">
        <v>873</v>
      </c>
      <c r="E6143" s="16" t="s">
        <v>9480</v>
      </c>
      <c r="F6143" s="27" t="s">
        <v>14456</v>
      </c>
      <c r="G6143" s="27"/>
      <c r="H6143" s="16" t="str">
        <f>IF(ISBLANK(PARTIDAS!$G6143),PARTIDAS!$F6143,CONCATENATE(PARTIDAS!$F6143," (",PARTIDAS!$G6143,")"))</f>
        <v>Turborreactores, turbopropulsores y demás turbinas de gas, de potencia superior a 5.000 kW</v>
      </c>
      <c r="I6143" s="16" t="s">
        <v>9427</v>
      </c>
    </row>
    <row r="6144" spans="1:9" x14ac:dyDescent="0.25">
      <c r="A6144" s="16" t="s">
        <v>7086</v>
      </c>
      <c r="B6144" s="16" t="str">
        <f>TEXT(PARTIDA[[#This Row],[PARTIDA]],"0000000000")</f>
        <v>8411910000</v>
      </c>
      <c r="C6144" s="16" t="s">
        <v>860</v>
      </c>
      <c r="D6144" s="16" t="s">
        <v>873</v>
      </c>
      <c r="E6144" s="16" t="s">
        <v>9480</v>
      </c>
      <c r="F6144" s="27" t="s">
        <v>14457</v>
      </c>
      <c r="G6144" s="27"/>
      <c r="H6144" s="16" t="str">
        <f>IF(ISBLANK(PARTIDAS!$G6144),PARTIDAS!$F6144,CONCATENATE(PARTIDAS!$F6144," (",PARTIDAS!$G6144,")"))</f>
        <v>Turborreactores, turbopropulsores y demás turbinas de…, partes, de turborreactores o de turbopropulsores</v>
      </c>
      <c r="I6144" s="16" t="s">
        <v>9427</v>
      </c>
    </row>
    <row r="6145" spans="1:9" x14ac:dyDescent="0.25">
      <c r="A6145" s="16" t="s">
        <v>7087</v>
      </c>
      <c r="B6145" s="16" t="str">
        <f>TEXT(PARTIDA[[#This Row],[PARTIDA]],"0000000000")</f>
        <v>8411990000</v>
      </c>
      <c r="C6145" s="16" t="s">
        <v>860</v>
      </c>
      <c r="D6145" s="16" t="s">
        <v>873</v>
      </c>
      <c r="E6145" s="16" t="s">
        <v>9480</v>
      </c>
      <c r="F6145" s="27" t="s">
        <v>14458</v>
      </c>
      <c r="G6145" s="27"/>
      <c r="H6145" s="16" t="str">
        <f>IF(ISBLANK(PARTIDAS!$G6145),PARTIDAS!$F6145,CONCATENATE(PARTIDAS!$F6145," (",PARTIDAS!$G6145,")"))</f>
        <v>Turborreactores, turbopropulsores y demás turbinas de…, partes (los demás)</v>
      </c>
      <c r="I6145" s="16" t="s">
        <v>9427</v>
      </c>
    </row>
    <row r="6146" spans="1:9" x14ac:dyDescent="0.25">
      <c r="A6146" s="16" t="s">
        <v>7088</v>
      </c>
      <c r="B6146" s="16" t="str">
        <f>TEXT(PARTIDA[[#This Row],[PARTIDA]],"0000000000")</f>
        <v>8412100000</v>
      </c>
      <c r="C6146" s="16" t="s">
        <v>860</v>
      </c>
      <c r="D6146" s="16" t="s">
        <v>873</v>
      </c>
      <c r="E6146" s="16" t="s">
        <v>9480</v>
      </c>
      <c r="F6146" s="27" t="s">
        <v>14459</v>
      </c>
      <c r="G6146" s="27"/>
      <c r="H6146" s="16" t="str">
        <f>IF(ISBLANK(PARTIDAS!$G6146),PARTIDAS!$F6146,CONCATENATE(PARTIDAS!$F6146," (",PARTIDAS!$G6146,")"))</f>
        <v>Propulsores a reacción, excepto los turborreactores</v>
      </c>
      <c r="I6146" s="16" t="s">
        <v>9427</v>
      </c>
    </row>
    <row r="6147" spans="1:9" x14ac:dyDescent="0.25">
      <c r="A6147" s="16" t="s">
        <v>7089</v>
      </c>
      <c r="B6147" s="16" t="str">
        <f>TEXT(PARTIDA[[#This Row],[PARTIDA]],"0000000000")</f>
        <v>8412210000</v>
      </c>
      <c r="C6147" s="16" t="s">
        <v>860</v>
      </c>
      <c r="D6147" s="16" t="s">
        <v>873</v>
      </c>
      <c r="E6147" s="16" t="s">
        <v>9480</v>
      </c>
      <c r="F6147" s="27" t="s">
        <v>14460</v>
      </c>
      <c r="G6147" s="27"/>
      <c r="H6147" s="16" t="str">
        <f>IF(ISBLANK(PARTIDAS!$G6147),PARTIDAS!$F6147,CONCATENATE(PARTIDAS!$F6147," (",PARTIDAS!$G6147,")"))</f>
        <v>Motores hidráulicos, con movimiento rectilíneo (cilindros)</v>
      </c>
      <c r="I6147" s="16" t="s">
        <v>9427</v>
      </c>
    </row>
    <row r="6148" spans="1:9" x14ac:dyDescent="0.25">
      <c r="A6148" s="16" t="s">
        <v>7090</v>
      </c>
      <c r="B6148" s="16" t="str">
        <f>TEXT(PARTIDA[[#This Row],[PARTIDA]],"0000000000")</f>
        <v>8412290000</v>
      </c>
      <c r="C6148" s="16" t="s">
        <v>860</v>
      </c>
      <c r="D6148" s="16" t="s">
        <v>873</v>
      </c>
      <c r="E6148" s="16" t="s">
        <v>9480</v>
      </c>
      <c r="F6148" s="27" t="s">
        <v>9304</v>
      </c>
      <c r="G6148" s="27"/>
      <c r="H6148" s="16" t="str">
        <f>IF(ISBLANK(PARTIDAS!$G6148),PARTIDAS!$F6148,CONCATENATE(PARTIDAS!$F6148," (",PARTIDAS!$G6148,")"))</f>
        <v>Motores hidráulicos (los demás)</v>
      </c>
      <c r="I6148" s="16" t="s">
        <v>9477</v>
      </c>
    </row>
    <row r="6149" spans="1:9" x14ac:dyDescent="0.25">
      <c r="A6149" s="16" t="s">
        <v>7091</v>
      </c>
      <c r="B6149" s="16" t="str">
        <f>TEXT(PARTIDA[[#This Row],[PARTIDA]],"0000000000")</f>
        <v>8412310000</v>
      </c>
      <c r="C6149" s="16" t="s">
        <v>860</v>
      </c>
      <c r="D6149" s="16" t="s">
        <v>873</v>
      </c>
      <c r="E6149" s="16" t="s">
        <v>9480</v>
      </c>
      <c r="F6149" s="27" t="s">
        <v>14461</v>
      </c>
      <c r="G6149" s="27"/>
      <c r="H6149" s="16" t="str">
        <f>IF(ISBLANK(PARTIDAS!$G6149),PARTIDAS!$F6149,CONCATENATE(PARTIDAS!$F6149," (",PARTIDAS!$G6149,")"))</f>
        <v>Motores neumáticos, con movimiento rectilíneo (cilindros)</v>
      </c>
      <c r="I6149" s="16" t="s">
        <v>9427</v>
      </c>
    </row>
    <row r="6150" spans="1:9" x14ac:dyDescent="0.25">
      <c r="A6150" s="16" t="s">
        <v>7092</v>
      </c>
      <c r="B6150" s="16" t="str">
        <f>TEXT(PARTIDA[[#This Row],[PARTIDA]],"0000000000")</f>
        <v>8412390000</v>
      </c>
      <c r="C6150" s="16" t="s">
        <v>860</v>
      </c>
      <c r="D6150" s="16" t="s">
        <v>873</v>
      </c>
      <c r="E6150" s="16" t="s">
        <v>9480</v>
      </c>
      <c r="F6150" s="27" t="s">
        <v>7093</v>
      </c>
      <c r="G6150" s="27"/>
      <c r="H6150" s="16" t="str">
        <f>IF(ISBLANK(PARTIDAS!$G6150),PARTIDAS!$F6150,CONCATENATE(PARTIDAS!$F6150," (",PARTIDAS!$G6150,")"))</f>
        <v>Motores neumáticos</v>
      </c>
      <c r="I6150" s="16" t="s">
        <v>9427</v>
      </c>
    </row>
    <row r="6151" spans="1:9" x14ac:dyDescent="0.25">
      <c r="A6151" s="16" t="s">
        <v>7094</v>
      </c>
      <c r="B6151" s="16" t="str">
        <f>TEXT(PARTIDA[[#This Row],[PARTIDA]],"0000000000")</f>
        <v>8412801000</v>
      </c>
      <c r="C6151" s="16" t="s">
        <v>860</v>
      </c>
      <c r="D6151" s="16" t="s">
        <v>873</v>
      </c>
      <c r="E6151" s="16" t="s">
        <v>9480</v>
      </c>
      <c r="F6151" s="27" t="s">
        <v>14462</v>
      </c>
      <c r="G6151" s="27"/>
      <c r="H6151" s="16" t="str">
        <f>IF(ISBLANK(PARTIDAS!$G6151),PARTIDAS!$F6151,CONCATENATE(PARTIDAS!$F6151," (",PARTIDAS!$G6151,")"))</f>
        <v>Motores de viento o eólicos</v>
      </c>
      <c r="I6151" s="16" t="s">
        <v>9427</v>
      </c>
    </row>
    <row r="6152" spans="1:9" x14ac:dyDescent="0.25">
      <c r="A6152" s="16" t="s">
        <v>7095</v>
      </c>
      <c r="B6152" s="16" t="str">
        <f>TEXT(PARTIDA[[#This Row],[PARTIDA]],"0000000000")</f>
        <v>8412809000</v>
      </c>
      <c r="C6152" s="16" t="s">
        <v>860</v>
      </c>
      <c r="D6152" s="16" t="s">
        <v>873</v>
      </c>
      <c r="E6152" s="16" t="s">
        <v>9480</v>
      </c>
      <c r="F6152" s="27" t="s">
        <v>14463</v>
      </c>
      <c r="G6152" s="27"/>
      <c r="H6152" s="16" t="str">
        <f>IF(ISBLANK(PARTIDAS!$G6152),PARTIDAS!$F6152,CONCATENATE(PARTIDAS!$F6152," (",PARTIDAS!$G6152,")"))</f>
        <v>Reactores nucleares, calderas, máquinas, aparatos y artefactos… (los demás)</v>
      </c>
      <c r="I6152" s="16" t="s">
        <v>9427</v>
      </c>
    </row>
    <row r="6153" spans="1:9" x14ac:dyDescent="0.25">
      <c r="A6153" s="16" t="s">
        <v>7096</v>
      </c>
      <c r="B6153" s="16" t="str">
        <f>TEXT(PARTIDA[[#This Row],[PARTIDA]],"0000000000")</f>
        <v>8412900000</v>
      </c>
      <c r="C6153" s="16" t="s">
        <v>860</v>
      </c>
      <c r="D6153" s="16" t="s">
        <v>873</v>
      </c>
      <c r="E6153" s="16" t="s">
        <v>9480</v>
      </c>
      <c r="F6153" s="27" t="s">
        <v>7097</v>
      </c>
      <c r="G6153" s="27"/>
      <c r="H6153" s="16" t="str">
        <f>IF(ISBLANK(PARTIDAS!$G6153),PARTIDAS!$F6153,CONCATENATE(PARTIDAS!$F6153," (",PARTIDAS!$G6153,")"))</f>
        <v>Partes de máquinas</v>
      </c>
      <c r="I6153" s="16" t="s">
        <v>9427</v>
      </c>
    </row>
    <row r="6154" spans="1:9" x14ac:dyDescent="0.25">
      <c r="A6154" s="16" t="s">
        <v>7098</v>
      </c>
      <c r="B6154" s="16" t="str">
        <f>TEXT(PARTIDA[[#This Row],[PARTIDA]],"0000000000")</f>
        <v>8413110000</v>
      </c>
      <c r="C6154" s="16" t="s">
        <v>860</v>
      </c>
      <c r="D6154" s="16" t="s">
        <v>873</v>
      </c>
      <c r="E6154" s="16" t="s">
        <v>9480</v>
      </c>
      <c r="F6154" s="27" t="s">
        <v>14464</v>
      </c>
      <c r="G6154" s="27"/>
      <c r="H6154" s="16" t="str">
        <f>IF(ISBLANK(PARTIDAS!$G6154),PARTIDAS!$F6154,CONCATENATE(PARTIDAS!$F6154," (",PARTIDAS!$G6154,")"))</f>
        <v>Bombas para distribución de carburantes o lubricantes, de los tipos utilizados en gasolineras, estaciones de servicio o garajes</v>
      </c>
      <c r="I6154" s="16" t="s">
        <v>9427</v>
      </c>
    </row>
    <row r="6155" spans="1:9" x14ac:dyDescent="0.25">
      <c r="A6155" s="16" t="s">
        <v>7099</v>
      </c>
      <c r="B6155" s="16" t="str">
        <f>TEXT(PARTIDA[[#This Row],[PARTIDA]],"0000000000")</f>
        <v>8413190000</v>
      </c>
      <c r="C6155" s="16" t="s">
        <v>860</v>
      </c>
      <c r="D6155" s="16" t="s">
        <v>873</v>
      </c>
      <c r="E6155" s="16" t="s">
        <v>9480</v>
      </c>
      <c r="F6155" s="27" t="s">
        <v>14465</v>
      </c>
      <c r="G6155" s="27"/>
      <c r="H6155" s="16" t="str">
        <f>IF(ISBLANK(PARTIDAS!$G6155),PARTIDAS!$F6155,CONCATENATE(PARTIDAS!$F6155," (",PARTIDAS!$G6155,")"))</f>
        <v>Bombas equipadas o diseñadas para equiparlas con dispositivo medidor (los demás)</v>
      </c>
      <c r="I6155" s="16" t="s">
        <v>9427</v>
      </c>
    </row>
    <row r="6156" spans="1:9" x14ac:dyDescent="0.25">
      <c r="A6156" s="16" t="s">
        <v>7100</v>
      </c>
      <c r="B6156" s="16" t="str">
        <f>TEXT(PARTIDA[[#This Row],[PARTIDA]],"0000000000")</f>
        <v>8413200000</v>
      </c>
      <c r="C6156" s="16" t="s">
        <v>860</v>
      </c>
      <c r="D6156" s="16" t="s">
        <v>873</v>
      </c>
      <c r="E6156" s="16" t="s">
        <v>9480</v>
      </c>
      <c r="F6156" s="27" t="s">
        <v>14466</v>
      </c>
      <c r="G6156" s="27"/>
      <c r="H6156" s="16" t="str">
        <f>IF(ISBLANK(PARTIDAS!$G6156),PARTIDAS!$F6156,CONCATENATE(PARTIDAS!$F6156," (",PARTIDAS!$G6156,")"))</f>
        <v>Bombas manuales, excepto las de las subpartidas 8413.11 u 8413.19</v>
      </c>
      <c r="I6156" s="16" t="s">
        <v>9427</v>
      </c>
    </row>
    <row r="6157" spans="1:9" x14ac:dyDescent="0.25">
      <c r="A6157" s="16" t="s">
        <v>7101</v>
      </c>
      <c r="B6157" s="16" t="str">
        <f>TEXT(PARTIDA[[#This Row],[PARTIDA]],"0000000000")</f>
        <v>8413301000</v>
      </c>
      <c r="C6157" s="16" t="s">
        <v>860</v>
      </c>
      <c r="D6157" s="16" t="s">
        <v>873</v>
      </c>
      <c r="E6157" s="16" t="s">
        <v>9480</v>
      </c>
      <c r="F6157" s="27" t="s">
        <v>14467</v>
      </c>
      <c r="G6157" s="27"/>
      <c r="H6157" s="16" t="str">
        <f>IF(ISBLANK(PARTIDAS!$G6157),PARTIDAS!$F6157,CONCATENATE(PARTIDAS!$F6157," (",PARTIDAS!$G6157,")"))</f>
        <v>Bombas de carburante, aceite o refrigerante, para motores de…, para motores de aviación</v>
      </c>
      <c r="I6157" s="16" t="s">
        <v>9427</v>
      </c>
    </row>
    <row r="6158" spans="1:9" x14ac:dyDescent="0.25">
      <c r="A6158" s="16" t="s">
        <v>7102</v>
      </c>
      <c r="B6158" s="16" t="str">
        <f>TEXT(PARTIDA[[#This Row],[PARTIDA]],"0000000000")</f>
        <v>8413302000</v>
      </c>
      <c r="C6158" s="16" t="s">
        <v>860</v>
      </c>
      <c r="D6158" s="16" t="s">
        <v>873</v>
      </c>
      <c r="E6158" s="16" t="s">
        <v>9480</v>
      </c>
      <c r="F6158" s="27" t="s">
        <v>14468</v>
      </c>
      <c r="G6158" s="27"/>
      <c r="H6158" s="16" t="str">
        <f>IF(ISBLANK(PARTIDAS!$G6158),PARTIDAS!$F6158,CONCATENATE(PARTIDAS!$F6158," (",PARTIDAS!$G6158,")"))</f>
        <v>Bombas de carburante, aceite o refrigerante, para motores de… (los demás, de inyección)</v>
      </c>
      <c r="I6158" s="16" t="s">
        <v>9427</v>
      </c>
    </row>
    <row r="6159" spans="1:9" x14ac:dyDescent="0.25">
      <c r="A6159" s="16" t="s">
        <v>7103</v>
      </c>
      <c r="B6159" s="16" t="str">
        <f>TEXT(PARTIDA[[#This Row],[PARTIDA]],"0000000000")</f>
        <v>8413309100</v>
      </c>
      <c r="C6159" s="16" t="s">
        <v>860</v>
      </c>
      <c r="D6159" s="16" t="s">
        <v>873</v>
      </c>
      <c r="E6159" s="16" t="s">
        <v>9480</v>
      </c>
      <c r="F6159" s="27" t="s">
        <v>14469</v>
      </c>
      <c r="G6159" s="27"/>
      <c r="H6159" s="16" t="str">
        <f>IF(ISBLANK(PARTIDAS!$G6159),PARTIDAS!$F6159,CONCATENATE(PARTIDAS!$F6159," (",PARTIDAS!$G6159,")"))</f>
        <v>Bombas de carburante, aceite o refrigerante, para motores de…, de carburante</v>
      </c>
      <c r="I6159" s="16" t="s">
        <v>9427</v>
      </c>
    </row>
    <row r="6160" spans="1:9" x14ac:dyDescent="0.25">
      <c r="A6160" s="16" t="s">
        <v>7104</v>
      </c>
      <c r="B6160" s="16" t="str">
        <f>TEXT(PARTIDA[[#This Row],[PARTIDA]],"0000000000")</f>
        <v>8413309200</v>
      </c>
      <c r="C6160" s="16" t="s">
        <v>860</v>
      </c>
      <c r="D6160" s="16" t="s">
        <v>873</v>
      </c>
      <c r="E6160" s="16" t="s">
        <v>9480</v>
      </c>
      <c r="F6160" s="27" t="s">
        <v>14470</v>
      </c>
      <c r="G6160" s="27"/>
      <c r="H6160" s="16" t="str">
        <f>IF(ISBLANK(PARTIDAS!$G6160),PARTIDAS!$F6160,CONCATENATE(PARTIDAS!$F6160," (",PARTIDAS!$G6160,")"))</f>
        <v>Bombas de carburante, aceite o refrigerante, para motores de…, de aceite</v>
      </c>
      <c r="I6160" s="16" t="s">
        <v>9427</v>
      </c>
    </row>
    <row r="6161" spans="1:9" x14ac:dyDescent="0.25">
      <c r="A6161" s="16" t="s">
        <v>7105</v>
      </c>
      <c r="B6161" s="16" t="str">
        <f>TEXT(PARTIDA[[#This Row],[PARTIDA]],"0000000000")</f>
        <v>8413309900</v>
      </c>
      <c r="C6161" s="16" t="s">
        <v>860</v>
      </c>
      <c r="D6161" s="16" t="s">
        <v>873</v>
      </c>
      <c r="E6161" s="16" t="s">
        <v>9480</v>
      </c>
      <c r="F6161" s="27" t="s">
        <v>14471</v>
      </c>
      <c r="G6161" s="27"/>
      <c r="H6161" s="16" t="str">
        <f>IF(ISBLANK(PARTIDAS!$G6161),PARTIDAS!$F6161,CONCATENATE(PARTIDAS!$F6161," (",PARTIDAS!$G6161,")"))</f>
        <v>Bombas de carburante, aceite o refrigerante, para motores de… (los demás)</v>
      </c>
      <c r="I6161" s="16" t="s">
        <v>9427</v>
      </c>
    </row>
    <row r="6162" spans="1:9" x14ac:dyDescent="0.25">
      <c r="A6162" s="16" t="s">
        <v>7106</v>
      </c>
      <c r="B6162" s="16" t="str">
        <f>TEXT(PARTIDA[[#This Row],[PARTIDA]],"0000000000")</f>
        <v>8413400000</v>
      </c>
      <c r="C6162" s="16" t="s">
        <v>860</v>
      </c>
      <c r="D6162" s="16" t="s">
        <v>873</v>
      </c>
      <c r="E6162" s="16" t="s">
        <v>9480</v>
      </c>
      <c r="F6162" s="27" t="s">
        <v>14472</v>
      </c>
      <c r="G6162" s="27"/>
      <c r="H6162" s="16" t="str">
        <f>IF(ISBLANK(PARTIDAS!$G6162),PARTIDAS!$F6162,CONCATENATE(PARTIDAS!$F6162," (",PARTIDAS!$G6162,")"))</f>
        <v>Bombas para hormigón</v>
      </c>
      <c r="I6162" s="16" t="s">
        <v>9427</v>
      </c>
    </row>
    <row r="6163" spans="1:9" x14ac:dyDescent="0.25">
      <c r="A6163" s="16" t="s">
        <v>7107</v>
      </c>
      <c r="B6163" s="16" t="str">
        <f>TEXT(PARTIDA[[#This Row],[PARTIDA]],"0000000000")</f>
        <v>8413500000</v>
      </c>
      <c r="C6163" s="16" t="s">
        <v>860</v>
      </c>
      <c r="D6163" s="16" t="s">
        <v>873</v>
      </c>
      <c r="E6163" s="16" t="s">
        <v>9480</v>
      </c>
      <c r="F6163" s="27" t="s">
        <v>7108</v>
      </c>
      <c r="G6163" s="27"/>
      <c r="H6163" s="16" t="str">
        <f>IF(ISBLANK(PARTIDAS!$G6163),PARTIDAS!$F6163,CONCATENATE(PARTIDAS!$F6163," (",PARTIDAS!$G6163,")"))</f>
        <v>Bombas volumétricas</v>
      </c>
      <c r="I6163" s="16" t="s">
        <v>9427</v>
      </c>
    </row>
    <row r="6164" spans="1:9" x14ac:dyDescent="0.25">
      <c r="A6164" s="16" t="s">
        <v>7109</v>
      </c>
      <c r="B6164" s="16" t="str">
        <f>TEXT(PARTIDA[[#This Row],[PARTIDA]],"0000000000")</f>
        <v>8413601000</v>
      </c>
      <c r="C6164" s="16" t="s">
        <v>860</v>
      </c>
      <c r="D6164" s="16" t="s">
        <v>873</v>
      </c>
      <c r="E6164" s="16" t="s">
        <v>9480</v>
      </c>
      <c r="F6164" s="27" t="s">
        <v>14473</v>
      </c>
      <c r="G6164" s="27"/>
      <c r="H6164" s="16" t="str">
        <f>IF(ISBLANK(PARTIDAS!$G6164),PARTIDAS!$F6164,CONCATENATE(PARTIDAS!$F6164," (",PARTIDAS!$G6164,")"))</f>
        <v>Bombas de doble tornillo helicoidal, de flujo axial</v>
      </c>
      <c r="I6164" s="16" t="s">
        <v>9427</v>
      </c>
    </row>
    <row r="6165" spans="1:9" x14ac:dyDescent="0.25">
      <c r="A6165" s="16" t="s">
        <v>7110</v>
      </c>
      <c r="B6165" s="16" t="str">
        <f>TEXT(PARTIDA[[#This Row],[PARTIDA]],"0000000000")</f>
        <v>8413609000</v>
      </c>
      <c r="C6165" s="16" t="s">
        <v>860</v>
      </c>
      <c r="D6165" s="16" t="s">
        <v>873</v>
      </c>
      <c r="E6165" s="16" t="s">
        <v>9478</v>
      </c>
      <c r="F6165" s="27" t="s">
        <v>9162</v>
      </c>
      <c r="G6165" s="27"/>
      <c r="H6165" s="16" t="str">
        <f>IF(ISBLANK(PARTIDAS!$G6165),PARTIDAS!$F6165,CONCATENATE(PARTIDAS!$F6165," (",PARTIDAS!$G6165,")"))</f>
        <v>Bombas para líquidos, incluso con dispositivo medidor incorporado (los demás)</v>
      </c>
      <c r="I6165" s="16" t="s">
        <v>9477</v>
      </c>
    </row>
    <row r="6166" spans="1:9" x14ac:dyDescent="0.25">
      <c r="A6166" s="16" t="s">
        <v>7111</v>
      </c>
      <c r="B6166" s="16" t="str">
        <f>TEXT(PARTIDA[[#This Row],[PARTIDA]],"0000000000")</f>
        <v>8413701100</v>
      </c>
      <c r="C6166" s="16" t="s">
        <v>860</v>
      </c>
      <c r="D6166" s="16" t="s">
        <v>873</v>
      </c>
      <c r="E6166" s="16" t="s">
        <v>9478</v>
      </c>
      <c r="F6166" s="27" t="s">
        <v>9300</v>
      </c>
      <c r="G6166" s="27"/>
      <c r="H6166" s="16" t="str">
        <f>IF(ISBLANK(PARTIDAS!$G6166),PARTIDAS!$F6166,CONCATENATE(PARTIDAS!$F6166," (",PARTIDAS!$G6166,")"))</f>
        <v>Monocelulares, con diámetro de salida inferior o igual a 100 mm</v>
      </c>
      <c r="I6166" s="16" t="s">
        <v>9477</v>
      </c>
    </row>
    <row r="6167" spans="1:9" x14ac:dyDescent="0.25">
      <c r="A6167" s="16" t="s">
        <v>7112</v>
      </c>
      <c r="B6167" s="16" t="str">
        <f>TEXT(PARTIDA[[#This Row],[PARTIDA]],"0000000000")</f>
        <v>8413701900</v>
      </c>
      <c r="C6167" s="16" t="s">
        <v>860</v>
      </c>
      <c r="D6167" s="16" t="s">
        <v>873</v>
      </c>
      <c r="E6167" s="16" t="s">
        <v>9480</v>
      </c>
      <c r="F6167" s="27" t="s">
        <v>14474</v>
      </c>
      <c r="G6167" s="27"/>
      <c r="H6167" s="16" t="str">
        <f>IF(ISBLANK(PARTIDAS!$G6167),PARTIDAS!$F6167,CONCATENATE(PARTIDAS!$F6167," (",PARTIDAS!$G6167,")"))</f>
        <v>Monocelulares (los demás)</v>
      </c>
      <c r="I6167" s="16" t="s">
        <v>9427</v>
      </c>
    </row>
    <row r="6168" spans="1:9" x14ac:dyDescent="0.25">
      <c r="A6168" s="16" t="s">
        <v>7113</v>
      </c>
      <c r="B6168" s="16" t="str">
        <f>TEXT(PARTIDA[[#This Row],[PARTIDA]],"0000000000")</f>
        <v>8413702100</v>
      </c>
      <c r="C6168" s="16" t="s">
        <v>860</v>
      </c>
      <c r="D6168" s="16" t="s">
        <v>873</v>
      </c>
      <c r="E6168" s="16" t="s">
        <v>9480</v>
      </c>
      <c r="F6168" s="27" t="s">
        <v>14475</v>
      </c>
      <c r="G6168" s="27"/>
      <c r="H6168" s="16" t="str">
        <f>IF(ISBLANK(PARTIDAS!$G6168),PARTIDAS!$F6168,CONCATENATE(PARTIDAS!$F6168," (",PARTIDAS!$G6168,")"))</f>
        <v>Multicelulares, con diámetro de salida inferior o igual a 300 mm</v>
      </c>
      <c r="I6168" s="16" t="s">
        <v>9427</v>
      </c>
    </row>
    <row r="6169" spans="1:9" x14ac:dyDescent="0.25">
      <c r="A6169" s="16" t="s">
        <v>7114</v>
      </c>
      <c r="B6169" s="16" t="str">
        <f>TEXT(PARTIDA[[#This Row],[PARTIDA]],"0000000000")</f>
        <v>8413702900</v>
      </c>
      <c r="C6169" s="16" t="s">
        <v>860</v>
      </c>
      <c r="D6169" s="16" t="s">
        <v>873</v>
      </c>
      <c r="E6169" s="16" t="s">
        <v>9480</v>
      </c>
      <c r="F6169" s="27" t="s">
        <v>14476</v>
      </c>
      <c r="G6169" s="27"/>
      <c r="H6169" s="16" t="str">
        <f>IF(ISBLANK(PARTIDAS!$G6169),PARTIDAS!$F6169,CONCATENATE(PARTIDAS!$F6169," (",PARTIDAS!$G6169,")"))</f>
        <v>Multicelulares (los demás)</v>
      </c>
      <c r="I6169" s="16" t="s">
        <v>9427</v>
      </c>
    </row>
    <row r="6170" spans="1:9" x14ac:dyDescent="0.25">
      <c r="A6170" s="16" t="s">
        <v>7115</v>
      </c>
      <c r="B6170" s="16" t="str">
        <f>TEXT(PARTIDA[[#This Row],[PARTIDA]],"0000000000")</f>
        <v>8413811000</v>
      </c>
      <c r="C6170" s="16" t="s">
        <v>860</v>
      </c>
      <c r="D6170" s="16" t="s">
        <v>873</v>
      </c>
      <c r="E6170" s="16" t="s">
        <v>9480</v>
      </c>
      <c r="F6170" s="27" t="s">
        <v>14477</v>
      </c>
      <c r="G6170" s="27"/>
      <c r="H6170" s="16" t="str">
        <f>IF(ISBLANK(PARTIDAS!$G6170),PARTIDAS!$F6170,CONCATENATE(PARTIDAS!$F6170," (",PARTIDAS!$G6170,")"))</f>
        <v>Bombas, de inyección</v>
      </c>
      <c r="I6170" s="16" t="s">
        <v>9427</v>
      </c>
    </row>
    <row r="6171" spans="1:9" x14ac:dyDescent="0.25">
      <c r="A6171" s="16" t="s">
        <v>7116</v>
      </c>
      <c r="B6171" s="16" t="str">
        <f>TEXT(PARTIDA[[#This Row],[PARTIDA]],"0000000000")</f>
        <v>8413819000</v>
      </c>
      <c r="C6171" s="16" t="s">
        <v>860</v>
      </c>
      <c r="D6171" s="16" t="s">
        <v>873</v>
      </c>
      <c r="E6171" s="16" t="s">
        <v>9480</v>
      </c>
      <c r="F6171" s="27" t="s">
        <v>14478</v>
      </c>
      <c r="G6171" s="27"/>
      <c r="H6171" s="16" t="str">
        <f>IF(ISBLANK(PARTIDAS!$G6171),PARTIDAS!$F6171,CONCATENATE(PARTIDAS!$F6171," (",PARTIDAS!$G6171,")"))</f>
        <v>Bombas (los demás)</v>
      </c>
      <c r="I6171" s="16" t="s">
        <v>9427</v>
      </c>
    </row>
    <row r="6172" spans="1:9" x14ac:dyDescent="0.25">
      <c r="A6172" s="16" t="s">
        <v>7117</v>
      </c>
      <c r="B6172" s="16" t="str">
        <f>TEXT(PARTIDA[[#This Row],[PARTIDA]],"0000000000")</f>
        <v>8413820000</v>
      </c>
      <c r="C6172" s="16" t="s">
        <v>860</v>
      </c>
      <c r="D6172" s="16" t="s">
        <v>873</v>
      </c>
      <c r="E6172" s="16" t="s">
        <v>9480</v>
      </c>
      <c r="F6172" s="27" t="s">
        <v>14479</v>
      </c>
      <c r="G6172" s="27"/>
      <c r="H6172" s="16" t="str">
        <f>IF(ISBLANK(PARTIDAS!$G6172),PARTIDAS!$F6172,CONCATENATE(PARTIDAS!$F6172," (",PARTIDAS!$G6172,")"))</f>
        <v>Elevadores de líquidos</v>
      </c>
      <c r="I6172" s="16" t="s">
        <v>9427</v>
      </c>
    </row>
    <row r="6173" spans="1:9" x14ac:dyDescent="0.25">
      <c r="A6173" s="16" t="s">
        <v>7118</v>
      </c>
      <c r="B6173" s="16" t="str">
        <f>TEXT(PARTIDA[[#This Row],[PARTIDA]],"0000000000")</f>
        <v>8413911000</v>
      </c>
      <c r="C6173" s="16" t="s">
        <v>860</v>
      </c>
      <c r="D6173" s="16" t="s">
        <v>873</v>
      </c>
      <c r="E6173" s="16" t="s">
        <v>9480</v>
      </c>
      <c r="F6173" s="27" t="s">
        <v>14480</v>
      </c>
      <c r="G6173" s="27"/>
      <c r="H6173" s="16" t="str">
        <f>IF(ISBLANK(PARTIDAS!$G6173),PARTIDAS!$F6173,CONCATENATE(PARTIDAS!$F6173," (",PARTIDAS!$G6173,")"))</f>
        <v>Bombas para líquidos, incluso con dispositivo medidor…, partes, de bombas, para distribución o venta de carburante</v>
      </c>
      <c r="I6173" s="16" t="s">
        <v>9427</v>
      </c>
    </row>
    <row r="6174" spans="1:9" x14ac:dyDescent="0.25">
      <c r="A6174" s="16" t="s">
        <v>7119</v>
      </c>
      <c r="B6174" s="16" t="str">
        <f>TEXT(PARTIDA[[#This Row],[PARTIDA]],"0000000000")</f>
        <v>8413912000</v>
      </c>
      <c r="C6174" s="16" t="s">
        <v>860</v>
      </c>
      <c r="D6174" s="16" t="s">
        <v>873</v>
      </c>
      <c r="E6174" s="16" t="s">
        <v>9480</v>
      </c>
      <c r="F6174" s="27" t="s">
        <v>14481</v>
      </c>
      <c r="G6174" s="27"/>
      <c r="H6174" s="16" t="str">
        <f>IF(ISBLANK(PARTIDAS!$G6174),PARTIDAS!$F6174,CONCATENATE(PARTIDAS!$F6174," (",PARTIDAS!$G6174,")"))</f>
        <v>Bombas para líquidos, incluso con dispositivo medidor…, partes, de bombas, de motores de aviación</v>
      </c>
      <c r="I6174" s="16" t="s">
        <v>9427</v>
      </c>
    </row>
    <row r="6175" spans="1:9" x14ac:dyDescent="0.25">
      <c r="A6175" s="16" t="s">
        <v>7120</v>
      </c>
      <c r="B6175" s="16" t="str">
        <f>TEXT(PARTIDA[[#This Row],[PARTIDA]],"0000000000")</f>
        <v>8413913000</v>
      </c>
      <c r="C6175" s="16" t="s">
        <v>860</v>
      </c>
      <c r="D6175" s="16" t="s">
        <v>873</v>
      </c>
      <c r="E6175" s="16" t="s">
        <v>9480</v>
      </c>
      <c r="F6175" s="27" t="s">
        <v>14482</v>
      </c>
      <c r="G6175" s="27"/>
      <c r="H6175" s="16" t="str">
        <f>IF(ISBLANK(PARTIDAS!$G6175),PARTIDAS!$F6175,CONCATENATE(PARTIDAS!$F6175," (",PARTIDAS!$G6175,")"))</f>
        <v>Bombas para líquidos, incluso con dispositivo medidor…, partes, de bombas, para carburante, aceite o refrigerante de los demás motores</v>
      </c>
      <c r="I6175" s="16" t="s">
        <v>9427</v>
      </c>
    </row>
    <row r="6176" spans="1:9" x14ac:dyDescent="0.25">
      <c r="A6176" s="16" t="s">
        <v>7121</v>
      </c>
      <c r="B6176" s="16" t="str">
        <f>TEXT(PARTIDA[[#This Row],[PARTIDA]],"0000000000")</f>
        <v>8413919000</v>
      </c>
      <c r="C6176" s="16" t="s">
        <v>860</v>
      </c>
      <c r="D6176" s="16" t="s">
        <v>873</v>
      </c>
      <c r="E6176" s="16" t="s">
        <v>9480</v>
      </c>
      <c r="F6176" s="27" t="s">
        <v>14483</v>
      </c>
      <c r="G6176" s="27"/>
      <c r="H6176" s="16" t="str">
        <f>IF(ISBLANK(PARTIDAS!$G6176),PARTIDAS!$F6176,CONCATENATE(PARTIDAS!$F6176," (",PARTIDAS!$G6176,")"))</f>
        <v>Bombas para líquidos, incluso con dispositivo medidor…, partes, de bombas (los demás)</v>
      </c>
      <c r="I6176" s="16" t="s">
        <v>9427</v>
      </c>
    </row>
    <row r="6177" spans="1:9" x14ac:dyDescent="0.25">
      <c r="A6177" s="16" t="s">
        <v>7122</v>
      </c>
      <c r="B6177" s="16" t="str">
        <f>TEXT(PARTIDA[[#This Row],[PARTIDA]],"0000000000")</f>
        <v>8413920000</v>
      </c>
      <c r="C6177" s="16" t="s">
        <v>860</v>
      </c>
      <c r="D6177" s="16" t="s">
        <v>873</v>
      </c>
      <c r="E6177" s="16" t="s">
        <v>9480</v>
      </c>
      <c r="F6177" s="27" t="s">
        <v>14484</v>
      </c>
      <c r="G6177" s="27"/>
      <c r="H6177" s="16" t="str">
        <f>IF(ISBLANK(PARTIDAS!$G6177),PARTIDAS!$F6177,CONCATENATE(PARTIDAS!$F6177," (",PARTIDAS!$G6177,")"))</f>
        <v>Bombas para líquidos, incluso con dispositivo medidor…, partes, de elevadores de líquidos</v>
      </c>
      <c r="I6177" s="16" t="s">
        <v>9427</v>
      </c>
    </row>
    <row r="6178" spans="1:9" x14ac:dyDescent="0.25">
      <c r="A6178" s="16" t="s">
        <v>7123</v>
      </c>
      <c r="B6178" s="16" t="str">
        <f>TEXT(PARTIDA[[#This Row],[PARTIDA]],"0000000000")</f>
        <v>8414100000</v>
      </c>
      <c r="C6178" s="16" t="s">
        <v>786</v>
      </c>
      <c r="D6178" s="16" t="s">
        <v>799</v>
      </c>
      <c r="E6178" s="16" t="s">
        <v>806</v>
      </c>
      <c r="F6178" s="27" t="s">
        <v>7124</v>
      </c>
      <c r="G6178" s="27"/>
      <c r="H6178" s="16" t="str">
        <f>IF(ISBLANK(PARTIDAS!$G6178),PARTIDAS!$F6178,CONCATENATE(PARTIDAS!$F6178," (",PARTIDAS!$G6178,")"))</f>
        <v>Bombas de vacío</v>
      </c>
      <c r="I6178" s="16" t="s">
        <v>9427</v>
      </c>
    </row>
    <row r="6179" spans="1:9" x14ac:dyDescent="0.25">
      <c r="A6179" s="16" t="s">
        <v>7125</v>
      </c>
      <c r="B6179" s="16" t="str">
        <f>TEXT(PARTIDA[[#This Row],[PARTIDA]],"0000000000")</f>
        <v>8414200000</v>
      </c>
      <c r="C6179" s="16" t="s">
        <v>860</v>
      </c>
      <c r="D6179" s="16" t="s">
        <v>873</v>
      </c>
      <c r="E6179" s="16" t="s">
        <v>9478</v>
      </c>
      <c r="F6179" s="27" t="s">
        <v>7126</v>
      </c>
      <c r="G6179" s="27"/>
      <c r="H6179" s="16" t="str">
        <f>IF(ISBLANK(PARTIDAS!$G6179),PARTIDAS!$F6179,CONCATENATE(PARTIDAS!$F6179," (",PARTIDAS!$G6179,")"))</f>
        <v>Compresores de aire</v>
      </c>
      <c r="I6179" s="16" t="s">
        <v>9477</v>
      </c>
    </row>
    <row r="6180" spans="1:9" x14ac:dyDescent="0.25">
      <c r="A6180" s="16" t="s">
        <v>7127</v>
      </c>
      <c r="B6180" s="16" t="str">
        <f>TEXT(PARTIDA[[#This Row],[PARTIDA]],"0000000000")</f>
        <v>8414304000</v>
      </c>
      <c r="C6180" s="16" t="s">
        <v>786</v>
      </c>
      <c r="D6180" s="16" t="s">
        <v>799</v>
      </c>
      <c r="E6180" s="16" t="s">
        <v>806</v>
      </c>
      <c r="F6180" s="27" t="s">
        <v>14485</v>
      </c>
      <c r="G6180" s="27"/>
      <c r="H6180" s="16" t="str">
        <f>IF(ISBLANK(PARTIDAS!$G6180),PARTIDAS!$F6180,CONCATENATE(PARTIDAS!$F6180," (",PARTIDAS!$G6180,")"))</f>
        <v>Compresores de los tipos utilizados en los equipos frigoríficos, para vehículos destinados al transporte de mercancías</v>
      </c>
      <c r="I6180" s="16" t="s">
        <v>9427</v>
      </c>
    </row>
    <row r="6181" spans="1:9" x14ac:dyDescent="0.25">
      <c r="A6181" s="16" t="s">
        <v>7128</v>
      </c>
      <c r="B6181" s="16" t="str">
        <f>TEXT(PARTIDA[[#This Row],[PARTIDA]],"0000000000")</f>
        <v>8414309100</v>
      </c>
      <c r="C6181" s="16" t="s">
        <v>786</v>
      </c>
      <c r="D6181" s="16" t="s">
        <v>799</v>
      </c>
      <c r="E6181" s="16" t="s">
        <v>806</v>
      </c>
      <c r="F6181" s="27" t="s">
        <v>14486</v>
      </c>
      <c r="G6181" s="27"/>
      <c r="H6181" s="16" t="str">
        <f>IF(ISBLANK(PARTIDAS!$G6181),PARTIDAS!$F6181,CONCATENATE(PARTIDAS!$F6181," (",PARTIDAS!$G6181,")"))</f>
        <v>Herméticos o semiherméticos, de potencia inferior o igual a 0,37 kW (1/2 HP)</v>
      </c>
      <c r="I6181" s="16" t="s">
        <v>9427</v>
      </c>
    </row>
    <row r="6182" spans="1:9" x14ac:dyDescent="0.25">
      <c r="A6182" s="16" t="s">
        <v>7129</v>
      </c>
      <c r="B6182" s="16" t="str">
        <f>TEXT(PARTIDA[[#This Row],[PARTIDA]],"0000000000")</f>
        <v>8414309200</v>
      </c>
      <c r="C6182" s="16" t="s">
        <v>786</v>
      </c>
      <c r="D6182" s="16" t="s">
        <v>799</v>
      </c>
      <c r="E6182" s="16" t="s">
        <v>806</v>
      </c>
      <c r="F6182" s="27" t="s">
        <v>14487</v>
      </c>
      <c r="G6182" s="27"/>
      <c r="H6182" s="16" t="str">
        <f>IF(ISBLANK(PARTIDAS!$G6182),PARTIDAS!$F6182,CONCATENATE(PARTIDAS!$F6182," (",PARTIDAS!$G6182,")"))</f>
        <v>Herméticos o semiherméticos, de potencia superior a 0,37 kW (1/2 HP)</v>
      </c>
      <c r="I6182" s="16" t="s">
        <v>9427</v>
      </c>
    </row>
    <row r="6183" spans="1:9" x14ac:dyDescent="0.25">
      <c r="A6183" s="16" t="s">
        <v>7130</v>
      </c>
      <c r="B6183" s="16" t="str">
        <f>TEXT(PARTIDA[[#This Row],[PARTIDA]],"0000000000")</f>
        <v>8414309900</v>
      </c>
      <c r="C6183" s="16" t="s">
        <v>786</v>
      </c>
      <c r="D6183" s="16" t="s">
        <v>799</v>
      </c>
      <c r="E6183" s="16" t="s">
        <v>806</v>
      </c>
      <c r="F6183" s="27" t="s">
        <v>14488</v>
      </c>
      <c r="G6183" s="27"/>
      <c r="H6183" s="16" t="str">
        <f>IF(ISBLANK(PARTIDAS!$G6183),PARTIDAS!$F6183,CONCATENATE(PARTIDAS!$F6183," (",PARTIDAS!$G6183,")"))</f>
        <v>Compresores de los tipos utilizados en los equipos frigoríficos (los demás)</v>
      </c>
      <c r="I6183" s="16" t="s">
        <v>9427</v>
      </c>
    </row>
    <row r="6184" spans="1:9" x14ac:dyDescent="0.25">
      <c r="A6184" s="16" t="s">
        <v>7131</v>
      </c>
      <c r="B6184" s="16" t="str">
        <f>TEXT(PARTIDA[[#This Row],[PARTIDA]],"0000000000")</f>
        <v>8414401000</v>
      </c>
      <c r="C6184" s="16" t="s">
        <v>786</v>
      </c>
      <c r="D6184" s="16" t="s">
        <v>799</v>
      </c>
      <c r="E6184" s="16" t="s">
        <v>806</v>
      </c>
      <c r="F6184" s="27" t="s">
        <v>14489</v>
      </c>
      <c r="G6184" s="27"/>
      <c r="H6184" s="16" t="str">
        <f>IF(ISBLANK(PARTIDAS!$G6184),PARTIDAS!$F6184,CONCATENATE(PARTIDAS!$F6184," (",PARTIDAS!$G6184,")"))</f>
        <v>Compresores de aire montados en chasis remolcable con ruedas, de potencia inferior a 30 kW (40 HP)</v>
      </c>
      <c r="I6184" s="16" t="s">
        <v>9427</v>
      </c>
    </row>
    <row r="6185" spans="1:9" x14ac:dyDescent="0.25">
      <c r="A6185" s="16" t="s">
        <v>7132</v>
      </c>
      <c r="B6185" s="16" t="str">
        <f>TEXT(PARTIDA[[#This Row],[PARTIDA]],"0000000000")</f>
        <v>8414409000</v>
      </c>
      <c r="C6185" s="16" t="s">
        <v>786</v>
      </c>
      <c r="D6185" s="16" t="s">
        <v>799</v>
      </c>
      <c r="E6185" s="16" t="s">
        <v>806</v>
      </c>
      <c r="F6185" s="27" t="s">
        <v>14490</v>
      </c>
      <c r="G6185" s="27"/>
      <c r="H6185" s="16" t="str">
        <f>IF(ISBLANK(PARTIDAS!$G6185),PARTIDAS!$F6185,CONCATENATE(PARTIDAS!$F6185," (",PARTIDAS!$G6185,")"))</f>
        <v>Compresores de aire montados en chasis remolcable con ruedas (los demás)</v>
      </c>
      <c r="I6185" s="16" t="s">
        <v>9427</v>
      </c>
    </row>
    <row r="6186" spans="1:9" x14ac:dyDescent="0.25">
      <c r="A6186" s="16" t="s">
        <v>7133</v>
      </c>
      <c r="B6186" s="16" t="str">
        <f>TEXT(PARTIDA[[#This Row],[PARTIDA]],"0000000000")</f>
        <v>8414510000</v>
      </c>
      <c r="C6186" s="16" t="s">
        <v>786</v>
      </c>
      <c r="D6186" s="16" t="s">
        <v>799</v>
      </c>
      <c r="E6186" s="16" t="s">
        <v>806</v>
      </c>
      <c r="F6186" s="27" t="s">
        <v>14491</v>
      </c>
      <c r="G6186" s="27"/>
      <c r="H6186" s="16" t="str">
        <f>IF(ISBLANK(PARTIDAS!$G6186),PARTIDAS!$F6186,CONCATENATE(PARTIDAS!$F6186," (",PARTIDAS!$G6186,")"))</f>
        <v>Ventiladores de mesa, suelo, pared, cielo raso, techo o ventana, con motor eléctrico incorporado de potencia inferior o igual a 125 W</v>
      </c>
      <c r="I6186" s="16" t="s">
        <v>9427</v>
      </c>
    </row>
    <row r="6187" spans="1:9" x14ac:dyDescent="0.25">
      <c r="A6187" s="16" t="s">
        <v>7134</v>
      </c>
      <c r="B6187" s="16" t="str">
        <f>TEXT(PARTIDA[[#This Row],[PARTIDA]],"0000000000")</f>
        <v>8414590000</v>
      </c>
      <c r="C6187" s="16" t="s">
        <v>786</v>
      </c>
      <c r="D6187" s="16" t="s">
        <v>799</v>
      </c>
      <c r="E6187" s="16" t="s">
        <v>806</v>
      </c>
      <c r="F6187" s="27" t="s">
        <v>7126</v>
      </c>
      <c r="G6187" s="27"/>
      <c r="H6187" s="16" t="str">
        <f>IF(ISBLANK(PARTIDAS!$G6187),PARTIDAS!$F6187,CONCATENATE(PARTIDAS!$F6187," (",PARTIDAS!$G6187,")"))</f>
        <v>Compresores de aire</v>
      </c>
      <c r="I6187" s="16" t="s">
        <v>9427</v>
      </c>
    </row>
    <row r="6188" spans="1:9" x14ac:dyDescent="0.25">
      <c r="A6188" s="16" t="s">
        <v>7135</v>
      </c>
      <c r="B6188" s="16" t="str">
        <f>TEXT(PARTIDA[[#This Row],[PARTIDA]],"0000000000")</f>
        <v>8414600000</v>
      </c>
      <c r="C6188" s="16" t="s">
        <v>786</v>
      </c>
      <c r="D6188" s="16" t="s">
        <v>799</v>
      </c>
      <c r="E6188" s="16" t="s">
        <v>806</v>
      </c>
      <c r="F6188" s="27" t="s">
        <v>9187</v>
      </c>
      <c r="G6188" s="27"/>
      <c r="H6188" s="16" t="str">
        <f>IF(ISBLANK(PARTIDAS!$G6188),PARTIDAS!$F6188,CONCATENATE(PARTIDAS!$F6188," (",PARTIDAS!$G6188,")"))</f>
        <v>Campanas aspirantes en las que el mayor lado horizontal sea inferior o igual a 120 cm</v>
      </c>
      <c r="I6188" s="16" t="s">
        <v>9477</v>
      </c>
    </row>
    <row r="6189" spans="1:9" x14ac:dyDescent="0.25">
      <c r="A6189" s="16" t="s">
        <v>14492</v>
      </c>
      <c r="B6189" s="16" t="str">
        <f>TEXT(PARTIDA[[#This Row],[PARTIDA]],"0000000000")</f>
        <v>8414700010</v>
      </c>
      <c r="C6189" s="16" t="s">
        <v>786</v>
      </c>
      <c r="D6189" s="16" t="s">
        <v>799</v>
      </c>
      <c r="E6189" s="16" t="s">
        <v>806</v>
      </c>
      <c r="F6189" s="27" t="s">
        <v>14493</v>
      </c>
      <c r="G6189" s="27"/>
      <c r="H6189" s="16" t="str">
        <f>IF(ISBLANK(PARTIDAS!$G6189),PARTIDAS!$F6189,CONCATENATE(PARTIDAS!$F6189," (",PARTIDAS!$G6189,")"))</f>
        <v>Recintos de seguridad biológica herméticos a gases, con campana aspirante en la que el mayor lado horizontal sea inferior o igual a 120 cm</v>
      </c>
      <c r="I6189" s="16" t="s">
        <v>9427</v>
      </c>
    </row>
    <row r="6190" spans="1:9" x14ac:dyDescent="0.25">
      <c r="A6190" s="16" t="s">
        <v>14494</v>
      </c>
      <c r="B6190" s="16" t="str">
        <f>TEXT(PARTIDA[[#This Row],[PARTIDA]],"0000000000")</f>
        <v>8414700090</v>
      </c>
      <c r="C6190" s="16" t="s">
        <v>786</v>
      </c>
      <c r="D6190" s="16" t="s">
        <v>799</v>
      </c>
      <c r="E6190" s="16" t="s">
        <v>806</v>
      </c>
      <c r="F6190" s="27" t="s">
        <v>14495</v>
      </c>
      <c r="G6190" s="27"/>
      <c r="H6190" s="16" t="str">
        <f>IF(ISBLANK(PARTIDAS!$G6190),PARTIDAS!$F6190,CONCATENATE(PARTIDAS!$F6190," (",PARTIDAS!$G6190,")"))</f>
        <v>Recintos de seguridad biológica herméticos a gases (los demás)</v>
      </c>
      <c r="I6190" s="16" t="s">
        <v>9427</v>
      </c>
    </row>
    <row r="6191" spans="1:9" x14ac:dyDescent="0.25">
      <c r="A6191" s="16" t="s">
        <v>7136</v>
      </c>
      <c r="B6191" s="16" t="str">
        <f>TEXT(PARTIDA[[#This Row],[PARTIDA]],"0000000000")</f>
        <v>8414801000</v>
      </c>
      <c r="C6191" s="16" t="s">
        <v>786</v>
      </c>
      <c r="D6191" s="16" t="s">
        <v>799</v>
      </c>
      <c r="E6191" s="16" t="s">
        <v>806</v>
      </c>
      <c r="F6191" s="27" t="s">
        <v>14496</v>
      </c>
      <c r="G6191" s="27"/>
      <c r="H6191" s="16" t="str">
        <f>IF(ISBLANK(PARTIDAS!$G6191),PARTIDAS!$F6191,CONCATENATE(PARTIDAS!$F6191," (",PARTIDAS!$G6191,")"))</f>
        <v>Compresores para vehículos automóviles</v>
      </c>
      <c r="I6191" s="16" t="s">
        <v>9427</v>
      </c>
    </row>
    <row r="6192" spans="1:9" x14ac:dyDescent="0.25">
      <c r="A6192" s="16" t="s">
        <v>7137</v>
      </c>
      <c r="B6192" s="16" t="str">
        <f>TEXT(PARTIDA[[#This Row],[PARTIDA]],"0000000000")</f>
        <v>8414802100</v>
      </c>
      <c r="C6192" s="16" t="s">
        <v>786</v>
      </c>
      <c r="D6192" s="16" t="s">
        <v>799</v>
      </c>
      <c r="E6192" s="16" t="s">
        <v>806</v>
      </c>
      <c r="F6192" s="27" t="s">
        <v>7124</v>
      </c>
      <c r="G6192" s="27"/>
      <c r="H6192" s="16" t="str">
        <f>IF(ISBLANK(PARTIDAS!$G6192),PARTIDAS!$F6192,CONCATENATE(PARTIDAS!$F6192," (",PARTIDAS!$G6192,")"))</f>
        <v>Bombas de vacío</v>
      </c>
      <c r="I6192" s="16" t="s">
        <v>9427</v>
      </c>
    </row>
    <row r="6193" spans="1:9" x14ac:dyDescent="0.25">
      <c r="A6193" s="16" t="s">
        <v>7138</v>
      </c>
      <c r="B6193" s="16" t="str">
        <f>TEXT(PARTIDA[[#This Row],[PARTIDA]],"0000000000")</f>
        <v>8414802200</v>
      </c>
      <c r="C6193" s="16" t="s">
        <v>860</v>
      </c>
      <c r="D6193" s="16" t="s">
        <v>873</v>
      </c>
      <c r="E6193" s="16" t="s">
        <v>9478</v>
      </c>
      <c r="F6193" s="27" t="s">
        <v>7126</v>
      </c>
      <c r="G6193" s="27"/>
      <c r="H6193" s="16" t="str">
        <f>IF(ISBLANK(PARTIDAS!$G6193),PARTIDAS!$F6193,CONCATENATE(PARTIDAS!$F6193," (",PARTIDAS!$G6193,")"))</f>
        <v>Compresores de aire</v>
      </c>
      <c r="I6193" s="16" t="s">
        <v>9477</v>
      </c>
    </row>
    <row r="6194" spans="1:9" x14ac:dyDescent="0.25">
      <c r="A6194" s="16" t="s">
        <v>7139</v>
      </c>
      <c r="B6194" s="16" t="str">
        <f>TEXT(PARTIDA[[#This Row],[PARTIDA]],"0000000000")</f>
        <v>8414802300</v>
      </c>
      <c r="C6194" s="16" t="s">
        <v>860</v>
      </c>
      <c r="D6194" s="16" t="s">
        <v>873</v>
      </c>
      <c r="E6194" s="16" t="s">
        <v>9478</v>
      </c>
      <c r="F6194" s="27" t="s">
        <v>9160</v>
      </c>
      <c r="G6194" s="27"/>
      <c r="H6194" s="16" t="str">
        <f>IF(ISBLANK(PARTIDAS!$G6194),PARTIDAS!$F6194,CONCATENATE(PARTIDAS!$F6194," (",PARTIDAS!$G6194,")"))</f>
        <v>Bombas de aire o de vacío, compresores de aire u otros gases y…, de potencia superior o igual a 262,5 kW (352 HP)</v>
      </c>
      <c r="I6194" s="16" t="s">
        <v>9477</v>
      </c>
    </row>
    <row r="6195" spans="1:9" x14ac:dyDescent="0.25">
      <c r="A6195" s="16" t="s">
        <v>7140</v>
      </c>
      <c r="B6195" s="16" t="str">
        <f>TEXT(PARTIDA[[#This Row],[PARTIDA]],"0000000000")</f>
        <v>8414809000</v>
      </c>
      <c r="C6195" s="16" t="s">
        <v>860</v>
      </c>
      <c r="D6195" s="16" t="s">
        <v>873</v>
      </c>
      <c r="E6195" s="16" t="s">
        <v>9478</v>
      </c>
      <c r="F6195" s="27" t="s">
        <v>7126</v>
      </c>
      <c r="G6195" s="27"/>
      <c r="H6195" s="16" t="str">
        <f>IF(ISBLANK(PARTIDAS!$G6195),PARTIDAS!$F6195,CONCATENATE(PARTIDAS!$F6195," (",PARTIDAS!$G6195,")"))</f>
        <v>Compresores de aire</v>
      </c>
      <c r="I6195" s="16" t="s">
        <v>9477</v>
      </c>
    </row>
    <row r="6196" spans="1:9" x14ac:dyDescent="0.25">
      <c r="A6196" s="16" t="s">
        <v>7141</v>
      </c>
      <c r="B6196" s="16" t="str">
        <f>TEXT(PARTIDA[[#This Row],[PARTIDA]],"0000000000")</f>
        <v>8414901000</v>
      </c>
      <c r="C6196" s="16" t="s">
        <v>860</v>
      </c>
      <c r="D6196" s="16" t="s">
        <v>873</v>
      </c>
      <c r="E6196" s="16" t="s">
        <v>9478</v>
      </c>
      <c r="F6196" s="27" t="s">
        <v>7126</v>
      </c>
      <c r="G6196" s="27"/>
      <c r="H6196" s="16" t="str">
        <f>IF(ISBLANK(PARTIDAS!$G6196),PARTIDAS!$F6196,CONCATENATE(PARTIDAS!$F6196," (",PARTIDAS!$G6196,")"))</f>
        <v>Compresores de aire</v>
      </c>
      <c r="I6196" s="16" t="s">
        <v>9477</v>
      </c>
    </row>
    <row r="6197" spans="1:9" x14ac:dyDescent="0.25">
      <c r="A6197" s="16" t="s">
        <v>7142</v>
      </c>
      <c r="B6197" s="16" t="str">
        <f>TEXT(PARTIDA[[#This Row],[PARTIDA]],"0000000000")</f>
        <v>8414909000</v>
      </c>
      <c r="C6197" s="16" t="s">
        <v>786</v>
      </c>
      <c r="D6197" s="16" t="s">
        <v>799</v>
      </c>
      <c r="E6197" s="16" t="s">
        <v>806</v>
      </c>
      <c r="F6197" s="27" t="s">
        <v>7126</v>
      </c>
      <c r="G6197" s="27"/>
      <c r="H6197" s="16" t="str">
        <f>IF(ISBLANK(PARTIDAS!$G6197),PARTIDAS!$F6197,CONCATENATE(PARTIDAS!$F6197," (",PARTIDAS!$G6197,")"))</f>
        <v>Compresores de aire</v>
      </c>
      <c r="I6197" s="16" t="s">
        <v>9427</v>
      </c>
    </row>
    <row r="6198" spans="1:9" x14ac:dyDescent="0.25">
      <c r="A6198" s="16" t="s">
        <v>7143</v>
      </c>
      <c r="B6198" s="16" t="str">
        <f>TEXT(PARTIDA[[#This Row],[PARTIDA]],"0000000000")</f>
        <v>8415101000</v>
      </c>
      <c r="C6198" s="16" t="s">
        <v>860</v>
      </c>
      <c r="D6198" s="16" t="s">
        <v>873</v>
      </c>
      <c r="E6198" s="16" t="s">
        <v>9480</v>
      </c>
      <c r="F6198" s="27" t="s">
        <v>14497</v>
      </c>
      <c r="G6198" s="27"/>
      <c r="H6198" s="16" t="str">
        <f>IF(ISBLANK(PARTIDAS!$G6198),PARTIDAS!$F6198,CONCATENATE(PARTIDAS!$F6198," (",PARTIDAS!$G6198,")"))</f>
        <v>Máquinas y aparatos para acondicionamiento de aire que…, de los tipos diseñados para ser montados sobre una ventana, pared…, con equipo de enfriamient</v>
      </c>
      <c r="I6198" s="16" t="s">
        <v>9427</v>
      </c>
    </row>
    <row r="6199" spans="1:9" x14ac:dyDescent="0.25">
      <c r="A6199" s="16" t="s">
        <v>21</v>
      </c>
      <c r="B6199" s="16" t="str">
        <f>TEXT(PARTIDA[[#This Row],[PARTIDA]],"0000000000")</f>
        <v>8415109000</v>
      </c>
      <c r="C6199" s="16" t="s">
        <v>786</v>
      </c>
      <c r="D6199" s="16" t="s">
        <v>799</v>
      </c>
      <c r="E6199" s="16" t="s">
        <v>806</v>
      </c>
      <c r="F6199" s="27" t="s">
        <v>7144</v>
      </c>
      <c r="G6199" s="27"/>
      <c r="H6199" s="16" t="str">
        <f>IF(ISBLANK(PARTIDAS!$G6199),PARTIDAS!$F6199,CONCATENATE(PARTIDAS!$F6199," (",PARTIDAS!$G6199,")"))</f>
        <v>Aire acondicionado</v>
      </c>
      <c r="I6199" s="16" t="s">
        <v>9559</v>
      </c>
    </row>
    <row r="6200" spans="1:9" x14ac:dyDescent="0.25">
      <c r="A6200" s="16" t="s">
        <v>7145</v>
      </c>
      <c r="B6200" s="16" t="str">
        <f>TEXT(PARTIDA[[#This Row],[PARTIDA]],"0000000000")</f>
        <v>8415200000</v>
      </c>
      <c r="C6200" s="16" t="s">
        <v>860</v>
      </c>
      <c r="D6200" s="16" t="s">
        <v>873</v>
      </c>
      <c r="E6200" s="16" t="s">
        <v>9480</v>
      </c>
      <c r="F6200" s="27" t="s">
        <v>14498</v>
      </c>
      <c r="G6200" s="27"/>
      <c r="H6200" s="16" t="str">
        <f>IF(ISBLANK(PARTIDAS!$G6200),PARTIDAS!$F6200,CONCATENATE(PARTIDAS!$F6200," (",PARTIDAS!$G6200,")"))</f>
        <v>Máquinas y aparatos para acondicionamiento de aire que comprendan un…, de los tipos utilizados en vehículos automóviles para sus ocupantes</v>
      </c>
      <c r="I6200" s="16" t="s">
        <v>9427</v>
      </c>
    </row>
    <row r="6201" spans="1:9" x14ac:dyDescent="0.25">
      <c r="A6201" s="16" t="s">
        <v>7146</v>
      </c>
      <c r="B6201" s="16" t="str">
        <f>TEXT(PARTIDA[[#This Row],[PARTIDA]],"0000000000")</f>
        <v>8415811000</v>
      </c>
      <c r="C6201" s="16" t="s">
        <v>860</v>
      </c>
      <c r="D6201" s="16" t="s">
        <v>873</v>
      </c>
      <c r="E6201" s="16" t="s">
        <v>9480</v>
      </c>
      <c r="F6201" s="27" t="s">
        <v>14499</v>
      </c>
      <c r="G6201" s="27"/>
      <c r="H6201" s="16" t="str">
        <f>IF(ISBLANK(PARTIDAS!$G6201),PARTIDAS!$F6201,CONCATENATE(PARTIDAS!$F6201," (",PARTIDAS!$G6201,")"))</f>
        <v>Máquinas y aparatos para acondicionamiento de aire que…, con equipo de enfriamiento y válvula de inversión del ciclo térmico…, con equipo de enfriamie</v>
      </c>
      <c r="I6201" s="16" t="s">
        <v>9427</v>
      </c>
    </row>
    <row r="6202" spans="1:9" x14ac:dyDescent="0.25">
      <c r="A6202" s="16" t="s">
        <v>7147</v>
      </c>
      <c r="B6202" s="16" t="str">
        <f>TEXT(PARTIDA[[#This Row],[PARTIDA]],"0000000000")</f>
        <v>8415819000</v>
      </c>
      <c r="C6202" s="16" t="s">
        <v>860</v>
      </c>
      <c r="D6202" s="16" t="s">
        <v>873</v>
      </c>
      <c r="E6202" s="16" t="s">
        <v>9480</v>
      </c>
      <c r="F6202" s="27" t="s">
        <v>14500</v>
      </c>
      <c r="G6202" s="27"/>
      <c r="H6202" s="16" t="str">
        <f>IF(ISBLANK(PARTIDAS!$G6202),PARTIDAS!$F6202,CONCATENATE(PARTIDAS!$F6202," (",PARTIDAS!$G6202,")"))</f>
        <v>Máquinas y aparatos para acondicionamiento de aire que…, con equipo de enfriamiento y válvula de inversión del ciclo térmico… (los demás)</v>
      </c>
      <c r="I6202" s="16" t="s">
        <v>9427</v>
      </c>
    </row>
    <row r="6203" spans="1:9" x14ac:dyDescent="0.25">
      <c r="A6203" s="16" t="s">
        <v>7148</v>
      </c>
      <c r="B6203" s="16" t="str">
        <f>TEXT(PARTIDA[[#This Row],[PARTIDA]],"0000000000")</f>
        <v>8415822000</v>
      </c>
      <c r="C6203" s="16" t="s">
        <v>860</v>
      </c>
      <c r="D6203" s="16" t="s">
        <v>873</v>
      </c>
      <c r="E6203" s="16" t="s">
        <v>9480</v>
      </c>
      <c r="F6203" s="27" t="s">
        <v>14501</v>
      </c>
      <c r="G6203" s="27"/>
      <c r="H6203" s="16" t="str">
        <f>IF(ISBLANK(PARTIDAS!$G6203),PARTIDAS!$F6203,CONCATENATE(PARTIDAS!$F6203," (",PARTIDAS!$G6203,")"))</f>
        <v>Máquinas y aparatos para acondicionamiento de aire que comprendan un…, inferior o igual a 30.000 BTU/hora</v>
      </c>
      <c r="I6203" s="16" t="s">
        <v>9427</v>
      </c>
    </row>
    <row r="6204" spans="1:9" x14ac:dyDescent="0.25">
      <c r="A6204" s="16" t="s">
        <v>7149</v>
      </c>
      <c r="B6204" s="16" t="str">
        <f>TEXT(PARTIDA[[#This Row],[PARTIDA]],"0000000000")</f>
        <v>8415823000</v>
      </c>
      <c r="C6204" s="16" t="s">
        <v>860</v>
      </c>
      <c r="D6204" s="16" t="s">
        <v>873</v>
      </c>
      <c r="E6204" s="16" t="s">
        <v>9480</v>
      </c>
      <c r="F6204" s="27" t="s">
        <v>14502</v>
      </c>
      <c r="G6204" s="27"/>
      <c r="H6204" s="16" t="str">
        <f>IF(ISBLANK(PARTIDAS!$G6204),PARTIDAS!$F6204,CONCATENATE(PARTIDAS!$F6204," (",PARTIDAS!$G6204,")"))</f>
        <v>Máquinas y aparatos para acondicionamiento de aire que comprendan un…, superior a 30.000 BTU/hora pero inferior o igual a 240.000 BTU/hora</v>
      </c>
      <c r="I6204" s="16" t="s">
        <v>9427</v>
      </c>
    </row>
    <row r="6205" spans="1:9" x14ac:dyDescent="0.25">
      <c r="A6205" s="16" t="s">
        <v>7150</v>
      </c>
      <c r="B6205" s="16" t="str">
        <f>TEXT(PARTIDA[[#This Row],[PARTIDA]],"0000000000")</f>
        <v>8415824000</v>
      </c>
      <c r="C6205" s="16" t="s">
        <v>860</v>
      </c>
      <c r="D6205" s="16" t="s">
        <v>873</v>
      </c>
      <c r="E6205" s="16" t="s">
        <v>9480</v>
      </c>
      <c r="F6205" s="27" t="s">
        <v>14503</v>
      </c>
      <c r="G6205" s="27"/>
      <c r="H6205" s="16" t="str">
        <f>IF(ISBLANK(PARTIDAS!$G6205),PARTIDAS!$F6205,CONCATENATE(PARTIDAS!$F6205," (",PARTIDAS!$G6205,")"))</f>
        <v>Máquinas y aparatos para acondicionamiento de aire que comprendan un…, superior a 240.000 BTU/hora</v>
      </c>
      <c r="I6205" s="16" t="s">
        <v>9427</v>
      </c>
    </row>
    <row r="6206" spans="1:9" x14ac:dyDescent="0.25">
      <c r="A6206" s="16" t="s">
        <v>7151</v>
      </c>
      <c r="B6206" s="16" t="str">
        <f>TEXT(PARTIDA[[#This Row],[PARTIDA]],"0000000000")</f>
        <v>8415831000</v>
      </c>
      <c r="C6206" s="16" t="s">
        <v>860</v>
      </c>
      <c r="D6206" s="16" t="s">
        <v>873</v>
      </c>
      <c r="E6206" s="16" t="s">
        <v>9480</v>
      </c>
      <c r="F6206" s="27" t="s">
        <v>14504</v>
      </c>
      <c r="G6206" s="27"/>
      <c r="H6206" s="16" t="str">
        <f>IF(ISBLANK(PARTIDAS!$G6206),PARTIDAS!$F6206,CONCATENATE(PARTIDAS!$F6206," (",PARTIDAS!$G6206,")"))</f>
        <v>Máquinas y aparatos para acondicionamiento de aire que…, sin equipo de enfriamiento, inferior o igual a 30.000 BTU/hora</v>
      </c>
      <c r="I6206" s="16" t="s">
        <v>9427</v>
      </c>
    </row>
    <row r="6207" spans="1:9" x14ac:dyDescent="0.25">
      <c r="A6207" s="16" t="s">
        <v>7152</v>
      </c>
      <c r="B6207" s="16" t="str">
        <f>TEXT(PARTIDA[[#This Row],[PARTIDA]],"0000000000")</f>
        <v>8415839000</v>
      </c>
      <c r="C6207" s="16" t="s">
        <v>860</v>
      </c>
      <c r="D6207" s="16" t="s">
        <v>873</v>
      </c>
      <c r="E6207" s="16" t="s">
        <v>9480</v>
      </c>
      <c r="F6207" s="27" t="s">
        <v>14505</v>
      </c>
      <c r="G6207" s="27"/>
      <c r="H6207" s="16" t="str">
        <f>IF(ISBLANK(PARTIDAS!$G6207),PARTIDAS!$F6207,CONCATENATE(PARTIDAS!$F6207," (",PARTIDAS!$G6207,")"))</f>
        <v>Máquinas y aparatos para acondicionamiento de aire que…, sin equipo de enfriamiento (los demás)</v>
      </c>
      <c r="I6207" s="16" t="s">
        <v>9427</v>
      </c>
    </row>
    <row r="6208" spans="1:9" x14ac:dyDescent="0.25">
      <c r="A6208" s="16" t="s">
        <v>38</v>
      </c>
      <c r="B6208" s="16" t="str">
        <f>TEXT(PARTIDA[[#This Row],[PARTIDA]],"0000000000")</f>
        <v>8415900000</v>
      </c>
      <c r="C6208" s="16" t="s">
        <v>860</v>
      </c>
      <c r="D6208" s="16" t="s">
        <v>873</v>
      </c>
      <c r="E6208" s="16" t="s">
        <v>9478</v>
      </c>
      <c r="F6208" s="27" t="s">
        <v>7153</v>
      </c>
      <c r="G6208" s="27"/>
      <c r="H6208" s="16" t="str">
        <f>IF(ISBLANK(PARTIDAS!$G6208),PARTIDAS!$F6208,CONCATENATE(PARTIDAS!$F6208," (",PARTIDAS!$G6208,")"))</f>
        <v>Partes para aires acondicionados</v>
      </c>
      <c r="I6208" s="16" t="s">
        <v>9559</v>
      </c>
    </row>
    <row r="6209" spans="1:9" x14ac:dyDescent="0.25">
      <c r="A6209" s="16" t="s">
        <v>7154</v>
      </c>
      <c r="B6209" s="16" t="str">
        <f>TEXT(PARTIDA[[#This Row],[PARTIDA]],"0000000000")</f>
        <v>8416100000</v>
      </c>
      <c r="C6209" s="16" t="s">
        <v>860</v>
      </c>
      <c r="D6209" s="16" t="s">
        <v>873</v>
      </c>
      <c r="E6209" s="16" t="s">
        <v>9480</v>
      </c>
      <c r="F6209" s="27" t="s">
        <v>14506</v>
      </c>
      <c r="G6209" s="27"/>
      <c r="H6209" s="16" t="str">
        <f>IF(ISBLANK(PARTIDAS!$G6209),PARTIDAS!$F6209,CONCATENATE(PARTIDAS!$F6209," (",PARTIDAS!$G6209,")"))</f>
        <v>Quemadores de combustibles líquidos</v>
      </c>
      <c r="I6209" s="16" t="s">
        <v>9427</v>
      </c>
    </row>
    <row r="6210" spans="1:9" x14ac:dyDescent="0.25">
      <c r="A6210" s="16" t="s">
        <v>7155</v>
      </c>
      <c r="B6210" s="16" t="str">
        <f>TEXT(PARTIDA[[#This Row],[PARTIDA]],"0000000000")</f>
        <v>8416201000</v>
      </c>
      <c r="C6210" s="16" t="s">
        <v>860</v>
      </c>
      <c r="D6210" s="16" t="s">
        <v>873</v>
      </c>
      <c r="E6210" s="16" t="s">
        <v>9480</v>
      </c>
      <c r="F6210" s="27" t="s">
        <v>14507</v>
      </c>
      <c r="G6210" s="27"/>
      <c r="H6210" s="16" t="str">
        <f>IF(ISBLANK(PARTIDAS!$G6210),PARTIDAS!$F6210,CONCATENATE(PARTIDAS!$F6210," (",PARTIDAS!$G6210,")"))</f>
        <v>Quemadores de combustibles sólidos pulverizados</v>
      </c>
      <c r="I6210" s="16" t="s">
        <v>9427</v>
      </c>
    </row>
    <row r="6211" spans="1:9" x14ac:dyDescent="0.25">
      <c r="A6211" s="16" t="s">
        <v>7156</v>
      </c>
      <c r="B6211" s="16" t="str">
        <f>TEXT(PARTIDA[[#This Row],[PARTIDA]],"0000000000")</f>
        <v>8416202000</v>
      </c>
      <c r="C6211" s="16" t="s">
        <v>860</v>
      </c>
      <c r="D6211" s="16" t="s">
        <v>873</v>
      </c>
      <c r="E6211" s="16" t="s">
        <v>9480</v>
      </c>
      <c r="F6211" s="27" t="s">
        <v>14508</v>
      </c>
      <c r="G6211" s="27"/>
      <c r="H6211" s="16" t="str">
        <f>IF(ISBLANK(PARTIDAS!$G6211),PARTIDAS!$F6211,CONCATENATE(PARTIDAS!$F6211," (",PARTIDAS!$G6211,")"))</f>
        <v>Quemadores de gases</v>
      </c>
      <c r="I6211" s="16" t="s">
        <v>9427</v>
      </c>
    </row>
    <row r="6212" spans="1:9" x14ac:dyDescent="0.25">
      <c r="A6212" s="16" t="s">
        <v>7157</v>
      </c>
      <c r="B6212" s="16" t="str">
        <f>TEXT(PARTIDA[[#This Row],[PARTIDA]],"0000000000")</f>
        <v>8416203000</v>
      </c>
      <c r="C6212" s="16" t="s">
        <v>860</v>
      </c>
      <c r="D6212" s="16" t="s">
        <v>873</v>
      </c>
      <c r="E6212" s="16" t="s">
        <v>9480</v>
      </c>
      <c r="F6212" s="27" t="s">
        <v>14509</v>
      </c>
      <c r="G6212" s="27"/>
      <c r="H6212" s="16" t="str">
        <f>IF(ISBLANK(PARTIDAS!$G6212),PARTIDAS!$F6212,CONCATENATE(PARTIDAS!$F6212," (",PARTIDAS!$G6212,")"))</f>
        <v>Quemadores mixtos</v>
      </c>
      <c r="I6212" s="16" t="s">
        <v>9427</v>
      </c>
    </row>
    <row r="6213" spans="1:9" x14ac:dyDescent="0.25">
      <c r="A6213" s="16" t="s">
        <v>7158</v>
      </c>
      <c r="B6213" s="16" t="str">
        <f>TEXT(PARTIDA[[#This Row],[PARTIDA]],"0000000000")</f>
        <v>8416300000</v>
      </c>
      <c r="C6213" s="16" t="s">
        <v>860</v>
      </c>
      <c r="D6213" s="16" t="s">
        <v>873</v>
      </c>
      <c r="E6213" s="16" t="s">
        <v>9480</v>
      </c>
      <c r="F6213" s="27" t="s">
        <v>14510</v>
      </c>
      <c r="G6213" s="27"/>
      <c r="H6213" s="16" t="str">
        <f>IF(ISBLANK(PARTIDAS!$G6213),PARTIDAS!$F6213,CONCATENATE(PARTIDAS!$F6213," (",PARTIDAS!$G6213,")"))</f>
        <v>Alimentadores mecánicos de hogares, parrillas mecánicas, descargadores mecánicos de cenizas y demás dispositivos mecánicos auxiliares empleados en hog</v>
      </c>
      <c r="I6213" s="16" t="s">
        <v>9427</v>
      </c>
    </row>
    <row r="6214" spans="1:9" x14ac:dyDescent="0.25">
      <c r="A6214" s="16" t="s">
        <v>7159</v>
      </c>
      <c r="B6214" s="16" t="str">
        <f>TEXT(PARTIDA[[#This Row],[PARTIDA]],"0000000000")</f>
        <v>8416900000</v>
      </c>
      <c r="C6214" s="16" t="s">
        <v>860</v>
      </c>
      <c r="D6214" s="16" t="s">
        <v>873</v>
      </c>
      <c r="E6214" s="16" t="s">
        <v>9480</v>
      </c>
      <c r="F6214" s="27" t="s">
        <v>14511</v>
      </c>
      <c r="G6214" s="27"/>
      <c r="H6214" s="16" t="str">
        <f>IF(ISBLANK(PARTIDAS!$G6214),PARTIDAS!$F6214,CONCATENATE(PARTIDAS!$F6214," (",PARTIDAS!$G6214,")"))</f>
        <v>Quemadores para la alimentación de hogares, de combustibles líquidos…, partes</v>
      </c>
      <c r="I6214" s="16" t="s">
        <v>9427</v>
      </c>
    </row>
    <row r="6215" spans="1:9" x14ac:dyDescent="0.25">
      <c r="A6215" s="16" t="s">
        <v>7160</v>
      </c>
      <c r="B6215" s="16" t="str">
        <f>TEXT(PARTIDA[[#This Row],[PARTIDA]],"0000000000")</f>
        <v>8417100000</v>
      </c>
      <c r="C6215" s="16" t="s">
        <v>860</v>
      </c>
      <c r="D6215" s="16" t="s">
        <v>873</v>
      </c>
      <c r="E6215" s="16" t="s">
        <v>9480</v>
      </c>
      <c r="F6215" s="27" t="s">
        <v>14512</v>
      </c>
      <c r="G6215" s="27"/>
      <c r="H6215" s="16" t="str">
        <f>IF(ISBLANK(PARTIDAS!$G6215),PARTIDAS!$F6215,CONCATENATE(PARTIDAS!$F6215," (",PARTIDAS!$G6215,")"))</f>
        <v>Hornos para tostación, fusión u otros tratamientos térmicos de los minerales metalíferos (incluidas las piritas) o de los metales</v>
      </c>
      <c r="I6215" s="16" t="s">
        <v>9427</v>
      </c>
    </row>
    <row r="6216" spans="1:9" x14ac:dyDescent="0.25">
      <c r="A6216" s="16" t="s">
        <v>7161</v>
      </c>
      <c r="B6216" s="16" t="str">
        <f>TEXT(PARTIDA[[#This Row],[PARTIDA]],"0000000000")</f>
        <v>8417201000</v>
      </c>
      <c r="C6216" s="16" t="s">
        <v>860</v>
      </c>
      <c r="D6216" s="16" t="s">
        <v>873</v>
      </c>
      <c r="E6216" s="16" t="s">
        <v>9480</v>
      </c>
      <c r="F6216" s="27" t="s">
        <v>14513</v>
      </c>
      <c r="G6216" s="27"/>
      <c r="H6216" s="16" t="str">
        <f>IF(ISBLANK(PARTIDAS!$G6216),PARTIDAS!$F6216,CONCATENATE(PARTIDAS!$F6216," (",PARTIDAS!$G6216,")"))</f>
        <v>Hornos de túnel</v>
      </c>
      <c r="I6216" s="16" t="s">
        <v>9427</v>
      </c>
    </row>
    <row r="6217" spans="1:9" x14ac:dyDescent="0.25">
      <c r="A6217" s="16" t="s">
        <v>7162</v>
      </c>
      <c r="B6217" s="16" t="str">
        <f>TEXT(PARTIDA[[#This Row],[PARTIDA]],"0000000000")</f>
        <v>8417209000</v>
      </c>
      <c r="C6217" s="16" t="s">
        <v>860</v>
      </c>
      <c r="D6217" s="16" t="s">
        <v>873</v>
      </c>
      <c r="E6217" s="16" t="s">
        <v>9480</v>
      </c>
      <c r="F6217" s="27" t="s">
        <v>14514</v>
      </c>
      <c r="G6217" s="27"/>
      <c r="H6217" s="16" t="str">
        <f>IF(ISBLANK(PARTIDAS!$G6217),PARTIDAS!$F6217,CONCATENATE(PARTIDAS!$F6217," (",PARTIDAS!$G6217,")"))</f>
        <v>Hornos de panadería, pastelería o galletería (los demás)</v>
      </c>
      <c r="I6217" s="16" t="s">
        <v>9427</v>
      </c>
    </row>
    <row r="6218" spans="1:9" x14ac:dyDescent="0.25">
      <c r="A6218" s="16" t="s">
        <v>7163</v>
      </c>
      <c r="B6218" s="16" t="str">
        <f>TEXT(PARTIDA[[#This Row],[PARTIDA]],"0000000000")</f>
        <v>8417802000</v>
      </c>
      <c r="C6218" s="16" t="s">
        <v>860</v>
      </c>
      <c r="D6218" s="16" t="s">
        <v>873</v>
      </c>
      <c r="E6218" s="16" t="s">
        <v>9480</v>
      </c>
      <c r="F6218" s="27" t="s">
        <v>14515</v>
      </c>
      <c r="G6218" s="27"/>
      <c r="H6218" s="16" t="str">
        <f>IF(ISBLANK(PARTIDAS!$G6218),PARTIDAS!$F6218,CONCATENATE(PARTIDAS!$F6218," (",PARTIDAS!$G6218,")"))</f>
        <v>Hornos para productos cerámicos</v>
      </c>
      <c r="I6218" s="16" t="s">
        <v>9427</v>
      </c>
    </row>
    <row r="6219" spans="1:9" x14ac:dyDescent="0.25">
      <c r="A6219" s="16" t="s">
        <v>7164</v>
      </c>
      <c r="B6219" s="16" t="str">
        <f>TEXT(PARTIDA[[#This Row],[PARTIDA]],"0000000000")</f>
        <v>8417803000</v>
      </c>
      <c r="C6219" s="16" t="s">
        <v>860</v>
      </c>
      <c r="D6219" s="16" t="s">
        <v>873</v>
      </c>
      <c r="E6219" s="16" t="s">
        <v>9480</v>
      </c>
      <c r="F6219" s="27" t="s">
        <v>14516</v>
      </c>
      <c r="G6219" s="27"/>
      <c r="H6219" s="16" t="str">
        <f>IF(ISBLANK(PARTIDAS!$G6219),PARTIDAS!$F6219,CONCATENATE(PARTIDAS!$F6219," (",PARTIDAS!$G6219,")"))</f>
        <v>Hornos de laboratorio</v>
      </c>
      <c r="I6219" s="16" t="s">
        <v>9427</v>
      </c>
    </row>
    <row r="6220" spans="1:9" x14ac:dyDescent="0.25">
      <c r="A6220" s="16" t="s">
        <v>7165</v>
      </c>
      <c r="B6220" s="16" t="str">
        <f>TEXT(PARTIDA[[#This Row],[PARTIDA]],"0000000000")</f>
        <v>8417809000</v>
      </c>
      <c r="C6220" s="16" t="s">
        <v>860</v>
      </c>
      <c r="D6220" s="16" t="s">
        <v>873</v>
      </c>
      <c r="E6220" s="16" t="s">
        <v>9480</v>
      </c>
      <c r="F6220" s="27" t="s">
        <v>14517</v>
      </c>
      <c r="G6220" s="27"/>
      <c r="H6220" s="16" t="str">
        <f>IF(ISBLANK(PARTIDAS!$G6220),PARTIDAS!$F6220,CONCATENATE(PARTIDAS!$F6220," (",PARTIDAS!$G6220,")"))</f>
        <v>Hornos industriales o de laboratorio, incluidos los incineradores… (los demás)</v>
      </c>
      <c r="I6220" s="16" t="s">
        <v>9427</v>
      </c>
    </row>
    <row r="6221" spans="1:9" x14ac:dyDescent="0.25">
      <c r="A6221" s="16" t="s">
        <v>7166</v>
      </c>
      <c r="B6221" s="16" t="str">
        <f>TEXT(PARTIDA[[#This Row],[PARTIDA]],"0000000000")</f>
        <v>8417900000</v>
      </c>
      <c r="C6221" s="16" t="s">
        <v>860</v>
      </c>
      <c r="D6221" s="16" t="s">
        <v>873</v>
      </c>
      <c r="E6221" s="16" t="s">
        <v>9480</v>
      </c>
      <c r="F6221" s="27" t="s">
        <v>14518</v>
      </c>
      <c r="G6221" s="27"/>
      <c r="H6221" s="16" t="str">
        <f>IF(ISBLANK(PARTIDAS!$G6221),PARTIDAS!$F6221,CONCATENATE(PARTIDAS!$F6221," (",PARTIDAS!$G6221,")"))</f>
        <v>Hornos industriales o de laboratorio, incluidos los incineradores…, partes</v>
      </c>
      <c r="I6221" s="16" t="s">
        <v>9427</v>
      </c>
    </row>
    <row r="6222" spans="1:9" x14ac:dyDescent="0.25">
      <c r="A6222" s="16" t="s">
        <v>7167</v>
      </c>
      <c r="B6222" s="16" t="str">
        <f>TEXT(PARTIDA[[#This Row],[PARTIDA]],"0000000000")</f>
        <v>8418101000</v>
      </c>
      <c r="C6222" s="16" t="s">
        <v>860</v>
      </c>
      <c r="D6222" s="16" t="s">
        <v>873</v>
      </c>
      <c r="E6222" s="16" t="s">
        <v>9480</v>
      </c>
      <c r="F6222" s="27" t="s">
        <v>14519</v>
      </c>
      <c r="G6222" s="27"/>
      <c r="H6222" s="16" t="str">
        <f>IF(ISBLANK(PARTIDAS!$G6222),PARTIDAS!$F6222,CONCATENATE(PARTIDAS!$F6222," (",PARTIDAS!$G6222,")"))</f>
        <v>Combinaciones de refrigerador y congelador con puertas o cajones…, de capacidad inferior a 184 l</v>
      </c>
      <c r="I6222" s="16" t="s">
        <v>9427</v>
      </c>
    </row>
    <row r="6223" spans="1:9" x14ac:dyDescent="0.25">
      <c r="A6223" s="16" t="s">
        <v>7168</v>
      </c>
      <c r="B6223" s="16" t="str">
        <f>TEXT(PARTIDA[[#This Row],[PARTIDA]],"0000000000")</f>
        <v>8418102000</v>
      </c>
      <c r="C6223" s="16" t="s">
        <v>860</v>
      </c>
      <c r="D6223" s="16" t="s">
        <v>873</v>
      </c>
      <c r="E6223" s="16" t="s">
        <v>9480</v>
      </c>
      <c r="F6223" s="27" t="s">
        <v>14520</v>
      </c>
      <c r="G6223" s="27"/>
      <c r="H6223" s="16" t="str">
        <f>IF(ISBLANK(PARTIDAS!$G6223),PARTIDAS!$F6223,CONCATENATE(PARTIDAS!$F6223," (",PARTIDAS!$G6223,")"))</f>
        <v>Combinaciones de refrigerador y congelador con puertas o cajones…, de capacidad superior o igual a 184 l pero inferior a 269 l</v>
      </c>
      <c r="I6223" s="16" t="s">
        <v>9427</v>
      </c>
    </row>
    <row r="6224" spans="1:9" x14ac:dyDescent="0.25">
      <c r="A6224" s="16" t="s">
        <v>7169</v>
      </c>
      <c r="B6224" s="16" t="str">
        <f>TEXT(PARTIDA[[#This Row],[PARTIDA]],"0000000000")</f>
        <v>8418103000</v>
      </c>
      <c r="C6224" s="16" t="s">
        <v>860</v>
      </c>
      <c r="D6224" s="16" t="s">
        <v>873</v>
      </c>
      <c r="E6224" s="16" t="s">
        <v>9480</v>
      </c>
      <c r="F6224" s="27" t="s">
        <v>14521</v>
      </c>
      <c r="G6224" s="27"/>
      <c r="H6224" s="16" t="str">
        <f>IF(ISBLANK(PARTIDAS!$G6224),PARTIDAS!$F6224,CONCATENATE(PARTIDAS!$F6224," (",PARTIDAS!$G6224,")"))</f>
        <v>Combinaciones de refrigerador y congelador con puertas o cajones…, de capacidad superior o igual a 269 l pero inferior a 382 l</v>
      </c>
      <c r="I6224" s="16" t="s">
        <v>9427</v>
      </c>
    </row>
    <row r="6225" spans="1:9" x14ac:dyDescent="0.25">
      <c r="A6225" s="16" t="s">
        <v>7170</v>
      </c>
      <c r="B6225" s="16" t="str">
        <f>TEXT(PARTIDA[[#This Row],[PARTIDA]],"0000000000")</f>
        <v>8418109000</v>
      </c>
      <c r="C6225" s="16" t="s">
        <v>860</v>
      </c>
      <c r="D6225" s="16" t="s">
        <v>873</v>
      </c>
      <c r="E6225" s="16" t="s">
        <v>9480</v>
      </c>
      <c r="F6225" s="27" t="s">
        <v>14522</v>
      </c>
      <c r="G6225" s="27"/>
      <c r="H6225" s="16" t="str">
        <f>IF(ISBLANK(PARTIDAS!$G6225),PARTIDAS!$F6225,CONCATENATE(PARTIDAS!$F6225," (",PARTIDAS!$G6225,")"))</f>
        <v>Combinaciones de refrigerador y congelador con puertas o cajones… (los demás)</v>
      </c>
      <c r="I6225" s="16" t="s">
        <v>9427</v>
      </c>
    </row>
    <row r="6226" spans="1:9" x14ac:dyDescent="0.25">
      <c r="A6226" s="16" t="s">
        <v>7171</v>
      </c>
      <c r="B6226" s="16" t="str">
        <f>TEXT(PARTIDA[[#This Row],[PARTIDA]],"0000000000")</f>
        <v>8418211000</v>
      </c>
      <c r="C6226" s="16" t="s">
        <v>786</v>
      </c>
      <c r="D6226" s="16" t="s">
        <v>799</v>
      </c>
      <c r="E6226" s="16" t="s">
        <v>806</v>
      </c>
      <c r="F6226" s="27" t="s">
        <v>14523</v>
      </c>
      <c r="G6226" s="27"/>
      <c r="H6226" s="16" t="str">
        <f>IF(ISBLANK(PARTIDAS!$G6226),PARTIDAS!$F6226,CONCATENATE(PARTIDAS!$F6226," (",PARTIDAS!$G6226,")"))</f>
        <v>Refrigeradores domésticos, de compresión, de capacidad inferior a 184 l</v>
      </c>
      <c r="I6226" s="16" t="s">
        <v>9427</v>
      </c>
    </row>
    <row r="6227" spans="1:9" x14ac:dyDescent="0.25">
      <c r="A6227" s="16" t="s">
        <v>7172</v>
      </c>
      <c r="B6227" s="16" t="str">
        <f>TEXT(PARTIDA[[#This Row],[PARTIDA]],"0000000000")</f>
        <v>8418212000</v>
      </c>
      <c r="C6227" s="16" t="s">
        <v>786</v>
      </c>
      <c r="D6227" s="16" t="s">
        <v>799</v>
      </c>
      <c r="E6227" s="16" t="s">
        <v>806</v>
      </c>
      <c r="F6227" s="27" t="s">
        <v>14524</v>
      </c>
      <c r="G6227" s="27"/>
      <c r="H6227" s="16" t="str">
        <f>IF(ISBLANK(PARTIDAS!$G6227),PARTIDAS!$F6227,CONCATENATE(PARTIDAS!$F6227," (",PARTIDAS!$G6227,")"))</f>
        <v>Refrigeradores domésticos, de compresión, de capacidad superior o igual a 184 l pero inferior a 269 l</v>
      </c>
      <c r="I6227" s="16" t="s">
        <v>9427</v>
      </c>
    </row>
    <row r="6228" spans="1:9" x14ac:dyDescent="0.25">
      <c r="A6228" s="16" t="s">
        <v>7173</v>
      </c>
      <c r="B6228" s="16" t="str">
        <f>TEXT(PARTIDA[[#This Row],[PARTIDA]],"0000000000")</f>
        <v>8418213000</v>
      </c>
      <c r="C6228" s="16" t="s">
        <v>786</v>
      </c>
      <c r="D6228" s="16" t="s">
        <v>799</v>
      </c>
      <c r="E6228" s="16" t="s">
        <v>806</v>
      </c>
      <c r="F6228" s="27" t="s">
        <v>14525</v>
      </c>
      <c r="G6228" s="27"/>
      <c r="H6228" s="16" t="str">
        <f>IF(ISBLANK(PARTIDAS!$G6228),PARTIDAS!$F6228,CONCATENATE(PARTIDAS!$F6228," (",PARTIDAS!$G6228,")"))</f>
        <v>Refrigeradores domésticos, de compresión, de capacidad superior o igual a 269 l pero inferior a 382 l</v>
      </c>
      <c r="I6228" s="16" t="s">
        <v>9427</v>
      </c>
    </row>
    <row r="6229" spans="1:9" x14ac:dyDescent="0.25">
      <c r="A6229" s="16" t="s">
        <v>7174</v>
      </c>
      <c r="B6229" s="16" t="str">
        <f>TEXT(PARTIDA[[#This Row],[PARTIDA]],"0000000000")</f>
        <v>8418219000</v>
      </c>
      <c r="C6229" s="16" t="s">
        <v>786</v>
      </c>
      <c r="D6229" s="16" t="s">
        <v>799</v>
      </c>
      <c r="E6229" s="16" t="s">
        <v>806</v>
      </c>
      <c r="F6229" s="27" t="s">
        <v>14526</v>
      </c>
      <c r="G6229" s="27"/>
      <c r="H6229" s="16" t="str">
        <f>IF(ISBLANK(PARTIDAS!$G6229),PARTIDAS!$F6229,CONCATENATE(PARTIDAS!$F6229," (",PARTIDAS!$G6229,")"))</f>
        <v>Refrigeradores domésticos, de compresión (los demás)</v>
      </c>
      <c r="I6229" s="16" t="s">
        <v>9427</v>
      </c>
    </row>
    <row r="6230" spans="1:9" x14ac:dyDescent="0.25">
      <c r="A6230" s="16" t="s">
        <v>7175</v>
      </c>
      <c r="B6230" s="16" t="str">
        <f>TEXT(PARTIDA[[#This Row],[PARTIDA]],"0000000000")</f>
        <v>8418291000</v>
      </c>
      <c r="C6230" s="16" t="s">
        <v>786</v>
      </c>
      <c r="D6230" s="16" t="s">
        <v>799</v>
      </c>
      <c r="E6230" s="16" t="s">
        <v>806</v>
      </c>
      <c r="F6230" s="27" t="s">
        <v>14527</v>
      </c>
      <c r="G6230" s="27"/>
      <c r="H6230" s="16" t="str">
        <f>IF(ISBLANK(PARTIDAS!$G6230),PARTIDAS!$F6230,CONCATENATE(PARTIDAS!$F6230," (",PARTIDAS!$G6230,")"))</f>
        <v>Refrigeradores domésticos, de absorción, eléctricos</v>
      </c>
      <c r="I6230" s="16" t="s">
        <v>9427</v>
      </c>
    </row>
    <row r="6231" spans="1:9" x14ac:dyDescent="0.25">
      <c r="A6231" s="16" t="s">
        <v>7176</v>
      </c>
      <c r="B6231" s="16" t="str">
        <f>TEXT(PARTIDA[[#This Row],[PARTIDA]],"0000000000")</f>
        <v>8418299000</v>
      </c>
      <c r="C6231" s="16" t="s">
        <v>786</v>
      </c>
      <c r="D6231" s="16" t="s">
        <v>799</v>
      </c>
      <c r="E6231" s="16" t="s">
        <v>806</v>
      </c>
      <c r="F6231" s="27" t="s">
        <v>14528</v>
      </c>
      <c r="G6231" s="27"/>
      <c r="H6231" s="16" t="str">
        <f>IF(ISBLANK(PARTIDAS!$G6231),PARTIDAS!$F6231,CONCATENATE(PARTIDAS!$F6231," (",PARTIDAS!$G6231,")"))</f>
        <v>Refrigeradores domésticos (los demás)</v>
      </c>
      <c r="I6231" s="16" t="s">
        <v>9427</v>
      </c>
    </row>
    <row r="6232" spans="1:9" x14ac:dyDescent="0.25">
      <c r="A6232" s="16" t="s">
        <v>7177</v>
      </c>
      <c r="B6232" s="16" t="str">
        <f>TEXT(PARTIDA[[#This Row],[PARTIDA]],"0000000000")</f>
        <v>8418300000</v>
      </c>
      <c r="C6232" s="16" t="s">
        <v>860</v>
      </c>
      <c r="D6232" s="16" t="s">
        <v>873</v>
      </c>
      <c r="E6232" s="16" t="s">
        <v>9480</v>
      </c>
      <c r="F6232" s="27" t="s">
        <v>14529</v>
      </c>
      <c r="G6232" s="27"/>
      <c r="H6232" s="16" t="str">
        <f>IF(ISBLANK(PARTIDAS!$G6232),PARTIDAS!$F6232,CONCATENATE(PARTIDAS!$F6232," (",PARTIDAS!$G6232,")"))</f>
        <v>Congeladores horizontales del tipo arcón (cofre), de capacidad inferior o igual a 800 l</v>
      </c>
      <c r="I6232" s="16" t="s">
        <v>9427</v>
      </c>
    </row>
    <row r="6233" spans="1:9" x14ac:dyDescent="0.25">
      <c r="A6233" s="16" t="s">
        <v>7178</v>
      </c>
      <c r="B6233" s="16" t="str">
        <f>TEXT(PARTIDA[[#This Row],[PARTIDA]],"0000000000")</f>
        <v>8418400000</v>
      </c>
      <c r="C6233" s="16" t="s">
        <v>860</v>
      </c>
      <c r="D6233" s="16" t="s">
        <v>873</v>
      </c>
      <c r="E6233" s="16" t="s">
        <v>9480</v>
      </c>
      <c r="F6233" s="27" t="s">
        <v>14530</v>
      </c>
      <c r="G6233" s="27"/>
      <c r="H6233" s="16" t="str">
        <f>IF(ISBLANK(PARTIDAS!$G6233),PARTIDAS!$F6233,CONCATENATE(PARTIDAS!$F6233," (",PARTIDAS!$G6233,")"))</f>
        <v>Congeladores verticales del tipo armario, de capacidad inferior o igual a 900 l</v>
      </c>
      <c r="I6233" s="16" t="s">
        <v>9427</v>
      </c>
    </row>
    <row r="6234" spans="1:9" x14ac:dyDescent="0.25">
      <c r="A6234" s="16" t="s">
        <v>7179</v>
      </c>
      <c r="B6234" s="16" t="str">
        <f>TEXT(PARTIDA[[#This Row],[PARTIDA]],"0000000000")</f>
        <v>8418500000</v>
      </c>
      <c r="C6234" s="16" t="s">
        <v>860</v>
      </c>
      <c r="D6234" s="16" t="s">
        <v>873</v>
      </c>
      <c r="E6234" s="16" t="s">
        <v>9480</v>
      </c>
      <c r="F6234" s="27" t="s">
        <v>14531</v>
      </c>
      <c r="G6234" s="27"/>
      <c r="H6234" s="16" t="str">
        <f>IF(ISBLANK(PARTIDAS!$G6234),PARTIDAS!$F6234,CONCATENATE(PARTIDAS!$F6234," (",PARTIDAS!$G6234,")"))</f>
        <v>Refrigeradores, congeladores y demás material, máquinas y aparatos… (los demás, muebles (armarios, arcones (cofres), vitrinas, mostradores y similares</v>
      </c>
      <c r="I6234" s="16" t="s">
        <v>9427</v>
      </c>
    </row>
    <row r="6235" spans="1:9" x14ac:dyDescent="0.25">
      <c r="A6235" s="16" t="s">
        <v>7180</v>
      </c>
      <c r="B6235" s="16" t="str">
        <f>TEXT(PARTIDA[[#This Row],[PARTIDA]],"0000000000")</f>
        <v>8418610000</v>
      </c>
      <c r="C6235" s="16" t="s">
        <v>860</v>
      </c>
      <c r="D6235" s="16" t="s">
        <v>873</v>
      </c>
      <c r="E6235" s="16" t="s">
        <v>9480</v>
      </c>
      <c r="F6235" s="27" t="s">
        <v>14532</v>
      </c>
      <c r="G6235" s="27"/>
      <c r="H6235" s="16" t="str">
        <f>IF(ISBLANK(PARTIDAS!$G6235),PARTIDAS!$F6235,CONCATENATE(PARTIDAS!$F6235," (",PARTIDAS!$G6235,")"))</f>
        <v>Bombas de calor, excepto las máquinas y aparatos para acondicionamiento de aire de la partida 84.15</v>
      </c>
      <c r="I6235" s="16" t="s">
        <v>9427</v>
      </c>
    </row>
    <row r="6236" spans="1:9" x14ac:dyDescent="0.25">
      <c r="A6236" s="16" t="s">
        <v>7181</v>
      </c>
      <c r="B6236" s="16" t="str">
        <f>TEXT(PARTIDA[[#This Row],[PARTIDA]],"0000000000")</f>
        <v>8418691100</v>
      </c>
      <c r="C6236" s="16" t="s">
        <v>860</v>
      </c>
      <c r="D6236" s="16" t="s">
        <v>873</v>
      </c>
      <c r="E6236" s="16" t="s">
        <v>9480</v>
      </c>
      <c r="F6236" s="27" t="s">
        <v>14533</v>
      </c>
      <c r="G6236" s="27"/>
      <c r="H6236" s="16" t="str">
        <f>IF(ISBLANK(PARTIDAS!$G6236),PARTIDAS!$F6236,CONCATENATE(PARTIDAS!$F6236," (",PARTIDAS!$G6236,")"))</f>
        <v>Grupos frigoríficos, de compresión</v>
      </c>
      <c r="I6236" s="16" t="s">
        <v>9427</v>
      </c>
    </row>
    <row r="6237" spans="1:9" x14ac:dyDescent="0.25">
      <c r="A6237" s="16" t="s">
        <v>7182</v>
      </c>
      <c r="B6237" s="16" t="str">
        <f>TEXT(PARTIDA[[#This Row],[PARTIDA]],"0000000000")</f>
        <v>8418691200</v>
      </c>
      <c r="C6237" s="16" t="s">
        <v>860</v>
      </c>
      <c r="D6237" s="16" t="s">
        <v>873</v>
      </c>
      <c r="E6237" s="16" t="s">
        <v>9480</v>
      </c>
      <c r="F6237" s="27" t="s">
        <v>14534</v>
      </c>
      <c r="G6237" s="27"/>
      <c r="H6237" s="16" t="str">
        <f>IF(ISBLANK(PARTIDAS!$G6237),PARTIDAS!$F6237,CONCATENATE(PARTIDAS!$F6237," (",PARTIDAS!$G6237,")"))</f>
        <v>Grupos frigoríficos, de absorción</v>
      </c>
      <c r="I6237" s="16" t="s">
        <v>9427</v>
      </c>
    </row>
    <row r="6238" spans="1:9" x14ac:dyDescent="0.25">
      <c r="A6238" s="16" t="s">
        <v>7183</v>
      </c>
      <c r="B6238" s="16" t="str">
        <f>TEXT(PARTIDA[[#This Row],[PARTIDA]],"0000000000")</f>
        <v>8418699100</v>
      </c>
      <c r="C6238" s="16" t="s">
        <v>860</v>
      </c>
      <c r="D6238" s="16" t="s">
        <v>873</v>
      </c>
      <c r="E6238" s="16" t="s">
        <v>9480</v>
      </c>
      <c r="F6238" s="27" t="s">
        <v>14535</v>
      </c>
      <c r="G6238" s="27"/>
      <c r="H6238" s="16" t="str">
        <f>IF(ISBLANK(PARTIDAS!$G6238),PARTIDAS!$F6238,CONCATENATE(PARTIDAS!$F6238," (",PARTIDAS!$G6238,")"))</f>
        <v>Refrigeradores, congeladores y demás material, máquinas y aparatos…, para la fabricación de hielo</v>
      </c>
      <c r="I6238" s="16" t="s">
        <v>9427</v>
      </c>
    </row>
    <row r="6239" spans="1:9" x14ac:dyDescent="0.25">
      <c r="A6239" s="16" t="s">
        <v>7184</v>
      </c>
      <c r="B6239" s="16" t="str">
        <f>TEXT(PARTIDA[[#This Row],[PARTIDA]],"0000000000")</f>
        <v>8418699200</v>
      </c>
      <c r="C6239" s="16" t="s">
        <v>860</v>
      </c>
      <c r="D6239" s="16" t="s">
        <v>873</v>
      </c>
      <c r="E6239" s="16" t="s">
        <v>9480</v>
      </c>
      <c r="F6239" s="27" t="s">
        <v>14536</v>
      </c>
      <c r="G6239" s="27"/>
      <c r="H6239" s="16" t="str">
        <f>IF(ISBLANK(PARTIDAS!$G6239),PARTIDAS!$F6239,CONCATENATE(PARTIDAS!$F6239," (",PARTIDAS!$G6239,")"))</f>
        <v>Fuentes de agua</v>
      </c>
      <c r="I6239" s="16" t="s">
        <v>9427</v>
      </c>
    </row>
    <row r="6240" spans="1:9" x14ac:dyDescent="0.25">
      <c r="A6240" s="16" t="s">
        <v>7185</v>
      </c>
      <c r="B6240" s="16" t="str">
        <f>TEXT(PARTIDA[[#This Row],[PARTIDA]],"0000000000")</f>
        <v>8418699300</v>
      </c>
      <c r="C6240" s="16" t="s">
        <v>860</v>
      </c>
      <c r="D6240" s="16" t="s">
        <v>873</v>
      </c>
      <c r="E6240" s="16" t="s">
        <v>9480</v>
      </c>
      <c r="F6240" s="27" t="s">
        <v>14537</v>
      </c>
      <c r="G6240" s="27"/>
      <c r="H6240" s="16" t="str">
        <f>IF(ISBLANK(PARTIDAS!$G6240),PARTIDAS!$F6240,CONCATENATE(PARTIDAS!$F6240," (",PARTIDAS!$G6240,")"))</f>
        <v>Cámaras o túneles desarmables o de paneles, con equipo para la producción de frío</v>
      </c>
      <c r="I6240" s="16" t="s">
        <v>9427</v>
      </c>
    </row>
    <row r="6241" spans="1:9" x14ac:dyDescent="0.25">
      <c r="A6241" s="16" t="s">
        <v>7186</v>
      </c>
      <c r="B6241" s="16" t="str">
        <f>TEXT(PARTIDA[[#This Row],[PARTIDA]],"0000000000")</f>
        <v>8418699400</v>
      </c>
      <c r="C6241" s="16" t="s">
        <v>860</v>
      </c>
      <c r="D6241" s="16" t="s">
        <v>873</v>
      </c>
      <c r="E6241" s="16" t="s">
        <v>9480</v>
      </c>
      <c r="F6241" s="27" t="s">
        <v>14538</v>
      </c>
      <c r="G6241" s="27"/>
      <c r="H6241" s="16" t="str">
        <f>IF(ISBLANK(PARTIDAS!$G6241),PARTIDAS!$F6241,CONCATENATE(PARTIDAS!$F6241," (",PARTIDAS!$G6241,")"))</f>
        <v>Unidades de refrigeración para vehículos de transporte de mercancías</v>
      </c>
      <c r="I6241" s="16" t="s">
        <v>9427</v>
      </c>
    </row>
    <row r="6242" spans="1:9" x14ac:dyDescent="0.25">
      <c r="A6242" s="16" t="s">
        <v>7187</v>
      </c>
      <c r="B6242" s="16" t="str">
        <f>TEXT(PARTIDA[[#This Row],[PARTIDA]],"0000000000")</f>
        <v>8418699900</v>
      </c>
      <c r="C6242" s="16" t="s">
        <v>860</v>
      </c>
      <c r="D6242" s="16" t="s">
        <v>873</v>
      </c>
      <c r="E6242" s="16" t="s">
        <v>9480</v>
      </c>
      <c r="F6242" s="27" t="s">
        <v>14539</v>
      </c>
      <c r="G6242" s="27"/>
      <c r="H6242" s="16" t="str">
        <f>IF(ISBLANK(PARTIDAS!$G6242),PARTIDAS!$F6242,CONCATENATE(PARTIDAS!$F6242," (",PARTIDAS!$G6242,")"))</f>
        <v>Refrigeradores, congeladores y demás material, máquinas y aparatos… (los demás)</v>
      </c>
      <c r="I6242" s="16" t="s">
        <v>9427</v>
      </c>
    </row>
    <row r="6243" spans="1:9" x14ac:dyDescent="0.25">
      <c r="A6243" s="16" t="s">
        <v>7188</v>
      </c>
      <c r="B6243" s="16" t="str">
        <f>TEXT(PARTIDA[[#This Row],[PARTIDA]],"0000000000")</f>
        <v>8418910000</v>
      </c>
      <c r="C6243" s="16" t="s">
        <v>860</v>
      </c>
      <c r="D6243" s="16" t="s">
        <v>873</v>
      </c>
      <c r="E6243" s="16" t="s">
        <v>9480</v>
      </c>
      <c r="F6243" s="27" t="s">
        <v>14540</v>
      </c>
      <c r="G6243" s="27"/>
      <c r="H6243" s="16" t="str">
        <f>IF(ISBLANK(PARTIDAS!$G6243),PARTIDAS!$F6243,CONCATENATE(PARTIDAS!$F6243," (",PARTIDAS!$G6243,")"))</f>
        <v>Muebles diseñados para incorporarles un equipo para producción de frío</v>
      </c>
      <c r="I6243" s="16" t="s">
        <v>9427</v>
      </c>
    </row>
    <row r="6244" spans="1:9" x14ac:dyDescent="0.25">
      <c r="A6244" s="16" t="s">
        <v>29</v>
      </c>
      <c r="B6244" s="16" t="str">
        <f>TEXT(PARTIDA[[#This Row],[PARTIDA]],"0000000000")</f>
        <v>8418991000</v>
      </c>
      <c r="C6244" s="16" t="s">
        <v>860</v>
      </c>
      <c r="D6244" s="16" t="s">
        <v>873</v>
      </c>
      <c r="E6244" s="16" t="s">
        <v>9478</v>
      </c>
      <c r="F6244" s="27" t="s">
        <v>7189</v>
      </c>
      <c r="G6244" s="27"/>
      <c r="H6244" s="16" t="str">
        <f>IF(ISBLANK(PARTIDAS!$G6244),PARTIDAS!$F6244,CONCATENATE(PARTIDAS!$F6244," (",PARTIDAS!$G6244,")"))</f>
        <v>Placas evaporadoras</v>
      </c>
      <c r="I6244" s="16" t="s">
        <v>9559</v>
      </c>
    </row>
    <row r="6245" spans="1:9" x14ac:dyDescent="0.25">
      <c r="A6245" s="16" t="s">
        <v>7190</v>
      </c>
      <c r="B6245" s="16" t="str">
        <f>TEXT(PARTIDA[[#This Row],[PARTIDA]],"0000000000")</f>
        <v>8418992000</v>
      </c>
      <c r="C6245" s="16" t="s">
        <v>860</v>
      </c>
      <c r="D6245" s="16" t="s">
        <v>873</v>
      </c>
      <c r="E6245" s="16" t="s">
        <v>9480</v>
      </c>
      <c r="F6245" s="27" t="s">
        <v>14541</v>
      </c>
      <c r="G6245" s="27"/>
      <c r="H6245" s="16" t="str">
        <f>IF(ISBLANK(PARTIDAS!$G6245),PARTIDAS!$F6245,CONCATENATE(PARTIDAS!$F6245," (",PARTIDAS!$G6245,")"))</f>
        <v>Unidades de condensación</v>
      </c>
      <c r="I6245" s="16" t="s">
        <v>9427</v>
      </c>
    </row>
    <row r="6246" spans="1:9" x14ac:dyDescent="0.25">
      <c r="A6246" s="16" t="s">
        <v>7191</v>
      </c>
      <c r="B6246" s="16" t="str">
        <f>TEXT(PARTIDA[[#This Row],[PARTIDA]],"0000000000")</f>
        <v>8418999010</v>
      </c>
      <c r="C6246" s="16" t="s">
        <v>860</v>
      </c>
      <c r="D6246" s="16" t="s">
        <v>873</v>
      </c>
      <c r="E6246" s="16" t="s">
        <v>9480</v>
      </c>
      <c r="F6246" s="27" t="s">
        <v>14542</v>
      </c>
      <c r="G6246" s="27"/>
      <c r="H6246" s="16" t="str">
        <f>IF(ISBLANK(PARTIDAS!$G6246),PARTIDAS!$F6246,CONCATENATE(PARTIDAS!$F6246," (",PARTIDAS!$G6246,")"))</f>
        <v>Refrigeradores, congeladores y demás material…, partes, partes de muebles de la subpartida nacional 8418.91.00.00</v>
      </c>
      <c r="I6246" s="16" t="s">
        <v>9427</v>
      </c>
    </row>
    <row r="6247" spans="1:9" x14ac:dyDescent="0.25">
      <c r="A6247" s="16" t="s">
        <v>7192</v>
      </c>
      <c r="B6247" s="16" t="str">
        <f>TEXT(PARTIDA[[#This Row],[PARTIDA]],"0000000000")</f>
        <v>8418999090</v>
      </c>
      <c r="C6247" s="16" t="s">
        <v>860</v>
      </c>
      <c r="D6247" s="16" t="s">
        <v>873</v>
      </c>
      <c r="E6247" s="16" t="s">
        <v>9480</v>
      </c>
      <c r="F6247" s="27" t="s">
        <v>14543</v>
      </c>
      <c r="G6247" s="27"/>
      <c r="H6247" s="16" t="str">
        <f>IF(ISBLANK(PARTIDAS!$G6247),PARTIDAS!$F6247,CONCATENATE(PARTIDAS!$F6247," (",PARTIDAS!$G6247,")"))</f>
        <v>Refrigeradores, congeladores y demás material…, partes (los demás)</v>
      </c>
      <c r="I6247" s="16" t="s">
        <v>9427</v>
      </c>
    </row>
    <row r="6248" spans="1:9" x14ac:dyDescent="0.25">
      <c r="A6248" s="16" t="s">
        <v>7193</v>
      </c>
      <c r="B6248" s="16" t="str">
        <f>TEXT(PARTIDA[[#This Row],[PARTIDA]],"0000000000")</f>
        <v>8419110000</v>
      </c>
      <c r="C6248" s="16" t="s">
        <v>860</v>
      </c>
      <c r="D6248" s="16" t="s">
        <v>873</v>
      </c>
      <c r="E6248" s="16" t="s">
        <v>9480</v>
      </c>
      <c r="F6248" s="27" t="s">
        <v>14544</v>
      </c>
      <c r="G6248" s="27"/>
      <c r="H6248" s="16" t="str">
        <f>IF(ISBLANK(PARTIDAS!$G6248),PARTIDAS!$F6248,CONCATENATE(PARTIDAS!$F6248," (",PARTIDAS!$G6248,")"))</f>
        <v>Calentadores de agua de calentamiento instantáneo o de acumulación, de calentamiento instantáneo, de gas</v>
      </c>
      <c r="I6248" s="16" t="s">
        <v>9427</v>
      </c>
    </row>
    <row r="6249" spans="1:9" x14ac:dyDescent="0.25">
      <c r="A6249" s="16" t="s">
        <v>9118</v>
      </c>
      <c r="B6249" s="16" t="str">
        <f>TEXT(PARTIDA[[#This Row],[PARTIDA]],"0000000000")</f>
        <v>8419120000</v>
      </c>
      <c r="C6249" s="16" t="s">
        <v>786</v>
      </c>
      <c r="D6249" s="16" t="s">
        <v>799</v>
      </c>
      <c r="E6249" s="16" t="s">
        <v>806</v>
      </c>
      <c r="F6249" s="27" t="s">
        <v>9173</v>
      </c>
      <c r="G6249" s="27"/>
      <c r="H6249" s="16" t="str">
        <f>IF(ISBLANK(PARTIDAS!$G6249),PARTIDAS!$F6249,CONCATENATE(PARTIDAS!$F6249," (",PARTIDAS!$G6249,")"))</f>
        <v>Calentadores solares de agua</v>
      </c>
      <c r="I6249" s="16" t="s">
        <v>9477</v>
      </c>
    </row>
    <row r="6250" spans="1:9" x14ac:dyDescent="0.25">
      <c r="A6250" s="16" t="s">
        <v>7194</v>
      </c>
      <c r="B6250" s="16" t="str">
        <f>TEXT(PARTIDA[[#This Row],[PARTIDA]],"0000000000")</f>
        <v>8419191000</v>
      </c>
      <c r="C6250" s="16" t="s">
        <v>860</v>
      </c>
      <c r="D6250" s="16" t="s">
        <v>873</v>
      </c>
      <c r="E6250" s="16" t="s">
        <v>9480</v>
      </c>
      <c r="F6250" s="27" t="s">
        <v>14545</v>
      </c>
      <c r="G6250" s="27"/>
      <c r="H6250" s="16" t="str">
        <f>IF(ISBLANK(PARTIDAS!$G6250),PARTIDAS!$F6250,CONCATENATE(PARTIDAS!$F6250," (",PARTIDAS!$G6250,")"))</f>
        <v>Calentadores de agua de calentamiento instantáneo o de acumulación, con capacidad inferior o igual a 120 l</v>
      </c>
      <c r="I6250" s="16" t="s">
        <v>9427</v>
      </c>
    </row>
    <row r="6251" spans="1:9" x14ac:dyDescent="0.25">
      <c r="A6251" s="16" t="s">
        <v>7195</v>
      </c>
      <c r="B6251" s="16" t="str">
        <f>TEXT(PARTIDA[[#This Row],[PARTIDA]],"0000000000")</f>
        <v>8419199000</v>
      </c>
      <c r="C6251" s="16" t="s">
        <v>860</v>
      </c>
      <c r="D6251" s="16" t="s">
        <v>873</v>
      </c>
      <c r="E6251" s="16" t="s">
        <v>9480</v>
      </c>
      <c r="F6251" s="27" t="s">
        <v>14546</v>
      </c>
      <c r="G6251" s="27"/>
      <c r="H6251" s="16" t="str">
        <f>IF(ISBLANK(PARTIDAS!$G6251),PARTIDAS!$F6251,CONCATENATE(PARTIDAS!$F6251," (",PARTIDAS!$G6251,")"))</f>
        <v>Calentadores de agua de calentamiento instantáneo o de acumulación (los demás)</v>
      </c>
      <c r="I6251" s="16" t="s">
        <v>9427</v>
      </c>
    </row>
    <row r="6252" spans="1:9" x14ac:dyDescent="0.25">
      <c r="A6252" s="16" t="s">
        <v>7196</v>
      </c>
      <c r="B6252" s="16" t="str">
        <f>TEXT(PARTIDA[[#This Row],[PARTIDA]],"0000000000")</f>
        <v>8419200000</v>
      </c>
      <c r="C6252" s="16" t="s">
        <v>860</v>
      </c>
      <c r="D6252" s="16" t="s">
        <v>873</v>
      </c>
      <c r="E6252" s="16" t="s">
        <v>9480</v>
      </c>
      <c r="F6252" s="27" t="s">
        <v>14547</v>
      </c>
      <c r="G6252" s="27"/>
      <c r="H6252" s="16" t="str">
        <f>IF(ISBLANK(PARTIDAS!$G6252),PARTIDAS!$F6252,CONCATENATE(PARTIDAS!$F6252," (",PARTIDAS!$G6252,")"))</f>
        <v>Esterilizadores médicos, quirúrgicos o de laboratorio</v>
      </c>
      <c r="I6252" s="16" t="s">
        <v>9427</v>
      </c>
    </row>
    <row r="6253" spans="1:9" x14ac:dyDescent="0.25">
      <c r="A6253" s="16" t="s">
        <v>7197</v>
      </c>
      <c r="B6253" s="16" t="str">
        <f>TEXT(PARTIDA[[#This Row],[PARTIDA]],"0000000000")</f>
        <v>8419310000</v>
      </c>
      <c r="C6253" s="16" t="s">
        <v>860</v>
      </c>
      <c r="D6253" s="16" t="s">
        <v>873</v>
      </c>
      <c r="E6253" s="16" t="s">
        <v>9480</v>
      </c>
      <c r="F6253" s="27" t="s">
        <v>14548</v>
      </c>
      <c r="G6253" s="27"/>
      <c r="H6253" s="16" t="str">
        <f>IF(ISBLANK(PARTIDAS!$G6253),PARTIDAS!$F6253,CONCATENATE(PARTIDAS!$F6253," (",PARTIDAS!$G6253,")"))</f>
        <v>Para productos agrícolas</v>
      </c>
      <c r="I6253" s="16" t="s">
        <v>9648</v>
      </c>
    </row>
    <row r="6254" spans="1:9" x14ac:dyDescent="0.25">
      <c r="A6254" s="16" t="s">
        <v>7198</v>
      </c>
      <c r="B6254" s="16" t="str">
        <f>TEXT(PARTIDA[[#This Row],[PARTIDA]],"0000000000")</f>
        <v>8419320000</v>
      </c>
      <c r="C6254" s="16" t="s">
        <v>860</v>
      </c>
      <c r="D6254" s="16" t="s">
        <v>873</v>
      </c>
      <c r="E6254" s="16" t="s">
        <v>9480</v>
      </c>
      <c r="F6254" s="27" t="s">
        <v>14549</v>
      </c>
      <c r="G6254" s="27"/>
      <c r="H6254" s="16" t="str">
        <f>IF(ISBLANK(PARTIDAS!$G6254),PARTIDAS!$F6254,CONCATENATE(PARTIDAS!$F6254," (",PARTIDAS!$G6254,")"))</f>
        <v>Para madera, pasta para papel, papel o cartón</v>
      </c>
      <c r="I6254" s="16" t="s">
        <v>9648</v>
      </c>
    </row>
    <row r="6255" spans="1:9" x14ac:dyDescent="0.25">
      <c r="A6255" s="16" t="s">
        <v>14550</v>
      </c>
      <c r="B6255" s="16" t="str">
        <f>TEXT(PARTIDA[[#This Row],[PARTIDA]],"0000000000")</f>
        <v>8419330000</v>
      </c>
      <c r="C6255" s="16" t="s">
        <v>860</v>
      </c>
      <c r="D6255" s="16" t="s">
        <v>873</v>
      </c>
      <c r="E6255" s="16" t="s">
        <v>9480</v>
      </c>
      <c r="F6255" s="27" t="s">
        <v>14551</v>
      </c>
      <c r="G6255" s="27"/>
      <c r="H6255" s="16" t="str">
        <f>IF(ISBLANK(PARTIDAS!$G6255),PARTIDAS!$F6255,CONCATENATE(PARTIDAS!$F6255," (",PARTIDAS!$G6255,")"))</f>
        <v>Aparatos de liofilización, de criodesecación y secadores de pulverización</v>
      </c>
      <c r="I6255" s="16" t="s">
        <v>9427</v>
      </c>
    </row>
    <row r="6256" spans="1:9" x14ac:dyDescent="0.25">
      <c r="A6256" s="16" t="s">
        <v>14552</v>
      </c>
      <c r="B6256" s="16" t="str">
        <f>TEXT(PARTIDA[[#This Row],[PARTIDA]],"0000000000")</f>
        <v>8419340000</v>
      </c>
      <c r="C6256" s="16" t="s">
        <v>860</v>
      </c>
      <c r="D6256" s="16" t="s">
        <v>873</v>
      </c>
      <c r="E6256" s="16" t="s">
        <v>9480</v>
      </c>
      <c r="F6256" s="27" t="s">
        <v>14553</v>
      </c>
      <c r="G6256" s="27"/>
      <c r="H6256" s="16" t="str">
        <f>IF(ISBLANK(PARTIDAS!$G6256),PARTIDAS!$F6256,CONCATENATE(PARTIDAS!$F6256," (",PARTIDAS!$G6256,")"))</f>
        <v>Secadores (los demás, para productos agrícolas)</v>
      </c>
      <c r="I6256" s="16" t="s">
        <v>9427</v>
      </c>
    </row>
    <row r="6257" spans="1:9" x14ac:dyDescent="0.25">
      <c r="A6257" s="16" t="s">
        <v>14554</v>
      </c>
      <c r="B6257" s="16" t="str">
        <f>TEXT(PARTIDA[[#This Row],[PARTIDA]],"0000000000")</f>
        <v>8419350000</v>
      </c>
      <c r="C6257" s="16" t="s">
        <v>860</v>
      </c>
      <c r="D6257" s="16" t="s">
        <v>873</v>
      </c>
      <c r="E6257" s="16" t="s">
        <v>9480</v>
      </c>
      <c r="F6257" s="27" t="s">
        <v>14555</v>
      </c>
      <c r="G6257" s="27"/>
      <c r="H6257" s="16" t="str">
        <f>IF(ISBLANK(PARTIDAS!$G6257),PARTIDAS!$F6257,CONCATENATE(PARTIDAS!$F6257," (",PARTIDAS!$G6257,")"))</f>
        <v>Secadores (los demás, para madera, pasta para papel, papel o cartón)</v>
      </c>
      <c r="I6257" s="16" t="s">
        <v>9427</v>
      </c>
    </row>
    <row r="6258" spans="1:9" x14ac:dyDescent="0.25">
      <c r="A6258" s="16" t="s">
        <v>7199</v>
      </c>
      <c r="B6258" s="16" t="str">
        <f>TEXT(PARTIDA[[#This Row],[PARTIDA]],"0000000000")</f>
        <v>8419391000</v>
      </c>
      <c r="C6258" s="16" t="s">
        <v>860</v>
      </c>
      <c r="D6258" s="16" t="s">
        <v>873</v>
      </c>
      <c r="E6258" s="16" t="s">
        <v>9480</v>
      </c>
      <c r="F6258" s="27" t="s">
        <v>14556</v>
      </c>
      <c r="G6258" s="27"/>
      <c r="H6258" s="16" t="str">
        <f>IF(ISBLANK(PARTIDAS!$G6258),PARTIDAS!$F6258,CONCATENATE(PARTIDAS!$F6258," (",PARTIDAS!$G6258,")"))</f>
        <v>Por liofilización o criodesecación</v>
      </c>
      <c r="I6258" s="16" t="s">
        <v>9648</v>
      </c>
    </row>
    <row r="6259" spans="1:9" x14ac:dyDescent="0.25">
      <c r="A6259" s="16" t="s">
        <v>7200</v>
      </c>
      <c r="B6259" s="16" t="str">
        <f>TEXT(PARTIDA[[#This Row],[PARTIDA]],"0000000000")</f>
        <v>8419392000</v>
      </c>
      <c r="C6259" s="16" t="s">
        <v>860</v>
      </c>
      <c r="D6259" s="16" t="s">
        <v>873</v>
      </c>
      <c r="E6259" s="16" t="s">
        <v>9480</v>
      </c>
      <c r="F6259" s="27" t="s">
        <v>14557</v>
      </c>
      <c r="G6259" s="27"/>
      <c r="H6259" s="16" t="str">
        <f>IF(ISBLANK(PARTIDAS!$G6259),PARTIDAS!$F6259,CONCATENATE(PARTIDAS!$F6259," (",PARTIDAS!$G6259,")"))</f>
        <v>Por pulverización</v>
      </c>
      <c r="I6259" s="16" t="s">
        <v>9648</v>
      </c>
    </row>
    <row r="6260" spans="1:9" x14ac:dyDescent="0.25">
      <c r="A6260" s="16" t="s">
        <v>14558</v>
      </c>
      <c r="B6260" s="16" t="str">
        <f>TEXT(PARTIDA[[#This Row],[PARTIDA]],"0000000000")</f>
        <v>8419393000</v>
      </c>
      <c r="C6260" s="16" t="s">
        <v>860</v>
      </c>
      <c r="D6260" s="16" t="s">
        <v>873</v>
      </c>
      <c r="E6260" s="16" t="s">
        <v>9480</v>
      </c>
      <c r="F6260" s="27" t="s">
        <v>14559</v>
      </c>
      <c r="G6260" s="27"/>
      <c r="H6260" s="16" t="str">
        <f>IF(ISBLANK(PARTIDAS!$G6260),PARTIDAS!$F6260,CONCATENATE(PARTIDAS!$F6260," (",PARTIDAS!$G6260,")"))</f>
        <v>Secadores, para minerales</v>
      </c>
      <c r="I6260" s="16" t="s">
        <v>9427</v>
      </c>
    </row>
    <row r="6261" spans="1:9" x14ac:dyDescent="0.25">
      <c r="A6261" s="16" t="s">
        <v>9120</v>
      </c>
      <c r="B6261" s="16" t="str">
        <f>TEXT(PARTIDA[[#This Row],[PARTIDA]],"0000000000")</f>
        <v>8419399000</v>
      </c>
      <c r="C6261" s="16" t="s">
        <v>860</v>
      </c>
      <c r="D6261" s="16" t="s">
        <v>873</v>
      </c>
      <c r="E6261" s="16" t="s">
        <v>9480</v>
      </c>
      <c r="F6261" s="27" t="s">
        <v>9382</v>
      </c>
      <c r="G6261" s="27"/>
      <c r="H6261" s="16" t="str">
        <f>IF(ISBLANK(PARTIDAS!$G6261),PARTIDAS!$F6261,CONCATENATE(PARTIDAS!$F6261," (",PARTIDAS!$G6261,")"))</f>
        <v>Secadores (los demás)</v>
      </c>
      <c r="I6261" s="16" t="s">
        <v>9477</v>
      </c>
    </row>
    <row r="6262" spans="1:9" x14ac:dyDescent="0.25">
      <c r="A6262" s="16" t="s">
        <v>7201</v>
      </c>
      <c r="B6262" s="16" t="str">
        <f>TEXT(PARTIDA[[#This Row],[PARTIDA]],"0000000000")</f>
        <v>8419399100</v>
      </c>
      <c r="C6262" s="16" t="s">
        <v>860</v>
      </c>
      <c r="D6262" s="16" t="s">
        <v>873</v>
      </c>
      <c r="E6262" s="16" t="s">
        <v>9480</v>
      </c>
      <c r="F6262" s="27" t="s">
        <v>14560</v>
      </c>
      <c r="G6262" s="27"/>
      <c r="H6262" s="16" t="str">
        <f>IF(ISBLANK(PARTIDAS!$G6262),PARTIDAS!$F6262,CONCATENATE(PARTIDAS!$F6262," (",PARTIDAS!$G6262,")"))</f>
        <v>Para minerales</v>
      </c>
      <c r="I6262" s="16" t="s">
        <v>9648</v>
      </c>
    </row>
    <row r="6263" spans="1:9" x14ac:dyDescent="0.25">
      <c r="A6263" s="16" t="s">
        <v>7202</v>
      </c>
      <c r="B6263" s="16" t="str">
        <f>TEXT(PARTIDA[[#This Row],[PARTIDA]],"0000000000")</f>
        <v>8419399900</v>
      </c>
      <c r="C6263" s="16" t="s">
        <v>860</v>
      </c>
      <c r="D6263" s="16" t="s">
        <v>873</v>
      </c>
      <c r="E6263" s="16" t="s">
        <v>9480</v>
      </c>
      <c r="F6263" s="27" t="s">
        <v>14561</v>
      </c>
      <c r="G6263" s="27"/>
      <c r="H6263" s="16" t="str">
        <f>IF(ISBLANK(PARTIDAS!$G6263),PARTIDAS!$F6263,CONCATENATE(PARTIDAS!$F6263," (",PARTIDAS!$G6263,")"))</f>
        <v>Aparatos, dispositivos o equipos de laboratorio, aunque se calienten e (los demás)</v>
      </c>
      <c r="I6263" s="16" t="s">
        <v>9648</v>
      </c>
    </row>
    <row r="6264" spans="1:9" x14ac:dyDescent="0.25">
      <c r="A6264" s="16" t="s">
        <v>7203</v>
      </c>
      <c r="B6264" s="16" t="str">
        <f>TEXT(PARTIDA[[#This Row],[PARTIDA]],"0000000000")</f>
        <v>8419400000</v>
      </c>
      <c r="C6264" s="16" t="s">
        <v>860</v>
      </c>
      <c r="D6264" s="16" t="s">
        <v>873</v>
      </c>
      <c r="E6264" s="16" t="s">
        <v>9480</v>
      </c>
      <c r="F6264" s="27" t="s">
        <v>14562</v>
      </c>
      <c r="G6264" s="27"/>
      <c r="H6264" s="16" t="str">
        <f>IF(ISBLANK(PARTIDAS!$G6264),PARTIDAS!$F6264,CONCATENATE(PARTIDAS!$F6264," (",PARTIDAS!$G6264,")"))</f>
        <v>Aparatos de destilación o rectificación</v>
      </c>
      <c r="I6264" s="16" t="s">
        <v>9427</v>
      </c>
    </row>
    <row r="6265" spans="1:9" x14ac:dyDescent="0.25">
      <c r="A6265" s="16" t="s">
        <v>7204</v>
      </c>
      <c r="B6265" s="16" t="str">
        <f>TEXT(PARTIDA[[#This Row],[PARTIDA]],"0000000000")</f>
        <v>8419501000</v>
      </c>
      <c r="C6265" s="16" t="s">
        <v>860</v>
      </c>
      <c r="D6265" s="16" t="s">
        <v>873</v>
      </c>
      <c r="E6265" s="16" t="s">
        <v>9480</v>
      </c>
      <c r="F6265" s="27" t="s">
        <v>14563</v>
      </c>
      <c r="G6265" s="27"/>
      <c r="H6265" s="16" t="str">
        <f>IF(ISBLANK(PARTIDAS!$G6265),PARTIDAS!$F6265,CONCATENATE(PARTIDAS!$F6265," (",PARTIDAS!$G6265,")"))</f>
        <v>Intercambiadores de calor, pasteurizadores</v>
      </c>
      <c r="I6265" s="16" t="s">
        <v>9427</v>
      </c>
    </row>
    <row r="6266" spans="1:9" x14ac:dyDescent="0.25">
      <c r="A6266" s="16" t="s">
        <v>7205</v>
      </c>
      <c r="B6266" s="16" t="str">
        <f>TEXT(PARTIDA[[#This Row],[PARTIDA]],"0000000000")</f>
        <v>8419509000</v>
      </c>
      <c r="C6266" s="16" t="s">
        <v>860</v>
      </c>
      <c r="D6266" s="16" t="s">
        <v>873</v>
      </c>
      <c r="E6266" s="16" t="s">
        <v>9480</v>
      </c>
      <c r="F6266" s="27" t="s">
        <v>14564</v>
      </c>
      <c r="G6266" s="27"/>
      <c r="H6266" s="16" t="str">
        <f>IF(ISBLANK(PARTIDAS!$G6266),PARTIDAS!$F6266,CONCATENATE(PARTIDAS!$F6266," (",PARTIDAS!$G6266,")"))</f>
        <v>Intercambiadores de calor (los demás)</v>
      </c>
      <c r="I6266" s="16" t="s">
        <v>9427</v>
      </c>
    </row>
    <row r="6267" spans="1:9" x14ac:dyDescent="0.25">
      <c r="A6267" s="16" t="s">
        <v>7206</v>
      </c>
      <c r="B6267" s="16" t="str">
        <f>TEXT(PARTIDA[[#This Row],[PARTIDA]],"0000000000")</f>
        <v>8419600000</v>
      </c>
      <c r="C6267" s="16" t="s">
        <v>860</v>
      </c>
      <c r="D6267" s="16" t="s">
        <v>873</v>
      </c>
      <c r="E6267" s="16" t="s">
        <v>9480</v>
      </c>
      <c r="F6267" s="27" t="s">
        <v>14565</v>
      </c>
      <c r="G6267" s="27"/>
      <c r="H6267" s="16" t="str">
        <f>IF(ISBLANK(PARTIDAS!$G6267),PARTIDAS!$F6267,CONCATENATE(PARTIDAS!$F6267," (",PARTIDAS!$G6267,")"))</f>
        <v>Aparatos y dispositivos para licuefacción de aire u otros gases</v>
      </c>
      <c r="I6267" s="16" t="s">
        <v>9427</v>
      </c>
    </row>
    <row r="6268" spans="1:9" x14ac:dyDescent="0.25">
      <c r="A6268" s="16" t="s">
        <v>7207</v>
      </c>
      <c r="B6268" s="16" t="str">
        <f>TEXT(PARTIDA[[#This Row],[PARTIDA]],"0000000000")</f>
        <v>8419810000</v>
      </c>
      <c r="C6268" s="16" t="s">
        <v>860</v>
      </c>
      <c r="D6268" s="16" t="s">
        <v>873</v>
      </c>
      <c r="E6268" s="16" t="s">
        <v>9480</v>
      </c>
      <c r="F6268" s="27" t="s">
        <v>7208</v>
      </c>
      <c r="G6268" s="27"/>
      <c r="H6268" s="16" t="str">
        <f>IF(ISBLANK(PARTIDAS!$G6268),PARTIDAS!$F6268,CONCATENATE(PARTIDAS!$F6268," (",PARTIDAS!$G6268,")"))</f>
        <v>Máquinas cafeteras</v>
      </c>
      <c r="I6268" s="16" t="s">
        <v>9427</v>
      </c>
    </row>
    <row r="6269" spans="1:9" x14ac:dyDescent="0.25">
      <c r="A6269" s="16" t="s">
        <v>7209</v>
      </c>
      <c r="B6269" s="16" t="str">
        <f>TEXT(PARTIDA[[#This Row],[PARTIDA]],"0000000000")</f>
        <v>8419891000</v>
      </c>
      <c r="C6269" s="16" t="s">
        <v>860</v>
      </c>
      <c r="D6269" s="16" t="s">
        <v>873</v>
      </c>
      <c r="E6269" s="16" t="s">
        <v>9480</v>
      </c>
      <c r="F6269" s="27" t="s">
        <v>7210</v>
      </c>
      <c r="G6269" s="27"/>
      <c r="H6269" s="16" t="str">
        <f>IF(ISBLANK(PARTIDAS!$G6269),PARTIDAS!$F6269,CONCATENATE(PARTIDAS!$F6269," (",PARTIDAS!$G6269,")"))</f>
        <v>Autoclaves</v>
      </c>
      <c r="I6269" s="16" t="s">
        <v>9427</v>
      </c>
    </row>
    <row r="6270" spans="1:9" x14ac:dyDescent="0.25">
      <c r="A6270" s="16" t="s">
        <v>7211</v>
      </c>
      <c r="B6270" s="16" t="str">
        <f>TEXT(PARTIDA[[#This Row],[PARTIDA]],"0000000000")</f>
        <v>8419899100</v>
      </c>
      <c r="C6270" s="16" t="s">
        <v>860</v>
      </c>
      <c r="D6270" s="16" t="s">
        <v>873</v>
      </c>
      <c r="E6270" s="16" t="s">
        <v>9480</v>
      </c>
      <c r="F6270" s="27" t="s">
        <v>14566</v>
      </c>
      <c r="G6270" s="27"/>
      <c r="H6270" s="16" t="str">
        <f>IF(ISBLANK(PARTIDAS!$G6270),PARTIDAS!$F6270,CONCATENATE(PARTIDAS!$F6270," (",PARTIDAS!$G6270,")"))</f>
        <v>Aparatos, dispositivos o equipos de laboratorio, aunque se calienten…, de evaporación</v>
      </c>
      <c r="I6270" s="16" t="s">
        <v>9427</v>
      </c>
    </row>
    <row r="6271" spans="1:9" x14ac:dyDescent="0.25">
      <c r="A6271" s="16" t="s">
        <v>7212</v>
      </c>
      <c r="B6271" s="16" t="str">
        <f>TEXT(PARTIDA[[#This Row],[PARTIDA]],"0000000000")</f>
        <v>8419899200</v>
      </c>
      <c r="C6271" s="16" t="s">
        <v>860</v>
      </c>
      <c r="D6271" s="16" t="s">
        <v>873</v>
      </c>
      <c r="E6271" s="16" t="s">
        <v>9480</v>
      </c>
      <c r="F6271" s="27" t="s">
        <v>14567</v>
      </c>
      <c r="G6271" s="27"/>
      <c r="H6271" s="16" t="str">
        <f>IF(ISBLANK(PARTIDAS!$G6271),PARTIDAS!$F6271,CONCATENATE(PARTIDAS!$F6271," (",PARTIDAS!$G6271,")"))</f>
        <v>Aparatos, dispositivos o equipos de laboratorio, aunque se calienten…, de torrefacción</v>
      </c>
      <c r="I6271" s="16" t="s">
        <v>9427</v>
      </c>
    </row>
    <row r="6272" spans="1:9" x14ac:dyDescent="0.25">
      <c r="A6272" s="16" t="s">
        <v>7213</v>
      </c>
      <c r="B6272" s="16" t="str">
        <f>TEXT(PARTIDA[[#This Row],[PARTIDA]],"0000000000")</f>
        <v>8419899300</v>
      </c>
      <c r="C6272" s="16" t="s">
        <v>860</v>
      </c>
      <c r="D6272" s="16" t="s">
        <v>873</v>
      </c>
      <c r="E6272" s="16" t="s">
        <v>9480</v>
      </c>
      <c r="F6272" s="27" t="s">
        <v>14568</v>
      </c>
      <c r="G6272" s="27"/>
      <c r="H6272" s="16" t="str">
        <f>IF(ISBLANK(PARTIDAS!$G6272),PARTIDAS!$F6272,CONCATENATE(PARTIDAS!$F6272," (",PARTIDAS!$G6272,")"))</f>
        <v>Aparatos, dispositivos o equipos de laboratorio, aunque se calienten…, de esterilización</v>
      </c>
      <c r="I6272" s="16" t="s">
        <v>9427</v>
      </c>
    </row>
    <row r="6273" spans="1:9" x14ac:dyDescent="0.25">
      <c r="A6273" s="16" t="s">
        <v>7214</v>
      </c>
      <c r="B6273" s="16" t="str">
        <f>TEXT(PARTIDA[[#This Row],[PARTIDA]],"0000000000")</f>
        <v>8419899900</v>
      </c>
      <c r="C6273" s="16" t="s">
        <v>860</v>
      </c>
      <c r="D6273" s="16" t="s">
        <v>873</v>
      </c>
      <c r="E6273" s="16" t="s">
        <v>9480</v>
      </c>
      <c r="F6273" s="27" t="s">
        <v>14569</v>
      </c>
      <c r="G6273" s="27"/>
      <c r="H6273" s="16" t="str">
        <f>IF(ISBLANK(PARTIDAS!$G6273),PARTIDAS!$F6273,CONCATENATE(PARTIDAS!$F6273," (",PARTIDAS!$G6273,")"))</f>
        <v>Aparatos, dispositivos o equipos de laboratorio, aunque se calienten… (los demás)</v>
      </c>
      <c r="I6273" s="16" t="s">
        <v>9427</v>
      </c>
    </row>
    <row r="6274" spans="1:9" x14ac:dyDescent="0.25">
      <c r="A6274" s="16" t="s">
        <v>7215</v>
      </c>
      <c r="B6274" s="16" t="str">
        <f>TEXT(PARTIDA[[#This Row],[PARTIDA]],"0000000000")</f>
        <v>8419901000</v>
      </c>
      <c r="C6274" s="16" t="s">
        <v>860</v>
      </c>
      <c r="D6274" s="16" t="s">
        <v>873</v>
      </c>
      <c r="E6274" s="16" t="s">
        <v>9480</v>
      </c>
      <c r="F6274" s="27" t="s">
        <v>14570</v>
      </c>
      <c r="G6274" s="27"/>
      <c r="H6274" s="16" t="str">
        <f>IF(ISBLANK(PARTIDAS!$G6274),PARTIDAS!$F6274,CONCATENATE(PARTIDAS!$F6274," (",PARTIDAS!$G6274,")"))</f>
        <v>Aparatos, dispositivos o equipos de laboratorio…, partes, de calentadores de agua</v>
      </c>
      <c r="I6274" s="16" t="s">
        <v>9427</v>
      </c>
    </row>
    <row r="6275" spans="1:9" x14ac:dyDescent="0.25">
      <c r="A6275" s="16" t="s">
        <v>7216</v>
      </c>
      <c r="B6275" s="16" t="str">
        <f>TEXT(PARTIDA[[#This Row],[PARTIDA]],"0000000000")</f>
        <v>8419909000</v>
      </c>
      <c r="C6275" s="16" t="s">
        <v>860</v>
      </c>
      <c r="D6275" s="16" t="s">
        <v>873</v>
      </c>
      <c r="E6275" s="16" t="s">
        <v>9480</v>
      </c>
      <c r="F6275" s="27" t="s">
        <v>9153</v>
      </c>
      <c r="G6275" s="27"/>
      <c r="H6275" s="16" t="str">
        <f>IF(ISBLANK(PARTIDAS!$G6275),PARTIDAS!$F6275,CONCATENATE(PARTIDAS!$F6275," (",PARTIDAS!$G6275,")"))</f>
        <v>Aparatos, dispositivos o equipos de laboratorio…, partes (los demás)</v>
      </c>
      <c r="I6275" s="16" t="s">
        <v>9477</v>
      </c>
    </row>
    <row r="6276" spans="1:9" x14ac:dyDescent="0.25">
      <c r="A6276" s="16" t="s">
        <v>7217</v>
      </c>
      <c r="B6276" s="16" t="str">
        <f>TEXT(PARTIDA[[#This Row],[PARTIDA]],"0000000000")</f>
        <v>8420101000</v>
      </c>
      <c r="C6276" s="16" t="s">
        <v>860</v>
      </c>
      <c r="D6276" s="16" t="s">
        <v>873</v>
      </c>
      <c r="E6276" s="16" t="s">
        <v>9480</v>
      </c>
      <c r="F6276" s="27" t="s">
        <v>14571</v>
      </c>
      <c r="G6276" s="27"/>
      <c r="H6276" s="16" t="str">
        <f>IF(ISBLANK(PARTIDAS!$G6276),PARTIDAS!$F6276,CONCATENATE(PARTIDAS!$F6276," (",PARTIDAS!$G6276,")"))</f>
        <v>Calandrias y laminadores, para las industrias panadera, pastelera y galletera</v>
      </c>
      <c r="I6276" s="16" t="s">
        <v>9427</v>
      </c>
    </row>
    <row r="6277" spans="1:9" x14ac:dyDescent="0.25">
      <c r="A6277" s="16" t="s">
        <v>7218</v>
      </c>
      <c r="B6277" s="16" t="str">
        <f>TEXT(PARTIDA[[#This Row],[PARTIDA]],"0000000000")</f>
        <v>8420109000</v>
      </c>
      <c r="C6277" s="16" t="s">
        <v>860</v>
      </c>
      <c r="D6277" s="16" t="s">
        <v>873</v>
      </c>
      <c r="E6277" s="16" t="s">
        <v>9480</v>
      </c>
      <c r="F6277" s="27" t="s">
        <v>14572</v>
      </c>
      <c r="G6277" s="27"/>
      <c r="H6277" s="16" t="str">
        <f>IF(ISBLANK(PARTIDAS!$G6277),PARTIDAS!$F6277,CONCATENATE(PARTIDAS!$F6277," (",PARTIDAS!$G6277,")"))</f>
        <v>Calandrias y laminadores (los demás)</v>
      </c>
      <c r="I6277" s="16" t="s">
        <v>9427</v>
      </c>
    </row>
    <row r="6278" spans="1:9" x14ac:dyDescent="0.25">
      <c r="A6278" s="16" t="s">
        <v>7219</v>
      </c>
      <c r="B6278" s="16" t="str">
        <f>TEXT(PARTIDA[[#This Row],[PARTIDA]],"0000000000")</f>
        <v>8420910000</v>
      </c>
      <c r="C6278" s="16" t="s">
        <v>860</v>
      </c>
      <c r="D6278" s="16" t="s">
        <v>873</v>
      </c>
      <c r="E6278" s="16" t="s">
        <v>9480</v>
      </c>
      <c r="F6278" s="27" t="s">
        <v>14573</v>
      </c>
      <c r="G6278" s="27"/>
      <c r="H6278" s="16" t="str">
        <f>IF(ISBLANK(PARTIDAS!$G6278),PARTIDAS!$F6278,CONCATENATE(PARTIDAS!$F6278," (",PARTIDAS!$G6278,")"))</f>
        <v>Calandrias y laminadores, partes, cilindros</v>
      </c>
      <c r="I6278" s="16" t="s">
        <v>9427</v>
      </c>
    </row>
    <row r="6279" spans="1:9" x14ac:dyDescent="0.25">
      <c r="A6279" s="16" t="s">
        <v>7220</v>
      </c>
      <c r="B6279" s="16" t="str">
        <f>TEXT(PARTIDA[[#This Row],[PARTIDA]],"0000000000")</f>
        <v>8420990000</v>
      </c>
      <c r="C6279" s="16" t="s">
        <v>860</v>
      </c>
      <c r="D6279" s="16" t="s">
        <v>873</v>
      </c>
      <c r="E6279" s="16" t="s">
        <v>9480</v>
      </c>
      <c r="F6279" s="27" t="s">
        <v>14574</v>
      </c>
      <c r="G6279" s="27"/>
      <c r="H6279" s="16" t="str">
        <f>IF(ISBLANK(PARTIDAS!$G6279),PARTIDAS!$F6279,CONCATENATE(PARTIDAS!$F6279," (",PARTIDAS!$G6279,")"))</f>
        <v>Calandrias y laminadores, partes (los demás)</v>
      </c>
      <c r="I6279" s="16" t="s">
        <v>9427</v>
      </c>
    </row>
    <row r="6280" spans="1:9" x14ac:dyDescent="0.25">
      <c r="A6280" s="16" t="s">
        <v>7221</v>
      </c>
      <c r="B6280" s="16" t="str">
        <f>TEXT(PARTIDA[[#This Row],[PARTIDA]],"0000000000")</f>
        <v>8421110000</v>
      </c>
      <c r="C6280" s="16" t="s">
        <v>860</v>
      </c>
      <c r="D6280" s="16" t="s">
        <v>873</v>
      </c>
      <c r="E6280" s="16" t="s">
        <v>9480</v>
      </c>
      <c r="F6280" s="27" t="s">
        <v>14575</v>
      </c>
      <c r="G6280" s="27"/>
      <c r="H6280" s="16" t="str">
        <f>IF(ISBLANK(PARTIDAS!$G6280),PARTIDAS!$F6280,CONCATENATE(PARTIDAS!$F6280," (",PARTIDAS!$G6280,")"))</f>
        <v>Desnatadoras (descremadoras)</v>
      </c>
      <c r="I6280" s="16" t="s">
        <v>9427</v>
      </c>
    </row>
    <row r="6281" spans="1:9" x14ac:dyDescent="0.25">
      <c r="A6281" s="16" t="s">
        <v>7222</v>
      </c>
      <c r="B6281" s="16" t="str">
        <f>TEXT(PARTIDA[[#This Row],[PARTIDA]],"0000000000")</f>
        <v>8421120000</v>
      </c>
      <c r="C6281" s="16" t="s">
        <v>860</v>
      </c>
      <c r="D6281" s="16" t="s">
        <v>873</v>
      </c>
      <c r="E6281" s="16" t="s">
        <v>9480</v>
      </c>
      <c r="F6281" s="27" t="s">
        <v>14576</v>
      </c>
      <c r="G6281" s="27"/>
      <c r="H6281" s="16" t="str">
        <f>IF(ISBLANK(PARTIDAS!$G6281),PARTIDAS!$F6281,CONCATENATE(PARTIDAS!$F6281," (",PARTIDAS!$G6281,")"))</f>
        <v>Secadoras de ropa</v>
      </c>
      <c r="I6281" s="16" t="s">
        <v>9427</v>
      </c>
    </row>
    <row r="6282" spans="1:9" x14ac:dyDescent="0.25">
      <c r="A6282" s="16" t="s">
        <v>7223</v>
      </c>
      <c r="B6282" s="16" t="str">
        <f>TEXT(PARTIDA[[#This Row],[PARTIDA]],"0000000000")</f>
        <v>8421191000</v>
      </c>
      <c r="C6282" s="16" t="s">
        <v>860</v>
      </c>
      <c r="D6282" s="16" t="s">
        <v>873</v>
      </c>
      <c r="E6282" s="16" t="s">
        <v>9480</v>
      </c>
      <c r="F6282" s="27" t="s">
        <v>14577</v>
      </c>
      <c r="G6282" s="27"/>
      <c r="H6282" s="16" t="str">
        <f>IF(ISBLANK(PARTIDAS!$G6282),PARTIDAS!$F6282,CONCATENATE(PARTIDAS!$F6282," (",PARTIDAS!$G6282,")"))</f>
        <v>Centrifugadoras, incluidas las secadoras centrífugas, de laboratorio</v>
      </c>
      <c r="I6282" s="16" t="s">
        <v>9427</v>
      </c>
    </row>
    <row r="6283" spans="1:9" x14ac:dyDescent="0.25">
      <c r="A6283" s="16" t="s">
        <v>7224</v>
      </c>
      <c r="B6283" s="16" t="str">
        <f>TEXT(PARTIDA[[#This Row],[PARTIDA]],"0000000000")</f>
        <v>8421192000</v>
      </c>
      <c r="C6283" s="16" t="s">
        <v>860</v>
      </c>
      <c r="D6283" s="16" t="s">
        <v>873</v>
      </c>
      <c r="E6283" s="16" t="s">
        <v>9480</v>
      </c>
      <c r="F6283" s="27" t="s">
        <v>14578</v>
      </c>
      <c r="G6283" s="27"/>
      <c r="H6283" s="16" t="str">
        <f>IF(ISBLANK(PARTIDAS!$G6283),PARTIDAS!$F6283,CONCATENATE(PARTIDAS!$F6283," (",PARTIDAS!$G6283,")"))</f>
        <v>Centrifugadoras, incluidas las secadoras centrífugas, para la industria de producción de azúcar</v>
      </c>
      <c r="I6283" s="16" t="s">
        <v>9427</v>
      </c>
    </row>
    <row r="6284" spans="1:9" x14ac:dyDescent="0.25">
      <c r="A6284" s="16" t="s">
        <v>7225</v>
      </c>
      <c r="B6284" s="16" t="str">
        <f>TEXT(PARTIDA[[#This Row],[PARTIDA]],"0000000000")</f>
        <v>8421193000</v>
      </c>
      <c r="C6284" s="16" t="s">
        <v>860</v>
      </c>
      <c r="D6284" s="16" t="s">
        <v>873</v>
      </c>
      <c r="E6284" s="16" t="s">
        <v>9480</v>
      </c>
      <c r="F6284" s="27" t="s">
        <v>14579</v>
      </c>
      <c r="G6284" s="27"/>
      <c r="H6284" s="16" t="str">
        <f>IF(ISBLANK(PARTIDAS!$G6284),PARTIDAS!$F6284,CONCATENATE(PARTIDAS!$F6284," (",PARTIDAS!$G6284,")"))</f>
        <v>Centrifugadoras, incluidas las secadoras centrífugas, para la industria de papel y celulosa</v>
      </c>
      <c r="I6284" s="16" t="s">
        <v>9427</v>
      </c>
    </row>
    <row r="6285" spans="1:9" x14ac:dyDescent="0.25">
      <c r="A6285" s="16" t="s">
        <v>7226</v>
      </c>
      <c r="B6285" s="16" t="str">
        <f>TEXT(PARTIDA[[#This Row],[PARTIDA]],"0000000000")</f>
        <v>8421199000</v>
      </c>
      <c r="C6285" s="16" t="s">
        <v>860</v>
      </c>
      <c r="D6285" s="16" t="s">
        <v>873</v>
      </c>
      <c r="E6285" s="16" t="s">
        <v>9480</v>
      </c>
      <c r="F6285" s="27" t="s">
        <v>7227</v>
      </c>
      <c r="G6285" s="27"/>
      <c r="H6285" s="16" t="str">
        <f>IF(ISBLANK(PARTIDAS!$G6285),PARTIDAS!$F6285,CONCATENATE(PARTIDAS!$F6285," (",PARTIDAS!$G6285,")"))</f>
        <v>Filtros</v>
      </c>
      <c r="I6285" s="16" t="s">
        <v>9427</v>
      </c>
    </row>
    <row r="6286" spans="1:9" x14ac:dyDescent="0.25">
      <c r="A6286" s="16" t="s">
        <v>7228</v>
      </c>
      <c r="B6286" s="16" t="str">
        <f>TEXT(PARTIDA[[#This Row],[PARTIDA]],"0000000000")</f>
        <v>8421211000</v>
      </c>
      <c r="C6286" s="16" t="s">
        <v>860</v>
      </c>
      <c r="D6286" s="16" t="s">
        <v>873</v>
      </c>
      <c r="E6286" s="16" t="s">
        <v>9480</v>
      </c>
      <c r="F6286" s="27" t="s">
        <v>14580</v>
      </c>
      <c r="G6286" s="27"/>
      <c r="H6286" s="16" t="str">
        <f>IF(ISBLANK(PARTIDAS!$G6286),PARTIDAS!$F6286,CONCATENATE(PARTIDAS!$F6286," (",PARTIDAS!$G6286,")"))</f>
        <v>Aparatos para filtrar o depurar líquidos, para filtrar o depurar agua, domésticos</v>
      </c>
      <c r="I6286" s="16" t="s">
        <v>9427</v>
      </c>
    </row>
    <row r="6287" spans="1:9" x14ac:dyDescent="0.25">
      <c r="A6287" s="16" t="s">
        <v>7229</v>
      </c>
      <c r="B6287" s="16" t="str">
        <f>TEXT(PARTIDA[[#This Row],[PARTIDA]],"0000000000")</f>
        <v>8421219000</v>
      </c>
      <c r="C6287" s="16" t="s">
        <v>860</v>
      </c>
      <c r="D6287" s="16" t="s">
        <v>873</v>
      </c>
      <c r="E6287" s="16" t="s">
        <v>9480</v>
      </c>
      <c r="F6287" s="27" t="s">
        <v>7227</v>
      </c>
      <c r="G6287" s="27"/>
      <c r="H6287" s="16" t="str">
        <f>IF(ISBLANK(PARTIDAS!$G6287),PARTIDAS!$F6287,CONCATENATE(PARTIDAS!$F6287," (",PARTIDAS!$G6287,")"))</f>
        <v>Filtros</v>
      </c>
      <c r="I6287" s="16" t="s">
        <v>9427</v>
      </c>
    </row>
    <row r="6288" spans="1:9" x14ac:dyDescent="0.25">
      <c r="A6288" s="16" t="s">
        <v>7230</v>
      </c>
      <c r="B6288" s="16" t="str">
        <f>TEXT(PARTIDA[[#This Row],[PARTIDA]],"0000000000")</f>
        <v>8421220000</v>
      </c>
      <c r="C6288" s="16" t="s">
        <v>860</v>
      </c>
      <c r="D6288" s="16" t="s">
        <v>873</v>
      </c>
      <c r="E6288" s="16" t="s">
        <v>9480</v>
      </c>
      <c r="F6288" s="27" t="s">
        <v>14581</v>
      </c>
      <c r="G6288" s="27"/>
      <c r="H6288" s="16" t="str">
        <f>IF(ISBLANK(PARTIDAS!$G6288),PARTIDAS!$F6288,CONCATENATE(PARTIDAS!$F6288," (",PARTIDAS!$G6288,")"))</f>
        <v>Aparatos para filtrar o depurar líquidos, para filtrar o depurar las demás bebidas</v>
      </c>
      <c r="I6288" s="16" t="s">
        <v>9427</v>
      </c>
    </row>
    <row r="6289" spans="1:9" x14ac:dyDescent="0.25">
      <c r="A6289" s="16" t="s">
        <v>7231</v>
      </c>
      <c r="B6289" s="16" t="str">
        <f>TEXT(PARTIDA[[#This Row],[PARTIDA]],"0000000000")</f>
        <v>8421230000</v>
      </c>
      <c r="C6289" s="16" t="s">
        <v>860</v>
      </c>
      <c r="D6289" s="16" t="s">
        <v>873</v>
      </c>
      <c r="E6289" s="16" t="s">
        <v>9480</v>
      </c>
      <c r="F6289" s="27" t="s">
        <v>7227</v>
      </c>
      <c r="G6289" s="27"/>
      <c r="H6289" s="16" t="str">
        <f>IF(ISBLANK(PARTIDAS!$G6289),PARTIDAS!$F6289,CONCATENATE(PARTIDAS!$F6289," (",PARTIDAS!$G6289,")"))</f>
        <v>Filtros</v>
      </c>
      <c r="I6289" s="16" t="s">
        <v>9427</v>
      </c>
    </row>
    <row r="6290" spans="1:9" x14ac:dyDescent="0.25">
      <c r="A6290" s="16" t="s">
        <v>7232</v>
      </c>
      <c r="B6290" s="16" t="str">
        <f>TEXT(PARTIDA[[#This Row],[PARTIDA]],"0000000000")</f>
        <v>8421291000</v>
      </c>
      <c r="C6290" s="16" t="s">
        <v>860</v>
      </c>
      <c r="D6290" s="16" t="s">
        <v>873</v>
      </c>
      <c r="E6290" s="16" t="s">
        <v>9480</v>
      </c>
      <c r="F6290" s="27" t="s">
        <v>14582</v>
      </c>
      <c r="G6290" s="27"/>
      <c r="H6290" s="16" t="str">
        <f>IF(ISBLANK(PARTIDAS!$G6290),PARTIDAS!$F6290,CONCATENATE(PARTIDAS!$F6290," (",PARTIDAS!$G6290,")"))</f>
        <v>Filtros prensa</v>
      </c>
      <c r="I6290" s="16" t="s">
        <v>9427</v>
      </c>
    </row>
    <row r="6291" spans="1:9" x14ac:dyDescent="0.25">
      <c r="A6291" s="16" t="s">
        <v>7233</v>
      </c>
      <c r="B6291" s="16" t="str">
        <f>TEXT(PARTIDA[[#This Row],[PARTIDA]],"0000000000")</f>
        <v>8421292000</v>
      </c>
      <c r="C6291" s="16" t="s">
        <v>860</v>
      </c>
      <c r="D6291" s="16" t="s">
        <v>873</v>
      </c>
      <c r="E6291" s="16" t="s">
        <v>9480</v>
      </c>
      <c r="F6291" s="27" t="s">
        <v>14583</v>
      </c>
      <c r="G6291" s="27"/>
      <c r="H6291" s="16" t="str">
        <f>IF(ISBLANK(PARTIDAS!$G6291),PARTIDAS!$F6291,CONCATENATE(PARTIDAS!$F6291," (",PARTIDAS!$G6291,")"))</f>
        <v>Filtros magnéticos y electromagnéticos</v>
      </c>
      <c r="I6291" s="16" t="s">
        <v>9427</v>
      </c>
    </row>
    <row r="6292" spans="1:9" x14ac:dyDescent="0.25">
      <c r="A6292" s="16" t="s">
        <v>7234</v>
      </c>
      <c r="B6292" s="16" t="str">
        <f>TEXT(PARTIDA[[#This Row],[PARTIDA]],"0000000000")</f>
        <v>8421293000</v>
      </c>
      <c r="C6292" s="16" t="s">
        <v>860</v>
      </c>
      <c r="D6292" s="16" t="s">
        <v>873</v>
      </c>
      <c r="E6292" s="16" t="s">
        <v>9480</v>
      </c>
      <c r="F6292" s="27" t="s">
        <v>14584</v>
      </c>
      <c r="G6292" s="27"/>
      <c r="H6292" s="16" t="str">
        <f>IF(ISBLANK(PARTIDAS!$G6292),PARTIDAS!$F6292,CONCATENATE(PARTIDAS!$F6292," (",PARTIDAS!$G6292,")"))</f>
        <v>Filtros concebidos exclusiva o principalmente para equipar aparatos médicos de la partida 90.18</v>
      </c>
      <c r="I6292" s="16" t="s">
        <v>9427</v>
      </c>
    </row>
    <row r="6293" spans="1:9" x14ac:dyDescent="0.25">
      <c r="A6293" s="16" t="s">
        <v>7235</v>
      </c>
      <c r="B6293" s="16" t="str">
        <f>TEXT(PARTIDA[[#This Row],[PARTIDA]],"0000000000")</f>
        <v>8421294000</v>
      </c>
      <c r="C6293" s="16" t="s">
        <v>860</v>
      </c>
      <c r="D6293" s="16" t="s">
        <v>873</v>
      </c>
      <c r="E6293" s="16" t="s">
        <v>9480</v>
      </c>
      <c r="F6293" s="27" t="s">
        <v>14585</v>
      </c>
      <c r="G6293" s="27"/>
      <c r="H6293" s="16" t="str">
        <f>IF(ISBLANK(PARTIDAS!$G6293),PARTIDAS!$F6293,CONCATENATE(PARTIDAS!$F6293," (",PARTIDAS!$G6293,")"))</f>
        <v>Filtros tubulares de rejilla para pozos de extracción</v>
      </c>
      <c r="I6293" s="16" t="s">
        <v>9427</v>
      </c>
    </row>
    <row r="6294" spans="1:9" x14ac:dyDescent="0.25">
      <c r="A6294" s="16" t="s">
        <v>7236</v>
      </c>
      <c r="B6294" s="16" t="str">
        <f>TEXT(PARTIDA[[#This Row],[PARTIDA]],"0000000000")</f>
        <v>8421299000</v>
      </c>
      <c r="C6294" s="16" t="s">
        <v>860</v>
      </c>
      <c r="D6294" s="16" t="s">
        <v>873</v>
      </c>
      <c r="E6294" s="16" t="s">
        <v>9480</v>
      </c>
      <c r="F6294" s="27" t="s">
        <v>7227</v>
      </c>
      <c r="G6294" s="27"/>
      <c r="H6294" s="16" t="str">
        <f>IF(ISBLANK(PARTIDAS!$G6294),PARTIDAS!$F6294,CONCATENATE(PARTIDAS!$F6294," (",PARTIDAS!$G6294,")"))</f>
        <v>Filtros</v>
      </c>
      <c r="I6294" s="16" t="s">
        <v>9427</v>
      </c>
    </row>
    <row r="6295" spans="1:9" x14ac:dyDescent="0.25">
      <c r="A6295" s="16" t="s">
        <v>7237</v>
      </c>
      <c r="B6295" s="16" t="str">
        <f>TEXT(PARTIDA[[#This Row],[PARTIDA]],"0000000000")</f>
        <v>8421310000</v>
      </c>
      <c r="C6295" s="16" t="s">
        <v>860</v>
      </c>
      <c r="D6295" s="16" t="s">
        <v>873</v>
      </c>
      <c r="E6295" s="16" t="s">
        <v>9480</v>
      </c>
      <c r="F6295" s="27" t="s">
        <v>14586</v>
      </c>
      <c r="G6295" s="27"/>
      <c r="H6295" s="16" t="str">
        <f>IF(ISBLANK(PARTIDAS!$G6295),PARTIDAS!$F6295,CONCATENATE(PARTIDAS!$F6295," (",PARTIDAS!$G6295,")"))</f>
        <v>Filtros de entrada de aire para motores de encendido por chispa o compresión</v>
      </c>
      <c r="I6295" s="16" t="s">
        <v>9427</v>
      </c>
    </row>
    <row r="6296" spans="1:9" x14ac:dyDescent="0.25">
      <c r="A6296" s="16" t="s">
        <v>14587</v>
      </c>
      <c r="B6296" s="16" t="str">
        <f>TEXT(PARTIDA[[#This Row],[PARTIDA]],"0000000000")</f>
        <v>8421320000</v>
      </c>
      <c r="C6296" s="16" t="s">
        <v>860</v>
      </c>
      <c r="D6296" s="16" t="s">
        <v>873</v>
      </c>
      <c r="E6296" s="16" t="s">
        <v>9480</v>
      </c>
      <c r="F6296" s="27" t="s">
        <v>14588</v>
      </c>
      <c r="G6296" s="27"/>
      <c r="H6296" s="16" t="str">
        <f>IF(ISBLANK(PARTIDAS!$G6296),PARTIDAS!$F6296,CONCATENATE(PARTIDAS!$F6296," (",PARTIDAS!$G6296,")"))</f>
        <v>Convertidores catalíticos y filtros de partículas, incluso combinados, para purificar o filtrar gases de escape de motores de encendido por chispa o c</v>
      </c>
      <c r="I6296" s="16" t="s">
        <v>9427</v>
      </c>
    </row>
    <row r="6297" spans="1:9" x14ac:dyDescent="0.25">
      <c r="A6297" s="16" t="s">
        <v>7238</v>
      </c>
      <c r="B6297" s="16" t="str">
        <f>TEXT(PARTIDA[[#This Row],[PARTIDA]],"0000000000")</f>
        <v>8421391000</v>
      </c>
      <c r="C6297" s="16" t="s">
        <v>860</v>
      </c>
      <c r="D6297" s="16" t="s">
        <v>873</v>
      </c>
      <c r="E6297" s="16" t="s">
        <v>9480</v>
      </c>
      <c r="F6297" s="27" t="s">
        <v>14589</v>
      </c>
      <c r="G6297" s="27"/>
      <c r="H6297" s="16" t="str">
        <f>IF(ISBLANK(PARTIDAS!$G6297),PARTIDAS!$F6297,CONCATENATE(PARTIDAS!$F6297," (",PARTIDAS!$G6297,")"))</f>
        <v>Depuradores llamados ciclones</v>
      </c>
      <c r="I6297" s="16" t="s">
        <v>9427</v>
      </c>
    </row>
    <row r="6298" spans="1:9" x14ac:dyDescent="0.25">
      <c r="A6298" s="16" t="s">
        <v>7239</v>
      </c>
      <c r="B6298" s="16" t="str">
        <f>TEXT(PARTIDA[[#This Row],[PARTIDA]],"0000000000")</f>
        <v>8421392000</v>
      </c>
      <c r="C6298" s="16" t="s">
        <v>860</v>
      </c>
      <c r="D6298" s="16" t="s">
        <v>873</v>
      </c>
      <c r="E6298" s="16" t="s">
        <v>9480</v>
      </c>
      <c r="F6298" s="27" t="s">
        <v>14590</v>
      </c>
      <c r="G6298" s="27"/>
      <c r="H6298" s="16" t="str">
        <f>IF(ISBLANK(PARTIDAS!$G6298),PARTIDAS!$F6298,CONCATENATE(PARTIDAS!$F6298," (",PARTIDAS!$G6298,")"))</f>
        <v>Filtros electrostáticos de aire u otros gases</v>
      </c>
      <c r="I6298" s="16" t="s">
        <v>9427</v>
      </c>
    </row>
    <row r="6299" spans="1:9" x14ac:dyDescent="0.25">
      <c r="A6299" s="16" t="s">
        <v>7240</v>
      </c>
      <c r="B6299" s="16" t="str">
        <f>TEXT(PARTIDA[[#This Row],[PARTIDA]],"0000000000")</f>
        <v>8421399000</v>
      </c>
      <c r="C6299" s="16" t="s">
        <v>860</v>
      </c>
      <c r="D6299" s="16" t="s">
        <v>873</v>
      </c>
      <c r="E6299" s="16" t="s">
        <v>9480</v>
      </c>
      <c r="F6299" s="27" t="s">
        <v>7227</v>
      </c>
      <c r="G6299" s="27"/>
      <c r="H6299" s="16" t="str">
        <f>IF(ISBLANK(PARTIDAS!$G6299),PARTIDAS!$F6299,CONCATENATE(PARTIDAS!$F6299," (",PARTIDAS!$G6299,")"))</f>
        <v>Filtros</v>
      </c>
      <c r="I6299" s="16" t="s">
        <v>9477</v>
      </c>
    </row>
    <row r="6300" spans="1:9" x14ac:dyDescent="0.25">
      <c r="A6300" s="16" t="s">
        <v>7241</v>
      </c>
      <c r="B6300" s="16" t="str">
        <f>TEXT(PARTIDA[[#This Row],[PARTIDA]],"0000000000")</f>
        <v>8421910000</v>
      </c>
      <c r="C6300" s="16" t="s">
        <v>860</v>
      </c>
      <c r="D6300" s="16" t="s">
        <v>873</v>
      </c>
      <c r="E6300" s="16" t="s">
        <v>9480</v>
      </c>
      <c r="F6300" s="27" t="s">
        <v>7097</v>
      </c>
      <c r="G6300" s="27"/>
      <c r="H6300" s="16" t="str">
        <f>IF(ISBLANK(PARTIDAS!$G6300),PARTIDAS!$F6300,CONCATENATE(PARTIDAS!$F6300," (",PARTIDAS!$G6300,")"))</f>
        <v>Partes de máquinas</v>
      </c>
      <c r="I6300" s="16" t="s">
        <v>9427</v>
      </c>
    </row>
    <row r="6301" spans="1:9" x14ac:dyDescent="0.25">
      <c r="A6301" s="16" t="s">
        <v>7242</v>
      </c>
      <c r="B6301" s="16" t="str">
        <f>TEXT(PARTIDA[[#This Row],[PARTIDA]],"0000000000")</f>
        <v>8421991000</v>
      </c>
      <c r="C6301" s="16" t="s">
        <v>860</v>
      </c>
      <c r="D6301" s="16" t="s">
        <v>873</v>
      </c>
      <c r="E6301" s="16" t="s">
        <v>9480</v>
      </c>
      <c r="F6301" s="27" t="s">
        <v>14591</v>
      </c>
      <c r="G6301" s="27"/>
      <c r="H6301" s="16" t="str">
        <f>IF(ISBLANK(PARTIDAS!$G6301),PARTIDAS!$F6301,CONCATENATE(PARTIDAS!$F6301," (",PARTIDAS!$G6301,")"))</f>
        <v>Elementos filtrantes, del tipo de los utilizados en filtros para motores</v>
      </c>
      <c r="I6301" s="16" t="s">
        <v>9427</v>
      </c>
    </row>
    <row r="6302" spans="1:9" x14ac:dyDescent="0.25">
      <c r="A6302" s="16" t="s">
        <v>7243</v>
      </c>
      <c r="B6302" s="16" t="str">
        <f>TEXT(PARTIDA[[#This Row],[PARTIDA]],"0000000000")</f>
        <v>8421999000</v>
      </c>
      <c r="C6302" s="16" t="s">
        <v>860</v>
      </c>
      <c r="D6302" s="16" t="s">
        <v>873</v>
      </c>
      <c r="E6302" s="16" t="s">
        <v>9480</v>
      </c>
      <c r="F6302" s="27" t="s">
        <v>9195</v>
      </c>
      <c r="G6302" s="27"/>
      <c r="H6302" s="16" t="str">
        <f>IF(ISBLANK(PARTIDAS!$G6302),PARTIDAS!$F6302,CONCATENATE(PARTIDAS!$F6302," (",PARTIDAS!$G6302,")"))</f>
        <v>Centrifugadoras, incluidas las secadoras centrífugas, partes (los demás)</v>
      </c>
      <c r="I6302" s="16" t="s">
        <v>9477</v>
      </c>
    </row>
    <row r="6303" spans="1:9" x14ac:dyDescent="0.25">
      <c r="A6303" s="16" t="s">
        <v>7244</v>
      </c>
      <c r="B6303" s="16" t="str">
        <f>TEXT(PARTIDA[[#This Row],[PARTIDA]],"0000000000")</f>
        <v>8422110000</v>
      </c>
      <c r="C6303" s="16" t="s">
        <v>786</v>
      </c>
      <c r="D6303" s="16" t="s">
        <v>799</v>
      </c>
      <c r="E6303" s="16" t="s">
        <v>806</v>
      </c>
      <c r="F6303" s="27" t="s">
        <v>14592</v>
      </c>
      <c r="G6303" s="27"/>
      <c r="H6303" s="16" t="str">
        <f>IF(ISBLANK(PARTIDAS!$G6303),PARTIDAS!$F6303,CONCATENATE(PARTIDAS!$F6303," (",PARTIDAS!$G6303,")"))</f>
        <v>Máquinas para lavar vajilla, de tipo domestico</v>
      </c>
      <c r="I6303" s="16" t="s">
        <v>9427</v>
      </c>
    </row>
    <row r="6304" spans="1:9" x14ac:dyDescent="0.25">
      <c r="A6304" s="16" t="s">
        <v>7245</v>
      </c>
      <c r="B6304" s="16" t="str">
        <f>TEXT(PARTIDA[[#This Row],[PARTIDA]],"0000000000")</f>
        <v>8422190000</v>
      </c>
      <c r="C6304" s="16" t="s">
        <v>860</v>
      </c>
      <c r="D6304" s="16" t="s">
        <v>873</v>
      </c>
      <c r="E6304" s="16" t="s">
        <v>9480</v>
      </c>
      <c r="F6304" s="27" t="s">
        <v>14593</v>
      </c>
      <c r="G6304" s="27"/>
      <c r="H6304" s="16" t="str">
        <f>IF(ISBLANK(PARTIDAS!$G6304),PARTIDAS!$F6304,CONCATENATE(PARTIDAS!$F6304," (",PARTIDAS!$G6304,")"))</f>
        <v>Máquinas para lavar vajilla (los demás)</v>
      </c>
      <c r="I6304" s="16" t="s">
        <v>9427</v>
      </c>
    </row>
    <row r="6305" spans="1:9" x14ac:dyDescent="0.25">
      <c r="A6305" s="16" t="s">
        <v>7246</v>
      </c>
      <c r="B6305" s="16" t="str">
        <f>TEXT(PARTIDA[[#This Row],[PARTIDA]],"0000000000")</f>
        <v>8422200000</v>
      </c>
      <c r="C6305" s="16" t="s">
        <v>860</v>
      </c>
      <c r="D6305" s="16" t="s">
        <v>873</v>
      </c>
      <c r="E6305" s="16" t="s">
        <v>9480</v>
      </c>
      <c r="F6305" s="27" t="s">
        <v>14594</v>
      </c>
      <c r="G6305" s="27"/>
      <c r="H6305" s="16" t="str">
        <f>IF(ISBLANK(PARTIDAS!$G6305),PARTIDAS!$F6305,CONCATENATE(PARTIDAS!$F6305," (",PARTIDAS!$G6305,")"))</f>
        <v>Máquinas y aparatos para limpiar o secar botellas o demás recipientes</v>
      </c>
      <c r="I6305" s="16" t="s">
        <v>9427</v>
      </c>
    </row>
    <row r="6306" spans="1:9" x14ac:dyDescent="0.25">
      <c r="A6306" s="16" t="s">
        <v>7247</v>
      </c>
      <c r="B6306" s="16" t="str">
        <f>TEXT(PARTIDA[[#This Row],[PARTIDA]],"0000000000")</f>
        <v>8422301000</v>
      </c>
      <c r="C6306" s="16" t="s">
        <v>860</v>
      </c>
      <c r="D6306" s="16" t="s">
        <v>873</v>
      </c>
      <c r="E6306" s="16" t="s">
        <v>9480</v>
      </c>
      <c r="F6306" s="27" t="s">
        <v>14595</v>
      </c>
      <c r="G6306" s="27"/>
      <c r="H6306" s="16" t="str">
        <f>IF(ISBLANK(PARTIDAS!$G6306),PARTIDAS!$F6306,CONCATENATE(PARTIDAS!$F6306," (",PARTIDAS!$G6306,")"))</f>
        <v>Máquinas de llenado vertical con rendimiento inferior o igual a 40 unidades por minuto</v>
      </c>
      <c r="I6306" s="16" t="s">
        <v>9427</v>
      </c>
    </row>
    <row r="6307" spans="1:9" x14ac:dyDescent="0.25">
      <c r="A6307" s="16" t="s">
        <v>7248</v>
      </c>
      <c r="B6307" s="16" t="str">
        <f>TEXT(PARTIDA[[#This Row],[PARTIDA]],"0000000000")</f>
        <v>8422309000</v>
      </c>
      <c r="C6307" s="16" t="s">
        <v>860</v>
      </c>
      <c r="D6307" s="16" t="s">
        <v>873</v>
      </c>
      <c r="E6307" s="16" t="s">
        <v>9480</v>
      </c>
      <c r="F6307" s="27" t="s">
        <v>14596</v>
      </c>
      <c r="G6307" s="27"/>
      <c r="H6307" s="16" t="str">
        <f>IF(ISBLANK(PARTIDAS!$G6307),PARTIDAS!$F6307,CONCATENATE(PARTIDAS!$F6307," (",PARTIDAS!$G6307,")"))</f>
        <v>Máquinas y aparatos para llenar, cerrar, tapar, taponar o etiquetar… (los demás)</v>
      </c>
      <c r="I6307" s="16" t="s">
        <v>9427</v>
      </c>
    </row>
    <row r="6308" spans="1:9" x14ac:dyDescent="0.25">
      <c r="A6308" s="16" t="s">
        <v>7249</v>
      </c>
      <c r="B6308" s="16" t="str">
        <f>TEXT(PARTIDA[[#This Row],[PARTIDA]],"0000000000")</f>
        <v>8422401000</v>
      </c>
      <c r="C6308" s="16" t="s">
        <v>860</v>
      </c>
      <c r="D6308" s="16" t="s">
        <v>873</v>
      </c>
      <c r="E6308" s="16" t="s">
        <v>9480</v>
      </c>
      <c r="F6308" s="27" t="s">
        <v>14597</v>
      </c>
      <c r="G6308" s="27"/>
      <c r="H6308" s="16" t="str">
        <f>IF(ISBLANK(PARTIDAS!$G6308),PARTIDAS!$F6308,CONCATENATE(PARTIDAS!$F6308," (",PARTIDAS!$G6308,")"))</f>
        <v>Máquinas para envolver mercancías previamente acondicionadas en sus envases</v>
      </c>
      <c r="I6308" s="16" t="s">
        <v>9427</v>
      </c>
    </row>
    <row r="6309" spans="1:9" x14ac:dyDescent="0.25">
      <c r="A6309" s="16" t="s">
        <v>7250</v>
      </c>
      <c r="B6309" s="16" t="str">
        <f>TEXT(PARTIDA[[#This Row],[PARTIDA]],"0000000000")</f>
        <v>8422402000</v>
      </c>
      <c r="C6309" s="16" t="s">
        <v>860</v>
      </c>
      <c r="D6309" s="16" t="s">
        <v>873</v>
      </c>
      <c r="E6309" s="16" t="s">
        <v>9480</v>
      </c>
      <c r="F6309" s="27" t="s">
        <v>14598</v>
      </c>
      <c r="G6309" s="27"/>
      <c r="H6309" s="16" t="str">
        <f>IF(ISBLANK(PARTIDAS!$G6309),PARTIDAS!$F6309,CONCATENATE(PARTIDAS!$F6309," (",PARTIDAS!$G6309,")"))</f>
        <v>Máquinas para empaquetar al vacío</v>
      </c>
      <c r="I6309" s="16" t="s">
        <v>9427</v>
      </c>
    </row>
    <row r="6310" spans="1:9" x14ac:dyDescent="0.25">
      <c r="A6310" s="16" t="s">
        <v>7251</v>
      </c>
      <c r="B6310" s="16" t="str">
        <f>TEXT(PARTIDA[[#This Row],[PARTIDA]],"0000000000")</f>
        <v>8422403000</v>
      </c>
      <c r="C6310" s="16" t="s">
        <v>860</v>
      </c>
      <c r="D6310" s="16" t="s">
        <v>873</v>
      </c>
      <c r="E6310" s="16" t="s">
        <v>9480</v>
      </c>
      <c r="F6310" s="27" t="s">
        <v>14599</v>
      </c>
      <c r="G6310" s="27"/>
      <c r="H6310" s="16" t="str">
        <f>IF(ISBLANK(PARTIDAS!$G6310),PARTIDAS!$F6310,CONCATENATE(PARTIDAS!$F6310," (",PARTIDAS!$G6310,")"))</f>
        <v>Máquinas para empaquetar cigarillos</v>
      </c>
      <c r="I6310" s="16" t="s">
        <v>9427</v>
      </c>
    </row>
    <row r="6311" spans="1:9" x14ac:dyDescent="0.25">
      <c r="A6311" s="16" t="s">
        <v>7252</v>
      </c>
      <c r="B6311" s="16" t="str">
        <f>TEXT(PARTIDA[[#This Row],[PARTIDA]],"0000000000")</f>
        <v>8422409000</v>
      </c>
      <c r="C6311" s="16" t="s">
        <v>860</v>
      </c>
      <c r="D6311" s="16" t="s">
        <v>873</v>
      </c>
      <c r="E6311" s="16" t="s">
        <v>9480</v>
      </c>
      <c r="F6311" s="27" t="s">
        <v>14593</v>
      </c>
      <c r="G6311" s="27"/>
      <c r="H6311" s="16" t="str">
        <f>IF(ISBLANK(PARTIDAS!$G6311),PARTIDAS!$F6311,CONCATENATE(PARTIDAS!$F6311," (",PARTIDAS!$G6311,")"))</f>
        <v>Máquinas para lavar vajilla (los demás)</v>
      </c>
      <c r="I6311" s="16" t="s">
        <v>9427</v>
      </c>
    </row>
    <row r="6312" spans="1:9" x14ac:dyDescent="0.25">
      <c r="A6312" s="16" t="s">
        <v>7253</v>
      </c>
      <c r="B6312" s="16" t="str">
        <f>TEXT(PARTIDA[[#This Row],[PARTIDA]],"0000000000")</f>
        <v>8422900000</v>
      </c>
      <c r="C6312" s="16" t="s">
        <v>860</v>
      </c>
      <c r="D6312" s="16" t="s">
        <v>873</v>
      </c>
      <c r="E6312" s="16" t="s">
        <v>9480</v>
      </c>
      <c r="F6312" s="27" t="s">
        <v>14600</v>
      </c>
      <c r="G6312" s="27"/>
      <c r="H6312" s="16" t="str">
        <f>IF(ISBLANK(PARTIDAS!$G6312),PARTIDAS!$F6312,CONCATENATE(PARTIDAS!$F6312," (",PARTIDAS!$G6312,")"))</f>
        <v>Máquinas para lavar vajilla, partes</v>
      </c>
      <c r="I6312" s="16" t="s">
        <v>9427</v>
      </c>
    </row>
    <row r="6313" spans="1:9" x14ac:dyDescent="0.25">
      <c r="A6313" s="16" t="s">
        <v>7254</v>
      </c>
      <c r="B6313" s="16" t="str">
        <f>TEXT(PARTIDA[[#This Row],[PARTIDA]],"0000000000")</f>
        <v>8423100000</v>
      </c>
      <c r="C6313" s="16" t="s">
        <v>860</v>
      </c>
      <c r="D6313" s="16" t="s">
        <v>873</v>
      </c>
      <c r="E6313" s="16" t="s">
        <v>9480</v>
      </c>
      <c r="F6313" s="27" t="s">
        <v>7255</v>
      </c>
      <c r="G6313" s="27"/>
      <c r="H6313" s="16" t="str">
        <f>IF(ISBLANK(PARTIDAS!$G6313),PARTIDAS!$F6313,CONCATENATE(PARTIDAS!$F6313," (",PARTIDAS!$G6313,")"))</f>
        <v>Básculas y balanzas</v>
      </c>
      <c r="I6313" s="16" t="s">
        <v>9427</v>
      </c>
    </row>
    <row r="6314" spans="1:9" x14ac:dyDescent="0.25">
      <c r="A6314" s="16" t="s">
        <v>7256</v>
      </c>
      <c r="B6314" s="16" t="str">
        <f>TEXT(PARTIDA[[#This Row],[PARTIDA]],"0000000000")</f>
        <v>8423200000</v>
      </c>
      <c r="C6314" s="16" t="s">
        <v>860</v>
      </c>
      <c r="D6314" s="16" t="s">
        <v>873</v>
      </c>
      <c r="E6314" s="16" t="s">
        <v>9480</v>
      </c>
      <c r="F6314" s="27" t="s">
        <v>14601</v>
      </c>
      <c r="G6314" s="27"/>
      <c r="H6314" s="16" t="str">
        <f>IF(ISBLANK(PARTIDAS!$G6314),PARTIDAS!$F6314,CONCATENATE(PARTIDAS!$F6314," (",PARTIDAS!$G6314,")"))</f>
        <v>Básculas y balanzas para pesada continua sobre transportador</v>
      </c>
      <c r="I6314" s="16" t="s">
        <v>9427</v>
      </c>
    </row>
    <row r="6315" spans="1:9" x14ac:dyDescent="0.25">
      <c r="A6315" s="16" t="s">
        <v>7257</v>
      </c>
      <c r="B6315" s="16" t="str">
        <f>TEXT(PARTIDA[[#This Row],[PARTIDA]],"0000000000")</f>
        <v>8423301000</v>
      </c>
      <c r="C6315" s="16" t="s">
        <v>860</v>
      </c>
      <c r="D6315" s="16" t="s">
        <v>873</v>
      </c>
      <c r="E6315" s="16" t="s">
        <v>9480</v>
      </c>
      <c r="F6315" s="27" t="s">
        <v>14602</v>
      </c>
      <c r="G6315" s="27"/>
      <c r="H6315" s="16" t="str">
        <f>IF(ISBLANK(PARTIDAS!$G6315),PARTIDAS!$F6315,CONCATENATE(PARTIDAS!$F6315," (",PARTIDAS!$G6315,")"))</f>
        <v>Dosificadoras de cemento, asfalto o materias similares</v>
      </c>
      <c r="I6315" s="16" t="s">
        <v>9427</v>
      </c>
    </row>
    <row r="6316" spans="1:9" x14ac:dyDescent="0.25">
      <c r="A6316" s="16" t="s">
        <v>7258</v>
      </c>
      <c r="B6316" s="16" t="str">
        <f>TEXT(PARTIDA[[#This Row],[PARTIDA]],"0000000000")</f>
        <v>8423309000</v>
      </c>
      <c r="C6316" s="16" t="s">
        <v>860</v>
      </c>
      <c r="D6316" s="16" t="s">
        <v>873</v>
      </c>
      <c r="E6316" s="16" t="s">
        <v>9480</v>
      </c>
      <c r="F6316" s="27" t="s">
        <v>14603</v>
      </c>
      <c r="G6316" s="27"/>
      <c r="H6316" s="16" t="str">
        <f>IF(ISBLANK(PARTIDAS!$G6316),PARTIDAS!$F6316,CONCATENATE(PARTIDAS!$F6316," (",PARTIDAS!$G6316,")"))</f>
        <v>Básculas y balanzas para pesada constante, incluidas las de descargar… (los demás)</v>
      </c>
      <c r="I6316" s="16" t="s">
        <v>9427</v>
      </c>
    </row>
    <row r="6317" spans="1:9" x14ac:dyDescent="0.25">
      <c r="A6317" s="16" t="s">
        <v>7259</v>
      </c>
      <c r="B6317" s="16" t="str">
        <f>TEXT(PARTIDA[[#This Row],[PARTIDA]],"0000000000")</f>
        <v>8423810010</v>
      </c>
      <c r="C6317" s="16" t="s">
        <v>860</v>
      </c>
      <c r="D6317" s="16" t="s">
        <v>873</v>
      </c>
      <c r="E6317" s="16" t="s">
        <v>9480</v>
      </c>
      <c r="F6317" s="27" t="s">
        <v>14604</v>
      </c>
      <c r="G6317" s="27"/>
      <c r="H6317" s="16" t="str">
        <f>IF(ISBLANK(PARTIDAS!$G6317),PARTIDAS!$F6317,CONCATENATE(PARTIDAS!$F6317," (",PARTIDAS!$G6317,")"))</f>
        <v>Aparatos e instrumentos de pesar, incluidas las…, con capacidad inferior o igual a 30 kg, de funciones múltiples o usos especiales</v>
      </c>
      <c r="I6317" s="16" t="s">
        <v>9427</v>
      </c>
    </row>
    <row r="6318" spans="1:9" x14ac:dyDescent="0.25">
      <c r="A6318" s="16" t="s">
        <v>7260</v>
      </c>
      <c r="B6318" s="16" t="str">
        <f>TEXT(PARTIDA[[#This Row],[PARTIDA]],"0000000000")</f>
        <v>8423810090</v>
      </c>
      <c r="C6318" s="16" t="s">
        <v>860</v>
      </c>
      <c r="D6318" s="16" t="s">
        <v>873</v>
      </c>
      <c r="E6318" s="16" t="s">
        <v>9480</v>
      </c>
      <c r="F6318" s="27" t="s">
        <v>14605</v>
      </c>
      <c r="G6318" s="27"/>
      <c r="H6318" s="16" t="str">
        <f>IF(ISBLANK(PARTIDAS!$G6318),PARTIDAS!$F6318,CONCATENATE(PARTIDAS!$F6318," (",PARTIDAS!$G6318,")"))</f>
        <v>Aparatos e instrumentos de pesar, incluidas las…, con capacidad inferior o igual a 30 kg (los demás)</v>
      </c>
      <c r="I6318" s="16" t="s">
        <v>9427</v>
      </c>
    </row>
    <row r="6319" spans="1:9" x14ac:dyDescent="0.25">
      <c r="A6319" s="16" t="s">
        <v>7261</v>
      </c>
      <c r="B6319" s="16" t="str">
        <f>TEXT(PARTIDA[[#This Row],[PARTIDA]],"0000000000")</f>
        <v>8423821000</v>
      </c>
      <c r="C6319" s="16" t="s">
        <v>860</v>
      </c>
      <c r="D6319" s="16" t="s">
        <v>873</v>
      </c>
      <c r="E6319" s="16" t="s">
        <v>9480</v>
      </c>
      <c r="F6319" s="27" t="s">
        <v>14606</v>
      </c>
      <c r="G6319" s="27"/>
      <c r="H6319" s="16" t="str">
        <f>IF(ISBLANK(PARTIDAS!$G6319),PARTIDAS!$F6319,CONCATENATE(PARTIDAS!$F6319," (",PARTIDAS!$G6319,")"))</f>
        <v>Aparatos e instrumentos de pesar, incluidas las…, con capacidad superior a 30 kg pero inferior o igual a 5.000 kg, de pesar vehículos</v>
      </c>
      <c r="I6319" s="16" t="s">
        <v>9427</v>
      </c>
    </row>
    <row r="6320" spans="1:9" x14ac:dyDescent="0.25">
      <c r="A6320" s="16" t="s">
        <v>7262</v>
      </c>
      <c r="B6320" s="16" t="str">
        <f>TEXT(PARTIDA[[#This Row],[PARTIDA]],"0000000000")</f>
        <v>8423829010</v>
      </c>
      <c r="C6320" s="16" t="s">
        <v>860</v>
      </c>
      <c r="D6320" s="16" t="s">
        <v>873</v>
      </c>
      <c r="E6320" s="16" t="s">
        <v>9480</v>
      </c>
      <c r="F6320" s="27" t="s">
        <v>14607</v>
      </c>
      <c r="G6320" s="27"/>
      <c r="H6320" s="16" t="str">
        <f>IF(ISBLANK(PARTIDAS!$G6320),PARTIDAS!$F6320,CONCATENATE(PARTIDAS!$F6320," (",PARTIDAS!$G6320,")"))</f>
        <v>Aparatos e instrumentos de pesar, incluidas las…, con capacidad superior a 30 kg pero inferior o igual a 5.000 kg, de funciones múltiples o usos espec</v>
      </c>
      <c r="I6320" s="16" t="s">
        <v>9427</v>
      </c>
    </row>
    <row r="6321" spans="1:9" x14ac:dyDescent="0.25">
      <c r="A6321" s="16" t="s">
        <v>7263</v>
      </c>
      <c r="B6321" s="16" t="str">
        <f>TEXT(PARTIDA[[#This Row],[PARTIDA]],"0000000000")</f>
        <v>8423829090</v>
      </c>
      <c r="C6321" s="16" t="s">
        <v>860</v>
      </c>
      <c r="D6321" s="16" t="s">
        <v>873</v>
      </c>
      <c r="E6321" s="16" t="s">
        <v>9480</v>
      </c>
      <c r="F6321" s="27" t="s">
        <v>14608</v>
      </c>
      <c r="G6321" s="27"/>
      <c r="H6321" s="16" t="str">
        <f>IF(ISBLANK(PARTIDAS!$G6321),PARTIDAS!$F6321,CONCATENATE(PARTIDAS!$F6321," (",PARTIDAS!$G6321,")"))</f>
        <v>Aparatos e instrumentos de pesar, incluidas las…, con capacidad superior a 30 kg pero inferior o igual a 5.000 kg (los demás)</v>
      </c>
      <c r="I6321" s="16" t="s">
        <v>9427</v>
      </c>
    </row>
    <row r="6322" spans="1:9" x14ac:dyDescent="0.25">
      <c r="A6322" s="16" t="s">
        <v>7264</v>
      </c>
      <c r="B6322" s="16" t="str">
        <f>TEXT(PARTIDA[[#This Row],[PARTIDA]],"0000000000")</f>
        <v>8423891000</v>
      </c>
      <c r="C6322" s="16" t="s">
        <v>860</v>
      </c>
      <c r="D6322" s="16" t="s">
        <v>873</v>
      </c>
      <c r="E6322" s="16" t="s">
        <v>9480</v>
      </c>
      <c r="F6322" s="27" t="s">
        <v>14609</v>
      </c>
      <c r="G6322" s="27"/>
      <c r="H6322" s="16" t="str">
        <f>IF(ISBLANK(PARTIDAS!$G6322),PARTIDAS!$F6322,CONCATENATE(PARTIDAS!$F6322," (",PARTIDAS!$G6322,")"))</f>
        <v>Aparatos e instrumentos de pesar, incluidas las básculas y balanzas…, de pesar vehículos</v>
      </c>
      <c r="I6322" s="16" t="s">
        <v>9427</v>
      </c>
    </row>
    <row r="6323" spans="1:9" x14ac:dyDescent="0.25">
      <c r="A6323" s="16" t="s">
        <v>7265</v>
      </c>
      <c r="B6323" s="16" t="str">
        <f>TEXT(PARTIDA[[#This Row],[PARTIDA]],"0000000000")</f>
        <v>8423899010</v>
      </c>
      <c r="C6323" s="16" t="s">
        <v>860</v>
      </c>
      <c r="D6323" s="16" t="s">
        <v>873</v>
      </c>
      <c r="E6323" s="16" t="s">
        <v>9480</v>
      </c>
      <c r="F6323" s="27" t="s">
        <v>14610</v>
      </c>
      <c r="G6323" s="27"/>
      <c r="H6323" s="16" t="str">
        <f>IF(ISBLANK(PARTIDAS!$G6323),PARTIDAS!$F6323,CONCATENATE(PARTIDAS!$F6323," (",PARTIDAS!$G6323,")"))</f>
        <v>Aparatos e instrumentos de pesar, incluidas las básculas y balanzas…, de funciones múltiples o usos especiales</v>
      </c>
      <c r="I6323" s="16" t="s">
        <v>9427</v>
      </c>
    </row>
    <row r="6324" spans="1:9" x14ac:dyDescent="0.25">
      <c r="A6324" s="16" t="s">
        <v>7266</v>
      </c>
      <c r="B6324" s="16" t="str">
        <f>TEXT(PARTIDA[[#This Row],[PARTIDA]],"0000000000")</f>
        <v>8423899090</v>
      </c>
      <c r="C6324" s="16" t="s">
        <v>860</v>
      </c>
      <c r="D6324" s="16" t="s">
        <v>873</v>
      </c>
      <c r="E6324" s="16" t="s">
        <v>9480</v>
      </c>
      <c r="F6324" s="27" t="s">
        <v>876</v>
      </c>
      <c r="G6324" s="27"/>
      <c r="H6324" s="16" t="str">
        <f>IF(ISBLANK(PARTIDAS!$G6324),PARTIDAS!$F6324,CONCATENATE(PARTIDAS!$F6324," (",PARTIDAS!$G6324,")"))</f>
        <v>Herramientas</v>
      </c>
      <c r="I6324" s="16" t="s">
        <v>9427</v>
      </c>
    </row>
    <row r="6325" spans="1:9" x14ac:dyDescent="0.25">
      <c r="A6325" s="16" t="s">
        <v>7267</v>
      </c>
      <c r="B6325" s="16" t="str">
        <f>TEXT(PARTIDA[[#This Row],[PARTIDA]],"0000000000")</f>
        <v>8423900000</v>
      </c>
      <c r="C6325" s="16" t="s">
        <v>860</v>
      </c>
      <c r="D6325" s="16" t="s">
        <v>873</v>
      </c>
      <c r="E6325" s="16" t="s">
        <v>9480</v>
      </c>
      <c r="F6325" s="27" t="s">
        <v>14611</v>
      </c>
      <c r="G6325" s="27"/>
      <c r="H6325" s="16" t="str">
        <f>IF(ISBLANK(PARTIDAS!$G6325),PARTIDAS!$F6325,CONCATENATE(PARTIDAS!$F6325," (",PARTIDAS!$G6325,")"))</f>
        <v>Pesas para toda clase de básculas o balanzas; partes de aparatos o instrumentos de pesar</v>
      </c>
      <c r="I6325" s="16" t="s">
        <v>9427</v>
      </c>
    </row>
    <row r="6326" spans="1:9" x14ac:dyDescent="0.25">
      <c r="A6326" s="16" t="s">
        <v>7268</v>
      </c>
      <c r="B6326" s="16" t="str">
        <f>TEXT(PARTIDA[[#This Row],[PARTIDA]],"0000000000")</f>
        <v>8424100000</v>
      </c>
      <c r="C6326" s="16" t="s">
        <v>860</v>
      </c>
      <c r="D6326" s="16" t="s">
        <v>873</v>
      </c>
      <c r="E6326" s="16" t="s">
        <v>9480</v>
      </c>
      <c r="F6326" s="27" t="s">
        <v>14612</v>
      </c>
      <c r="G6326" s="27"/>
      <c r="H6326" s="16" t="str">
        <f>IF(ISBLANK(PARTIDAS!$G6326),PARTIDAS!$F6326,CONCATENATE(PARTIDAS!$F6326," (",PARTIDAS!$G6326,")"))</f>
        <v>Extintores, incluso cargados</v>
      </c>
      <c r="I6326" s="16" t="s">
        <v>9427</v>
      </c>
    </row>
    <row r="6327" spans="1:9" x14ac:dyDescent="0.25">
      <c r="A6327" s="16" t="s">
        <v>7269</v>
      </c>
      <c r="B6327" s="16" t="str">
        <f>TEXT(PARTIDA[[#This Row],[PARTIDA]],"0000000000")</f>
        <v>8424200000</v>
      </c>
      <c r="C6327" s="16" t="s">
        <v>860</v>
      </c>
      <c r="D6327" s="16" t="s">
        <v>873</v>
      </c>
      <c r="E6327" s="16" t="s">
        <v>876</v>
      </c>
      <c r="F6327" s="27" t="s">
        <v>7270</v>
      </c>
      <c r="G6327" s="27"/>
      <c r="H6327" s="16" t="str">
        <f>IF(ISBLANK(PARTIDAS!$G6327),PARTIDAS!$F6327,CONCATENATE(PARTIDAS!$F6327," (",PARTIDAS!$G6327,")"))</f>
        <v>Pistolas aerográficas</v>
      </c>
      <c r="I6327" s="16" t="s">
        <v>9477</v>
      </c>
    </row>
    <row r="6328" spans="1:9" x14ac:dyDescent="0.25">
      <c r="A6328" s="16" t="s">
        <v>7271</v>
      </c>
      <c r="B6328" s="16" t="str">
        <f>TEXT(PARTIDA[[#This Row],[PARTIDA]],"0000000000")</f>
        <v>8424300000</v>
      </c>
      <c r="C6328" s="16" t="s">
        <v>860</v>
      </c>
      <c r="D6328" s="16" t="s">
        <v>873</v>
      </c>
      <c r="E6328" s="16" t="s">
        <v>876</v>
      </c>
      <c r="F6328" s="27" t="s">
        <v>9316</v>
      </c>
      <c r="G6328" s="27"/>
      <c r="H6328" s="16" t="str">
        <f>IF(ISBLANK(PARTIDAS!$G6328),PARTIDAS!$F6328,CONCATENATE(PARTIDAS!$F6328," (",PARTIDAS!$G6328,")"))</f>
        <v>Máquinas y aparatos de chorro de arena o de vapor y aparatos de chorro similares</v>
      </c>
      <c r="I6328" s="16" t="s">
        <v>9477</v>
      </c>
    </row>
    <row r="6329" spans="1:9" x14ac:dyDescent="0.25">
      <c r="A6329" s="16" t="s">
        <v>7272</v>
      </c>
      <c r="B6329" s="16" t="str">
        <f>TEXT(PARTIDA[[#This Row],[PARTIDA]],"0000000000")</f>
        <v>8424410000</v>
      </c>
      <c r="C6329" s="16" t="s">
        <v>860</v>
      </c>
      <c r="D6329" s="16" t="s">
        <v>865</v>
      </c>
      <c r="E6329" s="16" t="s">
        <v>866</v>
      </c>
      <c r="F6329" s="27" t="s">
        <v>14613</v>
      </c>
      <c r="G6329" s="27"/>
      <c r="H6329" s="16" t="str">
        <f>IF(ISBLANK(PARTIDAS!$G6329),PARTIDAS!$F6329,CONCATENATE(PARTIDAS!$F6329," (",PARTIDAS!$G6329,")"))</f>
        <v>Pulverizadores portátiles</v>
      </c>
      <c r="I6329" s="16" t="s">
        <v>9427</v>
      </c>
    </row>
    <row r="6330" spans="1:9" x14ac:dyDescent="0.25">
      <c r="A6330" s="16" t="s">
        <v>7273</v>
      </c>
      <c r="B6330" s="16" t="str">
        <f>TEXT(PARTIDA[[#This Row],[PARTIDA]],"0000000000")</f>
        <v>8424490000</v>
      </c>
      <c r="C6330" s="16" t="s">
        <v>860</v>
      </c>
      <c r="D6330" s="16" t="s">
        <v>865</v>
      </c>
      <c r="E6330" s="16" t="s">
        <v>866</v>
      </c>
      <c r="F6330" s="27" t="s">
        <v>7274</v>
      </c>
      <c r="G6330" s="27" t="s">
        <v>1472</v>
      </c>
      <c r="H6330" s="16" t="str">
        <f>IF(ISBLANK(PARTIDAS!$G6330),PARTIDAS!$F6330,CONCATENATE(PARTIDAS!$F6330," (",PARTIDAS!$G6330,")"))</f>
        <v>Drones para agricultura (Verificar)</v>
      </c>
      <c r="I6330" s="16" t="s">
        <v>9427</v>
      </c>
    </row>
    <row r="6331" spans="1:9" x14ac:dyDescent="0.25">
      <c r="A6331" s="16" t="s">
        <v>7275</v>
      </c>
      <c r="B6331" s="16" t="str">
        <f>TEXT(PARTIDA[[#This Row],[PARTIDA]],"0000000000")</f>
        <v>8424821000</v>
      </c>
      <c r="C6331" s="16" t="s">
        <v>860</v>
      </c>
      <c r="D6331" s="16" t="s">
        <v>873</v>
      </c>
      <c r="E6331" s="16" t="s">
        <v>9480</v>
      </c>
      <c r="F6331" s="27" t="s">
        <v>14614</v>
      </c>
      <c r="G6331" s="27"/>
      <c r="H6331" s="16" t="str">
        <f>IF(ISBLANK(PARTIDAS!$G6331),PARTIDAS!$F6331,CONCATENATE(PARTIDAS!$F6331," (",PARTIDAS!$G6331,")"))</f>
        <v>Aparatos portátiles de peso inferior a 20 kg</v>
      </c>
      <c r="I6331" s="16" t="s">
        <v>9648</v>
      </c>
    </row>
    <row r="6332" spans="1:9" x14ac:dyDescent="0.25">
      <c r="A6332" s="16" t="s">
        <v>7276</v>
      </c>
      <c r="B6332" s="16" t="str">
        <f>TEXT(PARTIDA[[#This Row],[PARTIDA]],"0000000000")</f>
        <v>8424822100</v>
      </c>
      <c r="C6332" s="16" t="s">
        <v>860</v>
      </c>
      <c r="D6332" s="16" t="s">
        <v>865</v>
      </c>
      <c r="E6332" s="16" t="s">
        <v>866</v>
      </c>
      <c r="F6332" s="27" t="s">
        <v>14615</v>
      </c>
      <c r="G6332" s="27"/>
      <c r="H6332" s="16" t="str">
        <f>IF(ISBLANK(PARTIDAS!$G6332),PARTIDAS!$F6332,CONCATENATE(PARTIDAS!$F6332," (",PARTIDAS!$G6332,")"))</f>
        <v>Por goteo o aspersión</v>
      </c>
      <c r="I6332" s="16" t="s">
        <v>9427</v>
      </c>
    </row>
    <row r="6333" spans="1:9" x14ac:dyDescent="0.25">
      <c r="A6333" s="16" t="s">
        <v>7277</v>
      </c>
      <c r="B6333" s="16" t="str">
        <f>TEXT(PARTIDA[[#This Row],[PARTIDA]],"0000000000")</f>
        <v>8424822900</v>
      </c>
      <c r="C6333" s="16" t="s">
        <v>860</v>
      </c>
      <c r="D6333" s="16" t="s">
        <v>865</v>
      </c>
      <c r="E6333" s="16" t="s">
        <v>866</v>
      </c>
      <c r="F6333" s="27" t="s">
        <v>14616</v>
      </c>
      <c r="G6333" s="27"/>
      <c r="H6333" s="16" t="str">
        <f>IF(ISBLANK(PARTIDAS!$G6333),PARTIDAS!$F6333,CONCATENATE(PARTIDAS!$F6333," (",PARTIDAS!$G6333,")"))</f>
        <v>Sistemas de riego (los demás)</v>
      </c>
      <c r="I6333" s="16" t="s">
        <v>9427</v>
      </c>
    </row>
    <row r="6334" spans="1:9" x14ac:dyDescent="0.25">
      <c r="A6334" s="16" t="s">
        <v>14617</v>
      </c>
      <c r="B6334" s="16" t="str">
        <f>TEXT(PARTIDA[[#This Row],[PARTIDA]],"0000000000")</f>
        <v>8424823000</v>
      </c>
      <c r="C6334" s="16" t="s">
        <v>860</v>
      </c>
      <c r="D6334" s="16" t="s">
        <v>865</v>
      </c>
      <c r="E6334" s="16" t="s">
        <v>866</v>
      </c>
      <c r="F6334" s="27" t="s">
        <v>14618</v>
      </c>
      <c r="G6334" s="27"/>
      <c r="H6334" s="16" t="str">
        <f>IF(ISBLANK(PARTIDAS!$G6334),PARTIDAS!$F6334,CONCATENATE(PARTIDAS!$F6334," (",PARTIDAS!$G6334,")"))</f>
        <v>Aparatos portátiles</v>
      </c>
      <c r="I6334" s="16" t="s">
        <v>9427</v>
      </c>
    </row>
    <row r="6335" spans="1:9" x14ac:dyDescent="0.25">
      <c r="A6335" s="16" t="s">
        <v>7278</v>
      </c>
      <c r="B6335" s="16" t="str">
        <f>TEXT(PARTIDA[[#This Row],[PARTIDA]],"0000000000")</f>
        <v>8424829000</v>
      </c>
      <c r="C6335" s="16" t="s">
        <v>860</v>
      </c>
      <c r="D6335" s="16" t="s">
        <v>865</v>
      </c>
      <c r="E6335" s="16" t="s">
        <v>866</v>
      </c>
      <c r="F6335" s="27" t="s">
        <v>14619</v>
      </c>
      <c r="G6335" s="27"/>
      <c r="H6335" s="16" t="str">
        <f>IF(ISBLANK(PARTIDAS!$G6335),PARTIDAS!$F6335,CONCATENATE(PARTIDAS!$F6335," (",PARTIDAS!$G6335,")"))</f>
        <v>Aparatos mecánicos (incluso manuales) para proyectar…, para agricultura u horticultura (los demás)</v>
      </c>
      <c r="I6335" s="16" t="s">
        <v>9427</v>
      </c>
    </row>
    <row r="6336" spans="1:9" x14ac:dyDescent="0.25">
      <c r="A6336" s="16" t="s">
        <v>7279</v>
      </c>
      <c r="B6336" s="16" t="str">
        <f>TEXT(PARTIDA[[#This Row],[PARTIDA]],"0000000000")</f>
        <v>8424890000</v>
      </c>
      <c r="C6336" s="16" t="s">
        <v>860</v>
      </c>
      <c r="D6336" s="16" t="s">
        <v>873</v>
      </c>
      <c r="E6336" s="16" t="s">
        <v>9480</v>
      </c>
      <c r="F6336" s="27" t="s">
        <v>14620</v>
      </c>
      <c r="G6336" s="27"/>
      <c r="H6336" s="16" t="str">
        <f>IF(ISBLANK(PARTIDAS!$G6336),PARTIDAS!$F6336,CONCATENATE(PARTIDAS!$F6336," (",PARTIDAS!$G6336,")"))</f>
        <v>Aparatos mecánicos (incluso manuales) para proyectar, dispersar o… (los demás)</v>
      </c>
      <c r="I6336" s="16" t="s">
        <v>9427</v>
      </c>
    </row>
    <row r="6337" spans="1:9" x14ac:dyDescent="0.25">
      <c r="A6337" s="16" t="s">
        <v>7280</v>
      </c>
      <c r="B6337" s="16" t="str">
        <f>TEXT(PARTIDA[[#This Row],[PARTIDA]],"0000000000")</f>
        <v>8424901000</v>
      </c>
      <c r="C6337" s="16" t="s">
        <v>860</v>
      </c>
      <c r="D6337" s="16" t="s">
        <v>873</v>
      </c>
      <c r="E6337" s="16" t="s">
        <v>9480</v>
      </c>
      <c r="F6337" s="27" t="s">
        <v>14621</v>
      </c>
      <c r="G6337" s="27"/>
      <c r="H6337" s="16" t="str">
        <f>IF(ISBLANK(PARTIDAS!$G6337),PARTIDAS!$F6337,CONCATENATE(PARTIDAS!$F6337," (",PARTIDAS!$G6337,")"))</f>
        <v>Aspersores y goteros, para sistemas de riego</v>
      </c>
      <c r="I6337" s="16" t="s">
        <v>9427</v>
      </c>
    </row>
    <row r="6338" spans="1:9" x14ac:dyDescent="0.25">
      <c r="A6338" s="16" t="s">
        <v>7281</v>
      </c>
      <c r="B6338" s="16" t="str">
        <f>TEXT(PARTIDA[[#This Row],[PARTIDA]],"0000000000")</f>
        <v>8424909000</v>
      </c>
      <c r="C6338" s="16" t="s">
        <v>860</v>
      </c>
      <c r="D6338" s="16" t="s">
        <v>873</v>
      </c>
      <c r="E6338" s="16" t="s">
        <v>876</v>
      </c>
      <c r="F6338" s="27" t="s">
        <v>9151</v>
      </c>
      <c r="G6338" s="27"/>
      <c r="H6338" s="16" t="str">
        <f>IF(ISBLANK(PARTIDAS!$G6338),PARTIDAS!$F6338,CONCATENATE(PARTIDAS!$F6338," (",PARTIDAS!$G6338,")"))</f>
        <v>Aparatos mecánicos (incluso manuales) para proyectar…, partes (los demás)</v>
      </c>
      <c r="I6338" s="16" t="s">
        <v>9477</v>
      </c>
    </row>
    <row r="6339" spans="1:9" x14ac:dyDescent="0.25">
      <c r="A6339" s="16" t="s">
        <v>7282</v>
      </c>
      <c r="B6339" s="16" t="str">
        <f>TEXT(PARTIDA[[#This Row],[PARTIDA]],"0000000000")</f>
        <v>8425110000</v>
      </c>
      <c r="C6339" s="16" t="s">
        <v>860</v>
      </c>
      <c r="D6339" s="16" t="s">
        <v>873</v>
      </c>
      <c r="E6339" s="16" t="s">
        <v>9480</v>
      </c>
      <c r="F6339" s="27" t="s">
        <v>14622</v>
      </c>
      <c r="G6339" s="27"/>
      <c r="H6339" s="16" t="str">
        <f>IF(ISBLANK(PARTIDAS!$G6339),PARTIDAS!$F6339,CONCATENATE(PARTIDAS!$F6339," (",PARTIDAS!$G6339,")"))</f>
        <v>Polipastos, con motor eléctrico</v>
      </c>
      <c r="I6339" s="16" t="s">
        <v>9427</v>
      </c>
    </row>
    <row r="6340" spans="1:9" x14ac:dyDescent="0.25">
      <c r="A6340" s="16" t="s">
        <v>7283</v>
      </c>
      <c r="B6340" s="16" t="str">
        <f>TEXT(PARTIDA[[#This Row],[PARTIDA]],"0000000000")</f>
        <v>8425190000</v>
      </c>
      <c r="C6340" s="16" t="s">
        <v>860</v>
      </c>
      <c r="D6340" s="16" t="s">
        <v>873</v>
      </c>
      <c r="E6340" s="16" t="s">
        <v>9480</v>
      </c>
      <c r="F6340" s="27" t="s">
        <v>14623</v>
      </c>
      <c r="G6340" s="27"/>
      <c r="H6340" s="16" t="str">
        <f>IF(ISBLANK(PARTIDAS!$G6340),PARTIDAS!$F6340,CONCATENATE(PARTIDAS!$F6340," (",PARTIDAS!$G6340,")"))</f>
        <v>Polipastos (los demás)</v>
      </c>
      <c r="I6340" s="16" t="s">
        <v>9427</v>
      </c>
    </row>
    <row r="6341" spans="1:9" x14ac:dyDescent="0.25">
      <c r="A6341" s="16" t="s">
        <v>7284</v>
      </c>
      <c r="B6341" s="16" t="str">
        <f>TEXT(PARTIDA[[#This Row],[PARTIDA]],"0000000000")</f>
        <v>8425311000</v>
      </c>
      <c r="C6341" s="16" t="s">
        <v>860</v>
      </c>
      <c r="D6341" s="16" t="s">
        <v>873</v>
      </c>
      <c r="E6341" s="16" t="s">
        <v>9480</v>
      </c>
      <c r="F6341" s="27" t="s">
        <v>9392</v>
      </c>
      <c r="G6341" s="27"/>
      <c r="H6341" s="16" t="str">
        <f>IF(ISBLANK(PARTIDAS!$G6341),PARTIDAS!$F6341,CONCATENATE(PARTIDAS!$F6341," (",PARTIDAS!$G6341,")"))</f>
        <v>Tornos para el ascenso y descenso de jaulas o montacargas en pozos de minas; tornos especialmente concebidos para el interior de minas</v>
      </c>
      <c r="I6341" s="16" t="s">
        <v>9477</v>
      </c>
    </row>
    <row r="6342" spans="1:9" x14ac:dyDescent="0.25">
      <c r="A6342" s="16" t="s">
        <v>7285</v>
      </c>
      <c r="B6342" s="16" t="str">
        <f>TEXT(PARTIDA[[#This Row],[PARTIDA]],"0000000000")</f>
        <v>8425319000</v>
      </c>
      <c r="C6342" s="16" t="s">
        <v>860</v>
      </c>
      <c r="D6342" s="16" t="s">
        <v>873</v>
      </c>
      <c r="E6342" s="16" t="s">
        <v>9480</v>
      </c>
      <c r="F6342" s="27" t="s">
        <v>14624</v>
      </c>
      <c r="G6342" s="27"/>
      <c r="H6342" s="16" t="str">
        <f>IF(ISBLANK(PARTIDAS!$G6342),PARTIDAS!$F6342,CONCATENATE(PARTIDAS!$F6342," (",PARTIDAS!$G6342,")"))</f>
        <v>Tornos; cabrestantes, con motor eléctrico (los demás)</v>
      </c>
      <c r="I6342" s="16" t="s">
        <v>9427</v>
      </c>
    </row>
    <row r="6343" spans="1:9" x14ac:dyDescent="0.25">
      <c r="A6343" s="16" t="s">
        <v>7286</v>
      </c>
      <c r="B6343" s="16" t="str">
        <f>TEXT(PARTIDA[[#This Row],[PARTIDA]],"0000000000")</f>
        <v>8425391000</v>
      </c>
      <c r="C6343" s="16" t="s">
        <v>860</v>
      </c>
      <c r="D6343" s="16" t="s">
        <v>873</v>
      </c>
      <c r="E6343" s="16" t="s">
        <v>9480</v>
      </c>
      <c r="F6343" s="27" t="s">
        <v>9392</v>
      </c>
      <c r="G6343" s="27"/>
      <c r="H6343" s="16" t="str">
        <f>IF(ISBLANK(PARTIDAS!$G6343),PARTIDAS!$F6343,CONCATENATE(PARTIDAS!$F6343," (",PARTIDAS!$G6343,")"))</f>
        <v>Tornos para el ascenso y descenso de jaulas o montacargas en pozos de minas; tornos especialmente concebidos para el interior de minas</v>
      </c>
      <c r="I6343" s="16" t="s">
        <v>9427</v>
      </c>
    </row>
    <row r="6344" spans="1:9" x14ac:dyDescent="0.25">
      <c r="A6344" s="16" t="s">
        <v>7287</v>
      </c>
      <c r="B6344" s="16" t="str">
        <f>TEXT(PARTIDA[[#This Row],[PARTIDA]],"0000000000")</f>
        <v>8425399000</v>
      </c>
      <c r="C6344" s="16" t="s">
        <v>860</v>
      </c>
      <c r="D6344" s="16" t="s">
        <v>873</v>
      </c>
      <c r="E6344" s="16" t="s">
        <v>9480</v>
      </c>
      <c r="F6344" s="27" t="s">
        <v>9394</v>
      </c>
      <c r="G6344" s="27"/>
      <c r="H6344" s="16" t="str">
        <f>IF(ISBLANK(PARTIDAS!$G6344),PARTIDAS!$F6344,CONCATENATE(PARTIDAS!$F6344," (",PARTIDAS!$G6344,")"))</f>
        <v>Tornos; cabrestantes (los demás)</v>
      </c>
      <c r="I6344" s="16" t="s">
        <v>9477</v>
      </c>
    </row>
    <row r="6345" spans="1:9" x14ac:dyDescent="0.25">
      <c r="A6345" s="16" t="s">
        <v>7288</v>
      </c>
      <c r="B6345" s="16" t="str">
        <f>TEXT(PARTIDA[[#This Row],[PARTIDA]],"0000000000")</f>
        <v>8425410000</v>
      </c>
      <c r="C6345" s="16" t="s">
        <v>860</v>
      </c>
      <c r="D6345" s="16" t="s">
        <v>873</v>
      </c>
      <c r="E6345" s="16" t="s">
        <v>9480</v>
      </c>
      <c r="F6345" s="27" t="s">
        <v>14625</v>
      </c>
      <c r="G6345" s="27"/>
      <c r="H6345" s="16" t="str">
        <f>IF(ISBLANK(PARTIDAS!$G6345),PARTIDAS!$F6345,CONCATENATE(PARTIDAS!$F6345," (",PARTIDAS!$G6345,")"))</f>
        <v>Elevadores fijos para vehículos automóviles, de los tipos utilizados en talleres</v>
      </c>
      <c r="I6345" s="16" t="s">
        <v>9427</v>
      </c>
    </row>
    <row r="6346" spans="1:9" x14ac:dyDescent="0.25">
      <c r="A6346" s="16" t="s">
        <v>7289</v>
      </c>
      <c r="B6346" s="16" t="str">
        <f>TEXT(PARTIDA[[#This Row],[PARTIDA]],"0000000000")</f>
        <v>8425422000</v>
      </c>
      <c r="C6346" s="16" t="s">
        <v>860</v>
      </c>
      <c r="D6346" s="16" t="s">
        <v>873</v>
      </c>
      <c r="E6346" s="16" t="s">
        <v>9480</v>
      </c>
      <c r="F6346" s="27" t="s">
        <v>14626</v>
      </c>
      <c r="G6346" s="27"/>
      <c r="H6346" s="16" t="str">
        <f>IF(ISBLANK(PARTIDAS!$G6346),PARTIDAS!$F6346,CONCATENATE(PARTIDAS!$F6346," (",PARTIDAS!$G6346,")"))</f>
        <v>Portátiles para vehículos automóviles</v>
      </c>
      <c r="I6346" s="16" t="s">
        <v>9427</v>
      </c>
    </row>
    <row r="6347" spans="1:9" x14ac:dyDescent="0.25">
      <c r="A6347" s="16" t="s">
        <v>7290</v>
      </c>
      <c r="B6347" s="16" t="str">
        <f>TEXT(PARTIDA[[#This Row],[PARTIDA]],"0000000000")</f>
        <v>8425429000</v>
      </c>
      <c r="C6347" s="16" t="s">
        <v>860</v>
      </c>
      <c r="D6347" s="16" t="s">
        <v>873</v>
      </c>
      <c r="E6347" s="16" t="s">
        <v>9480</v>
      </c>
      <c r="F6347" s="27" t="s">
        <v>7291</v>
      </c>
      <c r="G6347" s="27" t="s">
        <v>1472</v>
      </c>
      <c r="H6347" s="16" t="str">
        <f>IF(ISBLANK(PARTIDAS!$G6347),PARTIDAS!$F6347,CONCATENATE(PARTIDAS!$F6347," (",PARTIDAS!$G6347,")"))</f>
        <v>Gatas (Verificar)</v>
      </c>
      <c r="I6347" s="16" t="s">
        <v>9427</v>
      </c>
    </row>
    <row r="6348" spans="1:9" x14ac:dyDescent="0.25">
      <c r="A6348" s="16" t="s">
        <v>7292</v>
      </c>
      <c r="B6348" s="16" t="str">
        <f>TEXT(PARTIDA[[#This Row],[PARTIDA]],"0000000000")</f>
        <v>8425491000</v>
      </c>
      <c r="C6348" s="16" t="s">
        <v>860</v>
      </c>
      <c r="D6348" s="16" t="s">
        <v>873</v>
      </c>
      <c r="E6348" s="16" t="s">
        <v>9480</v>
      </c>
      <c r="F6348" s="27" t="s">
        <v>14626</v>
      </c>
      <c r="G6348" s="27"/>
      <c r="H6348" s="16" t="str">
        <f>IF(ISBLANK(PARTIDAS!$G6348),PARTIDAS!$F6348,CONCATENATE(PARTIDAS!$F6348," (",PARTIDAS!$G6348,")"))</f>
        <v>Portátiles para vehículos automóviles</v>
      </c>
      <c r="I6348" s="16" t="s">
        <v>9427</v>
      </c>
    </row>
    <row r="6349" spans="1:9" x14ac:dyDescent="0.25">
      <c r="A6349" s="16" t="s">
        <v>7293</v>
      </c>
      <c r="B6349" s="16" t="str">
        <f>TEXT(PARTIDA[[#This Row],[PARTIDA]],"0000000000")</f>
        <v>8425499000</v>
      </c>
      <c r="C6349" s="16" t="s">
        <v>860</v>
      </c>
      <c r="D6349" s="16" t="s">
        <v>873</v>
      </c>
      <c r="E6349" s="16" t="s">
        <v>9480</v>
      </c>
      <c r="F6349" s="27" t="s">
        <v>14627</v>
      </c>
      <c r="G6349" s="27"/>
      <c r="H6349" s="16" t="str">
        <f>IF(ISBLANK(PARTIDAS!$G6349),PARTIDAS!$F6349,CONCATENATE(PARTIDAS!$F6349," (",PARTIDAS!$G6349,")"))</f>
        <v>Gatos (los demás)</v>
      </c>
      <c r="I6349" s="16" t="s">
        <v>9427</v>
      </c>
    </row>
    <row r="6350" spans="1:9" x14ac:dyDescent="0.25">
      <c r="A6350" s="16" t="s">
        <v>7294</v>
      </c>
      <c r="B6350" s="16" t="str">
        <f>TEXT(PARTIDA[[#This Row],[PARTIDA]],"0000000000")</f>
        <v>8426110000</v>
      </c>
      <c r="C6350" s="16" t="s">
        <v>860</v>
      </c>
      <c r="D6350" s="16" t="s">
        <v>873</v>
      </c>
      <c r="E6350" s="16" t="s">
        <v>9480</v>
      </c>
      <c r="F6350" s="27" t="s">
        <v>14628</v>
      </c>
      <c r="G6350" s="27"/>
      <c r="H6350" s="16" t="str">
        <f>IF(ISBLANK(PARTIDAS!$G6350),PARTIDAS!$F6350,CONCATENATE(PARTIDAS!$F6350," (",PARTIDAS!$G6350,")"))</f>
        <v>Puentes (incluidas las vigas) rodantes, sobre soporte fijo</v>
      </c>
      <c r="I6350" s="16" t="s">
        <v>9427</v>
      </c>
    </row>
    <row r="6351" spans="1:9" x14ac:dyDescent="0.25">
      <c r="A6351" s="16" t="s">
        <v>7295</v>
      </c>
      <c r="B6351" s="16" t="str">
        <f>TEXT(PARTIDA[[#This Row],[PARTIDA]],"0000000000")</f>
        <v>8426121000</v>
      </c>
      <c r="C6351" s="16" t="s">
        <v>860</v>
      </c>
      <c r="D6351" s="16" t="s">
        <v>873</v>
      </c>
      <c r="E6351" s="16" t="s">
        <v>9480</v>
      </c>
      <c r="F6351" s="27" t="s">
        <v>14629</v>
      </c>
      <c r="G6351" s="27"/>
      <c r="H6351" s="16" t="str">
        <f>IF(ISBLANK(PARTIDAS!$G6351),PARTIDAS!$F6351,CONCATENATE(PARTIDAS!$F6351," (",PARTIDAS!$G6351,")"))</f>
        <v>Pórticos móviles sobre neumáticos</v>
      </c>
      <c r="I6351" s="16" t="s">
        <v>9427</v>
      </c>
    </row>
    <row r="6352" spans="1:9" x14ac:dyDescent="0.25">
      <c r="A6352" s="16" t="s">
        <v>7296</v>
      </c>
      <c r="B6352" s="16" t="str">
        <f>TEXT(PARTIDA[[#This Row],[PARTIDA]],"0000000000")</f>
        <v>8426122000</v>
      </c>
      <c r="C6352" s="16" t="s">
        <v>860</v>
      </c>
      <c r="D6352" s="16" t="s">
        <v>873</v>
      </c>
      <c r="E6352" s="16" t="s">
        <v>9480</v>
      </c>
      <c r="F6352" s="27" t="s">
        <v>14630</v>
      </c>
      <c r="G6352" s="27"/>
      <c r="H6352" s="16" t="str">
        <f>IF(ISBLANK(PARTIDAS!$G6352),PARTIDAS!$F6352,CONCATENATE(PARTIDAS!$F6352," (",PARTIDAS!$G6352,")"))</f>
        <v>Carretillas puente</v>
      </c>
      <c r="I6352" s="16" t="s">
        <v>9427</v>
      </c>
    </row>
    <row r="6353" spans="1:9" x14ac:dyDescent="0.25">
      <c r="A6353" s="16" t="s">
        <v>7297</v>
      </c>
      <c r="B6353" s="16" t="str">
        <f>TEXT(PARTIDA[[#This Row],[PARTIDA]],"0000000000")</f>
        <v>8426190000</v>
      </c>
      <c r="C6353" s="16" t="s">
        <v>860</v>
      </c>
      <c r="D6353" s="16" t="s">
        <v>873</v>
      </c>
      <c r="E6353" s="16" t="s">
        <v>9480</v>
      </c>
      <c r="F6353" s="27" t="s">
        <v>14631</v>
      </c>
      <c r="G6353" s="27"/>
      <c r="H6353" s="16" t="str">
        <f>IF(ISBLANK(PARTIDAS!$G6353),PARTIDAS!$F6353,CONCATENATE(PARTIDAS!$F6353," (",PARTIDAS!$G6353,")"))</f>
        <v>Puentes (incluidas las vigas) rodantes, pórticos, puentes grúa y… (los demás)</v>
      </c>
      <c r="I6353" s="16" t="s">
        <v>9427</v>
      </c>
    </row>
    <row r="6354" spans="1:9" x14ac:dyDescent="0.25">
      <c r="A6354" s="16" t="s">
        <v>7298</v>
      </c>
      <c r="B6354" s="16" t="str">
        <f>TEXT(PARTIDA[[#This Row],[PARTIDA]],"0000000000")</f>
        <v>8426200000</v>
      </c>
      <c r="C6354" s="16" t="s">
        <v>860</v>
      </c>
      <c r="D6354" s="16" t="s">
        <v>873</v>
      </c>
      <c r="E6354" s="16" t="s">
        <v>9480</v>
      </c>
      <c r="F6354" s="27" t="s">
        <v>14632</v>
      </c>
      <c r="G6354" s="27"/>
      <c r="H6354" s="16" t="str">
        <f>IF(ISBLANK(PARTIDAS!$G6354),PARTIDAS!$F6354,CONCATENATE(PARTIDAS!$F6354," (",PARTIDAS!$G6354,")"))</f>
        <v>Grúas de torre</v>
      </c>
      <c r="I6354" s="16" t="s">
        <v>9427</v>
      </c>
    </row>
    <row r="6355" spans="1:9" x14ac:dyDescent="0.25">
      <c r="A6355" s="16" t="s">
        <v>7299</v>
      </c>
      <c r="B6355" s="16" t="str">
        <f>TEXT(PARTIDA[[#This Row],[PARTIDA]],"0000000000")</f>
        <v>8426300000</v>
      </c>
      <c r="C6355" s="16" t="s">
        <v>860</v>
      </c>
      <c r="D6355" s="16" t="s">
        <v>873</v>
      </c>
      <c r="E6355" s="16" t="s">
        <v>9480</v>
      </c>
      <c r="F6355" s="27" t="s">
        <v>14633</v>
      </c>
      <c r="G6355" s="27"/>
      <c r="H6355" s="16" t="str">
        <f>IF(ISBLANK(PARTIDAS!$G6355),PARTIDAS!$F6355,CONCATENATE(PARTIDAS!$F6355," (",PARTIDAS!$G6355,")"))</f>
        <v>Grúas de pórtico</v>
      </c>
      <c r="I6355" s="16" t="s">
        <v>9427</v>
      </c>
    </row>
    <row r="6356" spans="1:9" x14ac:dyDescent="0.25">
      <c r="A6356" s="16" t="s">
        <v>7300</v>
      </c>
      <c r="B6356" s="16" t="str">
        <f>TEXT(PARTIDA[[#This Row],[PARTIDA]],"0000000000")</f>
        <v>8426411000</v>
      </c>
      <c r="C6356" s="16" t="s">
        <v>860</v>
      </c>
      <c r="D6356" s="16" t="s">
        <v>873</v>
      </c>
      <c r="E6356" s="16" t="s">
        <v>9480</v>
      </c>
      <c r="F6356" s="27" t="s">
        <v>14634</v>
      </c>
      <c r="G6356" s="27"/>
      <c r="H6356" s="16" t="str">
        <f>IF(ISBLANK(PARTIDAS!$G6356),PARTIDAS!$F6356,CONCATENATE(PARTIDAS!$F6356," (",PARTIDAS!$G6356,")"))</f>
        <v>Carretillas grúa</v>
      </c>
      <c r="I6356" s="16" t="s">
        <v>9427</v>
      </c>
    </row>
    <row r="6357" spans="1:9" x14ac:dyDescent="0.25">
      <c r="A6357" s="16" t="s">
        <v>7301</v>
      </c>
      <c r="B6357" s="16" t="str">
        <f>TEXT(PARTIDA[[#This Row],[PARTIDA]],"0000000000")</f>
        <v>8426419000</v>
      </c>
      <c r="C6357" s="16" t="s">
        <v>860</v>
      </c>
      <c r="D6357" s="16" t="s">
        <v>873</v>
      </c>
      <c r="E6357" s="16" t="s">
        <v>9480</v>
      </c>
      <c r="F6357" s="27" t="s">
        <v>14635</v>
      </c>
      <c r="G6357" s="27"/>
      <c r="H6357" s="16" t="str">
        <f>IF(ISBLANK(PARTIDAS!$G6357),PARTIDAS!$F6357,CONCATENATE(PARTIDAS!$F6357," (",PARTIDAS!$G6357,")"))</f>
        <v>Sobre neumáticos (los demás)</v>
      </c>
      <c r="I6357" s="16" t="s">
        <v>9427</v>
      </c>
    </row>
    <row r="6358" spans="1:9" x14ac:dyDescent="0.25">
      <c r="A6358" s="16" t="s">
        <v>7302</v>
      </c>
      <c r="B6358" s="16" t="str">
        <f>TEXT(PARTIDA[[#This Row],[PARTIDA]],"0000000000")</f>
        <v>8426490000</v>
      </c>
      <c r="C6358" s="16" t="s">
        <v>860</v>
      </c>
      <c r="D6358" s="16" t="s">
        <v>873</v>
      </c>
      <c r="E6358" s="16" t="s">
        <v>9480</v>
      </c>
      <c r="F6358" s="27" t="s">
        <v>14636</v>
      </c>
      <c r="G6358" s="27"/>
      <c r="H6358" s="16" t="str">
        <f>IF(ISBLANK(PARTIDAS!$G6358),PARTIDAS!$F6358,CONCATENATE(PARTIDAS!$F6358," (",PARTIDAS!$G6358,")"))</f>
        <v>Grúas y aparatos de elevación sobre cable aéreo (los demás)</v>
      </c>
      <c r="I6358" s="16" t="s">
        <v>9427</v>
      </c>
    </row>
    <row r="6359" spans="1:9" x14ac:dyDescent="0.25">
      <c r="A6359" s="16" t="s">
        <v>7303</v>
      </c>
      <c r="B6359" s="16" t="str">
        <f>TEXT(PARTIDA[[#This Row],[PARTIDA]],"0000000000")</f>
        <v>8426910000</v>
      </c>
      <c r="C6359" s="16" t="s">
        <v>860</v>
      </c>
      <c r="D6359" s="16" t="s">
        <v>873</v>
      </c>
      <c r="E6359" s="16" t="s">
        <v>9480</v>
      </c>
      <c r="F6359" s="27" t="s">
        <v>14637</v>
      </c>
      <c r="G6359" s="27"/>
      <c r="H6359" s="16" t="str">
        <f>IF(ISBLANK(PARTIDAS!$G6359),PARTIDAS!$F6359,CONCATENATE(PARTIDAS!$F6359," (",PARTIDAS!$G6359,")"))</f>
        <v>Diseñados para montarlos sobre vehículos de carretera</v>
      </c>
      <c r="I6359" s="16" t="s">
        <v>9427</v>
      </c>
    </row>
    <row r="6360" spans="1:9" x14ac:dyDescent="0.25">
      <c r="A6360" s="16" t="s">
        <v>7304</v>
      </c>
      <c r="B6360" s="16" t="str">
        <f>TEXT(PARTIDA[[#This Row],[PARTIDA]],"0000000000")</f>
        <v>8426991000</v>
      </c>
      <c r="C6360" s="16" t="s">
        <v>860</v>
      </c>
      <c r="D6360" s="16" t="s">
        <v>873</v>
      </c>
      <c r="E6360" s="16" t="s">
        <v>9480</v>
      </c>
      <c r="F6360" s="27" t="s">
        <v>7305</v>
      </c>
      <c r="G6360" s="27"/>
      <c r="H6360" s="16" t="str">
        <f>IF(ISBLANK(PARTIDAS!$G6360),PARTIDAS!$F6360,CONCATENATE(PARTIDAS!$F6360," (",PARTIDAS!$G6360,")"))</f>
        <v>Cables aéreos</v>
      </c>
      <c r="I6360" s="16" t="s">
        <v>9427</v>
      </c>
    </row>
    <row r="6361" spans="1:9" x14ac:dyDescent="0.25">
      <c r="A6361" s="16" t="s">
        <v>7306</v>
      </c>
      <c r="B6361" s="16" t="str">
        <f>TEXT(PARTIDA[[#This Row],[PARTIDA]],"0000000000")</f>
        <v>8426992000</v>
      </c>
      <c r="C6361" s="16" t="s">
        <v>860</v>
      </c>
      <c r="D6361" s="16" t="s">
        <v>873</v>
      </c>
      <c r="E6361" s="16" t="s">
        <v>9480</v>
      </c>
      <c r="F6361" s="27" t="s">
        <v>14638</v>
      </c>
      <c r="G6361" s="27"/>
      <c r="H6361" s="16" t="str">
        <f>IF(ISBLANK(PARTIDAS!$G6361),PARTIDAS!$F6361,CONCATENATE(PARTIDAS!$F6361," (",PARTIDAS!$G6361,")"))</f>
        <v>Grúas de tijera («derricks»)</v>
      </c>
      <c r="I6361" s="16" t="s">
        <v>9427</v>
      </c>
    </row>
    <row r="6362" spans="1:9" x14ac:dyDescent="0.25">
      <c r="A6362" s="16" t="s">
        <v>7307</v>
      </c>
      <c r="B6362" s="16" t="str">
        <f>TEXT(PARTIDA[[#This Row],[PARTIDA]],"0000000000")</f>
        <v>8426999000</v>
      </c>
      <c r="C6362" s="16" t="s">
        <v>860</v>
      </c>
      <c r="D6362" s="16" t="s">
        <v>873</v>
      </c>
      <c r="E6362" s="16" t="s">
        <v>9480</v>
      </c>
      <c r="F6362" s="27" t="s">
        <v>14636</v>
      </c>
      <c r="G6362" s="27"/>
      <c r="H6362" s="16" t="str">
        <f>IF(ISBLANK(PARTIDAS!$G6362),PARTIDAS!$F6362,CONCATENATE(PARTIDAS!$F6362," (",PARTIDAS!$G6362,")"))</f>
        <v>Grúas y aparatos de elevación sobre cable aéreo (los demás)</v>
      </c>
      <c r="I6362" s="16" t="s">
        <v>9427</v>
      </c>
    </row>
    <row r="6363" spans="1:9" x14ac:dyDescent="0.25">
      <c r="A6363" s="16" t="s">
        <v>7308</v>
      </c>
      <c r="B6363" s="16" t="str">
        <f>TEXT(PARTIDA[[#This Row],[PARTIDA]],"0000000000")</f>
        <v>8427100000</v>
      </c>
      <c r="C6363" s="16" t="s">
        <v>860</v>
      </c>
      <c r="D6363" s="16" t="s">
        <v>873</v>
      </c>
      <c r="E6363" s="16" t="s">
        <v>9480</v>
      </c>
      <c r="F6363" s="27" t="s">
        <v>14639</v>
      </c>
      <c r="G6363" s="27"/>
      <c r="H6363" s="16" t="str">
        <f>IF(ISBLANK(PARTIDAS!$G6363),PARTIDAS!$F6363,CONCATENATE(PARTIDAS!$F6363," (",PARTIDAS!$G6363,")"))</f>
        <v>Carretillas autopropulsadas con motor eléctrico</v>
      </c>
      <c r="I6363" s="16" t="s">
        <v>9427</v>
      </c>
    </row>
    <row r="6364" spans="1:9" x14ac:dyDescent="0.25">
      <c r="A6364" s="16" t="s">
        <v>7309</v>
      </c>
      <c r="B6364" s="16" t="str">
        <f>TEXT(PARTIDA[[#This Row],[PARTIDA]],"0000000000")</f>
        <v>8427200000</v>
      </c>
      <c r="C6364" s="16" t="s">
        <v>860</v>
      </c>
      <c r="D6364" s="16" t="s">
        <v>873</v>
      </c>
      <c r="E6364" s="16" t="s">
        <v>9480</v>
      </c>
      <c r="F6364" s="27" t="s">
        <v>7310</v>
      </c>
      <c r="G6364" s="27"/>
      <c r="H6364" s="16" t="str">
        <f>IF(ISBLANK(PARTIDAS!$G6364),PARTIDAS!$F6364,CONCATENATE(PARTIDAS!$F6364," (",PARTIDAS!$G6364,")"))</f>
        <v>Carretillas autopropulsadas</v>
      </c>
      <c r="I6364" s="16" t="s">
        <v>9427</v>
      </c>
    </row>
    <row r="6365" spans="1:9" x14ac:dyDescent="0.25">
      <c r="A6365" s="16" t="s">
        <v>7311</v>
      </c>
      <c r="B6365" s="16" t="str">
        <f>TEXT(PARTIDA[[#This Row],[PARTIDA]],"0000000000")</f>
        <v>8427900000</v>
      </c>
      <c r="C6365" s="16" t="s">
        <v>860</v>
      </c>
      <c r="D6365" s="16" t="s">
        <v>873</v>
      </c>
      <c r="E6365" s="16" t="s">
        <v>9480</v>
      </c>
      <c r="F6365" s="27" t="s">
        <v>14640</v>
      </c>
      <c r="G6365" s="27"/>
      <c r="H6365" s="16" t="str">
        <f>IF(ISBLANK(PARTIDAS!$G6365),PARTIDAS!$F6365,CONCATENATE(PARTIDAS!$F6365," (",PARTIDAS!$G6365,")"))</f>
        <v>Carretillas apiladoras (los demás, carretillas)</v>
      </c>
      <c r="I6365" s="16" t="s">
        <v>9427</v>
      </c>
    </row>
    <row r="6366" spans="1:9" x14ac:dyDescent="0.25">
      <c r="A6366" s="16" t="s">
        <v>7312</v>
      </c>
      <c r="B6366" s="16" t="str">
        <f>TEXT(PARTIDA[[#This Row],[PARTIDA]],"0000000000")</f>
        <v>8428101000</v>
      </c>
      <c r="C6366" s="16" t="s">
        <v>860</v>
      </c>
      <c r="D6366" s="16" t="s">
        <v>873</v>
      </c>
      <c r="E6366" s="16" t="s">
        <v>9480</v>
      </c>
      <c r="F6366" s="27" t="s">
        <v>14641</v>
      </c>
      <c r="G6366" s="27"/>
      <c r="H6366" s="16" t="str">
        <f>IF(ISBLANK(PARTIDAS!$G6366),PARTIDAS!$F6366,CONCATENATE(PARTIDAS!$F6366," (",PARTIDAS!$G6366,")"))</f>
        <v>Ascensores sin cabina ni contrapeso</v>
      </c>
      <c r="I6366" s="16" t="s">
        <v>9427</v>
      </c>
    </row>
    <row r="6367" spans="1:9" x14ac:dyDescent="0.25">
      <c r="A6367" s="16" t="s">
        <v>7313</v>
      </c>
      <c r="B6367" s="16" t="str">
        <f>TEXT(PARTIDA[[#This Row],[PARTIDA]],"0000000000")</f>
        <v>8428109000</v>
      </c>
      <c r="C6367" s="16" t="s">
        <v>860</v>
      </c>
      <c r="D6367" s="16" t="s">
        <v>873</v>
      </c>
      <c r="E6367" s="16" t="s">
        <v>9480</v>
      </c>
      <c r="F6367" s="27" t="s">
        <v>14642</v>
      </c>
      <c r="G6367" s="27"/>
      <c r="H6367" s="16" t="str">
        <f>IF(ISBLANK(PARTIDAS!$G6367),PARTIDAS!$F6367,CONCATENATE(PARTIDAS!$F6367," (",PARTIDAS!$G6367,")"))</f>
        <v>Ascensores y montacargas (los demás)</v>
      </c>
      <c r="I6367" s="16" t="s">
        <v>9427</v>
      </c>
    </row>
    <row r="6368" spans="1:9" x14ac:dyDescent="0.25">
      <c r="A6368" s="16" t="s">
        <v>7314</v>
      </c>
      <c r="B6368" s="16" t="str">
        <f>TEXT(PARTIDA[[#This Row],[PARTIDA]],"0000000000")</f>
        <v>8428200000</v>
      </c>
      <c r="C6368" s="16" t="s">
        <v>860</v>
      </c>
      <c r="D6368" s="16" t="s">
        <v>873</v>
      </c>
      <c r="E6368" s="16" t="s">
        <v>9480</v>
      </c>
      <c r="F6368" s="27" t="s">
        <v>14643</v>
      </c>
      <c r="G6368" s="27"/>
      <c r="H6368" s="16" t="str">
        <f>IF(ISBLANK(PARTIDAS!$G6368),PARTIDAS!$F6368,CONCATENATE(PARTIDAS!$F6368," (",PARTIDAS!$G6368,")"))</f>
        <v>Aparatos elevadores o transportadores, neumáticos</v>
      </c>
      <c r="I6368" s="16" t="s">
        <v>9427</v>
      </c>
    </row>
    <row r="6369" spans="1:9" x14ac:dyDescent="0.25">
      <c r="A6369" s="16" t="s">
        <v>7315</v>
      </c>
      <c r="B6369" s="16" t="str">
        <f>TEXT(PARTIDA[[#This Row],[PARTIDA]],"0000000000")</f>
        <v>8428310000</v>
      </c>
      <c r="C6369" s="16" t="s">
        <v>860</v>
      </c>
      <c r="D6369" s="16" t="s">
        <v>873</v>
      </c>
      <c r="E6369" s="16" t="s">
        <v>9480</v>
      </c>
      <c r="F6369" s="27" t="s">
        <v>14644</v>
      </c>
      <c r="G6369" s="27"/>
      <c r="H6369" s="16" t="str">
        <f>IF(ISBLANK(PARTIDAS!$G6369),PARTIDAS!$F6369,CONCATENATE(PARTIDAS!$F6369," (",PARTIDAS!$G6369,")"))</f>
        <v>Especialmente diseñados para el interior de minas u otros trabajos subterráneos</v>
      </c>
      <c r="I6369" s="16" t="s">
        <v>9427</v>
      </c>
    </row>
    <row r="6370" spans="1:9" x14ac:dyDescent="0.25">
      <c r="A6370" s="16" t="s">
        <v>7316</v>
      </c>
      <c r="B6370" s="16" t="str">
        <f>TEXT(PARTIDA[[#This Row],[PARTIDA]],"0000000000")</f>
        <v>8428320000</v>
      </c>
      <c r="C6370" s="16" t="s">
        <v>860</v>
      </c>
      <c r="D6370" s="16" t="s">
        <v>873</v>
      </c>
      <c r="E6370" s="16" t="s">
        <v>9480</v>
      </c>
      <c r="F6370" s="27" t="s">
        <v>14645</v>
      </c>
      <c r="G6370" s="27"/>
      <c r="H6370" s="16" t="str">
        <f>IF(ISBLANK(PARTIDAS!$G6370),PARTIDAS!$F6370,CONCATENATE(PARTIDAS!$F6370," (",PARTIDAS!$G6370,")"))</f>
        <v>Reactores nucleares, calderas, máquinas, aparatos y artefactos… (los demás, de cangilones)</v>
      </c>
      <c r="I6370" s="16" t="s">
        <v>9427</v>
      </c>
    </row>
    <row r="6371" spans="1:9" x14ac:dyDescent="0.25">
      <c r="A6371" s="16" t="s">
        <v>7317</v>
      </c>
      <c r="B6371" s="16" t="str">
        <f>TEXT(PARTIDA[[#This Row],[PARTIDA]],"0000000000")</f>
        <v>8428330000</v>
      </c>
      <c r="C6371" s="16" t="s">
        <v>860</v>
      </c>
      <c r="D6371" s="16" t="s">
        <v>873</v>
      </c>
      <c r="E6371" s="16" t="s">
        <v>9480</v>
      </c>
      <c r="F6371" s="27" t="s">
        <v>14646</v>
      </c>
      <c r="G6371" s="27"/>
      <c r="H6371" s="16" t="str">
        <f>IF(ISBLANK(PARTIDAS!$G6371),PARTIDAS!$F6371,CONCATENATE(PARTIDAS!$F6371," (",PARTIDAS!$G6371,")"))</f>
        <v>Reactores nucleares, calderas, máquinas, aparatos y artefactos… (los demás, de banda o correa)</v>
      </c>
      <c r="I6371" s="16" t="s">
        <v>9427</v>
      </c>
    </row>
    <row r="6372" spans="1:9" x14ac:dyDescent="0.25">
      <c r="A6372" s="16" t="s">
        <v>7318</v>
      </c>
      <c r="B6372" s="16" t="str">
        <f>TEXT(PARTIDA[[#This Row],[PARTIDA]],"0000000000")</f>
        <v>8428390000</v>
      </c>
      <c r="C6372" s="16" t="s">
        <v>860</v>
      </c>
      <c r="D6372" s="16" t="s">
        <v>873</v>
      </c>
      <c r="E6372" s="16" t="s">
        <v>9480</v>
      </c>
      <c r="F6372" s="27" t="s">
        <v>7097</v>
      </c>
      <c r="G6372" s="27"/>
      <c r="H6372" s="16" t="str">
        <f>IF(ISBLANK(PARTIDAS!$G6372),PARTIDAS!$F6372,CONCATENATE(PARTIDAS!$F6372," (",PARTIDAS!$G6372,")"))</f>
        <v>Partes de máquinas</v>
      </c>
      <c r="I6372" s="16" t="s">
        <v>9427</v>
      </c>
    </row>
    <row r="6373" spans="1:9" x14ac:dyDescent="0.25">
      <c r="A6373" s="16" t="s">
        <v>7319</v>
      </c>
      <c r="B6373" s="16" t="str">
        <f>TEXT(PARTIDA[[#This Row],[PARTIDA]],"0000000000")</f>
        <v>8428400000</v>
      </c>
      <c r="C6373" s="16" t="s">
        <v>860</v>
      </c>
      <c r="D6373" s="16" t="s">
        <v>873</v>
      </c>
      <c r="E6373" s="16" t="s">
        <v>9480</v>
      </c>
      <c r="F6373" s="27" t="s">
        <v>14647</v>
      </c>
      <c r="G6373" s="27"/>
      <c r="H6373" s="16" t="str">
        <f>IF(ISBLANK(PARTIDAS!$G6373),PARTIDAS!$F6373,CONCATENATE(PARTIDAS!$F6373," (",PARTIDAS!$G6373,")"))</f>
        <v>Escaleras mecánicas y pasillos móviles</v>
      </c>
      <c r="I6373" s="16" t="s">
        <v>9427</v>
      </c>
    </row>
    <row r="6374" spans="1:9" x14ac:dyDescent="0.25">
      <c r="A6374" s="16" t="s">
        <v>7320</v>
      </c>
      <c r="B6374" s="16" t="str">
        <f>TEXT(PARTIDA[[#This Row],[PARTIDA]],"0000000000")</f>
        <v>8428600000</v>
      </c>
      <c r="C6374" s="16" t="s">
        <v>860</v>
      </c>
      <c r="D6374" s="16" t="s">
        <v>873</v>
      </c>
      <c r="E6374" s="16" t="s">
        <v>9480</v>
      </c>
      <c r="F6374" s="27" t="s">
        <v>14648</v>
      </c>
      <c r="G6374" s="27"/>
      <c r="H6374" s="16" t="str">
        <f>IF(ISBLANK(PARTIDAS!$G6374),PARTIDAS!$F6374,CONCATENATE(PARTIDAS!$F6374," (",PARTIDAS!$G6374,")"))</f>
        <v>Teleféricos (incluidos las telesillas y los telesquís); mecanismos de tracción para funiculares</v>
      </c>
      <c r="I6374" s="16" t="s">
        <v>9427</v>
      </c>
    </row>
    <row r="6375" spans="1:9" x14ac:dyDescent="0.25">
      <c r="A6375" s="16" t="s">
        <v>14649</v>
      </c>
      <c r="B6375" s="16" t="str">
        <f>TEXT(PARTIDA[[#This Row],[PARTIDA]],"0000000000")</f>
        <v>8428700000</v>
      </c>
      <c r="C6375" s="16" t="s">
        <v>860</v>
      </c>
      <c r="D6375" s="16" t="s">
        <v>873</v>
      </c>
      <c r="E6375" s="16" t="s">
        <v>9480</v>
      </c>
      <c r="F6375" s="27" t="s">
        <v>14650</v>
      </c>
      <c r="G6375" s="27"/>
      <c r="H6375" s="16" t="str">
        <f>IF(ISBLANK(PARTIDAS!$G6375),PARTIDAS!$F6375,CONCATENATE(PARTIDAS!$F6375," (",PARTIDAS!$G6375,")"))</f>
        <v>Robots industriales</v>
      </c>
      <c r="I6375" s="16" t="s">
        <v>9427</v>
      </c>
    </row>
    <row r="6376" spans="1:9" x14ac:dyDescent="0.25">
      <c r="A6376" s="16" t="s">
        <v>7321</v>
      </c>
      <c r="B6376" s="16" t="str">
        <f>TEXT(PARTIDA[[#This Row],[PARTIDA]],"0000000000")</f>
        <v>8428901000</v>
      </c>
      <c r="C6376" s="16" t="s">
        <v>860</v>
      </c>
      <c r="D6376" s="16" t="s">
        <v>873</v>
      </c>
      <c r="E6376" s="16" t="s">
        <v>9480</v>
      </c>
      <c r="F6376" s="27" t="s">
        <v>14651</v>
      </c>
      <c r="G6376" s="27"/>
      <c r="H6376" s="16" t="str">
        <f>IF(ISBLANK(PARTIDAS!$G6376),PARTIDAS!$F6376,CONCATENATE(PARTIDAS!$F6376," (",PARTIDAS!$G6376,")"))</f>
        <v>Empujadores de vagonetas de minas, carros transbordadores, basculadores y volteadores, de vagones, de vagonetas, etc. e instalaciones similares para l</v>
      </c>
      <c r="I6376" s="16" t="s">
        <v>9427</v>
      </c>
    </row>
    <row r="6377" spans="1:9" x14ac:dyDescent="0.25">
      <c r="A6377" s="16" t="s">
        <v>7322</v>
      </c>
      <c r="B6377" s="16" t="str">
        <f>TEXT(PARTIDA[[#This Row],[PARTIDA]],"0000000000")</f>
        <v>8428909000</v>
      </c>
      <c r="C6377" s="16" t="s">
        <v>860</v>
      </c>
      <c r="D6377" s="16" t="s">
        <v>873</v>
      </c>
      <c r="E6377" s="16" t="s">
        <v>9480</v>
      </c>
      <c r="F6377" s="27" t="s">
        <v>14463</v>
      </c>
      <c r="G6377" s="27"/>
      <c r="H6377" s="16" t="str">
        <f>IF(ISBLANK(PARTIDAS!$G6377),PARTIDAS!$F6377,CONCATENATE(PARTIDAS!$F6377," (",PARTIDAS!$G6377,")"))</f>
        <v>Reactores nucleares, calderas, máquinas, aparatos y artefactos… (los demás)</v>
      </c>
      <c r="I6377" s="16" t="s">
        <v>9427</v>
      </c>
    </row>
    <row r="6378" spans="1:9" x14ac:dyDescent="0.25">
      <c r="A6378" s="16" t="s">
        <v>7323</v>
      </c>
      <c r="B6378" s="16" t="str">
        <f>TEXT(PARTIDA[[#This Row],[PARTIDA]],"0000000000")</f>
        <v>8429110000</v>
      </c>
      <c r="C6378" s="16" t="s">
        <v>860</v>
      </c>
      <c r="D6378" s="16" t="s">
        <v>873</v>
      </c>
      <c r="E6378" s="16" t="s">
        <v>9480</v>
      </c>
      <c r="F6378" s="27" t="s">
        <v>14652</v>
      </c>
      <c r="G6378" s="27"/>
      <c r="H6378" s="16" t="str">
        <f>IF(ISBLANK(PARTIDAS!$G6378),PARTIDAS!$F6378,CONCATENATE(PARTIDAS!$F6378," (",PARTIDAS!$G6378,")"))</f>
        <v>Topadoras frontales (buldóceres) y topadoras angulares («angledozers»), de orugas</v>
      </c>
      <c r="I6378" s="16" t="s">
        <v>9427</v>
      </c>
    </row>
    <row r="6379" spans="1:9" x14ac:dyDescent="0.25">
      <c r="A6379" s="16" t="s">
        <v>7324</v>
      </c>
      <c r="B6379" s="16" t="str">
        <f>TEXT(PARTIDA[[#This Row],[PARTIDA]],"0000000000")</f>
        <v>8429190000</v>
      </c>
      <c r="C6379" s="16" t="s">
        <v>860</v>
      </c>
      <c r="D6379" s="16" t="s">
        <v>873</v>
      </c>
      <c r="E6379" s="16" t="s">
        <v>9480</v>
      </c>
      <c r="F6379" s="27" t="s">
        <v>14653</v>
      </c>
      <c r="G6379" s="27"/>
      <c r="H6379" s="16" t="str">
        <f>IF(ISBLANK(PARTIDAS!$G6379),PARTIDAS!$F6379,CONCATENATE(PARTIDAS!$F6379," (",PARTIDAS!$G6379,")"))</f>
        <v>Topadoras frontales (buldóceres) y topadoras angulares («angledozers») (los demás)</v>
      </c>
      <c r="I6379" s="16" t="s">
        <v>9427</v>
      </c>
    </row>
    <row r="6380" spans="1:9" x14ac:dyDescent="0.25">
      <c r="A6380" s="16" t="s">
        <v>7325</v>
      </c>
      <c r="B6380" s="16" t="str">
        <f>TEXT(PARTIDA[[#This Row],[PARTIDA]],"0000000000")</f>
        <v>8429200000</v>
      </c>
      <c r="C6380" s="16" t="s">
        <v>860</v>
      </c>
      <c r="D6380" s="16" t="s">
        <v>873</v>
      </c>
      <c r="E6380" s="16" t="s">
        <v>9480</v>
      </c>
      <c r="F6380" s="27" t="s">
        <v>14654</v>
      </c>
      <c r="G6380" s="27"/>
      <c r="H6380" s="16" t="str">
        <f>IF(ISBLANK(PARTIDAS!$G6380),PARTIDAS!$F6380,CONCATENATE(PARTIDAS!$F6380," (",PARTIDAS!$G6380,")"))</f>
        <v>Niveladoras</v>
      </c>
      <c r="I6380" s="16" t="s">
        <v>9427</v>
      </c>
    </row>
    <row r="6381" spans="1:9" x14ac:dyDescent="0.25">
      <c r="A6381" s="16" t="s">
        <v>7326</v>
      </c>
      <c r="B6381" s="16" t="str">
        <f>TEXT(PARTIDA[[#This Row],[PARTIDA]],"0000000000")</f>
        <v>8429300000</v>
      </c>
      <c r="C6381" s="16" t="s">
        <v>860</v>
      </c>
      <c r="D6381" s="16" t="s">
        <v>873</v>
      </c>
      <c r="E6381" s="16" t="s">
        <v>9480</v>
      </c>
      <c r="F6381" s="27" t="s">
        <v>14655</v>
      </c>
      <c r="G6381" s="27"/>
      <c r="H6381" s="16" t="str">
        <f>IF(ISBLANK(PARTIDAS!$G6381),PARTIDAS!$F6381,CONCATENATE(PARTIDAS!$F6381," (",PARTIDAS!$G6381,")"))</f>
        <v>Traíllas («scrapers»)</v>
      </c>
      <c r="I6381" s="16" t="s">
        <v>9427</v>
      </c>
    </row>
    <row r="6382" spans="1:9" x14ac:dyDescent="0.25">
      <c r="A6382" s="16" t="s">
        <v>7327</v>
      </c>
      <c r="B6382" s="16" t="str">
        <f>TEXT(PARTIDA[[#This Row],[PARTIDA]],"0000000000")</f>
        <v>8429400000</v>
      </c>
      <c r="C6382" s="16" t="s">
        <v>860</v>
      </c>
      <c r="D6382" s="16" t="s">
        <v>873</v>
      </c>
      <c r="E6382" s="16" t="s">
        <v>9480</v>
      </c>
      <c r="F6382" s="27" t="s">
        <v>9209</v>
      </c>
      <c r="G6382" s="27"/>
      <c r="H6382" s="16" t="str">
        <f>IF(ISBLANK(PARTIDAS!$G6382),PARTIDAS!$F6382,CONCATENATE(PARTIDAS!$F6382," (",PARTIDAS!$G6382,")"))</f>
        <v>Compactadoras y apisonadoras (aplanadoras)</v>
      </c>
      <c r="I6382" s="16" t="s">
        <v>9477</v>
      </c>
    </row>
    <row r="6383" spans="1:9" x14ac:dyDescent="0.25">
      <c r="A6383" s="16" t="s">
        <v>7328</v>
      </c>
      <c r="B6383" s="16" t="str">
        <f>TEXT(PARTIDA[[#This Row],[PARTIDA]],"0000000000")</f>
        <v>8429510000</v>
      </c>
      <c r="C6383" s="16" t="s">
        <v>860</v>
      </c>
      <c r="D6383" s="16" t="s">
        <v>873</v>
      </c>
      <c r="E6383" s="16" t="s">
        <v>9480</v>
      </c>
      <c r="F6383" s="27" t="s">
        <v>9189</v>
      </c>
      <c r="G6383" s="27"/>
      <c r="H6383" s="16" t="str">
        <f>IF(ISBLANK(PARTIDAS!$G6383),PARTIDAS!$F6383,CONCATENATE(PARTIDAS!$F6383," (",PARTIDAS!$G6383,")"))</f>
        <v>Cargadoras y palas cargadoras de carga frontal</v>
      </c>
      <c r="I6383" s="16" t="s">
        <v>9477</v>
      </c>
    </row>
    <row r="6384" spans="1:9" x14ac:dyDescent="0.25">
      <c r="A6384" s="16" t="s">
        <v>7329</v>
      </c>
      <c r="B6384" s="16" t="str">
        <f>TEXT(PARTIDA[[#This Row],[PARTIDA]],"0000000000")</f>
        <v>8429520000</v>
      </c>
      <c r="C6384" s="16" t="s">
        <v>860</v>
      </c>
      <c r="D6384" s="16" t="s">
        <v>873</v>
      </c>
      <c r="E6384" s="16" t="s">
        <v>9480</v>
      </c>
      <c r="F6384" s="27" t="s">
        <v>14656</v>
      </c>
      <c r="G6384" s="27"/>
      <c r="H6384" s="16" t="str">
        <f>IF(ISBLANK(PARTIDAS!$G6384),PARTIDAS!$F6384,CONCATENATE(PARTIDAS!$F6384," (",PARTIDAS!$G6384,")"))</f>
        <v>Máquinas cuya superestructura pueda girar 360°</v>
      </c>
      <c r="I6384" s="16" t="s">
        <v>9427</v>
      </c>
    </row>
    <row r="6385" spans="1:9" x14ac:dyDescent="0.25">
      <c r="A6385" s="16" t="s">
        <v>7330</v>
      </c>
      <c r="B6385" s="16" t="str">
        <f>TEXT(PARTIDA[[#This Row],[PARTIDA]],"0000000000")</f>
        <v>8429590000</v>
      </c>
      <c r="C6385" s="16" t="s">
        <v>860</v>
      </c>
      <c r="D6385" s="16" t="s">
        <v>873</v>
      </c>
      <c r="E6385" s="16" t="s">
        <v>9480</v>
      </c>
      <c r="F6385" s="27" t="s">
        <v>9330</v>
      </c>
      <c r="G6385" s="27"/>
      <c r="H6385" s="16" t="str">
        <f>IF(ISBLANK(PARTIDAS!$G6385),PARTIDAS!$F6385,CONCATENATE(PARTIDAS!$F6385," (",PARTIDAS!$G6385,")"))</f>
        <v>Palas mecánicas, excavadoras, cargadoras y palas cargadoras (los demás)</v>
      </c>
      <c r="I6385" s="16" t="s">
        <v>9477</v>
      </c>
    </row>
    <row r="6386" spans="1:9" x14ac:dyDescent="0.25">
      <c r="A6386" s="16" t="s">
        <v>7331</v>
      </c>
      <c r="B6386" s="16" t="str">
        <f>TEXT(PARTIDA[[#This Row],[PARTIDA]],"0000000000")</f>
        <v>8430100000</v>
      </c>
      <c r="C6386" s="16" t="s">
        <v>860</v>
      </c>
      <c r="D6386" s="16" t="s">
        <v>873</v>
      </c>
      <c r="E6386" s="16" t="s">
        <v>9480</v>
      </c>
      <c r="F6386" s="27" t="s">
        <v>14657</v>
      </c>
      <c r="G6386" s="27"/>
      <c r="H6386" s="16" t="str">
        <f>IF(ISBLANK(PARTIDAS!$G6386),PARTIDAS!$F6386,CONCATENATE(PARTIDAS!$F6386," (",PARTIDAS!$G6386,")"))</f>
        <v>Martinetes y máquinas para arrancar pilotes, estacas o similares</v>
      </c>
      <c r="I6386" s="16" t="s">
        <v>9427</v>
      </c>
    </row>
    <row r="6387" spans="1:9" x14ac:dyDescent="0.25">
      <c r="A6387" s="16" t="s">
        <v>7332</v>
      </c>
      <c r="B6387" s="16" t="str">
        <f>TEXT(PARTIDA[[#This Row],[PARTIDA]],"0000000000")</f>
        <v>8430200000</v>
      </c>
      <c r="C6387" s="16" t="s">
        <v>860</v>
      </c>
      <c r="D6387" s="16" t="s">
        <v>873</v>
      </c>
      <c r="E6387" s="16" t="s">
        <v>9480</v>
      </c>
      <c r="F6387" s="27" t="s">
        <v>14658</v>
      </c>
      <c r="G6387" s="27"/>
      <c r="H6387" s="16" t="str">
        <f>IF(ISBLANK(PARTIDAS!$G6387),PARTIDAS!$F6387,CONCATENATE(PARTIDAS!$F6387," (",PARTIDAS!$G6387,")"))</f>
        <v>Quitanieves</v>
      </c>
      <c r="I6387" s="16" t="s">
        <v>9427</v>
      </c>
    </row>
    <row r="6388" spans="1:9" x14ac:dyDescent="0.25">
      <c r="A6388" s="16" t="s">
        <v>7333</v>
      </c>
      <c r="B6388" s="16" t="str">
        <f>TEXT(PARTIDA[[#This Row],[PARTIDA]],"0000000000")</f>
        <v>8430310000</v>
      </c>
      <c r="C6388" s="16" t="s">
        <v>860</v>
      </c>
      <c r="D6388" s="16" t="s">
        <v>873</v>
      </c>
      <c r="E6388" s="16" t="s">
        <v>9480</v>
      </c>
      <c r="F6388" s="27" t="s">
        <v>14659</v>
      </c>
      <c r="G6388" s="27"/>
      <c r="H6388" s="16" t="str">
        <f>IF(ISBLANK(PARTIDAS!$G6388),PARTIDAS!$F6388,CONCATENATE(PARTIDAS!$F6388," (",PARTIDAS!$G6388,")"))</f>
        <v>Cortadoras y arrancadoras, de carbón o rocas, y máquinas para hacer…, autopropulsadas</v>
      </c>
      <c r="I6388" s="16" t="s">
        <v>9427</v>
      </c>
    </row>
    <row r="6389" spans="1:9" x14ac:dyDescent="0.25">
      <c r="A6389" s="16" t="s">
        <v>7334</v>
      </c>
      <c r="B6389" s="16" t="str">
        <f>TEXT(PARTIDA[[#This Row],[PARTIDA]],"0000000000")</f>
        <v>8430390000</v>
      </c>
      <c r="C6389" s="16" t="s">
        <v>860</v>
      </c>
      <c r="D6389" s="16" t="s">
        <v>873</v>
      </c>
      <c r="E6389" s="16" t="s">
        <v>9480</v>
      </c>
      <c r="F6389" s="27" t="s">
        <v>14660</v>
      </c>
      <c r="G6389" s="27"/>
      <c r="H6389" s="16" t="str">
        <f>IF(ISBLANK(PARTIDAS!$G6389),PARTIDAS!$F6389,CONCATENATE(PARTIDAS!$F6389," (",PARTIDAS!$G6389,")"))</f>
        <v>Cortadoras y arrancadoras, de carbón o rocas, y máquinas para hacer… (los demás)</v>
      </c>
      <c r="I6389" s="16" t="s">
        <v>9427</v>
      </c>
    </row>
    <row r="6390" spans="1:9" x14ac:dyDescent="0.25">
      <c r="A6390" s="16" t="s">
        <v>7335</v>
      </c>
      <c r="B6390" s="16" t="str">
        <f>TEXT(PARTIDA[[#This Row],[PARTIDA]],"0000000000")</f>
        <v>8430410000</v>
      </c>
      <c r="C6390" s="16" t="s">
        <v>860</v>
      </c>
      <c r="D6390" s="16" t="s">
        <v>873</v>
      </c>
      <c r="E6390" s="16" t="s">
        <v>9480</v>
      </c>
      <c r="F6390" s="27" t="s">
        <v>14661</v>
      </c>
      <c r="G6390" s="27"/>
      <c r="H6390" s="16" t="str">
        <f>IF(ISBLANK(PARTIDAS!$G6390),PARTIDAS!$F6390,CONCATENATE(PARTIDAS!$F6390," (",PARTIDAS!$G6390,")"))</f>
        <v>Reactores nucleares, calderas, máquinas, aparatos y artefactos…, autopropulsadas</v>
      </c>
      <c r="I6390" s="16" t="s">
        <v>9427</v>
      </c>
    </row>
    <row r="6391" spans="1:9" x14ac:dyDescent="0.25">
      <c r="A6391" s="16" t="s">
        <v>7336</v>
      </c>
      <c r="B6391" s="16" t="str">
        <f>TEXT(PARTIDA[[#This Row],[PARTIDA]],"0000000000")</f>
        <v>8430490000</v>
      </c>
      <c r="C6391" s="16" t="s">
        <v>860</v>
      </c>
      <c r="D6391" s="16" t="s">
        <v>873</v>
      </c>
      <c r="E6391" s="16" t="s">
        <v>9480</v>
      </c>
      <c r="F6391" s="27" t="s">
        <v>7337</v>
      </c>
      <c r="G6391" s="27"/>
      <c r="H6391" s="16" t="str">
        <f>IF(ISBLANK(PARTIDAS!$G6391),PARTIDAS!$F6391,CONCATENATE(PARTIDAS!$F6391," (",PARTIDAS!$G6391,")"))</f>
        <v>Máquinas para perforar</v>
      </c>
      <c r="I6391" s="16" t="s">
        <v>9427</v>
      </c>
    </row>
    <row r="6392" spans="1:9" x14ac:dyDescent="0.25">
      <c r="A6392" s="16" t="s">
        <v>7338</v>
      </c>
      <c r="B6392" s="16" t="str">
        <f>TEXT(PARTIDA[[#This Row],[PARTIDA]],"0000000000")</f>
        <v>8430500000</v>
      </c>
      <c r="C6392" s="16" t="s">
        <v>860</v>
      </c>
      <c r="D6392" s="16" t="s">
        <v>873</v>
      </c>
      <c r="E6392" s="16" t="s">
        <v>9480</v>
      </c>
      <c r="F6392" s="27" t="s">
        <v>14662</v>
      </c>
      <c r="G6392" s="27"/>
      <c r="H6392" s="16" t="str">
        <f>IF(ISBLANK(PARTIDAS!$G6392),PARTIDAS!$F6392,CONCATENATE(PARTIDAS!$F6392," (",PARTIDAS!$G6392,")"))</f>
        <v>Reactores nucleares, calderas, máquinas, aparatos y artefactos… (los demás, máquinas y aparatos, autopropulsados)</v>
      </c>
      <c r="I6392" s="16" t="s">
        <v>9427</v>
      </c>
    </row>
    <row r="6393" spans="1:9" x14ac:dyDescent="0.25">
      <c r="A6393" s="16" t="s">
        <v>7339</v>
      </c>
      <c r="B6393" s="16" t="str">
        <f>TEXT(PARTIDA[[#This Row],[PARTIDA]],"0000000000")</f>
        <v>8430611000</v>
      </c>
      <c r="C6393" s="16" t="s">
        <v>860</v>
      </c>
      <c r="D6393" s="16" t="s">
        <v>873</v>
      </c>
      <c r="E6393" s="16" t="s">
        <v>9480</v>
      </c>
      <c r="F6393" s="27" t="s">
        <v>14663</v>
      </c>
      <c r="G6393" s="27"/>
      <c r="H6393" s="16" t="str">
        <f>IF(ISBLANK(PARTIDAS!$G6393),PARTIDAS!$F6393,CONCATENATE(PARTIDAS!$F6393," (",PARTIDAS!$G6393,")"))</f>
        <v>Rodillos apisonadores</v>
      </c>
      <c r="I6393" s="16" t="s">
        <v>9427</v>
      </c>
    </row>
    <row r="6394" spans="1:9" x14ac:dyDescent="0.25">
      <c r="A6394" s="16" t="s">
        <v>7340</v>
      </c>
      <c r="B6394" s="16" t="str">
        <f>TEXT(PARTIDA[[#This Row],[PARTIDA]],"0000000000")</f>
        <v>8430619000</v>
      </c>
      <c r="C6394" s="16" t="s">
        <v>860</v>
      </c>
      <c r="D6394" s="16" t="s">
        <v>873</v>
      </c>
      <c r="E6394" s="16" t="s">
        <v>9480</v>
      </c>
      <c r="F6394" s="27" t="s">
        <v>14664</v>
      </c>
      <c r="G6394" s="27"/>
      <c r="H6394" s="16" t="str">
        <f>IF(ISBLANK(PARTIDAS!$G6394),PARTIDAS!$F6394,CONCATENATE(PARTIDAS!$F6394," (",PARTIDAS!$G6394,")"))</f>
        <v>Máquinas y aparatos para compactar o apisonar (aplanar) (los demás)</v>
      </c>
      <c r="I6394" s="16" t="s">
        <v>9427</v>
      </c>
    </row>
    <row r="6395" spans="1:9" x14ac:dyDescent="0.25">
      <c r="A6395" s="16" t="s">
        <v>7341</v>
      </c>
      <c r="B6395" s="16" t="str">
        <f>TEXT(PARTIDA[[#This Row],[PARTIDA]],"0000000000")</f>
        <v>8430691000</v>
      </c>
      <c r="C6395" s="16" t="s">
        <v>860</v>
      </c>
      <c r="D6395" s="16" t="s">
        <v>873</v>
      </c>
      <c r="E6395" s="16" t="s">
        <v>9480</v>
      </c>
      <c r="F6395" s="27" t="s">
        <v>14655</v>
      </c>
      <c r="G6395" s="27"/>
      <c r="H6395" s="16" t="str">
        <f>IF(ISBLANK(PARTIDAS!$G6395),PARTIDAS!$F6395,CONCATENATE(PARTIDAS!$F6395," (",PARTIDAS!$G6395,")"))</f>
        <v>Traíllas («scrapers»)</v>
      </c>
      <c r="I6395" s="16" t="s">
        <v>9427</v>
      </c>
    </row>
    <row r="6396" spans="1:9" x14ac:dyDescent="0.25">
      <c r="A6396" s="16" t="s">
        <v>7342</v>
      </c>
      <c r="B6396" s="16" t="str">
        <f>TEXT(PARTIDA[[#This Row],[PARTIDA]],"0000000000")</f>
        <v>8430699000</v>
      </c>
      <c r="C6396" s="16" t="s">
        <v>860</v>
      </c>
      <c r="D6396" s="16" t="s">
        <v>873</v>
      </c>
      <c r="E6396" s="16" t="s">
        <v>9480</v>
      </c>
      <c r="F6396" s="27" t="s">
        <v>14463</v>
      </c>
      <c r="G6396" s="27"/>
      <c r="H6396" s="16" t="str">
        <f>IF(ISBLANK(PARTIDAS!$G6396),PARTIDAS!$F6396,CONCATENATE(PARTIDAS!$F6396," (",PARTIDAS!$G6396,")"))</f>
        <v>Reactores nucleares, calderas, máquinas, aparatos y artefactos… (los demás)</v>
      </c>
      <c r="I6396" s="16" t="s">
        <v>9427</v>
      </c>
    </row>
    <row r="6397" spans="1:9" x14ac:dyDescent="0.25">
      <c r="A6397" s="16" t="s">
        <v>7343</v>
      </c>
      <c r="B6397" s="16" t="str">
        <f>TEXT(PARTIDA[[#This Row],[PARTIDA]],"0000000000")</f>
        <v>8431101000</v>
      </c>
      <c r="C6397" s="16" t="s">
        <v>860</v>
      </c>
      <c r="D6397" s="16" t="s">
        <v>873</v>
      </c>
      <c r="E6397" s="16" t="s">
        <v>9478</v>
      </c>
      <c r="F6397" s="27" t="s">
        <v>14665</v>
      </c>
      <c r="G6397" s="27"/>
      <c r="H6397" s="16" t="str">
        <f>IF(ISBLANK(PARTIDAS!$G6397),PARTIDAS!$F6397,CONCATENATE(PARTIDAS!$F6397," (",PARTIDAS!$G6397,")"))</f>
        <v>Partes identificables como destinadas, exclusiva o…, de máquinas o aparatos de la partida 84.25, de polipastos, tornos y cabrestantes</v>
      </c>
      <c r="I6397" s="16" t="s">
        <v>9427</v>
      </c>
    </row>
    <row r="6398" spans="1:9" x14ac:dyDescent="0.25">
      <c r="A6398" s="16" t="s">
        <v>7344</v>
      </c>
      <c r="B6398" s="16" t="str">
        <f>TEXT(PARTIDA[[#This Row],[PARTIDA]],"0000000000")</f>
        <v>8431109000</v>
      </c>
      <c r="C6398" s="16" t="s">
        <v>860</v>
      </c>
      <c r="D6398" s="16" t="s">
        <v>873</v>
      </c>
      <c r="E6398" s="16" t="s">
        <v>9478</v>
      </c>
      <c r="F6398" s="27" t="s">
        <v>14666</v>
      </c>
      <c r="G6398" s="27"/>
      <c r="H6398" s="16" t="str">
        <f>IF(ISBLANK(PARTIDAS!$G6398),PARTIDAS!$F6398,CONCATENATE(PARTIDAS!$F6398," (",PARTIDAS!$G6398,")"))</f>
        <v>Partes identificables como destinadas, exclusiva o…, de máquinas o aparatos de la partida 84.25 (los demás)</v>
      </c>
      <c r="I6398" s="16" t="s">
        <v>9427</v>
      </c>
    </row>
    <row r="6399" spans="1:9" x14ac:dyDescent="0.25">
      <c r="A6399" s="16" t="s">
        <v>7345</v>
      </c>
      <c r="B6399" s="16" t="str">
        <f>TEXT(PARTIDA[[#This Row],[PARTIDA]],"0000000000")</f>
        <v>8431200000</v>
      </c>
      <c r="C6399" s="16" t="s">
        <v>860</v>
      </c>
      <c r="D6399" s="16" t="s">
        <v>873</v>
      </c>
      <c r="E6399" s="16" t="s">
        <v>9478</v>
      </c>
      <c r="F6399" s="27" t="s">
        <v>14667</v>
      </c>
      <c r="G6399" s="27"/>
      <c r="H6399" s="16" t="str">
        <f>IF(ISBLANK(PARTIDAS!$G6399),PARTIDAS!$F6399,CONCATENATE(PARTIDAS!$F6399," (",PARTIDAS!$G6399,")"))</f>
        <v>Partes identificables como destinadas, exclusiva o principalmente, a…, de máquinas o aparatos de la partida 84.27</v>
      </c>
      <c r="I6399" s="16" t="s">
        <v>9427</v>
      </c>
    </row>
    <row r="6400" spans="1:9" x14ac:dyDescent="0.25">
      <c r="A6400" s="16" t="s">
        <v>7346</v>
      </c>
      <c r="B6400" s="16" t="str">
        <f>TEXT(PARTIDA[[#This Row],[PARTIDA]],"0000000000")</f>
        <v>8431310000</v>
      </c>
      <c r="C6400" s="16" t="s">
        <v>860</v>
      </c>
      <c r="D6400" s="16" t="s">
        <v>873</v>
      </c>
      <c r="E6400" s="16" t="s">
        <v>9478</v>
      </c>
      <c r="F6400" s="27" t="s">
        <v>14668</v>
      </c>
      <c r="G6400" s="27"/>
      <c r="H6400" s="16" t="str">
        <f>IF(ISBLANK(PARTIDAS!$G6400),PARTIDAS!$F6400,CONCATENATE(PARTIDAS!$F6400," (",PARTIDAS!$G6400,")"))</f>
        <v>Partes identificables como destinadas, exclusiva o…, de máquinas o aparatos de la partida 84.28, de ascensores, montacargas o escaleras mecánicas</v>
      </c>
      <c r="I6400" s="16" t="s">
        <v>9427</v>
      </c>
    </row>
    <row r="6401" spans="1:9" x14ac:dyDescent="0.25">
      <c r="A6401" s="16" t="s">
        <v>7347</v>
      </c>
      <c r="B6401" s="16" t="str">
        <f>TEXT(PARTIDA[[#This Row],[PARTIDA]],"0000000000")</f>
        <v>8431390000</v>
      </c>
      <c r="C6401" s="16" t="s">
        <v>860</v>
      </c>
      <c r="D6401" s="16" t="s">
        <v>873</v>
      </c>
      <c r="E6401" s="16" t="s">
        <v>9478</v>
      </c>
      <c r="F6401" s="27" t="s">
        <v>14669</v>
      </c>
      <c r="G6401" s="27"/>
      <c r="H6401" s="16" t="str">
        <f>IF(ISBLANK(PARTIDAS!$G6401),PARTIDAS!$F6401,CONCATENATE(PARTIDAS!$F6401," (",PARTIDAS!$G6401,")"))</f>
        <v>Partes identificables como destinadas, exclusiva o…, de máquinas o aparatos de la partida 84.28 (los demás)</v>
      </c>
      <c r="I6401" s="16" t="s">
        <v>9427</v>
      </c>
    </row>
    <row r="6402" spans="1:9" x14ac:dyDescent="0.25">
      <c r="A6402" s="16" t="s">
        <v>7348</v>
      </c>
      <c r="B6402" s="16" t="str">
        <f>TEXT(PARTIDA[[#This Row],[PARTIDA]],"0000000000")</f>
        <v>8431410000</v>
      </c>
      <c r="C6402" s="16" t="s">
        <v>860</v>
      </c>
      <c r="D6402" s="16" t="s">
        <v>873</v>
      </c>
      <c r="E6402" s="16" t="s">
        <v>9478</v>
      </c>
      <c r="F6402" s="27" t="s">
        <v>14670</v>
      </c>
      <c r="G6402" s="27"/>
      <c r="H6402" s="16" t="str">
        <f>IF(ISBLANK(PARTIDAS!$G6402),PARTIDAS!$F6402,CONCATENATE(PARTIDAS!$F6402," (",PARTIDAS!$G6402,")"))</f>
        <v>Cangilones, cucharas, cucharas de almeja, palas y garras o pinzas</v>
      </c>
      <c r="I6402" s="16" t="s">
        <v>9427</v>
      </c>
    </row>
    <row r="6403" spans="1:9" x14ac:dyDescent="0.25">
      <c r="A6403" s="16" t="s">
        <v>7349</v>
      </c>
      <c r="B6403" s="16" t="str">
        <f>TEXT(PARTIDA[[#This Row],[PARTIDA]],"0000000000")</f>
        <v>8431420000</v>
      </c>
      <c r="C6403" s="16" t="s">
        <v>860</v>
      </c>
      <c r="D6403" s="16" t="s">
        <v>873</v>
      </c>
      <c r="E6403" s="16" t="s">
        <v>9478</v>
      </c>
      <c r="F6403" s="27" t="s">
        <v>14671</v>
      </c>
      <c r="G6403" s="27"/>
      <c r="H6403" s="16" t="str">
        <f>IF(ISBLANK(PARTIDAS!$G6403),PARTIDAS!$F6403,CONCATENATE(PARTIDAS!$F6403," (",PARTIDAS!$G6403,")"))</f>
        <v>Hojas de topadoras frontales (buldóceres) o de topadoras angulares («angledozers»)</v>
      </c>
      <c r="I6403" s="16" t="s">
        <v>9427</v>
      </c>
    </row>
    <row r="6404" spans="1:9" x14ac:dyDescent="0.25">
      <c r="A6404" s="16" t="s">
        <v>7350</v>
      </c>
      <c r="B6404" s="16" t="str">
        <f>TEXT(PARTIDA[[#This Row],[PARTIDA]],"0000000000")</f>
        <v>8431431000</v>
      </c>
      <c r="C6404" s="16" t="s">
        <v>860</v>
      </c>
      <c r="D6404" s="16" t="s">
        <v>873</v>
      </c>
      <c r="E6404" s="16" t="s">
        <v>9478</v>
      </c>
      <c r="F6404" s="27" t="s">
        <v>14672</v>
      </c>
      <c r="G6404" s="27"/>
      <c r="H6404" s="16" t="str">
        <f>IF(ISBLANK(PARTIDAS!$G6404),PARTIDAS!$F6404,CONCATENATE(PARTIDAS!$F6404," (",PARTIDAS!$G6404,")"))</f>
        <v>Partes identificables como destinadas, exclusiva o…, de máquinas o aparatos de las partidas 84.26, 84.29 u…, de máquinas de sondeo o perforación de la</v>
      </c>
      <c r="I6404" s="16" t="s">
        <v>9427</v>
      </c>
    </row>
    <row r="6405" spans="1:9" x14ac:dyDescent="0.25">
      <c r="A6405" s="16" t="s">
        <v>7351</v>
      </c>
      <c r="B6405" s="16" t="str">
        <f>TEXT(PARTIDA[[#This Row],[PARTIDA]],"0000000000")</f>
        <v>8431439000</v>
      </c>
      <c r="C6405" s="16" t="s">
        <v>860</v>
      </c>
      <c r="D6405" s="16" t="s">
        <v>873</v>
      </c>
      <c r="E6405" s="16" t="s">
        <v>9478</v>
      </c>
      <c r="F6405" s="27" t="s">
        <v>7097</v>
      </c>
      <c r="G6405" s="27"/>
      <c r="H6405" s="16" t="str">
        <f>IF(ISBLANK(PARTIDAS!$G6405),PARTIDAS!$F6405,CONCATENATE(PARTIDAS!$F6405," (",PARTIDAS!$G6405,")"))</f>
        <v>Partes de máquinas</v>
      </c>
      <c r="I6405" s="16" t="s">
        <v>9427</v>
      </c>
    </row>
    <row r="6406" spans="1:9" x14ac:dyDescent="0.25">
      <c r="A6406" s="16" t="s">
        <v>7352</v>
      </c>
      <c r="B6406" s="16" t="str">
        <f>TEXT(PARTIDA[[#This Row],[PARTIDA]],"0000000000")</f>
        <v>8431490000</v>
      </c>
      <c r="C6406" s="16" t="s">
        <v>860</v>
      </c>
      <c r="D6406" s="16" t="s">
        <v>873</v>
      </c>
      <c r="E6406" s="16" t="s">
        <v>9480</v>
      </c>
      <c r="F6406" s="27" t="s">
        <v>7097</v>
      </c>
      <c r="G6406" s="27"/>
      <c r="H6406" s="16" t="str">
        <f>IF(ISBLANK(PARTIDAS!$G6406),PARTIDAS!$F6406,CONCATENATE(PARTIDAS!$F6406," (",PARTIDAS!$G6406,")"))</f>
        <v>Partes de máquinas</v>
      </c>
      <c r="I6406" s="16" t="s">
        <v>9477</v>
      </c>
    </row>
    <row r="6407" spans="1:9" x14ac:dyDescent="0.25">
      <c r="A6407" s="16" t="s">
        <v>7353</v>
      </c>
      <c r="B6407" s="16" t="str">
        <f>TEXT(PARTIDA[[#This Row],[PARTIDA]],"0000000000")</f>
        <v>8432100000</v>
      </c>
      <c r="C6407" s="16" t="s">
        <v>860</v>
      </c>
      <c r="D6407" s="16" t="s">
        <v>865</v>
      </c>
      <c r="E6407" s="16" t="s">
        <v>866</v>
      </c>
      <c r="F6407" s="27" t="s">
        <v>14673</v>
      </c>
      <c r="G6407" s="27"/>
      <c r="H6407" s="16" t="str">
        <f>IF(ISBLANK(PARTIDAS!$G6407),PARTIDAS!$F6407,CONCATENATE(PARTIDAS!$F6407," (",PARTIDAS!$G6407,")"))</f>
        <v>Arados</v>
      </c>
      <c r="I6407" s="16" t="s">
        <v>9427</v>
      </c>
    </row>
    <row r="6408" spans="1:9" x14ac:dyDescent="0.25">
      <c r="A6408" s="16" t="s">
        <v>7354</v>
      </c>
      <c r="B6408" s="16" t="str">
        <f>TEXT(PARTIDA[[#This Row],[PARTIDA]],"0000000000")</f>
        <v>8432210000</v>
      </c>
      <c r="C6408" s="16" t="s">
        <v>860</v>
      </c>
      <c r="D6408" s="16" t="s">
        <v>865</v>
      </c>
      <c r="E6408" s="16" t="s">
        <v>866</v>
      </c>
      <c r="F6408" s="27" t="s">
        <v>14674</v>
      </c>
      <c r="G6408" s="27"/>
      <c r="H6408" s="16" t="str">
        <f>IF(ISBLANK(PARTIDAS!$G6408),PARTIDAS!$F6408,CONCATENATE(PARTIDAS!$F6408," (",PARTIDAS!$G6408,")"))</f>
        <v>Gradas (rastras) de discos</v>
      </c>
      <c r="I6408" s="16" t="s">
        <v>9427</v>
      </c>
    </row>
    <row r="6409" spans="1:9" x14ac:dyDescent="0.25">
      <c r="A6409" s="16" t="s">
        <v>7355</v>
      </c>
      <c r="B6409" s="16" t="str">
        <f>TEXT(PARTIDA[[#This Row],[PARTIDA]],"0000000000")</f>
        <v>8432290010</v>
      </c>
      <c r="C6409" s="16" t="s">
        <v>860</v>
      </c>
      <c r="D6409" s="16" t="s">
        <v>865</v>
      </c>
      <c r="E6409" s="16" t="s">
        <v>866</v>
      </c>
      <c r="F6409" s="27" t="s">
        <v>14675</v>
      </c>
      <c r="G6409" s="27"/>
      <c r="H6409" s="16" t="str">
        <f>IF(ISBLANK(PARTIDAS!$G6409),PARTIDAS!$F6409,CONCATENATE(PARTIDAS!$F6409," (",PARTIDAS!$G6409,")"))</f>
        <v>Máquinas, aparatos y artefactos agrícolas, hortícolas o silvícolas, pa (los demás)</v>
      </c>
      <c r="I6409" s="16" t="s">
        <v>9648</v>
      </c>
    </row>
    <row r="6410" spans="1:9" x14ac:dyDescent="0.25">
      <c r="A6410" s="16" t="s">
        <v>7356</v>
      </c>
      <c r="B6410" s="16" t="str">
        <f>TEXT(PARTIDA[[#This Row],[PARTIDA]],"0000000000")</f>
        <v>8432290020</v>
      </c>
      <c r="C6410" s="16" t="s">
        <v>860</v>
      </c>
      <c r="D6410" s="16" t="s">
        <v>865</v>
      </c>
      <c r="E6410" s="16" t="s">
        <v>866</v>
      </c>
      <c r="F6410" s="27" t="s">
        <v>14676</v>
      </c>
      <c r="G6410" s="27"/>
      <c r="H6410" s="16" t="str">
        <f>IF(ISBLANK(PARTIDAS!$G6410),PARTIDAS!$F6410,CONCATENATE(PARTIDAS!$F6410," (",PARTIDAS!$G6410,")"))</f>
        <v>Cultivadores, azadas rotativas (rotocultores), escardadoras y binadoras</v>
      </c>
      <c r="I6410" s="16" t="s">
        <v>9648</v>
      </c>
    </row>
    <row r="6411" spans="1:9" x14ac:dyDescent="0.25">
      <c r="A6411" s="16" t="s">
        <v>14677</v>
      </c>
      <c r="B6411" s="16" t="str">
        <f>TEXT(PARTIDA[[#This Row],[PARTIDA]],"0000000000")</f>
        <v>8432291000</v>
      </c>
      <c r="C6411" s="16" t="s">
        <v>860</v>
      </c>
      <c r="D6411" s="16" t="s">
        <v>865</v>
      </c>
      <c r="E6411" s="16" t="s">
        <v>866</v>
      </c>
      <c r="F6411" s="27" t="s">
        <v>14678</v>
      </c>
      <c r="G6411" s="27"/>
      <c r="H6411" s="16" t="str">
        <f>IF(ISBLANK(PARTIDAS!$G6411),PARTIDAS!$F6411,CONCATENATE(PARTIDAS!$F6411," (",PARTIDAS!$G6411,")"))</f>
        <v>Gradas (rastras), escarificadores, cultivadores, extirpadores, azadas… (los demás, gradas (rastras), escarificadores y extirpadores)</v>
      </c>
      <c r="I6411" s="16" t="s">
        <v>9427</v>
      </c>
    </row>
    <row r="6412" spans="1:9" x14ac:dyDescent="0.25">
      <c r="A6412" s="16" t="s">
        <v>14679</v>
      </c>
      <c r="B6412" s="16" t="str">
        <f>TEXT(PARTIDA[[#This Row],[PARTIDA]],"0000000000")</f>
        <v>8432292000</v>
      </c>
      <c r="C6412" s="16" t="s">
        <v>860</v>
      </c>
      <c r="D6412" s="16" t="s">
        <v>865</v>
      </c>
      <c r="E6412" s="16" t="s">
        <v>866</v>
      </c>
      <c r="F6412" s="27" t="s">
        <v>14680</v>
      </c>
      <c r="G6412" s="27"/>
      <c r="H6412" s="16" t="str">
        <f>IF(ISBLANK(PARTIDAS!$G6412),PARTIDAS!$F6412,CONCATENATE(PARTIDAS!$F6412," (",PARTIDAS!$G6412,")"))</f>
        <v>Cultivadores, azadas rotativas (rotocultores), escardadores y binadoras</v>
      </c>
      <c r="I6412" s="16" t="s">
        <v>9427</v>
      </c>
    </row>
    <row r="6413" spans="1:9" x14ac:dyDescent="0.25">
      <c r="A6413" s="16" t="s">
        <v>7357</v>
      </c>
      <c r="B6413" s="16" t="str">
        <f>TEXT(PARTIDA[[#This Row],[PARTIDA]],"0000000000")</f>
        <v>8432310000</v>
      </c>
      <c r="C6413" s="16" t="s">
        <v>860</v>
      </c>
      <c r="D6413" s="16" t="s">
        <v>865</v>
      </c>
      <c r="E6413" s="16" t="s">
        <v>866</v>
      </c>
      <c r="F6413" s="27" t="s">
        <v>14681</v>
      </c>
      <c r="G6413" s="27"/>
      <c r="H6413" s="16" t="str">
        <f>IF(ISBLANK(PARTIDAS!$G6413),PARTIDAS!$F6413,CONCATENATE(PARTIDAS!$F6413," (",PARTIDAS!$G6413,")"))</f>
        <v>Sembradoras, plantadoras y trasplantadoras, para siembra directa</v>
      </c>
      <c r="I6413" s="16" t="s">
        <v>9427</v>
      </c>
    </row>
    <row r="6414" spans="1:9" x14ac:dyDescent="0.25">
      <c r="A6414" s="16" t="s">
        <v>7358</v>
      </c>
      <c r="B6414" s="16" t="str">
        <f>TEXT(PARTIDA[[#This Row],[PARTIDA]],"0000000000")</f>
        <v>8432390000</v>
      </c>
      <c r="C6414" s="16" t="s">
        <v>860</v>
      </c>
      <c r="D6414" s="16" t="s">
        <v>865</v>
      </c>
      <c r="E6414" s="16" t="s">
        <v>866</v>
      </c>
      <c r="F6414" s="27" t="s">
        <v>14682</v>
      </c>
      <c r="G6414" s="27"/>
      <c r="H6414" s="16" t="str">
        <f>IF(ISBLANK(PARTIDAS!$G6414),PARTIDAS!$F6414,CONCATENATE(PARTIDAS!$F6414," (",PARTIDAS!$G6414,")"))</f>
        <v>Sembradoras, plantadoras y trasplantadoras (los demás)</v>
      </c>
      <c r="I6414" s="16" t="s">
        <v>9427</v>
      </c>
    </row>
    <row r="6415" spans="1:9" x14ac:dyDescent="0.25">
      <c r="A6415" s="16" t="s">
        <v>7359</v>
      </c>
      <c r="B6415" s="16" t="str">
        <f>TEXT(PARTIDA[[#This Row],[PARTIDA]],"0000000000")</f>
        <v>8432410000</v>
      </c>
      <c r="C6415" s="16" t="s">
        <v>860</v>
      </c>
      <c r="D6415" s="16" t="s">
        <v>865</v>
      </c>
      <c r="E6415" s="16" t="s">
        <v>866</v>
      </c>
      <c r="F6415" s="27" t="s">
        <v>14683</v>
      </c>
      <c r="G6415" s="27"/>
      <c r="H6415" s="16" t="str">
        <f>IF(ISBLANK(PARTIDAS!$G6415),PARTIDAS!$F6415,CONCATENATE(PARTIDAS!$F6415," (",PARTIDAS!$G6415,")"))</f>
        <v>Esparcidores de estiércol</v>
      </c>
      <c r="I6415" s="16" t="s">
        <v>9427</v>
      </c>
    </row>
    <row r="6416" spans="1:9" x14ac:dyDescent="0.25">
      <c r="A6416" s="16" t="s">
        <v>7360</v>
      </c>
      <c r="B6416" s="16" t="str">
        <f>TEXT(PARTIDA[[#This Row],[PARTIDA]],"0000000000")</f>
        <v>8432420000</v>
      </c>
      <c r="C6416" s="16" t="s">
        <v>860</v>
      </c>
      <c r="D6416" s="16" t="s">
        <v>865</v>
      </c>
      <c r="E6416" s="16" t="s">
        <v>866</v>
      </c>
      <c r="F6416" s="27" t="s">
        <v>14684</v>
      </c>
      <c r="G6416" s="27"/>
      <c r="H6416" s="16" t="str">
        <f>IF(ISBLANK(PARTIDAS!$G6416),PARTIDAS!$F6416,CONCATENATE(PARTIDAS!$F6416," (",PARTIDAS!$G6416,")"))</f>
        <v>Distribuidores de abonos</v>
      </c>
      <c r="I6416" s="16" t="s">
        <v>9427</v>
      </c>
    </row>
    <row r="6417" spans="1:9" x14ac:dyDescent="0.25">
      <c r="A6417" s="16" t="s">
        <v>7361</v>
      </c>
      <c r="B6417" s="16" t="str">
        <f>TEXT(PARTIDA[[#This Row],[PARTIDA]],"0000000000")</f>
        <v>8432800000</v>
      </c>
      <c r="C6417" s="16" t="s">
        <v>860</v>
      </c>
      <c r="D6417" s="16" t="s">
        <v>865</v>
      </c>
      <c r="E6417" s="16" t="s">
        <v>866</v>
      </c>
      <c r="F6417" s="27" t="s">
        <v>14685</v>
      </c>
      <c r="G6417" s="27"/>
      <c r="H6417" s="16" t="str">
        <f>IF(ISBLANK(PARTIDAS!$G6417),PARTIDAS!$F6417,CONCATENATE(PARTIDAS!$F6417," (",PARTIDAS!$G6417,")"))</f>
        <v>Máquinas, aparatos y artefactos agrícolas, hortícolas o silvícolas… (los demás, máquinas, aparatos y artefactos)</v>
      </c>
      <c r="I6417" s="16" t="s">
        <v>9427</v>
      </c>
    </row>
    <row r="6418" spans="1:9" x14ac:dyDescent="0.25">
      <c r="A6418" s="16" t="s">
        <v>7362</v>
      </c>
      <c r="B6418" s="16" t="str">
        <f>TEXT(PARTIDA[[#This Row],[PARTIDA]],"0000000000")</f>
        <v>8432901000</v>
      </c>
      <c r="C6418" s="16" t="s">
        <v>860</v>
      </c>
      <c r="D6418" s="16" t="s">
        <v>865</v>
      </c>
      <c r="E6418" s="16" t="s">
        <v>866</v>
      </c>
      <c r="F6418" s="27" t="s">
        <v>14686</v>
      </c>
      <c r="G6418" s="27"/>
      <c r="H6418" s="16" t="str">
        <f>IF(ISBLANK(PARTIDAS!$G6418),PARTIDAS!$F6418,CONCATENATE(PARTIDAS!$F6418," (",PARTIDAS!$G6418,")"))</f>
        <v>Rejas y discos</v>
      </c>
      <c r="I6418" s="16" t="s">
        <v>9427</v>
      </c>
    </row>
    <row r="6419" spans="1:9" x14ac:dyDescent="0.25">
      <c r="A6419" s="16" t="s">
        <v>7363</v>
      </c>
      <c r="B6419" s="16" t="str">
        <f>TEXT(PARTIDA[[#This Row],[PARTIDA]],"0000000000")</f>
        <v>8432909000</v>
      </c>
      <c r="C6419" s="16" t="s">
        <v>860</v>
      </c>
      <c r="D6419" s="16" t="s">
        <v>865</v>
      </c>
      <c r="E6419" s="16" t="s">
        <v>866</v>
      </c>
      <c r="F6419" s="27" t="s">
        <v>14687</v>
      </c>
      <c r="G6419" s="27"/>
      <c r="H6419" s="16" t="str">
        <f>IF(ISBLANK(PARTIDAS!$G6419),PARTIDAS!$F6419,CONCATENATE(PARTIDAS!$F6419," (",PARTIDAS!$G6419,")"))</f>
        <v>Máquinas, aparatos y artefactos agrícolas, hortícolas…, partes (los demás)</v>
      </c>
      <c r="I6419" s="16" t="s">
        <v>9427</v>
      </c>
    </row>
    <row r="6420" spans="1:9" x14ac:dyDescent="0.25">
      <c r="A6420" s="16" t="s">
        <v>7364</v>
      </c>
      <c r="B6420" s="16" t="str">
        <f>TEXT(PARTIDA[[#This Row],[PARTIDA]],"0000000000")</f>
        <v>8433111000</v>
      </c>
      <c r="C6420" s="16" t="s">
        <v>860</v>
      </c>
      <c r="D6420" s="16" t="s">
        <v>865</v>
      </c>
      <c r="E6420" s="16" t="s">
        <v>866</v>
      </c>
      <c r="F6420" s="27" t="s">
        <v>14688</v>
      </c>
      <c r="G6420" s="27"/>
      <c r="H6420" s="16" t="str">
        <f>IF(ISBLANK(PARTIDAS!$G6420),PARTIDAS!$F6420,CONCATENATE(PARTIDAS!$F6420," (",PARTIDAS!$G6420,")"))</f>
        <v>Cortadoras de césped, con motor, en las que el dispositivo de corte gire en un plano…, autopropulsadas</v>
      </c>
      <c r="I6420" s="16" t="s">
        <v>9427</v>
      </c>
    </row>
    <row r="6421" spans="1:9" x14ac:dyDescent="0.25">
      <c r="A6421" s="16" t="s">
        <v>7365</v>
      </c>
      <c r="B6421" s="16" t="str">
        <f>TEXT(PARTIDA[[#This Row],[PARTIDA]],"0000000000")</f>
        <v>8433119000</v>
      </c>
      <c r="C6421" s="16" t="s">
        <v>860</v>
      </c>
      <c r="D6421" s="16" t="s">
        <v>865</v>
      </c>
      <c r="E6421" s="16" t="s">
        <v>866</v>
      </c>
      <c r="F6421" s="27" t="s">
        <v>14689</v>
      </c>
      <c r="G6421" s="27"/>
      <c r="H6421" s="16" t="str">
        <f>IF(ISBLANK(PARTIDAS!$G6421),PARTIDAS!$F6421,CONCATENATE(PARTIDAS!$F6421," (",PARTIDAS!$G6421,")"))</f>
        <v>Cortadoras de césped, con motor, en las que el dispositivo de corte gire en un plano… (los demás)</v>
      </c>
      <c r="I6421" s="16" t="s">
        <v>9427</v>
      </c>
    </row>
    <row r="6422" spans="1:9" x14ac:dyDescent="0.25">
      <c r="A6422" s="16" t="s">
        <v>7366</v>
      </c>
      <c r="B6422" s="16" t="str">
        <f>TEXT(PARTIDA[[#This Row],[PARTIDA]],"0000000000")</f>
        <v>8433191000</v>
      </c>
      <c r="C6422" s="16" t="s">
        <v>860</v>
      </c>
      <c r="D6422" s="16" t="s">
        <v>865</v>
      </c>
      <c r="E6422" s="16" t="s">
        <v>866</v>
      </c>
      <c r="F6422" s="27" t="s">
        <v>14690</v>
      </c>
      <c r="G6422" s="27"/>
      <c r="H6422" s="16" t="str">
        <f>IF(ISBLANK(PARTIDAS!$G6422),PARTIDAS!$F6422,CONCATENATE(PARTIDAS!$F6422," (",PARTIDAS!$G6422,")"))</f>
        <v>Cortadoras de césped, autopropulsadas</v>
      </c>
      <c r="I6422" s="16" t="s">
        <v>9427</v>
      </c>
    </row>
    <row r="6423" spans="1:9" x14ac:dyDescent="0.25">
      <c r="A6423" s="16" t="s">
        <v>7367</v>
      </c>
      <c r="B6423" s="16" t="str">
        <f>TEXT(PARTIDA[[#This Row],[PARTIDA]],"0000000000")</f>
        <v>8433199000</v>
      </c>
      <c r="C6423" s="16" t="s">
        <v>860</v>
      </c>
      <c r="D6423" s="16" t="s">
        <v>865</v>
      </c>
      <c r="E6423" s="16" t="s">
        <v>866</v>
      </c>
      <c r="F6423" s="27" t="s">
        <v>14691</v>
      </c>
      <c r="G6423" s="27"/>
      <c r="H6423" s="16" t="str">
        <f>IF(ISBLANK(PARTIDAS!$G6423),PARTIDAS!$F6423,CONCATENATE(PARTIDAS!$F6423," (",PARTIDAS!$G6423,")"))</f>
        <v>Cortadoras de césped (los demás)</v>
      </c>
      <c r="I6423" s="16" t="s">
        <v>9427</v>
      </c>
    </row>
    <row r="6424" spans="1:9" x14ac:dyDescent="0.25">
      <c r="A6424" s="16" t="s">
        <v>7368</v>
      </c>
      <c r="B6424" s="16" t="str">
        <f>TEXT(PARTIDA[[#This Row],[PARTIDA]],"0000000000")</f>
        <v>8433200000</v>
      </c>
      <c r="C6424" s="16" t="s">
        <v>860</v>
      </c>
      <c r="D6424" s="16" t="s">
        <v>865</v>
      </c>
      <c r="E6424" s="16" t="s">
        <v>866</v>
      </c>
      <c r="F6424" s="27" t="s">
        <v>14692</v>
      </c>
      <c r="G6424" s="27"/>
      <c r="H6424" s="16" t="str">
        <f>IF(ISBLANK(PARTIDAS!$G6424),PARTIDAS!$F6424,CONCATENATE(PARTIDAS!$F6424," (",PARTIDAS!$G6424,")"))</f>
        <v>Guadañadoras, incluidas las barras de corte para montar sobre un tractor</v>
      </c>
      <c r="I6424" s="16" t="s">
        <v>9427</v>
      </c>
    </row>
    <row r="6425" spans="1:9" x14ac:dyDescent="0.25">
      <c r="A6425" s="16" t="s">
        <v>7369</v>
      </c>
      <c r="B6425" s="16" t="str">
        <f>TEXT(PARTIDA[[#This Row],[PARTIDA]],"0000000000")</f>
        <v>8433300000</v>
      </c>
      <c r="C6425" s="16" t="s">
        <v>860</v>
      </c>
      <c r="D6425" s="16" t="s">
        <v>865</v>
      </c>
      <c r="E6425" s="16" t="s">
        <v>866</v>
      </c>
      <c r="F6425" s="27" t="s">
        <v>14693</v>
      </c>
      <c r="G6425" s="27"/>
      <c r="H6425" s="16" t="str">
        <f>IF(ISBLANK(PARTIDAS!$G6425),PARTIDAS!$F6425,CONCATENATE(PARTIDAS!$F6425," (",PARTIDAS!$G6425,")"))</f>
        <v>Máquinas, aparatos y artefactos de cosechar o trillar, incluidas las… (los demás, máquinas y aparatos de henificar)</v>
      </c>
      <c r="I6425" s="16" t="s">
        <v>9427</v>
      </c>
    </row>
    <row r="6426" spans="1:9" x14ac:dyDescent="0.25">
      <c r="A6426" s="16" t="s">
        <v>7370</v>
      </c>
      <c r="B6426" s="16" t="str">
        <f>TEXT(PARTIDA[[#This Row],[PARTIDA]],"0000000000")</f>
        <v>8433400000</v>
      </c>
      <c r="C6426" s="16" t="s">
        <v>860</v>
      </c>
      <c r="D6426" s="16" t="s">
        <v>865</v>
      </c>
      <c r="E6426" s="16" t="s">
        <v>866</v>
      </c>
      <c r="F6426" s="27" t="s">
        <v>14694</v>
      </c>
      <c r="G6426" s="27"/>
      <c r="H6426" s="16" t="str">
        <f>IF(ISBLANK(PARTIDAS!$G6426),PARTIDAS!$F6426,CONCATENATE(PARTIDAS!$F6426," (",PARTIDAS!$G6426,")"))</f>
        <v>Prensas para paja o forraje, incluidas las prensas recogedoras</v>
      </c>
      <c r="I6426" s="16" t="s">
        <v>9427</v>
      </c>
    </row>
    <row r="6427" spans="1:9" x14ac:dyDescent="0.25">
      <c r="A6427" s="16" t="s">
        <v>7371</v>
      </c>
      <c r="B6427" s="16" t="str">
        <f>TEXT(PARTIDA[[#This Row],[PARTIDA]],"0000000000")</f>
        <v>8433510000</v>
      </c>
      <c r="C6427" s="16" t="s">
        <v>860</v>
      </c>
      <c r="D6427" s="16" t="s">
        <v>865</v>
      </c>
      <c r="E6427" s="16" t="s">
        <v>866</v>
      </c>
      <c r="F6427" s="27" t="s">
        <v>14695</v>
      </c>
      <c r="G6427" s="27"/>
      <c r="H6427" s="16" t="str">
        <f>IF(ISBLANK(PARTIDAS!$G6427),PARTIDAS!$F6427,CONCATENATE(PARTIDAS!$F6427," (",PARTIDAS!$G6427,")"))</f>
        <v>Máquinas, aparatos y artefactos de cosechar o trillar, incluidas las…, cosechadoras-trilladoras</v>
      </c>
      <c r="I6427" s="16" t="s">
        <v>9427</v>
      </c>
    </row>
    <row r="6428" spans="1:9" x14ac:dyDescent="0.25">
      <c r="A6428" s="16" t="s">
        <v>7372</v>
      </c>
      <c r="B6428" s="16" t="str">
        <f>TEXT(PARTIDA[[#This Row],[PARTIDA]],"0000000000")</f>
        <v>8433520000</v>
      </c>
      <c r="C6428" s="16" t="s">
        <v>860</v>
      </c>
      <c r="D6428" s="16" t="s">
        <v>865</v>
      </c>
      <c r="E6428" s="16" t="s">
        <v>866</v>
      </c>
      <c r="F6428" s="27" t="s">
        <v>14696</v>
      </c>
      <c r="G6428" s="27"/>
      <c r="H6428" s="16" t="str">
        <f>IF(ISBLANK(PARTIDAS!$G6428),PARTIDAS!$F6428,CONCATENATE(PARTIDAS!$F6428," (",PARTIDAS!$G6428,")"))</f>
        <v>Máquinas, aparatos y artefactos de cosechar o trillar, incluidas las… (los demás, máquinas y aparatos de trillar)</v>
      </c>
      <c r="I6428" s="16" t="s">
        <v>9427</v>
      </c>
    </row>
    <row r="6429" spans="1:9" x14ac:dyDescent="0.25">
      <c r="A6429" s="16" t="s">
        <v>7373</v>
      </c>
      <c r="B6429" s="16" t="str">
        <f>TEXT(PARTIDA[[#This Row],[PARTIDA]],"0000000000")</f>
        <v>8433530000</v>
      </c>
      <c r="C6429" s="16" t="s">
        <v>860</v>
      </c>
      <c r="D6429" s="16" t="s">
        <v>865</v>
      </c>
      <c r="E6429" s="16" t="s">
        <v>866</v>
      </c>
      <c r="F6429" s="27" t="s">
        <v>14697</v>
      </c>
      <c r="G6429" s="27"/>
      <c r="H6429" s="16" t="str">
        <f>IF(ISBLANK(PARTIDAS!$G6429),PARTIDAS!$F6429,CONCATENATE(PARTIDAS!$F6429," (",PARTIDAS!$G6429,")"))</f>
        <v>Máquinas de cosechar raíces o tubérculos</v>
      </c>
      <c r="I6429" s="16" t="s">
        <v>9427</v>
      </c>
    </row>
    <row r="6430" spans="1:9" x14ac:dyDescent="0.25">
      <c r="A6430" s="16" t="s">
        <v>7374</v>
      </c>
      <c r="B6430" s="16" t="str">
        <f>TEXT(PARTIDA[[#This Row],[PARTIDA]],"0000000000")</f>
        <v>8433591000</v>
      </c>
      <c r="C6430" s="16" t="s">
        <v>860</v>
      </c>
      <c r="D6430" s="16" t="s">
        <v>865</v>
      </c>
      <c r="E6430" s="16" t="s">
        <v>866</v>
      </c>
      <c r="F6430" s="27" t="s">
        <v>14698</v>
      </c>
      <c r="G6430" s="27"/>
      <c r="H6430" s="16" t="str">
        <f>IF(ISBLANK(PARTIDAS!$G6430),PARTIDAS!$F6430,CONCATENATE(PARTIDAS!$F6430," (",PARTIDAS!$G6430,")"))</f>
        <v>Máquinas, aparatos y artefactos de cosechar o trillar, incluidas las…, de cosechar</v>
      </c>
      <c r="I6430" s="16" t="s">
        <v>9427</v>
      </c>
    </row>
    <row r="6431" spans="1:9" x14ac:dyDescent="0.25">
      <c r="A6431" s="16" t="s">
        <v>7375</v>
      </c>
      <c r="B6431" s="16" t="str">
        <f>TEXT(PARTIDA[[#This Row],[PARTIDA]],"0000000000")</f>
        <v>8433592000</v>
      </c>
      <c r="C6431" s="16" t="s">
        <v>860</v>
      </c>
      <c r="D6431" s="16" t="s">
        <v>865</v>
      </c>
      <c r="E6431" s="16" t="s">
        <v>866</v>
      </c>
      <c r="F6431" s="27" t="s">
        <v>14699</v>
      </c>
      <c r="G6431" s="27"/>
      <c r="H6431" s="16" t="str">
        <f>IF(ISBLANK(PARTIDAS!$G6431),PARTIDAS!$F6431,CONCATENATE(PARTIDAS!$F6431," (",PARTIDAS!$G6431,")"))</f>
        <v>Desgranadoras de maíz</v>
      </c>
      <c r="I6431" s="16" t="s">
        <v>9427</v>
      </c>
    </row>
    <row r="6432" spans="1:9" x14ac:dyDescent="0.25">
      <c r="A6432" s="16" t="s">
        <v>7376</v>
      </c>
      <c r="B6432" s="16" t="str">
        <f>TEXT(PARTIDA[[#This Row],[PARTIDA]],"0000000000")</f>
        <v>8433599000</v>
      </c>
      <c r="C6432" s="16" t="s">
        <v>860</v>
      </c>
      <c r="D6432" s="16" t="s">
        <v>865</v>
      </c>
      <c r="E6432" s="16" t="s">
        <v>866</v>
      </c>
      <c r="F6432" s="27" t="s">
        <v>14700</v>
      </c>
      <c r="G6432" s="27"/>
      <c r="H6432" s="16" t="str">
        <f>IF(ISBLANK(PARTIDAS!$G6432),PARTIDAS!$F6432,CONCATENATE(PARTIDAS!$F6432," (",PARTIDAS!$G6432,")"))</f>
        <v>Máquinas, aparatos y artefactos de cosechar o trillar, incluidas las… (los demás)</v>
      </c>
      <c r="I6432" s="16" t="s">
        <v>9427</v>
      </c>
    </row>
    <row r="6433" spans="1:9" x14ac:dyDescent="0.25">
      <c r="A6433" s="16" t="s">
        <v>7377</v>
      </c>
      <c r="B6433" s="16" t="str">
        <f>TEXT(PARTIDA[[#This Row],[PARTIDA]],"0000000000")</f>
        <v>8433601000</v>
      </c>
      <c r="C6433" s="16" t="s">
        <v>860</v>
      </c>
      <c r="D6433" s="16" t="s">
        <v>865</v>
      </c>
      <c r="E6433" s="16" t="s">
        <v>866</v>
      </c>
      <c r="F6433" s="27" t="s">
        <v>14701</v>
      </c>
      <c r="G6433" s="27"/>
      <c r="H6433" s="16" t="str">
        <f>IF(ISBLANK(PARTIDAS!$G6433),PARTIDAS!$F6433,CONCATENATE(PARTIDAS!$F6433," (",PARTIDAS!$G6433,")"))</f>
        <v>Máquinas para limpieza o clasificación de huevos, frutos o demás…, de huevos</v>
      </c>
      <c r="I6433" s="16" t="s">
        <v>9427</v>
      </c>
    </row>
    <row r="6434" spans="1:9" x14ac:dyDescent="0.25">
      <c r="A6434" s="16" t="s">
        <v>7378</v>
      </c>
      <c r="B6434" s="16" t="str">
        <f>TEXT(PARTIDA[[#This Row],[PARTIDA]],"0000000000")</f>
        <v>8433609000</v>
      </c>
      <c r="C6434" s="16" t="s">
        <v>860</v>
      </c>
      <c r="D6434" s="16" t="s">
        <v>865</v>
      </c>
      <c r="E6434" s="16" t="s">
        <v>866</v>
      </c>
      <c r="F6434" s="27" t="s">
        <v>14702</v>
      </c>
      <c r="G6434" s="27"/>
      <c r="H6434" s="16" t="str">
        <f>IF(ISBLANK(PARTIDAS!$G6434),PARTIDAS!$F6434,CONCATENATE(PARTIDAS!$F6434," (",PARTIDAS!$G6434,")"))</f>
        <v>Máquinas para limpieza o clasificación de huevos, frutos o demás… (los demás)</v>
      </c>
      <c r="I6434" s="16" t="s">
        <v>9427</v>
      </c>
    </row>
    <row r="6435" spans="1:9" x14ac:dyDescent="0.25">
      <c r="A6435" s="16" t="s">
        <v>7379</v>
      </c>
      <c r="B6435" s="16" t="str">
        <f>TEXT(PARTIDA[[#This Row],[PARTIDA]],"0000000000")</f>
        <v>8433901000</v>
      </c>
      <c r="C6435" s="16" t="s">
        <v>860</v>
      </c>
      <c r="D6435" s="16" t="s">
        <v>865</v>
      </c>
      <c r="E6435" s="16" t="s">
        <v>866</v>
      </c>
      <c r="F6435" s="27" t="s">
        <v>14703</v>
      </c>
      <c r="G6435" s="27"/>
      <c r="H6435" s="16" t="str">
        <f>IF(ISBLANK(PARTIDAS!$G6435),PARTIDAS!$F6435,CONCATENATE(PARTIDAS!$F6435," (",PARTIDAS!$G6435,")"))</f>
        <v>Máquinas, aparatos y artefactos de cosechar o trillar…, partes, de cortadoras de césped</v>
      </c>
      <c r="I6435" s="16" t="s">
        <v>9427</v>
      </c>
    </row>
    <row r="6436" spans="1:9" x14ac:dyDescent="0.25">
      <c r="A6436" s="16" t="s">
        <v>7380</v>
      </c>
      <c r="B6436" s="16" t="str">
        <f>TEXT(PARTIDA[[#This Row],[PARTIDA]],"0000000000")</f>
        <v>8433909000</v>
      </c>
      <c r="C6436" s="16" t="s">
        <v>860</v>
      </c>
      <c r="D6436" s="16" t="s">
        <v>865</v>
      </c>
      <c r="E6436" s="16" t="s">
        <v>866</v>
      </c>
      <c r="F6436" s="27" t="s">
        <v>14704</v>
      </c>
      <c r="G6436" s="27"/>
      <c r="H6436" s="16" t="str">
        <f>IF(ISBLANK(PARTIDAS!$G6436),PARTIDAS!$F6436,CONCATENATE(PARTIDAS!$F6436," (",PARTIDAS!$G6436,")"))</f>
        <v>Máquinas, aparatos y artefactos de cosechar o trillar…, partes (los demás)</v>
      </c>
      <c r="I6436" s="16" t="s">
        <v>9427</v>
      </c>
    </row>
    <row r="6437" spans="1:9" x14ac:dyDescent="0.25">
      <c r="A6437" s="16" t="s">
        <v>7381</v>
      </c>
      <c r="B6437" s="16" t="str">
        <f>TEXT(PARTIDA[[#This Row],[PARTIDA]],"0000000000")</f>
        <v>8434100000</v>
      </c>
      <c r="C6437" s="16" t="s">
        <v>860</v>
      </c>
      <c r="D6437" s="16" t="s">
        <v>865</v>
      </c>
      <c r="E6437" s="16" t="s">
        <v>866</v>
      </c>
      <c r="F6437" s="27" t="s">
        <v>14705</v>
      </c>
      <c r="G6437" s="27"/>
      <c r="H6437" s="16" t="str">
        <f>IF(ISBLANK(PARTIDAS!$G6437),PARTIDAS!$F6437,CONCATENATE(PARTIDAS!$F6437," (",PARTIDAS!$G6437,")"))</f>
        <v>Máquinas de ordeñar</v>
      </c>
      <c r="I6437" s="16" t="s">
        <v>9427</v>
      </c>
    </row>
    <row r="6438" spans="1:9" x14ac:dyDescent="0.25">
      <c r="A6438" s="16" t="s">
        <v>7382</v>
      </c>
      <c r="B6438" s="16" t="str">
        <f>TEXT(PARTIDA[[#This Row],[PARTIDA]],"0000000000")</f>
        <v>8434200000</v>
      </c>
      <c r="C6438" s="16" t="s">
        <v>860</v>
      </c>
      <c r="D6438" s="16" t="s">
        <v>865</v>
      </c>
      <c r="E6438" s="16" t="s">
        <v>866</v>
      </c>
      <c r="F6438" s="27" t="s">
        <v>14706</v>
      </c>
      <c r="G6438" s="27"/>
      <c r="H6438" s="16" t="str">
        <f>IF(ISBLANK(PARTIDAS!$G6438),PARTIDAS!$F6438,CONCATENATE(PARTIDAS!$F6438," (",PARTIDAS!$G6438,")"))</f>
        <v>Máquinas y aparatos para la industria lechera</v>
      </c>
      <c r="I6438" s="16" t="s">
        <v>9427</v>
      </c>
    </row>
    <row r="6439" spans="1:9" x14ac:dyDescent="0.25">
      <c r="A6439" s="16" t="s">
        <v>7383</v>
      </c>
      <c r="B6439" s="16" t="str">
        <f>TEXT(PARTIDA[[#This Row],[PARTIDA]],"0000000000")</f>
        <v>8434901000</v>
      </c>
      <c r="C6439" s="16" t="s">
        <v>860</v>
      </c>
      <c r="D6439" s="16" t="s">
        <v>865</v>
      </c>
      <c r="E6439" s="16" t="s">
        <v>866</v>
      </c>
      <c r="F6439" s="27" t="s">
        <v>14707</v>
      </c>
      <c r="G6439" s="27"/>
      <c r="H6439" s="16" t="str">
        <f>IF(ISBLANK(PARTIDAS!$G6439),PARTIDAS!$F6439,CONCATENATE(PARTIDAS!$F6439," (",PARTIDAS!$G6439,")"))</f>
        <v>Máquinas de ordeñar y máquinas y aparatos para la…, partes, de ordeñadoras</v>
      </c>
      <c r="I6439" s="16" t="s">
        <v>9427</v>
      </c>
    </row>
    <row r="6440" spans="1:9" x14ac:dyDescent="0.25">
      <c r="A6440" s="16" t="s">
        <v>7384</v>
      </c>
      <c r="B6440" s="16" t="str">
        <f>TEXT(PARTIDA[[#This Row],[PARTIDA]],"0000000000")</f>
        <v>8434909000</v>
      </c>
      <c r="C6440" s="16" t="s">
        <v>860</v>
      </c>
      <c r="D6440" s="16" t="s">
        <v>865</v>
      </c>
      <c r="E6440" s="16" t="s">
        <v>866</v>
      </c>
      <c r="F6440" s="27" t="s">
        <v>14708</v>
      </c>
      <c r="G6440" s="27"/>
      <c r="H6440" s="16" t="str">
        <f>IF(ISBLANK(PARTIDAS!$G6440),PARTIDAS!$F6440,CONCATENATE(PARTIDAS!$F6440," (",PARTIDAS!$G6440,")"))</f>
        <v>Máquinas de ordeñar y máquinas y aparatos para la…, partes (los demás)</v>
      </c>
      <c r="I6440" s="16" t="s">
        <v>9427</v>
      </c>
    </row>
    <row r="6441" spans="1:9" x14ac:dyDescent="0.25">
      <c r="A6441" s="16" t="s">
        <v>7385</v>
      </c>
      <c r="B6441" s="16" t="str">
        <f>TEXT(PARTIDA[[#This Row],[PARTIDA]],"0000000000")</f>
        <v>8435100000</v>
      </c>
      <c r="C6441" s="16" t="s">
        <v>860</v>
      </c>
      <c r="D6441" s="16" t="s">
        <v>865</v>
      </c>
      <c r="E6441" s="16" t="s">
        <v>866</v>
      </c>
      <c r="F6441" s="27" t="s">
        <v>14709</v>
      </c>
      <c r="G6441" s="27"/>
      <c r="H6441" s="16" t="str">
        <f>IF(ISBLANK(PARTIDAS!$G6441),PARTIDAS!$F6441,CONCATENATE(PARTIDAS!$F6441," (",PARTIDAS!$G6441,")"))</f>
        <v>Máquinas y aparatos</v>
      </c>
      <c r="I6441" s="16" t="s">
        <v>9427</v>
      </c>
    </row>
    <row r="6442" spans="1:9" x14ac:dyDescent="0.25">
      <c r="A6442" s="16" t="s">
        <v>7386</v>
      </c>
      <c r="B6442" s="16" t="str">
        <f>TEXT(PARTIDA[[#This Row],[PARTIDA]],"0000000000")</f>
        <v>8435900000</v>
      </c>
      <c r="C6442" s="16" t="s">
        <v>860</v>
      </c>
      <c r="D6442" s="16" t="s">
        <v>865</v>
      </c>
      <c r="E6442" s="16" t="s">
        <v>866</v>
      </c>
      <c r="F6442" s="27" t="s">
        <v>14710</v>
      </c>
      <c r="G6442" s="27"/>
      <c r="H6442" s="16" t="str">
        <f>IF(ISBLANK(PARTIDAS!$G6442),PARTIDAS!$F6442,CONCATENATE(PARTIDAS!$F6442," (",PARTIDAS!$G6442,")"))</f>
        <v>Prensas, estrujadoras y máquinas y aparatos análogos para la…, partes</v>
      </c>
      <c r="I6442" s="16" t="s">
        <v>9427</v>
      </c>
    </row>
    <row r="6443" spans="1:9" x14ac:dyDescent="0.25">
      <c r="A6443" s="16" t="s">
        <v>7387</v>
      </c>
      <c r="B6443" s="16" t="str">
        <f>TEXT(PARTIDA[[#This Row],[PARTIDA]],"0000000000")</f>
        <v>8436100000</v>
      </c>
      <c r="C6443" s="16" t="s">
        <v>860</v>
      </c>
      <c r="D6443" s="16" t="s">
        <v>865</v>
      </c>
      <c r="E6443" s="16" t="s">
        <v>866</v>
      </c>
      <c r="F6443" s="27" t="s">
        <v>14711</v>
      </c>
      <c r="G6443" s="27"/>
      <c r="H6443" s="16" t="str">
        <f>IF(ISBLANK(PARTIDAS!$G6443),PARTIDAS!$F6443,CONCATENATE(PARTIDAS!$F6443," (",PARTIDAS!$G6443,")"))</f>
        <v>Máquinas y aparatos para preparar alimentos o piensos para animales</v>
      </c>
      <c r="I6443" s="16" t="s">
        <v>9427</v>
      </c>
    </row>
    <row r="6444" spans="1:9" x14ac:dyDescent="0.25">
      <c r="A6444" s="16" t="s">
        <v>7388</v>
      </c>
      <c r="B6444" s="16" t="str">
        <f>TEXT(PARTIDA[[#This Row],[PARTIDA]],"0000000000")</f>
        <v>8436210000</v>
      </c>
      <c r="C6444" s="16" t="s">
        <v>860</v>
      </c>
      <c r="D6444" s="16" t="s">
        <v>865</v>
      </c>
      <c r="E6444" s="16" t="s">
        <v>866</v>
      </c>
      <c r="F6444" s="27" t="s">
        <v>14712</v>
      </c>
      <c r="G6444" s="27"/>
      <c r="H6444" s="16" t="str">
        <f>IF(ISBLANK(PARTIDAS!$G6444),PARTIDAS!$F6444,CONCATENATE(PARTIDAS!$F6444," (",PARTIDAS!$G6444,")"))</f>
        <v>Incubadoras y criadoras</v>
      </c>
      <c r="I6444" s="16" t="s">
        <v>9427</v>
      </c>
    </row>
    <row r="6445" spans="1:9" x14ac:dyDescent="0.25">
      <c r="A6445" s="16" t="s">
        <v>7389</v>
      </c>
      <c r="B6445" s="16" t="str">
        <f>TEXT(PARTIDA[[#This Row],[PARTIDA]],"0000000000")</f>
        <v>8436291000</v>
      </c>
      <c r="C6445" s="16" t="s">
        <v>860</v>
      </c>
      <c r="D6445" s="16" t="s">
        <v>865</v>
      </c>
      <c r="E6445" s="16" t="s">
        <v>866</v>
      </c>
      <c r="F6445" s="27" t="s">
        <v>14713</v>
      </c>
      <c r="G6445" s="27"/>
      <c r="H6445" s="16" t="str">
        <f>IF(ISBLANK(PARTIDAS!$G6445),PARTIDAS!$F6445,CONCATENATE(PARTIDAS!$F6445," (",PARTIDAS!$G6445,")"))</f>
        <v>Comederos y bebederos automáticos</v>
      </c>
      <c r="I6445" s="16" t="s">
        <v>9427</v>
      </c>
    </row>
    <row r="6446" spans="1:9" x14ac:dyDescent="0.25">
      <c r="A6446" s="16" t="s">
        <v>7390</v>
      </c>
      <c r="B6446" s="16" t="str">
        <f>TEXT(PARTIDA[[#This Row],[PARTIDA]],"0000000000")</f>
        <v>8436292000</v>
      </c>
      <c r="C6446" s="16" t="s">
        <v>860</v>
      </c>
      <c r="D6446" s="16" t="s">
        <v>865</v>
      </c>
      <c r="E6446" s="16" t="s">
        <v>866</v>
      </c>
      <c r="F6446" s="27" t="s">
        <v>14714</v>
      </c>
      <c r="G6446" s="27"/>
      <c r="H6446" s="16" t="str">
        <f>IF(ISBLANK(PARTIDAS!$G6446),PARTIDAS!$F6446,CONCATENATE(PARTIDAS!$F6446," (",PARTIDAS!$G6446,")"))</f>
        <v>Batería automática de puesta y recolección de huevos</v>
      </c>
      <c r="I6446" s="16" t="s">
        <v>9427</v>
      </c>
    </row>
    <row r="6447" spans="1:9" x14ac:dyDescent="0.25">
      <c r="A6447" s="16" t="s">
        <v>7391</v>
      </c>
      <c r="B6447" s="16" t="str">
        <f>TEXT(PARTIDA[[#This Row],[PARTIDA]],"0000000000")</f>
        <v>8436299000</v>
      </c>
      <c r="C6447" s="16" t="s">
        <v>860</v>
      </c>
      <c r="D6447" s="16" t="s">
        <v>865</v>
      </c>
      <c r="E6447" s="16" t="s">
        <v>866</v>
      </c>
      <c r="F6447" s="27" t="s">
        <v>14715</v>
      </c>
      <c r="G6447" s="27"/>
      <c r="H6447" s="16" t="str">
        <f>IF(ISBLANK(PARTIDAS!$G6447),PARTIDAS!$F6447,CONCATENATE(PARTIDAS!$F6447," (",PARTIDAS!$G6447,")"))</f>
        <v>Máquinas y aparatos para la avicultura, incluidas las incubadoras y… (los demás)</v>
      </c>
      <c r="I6447" s="16" t="s">
        <v>9427</v>
      </c>
    </row>
    <row r="6448" spans="1:9" x14ac:dyDescent="0.25">
      <c r="A6448" s="16" t="s">
        <v>7392</v>
      </c>
      <c r="B6448" s="16" t="str">
        <f>TEXT(PARTIDA[[#This Row],[PARTIDA]],"0000000000")</f>
        <v>8436801000</v>
      </c>
      <c r="C6448" s="16" t="s">
        <v>860</v>
      </c>
      <c r="D6448" s="16" t="s">
        <v>865</v>
      </c>
      <c r="E6448" s="16" t="s">
        <v>866</v>
      </c>
      <c r="F6448" s="27" t="s">
        <v>14716</v>
      </c>
      <c r="G6448" s="27"/>
      <c r="H6448" s="16" t="str">
        <f>IF(ISBLANK(PARTIDAS!$G6448),PARTIDAS!$F6448,CONCATENATE(PARTIDAS!$F6448," (",PARTIDAS!$G6448,")"))</f>
        <v>Trituradoras y mezcladoras de abonos</v>
      </c>
      <c r="I6448" s="16" t="s">
        <v>9427</v>
      </c>
    </row>
    <row r="6449" spans="1:9" x14ac:dyDescent="0.25">
      <c r="A6449" s="16" t="s">
        <v>7393</v>
      </c>
      <c r="B6449" s="16" t="str">
        <f>TEXT(PARTIDA[[#This Row],[PARTIDA]],"0000000000")</f>
        <v>8436809000</v>
      </c>
      <c r="C6449" s="16" t="s">
        <v>860</v>
      </c>
      <c r="D6449" s="16" t="s">
        <v>865</v>
      </c>
      <c r="E6449" s="16" t="s">
        <v>866</v>
      </c>
      <c r="F6449" s="27" t="s">
        <v>14463</v>
      </c>
      <c r="G6449" s="27"/>
      <c r="H6449" s="16" t="str">
        <f>IF(ISBLANK(PARTIDAS!$G6449),PARTIDAS!$F6449,CONCATENATE(PARTIDAS!$F6449," (",PARTIDAS!$G6449,")"))</f>
        <v>Reactores nucleares, calderas, máquinas, aparatos y artefactos… (los demás)</v>
      </c>
      <c r="I6449" s="16" t="s">
        <v>9427</v>
      </c>
    </row>
    <row r="6450" spans="1:9" x14ac:dyDescent="0.25">
      <c r="A6450" s="16" t="s">
        <v>7394</v>
      </c>
      <c r="B6450" s="16" t="str">
        <f>TEXT(PARTIDA[[#This Row],[PARTIDA]],"0000000000")</f>
        <v>8436910000</v>
      </c>
      <c r="C6450" s="16" t="s">
        <v>860</v>
      </c>
      <c r="D6450" s="16" t="s">
        <v>865</v>
      </c>
      <c r="E6450" s="16" t="s">
        <v>866</v>
      </c>
      <c r="F6450" s="27" t="s">
        <v>14717</v>
      </c>
      <c r="G6450" s="27"/>
      <c r="H6450" s="16" t="str">
        <f>IF(ISBLANK(PARTIDAS!$G6450),PARTIDAS!$F6450,CONCATENATE(PARTIDAS!$F6450," (",PARTIDAS!$G6450,")"))</f>
        <v>Reactores nucleares, calderas, máquinas, aparatos y…, partes, de máquinas o aparatos para la avicultura</v>
      </c>
      <c r="I6450" s="16" t="s">
        <v>9427</v>
      </c>
    </row>
    <row r="6451" spans="1:9" x14ac:dyDescent="0.25">
      <c r="A6451" s="16" t="s">
        <v>7395</v>
      </c>
      <c r="B6451" s="16" t="str">
        <f>TEXT(PARTIDA[[#This Row],[PARTIDA]],"0000000000")</f>
        <v>8436990000</v>
      </c>
      <c r="C6451" s="16" t="s">
        <v>860</v>
      </c>
      <c r="D6451" s="16" t="s">
        <v>865</v>
      </c>
      <c r="E6451" s="16" t="s">
        <v>866</v>
      </c>
      <c r="F6451" s="27" t="s">
        <v>14718</v>
      </c>
      <c r="G6451" s="27"/>
      <c r="H6451" s="16" t="str">
        <f>IF(ISBLANK(PARTIDAS!$G6451),PARTIDAS!$F6451,CONCATENATE(PARTIDAS!$F6451," (",PARTIDAS!$G6451,")"))</f>
        <v>Reactores nucleares, calderas, máquinas, aparatos y…, partes (los demás)</v>
      </c>
      <c r="I6451" s="16" t="s">
        <v>9427</v>
      </c>
    </row>
    <row r="6452" spans="1:9" x14ac:dyDescent="0.25">
      <c r="A6452" s="16" t="s">
        <v>7396</v>
      </c>
      <c r="B6452" s="16" t="str">
        <f>TEXT(PARTIDA[[#This Row],[PARTIDA]],"0000000000")</f>
        <v>8437101100</v>
      </c>
      <c r="C6452" s="16" t="s">
        <v>860</v>
      </c>
      <c r="D6452" s="16" t="s">
        <v>865</v>
      </c>
      <c r="E6452" s="16" t="s">
        <v>866</v>
      </c>
      <c r="F6452" s="27" t="s">
        <v>14719</v>
      </c>
      <c r="G6452" s="27"/>
      <c r="H6452" s="16" t="str">
        <f>IF(ISBLANK(PARTIDAS!$G6452),PARTIDAS!$F6452,CONCATENATE(PARTIDAS!$F6452," (",PARTIDAS!$G6452,")"))</f>
        <v>Por color</v>
      </c>
      <c r="I6452" s="16" t="s">
        <v>9427</v>
      </c>
    </row>
    <row r="6453" spans="1:9" x14ac:dyDescent="0.25">
      <c r="A6453" s="16" t="s">
        <v>7397</v>
      </c>
      <c r="B6453" s="16" t="str">
        <f>TEXT(PARTIDA[[#This Row],[PARTIDA]],"0000000000")</f>
        <v>8437101900</v>
      </c>
      <c r="C6453" s="16" t="s">
        <v>860</v>
      </c>
      <c r="D6453" s="16" t="s">
        <v>865</v>
      </c>
      <c r="E6453" s="16" t="s">
        <v>866</v>
      </c>
      <c r="F6453" s="27" t="s">
        <v>14720</v>
      </c>
      <c r="G6453" s="27"/>
      <c r="H6453" s="16" t="str">
        <f>IF(ISBLANK(PARTIDAS!$G6453),PARTIDAS!$F6453,CONCATENATE(PARTIDAS!$F6453," (",PARTIDAS!$G6453,")"))</f>
        <v>Clasificadoras de café (los demás)</v>
      </c>
      <c r="I6453" s="16" t="s">
        <v>9427</v>
      </c>
    </row>
    <row r="6454" spans="1:9" x14ac:dyDescent="0.25">
      <c r="A6454" s="16" t="s">
        <v>7398</v>
      </c>
      <c r="B6454" s="16" t="str">
        <f>TEXT(PARTIDA[[#This Row],[PARTIDA]],"0000000000")</f>
        <v>8437109000</v>
      </c>
      <c r="C6454" s="16" t="s">
        <v>860</v>
      </c>
      <c r="D6454" s="16" t="s">
        <v>865</v>
      </c>
      <c r="E6454" s="16" t="s">
        <v>866</v>
      </c>
      <c r="F6454" s="27" t="s">
        <v>14721</v>
      </c>
      <c r="G6454" s="27"/>
      <c r="H6454" s="16" t="str">
        <f>IF(ISBLANK(PARTIDAS!$G6454),PARTIDAS!$F6454,CONCATENATE(PARTIDAS!$F6454," (",PARTIDAS!$G6454,")"))</f>
        <v>Máquinas para limpieza, clasificación o cribado de semillas, granos u… (los demás)</v>
      </c>
      <c r="I6454" s="16" t="s">
        <v>9427</v>
      </c>
    </row>
    <row r="6455" spans="1:9" x14ac:dyDescent="0.25">
      <c r="A6455" s="16" t="s">
        <v>7399</v>
      </c>
      <c r="B6455" s="16" t="str">
        <f>TEXT(PARTIDA[[#This Row],[PARTIDA]],"0000000000")</f>
        <v>8437801100</v>
      </c>
      <c r="C6455" s="16" t="s">
        <v>860</v>
      </c>
      <c r="D6455" s="16" t="s">
        <v>865</v>
      </c>
      <c r="E6455" s="16" t="s">
        <v>866</v>
      </c>
      <c r="F6455" s="27" t="s">
        <v>14722</v>
      </c>
      <c r="G6455" s="27"/>
      <c r="H6455" s="16" t="str">
        <f>IF(ISBLANK(PARTIDAS!$G6455),PARTIDAS!$F6455,CONCATENATE(PARTIDAS!$F6455," (",PARTIDAS!$G6455,")"))</f>
        <v>Máquinas para limpieza, clasificación o cribado de…, para molienda, de cereales</v>
      </c>
      <c r="I6455" s="16" t="s">
        <v>9427</v>
      </c>
    </row>
    <row r="6456" spans="1:9" x14ac:dyDescent="0.25">
      <c r="A6456" s="16" t="s">
        <v>7400</v>
      </c>
      <c r="B6456" s="16" t="str">
        <f>TEXT(PARTIDA[[#This Row],[PARTIDA]],"0000000000")</f>
        <v>8437801900</v>
      </c>
      <c r="C6456" s="16" t="s">
        <v>860</v>
      </c>
      <c r="D6456" s="16" t="s">
        <v>865</v>
      </c>
      <c r="E6456" s="16" t="s">
        <v>866</v>
      </c>
      <c r="F6456" s="27" t="s">
        <v>14723</v>
      </c>
      <c r="G6456" s="27"/>
      <c r="H6456" s="16" t="str">
        <f>IF(ISBLANK(PARTIDAS!$G6456),PARTIDAS!$F6456,CONCATENATE(PARTIDAS!$F6456," (",PARTIDAS!$G6456,")"))</f>
        <v>Máquinas para limpieza, clasificación o cribado de…, para molienda (los demás)</v>
      </c>
      <c r="I6456" s="16" t="s">
        <v>9427</v>
      </c>
    </row>
    <row r="6457" spans="1:9" x14ac:dyDescent="0.25">
      <c r="A6457" s="16" t="s">
        <v>7401</v>
      </c>
      <c r="B6457" s="16" t="str">
        <f>TEXT(PARTIDA[[#This Row],[PARTIDA]],"0000000000")</f>
        <v>8437809100</v>
      </c>
      <c r="C6457" s="16" t="s">
        <v>860</v>
      </c>
      <c r="D6457" s="16" t="s">
        <v>865</v>
      </c>
      <c r="E6457" s="16" t="s">
        <v>866</v>
      </c>
      <c r="F6457" s="27" t="s">
        <v>14724</v>
      </c>
      <c r="G6457" s="27"/>
      <c r="H6457" s="16" t="str">
        <f>IF(ISBLANK(PARTIDAS!$G6457),PARTIDAS!$F6457,CONCATENATE(PARTIDAS!$F6457," (",PARTIDAS!$G6457,")"))</f>
        <v>Máquinas para limpieza, clasificación o cribado de semillas, granos u…, para tratamiento de arroz, incluso el pulido</v>
      </c>
      <c r="I6457" s="16" t="s">
        <v>9427</v>
      </c>
    </row>
    <row r="6458" spans="1:9" x14ac:dyDescent="0.25">
      <c r="A6458" s="16" t="s">
        <v>7402</v>
      </c>
      <c r="B6458" s="16" t="str">
        <f>TEXT(PARTIDA[[#This Row],[PARTIDA]],"0000000000")</f>
        <v>8437809200</v>
      </c>
      <c r="C6458" s="16" t="s">
        <v>860</v>
      </c>
      <c r="D6458" s="16" t="s">
        <v>865</v>
      </c>
      <c r="E6458" s="16" t="s">
        <v>866</v>
      </c>
      <c r="F6458" s="27" t="s">
        <v>14725</v>
      </c>
      <c r="G6458" s="27"/>
      <c r="H6458" s="16" t="str">
        <f>IF(ISBLANK(PARTIDAS!$G6458),PARTIDAS!$F6458,CONCATENATE(PARTIDAS!$F6458," (",PARTIDAS!$G6458,")"))</f>
        <v>Para la clasificación y separación de las harinas y demás productos de la molienda</v>
      </c>
      <c r="I6458" s="16" t="s">
        <v>9648</v>
      </c>
    </row>
    <row r="6459" spans="1:9" x14ac:dyDescent="0.25">
      <c r="A6459" s="16" t="s">
        <v>7403</v>
      </c>
      <c r="B6459" s="16" t="str">
        <f>TEXT(PARTIDA[[#This Row],[PARTIDA]],"0000000000")</f>
        <v>8437809300</v>
      </c>
      <c r="C6459" s="16" t="s">
        <v>860</v>
      </c>
      <c r="D6459" s="16" t="s">
        <v>865</v>
      </c>
      <c r="E6459" s="16" t="s">
        <v>866</v>
      </c>
      <c r="F6459" s="27" t="s">
        <v>14726</v>
      </c>
      <c r="G6459" s="27"/>
      <c r="H6459" s="16" t="str">
        <f>IF(ISBLANK(PARTIDAS!$G6459),PARTIDAS!$F6459,CONCATENATE(PARTIDAS!$F6459," (",PARTIDAS!$G6459,")"))</f>
        <v>Máquinas para limpieza, clasificación o cribado de semillas, granos u…, para pulir granos</v>
      </c>
      <c r="I6459" s="16" t="s">
        <v>9427</v>
      </c>
    </row>
    <row r="6460" spans="1:9" x14ac:dyDescent="0.25">
      <c r="A6460" s="16" t="s">
        <v>7404</v>
      </c>
      <c r="B6460" s="16" t="str">
        <f>TEXT(PARTIDA[[#This Row],[PARTIDA]],"0000000000")</f>
        <v>8437809900</v>
      </c>
      <c r="C6460" s="16" t="s">
        <v>860</v>
      </c>
      <c r="D6460" s="16" t="s">
        <v>865</v>
      </c>
      <c r="E6460" s="16" t="s">
        <v>866</v>
      </c>
      <c r="F6460" s="27" t="s">
        <v>14721</v>
      </c>
      <c r="G6460" s="27"/>
      <c r="H6460" s="16" t="str">
        <f>IF(ISBLANK(PARTIDAS!$G6460),PARTIDAS!$F6460,CONCATENATE(PARTIDAS!$F6460," (",PARTIDAS!$G6460,")"))</f>
        <v>Máquinas para limpieza, clasificación o cribado de semillas, granos u… (los demás)</v>
      </c>
      <c r="I6460" s="16" t="s">
        <v>9427</v>
      </c>
    </row>
    <row r="6461" spans="1:9" x14ac:dyDescent="0.25">
      <c r="A6461" s="16" t="s">
        <v>7405</v>
      </c>
      <c r="B6461" s="16" t="str">
        <f>TEXT(PARTIDA[[#This Row],[PARTIDA]],"0000000000")</f>
        <v>8437900000</v>
      </c>
      <c r="C6461" s="16" t="s">
        <v>860</v>
      </c>
      <c r="D6461" s="16" t="s">
        <v>865</v>
      </c>
      <c r="E6461" s="16" t="s">
        <v>866</v>
      </c>
      <c r="F6461" s="27" t="s">
        <v>14727</v>
      </c>
      <c r="G6461" s="27"/>
      <c r="H6461" s="16" t="str">
        <f>IF(ISBLANK(PARTIDAS!$G6461),PARTIDAS!$F6461,CONCATENATE(PARTIDAS!$F6461," (",PARTIDAS!$G6461,")"))</f>
        <v>Máquinas para limpieza, clasificación o cribado de semillas, granos u…, partes</v>
      </c>
      <c r="I6461" s="16" t="s">
        <v>9427</v>
      </c>
    </row>
    <row r="6462" spans="1:9" x14ac:dyDescent="0.25">
      <c r="A6462" s="16" t="s">
        <v>7406</v>
      </c>
      <c r="B6462" s="16" t="str">
        <f>TEXT(PARTIDA[[#This Row],[PARTIDA]],"0000000000")</f>
        <v>8438101000</v>
      </c>
      <c r="C6462" s="16" t="s">
        <v>860</v>
      </c>
      <c r="D6462" s="16" t="s">
        <v>873</v>
      </c>
      <c r="E6462" s="16" t="s">
        <v>9480</v>
      </c>
      <c r="F6462" s="27" t="s">
        <v>14728</v>
      </c>
      <c r="G6462" s="27"/>
      <c r="H6462" s="16" t="str">
        <f>IF(ISBLANK(PARTIDAS!$G6462),PARTIDAS!$F6462,CONCATENATE(PARTIDAS!$F6462," (",PARTIDAS!$G6462,")"))</f>
        <v>Máquinas y aparatos para panadería, pastelería, galletería o la…, para panadería, pastelería o galletería</v>
      </c>
      <c r="I6462" s="16" t="s">
        <v>9427</v>
      </c>
    </row>
    <row r="6463" spans="1:9" x14ac:dyDescent="0.25">
      <c r="A6463" s="16" t="s">
        <v>7407</v>
      </c>
      <c r="B6463" s="16" t="str">
        <f>TEXT(PARTIDA[[#This Row],[PARTIDA]],"0000000000")</f>
        <v>8438102000</v>
      </c>
      <c r="C6463" s="16" t="s">
        <v>860</v>
      </c>
      <c r="D6463" s="16" t="s">
        <v>873</v>
      </c>
      <c r="E6463" s="16" t="s">
        <v>9480</v>
      </c>
      <c r="F6463" s="27" t="s">
        <v>14729</v>
      </c>
      <c r="G6463" s="27"/>
      <c r="H6463" s="16" t="str">
        <f>IF(ISBLANK(PARTIDAS!$G6463),PARTIDAS!$F6463,CONCATENATE(PARTIDAS!$F6463," (",PARTIDAS!$G6463,")"))</f>
        <v>Máquinas y aparatos para panadería, pastelería, galletería o la…, para la fabricación de pastas alimenticias</v>
      </c>
      <c r="I6463" s="16" t="s">
        <v>9427</v>
      </c>
    </row>
    <row r="6464" spans="1:9" x14ac:dyDescent="0.25">
      <c r="A6464" s="16" t="s">
        <v>7408</v>
      </c>
      <c r="B6464" s="16" t="str">
        <f>TEXT(PARTIDA[[#This Row],[PARTIDA]],"0000000000")</f>
        <v>8438201000</v>
      </c>
      <c r="C6464" s="16" t="s">
        <v>860</v>
      </c>
      <c r="D6464" s="16" t="s">
        <v>873</v>
      </c>
      <c r="E6464" s="16" t="s">
        <v>9480</v>
      </c>
      <c r="F6464" s="27" t="s">
        <v>14730</v>
      </c>
      <c r="G6464" s="27"/>
      <c r="H6464" s="16" t="str">
        <f>IF(ISBLANK(PARTIDAS!$G6464),PARTIDAS!$F6464,CONCATENATE(PARTIDAS!$F6464," (",PARTIDAS!$G6464,")"))</f>
        <v>Máquinas y aparatos para confitería, elaboración de cacao o la…, para confitería</v>
      </c>
      <c r="I6464" s="16" t="s">
        <v>9427</v>
      </c>
    </row>
    <row r="6465" spans="1:9" x14ac:dyDescent="0.25">
      <c r="A6465" s="16" t="s">
        <v>7409</v>
      </c>
      <c r="B6465" s="16" t="str">
        <f>TEXT(PARTIDA[[#This Row],[PARTIDA]],"0000000000")</f>
        <v>8438202000</v>
      </c>
      <c r="C6465" s="16" t="s">
        <v>860</v>
      </c>
      <c r="D6465" s="16" t="s">
        <v>873</v>
      </c>
      <c r="E6465" s="16" t="s">
        <v>9480</v>
      </c>
      <c r="F6465" s="27" t="s">
        <v>14731</v>
      </c>
      <c r="G6465" s="27"/>
      <c r="H6465" s="16" t="str">
        <f>IF(ISBLANK(PARTIDAS!$G6465),PARTIDAS!$F6465,CONCATENATE(PARTIDAS!$F6465," (",PARTIDAS!$G6465,")"))</f>
        <v>Máquinas y aparatos para confitería, elaboración de cacao o la…, para la elaboración del cacao o fabricación de chocolate</v>
      </c>
      <c r="I6465" s="16" t="s">
        <v>9427</v>
      </c>
    </row>
    <row r="6466" spans="1:9" x14ac:dyDescent="0.25">
      <c r="A6466" s="16" t="s">
        <v>7410</v>
      </c>
      <c r="B6466" s="16" t="str">
        <f>TEXT(PARTIDA[[#This Row],[PARTIDA]],"0000000000")</f>
        <v>8438300000</v>
      </c>
      <c r="C6466" s="16" t="s">
        <v>860</v>
      </c>
      <c r="D6466" s="16" t="s">
        <v>873</v>
      </c>
      <c r="E6466" s="16" t="s">
        <v>9480</v>
      </c>
      <c r="F6466" s="27" t="s">
        <v>14732</v>
      </c>
      <c r="G6466" s="27"/>
      <c r="H6466" s="16" t="str">
        <f>IF(ISBLANK(PARTIDAS!$G6466),PARTIDAS!$F6466,CONCATENATE(PARTIDAS!$F6466," (",PARTIDAS!$G6466,")"))</f>
        <v>Máquinas y aparatos para la industria azucarera</v>
      </c>
      <c r="I6466" s="16" t="s">
        <v>9427</v>
      </c>
    </row>
    <row r="6467" spans="1:9" x14ac:dyDescent="0.25">
      <c r="A6467" s="16" t="s">
        <v>7411</v>
      </c>
      <c r="B6467" s="16" t="str">
        <f>TEXT(PARTIDA[[#This Row],[PARTIDA]],"0000000000")</f>
        <v>8438400000</v>
      </c>
      <c r="C6467" s="16" t="s">
        <v>860</v>
      </c>
      <c r="D6467" s="16" t="s">
        <v>873</v>
      </c>
      <c r="E6467" s="16" t="s">
        <v>9480</v>
      </c>
      <c r="F6467" s="27" t="s">
        <v>14733</v>
      </c>
      <c r="G6467" s="27"/>
      <c r="H6467" s="16" t="str">
        <f>IF(ISBLANK(PARTIDAS!$G6467),PARTIDAS!$F6467,CONCATENATE(PARTIDAS!$F6467," (",PARTIDAS!$G6467,")"))</f>
        <v>Máquinas y aparatos para la industria cervecera</v>
      </c>
      <c r="I6467" s="16" t="s">
        <v>9427</v>
      </c>
    </row>
    <row r="6468" spans="1:9" x14ac:dyDescent="0.25">
      <c r="A6468" s="16" t="s">
        <v>7412</v>
      </c>
      <c r="B6468" s="16" t="str">
        <f>TEXT(PARTIDA[[#This Row],[PARTIDA]],"0000000000")</f>
        <v>8438501000</v>
      </c>
      <c r="C6468" s="16" t="s">
        <v>860</v>
      </c>
      <c r="D6468" s="16" t="s">
        <v>873</v>
      </c>
      <c r="E6468" s="16" t="s">
        <v>9480</v>
      </c>
      <c r="F6468" s="27" t="s">
        <v>14734</v>
      </c>
      <c r="G6468" s="27"/>
      <c r="H6468" s="16" t="str">
        <f>IF(ISBLANK(PARTIDAS!$G6468),PARTIDAS!$F6468,CONCATENATE(PARTIDAS!$F6468," (",PARTIDAS!$G6468,")"))</f>
        <v>Máquinas y aparatos para la preparación de carne, para procesamiento automático de aves</v>
      </c>
      <c r="I6468" s="16" t="s">
        <v>9427</v>
      </c>
    </row>
    <row r="6469" spans="1:9" x14ac:dyDescent="0.25">
      <c r="A6469" s="16" t="s">
        <v>7413</v>
      </c>
      <c r="B6469" s="16" t="str">
        <f>TEXT(PARTIDA[[#This Row],[PARTIDA]],"0000000000")</f>
        <v>8438509000</v>
      </c>
      <c r="C6469" s="16" t="s">
        <v>860</v>
      </c>
      <c r="D6469" s="16" t="s">
        <v>873</v>
      </c>
      <c r="E6469" s="16" t="s">
        <v>9480</v>
      </c>
      <c r="F6469" s="27" t="s">
        <v>14735</v>
      </c>
      <c r="G6469" s="27"/>
      <c r="H6469" s="16" t="str">
        <f>IF(ISBLANK(PARTIDAS!$G6469),PARTIDAS!$F6469,CONCATENATE(PARTIDAS!$F6469," (",PARTIDAS!$G6469,")"))</f>
        <v>Máquinas y aparatos para la preparación de carne (los demás)</v>
      </c>
      <c r="I6469" s="16" t="s">
        <v>9427</v>
      </c>
    </row>
    <row r="6470" spans="1:9" x14ac:dyDescent="0.25">
      <c r="A6470" s="16" t="s">
        <v>7414</v>
      </c>
      <c r="B6470" s="16" t="str">
        <f>TEXT(PARTIDA[[#This Row],[PARTIDA]],"0000000000")</f>
        <v>8438600000</v>
      </c>
      <c r="C6470" s="16" t="s">
        <v>860</v>
      </c>
      <c r="D6470" s="16" t="s">
        <v>873</v>
      </c>
      <c r="E6470" s="16" t="s">
        <v>9480</v>
      </c>
      <c r="F6470" s="27" t="s">
        <v>14736</v>
      </c>
      <c r="G6470" s="27"/>
      <c r="H6470" s="16" t="str">
        <f>IF(ISBLANK(PARTIDAS!$G6470),PARTIDAS!$F6470,CONCATENATE(PARTIDAS!$F6470," (",PARTIDAS!$G6470,")"))</f>
        <v>Máquinas y aparatos para la preparación de frutos u hortalizas</v>
      </c>
      <c r="I6470" s="16" t="s">
        <v>9427</v>
      </c>
    </row>
    <row r="6471" spans="1:9" x14ac:dyDescent="0.25">
      <c r="A6471" s="16" t="s">
        <v>7415</v>
      </c>
      <c r="B6471" s="16" t="str">
        <f>TEXT(PARTIDA[[#This Row],[PARTIDA]],"0000000000")</f>
        <v>8438801000</v>
      </c>
      <c r="C6471" s="16" t="s">
        <v>860</v>
      </c>
      <c r="D6471" s="16" t="s">
        <v>873</v>
      </c>
      <c r="E6471" s="16" t="s">
        <v>9480</v>
      </c>
      <c r="F6471" s="27" t="s">
        <v>7416</v>
      </c>
      <c r="G6471" s="27"/>
      <c r="H6471" s="16" t="str">
        <f>IF(ISBLANK(PARTIDAS!$G6471),PARTIDAS!$F6471,CONCATENATE(PARTIDAS!$F6471," (",PARTIDAS!$G6471,")"))</f>
        <v>Descascarilladoras y despulpadoras de café</v>
      </c>
      <c r="I6471" s="16" t="s">
        <v>9427</v>
      </c>
    </row>
    <row r="6472" spans="1:9" x14ac:dyDescent="0.25">
      <c r="A6472" s="16" t="s">
        <v>7417</v>
      </c>
      <c r="B6472" s="16" t="str">
        <f>TEXT(PARTIDA[[#This Row],[PARTIDA]],"0000000000")</f>
        <v>8438802000</v>
      </c>
      <c r="C6472" s="16" t="s">
        <v>860</v>
      </c>
      <c r="D6472" s="16" t="s">
        <v>873</v>
      </c>
      <c r="E6472" s="16" t="s">
        <v>9480</v>
      </c>
      <c r="F6472" s="27" t="s">
        <v>14737</v>
      </c>
      <c r="G6472" s="27"/>
      <c r="H6472" s="16" t="str">
        <f>IF(ISBLANK(PARTIDAS!$G6472),PARTIDAS!$F6472,CONCATENATE(PARTIDAS!$F6472," (",PARTIDAS!$G6472,")"))</f>
        <v>Máquinas y aparatos para la preparación de pescado o de crustáceos, moluscos y demás invertebrados acuáticos</v>
      </c>
      <c r="I6472" s="16" t="s">
        <v>9427</v>
      </c>
    </row>
    <row r="6473" spans="1:9" x14ac:dyDescent="0.25">
      <c r="A6473" s="16" t="s">
        <v>7418</v>
      </c>
      <c r="B6473" s="16" t="str">
        <f>TEXT(PARTIDA[[#This Row],[PARTIDA]],"0000000000")</f>
        <v>8438809000</v>
      </c>
      <c r="C6473" s="16" t="s">
        <v>860</v>
      </c>
      <c r="D6473" s="16" t="s">
        <v>873</v>
      </c>
      <c r="E6473" s="16" t="s">
        <v>9480</v>
      </c>
      <c r="F6473" s="27" t="s">
        <v>14738</v>
      </c>
      <c r="G6473" s="27"/>
      <c r="H6473" s="16" t="str">
        <f>IF(ISBLANK(PARTIDAS!$G6473),PARTIDAS!$F6473,CONCATENATE(PARTIDAS!$F6473," (",PARTIDAS!$G6473,")"))</f>
        <v>Máquinas y aparatos, no expresados ni comprendidos en otra parte de… (los demás)</v>
      </c>
      <c r="I6473" s="16" t="s">
        <v>9427</v>
      </c>
    </row>
    <row r="6474" spans="1:9" x14ac:dyDescent="0.25">
      <c r="A6474" s="16" t="s">
        <v>7419</v>
      </c>
      <c r="B6474" s="16" t="str">
        <f>TEXT(PARTIDA[[#This Row],[PARTIDA]],"0000000000")</f>
        <v>8438900000</v>
      </c>
      <c r="C6474" s="16" t="s">
        <v>860</v>
      </c>
      <c r="D6474" s="16" t="s">
        <v>873</v>
      </c>
      <c r="E6474" s="16" t="s">
        <v>9480</v>
      </c>
      <c r="F6474" s="27" t="s">
        <v>14739</v>
      </c>
      <c r="G6474" s="27"/>
      <c r="H6474" s="16" t="str">
        <f>IF(ISBLANK(PARTIDAS!$G6474),PARTIDAS!$F6474,CONCATENATE(PARTIDAS!$F6474," (",PARTIDAS!$G6474,")"))</f>
        <v>Máquinas y aparatos, no expresados ni comprendidos en otra parte de…, partes</v>
      </c>
      <c r="I6474" s="16" t="s">
        <v>9427</v>
      </c>
    </row>
    <row r="6475" spans="1:9" x14ac:dyDescent="0.25">
      <c r="A6475" s="16" t="s">
        <v>7420</v>
      </c>
      <c r="B6475" s="16" t="str">
        <f>TEXT(PARTIDA[[#This Row],[PARTIDA]],"0000000000")</f>
        <v>8439100000</v>
      </c>
      <c r="C6475" s="16" t="s">
        <v>860</v>
      </c>
      <c r="D6475" s="16" t="s">
        <v>873</v>
      </c>
      <c r="E6475" s="16" t="s">
        <v>9480</v>
      </c>
      <c r="F6475" s="27" t="s">
        <v>14740</v>
      </c>
      <c r="G6475" s="27"/>
      <c r="H6475" s="16" t="str">
        <f>IF(ISBLANK(PARTIDAS!$G6475),PARTIDAS!$F6475,CONCATENATE(PARTIDAS!$F6475," (",PARTIDAS!$G6475,")"))</f>
        <v>Máquinas y aparatos para la fabricación de pasta de materias fibrosas celulósicas</v>
      </c>
      <c r="I6475" s="16" t="s">
        <v>9427</v>
      </c>
    </row>
    <row r="6476" spans="1:9" x14ac:dyDescent="0.25">
      <c r="A6476" s="16" t="s">
        <v>7421</v>
      </c>
      <c r="B6476" s="16" t="str">
        <f>TEXT(PARTIDA[[#This Row],[PARTIDA]],"0000000000")</f>
        <v>8439200000</v>
      </c>
      <c r="C6476" s="16" t="s">
        <v>860</v>
      </c>
      <c r="D6476" s="16" t="s">
        <v>873</v>
      </c>
      <c r="E6476" s="16" t="s">
        <v>9480</v>
      </c>
      <c r="F6476" s="27" t="s">
        <v>14741</v>
      </c>
      <c r="G6476" s="27"/>
      <c r="H6476" s="16" t="str">
        <f>IF(ISBLANK(PARTIDAS!$G6476),PARTIDAS!$F6476,CONCATENATE(PARTIDAS!$F6476," (",PARTIDAS!$G6476,")"))</f>
        <v>Máquinas y aparatos para la fabricación de papel o cartón</v>
      </c>
      <c r="I6476" s="16" t="s">
        <v>9427</v>
      </c>
    </row>
    <row r="6477" spans="1:9" x14ac:dyDescent="0.25">
      <c r="A6477" s="16" t="s">
        <v>7422</v>
      </c>
      <c r="B6477" s="16" t="str">
        <f>TEXT(PARTIDA[[#This Row],[PARTIDA]],"0000000000")</f>
        <v>8439300000</v>
      </c>
      <c r="C6477" s="16" t="s">
        <v>860</v>
      </c>
      <c r="D6477" s="16" t="s">
        <v>873</v>
      </c>
      <c r="E6477" s="16" t="s">
        <v>9480</v>
      </c>
      <c r="F6477" s="27" t="s">
        <v>14742</v>
      </c>
      <c r="G6477" s="27"/>
      <c r="H6477" s="16" t="str">
        <f>IF(ISBLANK(PARTIDAS!$G6477),PARTIDAS!$F6477,CONCATENATE(PARTIDAS!$F6477," (",PARTIDAS!$G6477,")"))</f>
        <v>Máquinas y aparatos para el acabado de papel o cartón</v>
      </c>
      <c r="I6477" s="16" t="s">
        <v>9427</v>
      </c>
    </row>
    <row r="6478" spans="1:9" x14ac:dyDescent="0.25">
      <c r="A6478" s="16" t="s">
        <v>7423</v>
      </c>
      <c r="B6478" s="16" t="str">
        <f>TEXT(PARTIDA[[#This Row],[PARTIDA]],"0000000000")</f>
        <v>8439910000</v>
      </c>
      <c r="C6478" s="16" t="s">
        <v>860</v>
      </c>
      <c r="D6478" s="16" t="s">
        <v>873</v>
      </c>
      <c r="E6478" s="16" t="s">
        <v>9480</v>
      </c>
      <c r="F6478" s="27" t="s">
        <v>14743</v>
      </c>
      <c r="G6478" s="27"/>
      <c r="H6478" s="16" t="str">
        <f>IF(ISBLANK(PARTIDAS!$G6478),PARTIDAS!$F6478,CONCATENATE(PARTIDAS!$F6478," (",PARTIDAS!$G6478,")"))</f>
        <v>Máquinas y aparatos para la fabricación de pasta de…, partes, de máquinas o aparatos para la fabricación de pasta de materias fibrosas celulósicas</v>
      </c>
      <c r="I6478" s="16" t="s">
        <v>9427</v>
      </c>
    </row>
    <row r="6479" spans="1:9" x14ac:dyDescent="0.25">
      <c r="A6479" s="16" t="s">
        <v>7424</v>
      </c>
      <c r="B6479" s="16" t="str">
        <f>TEXT(PARTIDA[[#This Row],[PARTIDA]],"0000000000")</f>
        <v>8439990000</v>
      </c>
      <c r="C6479" s="16" t="s">
        <v>860</v>
      </c>
      <c r="D6479" s="16" t="s">
        <v>873</v>
      </c>
      <c r="E6479" s="16" t="s">
        <v>9480</v>
      </c>
      <c r="F6479" s="27" t="s">
        <v>14744</v>
      </c>
      <c r="G6479" s="27"/>
      <c r="H6479" s="16" t="str">
        <f>IF(ISBLANK(PARTIDAS!$G6479),PARTIDAS!$F6479,CONCATENATE(PARTIDAS!$F6479," (",PARTIDAS!$G6479,")"))</f>
        <v>Máquinas y aparatos para la fabricación de pasta de…, partes (los demás)</v>
      </c>
      <c r="I6479" s="16" t="s">
        <v>9427</v>
      </c>
    </row>
    <row r="6480" spans="1:9" x14ac:dyDescent="0.25">
      <c r="A6480" s="16" t="s">
        <v>7425</v>
      </c>
      <c r="B6480" s="16" t="str">
        <f>TEXT(PARTIDA[[#This Row],[PARTIDA]],"0000000000")</f>
        <v>8440100000</v>
      </c>
      <c r="C6480" s="16" t="s">
        <v>860</v>
      </c>
      <c r="D6480" s="16" t="s">
        <v>873</v>
      </c>
      <c r="E6480" s="16" t="s">
        <v>9480</v>
      </c>
      <c r="F6480" s="27" t="s">
        <v>14709</v>
      </c>
      <c r="G6480" s="27"/>
      <c r="H6480" s="16" t="str">
        <f>IF(ISBLANK(PARTIDAS!$G6480),PARTIDAS!$F6480,CONCATENATE(PARTIDAS!$F6480," (",PARTIDAS!$G6480,")"))</f>
        <v>Máquinas y aparatos</v>
      </c>
      <c r="I6480" s="16" t="s">
        <v>9427</v>
      </c>
    </row>
    <row r="6481" spans="1:9" x14ac:dyDescent="0.25">
      <c r="A6481" s="16" t="s">
        <v>7426</v>
      </c>
      <c r="B6481" s="16" t="str">
        <f>TEXT(PARTIDA[[#This Row],[PARTIDA]],"0000000000")</f>
        <v>8440900000</v>
      </c>
      <c r="C6481" s="16" t="s">
        <v>860</v>
      </c>
      <c r="D6481" s="16" t="s">
        <v>873</v>
      </c>
      <c r="E6481" s="16" t="s">
        <v>9480</v>
      </c>
      <c r="F6481" s="27" t="s">
        <v>14745</v>
      </c>
      <c r="G6481" s="27"/>
      <c r="H6481" s="16" t="str">
        <f>IF(ISBLANK(PARTIDAS!$G6481),PARTIDAS!$F6481,CONCATENATE(PARTIDAS!$F6481," (",PARTIDAS!$G6481,")"))</f>
        <v>Máquinas y aparatos para encuadernación, incluidas las máquinas para…, partes</v>
      </c>
      <c r="I6481" s="16" t="s">
        <v>9427</v>
      </c>
    </row>
    <row r="6482" spans="1:9" x14ac:dyDescent="0.25">
      <c r="A6482" s="16" t="s">
        <v>7427</v>
      </c>
      <c r="B6482" s="16" t="str">
        <f>TEXT(PARTIDA[[#This Row],[PARTIDA]],"0000000000")</f>
        <v>8441100000</v>
      </c>
      <c r="C6482" s="16" t="s">
        <v>860</v>
      </c>
      <c r="D6482" s="16" t="s">
        <v>873</v>
      </c>
      <c r="E6482" s="16" t="s">
        <v>9480</v>
      </c>
      <c r="F6482" s="27" t="s">
        <v>14746</v>
      </c>
      <c r="G6482" s="27"/>
      <c r="H6482" s="16" t="str">
        <f>IF(ISBLANK(PARTIDAS!$G6482),PARTIDAS!$F6482,CONCATENATE(PARTIDAS!$F6482," (",PARTIDAS!$G6482,")"))</f>
        <v>Cortadoras</v>
      </c>
      <c r="I6482" s="16" t="s">
        <v>9427</v>
      </c>
    </row>
    <row r="6483" spans="1:9" x14ac:dyDescent="0.25">
      <c r="A6483" s="16" t="s">
        <v>7428</v>
      </c>
      <c r="B6483" s="16" t="str">
        <f>TEXT(PARTIDA[[#This Row],[PARTIDA]],"0000000000")</f>
        <v>8441200000</v>
      </c>
      <c r="C6483" s="16" t="s">
        <v>860</v>
      </c>
      <c r="D6483" s="16" t="s">
        <v>873</v>
      </c>
      <c r="E6483" s="16" t="s">
        <v>9480</v>
      </c>
      <c r="F6483" s="27" t="s">
        <v>14747</v>
      </c>
      <c r="G6483" s="27"/>
      <c r="H6483" s="16" t="str">
        <f>IF(ISBLANK(PARTIDAS!$G6483),PARTIDAS!$F6483,CONCATENATE(PARTIDAS!$F6483," (",PARTIDAS!$G6483,")"))</f>
        <v>Máquinas para la fabricación de sacos (bolsas), bolsitas o sobres</v>
      </c>
      <c r="I6483" s="16" t="s">
        <v>9427</v>
      </c>
    </row>
    <row r="6484" spans="1:9" x14ac:dyDescent="0.25">
      <c r="A6484" s="16" t="s">
        <v>7429</v>
      </c>
      <c r="B6484" s="16" t="str">
        <f>TEXT(PARTIDA[[#This Row],[PARTIDA]],"0000000000")</f>
        <v>8441300000</v>
      </c>
      <c r="C6484" s="16" t="s">
        <v>860</v>
      </c>
      <c r="D6484" s="16" t="s">
        <v>873</v>
      </c>
      <c r="E6484" s="16" t="s">
        <v>9480</v>
      </c>
      <c r="F6484" s="27" t="s">
        <v>14748</v>
      </c>
      <c r="G6484" s="27"/>
      <c r="H6484" s="16" t="str">
        <f>IF(ISBLANK(PARTIDAS!$G6484),PARTIDAS!$F6484,CONCATENATE(PARTIDAS!$F6484," (",PARTIDAS!$G6484,")"))</f>
        <v>Máquinas para la fabricación de cajas, tubos, tambores o continentes similares, excepto por moldeado</v>
      </c>
      <c r="I6484" s="16" t="s">
        <v>9427</v>
      </c>
    </row>
    <row r="6485" spans="1:9" x14ac:dyDescent="0.25">
      <c r="A6485" s="16" t="s">
        <v>7430</v>
      </c>
      <c r="B6485" s="16" t="str">
        <f>TEXT(PARTIDA[[#This Row],[PARTIDA]],"0000000000")</f>
        <v>8441400000</v>
      </c>
      <c r="C6485" s="16" t="s">
        <v>860</v>
      </c>
      <c r="D6485" s="16" t="s">
        <v>873</v>
      </c>
      <c r="E6485" s="16" t="s">
        <v>9480</v>
      </c>
      <c r="F6485" s="27" t="s">
        <v>14749</v>
      </c>
      <c r="G6485" s="27"/>
      <c r="H6485" s="16" t="str">
        <f>IF(ISBLANK(PARTIDAS!$G6485),PARTIDAS!$F6485,CONCATENATE(PARTIDAS!$F6485," (",PARTIDAS!$G6485,")"))</f>
        <v>Máquinas para moldear artículos de pasta de papel, de papel o cartón</v>
      </c>
      <c r="I6485" s="16" t="s">
        <v>9427</v>
      </c>
    </row>
    <row r="6486" spans="1:9" x14ac:dyDescent="0.25">
      <c r="A6486" s="16" t="s">
        <v>7431</v>
      </c>
      <c r="B6486" s="16" t="str">
        <f>TEXT(PARTIDA[[#This Row],[PARTIDA]],"0000000000")</f>
        <v>8441800000</v>
      </c>
      <c r="C6486" s="16" t="s">
        <v>860</v>
      </c>
      <c r="D6486" s="16" t="s">
        <v>873</v>
      </c>
      <c r="E6486" s="16" t="s">
        <v>9480</v>
      </c>
      <c r="F6486" s="27" t="s">
        <v>14750</v>
      </c>
      <c r="G6486" s="27"/>
      <c r="H6486" s="16" t="str">
        <f>IF(ISBLANK(PARTIDAS!$G6486),PARTIDAS!$F6486,CONCATENATE(PARTIDAS!$F6486," (",PARTIDAS!$G6486,")"))</f>
        <v>Reactores nucleares, calderas, máquinas, aparatos y artefactos… (los demás, máquinas y aparatos)</v>
      </c>
      <c r="I6486" s="16" t="s">
        <v>9427</v>
      </c>
    </row>
    <row r="6487" spans="1:9" x14ac:dyDescent="0.25">
      <c r="A6487" s="16" t="s">
        <v>7432</v>
      </c>
      <c r="B6487" s="16" t="str">
        <f>TEXT(PARTIDA[[#This Row],[PARTIDA]],"0000000000")</f>
        <v>8441900000</v>
      </c>
      <c r="C6487" s="16" t="s">
        <v>860</v>
      </c>
      <c r="D6487" s="16" t="s">
        <v>873</v>
      </c>
      <c r="E6487" s="16" t="s">
        <v>9480</v>
      </c>
      <c r="F6487" s="27" t="s">
        <v>14751</v>
      </c>
      <c r="G6487" s="27"/>
      <c r="H6487" s="16" t="str">
        <f>IF(ISBLANK(PARTIDAS!$G6487),PARTIDAS!$F6487,CONCATENATE(PARTIDAS!$F6487," (",PARTIDAS!$G6487,")"))</f>
        <v>Reactores nucleares, calderas, máquinas, aparatos y artefactos…, partes</v>
      </c>
      <c r="I6487" s="16" t="s">
        <v>9427</v>
      </c>
    </row>
    <row r="6488" spans="1:9" x14ac:dyDescent="0.25">
      <c r="A6488" s="16" t="s">
        <v>7433</v>
      </c>
      <c r="B6488" s="16" t="str">
        <f>TEXT(PARTIDA[[#This Row],[PARTIDA]],"0000000000")</f>
        <v>8442301000</v>
      </c>
      <c r="C6488" s="16" t="s">
        <v>860</v>
      </c>
      <c r="D6488" s="16" t="s">
        <v>873</v>
      </c>
      <c r="E6488" s="16" t="s">
        <v>9480</v>
      </c>
      <c r="F6488" s="27" t="s">
        <v>14752</v>
      </c>
      <c r="G6488" s="27"/>
      <c r="H6488" s="16" t="str">
        <f>IF(ISBLANK(PARTIDAS!$G6488),PARTIDAS!$F6488,CONCATENATE(PARTIDAS!$F6488," (",PARTIDAS!$G6488,")"))</f>
        <v>Máquinas para componer por procedimiento fotográfico</v>
      </c>
      <c r="I6488" s="16" t="s">
        <v>9427</v>
      </c>
    </row>
    <row r="6489" spans="1:9" x14ac:dyDescent="0.25">
      <c r="A6489" s="16" t="s">
        <v>7434</v>
      </c>
      <c r="B6489" s="16" t="str">
        <f>TEXT(PARTIDA[[#This Row],[PARTIDA]],"0000000000")</f>
        <v>8442302000</v>
      </c>
      <c r="C6489" s="16" t="s">
        <v>860</v>
      </c>
      <c r="D6489" s="16" t="s">
        <v>873</v>
      </c>
      <c r="E6489" s="16" t="s">
        <v>9480</v>
      </c>
      <c r="F6489" s="27" t="s">
        <v>14753</v>
      </c>
      <c r="G6489" s="27"/>
      <c r="H6489" s="16" t="str">
        <f>IF(ISBLANK(PARTIDAS!$G6489),PARTIDAS!$F6489,CONCATENATE(PARTIDAS!$F6489," (",PARTIDAS!$G6489,")"))</f>
        <v>Máquinas, aparatos y material para componer caracteres por otros procedimientos, incluso con dispositivos para fundir</v>
      </c>
      <c r="I6489" s="16" t="s">
        <v>9427</v>
      </c>
    </row>
    <row r="6490" spans="1:9" x14ac:dyDescent="0.25">
      <c r="A6490" s="16" t="s">
        <v>7435</v>
      </c>
      <c r="B6490" s="16" t="str">
        <f>TEXT(PARTIDA[[#This Row],[PARTIDA]],"0000000000")</f>
        <v>8442309000</v>
      </c>
      <c r="C6490" s="16" t="s">
        <v>860</v>
      </c>
      <c r="D6490" s="16" t="s">
        <v>873</v>
      </c>
      <c r="E6490" s="16" t="s">
        <v>9480</v>
      </c>
      <c r="F6490" s="27" t="s">
        <v>14754</v>
      </c>
      <c r="G6490" s="27"/>
      <c r="H6490" s="16" t="str">
        <f>IF(ISBLANK(PARTIDAS!$G6490),PARTIDAS!$F6490,CONCATENATE(PARTIDAS!$F6490," (",PARTIDAS!$G6490,")"))</f>
        <v>Máquinas, aparatos y material (los demás)</v>
      </c>
      <c r="I6490" s="16" t="s">
        <v>9427</v>
      </c>
    </row>
    <row r="6491" spans="1:9" x14ac:dyDescent="0.25">
      <c r="A6491" s="16" t="s">
        <v>7436</v>
      </c>
      <c r="B6491" s="16" t="str">
        <f>TEXT(PARTIDA[[#This Row],[PARTIDA]],"0000000000")</f>
        <v>8442400000</v>
      </c>
      <c r="C6491" s="16" t="s">
        <v>860</v>
      </c>
      <c r="D6491" s="16" t="s">
        <v>873</v>
      </c>
      <c r="E6491" s="16" t="s">
        <v>9480</v>
      </c>
      <c r="F6491" s="27" t="s">
        <v>14755</v>
      </c>
      <c r="G6491" s="27"/>
      <c r="H6491" s="16" t="str">
        <f>IF(ISBLANK(PARTIDAS!$G6491),PARTIDAS!$F6491,CONCATENATE(PARTIDAS!$F6491," (",PARTIDAS!$G6491,")"))</f>
        <v>Máquinas, aparatos y material, partes de estas máquinas, aparatos o material</v>
      </c>
      <c r="I6491" s="16" t="s">
        <v>9427</v>
      </c>
    </row>
    <row r="6492" spans="1:9" x14ac:dyDescent="0.25">
      <c r="A6492" s="16" t="s">
        <v>7437</v>
      </c>
      <c r="B6492" s="16" t="str">
        <f>TEXT(PARTIDA[[#This Row],[PARTIDA]],"0000000000")</f>
        <v>8442501000</v>
      </c>
      <c r="C6492" s="16" t="s">
        <v>860</v>
      </c>
      <c r="D6492" s="16" t="s">
        <v>873</v>
      </c>
      <c r="E6492" s="16" t="s">
        <v>9480</v>
      </c>
      <c r="F6492" s="27" t="s">
        <v>14756</v>
      </c>
      <c r="G6492" s="27"/>
      <c r="H6492" s="16" t="str">
        <f>IF(ISBLANK(PARTIDAS!$G6492),PARTIDAS!$F6492,CONCATENATE(PARTIDAS!$F6492," (",PARTIDAS!$G6492,")"))</f>
        <v>Caracteres (tipos) de imprenta</v>
      </c>
      <c r="I6492" s="16" t="s">
        <v>9427</v>
      </c>
    </row>
    <row r="6493" spans="1:9" x14ac:dyDescent="0.25">
      <c r="A6493" s="16" t="s">
        <v>7438</v>
      </c>
      <c r="B6493" s="16" t="str">
        <f>TEXT(PARTIDA[[#This Row],[PARTIDA]],"0000000000")</f>
        <v>8442509000</v>
      </c>
      <c r="C6493" s="16" t="s">
        <v>860</v>
      </c>
      <c r="D6493" s="16" t="s">
        <v>873</v>
      </c>
      <c r="E6493" s="16" t="s">
        <v>9480</v>
      </c>
      <c r="F6493" s="27" t="s">
        <v>14757</v>
      </c>
      <c r="G6493" s="27"/>
      <c r="H6493" s="16" t="str">
        <f>IF(ISBLANK(PARTIDAS!$G6493),PARTIDAS!$F6493,CONCATENATE(PARTIDAS!$F6493," (",PARTIDAS!$G6493,")"))</f>
        <v>Clisés, planchas, cilindros y demás elementos impresores (los demás)</v>
      </c>
      <c r="I6493" s="16" t="s">
        <v>9427</v>
      </c>
    </row>
    <row r="6494" spans="1:9" x14ac:dyDescent="0.25">
      <c r="A6494" s="16" t="s">
        <v>7439</v>
      </c>
      <c r="B6494" s="16" t="str">
        <f>TEXT(PARTIDA[[#This Row],[PARTIDA]],"0000000000")</f>
        <v>8443110000</v>
      </c>
      <c r="C6494" s="16" t="s">
        <v>860</v>
      </c>
      <c r="D6494" s="16" t="s">
        <v>873</v>
      </c>
      <c r="E6494" s="16" t="s">
        <v>874</v>
      </c>
      <c r="F6494" s="27" t="s">
        <v>14758</v>
      </c>
      <c r="G6494" s="27"/>
      <c r="H6494" s="16" t="str">
        <f>IF(ISBLANK(PARTIDAS!$G6494),PARTIDAS!$F6494,CONCATENATE(PARTIDAS!$F6494," (",PARTIDAS!$G6494,")"))</f>
        <v>Máquinas y aparatos para imprimir, offset, alimentados con bobinas</v>
      </c>
      <c r="I6494" s="16" t="s">
        <v>9427</v>
      </c>
    </row>
    <row r="6495" spans="1:9" x14ac:dyDescent="0.25">
      <c r="A6495" s="16" t="s">
        <v>7440</v>
      </c>
      <c r="B6495" s="16" t="str">
        <f>TEXT(PARTIDA[[#This Row],[PARTIDA]],"0000000000")</f>
        <v>8443120000</v>
      </c>
      <c r="C6495" s="16" t="s">
        <v>860</v>
      </c>
      <c r="D6495" s="16" t="s">
        <v>873</v>
      </c>
      <c r="E6495" s="16" t="s">
        <v>874</v>
      </c>
      <c r="F6495" s="27" t="s">
        <v>14759</v>
      </c>
      <c r="G6495" s="27"/>
      <c r="H6495" s="16" t="str">
        <f>IF(ISBLANK(PARTIDAS!$G6495),PARTIDAS!$F6495,CONCATENATE(PARTIDAS!$F6495," (",PARTIDAS!$G6495,")"))</f>
        <v>Máquinas y aparatos de oficina para imprimir, offset, alimentados con hojas en las que un lado sea inferior o igual a 22 cm y el otro sea inferior o i</v>
      </c>
      <c r="I6495" s="16" t="s">
        <v>9427</v>
      </c>
    </row>
    <row r="6496" spans="1:9" x14ac:dyDescent="0.25">
      <c r="A6496" s="16" t="s">
        <v>7441</v>
      </c>
      <c r="B6496" s="16" t="str">
        <f>TEXT(PARTIDA[[#This Row],[PARTIDA]],"0000000000")</f>
        <v>8443130000</v>
      </c>
      <c r="C6496" s="16" t="s">
        <v>860</v>
      </c>
      <c r="D6496" s="16" t="s">
        <v>873</v>
      </c>
      <c r="E6496" s="16" t="s">
        <v>874</v>
      </c>
      <c r="F6496" s="27" t="s">
        <v>7442</v>
      </c>
      <c r="G6496" s="27"/>
      <c r="H6496" s="16" t="str">
        <f>IF(ISBLANK(PARTIDAS!$G6496),PARTIDAS!$F6496,CONCATENATE(PARTIDAS!$F6496," (",PARTIDAS!$G6496,")"))</f>
        <v>Impresoras</v>
      </c>
      <c r="I6496" s="16" t="s">
        <v>9427</v>
      </c>
    </row>
    <row r="6497" spans="1:9" x14ac:dyDescent="0.25">
      <c r="A6497" s="16" t="s">
        <v>7443</v>
      </c>
      <c r="B6497" s="16" t="str">
        <f>TEXT(PARTIDA[[#This Row],[PARTIDA]],"0000000000")</f>
        <v>8443140000</v>
      </c>
      <c r="C6497" s="16" t="s">
        <v>860</v>
      </c>
      <c r="D6497" s="16" t="s">
        <v>873</v>
      </c>
      <c r="E6497" s="16" t="s">
        <v>874</v>
      </c>
      <c r="F6497" s="27" t="s">
        <v>14760</v>
      </c>
      <c r="G6497" s="27"/>
      <c r="H6497" s="16" t="str">
        <f>IF(ISBLANK(PARTIDAS!$G6497),PARTIDAS!$F6497,CONCATENATE(PARTIDAS!$F6497," (",PARTIDAS!$G6497,")"))</f>
        <v>Máquinas y aparatos para imprimir, tipográficos, alimentados con bobinas, excepto las máquinas y aparatos flexográficos</v>
      </c>
      <c r="I6497" s="16" t="s">
        <v>9427</v>
      </c>
    </row>
    <row r="6498" spans="1:9" x14ac:dyDescent="0.25">
      <c r="A6498" s="16" t="s">
        <v>7444</v>
      </c>
      <c r="B6498" s="16" t="str">
        <f>TEXT(PARTIDA[[#This Row],[PARTIDA]],"0000000000")</f>
        <v>8443150000</v>
      </c>
      <c r="C6498" s="16" t="s">
        <v>860</v>
      </c>
      <c r="D6498" s="16" t="s">
        <v>873</v>
      </c>
      <c r="E6498" s="16" t="s">
        <v>874</v>
      </c>
      <c r="F6498" s="27" t="s">
        <v>14761</v>
      </c>
      <c r="G6498" s="27"/>
      <c r="H6498" s="16" t="str">
        <f>IF(ISBLANK(PARTIDAS!$G6498),PARTIDAS!$F6498,CONCATENATE(PARTIDAS!$F6498," (",PARTIDAS!$G6498,")"))</f>
        <v>Máquinas y aparatos para imprimir, tipográficos, distintos de los alimentados con bobinas, excepto las máquinas y aparatos flexográficos</v>
      </c>
      <c r="I6498" s="16" t="s">
        <v>9427</v>
      </c>
    </row>
    <row r="6499" spans="1:9" x14ac:dyDescent="0.25">
      <c r="A6499" s="16" t="s">
        <v>7445</v>
      </c>
      <c r="B6499" s="16" t="str">
        <f>TEXT(PARTIDA[[#This Row],[PARTIDA]],"0000000000")</f>
        <v>8443160000</v>
      </c>
      <c r="C6499" s="16" t="s">
        <v>860</v>
      </c>
      <c r="D6499" s="16" t="s">
        <v>873</v>
      </c>
      <c r="E6499" s="16" t="s">
        <v>874</v>
      </c>
      <c r="F6499" s="27" t="s">
        <v>14762</v>
      </c>
      <c r="G6499" s="27"/>
      <c r="H6499" s="16" t="str">
        <f>IF(ISBLANK(PARTIDAS!$G6499),PARTIDAS!$F6499,CONCATENATE(PARTIDAS!$F6499," (",PARTIDAS!$G6499,")"))</f>
        <v>Máquinas y aparatos para imprimir, flexográficos</v>
      </c>
      <c r="I6499" s="16" t="s">
        <v>9427</v>
      </c>
    </row>
    <row r="6500" spans="1:9" x14ac:dyDescent="0.25">
      <c r="A6500" s="16" t="s">
        <v>7446</v>
      </c>
      <c r="B6500" s="16" t="str">
        <f>TEXT(PARTIDA[[#This Row],[PARTIDA]],"0000000000")</f>
        <v>8443170000</v>
      </c>
      <c r="C6500" s="16" t="s">
        <v>860</v>
      </c>
      <c r="D6500" s="16" t="s">
        <v>873</v>
      </c>
      <c r="E6500" s="16" t="s">
        <v>874</v>
      </c>
      <c r="F6500" s="27" t="s">
        <v>14763</v>
      </c>
      <c r="G6500" s="27"/>
      <c r="H6500" s="16" t="str">
        <f>IF(ISBLANK(PARTIDAS!$G6500),PARTIDAS!$F6500,CONCATENATE(PARTIDAS!$F6500," (",PARTIDAS!$G6500,")"))</f>
        <v>Máquinas y aparatos para imprimir, heliográficos (huecograbado)</v>
      </c>
      <c r="I6500" s="16" t="s">
        <v>9427</v>
      </c>
    </row>
    <row r="6501" spans="1:9" x14ac:dyDescent="0.25">
      <c r="A6501" s="16" t="s">
        <v>7447</v>
      </c>
      <c r="B6501" s="16" t="str">
        <f>TEXT(PARTIDA[[#This Row],[PARTIDA]],"0000000000")</f>
        <v>8443191000</v>
      </c>
      <c r="C6501" s="16" t="s">
        <v>860</v>
      </c>
      <c r="D6501" s="16" t="s">
        <v>873</v>
      </c>
      <c r="E6501" s="16" t="s">
        <v>874</v>
      </c>
      <c r="F6501" s="27" t="s">
        <v>14764</v>
      </c>
      <c r="G6501" s="27"/>
      <c r="H6501" s="16" t="str">
        <f>IF(ISBLANK(PARTIDAS!$G6501),PARTIDAS!$F6501,CONCATENATE(PARTIDAS!$F6501," (",PARTIDAS!$G6501,")"))</f>
        <v>Máquinas y aparatos para imprimir mediante planchas, cilindros y…, de estampar</v>
      </c>
      <c r="I6501" s="16" t="s">
        <v>9427</v>
      </c>
    </row>
    <row r="6502" spans="1:9" x14ac:dyDescent="0.25">
      <c r="A6502" s="16" t="s">
        <v>7448</v>
      </c>
      <c r="B6502" s="16" t="str">
        <f>TEXT(PARTIDA[[#This Row],[PARTIDA]],"0000000000")</f>
        <v>8443199000</v>
      </c>
      <c r="C6502" s="16" t="s">
        <v>860</v>
      </c>
      <c r="D6502" s="16" t="s">
        <v>873</v>
      </c>
      <c r="E6502" s="16" t="s">
        <v>874</v>
      </c>
      <c r="F6502" s="27" t="s">
        <v>7442</v>
      </c>
      <c r="G6502" s="27"/>
      <c r="H6502" s="16" t="str">
        <f>IF(ISBLANK(PARTIDAS!$G6502),PARTIDAS!$F6502,CONCATENATE(PARTIDAS!$F6502," (",PARTIDAS!$G6502,")"))</f>
        <v>Impresoras</v>
      </c>
      <c r="I6502" s="16" t="s">
        <v>9427</v>
      </c>
    </row>
    <row r="6503" spans="1:9" x14ac:dyDescent="0.25">
      <c r="A6503" s="16" t="s">
        <v>7449</v>
      </c>
      <c r="B6503" s="16" t="str">
        <f>TEXT(PARTIDA[[#This Row],[PARTIDA]],"0000000000")</f>
        <v>8443310000</v>
      </c>
      <c r="C6503" s="16" t="s">
        <v>860</v>
      </c>
      <c r="D6503" s="16" t="s">
        <v>873</v>
      </c>
      <c r="E6503" s="16" t="s">
        <v>874</v>
      </c>
      <c r="F6503" s="27" t="s">
        <v>9314</v>
      </c>
      <c r="G6503" s="27"/>
      <c r="H6503" s="16" t="str">
        <f>IF(ISBLANK(PARTIDAS!$G6503),PARTIDAS!$F6503,CONCATENATE(PARTIDAS!$F6503," (",PARTIDAS!$G6503,")"))</f>
        <v>Máquinas que efectúen dos o más de las siguientes funciones: impresión, copia o fax, aptas para ser conectadas a una máquina automática para tratamien</v>
      </c>
      <c r="I6503" s="16" t="s">
        <v>9477</v>
      </c>
    </row>
    <row r="6504" spans="1:9" x14ac:dyDescent="0.25">
      <c r="A6504" s="16" t="s">
        <v>7450</v>
      </c>
      <c r="B6504" s="16" t="str">
        <f>TEXT(PARTIDA[[#This Row],[PARTIDA]],"0000000000")</f>
        <v>8443321100</v>
      </c>
      <c r="C6504" s="16" t="s">
        <v>860</v>
      </c>
      <c r="D6504" s="16" t="s">
        <v>873</v>
      </c>
      <c r="E6504" s="16" t="s">
        <v>874</v>
      </c>
      <c r="F6504" s="27" t="s">
        <v>14765</v>
      </c>
      <c r="G6504" s="27"/>
      <c r="H6504" s="16" t="str">
        <f>IF(ISBLANK(PARTIDAS!$G6504),PARTIDAS!$F6504,CONCATENATE(PARTIDAS!$F6504," (",PARTIDAS!$G6504,")"))</f>
        <v>Impresoras, del tipo de las utilizadas para impresión sobre discos compactos</v>
      </c>
      <c r="I6504" s="16" t="s">
        <v>9427</v>
      </c>
    </row>
    <row r="6505" spans="1:9" x14ac:dyDescent="0.25">
      <c r="A6505" s="16" t="s">
        <v>7451</v>
      </c>
      <c r="B6505" s="16" t="str">
        <f>TEXT(PARTIDA[[#This Row],[PARTIDA]],"0000000000")</f>
        <v>8443321900</v>
      </c>
      <c r="C6505" s="16" t="s">
        <v>860</v>
      </c>
      <c r="D6505" s="16" t="s">
        <v>873</v>
      </c>
      <c r="E6505" s="16" t="s">
        <v>874</v>
      </c>
      <c r="F6505" s="27" t="s">
        <v>14766</v>
      </c>
      <c r="G6505" s="27"/>
      <c r="H6505" s="16" t="str">
        <f>IF(ISBLANK(PARTIDAS!$G6505),PARTIDAS!$F6505,CONCATENATE(PARTIDAS!$F6505," (",PARTIDAS!$G6505,")"))</f>
        <v>Impresoras (los demás)</v>
      </c>
      <c r="I6505" s="16" t="s">
        <v>9427</v>
      </c>
    </row>
    <row r="6506" spans="1:9" x14ac:dyDescent="0.25">
      <c r="A6506" s="16" t="s">
        <v>7452</v>
      </c>
      <c r="B6506" s="16" t="str">
        <f>TEXT(PARTIDA[[#This Row],[PARTIDA]],"0000000000")</f>
        <v>8443322000</v>
      </c>
      <c r="C6506" s="16" t="s">
        <v>860</v>
      </c>
      <c r="D6506" s="16" t="s">
        <v>873</v>
      </c>
      <c r="E6506" s="16" t="s">
        <v>874</v>
      </c>
      <c r="F6506" s="27" t="s">
        <v>14767</v>
      </c>
      <c r="G6506" s="27"/>
      <c r="H6506" s="16" t="str">
        <f>IF(ISBLANK(PARTIDAS!$G6506),PARTIDAS!$F6506,CONCATENATE(PARTIDAS!$F6506," (",PARTIDAS!$G6506,")"))</f>
        <v>Máquinas y aparatos para imprimir mediante planchas, cilindros y…, telefax</v>
      </c>
      <c r="I6506" s="16" t="s">
        <v>9427</v>
      </c>
    </row>
    <row r="6507" spans="1:9" x14ac:dyDescent="0.25">
      <c r="A6507" s="16" t="s">
        <v>7453</v>
      </c>
      <c r="B6507" s="16" t="str">
        <f>TEXT(PARTIDA[[#This Row],[PARTIDA]],"0000000000")</f>
        <v>8443329000</v>
      </c>
      <c r="C6507" s="16" t="s">
        <v>860</v>
      </c>
      <c r="D6507" s="16" t="s">
        <v>873</v>
      </c>
      <c r="E6507" s="16" t="s">
        <v>874</v>
      </c>
      <c r="F6507" s="27" t="s">
        <v>14768</v>
      </c>
      <c r="G6507" s="27"/>
      <c r="H6507" s="16" t="str">
        <f>IF(ISBLANK(PARTIDAS!$G6507),PARTIDAS!$F6507,CONCATENATE(PARTIDAS!$F6507," (",PARTIDAS!$G6507,")"))</f>
        <v>Máquinas y aparatos para imprimir mediante planchas, cilindros y… (los demás)</v>
      </c>
      <c r="I6507" s="16" t="s">
        <v>9427</v>
      </c>
    </row>
    <row r="6508" spans="1:9" x14ac:dyDescent="0.25">
      <c r="A6508" s="16" t="s">
        <v>7454</v>
      </c>
      <c r="B6508" s="16" t="str">
        <f>TEXT(PARTIDA[[#This Row],[PARTIDA]],"0000000000")</f>
        <v>8443391000</v>
      </c>
      <c r="C6508" s="16" t="s">
        <v>860</v>
      </c>
      <c r="D6508" s="16" t="s">
        <v>873</v>
      </c>
      <c r="E6508" s="16" t="s">
        <v>874</v>
      </c>
      <c r="F6508" s="27" t="s">
        <v>14769</v>
      </c>
      <c r="G6508" s="27"/>
      <c r="H6508" s="16" t="str">
        <f>IF(ISBLANK(PARTIDAS!$G6508),PARTIDAS!$F6508,CONCATENATE(PARTIDAS!$F6508," (",PARTIDAS!$G6508,")"))</f>
        <v>Máquinas para imprimir por chorro de tinta</v>
      </c>
      <c r="I6508" s="16" t="s">
        <v>9427</v>
      </c>
    </row>
    <row r="6509" spans="1:9" x14ac:dyDescent="0.25">
      <c r="A6509" s="16" t="s">
        <v>7455</v>
      </c>
      <c r="B6509" s="16" t="str">
        <f>TEXT(PARTIDA[[#This Row],[PARTIDA]],"0000000000")</f>
        <v>8443399000</v>
      </c>
      <c r="C6509" s="16" t="s">
        <v>860</v>
      </c>
      <c r="D6509" s="16" t="s">
        <v>873</v>
      </c>
      <c r="E6509" s="16" t="s">
        <v>874</v>
      </c>
      <c r="F6509" s="27" t="s">
        <v>14768</v>
      </c>
      <c r="G6509" s="27"/>
      <c r="H6509" s="16" t="str">
        <f>IF(ISBLANK(PARTIDAS!$G6509),PARTIDAS!$F6509,CONCATENATE(PARTIDAS!$F6509," (",PARTIDAS!$G6509,")"))</f>
        <v>Máquinas y aparatos para imprimir mediante planchas, cilindros y… (los demás)</v>
      </c>
      <c r="I6509" s="16" t="s">
        <v>9427</v>
      </c>
    </row>
    <row r="6510" spans="1:9" x14ac:dyDescent="0.25">
      <c r="A6510" s="16" t="s">
        <v>7456</v>
      </c>
      <c r="B6510" s="16" t="str">
        <f>TEXT(PARTIDA[[#This Row],[PARTIDA]],"0000000000")</f>
        <v>8443910000</v>
      </c>
      <c r="C6510" s="16" t="s">
        <v>860</v>
      </c>
      <c r="D6510" s="16" t="s">
        <v>873</v>
      </c>
      <c r="E6510" s="16" t="s">
        <v>874</v>
      </c>
      <c r="F6510" s="27" t="s">
        <v>14770</v>
      </c>
      <c r="G6510" s="27"/>
      <c r="H6510" s="16" t="str">
        <f>IF(ISBLANK(PARTIDAS!$G6510),PARTIDAS!$F6510,CONCATENATE(PARTIDAS!$F6510," (",PARTIDAS!$G6510,")"))</f>
        <v>Máquinas y aparatos para imprimir mediante planchas…, partes y accesorios, partes y accesorios de máquinas y aparatos para imprimir por medio de planc</v>
      </c>
      <c r="I6510" s="16" t="s">
        <v>9427</v>
      </c>
    </row>
    <row r="6511" spans="1:9" x14ac:dyDescent="0.25">
      <c r="A6511" s="16" t="s">
        <v>7457</v>
      </c>
      <c r="B6511" s="16" t="str">
        <f>TEXT(PARTIDA[[#This Row],[PARTIDA]],"0000000000")</f>
        <v>8443990000</v>
      </c>
      <c r="C6511" s="16" t="s">
        <v>860</v>
      </c>
      <c r="D6511" s="16" t="s">
        <v>873</v>
      </c>
      <c r="E6511" s="16" t="s">
        <v>874</v>
      </c>
      <c r="F6511" s="27" t="s">
        <v>14771</v>
      </c>
      <c r="G6511" s="27"/>
      <c r="H6511" s="16" t="str">
        <f>IF(ISBLANK(PARTIDAS!$G6511),PARTIDAS!$F6511,CONCATENATE(PARTIDAS!$F6511," (",PARTIDAS!$G6511,")"))</f>
        <v>Máquinas y aparatos para imprimir mediante planchas…, partes y accesorios (los demás)</v>
      </c>
      <c r="I6511" s="16" t="s">
        <v>9427</v>
      </c>
    </row>
    <row r="6512" spans="1:9" x14ac:dyDescent="0.25">
      <c r="A6512" s="16" t="s">
        <v>7458</v>
      </c>
      <c r="B6512" s="16" t="str">
        <f>TEXT(PARTIDA[[#This Row],[PARTIDA]],"0000000000")</f>
        <v>8444000000</v>
      </c>
      <c r="C6512" s="16" t="s">
        <v>860</v>
      </c>
      <c r="D6512" s="16" t="s">
        <v>873</v>
      </c>
      <c r="E6512" s="16" t="s">
        <v>9480</v>
      </c>
      <c r="F6512" s="27" t="s">
        <v>7459</v>
      </c>
      <c r="G6512" s="27"/>
      <c r="H6512" s="16" t="str">
        <f>IF(ISBLANK(PARTIDAS!$G6512),PARTIDAS!$F6512,CONCATENATE(PARTIDAS!$F6512," (",PARTIDAS!$G6512,")"))</f>
        <v>Máquinas para textilería</v>
      </c>
      <c r="I6512" s="16" t="s">
        <v>9427</v>
      </c>
    </row>
    <row r="6513" spans="1:9" x14ac:dyDescent="0.25">
      <c r="A6513" s="16" t="s">
        <v>7460</v>
      </c>
      <c r="B6513" s="16" t="str">
        <f>TEXT(PARTIDA[[#This Row],[PARTIDA]],"0000000000")</f>
        <v>8445110000</v>
      </c>
      <c r="C6513" s="16" t="s">
        <v>860</v>
      </c>
      <c r="D6513" s="16" t="s">
        <v>873</v>
      </c>
      <c r="E6513" s="16" t="s">
        <v>9480</v>
      </c>
      <c r="F6513" s="27" t="s">
        <v>14772</v>
      </c>
      <c r="G6513" s="27"/>
      <c r="H6513" s="16" t="str">
        <f>IF(ISBLANK(PARTIDAS!$G6513),PARTIDAS!$F6513,CONCATENATE(PARTIDAS!$F6513," (",PARTIDAS!$G6513,")"))</f>
        <v>Máquinas para la preparación de materia textil, cardas</v>
      </c>
      <c r="I6513" s="16" t="s">
        <v>9427</v>
      </c>
    </row>
    <row r="6514" spans="1:9" x14ac:dyDescent="0.25">
      <c r="A6514" s="16" t="s">
        <v>7461</v>
      </c>
      <c r="B6514" s="16" t="str">
        <f>TEXT(PARTIDA[[#This Row],[PARTIDA]],"0000000000")</f>
        <v>8445120000</v>
      </c>
      <c r="C6514" s="16" t="s">
        <v>860</v>
      </c>
      <c r="D6514" s="16" t="s">
        <v>873</v>
      </c>
      <c r="E6514" s="16" t="s">
        <v>9480</v>
      </c>
      <c r="F6514" s="27" t="s">
        <v>14773</v>
      </c>
      <c r="G6514" s="27"/>
      <c r="H6514" s="16" t="str">
        <f>IF(ISBLANK(PARTIDAS!$G6514),PARTIDAS!$F6514,CONCATENATE(PARTIDAS!$F6514," (",PARTIDAS!$G6514,")"))</f>
        <v>Máquinas para la preparación de materia textil, peinadoras</v>
      </c>
      <c r="I6514" s="16" t="s">
        <v>9427</v>
      </c>
    </row>
    <row r="6515" spans="1:9" x14ac:dyDescent="0.25">
      <c r="A6515" s="16" t="s">
        <v>7462</v>
      </c>
      <c r="B6515" s="16" t="str">
        <f>TEXT(PARTIDA[[#This Row],[PARTIDA]],"0000000000")</f>
        <v>8445130000</v>
      </c>
      <c r="C6515" s="16" t="s">
        <v>860</v>
      </c>
      <c r="D6515" s="16" t="s">
        <v>873</v>
      </c>
      <c r="E6515" s="16" t="s">
        <v>9480</v>
      </c>
      <c r="F6515" s="27" t="s">
        <v>14774</v>
      </c>
      <c r="G6515" s="27"/>
      <c r="H6515" s="16" t="str">
        <f>IF(ISBLANK(PARTIDAS!$G6515),PARTIDAS!$F6515,CONCATENATE(PARTIDAS!$F6515," (",PARTIDAS!$G6515,")"))</f>
        <v>Máquinas para la preparación de materia textil, mecheras</v>
      </c>
      <c r="I6515" s="16" t="s">
        <v>9427</v>
      </c>
    </row>
    <row r="6516" spans="1:9" x14ac:dyDescent="0.25">
      <c r="A6516" s="16" t="s">
        <v>7463</v>
      </c>
      <c r="B6516" s="16" t="str">
        <f>TEXT(PARTIDA[[#This Row],[PARTIDA]],"0000000000")</f>
        <v>8445191000</v>
      </c>
      <c r="C6516" s="16" t="s">
        <v>860</v>
      </c>
      <c r="D6516" s="16" t="s">
        <v>873</v>
      </c>
      <c r="E6516" s="16" t="s">
        <v>9480</v>
      </c>
      <c r="F6516" s="27" t="s">
        <v>14775</v>
      </c>
      <c r="G6516" s="27"/>
      <c r="H6516" s="16" t="str">
        <f>IF(ISBLANK(PARTIDAS!$G6516),PARTIDAS!$F6516,CONCATENATE(PARTIDAS!$F6516," (",PARTIDAS!$G6516,")"))</f>
        <v>Desmotadoras de algodón</v>
      </c>
      <c r="I6516" s="16" t="s">
        <v>9427</v>
      </c>
    </row>
    <row r="6517" spans="1:9" x14ac:dyDescent="0.25">
      <c r="A6517" s="16" t="s">
        <v>7464</v>
      </c>
      <c r="B6517" s="16" t="str">
        <f>TEXT(PARTIDA[[#This Row],[PARTIDA]],"0000000000")</f>
        <v>8445199000</v>
      </c>
      <c r="C6517" s="16" t="s">
        <v>860</v>
      </c>
      <c r="D6517" s="16" t="s">
        <v>873</v>
      </c>
      <c r="E6517" s="16" t="s">
        <v>9480</v>
      </c>
      <c r="F6517" s="27" t="s">
        <v>14776</v>
      </c>
      <c r="G6517" s="27"/>
      <c r="H6517" s="16" t="str">
        <f>IF(ISBLANK(PARTIDAS!$G6517),PARTIDAS!$F6517,CONCATENATE(PARTIDAS!$F6517," (",PARTIDAS!$G6517,")"))</f>
        <v>Máquinas para la preparación de materia textil (los demás)</v>
      </c>
      <c r="I6517" s="16" t="s">
        <v>9427</v>
      </c>
    </row>
    <row r="6518" spans="1:9" x14ac:dyDescent="0.25">
      <c r="A6518" s="16" t="s">
        <v>7465</v>
      </c>
      <c r="B6518" s="16" t="str">
        <f>TEXT(PARTIDA[[#This Row],[PARTIDA]],"0000000000")</f>
        <v>8445200000</v>
      </c>
      <c r="C6518" s="16" t="s">
        <v>860</v>
      </c>
      <c r="D6518" s="16" t="s">
        <v>873</v>
      </c>
      <c r="E6518" s="16" t="s">
        <v>9480</v>
      </c>
      <c r="F6518" s="27" t="s">
        <v>14777</v>
      </c>
      <c r="G6518" s="27"/>
      <c r="H6518" s="16" t="str">
        <f>IF(ISBLANK(PARTIDAS!$G6518),PARTIDAS!$F6518,CONCATENATE(PARTIDAS!$F6518," (",PARTIDAS!$G6518,")"))</f>
        <v>Máquinas para hilar materia textil</v>
      </c>
      <c r="I6518" s="16" t="s">
        <v>9427</v>
      </c>
    </row>
    <row r="6519" spans="1:9" x14ac:dyDescent="0.25">
      <c r="A6519" s="16" t="s">
        <v>7466</v>
      </c>
      <c r="B6519" s="16" t="str">
        <f>TEXT(PARTIDA[[#This Row],[PARTIDA]],"0000000000")</f>
        <v>8445300000</v>
      </c>
      <c r="C6519" s="16" t="s">
        <v>860</v>
      </c>
      <c r="D6519" s="16" t="s">
        <v>873</v>
      </c>
      <c r="E6519" s="16" t="s">
        <v>9480</v>
      </c>
      <c r="F6519" s="27" t="s">
        <v>14778</v>
      </c>
      <c r="G6519" s="27"/>
      <c r="H6519" s="16" t="str">
        <f>IF(ISBLANK(PARTIDAS!$G6519),PARTIDAS!$F6519,CONCATENATE(PARTIDAS!$F6519," (",PARTIDAS!$G6519,")"))</f>
        <v>Máquinas para doblar o retorcer materia textil</v>
      </c>
      <c r="I6519" s="16" t="s">
        <v>9427</v>
      </c>
    </row>
    <row r="6520" spans="1:9" x14ac:dyDescent="0.25">
      <c r="A6520" s="16" t="s">
        <v>7467</v>
      </c>
      <c r="B6520" s="16" t="str">
        <f>TEXT(PARTIDA[[#This Row],[PARTIDA]],"0000000000")</f>
        <v>8445400000</v>
      </c>
      <c r="C6520" s="16" t="s">
        <v>860</v>
      </c>
      <c r="D6520" s="16" t="s">
        <v>873</v>
      </c>
      <c r="E6520" s="16" t="s">
        <v>9480</v>
      </c>
      <c r="F6520" s="27" t="s">
        <v>14779</v>
      </c>
      <c r="G6520" s="27"/>
      <c r="H6520" s="16" t="str">
        <f>IF(ISBLANK(PARTIDAS!$G6520),PARTIDAS!$F6520,CONCATENATE(PARTIDAS!$F6520," (",PARTIDAS!$G6520,")"))</f>
        <v>Máquinas para bobinar (incluidas las canilleras) o devanar materia textil</v>
      </c>
      <c r="I6520" s="16" t="s">
        <v>9427</v>
      </c>
    </row>
    <row r="6521" spans="1:9" x14ac:dyDescent="0.25">
      <c r="A6521" s="16" t="s">
        <v>7468</v>
      </c>
      <c r="B6521" s="16" t="str">
        <f>TEXT(PARTIDA[[#This Row],[PARTIDA]],"0000000000")</f>
        <v>8445900000</v>
      </c>
      <c r="C6521" s="16" t="s">
        <v>860</v>
      </c>
      <c r="D6521" s="16" t="s">
        <v>873</v>
      </c>
      <c r="E6521" s="16" t="s">
        <v>9480</v>
      </c>
      <c r="F6521" s="27" t="s">
        <v>14776</v>
      </c>
      <c r="G6521" s="27"/>
      <c r="H6521" s="16" t="str">
        <f>IF(ISBLANK(PARTIDAS!$G6521),PARTIDAS!$F6521,CONCATENATE(PARTIDAS!$F6521," (",PARTIDAS!$G6521,")"))</f>
        <v>Máquinas para la preparación de materia textil (los demás)</v>
      </c>
      <c r="I6521" s="16" t="s">
        <v>9427</v>
      </c>
    </row>
    <row r="6522" spans="1:9" x14ac:dyDescent="0.25">
      <c r="A6522" s="16" t="s">
        <v>7469</v>
      </c>
      <c r="B6522" s="16" t="str">
        <f>TEXT(PARTIDA[[#This Row],[PARTIDA]],"0000000000")</f>
        <v>8446100000</v>
      </c>
      <c r="C6522" s="16" t="s">
        <v>860</v>
      </c>
      <c r="D6522" s="16" t="s">
        <v>873</v>
      </c>
      <c r="E6522" s="16" t="s">
        <v>9480</v>
      </c>
      <c r="F6522" s="27" t="s">
        <v>14780</v>
      </c>
      <c r="G6522" s="27"/>
      <c r="H6522" s="16" t="str">
        <f>IF(ISBLANK(PARTIDAS!$G6522),PARTIDAS!$F6522,CONCATENATE(PARTIDAS!$F6522," (",PARTIDAS!$G6522,")"))</f>
        <v>Telares, para tejidos de anchura inferior o igual a 30 cm</v>
      </c>
      <c r="I6522" s="16" t="s">
        <v>9427</v>
      </c>
    </row>
    <row r="6523" spans="1:9" x14ac:dyDescent="0.25">
      <c r="A6523" s="16" t="s">
        <v>7470</v>
      </c>
      <c r="B6523" s="16" t="str">
        <f>TEXT(PARTIDA[[#This Row],[PARTIDA]],"0000000000")</f>
        <v>8446210000</v>
      </c>
      <c r="C6523" s="16" t="s">
        <v>860</v>
      </c>
      <c r="D6523" s="16" t="s">
        <v>873</v>
      </c>
      <c r="E6523" s="16" t="s">
        <v>9480</v>
      </c>
      <c r="F6523" s="27" t="s">
        <v>14781</v>
      </c>
      <c r="G6523" s="27"/>
      <c r="H6523" s="16" t="str">
        <f>IF(ISBLANK(PARTIDAS!$G6523),PARTIDAS!$F6523,CONCATENATE(PARTIDAS!$F6523," (",PARTIDAS!$G6523,")"))</f>
        <v>Telares, para tejidos de anchura superior a 30 cm, de lanzadera, de motor</v>
      </c>
      <c r="I6523" s="16" t="s">
        <v>9427</v>
      </c>
    </row>
    <row r="6524" spans="1:9" x14ac:dyDescent="0.25">
      <c r="A6524" s="16" t="s">
        <v>7471</v>
      </c>
      <c r="B6524" s="16" t="str">
        <f>TEXT(PARTIDA[[#This Row],[PARTIDA]],"0000000000")</f>
        <v>8446290000</v>
      </c>
      <c r="C6524" s="16" t="s">
        <v>860</v>
      </c>
      <c r="D6524" s="16" t="s">
        <v>873</v>
      </c>
      <c r="E6524" s="16" t="s">
        <v>9480</v>
      </c>
      <c r="F6524" s="27" t="s">
        <v>14782</v>
      </c>
      <c r="G6524" s="27"/>
      <c r="H6524" s="16" t="str">
        <f>IF(ISBLANK(PARTIDAS!$G6524),PARTIDAS!$F6524,CONCATENATE(PARTIDAS!$F6524," (",PARTIDAS!$G6524,")"))</f>
        <v>Telares, para tejidos de anchura superior a 30 cm, de lanzadera (los demás)</v>
      </c>
      <c r="I6524" s="16" t="s">
        <v>9427</v>
      </c>
    </row>
    <row r="6525" spans="1:9" x14ac:dyDescent="0.25">
      <c r="A6525" s="16" t="s">
        <v>7472</v>
      </c>
      <c r="B6525" s="16" t="str">
        <f>TEXT(PARTIDA[[#This Row],[PARTIDA]],"0000000000")</f>
        <v>8446300000</v>
      </c>
      <c r="C6525" s="16" t="s">
        <v>860</v>
      </c>
      <c r="D6525" s="16" t="s">
        <v>873</v>
      </c>
      <c r="E6525" s="16" t="s">
        <v>9480</v>
      </c>
      <c r="F6525" s="27" t="s">
        <v>14783</v>
      </c>
      <c r="G6525" s="27"/>
      <c r="H6525" s="16" t="str">
        <f>IF(ISBLANK(PARTIDAS!$G6525),PARTIDAS!$F6525,CONCATENATE(PARTIDAS!$F6525," (",PARTIDAS!$G6525,")"))</f>
        <v>Telares, para tejidos de anchura superior a 30 cm, sin lanzadera</v>
      </c>
      <c r="I6525" s="16" t="s">
        <v>9427</v>
      </c>
    </row>
    <row r="6526" spans="1:9" x14ac:dyDescent="0.25">
      <c r="A6526" s="16" t="s">
        <v>7473</v>
      </c>
      <c r="B6526" s="16" t="str">
        <f>TEXT(PARTIDA[[#This Row],[PARTIDA]],"0000000000")</f>
        <v>8447110000</v>
      </c>
      <c r="C6526" s="16" t="s">
        <v>860</v>
      </c>
      <c r="D6526" s="16" t="s">
        <v>873</v>
      </c>
      <c r="E6526" s="16" t="s">
        <v>9480</v>
      </c>
      <c r="F6526" s="27" t="s">
        <v>14784</v>
      </c>
      <c r="G6526" s="27"/>
      <c r="H6526" s="16" t="str">
        <f>IF(ISBLANK(PARTIDAS!$G6526),PARTIDAS!$F6526,CONCATENATE(PARTIDAS!$F6526," (",PARTIDAS!$G6526,")"))</f>
        <v>Maquinas circulares de tricotar, con cilindro de diámetro inferior o igual a 165 mm</v>
      </c>
      <c r="I6526" s="16" t="s">
        <v>9427</v>
      </c>
    </row>
    <row r="6527" spans="1:9" x14ac:dyDescent="0.25">
      <c r="A6527" s="16" t="s">
        <v>7474</v>
      </c>
      <c r="B6527" s="16" t="str">
        <f>TEXT(PARTIDA[[#This Row],[PARTIDA]],"0000000000")</f>
        <v>8447120000</v>
      </c>
      <c r="C6527" s="16" t="s">
        <v>860</v>
      </c>
      <c r="D6527" s="16" t="s">
        <v>873</v>
      </c>
      <c r="E6527" s="16" t="s">
        <v>9480</v>
      </c>
      <c r="F6527" s="27" t="s">
        <v>14785</v>
      </c>
      <c r="G6527" s="27"/>
      <c r="H6527" s="16" t="str">
        <f>IF(ISBLANK(PARTIDAS!$G6527),PARTIDAS!$F6527,CONCATENATE(PARTIDAS!$F6527," (",PARTIDAS!$G6527,")"))</f>
        <v>Maquinas circulares de tricotar, con cilindro de diámetro superior a 165 mm</v>
      </c>
      <c r="I6527" s="16" t="s">
        <v>9427</v>
      </c>
    </row>
    <row r="6528" spans="1:9" x14ac:dyDescent="0.25">
      <c r="A6528" s="16" t="s">
        <v>7475</v>
      </c>
      <c r="B6528" s="16" t="str">
        <f>TEXT(PARTIDA[[#This Row],[PARTIDA]],"0000000000")</f>
        <v>8447201000</v>
      </c>
      <c r="C6528" s="16" t="s">
        <v>860</v>
      </c>
      <c r="D6528" s="16" t="s">
        <v>873</v>
      </c>
      <c r="E6528" s="16" t="s">
        <v>9480</v>
      </c>
      <c r="F6528" s="27" t="s">
        <v>14786</v>
      </c>
      <c r="G6528" s="27"/>
      <c r="H6528" s="16" t="str">
        <f>IF(ISBLANK(PARTIDAS!$G6528),PARTIDAS!$F6528,CONCATENATE(PARTIDAS!$F6528," (",PARTIDAS!$G6528,")"))</f>
        <v>Máquinas rectilíneas de tricotar, de uso doméstico</v>
      </c>
      <c r="I6528" s="16" t="s">
        <v>9427</v>
      </c>
    </row>
    <row r="6529" spans="1:9" x14ac:dyDescent="0.25">
      <c r="A6529" s="16" t="s">
        <v>7476</v>
      </c>
      <c r="B6529" s="16" t="str">
        <f>TEXT(PARTIDA[[#This Row],[PARTIDA]],"0000000000")</f>
        <v>8447202000</v>
      </c>
      <c r="C6529" s="16" t="s">
        <v>860</v>
      </c>
      <c r="D6529" s="16" t="s">
        <v>873</v>
      </c>
      <c r="E6529" s="16" t="s">
        <v>9480</v>
      </c>
      <c r="F6529" s="27" t="s">
        <v>14787</v>
      </c>
      <c r="G6529" s="27"/>
      <c r="H6529" s="16" t="str">
        <f>IF(ISBLANK(PARTIDAS!$G6529),PARTIDAS!$F6529,CONCATENATE(PARTIDAS!$F6529," (",PARTIDAS!$G6529,")"))</f>
        <v>Máquinas rectilíneas de tricotar (los demás, máquinas rectilíneas de tricotar)</v>
      </c>
      <c r="I6529" s="16" t="s">
        <v>9427</v>
      </c>
    </row>
    <row r="6530" spans="1:9" x14ac:dyDescent="0.25">
      <c r="A6530" s="16" t="s">
        <v>7477</v>
      </c>
      <c r="B6530" s="16" t="str">
        <f>TEXT(PARTIDA[[#This Row],[PARTIDA]],"0000000000")</f>
        <v>8447203000</v>
      </c>
      <c r="C6530" s="16" t="s">
        <v>860</v>
      </c>
      <c r="D6530" s="16" t="s">
        <v>873</v>
      </c>
      <c r="E6530" s="16" t="s">
        <v>9480</v>
      </c>
      <c r="F6530" s="27" t="s">
        <v>14788</v>
      </c>
      <c r="G6530" s="27"/>
      <c r="H6530" s="16" t="str">
        <f>IF(ISBLANK(PARTIDAS!$G6530),PARTIDAS!$F6530,CONCATENATE(PARTIDAS!$F6530," (",PARTIDAS!$G6530,")"))</f>
        <v>Máquinas de coser por cadeneta</v>
      </c>
      <c r="I6530" s="16" t="s">
        <v>9427</v>
      </c>
    </row>
    <row r="6531" spans="1:9" x14ac:dyDescent="0.25">
      <c r="A6531" s="16" t="s">
        <v>7478</v>
      </c>
      <c r="B6531" s="16" t="str">
        <f>TEXT(PARTIDA[[#This Row],[PARTIDA]],"0000000000")</f>
        <v>8447900000</v>
      </c>
      <c r="C6531" s="16" t="s">
        <v>860</v>
      </c>
      <c r="D6531" s="16" t="s">
        <v>873</v>
      </c>
      <c r="E6531" s="16" t="s">
        <v>9480</v>
      </c>
      <c r="F6531" s="27" t="s">
        <v>14789</v>
      </c>
      <c r="G6531" s="27"/>
      <c r="H6531" s="16" t="str">
        <f>IF(ISBLANK(PARTIDAS!$G6531),PARTIDAS!$F6531,CONCATENATE(PARTIDAS!$F6531," (",PARTIDAS!$G6531,")"))</f>
        <v>Máquinas de tricotar, de coser por cadeneta, de entorchar, de… (los demás)</v>
      </c>
      <c r="I6531" s="16" t="s">
        <v>9427</v>
      </c>
    </row>
    <row r="6532" spans="1:9" x14ac:dyDescent="0.25">
      <c r="A6532" s="16" t="s">
        <v>7479</v>
      </c>
      <c r="B6532" s="16" t="str">
        <f>TEXT(PARTIDA[[#This Row],[PARTIDA]],"0000000000")</f>
        <v>8448110000</v>
      </c>
      <c r="C6532" s="16" t="s">
        <v>860</v>
      </c>
      <c r="D6532" s="16" t="s">
        <v>873</v>
      </c>
      <c r="E6532" s="16" t="s">
        <v>9480</v>
      </c>
      <c r="F6532" s="27" t="s">
        <v>14790</v>
      </c>
      <c r="G6532" s="27"/>
      <c r="H6532" s="16" t="str">
        <f>IF(ISBLANK(PARTIDAS!$G6532),PARTIDAS!$F6532,CONCATENATE(PARTIDAS!$F6532," (",PARTIDAS!$G6532,")"))</f>
        <v>Maquinitas para lizos y mecanismos Jacquard; reductoras, perforadoras y copiadoras de cartones; máquinas para unir cartones después de perforados</v>
      </c>
      <c r="I6532" s="16" t="s">
        <v>9427</v>
      </c>
    </row>
    <row r="6533" spans="1:9" x14ac:dyDescent="0.25">
      <c r="A6533" s="16" t="s">
        <v>7480</v>
      </c>
      <c r="B6533" s="16" t="str">
        <f>TEXT(PARTIDA[[#This Row],[PARTIDA]],"0000000000")</f>
        <v>8448190000</v>
      </c>
      <c r="C6533" s="16" t="s">
        <v>860</v>
      </c>
      <c r="D6533" s="16" t="s">
        <v>873</v>
      </c>
      <c r="E6533" s="16" t="s">
        <v>9480</v>
      </c>
      <c r="F6533" s="27" t="s">
        <v>14791</v>
      </c>
      <c r="G6533" s="27"/>
      <c r="H6533" s="16" t="str">
        <f>IF(ISBLANK(PARTIDAS!$G6533),PARTIDAS!$F6533,CONCATENATE(PARTIDAS!$F6533," (",PARTIDAS!$G6533,")"))</f>
        <v>Máquinas y aparatos auxiliares para las máquinas de las partidas… (los demás)</v>
      </c>
      <c r="I6533" s="16" t="s">
        <v>9427</v>
      </c>
    </row>
    <row r="6534" spans="1:9" x14ac:dyDescent="0.25">
      <c r="A6534" s="16" t="s">
        <v>7481</v>
      </c>
      <c r="B6534" s="16" t="str">
        <f>TEXT(PARTIDA[[#This Row],[PARTIDA]],"0000000000")</f>
        <v>8448200000</v>
      </c>
      <c r="C6534" s="16" t="s">
        <v>860</v>
      </c>
      <c r="D6534" s="16" t="s">
        <v>873</v>
      </c>
      <c r="E6534" s="16" t="s">
        <v>9480</v>
      </c>
      <c r="F6534" s="27" t="s">
        <v>14792</v>
      </c>
      <c r="G6534" s="27"/>
      <c r="H6534" s="16" t="str">
        <f>IF(ISBLANK(PARTIDAS!$G6534),PARTIDAS!$F6534,CONCATENATE(PARTIDAS!$F6534," (",PARTIDAS!$G6534,")"))</f>
        <v>Máquinas y aparatos auxiliares para las máquinas de las partidas…, partes y accesorios de las máquinas de la partida 84.44 o de sus máquinas o aparato</v>
      </c>
      <c r="I6534" s="16" t="s">
        <v>9427</v>
      </c>
    </row>
    <row r="6535" spans="1:9" x14ac:dyDescent="0.25">
      <c r="A6535" s="16" t="s">
        <v>7482</v>
      </c>
      <c r="B6535" s="16" t="str">
        <f>TEXT(PARTIDA[[#This Row],[PARTIDA]],"0000000000")</f>
        <v>8448310000</v>
      </c>
      <c r="C6535" s="16" t="s">
        <v>860</v>
      </c>
      <c r="D6535" s="16" t="s">
        <v>873</v>
      </c>
      <c r="E6535" s="16" t="s">
        <v>9480</v>
      </c>
      <c r="F6535" s="27" t="s">
        <v>14793</v>
      </c>
      <c r="G6535" s="27"/>
      <c r="H6535" s="16" t="str">
        <f>IF(ISBLANK(PARTIDAS!$G6535),PARTIDAS!$F6535,CONCATENATE(PARTIDAS!$F6535," (",PARTIDAS!$G6535,")"))</f>
        <v>Guarniciones de cardas</v>
      </c>
      <c r="I6535" s="16" t="s">
        <v>9427</v>
      </c>
    </row>
    <row r="6536" spans="1:9" x14ac:dyDescent="0.25">
      <c r="A6536" s="16" t="s">
        <v>7483</v>
      </c>
      <c r="B6536" s="16" t="str">
        <f>TEXT(PARTIDA[[#This Row],[PARTIDA]],"0000000000")</f>
        <v>8448321000</v>
      </c>
      <c r="C6536" s="16" t="s">
        <v>860</v>
      </c>
      <c r="D6536" s="16" t="s">
        <v>873</v>
      </c>
      <c r="E6536" s="16" t="s">
        <v>9480</v>
      </c>
      <c r="F6536" s="27" t="s">
        <v>14794</v>
      </c>
      <c r="G6536" s="27"/>
      <c r="H6536" s="16" t="str">
        <f>IF(ISBLANK(PARTIDAS!$G6536),PARTIDAS!$F6536,CONCATENATE(PARTIDAS!$F6536," (",PARTIDAS!$G6536,")"))</f>
        <v>Máquinas y aparatos auxiliares para las máquinas de…, partes y accesorios de las máquinas de la partida…, de máquinas para la preparación de materia t</v>
      </c>
      <c r="I6536" s="16" t="s">
        <v>9427</v>
      </c>
    </row>
    <row r="6537" spans="1:9" x14ac:dyDescent="0.25">
      <c r="A6537" s="16" t="s">
        <v>7484</v>
      </c>
      <c r="B6537" s="16" t="str">
        <f>TEXT(PARTIDA[[#This Row],[PARTIDA]],"0000000000")</f>
        <v>8448329000</v>
      </c>
      <c r="C6537" s="16" t="s">
        <v>860</v>
      </c>
      <c r="D6537" s="16" t="s">
        <v>873</v>
      </c>
      <c r="E6537" s="16" t="s">
        <v>9480</v>
      </c>
      <c r="F6537" s="27" t="s">
        <v>14794</v>
      </c>
      <c r="G6537" s="27"/>
      <c r="H6537" s="16" t="str">
        <f>IF(ISBLANK(PARTIDAS!$G6537),PARTIDAS!$F6537,CONCATENATE(PARTIDAS!$F6537," (",PARTIDAS!$G6537,")"))</f>
        <v>Máquinas y aparatos auxiliares para las máquinas de…, partes y accesorios de las máquinas de la partida…, de máquinas para la preparación de materia t</v>
      </c>
      <c r="I6537" s="16" t="s">
        <v>9427</v>
      </c>
    </row>
    <row r="6538" spans="1:9" x14ac:dyDescent="0.25">
      <c r="A6538" s="16" t="s">
        <v>7485</v>
      </c>
      <c r="B6538" s="16" t="str">
        <f>TEXT(PARTIDA[[#This Row],[PARTIDA]],"0000000000")</f>
        <v>8448330000</v>
      </c>
      <c r="C6538" s="16" t="s">
        <v>860</v>
      </c>
      <c r="D6538" s="16" t="s">
        <v>873</v>
      </c>
      <c r="E6538" s="16" t="s">
        <v>9480</v>
      </c>
      <c r="F6538" s="27" t="s">
        <v>14795</v>
      </c>
      <c r="G6538" s="27"/>
      <c r="H6538" s="16" t="str">
        <f>IF(ISBLANK(PARTIDAS!$G6538),PARTIDAS!$F6538,CONCATENATE(PARTIDAS!$F6538," (",PARTIDAS!$G6538,")"))</f>
        <v>Husos y sus aletas, anillos y cursores</v>
      </c>
      <c r="I6538" s="16" t="s">
        <v>9427</v>
      </c>
    </row>
    <row r="6539" spans="1:9" x14ac:dyDescent="0.25">
      <c r="A6539" s="16" t="s">
        <v>7486</v>
      </c>
      <c r="B6539" s="16" t="str">
        <f>TEXT(PARTIDA[[#This Row],[PARTIDA]],"0000000000")</f>
        <v>8448390000</v>
      </c>
      <c r="C6539" s="16" t="s">
        <v>860</v>
      </c>
      <c r="D6539" s="16" t="s">
        <v>873</v>
      </c>
      <c r="E6539" s="16" t="s">
        <v>9480</v>
      </c>
      <c r="F6539" s="27" t="s">
        <v>14796</v>
      </c>
      <c r="G6539" s="27"/>
      <c r="H6539" s="16" t="str">
        <f>IF(ISBLANK(PARTIDAS!$G6539),PARTIDAS!$F6539,CONCATENATE(PARTIDAS!$F6539," (",PARTIDAS!$G6539,")"))</f>
        <v>Máquinas y aparatos auxiliares para las máquinas de…, partes y accesorios de las máquinas de la partida 84.45 o de sus… (los demás)</v>
      </c>
      <c r="I6539" s="16" t="s">
        <v>9427</v>
      </c>
    </row>
    <row r="6540" spans="1:9" x14ac:dyDescent="0.25">
      <c r="A6540" s="16" t="s">
        <v>7487</v>
      </c>
      <c r="B6540" s="16" t="str">
        <f>TEXT(PARTIDA[[#This Row],[PARTIDA]],"0000000000")</f>
        <v>8448420000</v>
      </c>
      <c r="C6540" s="16" t="s">
        <v>860</v>
      </c>
      <c r="D6540" s="16" t="s">
        <v>873</v>
      </c>
      <c r="E6540" s="16" t="s">
        <v>9480</v>
      </c>
      <c r="F6540" s="27" t="s">
        <v>14797</v>
      </c>
      <c r="G6540" s="27"/>
      <c r="H6540" s="16" t="str">
        <f>IF(ISBLANK(PARTIDAS!$G6540),PARTIDAS!$F6540,CONCATENATE(PARTIDAS!$F6540," (",PARTIDAS!$G6540,")"))</f>
        <v>Peines, lizos y cuadros de lizos</v>
      </c>
      <c r="I6540" s="16" t="s">
        <v>9427</v>
      </c>
    </row>
    <row r="6541" spans="1:9" x14ac:dyDescent="0.25">
      <c r="A6541" s="16" t="s">
        <v>7488</v>
      </c>
      <c r="B6541" s="16" t="str">
        <f>TEXT(PARTIDA[[#This Row],[PARTIDA]],"0000000000")</f>
        <v>8448490000</v>
      </c>
      <c r="C6541" s="16" t="s">
        <v>860</v>
      </c>
      <c r="D6541" s="16" t="s">
        <v>873</v>
      </c>
      <c r="E6541" s="16" t="s">
        <v>9480</v>
      </c>
      <c r="F6541" s="27" t="s">
        <v>14798</v>
      </c>
      <c r="G6541" s="27"/>
      <c r="H6541" s="16" t="str">
        <f>IF(ISBLANK(PARTIDAS!$G6541),PARTIDAS!$F6541,CONCATENATE(PARTIDAS!$F6541," (",PARTIDAS!$G6541,")"))</f>
        <v>Máquinas y aparatos auxiliares para las máquinas de…, partes y accesorios de telares o de sus máquinas o aparatos auxiliares (los demás)</v>
      </c>
      <c r="I6541" s="16" t="s">
        <v>9427</v>
      </c>
    </row>
    <row r="6542" spans="1:9" x14ac:dyDescent="0.25">
      <c r="A6542" s="16" t="s">
        <v>7489</v>
      </c>
      <c r="B6542" s="16" t="str">
        <f>TEXT(PARTIDA[[#This Row],[PARTIDA]],"0000000000")</f>
        <v>8448510000</v>
      </c>
      <c r="C6542" s="16" t="s">
        <v>860</v>
      </c>
      <c r="D6542" s="16" t="s">
        <v>873</v>
      </c>
      <c r="E6542" s="16" t="s">
        <v>9480</v>
      </c>
      <c r="F6542" s="27" t="s">
        <v>14799</v>
      </c>
      <c r="G6542" s="27"/>
      <c r="H6542" s="16" t="str">
        <f>IF(ISBLANK(PARTIDAS!$G6542),PARTIDAS!$F6542,CONCATENATE(PARTIDAS!$F6542," (",PARTIDAS!$G6542,")"))</f>
        <v>Platinas, agujas y demás artículos que participen en la formación de mallas</v>
      </c>
      <c r="I6542" s="16" t="s">
        <v>9427</v>
      </c>
    </row>
    <row r="6543" spans="1:9" x14ac:dyDescent="0.25">
      <c r="A6543" s="16" t="s">
        <v>7490</v>
      </c>
      <c r="B6543" s="16" t="str">
        <f>TEXT(PARTIDA[[#This Row],[PARTIDA]],"0000000000")</f>
        <v>8448590000</v>
      </c>
      <c r="C6543" s="16" t="s">
        <v>860</v>
      </c>
      <c r="D6543" s="16" t="s">
        <v>873</v>
      </c>
      <c r="E6543" s="16" t="s">
        <v>9480</v>
      </c>
      <c r="F6543" s="27" t="s">
        <v>14800</v>
      </c>
      <c r="G6543" s="27"/>
      <c r="H6543" s="16" t="str">
        <f>IF(ISBLANK(PARTIDAS!$G6543),PARTIDAS!$F6543,CONCATENATE(PARTIDAS!$F6543," (",PARTIDAS!$G6543,")"))</f>
        <v>Máquinas y aparatos auxiliares para las máquinas de…, partes y accesorios de máquinas o aparatos de la partida 84.47 o de… (los demás)</v>
      </c>
      <c r="I6543" s="16" t="s">
        <v>9427</v>
      </c>
    </row>
    <row r="6544" spans="1:9" x14ac:dyDescent="0.25">
      <c r="A6544" s="16" t="s">
        <v>7491</v>
      </c>
      <c r="B6544" s="16" t="str">
        <f>TEXT(PARTIDA[[#This Row],[PARTIDA]],"0000000000")</f>
        <v>8449001000</v>
      </c>
      <c r="C6544" s="16" t="s">
        <v>860</v>
      </c>
      <c r="D6544" s="16" t="s">
        <v>873</v>
      </c>
      <c r="E6544" s="16" t="s">
        <v>9480</v>
      </c>
      <c r="F6544" s="27" t="s">
        <v>14801</v>
      </c>
      <c r="G6544" s="27"/>
      <c r="H6544" s="16" t="str">
        <f>IF(ISBLANK(PARTIDAS!$G6544),PARTIDAS!$F6544,CONCATENATE(PARTIDAS!$F6544," (",PARTIDAS!$G6544,")"))</f>
        <v>Máquinas y aparatos; hormas de sombrerería</v>
      </c>
      <c r="I6544" s="16" t="s">
        <v>9427</v>
      </c>
    </row>
    <row r="6545" spans="1:9" x14ac:dyDescent="0.25">
      <c r="A6545" s="16" t="s">
        <v>7492</v>
      </c>
      <c r="B6545" s="16" t="str">
        <f>TEXT(PARTIDA[[#This Row],[PARTIDA]],"0000000000")</f>
        <v>8449009000</v>
      </c>
      <c r="C6545" s="16" t="s">
        <v>860</v>
      </c>
      <c r="D6545" s="16" t="s">
        <v>873</v>
      </c>
      <c r="E6545" s="16" t="s">
        <v>9480</v>
      </c>
      <c r="F6545" s="27" t="s">
        <v>14802</v>
      </c>
      <c r="G6545" s="27"/>
      <c r="H6545" s="16" t="str">
        <f>IF(ISBLANK(PARTIDAS!$G6545),PARTIDAS!$F6545,CONCATENATE(PARTIDAS!$F6545," (",PARTIDAS!$G6545,")"))</f>
        <v>Máquinas y aparatos auxiliares para las máquinas de las partidas…, partes</v>
      </c>
      <c r="I6545" s="16" t="s">
        <v>9427</v>
      </c>
    </row>
    <row r="6546" spans="1:9" x14ac:dyDescent="0.25">
      <c r="A6546" s="16" t="s">
        <v>7493</v>
      </c>
      <c r="B6546" s="16" t="str">
        <f>TEXT(PARTIDA[[#This Row],[PARTIDA]],"0000000000")</f>
        <v>8450110000</v>
      </c>
      <c r="C6546" s="16" t="s">
        <v>860</v>
      </c>
      <c r="D6546" s="16" t="s">
        <v>873</v>
      </c>
      <c r="E6546" s="16" t="s">
        <v>9480</v>
      </c>
      <c r="F6546" s="27" t="s">
        <v>14803</v>
      </c>
      <c r="G6546" s="27"/>
      <c r="H6546" s="16" t="str">
        <f>IF(ISBLANK(PARTIDAS!$G6546),PARTIDAS!$F6546,CONCATENATE(PARTIDAS!$F6546," (",PARTIDAS!$G6546,")"))</f>
        <v>Máquinas totalmente automáticas</v>
      </c>
      <c r="I6546" s="16" t="s">
        <v>9427</v>
      </c>
    </row>
    <row r="6547" spans="1:9" x14ac:dyDescent="0.25">
      <c r="A6547" s="16" t="s">
        <v>7494</v>
      </c>
      <c r="B6547" s="16" t="str">
        <f>TEXT(PARTIDA[[#This Row],[PARTIDA]],"0000000000")</f>
        <v>8450120000</v>
      </c>
      <c r="C6547" s="16" t="s">
        <v>860</v>
      </c>
      <c r="D6547" s="16" t="s">
        <v>873</v>
      </c>
      <c r="E6547" s="16" t="s">
        <v>9480</v>
      </c>
      <c r="F6547" s="27" t="s">
        <v>14804</v>
      </c>
      <c r="G6547" s="27"/>
      <c r="H6547" s="16" t="str">
        <f>IF(ISBLANK(PARTIDAS!$G6547),PARTIDAS!$F6547,CONCATENATE(PARTIDAS!$F6547," (",PARTIDAS!$G6547,")"))</f>
        <v>Máquinas de capacidad unitaria, expresada en peso de ropa seca… (los demás, máquinas, con secadora centrífuga incorporada)</v>
      </c>
      <c r="I6547" s="16" t="s">
        <v>9427</v>
      </c>
    </row>
    <row r="6548" spans="1:9" x14ac:dyDescent="0.25">
      <c r="A6548" s="16" t="s">
        <v>7495</v>
      </c>
      <c r="B6548" s="16" t="str">
        <f>TEXT(PARTIDA[[#This Row],[PARTIDA]],"0000000000")</f>
        <v>8450190000</v>
      </c>
      <c r="C6548" s="16" t="s">
        <v>860</v>
      </c>
      <c r="D6548" s="16" t="s">
        <v>873</v>
      </c>
      <c r="E6548" s="16" t="s">
        <v>9480</v>
      </c>
      <c r="F6548" s="27" t="s">
        <v>14805</v>
      </c>
      <c r="G6548" s="27"/>
      <c r="H6548" s="16" t="str">
        <f>IF(ISBLANK(PARTIDAS!$G6548),PARTIDAS!$F6548,CONCATENATE(PARTIDAS!$F6548," (",PARTIDAS!$G6548,")"))</f>
        <v>Máquinas de capacidad unitaria, expresada en peso de ropa seca… (los demás)</v>
      </c>
      <c r="I6548" s="16" t="s">
        <v>9427</v>
      </c>
    </row>
    <row r="6549" spans="1:9" x14ac:dyDescent="0.25">
      <c r="A6549" s="16" t="s">
        <v>7496</v>
      </c>
      <c r="B6549" s="16" t="str">
        <f>TEXT(PARTIDA[[#This Row],[PARTIDA]],"0000000000")</f>
        <v>8450200000</v>
      </c>
      <c r="C6549" s="16" t="s">
        <v>860</v>
      </c>
      <c r="D6549" s="16" t="s">
        <v>873</v>
      </c>
      <c r="E6549" s="16" t="s">
        <v>9480</v>
      </c>
      <c r="F6549" s="27" t="s">
        <v>14806</v>
      </c>
      <c r="G6549" s="27"/>
      <c r="H6549" s="16" t="str">
        <f>IF(ISBLANK(PARTIDAS!$G6549),PARTIDAS!$F6549,CONCATENATE(PARTIDAS!$F6549," (",PARTIDAS!$G6549,")"))</f>
        <v>Máquinas de capacidad unitaria, expresada en peso de ropa seca, superior a 10 kg</v>
      </c>
      <c r="I6549" s="16" t="s">
        <v>9427</v>
      </c>
    </row>
    <row r="6550" spans="1:9" x14ac:dyDescent="0.25">
      <c r="A6550" s="16" t="s">
        <v>7497</v>
      </c>
      <c r="B6550" s="16" t="str">
        <f>TEXT(PARTIDA[[#This Row],[PARTIDA]],"0000000000")</f>
        <v>8450900000</v>
      </c>
      <c r="C6550" s="16" t="s">
        <v>860</v>
      </c>
      <c r="D6550" s="16" t="s">
        <v>873</v>
      </c>
      <c r="E6550" s="16" t="s">
        <v>9480</v>
      </c>
      <c r="F6550" s="27" t="s">
        <v>14807</v>
      </c>
      <c r="G6550" s="27"/>
      <c r="H6550" s="16" t="str">
        <f>IF(ISBLANK(PARTIDAS!$G6550),PARTIDAS!$F6550,CONCATENATE(PARTIDAS!$F6550," (",PARTIDAS!$G6550,")"))</f>
        <v>Máquinas para lavar ropa, incluso con dispositivo de secado, partes</v>
      </c>
      <c r="I6550" s="16" t="s">
        <v>9427</v>
      </c>
    </row>
    <row r="6551" spans="1:9" x14ac:dyDescent="0.25">
      <c r="A6551" s="16" t="s">
        <v>7498</v>
      </c>
      <c r="B6551" s="16" t="str">
        <f>TEXT(PARTIDA[[#This Row],[PARTIDA]],"0000000000")</f>
        <v>8451100000</v>
      </c>
      <c r="C6551" s="16" t="s">
        <v>860</v>
      </c>
      <c r="D6551" s="16" t="s">
        <v>873</v>
      </c>
      <c r="E6551" s="16" t="s">
        <v>9480</v>
      </c>
      <c r="F6551" s="27" t="s">
        <v>14808</v>
      </c>
      <c r="G6551" s="27"/>
      <c r="H6551" s="16" t="str">
        <f>IF(ISBLANK(PARTIDAS!$G6551),PARTIDAS!$F6551,CONCATENATE(PARTIDAS!$F6551," (",PARTIDAS!$G6551,")"))</f>
        <v>Máquinas para limpieza en seco</v>
      </c>
      <c r="I6551" s="16" t="s">
        <v>9427</v>
      </c>
    </row>
    <row r="6552" spans="1:9" x14ac:dyDescent="0.25">
      <c r="A6552" s="16" t="s">
        <v>7499</v>
      </c>
      <c r="B6552" s="16" t="str">
        <f>TEXT(PARTIDA[[#This Row],[PARTIDA]],"0000000000")</f>
        <v>8451210000</v>
      </c>
      <c r="C6552" s="16" t="s">
        <v>860</v>
      </c>
      <c r="D6552" s="16" t="s">
        <v>873</v>
      </c>
      <c r="E6552" s="16" t="s">
        <v>9480</v>
      </c>
      <c r="F6552" s="27" t="s">
        <v>14809</v>
      </c>
      <c r="G6552" s="27"/>
      <c r="H6552" s="16" t="str">
        <f>IF(ISBLANK(PARTIDAS!$G6552),PARTIDAS!$F6552,CONCATENATE(PARTIDAS!$F6552," (",PARTIDAS!$G6552,")"))</f>
        <v>Máquinas para secar, de capacidad unitaria, expresada en peso de ropa seca, inferior o igual a 10 kg</v>
      </c>
      <c r="I6552" s="16" t="s">
        <v>9427</v>
      </c>
    </row>
    <row r="6553" spans="1:9" x14ac:dyDescent="0.25">
      <c r="A6553" s="16" t="s">
        <v>7500</v>
      </c>
      <c r="B6553" s="16" t="str">
        <f>TEXT(PARTIDA[[#This Row],[PARTIDA]],"0000000000")</f>
        <v>8451290000</v>
      </c>
      <c r="C6553" s="16" t="s">
        <v>860</v>
      </c>
      <c r="D6553" s="16" t="s">
        <v>873</v>
      </c>
      <c r="E6553" s="16" t="s">
        <v>9480</v>
      </c>
      <c r="F6553" s="27" t="s">
        <v>14810</v>
      </c>
      <c r="G6553" s="27"/>
      <c r="H6553" s="16" t="str">
        <f>IF(ISBLANK(PARTIDAS!$G6553),PARTIDAS!$F6553,CONCATENATE(PARTIDAS!$F6553," (",PARTIDAS!$G6553,")"))</f>
        <v>Máquinas para secar (los demás)</v>
      </c>
      <c r="I6553" s="16" t="s">
        <v>9427</v>
      </c>
    </row>
    <row r="6554" spans="1:9" x14ac:dyDescent="0.25">
      <c r="A6554" s="16" t="s">
        <v>7501</v>
      </c>
      <c r="B6554" s="16" t="str">
        <f>TEXT(PARTIDA[[#This Row],[PARTIDA]],"0000000000")</f>
        <v>8451300000</v>
      </c>
      <c r="C6554" s="16" t="s">
        <v>860</v>
      </c>
      <c r="D6554" s="16" t="s">
        <v>873</v>
      </c>
      <c r="E6554" s="16" t="s">
        <v>9480</v>
      </c>
      <c r="F6554" s="27" t="s">
        <v>14811</v>
      </c>
      <c r="G6554" s="27"/>
      <c r="H6554" s="16" t="str">
        <f>IF(ISBLANK(PARTIDAS!$G6554),PARTIDAS!$F6554,CONCATENATE(PARTIDAS!$F6554," (",PARTIDAS!$G6554,")"))</f>
        <v>Máquinas y prensas para planchar, incluidas las prensas para fijar</v>
      </c>
      <c r="I6554" s="16" t="s">
        <v>9427</v>
      </c>
    </row>
    <row r="6555" spans="1:9" x14ac:dyDescent="0.25">
      <c r="A6555" s="16" t="s">
        <v>7502</v>
      </c>
      <c r="B6555" s="16" t="str">
        <f>TEXT(PARTIDA[[#This Row],[PARTIDA]],"0000000000")</f>
        <v>8451401000</v>
      </c>
      <c r="C6555" s="16" t="s">
        <v>860</v>
      </c>
      <c r="D6555" s="16" t="s">
        <v>873</v>
      </c>
      <c r="E6555" s="16" t="s">
        <v>9480</v>
      </c>
      <c r="F6555" s="27" t="s">
        <v>14812</v>
      </c>
      <c r="G6555" s="27"/>
      <c r="H6555" s="16" t="str">
        <f>IF(ISBLANK(PARTIDAS!$G6555),PARTIDAS!$F6555,CONCATENATE(PARTIDAS!$F6555," (",PARTIDAS!$G6555,")"))</f>
        <v>Máquinas para lavar, blanquear o teñir, para lavar</v>
      </c>
      <c r="I6555" s="16" t="s">
        <v>9427</v>
      </c>
    </row>
    <row r="6556" spans="1:9" x14ac:dyDescent="0.25">
      <c r="A6556" s="16" t="s">
        <v>7503</v>
      </c>
      <c r="B6556" s="16" t="str">
        <f>TEXT(PARTIDA[[#This Row],[PARTIDA]],"0000000000")</f>
        <v>8451409000</v>
      </c>
      <c r="C6556" s="16" t="s">
        <v>860</v>
      </c>
      <c r="D6556" s="16" t="s">
        <v>873</v>
      </c>
      <c r="E6556" s="16" t="s">
        <v>9480</v>
      </c>
      <c r="F6556" s="27" t="s">
        <v>14813</v>
      </c>
      <c r="G6556" s="27"/>
      <c r="H6556" s="16" t="str">
        <f>IF(ISBLANK(PARTIDAS!$G6556),PARTIDAS!$F6556,CONCATENATE(PARTIDAS!$F6556," (",PARTIDAS!$G6556,")"))</f>
        <v>Máquinas para lavar, blanquear o teñir (los demás)</v>
      </c>
      <c r="I6556" s="16" t="s">
        <v>9427</v>
      </c>
    </row>
    <row r="6557" spans="1:9" x14ac:dyDescent="0.25">
      <c r="A6557" s="16" t="s">
        <v>7504</v>
      </c>
      <c r="B6557" s="16" t="str">
        <f>TEXT(PARTIDA[[#This Row],[PARTIDA]],"0000000000")</f>
        <v>8451500000</v>
      </c>
      <c r="C6557" s="16" t="s">
        <v>860</v>
      </c>
      <c r="D6557" s="16" t="s">
        <v>873</v>
      </c>
      <c r="E6557" s="16" t="s">
        <v>9480</v>
      </c>
      <c r="F6557" s="27" t="s">
        <v>14814</v>
      </c>
      <c r="G6557" s="27"/>
      <c r="H6557" s="16" t="str">
        <f>IF(ISBLANK(PARTIDAS!$G6557),PARTIDAS!$F6557,CONCATENATE(PARTIDAS!$F6557," (",PARTIDAS!$G6557,")"))</f>
        <v>Máquinas para enrollar, desenrollar, plegar, cortar o dentar telas</v>
      </c>
      <c r="I6557" s="16" t="s">
        <v>9427</v>
      </c>
    </row>
    <row r="6558" spans="1:9" x14ac:dyDescent="0.25">
      <c r="A6558" s="16" t="s">
        <v>7505</v>
      </c>
      <c r="B6558" s="16" t="str">
        <f>TEXT(PARTIDA[[#This Row],[PARTIDA]],"0000000000")</f>
        <v>8451800000</v>
      </c>
      <c r="C6558" s="16" t="s">
        <v>860</v>
      </c>
      <c r="D6558" s="16" t="s">
        <v>873</v>
      </c>
      <c r="E6558" s="16" t="s">
        <v>9480</v>
      </c>
      <c r="F6558" s="27" t="s">
        <v>14815</v>
      </c>
      <c r="G6558" s="27"/>
      <c r="H6558" s="16" t="str">
        <f>IF(ISBLANK(PARTIDAS!$G6558),PARTIDAS!$F6558,CONCATENATE(PARTIDAS!$F6558," (",PARTIDAS!$G6558,")"))</f>
        <v>Máquinas y aparatos (los demás, máquinas y aparatos)</v>
      </c>
      <c r="I6558" s="16" t="s">
        <v>9427</v>
      </c>
    </row>
    <row r="6559" spans="1:9" x14ac:dyDescent="0.25">
      <c r="A6559" s="16" t="s">
        <v>7506</v>
      </c>
      <c r="B6559" s="16" t="str">
        <f>TEXT(PARTIDA[[#This Row],[PARTIDA]],"0000000000")</f>
        <v>8451900000</v>
      </c>
      <c r="C6559" s="16" t="s">
        <v>860</v>
      </c>
      <c r="D6559" s="16" t="s">
        <v>873</v>
      </c>
      <c r="E6559" s="16" t="s">
        <v>9480</v>
      </c>
      <c r="F6559" s="27" t="s">
        <v>14816</v>
      </c>
      <c r="G6559" s="27"/>
      <c r="H6559" s="16" t="str">
        <f>IF(ISBLANK(PARTIDAS!$G6559),PARTIDAS!$F6559,CONCATENATE(PARTIDAS!$F6559," (",PARTIDAS!$G6559,")"))</f>
        <v>Máquinas y aparatos, partes</v>
      </c>
      <c r="I6559" s="16" t="s">
        <v>9427</v>
      </c>
    </row>
    <row r="6560" spans="1:9" x14ac:dyDescent="0.25">
      <c r="A6560" s="16" t="s">
        <v>7507</v>
      </c>
      <c r="B6560" s="16" t="str">
        <f>TEXT(PARTIDA[[#This Row],[PARTIDA]],"0000000000")</f>
        <v>8452101000</v>
      </c>
      <c r="C6560" s="16" t="s">
        <v>786</v>
      </c>
      <c r="D6560" s="16" t="s">
        <v>799</v>
      </c>
      <c r="E6560" s="16" t="s">
        <v>806</v>
      </c>
      <c r="F6560" s="27" t="s">
        <v>14817</v>
      </c>
      <c r="G6560" s="27"/>
      <c r="H6560" s="16" t="str">
        <f>IF(ISBLANK(PARTIDAS!$G6560),PARTIDAS!$F6560,CONCATENATE(PARTIDAS!$F6560," (",PARTIDAS!$G6560,")"))</f>
        <v>Cabezas de máquinas</v>
      </c>
      <c r="I6560" s="16" t="s">
        <v>9427</v>
      </c>
    </row>
    <row r="6561" spans="1:9" x14ac:dyDescent="0.25">
      <c r="A6561" s="16" t="s">
        <v>7508</v>
      </c>
      <c r="B6561" s="16" t="str">
        <f>TEXT(PARTIDA[[#This Row],[PARTIDA]],"0000000000")</f>
        <v>8452102000</v>
      </c>
      <c r="C6561" s="16" t="s">
        <v>786</v>
      </c>
      <c r="D6561" s="16" t="s">
        <v>799</v>
      </c>
      <c r="E6561" s="16" t="s">
        <v>806</v>
      </c>
      <c r="F6561" s="27" t="s">
        <v>14818</v>
      </c>
      <c r="G6561" s="27"/>
      <c r="H6561" s="16" t="str">
        <f>IF(ISBLANK(PARTIDAS!$G6561),PARTIDAS!$F6561,CONCATENATE(PARTIDAS!$F6561," (",PARTIDAS!$G6561,")"))</f>
        <v>Máquinas de coser domésticas, máquinas</v>
      </c>
      <c r="I6561" s="16" t="s">
        <v>9427</v>
      </c>
    </row>
    <row r="6562" spans="1:9" x14ac:dyDescent="0.25">
      <c r="A6562" s="16" t="s">
        <v>7509</v>
      </c>
      <c r="B6562" s="16" t="str">
        <f>TEXT(PARTIDA[[#This Row],[PARTIDA]],"0000000000")</f>
        <v>8452210000</v>
      </c>
      <c r="C6562" s="16" t="s">
        <v>860</v>
      </c>
      <c r="D6562" s="16" t="s">
        <v>873</v>
      </c>
      <c r="E6562" s="16" t="s">
        <v>9480</v>
      </c>
      <c r="F6562" s="27" t="s">
        <v>14819</v>
      </c>
      <c r="G6562" s="27"/>
      <c r="H6562" s="16" t="str">
        <f>IF(ISBLANK(PARTIDAS!$G6562),PARTIDAS!$F6562,CONCATENATE(PARTIDAS!$F6562," (",PARTIDAS!$G6562,")"))</f>
        <v>Unidades automáticas</v>
      </c>
      <c r="I6562" s="16" t="s">
        <v>9427</v>
      </c>
    </row>
    <row r="6563" spans="1:9" x14ac:dyDescent="0.25">
      <c r="A6563" s="16" t="s">
        <v>7510</v>
      </c>
      <c r="B6563" s="16" t="str">
        <f>TEXT(PARTIDA[[#This Row],[PARTIDA]],"0000000000")</f>
        <v>8452290000</v>
      </c>
      <c r="C6563" s="16" t="s">
        <v>860</v>
      </c>
      <c r="D6563" s="16" t="s">
        <v>873</v>
      </c>
      <c r="E6563" s="16" t="s">
        <v>9480</v>
      </c>
      <c r="F6563" s="27" t="s">
        <v>14820</v>
      </c>
      <c r="G6563" s="27"/>
      <c r="H6563" s="16" t="str">
        <f>IF(ISBLANK(PARTIDAS!$G6563),PARTIDAS!$F6563,CONCATENATE(PARTIDAS!$F6563," (",PARTIDAS!$G6563,")"))</f>
        <v>Máquinas de coser (los demás)</v>
      </c>
      <c r="I6563" s="16" t="s">
        <v>9427</v>
      </c>
    </row>
    <row r="6564" spans="1:9" x14ac:dyDescent="0.25">
      <c r="A6564" s="16" t="s">
        <v>7511</v>
      </c>
      <c r="B6564" s="16" t="str">
        <f>TEXT(PARTIDA[[#This Row],[PARTIDA]],"0000000000")</f>
        <v>8452300000</v>
      </c>
      <c r="C6564" s="16" t="s">
        <v>860</v>
      </c>
      <c r="D6564" s="16" t="s">
        <v>873</v>
      </c>
      <c r="E6564" s="16" t="s">
        <v>9480</v>
      </c>
      <c r="F6564" s="27" t="s">
        <v>14821</v>
      </c>
      <c r="G6564" s="27"/>
      <c r="H6564" s="16" t="str">
        <f>IF(ISBLANK(PARTIDAS!$G6564),PARTIDAS!$F6564,CONCATENATE(PARTIDAS!$F6564," (",PARTIDAS!$G6564,")"))</f>
        <v>Agujas para máquinas de coser</v>
      </c>
      <c r="I6564" s="16" t="s">
        <v>9427</v>
      </c>
    </row>
    <row r="6565" spans="1:9" x14ac:dyDescent="0.25">
      <c r="A6565" s="16" t="s">
        <v>7512</v>
      </c>
      <c r="B6565" s="16" t="str">
        <f>TEXT(PARTIDA[[#This Row],[PARTIDA]],"0000000000")</f>
        <v>8452901000</v>
      </c>
      <c r="C6565" s="16" t="s">
        <v>860</v>
      </c>
      <c r="D6565" s="16" t="s">
        <v>873</v>
      </c>
      <c r="E6565" s="16" t="s">
        <v>9480</v>
      </c>
      <c r="F6565" s="27" t="s">
        <v>14822</v>
      </c>
      <c r="G6565" s="27"/>
      <c r="H6565" s="16" t="str">
        <f>IF(ISBLANK(PARTIDAS!$G6565),PARTIDAS!$F6565,CONCATENATE(PARTIDAS!$F6565," (",PARTIDAS!$G6565,")"))</f>
        <v>Muebles, basamentos y tapas o cubiertas para máquinas de coser, y sus partes</v>
      </c>
      <c r="I6565" s="16" t="s">
        <v>9427</v>
      </c>
    </row>
    <row r="6566" spans="1:9" x14ac:dyDescent="0.25">
      <c r="A6566" s="16" t="s">
        <v>7513</v>
      </c>
      <c r="B6566" s="16" t="str">
        <f>TEXT(PARTIDA[[#This Row],[PARTIDA]],"0000000000")</f>
        <v>8452909000</v>
      </c>
      <c r="C6566" s="16" t="s">
        <v>860</v>
      </c>
      <c r="D6566" s="16" t="s">
        <v>873</v>
      </c>
      <c r="E6566" s="16" t="s">
        <v>9480</v>
      </c>
      <c r="F6566" s="27" t="s">
        <v>14823</v>
      </c>
      <c r="G6566" s="27"/>
      <c r="H6566" s="16" t="str">
        <f>IF(ISBLANK(PARTIDAS!$G6566),PARTIDAS!$F6566,CONCATENATE(PARTIDAS!$F6566," (",PARTIDAS!$G6566,")"))</f>
        <v>Muebles, basamentos y tapas o cubiertas para máquinas de coser, y sus… (los demás, partes para máquinas de coser)</v>
      </c>
      <c r="I6566" s="16" t="s">
        <v>9427</v>
      </c>
    </row>
    <row r="6567" spans="1:9" x14ac:dyDescent="0.25">
      <c r="A6567" s="16" t="s">
        <v>7514</v>
      </c>
      <c r="B6567" s="16" t="str">
        <f>TEXT(PARTIDA[[#This Row],[PARTIDA]],"0000000000")</f>
        <v>8453100000</v>
      </c>
      <c r="C6567" s="16" t="s">
        <v>860</v>
      </c>
      <c r="D6567" s="16" t="s">
        <v>873</v>
      </c>
      <c r="E6567" s="16" t="s">
        <v>9480</v>
      </c>
      <c r="F6567" s="27" t="s">
        <v>14824</v>
      </c>
      <c r="G6567" s="27"/>
      <c r="H6567" s="16" t="str">
        <f>IF(ISBLANK(PARTIDAS!$G6567),PARTIDAS!$F6567,CONCATENATE(PARTIDAS!$F6567," (",PARTIDAS!$G6567,")"))</f>
        <v>Máquinas y aparatos para la preparación, curtido o trabajo de cuero o piel</v>
      </c>
      <c r="I6567" s="16" t="s">
        <v>9427</v>
      </c>
    </row>
    <row r="6568" spans="1:9" x14ac:dyDescent="0.25">
      <c r="A6568" s="16" t="s">
        <v>7515</v>
      </c>
      <c r="B6568" s="16" t="str">
        <f>TEXT(PARTIDA[[#This Row],[PARTIDA]],"0000000000")</f>
        <v>8453200000</v>
      </c>
      <c r="C6568" s="16" t="s">
        <v>860</v>
      </c>
      <c r="D6568" s="16" t="s">
        <v>873</v>
      </c>
      <c r="E6568" s="16" t="s">
        <v>9480</v>
      </c>
      <c r="F6568" s="27" t="s">
        <v>14825</v>
      </c>
      <c r="G6568" s="27"/>
      <c r="H6568" s="16" t="str">
        <f>IF(ISBLANK(PARTIDAS!$G6568),PARTIDAS!$F6568,CONCATENATE(PARTIDAS!$F6568," (",PARTIDAS!$G6568,")"))</f>
        <v>Máquinas y aparatos para la fabricación o reparación de calzado</v>
      </c>
      <c r="I6568" s="16" t="s">
        <v>9427</v>
      </c>
    </row>
    <row r="6569" spans="1:9" x14ac:dyDescent="0.25">
      <c r="A6569" s="16" t="s">
        <v>7516</v>
      </c>
      <c r="B6569" s="16" t="str">
        <f>TEXT(PARTIDA[[#This Row],[PARTIDA]],"0000000000")</f>
        <v>8453800000</v>
      </c>
      <c r="C6569" s="16" t="s">
        <v>860</v>
      </c>
      <c r="D6569" s="16" t="s">
        <v>873</v>
      </c>
      <c r="E6569" s="16" t="s">
        <v>9480</v>
      </c>
      <c r="F6569" s="27" t="s">
        <v>14826</v>
      </c>
      <c r="G6569" s="27"/>
      <c r="H6569" s="16" t="str">
        <f>IF(ISBLANK(PARTIDAS!$G6569),PARTIDAS!$F6569,CONCATENATE(PARTIDAS!$F6569," (",PARTIDAS!$G6569,")"))</f>
        <v>Máquinas y aparatos para la preparación, curtido o trabajo de cuero o… (los demás, máquinas y aparatos)</v>
      </c>
      <c r="I6569" s="16" t="s">
        <v>9427</v>
      </c>
    </row>
    <row r="6570" spans="1:9" x14ac:dyDescent="0.25">
      <c r="A6570" s="16" t="s">
        <v>7517</v>
      </c>
      <c r="B6570" s="16" t="str">
        <f>TEXT(PARTIDA[[#This Row],[PARTIDA]],"0000000000")</f>
        <v>8453900000</v>
      </c>
      <c r="C6570" s="16" t="s">
        <v>860</v>
      </c>
      <c r="D6570" s="16" t="s">
        <v>873</v>
      </c>
      <c r="E6570" s="16" t="s">
        <v>9480</v>
      </c>
      <c r="F6570" s="27" t="s">
        <v>14827</v>
      </c>
      <c r="G6570" s="27"/>
      <c r="H6570" s="16" t="str">
        <f>IF(ISBLANK(PARTIDAS!$G6570),PARTIDAS!$F6570,CONCATENATE(PARTIDAS!$F6570," (",PARTIDAS!$G6570,")"))</f>
        <v>Máquinas y aparatos para la preparación, curtido o trabajo de cuero o…, partes</v>
      </c>
      <c r="I6570" s="16" t="s">
        <v>9427</v>
      </c>
    </row>
    <row r="6571" spans="1:9" x14ac:dyDescent="0.25">
      <c r="A6571" s="16" t="s">
        <v>7518</v>
      </c>
      <c r="B6571" s="16" t="str">
        <f>TEXT(PARTIDA[[#This Row],[PARTIDA]],"0000000000")</f>
        <v>8454100000</v>
      </c>
      <c r="C6571" s="16" t="s">
        <v>860</v>
      </c>
      <c r="D6571" s="16" t="s">
        <v>873</v>
      </c>
      <c r="E6571" s="16" t="s">
        <v>9480</v>
      </c>
      <c r="F6571" s="27" t="s">
        <v>14828</v>
      </c>
      <c r="G6571" s="27"/>
      <c r="H6571" s="16" t="str">
        <f>IF(ISBLANK(PARTIDAS!$G6571),PARTIDAS!$F6571,CONCATENATE(PARTIDAS!$F6571," (",PARTIDAS!$G6571,")"))</f>
        <v>Convertidores</v>
      </c>
      <c r="I6571" s="16" t="s">
        <v>9427</v>
      </c>
    </row>
    <row r="6572" spans="1:9" x14ac:dyDescent="0.25">
      <c r="A6572" s="16" t="s">
        <v>7519</v>
      </c>
      <c r="B6572" s="16" t="str">
        <f>TEXT(PARTIDA[[#This Row],[PARTIDA]],"0000000000")</f>
        <v>8454200000</v>
      </c>
      <c r="C6572" s="16" t="s">
        <v>860</v>
      </c>
      <c r="D6572" s="16" t="s">
        <v>873</v>
      </c>
      <c r="E6572" s="16" t="s">
        <v>9480</v>
      </c>
      <c r="F6572" s="27" t="s">
        <v>14829</v>
      </c>
      <c r="G6572" s="27"/>
      <c r="H6572" s="16" t="str">
        <f>IF(ISBLANK(PARTIDAS!$G6572),PARTIDAS!$F6572,CONCATENATE(PARTIDAS!$F6572," (",PARTIDAS!$G6572,")"))</f>
        <v>Lingoteras y cucharas de colada</v>
      </c>
      <c r="I6572" s="16" t="s">
        <v>9427</v>
      </c>
    </row>
    <row r="6573" spans="1:9" x14ac:dyDescent="0.25">
      <c r="A6573" s="16" t="s">
        <v>7520</v>
      </c>
      <c r="B6573" s="16" t="str">
        <f>TEXT(PARTIDA[[#This Row],[PARTIDA]],"0000000000")</f>
        <v>8454300000</v>
      </c>
      <c r="C6573" s="16" t="s">
        <v>860</v>
      </c>
      <c r="D6573" s="16" t="s">
        <v>873</v>
      </c>
      <c r="E6573" s="16" t="s">
        <v>9480</v>
      </c>
      <c r="F6573" s="27" t="s">
        <v>14830</v>
      </c>
      <c r="G6573" s="27"/>
      <c r="H6573" s="16" t="str">
        <f>IF(ISBLANK(PARTIDAS!$G6573),PARTIDAS!$F6573,CONCATENATE(PARTIDAS!$F6573," (",PARTIDAS!$G6573,")"))</f>
        <v>Máquinas de colar (moldear)</v>
      </c>
      <c r="I6573" s="16" t="s">
        <v>9427</v>
      </c>
    </row>
    <row r="6574" spans="1:9" x14ac:dyDescent="0.25">
      <c r="A6574" s="16" t="s">
        <v>7521</v>
      </c>
      <c r="B6574" s="16" t="str">
        <f>TEXT(PARTIDA[[#This Row],[PARTIDA]],"0000000000")</f>
        <v>8454900000</v>
      </c>
      <c r="C6574" s="16" t="s">
        <v>860</v>
      </c>
      <c r="D6574" s="16" t="s">
        <v>873</v>
      </c>
      <c r="E6574" s="16" t="s">
        <v>9480</v>
      </c>
      <c r="F6574" s="27" t="s">
        <v>14831</v>
      </c>
      <c r="G6574" s="27"/>
      <c r="H6574" s="16" t="str">
        <f>IF(ISBLANK(PARTIDAS!$G6574),PARTIDAS!$F6574,CONCATENATE(PARTIDAS!$F6574," (",PARTIDAS!$G6574,")"))</f>
        <v>Convertidores, cucharas de colada, lingoteras y máquinas de colar…, partes</v>
      </c>
      <c r="I6574" s="16" t="s">
        <v>9427</v>
      </c>
    </row>
    <row r="6575" spans="1:9" x14ac:dyDescent="0.25">
      <c r="A6575" s="16" t="s">
        <v>7522</v>
      </c>
      <c r="B6575" s="16" t="str">
        <f>TEXT(PARTIDA[[#This Row],[PARTIDA]],"0000000000")</f>
        <v>8455100000</v>
      </c>
      <c r="C6575" s="16" t="s">
        <v>860</v>
      </c>
      <c r="D6575" s="16" t="s">
        <v>873</v>
      </c>
      <c r="E6575" s="16" t="s">
        <v>9480</v>
      </c>
      <c r="F6575" s="27" t="s">
        <v>14832</v>
      </c>
      <c r="G6575" s="27"/>
      <c r="H6575" s="16" t="str">
        <f>IF(ISBLANK(PARTIDAS!$G6575),PARTIDAS!$F6575,CONCATENATE(PARTIDAS!$F6575," (",PARTIDAS!$G6575,")"))</f>
        <v>Laminadores de tubos</v>
      </c>
      <c r="I6575" s="16" t="s">
        <v>9427</v>
      </c>
    </row>
    <row r="6576" spans="1:9" x14ac:dyDescent="0.25">
      <c r="A6576" s="16" t="s">
        <v>7523</v>
      </c>
      <c r="B6576" s="16" t="str">
        <f>TEXT(PARTIDA[[#This Row],[PARTIDA]],"0000000000")</f>
        <v>8455210000</v>
      </c>
      <c r="C6576" s="16" t="s">
        <v>860</v>
      </c>
      <c r="D6576" s="16" t="s">
        <v>873</v>
      </c>
      <c r="E6576" s="16" t="s">
        <v>9480</v>
      </c>
      <c r="F6576" s="27" t="s">
        <v>14833</v>
      </c>
      <c r="G6576" s="27"/>
      <c r="H6576" s="16" t="str">
        <f>IF(ISBLANK(PARTIDAS!$G6576),PARTIDAS!$F6576,CONCATENATE(PARTIDAS!$F6576," (",PARTIDAS!$G6576,")"))</f>
        <v>Laminadores para metal y sus cilindros, para laminar en caliente o combinados para laminar en caliente y en frío</v>
      </c>
      <c r="I6576" s="16" t="s">
        <v>9427</v>
      </c>
    </row>
    <row r="6577" spans="1:9" x14ac:dyDescent="0.25">
      <c r="A6577" s="16" t="s">
        <v>7524</v>
      </c>
      <c r="B6577" s="16" t="str">
        <f>TEXT(PARTIDA[[#This Row],[PARTIDA]],"0000000000")</f>
        <v>8455220000</v>
      </c>
      <c r="C6577" s="16" t="s">
        <v>860</v>
      </c>
      <c r="D6577" s="16" t="s">
        <v>873</v>
      </c>
      <c r="E6577" s="16" t="s">
        <v>9480</v>
      </c>
      <c r="F6577" s="27" t="s">
        <v>14834</v>
      </c>
      <c r="G6577" s="27"/>
      <c r="H6577" s="16" t="str">
        <f>IF(ISBLANK(PARTIDAS!$G6577),PARTIDAS!$F6577,CONCATENATE(PARTIDAS!$F6577," (",PARTIDAS!$G6577,")"))</f>
        <v>Laminadores para metal y sus cilindros, para laminar en frío</v>
      </c>
      <c r="I6577" s="16" t="s">
        <v>9427</v>
      </c>
    </row>
    <row r="6578" spans="1:9" x14ac:dyDescent="0.25">
      <c r="A6578" s="16" t="s">
        <v>7525</v>
      </c>
      <c r="B6578" s="16" t="str">
        <f>TEXT(PARTIDA[[#This Row],[PARTIDA]],"0000000000")</f>
        <v>8455300000</v>
      </c>
      <c r="C6578" s="16" t="s">
        <v>860</v>
      </c>
      <c r="D6578" s="16" t="s">
        <v>873</v>
      </c>
      <c r="E6578" s="16" t="s">
        <v>9480</v>
      </c>
      <c r="F6578" s="27" t="s">
        <v>14835</v>
      </c>
      <c r="G6578" s="27"/>
      <c r="H6578" s="16" t="str">
        <f>IF(ISBLANK(PARTIDAS!$G6578),PARTIDAS!$F6578,CONCATENATE(PARTIDAS!$F6578," (",PARTIDAS!$G6578,")"))</f>
        <v>Cilindros de laminadores</v>
      </c>
      <c r="I6578" s="16" t="s">
        <v>9427</v>
      </c>
    </row>
    <row r="6579" spans="1:9" x14ac:dyDescent="0.25">
      <c r="A6579" s="16" t="s">
        <v>7526</v>
      </c>
      <c r="B6579" s="16" t="str">
        <f>TEXT(PARTIDA[[#This Row],[PARTIDA]],"0000000000")</f>
        <v>8455900000</v>
      </c>
      <c r="C6579" s="16" t="s">
        <v>860</v>
      </c>
      <c r="D6579" s="16" t="s">
        <v>873</v>
      </c>
      <c r="E6579" s="16" t="s">
        <v>9480</v>
      </c>
      <c r="F6579" s="27" t="s">
        <v>14836</v>
      </c>
      <c r="G6579" s="27"/>
      <c r="H6579" s="16" t="str">
        <f>IF(ISBLANK(PARTIDAS!$G6579),PARTIDAS!$F6579,CONCATENATE(PARTIDAS!$F6579," (",PARTIDAS!$G6579,")"))</f>
        <v>Laminadores para metal y sus cilindros (los demás, partes)</v>
      </c>
      <c r="I6579" s="16" t="s">
        <v>9427</v>
      </c>
    </row>
    <row r="6580" spans="1:9" x14ac:dyDescent="0.25">
      <c r="A6580" s="16" t="s">
        <v>7527</v>
      </c>
      <c r="B6580" s="16" t="str">
        <f>TEXT(PARTIDA[[#This Row],[PARTIDA]],"0000000000")</f>
        <v>8456110000</v>
      </c>
      <c r="C6580" s="16" t="s">
        <v>860</v>
      </c>
      <c r="D6580" s="16" t="s">
        <v>873</v>
      </c>
      <c r="E6580" s="16" t="s">
        <v>9480</v>
      </c>
      <c r="F6580" s="27" t="s">
        <v>14837</v>
      </c>
      <c r="G6580" s="27"/>
      <c r="H6580" s="16" t="str">
        <f>IF(ISBLANK(PARTIDAS!$G6580),PARTIDAS!$F6580,CONCATENATE(PARTIDAS!$F6580," (",PARTIDAS!$G6580,")"))</f>
        <v>Máquinas herramienta que trabajen por arranque de…, que operen mediante láser u otros haces de luz o de fotones, que operen mediante láser</v>
      </c>
      <c r="I6580" s="16" t="s">
        <v>9427</v>
      </c>
    </row>
    <row r="6581" spans="1:9" x14ac:dyDescent="0.25">
      <c r="A6581" s="16" t="s">
        <v>7528</v>
      </c>
      <c r="B6581" s="16" t="str">
        <f>TEXT(PARTIDA[[#This Row],[PARTIDA]],"0000000000")</f>
        <v>8456120000</v>
      </c>
      <c r="C6581" s="16" t="s">
        <v>860</v>
      </c>
      <c r="D6581" s="16" t="s">
        <v>873</v>
      </c>
      <c r="E6581" s="16" t="s">
        <v>9480</v>
      </c>
      <c r="F6581" s="27" t="s">
        <v>14838</v>
      </c>
      <c r="G6581" s="27"/>
      <c r="H6581" s="16" t="str">
        <f>IF(ISBLANK(PARTIDAS!$G6581),PARTIDAS!$F6581,CONCATENATE(PARTIDAS!$F6581," (",PARTIDAS!$G6581,")"))</f>
        <v>Máquinas herramienta que trabajen por arranque de…, que operen mediante láser u otros haces de luz o de fotones, que operen mediante otros haces de lu</v>
      </c>
      <c r="I6581" s="16" t="s">
        <v>9427</v>
      </c>
    </row>
    <row r="6582" spans="1:9" x14ac:dyDescent="0.25">
      <c r="A6582" s="16" t="s">
        <v>7529</v>
      </c>
      <c r="B6582" s="16" t="str">
        <f>TEXT(PARTIDA[[#This Row],[PARTIDA]],"0000000000")</f>
        <v>8456200000</v>
      </c>
      <c r="C6582" s="16" t="s">
        <v>860</v>
      </c>
      <c r="D6582" s="16" t="s">
        <v>873</v>
      </c>
      <c r="E6582" s="16" t="s">
        <v>9480</v>
      </c>
      <c r="F6582" s="27" t="s">
        <v>14839</v>
      </c>
      <c r="G6582" s="27"/>
      <c r="H6582" s="16" t="str">
        <f>IF(ISBLANK(PARTIDAS!$G6582),PARTIDAS!$F6582,CONCATENATE(PARTIDAS!$F6582," (",PARTIDAS!$G6582,")"))</f>
        <v>Máquinas herramienta que trabajen por arranque de cualquier materia…, que operen por ultrasonido</v>
      </c>
      <c r="I6582" s="16" t="s">
        <v>9427</v>
      </c>
    </row>
    <row r="6583" spans="1:9" x14ac:dyDescent="0.25">
      <c r="A6583" s="16" t="s">
        <v>7530</v>
      </c>
      <c r="B6583" s="16" t="str">
        <f>TEXT(PARTIDA[[#This Row],[PARTIDA]],"0000000000")</f>
        <v>8456300000</v>
      </c>
      <c r="C6583" s="16" t="s">
        <v>860</v>
      </c>
      <c r="D6583" s="16" t="s">
        <v>873</v>
      </c>
      <c r="E6583" s="16" t="s">
        <v>9480</v>
      </c>
      <c r="F6583" s="27" t="s">
        <v>14840</v>
      </c>
      <c r="G6583" s="27"/>
      <c r="H6583" s="16" t="str">
        <f>IF(ISBLANK(PARTIDAS!$G6583),PARTIDAS!$F6583,CONCATENATE(PARTIDAS!$F6583," (",PARTIDAS!$G6583,")"))</f>
        <v>Máquinas herramienta que trabajen por arranque de cualquier materia…, que operen por electroerosión</v>
      </c>
      <c r="I6583" s="16" t="s">
        <v>9427</v>
      </c>
    </row>
    <row r="6584" spans="1:9" x14ac:dyDescent="0.25">
      <c r="A6584" s="16" t="s">
        <v>7531</v>
      </c>
      <c r="B6584" s="16" t="str">
        <f>TEXT(PARTIDA[[#This Row],[PARTIDA]],"0000000000")</f>
        <v>8456400000</v>
      </c>
      <c r="C6584" s="16" t="s">
        <v>860</v>
      </c>
      <c r="D6584" s="16" t="s">
        <v>873</v>
      </c>
      <c r="E6584" s="16" t="s">
        <v>9480</v>
      </c>
      <c r="F6584" s="27" t="s">
        <v>14841</v>
      </c>
      <c r="G6584" s="27"/>
      <c r="H6584" s="16" t="str">
        <f>IF(ISBLANK(PARTIDAS!$G6584),PARTIDAS!$F6584,CONCATENATE(PARTIDAS!$F6584," (",PARTIDAS!$G6584,")"))</f>
        <v>Máquinas herramienta que trabajen por arranque de cualquier materia…, que operen mediante chorro de plasma</v>
      </c>
      <c r="I6584" s="16" t="s">
        <v>9427</v>
      </c>
    </row>
    <row r="6585" spans="1:9" x14ac:dyDescent="0.25">
      <c r="A6585" s="16" t="s">
        <v>7532</v>
      </c>
      <c r="B6585" s="16" t="str">
        <f>TEXT(PARTIDA[[#This Row],[PARTIDA]],"0000000000")</f>
        <v>8456500000</v>
      </c>
      <c r="C6585" s="16" t="s">
        <v>860</v>
      </c>
      <c r="D6585" s="16" t="s">
        <v>873</v>
      </c>
      <c r="E6585" s="16" t="s">
        <v>9480</v>
      </c>
      <c r="F6585" s="27" t="s">
        <v>14842</v>
      </c>
      <c r="G6585" s="27"/>
      <c r="H6585" s="16" t="str">
        <f>IF(ISBLANK(PARTIDAS!$G6585),PARTIDAS!$F6585,CONCATENATE(PARTIDAS!$F6585," (",PARTIDAS!$G6585,")"))</f>
        <v>Máquinas para cortar por chorro de agua</v>
      </c>
      <c r="I6585" s="16" t="s">
        <v>9427</v>
      </c>
    </row>
    <row r="6586" spans="1:9" x14ac:dyDescent="0.25">
      <c r="A6586" s="16" t="s">
        <v>7533</v>
      </c>
      <c r="B6586" s="16" t="str">
        <f>TEXT(PARTIDA[[#This Row],[PARTIDA]],"0000000000")</f>
        <v>8456900000</v>
      </c>
      <c r="C6586" s="16" t="s">
        <v>860</v>
      </c>
      <c r="D6586" s="16" t="s">
        <v>873</v>
      </c>
      <c r="E6586" s="16" t="s">
        <v>9480</v>
      </c>
      <c r="F6586" s="27" t="s">
        <v>14843</v>
      </c>
      <c r="G6586" s="27"/>
      <c r="H6586" s="16" t="str">
        <f>IF(ISBLANK(PARTIDAS!$G6586),PARTIDAS!$F6586,CONCATENATE(PARTIDAS!$F6586," (",PARTIDAS!$G6586,")"))</f>
        <v>Máquinas herramienta que trabajen por arranque de cualquier materia… (los demás)</v>
      </c>
      <c r="I6586" s="16" t="s">
        <v>9427</v>
      </c>
    </row>
    <row r="6587" spans="1:9" x14ac:dyDescent="0.25">
      <c r="A6587" s="16" t="s">
        <v>7534</v>
      </c>
      <c r="B6587" s="16" t="str">
        <f>TEXT(PARTIDA[[#This Row],[PARTIDA]],"0000000000")</f>
        <v>8457100000</v>
      </c>
      <c r="C6587" s="16" t="s">
        <v>860</v>
      </c>
      <c r="D6587" s="16" t="s">
        <v>873</v>
      </c>
      <c r="E6587" s="16" t="s">
        <v>9480</v>
      </c>
      <c r="F6587" s="27" t="s">
        <v>14844</v>
      </c>
      <c r="G6587" s="27"/>
      <c r="H6587" s="16" t="str">
        <f>IF(ISBLANK(PARTIDAS!$G6587),PARTIDAS!$F6587,CONCATENATE(PARTIDAS!$F6587," (",PARTIDAS!$G6587,")"))</f>
        <v>Centros de mecanizado</v>
      </c>
      <c r="I6587" s="16" t="s">
        <v>9427</v>
      </c>
    </row>
    <row r="6588" spans="1:9" x14ac:dyDescent="0.25">
      <c r="A6588" s="16" t="s">
        <v>7535</v>
      </c>
      <c r="B6588" s="16" t="str">
        <f>TEXT(PARTIDA[[#This Row],[PARTIDA]],"0000000000")</f>
        <v>8457200000</v>
      </c>
      <c r="C6588" s="16" t="s">
        <v>860</v>
      </c>
      <c r="D6588" s="16" t="s">
        <v>873</v>
      </c>
      <c r="E6588" s="16" t="s">
        <v>9480</v>
      </c>
      <c r="F6588" s="27" t="s">
        <v>14845</v>
      </c>
      <c r="G6588" s="27"/>
      <c r="H6588" s="16" t="str">
        <f>IF(ISBLANK(PARTIDAS!$G6588),PARTIDAS!$F6588,CONCATENATE(PARTIDAS!$F6588," (",PARTIDAS!$G6588,")"))</f>
        <v>Máquinas de puesto fijo</v>
      </c>
      <c r="I6588" s="16" t="s">
        <v>9427</v>
      </c>
    </row>
    <row r="6589" spans="1:9" x14ac:dyDescent="0.25">
      <c r="A6589" s="16" t="s">
        <v>7536</v>
      </c>
      <c r="B6589" s="16" t="str">
        <f>TEXT(PARTIDA[[#This Row],[PARTIDA]],"0000000000")</f>
        <v>8457300000</v>
      </c>
      <c r="C6589" s="16" t="s">
        <v>860</v>
      </c>
      <c r="D6589" s="16" t="s">
        <v>873</v>
      </c>
      <c r="E6589" s="16" t="s">
        <v>9480</v>
      </c>
      <c r="F6589" s="27" t="s">
        <v>14846</v>
      </c>
      <c r="G6589" s="27"/>
      <c r="H6589" s="16" t="str">
        <f>IF(ISBLANK(PARTIDAS!$G6589),PARTIDAS!$F6589,CONCATENATE(PARTIDAS!$F6589," (",PARTIDAS!$G6589,")"))</f>
        <v>Máquinas de puestos multiples</v>
      </c>
      <c r="I6589" s="16" t="s">
        <v>9427</v>
      </c>
    </row>
    <row r="6590" spans="1:9" x14ac:dyDescent="0.25">
      <c r="A6590" s="16" t="s">
        <v>7537</v>
      </c>
      <c r="B6590" s="16" t="str">
        <f>TEXT(PARTIDA[[#This Row],[PARTIDA]],"0000000000")</f>
        <v>8458111000</v>
      </c>
      <c r="C6590" s="16" t="s">
        <v>860</v>
      </c>
      <c r="D6590" s="16" t="s">
        <v>873</v>
      </c>
      <c r="E6590" s="16" t="s">
        <v>9480</v>
      </c>
      <c r="F6590" s="27" t="s">
        <v>14847</v>
      </c>
      <c r="G6590" s="27"/>
      <c r="H6590" s="16" t="str">
        <f>IF(ISBLANK(PARTIDAS!$G6590),PARTIDAS!$F6590,CONCATENATE(PARTIDAS!$F6590," (",PARTIDAS!$G6590,")"))</f>
        <v>Paralelos universales</v>
      </c>
      <c r="I6590" s="16" t="s">
        <v>9427</v>
      </c>
    </row>
    <row r="6591" spans="1:9" x14ac:dyDescent="0.25">
      <c r="A6591" s="16" t="s">
        <v>7538</v>
      </c>
      <c r="B6591" s="16" t="str">
        <f>TEXT(PARTIDA[[#This Row],[PARTIDA]],"0000000000")</f>
        <v>8458112000</v>
      </c>
      <c r="C6591" s="16" t="s">
        <v>860</v>
      </c>
      <c r="D6591" s="16" t="s">
        <v>873</v>
      </c>
      <c r="E6591" s="16" t="s">
        <v>9480</v>
      </c>
      <c r="F6591" s="27" t="s">
        <v>14848</v>
      </c>
      <c r="G6591" s="27"/>
      <c r="H6591" s="16" t="str">
        <f>IF(ISBLANK(PARTIDAS!$G6591),PARTIDAS!$F6591,CONCATENATE(PARTIDAS!$F6591," (",PARTIDAS!$G6591,")"))</f>
        <v>Tornos horizontales, de control numérico, de revólver</v>
      </c>
      <c r="I6591" s="16" t="s">
        <v>9427</v>
      </c>
    </row>
    <row r="6592" spans="1:9" x14ac:dyDescent="0.25">
      <c r="A6592" s="16" t="s">
        <v>7539</v>
      </c>
      <c r="B6592" s="16" t="str">
        <f>TEXT(PARTIDA[[#This Row],[PARTIDA]],"0000000000")</f>
        <v>8458119000</v>
      </c>
      <c r="C6592" s="16" t="s">
        <v>860</v>
      </c>
      <c r="D6592" s="16" t="s">
        <v>873</v>
      </c>
      <c r="E6592" s="16" t="s">
        <v>9480</v>
      </c>
      <c r="F6592" s="27" t="s">
        <v>14849</v>
      </c>
      <c r="G6592" s="27"/>
      <c r="H6592" s="16" t="str">
        <f>IF(ISBLANK(PARTIDAS!$G6592),PARTIDAS!$F6592,CONCATENATE(PARTIDAS!$F6592," (",PARTIDAS!$G6592,")"))</f>
        <v>Tornos horizontales, de control numérico (los demás)</v>
      </c>
      <c r="I6592" s="16" t="s">
        <v>9427</v>
      </c>
    </row>
    <row r="6593" spans="1:9" x14ac:dyDescent="0.25">
      <c r="A6593" s="16" t="s">
        <v>7540</v>
      </c>
      <c r="B6593" s="16" t="str">
        <f>TEXT(PARTIDA[[#This Row],[PARTIDA]],"0000000000")</f>
        <v>8458191000</v>
      </c>
      <c r="C6593" s="16" t="s">
        <v>860</v>
      </c>
      <c r="D6593" s="16" t="s">
        <v>873</v>
      </c>
      <c r="E6593" s="16" t="s">
        <v>9480</v>
      </c>
      <c r="F6593" s="27" t="s">
        <v>14847</v>
      </c>
      <c r="G6593" s="27"/>
      <c r="H6593" s="16" t="str">
        <f>IF(ISBLANK(PARTIDAS!$G6593),PARTIDAS!$F6593,CONCATENATE(PARTIDAS!$F6593," (",PARTIDAS!$G6593,")"))</f>
        <v>Paralelos universales</v>
      </c>
      <c r="I6593" s="16" t="s">
        <v>9427</v>
      </c>
    </row>
    <row r="6594" spans="1:9" x14ac:dyDescent="0.25">
      <c r="A6594" s="16" t="s">
        <v>7541</v>
      </c>
      <c r="B6594" s="16" t="str">
        <f>TEXT(PARTIDA[[#This Row],[PARTIDA]],"0000000000")</f>
        <v>8458192000</v>
      </c>
      <c r="C6594" s="16" t="s">
        <v>860</v>
      </c>
      <c r="D6594" s="16" t="s">
        <v>873</v>
      </c>
      <c r="E6594" s="16" t="s">
        <v>9480</v>
      </c>
      <c r="F6594" s="27" t="s">
        <v>14850</v>
      </c>
      <c r="G6594" s="27"/>
      <c r="H6594" s="16" t="str">
        <f>IF(ISBLANK(PARTIDAS!$G6594),PARTIDAS!$F6594,CONCATENATE(PARTIDAS!$F6594," (",PARTIDAS!$G6594,")"))</f>
        <v>Tornos horizontales, de revólver</v>
      </c>
      <c r="I6594" s="16" t="s">
        <v>9427</v>
      </c>
    </row>
    <row r="6595" spans="1:9" x14ac:dyDescent="0.25">
      <c r="A6595" s="16" t="s">
        <v>7542</v>
      </c>
      <c r="B6595" s="16" t="str">
        <f>TEXT(PARTIDA[[#This Row],[PARTIDA]],"0000000000")</f>
        <v>8458193000</v>
      </c>
      <c r="C6595" s="16" t="s">
        <v>860</v>
      </c>
      <c r="D6595" s="16" t="s">
        <v>873</v>
      </c>
      <c r="E6595" s="16" t="s">
        <v>9480</v>
      </c>
      <c r="F6595" s="27" t="s">
        <v>14851</v>
      </c>
      <c r="G6595" s="27"/>
      <c r="H6595" s="16" t="str">
        <f>IF(ISBLANK(PARTIDAS!$G6595),PARTIDAS!$F6595,CONCATENATE(PARTIDAS!$F6595," (",PARTIDAS!$G6595,")"))</f>
        <v>Tornos horizontales (los demás, automáticos)</v>
      </c>
      <c r="I6595" s="16" t="s">
        <v>9427</v>
      </c>
    </row>
    <row r="6596" spans="1:9" x14ac:dyDescent="0.25">
      <c r="A6596" s="16" t="s">
        <v>7543</v>
      </c>
      <c r="B6596" s="16" t="str">
        <f>TEXT(PARTIDA[[#This Row],[PARTIDA]],"0000000000")</f>
        <v>8458199000</v>
      </c>
      <c r="C6596" s="16" t="s">
        <v>860</v>
      </c>
      <c r="D6596" s="16" t="s">
        <v>873</v>
      </c>
      <c r="E6596" s="16" t="s">
        <v>9480</v>
      </c>
      <c r="F6596" s="27" t="s">
        <v>14852</v>
      </c>
      <c r="G6596" s="27"/>
      <c r="H6596" s="16" t="str">
        <f>IF(ISBLANK(PARTIDAS!$G6596),PARTIDAS!$F6596,CONCATENATE(PARTIDAS!$F6596," (",PARTIDAS!$G6596,")"))</f>
        <v>Tornos horizontales (los demás)</v>
      </c>
      <c r="I6596" s="16" t="s">
        <v>9427</v>
      </c>
    </row>
    <row r="6597" spans="1:9" x14ac:dyDescent="0.25">
      <c r="A6597" s="16" t="s">
        <v>7544</v>
      </c>
      <c r="B6597" s="16" t="str">
        <f>TEXT(PARTIDA[[#This Row],[PARTIDA]],"0000000000")</f>
        <v>8458910000</v>
      </c>
      <c r="C6597" s="16" t="s">
        <v>860</v>
      </c>
      <c r="D6597" s="16" t="s">
        <v>873</v>
      </c>
      <c r="E6597" s="16" t="s">
        <v>9480</v>
      </c>
      <c r="F6597" s="27" t="s">
        <v>14853</v>
      </c>
      <c r="G6597" s="27"/>
      <c r="H6597" s="16" t="str">
        <f>IF(ISBLANK(PARTIDAS!$G6597),PARTIDAS!$F6597,CONCATENATE(PARTIDAS!$F6597," (",PARTIDAS!$G6597,")"))</f>
        <v>Tornos (incluidos los centros de torneado) que trabajen por arranque…, de control numérico</v>
      </c>
      <c r="I6597" s="16" t="s">
        <v>9427</v>
      </c>
    </row>
    <row r="6598" spans="1:9" x14ac:dyDescent="0.25">
      <c r="A6598" s="16" t="s">
        <v>7545</v>
      </c>
      <c r="B6598" s="16" t="str">
        <f>TEXT(PARTIDA[[#This Row],[PARTIDA]],"0000000000")</f>
        <v>8458990000</v>
      </c>
      <c r="C6598" s="16" t="s">
        <v>860</v>
      </c>
      <c r="D6598" s="16" t="s">
        <v>873</v>
      </c>
      <c r="E6598" s="16" t="s">
        <v>9480</v>
      </c>
      <c r="F6598" s="27" t="s">
        <v>14854</v>
      </c>
      <c r="G6598" s="27"/>
      <c r="H6598" s="16" t="str">
        <f>IF(ISBLANK(PARTIDAS!$G6598),PARTIDAS!$F6598,CONCATENATE(PARTIDAS!$F6598," (",PARTIDAS!$G6598,")"))</f>
        <v>Tornos (incluidos los centros de torneado) que trabajen por arranque… (los demás)</v>
      </c>
      <c r="I6598" s="16" t="s">
        <v>9427</v>
      </c>
    </row>
    <row r="6599" spans="1:9" x14ac:dyDescent="0.25">
      <c r="A6599" s="16" t="s">
        <v>7546</v>
      </c>
      <c r="B6599" s="16" t="str">
        <f>TEXT(PARTIDA[[#This Row],[PARTIDA]],"0000000000")</f>
        <v>8459101000</v>
      </c>
      <c r="C6599" s="16" t="s">
        <v>860</v>
      </c>
      <c r="D6599" s="16" t="s">
        <v>873</v>
      </c>
      <c r="E6599" s="16" t="s">
        <v>9480</v>
      </c>
      <c r="F6599" s="27" t="s">
        <v>14855</v>
      </c>
      <c r="G6599" s="27"/>
      <c r="H6599" s="16" t="str">
        <f>IF(ISBLANK(PARTIDAS!$G6599),PARTIDAS!$F6599,CONCATENATE(PARTIDAS!$F6599," (",PARTIDAS!$G6599,")"))</f>
        <v>Unidades de mecanizado de correderas, de taladrar</v>
      </c>
      <c r="I6599" s="16" t="s">
        <v>9427</v>
      </c>
    </row>
    <row r="6600" spans="1:9" x14ac:dyDescent="0.25">
      <c r="A6600" s="16" t="s">
        <v>7547</v>
      </c>
      <c r="B6600" s="16" t="str">
        <f>TEXT(PARTIDA[[#This Row],[PARTIDA]],"0000000000")</f>
        <v>8459102000</v>
      </c>
      <c r="C6600" s="16" t="s">
        <v>860</v>
      </c>
      <c r="D6600" s="16" t="s">
        <v>873</v>
      </c>
      <c r="E6600" s="16" t="s">
        <v>9480</v>
      </c>
      <c r="F6600" s="27" t="s">
        <v>14856</v>
      </c>
      <c r="G6600" s="27"/>
      <c r="H6600" s="16" t="str">
        <f>IF(ISBLANK(PARTIDAS!$G6600),PARTIDAS!$F6600,CONCATENATE(PARTIDAS!$F6600," (",PARTIDAS!$G6600,")"))</f>
        <v>Unidades de mecanizado de correderas, de escariar</v>
      </c>
      <c r="I6600" s="16" t="s">
        <v>9427</v>
      </c>
    </row>
    <row r="6601" spans="1:9" x14ac:dyDescent="0.25">
      <c r="A6601" s="16" t="s">
        <v>7548</v>
      </c>
      <c r="B6601" s="16" t="str">
        <f>TEXT(PARTIDA[[#This Row],[PARTIDA]],"0000000000")</f>
        <v>8459103000</v>
      </c>
      <c r="C6601" s="16" t="s">
        <v>860</v>
      </c>
      <c r="D6601" s="16" t="s">
        <v>873</v>
      </c>
      <c r="E6601" s="16" t="s">
        <v>9480</v>
      </c>
      <c r="F6601" s="27" t="s">
        <v>14857</v>
      </c>
      <c r="G6601" s="27"/>
      <c r="H6601" s="16" t="str">
        <f>IF(ISBLANK(PARTIDAS!$G6601),PARTIDAS!$F6601,CONCATENATE(PARTIDAS!$F6601," (",PARTIDAS!$G6601,")"))</f>
        <v>Unidades de mecanizado de correderas, de fresar</v>
      </c>
      <c r="I6601" s="16" t="s">
        <v>9427</v>
      </c>
    </row>
    <row r="6602" spans="1:9" x14ac:dyDescent="0.25">
      <c r="A6602" s="16" t="s">
        <v>7549</v>
      </c>
      <c r="B6602" s="16" t="str">
        <f>TEXT(PARTIDA[[#This Row],[PARTIDA]],"0000000000")</f>
        <v>8459104000</v>
      </c>
      <c r="C6602" s="16" t="s">
        <v>860</v>
      </c>
      <c r="D6602" s="16" t="s">
        <v>873</v>
      </c>
      <c r="E6602" s="16" t="s">
        <v>9480</v>
      </c>
      <c r="F6602" s="27" t="s">
        <v>14858</v>
      </c>
      <c r="G6602" s="27"/>
      <c r="H6602" s="16" t="str">
        <f>IF(ISBLANK(PARTIDAS!$G6602),PARTIDAS!$F6602,CONCATENATE(PARTIDAS!$F6602," (",PARTIDAS!$G6602,")"))</f>
        <v>Unidades de mecanizado de correderas, de roscar (incluso aterrajar)</v>
      </c>
      <c r="I6602" s="16" t="s">
        <v>9427</v>
      </c>
    </row>
    <row r="6603" spans="1:9" x14ac:dyDescent="0.25">
      <c r="A6603" s="16" t="s">
        <v>7550</v>
      </c>
      <c r="B6603" s="16" t="str">
        <f>TEXT(PARTIDA[[#This Row],[PARTIDA]],"0000000000")</f>
        <v>8459210000</v>
      </c>
      <c r="C6603" s="16" t="s">
        <v>860</v>
      </c>
      <c r="D6603" s="16" t="s">
        <v>873</v>
      </c>
      <c r="E6603" s="16" t="s">
        <v>9480</v>
      </c>
      <c r="F6603" s="27" t="s">
        <v>14859</v>
      </c>
      <c r="G6603" s="27"/>
      <c r="H6603" s="16" t="str">
        <f>IF(ISBLANK(PARTIDAS!$G6603),PARTIDAS!$F6603,CONCATENATE(PARTIDAS!$F6603," (",PARTIDAS!$G6603,")"))</f>
        <v>Máquinas herramienta (incluidas las unidades de mecanizado de…, de control numérico</v>
      </c>
      <c r="I6603" s="16" t="s">
        <v>9427</v>
      </c>
    </row>
    <row r="6604" spans="1:9" x14ac:dyDescent="0.25">
      <c r="A6604" s="16" t="s">
        <v>7551</v>
      </c>
      <c r="B6604" s="16" t="str">
        <f>TEXT(PARTIDA[[#This Row],[PARTIDA]],"0000000000")</f>
        <v>8459290000</v>
      </c>
      <c r="C6604" s="16" t="s">
        <v>860</v>
      </c>
      <c r="D6604" s="16" t="s">
        <v>873</v>
      </c>
      <c r="E6604" s="16" t="s">
        <v>9480</v>
      </c>
      <c r="F6604" s="27" t="s">
        <v>14860</v>
      </c>
      <c r="G6604" s="27"/>
      <c r="H6604" s="16" t="str">
        <f>IF(ISBLANK(PARTIDAS!$G6604),PARTIDAS!$F6604,CONCATENATE(PARTIDAS!$F6604," (",PARTIDAS!$G6604,")"))</f>
        <v>Máquinas herramienta (incluidas las unidades de mecanizado de… (los demás)</v>
      </c>
      <c r="I6604" s="16" t="s">
        <v>9427</v>
      </c>
    </row>
    <row r="6605" spans="1:9" x14ac:dyDescent="0.25">
      <c r="A6605" s="16" t="s">
        <v>7552</v>
      </c>
      <c r="B6605" s="16" t="str">
        <f>TEXT(PARTIDA[[#This Row],[PARTIDA]],"0000000000")</f>
        <v>8459310000</v>
      </c>
      <c r="C6605" s="16" t="s">
        <v>860</v>
      </c>
      <c r="D6605" s="16" t="s">
        <v>873</v>
      </c>
      <c r="E6605" s="16" t="s">
        <v>9480</v>
      </c>
      <c r="F6605" s="27" t="s">
        <v>14859</v>
      </c>
      <c r="G6605" s="27"/>
      <c r="H6605" s="16" t="str">
        <f>IF(ISBLANK(PARTIDAS!$G6605),PARTIDAS!$F6605,CONCATENATE(PARTIDAS!$F6605," (",PARTIDAS!$G6605,")"))</f>
        <v>Máquinas herramienta (incluidas las unidades de mecanizado de…, de control numérico</v>
      </c>
      <c r="I6605" s="16" t="s">
        <v>9427</v>
      </c>
    </row>
    <row r="6606" spans="1:9" x14ac:dyDescent="0.25">
      <c r="A6606" s="16" t="s">
        <v>7553</v>
      </c>
      <c r="B6606" s="16" t="str">
        <f>TEXT(PARTIDA[[#This Row],[PARTIDA]],"0000000000")</f>
        <v>8459390000</v>
      </c>
      <c r="C6606" s="16" t="s">
        <v>860</v>
      </c>
      <c r="D6606" s="16" t="s">
        <v>873</v>
      </c>
      <c r="E6606" s="16" t="s">
        <v>9480</v>
      </c>
      <c r="F6606" s="27" t="s">
        <v>14860</v>
      </c>
      <c r="G6606" s="27"/>
      <c r="H6606" s="16" t="str">
        <f>IF(ISBLANK(PARTIDAS!$G6606),PARTIDAS!$F6606,CONCATENATE(PARTIDAS!$F6606," (",PARTIDAS!$G6606,")"))</f>
        <v>Máquinas herramienta (incluidas las unidades de mecanizado de… (los demás)</v>
      </c>
      <c r="I6606" s="16" t="s">
        <v>9427</v>
      </c>
    </row>
    <row r="6607" spans="1:9" x14ac:dyDescent="0.25">
      <c r="A6607" s="16" t="s">
        <v>7554</v>
      </c>
      <c r="B6607" s="16" t="str">
        <f>TEXT(PARTIDA[[#This Row],[PARTIDA]],"0000000000")</f>
        <v>8459410000</v>
      </c>
      <c r="C6607" s="16" t="s">
        <v>860</v>
      </c>
      <c r="D6607" s="16" t="s">
        <v>873</v>
      </c>
      <c r="E6607" s="16" t="s">
        <v>9480</v>
      </c>
      <c r="F6607" s="27" t="s">
        <v>14859</v>
      </c>
      <c r="G6607" s="27"/>
      <c r="H6607" s="16" t="str">
        <f>IF(ISBLANK(PARTIDAS!$G6607),PARTIDAS!$F6607,CONCATENATE(PARTIDAS!$F6607," (",PARTIDAS!$G6607,")"))</f>
        <v>Máquinas herramienta (incluidas las unidades de mecanizado de…, de control numérico</v>
      </c>
      <c r="I6607" s="16" t="s">
        <v>9427</v>
      </c>
    </row>
    <row r="6608" spans="1:9" x14ac:dyDescent="0.25">
      <c r="A6608" s="16" t="s">
        <v>7555</v>
      </c>
      <c r="B6608" s="16" t="str">
        <f>TEXT(PARTIDA[[#This Row],[PARTIDA]],"0000000000")</f>
        <v>8459490000</v>
      </c>
      <c r="C6608" s="16" t="s">
        <v>860</v>
      </c>
      <c r="D6608" s="16" t="s">
        <v>873</v>
      </c>
      <c r="E6608" s="16" t="s">
        <v>9480</v>
      </c>
      <c r="F6608" s="27" t="s">
        <v>14860</v>
      </c>
      <c r="G6608" s="27"/>
      <c r="H6608" s="16" t="str">
        <f>IF(ISBLANK(PARTIDAS!$G6608),PARTIDAS!$F6608,CONCATENATE(PARTIDAS!$F6608," (",PARTIDAS!$G6608,")"))</f>
        <v>Máquinas herramienta (incluidas las unidades de mecanizado de… (los demás)</v>
      </c>
      <c r="I6608" s="16" t="s">
        <v>9427</v>
      </c>
    </row>
    <row r="6609" spans="1:9" x14ac:dyDescent="0.25">
      <c r="A6609" s="16" t="s">
        <v>7556</v>
      </c>
      <c r="B6609" s="16" t="str">
        <f>TEXT(PARTIDA[[#This Row],[PARTIDA]],"0000000000")</f>
        <v>8459510000</v>
      </c>
      <c r="C6609" s="16" t="s">
        <v>860</v>
      </c>
      <c r="D6609" s="16" t="s">
        <v>873</v>
      </c>
      <c r="E6609" s="16" t="s">
        <v>9480</v>
      </c>
      <c r="F6609" s="27" t="s">
        <v>14861</v>
      </c>
      <c r="G6609" s="27"/>
      <c r="H6609" s="16" t="str">
        <f>IF(ISBLANK(PARTIDAS!$G6609),PARTIDAS!$F6609,CONCATENATE(PARTIDAS!$F6609," (",PARTIDAS!$G6609,")"))</f>
        <v>Máquinas de fresar de consola, de control numérico</v>
      </c>
      <c r="I6609" s="16" t="s">
        <v>9427</v>
      </c>
    </row>
    <row r="6610" spans="1:9" x14ac:dyDescent="0.25">
      <c r="A6610" s="16" t="s">
        <v>7557</v>
      </c>
      <c r="B6610" s="16" t="str">
        <f>TEXT(PARTIDA[[#This Row],[PARTIDA]],"0000000000")</f>
        <v>8459590000</v>
      </c>
      <c r="C6610" s="16" t="s">
        <v>860</v>
      </c>
      <c r="D6610" s="16" t="s">
        <v>873</v>
      </c>
      <c r="E6610" s="16" t="s">
        <v>9480</v>
      </c>
      <c r="F6610" s="27" t="s">
        <v>14862</v>
      </c>
      <c r="G6610" s="27"/>
      <c r="H6610" s="16" t="str">
        <f>IF(ISBLANK(PARTIDAS!$G6610),PARTIDAS!$F6610,CONCATENATE(PARTIDAS!$F6610," (",PARTIDAS!$G6610,")"))</f>
        <v>Máquinas de fresar de consola (los demás)</v>
      </c>
      <c r="I6610" s="16" t="s">
        <v>9427</v>
      </c>
    </row>
    <row r="6611" spans="1:9" x14ac:dyDescent="0.25">
      <c r="A6611" s="16" t="s">
        <v>7558</v>
      </c>
      <c r="B6611" s="16" t="str">
        <f>TEXT(PARTIDA[[#This Row],[PARTIDA]],"0000000000")</f>
        <v>8459610000</v>
      </c>
      <c r="C6611" s="16" t="s">
        <v>860</v>
      </c>
      <c r="D6611" s="16" t="s">
        <v>873</v>
      </c>
      <c r="E6611" s="16" t="s">
        <v>9480</v>
      </c>
      <c r="F6611" s="27" t="s">
        <v>14859</v>
      </c>
      <c r="G6611" s="27"/>
      <c r="H6611" s="16" t="str">
        <f>IF(ISBLANK(PARTIDAS!$G6611),PARTIDAS!$F6611,CONCATENATE(PARTIDAS!$F6611," (",PARTIDAS!$G6611,")"))</f>
        <v>Máquinas herramienta (incluidas las unidades de mecanizado de…, de control numérico</v>
      </c>
      <c r="I6611" s="16" t="s">
        <v>9427</v>
      </c>
    </row>
    <row r="6612" spans="1:9" x14ac:dyDescent="0.25">
      <c r="A6612" s="16" t="s">
        <v>7559</v>
      </c>
      <c r="B6612" s="16" t="str">
        <f>TEXT(PARTIDA[[#This Row],[PARTIDA]],"0000000000")</f>
        <v>8459690000</v>
      </c>
      <c r="C6612" s="16" t="s">
        <v>860</v>
      </c>
      <c r="D6612" s="16" t="s">
        <v>873</v>
      </c>
      <c r="E6612" s="16" t="s">
        <v>9480</v>
      </c>
      <c r="F6612" s="27" t="s">
        <v>14860</v>
      </c>
      <c r="G6612" s="27"/>
      <c r="H6612" s="16" t="str">
        <f>IF(ISBLANK(PARTIDAS!$G6612),PARTIDAS!$F6612,CONCATENATE(PARTIDAS!$F6612," (",PARTIDAS!$G6612,")"))</f>
        <v>Máquinas herramienta (incluidas las unidades de mecanizado de… (los demás)</v>
      </c>
      <c r="I6612" s="16" t="s">
        <v>9427</v>
      </c>
    </row>
    <row r="6613" spans="1:9" x14ac:dyDescent="0.25">
      <c r="A6613" s="16" t="s">
        <v>7560</v>
      </c>
      <c r="B6613" s="16" t="str">
        <f>TEXT(PARTIDA[[#This Row],[PARTIDA]],"0000000000")</f>
        <v>8459700000</v>
      </c>
      <c r="C6613" s="16" t="s">
        <v>860</v>
      </c>
      <c r="D6613" s="16" t="s">
        <v>873</v>
      </c>
      <c r="E6613" s="16" t="s">
        <v>9480</v>
      </c>
      <c r="F6613" s="27" t="s">
        <v>14863</v>
      </c>
      <c r="G6613" s="27"/>
      <c r="H6613" s="16" t="str">
        <f>IF(ISBLANK(PARTIDAS!$G6613),PARTIDAS!$F6613,CONCATENATE(PARTIDAS!$F6613," (",PARTIDAS!$G6613,")"))</f>
        <v>Máquinas herramienta (incluidas las unidades de mecanizado de… (los demás, máquinas de roscar (incluso aterrajar))</v>
      </c>
      <c r="I6613" s="16" t="s">
        <v>9427</v>
      </c>
    </row>
    <row r="6614" spans="1:9" x14ac:dyDescent="0.25">
      <c r="A6614" s="16" t="s">
        <v>7561</v>
      </c>
      <c r="B6614" s="16" t="str">
        <f>TEXT(PARTIDA[[#This Row],[PARTIDA]],"0000000000")</f>
        <v>8460120000</v>
      </c>
      <c r="C6614" s="16" t="s">
        <v>860</v>
      </c>
      <c r="D6614" s="16" t="s">
        <v>873</v>
      </c>
      <c r="E6614" s="16" t="s">
        <v>9480</v>
      </c>
      <c r="F6614" s="27" t="s">
        <v>14864</v>
      </c>
      <c r="G6614" s="27"/>
      <c r="H6614" s="16" t="str">
        <f>IF(ISBLANK(PARTIDAS!$G6614),PARTIDAS!$F6614,CONCATENATE(PARTIDAS!$F6614," (",PARTIDAS!$G6614,")"))</f>
        <v>Máquinas de rectificar superficies planas, de control numérico</v>
      </c>
      <c r="I6614" s="16" t="s">
        <v>9427</v>
      </c>
    </row>
    <row r="6615" spans="1:9" x14ac:dyDescent="0.25">
      <c r="A6615" s="16" t="s">
        <v>7562</v>
      </c>
      <c r="B6615" s="16" t="str">
        <f>TEXT(PARTIDA[[#This Row],[PARTIDA]],"0000000000")</f>
        <v>8460190000</v>
      </c>
      <c r="C6615" s="16" t="s">
        <v>860</v>
      </c>
      <c r="D6615" s="16" t="s">
        <v>873</v>
      </c>
      <c r="E6615" s="16" t="s">
        <v>9480</v>
      </c>
      <c r="F6615" s="27" t="s">
        <v>14865</v>
      </c>
      <c r="G6615" s="27"/>
      <c r="H6615" s="16" t="str">
        <f>IF(ISBLANK(PARTIDAS!$G6615),PARTIDAS!$F6615,CONCATENATE(PARTIDAS!$F6615," (",PARTIDAS!$G6615,")"))</f>
        <v>Máquinas de rectificar superficies planas (los demás)</v>
      </c>
      <c r="I6615" s="16" t="s">
        <v>9427</v>
      </c>
    </row>
    <row r="6616" spans="1:9" x14ac:dyDescent="0.25">
      <c r="A6616" s="16" t="s">
        <v>7563</v>
      </c>
      <c r="B6616" s="16" t="str">
        <f>TEXT(PARTIDA[[#This Row],[PARTIDA]],"0000000000")</f>
        <v>8460220000</v>
      </c>
      <c r="C6616" s="16" t="s">
        <v>860</v>
      </c>
      <c r="D6616" s="16" t="s">
        <v>873</v>
      </c>
      <c r="E6616" s="16" t="s">
        <v>9480</v>
      </c>
      <c r="F6616" s="27" t="s">
        <v>14866</v>
      </c>
      <c r="G6616" s="27"/>
      <c r="H6616" s="16" t="str">
        <f>IF(ISBLANK(PARTIDAS!$G6616),PARTIDAS!$F6616,CONCATENATE(PARTIDAS!$F6616," (",PARTIDAS!$G6616,")"))</f>
        <v>Máquinas de rectificar sin centro, de control numérico</v>
      </c>
      <c r="I6616" s="16" t="s">
        <v>9427</v>
      </c>
    </row>
    <row r="6617" spans="1:9" x14ac:dyDescent="0.25">
      <c r="A6617" s="16" t="s">
        <v>7564</v>
      </c>
      <c r="B6617" s="16" t="str">
        <f>TEXT(PARTIDA[[#This Row],[PARTIDA]],"0000000000")</f>
        <v>8460230000</v>
      </c>
      <c r="C6617" s="16" t="s">
        <v>860</v>
      </c>
      <c r="D6617" s="16" t="s">
        <v>873</v>
      </c>
      <c r="E6617" s="16" t="s">
        <v>9480</v>
      </c>
      <c r="F6617" s="27" t="s">
        <v>14867</v>
      </c>
      <c r="G6617" s="27"/>
      <c r="H6617" s="16" t="str">
        <f>IF(ISBLANK(PARTIDAS!$G6617),PARTIDAS!$F6617,CONCATENATE(PARTIDAS!$F6617," (",PARTIDAS!$G6617,")"))</f>
        <v>Máquinas herramienta de desbarbar, afilar, amolar, rectificar, lapear… (los demás, máquinas de rectificar superficies cilíndricas, de control numérico</v>
      </c>
      <c r="I6617" s="16" t="s">
        <v>9427</v>
      </c>
    </row>
    <row r="6618" spans="1:9" x14ac:dyDescent="0.25">
      <c r="A6618" s="16" t="s">
        <v>7565</v>
      </c>
      <c r="B6618" s="16" t="str">
        <f>TEXT(PARTIDA[[#This Row],[PARTIDA]],"0000000000")</f>
        <v>8460240000</v>
      </c>
      <c r="C6618" s="16" t="s">
        <v>860</v>
      </c>
      <c r="D6618" s="16" t="s">
        <v>873</v>
      </c>
      <c r="E6618" s="16" t="s">
        <v>9480</v>
      </c>
      <c r="F6618" s="27" t="s">
        <v>14868</v>
      </c>
      <c r="G6618" s="27"/>
      <c r="H6618" s="16" t="str">
        <f>IF(ISBLANK(PARTIDAS!$G6618),PARTIDAS!$F6618,CONCATENATE(PARTIDAS!$F6618," (",PARTIDAS!$G6618,")"))</f>
        <v>Máquinas herramienta de desbarbar, afilar, amolar, rectificar, lapear… (los demás, de control numérico)</v>
      </c>
      <c r="I6618" s="16" t="s">
        <v>9427</v>
      </c>
    </row>
    <row r="6619" spans="1:9" x14ac:dyDescent="0.25">
      <c r="A6619" s="16" t="s">
        <v>7566</v>
      </c>
      <c r="B6619" s="16" t="str">
        <f>TEXT(PARTIDA[[#This Row],[PARTIDA]],"0000000000")</f>
        <v>8460290000</v>
      </c>
      <c r="C6619" s="16" t="s">
        <v>860</v>
      </c>
      <c r="D6619" s="16" t="s">
        <v>873</v>
      </c>
      <c r="E6619" s="16" t="s">
        <v>9480</v>
      </c>
      <c r="F6619" s="27" t="s">
        <v>876</v>
      </c>
      <c r="G6619" s="27"/>
      <c r="H6619" s="16" t="str">
        <f>IF(ISBLANK(PARTIDAS!$G6619),PARTIDAS!$F6619,CONCATENATE(PARTIDAS!$F6619," (",PARTIDAS!$G6619,")"))</f>
        <v>Herramientas</v>
      </c>
      <c r="I6619" s="16" t="s">
        <v>9427</v>
      </c>
    </row>
    <row r="6620" spans="1:9" x14ac:dyDescent="0.25">
      <c r="A6620" s="16" t="s">
        <v>7567</v>
      </c>
      <c r="B6620" s="16" t="str">
        <f>TEXT(PARTIDA[[#This Row],[PARTIDA]],"0000000000")</f>
        <v>8460310000</v>
      </c>
      <c r="C6620" s="16" t="s">
        <v>860</v>
      </c>
      <c r="D6620" s="16" t="s">
        <v>873</v>
      </c>
      <c r="E6620" s="16" t="s">
        <v>9480</v>
      </c>
      <c r="F6620" s="27" t="s">
        <v>14869</v>
      </c>
      <c r="G6620" s="27"/>
      <c r="H6620" s="16" t="str">
        <f>IF(ISBLANK(PARTIDAS!$G6620),PARTIDAS!$F6620,CONCATENATE(PARTIDAS!$F6620," (",PARTIDAS!$G6620,")"))</f>
        <v>Máquinas de afilar, de control numérico</v>
      </c>
      <c r="I6620" s="16" t="s">
        <v>9427</v>
      </c>
    </row>
    <row r="6621" spans="1:9" x14ac:dyDescent="0.25">
      <c r="A6621" s="16" t="s">
        <v>7568</v>
      </c>
      <c r="B6621" s="16" t="str">
        <f>TEXT(PARTIDA[[#This Row],[PARTIDA]],"0000000000")</f>
        <v>8460390000</v>
      </c>
      <c r="C6621" s="16" t="s">
        <v>860</v>
      </c>
      <c r="D6621" s="16" t="s">
        <v>873</v>
      </c>
      <c r="E6621" s="16" t="s">
        <v>9480</v>
      </c>
      <c r="F6621" s="27" t="s">
        <v>14870</v>
      </c>
      <c r="G6621" s="27"/>
      <c r="H6621" s="16" t="str">
        <f>IF(ISBLANK(PARTIDAS!$G6621),PARTIDAS!$F6621,CONCATENATE(PARTIDAS!$F6621," (",PARTIDAS!$G6621,")"))</f>
        <v>Máquinas de afilar (los demás)</v>
      </c>
      <c r="I6621" s="16" t="s">
        <v>9427</v>
      </c>
    </row>
    <row r="6622" spans="1:9" x14ac:dyDescent="0.25">
      <c r="A6622" s="16" t="s">
        <v>7569</v>
      </c>
      <c r="B6622" s="16" t="str">
        <f>TEXT(PARTIDA[[#This Row],[PARTIDA]],"0000000000")</f>
        <v>8460400000</v>
      </c>
      <c r="C6622" s="16" t="s">
        <v>860</v>
      </c>
      <c r="D6622" s="16" t="s">
        <v>873</v>
      </c>
      <c r="E6622" s="16" t="s">
        <v>9480</v>
      </c>
      <c r="F6622" s="27" t="s">
        <v>14871</v>
      </c>
      <c r="G6622" s="27"/>
      <c r="H6622" s="16" t="str">
        <f>IF(ISBLANK(PARTIDAS!$G6622),PARTIDAS!$F6622,CONCATENATE(PARTIDAS!$F6622," (",PARTIDAS!$G6622,")"))</f>
        <v>Máquinas de lapear (bruñir)</v>
      </c>
      <c r="I6622" s="16" t="s">
        <v>9427</v>
      </c>
    </row>
    <row r="6623" spans="1:9" x14ac:dyDescent="0.25">
      <c r="A6623" s="16" t="s">
        <v>7570</v>
      </c>
      <c r="B6623" s="16" t="str">
        <f>TEXT(PARTIDA[[#This Row],[PARTIDA]],"0000000000")</f>
        <v>8460900000</v>
      </c>
      <c r="C6623" s="16" t="s">
        <v>860</v>
      </c>
      <c r="D6623" s="16" t="s">
        <v>873</v>
      </c>
      <c r="E6623" s="16" t="s">
        <v>9480</v>
      </c>
      <c r="F6623" s="27" t="s">
        <v>876</v>
      </c>
      <c r="G6623" s="27"/>
      <c r="H6623" s="16" t="str">
        <f>IF(ISBLANK(PARTIDAS!$G6623),PARTIDAS!$F6623,CONCATENATE(PARTIDAS!$F6623," (",PARTIDAS!$G6623,")"))</f>
        <v>Herramientas</v>
      </c>
      <c r="I6623" s="16" t="s">
        <v>9427</v>
      </c>
    </row>
    <row r="6624" spans="1:9" x14ac:dyDescent="0.25">
      <c r="A6624" s="16" t="s">
        <v>7571</v>
      </c>
      <c r="B6624" s="16" t="str">
        <f>TEXT(PARTIDA[[#This Row],[PARTIDA]],"0000000000")</f>
        <v>8461200000</v>
      </c>
      <c r="C6624" s="16" t="s">
        <v>860</v>
      </c>
      <c r="D6624" s="16" t="s">
        <v>873</v>
      </c>
      <c r="E6624" s="16" t="s">
        <v>9480</v>
      </c>
      <c r="F6624" s="27" t="s">
        <v>14872</v>
      </c>
      <c r="G6624" s="27"/>
      <c r="H6624" s="16" t="str">
        <f>IF(ISBLANK(PARTIDAS!$G6624),PARTIDAS!$F6624,CONCATENATE(PARTIDAS!$F6624," (",PARTIDAS!$G6624,")"))</f>
        <v>Máquinas de limar o mortajar</v>
      </c>
      <c r="I6624" s="16" t="s">
        <v>9427</v>
      </c>
    </row>
    <row r="6625" spans="1:9" x14ac:dyDescent="0.25">
      <c r="A6625" s="16" t="s">
        <v>7572</v>
      </c>
      <c r="B6625" s="16" t="str">
        <f>TEXT(PARTIDA[[#This Row],[PARTIDA]],"0000000000")</f>
        <v>8461300000</v>
      </c>
      <c r="C6625" s="16" t="s">
        <v>860</v>
      </c>
      <c r="D6625" s="16" t="s">
        <v>873</v>
      </c>
      <c r="E6625" s="16" t="s">
        <v>9480</v>
      </c>
      <c r="F6625" s="27" t="s">
        <v>14873</v>
      </c>
      <c r="G6625" s="27"/>
      <c r="H6625" s="16" t="str">
        <f>IF(ISBLANK(PARTIDAS!$G6625),PARTIDAS!$F6625,CONCATENATE(PARTIDAS!$F6625," (",PARTIDAS!$G6625,")"))</f>
        <v>Máquinas de brochar</v>
      </c>
      <c r="I6625" s="16" t="s">
        <v>9427</v>
      </c>
    </row>
    <row r="6626" spans="1:9" x14ac:dyDescent="0.25">
      <c r="A6626" s="16" t="s">
        <v>7573</v>
      </c>
      <c r="B6626" s="16" t="str">
        <f>TEXT(PARTIDA[[#This Row],[PARTIDA]],"0000000000")</f>
        <v>8461400000</v>
      </c>
      <c r="C6626" s="16" t="s">
        <v>860</v>
      </c>
      <c r="D6626" s="16" t="s">
        <v>873</v>
      </c>
      <c r="E6626" s="16" t="s">
        <v>9480</v>
      </c>
      <c r="F6626" s="27" t="s">
        <v>14874</v>
      </c>
      <c r="G6626" s="27"/>
      <c r="H6626" s="16" t="str">
        <f>IF(ISBLANK(PARTIDAS!$G6626),PARTIDAS!$F6626,CONCATENATE(PARTIDAS!$F6626," (",PARTIDAS!$G6626,")"))</f>
        <v>Máquinas de tallar o acabar engranajes</v>
      </c>
      <c r="I6626" s="16" t="s">
        <v>9427</v>
      </c>
    </row>
    <row r="6627" spans="1:9" x14ac:dyDescent="0.25">
      <c r="A6627" s="16" t="s">
        <v>7574</v>
      </c>
      <c r="B6627" s="16" t="str">
        <f>TEXT(PARTIDA[[#This Row],[PARTIDA]],"0000000000")</f>
        <v>8461500000</v>
      </c>
      <c r="C6627" s="16" t="s">
        <v>860</v>
      </c>
      <c r="D6627" s="16" t="s">
        <v>873</v>
      </c>
      <c r="E6627" s="16" t="s">
        <v>9480</v>
      </c>
      <c r="F6627" s="27" t="s">
        <v>9312</v>
      </c>
      <c r="G6627" s="27"/>
      <c r="H6627" s="16" t="str">
        <f>IF(ISBLANK(PARTIDAS!$G6627),PARTIDAS!$F6627,CONCATENATE(PARTIDAS!$F6627," (",PARTIDAS!$G6627,")"))</f>
        <v>Máquinas de aserrar o trocear</v>
      </c>
      <c r="I6627" s="16" t="s">
        <v>9477</v>
      </c>
    </row>
    <row r="6628" spans="1:9" x14ac:dyDescent="0.25">
      <c r="A6628" s="16" t="s">
        <v>7575</v>
      </c>
      <c r="B6628" s="16" t="str">
        <f>TEXT(PARTIDA[[#This Row],[PARTIDA]],"0000000000")</f>
        <v>8461901000</v>
      </c>
      <c r="C6628" s="16" t="s">
        <v>860</v>
      </c>
      <c r="D6628" s="16" t="s">
        <v>873</v>
      </c>
      <c r="E6628" s="16" t="s">
        <v>9480</v>
      </c>
      <c r="F6628" s="27" t="s">
        <v>7576</v>
      </c>
      <c r="G6628" s="27"/>
      <c r="H6628" s="16" t="str">
        <f>IF(ISBLANK(PARTIDAS!$G6628),PARTIDAS!$F6628,CONCATENATE(PARTIDAS!$F6628," (",PARTIDAS!$G6628,")"))</f>
        <v>Máquinas de cepillar</v>
      </c>
      <c r="I6628" s="16" t="s">
        <v>9427</v>
      </c>
    </row>
    <row r="6629" spans="1:9" x14ac:dyDescent="0.25">
      <c r="A6629" s="16" t="s">
        <v>7577</v>
      </c>
      <c r="B6629" s="16" t="str">
        <f>TEXT(PARTIDA[[#This Row],[PARTIDA]],"0000000000")</f>
        <v>8461909000</v>
      </c>
      <c r="C6629" s="16" t="s">
        <v>860</v>
      </c>
      <c r="D6629" s="16" t="s">
        <v>873</v>
      </c>
      <c r="E6629" s="16" t="s">
        <v>9480</v>
      </c>
      <c r="F6629" s="27" t="s">
        <v>14875</v>
      </c>
      <c r="G6629" s="27"/>
      <c r="H6629" s="16" t="str">
        <f>IF(ISBLANK(PARTIDAS!$G6629),PARTIDAS!$F6629,CONCATENATE(PARTIDAS!$F6629," (",PARTIDAS!$G6629,")"))</f>
        <v>Máquinas herramienta de cepillar, limar, mortajar, brochar, tallar o… (los demás)</v>
      </c>
      <c r="I6629" s="16" t="s">
        <v>9427</v>
      </c>
    </row>
    <row r="6630" spans="1:9" x14ac:dyDescent="0.25">
      <c r="A6630" s="16" t="s">
        <v>7578</v>
      </c>
      <c r="B6630" s="16" t="str">
        <f>TEXT(PARTIDA[[#This Row],[PARTIDA]],"0000000000")</f>
        <v>8462101000</v>
      </c>
      <c r="C6630" s="16" t="s">
        <v>860</v>
      </c>
      <c r="D6630" s="16" t="s">
        <v>873</v>
      </c>
      <c r="E6630" s="16" t="s">
        <v>9480</v>
      </c>
      <c r="F6630" s="27" t="s">
        <v>14876</v>
      </c>
      <c r="G6630" s="27"/>
      <c r="H6630" s="16" t="str">
        <f>IF(ISBLANK(PARTIDAS!$G6630),PARTIDAS!$F6630,CONCATENATE(PARTIDAS!$F6630," (",PARTIDAS!$G6630,")"))</f>
        <v>Martillos pilón y máquinas de martillar</v>
      </c>
      <c r="I6630" s="16" t="s">
        <v>9648</v>
      </c>
    </row>
    <row r="6631" spans="1:9" x14ac:dyDescent="0.25">
      <c r="A6631" s="16" t="s">
        <v>7579</v>
      </c>
      <c r="B6631" s="16" t="str">
        <f>TEXT(PARTIDA[[#This Row],[PARTIDA]],"0000000000")</f>
        <v>8462102100</v>
      </c>
      <c r="C6631" s="16" t="s">
        <v>860</v>
      </c>
      <c r="D6631" s="16" t="s">
        <v>873</v>
      </c>
      <c r="E6631" s="16" t="s">
        <v>9480</v>
      </c>
      <c r="F6631" s="27" t="s">
        <v>7736</v>
      </c>
      <c r="G6631" s="27"/>
      <c r="H6631" s="16" t="str">
        <f>IF(ISBLANK(PARTIDAS!$G6631),PARTIDAS!$F6631,CONCATENATE(PARTIDAS!$F6631," (",PARTIDAS!$G6631,")"))</f>
        <v>Prensas</v>
      </c>
      <c r="I6631" s="16" t="s">
        <v>9648</v>
      </c>
    </row>
    <row r="6632" spans="1:9" x14ac:dyDescent="0.25">
      <c r="A6632" s="16" t="s">
        <v>7580</v>
      </c>
      <c r="B6632" s="16" t="str">
        <f>TEXT(PARTIDA[[#This Row],[PARTIDA]],"0000000000")</f>
        <v>8462102900</v>
      </c>
      <c r="C6632" s="16" t="s">
        <v>860</v>
      </c>
      <c r="D6632" s="16" t="s">
        <v>873</v>
      </c>
      <c r="E6632" s="16" t="s">
        <v>9480</v>
      </c>
      <c r="F6632" s="27" t="s">
        <v>14877</v>
      </c>
      <c r="G6632" s="27"/>
      <c r="H6632" s="16" t="str">
        <f>IF(ISBLANK(PARTIDAS!$G6632),PARTIDAS!$F6632,CONCATENATE(PARTIDAS!$F6632," (",PARTIDAS!$G6632,")"))</f>
        <v>Máquinas herramienta (incluidas las prensas) de forjar o estampar, mar (los demás)</v>
      </c>
      <c r="I6632" s="16" t="s">
        <v>9648</v>
      </c>
    </row>
    <row r="6633" spans="1:9" x14ac:dyDescent="0.25">
      <c r="A6633" s="16" t="s">
        <v>14878</v>
      </c>
      <c r="B6633" s="16" t="str">
        <f>TEXT(PARTIDA[[#This Row],[PARTIDA]],"0000000000")</f>
        <v>8462110000</v>
      </c>
      <c r="C6633" s="16" t="s">
        <v>860</v>
      </c>
      <c r="D6633" s="16" t="s">
        <v>873</v>
      </c>
      <c r="E6633" s="16" t="s">
        <v>9480</v>
      </c>
      <c r="F6633" s="27" t="s">
        <v>14879</v>
      </c>
      <c r="G6633" s="27"/>
      <c r="H6633" s="16" t="str">
        <f>IF(ISBLANK(PARTIDAS!$G6633),PARTIDAS!$F6633,CONCATENATE(PARTIDAS!$F6633," (",PARTIDAS!$G6633,")"))</f>
        <v>Máquinas de forjar con matriz cerrada</v>
      </c>
      <c r="I6633" s="16" t="s">
        <v>9427</v>
      </c>
    </row>
    <row r="6634" spans="1:9" x14ac:dyDescent="0.25">
      <c r="A6634" s="16" t="s">
        <v>14880</v>
      </c>
      <c r="B6634" s="16" t="str">
        <f>TEXT(PARTIDA[[#This Row],[PARTIDA]],"0000000000")</f>
        <v>8462190000</v>
      </c>
      <c r="C6634" s="16" t="s">
        <v>860</v>
      </c>
      <c r="D6634" s="16" t="s">
        <v>873</v>
      </c>
      <c r="E6634" s="16" t="s">
        <v>9480</v>
      </c>
      <c r="F6634" s="27" t="s">
        <v>14881</v>
      </c>
      <c r="G6634" s="27"/>
      <c r="H6634" s="16" t="str">
        <f>IF(ISBLANK(PARTIDAS!$G6634),PARTIDAS!$F6634,CONCATENATE(PARTIDAS!$F6634," (",PARTIDAS!$G6634,")"))</f>
        <v>Máquinas (incluidas las prensas), para trabajar en caliente, de… (los demás)</v>
      </c>
      <c r="I6634" s="16" t="s">
        <v>9427</v>
      </c>
    </row>
    <row r="6635" spans="1:9" x14ac:dyDescent="0.25">
      <c r="A6635" s="16" t="s">
        <v>7581</v>
      </c>
      <c r="B6635" s="16" t="str">
        <f>TEXT(PARTIDA[[#This Row],[PARTIDA]],"0000000000")</f>
        <v>8462210000</v>
      </c>
      <c r="C6635" s="16" t="s">
        <v>860</v>
      </c>
      <c r="D6635" s="16" t="s">
        <v>873</v>
      </c>
      <c r="E6635" s="16" t="s">
        <v>9480</v>
      </c>
      <c r="F6635" s="27" t="s">
        <v>14882</v>
      </c>
      <c r="G6635" s="27"/>
      <c r="H6635" s="16" t="str">
        <f>IF(ISBLANK(PARTIDAS!$G6635),PARTIDAS!$F6635,CONCATENATE(PARTIDAS!$F6635," (",PARTIDAS!$G6635,")"))</f>
        <v>De control numérico</v>
      </c>
      <c r="I6635" s="16" t="s">
        <v>9648</v>
      </c>
    </row>
    <row r="6636" spans="1:9" x14ac:dyDescent="0.25">
      <c r="A6636" s="16" t="s">
        <v>14883</v>
      </c>
      <c r="B6636" s="16" t="str">
        <f>TEXT(PARTIDA[[#This Row],[PARTIDA]],"0000000000")</f>
        <v>8462220000</v>
      </c>
      <c r="C6636" s="16" t="s">
        <v>860</v>
      </c>
      <c r="D6636" s="16" t="s">
        <v>873</v>
      </c>
      <c r="E6636" s="16" t="s">
        <v>9480</v>
      </c>
      <c r="F6636" s="27" t="s">
        <v>14884</v>
      </c>
      <c r="G6636" s="27"/>
      <c r="H6636" s="16" t="str">
        <f>IF(ISBLANK(PARTIDAS!$G6636),PARTIDAS!$F6636,CONCATENATE(PARTIDAS!$F6636," (",PARTIDAS!$G6636,")"))</f>
        <v>Máquinas de conformar perfiles</v>
      </c>
      <c r="I6636" s="16" t="s">
        <v>9427</v>
      </c>
    </row>
    <row r="6637" spans="1:9" x14ac:dyDescent="0.25">
      <c r="A6637" s="16" t="s">
        <v>14885</v>
      </c>
      <c r="B6637" s="16" t="str">
        <f>TEXT(PARTIDA[[#This Row],[PARTIDA]],"0000000000")</f>
        <v>8462230000</v>
      </c>
      <c r="C6637" s="16" t="s">
        <v>860</v>
      </c>
      <c r="D6637" s="16" t="s">
        <v>873</v>
      </c>
      <c r="E6637" s="16" t="s">
        <v>9480</v>
      </c>
      <c r="F6637" s="27" t="s">
        <v>14886</v>
      </c>
      <c r="G6637" s="27"/>
      <c r="H6637" s="16" t="str">
        <f>IF(ISBLANK(PARTIDAS!$G6637),PARTIDAS!$F6637,CONCATENATE(PARTIDAS!$F6637," (",PARTIDAS!$G6637,")"))</f>
        <v>Prensas plegadoras, de control numérico</v>
      </c>
      <c r="I6637" s="16" t="s">
        <v>9427</v>
      </c>
    </row>
    <row r="6638" spans="1:9" x14ac:dyDescent="0.25">
      <c r="A6638" s="16" t="s">
        <v>14887</v>
      </c>
      <c r="B6638" s="16" t="str">
        <f>TEXT(PARTIDA[[#This Row],[PARTIDA]],"0000000000")</f>
        <v>8462240000</v>
      </c>
      <c r="C6638" s="16" t="s">
        <v>860</v>
      </c>
      <c r="D6638" s="16" t="s">
        <v>873</v>
      </c>
      <c r="E6638" s="16" t="s">
        <v>9480</v>
      </c>
      <c r="F6638" s="27" t="s">
        <v>14888</v>
      </c>
      <c r="G6638" s="27"/>
      <c r="H6638" s="16" t="str">
        <f>IF(ISBLANK(PARTIDAS!$G6638),PARTIDAS!$F6638,CONCATENATE(PARTIDAS!$F6638," (",PARTIDAS!$G6638,")"))</f>
        <v>Prensas para paneles, de control numérico</v>
      </c>
      <c r="I6638" s="16" t="s">
        <v>9427</v>
      </c>
    </row>
    <row r="6639" spans="1:9" x14ac:dyDescent="0.25">
      <c r="A6639" s="16" t="s">
        <v>14889</v>
      </c>
      <c r="B6639" s="16" t="str">
        <f>TEXT(PARTIDA[[#This Row],[PARTIDA]],"0000000000")</f>
        <v>8462250000</v>
      </c>
      <c r="C6639" s="16" t="s">
        <v>860</v>
      </c>
      <c r="D6639" s="16" t="s">
        <v>873</v>
      </c>
      <c r="E6639" s="16" t="s">
        <v>9480</v>
      </c>
      <c r="F6639" s="27" t="s">
        <v>14890</v>
      </c>
      <c r="G6639" s="27"/>
      <c r="H6639" s="16" t="str">
        <f>IF(ISBLANK(PARTIDAS!$G6639),PARTIDAS!$F6639,CONCATENATE(PARTIDAS!$F6639," (",PARTIDAS!$G6639,")"))</f>
        <v>Máquinas de perfilar rodillos, de control numérico</v>
      </c>
      <c r="I6639" s="16" t="s">
        <v>9427</v>
      </c>
    </row>
    <row r="6640" spans="1:9" x14ac:dyDescent="0.25">
      <c r="A6640" s="16" t="s">
        <v>14891</v>
      </c>
      <c r="B6640" s="16" t="str">
        <f>TEXT(PARTIDA[[#This Row],[PARTIDA]],"0000000000")</f>
        <v>8462260000</v>
      </c>
      <c r="C6640" s="16" t="s">
        <v>860</v>
      </c>
      <c r="D6640" s="16" t="s">
        <v>873</v>
      </c>
      <c r="E6640" s="16" t="s">
        <v>9480</v>
      </c>
      <c r="F6640" s="27" t="s">
        <v>14892</v>
      </c>
      <c r="G6640" s="27"/>
      <c r="H6640" s="16" t="str">
        <f>IF(ISBLANK(PARTIDAS!$G6640),PARTIDAS!$F6640,CONCATENATE(PARTIDAS!$F6640," (",PARTIDAS!$G6640,")"))</f>
        <v>Máquinas (incluidas las prensas) de enrollar, curvar, plegar… (los demás, máquinas de enrollar, curvar, plegar, enderezar o aplanar, de control numéri</v>
      </c>
      <c r="I6640" s="16" t="s">
        <v>9427</v>
      </c>
    </row>
    <row r="6641" spans="1:9" x14ac:dyDescent="0.25">
      <c r="A6641" s="16" t="s">
        <v>14893</v>
      </c>
      <c r="B6641" s="16" t="str">
        <f>TEXT(PARTIDA[[#This Row],[PARTIDA]],"0000000000")</f>
        <v>8462290000</v>
      </c>
      <c r="C6641" s="16" t="s">
        <v>860</v>
      </c>
      <c r="D6641" s="16" t="s">
        <v>873</v>
      </c>
      <c r="E6641" s="16" t="s">
        <v>9480</v>
      </c>
      <c r="F6641" s="27" t="s">
        <v>14894</v>
      </c>
      <c r="G6641" s="27"/>
      <c r="H6641" s="16" t="str">
        <f>IF(ISBLANK(PARTIDAS!$G6641),PARTIDAS!$F6641,CONCATENATE(PARTIDAS!$F6641," (",PARTIDAS!$G6641,")"))</f>
        <v>Máquinas (incluidas las prensas) de enrollar, curvar, plegar… (los demás)</v>
      </c>
      <c r="I6641" s="16" t="s">
        <v>9427</v>
      </c>
    </row>
    <row r="6642" spans="1:9" x14ac:dyDescent="0.25">
      <c r="A6642" s="16" t="s">
        <v>7582</v>
      </c>
      <c r="B6642" s="16" t="str">
        <f>TEXT(PARTIDA[[#This Row],[PARTIDA]],"0000000000")</f>
        <v>8462291000</v>
      </c>
      <c r="C6642" s="16" t="s">
        <v>860</v>
      </c>
      <c r="D6642" s="16" t="s">
        <v>873</v>
      </c>
      <c r="E6642" s="16" t="s">
        <v>9480</v>
      </c>
      <c r="F6642" s="27" t="s">
        <v>7736</v>
      </c>
      <c r="G6642" s="27"/>
      <c r="H6642" s="16" t="str">
        <f>IF(ISBLANK(PARTIDAS!$G6642),PARTIDAS!$F6642,CONCATENATE(PARTIDAS!$F6642," (",PARTIDAS!$G6642,")"))</f>
        <v>Prensas</v>
      </c>
      <c r="I6642" s="16" t="s">
        <v>9648</v>
      </c>
    </row>
    <row r="6643" spans="1:9" x14ac:dyDescent="0.25">
      <c r="A6643" s="16" t="s">
        <v>7583</v>
      </c>
      <c r="B6643" s="16" t="str">
        <f>TEXT(PARTIDA[[#This Row],[PARTIDA]],"0000000000")</f>
        <v>8462299000</v>
      </c>
      <c r="C6643" s="16" t="s">
        <v>860</v>
      </c>
      <c r="D6643" s="16" t="s">
        <v>873</v>
      </c>
      <c r="E6643" s="16" t="s">
        <v>9480</v>
      </c>
      <c r="F6643" s="27" t="s">
        <v>14877</v>
      </c>
      <c r="G6643" s="27"/>
      <c r="H6643" s="16" t="str">
        <f>IF(ISBLANK(PARTIDAS!$G6643),PARTIDAS!$F6643,CONCATENATE(PARTIDAS!$F6643," (",PARTIDAS!$G6643,")"))</f>
        <v>Máquinas herramienta (incluidas las prensas) de forjar o estampar, mar (los demás)</v>
      </c>
      <c r="I6643" s="16" t="s">
        <v>9648</v>
      </c>
    </row>
    <row r="6644" spans="1:9" x14ac:dyDescent="0.25">
      <c r="A6644" s="16" t="s">
        <v>7584</v>
      </c>
      <c r="B6644" s="16" t="str">
        <f>TEXT(PARTIDA[[#This Row],[PARTIDA]],"0000000000")</f>
        <v>8462310000</v>
      </c>
      <c r="C6644" s="16" t="s">
        <v>860</v>
      </c>
      <c r="D6644" s="16" t="s">
        <v>873</v>
      </c>
      <c r="E6644" s="16" t="s">
        <v>9480</v>
      </c>
      <c r="F6644" s="27" t="s">
        <v>14882</v>
      </c>
      <c r="G6644" s="27"/>
      <c r="H6644" s="16" t="str">
        <f>IF(ISBLANK(PARTIDAS!$G6644),PARTIDAS!$F6644,CONCATENATE(PARTIDAS!$F6644," (",PARTIDAS!$G6644,")"))</f>
        <v>De control numérico</v>
      </c>
      <c r="I6644" s="16" t="s">
        <v>9648</v>
      </c>
    </row>
    <row r="6645" spans="1:9" x14ac:dyDescent="0.25">
      <c r="A6645" s="16" t="s">
        <v>14895</v>
      </c>
      <c r="B6645" s="16" t="str">
        <f>TEXT(PARTIDA[[#This Row],[PARTIDA]],"0000000000")</f>
        <v>8462320000</v>
      </c>
      <c r="C6645" s="16" t="s">
        <v>860</v>
      </c>
      <c r="D6645" s="16" t="s">
        <v>873</v>
      </c>
      <c r="E6645" s="16" t="s">
        <v>9480</v>
      </c>
      <c r="F6645" s="27" t="s">
        <v>14896</v>
      </c>
      <c r="G6645" s="27"/>
      <c r="H6645" s="16" t="str">
        <f>IF(ISBLANK(PARTIDAS!$G6645),PARTIDAS!$F6645,CONCATENATE(PARTIDAS!$F6645," (",PARTIDAS!$G6645,")"))</f>
        <v>Líneas de hendido y líneas de corte longitudinal</v>
      </c>
      <c r="I6645" s="16" t="s">
        <v>9427</v>
      </c>
    </row>
    <row r="6646" spans="1:9" x14ac:dyDescent="0.25">
      <c r="A6646" s="16" t="s">
        <v>14897</v>
      </c>
      <c r="B6646" s="16" t="str">
        <f>TEXT(PARTIDA[[#This Row],[PARTIDA]],"0000000000")</f>
        <v>8462330000</v>
      </c>
      <c r="C6646" s="16" t="s">
        <v>860</v>
      </c>
      <c r="D6646" s="16" t="s">
        <v>873</v>
      </c>
      <c r="E6646" s="16" t="s">
        <v>9480</v>
      </c>
      <c r="F6646" s="27" t="s">
        <v>14898</v>
      </c>
      <c r="G6646" s="27"/>
      <c r="H6646" s="16" t="str">
        <f>IF(ISBLANK(PARTIDAS!$G6646),PARTIDAS!$F6646,CONCATENATE(PARTIDAS!$F6646," (",PARTIDAS!$G6646,")"))</f>
        <v>Máquinas de cizallar, de control numérico</v>
      </c>
      <c r="I6646" s="16" t="s">
        <v>9427</v>
      </c>
    </row>
    <row r="6647" spans="1:9" x14ac:dyDescent="0.25">
      <c r="A6647" s="16" t="s">
        <v>14899</v>
      </c>
      <c r="B6647" s="16" t="str">
        <f>TEXT(PARTIDA[[#This Row],[PARTIDA]],"0000000000")</f>
        <v>8462390000</v>
      </c>
      <c r="C6647" s="16" t="s">
        <v>860</v>
      </c>
      <c r="D6647" s="16" t="s">
        <v>873</v>
      </c>
      <c r="E6647" s="16" t="s">
        <v>9480</v>
      </c>
      <c r="F6647" s="27" t="s">
        <v>14900</v>
      </c>
      <c r="G6647" s="27"/>
      <c r="H6647" s="16" t="str">
        <f>IF(ISBLANK(PARTIDAS!$G6647),PARTIDAS!$F6647,CONCATENATE(PARTIDAS!$F6647," (",PARTIDAS!$G6647,")"))</f>
        <v>Líneas de hendido, líneas de corte longitudinal y demás máquinas (los demás)</v>
      </c>
      <c r="I6647" s="16" t="s">
        <v>9427</v>
      </c>
    </row>
    <row r="6648" spans="1:9" x14ac:dyDescent="0.25">
      <c r="A6648" s="16" t="s">
        <v>7585</v>
      </c>
      <c r="B6648" s="16" t="str">
        <f>TEXT(PARTIDA[[#This Row],[PARTIDA]],"0000000000")</f>
        <v>8462391000</v>
      </c>
      <c r="C6648" s="16" t="s">
        <v>860</v>
      </c>
      <c r="D6648" s="16" t="s">
        <v>873</v>
      </c>
      <c r="E6648" s="16" t="s">
        <v>9480</v>
      </c>
      <c r="F6648" s="27" t="s">
        <v>7736</v>
      </c>
      <c r="G6648" s="27"/>
      <c r="H6648" s="16" t="str">
        <f>IF(ISBLANK(PARTIDAS!$G6648),PARTIDAS!$F6648,CONCATENATE(PARTIDAS!$F6648," (",PARTIDAS!$G6648,")"))</f>
        <v>Prensas</v>
      </c>
      <c r="I6648" s="16" t="s">
        <v>9648</v>
      </c>
    </row>
    <row r="6649" spans="1:9" x14ac:dyDescent="0.25">
      <c r="A6649" s="16" t="s">
        <v>7586</v>
      </c>
      <c r="B6649" s="16" t="str">
        <f>TEXT(PARTIDA[[#This Row],[PARTIDA]],"0000000000")</f>
        <v>8462399000</v>
      </c>
      <c r="C6649" s="16" t="s">
        <v>860</v>
      </c>
      <c r="D6649" s="16" t="s">
        <v>873</v>
      </c>
      <c r="E6649" s="16" t="s">
        <v>9480</v>
      </c>
      <c r="F6649" s="27" t="s">
        <v>14877</v>
      </c>
      <c r="G6649" s="27"/>
      <c r="H6649" s="16" t="str">
        <f>IF(ISBLANK(PARTIDAS!$G6649),PARTIDAS!$F6649,CONCATENATE(PARTIDAS!$F6649," (",PARTIDAS!$G6649,")"))</f>
        <v>Máquinas herramienta (incluidas las prensas) de forjar o estampar, mar (los demás)</v>
      </c>
      <c r="I6649" s="16" t="s">
        <v>9648</v>
      </c>
    </row>
    <row r="6650" spans="1:9" x14ac:dyDescent="0.25">
      <c r="A6650" s="16" t="s">
        <v>7587</v>
      </c>
      <c r="B6650" s="16" t="str">
        <f>TEXT(PARTIDA[[#This Row],[PARTIDA]],"0000000000")</f>
        <v>8462410000</v>
      </c>
      <c r="C6650" s="16" t="s">
        <v>860</v>
      </c>
      <c r="D6650" s="16" t="s">
        <v>873</v>
      </c>
      <c r="E6650" s="16" t="s">
        <v>9480</v>
      </c>
      <c r="F6650" s="27" t="s">
        <v>14882</v>
      </c>
      <c r="G6650" s="27"/>
      <c r="H6650" s="16" t="str">
        <f>IF(ISBLANK(PARTIDAS!$G6650),PARTIDAS!$F6650,CONCATENATE(PARTIDAS!$F6650," (",PARTIDAS!$G6650,")"))</f>
        <v>De control numérico</v>
      </c>
      <c r="I6650" s="16" t="s">
        <v>9648</v>
      </c>
    </row>
    <row r="6651" spans="1:9" x14ac:dyDescent="0.25">
      <c r="A6651" s="16" t="s">
        <v>14901</v>
      </c>
      <c r="B6651" s="16" t="str">
        <f>TEXT(PARTIDA[[#This Row],[PARTIDA]],"0000000000")</f>
        <v>8462420000</v>
      </c>
      <c r="C6651" s="16" t="s">
        <v>860</v>
      </c>
      <c r="D6651" s="16" t="s">
        <v>873</v>
      </c>
      <c r="E6651" s="16" t="s">
        <v>9480</v>
      </c>
      <c r="F6651" s="27" t="s">
        <v>14902</v>
      </c>
      <c r="G6651" s="27"/>
      <c r="H6651" s="16" t="str">
        <f>IF(ISBLANK(PARTIDAS!$G6651),PARTIDAS!$F6651,CONCATENATE(PARTIDAS!$F6651," (",PARTIDAS!$G6651,")"))</f>
        <v>Máquinas (excepto las prensas) de punzonar, entallar o mordiscar…, de control númerico</v>
      </c>
      <c r="I6651" s="16" t="s">
        <v>9427</v>
      </c>
    </row>
    <row r="6652" spans="1:9" x14ac:dyDescent="0.25">
      <c r="A6652" s="16" t="s">
        <v>14903</v>
      </c>
      <c r="B6652" s="16" t="str">
        <f>TEXT(PARTIDA[[#This Row],[PARTIDA]],"0000000000")</f>
        <v>8462490000</v>
      </c>
      <c r="C6652" s="16" t="s">
        <v>860</v>
      </c>
      <c r="D6652" s="16" t="s">
        <v>873</v>
      </c>
      <c r="E6652" s="16" t="s">
        <v>9480</v>
      </c>
      <c r="F6652" s="27" t="s">
        <v>14904</v>
      </c>
      <c r="G6652" s="27"/>
      <c r="H6652" s="16" t="str">
        <f>IF(ISBLANK(PARTIDAS!$G6652),PARTIDAS!$F6652,CONCATENATE(PARTIDAS!$F6652," (",PARTIDAS!$G6652,")"))</f>
        <v>Máquinas (excepto las prensas) de punzonar, entallar o mordiscar… (los demás)</v>
      </c>
      <c r="I6652" s="16" t="s">
        <v>9427</v>
      </c>
    </row>
    <row r="6653" spans="1:9" x14ac:dyDescent="0.25">
      <c r="A6653" s="16" t="s">
        <v>7588</v>
      </c>
      <c r="B6653" s="16" t="str">
        <f>TEXT(PARTIDA[[#This Row],[PARTIDA]],"0000000000")</f>
        <v>8462491000</v>
      </c>
      <c r="C6653" s="16" t="s">
        <v>860</v>
      </c>
      <c r="D6653" s="16" t="s">
        <v>873</v>
      </c>
      <c r="E6653" s="16" t="s">
        <v>9480</v>
      </c>
      <c r="F6653" s="27" t="s">
        <v>7736</v>
      </c>
      <c r="G6653" s="27"/>
      <c r="H6653" s="16" t="str">
        <f>IF(ISBLANK(PARTIDAS!$G6653),PARTIDAS!$F6653,CONCATENATE(PARTIDAS!$F6653," (",PARTIDAS!$G6653,")"))</f>
        <v>Prensas</v>
      </c>
      <c r="I6653" s="16" t="s">
        <v>9648</v>
      </c>
    </row>
    <row r="6654" spans="1:9" x14ac:dyDescent="0.25">
      <c r="A6654" s="16" t="s">
        <v>7589</v>
      </c>
      <c r="B6654" s="16" t="str">
        <f>TEXT(PARTIDA[[#This Row],[PARTIDA]],"0000000000")</f>
        <v>8462499000</v>
      </c>
      <c r="C6654" s="16" t="s">
        <v>860</v>
      </c>
      <c r="D6654" s="16" t="s">
        <v>873</v>
      </c>
      <c r="E6654" s="16" t="s">
        <v>9480</v>
      </c>
      <c r="F6654" s="27" t="s">
        <v>14877</v>
      </c>
      <c r="G6654" s="27"/>
      <c r="H6654" s="16" t="str">
        <f>IF(ISBLANK(PARTIDAS!$G6654),PARTIDAS!$F6654,CONCATENATE(PARTIDAS!$F6654," (",PARTIDAS!$G6654,")"))</f>
        <v>Máquinas herramienta (incluidas las prensas) de forjar o estampar, mar (los demás)</v>
      </c>
      <c r="I6654" s="16" t="s">
        <v>9648</v>
      </c>
    </row>
    <row r="6655" spans="1:9" x14ac:dyDescent="0.25">
      <c r="A6655" s="16" t="s">
        <v>14905</v>
      </c>
      <c r="B6655" s="16" t="str">
        <f>TEXT(PARTIDA[[#This Row],[PARTIDA]],"0000000000")</f>
        <v>8462510000</v>
      </c>
      <c r="C6655" s="16" t="s">
        <v>860</v>
      </c>
      <c r="D6655" s="16" t="s">
        <v>873</v>
      </c>
      <c r="E6655" s="16" t="s">
        <v>9480</v>
      </c>
      <c r="F6655" s="27" t="s">
        <v>14906</v>
      </c>
      <c r="G6655" s="27"/>
      <c r="H6655" s="16" t="str">
        <f>IF(ISBLANK(PARTIDAS!$G6655),PARTIDAS!$F6655,CONCATENATE(PARTIDAS!$F6655," (",PARTIDAS!$G6655,")"))</f>
        <v>Máquinas para trabajar tubos, tubería, perfiles huecos, perfiles y…, de control númerico</v>
      </c>
      <c r="I6655" s="16" t="s">
        <v>9427</v>
      </c>
    </row>
    <row r="6656" spans="1:9" x14ac:dyDescent="0.25">
      <c r="A6656" s="16" t="s">
        <v>14907</v>
      </c>
      <c r="B6656" s="16" t="str">
        <f>TEXT(PARTIDA[[#This Row],[PARTIDA]],"0000000000")</f>
        <v>8462590000</v>
      </c>
      <c r="C6656" s="16" t="s">
        <v>860</v>
      </c>
      <c r="D6656" s="16" t="s">
        <v>873</v>
      </c>
      <c r="E6656" s="16" t="s">
        <v>9480</v>
      </c>
      <c r="F6656" s="27" t="s">
        <v>14908</v>
      </c>
      <c r="G6656" s="27"/>
      <c r="H6656" s="16" t="str">
        <f>IF(ISBLANK(PARTIDAS!$G6656),PARTIDAS!$F6656,CONCATENATE(PARTIDAS!$F6656," (",PARTIDAS!$G6656,")"))</f>
        <v>Máquinas para trabajar tubos, tubería, perfiles huecos, perfiles y… (los demás)</v>
      </c>
      <c r="I6656" s="16" t="s">
        <v>9427</v>
      </c>
    </row>
    <row r="6657" spans="1:9" x14ac:dyDescent="0.25">
      <c r="A6657" s="16" t="s">
        <v>9106</v>
      </c>
      <c r="B6657" s="16" t="str">
        <f>TEXT(PARTIDA[[#This Row],[PARTIDA]],"0000000000")</f>
        <v>8462610000</v>
      </c>
      <c r="C6657" s="16" t="s">
        <v>860</v>
      </c>
      <c r="D6657" s="16" t="s">
        <v>873</v>
      </c>
      <c r="E6657" s="16" t="s">
        <v>9480</v>
      </c>
      <c r="F6657" s="27" t="s">
        <v>9107</v>
      </c>
      <c r="G6657" s="27"/>
      <c r="H6657" s="16" t="str">
        <f>IF(ISBLANK(PARTIDAS!$G6657),PARTIDAS!$F6657,CONCATENATE(PARTIDAS!$F6657," (",PARTIDAS!$G6657,")"))</f>
        <v>Prensas hidráulicas</v>
      </c>
      <c r="I6657" s="16" t="s">
        <v>9427</v>
      </c>
    </row>
    <row r="6658" spans="1:9" x14ac:dyDescent="0.25">
      <c r="A6658" s="16" t="s">
        <v>14909</v>
      </c>
      <c r="B6658" s="16" t="str">
        <f>TEXT(PARTIDA[[#This Row],[PARTIDA]],"0000000000")</f>
        <v>8462620000</v>
      </c>
      <c r="C6658" s="16" t="s">
        <v>860</v>
      </c>
      <c r="D6658" s="16" t="s">
        <v>873</v>
      </c>
      <c r="E6658" s="16" t="s">
        <v>9480</v>
      </c>
      <c r="F6658" s="27" t="s">
        <v>14910</v>
      </c>
      <c r="G6658" s="27"/>
      <c r="H6658" s="16" t="str">
        <f>IF(ISBLANK(PARTIDAS!$G6658),PARTIDAS!$F6658,CONCATENATE(PARTIDAS!$F6658," (",PARTIDAS!$G6658,")"))</f>
        <v>Prensas mecánicas</v>
      </c>
      <c r="I6658" s="16" t="s">
        <v>9427</v>
      </c>
    </row>
    <row r="6659" spans="1:9" x14ac:dyDescent="0.25">
      <c r="A6659" s="16" t="s">
        <v>14911</v>
      </c>
      <c r="B6659" s="16" t="str">
        <f>TEXT(PARTIDA[[#This Row],[PARTIDA]],"0000000000")</f>
        <v>8462630000</v>
      </c>
      <c r="C6659" s="16" t="s">
        <v>860</v>
      </c>
      <c r="D6659" s="16" t="s">
        <v>873</v>
      </c>
      <c r="E6659" s="16" t="s">
        <v>9480</v>
      </c>
      <c r="F6659" s="27" t="s">
        <v>14912</v>
      </c>
      <c r="G6659" s="27"/>
      <c r="H6659" s="16" t="str">
        <f>IF(ISBLANK(PARTIDAS!$G6659),PARTIDAS!$F6659,CONCATENATE(PARTIDAS!$F6659," (",PARTIDAS!$G6659,")"))</f>
        <v>Prensas de metal en frío, servoprensas</v>
      </c>
      <c r="I6659" s="16" t="s">
        <v>9427</v>
      </c>
    </row>
    <row r="6660" spans="1:9" x14ac:dyDescent="0.25">
      <c r="A6660" s="16" t="s">
        <v>14913</v>
      </c>
      <c r="B6660" s="16" t="str">
        <f>TEXT(PARTIDA[[#This Row],[PARTIDA]],"0000000000")</f>
        <v>8462690000</v>
      </c>
      <c r="C6660" s="16" t="s">
        <v>860</v>
      </c>
      <c r="D6660" s="16" t="s">
        <v>873</v>
      </c>
      <c r="E6660" s="16" t="s">
        <v>9480</v>
      </c>
      <c r="F6660" s="27" t="s">
        <v>14914</v>
      </c>
      <c r="G6660" s="27"/>
      <c r="H6660" s="16" t="str">
        <f>IF(ISBLANK(PARTIDAS!$G6660),PARTIDAS!$F6660,CONCATENATE(PARTIDAS!$F6660," (",PARTIDAS!$G6660,")"))</f>
        <v>Prensas de metal en frío (los demás)</v>
      </c>
      <c r="I6660" s="16" t="s">
        <v>9427</v>
      </c>
    </row>
    <row r="6661" spans="1:9" x14ac:dyDescent="0.25">
      <c r="A6661" s="16" t="s">
        <v>14915</v>
      </c>
      <c r="B6661" s="16" t="str">
        <f>TEXT(PARTIDA[[#This Row],[PARTIDA]],"0000000000")</f>
        <v>8462900000</v>
      </c>
      <c r="C6661" s="16" t="s">
        <v>860</v>
      </c>
      <c r="D6661" s="16" t="s">
        <v>873</v>
      </c>
      <c r="E6661" s="16" t="s">
        <v>9480</v>
      </c>
      <c r="F6661" s="27" t="s">
        <v>14916</v>
      </c>
      <c r="G6661" s="27"/>
      <c r="H6661" s="16" t="str">
        <f>IF(ISBLANK(PARTIDAS!$G6661),PARTIDAS!$F6661,CONCATENATE(PARTIDAS!$F6661," (",PARTIDAS!$G6661,")"))</f>
        <v>Máquinas herramienta (incluidas las prensas) de forjar o estampar… (los demás)</v>
      </c>
      <c r="I6661" s="16" t="s">
        <v>9427</v>
      </c>
    </row>
    <row r="6662" spans="1:9" x14ac:dyDescent="0.25">
      <c r="A6662" s="16" t="s">
        <v>7590</v>
      </c>
      <c r="B6662" s="16" t="str">
        <f>TEXT(PARTIDA[[#This Row],[PARTIDA]],"0000000000")</f>
        <v>8462910000</v>
      </c>
      <c r="C6662" s="16" t="s">
        <v>860</v>
      </c>
      <c r="D6662" s="16" t="s">
        <v>873</v>
      </c>
      <c r="E6662" s="16" t="s">
        <v>9480</v>
      </c>
      <c r="F6662" s="27" t="s">
        <v>9107</v>
      </c>
      <c r="G6662" s="27"/>
      <c r="H6662" s="16" t="str">
        <f>IF(ISBLANK(PARTIDAS!$G6662),PARTIDAS!$F6662,CONCATENATE(PARTIDAS!$F6662," (",PARTIDAS!$G6662,")"))</f>
        <v>Prensas hidráulicas</v>
      </c>
      <c r="I6662" s="16" t="s">
        <v>9648</v>
      </c>
    </row>
    <row r="6663" spans="1:9" x14ac:dyDescent="0.25">
      <c r="A6663" s="16" t="s">
        <v>7591</v>
      </c>
      <c r="B6663" s="16" t="str">
        <f>TEXT(PARTIDA[[#This Row],[PARTIDA]],"0000000000")</f>
        <v>8462990000</v>
      </c>
      <c r="C6663" s="16" t="s">
        <v>860</v>
      </c>
      <c r="D6663" s="16" t="s">
        <v>873</v>
      </c>
      <c r="E6663" s="16" t="s">
        <v>9480</v>
      </c>
      <c r="F6663" s="27" t="s">
        <v>14877</v>
      </c>
      <c r="G6663" s="27"/>
      <c r="H6663" s="16" t="str">
        <f>IF(ISBLANK(PARTIDAS!$G6663),PARTIDAS!$F6663,CONCATENATE(PARTIDAS!$F6663," (",PARTIDAS!$G6663,")"))</f>
        <v>Máquinas herramienta (incluidas las prensas) de forjar o estampar, mar (los demás)</v>
      </c>
      <c r="I6663" s="16" t="s">
        <v>9648</v>
      </c>
    </row>
    <row r="6664" spans="1:9" x14ac:dyDescent="0.25">
      <c r="A6664" s="16" t="s">
        <v>7592</v>
      </c>
      <c r="B6664" s="16" t="str">
        <f>TEXT(PARTIDA[[#This Row],[PARTIDA]],"0000000000")</f>
        <v>8463101000</v>
      </c>
      <c r="C6664" s="16" t="s">
        <v>860</v>
      </c>
      <c r="D6664" s="16" t="s">
        <v>873</v>
      </c>
      <c r="E6664" s="16" t="s">
        <v>9480</v>
      </c>
      <c r="F6664" s="27" t="s">
        <v>14917</v>
      </c>
      <c r="G6664" s="27"/>
      <c r="H6664" s="16" t="str">
        <f>IF(ISBLANK(PARTIDAS!$G6664),PARTIDAS!$F6664,CONCATENATE(PARTIDAS!$F6664," (",PARTIDAS!$G6664,")"))</f>
        <v>Bancos de estirar barras, tubos, perfiles, alambres o similares, de trefilar</v>
      </c>
      <c r="I6664" s="16" t="s">
        <v>9427</v>
      </c>
    </row>
    <row r="6665" spans="1:9" x14ac:dyDescent="0.25">
      <c r="A6665" s="16" t="s">
        <v>7593</v>
      </c>
      <c r="B6665" s="16" t="str">
        <f>TEXT(PARTIDA[[#This Row],[PARTIDA]],"0000000000")</f>
        <v>8463109000</v>
      </c>
      <c r="C6665" s="16" t="s">
        <v>860</v>
      </c>
      <c r="D6665" s="16" t="s">
        <v>873</v>
      </c>
      <c r="E6665" s="16" t="s">
        <v>9480</v>
      </c>
      <c r="F6665" s="27" t="s">
        <v>14918</v>
      </c>
      <c r="G6665" s="27"/>
      <c r="H6665" s="16" t="str">
        <f>IF(ISBLANK(PARTIDAS!$G6665),PARTIDAS!$F6665,CONCATENATE(PARTIDAS!$F6665," (",PARTIDAS!$G6665,")"))</f>
        <v>Bancos de estirar barras, tubos, perfiles, alambres o similares (los demás)</v>
      </c>
      <c r="I6665" s="16" t="s">
        <v>9427</v>
      </c>
    </row>
    <row r="6666" spans="1:9" x14ac:dyDescent="0.25">
      <c r="A6666" s="16" t="s">
        <v>7594</v>
      </c>
      <c r="B6666" s="16" t="str">
        <f>TEXT(PARTIDA[[#This Row],[PARTIDA]],"0000000000")</f>
        <v>8463200000</v>
      </c>
      <c r="C6666" s="16" t="s">
        <v>860</v>
      </c>
      <c r="D6666" s="16" t="s">
        <v>873</v>
      </c>
      <c r="E6666" s="16" t="s">
        <v>9480</v>
      </c>
      <c r="F6666" s="27" t="s">
        <v>14919</v>
      </c>
      <c r="G6666" s="27"/>
      <c r="H6666" s="16" t="str">
        <f>IF(ISBLANK(PARTIDAS!$G6666),PARTIDAS!$F6666,CONCATENATE(PARTIDAS!$F6666," (",PARTIDAS!$G6666,")"))</f>
        <v>Máquinas laminadoras de hacer roscas</v>
      </c>
      <c r="I6666" s="16" t="s">
        <v>9427</v>
      </c>
    </row>
    <row r="6667" spans="1:9" x14ac:dyDescent="0.25">
      <c r="A6667" s="16" t="s">
        <v>7595</v>
      </c>
      <c r="B6667" s="16" t="str">
        <f>TEXT(PARTIDA[[#This Row],[PARTIDA]],"0000000000")</f>
        <v>8463300000</v>
      </c>
      <c r="C6667" s="16" t="s">
        <v>860</v>
      </c>
      <c r="D6667" s="16" t="s">
        <v>873</v>
      </c>
      <c r="E6667" s="16" t="s">
        <v>9480</v>
      </c>
      <c r="F6667" s="27" t="s">
        <v>14920</v>
      </c>
      <c r="G6667" s="27"/>
      <c r="H6667" s="16" t="str">
        <f>IF(ISBLANK(PARTIDAS!$G6667),PARTIDAS!$F6667,CONCATENATE(PARTIDAS!$F6667," (",PARTIDAS!$G6667,")"))</f>
        <v>Máquinas para trabajar alambre</v>
      </c>
      <c r="I6667" s="16" t="s">
        <v>9427</v>
      </c>
    </row>
    <row r="6668" spans="1:9" x14ac:dyDescent="0.25">
      <c r="A6668" s="16" t="s">
        <v>7596</v>
      </c>
      <c r="B6668" s="16" t="str">
        <f>TEXT(PARTIDA[[#This Row],[PARTIDA]],"0000000000")</f>
        <v>8463901000</v>
      </c>
      <c r="C6668" s="16" t="s">
        <v>860</v>
      </c>
      <c r="D6668" s="16" t="s">
        <v>873</v>
      </c>
      <c r="E6668" s="16" t="s">
        <v>9480</v>
      </c>
      <c r="F6668" s="27" t="s">
        <v>7597</v>
      </c>
      <c r="G6668" s="27"/>
      <c r="H6668" s="16" t="str">
        <f>IF(ISBLANK(PARTIDAS!$G6668),PARTIDAS!$F6668,CONCATENATE(PARTIDAS!$F6668," (",PARTIDAS!$G6668,")"))</f>
        <v>Remachadoras</v>
      </c>
      <c r="I6668" s="16" t="s">
        <v>9427</v>
      </c>
    </row>
    <row r="6669" spans="1:9" x14ac:dyDescent="0.25">
      <c r="A6669" s="16" t="s">
        <v>7598</v>
      </c>
      <c r="B6669" s="16" t="str">
        <f>TEXT(PARTIDA[[#This Row],[PARTIDA]],"0000000000")</f>
        <v>8463909000</v>
      </c>
      <c r="C6669" s="16" t="s">
        <v>860</v>
      </c>
      <c r="D6669" s="16" t="s">
        <v>873</v>
      </c>
      <c r="E6669" s="16" t="s">
        <v>9480</v>
      </c>
      <c r="F6669" s="27" t="s">
        <v>14463</v>
      </c>
      <c r="G6669" s="27"/>
      <c r="H6669" s="16" t="str">
        <f>IF(ISBLANK(PARTIDAS!$G6669),PARTIDAS!$F6669,CONCATENATE(PARTIDAS!$F6669," (",PARTIDAS!$G6669,")"))</f>
        <v>Reactores nucleares, calderas, máquinas, aparatos y artefactos… (los demás)</v>
      </c>
      <c r="I6669" s="16" t="s">
        <v>9427</v>
      </c>
    </row>
    <row r="6670" spans="1:9" x14ac:dyDescent="0.25">
      <c r="A6670" s="16" t="s">
        <v>7599</v>
      </c>
      <c r="B6670" s="16" t="str">
        <f>TEXT(PARTIDA[[#This Row],[PARTIDA]],"0000000000")</f>
        <v>8464100000</v>
      </c>
      <c r="C6670" s="16" t="s">
        <v>860</v>
      </c>
      <c r="D6670" s="16" t="s">
        <v>873</v>
      </c>
      <c r="E6670" s="16" t="s">
        <v>9480</v>
      </c>
      <c r="F6670" s="27" t="s">
        <v>7606</v>
      </c>
      <c r="G6670" s="27"/>
      <c r="H6670" s="16" t="str">
        <f>IF(ISBLANK(PARTIDAS!$G6670),PARTIDAS!$F6670,CONCATENATE(PARTIDAS!$F6670," (",PARTIDAS!$G6670,")"))</f>
        <v>Máquinas de aserrar</v>
      </c>
      <c r="I6670" s="16" t="s">
        <v>9427</v>
      </c>
    </row>
    <row r="6671" spans="1:9" x14ac:dyDescent="0.25">
      <c r="A6671" s="16" t="s">
        <v>7600</v>
      </c>
      <c r="B6671" s="16" t="str">
        <f>TEXT(PARTIDA[[#This Row],[PARTIDA]],"0000000000")</f>
        <v>8464200000</v>
      </c>
      <c r="C6671" s="16" t="s">
        <v>860</v>
      </c>
      <c r="D6671" s="16" t="s">
        <v>873</v>
      </c>
      <c r="E6671" s="16" t="s">
        <v>9480</v>
      </c>
      <c r="F6671" s="27" t="s">
        <v>14921</v>
      </c>
      <c r="G6671" s="27"/>
      <c r="H6671" s="16" t="str">
        <f>IF(ISBLANK(PARTIDAS!$G6671),PARTIDAS!$F6671,CONCATENATE(PARTIDAS!$F6671," (",PARTIDAS!$G6671,")"))</f>
        <v>Máquinas de amolar o pulir</v>
      </c>
      <c r="I6671" s="16" t="s">
        <v>9427</v>
      </c>
    </row>
    <row r="6672" spans="1:9" x14ac:dyDescent="0.25">
      <c r="A6672" s="16" t="s">
        <v>7601</v>
      </c>
      <c r="B6672" s="16" t="str">
        <f>TEXT(PARTIDA[[#This Row],[PARTIDA]],"0000000000")</f>
        <v>8464900000</v>
      </c>
      <c r="C6672" s="16" t="s">
        <v>860</v>
      </c>
      <c r="D6672" s="16" t="s">
        <v>873</v>
      </c>
      <c r="E6672" s="16" t="s">
        <v>9480</v>
      </c>
      <c r="F6672" s="27" t="s">
        <v>14922</v>
      </c>
      <c r="G6672" s="27"/>
      <c r="H6672" s="16" t="str">
        <f>IF(ISBLANK(PARTIDAS!$G6672),PARTIDAS!$F6672,CONCATENATE(PARTIDAS!$F6672," (",PARTIDAS!$G6672,")"))</f>
        <v>Máquinas herramienta para trabajar piedra, cerámica, hormigón… (los demás)</v>
      </c>
      <c r="I6672" s="16" t="s">
        <v>9427</v>
      </c>
    </row>
    <row r="6673" spans="1:9" x14ac:dyDescent="0.25">
      <c r="A6673" s="16" t="s">
        <v>7602</v>
      </c>
      <c r="B6673" s="16" t="str">
        <f>TEXT(PARTIDA[[#This Row],[PARTIDA]],"0000000000")</f>
        <v>8465100000</v>
      </c>
      <c r="C6673" s="16" t="s">
        <v>860</v>
      </c>
      <c r="D6673" s="16" t="s">
        <v>873</v>
      </c>
      <c r="E6673" s="16" t="s">
        <v>9480</v>
      </c>
      <c r="F6673" s="27" t="s">
        <v>14923</v>
      </c>
      <c r="G6673" s="27"/>
      <c r="H6673" s="16" t="str">
        <f>IF(ISBLANK(PARTIDAS!$G6673),PARTIDAS!$F6673,CONCATENATE(PARTIDAS!$F6673," (",PARTIDAS!$G6673,")"))</f>
        <v>Máquinas que efectúen distintas operaciones de mecanizado sin cambio de útil entre dichas operaciones</v>
      </c>
      <c r="I6673" s="16" t="s">
        <v>9427</v>
      </c>
    </row>
    <row r="6674" spans="1:9" x14ac:dyDescent="0.25">
      <c r="A6674" s="16" t="s">
        <v>7603</v>
      </c>
      <c r="B6674" s="16" t="str">
        <f>TEXT(PARTIDA[[#This Row],[PARTIDA]],"0000000000")</f>
        <v>8465200000</v>
      </c>
      <c r="C6674" s="16" t="s">
        <v>860</v>
      </c>
      <c r="D6674" s="16" t="s">
        <v>873</v>
      </c>
      <c r="E6674" s="16" t="s">
        <v>9480</v>
      </c>
      <c r="F6674" s="27" t="s">
        <v>14844</v>
      </c>
      <c r="G6674" s="27"/>
      <c r="H6674" s="16" t="str">
        <f>IF(ISBLANK(PARTIDAS!$G6674),PARTIDAS!$F6674,CONCATENATE(PARTIDAS!$F6674," (",PARTIDAS!$G6674,")"))</f>
        <v>Centros de mecanizado</v>
      </c>
      <c r="I6674" s="16" t="s">
        <v>9427</v>
      </c>
    </row>
    <row r="6675" spans="1:9" x14ac:dyDescent="0.25">
      <c r="A6675" s="16" t="s">
        <v>7604</v>
      </c>
      <c r="B6675" s="16" t="str">
        <f>TEXT(PARTIDA[[#This Row],[PARTIDA]],"0000000000")</f>
        <v>8465911000</v>
      </c>
      <c r="C6675" s="16" t="s">
        <v>860</v>
      </c>
      <c r="D6675" s="16" t="s">
        <v>873</v>
      </c>
      <c r="E6675" s="16" t="s">
        <v>9480</v>
      </c>
      <c r="F6675" s="27" t="s">
        <v>14924</v>
      </c>
      <c r="G6675" s="27"/>
      <c r="H6675" s="16" t="str">
        <f>IF(ISBLANK(PARTIDAS!$G6675),PARTIDAS!$F6675,CONCATENATE(PARTIDAS!$F6675," (",PARTIDAS!$G6675,")"))</f>
        <v>Máquinas de aserrar, de control numérico</v>
      </c>
      <c r="I6675" s="16" t="s">
        <v>9427</v>
      </c>
    </row>
    <row r="6676" spans="1:9" x14ac:dyDescent="0.25">
      <c r="A6676" s="16" t="s">
        <v>7605</v>
      </c>
      <c r="B6676" s="16" t="str">
        <f>TEXT(PARTIDA[[#This Row],[PARTIDA]],"0000000000")</f>
        <v>8465919100</v>
      </c>
      <c r="C6676" s="16" t="s">
        <v>860</v>
      </c>
      <c r="D6676" s="16" t="s">
        <v>873</v>
      </c>
      <c r="E6676" s="16" t="s">
        <v>9480</v>
      </c>
      <c r="F6676" s="27" t="s">
        <v>7606</v>
      </c>
      <c r="G6676" s="27"/>
      <c r="H6676" s="16" t="str">
        <f>IF(ISBLANK(PARTIDAS!$G6676),PARTIDAS!$F6676,CONCATENATE(PARTIDAS!$F6676," (",PARTIDAS!$G6676,")"))</f>
        <v>Máquinas de aserrar</v>
      </c>
      <c r="I6676" s="16" t="s">
        <v>9427</v>
      </c>
    </row>
    <row r="6677" spans="1:9" x14ac:dyDescent="0.25">
      <c r="A6677" s="16" t="s">
        <v>7607</v>
      </c>
      <c r="B6677" s="16" t="str">
        <f>TEXT(PARTIDA[[#This Row],[PARTIDA]],"0000000000")</f>
        <v>8465919200</v>
      </c>
      <c r="C6677" s="16" t="s">
        <v>860</v>
      </c>
      <c r="D6677" s="16" t="s">
        <v>873</v>
      </c>
      <c r="E6677" s="16" t="s">
        <v>9480</v>
      </c>
      <c r="F6677" s="27" t="s">
        <v>14925</v>
      </c>
      <c r="G6677" s="27"/>
      <c r="H6677" s="16" t="str">
        <f>IF(ISBLANK(PARTIDAS!$G6677),PARTIDAS!$F6677,CONCATENATE(PARTIDAS!$F6677," (",PARTIDAS!$G6677,")"))</f>
        <v>Máquinas de aserrar, de cinta</v>
      </c>
      <c r="I6677" s="16" t="s">
        <v>9427</v>
      </c>
    </row>
    <row r="6678" spans="1:9" x14ac:dyDescent="0.25">
      <c r="A6678" s="16" t="s">
        <v>7608</v>
      </c>
      <c r="B6678" s="16" t="str">
        <f>TEXT(PARTIDA[[#This Row],[PARTIDA]],"0000000000")</f>
        <v>8465919900</v>
      </c>
      <c r="C6678" s="16" t="s">
        <v>860</v>
      </c>
      <c r="D6678" s="16" t="s">
        <v>873</v>
      </c>
      <c r="E6678" s="16" t="s">
        <v>9480</v>
      </c>
      <c r="F6678" s="27" t="s">
        <v>7606</v>
      </c>
      <c r="G6678" s="27"/>
      <c r="H6678" s="16" t="str">
        <f>IF(ISBLANK(PARTIDAS!$G6678),PARTIDAS!$F6678,CONCATENATE(PARTIDAS!$F6678," (",PARTIDAS!$G6678,")"))</f>
        <v>Máquinas de aserrar</v>
      </c>
      <c r="I6678" s="16" t="s">
        <v>9427</v>
      </c>
    </row>
    <row r="6679" spans="1:9" x14ac:dyDescent="0.25">
      <c r="A6679" s="16" t="s">
        <v>7609</v>
      </c>
      <c r="B6679" s="16" t="str">
        <f>TEXT(PARTIDA[[#This Row],[PARTIDA]],"0000000000")</f>
        <v>8465921000</v>
      </c>
      <c r="C6679" s="16" t="s">
        <v>860</v>
      </c>
      <c r="D6679" s="16" t="s">
        <v>873</v>
      </c>
      <c r="E6679" s="16" t="s">
        <v>9480</v>
      </c>
      <c r="F6679" s="27" t="s">
        <v>14926</v>
      </c>
      <c r="G6679" s="27"/>
      <c r="H6679" s="16" t="str">
        <f>IF(ISBLANK(PARTIDAS!$G6679),PARTIDAS!$F6679,CONCATENATE(PARTIDAS!$F6679," (",PARTIDAS!$G6679,")"))</f>
        <v>Máquinas de cepillar, de control numérico</v>
      </c>
      <c r="I6679" s="16" t="s">
        <v>9427</v>
      </c>
    </row>
    <row r="6680" spans="1:9" x14ac:dyDescent="0.25">
      <c r="A6680" s="16" t="s">
        <v>7610</v>
      </c>
      <c r="B6680" s="16" t="str">
        <f>TEXT(PARTIDA[[#This Row],[PARTIDA]],"0000000000")</f>
        <v>8465929000</v>
      </c>
      <c r="C6680" s="16" t="s">
        <v>860</v>
      </c>
      <c r="D6680" s="16" t="s">
        <v>873</v>
      </c>
      <c r="E6680" s="16" t="s">
        <v>9480</v>
      </c>
      <c r="F6680" s="27" t="s">
        <v>7576</v>
      </c>
      <c r="G6680" s="27"/>
      <c r="H6680" s="16" t="str">
        <f>IF(ISBLANK(PARTIDAS!$G6680),PARTIDAS!$F6680,CONCATENATE(PARTIDAS!$F6680," (",PARTIDAS!$G6680,")"))</f>
        <v>Máquinas de cepillar</v>
      </c>
      <c r="I6680" s="16" t="s">
        <v>9427</v>
      </c>
    </row>
    <row r="6681" spans="1:9" x14ac:dyDescent="0.25">
      <c r="A6681" s="16" t="s">
        <v>7611</v>
      </c>
      <c r="B6681" s="16" t="str">
        <f>TEXT(PARTIDA[[#This Row],[PARTIDA]],"0000000000")</f>
        <v>8465931000</v>
      </c>
      <c r="C6681" s="16" t="s">
        <v>860</v>
      </c>
      <c r="D6681" s="16" t="s">
        <v>873</v>
      </c>
      <c r="E6681" s="16" t="s">
        <v>9480</v>
      </c>
      <c r="F6681" s="27" t="s">
        <v>14927</v>
      </c>
      <c r="G6681" s="27"/>
      <c r="H6681" s="16" t="str">
        <f>IF(ISBLANK(PARTIDAS!$G6681),PARTIDAS!$F6681,CONCATENATE(PARTIDAS!$F6681," (",PARTIDAS!$G6681,")"))</f>
        <v>Máquinas de amolar, lijar o pulir, de control numérico</v>
      </c>
      <c r="I6681" s="16" t="s">
        <v>9427</v>
      </c>
    </row>
    <row r="6682" spans="1:9" x14ac:dyDescent="0.25">
      <c r="A6682" s="16" t="s">
        <v>7612</v>
      </c>
      <c r="B6682" s="16" t="str">
        <f>TEXT(PARTIDA[[#This Row],[PARTIDA]],"0000000000")</f>
        <v>8465939000</v>
      </c>
      <c r="C6682" s="16" t="s">
        <v>860</v>
      </c>
      <c r="D6682" s="16" t="s">
        <v>873</v>
      </c>
      <c r="E6682" s="16" t="s">
        <v>9480</v>
      </c>
      <c r="F6682" s="27" t="s">
        <v>7606</v>
      </c>
      <c r="G6682" s="27"/>
      <c r="H6682" s="16" t="str">
        <f>IF(ISBLANK(PARTIDAS!$G6682),PARTIDAS!$F6682,CONCATENATE(PARTIDAS!$F6682," (",PARTIDAS!$G6682,")"))</f>
        <v>Máquinas de aserrar</v>
      </c>
      <c r="I6682" s="16" t="s">
        <v>9427</v>
      </c>
    </row>
    <row r="6683" spans="1:9" x14ac:dyDescent="0.25">
      <c r="A6683" s="16" t="s">
        <v>7613</v>
      </c>
      <c r="B6683" s="16" t="str">
        <f>TEXT(PARTIDA[[#This Row],[PARTIDA]],"0000000000")</f>
        <v>8465941000</v>
      </c>
      <c r="C6683" s="16" t="s">
        <v>860</v>
      </c>
      <c r="D6683" s="16" t="s">
        <v>873</v>
      </c>
      <c r="E6683" s="16" t="s">
        <v>9480</v>
      </c>
      <c r="F6683" s="27" t="s">
        <v>14928</v>
      </c>
      <c r="G6683" s="27"/>
      <c r="H6683" s="16" t="str">
        <f>IF(ISBLANK(PARTIDAS!$G6683),PARTIDAS!$F6683,CONCATENATE(PARTIDAS!$F6683," (",PARTIDAS!$G6683,")"))</f>
        <v>Máquinas de curvar o ensamblar, de control numérico</v>
      </c>
      <c r="I6683" s="16" t="s">
        <v>9427</v>
      </c>
    </row>
    <row r="6684" spans="1:9" x14ac:dyDescent="0.25">
      <c r="A6684" s="16" t="s">
        <v>7614</v>
      </c>
      <c r="B6684" s="16" t="str">
        <f>TEXT(PARTIDA[[#This Row],[PARTIDA]],"0000000000")</f>
        <v>8465949000</v>
      </c>
      <c r="C6684" s="16" t="s">
        <v>860</v>
      </c>
      <c r="D6684" s="16" t="s">
        <v>873</v>
      </c>
      <c r="E6684" s="16" t="s">
        <v>9480</v>
      </c>
      <c r="F6684" s="27" t="s">
        <v>14929</v>
      </c>
      <c r="G6684" s="27"/>
      <c r="H6684" s="16" t="str">
        <f>IF(ISBLANK(PARTIDAS!$G6684),PARTIDAS!$F6684,CONCATENATE(PARTIDAS!$F6684," (",PARTIDAS!$G6684,")"))</f>
        <v>Máquinas de curvar o ensamblar (los demás)</v>
      </c>
      <c r="I6684" s="16" t="s">
        <v>9427</v>
      </c>
    </row>
    <row r="6685" spans="1:9" x14ac:dyDescent="0.25">
      <c r="A6685" s="16" t="s">
        <v>7615</v>
      </c>
      <c r="B6685" s="16" t="str">
        <f>TEXT(PARTIDA[[#This Row],[PARTIDA]],"0000000000")</f>
        <v>8465951000</v>
      </c>
      <c r="C6685" s="16" t="s">
        <v>860</v>
      </c>
      <c r="D6685" s="16" t="s">
        <v>873</v>
      </c>
      <c r="E6685" s="16" t="s">
        <v>9480</v>
      </c>
      <c r="F6685" s="27" t="s">
        <v>14930</v>
      </c>
      <c r="G6685" s="27"/>
      <c r="H6685" s="16" t="str">
        <f>IF(ISBLANK(PARTIDAS!$G6685),PARTIDAS!$F6685,CONCATENATE(PARTIDAS!$F6685," (",PARTIDAS!$G6685,")"))</f>
        <v>Máquinas de taladrar o mortajar, de control numérico</v>
      </c>
      <c r="I6685" s="16" t="s">
        <v>9427</v>
      </c>
    </row>
    <row r="6686" spans="1:9" x14ac:dyDescent="0.25">
      <c r="A6686" s="16" t="s">
        <v>7616</v>
      </c>
      <c r="B6686" s="16" t="str">
        <f>TEXT(PARTIDA[[#This Row],[PARTIDA]],"0000000000")</f>
        <v>8465959000</v>
      </c>
      <c r="C6686" s="16" t="s">
        <v>860</v>
      </c>
      <c r="D6686" s="16" t="s">
        <v>873</v>
      </c>
      <c r="E6686" s="16" t="s">
        <v>9480</v>
      </c>
      <c r="F6686" s="27" t="s">
        <v>14931</v>
      </c>
      <c r="G6686" s="27"/>
      <c r="H6686" s="16" t="str">
        <f>IF(ISBLANK(PARTIDAS!$G6686),PARTIDAS!$F6686,CONCATENATE(PARTIDAS!$F6686," (",PARTIDAS!$G6686,")"))</f>
        <v>Máquinas de taladrar o mortajar (los demás)</v>
      </c>
      <c r="I6686" s="16" t="s">
        <v>9427</v>
      </c>
    </row>
    <row r="6687" spans="1:9" x14ac:dyDescent="0.25">
      <c r="A6687" s="16" t="s">
        <v>7617</v>
      </c>
      <c r="B6687" s="16" t="str">
        <f>TEXT(PARTIDA[[#This Row],[PARTIDA]],"0000000000")</f>
        <v>8465960000</v>
      </c>
      <c r="C6687" s="16" t="s">
        <v>860</v>
      </c>
      <c r="D6687" s="16" t="s">
        <v>873</v>
      </c>
      <c r="E6687" s="16" t="s">
        <v>9480</v>
      </c>
      <c r="F6687" s="27" t="s">
        <v>14932</v>
      </c>
      <c r="G6687" s="27"/>
      <c r="H6687" s="16" t="str">
        <f>IF(ISBLANK(PARTIDAS!$G6687),PARTIDAS!$F6687,CONCATENATE(PARTIDAS!$F6687," (",PARTIDAS!$G6687,")"))</f>
        <v>Máquinas de hendir, rebanar o desenrollar</v>
      </c>
      <c r="I6687" s="16" t="s">
        <v>9427</v>
      </c>
    </row>
    <row r="6688" spans="1:9" x14ac:dyDescent="0.25">
      <c r="A6688" s="16" t="s">
        <v>7618</v>
      </c>
      <c r="B6688" s="16" t="str">
        <f>TEXT(PARTIDA[[#This Row],[PARTIDA]],"0000000000")</f>
        <v>8465991000</v>
      </c>
      <c r="C6688" s="16" t="s">
        <v>860</v>
      </c>
      <c r="D6688" s="16" t="s">
        <v>873</v>
      </c>
      <c r="E6688" s="16" t="s">
        <v>9480</v>
      </c>
      <c r="F6688" s="27" t="s">
        <v>14933</v>
      </c>
      <c r="G6688" s="27"/>
      <c r="H6688" s="16" t="str">
        <f>IF(ISBLANK(PARTIDAS!$G6688),PARTIDAS!$F6688,CONCATENATE(PARTIDAS!$F6688," (",PARTIDAS!$G6688,")"))</f>
        <v>Máquinas herramienta (incluidas las de clavar, grapar, encolar o…, de control numérico</v>
      </c>
      <c r="I6688" s="16" t="s">
        <v>9427</v>
      </c>
    </row>
    <row r="6689" spans="1:9" x14ac:dyDescent="0.25">
      <c r="A6689" s="16" t="s">
        <v>7619</v>
      </c>
      <c r="B6689" s="16" t="str">
        <f>TEXT(PARTIDA[[#This Row],[PARTIDA]],"0000000000")</f>
        <v>8465999000</v>
      </c>
      <c r="C6689" s="16" t="s">
        <v>860</v>
      </c>
      <c r="D6689" s="16" t="s">
        <v>873</v>
      </c>
      <c r="E6689" s="16" t="s">
        <v>9480</v>
      </c>
      <c r="F6689" s="27" t="s">
        <v>7606</v>
      </c>
      <c r="G6689" s="27"/>
      <c r="H6689" s="16" t="str">
        <f>IF(ISBLANK(PARTIDAS!$G6689),PARTIDAS!$F6689,CONCATENATE(PARTIDAS!$F6689," (",PARTIDAS!$G6689,")"))</f>
        <v>Máquinas de aserrar</v>
      </c>
      <c r="I6689" s="16" t="s">
        <v>9427</v>
      </c>
    </row>
    <row r="6690" spans="1:9" x14ac:dyDescent="0.25">
      <c r="A6690" s="16" t="s">
        <v>7620</v>
      </c>
      <c r="B6690" s="16" t="str">
        <f>TEXT(PARTIDA[[#This Row],[PARTIDA]],"0000000000")</f>
        <v>8466100000</v>
      </c>
      <c r="C6690" s="16" t="s">
        <v>860</v>
      </c>
      <c r="D6690" s="16" t="s">
        <v>873</v>
      </c>
      <c r="E6690" s="16" t="s">
        <v>9478</v>
      </c>
      <c r="F6690" s="27" t="s">
        <v>876</v>
      </c>
      <c r="G6690" s="27"/>
      <c r="H6690" s="16" t="str">
        <f>IF(ISBLANK(PARTIDAS!$G6690),PARTIDAS!$F6690,CONCATENATE(PARTIDAS!$F6690," (",PARTIDAS!$G6690,")"))</f>
        <v>Herramientas</v>
      </c>
      <c r="I6690" s="16" t="s">
        <v>9477</v>
      </c>
    </row>
    <row r="6691" spans="1:9" x14ac:dyDescent="0.25">
      <c r="A6691" s="16" t="s">
        <v>7621</v>
      </c>
      <c r="B6691" s="16" t="str">
        <f>TEXT(PARTIDA[[#This Row],[PARTIDA]],"0000000000")</f>
        <v>8466200000</v>
      </c>
      <c r="C6691" s="16" t="s">
        <v>860</v>
      </c>
      <c r="D6691" s="16" t="s">
        <v>873</v>
      </c>
      <c r="E6691" s="16" t="s">
        <v>9478</v>
      </c>
      <c r="F6691" s="27" t="s">
        <v>14934</v>
      </c>
      <c r="G6691" s="27"/>
      <c r="H6691" s="16" t="str">
        <f>IF(ISBLANK(PARTIDAS!$G6691),PARTIDAS!$F6691,CONCATENATE(PARTIDAS!$F6691," (",PARTIDAS!$G6691,")"))</f>
        <v>Portapiezas</v>
      </c>
      <c r="I6691" s="16" t="s">
        <v>9427</v>
      </c>
    </row>
    <row r="6692" spans="1:9" x14ac:dyDescent="0.25">
      <c r="A6692" s="16" t="s">
        <v>7622</v>
      </c>
      <c r="B6692" s="16" t="str">
        <f>TEXT(PARTIDA[[#This Row],[PARTIDA]],"0000000000")</f>
        <v>8466300000</v>
      </c>
      <c r="C6692" s="16" t="s">
        <v>860</v>
      </c>
      <c r="D6692" s="16" t="s">
        <v>873</v>
      </c>
      <c r="E6692" s="16" t="s">
        <v>9478</v>
      </c>
      <c r="F6692" s="27" t="s">
        <v>14935</v>
      </c>
      <c r="G6692" s="27"/>
      <c r="H6692" s="16" t="str">
        <f>IF(ISBLANK(PARTIDAS!$G6692),PARTIDAS!$F6692,CONCATENATE(PARTIDAS!$F6692," (",PARTIDAS!$G6692,")"))</f>
        <v>Divisores y demás dispositivos especiales para ser montados en las máquinas</v>
      </c>
      <c r="I6692" s="16" t="s">
        <v>9427</v>
      </c>
    </row>
    <row r="6693" spans="1:9" x14ac:dyDescent="0.25">
      <c r="A6693" s="16" t="s">
        <v>7623</v>
      </c>
      <c r="B6693" s="16" t="str">
        <f>TEXT(PARTIDA[[#This Row],[PARTIDA]],"0000000000")</f>
        <v>8466910000</v>
      </c>
      <c r="C6693" s="16" t="s">
        <v>860</v>
      </c>
      <c r="D6693" s="16" t="s">
        <v>873</v>
      </c>
      <c r="E6693" s="16" t="s">
        <v>9478</v>
      </c>
      <c r="F6693" s="27" t="s">
        <v>14936</v>
      </c>
      <c r="G6693" s="27"/>
      <c r="H6693" s="16" t="str">
        <f>IF(ISBLANK(PARTIDAS!$G6693),PARTIDAS!$F6693,CONCATENATE(PARTIDAS!$F6693," (",PARTIDAS!$G6693,")"))</f>
        <v>Partes y accesorios identificables como destinados, exclusiva o…, para máquinas de la partida 84.64</v>
      </c>
      <c r="I6693" s="16" t="s">
        <v>9427</v>
      </c>
    </row>
    <row r="6694" spans="1:9" x14ac:dyDescent="0.25">
      <c r="A6694" s="16" t="s">
        <v>7624</v>
      </c>
      <c r="B6694" s="16" t="str">
        <f>TEXT(PARTIDA[[#This Row],[PARTIDA]],"0000000000")</f>
        <v>8466920000</v>
      </c>
      <c r="C6694" s="16" t="s">
        <v>860</v>
      </c>
      <c r="D6694" s="16" t="s">
        <v>873</v>
      </c>
      <c r="E6694" s="16" t="s">
        <v>9478</v>
      </c>
      <c r="F6694" s="27" t="s">
        <v>7097</v>
      </c>
      <c r="G6694" s="27"/>
      <c r="H6694" s="16" t="str">
        <f>IF(ISBLANK(PARTIDAS!$G6694),PARTIDAS!$F6694,CONCATENATE(PARTIDAS!$F6694," (",PARTIDAS!$G6694,")"))</f>
        <v>Partes de máquinas</v>
      </c>
      <c r="I6694" s="16" t="s">
        <v>9427</v>
      </c>
    </row>
    <row r="6695" spans="1:9" x14ac:dyDescent="0.25">
      <c r="A6695" s="16" t="s">
        <v>7625</v>
      </c>
      <c r="B6695" s="16" t="str">
        <f>TEXT(PARTIDA[[#This Row],[PARTIDA]],"0000000000")</f>
        <v>8466930000</v>
      </c>
      <c r="C6695" s="16" t="s">
        <v>860</v>
      </c>
      <c r="D6695" s="16" t="s">
        <v>873</v>
      </c>
      <c r="E6695" s="16" t="s">
        <v>9478</v>
      </c>
      <c r="F6695" s="27" t="s">
        <v>14937</v>
      </c>
      <c r="G6695" s="27"/>
      <c r="H6695" s="16" t="str">
        <f>IF(ISBLANK(PARTIDAS!$G6695),PARTIDAS!$F6695,CONCATENATE(PARTIDAS!$F6695," (",PARTIDAS!$G6695,")"))</f>
        <v>Partes y accesorios identificables como destinados, exclusiva o…, para máquinas de las partidas 84.56 a 84.61</v>
      </c>
      <c r="I6695" s="16" t="s">
        <v>9427</v>
      </c>
    </row>
    <row r="6696" spans="1:9" x14ac:dyDescent="0.25">
      <c r="A6696" s="16" t="s">
        <v>7626</v>
      </c>
      <c r="B6696" s="16" t="str">
        <f>TEXT(PARTIDA[[#This Row],[PARTIDA]],"0000000000")</f>
        <v>8466940000</v>
      </c>
      <c r="C6696" s="16" t="s">
        <v>860</v>
      </c>
      <c r="D6696" s="16" t="s">
        <v>873</v>
      </c>
      <c r="E6696" s="16" t="s">
        <v>9478</v>
      </c>
      <c r="F6696" s="27" t="s">
        <v>14938</v>
      </c>
      <c r="G6696" s="27"/>
      <c r="H6696" s="16" t="str">
        <f>IF(ISBLANK(PARTIDAS!$G6696),PARTIDAS!$F6696,CONCATENATE(PARTIDAS!$F6696," (",PARTIDAS!$G6696,")"))</f>
        <v>Partes y accesorios identificables como destinados, exclusiva o…, para máquinas de las partidas 84.62 u 84.63</v>
      </c>
      <c r="I6696" s="16" t="s">
        <v>9427</v>
      </c>
    </row>
    <row r="6697" spans="1:9" x14ac:dyDescent="0.25">
      <c r="A6697" s="16" t="s">
        <v>7627</v>
      </c>
      <c r="B6697" s="16" t="str">
        <f>TEXT(PARTIDA[[#This Row],[PARTIDA]],"0000000000")</f>
        <v>8467111000</v>
      </c>
      <c r="C6697" s="16" t="s">
        <v>860</v>
      </c>
      <c r="D6697" s="16" t="s">
        <v>873</v>
      </c>
      <c r="E6697" s="16" t="s">
        <v>9480</v>
      </c>
      <c r="F6697" s="27" t="s">
        <v>14939</v>
      </c>
      <c r="G6697" s="27"/>
      <c r="H6697" s="16" t="str">
        <f>IF(ISBLANK(PARTIDAS!$G6697),PARTIDAS!$F6697,CONCATENATE(PARTIDAS!$F6697," (",PARTIDAS!$G6697,")"))</f>
        <v>Taladradoras, perforadoras y similares</v>
      </c>
      <c r="I6697" s="16" t="s">
        <v>9427</v>
      </c>
    </row>
    <row r="6698" spans="1:9" x14ac:dyDescent="0.25">
      <c r="A6698" s="16" t="s">
        <v>7628</v>
      </c>
      <c r="B6698" s="16" t="str">
        <f>TEXT(PARTIDA[[#This Row],[PARTIDA]],"0000000000")</f>
        <v>8467112000</v>
      </c>
      <c r="C6698" s="16" t="s">
        <v>860</v>
      </c>
      <c r="D6698" s="16" t="s">
        <v>873</v>
      </c>
      <c r="E6698" s="16" t="s">
        <v>9480</v>
      </c>
      <c r="F6698" s="27" t="s">
        <v>14940</v>
      </c>
      <c r="G6698" s="27"/>
      <c r="H6698" s="16" t="str">
        <f>IF(ISBLANK(PARTIDAS!$G6698),PARTIDAS!$F6698,CONCATENATE(PARTIDAS!$F6698," (",PARTIDAS!$G6698,")"))</f>
        <v>Rotativas (incluso de percusión), para poner y quitar tornillos, pernos y tuercas</v>
      </c>
      <c r="I6698" s="16" t="s">
        <v>9427</v>
      </c>
    </row>
    <row r="6699" spans="1:9" x14ac:dyDescent="0.25">
      <c r="A6699" s="16" t="s">
        <v>7629</v>
      </c>
      <c r="B6699" s="16" t="str">
        <f>TEXT(PARTIDA[[#This Row],[PARTIDA]],"0000000000")</f>
        <v>8467119000</v>
      </c>
      <c r="C6699" s="16" t="s">
        <v>860</v>
      </c>
      <c r="D6699" s="16" t="s">
        <v>873</v>
      </c>
      <c r="E6699" s="16" t="s">
        <v>9480</v>
      </c>
      <c r="F6699" s="27" t="s">
        <v>14941</v>
      </c>
      <c r="G6699" s="27"/>
      <c r="H6699" s="16" t="str">
        <f>IF(ISBLANK(PARTIDAS!$G6699),PARTIDAS!$F6699,CONCATENATE(PARTIDAS!$F6699," (",PARTIDAS!$G6699,")"))</f>
        <v>Rotativas (incluso de percusión) (los demás)</v>
      </c>
      <c r="I6699" s="16" t="s">
        <v>9427</v>
      </c>
    </row>
    <row r="6700" spans="1:9" x14ac:dyDescent="0.25">
      <c r="A6700" s="16" t="s">
        <v>7630</v>
      </c>
      <c r="B6700" s="16" t="str">
        <f>TEXT(PARTIDA[[#This Row],[PARTIDA]],"0000000000")</f>
        <v>8467191000</v>
      </c>
      <c r="C6700" s="16" t="s">
        <v>860</v>
      </c>
      <c r="D6700" s="16" t="s">
        <v>873</v>
      </c>
      <c r="E6700" s="16" t="s">
        <v>9480</v>
      </c>
      <c r="F6700" s="27" t="s">
        <v>14942</v>
      </c>
      <c r="G6700" s="27"/>
      <c r="H6700" s="16" t="str">
        <f>IF(ISBLANK(PARTIDAS!$G6700),PARTIDAS!$F6700,CONCATENATE(PARTIDAS!$F6700," (",PARTIDAS!$G6700,")"))</f>
        <v>Compactadores y apisonadoras</v>
      </c>
      <c r="I6700" s="16" t="s">
        <v>9427</v>
      </c>
    </row>
    <row r="6701" spans="1:9" x14ac:dyDescent="0.25">
      <c r="A6701" s="16" t="s">
        <v>7631</v>
      </c>
      <c r="B6701" s="16" t="str">
        <f>TEXT(PARTIDA[[#This Row],[PARTIDA]],"0000000000")</f>
        <v>8467192000</v>
      </c>
      <c r="C6701" s="16" t="s">
        <v>860</v>
      </c>
      <c r="D6701" s="16" t="s">
        <v>873</v>
      </c>
      <c r="E6701" s="16" t="s">
        <v>9480</v>
      </c>
      <c r="F6701" s="27" t="s">
        <v>14943</v>
      </c>
      <c r="G6701" s="27"/>
      <c r="H6701" s="16" t="str">
        <f>IF(ISBLANK(PARTIDAS!$G6701),PARTIDAS!$F6701,CONCATENATE(PARTIDAS!$F6701," (",PARTIDAS!$G6701,")"))</f>
        <v>Vibradoras de hormigón</v>
      </c>
      <c r="I6701" s="16" t="s">
        <v>9427</v>
      </c>
    </row>
    <row r="6702" spans="1:9" x14ac:dyDescent="0.25">
      <c r="A6702" s="16" t="s">
        <v>7632</v>
      </c>
      <c r="B6702" s="16" t="str">
        <f>TEXT(PARTIDA[[#This Row],[PARTIDA]],"0000000000")</f>
        <v>8467199000</v>
      </c>
      <c r="C6702" s="16" t="s">
        <v>860</v>
      </c>
      <c r="D6702" s="16" t="s">
        <v>873</v>
      </c>
      <c r="E6702" s="16" t="s">
        <v>9480</v>
      </c>
      <c r="F6702" s="27" t="s">
        <v>14944</v>
      </c>
      <c r="G6702" s="27"/>
      <c r="H6702" s="16" t="str">
        <f>IF(ISBLANK(PARTIDAS!$G6702),PARTIDAS!$F6702,CONCATENATE(PARTIDAS!$F6702," (",PARTIDAS!$G6702,")"))</f>
        <v>Neumáticas (los demás)</v>
      </c>
      <c r="I6702" s="16" t="s">
        <v>9427</v>
      </c>
    </row>
    <row r="6703" spans="1:9" x14ac:dyDescent="0.25">
      <c r="A6703" s="16" t="s">
        <v>7633</v>
      </c>
      <c r="B6703" s="16" t="str">
        <f>TEXT(PARTIDA[[#This Row],[PARTIDA]],"0000000000")</f>
        <v>8467210000</v>
      </c>
      <c r="C6703" s="16" t="s">
        <v>860</v>
      </c>
      <c r="D6703" s="16" t="s">
        <v>873</v>
      </c>
      <c r="E6703" s="16" t="s">
        <v>876</v>
      </c>
      <c r="F6703" s="27" t="s">
        <v>7634</v>
      </c>
      <c r="G6703" s="27"/>
      <c r="H6703" s="16" t="str">
        <f>IF(ISBLANK(PARTIDAS!$G6703),PARTIDAS!$F6703,CONCATENATE(PARTIDAS!$F6703," (",PARTIDAS!$G6703,")"))</f>
        <v>Taladros</v>
      </c>
      <c r="I6703" s="16" t="s">
        <v>9477</v>
      </c>
    </row>
    <row r="6704" spans="1:9" x14ac:dyDescent="0.25">
      <c r="A6704" s="16" t="s">
        <v>7635</v>
      </c>
      <c r="B6704" s="16" t="str">
        <f>TEXT(PARTIDA[[#This Row],[PARTIDA]],"0000000000")</f>
        <v>8467220000</v>
      </c>
      <c r="C6704" s="16" t="s">
        <v>860</v>
      </c>
      <c r="D6704" s="16" t="s">
        <v>873</v>
      </c>
      <c r="E6704" s="16" t="s">
        <v>9480</v>
      </c>
      <c r="F6704" s="27" t="s">
        <v>14945</v>
      </c>
      <c r="G6704" s="27"/>
      <c r="H6704" s="16" t="str">
        <f>IF(ISBLANK(PARTIDAS!$G6704),PARTIDAS!$F6704,CONCATENATE(PARTIDAS!$F6704," (",PARTIDAS!$G6704,")"))</f>
        <v>Sierras, incluidas las tronzadoras</v>
      </c>
      <c r="I6704" s="16" t="s">
        <v>9427</v>
      </c>
    </row>
    <row r="6705" spans="1:9" x14ac:dyDescent="0.25">
      <c r="A6705" s="16" t="s">
        <v>7636</v>
      </c>
      <c r="B6705" s="16" t="str">
        <f>TEXT(PARTIDA[[#This Row],[PARTIDA]],"0000000000")</f>
        <v>8467290000</v>
      </c>
      <c r="C6705" s="16" t="s">
        <v>860</v>
      </c>
      <c r="D6705" s="16" t="s">
        <v>873</v>
      </c>
      <c r="E6705" s="16" t="s">
        <v>876</v>
      </c>
      <c r="F6705" s="27" t="s">
        <v>9256</v>
      </c>
      <c r="G6705" s="27"/>
      <c r="H6705" s="16" t="str">
        <f>IF(ISBLANK(PARTIDAS!$G6705),PARTIDAS!$F6705,CONCATENATE(PARTIDAS!$F6705," (",PARTIDAS!$G6705,")"))</f>
        <v>Herramientas neumáticas, hidráulicas o con motor…, con motor eléctrico incorporado (los demás)</v>
      </c>
      <c r="I6705" s="16" t="s">
        <v>9477</v>
      </c>
    </row>
    <row r="6706" spans="1:9" x14ac:dyDescent="0.25">
      <c r="A6706" s="16" t="s">
        <v>7637</v>
      </c>
      <c r="B6706" s="16" t="str">
        <f>TEXT(PARTIDA[[#This Row],[PARTIDA]],"0000000000")</f>
        <v>8467810000</v>
      </c>
      <c r="C6706" s="16" t="s">
        <v>860</v>
      </c>
      <c r="D6706" s="16" t="s">
        <v>873</v>
      </c>
      <c r="E6706" s="16" t="s">
        <v>9480</v>
      </c>
      <c r="F6706" s="27" t="s">
        <v>14946</v>
      </c>
      <c r="G6706" s="27"/>
      <c r="H6706" s="16" t="str">
        <f>IF(ISBLANK(PARTIDAS!$G6706),PARTIDAS!$F6706,CONCATENATE(PARTIDAS!$F6706," (",PARTIDAS!$G6706,")"))</f>
        <v>Sierras o tronzadoras, de cadena</v>
      </c>
      <c r="I6706" s="16" t="s">
        <v>9427</v>
      </c>
    </row>
    <row r="6707" spans="1:9" x14ac:dyDescent="0.25">
      <c r="A6707" s="16" t="s">
        <v>7638</v>
      </c>
      <c r="B6707" s="16" t="str">
        <f>TEXT(PARTIDA[[#This Row],[PARTIDA]],"0000000000")</f>
        <v>8467891000</v>
      </c>
      <c r="C6707" s="16" t="s">
        <v>860</v>
      </c>
      <c r="D6707" s="16" t="s">
        <v>873</v>
      </c>
      <c r="E6707" s="16" t="s">
        <v>9480</v>
      </c>
      <c r="F6707" s="27" t="s">
        <v>14947</v>
      </c>
      <c r="G6707" s="27"/>
      <c r="H6707" s="16" t="str">
        <f>IF(ISBLANK(PARTIDAS!$G6707),PARTIDAS!$F6707,CONCATENATE(PARTIDAS!$F6707," (",PARTIDAS!$G6707,")"))</f>
        <v>Sierras o tronzadoras, excepto de cadena</v>
      </c>
      <c r="I6707" s="16" t="s">
        <v>9427</v>
      </c>
    </row>
    <row r="6708" spans="1:9" x14ac:dyDescent="0.25">
      <c r="A6708" s="16" t="s">
        <v>7639</v>
      </c>
      <c r="B6708" s="16" t="str">
        <f>TEXT(PARTIDA[[#This Row],[PARTIDA]],"0000000000")</f>
        <v>8467899000</v>
      </c>
      <c r="C6708" s="16" t="s">
        <v>860</v>
      </c>
      <c r="D6708" s="16" t="s">
        <v>873</v>
      </c>
      <c r="E6708" s="16" t="s">
        <v>9480</v>
      </c>
      <c r="F6708" s="27" t="s">
        <v>876</v>
      </c>
      <c r="G6708" s="27"/>
      <c r="H6708" s="16" t="str">
        <f>IF(ISBLANK(PARTIDAS!$G6708),PARTIDAS!$F6708,CONCATENATE(PARTIDAS!$F6708," (",PARTIDAS!$G6708,")"))</f>
        <v>Herramientas</v>
      </c>
      <c r="I6708" s="16" t="s">
        <v>9427</v>
      </c>
    </row>
    <row r="6709" spans="1:9" x14ac:dyDescent="0.25">
      <c r="A6709" s="16" t="s">
        <v>7640</v>
      </c>
      <c r="B6709" s="16" t="str">
        <f>TEXT(PARTIDA[[#This Row],[PARTIDA]],"0000000000")</f>
        <v>8467910000</v>
      </c>
      <c r="C6709" s="16" t="s">
        <v>860</v>
      </c>
      <c r="D6709" s="16" t="s">
        <v>873</v>
      </c>
      <c r="E6709" s="16" t="s">
        <v>9480</v>
      </c>
      <c r="F6709" s="27" t="s">
        <v>14948</v>
      </c>
      <c r="G6709" s="27"/>
      <c r="H6709" s="16" t="str">
        <f>IF(ISBLANK(PARTIDAS!$G6709),PARTIDAS!$F6709,CONCATENATE(PARTIDAS!$F6709," (",PARTIDAS!$G6709,")"))</f>
        <v>Herramientas neumáticas, hidráulicas o con motor…, partes, de sierras o tronzadoras, de cadena</v>
      </c>
      <c r="I6709" s="16" t="s">
        <v>9427</v>
      </c>
    </row>
    <row r="6710" spans="1:9" x14ac:dyDescent="0.25">
      <c r="A6710" s="16" t="s">
        <v>7641</v>
      </c>
      <c r="B6710" s="16" t="str">
        <f>TEXT(PARTIDA[[#This Row],[PARTIDA]],"0000000000")</f>
        <v>8467920000</v>
      </c>
      <c r="C6710" s="16" t="s">
        <v>860</v>
      </c>
      <c r="D6710" s="16" t="s">
        <v>873</v>
      </c>
      <c r="E6710" s="16" t="s">
        <v>9480</v>
      </c>
      <c r="F6710" s="27" t="s">
        <v>14949</v>
      </c>
      <c r="G6710" s="27"/>
      <c r="H6710" s="16" t="str">
        <f>IF(ISBLANK(PARTIDAS!$G6710),PARTIDAS!$F6710,CONCATENATE(PARTIDAS!$F6710," (",PARTIDAS!$G6710,")"))</f>
        <v>Herramientas neumáticas, hidráulicas o con motor…, partes, de herramientas neumáticas</v>
      </c>
      <c r="I6710" s="16" t="s">
        <v>9427</v>
      </c>
    </row>
    <row r="6711" spans="1:9" x14ac:dyDescent="0.25">
      <c r="A6711" s="16" t="s">
        <v>7642</v>
      </c>
      <c r="B6711" s="16" t="str">
        <f>TEXT(PARTIDA[[#This Row],[PARTIDA]],"0000000000")</f>
        <v>8467990000</v>
      </c>
      <c r="C6711" s="16" t="s">
        <v>860</v>
      </c>
      <c r="D6711" s="16" t="s">
        <v>873</v>
      </c>
      <c r="E6711" s="16" t="s">
        <v>876</v>
      </c>
      <c r="F6711" s="27" t="s">
        <v>9258</v>
      </c>
      <c r="G6711" s="27"/>
      <c r="H6711" s="16" t="str">
        <f>IF(ISBLANK(PARTIDAS!$G6711),PARTIDAS!$F6711,CONCATENATE(PARTIDAS!$F6711," (",PARTIDAS!$G6711,")"))</f>
        <v>Herramientas neumáticas, hidráulicas o con motor…, partes (los demás)</v>
      </c>
      <c r="I6711" s="16" t="s">
        <v>9477</v>
      </c>
    </row>
    <row r="6712" spans="1:9" x14ac:dyDescent="0.25">
      <c r="A6712" s="16" t="s">
        <v>7643</v>
      </c>
      <c r="B6712" s="16" t="str">
        <f>TEXT(PARTIDA[[#This Row],[PARTIDA]],"0000000000")</f>
        <v>8468100000</v>
      </c>
      <c r="C6712" s="16" t="s">
        <v>860</v>
      </c>
      <c r="D6712" s="16" t="s">
        <v>873</v>
      </c>
      <c r="E6712" s="16" t="s">
        <v>9480</v>
      </c>
      <c r="F6712" s="27" t="s">
        <v>14950</v>
      </c>
      <c r="G6712" s="27"/>
      <c r="H6712" s="16" t="str">
        <f>IF(ISBLANK(PARTIDAS!$G6712),PARTIDAS!$F6712,CONCATENATE(PARTIDAS!$F6712," (",PARTIDAS!$G6712,")"))</f>
        <v>Sopletes manuales</v>
      </c>
      <c r="I6712" s="16" t="s">
        <v>9427</v>
      </c>
    </row>
    <row r="6713" spans="1:9" x14ac:dyDescent="0.25">
      <c r="A6713" s="16" t="s">
        <v>7644</v>
      </c>
      <c r="B6713" s="16" t="str">
        <f>TEXT(PARTIDA[[#This Row],[PARTIDA]],"0000000000")</f>
        <v>8468201000</v>
      </c>
      <c r="C6713" s="16" t="s">
        <v>860</v>
      </c>
      <c r="D6713" s="16" t="s">
        <v>873</v>
      </c>
      <c r="E6713" s="16" t="s">
        <v>9480</v>
      </c>
      <c r="F6713" s="27" t="s">
        <v>14951</v>
      </c>
      <c r="G6713" s="27"/>
      <c r="H6713" s="16" t="str">
        <f>IF(ISBLANK(PARTIDAS!$G6713),PARTIDAS!$F6713,CONCATENATE(PARTIDAS!$F6713," (",PARTIDAS!$G6713,")"))</f>
        <v>Máquinas y aparatos para soldar, aunque puedan cortar, para soldar, aunque puedan cortar</v>
      </c>
      <c r="I6713" s="16" t="s">
        <v>9427</v>
      </c>
    </row>
    <row r="6714" spans="1:9" x14ac:dyDescent="0.25">
      <c r="A6714" s="16" t="s">
        <v>7645</v>
      </c>
      <c r="B6714" s="16" t="str">
        <f>TEXT(PARTIDA[[#This Row],[PARTIDA]],"0000000000")</f>
        <v>8468209000</v>
      </c>
      <c r="C6714" s="16" t="s">
        <v>860</v>
      </c>
      <c r="D6714" s="16" t="s">
        <v>873</v>
      </c>
      <c r="E6714" s="16" t="s">
        <v>9480</v>
      </c>
      <c r="F6714" s="27" t="s">
        <v>14952</v>
      </c>
      <c r="G6714" s="27"/>
      <c r="H6714" s="16" t="str">
        <f>IF(ISBLANK(PARTIDAS!$G6714),PARTIDAS!$F6714,CONCATENATE(PARTIDAS!$F6714," (",PARTIDAS!$G6714,")"))</f>
        <v>Máquinas y aparatos para soldar, aunque puedan cortar (los demás)</v>
      </c>
      <c r="I6714" s="16" t="s">
        <v>9427</v>
      </c>
    </row>
    <row r="6715" spans="1:9" x14ac:dyDescent="0.25">
      <c r="A6715" s="16" t="s">
        <v>7646</v>
      </c>
      <c r="B6715" s="16" t="str">
        <f>TEXT(PARTIDA[[#This Row],[PARTIDA]],"0000000000")</f>
        <v>8468800000</v>
      </c>
      <c r="C6715" s="16" t="s">
        <v>860</v>
      </c>
      <c r="D6715" s="16" t="s">
        <v>873</v>
      </c>
      <c r="E6715" s="16" t="s">
        <v>9480</v>
      </c>
      <c r="F6715" s="27" t="s">
        <v>14953</v>
      </c>
      <c r="G6715" s="27"/>
      <c r="H6715" s="16" t="str">
        <f>IF(ISBLANK(PARTIDAS!$G6715),PARTIDAS!$F6715,CONCATENATE(PARTIDAS!$F6715," (",PARTIDAS!$G6715,")"))</f>
        <v>Máquinas y aparatos para soldar, aunque puedan cortar (los demás, máquinas y aparatos)</v>
      </c>
      <c r="I6715" s="16" t="s">
        <v>9427</v>
      </c>
    </row>
    <row r="6716" spans="1:9" x14ac:dyDescent="0.25">
      <c r="A6716" s="16" t="s">
        <v>7647</v>
      </c>
      <c r="B6716" s="16" t="str">
        <f>TEXT(PARTIDA[[#This Row],[PARTIDA]],"0000000000")</f>
        <v>8468900000</v>
      </c>
      <c r="C6716" s="16" t="s">
        <v>860</v>
      </c>
      <c r="D6716" s="16" t="s">
        <v>873</v>
      </c>
      <c r="E6716" s="16" t="s">
        <v>9480</v>
      </c>
      <c r="F6716" s="27" t="s">
        <v>14954</v>
      </c>
      <c r="G6716" s="27"/>
      <c r="H6716" s="16" t="str">
        <f>IF(ISBLANK(PARTIDAS!$G6716),PARTIDAS!$F6716,CONCATENATE(PARTIDAS!$F6716," (",PARTIDAS!$G6716,")"))</f>
        <v>Máquinas y aparatos para soldar, aunque puedan cortar, partes</v>
      </c>
      <c r="I6716" s="16" t="s">
        <v>9427</v>
      </c>
    </row>
    <row r="6717" spans="1:9" x14ac:dyDescent="0.25">
      <c r="A6717" s="16" t="s">
        <v>7648</v>
      </c>
      <c r="B6717" s="16" t="str">
        <f>TEXT(PARTIDA[[#This Row],[PARTIDA]],"0000000000")</f>
        <v>8470100000</v>
      </c>
      <c r="C6717" s="16" t="s">
        <v>860</v>
      </c>
      <c r="D6717" s="16" t="s">
        <v>873</v>
      </c>
      <c r="E6717" s="16" t="s">
        <v>874</v>
      </c>
      <c r="F6717" s="27" t="s">
        <v>14955</v>
      </c>
      <c r="G6717" s="27"/>
      <c r="H6717" s="16" t="str">
        <f>IF(ISBLANK(PARTIDAS!$G6717),PARTIDAS!$F6717,CONCATENATE(PARTIDAS!$F6717," (",PARTIDAS!$G6717,")"))</f>
        <v>Calculadoras electrónicas que puedan funcionar sin fuente de energía eléctrica exterior y máquinas de bolsillo registradoras, reproductoras y visualiz</v>
      </c>
      <c r="I6717" s="16" t="s">
        <v>9427</v>
      </c>
    </row>
    <row r="6718" spans="1:9" x14ac:dyDescent="0.25">
      <c r="A6718" s="16" t="s">
        <v>7649</v>
      </c>
      <c r="B6718" s="16" t="str">
        <f>TEXT(PARTIDA[[#This Row],[PARTIDA]],"0000000000")</f>
        <v>8470210000</v>
      </c>
      <c r="C6718" s="16" t="s">
        <v>860</v>
      </c>
      <c r="D6718" s="16" t="s">
        <v>873</v>
      </c>
      <c r="E6718" s="16" t="s">
        <v>874</v>
      </c>
      <c r="F6718" s="27" t="s">
        <v>14956</v>
      </c>
      <c r="G6718" s="27"/>
      <c r="H6718" s="16" t="str">
        <f>IF(ISBLANK(PARTIDAS!$G6718),PARTIDAS!$F6718,CONCATENATE(PARTIDAS!$F6718," (",PARTIDAS!$G6718,")"))</f>
        <v>Máquinas de calcular y máquinas de bolsillo registradoras…, con dispositivo de impresión incorporado</v>
      </c>
      <c r="I6718" s="16" t="s">
        <v>9427</v>
      </c>
    </row>
    <row r="6719" spans="1:9" x14ac:dyDescent="0.25">
      <c r="A6719" s="16" t="s">
        <v>7650</v>
      </c>
      <c r="B6719" s="16" t="str">
        <f>TEXT(PARTIDA[[#This Row],[PARTIDA]],"0000000000")</f>
        <v>8470290000</v>
      </c>
      <c r="C6719" s="16" t="s">
        <v>860</v>
      </c>
      <c r="D6719" s="16" t="s">
        <v>873</v>
      </c>
      <c r="E6719" s="16" t="s">
        <v>874</v>
      </c>
      <c r="F6719" s="27" t="s">
        <v>14957</v>
      </c>
      <c r="G6719" s="27"/>
      <c r="H6719" s="16" t="str">
        <f>IF(ISBLANK(PARTIDAS!$G6719),PARTIDAS!$F6719,CONCATENATE(PARTIDAS!$F6719," (",PARTIDAS!$G6719,")"))</f>
        <v>Máquinas de calcular y máquinas de bolsillo registradoras… (los demás)</v>
      </c>
      <c r="I6719" s="16" t="s">
        <v>9427</v>
      </c>
    </row>
    <row r="6720" spans="1:9" x14ac:dyDescent="0.25">
      <c r="A6720" s="16" t="s">
        <v>7651</v>
      </c>
      <c r="B6720" s="16" t="str">
        <f>TEXT(PARTIDA[[#This Row],[PARTIDA]],"0000000000")</f>
        <v>8470300000</v>
      </c>
      <c r="C6720" s="16" t="s">
        <v>860</v>
      </c>
      <c r="D6720" s="16" t="s">
        <v>873</v>
      </c>
      <c r="E6720" s="16" t="s">
        <v>874</v>
      </c>
      <c r="F6720" s="27" t="s">
        <v>14958</v>
      </c>
      <c r="G6720" s="27"/>
      <c r="H6720" s="16" t="str">
        <f>IF(ISBLANK(PARTIDAS!$G6720),PARTIDAS!$F6720,CONCATENATE(PARTIDAS!$F6720," (",PARTIDAS!$G6720,")"))</f>
        <v>Máquinas de calcular y máquinas de bolsillo registradoras… (los demás, máquinas de calcular)</v>
      </c>
      <c r="I6720" s="16" t="s">
        <v>9427</v>
      </c>
    </row>
    <row r="6721" spans="1:9" x14ac:dyDescent="0.25">
      <c r="A6721" s="16" t="s">
        <v>7652</v>
      </c>
      <c r="B6721" s="16" t="str">
        <f>TEXT(PARTIDA[[#This Row],[PARTIDA]],"0000000000")</f>
        <v>8470500000</v>
      </c>
      <c r="C6721" s="16" t="s">
        <v>860</v>
      </c>
      <c r="D6721" s="16" t="s">
        <v>873</v>
      </c>
      <c r="E6721" s="16" t="s">
        <v>874</v>
      </c>
      <c r="F6721" s="27" t="s">
        <v>14959</v>
      </c>
      <c r="G6721" s="27"/>
      <c r="H6721" s="16" t="str">
        <f>IF(ISBLANK(PARTIDAS!$G6721),PARTIDAS!$F6721,CONCATENATE(PARTIDAS!$F6721," (",PARTIDAS!$G6721,")"))</f>
        <v>Cajas registradoras</v>
      </c>
      <c r="I6721" s="16" t="s">
        <v>9427</v>
      </c>
    </row>
    <row r="6722" spans="1:9" x14ac:dyDescent="0.25">
      <c r="A6722" s="16" t="s">
        <v>7653</v>
      </c>
      <c r="B6722" s="16" t="str">
        <f>TEXT(PARTIDA[[#This Row],[PARTIDA]],"0000000000")</f>
        <v>8470901000</v>
      </c>
      <c r="C6722" s="16" t="s">
        <v>860</v>
      </c>
      <c r="D6722" s="16" t="s">
        <v>873</v>
      </c>
      <c r="E6722" s="16" t="s">
        <v>874</v>
      </c>
      <c r="F6722" s="27" t="s">
        <v>14960</v>
      </c>
      <c r="G6722" s="27"/>
      <c r="H6722" s="16" t="str">
        <f>IF(ISBLANK(PARTIDAS!$G6722),PARTIDAS!$F6722,CONCATENATE(PARTIDAS!$F6722," (",PARTIDAS!$G6722,")"))</f>
        <v>Máquinas de calcular y máquinas de bolsillo registradoras…, de franquear</v>
      </c>
      <c r="I6722" s="16" t="s">
        <v>9427</v>
      </c>
    </row>
    <row r="6723" spans="1:9" x14ac:dyDescent="0.25">
      <c r="A6723" s="16" t="s">
        <v>7654</v>
      </c>
      <c r="B6723" s="16" t="str">
        <f>TEXT(PARTIDA[[#This Row],[PARTIDA]],"0000000000")</f>
        <v>8470902000</v>
      </c>
      <c r="C6723" s="16" t="s">
        <v>860</v>
      </c>
      <c r="D6723" s="16" t="s">
        <v>873</v>
      </c>
      <c r="E6723" s="16" t="s">
        <v>874</v>
      </c>
      <c r="F6723" s="27" t="s">
        <v>14961</v>
      </c>
      <c r="G6723" s="27"/>
      <c r="H6723" s="16" t="str">
        <f>IF(ISBLANK(PARTIDAS!$G6723),PARTIDAS!$F6723,CONCATENATE(PARTIDAS!$F6723," (",PARTIDAS!$G6723,")"))</f>
        <v>Máquinas de calcular y máquinas de bolsillo registradoras…, de expedir boletos (tiques)</v>
      </c>
      <c r="I6723" s="16" t="s">
        <v>9427</v>
      </c>
    </row>
    <row r="6724" spans="1:9" x14ac:dyDescent="0.25">
      <c r="A6724" s="16" t="s">
        <v>7655</v>
      </c>
      <c r="B6724" s="16" t="str">
        <f>TEXT(PARTIDA[[#This Row],[PARTIDA]],"0000000000")</f>
        <v>8470909000</v>
      </c>
      <c r="C6724" s="16" t="s">
        <v>860</v>
      </c>
      <c r="D6724" s="16" t="s">
        <v>873</v>
      </c>
      <c r="E6724" s="16" t="s">
        <v>874</v>
      </c>
      <c r="F6724" s="27" t="s">
        <v>14957</v>
      </c>
      <c r="G6724" s="27"/>
      <c r="H6724" s="16" t="str">
        <f>IF(ISBLANK(PARTIDAS!$G6724),PARTIDAS!$F6724,CONCATENATE(PARTIDAS!$F6724," (",PARTIDAS!$G6724,")"))</f>
        <v>Máquinas de calcular y máquinas de bolsillo registradoras… (los demás)</v>
      </c>
      <c r="I6724" s="16" t="s">
        <v>9427</v>
      </c>
    </row>
    <row r="6725" spans="1:9" x14ac:dyDescent="0.25">
      <c r="A6725" s="16" t="s">
        <v>7656</v>
      </c>
      <c r="B6725" s="16" t="str">
        <f>TEXT(PARTIDA[[#This Row],[PARTIDA]],"0000000000")</f>
        <v>8471300000</v>
      </c>
      <c r="C6725" s="16" t="s">
        <v>860</v>
      </c>
      <c r="D6725" s="16" t="s">
        <v>873</v>
      </c>
      <c r="E6725" s="16" t="s">
        <v>874</v>
      </c>
      <c r="F6725" s="27" t="s">
        <v>7657</v>
      </c>
      <c r="G6725" s="27"/>
      <c r="H6725" s="16" t="str">
        <f>IF(ISBLANK(PARTIDAS!$G6725),PARTIDAS!$F6725,CONCATENATE(PARTIDAS!$F6725," (",PARTIDAS!$G6725,")"))</f>
        <v>Computadoras</v>
      </c>
      <c r="I6725" s="16" t="s">
        <v>9427</v>
      </c>
    </row>
    <row r="6726" spans="1:9" x14ac:dyDescent="0.25">
      <c r="A6726" s="16" t="s">
        <v>7658</v>
      </c>
      <c r="B6726" s="16" t="str">
        <f>TEXT(PARTIDA[[#This Row],[PARTIDA]],"0000000000")</f>
        <v>8471410000</v>
      </c>
      <c r="C6726" s="16" t="s">
        <v>860</v>
      </c>
      <c r="D6726" s="16" t="s">
        <v>873</v>
      </c>
      <c r="E6726" s="16" t="s">
        <v>874</v>
      </c>
      <c r="F6726" s="27" t="s">
        <v>14962</v>
      </c>
      <c r="G6726" s="27"/>
      <c r="H6726" s="16" t="str">
        <f>IF(ISBLANK(PARTIDAS!$G6726),PARTIDAS!$F6726,CONCATENATE(PARTIDAS!$F6726," (",PARTIDAS!$G6726,")"))</f>
        <v xml:space="preserve">Máquinas automáticas para tratamiento o procesamiento de datos y sus…, que incluyan en la misma envoltura, al menos, una unidad central de proceso y, </v>
      </c>
      <c r="I6726" s="16" t="s">
        <v>9427</v>
      </c>
    </row>
    <row r="6727" spans="1:9" x14ac:dyDescent="0.25">
      <c r="A6727" s="16" t="s">
        <v>7659</v>
      </c>
      <c r="B6727" s="16" t="str">
        <f>TEXT(PARTIDA[[#This Row],[PARTIDA]],"0000000000")</f>
        <v>8471490000</v>
      </c>
      <c r="C6727" s="16" t="s">
        <v>860</v>
      </c>
      <c r="D6727" s="16" t="s">
        <v>873</v>
      </c>
      <c r="E6727" s="16" t="s">
        <v>874</v>
      </c>
      <c r="F6727" s="27" t="s">
        <v>14963</v>
      </c>
      <c r="G6727" s="27"/>
      <c r="H6727" s="16" t="str">
        <f>IF(ISBLANK(PARTIDAS!$G6727),PARTIDAS!$F6727,CONCATENATE(PARTIDAS!$F6727," (",PARTIDAS!$G6727,")"))</f>
        <v>Máquinas automáticas para tratamiento o procesamiento de datos y sus… (los demás, presentadas en forma de sistemas)</v>
      </c>
      <c r="I6727" s="16" t="s">
        <v>9427</v>
      </c>
    </row>
    <row r="6728" spans="1:9" x14ac:dyDescent="0.25">
      <c r="A6728" s="16" t="s">
        <v>7660</v>
      </c>
      <c r="B6728" s="16" t="str">
        <f>TEXT(PARTIDA[[#This Row],[PARTIDA]],"0000000000")</f>
        <v>8471500000</v>
      </c>
      <c r="C6728" s="16" t="s">
        <v>860</v>
      </c>
      <c r="D6728" s="16" t="s">
        <v>873</v>
      </c>
      <c r="E6728" s="16" t="s">
        <v>874</v>
      </c>
      <c r="F6728" s="27" t="s">
        <v>14964</v>
      </c>
      <c r="G6728" s="27"/>
      <c r="H6728" s="16" t="str">
        <f>IF(ISBLANK(PARTIDAS!$G6728),PARTIDAS!$F6728,CONCATENATE(PARTIDAS!$F6728," (",PARTIDAS!$G6728,")"))</f>
        <v>Unidades de proceso, excepto las de las subpartidas 8471.41 u 8471.49, aunque incluyan en la misma envoltura uno o dos de los tipos siguientes de unid</v>
      </c>
      <c r="I6728" s="16" t="s">
        <v>9427</v>
      </c>
    </row>
    <row r="6729" spans="1:9" x14ac:dyDescent="0.25">
      <c r="A6729" s="16" t="s">
        <v>7661</v>
      </c>
      <c r="B6729" s="16" t="str">
        <f>TEXT(PARTIDA[[#This Row],[PARTIDA]],"0000000000")</f>
        <v>8471602000</v>
      </c>
      <c r="C6729" s="16" t="s">
        <v>860</v>
      </c>
      <c r="D6729" s="16" t="s">
        <v>873</v>
      </c>
      <c r="E6729" s="16" t="s">
        <v>874</v>
      </c>
      <c r="F6729" s="27" t="s">
        <v>14965</v>
      </c>
      <c r="G6729" s="27"/>
      <c r="H6729" s="16" t="str">
        <f>IF(ISBLANK(PARTIDAS!$G6729),PARTIDAS!$F6729,CONCATENATE(PARTIDAS!$F6729," (",PARTIDAS!$G6729,")"))</f>
        <v>Teclados, dispositivos por coordenadas x-y</v>
      </c>
      <c r="I6729" s="16" t="s">
        <v>9427</v>
      </c>
    </row>
    <row r="6730" spans="1:9" x14ac:dyDescent="0.25">
      <c r="A6730" s="16" t="s">
        <v>7662</v>
      </c>
      <c r="B6730" s="16" t="str">
        <f>TEXT(PARTIDA[[#This Row],[PARTIDA]],"0000000000")</f>
        <v>8471609000</v>
      </c>
      <c r="C6730" s="16" t="s">
        <v>860</v>
      </c>
      <c r="D6730" s="16" t="s">
        <v>873</v>
      </c>
      <c r="E6730" s="16" t="s">
        <v>874</v>
      </c>
      <c r="F6730" s="27" t="s">
        <v>14966</v>
      </c>
      <c r="G6730" s="27"/>
      <c r="H6730" s="16" t="str">
        <f>IF(ISBLANK(PARTIDAS!$G6730),PARTIDAS!$F6730,CONCATENATE(PARTIDAS!$F6730," (",PARTIDAS!$G6730,")"))</f>
        <v>Unidades de entrada o salida, aunque incluyan unidades de memoria en… (los demás)</v>
      </c>
      <c r="I6730" s="16" t="s">
        <v>9427</v>
      </c>
    </row>
    <row r="6731" spans="1:9" x14ac:dyDescent="0.25">
      <c r="A6731" s="16" t="s">
        <v>7663</v>
      </c>
      <c r="B6731" s="16" t="str">
        <f>TEXT(PARTIDA[[#This Row],[PARTIDA]],"0000000000")</f>
        <v>8471700000</v>
      </c>
      <c r="C6731" s="16" t="s">
        <v>860</v>
      </c>
      <c r="D6731" s="16" t="s">
        <v>873</v>
      </c>
      <c r="E6731" s="16" t="s">
        <v>874</v>
      </c>
      <c r="F6731" s="27" t="s">
        <v>14967</v>
      </c>
      <c r="G6731" s="27"/>
      <c r="H6731" s="16" t="str">
        <f>IF(ISBLANK(PARTIDAS!$G6731),PARTIDAS!$F6731,CONCATENATE(PARTIDAS!$F6731," (",PARTIDAS!$G6731,")"))</f>
        <v>Unidades de memoria</v>
      </c>
      <c r="I6731" s="16" t="s">
        <v>9427</v>
      </c>
    </row>
    <row r="6732" spans="1:9" x14ac:dyDescent="0.25">
      <c r="A6732" s="16" t="s">
        <v>7664</v>
      </c>
      <c r="B6732" s="16" t="str">
        <f>TEXT(PARTIDA[[#This Row],[PARTIDA]],"0000000000")</f>
        <v>8471800000</v>
      </c>
      <c r="C6732" s="16" t="s">
        <v>860</v>
      </c>
      <c r="D6732" s="16" t="s">
        <v>873</v>
      </c>
      <c r="E6732" s="16" t="s">
        <v>874</v>
      </c>
      <c r="F6732" s="27" t="s">
        <v>14968</v>
      </c>
      <c r="G6732" s="27"/>
      <c r="H6732" s="16" t="str">
        <f>IF(ISBLANK(PARTIDAS!$G6732),PARTIDAS!$F6732,CONCATENATE(PARTIDAS!$F6732," (",PARTIDAS!$G6732,")"))</f>
        <v>Máquinas automáticas para tratamiento o procesamiento de datos y sus… (los demás, unidades de máquinas automáticas para tratamiento o procesamiento de</v>
      </c>
      <c r="I6732" s="16" t="s">
        <v>9427</v>
      </c>
    </row>
    <row r="6733" spans="1:9" x14ac:dyDescent="0.25">
      <c r="A6733" s="16" t="s">
        <v>7665</v>
      </c>
      <c r="B6733" s="16" t="str">
        <f>TEXT(PARTIDA[[#This Row],[PARTIDA]],"0000000000")</f>
        <v>8471900000</v>
      </c>
      <c r="C6733" s="16" t="s">
        <v>860</v>
      </c>
      <c r="D6733" s="16" t="s">
        <v>873</v>
      </c>
      <c r="E6733" s="16" t="s">
        <v>874</v>
      </c>
      <c r="F6733" s="27" t="s">
        <v>14969</v>
      </c>
      <c r="G6733" s="27"/>
      <c r="H6733" s="16" t="str">
        <f>IF(ISBLANK(PARTIDAS!$G6733),PARTIDAS!$F6733,CONCATENATE(PARTIDAS!$F6733," (",PARTIDAS!$G6733,")"))</f>
        <v>Máquinas automáticas para tratamiento o procesamiento de datos y sus… (los demás)</v>
      </c>
      <c r="I6733" s="16" t="s">
        <v>9427</v>
      </c>
    </row>
    <row r="6734" spans="1:9" x14ac:dyDescent="0.25">
      <c r="A6734" s="16" t="s">
        <v>7666</v>
      </c>
      <c r="B6734" s="16" t="str">
        <f>TEXT(PARTIDA[[#This Row],[PARTIDA]],"0000000000")</f>
        <v>8472100000</v>
      </c>
      <c r="C6734" s="16" t="s">
        <v>860</v>
      </c>
      <c r="D6734" s="16" t="s">
        <v>873</v>
      </c>
      <c r="E6734" s="16" t="s">
        <v>874</v>
      </c>
      <c r="F6734" s="27" t="s">
        <v>14970</v>
      </c>
      <c r="G6734" s="27"/>
      <c r="H6734" s="16" t="str">
        <f>IF(ISBLANK(PARTIDAS!$G6734),PARTIDAS!$F6734,CONCATENATE(PARTIDAS!$F6734," (",PARTIDAS!$G6734,")"))</f>
        <v>Copiadoras, incluidos los mimeógrafos</v>
      </c>
      <c r="I6734" s="16" t="s">
        <v>9427</v>
      </c>
    </row>
    <row r="6735" spans="1:9" x14ac:dyDescent="0.25">
      <c r="A6735" s="16" t="s">
        <v>7667</v>
      </c>
      <c r="B6735" s="16" t="str">
        <f>TEXT(PARTIDA[[#This Row],[PARTIDA]],"0000000000")</f>
        <v>8472300000</v>
      </c>
      <c r="C6735" s="16" t="s">
        <v>860</v>
      </c>
      <c r="D6735" s="16" t="s">
        <v>873</v>
      </c>
      <c r="E6735" s="16" t="s">
        <v>874</v>
      </c>
      <c r="F6735" s="27" t="s">
        <v>14971</v>
      </c>
      <c r="G6735" s="27"/>
      <c r="H6735" s="16" t="str">
        <f>IF(ISBLANK(PARTIDAS!$G6735),PARTIDAS!$F6735,CONCATENATE(PARTIDAS!$F6735," (",PARTIDAS!$G6735,")"))</f>
        <v xml:space="preserve">Máquinas de clasificar, plegar, meter en sobres o colocar en fajas, correspondencia, máquinas de abrir, cerrar o precintar correspondencia y máquinas </v>
      </c>
      <c r="I6735" s="16" t="s">
        <v>9427</v>
      </c>
    </row>
    <row r="6736" spans="1:9" x14ac:dyDescent="0.25">
      <c r="A6736" s="16" t="s">
        <v>7668</v>
      </c>
      <c r="B6736" s="16" t="str">
        <f>TEXT(PARTIDA[[#This Row],[PARTIDA]],"0000000000")</f>
        <v>8472901000</v>
      </c>
      <c r="C6736" s="16" t="s">
        <v>860</v>
      </c>
      <c r="D6736" s="16" t="s">
        <v>873</v>
      </c>
      <c r="E6736" s="16" t="s">
        <v>874</v>
      </c>
      <c r="F6736" s="27" t="s">
        <v>14972</v>
      </c>
      <c r="G6736" s="27"/>
      <c r="H6736" s="16" t="str">
        <f>IF(ISBLANK(PARTIDAS!$G6736),PARTIDAS!$F6736,CONCATENATE(PARTIDAS!$F6736," (",PARTIDAS!$G6736,")"))</f>
        <v>Máquinas de clasificar o contar monedas o billetes de banco</v>
      </c>
      <c r="I6736" s="16" t="s">
        <v>9427</v>
      </c>
    </row>
    <row r="6737" spans="1:9" x14ac:dyDescent="0.25">
      <c r="A6737" s="16" t="s">
        <v>7669</v>
      </c>
      <c r="B6737" s="16" t="str">
        <f>TEXT(PARTIDA[[#This Row],[PARTIDA]],"0000000000")</f>
        <v>8472902000</v>
      </c>
      <c r="C6737" s="16" t="s">
        <v>860</v>
      </c>
      <c r="D6737" s="16" t="s">
        <v>873</v>
      </c>
      <c r="E6737" s="16" t="s">
        <v>874</v>
      </c>
      <c r="F6737" s="27" t="s">
        <v>14973</v>
      </c>
      <c r="G6737" s="27"/>
      <c r="H6737" s="16" t="str">
        <f>IF(ISBLANK(PARTIDAS!$G6737),PARTIDAS!$F6737,CONCATENATE(PARTIDAS!$F6737," (",PARTIDAS!$G6737,")"))</f>
        <v>Distribuidores automáticos de billetes de banco</v>
      </c>
      <c r="I6737" s="16" t="s">
        <v>9427</v>
      </c>
    </row>
    <row r="6738" spans="1:9" x14ac:dyDescent="0.25">
      <c r="A6738" s="16" t="s">
        <v>7670</v>
      </c>
      <c r="B6738" s="16" t="str">
        <f>TEXT(PARTIDA[[#This Row],[PARTIDA]],"0000000000")</f>
        <v>8472903000</v>
      </c>
      <c r="C6738" s="16" t="s">
        <v>860</v>
      </c>
      <c r="D6738" s="16" t="s">
        <v>873</v>
      </c>
      <c r="E6738" s="16" t="s">
        <v>874</v>
      </c>
      <c r="F6738" s="27" t="s">
        <v>14974</v>
      </c>
      <c r="G6738" s="27"/>
      <c r="H6738" s="16" t="str">
        <f>IF(ISBLANK(PARTIDAS!$G6738),PARTIDAS!$F6738,CONCATENATE(PARTIDAS!$F6738," (",PARTIDAS!$G6738,")"))</f>
        <v>Aparatos para autenticar cheques</v>
      </c>
      <c r="I6738" s="16" t="s">
        <v>9427</v>
      </c>
    </row>
    <row r="6739" spans="1:9" x14ac:dyDescent="0.25">
      <c r="A6739" s="16" t="s">
        <v>7671</v>
      </c>
      <c r="B6739" s="16" t="str">
        <f>TEXT(PARTIDA[[#This Row],[PARTIDA]],"0000000000")</f>
        <v>8472904000</v>
      </c>
      <c r="C6739" s="16" t="s">
        <v>860</v>
      </c>
      <c r="D6739" s="16" t="s">
        <v>873</v>
      </c>
      <c r="E6739" s="16" t="s">
        <v>874</v>
      </c>
      <c r="F6739" s="27" t="s">
        <v>14975</v>
      </c>
      <c r="G6739" s="27"/>
      <c r="H6739" s="16" t="str">
        <f>IF(ISBLANK(PARTIDAS!$G6739),PARTIDAS!$F6739,CONCATENATE(PARTIDAS!$F6739," (",PARTIDAS!$G6739,")"))</f>
        <v>Perforadoras o grapadoras</v>
      </c>
      <c r="I6739" s="16" t="s">
        <v>9427</v>
      </c>
    </row>
    <row r="6740" spans="1:9" x14ac:dyDescent="0.25">
      <c r="A6740" s="16" t="s">
        <v>7672</v>
      </c>
      <c r="B6740" s="16" t="str">
        <f>TEXT(PARTIDA[[#This Row],[PARTIDA]],"0000000000")</f>
        <v>8472905000</v>
      </c>
      <c r="C6740" s="16" t="s">
        <v>860</v>
      </c>
      <c r="D6740" s="16" t="s">
        <v>873</v>
      </c>
      <c r="E6740" s="16" t="s">
        <v>874</v>
      </c>
      <c r="F6740" s="27" t="s">
        <v>14976</v>
      </c>
      <c r="G6740" s="27"/>
      <c r="H6740" s="16" t="str">
        <f>IF(ISBLANK(PARTIDAS!$G6740),PARTIDAS!$F6740,CONCATENATE(PARTIDAS!$F6740," (",PARTIDAS!$G6740,")"))</f>
        <v>Cajeros automáticos</v>
      </c>
      <c r="I6740" s="16" t="s">
        <v>9427</v>
      </c>
    </row>
    <row r="6741" spans="1:9" x14ac:dyDescent="0.25">
      <c r="A6741" s="16" t="s">
        <v>7673</v>
      </c>
      <c r="B6741" s="16" t="str">
        <f>TEXT(PARTIDA[[#This Row],[PARTIDA]],"0000000000")</f>
        <v>8472909000</v>
      </c>
      <c r="C6741" s="16" t="s">
        <v>860</v>
      </c>
      <c r="D6741" s="16" t="s">
        <v>873</v>
      </c>
      <c r="E6741" s="16" t="s">
        <v>874</v>
      </c>
      <c r="F6741" s="27" t="s">
        <v>14463</v>
      </c>
      <c r="G6741" s="27"/>
      <c r="H6741" s="16" t="str">
        <f>IF(ISBLANK(PARTIDAS!$G6741),PARTIDAS!$F6741,CONCATENATE(PARTIDAS!$F6741," (",PARTIDAS!$G6741,")"))</f>
        <v>Reactores nucleares, calderas, máquinas, aparatos y artefactos… (los demás)</v>
      </c>
      <c r="I6741" s="16" t="s">
        <v>9427</v>
      </c>
    </row>
    <row r="6742" spans="1:9" x14ac:dyDescent="0.25">
      <c r="A6742" s="16" t="s">
        <v>7674</v>
      </c>
      <c r="B6742" s="16" t="str">
        <f>TEXT(PARTIDA[[#This Row],[PARTIDA]],"0000000000")</f>
        <v>8473210000</v>
      </c>
      <c r="C6742" s="16" t="s">
        <v>860</v>
      </c>
      <c r="D6742" s="16" t="s">
        <v>873</v>
      </c>
      <c r="E6742" s="16" t="s">
        <v>874</v>
      </c>
      <c r="F6742" s="27" t="s">
        <v>14977</v>
      </c>
      <c r="G6742" s="27"/>
      <c r="H6742" s="16" t="str">
        <f>IF(ISBLANK(PARTIDAS!$G6742),PARTIDAS!$F6742,CONCATENATE(PARTIDAS!$F6742," (",PARTIDAS!$G6742,")"))</f>
        <v>Partes y accesorios, partes y accesorios de máquinas de la partida 84.70, de máquinas de calcular electrónicas de las subpartidas 8470.10, 8470.21 u 8</v>
      </c>
      <c r="I6742" s="16" t="s">
        <v>9427</v>
      </c>
    </row>
    <row r="6743" spans="1:9" x14ac:dyDescent="0.25">
      <c r="A6743" s="16" t="s">
        <v>7675</v>
      </c>
      <c r="B6743" s="16" t="str">
        <f>TEXT(PARTIDA[[#This Row],[PARTIDA]],"0000000000")</f>
        <v>8473290000</v>
      </c>
      <c r="C6743" s="16" t="s">
        <v>860</v>
      </c>
      <c r="D6743" s="16" t="s">
        <v>873</v>
      </c>
      <c r="E6743" s="16" t="s">
        <v>874</v>
      </c>
      <c r="F6743" s="27" t="s">
        <v>14978</v>
      </c>
      <c r="G6743" s="27"/>
      <c r="H6743" s="16" t="str">
        <f>IF(ISBLANK(PARTIDAS!$G6743),PARTIDAS!$F6743,CONCATENATE(PARTIDAS!$F6743," (",PARTIDAS!$G6743,")"))</f>
        <v>Partes y accesorios, partes y accesorios de máquinas de la partida 84.70 (los demás)</v>
      </c>
      <c r="I6743" s="16" t="s">
        <v>9427</v>
      </c>
    </row>
    <row r="6744" spans="1:9" x14ac:dyDescent="0.25">
      <c r="A6744" s="16" t="s">
        <v>7676</v>
      </c>
      <c r="B6744" s="16" t="str">
        <f>TEXT(PARTIDA[[#This Row],[PARTIDA]],"0000000000")</f>
        <v>8473300000</v>
      </c>
      <c r="C6744" s="16" t="s">
        <v>860</v>
      </c>
      <c r="D6744" s="16" t="s">
        <v>873</v>
      </c>
      <c r="E6744" s="16" t="s">
        <v>874</v>
      </c>
      <c r="F6744" s="27" t="s">
        <v>7097</v>
      </c>
      <c r="G6744" s="27"/>
      <c r="H6744" s="16" t="str">
        <f>IF(ISBLANK(PARTIDAS!$G6744),PARTIDAS!$F6744,CONCATENATE(PARTIDAS!$F6744," (",PARTIDAS!$G6744,")"))</f>
        <v>Partes de máquinas</v>
      </c>
      <c r="I6744" s="16" t="s">
        <v>9427</v>
      </c>
    </row>
    <row r="6745" spans="1:9" x14ac:dyDescent="0.25">
      <c r="A6745" s="16" t="s">
        <v>7677</v>
      </c>
      <c r="B6745" s="16" t="str">
        <f>TEXT(PARTIDA[[#This Row],[PARTIDA]],"0000000000")</f>
        <v>8473401000</v>
      </c>
      <c r="C6745" s="16" t="s">
        <v>860</v>
      </c>
      <c r="D6745" s="16" t="s">
        <v>873</v>
      </c>
      <c r="E6745" s="16" t="s">
        <v>874</v>
      </c>
      <c r="F6745" s="27" t="s">
        <v>14979</v>
      </c>
      <c r="G6745" s="27"/>
      <c r="H6745" s="16" t="str">
        <f>IF(ISBLANK(PARTIDAS!$G6745),PARTIDAS!$F6745,CONCATENATE(PARTIDAS!$F6745," (",PARTIDAS!$G6745,")"))</f>
        <v>Partes y accesorios, partes y accesorios de máquinas de la partida 84.72, de copiadoras</v>
      </c>
      <c r="I6745" s="16" t="s">
        <v>9427</v>
      </c>
    </row>
    <row r="6746" spans="1:9" x14ac:dyDescent="0.25">
      <c r="A6746" s="16" t="s">
        <v>7678</v>
      </c>
      <c r="B6746" s="16" t="str">
        <f>TEXT(PARTIDA[[#This Row],[PARTIDA]],"0000000000")</f>
        <v>8473409000</v>
      </c>
      <c r="C6746" s="16" t="s">
        <v>860</v>
      </c>
      <c r="D6746" s="16" t="s">
        <v>873</v>
      </c>
      <c r="E6746" s="16" t="s">
        <v>874</v>
      </c>
      <c r="F6746" s="27" t="s">
        <v>14980</v>
      </c>
      <c r="G6746" s="27"/>
      <c r="H6746" s="16" t="str">
        <f>IF(ISBLANK(PARTIDAS!$G6746),PARTIDAS!$F6746,CONCATENATE(PARTIDAS!$F6746," (",PARTIDAS!$G6746,")"))</f>
        <v>Partes y accesorios, partes y accesorios de máquinas de la partida 84.72 (los demás)</v>
      </c>
      <c r="I6746" s="16" t="s">
        <v>9427</v>
      </c>
    </row>
    <row r="6747" spans="1:9" x14ac:dyDescent="0.25">
      <c r="A6747" s="16" t="s">
        <v>7679</v>
      </c>
      <c r="B6747" s="16" t="str">
        <f>TEXT(PARTIDA[[#This Row],[PARTIDA]],"0000000000")</f>
        <v>8473500000</v>
      </c>
      <c r="C6747" s="16" t="s">
        <v>860</v>
      </c>
      <c r="D6747" s="16" t="s">
        <v>873</v>
      </c>
      <c r="E6747" s="16" t="s">
        <v>874</v>
      </c>
      <c r="F6747" s="27" t="s">
        <v>14981</v>
      </c>
      <c r="G6747" s="27"/>
      <c r="H6747" s="16" t="str">
        <f>IF(ISBLANK(PARTIDAS!$G6747),PARTIDAS!$F6747,CONCATENATE(PARTIDAS!$F6747," (",PARTIDAS!$G6747,")"))</f>
        <v>Partes y accesorios, partes y accesorios que puedan utilizarse indistintamente con máquinas o aparatos de varias de las partidas 84.70 a 84.72</v>
      </c>
      <c r="I6747" s="16" t="s">
        <v>9427</v>
      </c>
    </row>
    <row r="6748" spans="1:9" x14ac:dyDescent="0.25">
      <c r="A6748" s="16" t="s">
        <v>7680</v>
      </c>
      <c r="B6748" s="16" t="str">
        <f>TEXT(PARTIDA[[#This Row],[PARTIDA]],"0000000000")</f>
        <v>8474101000</v>
      </c>
      <c r="C6748" s="16" t="s">
        <v>860</v>
      </c>
      <c r="D6748" s="16" t="s">
        <v>873</v>
      </c>
      <c r="E6748" s="16" t="s">
        <v>9480</v>
      </c>
      <c r="F6748" s="27" t="s">
        <v>14982</v>
      </c>
      <c r="G6748" s="27"/>
      <c r="H6748" s="16" t="str">
        <f>IF(ISBLANK(PARTIDAS!$G6748),PARTIDAS!$F6748,CONCATENATE(PARTIDAS!$F6748," (",PARTIDAS!$G6748,")"))</f>
        <v>Cribadoras desmoldeadoras para fundición</v>
      </c>
      <c r="I6748" s="16" t="s">
        <v>9427</v>
      </c>
    </row>
    <row r="6749" spans="1:9" x14ac:dyDescent="0.25">
      <c r="A6749" s="16" t="s">
        <v>7681</v>
      </c>
      <c r="B6749" s="16" t="str">
        <f>TEXT(PARTIDA[[#This Row],[PARTIDA]],"0000000000")</f>
        <v>8474102000</v>
      </c>
      <c r="C6749" s="16" t="s">
        <v>860</v>
      </c>
      <c r="D6749" s="16" t="s">
        <v>873</v>
      </c>
      <c r="E6749" s="16" t="s">
        <v>9480</v>
      </c>
      <c r="F6749" s="27" t="s">
        <v>14983</v>
      </c>
      <c r="G6749" s="27"/>
      <c r="H6749" s="16" t="str">
        <f>IF(ISBLANK(PARTIDAS!$G6749),PARTIDAS!$F6749,CONCATENATE(PARTIDAS!$F6749," (",PARTIDAS!$G6749,")"))</f>
        <v>Cribas vibratorias</v>
      </c>
      <c r="I6749" s="16" t="s">
        <v>9427</v>
      </c>
    </row>
    <row r="6750" spans="1:9" x14ac:dyDescent="0.25">
      <c r="A6750" s="16" t="s">
        <v>7682</v>
      </c>
      <c r="B6750" s="16" t="str">
        <f>TEXT(PARTIDA[[#This Row],[PARTIDA]],"0000000000")</f>
        <v>8474109000</v>
      </c>
      <c r="C6750" s="16" t="s">
        <v>860</v>
      </c>
      <c r="D6750" s="16" t="s">
        <v>873</v>
      </c>
      <c r="E6750" s="16" t="s">
        <v>9480</v>
      </c>
      <c r="F6750" s="27" t="s">
        <v>14984</v>
      </c>
      <c r="G6750" s="27"/>
      <c r="H6750" s="16" t="str">
        <f>IF(ISBLANK(PARTIDAS!$G6750),PARTIDAS!$F6750,CONCATENATE(PARTIDAS!$F6750," (",PARTIDAS!$G6750,")"))</f>
        <v>Máquinas y aparatos de clasificar, cribar, separar o lavar (los demás)</v>
      </c>
      <c r="I6750" s="16" t="s">
        <v>9427</v>
      </c>
    </row>
    <row r="6751" spans="1:9" x14ac:dyDescent="0.25">
      <c r="A6751" s="16" t="s">
        <v>7683</v>
      </c>
      <c r="B6751" s="16" t="str">
        <f>TEXT(PARTIDA[[#This Row],[PARTIDA]],"0000000000")</f>
        <v>8474201000</v>
      </c>
      <c r="C6751" s="16" t="s">
        <v>860</v>
      </c>
      <c r="D6751" s="16" t="s">
        <v>873</v>
      </c>
      <c r="E6751" s="16" t="s">
        <v>9480</v>
      </c>
      <c r="F6751" s="27" t="s">
        <v>14985</v>
      </c>
      <c r="G6751" s="27"/>
      <c r="H6751" s="16" t="str">
        <f>IF(ISBLANK(PARTIDAS!$G6751),PARTIDAS!$F6751,CONCATENATE(PARTIDAS!$F6751," (",PARTIDAS!$G6751,")"))</f>
        <v>Quebrantadores giratorios de conos</v>
      </c>
      <c r="I6751" s="16" t="s">
        <v>9427</v>
      </c>
    </row>
    <row r="6752" spans="1:9" x14ac:dyDescent="0.25">
      <c r="A6752" s="16" t="s">
        <v>7684</v>
      </c>
      <c r="B6752" s="16" t="str">
        <f>TEXT(PARTIDA[[#This Row],[PARTIDA]],"0000000000")</f>
        <v>8474202000</v>
      </c>
      <c r="C6752" s="16" t="s">
        <v>860</v>
      </c>
      <c r="D6752" s="16" t="s">
        <v>873</v>
      </c>
      <c r="E6752" s="16" t="s">
        <v>9480</v>
      </c>
      <c r="F6752" s="27" t="s">
        <v>14986</v>
      </c>
      <c r="G6752" s="27"/>
      <c r="H6752" s="16" t="str">
        <f>IF(ISBLANK(PARTIDAS!$G6752),PARTIDAS!$F6752,CONCATENATE(PARTIDAS!$F6752," (",PARTIDAS!$G6752,")"))</f>
        <v>Trituradoras de impacto</v>
      </c>
      <c r="I6752" s="16" t="s">
        <v>9427</v>
      </c>
    </row>
    <row r="6753" spans="1:9" x14ac:dyDescent="0.25">
      <c r="A6753" s="16" t="s">
        <v>7685</v>
      </c>
      <c r="B6753" s="16" t="str">
        <f>TEXT(PARTIDA[[#This Row],[PARTIDA]],"0000000000")</f>
        <v>8474203000</v>
      </c>
      <c r="C6753" s="16" t="s">
        <v>860</v>
      </c>
      <c r="D6753" s="16" t="s">
        <v>873</v>
      </c>
      <c r="E6753" s="16" t="s">
        <v>9480</v>
      </c>
      <c r="F6753" s="27" t="s">
        <v>14987</v>
      </c>
      <c r="G6753" s="27"/>
      <c r="H6753" s="16" t="str">
        <f>IF(ISBLANK(PARTIDAS!$G6753),PARTIDAS!$F6753,CONCATENATE(PARTIDAS!$F6753," (",PARTIDAS!$G6753,")"))</f>
        <v>Molinos de anillo</v>
      </c>
      <c r="I6753" s="16" t="s">
        <v>9427</v>
      </c>
    </row>
    <row r="6754" spans="1:9" x14ac:dyDescent="0.25">
      <c r="A6754" s="16" t="s">
        <v>7686</v>
      </c>
      <c r="B6754" s="16" t="str">
        <f>TEXT(PARTIDA[[#This Row],[PARTIDA]],"0000000000")</f>
        <v>8474209000</v>
      </c>
      <c r="C6754" s="16" t="s">
        <v>860</v>
      </c>
      <c r="D6754" s="16" t="s">
        <v>873</v>
      </c>
      <c r="E6754" s="16" t="s">
        <v>9480</v>
      </c>
      <c r="F6754" s="27" t="s">
        <v>14988</v>
      </c>
      <c r="G6754" s="27"/>
      <c r="H6754" s="16" t="str">
        <f>IF(ISBLANK(PARTIDAS!$G6754),PARTIDAS!$F6754,CONCATENATE(PARTIDAS!$F6754," (",PARTIDAS!$G6754,")"))</f>
        <v>Máquinas y aparatos de quebrantar, triturar o pulverizar (los demás)</v>
      </c>
      <c r="I6754" s="16" t="s">
        <v>9427</v>
      </c>
    </row>
    <row r="6755" spans="1:9" x14ac:dyDescent="0.25">
      <c r="A6755" s="16" t="s">
        <v>7687</v>
      </c>
      <c r="B6755" s="16" t="str">
        <f>TEXT(PARTIDA[[#This Row],[PARTIDA]],"0000000000")</f>
        <v>8474311000</v>
      </c>
      <c r="C6755" s="16" t="s">
        <v>860</v>
      </c>
      <c r="D6755" s="16" t="s">
        <v>873</v>
      </c>
      <c r="E6755" s="16" t="s">
        <v>9480</v>
      </c>
      <c r="F6755" s="27" t="s">
        <v>14989</v>
      </c>
      <c r="G6755" s="27"/>
      <c r="H6755" s="16" t="str">
        <f>IF(ISBLANK(PARTIDAS!$G6755),PARTIDAS!$F6755,CONCATENATE(PARTIDAS!$F6755," (",PARTIDAS!$G6755,")"))</f>
        <v>Hormigoneras y aparatos de amasar mortero, con capacidad máxima de 3 m3</v>
      </c>
      <c r="I6755" s="16" t="s">
        <v>9427</v>
      </c>
    </row>
    <row r="6756" spans="1:9" x14ac:dyDescent="0.25">
      <c r="A6756" s="16" t="s">
        <v>7688</v>
      </c>
      <c r="B6756" s="16" t="str">
        <f>TEXT(PARTIDA[[#This Row],[PARTIDA]],"0000000000")</f>
        <v>8474319000</v>
      </c>
      <c r="C6756" s="16" t="s">
        <v>860</v>
      </c>
      <c r="D6756" s="16" t="s">
        <v>873</v>
      </c>
      <c r="E6756" s="16" t="s">
        <v>9480</v>
      </c>
      <c r="F6756" s="27" t="s">
        <v>14990</v>
      </c>
      <c r="G6756" s="27"/>
      <c r="H6756" s="16" t="str">
        <f>IF(ISBLANK(PARTIDAS!$G6756),PARTIDAS!$F6756,CONCATENATE(PARTIDAS!$F6756," (",PARTIDAS!$G6756,")"))</f>
        <v>Hormigoneras y aparatos de amasar mortero (los demás)</v>
      </c>
      <c r="I6756" s="16" t="s">
        <v>9427</v>
      </c>
    </row>
    <row r="6757" spans="1:9" x14ac:dyDescent="0.25">
      <c r="A6757" s="16" t="s">
        <v>7689</v>
      </c>
      <c r="B6757" s="16" t="str">
        <f>TEXT(PARTIDA[[#This Row],[PARTIDA]],"0000000000")</f>
        <v>8474320000</v>
      </c>
      <c r="C6757" s="16" t="s">
        <v>860</v>
      </c>
      <c r="D6757" s="16" t="s">
        <v>873</v>
      </c>
      <c r="E6757" s="16" t="s">
        <v>9480</v>
      </c>
      <c r="F6757" s="27" t="s">
        <v>14991</v>
      </c>
      <c r="G6757" s="27"/>
      <c r="H6757" s="16" t="str">
        <f>IF(ISBLANK(PARTIDAS!$G6757),PARTIDAS!$F6757,CONCATENATE(PARTIDAS!$F6757," (",PARTIDAS!$G6757,")"))</f>
        <v>Máquinas de mezclar materia mineral con asfalto</v>
      </c>
      <c r="I6757" s="16" t="s">
        <v>9427</v>
      </c>
    </row>
    <row r="6758" spans="1:9" x14ac:dyDescent="0.25">
      <c r="A6758" s="16" t="s">
        <v>7690</v>
      </c>
      <c r="B6758" s="16" t="str">
        <f>TEXT(PARTIDA[[#This Row],[PARTIDA]],"0000000000")</f>
        <v>8474391000</v>
      </c>
      <c r="C6758" s="16" t="s">
        <v>860</v>
      </c>
      <c r="D6758" s="16" t="s">
        <v>873</v>
      </c>
      <c r="E6758" s="16" t="s">
        <v>9480</v>
      </c>
      <c r="F6758" s="27" t="s">
        <v>14992</v>
      </c>
      <c r="G6758" s="27"/>
      <c r="H6758" s="16" t="str">
        <f>IF(ISBLANK(PARTIDAS!$G6758),PARTIDAS!$F6758,CONCATENATE(PARTIDAS!$F6758," (",PARTIDAS!$G6758,")"))</f>
        <v>Especiales para la industria cerámica</v>
      </c>
      <c r="I6758" s="16" t="s">
        <v>9427</v>
      </c>
    </row>
    <row r="6759" spans="1:9" x14ac:dyDescent="0.25">
      <c r="A6759" s="16" t="s">
        <v>7691</v>
      </c>
      <c r="B6759" s="16" t="str">
        <f>TEXT(PARTIDA[[#This Row],[PARTIDA]],"0000000000")</f>
        <v>8474392000</v>
      </c>
      <c r="C6759" s="16" t="s">
        <v>860</v>
      </c>
      <c r="D6759" s="16" t="s">
        <v>873</v>
      </c>
      <c r="E6759" s="16" t="s">
        <v>9480</v>
      </c>
      <c r="F6759" s="27" t="s">
        <v>14993</v>
      </c>
      <c r="G6759" s="27"/>
      <c r="H6759" s="16" t="str">
        <f>IF(ISBLANK(PARTIDAS!$G6759),PARTIDAS!$F6759,CONCATENATE(PARTIDAS!$F6759," (",PARTIDAS!$G6759,")"))</f>
        <v>Mezcladores de arena para fundición</v>
      </c>
      <c r="I6759" s="16" t="s">
        <v>9427</v>
      </c>
    </row>
    <row r="6760" spans="1:9" x14ac:dyDescent="0.25">
      <c r="A6760" s="16" t="s">
        <v>7692</v>
      </c>
      <c r="B6760" s="16" t="str">
        <f>TEXT(PARTIDA[[#This Row],[PARTIDA]],"0000000000")</f>
        <v>8474399000</v>
      </c>
      <c r="C6760" s="16" t="s">
        <v>860</v>
      </c>
      <c r="D6760" s="16" t="s">
        <v>873</v>
      </c>
      <c r="E6760" s="16" t="s">
        <v>9480</v>
      </c>
      <c r="F6760" s="27" t="s">
        <v>14994</v>
      </c>
      <c r="G6760" s="27"/>
      <c r="H6760" s="16" t="str">
        <f>IF(ISBLANK(PARTIDAS!$G6760),PARTIDAS!$F6760,CONCATENATE(PARTIDAS!$F6760," (",PARTIDAS!$G6760,")"))</f>
        <v>Máquinas y aparatos de mezclar, amasar o sobar (los demás)</v>
      </c>
      <c r="I6760" s="16" t="s">
        <v>9427</v>
      </c>
    </row>
    <row r="6761" spans="1:9" x14ac:dyDescent="0.25">
      <c r="A6761" s="16" t="s">
        <v>7693</v>
      </c>
      <c r="B6761" s="16" t="str">
        <f>TEXT(PARTIDA[[#This Row],[PARTIDA]],"0000000000")</f>
        <v>8474801000</v>
      </c>
      <c r="C6761" s="16" t="s">
        <v>860</v>
      </c>
      <c r="D6761" s="16" t="s">
        <v>873</v>
      </c>
      <c r="E6761" s="16" t="s">
        <v>9480</v>
      </c>
      <c r="F6761" s="27" t="s">
        <v>14995</v>
      </c>
      <c r="G6761" s="27"/>
      <c r="H6761" s="16" t="str">
        <f>IF(ISBLANK(PARTIDAS!$G6761),PARTIDAS!$F6761,CONCATENATE(PARTIDAS!$F6761," (",PARTIDAS!$G6761,")"))</f>
        <v>Máquinas y aparatos para aglomerar, formar o moldear pastas cerámicas</v>
      </c>
      <c r="I6761" s="16" t="s">
        <v>9427</v>
      </c>
    </row>
    <row r="6762" spans="1:9" x14ac:dyDescent="0.25">
      <c r="A6762" s="16" t="s">
        <v>7694</v>
      </c>
      <c r="B6762" s="16" t="str">
        <f>TEXT(PARTIDA[[#This Row],[PARTIDA]],"0000000000")</f>
        <v>8474802000</v>
      </c>
      <c r="C6762" s="16" t="s">
        <v>860</v>
      </c>
      <c r="D6762" s="16" t="s">
        <v>873</v>
      </c>
      <c r="E6762" s="16" t="s">
        <v>9480</v>
      </c>
      <c r="F6762" s="27" t="s">
        <v>14996</v>
      </c>
      <c r="G6762" s="27"/>
      <c r="H6762" s="16" t="str">
        <f>IF(ISBLANK(PARTIDAS!$G6762),PARTIDAS!$F6762,CONCATENATE(PARTIDAS!$F6762," (",PARTIDAS!$G6762,")"))</f>
        <v>Formadoras de moldes de arena para fundición</v>
      </c>
      <c r="I6762" s="16" t="s">
        <v>9427</v>
      </c>
    </row>
    <row r="6763" spans="1:9" x14ac:dyDescent="0.25">
      <c r="A6763" s="16" t="s">
        <v>7695</v>
      </c>
      <c r="B6763" s="16" t="str">
        <f>TEXT(PARTIDA[[#This Row],[PARTIDA]],"0000000000")</f>
        <v>8474803000</v>
      </c>
      <c r="C6763" s="16" t="s">
        <v>860</v>
      </c>
      <c r="D6763" s="16" t="s">
        <v>873</v>
      </c>
      <c r="E6763" s="16" t="s">
        <v>9480</v>
      </c>
      <c r="F6763" s="27" t="s">
        <v>14997</v>
      </c>
      <c r="G6763" s="27"/>
      <c r="H6763" s="16" t="str">
        <f>IF(ISBLANK(PARTIDAS!$G6763),PARTIDAS!$F6763,CONCATENATE(PARTIDAS!$F6763," (",PARTIDAS!$G6763,")"))</f>
        <v>Máquinas y aparatos de clasificar, cribar, separar, lavar…, para moldear elementos prefabricados de cemento u hormigón</v>
      </c>
      <c r="I6763" s="16" t="s">
        <v>9427</v>
      </c>
    </row>
    <row r="6764" spans="1:9" x14ac:dyDescent="0.25">
      <c r="A6764" s="16" t="s">
        <v>7696</v>
      </c>
      <c r="B6764" s="16" t="str">
        <f>TEXT(PARTIDA[[#This Row],[PARTIDA]],"0000000000")</f>
        <v>8474809000</v>
      </c>
      <c r="C6764" s="16" t="s">
        <v>860</v>
      </c>
      <c r="D6764" s="16" t="s">
        <v>873</v>
      </c>
      <c r="E6764" s="16" t="s">
        <v>9480</v>
      </c>
      <c r="F6764" s="27" t="s">
        <v>14998</v>
      </c>
      <c r="G6764" s="27"/>
      <c r="H6764" s="16" t="str">
        <f>IF(ISBLANK(PARTIDAS!$G6764),PARTIDAS!$F6764,CONCATENATE(PARTIDAS!$F6764," (",PARTIDAS!$G6764,")"))</f>
        <v>Máquinas y aparatos de clasificar, cribar, separar, lavar… (los demás)</v>
      </c>
      <c r="I6764" s="16" t="s">
        <v>9427</v>
      </c>
    </row>
    <row r="6765" spans="1:9" x14ac:dyDescent="0.25">
      <c r="A6765" s="16" t="s">
        <v>7697</v>
      </c>
      <c r="B6765" s="16" t="str">
        <f>TEXT(PARTIDA[[#This Row],[PARTIDA]],"0000000000")</f>
        <v>8474900000</v>
      </c>
      <c r="C6765" s="16" t="s">
        <v>860</v>
      </c>
      <c r="D6765" s="16" t="s">
        <v>873</v>
      </c>
      <c r="E6765" s="16" t="s">
        <v>9480</v>
      </c>
      <c r="F6765" s="27" t="s">
        <v>14999</v>
      </c>
      <c r="G6765" s="27"/>
      <c r="H6765" s="16" t="str">
        <f>IF(ISBLANK(PARTIDAS!$G6765),PARTIDAS!$F6765,CONCATENATE(PARTIDAS!$F6765," (",PARTIDAS!$G6765,")"))</f>
        <v>Máquinas y aparatos de clasificar, cribar, separar, lavar…, partes</v>
      </c>
      <c r="I6765" s="16" t="s">
        <v>9427</v>
      </c>
    </row>
    <row r="6766" spans="1:9" x14ac:dyDescent="0.25">
      <c r="A6766" s="16" t="s">
        <v>7698</v>
      </c>
      <c r="B6766" s="16" t="str">
        <f>TEXT(PARTIDA[[#This Row],[PARTIDA]],"0000000000")</f>
        <v>8475100000</v>
      </c>
      <c r="C6766" s="16" t="s">
        <v>860</v>
      </c>
      <c r="D6766" s="16" t="s">
        <v>873</v>
      </c>
      <c r="E6766" s="16" t="s">
        <v>9480</v>
      </c>
      <c r="F6766" s="27" t="s">
        <v>15000</v>
      </c>
      <c r="G6766" s="27"/>
      <c r="H6766" s="16" t="str">
        <f>IF(ISBLANK(PARTIDAS!$G6766),PARTIDAS!$F6766,CONCATENATE(PARTIDAS!$F6766," (",PARTIDAS!$G6766,")"))</f>
        <v>Máquinas para montar lámparas, tubos o válvulas eléctricos o electrónicos o lámparas de destello, que tengan envoltura de vidrio</v>
      </c>
      <c r="I6766" s="16" t="s">
        <v>9427</v>
      </c>
    </row>
    <row r="6767" spans="1:9" x14ac:dyDescent="0.25">
      <c r="A6767" s="16" t="s">
        <v>7699</v>
      </c>
      <c r="B6767" s="16" t="str">
        <f>TEXT(PARTIDA[[#This Row],[PARTIDA]],"0000000000")</f>
        <v>8475210000</v>
      </c>
      <c r="C6767" s="16" t="s">
        <v>860</v>
      </c>
      <c r="D6767" s="16" t="s">
        <v>873</v>
      </c>
      <c r="E6767" s="16" t="s">
        <v>9480</v>
      </c>
      <c r="F6767" s="27" t="s">
        <v>15001</v>
      </c>
      <c r="G6767" s="27"/>
      <c r="H6767" s="16" t="str">
        <f>IF(ISBLANK(PARTIDAS!$G6767),PARTIDAS!$F6767,CONCATENATE(PARTIDAS!$F6767," (",PARTIDAS!$G6767,")"))</f>
        <v>Máquinas para fabricar fibras ópticas y sus esbozos</v>
      </c>
      <c r="I6767" s="16" t="s">
        <v>9427</v>
      </c>
    </row>
    <row r="6768" spans="1:9" x14ac:dyDescent="0.25">
      <c r="A6768" s="16" t="s">
        <v>7700</v>
      </c>
      <c r="B6768" s="16" t="str">
        <f>TEXT(PARTIDA[[#This Row],[PARTIDA]],"0000000000")</f>
        <v>8475290000</v>
      </c>
      <c r="C6768" s="16" t="s">
        <v>860</v>
      </c>
      <c r="D6768" s="16" t="s">
        <v>873</v>
      </c>
      <c r="E6768" s="16" t="s">
        <v>9480</v>
      </c>
      <c r="F6768" s="27" t="s">
        <v>15002</v>
      </c>
      <c r="G6768" s="27"/>
      <c r="H6768" s="16" t="str">
        <f>IF(ISBLANK(PARTIDAS!$G6768),PARTIDAS!$F6768,CONCATENATE(PARTIDAS!$F6768," (",PARTIDAS!$G6768,")"))</f>
        <v>Máquinas para fabricar o trabajar en caliente el vidrio o sus… (los demás)</v>
      </c>
      <c r="I6768" s="16" t="s">
        <v>9427</v>
      </c>
    </row>
    <row r="6769" spans="1:9" x14ac:dyDescent="0.25">
      <c r="A6769" s="16" t="s">
        <v>7701</v>
      </c>
      <c r="B6769" s="16" t="str">
        <f>TEXT(PARTIDA[[#This Row],[PARTIDA]],"0000000000")</f>
        <v>8475900000</v>
      </c>
      <c r="C6769" s="16" t="s">
        <v>860</v>
      </c>
      <c r="D6769" s="16" t="s">
        <v>873</v>
      </c>
      <c r="E6769" s="16" t="s">
        <v>9480</v>
      </c>
      <c r="F6769" s="27" t="s">
        <v>15003</v>
      </c>
      <c r="G6769" s="27"/>
      <c r="H6769" s="16" t="str">
        <f>IF(ISBLANK(PARTIDAS!$G6769),PARTIDAS!$F6769,CONCATENATE(PARTIDAS!$F6769," (",PARTIDAS!$G6769,")"))</f>
        <v>Máquinas para montar lámparas, tubos o válvulas eléctricos o…, partes</v>
      </c>
      <c r="I6769" s="16" t="s">
        <v>9427</v>
      </c>
    </row>
    <row r="6770" spans="1:9" x14ac:dyDescent="0.25">
      <c r="A6770" s="16" t="s">
        <v>7702</v>
      </c>
      <c r="B6770" s="16" t="str">
        <f>TEXT(PARTIDA[[#This Row],[PARTIDA]],"0000000000")</f>
        <v>8476210000</v>
      </c>
      <c r="C6770" s="16" t="s">
        <v>860</v>
      </c>
      <c r="D6770" s="16" t="s">
        <v>873</v>
      </c>
      <c r="E6770" s="16" t="s">
        <v>9480</v>
      </c>
      <c r="F6770" s="27" t="s">
        <v>15004</v>
      </c>
      <c r="G6770" s="27"/>
      <c r="H6770" s="16" t="str">
        <f>IF(ISBLANK(PARTIDAS!$G6770),PARTIDAS!$F6770,CONCATENATE(PARTIDAS!$F6770," (",PARTIDAS!$G6770,")"))</f>
        <v>Máquinas automáticas para venta de bebidas, con dispositivo de calentamiento o refrigeración, incorporado</v>
      </c>
      <c r="I6770" s="16" t="s">
        <v>9427</v>
      </c>
    </row>
    <row r="6771" spans="1:9" x14ac:dyDescent="0.25">
      <c r="A6771" s="16" t="s">
        <v>7703</v>
      </c>
      <c r="B6771" s="16" t="str">
        <f>TEXT(PARTIDA[[#This Row],[PARTIDA]],"0000000000")</f>
        <v>8476290000</v>
      </c>
      <c r="C6771" s="16" t="s">
        <v>860</v>
      </c>
      <c r="D6771" s="16" t="s">
        <v>873</v>
      </c>
      <c r="E6771" s="16" t="s">
        <v>9480</v>
      </c>
      <c r="F6771" s="27" t="s">
        <v>15005</v>
      </c>
      <c r="G6771" s="27"/>
      <c r="H6771" s="16" t="str">
        <f>IF(ISBLANK(PARTIDAS!$G6771),PARTIDAS!$F6771,CONCATENATE(PARTIDAS!$F6771," (",PARTIDAS!$G6771,")"))</f>
        <v>Máquinas automáticas para venta de bebidas (los demás)</v>
      </c>
      <c r="I6771" s="16" t="s">
        <v>9427</v>
      </c>
    </row>
    <row r="6772" spans="1:9" x14ac:dyDescent="0.25">
      <c r="A6772" s="16" t="s">
        <v>7704</v>
      </c>
      <c r="B6772" s="16" t="str">
        <f>TEXT(PARTIDA[[#This Row],[PARTIDA]],"0000000000")</f>
        <v>8476810000</v>
      </c>
      <c r="C6772" s="16" t="s">
        <v>860</v>
      </c>
      <c r="D6772" s="16" t="s">
        <v>873</v>
      </c>
      <c r="E6772" s="16" t="s">
        <v>9480</v>
      </c>
      <c r="F6772" s="27" t="s">
        <v>15006</v>
      </c>
      <c r="G6772" s="27"/>
      <c r="H6772" s="16" t="str">
        <f>IF(ISBLANK(PARTIDAS!$G6772),PARTIDAS!$F6772,CONCATENATE(PARTIDAS!$F6772," (",PARTIDAS!$G6772,")"))</f>
        <v>Máquinas automáticas para la venta de productos (por ejemplo, con dispositivo de calentamiento o refrigeración, incorporado</v>
      </c>
      <c r="I6772" s="16" t="s">
        <v>9427</v>
      </c>
    </row>
    <row r="6773" spans="1:9" x14ac:dyDescent="0.25">
      <c r="A6773" s="16" t="s">
        <v>7705</v>
      </c>
      <c r="B6773" s="16" t="str">
        <f>TEXT(PARTIDA[[#This Row],[PARTIDA]],"0000000000")</f>
        <v>8476890000</v>
      </c>
      <c r="C6773" s="16" t="s">
        <v>860</v>
      </c>
      <c r="D6773" s="16" t="s">
        <v>873</v>
      </c>
      <c r="E6773" s="16" t="s">
        <v>9480</v>
      </c>
      <c r="F6773" s="27" t="s">
        <v>15007</v>
      </c>
      <c r="G6773" s="27"/>
      <c r="H6773" s="16" t="str">
        <f>IF(ISBLANK(PARTIDAS!$G6773),PARTIDAS!$F6773,CONCATENATE(PARTIDAS!$F6773," (",PARTIDAS!$G6773,")"))</f>
        <v>Máquinas automáticas para la venta de productos (por ejemplo (los demás)</v>
      </c>
      <c r="I6773" s="16" t="s">
        <v>9427</v>
      </c>
    </row>
    <row r="6774" spans="1:9" x14ac:dyDescent="0.25">
      <c r="A6774" s="16" t="s">
        <v>7706</v>
      </c>
      <c r="B6774" s="16" t="str">
        <f>TEXT(PARTIDA[[#This Row],[PARTIDA]],"0000000000")</f>
        <v>8476900000</v>
      </c>
      <c r="C6774" s="16" t="s">
        <v>860</v>
      </c>
      <c r="D6774" s="16" t="s">
        <v>873</v>
      </c>
      <c r="E6774" s="16" t="s">
        <v>9480</v>
      </c>
      <c r="F6774" s="27" t="s">
        <v>15008</v>
      </c>
      <c r="G6774" s="27"/>
      <c r="H6774" s="16" t="str">
        <f>IF(ISBLANK(PARTIDAS!$G6774),PARTIDAS!$F6774,CONCATENATE(PARTIDAS!$F6774," (",PARTIDAS!$G6774,")"))</f>
        <v>Máquinas automáticas para la venta de productos (por ejemplo, partes</v>
      </c>
      <c r="I6774" s="16" t="s">
        <v>9427</v>
      </c>
    </row>
    <row r="6775" spans="1:9" x14ac:dyDescent="0.25">
      <c r="A6775" s="16" t="s">
        <v>7707</v>
      </c>
      <c r="B6775" s="16" t="str">
        <f>TEXT(PARTIDA[[#This Row],[PARTIDA]],"0000000000")</f>
        <v>8477100000</v>
      </c>
      <c r="C6775" s="16" t="s">
        <v>860</v>
      </c>
      <c r="D6775" s="16" t="s">
        <v>873</v>
      </c>
      <c r="E6775" s="16" t="s">
        <v>9480</v>
      </c>
      <c r="F6775" s="27" t="s">
        <v>15009</v>
      </c>
      <c r="G6775" s="27"/>
      <c r="H6775" s="16" t="str">
        <f>IF(ISBLANK(PARTIDAS!$G6775),PARTIDAS!$F6775,CONCATENATE(PARTIDAS!$F6775," (",PARTIDAS!$G6775,")"))</f>
        <v>Máquinas de moldear por inyección</v>
      </c>
      <c r="I6775" s="16" t="s">
        <v>9427</v>
      </c>
    </row>
    <row r="6776" spans="1:9" x14ac:dyDescent="0.25">
      <c r="A6776" s="16" t="s">
        <v>7708</v>
      </c>
      <c r="B6776" s="16" t="str">
        <f>TEXT(PARTIDA[[#This Row],[PARTIDA]],"0000000000")</f>
        <v>8477200000</v>
      </c>
      <c r="C6776" s="16" t="s">
        <v>860</v>
      </c>
      <c r="D6776" s="16" t="s">
        <v>873</v>
      </c>
      <c r="E6776" s="16" t="s">
        <v>9480</v>
      </c>
      <c r="F6776" s="27" t="s">
        <v>9233</v>
      </c>
      <c r="G6776" s="27"/>
      <c r="H6776" s="16" t="str">
        <f>IF(ISBLANK(PARTIDAS!$G6776),PARTIDAS!$F6776,CONCATENATE(PARTIDAS!$F6776," (",PARTIDAS!$G6776,")"))</f>
        <v>Extrusoras</v>
      </c>
      <c r="I6776" s="16" t="s">
        <v>9477</v>
      </c>
    </row>
    <row r="6777" spans="1:9" x14ac:dyDescent="0.25">
      <c r="A6777" s="16" t="s">
        <v>7709</v>
      </c>
      <c r="B6777" s="16" t="str">
        <f>TEXT(PARTIDA[[#This Row],[PARTIDA]],"0000000000")</f>
        <v>8477300000</v>
      </c>
      <c r="C6777" s="16" t="s">
        <v>860</v>
      </c>
      <c r="D6777" s="16" t="s">
        <v>873</v>
      </c>
      <c r="E6777" s="16" t="s">
        <v>9480</v>
      </c>
      <c r="F6777" s="27" t="s">
        <v>15010</v>
      </c>
      <c r="G6777" s="27"/>
      <c r="H6777" s="16" t="str">
        <f>IF(ISBLANK(PARTIDAS!$G6777),PARTIDAS!$F6777,CONCATENATE(PARTIDAS!$F6777," (",PARTIDAS!$G6777,")"))</f>
        <v>Máquinas de moldear por soplado</v>
      </c>
      <c r="I6777" s="16" t="s">
        <v>9427</v>
      </c>
    </row>
    <row r="6778" spans="1:9" x14ac:dyDescent="0.25">
      <c r="A6778" s="16" t="s">
        <v>7710</v>
      </c>
      <c r="B6778" s="16" t="str">
        <f>TEXT(PARTIDA[[#This Row],[PARTIDA]],"0000000000")</f>
        <v>8477400000</v>
      </c>
      <c r="C6778" s="16" t="s">
        <v>860</v>
      </c>
      <c r="D6778" s="16" t="s">
        <v>873</v>
      </c>
      <c r="E6778" s="16" t="s">
        <v>9480</v>
      </c>
      <c r="F6778" s="27" t="s">
        <v>15011</v>
      </c>
      <c r="G6778" s="27"/>
      <c r="H6778" s="16" t="str">
        <f>IF(ISBLANK(PARTIDAS!$G6778),PARTIDAS!$F6778,CONCATENATE(PARTIDAS!$F6778," (",PARTIDAS!$G6778,")"))</f>
        <v>Máquinas de moldear en vacío y demás máquinas para termoformado</v>
      </c>
      <c r="I6778" s="16" t="s">
        <v>9427</v>
      </c>
    </row>
    <row r="6779" spans="1:9" x14ac:dyDescent="0.25">
      <c r="A6779" s="16" t="s">
        <v>7711</v>
      </c>
      <c r="B6779" s="16" t="str">
        <f>TEXT(PARTIDA[[#This Row],[PARTIDA]],"0000000000")</f>
        <v>8477510000</v>
      </c>
      <c r="C6779" s="16" t="s">
        <v>860</v>
      </c>
      <c r="D6779" s="16" t="s">
        <v>873</v>
      </c>
      <c r="E6779" s="16" t="s">
        <v>9480</v>
      </c>
      <c r="F6779" s="27" t="s">
        <v>15012</v>
      </c>
      <c r="G6779" s="27"/>
      <c r="H6779" s="16" t="str">
        <f>IF(ISBLANK(PARTIDAS!$G6779),PARTIDAS!$F6779,CONCATENATE(PARTIDAS!$F6779," (",PARTIDAS!$G6779,")"))</f>
        <v>Máquinas y aparatos para trabajar caucho o plástico o para fabricar…, de moldear o recauchutar neumáticos (llantas neumáticas) o moldear o formar cáma</v>
      </c>
      <c r="I6779" s="16" t="s">
        <v>9427</v>
      </c>
    </row>
    <row r="6780" spans="1:9" x14ac:dyDescent="0.25">
      <c r="A6780" s="16" t="s">
        <v>7712</v>
      </c>
      <c r="B6780" s="16" t="str">
        <f>TEXT(PARTIDA[[#This Row],[PARTIDA]],"0000000000")</f>
        <v>8477591000</v>
      </c>
      <c r="C6780" s="16" t="s">
        <v>860</v>
      </c>
      <c r="D6780" s="16" t="s">
        <v>873</v>
      </c>
      <c r="E6780" s="16" t="s">
        <v>9480</v>
      </c>
      <c r="F6780" s="27" t="s">
        <v>15013</v>
      </c>
      <c r="G6780" s="27"/>
      <c r="H6780" s="16" t="str">
        <f>IF(ISBLANK(PARTIDAS!$G6780),PARTIDAS!$F6780,CONCATENATE(PARTIDAS!$F6780," (",PARTIDAS!$G6780,")"))</f>
        <v>Prensas hidráulicas de moldear por compresión</v>
      </c>
      <c r="I6780" s="16" t="s">
        <v>9427</v>
      </c>
    </row>
    <row r="6781" spans="1:9" x14ac:dyDescent="0.25">
      <c r="A6781" s="16" t="s">
        <v>7713</v>
      </c>
      <c r="B6781" s="16" t="str">
        <f>TEXT(PARTIDA[[#This Row],[PARTIDA]],"0000000000")</f>
        <v>8477599000</v>
      </c>
      <c r="C6781" s="16" t="s">
        <v>860</v>
      </c>
      <c r="D6781" s="16" t="s">
        <v>873</v>
      </c>
      <c r="E6781" s="16" t="s">
        <v>9480</v>
      </c>
      <c r="F6781" s="27" t="s">
        <v>15014</v>
      </c>
      <c r="G6781" s="27"/>
      <c r="H6781" s="16" t="str">
        <f>IF(ISBLANK(PARTIDAS!$G6781),PARTIDAS!$F6781,CONCATENATE(PARTIDAS!$F6781," (",PARTIDAS!$G6781,")"))</f>
        <v>Máquinas y aparatos para trabajar caucho o plástico o para fabricar… (los demás)</v>
      </c>
      <c r="I6781" s="16" t="s">
        <v>9427</v>
      </c>
    </row>
    <row r="6782" spans="1:9" x14ac:dyDescent="0.25">
      <c r="A6782" s="16" t="s">
        <v>7714</v>
      </c>
      <c r="B6782" s="16" t="str">
        <f>TEXT(PARTIDA[[#This Row],[PARTIDA]],"0000000000")</f>
        <v>8477800000</v>
      </c>
      <c r="C6782" s="16" t="s">
        <v>860</v>
      </c>
      <c r="D6782" s="16" t="s">
        <v>873</v>
      </c>
      <c r="E6782" s="16" t="s">
        <v>9480</v>
      </c>
      <c r="F6782" s="27" t="s">
        <v>9324</v>
      </c>
      <c r="G6782" s="27"/>
      <c r="H6782" s="16" t="str">
        <f>IF(ISBLANK(PARTIDAS!$G6782),PARTIDAS!$F6782,CONCATENATE(PARTIDAS!$F6782," (",PARTIDAS!$G6782,")"))</f>
        <v>Máquinas y aparatos para trabajar caucho o plástico o para fabricar… (los demás, máquinas y aparatos)</v>
      </c>
      <c r="I6782" s="16" t="s">
        <v>9477</v>
      </c>
    </row>
    <row r="6783" spans="1:9" x14ac:dyDescent="0.25">
      <c r="A6783" s="16" t="s">
        <v>7715</v>
      </c>
      <c r="B6783" s="16" t="str">
        <f>TEXT(PARTIDA[[#This Row],[PARTIDA]],"0000000000")</f>
        <v>8477900000</v>
      </c>
      <c r="C6783" s="16" t="s">
        <v>860</v>
      </c>
      <c r="D6783" s="16" t="s">
        <v>873</v>
      </c>
      <c r="E6783" s="16" t="s">
        <v>9480</v>
      </c>
      <c r="F6783" s="27" t="s">
        <v>7097</v>
      </c>
      <c r="G6783" s="27"/>
      <c r="H6783" s="16" t="str">
        <f>IF(ISBLANK(PARTIDAS!$G6783),PARTIDAS!$F6783,CONCATENATE(PARTIDAS!$F6783," (",PARTIDAS!$G6783,")"))</f>
        <v>Partes de máquinas</v>
      </c>
      <c r="I6783" s="16" t="s">
        <v>9427</v>
      </c>
    </row>
    <row r="6784" spans="1:9" x14ac:dyDescent="0.25">
      <c r="A6784" s="16" t="s">
        <v>7716</v>
      </c>
      <c r="B6784" s="16" t="str">
        <f>TEXT(PARTIDA[[#This Row],[PARTIDA]],"0000000000")</f>
        <v>8478101000</v>
      </c>
      <c r="C6784" s="16" t="s">
        <v>860</v>
      </c>
      <c r="D6784" s="16" t="s">
        <v>873</v>
      </c>
      <c r="E6784" s="16" t="s">
        <v>9480</v>
      </c>
      <c r="F6784" s="27" t="s">
        <v>15015</v>
      </c>
      <c r="G6784" s="27"/>
      <c r="H6784" s="16" t="str">
        <f>IF(ISBLANK(PARTIDAS!$G6784),PARTIDAS!$F6784,CONCATENATE(PARTIDAS!$F6784," (",PARTIDAS!$G6784,")"))</f>
        <v>Máquinas y aparatos, para la aplicación de filtros en cigarrillos</v>
      </c>
      <c r="I6784" s="16" t="s">
        <v>9427</v>
      </c>
    </row>
    <row r="6785" spans="1:9" x14ac:dyDescent="0.25">
      <c r="A6785" s="16" t="s">
        <v>7717</v>
      </c>
      <c r="B6785" s="16" t="str">
        <f>TEXT(PARTIDA[[#This Row],[PARTIDA]],"0000000000")</f>
        <v>8478109000</v>
      </c>
      <c r="C6785" s="16" t="s">
        <v>860</v>
      </c>
      <c r="D6785" s="16" t="s">
        <v>873</v>
      </c>
      <c r="E6785" s="16" t="s">
        <v>9480</v>
      </c>
      <c r="F6785" s="27" t="s">
        <v>15016</v>
      </c>
      <c r="G6785" s="27"/>
      <c r="H6785" s="16" t="str">
        <f>IF(ISBLANK(PARTIDAS!$G6785),PARTIDAS!$F6785,CONCATENATE(PARTIDAS!$F6785," (",PARTIDAS!$G6785,")"))</f>
        <v>Máquinas y aparatos (los demás)</v>
      </c>
      <c r="I6785" s="16" t="s">
        <v>9427</v>
      </c>
    </row>
    <row r="6786" spans="1:9" x14ac:dyDescent="0.25">
      <c r="A6786" s="16" t="s">
        <v>7718</v>
      </c>
      <c r="B6786" s="16" t="str">
        <f>TEXT(PARTIDA[[#This Row],[PARTIDA]],"0000000000")</f>
        <v>8478900000</v>
      </c>
      <c r="C6786" s="16" t="s">
        <v>860</v>
      </c>
      <c r="D6786" s="16" t="s">
        <v>873</v>
      </c>
      <c r="E6786" s="16" t="s">
        <v>9480</v>
      </c>
      <c r="F6786" s="27" t="s">
        <v>15017</v>
      </c>
      <c r="G6786" s="27"/>
      <c r="H6786" s="16" t="str">
        <f>IF(ISBLANK(PARTIDAS!$G6786),PARTIDAS!$F6786,CONCATENATE(PARTIDAS!$F6786," (",PARTIDAS!$G6786,")"))</f>
        <v>Máquinas y aparatos para preparar o elaborar tabaco, no expresados ni…, partes</v>
      </c>
      <c r="I6786" s="16" t="s">
        <v>9427</v>
      </c>
    </row>
    <row r="6787" spans="1:9" x14ac:dyDescent="0.25">
      <c r="A6787" s="16" t="s">
        <v>7719</v>
      </c>
      <c r="B6787" s="16" t="str">
        <f>TEXT(PARTIDA[[#This Row],[PARTIDA]],"0000000000")</f>
        <v>8479100000</v>
      </c>
      <c r="C6787" s="16" t="s">
        <v>860</v>
      </c>
      <c r="D6787" s="16" t="s">
        <v>873</v>
      </c>
      <c r="E6787" s="16" t="s">
        <v>9480</v>
      </c>
      <c r="F6787" s="27" t="s">
        <v>9320</v>
      </c>
      <c r="G6787" s="27"/>
      <c r="H6787" s="16" t="str">
        <f>IF(ISBLANK(PARTIDAS!$G6787),PARTIDAS!$F6787,CONCATENATE(PARTIDAS!$F6787," (",PARTIDAS!$G6787,")"))</f>
        <v>Máquinas y aparatos para obras públicas, la construcción o trabajos análogos</v>
      </c>
      <c r="I6787" s="16" t="s">
        <v>9477</v>
      </c>
    </row>
    <row r="6788" spans="1:9" x14ac:dyDescent="0.25">
      <c r="A6788" s="16" t="s">
        <v>7720</v>
      </c>
      <c r="B6788" s="16" t="str">
        <f>TEXT(PARTIDA[[#This Row],[PARTIDA]],"0000000000")</f>
        <v>8479201000</v>
      </c>
      <c r="C6788" s="16" t="s">
        <v>860</v>
      </c>
      <c r="D6788" s="16" t="s">
        <v>873</v>
      </c>
      <c r="E6788" s="16" t="s">
        <v>9480</v>
      </c>
      <c r="F6788" s="27" t="s">
        <v>15018</v>
      </c>
      <c r="G6788" s="27"/>
      <c r="H6788" s="16" t="str">
        <f>IF(ISBLANK(PARTIDAS!$G6788),PARTIDAS!$F6788,CONCATENATE(PARTIDAS!$F6788," (",PARTIDAS!$G6788,")"))</f>
        <v>Máquinas y aparatos para extracción o preparación de grasas o…, para la extracción</v>
      </c>
      <c r="I6788" s="16" t="s">
        <v>9427</v>
      </c>
    </row>
    <row r="6789" spans="1:9" x14ac:dyDescent="0.25">
      <c r="A6789" s="16" t="s">
        <v>7721</v>
      </c>
      <c r="B6789" s="16" t="str">
        <f>TEXT(PARTIDA[[#This Row],[PARTIDA]],"0000000000")</f>
        <v>8479209000</v>
      </c>
      <c r="C6789" s="16" t="s">
        <v>860</v>
      </c>
      <c r="D6789" s="16" t="s">
        <v>873</v>
      </c>
      <c r="E6789" s="16" t="s">
        <v>9480</v>
      </c>
      <c r="F6789" s="27" t="s">
        <v>15019</v>
      </c>
      <c r="G6789" s="27"/>
      <c r="H6789" s="16" t="str">
        <f>IF(ISBLANK(PARTIDAS!$G6789),PARTIDAS!$F6789,CONCATENATE(PARTIDAS!$F6789," (",PARTIDAS!$G6789,")"))</f>
        <v>Máquinas y aparatos para extracción o preparación de grasas o… (los demás)</v>
      </c>
      <c r="I6789" s="16" t="s">
        <v>9427</v>
      </c>
    </row>
    <row r="6790" spans="1:9" x14ac:dyDescent="0.25">
      <c r="A6790" s="16" t="s">
        <v>7722</v>
      </c>
      <c r="B6790" s="16" t="str">
        <f>TEXT(PARTIDA[[#This Row],[PARTIDA]],"0000000000")</f>
        <v>8479300000</v>
      </c>
      <c r="C6790" s="16" t="s">
        <v>860</v>
      </c>
      <c r="D6790" s="16" t="s">
        <v>873</v>
      </c>
      <c r="E6790" s="16" t="s">
        <v>9480</v>
      </c>
      <c r="F6790" s="27" t="s">
        <v>15020</v>
      </c>
      <c r="G6790" s="27"/>
      <c r="H6790" s="16" t="str">
        <f>IF(ISBLANK(PARTIDAS!$G6790),PARTIDAS!$F6790,CONCATENATE(PARTIDAS!$F6790," (",PARTIDAS!$G6790,")"))</f>
        <v xml:space="preserve">Prensas para fabricar tableros de partículas, fibra de madera u otras materias leñosas y demás máquinas y aparatos para el tratamiento de la madera o </v>
      </c>
      <c r="I6790" s="16" t="s">
        <v>9427</v>
      </c>
    </row>
    <row r="6791" spans="1:9" x14ac:dyDescent="0.25">
      <c r="A6791" s="16" t="s">
        <v>7723</v>
      </c>
      <c r="B6791" s="16" t="str">
        <f>TEXT(PARTIDA[[#This Row],[PARTIDA]],"0000000000")</f>
        <v>8479400000</v>
      </c>
      <c r="C6791" s="16" t="s">
        <v>860</v>
      </c>
      <c r="D6791" s="16" t="s">
        <v>873</v>
      </c>
      <c r="E6791" s="16" t="s">
        <v>9480</v>
      </c>
      <c r="F6791" s="27" t="s">
        <v>15021</v>
      </c>
      <c r="G6791" s="27"/>
      <c r="H6791" s="16" t="str">
        <f>IF(ISBLANK(PARTIDAS!$G6791),PARTIDAS!$F6791,CONCATENATE(PARTIDAS!$F6791," (",PARTIDAS!$G6791,")"))</f>
        <v>Máquinas de cordelería o cablería</v>
      </c>
      <c r="I6791" s="16" t="s">
        <v>9427</v>
      </c>
    </row>
    <row r="6792" spans="1:9" x14ac:dyDescent="0.25">
      <c r="A6792" s="16" t="s">
        <v>7724</v>
      </c>
      <c r="B6792" s="16" t="str">
        <f>TEXT(PARTIDA[[#This Row],[PARTIDA]],"0000000000")</f>
        <v>8479500000</v>
      </c>
      <c r="C6792" s="16" t="s">
        <v>860</v>
      </c>
      <c r="D6792" s="16" t="s">
        <v>873</v>
      </c>
      <c r="E6792" s="16" t="s">
        <v>9480</v>
      </c>
      <c r="F6792" s="27" t="s">
        <v>15022</v>
      </c>
      <c r="G6792" s="27"/>
      <c r="H6792" s="16" t="str">
        <f>IF(ISBLANK(PARTIDAS!$G6792),PARTIDAS!$F6792,CONCATENATE(PARTIDAS!$F6792," (",PARTIDAS!$G6792,")"))</f>
        <v>Robots industriales, no expresados ni comprendidos en otra parte</v>
      </c>
      <c r="I6792" s="16" t="s">
        <v>9427</v>
      </c>
    </row>
    <row r="6793" spans="1:9" x14ac:dyDescent="0.25">
      <c r="A6793" s="16" t="s">
        <v>7725</v>
      </c>
      <c r="B6793" s="16" t="str">
        <f>TEXT(PARTIDA[[#This Row],[PARTIDA]],"0000000000")</f>
        <v>8479600000</v>
      </c>
      <c r="C6793" s="16" t="s">
        <v>860</v>
      </c>
      <c r="D6793" s="16" t="s">
        <v>873</v>
      </c>
      <c r="E6793" s="16" t="s">
        <v>9480</v>
      </c>
      <c r="F6793" s="27" t="s">
        <v>15023</v>
      </c>
      <c r="G6793" s="27"/>
      <c r="H6793" s="16" t="str">
        <f>IF(ISBLANK(PARTIDAS!$G6793),PARTIDAS!$F6793,CONCATENATE(PARTIDAS!$F6793," (",PARTIDAS!$G6793,")"))</f>
        <v>Aparatos de evaporación para refrigerar el aire</v>
      </c>
      <c r="I6793" s="16" t="s">
        <v>9427</v>
      </c>
    </row>
    <row r="6794" spans="1:9" x14ac:dyDescent="0.25">
      <c r="A6794" s="16" t="s">
        <v>7726</v>
      </c>
      <c r="B6794" s="16" t="str">
        <f>TEXT(PARTIDA[[#This Row],[PARTIDA]],"0000000000")</f>
        <v>8479710000</v>
      </c>
      <c r="C6794" s="16" t="s">
        <v>860</v>
      </c>
      <c r="D6794" s="16" t="s">
        <v>873</v>
      </c>
      <c r="E6794" s="16" t="s">
        <v>9480</v>
      </c>
      <c r="F6794" s="27" t="s">
        <v>15024</v>
      </c>
      <c r="G6794" s="27"/>
      <c r="H6794" s="16" t="str">
        <f>IF(ISBLANK(PARTIDAS!$G6794),PARTIDAS!$F6794,CONCATENATE(PARTIDAS!$F6794," (",PARTIDAS!$G6794,")"))</f>
        <v>Pasarelas de embarque para pasajeros, de los tipos utilizados en aeropuertos</v>
      </c>
      <c r="I6794" s="16" t="s">
        <v>9427</v>
      </c>
    </row>
    <row r="6795" spans="1:9" x14ac:dyDescent="0.25">
      <c r="A6795" s="16" t="s">
        <v>7727</v>
      </c>
      <c r="B6795" s="16" t="str">
        <f>TEXT(PARTIDA[[#This Row],[PARTIDA]],"0000000000")</f>
        <v>8479790000</v>
      </c>
      <c r="C6795" s="16" t="s">
        <v>860</v>
      </c>
      <c r="D6795" s="16" t="s">
        <v>873</v>
      </c>
      <c r="E6795" s="16" t="s">
        <v>9480</v>
      </c>
      <c r="F6795" s="27" t="s">
        <v>15025</v>
      </c>
      <c r="G6795" s="27"/>
      <c r="H6795" s="16" t="str">
        <f>IF(ISBLANK(PARTIDAS!$G6795),PARTIDAS!$F6795,CONCATENATE(PARTIDAS!$F6795," (",PARTIDAS!$G6795,")"))</f>
        <v>Pasarelas de embarque para pasajeros (los demás)</v>
      </c>
      <c r="I6795" s="16" t="s">
        <v>9427</v>
      </c>
    </row>
    <row r="6796" spans="1:9" x14ac:dyDescent="0.25">
      <c r="A6796" s="16" t="s">
        <v>7728</v>
      </c>
      <c r="B6796" s="16" t="str">
        <f>TEXT(PARTIDA[[#This Row],[PARTIDA]],"0000000000")</f>
        <v>8479810000</v>
      </c>
      <c r="C6796" s="16" t="s">
        <v>860</v>
      </c>
      <c r="D6796" s="16" t="s">
        <v>873</v>
      </c>
      <c r="E6796" s="16" t="s">
        <v>9480</v>
      </c>
      <c r="F6796" s="27" t="s">
        <v>15026</v>
      </c>
      <c r="G6796" s="27"/>
      <c r="H6796" s="16" t="str">
        <f>IF(ISBLANK(PARTIDAS!$G6796),PARTIDAS!$F6796,CONCATENATE(PARTIDAS!$F6796," (",PARTIDAS!$G6796,")"))</f>
        <v>Máquinas y aparatos mecánicos con función propia, no expresados ni…, para el tratamiento del metal, incluidas las bobinadoras de hilos eléctricos</v>
      </c>
      <c r="I6796" s="16" t="s">
        <v>9427</v>
      </c>
    </row>
    <row r="6797" spans="1:9" x14ac:dyDescent="0.25">
      <c r="A6797" s="16" t="s">
        <v>7729</v>
      </c>
      <c r="B6797" s="16" t="str">
        <f>TEXT(PARTIDA[[#This Row],[PARTIDA]],"0000000000")</f>
        <v>8479820000</v>
      </c>
      <c r="C6797" s="16" t="s">
        <v>860</v>
      </c>
      <c r="D6797" s="16" t="s">
        <v>873</v>
      </c>
      <c r="E6797" s="16" t="s">
        <v>9480</v>
      </c>
      <c r="F6797" s="27" t="s">
        <v>9318</v>
      </c>
      <c r="G6797" s="27"/>
      <c r="H6797" s="16" t="str">
        <f>IF(ISBLANK(PARTIDAS!$G6797),PARTIDAS!$F6797,CONCATENATE(PARTIDAS!$F6797," (",PARTIDAS!$G6797,")"))</f>
        <v xml:space="preserve">Máquinas y aparatos mecánicos con función propia, no expresados ni…, para mezclar, amasar o sobar, quebrantar, triturar, pulverizar, cribar, tamizar, </v>
      </c>
      <c r="I6797" s="16" t="s">
        <v>9477</v>
      </c>
    </row>
    <row r="6798" spans="1:9" x14ac:dyDescent="0.25">
      <c r="A6798" s="16" t="s">
        <v>15027</v>
      </c>
      <c r="B6798" s="16" t="str">
        <f>TEXT(PARTIDA[[#This Row],[PARTIDA]],"0000000000")</f>
        <v>8479830000</v>
      </c>
      <c r="C6798" s="16" t="s">
        <v>860</v>
      </c>
      <c r="D6798" s="16" t="s">
        <v>873</v>
      </c>
      <c r="E6798" s="16" t="s">
        <v>9480</v>
      </c>
      <c r="F6798" s="27" t="s">
        <v>15028</v>
      </c>
      <c r="G6798" s="27"/>
      <c r="H6798" s="16" t="str">
        <f>IF(ISBLANK(PARTIDAS!$G6798),PARTIDAS!$F6798,CONCATENATE(PARTIDAS!$F6798," (",PARTIDAS!$G6798,")"))</f>
        <v>Prensas isostáticas en frío</v>
      </c>
      <c r="I6798" s="16" t="s">
        <v>9427</v>
      </c>
    </row>
    <row r="6799" spans="1:9" x14ac:dyDescent="0.25">
      <c r="A6799" s="16" t="s">
        <v>7730</v>
      </c>
      <c r="B6799" s="16" t="str">
        <f>TEXT(PARTIDA[[#This Row],[PARTIDA]],"0000000000")</f>
        <v>8479891000</v>
      </c>
      <c r="C6799" s="16" t="s">
        <v>860</v>
      </c>
      <c r="D6799" s="16" t="s">
        <v>873</v>
      </c>
      <c r="E6799" s="16" t="s">
        <v>9480</v>
      </c>
      <c r="F6799" s="27" t="s">
        <v>15029</v>
      </c>
      <c r="G6799" s="27"/>
      <c r="H6799" s="16" t="str">
        <f>IF(ISBLANK(PARTIDAS!$G6799),PARTIDAS!$F6799,CONCATENATE(PARTIDAS!$F6799," (",PARTIDAS!$G6799,")"))</f>
        <v>Máquinas y aparatos mecánicos con función propia, no expresados ni…, para la industria de jabón</v>
      </c>
      <c r="I6799" s="16" t="s">
        <v>9427</v>
      </c>
    </row>
    <row r="6800" spans="1:9" x14ac:dyDescent="0.25">
      <c r="A6800" s="16" t="s">
        <v>7731</v>
      </c>
      <c r="B6800" s="16" t="str">
        <f>TEXT(PARTIDA[[#This Row],[PARTIDA]],"0000000000")</f>
        <v>8479892000</v>
      </c>
      <c r="C6800" s="16" t="s">
        <v>860</v>
      </c>
      <c r="D6800" s="16" t="s">
        <v>873</v>
      </c>
      <c r="E6800" s="16" t="s">
        <v>9480</v>
      </c>
      <c r="F6800" s="27" t="s">
        <v>15030</v>
      </c>
      <c r="G6800" s="27"/>
      <c r="H6800" s="16" t="str">
        <f>IF(ISBLANK(PARTIDAS!$G6800),PARTIDAS!$F6800,CONCATENATE(PARTIDAS!$F6800," (",PARTIDAS!$G6800,")"))</f>
        <v>Humectadores y deshumectadores (excepto los aparatos de las partidas 84.15 u 84.24)</v>
      </c>
      <c r="I6800" s="16" t="s">
        <v>9427</v>
      </c>
    </row>
    <row r="6801" spans="1:9" x14ac:dyDescent="0.25">
      <c r="A6801" s="16" t="s">
        <v>7732</v>
      </c>
      <c r="B6801" s="16" t="str">
        <f>TEXT(PARTIDA[[#This Row],[PARTIDA]],"0000000000")</f>
        <v>8479893000</v>
      </c>
      <c r="C6801" s="16" t="s">
        <v>860</v>
      </c>
      <c r="D6801" s="16" t="s">
        <v>873</v>
      </c>
      <c r="E6801" s="16" t="s">
        <v>9480</v>
      </c>
      <c r="F6801" s="27" t="s">
        <v>15031</v>
      </c>
      <c r="G6801" s="27"/>
      <c r="H6801" s="16" t="str">
        <f>IF(ISBLANK(PARTIDAS!$G6801),PARTIDAS!$F6801,CONCATENATE(PARTIDAS!$F6801," (",PARTIDAS!$G6801,")"))</f>
        <v>Engrasadores automáticos de bomba, para máquinas</v>
      </c>
      <c r="I6801" s="16" t="s">
        <v>9427</v>
      </c>
    </row>
    <row r="6802" spans="1:9" x14ac:dyDescent="0.25">
      <c r="A6802" s="16" t="s">
        <v>7733</v>
      </c>
      <c r="B6802" s="16" t="str">
        <f>TEXT(PARTIDA[[#This Row],[PARTIDA]],"0000000000")</f>
        <v>8479894000</v>
      </c>
      <c r="C6802" s="16" t="s">
        <v>860</v>
      </c>
      <c r="D6802" s="16" t="s">
        <v>873</v>
      </c>
      <c r="E6802" s="16" t="s">
        <v>9480</v>
      </c>
      <c r="F6802" s="27" t="s">
        <v>15032</v>
      </c>
      <c r="G6802" s="27"/>
      <c r="H6802" s="16" t="str">
        <f>IF(ISBLANK(PARTIDAS!$G6802),PARTIDAS!$F6802,CONCATENATE(PARTIDAS!$F6802," (",PARTIDAS!$G6802,")"))</f>
        <v>Máquinas y aparatos mecánicos con función propia, no expresados ni…, para el cuidado y conservación de oleoductos o canalizaciones similares</v>
      </c>
      <c r="I6802" s="16" t="s">
        <v>9427</v>
      </c>
    </row>
    <row r="6803" spans="1:9" x14ac:dyDescent="0.25">
      <c r="A6803" s="16" t="s">
        <v>7734</v>
      </c>
      <c r="B6803" s="16" t="str">
        <f>TEXT(PARTIDA[[#This Row],[PARTIDA]],"0000000000")</f>
        <v>8479895000</v>
      </c>
      <c r="C6803" s="16" t="s">
        <v>860</v>
      </c>
      <c r="D6803" s="16" t="s">
        <v>873</v>
      </c>
      <c r="E6803" s="16" t="s">
        <v>9480</v>
      </c>
      <c r="F6803" s="27" t="s">
        <v>15033</v>
      </c>
      <c r="G6803" s="27"/>
      <c r="H6803" s="16" t="str">
        <f>IF(ISBLANK(PARTIDAS!$G6803),PARTIDAS!$F6803,CONCATENATE(PARTIDAS!$F6803," (",PARTIDAS!$G6803,")"))</f>
        <v>Limpiaparabrisas con motor</v>
      </c>
      <c r="I6803" s="16" t="s">
        <v>9427</v>
      </c>
    </row>
    <row r="6804" spans="1:9" x14ac:dyDescent="0.25">
      <c r="A6804" s="16" t="s">
        <v>7735</v>
      </c>
      <c r="B6804" s="16" t="str">
        <f>TEXT(PARTIDA[[#This Row],[PARTIDA]],"0000000000")</f>
        <v>8479898000</v>
      </c>
      <c r="C6804" s="16" t="s">
        <v>860</v>
      </c>
      <c r="D6804" s="16" t="s">
        <v>873</v>
      </c>
      <c r="E6804" s="16" t="s">
        <v>9480</v>
      </c>
      <c r="F6804" s="27" t="s">
        <v>7736</v>
      </c>
      <c r="G6804" s="27"/>
      <c r="H6804" s="16" t="str">
        <f>IF(ISBLANK(PARTIDAS!$G6804),PARTIDAS!$F6804,CONCATENATE(PARTIDAS!$F6804," (",PARTIDAS!$G6804,")"))</f>
        <v>Prensas</v>
      </c>
      <c r="I6804" s="16" t="s">
        <v>9427</v>
      </c>
    </row>
    <row r="6805" spans="1:9" x14ac:dyDescent="0.25">
      <c r="A6805" s="16" t="s">
        <v>7737</v>
      </c>
      <c r="B6805" s="16" t="str">
        <f>TEXT(PARTIDA[[#This Row],[PARTIDA]],"0000000000")</f>
        <v>8479899000</v>
      </c>
      <c r="C6805" s="16" t="s">
        <v>860</v>
      </c>
      <c r="D6805" s="16" t="s">
        <v>873</v>
      </c>
      <c r="E6805" s="16" t="s">
        <v>9480</v>
      </c>
      <c r="F6805" s="27" t="s">
        <v>876</v>
      </c>
      <c r="G6805" s="27"/>
      <c r="H6805" s="16" t="str">
        <f>IF(ISBLANK(PARTIDAS!$G6805),PARTIDAS!$F6805,CONCATENATE(PARTIDAS!$F6805," (",PARTIDAS!$G6805,")"))</f>
        <v>Herramientas</v>
      </c>
      <c r="I6805" s="16" t="s">
        <v>9427</v>
      </c>
    </row>
    <row r="6806" spans="1:9" x14ac:dyDescent="0.25">
      <c r="A6806" s="16" t="s">
        <v>7738</v>
      </c>
      <c r="B6806" s="16" t="str">
        <f>TEXT(PARTIDA[[#This Row],[PARTIDA]],"0000000000")</f>
        <v>8479900000</v>
      </c>
      <c r="C6806" s="16" t="s">
        <v>860</v>
      </c>
      <c r="D6806" s="16" t="s">
        <v>873</v>
      </c>
      <c r="E6806" s="16" t="s">
        <v>9480</v>
      </c>
      <c r="F6806" s="27" t="s">
        <v>876</v>
      </c>
      <c r="G6806" s="27"/>
      <c r="H6806" s="16" t="str">
        <f>IF(ISBLANK(PARTIDAS!$G6806),PARTIDAS!$F6806,CONCATENATE(PARTIDAS!$F6806," (",PARTIDAS!$G6806,")"))</f>
        <v>Herramientas</v>
      </c>
      <c r="I6806" s="16" t="s">
        <v>9427</v>
      </c>
    </row>
    <row r="6807" spans="1:9" x14ac:dyDescent="0.25">
      <c r="A6807" s="16" t="s">
        <v>7739</v>
      </c>
      <c r="B6807" s="16" t="str">
        <f>TEXT(PARTIDA[[#This Row],[PARTIDA]],"0000000000")</f>
        <v>8480100000</v>
      </c>
      <c r="C6807" s="16" t="s">
        <v>860</v>
      </c>
      <c r="D6807" s="16" t="s">
        <v>873</v>
      </c>
      <c r="E6807" s="16" t="s">
        <v>9480</v>
      </c>
      <c r="F6807" s="27" t="s">
        <v>15034</v>
      </c>
      <c r="G6807" s="27"/>
      <c r="H6807" s="16" t="str">
        <f>IF(ISBLANK(PARTIDAS!$G6807),PARTIDAS!$F6807,CONCATENATE(PARTIDAS!$F6807," (",PARTIDAS!$G6807,")"))</f>
        <v>Cajas de fundición</v>
      </c>
      <c r="I6807" s="16" t="s">
        <v>9427</v>
      </c>
    </row>
    <row r="6808" spans="1:9" x14ac:dyDescent="0.25">
      <c r="A6808" s="16" t="s">
        <v>7740</v>
      </c>
      <c r="B6808" s="16" t="str">
        <f>TEXT(PARTIDA[[#This Row],[PARTIDA]],"0000000000")</f>
        <v>8480200000</v>
      </c>
      <c r="C6808" s="16" t="s">
        <v>860</v>
      </c>
      <c r="D6808" s="16" t="s">
        <v>873</v>
      </c>
      <c r="E6808" s="16" t="s">
        <v>9480</v>
      </c>
      <c r="F6808" s="27" t="s">
        <v>15035</v>
      </c>
      <c r="G6808" s="27"/>
      <c r="H6808" s="16" t="str">
        <f>IF(ISBLANK(PARTIDAS!$G6808),PARTIDAS!$F6808,CONCATENATE(PARTIDAS!$F6808," (",PARTIDAS!$G6808,")"))</f>
        <v>Placas de fondo para moldes</v>
      </c>
      <c r="I6808" s="16" t="s">
        <v>9427</v>
      </c>
    </row>
    <row r="6809" spans="1:9" x14ac:dyDescent="0.25">
      <c r="A6809" s="16" t="s">
        <v>7741</v>
      </c>
      <c r="B6809" s="16" t="str">
        <f>TEXT(PARTIDA[[#This Row],[PARTIDA]],"0000000000")</f>
        <v>8480300000</v>
      </c>
      <c r="C6809" s="16" t="s">
        <v>860</v>
      </c>
      <c r="D6809" s="16" t="s">
        <v>873</v>
      </c>
      <c r="E6809" s="16" t="s">
        <v>9480</v>
      </c>
      <c r="F6809" s="27" t="s">
        <v>15036</v>
      </c>
      <c r="G6809" s="27"/>
      <c r="H6809" s="16" t="str">
        <f>IF(ISBLANK(PARTIDAS!$G6809),PARTIDAS!$F6809,CONCATENATE(PARTIDAS!$F6809," (",PARTIDAS!$G6809,")"))</f>
        <v>Modelos para moldes</v>
      </c>
      <c r="I6809" s="16" t="s">
        <v>9427</v>
      </c>
    </row>
    <row r="6810" spans="1:9" x14ac:dyDescent="0.25">
      <c r="A6810" s="16" t="s">
        <v>7742</v>
      </c>
      <c r="B6810" s="16" t="str">
        <f>TEXT(PARTIDA[[#This Row],[PARTIDA]],"0000000000")</f>
        <v>8480410000</v>
      </c>
      <c r="C6810" s="16" t="s">
        <v>860</v>
      </c>
      <c r="D6810" s="16" t="s">
        <v>873</v>
      </c>
      <c r="E6810" s="16" t="s">
        <v>9480</v>
      </c>
      <c r="F6810" s="27" t="s">
        <v>15037</v>
      </c>
      <c r="G6810" s="27"/>
      <c r="H6810" s="16" t="str">
        <f>IF(ISBLANK(PARTIDAS!$G6810),PARTIDAS!$F6810,CONCATENATE(PARTIDAS!$F6810," (",PARTIDAS!$G6810,")"))</f>
        <v>Moldes para metales o carburos metálicos, para el moldeo por inyección o compresión</v>
      </c>
      <c r="I6810" s="16" t="s">
        <v>9427</v>
      </c>
    </row>
    <row r="6811" spans="1:9" x14ac:dyDescent="0.25">
      <c r="A6811" s="16" t="s">
        <v>7743</v>
      </c>
      <c r="B6811" s="16" t="str">
        <f>TEXT(PARTIDA[[#This Row],[PARTIDA]],"0000000000")</f>
        <v>8480490000</v>
      </c>
      <c r="C6811" s="16" t="s">
        <v>860</v>
      </c>
      <c r="D6811" s="16" t="s">
        <v>873</v>
      </c>
      <c r="E6811" s="16" t="s">
        <v>9480</v>
      </c>
      <c r="F6811" s="27" t="s">
        <v>15038</v>
      </c>
      <c r="G6811" s="27"/>
      <c r="H6811" s="16" t="str">
        <f>IF(ISBLANK(PARTIDAS!$G6811),PARTIDAS!$F6811,CONCATENATE(PARTIDAS!$F6811," (",PARTIDAS!$G6811,")"))</f>
        <v>Moldes para metales o carburos metálicos (los demás)</v>
      </c>
      <c r="I6811" s="16" t="s">
        <v>9427</v>
      </c>
    </row>
    <row r="6812" spans="1:9" x14ac:dyDescent="0.25">
      <c r="A6812" s="16" t="s">
        <v>7744</v>
      </c>
      <c r="B6812" s="16" t="str">
        <f>TEXT(PARTIDA[[#This Row],[PARTIDA]],"0000000000")</f>
        <v>8480500000</v>
      </c>
      <c r="C6812" s="16" t="s">
        <v>860</v>
      </c>
      <c r="D6812" s="16" t="s">
        <v>873</v>
      </c>
      <c r="E6812" s="16" t="s">
        <v>9480</v>
      </c>
      <c r="F6812" s="27" t="s">
        <v>15039</v>
      </c>
      <c r="G6812" s="27"/>
      <c r="H6812" s="16" t="str">
        <f>IF(ISBLANK(PARTIDAS!$G6812),PARTIDAS!$F6812,CONCATENATE(PARTIDAS!$F6812," (",PARTIDAS!$G6812,")"))</f>
        <v>Moldes para vidrio</v>
      </c>
      <c r="I6812" s="16" t="s">
        <v>9427</v>
      </c>
    </row>
    <row r="6813" spans="1:9" x14ac:dyDescent="0.25">
      <c r="A6813" s="16" t="s">
        <v>7745</v>
      </c>
      <c r="B6813" s="16" t="str">
        <f>TEXT(PARTIDA[[#This Row],[PARTIDA]],"0000000000")</f>
        <v>8480600000</v>
      </c>
      <c r="C6813" s="16" t="s">
        <v>860</v>
      </c>
      <c r="D6813" s="16" t="s">
        <v>873</v>
      </c>
      <c r="E6813" s="16" t="s">
        <v>9480</v>
      </c>
      <c r="F6813" s="27" t="s">
        <v>15040</v>
      </c>
      <c r="G6813" s="27"/>
      <c r="H6813" s="16" t="str">
        <f>IF(ISBLANK(PARTIDAS!$G6813),PARTIDAS!$F6813,CONCATENATE(PARTIDAS!$F6813," (",PARTIDAS!$G6813,")"))</f>
        <v>Moldes para materia mineral</v>
      </c>
      <c r="I6813" s="16" t="s">
        <v>9427</v>
      </c>
    </row>
    <row r="6814" spans="1:9" x14ac:dyDescent="0.25">
      <c r="A6814" s="16" t="s">
        <v>7746</v>
      </c>
      <c r="B6814" s="16" t="str">
        <f>TEXT(PARTIDA[[#This Row],[PARTIDA]],"0000000000")</f>
        <v>8480711000</v>
      </c>
      <c r="C6814" s="16" t="s">
        <v>860</v>
      </c>
      <c r="D6814" s="16" t="s">
        <v>873</v>
      </c>
      <c r="E6814" s="16" t="s">
        <v>9480</v>
      </c>
      <c r="F6814" s="27" t="s">
        <v>15041</v>
      </c>
      <c r="G6814" s="27"/>
      <c r="H6814" s="16" t="str">
        <f>IF(ISBLANK(PARTIDAS!$G6814),PARTIDAS!$F6814,CONCATENATE(PARTIDAS!$F6814," (",PARTIDAS!$G6814,")"))</f>
        <v>Moldes para caucho o plástico, para moldeo por inyección o compresión, de partes de maquinilla de afeitar</v>
      </c>
      <c r="I6814" s="16" t="s">
        <v>9427</v>
      </c>
    </row>
    <row r="6815" spans="1:9" x14ac:dyDescent="0.25">
      <c r="A6815" s="16" t="s">
        <v>7747</v>
      </c>
      <c r="B6815" s="16" t="str">
        <f>TEXT(PARTIDA[[#This Row],[PARTIDA]],"0000000000")</f>
        <v>8480719000</v>
      </c>
      <c r="C6815" s="16" t="s">
        <v>860</v>
      </c>
      <c r="D6815" s="16" t="s">
        <v>873</v>
      </c>
      <c r="E6815" s="16" t="s">
        <v>9480</v>
      </c>
      <c r="F6815" s="27" t="s">
        <v>15042</v>
      </c>
      <c r="G6815" s="27"/>
      <c r="H6815" s="16" t="str">
        <f>IF(ISBLANK(PARTIDAS!$G6815),PARTIDAS!$F6815,CONCATENATE(PARTIDAS!$F6815," (",PARTIDAS!$G6815,")"))</f>
        <v>Moldes para caucho o plástico, para moldeo por inyección o compresión (los demás)</v>
      </c>
      <c r="I6815" s="16" t="s">
        <v>9427</v>
      </c>
    </row>
    <row r="6816" spans="1:9" x14ac:dyDescent="0.25">
      <c r="A6816" s="16" t="s">
        <v>7748</v>
      </c>
      <c r="B6816" s="16" t="str">
        <f>TEXT(PARTIDA[[#This Row],[PARTIDA]],"0000000000")</f>
        <v>8480790000</v>
      </c>
      <c r="C6816" s="16" t="s">
        <v>860</v>
      </c>
      <c r="D6816" s="16" t="s">
        <v>873</v>
      </c>
      <c r="E6816" s="16" t="s">
        <v>9480</v>
      </c>
      <c r="F6816" s="27" t="s">
        <v>15043</v>
      </c>
      <c r="G6816" s="27"/>
      <c r="H6816" s="16" t="str">
        <f>IF(ISBLANK(PARTIDAS!$G6816),PARTIDAS!$F6816,CONCATENATE(PARTIDAS!$F6816," (",PARTIDAS!$G6816,")"))</f>
        <v>Moldes para caucho o plástico (los demás)</v>
      </c>
      <c r="I6816" s="16" t="s">
        <v>9427</v>
      </c>
    </row>
    <row r="6817" spans="1:9" x14ac:dyDescent="0.25">
      <c r="A6817" s="16" t="s">
        <v>7749</v>
      </c>
      <c r="B6817" s="16" t="str">
        <f>TEXT(PARTIDA[[#This Row],[PARTIDA]],"0000000000")</f>
        <v>8481100010</v>
      </c>
      <c r="C6817" s="16" t="s">
        <v>815</v>
      </c>
      <c r="D6817" s="16" t="s">
        <v>835</v>
      </c>
      <c r="E6817" s="16" t="s">
        <v>9463</v>
      </c>
      <c r="F6817" s="27" t="s">
        <v>15044</v>
      </c>
      <c r="G6817" s="27"/>
      <c r="H6817" s="16" t="str">
        <f>IF(ISBLANK(PARTIDAS!$G6817),PARTIDAS!$F6817,CONCATENATE(PARTIDAS!$F6817," (",PARTIDAS!$G6817,")"))</f>
        <v>Válvulas reductoras de presión, de características especiales para riego</v>
      </c>
      <c r="I6817" s="16" t="s">
        <v>9427</v>
      </c>
    </row>
    <row r="6818" spans="1:9" x14ac:dyDescent="0.25">
      <c r="A6818" s="16" t="s">
        <v>7750</v>
      </c>
      <c r="B6818" s="16" t="str">
        <f>TEXT(PARTIDA[[#This Row],[PARTIDA]],"0000000000")</f>
        <v>8481100090</v>
      </c>
      <c r="C6818" s="16" t="s">
        <v>815</v>
      </c>
      <c r="D6818" s="16" t="s">
        <v>835</v>
      </c>
      <c r="E6818" s="16" t="s">
        <v>9463</v>
      </c>
      <c r="F6818" s="27" t="s">
        <v>7751</v>
      </c>
      <c r="G6818" s="27"/>
      <c r="H6818" s="16" t="str">
        <f>IF(ISBLANK(PARTIDAS!$G6818),PARTIDAS!$F6818,CONCATENATE(PARTIDAS!$F6818," (",PARTIDAS!$G6818,")"))</f>
        <v>Válvulas</v>
      </c>
      <c r="I6818" s="16" t="s">
        <v>9427</v>
      </c>
    </row>
    <row r="6819" spans="1:9" x14ac:dyDescent="0.25">
      <c r="A6819" s="16" t="s">
        <v>7752</v>
      </c>
      <c r="B6819" s="16" t="str">
        <f>TEXT(PARTIDA[[#This Row],[PARTIDA]],"0000000000")</f>
        <v>8481200010</v>
      </c>
      <c r="C6819" s="16" t="s">
        <v>815</v>
      </c>
      <c r="D6819" s="16" t="s">
        <v>835</v>
      </c>
      <c r="E6819" s="16" t="s">
        <v>9463</v>
      </c>
      <c r="F6819" s="27" t="s">
        <v>15045</v>
      </c>
      <c r="G6819" s="27"/>
      <c r="H6819" s="16" t="str">
        <f>IF(ISBLANK(PARTIDAS!$G6819),PARTIDAS!$F6819,CONCATENATE(PARTIDAS!$F6819," (",PARTIDAS!$G6819,")"))</f>
        <v>Válvulas para transmisiones oleohidráulicas o neumáticas, de características especiales para riego</v>
      </c>
      <c r="I6819" s="16" t="s">
        <v>9427</v>
      </c>
    </row>
    <row r="6820" spans="1:9" x14ac:dyDescent="0.25">
      <c r="A6820" s="16" t="s">
        <v>7753</v>
      </c>
      <c r="B6820" s="16" t="str">
        <f>TEXT(PARTIDA[[#This Row],[PARTIDA]],"0000000000")</f>
        <v>8481200090</v>
      </c>
      <c r="C6820" s="16" t="s">
        <v>815</v>
      </c>
      <c r="D6820" s="16" t="s">
        <v>835</v>
      </c>
      <c r="E6820" s="16" t="s">
        <v>9463</v>
      </c>
      <c r="F6820" s="27" t="s">
        <v>7751</v>
      </c>
      <c r="G6820" s="27"/>
      <c r="H6820" s="16" t="str">
        <f>IF(ISBLANK(PARTIDAS!$G6820),PARTIDAS!$F6820,CONCATENATE(PARTIDAS!$F6820," (",PARTIDAS!$G6820,")"))</f>
        <v>Válvulas</v>
      </c>
      <c r="I6820" s="16" t="s">
        <v>9427</v>
      </c>
    </row>
    <row r="6821" spans="1:9" x14ac:dyDescent="0.25">
      <c r="A6821" s="16" t="s">
        <v>7754</v>
      </c>
      <c r="B6821" s="16" t="str">
        <f>TEXT(PARTIDA[[#This Row],[PARTIDA]],"0000000000")</f>
        <v>8481300010</v>
      </c>
      <c r="C6821" s="16" t="s">
        <v>815</v>
      </c>
      <c r="D6821" s="16" t="s">
        <v>835</v>
      </c>
      <c r="E6821" s="16" t="s">
        <v>9463</v>
      </c>
      <c r="F6821" s="27" t="s">
        <v>15046</v>
      </c>
      <c r="G6821" s="27"/>
      <c r="H6821" s="16" t="str">
        <f>IF(ISBLANK(PARTIDAS!$G6821),PARTIDAS!$F6821,CONCATENATE(PARTIDAS!$F6821," (",PARTIDAS!$G6821,")"))</f>
        <v>Válvulas de retención, de características especiales para riego</v>
      </c>
      <c r="I6821" s="16" t="s">
        <v>9427</v>
      </c>
    </row>
    <row r="6822" spans="1:9" x14ac:dyDescent="0.25">
      <c r="A6822" s="16" t="s">
        <v>7755</v>
      </c>
      <c r="B6822" s="16" t="str">
        <f>TEXT(PARTIDA[[#This Row],[PARTIDA]],"0000000000")</f>
        <v>8481300090</v>
      </c>
      <c r="C6822" s="16" t="s">
        <v>815</v>
      </c>
      <c r="D6822" s="16" t="s">
        <v>835</v>
      </c>
      <c r="E6822" s="16" t="s">
        <v>9463</v>
      </c>
      <c r="F6822" s="27" t="s">
        <v>7756</v>
      </c>
      <c r="G6822" s="27"/>
      <c r="H6822" s="16" t="str">
        <f>IF(ISBLANK(PARTIDAS!$G6822),PARTIDAS!$F6822,CONCATENATE(PARTIDAS!$F6822," (",PARTIDAS!$G6822,")"))</f>
        <v>Artículos de grifería</v>
      </c>
      <c r="I6822" s="16" t="s">
        <v>9427</v>
      </c>
    </row>
    <row r="6823" spans="1:9" x14ac:dyDescent="0.25">
      <c r="A6823" s="16" t="s">
        <v>7757</v>
      </c>
      <c r="B6823" s="16" t="str">
        <f>TEXT(PARTIDA[[#This Row],[PARTIDA]],"0000000000")</f>
        <v>8481400010</v>
      </c>
      <c r="C6823" s="16" t="s">
        <v>815</v>
      </c>
      <c r="D6823" s="16" t="s">
        <v>835</v>
      </c>
      <c r="E6823" s="16" t="s">
        <v>9463</v>
      </c>
      <c r="F6823" s="27" t="s">
        <v>15047</v>
      </c>
      <c r="G6823" s="27"/>
      <c r="H6823" s="16" t="str">
        <f>IF(ISBLANK(PARTIDAS!$G6823),PARTIDAS!$F6823,CONCATENATE(PARTIDAS!$F6823," (",PARTIDAS!$G6823,")"))</f>
        <v>Válvulas de alivio o seguridad, de características especiales para riego</v>
      </c>
      <c r="I6823" s="16" t="s">
        <v>9427</v>
      </c>
    </row>
    <row r="6824" spans="1:9" x14ac:dyDescent="0.25">
      <c r="A6824" s="16" t="s">
        <v>7758</v>
      </c>
      <c r="B6824" s="16" t="str">
        <f>TEXT(PARTIDA[[#This Row],[PARTIDA]],"0000000000")</f>
        <v>8481400090</v>
      </c>
      <c r="C6824" s="16" t="s">
        <v>815</v>
      </c>
      <c r="D6824" s="16" t="s">
        <v>835</v>
      </c>
      <c r="E6824" s="16" t="s">
        <v>9463</v>
      </c>
      <c r="F6824" s="27" t="s">
        <v>7751</v>
      </c>
      <c r="G6824" s="27"/>
      <c r="H6824" s="16" t="str">
        <f>IF(ISBLANK(PARTIDAS!$G6824),PARTIDAS!$F6824,CONCATENATE(PARTIDAS!$F6824," (",PARTIDAS!$G6824,")"))</f>
        <v>Válvulas</v>
      </c>
      <c r="I6824" s="16" t="s">
        <v>9477</v>
      </c>
    </row>
    <row r="6825" spans="1:9" x14ac:dyDescent="0.25">
      <c r="A6825" s="16" t="s">
        <v>7759</v>
      </c>
      <c r="B6825" s="16" t="str">
        <f>TEXT(PARTIDA[[#This Row],[PARTIDA]],"0000000000")</f>
        <v>8481801000</v>
      </c>
      <c r="C6825" s="16" t="s">
        <v>815</v>
      </c>
      <c r="D6825" s="16" t="s">
        <v>835</v>
      </c>
      <c r="E6825" s="16" t="s">
        <v>9463</v>
      </c>
      <c r="F6825" s="27" t="s">
        <v>15048</v>
      </c>
      <c r="G6825" s="27"/>
      <c r="H6825" s="16" t="str">
        <f>IF(ISBLANK(PARTIDAS!$G6825),PARTIDAS!$F6825,CONCATENATE(PARTIDAS!$F6825," (",PARTIDAS!$G6825,")"))</f>
        <v>Canillas o grifos para uso doméstico</v>
      </c>
      <c r="I6825" s="16" t="s">
        <v>9427</v>
      </c>
    </row>
    <row r="6826" spans="1:9" x14ac:dyDescent="0.25">
      <c r="A6826" s="16" t="s">
        <v>7760</v>
      </c>
      <c r="B6826" s="16" t="str">
        <f>TEXT(PARTIDA[[#This Row],[PARTIDA]],"0000000000")</f>
        <v>8481802000</v>
      </c>
      <c r="C6826" s="16" t="s">
        <v>815</v>
      </c>
      <c r="D6826" s="16" t="s">
        <v>835</v>
      </c>
      <c r="E6826" s="16" t="s">
        <v>9463</v>
      </c>
      <c r="F6826" s="27" t="s">
        <v>15049</v>
      </c>
      <c r="G6826" s="27"/>
      <c r="H6826" s="16" t="str">
        <f>IF(ISBLANK(PARTIDAS!$G6826),PARTIDAS!$F6826,CONCATENATE(PARTIDAS!$F6826," (",PARTIDAS!$G6826,")"))</f>
        <v>Válvulas llamadas «árboles de Navidad»</v>
      </c>
      <c r="I6826" s="16" t="s">
        <v>9427</v>
      </c>
    </row>
    <row r="6827" spans="1:9" x14ac:dyDescent="0.25">
      <c r="A6827" s="16" t="s">
        <v>7761</v>
      </c>
      <c r="B6827" s="16" t="str">
        <f>TEXT(PARTIDA[[#This Row],[PARTIDA]],"0000000000")</f>
        <v>8481803000</v>
      </c>
      <c r="C6827" s="16" t="s">
        <v>815</v>
      </c>
      <c r="D6827" s="16" t="s">
        <v>835</v>
      </c>
      <c r="E6827" s="16" t="s">
        <v>9463</v>
      </c>
      <c r="F6827" s="27" t="s">
        <v>15050</v>
      </c>
      <c r="G6827" s="27"/>
      <c r="H6827" s="16" t="str">
        <f>IF(ISBLANK(PARTIDAS!$G6827),PARTIDAS!$F6827,CONCATENATE(PARTIDAS!$F6827," (",PARTIDAS!$G6827,")"))</f>
        <v>Válvulas para neumáticos</v>
      </c>
      <c r="I6827" s="16" t="s">
        <v>9427</v>
      </c>
    </row>
    <row r="6828" spans="1:9" x14ac:dyDescent="0.25">
      <c r="A6828" s="16" t="s">
        <v>7762</v>
      </c>
      <c r="B6828" s="16" t="str">
        <f>TEXT(PARTIDA[[#This Row],[PARTIDA]],"0000000000")</f>
        <v>8481804000</v>
      </c>
      <c r="C6828" s="16" t="s">
        <v>815</v>
      </c>
      <c r="D6828" s="16" t="s">
        <v>835</v>
      </c>
      <c r="E6828" s="16" t="s">
        <v>9463</v>
      </c>
      <c r="F6828" s="27" t="s">
        <v>15051</v>
      </c>
      <c r="G6828" s="27"/>
      <c r="H6828" s="16" t="str">
        <f>IF(ISBLANK(PARTIDAS!$G6828),PARTIDAS!$F6828,CONCATENATE(PARTIDAS!$F6828," (",PARTIDAS!$G6828,")"))</f>
        <v>Válvulas esféricas</v>
      </c>
      <c r="I6828" s="16" t="s">
        <v>9427</v>
      </c>
    </row>
    <row r="6829" spans="1:9" x14ac:dyDescent="0.25">
      <c r="A6829" s="16" t="s">
        <v>7763</v>
      </c>
      <c r="B6829" s="16" t="str">
        <f>TEXT(PARTIDA[[#This Row],[PARTIDA]],"0000000000")</f>
        <v>8481805100</v>
      </c>
      <c r="C6829" s="16" t="s">
        <v>815</v>
      </c>
      <c r="D6829" s="16" t="s">
        <v>835</v>
      </c>
      <c r="E6829" s="16" t="s">
        <v>9463</v>
      </c>
      <c r="F6829" s="27" t="s">
        <v>15052</v>
      </c>
      <c r="G6829" s="27"/>
      <c r="H6829" s="16" t="str">
        <f>IF(ISBLANK(PARTIDAS!$G6829),PARTIDAS!$F6829,CONCATENATE(PARTIDAS!$F6829," (",PARTIDAS!$G6829,")"))</f>
        <v>Válvulas de compuerta de diámetro nominal inferior o igual a 100 mm, para presiones superiores o iguales a 13,8 Mpa</v>
      </c>
      <c r="I6829" s="16" t="s">
        <v>9427</v>
      </c>
    </row>
    <row r="6830" spans="1:9" x14ac:dyDescent="0.25">
      <c r="A6830" s="16" t="s">
        <v>7764</v>
      </c>
      <c r="B6830" s="16" t="str">
        <f>TEXT(PARTIDA[[#This Row],[PARTIDA]],"0000000000")</f>
        <v>8481805900</v>
      </c>
      <c r="C6830" s="16" t="s">
        <v>815</v>
      </c>
      <c r="D6830" s="16" t="s">
        <v>835</v>
      </c>
      <c r="E6830" s="16" t="s">
        <v>9463</v>
      </c>
      <c r="F6830" s="27" t="s">
        <v>15053</v>
      </c>
      <c r="G6830" s="27"/>
      <c r="H6830" s="16" t="str">
        <f>IF(ISBLANK(PARTIDAS!$G6830),PARTIDAS!$F6830,CONCATENATE(PARTIDAS!$F6830," (",PARTIDAS!$G6830,")"))</f>
        <v>Válvulas de compuerta de diámetro nominal inferior o igual a 100 mm (los demás)</v>
      </c>
      <c r="I6830" s="16" t="s">
        <v>9427</v>
      </c>
    </row>
    <row r="6831" spans="1:9" x14ac:dyDescent="0.25">
      <c r="A6831" s="16" t="s">
        <v>7765</v>
      </c>
      <c r="B6831" s="16" t="str">
        <f>TEXT(PARTIDA[[#This Row],[PARTIDA]],"0000000000")</f>
        <v>8481806000</v>
      </c>
      <c r="C6831" s="16" t="s">
        <v>815</v>
      </c>
      <c r="D6831" s="16" t="s">
        <v>835</v>
      </c>
      <c r="E6831" s="16" t="s">
        <v>9463</v>
      </c>
      <c r="F6831" s="27" t="s">
        <v>15054</v>
      </c>
      <c r="G6831" s="27"/>
      <c r="H6831" s="16" t="str">
        <f>IF(ISBLANK(PARTIDAS!$G6831),PARTIDAS!$F6831,CONCATENATE(PARTIDAS!$F6831," (",PARTIDAS!$G6831,")"))</f>
        <v>Artículos de grifería y órganos similares para tuberías, calderas… (los demás, válvulas de compuerta)</v>
      </c>
      <c r="I6831" s="16" t="s">
        <v>9427</v>
      </c>
    </row>
    <row r="6832" spans="1:9" x14ac:dyDescent="0.25">
      <c r="A6832" s="16" t="s">
        <v>7766</v>
      </c>
      <c r="B6832" s="16" t="str">
        <f>TEXT(PARTIDA[[#This Row],[PARTIDA]],"0000000000")</f>
        <v>8481807000</v>
      </c>
      <c r="C6832" s="16" t="s">
        <v>815</v>
      </c>
      <c r="D6832" s="16" t="s">
        <v>835</v>
      </c>
      <c r="E6832" s="16" t="s">
        <v>9463</v>
      </c>
      <c r="F6832" s="27" t="s">
        <v>15055</v>
      </c>
      <c r="G6832" s="27"/>
      <c r="H6832" s="16" t="str">
        <f>IF(ISBLANK(PARTIDAS!$G6832),PARTIDAS!$F6832,CONCATENATE(PARTIDAS!$F6832," (",PARTIDAS!$G6832,")"))</f>
        <v>Válvulas de globo de diámetro nominal inferior o igual a 100 mm</v>
      </c>
      <c r="I6832" s="16" t="s">
        <v>9427</v>
      </c>
    </row>
    <row r="6833" spans="1:9" x14ac:dyDescent="0.25">
      <c r="A6833" s="16" t="s">
        <v>7767</v>
      </c>
      <c r="B6833" s="16" t="str">
        <f>TEXT(PARTIDA[[#This Row],[PARTIDA]],"0000000000")</f>
        <v>8481808000</v>
      </c>
      <c r="C6833" s="16" t="s">
        <v>815</v>
      </c>
      <c r="D6833" s="16" t="s">
        <v>835</v>
      </c>
      <c r="E6833" s="16" t="s">
        <v>9463</v>
      </c>
      <c r="F6833" s="27" t="s">
        <v>7768</v>
      </c>
      <c r="G6833" s="27"/>
      <c r="H6833" s="16" t="str">
        <f>IF(ISBLANK(PARTIDAS!$G6833),PARTIDAS!$F6833,CONCATENATE(PARTIDAS!$F6833," (",PARTIDAS!$G6833,")"))</f>
        <v xml:space="preserve">Válulas para grifería </v>
      </c>
      <c r="I6833" s="16" t="s">
        <v>9427</v>
      </c>
    </row>
    <row r="6834" spans="1:9" x14ac:dyDescent="0.25">
      <c r="A6834" s="16" t="s">
        <v>7769</v>
      </c>
      <c r="B6834" s="16" t="str">
        <f>TEXT(PARTIDA[[#This Row],[PARTIDA]],"0000000000")</f>
        <v>8481809100</v>
      </c>
      <c r="C6834" s="16" t="s">
        <v>815</v>
      </c>
      <c r="D6834" s="16" t="s">
        <v>835</v>
      </c>
      <c r="E6834" s="16" t="s">
        <v>9463</v>
      </c>
      <c r="F6834" s="27" t="s">
        <v>15056</v>
      </c>
      <c r="G6834" s="27"/>
      <c r="H6834" s="16" t="str">
        <f>IF(ISBLANK(PARTIDAS!$G6834),PARTIDAS!$F6834,CONCATENATE(PARTIDAS!$F6834," (",PARTIDAS!$G6834,")"))</f>
        <v>Válvulas dispensadoras</v>
      </c>
      <c r="I6834" s="16" t="s">
        <v>9427</v>
      </c>
    </row>
    <row r="6835" spans="1:9" x14ac:dyDescent="0.25">
      <c r="A6835" s="16" t="s">
        <v>7770</v>
      </c>
      <c r="B6835" s="16" t="str">
        <f>TEXT(PARTIDA[[#This Row],[PARTIDA]],"0000000000")</f>
        <v>8481809900</v>
      </c>
      <c r="C6835" s="16" t="s">
        <v>815</v>
      </c>
      <c r="D6835" s="16" t="s">
        <v>835</v>
      </c>
      <c r="E6835" s="16" t="s">
        <v>9463</v>
      </c>
      <c r="F6835" s="27" t="s">
        <v>7751</v>
      </c>
      <c r="G6835" s="27"/>
      <c r="H6835" s="16" t="str">
        <f>IF(ISBLANK(PARTIDAS!$G6835),PARTIDAS!$F6835,CONCATENATE(PARTIDAS!$F6835," (",PARTIDAS!$G6835,")"))</f>
        <v>Válvulas</v>
      </c>
      <c r="I6835" s="16" t="s">
        <v>9427</v>
      </c>
    </row>
    <row r="6836" spans="1:9" x14ac:dyDescent="0.25">
      <c r="A6836" s="16" t="s">
        <v>7771</v>
      </c>
      <c r="B6836" s="16" t="str">
        <f>TEXT(PARTIDA[[#This Row],[PARTIDA]],"0000000000")</f>
        <v>8481901000</v>
      </c>
      <c r="C6836" s="16" t="s">
        <v>815</v>
      </c>
      <c r="D6836" s="16" t="s">
        <v>835</v>
      </c>
      <c r="E6836" s="16" t="s">
        <v>9463</v>
      </c>
      <c r="F6836" s="27" t="s">
        <v>15057</v>
      </c>
      <c r="G6836" s="27"/>
      <c r="H6836" s="16" t="str">
        <f>IF(ISBLANK(PARTIDAS!$G6836),PARTIDAS!$F6836,CONCATENATE(PARTIDAS!$F6836," (",PARTIDAS!$G6836,")"))</f>
        <v>Cuerpos para válvulas llamadas «árboles de Navidad»</v>
      </c>
      <c r="I6836" s="16" t="s">
        <v>9427</v>
      </c>
    </row>
    <row r="6837" spans="1:9" x14ac:dyDescent="0.25">
      <c r="A6837" s="16" t="s">
        <v>7772</v>
      </c>
      <c r="B6837" s="16" t="str">
        <f>TEXT(PARTIDA[[#This Row],[PARTIDA]],"0000000000")</f>
        <v>8481909000</v>
      </c>
      <c r="C6837" s="16" t="s">
        <v>815</v>
      </c>
      <c r="D6837" s="16" t="s">
        <v>835</v>
      </c>
      <c r="E6837" s="16" t="s">
        <v>9463</v>
      </c>
      <c r="F6837" s="27" t="s">
        <v>9155</v>
      </c>
      <c r="G6837" s="27"/>
      <c r="H6837" s="16" t="str">
        <f>IF(ISBLANK(PARTIDAS!$G6837),PARTIDAS!$F6837,CONCATENATE(PARTIDAS!$F6837," (",PARTIDAS!$G6837,")"))</f>
        <v>Artículos de grifería y órganos similares para…, partes (los demás)</v>
      </c>
      <c r="I6837" s="16" t="s">
        <v>9477</v>
      </c>
    </row>
    <row r="6838" spans="1:9" x14ac:dyDescent="0.25">
      <c r="A6838" s="16" t="s">
        <v>7773</v>
      </c>
      <c r="B6838" s="16" t="str">
        <f>TEXT(PARTIDA[[#This Row],[PARTIDA]],"0000000000")</f>
        <v>8482100000</v>
      </c>
      <c r="C6838" s="16" t="s">
        <v>860</v>
      </c>
      <c r="D6838" s="16" t="s">
        <v>873</v>
      </c>
      <c r="E6838" s="16" t="s">
        <v>9478</v>
      </c>
      <c r="F6838" s="27" t="s">
        <v>7774</v>
      </c>
      <c r="G6838" s="27"/>
      <c r="H6838" s="16" t="str">
        <f>IF(ISBLANK(PARTIDAS!$G6838),PARTIDAS!$F6838,CONCATENATE(PARTIDAS!$F6838," (",PARTIDAS!$G6838,")"))</f>
        <v>Rodamientos</v>
      </c>
      <c r="I6838" s="16" t="s">
        <v>9427</v>
      </c>
    </row>
    <row r="6839" spans="1:9" x14ac:dyDescent="0.25">
      <c r="A6839" s="16" t="s">
        <v>7775</v>
      </c>
      <c r="B6839" s="16" t="str">
        <f>TEXT(PARTIDA[[#This Row],[PARTIDA]],"0000000000")</f>
        <v>8482200000</v>
      </c>
      <c r="C6839" s="16" t="s">
        <v>860</v>
      </c>
      <c r="D6839" s="16" t="s">
        <v>873</v>
      </c>
      <c r="E6839" s="16" t="s">
        <v>9478</v>
      </c>
      <c r="F6839" s="27" t="s">
        <v>15058</v>
      </c>
      <c r="G6839" s="27"/>
      <c r="H6839" s="16" t="str">
        <f>IF(ISBLANK(PARTIDAS!$G6839),PARTIDAS!$F6839,CONCATENATE(PARTIDAS!$F6839," (",PARTIDAS!$G6839,")"))</f>
        <v>Rodamientos de rodillos cónicos, incluidos los ensamblajes de conos y rodillos cónicos</v>
      </c>
      <c r="I6839" s="16" t="s">
        <v>9427</v>
      </c>
    </row>
    <row r="6840" spans="1:9" x14ac:dyDescent="0.25">
      <c r="A6840" s="16" t="s">
        <v>7776</v>
      </c>
      <c r="B6840" s="16" t="str">
        <f>TEXT(PARTIDA[[#This Row],[PARTIDA]],"0000000000")</f>
        <v>8482300000</v>
      </c>
      <c r="C6840" s="16" t="s">
        <v>860</v>
      </c>
      <c r="D6840" s="16" t="s">
        <v>873</v>
      </c>
      <c r="E6840" s="16" t="s">
        <v>9478</v>
      </c>
      <c r="F6840" s="27" t="s">
        <v>15059</v>
      </c>
      <c r="G6840" s="27"/>
      <c r="H6840" s="16" t="str">
        <f>IF(ISBLANK(PARTIDAS!$G6840),PARTIDAS!$F6840,CONCATENATE(PARTIDAS!$F6840," (",PARTIDAS!$G6840,")"))</f>
        <v>Rodamientos de rodillos en forma de tonel</v>
      </c>
      <c r="I6840" s="16" t="s">
        <v>9427</v>
      </c>
    </row>
    <row r="6841" spans="1:9" x14ac:dyDescent="0.25">
      <c r="A6841" s="16" t="s">
        <v>7777</v>
      </c>
      <c r="B6841" s="16" t="str">
        <f>TEXT(PARTIDA[[#This Row],[PARTIDA]],"0000000000")</f>
        <v>8482400000</v>
      </c>
      <c r="C6841" s="16" t="s">
        <v>860</v>
      </c>
      <c r="D6841" s="16" t="s">
        <v>873</v>
      </c>
      <c r="E6841" s="16" t="s">
        <v>9478</v>
      </c>
      <c r="F6841" s="27" t="s">
        <v>15060</v>
      </c>
      <c r="G6841" s="27"/>
      <c r="H6841" s="16" t="str">
        <f>IF(ISBLANK(PARTIDAS!$G6841),PARTIDAS!$F6841,CONCATENATE(PARTIDAS!$F6841," (",PARTIDAS!$G6841,")"))</f>
        <v>Rodamientos de agujas, incluidos los ensamblajes de jaulas y rodillos de agujas</v>
      </c>
      <c r="I6841" s="16" t="s">
        <v>9427</v>
      </c>
    </row>
    <row r="6842" spans="1:9" x14ac:dyDescent="0.25">
      <c r="A6842" s="16" t="s">
        <v>7778</v>
      </c>
      <c r="B6842" s="16" t="str">
        <f>TEXT(PARTIDA[[#This Row],[PARTIDA]],"0000000000")</f>
        <v>8482500000</v>
      </c>
      <c r="C6842" s="16" t="s">
        <v>860</v>
      </c>
      <c r="D6842" s="16" t="s">
        <v>873</v>
      </c>
      <c r="E6842" s="16" t="s">
        <v>9478</v>
      </c>
      <c r="F6842" s="27" t="s">
        <v>15061</v>
      </c>
      <c r="G6842" s="27"/>
      <c r="H6842" s="16" t="str">
        <f>IF(ISBLANK(PARTIDAS!$G6842),PARTIDAS!$F6842,CONCATENATE(PARTIDAS!$F6842," (",PARTIDAS!$G6842,")"))</f>
        <v>Rodamientos de bolas, de rodillos o de agujas (los demás, rodamientos de rodillos cilíndricos, incluidos los ensamblajes de jaulas y rodillos)</v>
      </c>
      <c r="I6842" s="16" t="s">
        <v>9427</v>
      </c>
    </row>
    <row r="6843" spans="1:9" x14ac:dyDescent="0.25">
      <c r="A6843" s="16" t="s">
        <v>7779</v>
      </c>
      <c r="B6843" s="16" t="str">
        <f>TEXT(PARTIDA[[#This Row],[PARTIDA]],"0000000000")</f>
        <v>8482800000</v>
      </c>
      <c r="C6843" s="16" t="s">
        <v>860</v>
      </c>
      <c r="D6843" s="16" t="s">
        <v>873</v>
      </c>
      <c r="E6843" s="16" t="s">
        <v>9478</v>
      </c>
      <c r="F6843" s="27" t="s">
        <v>15062</v>
      </c>
      <c r="G6843" s="27"/>
      <c r="H6843" s="16" t="str">
        <f>IF(ISBLANK(PARTIDAS!$G6843),PARTIDAS!$F6843,CONCATENATE(PARTIDAS!$F6843," (",PARTIDAS!$G6843,")"))</f>
        <v>Rodamientos de bolas, de rodillos o de agujas (los demás, incluidos los rodamientos combinados)</v>
      </c>
      <c r="I6843" s="16" t="s">
        <v>9427</v>
      </c>
    </row>
    <row r="6844" spans="1:9" x14ac:dyDescent="0.25">
      <c r="A6844" s="16" t="s">
        <v>7780</v>
      </c>
      <c r="B6844" s="16" t="str">
        <f>TEXT(PARTIDA[[#This Row],[PARTIDA]],"0000000000")</f>
        <v>8482910000</v>
      </c>
      <c r="C6844" s="16" t="s">
        <v>860</v>
      </c>
      <c r="D6844" s="16" t="s">
        <v>873</v>
      </c>
      <c r="E6844" s="16" t="s">
        <v>9478</v>
      </c>
      <c r="F6844" s="27" t="s">
        <v>7781</v>
      </c>
      <c r="G6844" s="27"/>
      <c r="H6844" s="16" t="str">
        <f>IF(ISBLANK(PARTIDAS!$G6844),PARTIDAS!$F6844,CONCATENATE(PARTIDAS!$F6844," (",PARTIDAS!$G6844,")"))</f>
        <v>Bolas, rodillos y agujas</v>
      </c>
      <c r="I6844" s="16" t="s">
        <v>9427</v>
      </c>
    </row>
    <row r="6845" spans="1:9" x14ac:dyDescent="0.25">
      <c r="A6845" s="16" t="s">
        <v>7782</v>
      </c>
      <c r="B6845" s="16" t="str">
        <f>TEXT(PARTIDA[[#This Row],[PARTIDA]],"0000000000")</f>
        <v>8482990000</v>
      </c>
      <c r="C6845" s="16" t="s">
        <v>860</v>
      </c>
      <c r="D6845" s="16" t="s">
        <v>873</v>
      </c>
      <c r="E6845" s="16" t="s">
        <v>9478</v>
      </c>
      <c r="F6845" s="27" t="s">
        <v>15063</v>
      </c>
      <c r="G6845" s="27"/>
      <c r="H6845" s="16" t="str">
        <f>IF(ISBLANK(PARTIDAS!$G6845),PARTIDAS!$F6845,CONCATENATE(PARTIDAS!$F6845," (",PARTIDAS!$G6845,")"))</f>
        <v>Rodamientos de bolas, de rodillos o de agujas, partes (los demás)</v>
      </c>
      <c r="I6845" s="16" t="s">
        <v>9427</v>
      </c>
    </row>
    <row r="6846" spans="1:9" x14ac:dyDescent="0.25">
      <c r="A6846" s="16" t="s">
        <v>7783</v>
      </c>
      <c r="B6846" s="16" t="str">
        <f>TEXT(PARTIDA[[#This Row],[PARTIDA]],"0000000000")</f>
        <v>8483101000</v>
      </c>
      <c r="C6846" s="16" t="s">
        <v>860</v>
      </c>
      <c r="D6846" s="16" t="s">
        <v>873</v>
      </c>
      <c r="E6846" s="16" t="s">
        <v>9478</v>
      </c>
      <c r="F6846" s="27" t="s">
        <v>15064</v>
      </c>
      <c r="G6846" s="27"/>
      <c r="H6846" s="16" t="str">
        <f>IF(ISBLANK(PARTIDAS!$G6846),PARTIDAS!$F6846,CONCATENATE(PARTIDAS!$F6846," (",PARTIDAS!$G6846,")"))</f>
        <v>Arboles de transmisión (incluidos los de levas y los cigüeñales) y…, de motores de aviación</v>
      </c>
      <c r="I6846" s="16" t="s">
        <v>9427</v>
      </c>
    </row>
    <row r="6847" spans="1:9" x14ac:dyDescent="0.25">
      <c r="A6847" s="16" t="s">
        <v>7784</v>
      </c>
      <c r="B6847" s="16" t="str">
        <f>TEXT(PARTIDA[[#This Row],[PARTIDA]],"0000000000")</f>
        <v>8483109100</v>
      </c>
      <c r="C6847" s="16" t="s">
        <v>860</v>
      </c>
      <c r="D6847" s="16" t="s">
        <v>873</v>
      </c>
      <c r="E6847" s="16" t="s">
        <v>9478</v>
      </c>
      <c r="F6847" s="27" t="s">
        <v>15065</v>
      </c>
      <c r="G6847" s="27"/>
      <c r="H6847" s="16" t="str">
        <f>IF(ISBLANK(PARTIDAS!$G6847),PARTIDAS!$F6847,CONCATENATE(PARTIDAS!$F6847," (",PARTIDAS!$G6847,")"))</f>
        <v>Arboles de transmisión (incluidos los de levas y los cigüeñales) y…, cigüeñales</v>
      </c>
      <c r="I6847" s="16" t="s">
        <v>9427</v>
      </c>
    </row>
    <row r="6848" spans="1:9" x14ac:dyDescent="0.25">
      <c r="A6848" s="16" t="s">
        <v>7785</v>
      </c>
      <c r="B6848" s="16" t="str">
        <f>TEXT(PARTIDA[[#This Row],[PARTIDA]],"0000000000")</f>
        <v>8483109200</v>
      </c>
      <c r="C6848" s="16" t="s">
        <v>860</v>
      </c>
      <c r="D6848" s="16" t="s">
        <v>873</v>
      </c>
      <c r="E6848" s="16" t="s">
        <v>9478</v>
      </c>
      <c r="F6848" s="27" t="s">
        <v>15066</v>
      </c>
      <c r="G6848" s="27"/>
      <c r="H6848" s="16" t="str">
        <f>IF(ISBLANK(PARTIDAS!$G6848),PARTIDAS!$F6848,CONCATENATE(PARTIDAS!$F6848," (",PARTIDAS!$G6848,")"))</f>
        <v>Árboles de levas</v>
      </c>
      <c r="I6848" s="16" t="s">
        <v>9427</v>
      </c>
    </row>
    <row r="6849" spans="1:9" x14ac:dyDescent="0.25">
      <c r="A6849" s="16" t="s">
        <v>7786</v>
      </c>
      <c r="B6849" s="16" t="str">
        <f>TEXT(PARTIDA[[#This Row],[PARTIDA]],"0000000000")</f>
        <v>8483109300</v>
      </c>
      <c r="C6849" s="16" t="s">
        <v>860</v>
      </c>
      <c r="D6849" s="16" t="s">
        <v>873</v>
      </c>
      <c r="E6849" s="16" t="s">
        <v>9478</v>
      </c>
      <c r="F6849" s="27" t="s">
        <v>15067</v>
      </c>
      <c r="G6849" s="27"/>
      <c r="H6849" s="16" t="str">
        <f>IF(ISBLANK(PARTIDAS!$G6849),PARTIDAS!$F6849,CONCATENATE(PARTIDAS!$F6849," (",PARTIDAS!$G6849,")"))</f>
        <v>Árboles flexibles</v>
      </c>
      <c r="I6849" s="16" t="s">
        <v>9427</v>
      </c>
    </row>
    <row r="6850" spans="1:9" x14ac:dyDescent="0.25">
      <c r="A6850" s="16" t="s">
        <v>7787</v>
      </c>
      <c r="B6850" s="16" t="str">
        <f>TEXT(PARTIDA[[#This Row],[PARTIDA]],"0000000000")</f>
        <v>8483109900</v>
      </c>
      <c r="C6850" s="16" t="s">
        <v>860</v>
      </c>
      <c r="D6850" s="16" t="s">
        <v>873</v>
      </c>
      <c r="E6850" s="16" t="s">
        <v>9478</v>
      </c>
      <c r="F6850" s="27" t="s">
        <v>15068</v>
      </c>
      <c r="G6850" s="27"/>
      <c r="H6850" s="16" t="str">
        <f>IF(ISBLANK(PARTIDAS!$G6850),PARTIDAS!$F6850,CONCATENATE(PARTIDAS!$F6850," (",PARTIDAS!$G6850,")"))</f>
        <v>Arboles de transmisión (incluidos los de levas y los cigüeñales) y… (los demás)</v>
      </c>
      <c r="I6850" s="16" t="s">
        <v>9427</v>
      </c>
    </row>
    <row r="6851" spans="1:9" x14ac:dyDescent="0.25">
      <c r="A6851" s="16" t="s">
        <v>7788</v>
      </c>
      <c r="B6851" s="16" t="str">
        <f>TEXT(PARTIDA[[#This Row],[PARTIDA]],"0000000000")</f>
        <v>8483200000</v>
      </c>
      <c r="C6851" s="16" t="s">
        <v>860</v>
      </c>
      <c r="D6851" s="16" t="s">
        <v>873</v>
      </c>
      <c r="E6851" s="16" t="s">
        <v>9478</v>
      </c>
      <c r="F6851" s="27" t="s">
        <v>15069</v>
      </c>
      <c r="G6851" s="27"/>
      <c r="H6851" s="16" t="str">
        <f>IF(ISBLANK(PARTIDAS!$G6851),PARTIDAS!$F6851,CONCATENATE(PARTIDAS!$F6851," (",PARTIDAS!$G6851,")"))</f>
        <v>Cajas de cojinetes con rodamientos incorporados</v>
      </c>
      <c r="I6851" s="16" t="s">
        <v>9427</v>
      </c>
    </row>
    <row r="6852" spans="1:9" x14ac:dyDescent="0.25">
      <c r="A6852" s="16" t="s">
        <v>7789</v>
      </c>
      <c r="B6852" s="16" t="str">
        <f>TEXT(PARTIDA[[#This Row],[PARTIDA]],"0000000000")</f>
        <v>8483301000</v>
      </c>
      <c r="C6852" s="16" t="s">
        <v>860</v>
      </c>
      <c r="D6852" s="16" t="s">
        <v>873</v>
      </c>
      <c r="E6852" s="16" t="s">
        <v>9478</v>
      </c>
      <c r="F6852" s="27" t="s">
        <v>15070</v>
      </c>
      <c r="G6852" s="27"/>
      <c r="H6852" s="16" t="str">
        <f>IF(ISBLANK(PARTIDAS!$G6852),PARTIDAS!$F6852,CONCATENATE(PARTIDAS!$F6852," (",PARTIDAS!$G6852,")"))</f>
        <v>Cajas de cojinetes sin rodamientos incorporados, de motores de aviación</v>
      </c>
      <c r="I6852" s="16" t="s">
        <v>9427</v>
      </c>
    </row>
    <row r="6853" spans="1:9" x14ac:dyDescent="0.25">
      <c r="A6853" s="16" t="s">
        <v>7790</v>
      </c>
      <c r="B6853" s="16" t="str">
        <f>TEXT(PARTIDA[[#This Row],[PARTIDA]],"0000000000")</f>
        <v>8483309000</v>
      </c>
      <c r="C6853" s="16" t="s">
        <v>860</v>
      </c>
      <c r="D6853" s="16" t="s">
        <v>873</v>
      </c>
      <c r="E6853" s="16" t="s">
        <v>9478</v>
      </c>
      <c r="F6853" s="27" t="s">
        <v>15071</v>
      </c>
      <c r="G6853" s="27"/>
      <c r="H6853" s="16" t="str">
        <f>IF(ISBLANK(PARTIDAS!$G6853),PARTIDAS!$F6853,CONCATENATE(PARTIDAS!$F6853," (",PARTIDAS!$G6853,")"))</f>
        <v>Cajas de cojinetes sin rodamientos incorporados (los demás)</v>
      </c>
      <c r="I6853" s="16" t="s">
        <v>9427</v>
      </c>
    </row>
    <row r="6854" spans="1:9" x14ac:dyDescent="0.25">
      <c r="A6854" s="16" t="s">
        <v>7791</v>
      </c>
      <c r="B6854" s="16" t="str">
        <f>TEXT(PARTIDA[[#This Row],[PARTIDA]],"0000000000")</f>
        <v>8483403000</v>
      </c>
      <c r="C6854" s="16" t="s">
        <v>860</v>
      </c>
      <c r="D6854" s="16" t="s">
        <v>873</v>
      </c>
      <c r="E6854" s="16" t="s">
        <v>9478</v>
      </c>
      <c r="F6854" s="27" t="s">
        <v>15072</v>
      </c>
      <c r="G6854" s="27"/>
      <c r="H6854" s="16" t="str">
        <f>IF(ISBLANK(PARTIDAS!$G6854),PARTIDAS!$F6854,CONCATENATE(PARTIDAS!$F6854," (",PARTIDAS!$G6854,")"))</f>
        <v>Engranajes y ruedas de fricción, de motores de aviación</v>
      </c>
      <c r="I6854" s="16" t="s">
        <v>9427</v>
      </c>
    </row>
    <row r="6855" spans="1:9" x14ac:dyDescent="0.25">
      <c r="A6855" s="16" t="s">
        <v>7792</v>
      </c>
      <c r="B6855" s="16" t="str">
        <f>TEXT(PARTIDA[[#This Row],[PARTIDA]],"0000000000")</f>
        <v>8483409100</v>
      </c>
      <c r="C6855" s="16" t="s">
        <v>860</v>
      </c>
      <c r="D6855" s="16" t="s">
        <v>873</v>
      </c>
      <c r="E6855" s="16" t="s">
        <v>9478</v>
      </c>
      <c r="F6855" s="27" t="s">
        <v>15073</v>
      </c>
      <c r="G6855" s="27"/>
      <c r="H6855" s="16" t="str">
        <f>IF(ISBLANK(PARTIDAS!$G6855),PARTIDAS!$F6855,CONCATENATE(PARTIDAS!$F6855," (",PARTIDAS!$G6855,")"))</f>
        <v>Reductores, multiplicadores y variadores de velocidad</v>
      </c>
      <c r="I6855" s="16" t="s">
        <v>9427</v>
      </c>
    </row>
    <row r="6856" spans="1:9" x14ac:dyDescent="0.25">
      <c r="A6856" s="16" t="s">
        <v>7793</v>
      </c>
      <c r="B6856" s="16" t="str">
        <f>TEXT(PARTIDA[[#This Row],[PARTIDA]],"0000000000")</f>
        <v>8483409200</v>
      </c>
      <c r="C6856" s="16" t="s">
        <v>860</v>
      </c>
      <c r="D6856" s="16" t="s">
        <v>873</v>
      </c>
      <c r="E6856" s="16" t="s">
        <v>9478</v>
      </c>
      <c r="F6856" s="27" t="s">
        <v>15074</v>
      </c>
      <c r="G6856" s="27"/>
      <c r="H6856" s="16" t="str">
        <f>IF(ISBLANK(PARTIDAS!$G6856),PARTIDAS!$F6856,CONCATENATE(PARTIDAS!$F6856," (",PARTIDAS!$G6856,")"))</f>
        <v>Engranajes y ruedas de fricción, excepto las ruedas dentadas y demás órganos elementales de transmisión presentados aisladamente</v>
      </c>
      <c r="I6856" s="16" t="s">
        <v>9427</v>
      </c>
    </row>
    <row r="6857" spans="1:9" x14ac:dyDescent="0.25">
      <c r="A6857" s="16" t="s">
        <v>7794</v>
      </c>
      <c r="B6857" s="16" t="str">
        <f>TEXT(PARTIDA[[#This Row],[PARTIDA]],"0000000000")</f>
        <v>8483409900</v>
      </c>
      <c r="C6857" s="16" t="s">
        <v>860</v>
      </c>
      <c r="D6857" s="16" t="s">
        <v>873</v>
      </c>
      <c r="E6857" s="16" t="s">
        <v>9478</v>
      </c>
      <c r="F6857" s="27" t="s">
        <v>15075</v>
      </c>
      <c r="G6857" s="27"/>
      <c r="H6857" s="16" t="str">
        <f>IF(ISBLANK(PARTIDAS!$G6857),PARTIDAS!$F6857,CONCATENATE(PARTIDAS!$F6857," (",PARTIDAS!$G6857,")"))</f>
        <v>Engranajes y ruedas de fricción (los demás)</v>
      </c>
      <c r="I6857" s="16" t="s">
        <v>9427</v>
      </c>
    </row>
    <row r="6858" spans="1:9" x14ac:dyDescent="0.25">
      <c r="A6858" s="16" t="s">
        <v>7795</v>
      </c>
      <c r="B6858" s="16" t="str">
        <f>TEXT(PARTIDA[[#This Row],[PARTIDA]],"0000000000")</f>
        <v>8483500000</v>
      </c>
      <c r="C6858" s="16" t="s">
        <v>860</v>
      </c>
      <c r="D6858" s="16" t="s">
        <v>873</v>
      </c>
      <c r="E6858" s="16" t="s">
        <v>9478</v>
      </c>
      <c r="F6858" s="27" t="s">
        <v>15076</v>
      </c>
      <c r="G6858" s="27"/>
      <c r="H6858" s="16" t="str">
        <f>IF(ISBLANK(PARTIDAS!$G6858),PARTIDAS!$F6858,CONCATENATE(PARTIDAS!$F6858," (",PARTIDAS!$G6858,")"))</f>
        <v>Volantes y poleas, incluidos los motones</v>
      </c>
      <c r="I6858" s="16" t="s">
        <v>9427</v>
      </c>
    </row>
    <row r="6859" spans="1:9" x14ac:dyDescent="0.25">
      <c r="A6859" s="16" t="s">
        <v>7796</v>
      </c>
      <c r="B6859" s="16" t="str">
        <f>TEXT(PARTIDA[[#This Row],[PARTIDA]],"0000000000")</f>
        <v>8483601000</v>
      </c>
      <c r="C6859" s="16" t="s">
        <v>860</v>
      </c>
      <c r="D6859" s="16" t="s">
        <v>873</v>
      </c>
      <c r="E6859" s="16" t="s">
        <v>9478</v>
      </c>
      <c r="F6859" s="27" t="s">
        <v>15077</v>
      </c>
      <c r="G6859" s="27"/>
      <c r="H6859" s="16" t="str">
        <f>IF(ISBLANK(PARTIDAS!$G6859),PARTIDAS!$F6859,CONCATENATE(PARTIDAS!$F6859," (",PARTIDAS!$G6859,")"))</f>
        <v>Embragues y órganos de acoplamiento, incluidas las juntas de…, embragues</v>
      </c>
      <c r="I6859" s="16" t="s">
        <v>9427</v>
      </c>
    </row>
    <row r="6860" spans="1:9" x14ac:dyDescent="0.25">
      <c r="A6860" s="16" t="s">
        <v>7797</v>
      </c>
      <c r="B6860" s="16" t="str">
        <f>TEXT(PARTIDA[[#This Row],[PARTIDA]],"0000000000")</f>
        <v>8483609000</v>
      </c>
      <c r="C6860" s="16" t="s">
        <v>860</v>
      </c>
      <c r="D6860" s="16" t="s">
        <v>873</v>
      </c>
      <c r="E6860" s="16" t="s">
        <v>9478</v>
      </c>
      <c r="F6860" s="27" t="s">
        <v>15078</v>
      </c>
      <c r="G6860" s="27"/>
      <c r="H6860" s="16" t="str">
        <f>IF(ISBLANK(PARTIDAS!$G6860),PARTIDAS!$F6860,CONCATENATE(PARTIDAS!$F6860," (",PARTIDAS!$G6860,")"))</f>
        <v>Embragues y órganos de acoplamiento, incluidas las juntas de… (los demás)</v>
      </c>
      <c r="I6860" s="16" t="s">
        <v>9427</v>
      </c>
    </row>
    <row r="6861" spans="1:9" x14ac:dyDescent="0.25">
      <c r="A6861" s="16" t="s">
        <v>7798</v>
      </c>
      <c r="B6861" s="16" t="str">
        <f>TEXT(PARTIDA[[#This Row],[PARTIDA]],"0000000000")</f>
        <v>8483904000</v>
      </c>
      <c r="C6861" s="16" t="s">
        <v>860</v>
      </c>
      <c r="D6861" s="16" t="s">
        <v>873</v>
      </c>
      <c r="E6861" s="16" t="s">
        <v>9478</v>
      </c>
      <c r="F6861" s="27" t="s">
        <v>15079</v>
      </c>
      <c r="G6861" s="27"/>
      <c r="H6861" s="16" t="str">
        <f>IF(ISBLANK(PARTIDAS!$G6861),PARTIDAS!$F6861,CONCATENATE(PARTIDAS!$F6861," (",PARTIDAS!$G6861,")"))</f>
        <v>Ruedas dentadas y demás órganos elementales de transmisión presentados aisladamente</v>
      </c>
      <c r="I6861" s="16" t="s">
        <v>9427</v>
      </c>
    </row>
    <row r="6862" spans="1:9" x14ac:dyDescent="0.25">
      <c r="A6862" s="16" t="s">
        <v>7799</v>
      </c>
      <c r="B6862" s="16" t="str">
        <f>TEXT(PARTIDA[[#This Row],[PARTIDA]],"0000000000")</f>
        <v>8483909000</v>
      </c>
      <c r="C6862" s="16" t="s">
        <v>860</v>
      </c>
      <c r="D6862" s="16" t="s">
        <v>873</v>
      </c>
      <c r="E6862" s="16" t="s">
        <v>9478</v>
      </c>
      <c r="F6862" s="27" t="s">
        <v>15080</v>
      </c>
      <c r="G6862" s="27"/>
      <c r="H6862" s="16" t="str">
        <f>IF(ISBLANK(PARTIDAS!$G6862),PARTIDAS!$F6862,CONCATENATE(PARTIDAS!$F6862," (",PARTIDAS!$G6862,")"))</f>
        <v>Ruedas dentadas y demás órganos elementales de transmisión…, partes</v>
      </c>
      <c r="I6862" s="16" t="s">
        <v>9427</v>
      </c>
    </row>
    <row r="6863" spans="1:9" x14ac:dyDescent="0.25">
      <c r="A6863" s="16" t="s">
        <v>7800</v>
      </c>
      <c r="B6863" s="16" t="str">
        <f>TEXT(PARTIDA[[#This Row],[PARTIDA]],"0000000000")</f>
        <v>8484100000</v>
      </c>
      <c r="C6863" s="16" t="s">
        <v>815</v>
      </c>
      <c r="D6863" s="16" t="s">
        <v>835</v>
      </c>
      <c r="E6863" s="16" t="s">
        <v>9463</v>
      </c>
      <c r="F6863" s="27" t="s">
        <v>7097</v>
      </c>
      <c r="G6863" s="27"/>
      <c r="H6863" s="16" t="str">
        <f>IF(ISBLANK(PARTIDAS!$G6863),PARTIDAS!$F6863,CONCATENATE(PARTIDAS!$F6863," (",PARTIDAS!$G6863,")"))</f>
        <v>Partes de máquinas</v>
      </c>
      <c r="I6863" s="16" t="s">
        <v>9427</v>
      </c>
    </row>
    <row r="6864" spans="1:9" x14ac:dyDescent="0.25">
      <c r="A6864" s="16" t="s">
        <v>7801</v>
      </c>
      <c r="B6864" s="16" t="str">
        <f>TEXT(PARTIDA[[#This Row],[PARTIDA]],"0000000000")</f>
        <v>8484200000</v>
      </c>
      <c r="C6864" s="16" t="s">
        <v>815</v>
      </c>
      <c r="D6864" s="16" t="s">
        <v>835</v>
      </c>
      <c r="E6864" s="16" t="s">
        <v>9463</v>
      </c>
      <c r="F6864" s="27" t="s">
        <v>7097</v>
      </c>
      <c r="G6864" s="27"/>
      <c r="H6864" s="16" t="str">
        <f>IF(ISBLANK(PARTIDAS!$G6864),PARTIDAS!$F6864,CONCATENATE(PARTIDAS!$F6864," (",PARTIDAS!$G6864,")"))</f>
        <v>Partes de máquinas</v>
      </c>
      <c r="I6864" s="16" t="s">
        <v>9427</v>
      </c>
    </row>
    <row r="6865" spans="1:9" x14ac:dyDescent="0.25">
      <c r="A6865" s="16" t="s">
        <v>7802</v>
      </c>
      <c r="B6865" s="16" t="str">
        <f>TEXT(PARTIDA[[#This Row],[PARTIDA]],"0000000000")</f>
        <v>8484900000</v>
      </c>
      <c r="C6865" s="16" t="s">
        <v>815</v>
      </c>
      <c r="D6865" s="16" t="s">
        <v>835</v>
      </c>
      <c r="E6865" s="16" t="s">
        <v>9463</v>
      </c>
      <c r="F6865" s="27" t="s">
        <v>7097</v>
      </c>
      <c r="G6865" s="27"/>
      <c r="H6865" s="16" t="str">
        <f>IF(ISBLANK(PARTIDAS!$G6865),PARTIDAS!$F6865,CONCATENATE(PARTIDAS!$F6865," (",PARTIDAS!$G6865,")"))</f>
        <v>Partes de máquinas</v>
      </c>
      <c r="I6865" s="16" t="s">
        <v>9477</v>
      </c>
    </row>
    <row r="6866" spans="1:9" x14ac:dyDescent="0.25">
      <c r="A6866" s="16" t="s">
        <v>15081</v>
      </c>
      <c r="B6866" s="16" t="str">
        <f>TEXT(PARTIDA[[#This Row],[PARTIDA]],"0000000000")</f>
        <v>8485100000</v>
      </c>
      <c r="C6866" s="16" t="s">
        <v>860</v>
      </c>
      <c r="D6866" s="16" t="s">
        <v>873</v>
      </c>
      <c r="E6866" s="16" t="s">
        <v>9478</v>
      </c>
      <c r="F6866" s="27" t="s">
        <v>15082</v>
      </c>
      <c r="G6866" s="27"/>
      <c r="H6866" s="16" t="str">
        <f>IF(ISBLANK(PARTIDAS!$G6866),PARTIDAS!$F6866,CONCATENATE(PARTIDAS!$F6866," (",PARTIDAS!$G6866,")"))</f>
        <v>Por depósito de metal</v>
      </c>
      <c r="I6866" s="16" t="s">
        <v>9427</v>
      </c>
    </row>
    <row r="6867" spans="1:9" x14ac:dyDescent="0.25">
      <c r="A6867" s="16" t="s">
        <v>15083</v>
      </c>
      <c r="B6867" s="16" t="str">
        <f>TEXT(PARTIDA[[#This Row],[PARTIDA]],"0000000000")</f>
        <v>8485200000</v>
      </c>
      <c r="C6867" s="16" t="s">
        <v>860</v>
      </c>
      <c r="D6867" s="16" t="s">
        <v>873</v>
      </c>
      <c r="E6867" s="16" t="s">
        <v>9478</v>
      </c>
      <c r="F6867" s="27" t="s">
        <v>15084</v>
      </c>
      <c r="G6867" s="27"/>
      <c r="H6867" s="16" t="str">
        <f>IF(ISBLANK(PARTIDAS!$G6867),PARTIDAS!$F6867,CONCATENATE(PARTIDAS!$F6867," (",PARTIDAS!$G6867,")"))</f>
        <v>Por depósito de plástico o caucho</v>
      </c>
      <c r="I6867" s="16" t="s">
        <v>9427</v>
      </c>
    </row>
    <row r="6868" spans="1:9" x14ac:dyDescent="0.25">
      <c r="A6868" s="16" t="s">
        <v>15085</v>
      </c>
      <c r="B6868" s="16" t="str">
        <f>TEXT(PARTIDA[[#This Row],[PARTIDA]],"0000000000")</f>
        <v>8485300000</v>
      </c>
      <c r="C6868" s="16" t="s">
        <v>860</v>
      </c>
      <c r="D6868" s="16" t="s">
        <v>873</v>
      </c>
      <c r="E6868" s="16" t="s">
        <v>9478</v>
      </c>
      <c r="F6868" s="27" t="s">
        <v>15086</v>
      </c>
      <c r="G6868" s="27"/>
      <c r="H6868" s="16" t="str">
        <f>IF(ISBLANK(PARTIDAS!$G6868),PARTIDAS!$F6868,CONCATENATE(PARTIDAS!$F6868," (",PARTIDAS!$G6868,")"))</f>
        <v>Por depósito de yeso, cemento, cerámica o vidrio</v>
      </c>
      <c r="I6868" s="16" t="s">
        <v>9427</v>
      </c>
    </row>
    <row r="6869" spans="1:9" x14ac:dyDescent="0.25">
      <c r="A6869" s="16" t="s">
        <v>15087</v>
      </c>
      <c r="B6869" s="16" t="str">
        <f>TEXT(PARTIDA[[#This Row],[PARTIDA]],"0000000000")</f>
        <v>8485800000</v>
      </c>
      <c r="C6869" s="16" t="s">
        <v>860</v>
      </c>
      <c r="D6869" s="16" t="s">
        <v>873</v>
      </c>
      <c r="E6869" s="16" t="s">
        <v>9478</v>
      </c>
      <c r="F6869" s="27" t="s">
        <v>15088</v>
      </c>
      <c r="G6869" s="27"/>
      <c r="H6869" s="16" t="str">
        <f>IF(ISBLANK(PARTIDAS!$G6869),PARTIDAS!$F6869,CONCATENATE(PARTIDAS!$F6869," (",PARTIDAS!$G6869,")"))</f>
        <v>Máquinas para la fabricación aditiva (los demás)</v>
      </c>
      <c r="I6869" s="16" t="s">
        <v>9427</v>
      </c>
    </row>
    <row r="6870" spans="1:9" x14ac:dyDescent="0.25">
      <c r="A6870" s="16" t="s">
        <v>15089</v>
      </c>
      <c r="B6870" s="16" t="str">
        <f>TEXT(PARTIDA[[#This Row],[PARTIDA]],"0000000000")</f>
        <v>8485900000</v>
      </c>
      <c r="C6870" s="16" t="s">
        <v>860</v>
      </c>
      <c r="D6870" s="16" t="s">
        <v>873</v>
      </c>
      <c r="E6870" s="16" t="s">
        <v>9478</v>
      </c>
      <c r="F6870" s="27" t="s">
        <v>15090</v>
      </c>
      <c r="G6870" s="27"/>
      <c r="H6870" s="16" t="str">
        <f>IF(ISBLANK(PARTIDAS!$G6870),PARTIDAS!$F6870,CONCATENATE(PARTIDAS!$F6870," (",PARTIDAS!$G6870,")"))</f>
        <v>Máquinas para la fabricación aditiva, partes</v>
      </c>
      <c r="I6870" s="16" t="s">
        <v>9427</v>
      </c>
    </row>
    <row r="6871" spans="1:9" x14ac:dyDescent="0.25">
      <c r="A6871" s="16" t="s">
        <v>7803</v>
      </c>
      <c r="B6871" s="16" t="str">
        <f>TEXT(PARTIDA[[#This Row],[PARTIDA]],"0000000000")</f>
        <v>8486100000</v>
      </c>
      <c r="C6871" s="16" t="s">
        <v>860</v>
      </c>
      <c r="D6871" s="16" t="s">
        <v>873</v>
      </c>
      <c r="E6871" s="16" t="s">
        <v>9478</v>
      </c>
      <c r="F6871" s="27" t="s">
        <v>15091</v>
      </c>
      <c r="G6871" s="27"/>
      <c r="H6871" s="16" t="str">
        <f>IF(ISBLANK(PARTIDAS!$G6871),PARTIDAS!$F6871,CONCATENATE(PARTIDAS!$F6871," (",PARTIDAS!$G6871,")"))</f>
        <v>Máquinas y aparatos para la fabricación de semiconductores en forma de monocristales periformes u obleas («wafers»)</v>
      </c>
      <c r="I6871" s="16" t="s">
        <v>9427</v>
      </c>
    </row>
    <row r="6872" spans="1:9" x14ac:dyDescent="0.25">
      <c r="A6872" s="16" t="s">
        <v>7804</v>
      </c>
      <c r="B6872" s="16" t="str">
        <f>TEXT(PARTIDA[[#This Row],[PARTIDA]],"0000000000")</f>
        <v>8486200000</v>
      </c>
      <c r="C6872" s="16" t="s">
        <v>860</v>
      </c>
      <c r="D6872" s="16" t="s">
        <v>873</v>
      </c>
      <c r="E6872" s="16" t="s">
        <v>9478</v>
      </c>
      <c r="F6872" s="27" t="s">
        <v>15092</v>
      </c>
      <c r="G6872" s="27"/>
      <c r="H6872" s="16" t="str">
        <f>IF(ISBLANK(PARTIDAS!$G6872),PARTIDAS!$F6872,CONCATENATE(PARTIDAS!$F6872," (",PARTIDAS!$G6872,")"))</f>
        <v>Máquinas y aparatos para la fabricación de dispositivos semiconductores o circuitos electrónicos integrados</v>
      </c>
      <c r="I6872" s="16" t="s">
        <v>9427</v>
      </c>
    </row>
    <row r="6873" spans="1:9" x14ac:dyDescent="0.25">
      <c r="A6873" s="16" t="s">
        <v>7805</v>
      </c>
      <c r="B6873" s="16" t="str">
        <f>TEXT(PARTIDA[[#This Row],[PARTIDA]],"0000000000")</f>
        <v>8486300000</v>
      </c>
      <c r="C6873" s="16" t="s">
        <v>860</v>
      </c>
      <c r="D6873" s="16" t="s">
        <v>873</v>
      </c>
      <c r="E6873" s="16" t="s">
        <v>9478</v>
      </c>
      <c r="F6873" s="27" t="s">
        <v>15093</v>
      </c>
      <c r="G6873" s="27"/>
      <c r="H6873" s="16" t="str">
        <f>IF(ISBLANK(PARTIDAS!$G6873),PARTIDAS!$F6873,CONCATENATE(PARTIDAS!$F6873," (",PARTIDAS!$G6873,")"))</f>
        <v>Máquinas y aparatos para la fabricación de dispositivos de visualización («display») de pantalla plana</v>
      </c>
      <c r="I6873" s="16" t="s">
        <v>9427</v>
      </c>
    </row>
    <row r="6874" spans="1:9" x14ac:dyDescent="0.25">
      <c r="A6874" s="16" t="s">
        <v>7806</v>
      </c>
      <c r="B6874" s="16" t="str">
        <f>TEXT(PARTIDA[[#This Row],[PARTIDA]],"0000000000")</f>
        <v>8486400000</v>
      </c>
      <c r="C6874" s="16" t="s">
        <v>860</v>
      </c>
      <c r="D6874" s="16" t="s">
        <v>873</v>
      </c>
      <c r="E6874" s="16" t="s">
        <v>9478</v>
      </c>
      <c r="F6874" s="27" t="s">
        <v>15094</v>
      </c>
      <c r="G6874" s="27"/>
      <c r="H6874" s="16" t="str">
        <f>IF(ISBLANK(PARTIDAS!$G6874),PARTIDAS!$F6874,CONCATENATE(PARTIDAS!$F6874," (",PARTIDAS!$G6874,")"))</f>
        <v>Máquinas y aparatos descritos en la Nota 11 C) de este Capítulo</v>
      </c>
      <c r="I6874" s="16" t="s">
        <v>9427</v>
      </c>
    </row>
    <row r="6875" spans="1:9" x14ac:dyDescent="0.25">
      <c r="A6875" s="16" t="s">
        <v>7807</v>
      </c>
      <c r="B6875" s="16" t="str">
        <f>TEXT(PARTIDA[[#This Row],[PARTIDA]],"0000000000")</f>
        <v>8486900000</v>
      </c>
      <c r="C6875" s="16" t="s">
        <v>860</v>
      </c>
      <c r="D6875" s="16" t="s">
        <v>873</v>
      </c>
      <c r="E6875" s="16" t="s">
        <v>9478</v>
      </c>
      <c r="F6875" s="27" t="s">
        <v>15095</v>
      </c>
      <c r="G6875" s="27"/>
      <c r="H6875" s="16" t="str">
        <f>IF(ISBLANK(PARTIDAS!$G6875),PARTIDAS!$F6875,CONCATENATE(PARTIDAS!$F6875," (",PARTIDAS!$G6875,")"))</f>
        <v>Máquinas y aparatos utilizados, exclusiva o principalmente, para la…, partes y accesorios</v>
      </c>
      <c r="I6875" s="16" t="s">
        <v>9427</v>
      </c>
    </row>
    <row r="6876" spans="1:9" x14ac:dyDescent="0.25">
      <c r="A6876" s="16" t="s">
        <v>24</v>
      </c>
      <c r="B6876" s="16" t="str">
        <f>TEXT(PARTIDA[[#This Row],[PARTIDA]],"0000000000")</f>
        <v>8487100000</v>
      </c>
      <c r="C6876" s="16" t="s">
        <v>860</v>
      </c>
      <c r="D6876" s="16" t="s">
        <v>881</v>
      </c>
      <c r="E6876" s="16" t="s">
        <v>9483</v>
      </c>
      <c r="F6876" s="27" t="s">
        <v>7808</v>
      </c>
      <c r="G6876" s="27"/>
      <c r="H6876" s="16" t="str">
        <f>IF(ISBLANK(PARTIDAS!$G6876),PARTIDAS!$F6876,CONCATENATE(PARTIDAS!$F6876," (",PARTIDAS!$G6876,")"))</f>
        <v>Hélices para barcos y sus paletas</v>
      </c>
      <c r="I6876" s="16" t="s">
        <v>9559</v>
      </c>
    </row>
    <row r="6877" spans="1:9" x14ac:dyDescent="0.25">
      <c r="A6877" s="16" t="s">
        <v>7809</v>
      </c>
      <c r="B6877" s="16" t="str">
        <f>TEXT(PARTIDA[[#This Row],[PARTIDA]],"0000000000")</f>
        <v>8487901000</v>
      </c>
      <c r="C6877" s="16" t="s">
        <v>860</v>
      </c>
      <c r="D6877" s="16" t="s">
        <v>873</v>
      </c>
      <c r="E6877" s="16" t="s">
        <v>9478</v>
      </c>
      <c r="F6877" s="27" t="s">
        <v>7810</v>
      </c>
      <c r="G6877" s="27"/>
      <c r="H6877" s="16" t="str">
        <f>IF(ISBLANK(PARTIDAS!$G6877),PARTIDAS!$F6877,CONCATENATE(PARTIDAS!$F6877," (",PARTIDAS!$G6877,")"))</f>
        <v>Instrumentos para la industria</v>
      </c>
      <c r="I6877" s="16" t="s">
        <v>9427</v>
      </c>
    </row>
    <row r="6878" spans="1:9" x14ac:dyDescent="0.25">
      <c r="A6878" s="16" t="s">
        <v>7811</v>
      </c>
      <c r="B6878" s="16" t="str">
        <f>TEXT(PARTIDA[[#This Row],[PARTIDA]],"0000000000")</f>
        <v>8487902000</v>
      </c>
      <c r="C6878" s="16" t="s">
        <v>860</v>
      </c>
      <c r="D6878" s="16" t="s">
        <v>873</v>
      </c>
      <c r="E6878" s="16" t="s">
        <v>9478</v>
      </c>
      <c r="F6878" s="27" t="s">
        <v>7097</v>
      </c>
      <c r="G6878" s="27"/>
      <c r="H6878" s="16" t="str">
        <f>IF(ISBLANK(PARTIDAS!$G6878),PARTIDAS!$F6878,CONCATENATE(PARTIDAS!$F6878," (",PARTIDAS!$G6878,")"))</f>
        <v>Partes de máquinas</v>
      </c>
      <c r="I6878" s="16" t="s">
        <v>9427</v>
      </c>
    </row>
    <row r="6879" spans="1:9" x14ac:dyDescent="0.25">
      <c r="A6879" s="16" t="s">
        <v>7812</v>
      </c>
      <c r="B6879" s="16" t="str">
        <f>TEXT(PARTIDA[[#This Row],[PARTIDA]],"0000000000")</f>
        <v>8487909000</v>
      </c>
      <c r="C6879" s="16" t="s">
        <v>860</v>
      </c>
      <c r="D6879" s="16" t="s">
        <v>873</v>
      </c>
      <c r="E6879" s="16" t="s">
        <v>9478</v>
      </c>
      <c r="F6879" s="27" t="s">
        <v>15096</v>
      </c>
      <c r="G6879" s="27"/>
      <c r="H6879" s="16" t="str">
        <f>IF(ISBLANK(PARTIDAS!$G6879),PARTIDAS!$F6879,CONCATENATE(PARTIDAS!$F6879," (",PARTIDAS!$G6879,")"))</f>
        <v>Partes de máquinas o aparatos, no expresadas ni comprendidas en otra… (los demás)</v>
      </c>
      <c r="I6879" s="16" t="s">
        <v>9427</v>
      </c>
    </row>
    <row r="6880" spans="1:9" x14ac:dyDescent="0.25">
      <c r="A6880" s="16" t="s">
        <v>7813</v>
      </c>
      <c r="B6880" s="16" t="str">
        <f>TEXT(PARTIDA[[#This Row],[PARTIDA]],"0000000000")</f>
        <v>8501101000</v>
      </c>
      <c r="C6880" s="16" t="s">
        <v>860</v>
      </c>
      <c r="D6880" s="16" t="s">
        <v>873</v>
      </c>
      <c r="E6880" s="16" t="s">
        <v>9480</v>
      </c>
      <c r="F6880" s="27" t="s">
        <v>15097</v>
      </c>
      <c r="G6880" s="27"/>
      <c r="H6880" s="16" t="str">
        <f>IF(ISBLANK(PARTIDAS!$G6880),PARTIDAS!$F6880,CONCATENATE(PARTIDAS!$F6880," (",PARTIDAS!$G6880,")"))</f>
        <v>Motores para juguetes</v>
      </c>
      <c r="I6880" s="16" t="s">
        <v>9427</v>
      </c>
    </row>
    <row r="6881" spans="1:9" x14ac:dyDescent="0.25">
      <c r="A6881" s="16" t="s">
        <v>7814</v>
      </c>
      <c r="B6881" s="16" t="str">
        <f>TEXT(PARTIDA[[#This Row],[PARTIDA]],"0000000000")</f>
        <v>8501102000</v>
      </c>
      <c r="C6881" s="16" t="s">
        <v>860</v>
      </c>
      <c r="D6881" s="16" t="s">
        <v>873</v>
      </c>
      <c r="E6881" s="16" t="s">
        <v>9480</v>
      </c>
      <c r="F6881" s="27" t="s">
        <v>15098</v>
      </c>
      <c r="G6881" s="27"/>
      <c r="H6881" s="16" t="str">
        <f>IF(ISBLANK(PARTIDAS!$G6881),PARTIDAS!$F6881,CONCATENATE(PARTIDAS!$F6881," (",PARTIDAS!$G6881,")"))</f>
        <v>Motores universales</v>
      </c>
      <c r="I6881" s="16" t="s">
        <v>9427</v>
      </c>
    </row>
    <row r="6882" spans="1:9" x14ac:dyDescent="0.25">
      <c r="A6882" s="16" t="s">
        <v>7815</v>
      </c>
      <c r="B6882" s="16" t="str">
        <f>TEXT(PARTIDA[[#This Row],[PARTIDA]],"0000000000")</f>
        <v>8501109100</v>
      </c>
      <c r="C6882" s="16" t="s">
        <v>860</v>
      </c>
      <c r="D6882" s="16" t="s">
        <v>873</v>
      </c>
      <c r="E6882" s="16" t="s">
        <v>9480</v>
      </c>
      <c r="F6882" s="27" t="s">
        <v>15099</v>
      </c>
      <c r="G6882" s="27"/>
      <c r="H6882" s="16" t="str">
        <f>IF(ISBLANK(PARTIDAS!$G6882),PARTIDAS!$F6882,CONCATENATE(PARTIDAS!$F6882," (",PARTIDAS!$G6882,")"))</f>
        <v>Motores de potencia inferior o igual a 37,5 W, de corriente continua</v>
      </c>
      <c r="I6882" s="16" t="s">
        <v>9427</v>
      </c>
    </row>
    <row r="6883" spans="1:9" x14ac:dyDescent="0.25">
      <c r="A6883" s="16" t="s">
        <v>7816</v>
      </c>
      <c r="B6883" s="16" t="str">
        <f>TEXT(PARTIDA[[#This Row],[PARTIDA]],"0000000000")</f>
        <v>8501109200</v>
      </c>
      <c r="C6883" s="16" t="s">
        <v>860</v>
      </c>
      <c r="D6883" s="16" t="s">
        <v>873</v>
      </c>
      <c r="E6883" s="16" t="s">
        <v>9480</v>
      </c>
      <c r="F6883" s="27" t="s">
        <v>15100</v>
      </c>
      <c r="G6883" s="27"/>
      <c r="H6883" s="16" t="str">
        <f>IF(ISBLANK(PARTIDAS!$G6883),PARTIDAS!$F6883,CONCATENATE(PARTIDAS!$F6883," (",PARTIDAS!$G6883,")"))</f>
        <v>Motores de potencia inferior o igual a 37,5 W, de corriente alterna, monofásicos</v>
      </c>
      <c r="I6883" s="16" t="s">
        <v>9427</v>
      </c>
    </row>
    <row r="6884" spans="1:9" x14ac:dyDescent="0.25">
      <c r="A6884" s="16" t="s">
        <v>7817</v>
      </c>
      <c r="B6884" s="16" t="str">
        <f>TEXT(PARTIDA[[#This Row],[PARTIDA]],"0000000000")</f>
        <v>8501109300</v>
      </c>
      <c r="C6884" s="16" t="s">
        <v>860</v>
      </c>
      <c r="D6884" s="16" t="s">
        <v>873</v>
      </c>
      <c r="E6884" s="16" t="s">
        <v>9480</v>
      </c>
      <c r="F6884" s="27" t="s">
        <v>15101</v>
      </c>
      <c r="G6884" s="27"/>
      <c r="H6884" s="16" t="str">
        <f>IF(ISBLANK(PARTIDAS!$G6884),PARTIDAS!$F6884,CONCATENATE(PARTIDAS!$F6884," (",PARTIDAS!$G6884,")"))</f>
        <v>Motores de potencia inferior o igual a 37,5 W, de corriente alterna, polifásicos</v>
      </c>
      <c r="I6884" s="16" t="s">
        <v>9427</v>
      </c>
    </row>
    <row r="6885" spans="1:9" x14ac:dyDescent="0.25">
      <c r="A6885" s="16" t="s">
        <v>7818</v>
      </c>
      <c r="B6885" s="16" t="str">
        <f>TEXT(PARTIDA[[#This Row],[PARTIDA]],"0000000000")</f>
        <v>8501201100</v>
      </c>
      <c r="C6885" s="16" t="s">
        <v>860</v>
      </c>
      <c r="D6885" s="16" t="s">
        <v>873</v>
      </c>
      <c r="E6885" s="16" t="s">
        <v>9480</v>
      </c>
      <c r="F6885" s="27" t="s">
        <v>15102</v>
      </c>
      <c r="G6885" s="27"/>
      <c r="H6885" s="16" t="str">
        <f>IF(ISBLANK(PARTIDAS!$G6885),PARTIDAS!$F6885,CONCATENATE(PARTIDAS!$F6885," (",PARTIDAS!$G6885,")"))</f>
        <v>Motores universales de potencia superior a 37,5 W, de potencia inferior o igual a 7,5 kW, con reductores, variadores o multiplicadores de velocidad</v>
      </c>
      <c r="I6885" s="16" t="s">
        <v>9427</v>
      </c>
    </row>
    <row r="6886" spans="1:9" x14ac:dyDescent="0.25">
      <c r="A6886" s="16" t="s">
        <v>7819</v>
      </c>
      <c r="B6886" s="16" t="str">
        <f>TEXT(PARTIDA[[#This Row],[PARTIDA]],"0000000000")</f>
        <v>8501201900</v>
      </c>
      <c r="C6886" s="16" t="s">
        <v>860</v>
      </c>
      <c r="D6886" s="16" t="s">
        <v>873</v>
      </c>
      <c r="E6886" s="16" t="s">
        <v>9480</v>
      </c>
      <c r="F6886" s="27" t="s">
        <v>15103</v>
      </c>
      <c r="G6886" s="27"/>
      <c r="H6886" s="16" t="str">
        <f>IF(ISBLANK(PARTIDAS!$G6886),PARTIDAS!$F6886,CONCATENATE(PARTIDAS!$F6886," (",PARTIDAS!$G6886,")"))</f>
        <v>Motores universales de potencia superior a 37,5 W, de potencia inferior o igual a 7,5 kW (los demás)</v>
      </c>
      <c r="I6886" s="16" t="s">
        <v>9427</v>
      </c>
    </row>
    <row r="6887" spans="1:9" x14ac:dyDescent="0.25">
      <c r="A6887" s="16" t="s">
        <v>7820</v>
      </c>
      <c r="B6887" s="16" t="str">
        <f>TEXT(PARTIDA[[#This Row],[PARTIDA]],"0000000000")</f>
        <v>8501202100</v>
      </c>
      <c r="C6887" s="16" t="s">
        <v>860</v>
      </c>
      <c r="D6887" s="16" t="s">
        <v>873</v>
      </c>
      <c r="E6887" s="16" t="s">
        <v>9480</v>
      </c>
      <c r="F6887" s="27" t="s">
        <v>15104</v>
      </c>
      <c r="G6887" s="27"/>
      <c r="H6887" s="16" t="str">
        <f>IF(ISBLANK(PARTIDAS!$G6887),PARTIDAS!$F6887,CONCATENATE(PARTIDAS!$F6887," (",PARTIDAS!$G6887,")"))</f>
        <v>Motores universales de potencia superior a 37,5 W, de potencia superior a 7,5 kW, con reductores, variadores o multiplicadores de velocidad</v>
      </c>
      <c r="I6887" s="16" t="s">
        <v>9427</v>
      </c>
    </row>
    <row r="6888" spans="1:9" x14ac:dyDescent="0.25">
      <c r="A6888" s="16" t="s">
        <v>7821</v>
      </c>
      <c r="B6888" s="16" t="str">
        <f>TEXT(PARTIDA[[#This Row],[PARTIDA]],"0000000000")</f>
        <v>8501202900</v>
      </c>
      <c r="C6888" s="16" t="s">
        <v>860</v>
      </c>
      <c r="D6888" s="16" t="s">
        <v>873</v>
      </c>
      <c r="E6888" s="16" t="s">
        <v>9480</v>
      </c>
      <c r="F6888" s="27" t="s">
        <v>15105</v>
      </c>
      <c r="G6888" s="27"/>
      <c r="H6888" s="16" t="str">
        <f>IF(ISBLANK(PARTIDAS!$G6888),PARTIDAS!$F6888,CONCATENATE(PARTIDAS!$F6888," (",PARTIDAS!$G6888,")"))</f>
        <v>Motores universales de potencia superior a 37,5 W, de potencia superior a 7,5 kW (los demás)</v>
      </c>
      <c r="I6888" s="16" t="s">
        <v>9427</v>
      </c>
    </row>
    <row r="6889" spans="1:9" x14ac:dyDescent="0.25">
      <c r="A6889" s="16" t="s">
        <v>7822</v>
      </c>
      <c r="B6889" s="16" t="str">
        <f>TEXT(PARTIDA[[#This Row],[PARTIDA]],"0000000000")</f>
        <v>8501311000</v>
      </c>
      <c r="C6889" s="16" t="s">
        <v>860</v>
      </c>
      <c r="D6889" s="16" t="s">
        <v>873</v>
      </c>
      <c r="E6889" s="16" t="s">
        <v>9480</v>
      </c>
      <c r="F6889" s="27" t="s">
        <v>15106</v>
      </c>
      <c r="G6889" s="27"/>
      <c r="H6889" s="16" t="str">
        <f>IF(ISBLANK(PARTIDAS!$G6889),PARTIDAS!$F6889,CONCATENATE(PARTIDAS!$F6889," (",PARTIDAS!$G6889,")"))</f>
        <v>Motores con reductores, variadores o multiplicadores de velocidad</v>
      </c>
      <c r="I6889" s="16" t="s">
        <v>9427</v>
      </c>
    </row>
    <row r="6890" spans="1:9" x14ac:dyDescent="0.25">
      <c r="A6890" s="16" t="s">
        <v>7823</v>
      </c>
      <c r="B6890" s="16" t="str">
        <f>TEXT(PARTIDA[[#This Row],[PARTIDA]],"0000000000")</f>
        <v>8501312000</v>
      </c>
      <c r="C6890" s="16" t="s">
        <v>860</v>
      </c>
      <c r="D6890" s="16" t="s">
        <v>873</v>
      </c>
      <c r="E6890" s="16" t="s">
        <v>9480</v>
      </c>
      <c r="F6890" s="27" t="s">
        <v>15107</v>
      </c>
      <c r="G6890" s="27"/>
      <c r="H6890" s="16" t="str">
        <f>IF(ISBLANK(PARTIDAS!$G6890),PARTIDAS!$F6890,CONCATENATE(PARTIDAS!$F6890," (",PARTIDAS!$G6890,")"))</f>
        <v>Motores y generadores, eléctricos, de potencia inferior o igual a 750 W (los demás, motores)</v>
      </c>
      <c r="I6890" s="16" t="s">
        <v>9427</v>
      </c>
    </row>
    <row r="6891" spans="1:9" x14ac:dyDescent="0.25">
      <c r="A6891" s="16" t="s">
        <v>7824</v>
      </c>
      <c r="B6891" s="16" t="str">
        <f>TEXT(PARTIDA[[#This Row],[PARTIDA]],"0000000000")</f>
        <v>8501313000</v>
      </c>
      <c r="C6891" s="16" t="s">
        <v>860</v>
      </c>
      <c r="D6891" s="16" t="s">
        <v>873</v>
      </c>
      <c r="E6891" s="16" t="s">
        <v>9480</v>
      </c>
      <c r="F6891" s="27" t="s">
        <v>15108</v>
      </c>
      <c r="G6891" s="27"/>
      <c r="H6891" s="16" t="str">
        <f>IF(ISBLANK(PARTIDAS!$G6891),PARTIDAS!$F6891,CONCATENATE(PARTIDAS!$F6891," (",PARTIDAS!$G6891,")"))</f>
        <v>Generadores de corriente continua</v>
      </c>
      <c r="I6891" s="16" t="s">
        <v>9427</v>
      </c>
    </row>
    <row r="6892" spans="1:9" x14ac:dyDescent="0.25">
      <c r="A6892" s="16" t="s">
        <v>7825</v>
      </c>
      <c r="B6892" s="16" t="str">
        <f>TEXT(PARTIDA[[#This Row],[PARTIDA]],"0000000000")</f>
        <v>8501321000</v>
      </c>
      <c r="C6892" s="16" t="s">
        <v>860</v>
      </c>
      <c r="D6892" s="16" t="s">
        <v>873</v>
      </c>
      <c r="E6892" s="16" t="s">
        <v>9480</v>
      </c>
      <c r="F6892" s="27" t="s">
        <v>15106</v>
      </c>
      <c r="G6892" s="27"/>
      <c r="H6892" s="16" t="str">
        <f>IF(ISBLANK(PARTIDAS!$G6892),PARTIDAS!$F6892,CONCATENATE(PARTIDAS!$F6892," (",PARTIDAS!$G6892,")"))</f>
        <v>Motores con reductores, variadores o multiplicadores de velocidad</v>
      </c>
      <c r="I6892" s="16" t="s">
        <v>9427</v>
      </c>
    </row>
    <row r="6893" spans="1:9" x14ac:dyDescent="0.25">
      <c r="A6893" s="16" t="s">
        <v>7826</v>
      </c>
      <c r="B6893" s="16" t="str">
        <f>TEXT(PARTIDA[[#This Row],[PARTIDA]],"0000000000")</f>
        <v>8501322100</v>
      </c>
      <c r="C6893" s="16" t="s">
        <v>860</v>
      </c>
      <c r="D6893" s="16" t="s">
        <v>873</v>
      </c>
      <c r="E6893" s="16" t="s">
        <v>9480</v>
      </c>
      <c r="F6893" s="27" t="s">
        <v>15109</v>
      </c>
      <c r="G6893" s="27"/>
      <c r="H6893" s="16" t="str">
        <f>IF(ISBLANK(PARTIDAS!$G6893),PARTIDAS!$F6893,CONCATENATE(PARTIDAS!$F6893," (",PARTIDAS!$G6893,")"))</f>
        <v>Motores y generadores, eléctricos, de potencia superior a 750 W pero inferior o igual a 75 kW, de potencia inferior o igual a 7,5 kW</v>
      </c>
      <c r="I6893" s="16" t="s">
        <v>9427</v>
      </c>
    </row>
    <row r="6894" spans="1:9" x14ac:dyDescent="0.25">
      <c r="A6894" s="16" t="s">
        <v>7827</v>
      </c>
      <c r="B6894" s="16" t="str">
        <f>TEXT(PARTIDA[[#This Row],[PARTIDA]],"0000000000")</f>
        <v>8501322900</v>
      </c>
      <c r="C6894" s="16" t="s">
        <v>860</v>
      </c>
      <c r="D6894" s="16" t="s">
        <v>873</v>
      </c>
      <c r="E6894" s="16" t="s">
        <v>9480</v>
      </c>
      <c r="F6894" s="27" t="s">
        <v>15110</v>
      </c>
      <c r="G6894" s="27"/>
      <c r="H6894" s="16" t="str">
        <f>IF(ISBLANK(PARTIDAS!$G6894),PARTIDAS!$F6894,CONCATENATE(PARTIDAS!$F6894," (",PARTIDAS!$G6894,")"))</f>
        <v>Motores y generadores, eléctricos, de potencia superior a 750 W pero inferior o igual a 75 kW (los demás)</v>
      </c>
      <c r="I6894" s="16" t="s">
        <v>9427</v>
      </c>
    </row>
    <row r="6895" spans="1:9" x14ac:dyDescent="0.25">
      <c r="A6895" s="16" t="s">
        <v>7828</v>
      </c>
      <c r="B6895" s="16" t="str">
        <f>TEXT(PARTIDA[[#This Row],[PARTIDA]],"0000000000")</f>
        <v>8501324000</v>
      </c>
      <c r="C6895" s="16" t="s">
        <v>860</v>
      </c>
      <c r="D6895" s="16" t="s">
        <v>873</v>
      </c>
      <c r="E6895" s="16" t="s">
        <v>9480</v>
      </c>
      <c r="F6895" s="27" t="s">
        <v>15108</v>
      </c>
      <c r="G6895" s="27"/>
      <c r="H6895" s="16" t="str">
        <f>IF(ISBLANK(PARTIDAS!$G6895),PARTIDAS!$F6895,CONCATENATE(PARTIDAS!$F6895," (",PARTIDAS!$G6895,")"))</f>
        <v>Generadores de corriente continua</v>
      </c>
      <c r="I6895" s="16" t="s">
        <v>9427</v>
      </c>
    </row>
    <row r="6896" spans="1:9" x14ac:dyDescent="0.25">
      <c r="A6896" s="16" t="s">
        <v>7829</v>
      </c>
      <c r="B6896" s="16" t="str">
        <f>TEXT(PARTIDA[[#This Row],[PARTIDA]],"0000000000")</f>
        <v>8501331000</v>
      </c>
      <c r="C6896" s="16" t="s">
        <v>860</v>
      </c>
      <c r="D6896" s="16" t="s">
        <v>873</v>
      </c>
      <c r="E6896" s="16" t="s">
        <v>9480</v>
      </c>
      <c r="F6896" s="27" t="s">
        <v>15106</v>
      </c>
      <c r="G6896" s="27"/>
      <c r="H6896" s="16" t="str">
        <f>IF(ISBLANK(PARTIDAS!$G6896),PARTIDAS!$F6896,CONCATENATE(PARTIDAS!$F6896," (",PARTIDAS!$G6896,")"))</f>
        <v>Motores con reductores, variadores o multiplicadores de velocidad</v>
      </c>
      <c r="I6896" s="16" t="s">
        <v>9427</v>
      </c>
    </row>
    <row r="6897" spans="1:9" x14ac:dyDescent="0.25">
      <c r="A6897" s="16" t="s">
        <v>7830</v>
      </c>
      <c r="B6897" s="16" t="str">
        <f>TEXT(PARTIDA[[#This Row],[PARTIDA]],"0000000000")</f>
        <v>8501332000</v>
      </c>
      <c r="C6897" s="16" t="s">
        <v>860</v>
      </c>
      <c r="D6897" s="16" t="s">
        <v>873</v>
      </c>
      <c r="E6897" s="16" t="s">
        <v>9480</v>
      </c>
      <c r="F6897" s="27" t="s">
        <v>15111</v>
      </c>
      <c r="G6897" s="27"/>
      <c r="H6897" s="16" t="str">
        <f>IF(ISBLANK(PARTIDAS!$G6897),PARTIDAS!$F6897,CONCATENATE(PARTIDAS!$F6897," (",PARTIDAS!$G6897,")"))</f>
        <v>Motores y generadores, eléctricos, de potencia superior a 75 kW pero inferior o igual a 375 kW (los demás, motores)</v>
      </c>
      <c r="I6897" s="16" t="s">
        <v>9427</v>
      </c>
    </row>
    <row r="6898" spans="1:9" x14ac:dyDescent="0.25">
      <c r="A6898" s="16" t="s">
        <v>7831</v>
      </c>
      <c r="B6898" s="16" t="str">
        <f>TEXT(PARTIDA[[#This Row],[PARTIDA]],"0000000000")</f>
        <v>8501333000</v>
      </c>
      <c r="C6898" s="16" t="s">
        <v>860</v>
      </c>
      <c r="D6898" s="16" t="s">
        <v>873</v>
      </c>
      <c r="E6898" s="16" t="s">
        <v>9480</v>
      </c>
      <c r="F6898" s="27" t="s">
        <v>15108</v>
      </c>
      <c r="G6898" s="27"/>
      <c r="H6898" s="16" t="str">
        <f>IF(ISBLANK(PARTIDAS!$G6898),PARTIDAS!$F6898,CONCATENATE(PARTIDAS!$F6898," (",PARTIDAS!$G6898,")"))</f>
        <v>Generadores de corriente continua</v>
      </c>
      <c r="I6898" s="16" t="s">
        <v>9427</v>
      </c>
    </row>
    <row r="6899" spans="1:9" x14ac:dyDescent="0.25">
      <c r="A6899" s="16" t="s">
        <v>7832</v>
      </c>
      <c r="B6899" s="16" t="str">
        <f>TEXT(PARTIDA[[#This Row],[PARTIDA]],"0000000000")</f>
        <v>8501341000</v>
      </c>
      <c r="C6899" s="16" t="s">
        <v>860</v>
      </c>
      <c r="D6899" s="16" t="s">
        <v>873</v>
      </c>
      <c r="E6899" s="16" t="s">
        <v>9480</v>
      </c>
      <c r="F6899" s="27" t="s">
        <v>15106</v>
      </c>
      <c r="G6899" s="27"/>
      <c r="H6899" s="16" t="str">
        <f>IF(ISBLANK(PARTIDAS!$G6899),PARTIDAS!$F6899,CONCATENATE(PARTIDAS!$F6899," (",PARTIDAS!$G6899,")"))</f>
        <v>Motores con reductores, variadores o multiplicadores de velocidad</v>
      </c>
      <c r="I6899" s="16" t="s">
        <v>9427</v>
      </c>
    </row>
    <row r="6900" spans="1:9" x14ac:dyDescent="0.25">
      <c r="A6900" s="16" t="s">
        <v>7833</v>
      </c>
      <c r="B6900" s="16" t="str">
        <f>TEXT(PARTIDA[[#This Row],[PARTIDA]],"0000000000")</f>
        <v>8501342000</v>
      </c>
      <c r="C6900" s="16" t="s">
        <v>860</v>
      </c>
      <c r="D6900" s="16" t="s">
        <v>873</v>
      </c>
      <c r="E6900" s="16" t="s">
        <v>9480</v>
      </c>
      <c r="F6900" s="27" t="s">
        <v>15112</v>
      </c>
      <c r="G6900" s="27"/>
      <c r="H6900" s="16" t="str">
        <f>IF(ISBLANK(PARTIDAS!$G6900),PARTIDAS!$F6900,CONCATENATE(PARTIDAS!$F6900," (",PARTIDAS!$G6900,")"))</f>
        <v>Motores y generadores, eléctricos, de potencia superior a 375 kW (los demás, motores)</v>
      </c>
      <c r="I6900" s="16" t="s">
        <v>9427</v>
      </c>
    </row>
    <row r="6901" spans="1:9" x14ac:dyDescent="0.25">
      <c r="A6901" s="16" t="s">
        <v>7834</v>
      </c>
      <c r="B6901" s="16" t="str">
        <f>TEXT(PARTIDA[[#This Row],[PARTIDA]],"0000000000")</f>
        <v>8501343000</v>
      </c>
      <c r="C6901" s="16" t="s">
        <v>860</v>
      </c>
      <c r="D6901" s="16" t="s">
        <v>873</v>
      </c>
      <c r="E6901" s="16" t="s">
        <v>9480</v>
      </c>
      <c r="F6901" s="27" t="s">
        <v>15108</v>
      </c>
      <c r="G6901" s="27"/>
      <c r="H6901" s="16" t="str">
        <f>IF(ISBLANK(PARTIDAS!$G6901),PARTIDAS!$F6901,CONCATENATE(PARTIDAS!$F6901," (",PARTIDAS!$G6901,")"))</f>
        <v>Generadores de corriente continua</v>
      </c>
      <c r="I6901" s="16" t="s">
        <v>9427</v>
      </c>
    </row>
    <row r="6902" spans="1:9" x14ac:dyDescent="0.25">
      <c r="A6902" s="16" t="s">
        <v>7835</v>
      </c>
      <c r="B6902" s="16" t="str">
        <f>TEXT(PARTIDA[[#This Row],[PARTIDA]],"0000000000")</f>
        <v>8501401100</v>
      </c>
      <c r="C6902" s="16" t="s">
        <v>860</v>
      </c>
      <c r="D6902" s="16" t="s">
        <v>873</v>
      </c>
      <c r="E6902" s="16" t="s">
        <v>9480</v>
      </c>
      <c r="F6902" s="27" t="s">
        <v>15113</v>
      </c>
      <c r="G6902" s="27"/>
      <c r="H6902" s="16" t="str">
        <f>IF(ISBLANK(PARTIDAS!$G6902),PARTIDAS!$F6902,CONCATENATE(PARTIDAS!$F6902," (",PARTIDAS!$G6902,")"))</f>
        <v>Motores y generadores, eléctricos, de potencia inferior o igual a 375 W, con reductores, variadores o multiplicadores de velocidad</v>
      </c>
      <c r="I6902" s="16" t="s">
        <v>9427</v>
      </c>
    </row>
    <row r="6903" spans="1:9" x14ac:dyDescent="0.25">
      <c r="A6903" s="16" t="s">
        <v>7836</v>
      </c>
      <c r="B6903" s="16" t="str">
        <f>TEXT(PARTIDA[[#This Row],[PARTIDA]],"0000000000")</f>
        <v>8501401900</v>
      </c>
      <c r="C6903" s="16" t="s">
        <v>860</v>
      </c>
      <c r="D6903" s="16" t="s">
        <v>873</v>
      </c>
      <c r="E6903" s="16" t="s">
        <v>9480</v>
      </c>
      <c r="F6903" s="27" t="s">
        <v>15114</v>
      </c>
      <c r="G6903" s="27"/>
      <c r="H6903" s="16" t="str">
        <f>IF(ISBLANK(PARTIDAS!$G6903),PARTIDAS!$F6903,CONCATENATE(PARTIDAS!$F6903," (",PARTIDAS!$G6903,")"))</f>
        <v>Motores y generadores, eléctricos, de potencia inferior o igual a 375 W (los demás)</v>
      </c>
      <c r="I6903" s="16" t="s">
        <v>9427</v>
      </c>
    </row>
    <row r="6904" spans="1:9" x14ac:dyDescent="0.25">
      <c r="A6904" s="16" t="s">
        <v>7837</v>
      </c>
      <c r="B6904" s="16" t="str">
        <f>TEXT(PARTIDA[[#This Row],[PARTIDA]],"0000000000")</f>
        <v>8501402100</v>
      </c>
      <c r="C6904" s="16" t="s">
        <v>860</v>
      </c>
      <c r="D6904" s="16" t="s">
        <v>873</v>
      </c>
      <c r="E6904" s="16" t="s">
        <v>9480</v>
      </c>
      <c r="F6904" s="27" t="s">
        <v>15115</v>
      </c>
      <c r="G6904" s="27"/>
      <c r="H6904" s="16" t="str">
        <f>IF(ISBLANK(PARTIDAS!$G6904),PARTIDAS!$F6904,CONCATENATE(PARTIDAS!$F6904," (",PARTIDAS!$G6904,")"))</f>
        <v>Motores y generadores, eléctricos, de potencia superior a 375 W pero inferior o igual a 750 W, con reductores, variadores o multiplicadores de velocid</v>
      </c>
      <c r="I6904" s="16" t="s">
        <v>9427</v>
      </c>
    </row>
    <row r="6905" spans="1:9" x14ac:dyDescent="0.25">
      <c r="A6905" s="16" t="s">
        <v>7838</v>
      </c>
      <c r="B6905" s="16" t="str">
        <f>TEXT(PARTIDA[[#This Row],[PARTIDA]],"0000000000")</f>
        <v>8501402900</v>
      </c>
      <c r="C6905" s="16" t="s">
        <v>860</v>
      </c>
      <c r="D6905" s="16" t="s">
        <v>873</v>
      </c>
      <c r="E6905" s="16" t="s">
        <v>9480</v>
      </c>
      <c r="F6905" s="27" t="s">
        <v>15116</v>
      </c>
      <c r="G6905" s="27"/>
      <c r="H6905" s="16" t="str">
        <f>IF(ISBLANK(PARTIDAS!$G6905),PARTIDAS!$F6905,CONCATENATE(PARTIDAS!$F6905," (",PARTIDAS!$G6905,")"))</f>
        <v>Motores y generadores, eléctricos, de potencia superior a 375 W pero inferior o igual a 750 W (los demás)</v>
      </c>
      <c r="I6905" s="16" t="s">
        <v>9427</v>
      </c>
    </row>
    <row r="6906" spans="1:9" x14ac:dyDescent="0.25">
      <c r="A6906" s="16" t="s">
        <v>7839</v>
      </c>
      <c r="B6906" s="16" t="str">
        <f>TEXT(PARTIDA[[#This Row],[PARTIDA]],"0000000000")</f>
        <v>8501403100</v>
      </c>
      <c r="C6906" s="16" t="s">
        <v>860</v>
      </c>
      <c r="D6906" s="16" t="s">
        <v>873</v>
      </c>
      <c r="E6906" s="16" t="s">
        <v>9480</v>
      </c>
      <c r="F6906" s="27" t="s">
        <v>15117</v>
      </c>
      <c r="G6906" s="27"/>
      <c r="H6906" s="16" t="str">
        <f>IF(ISBLANK(PARTIDAS!$G6906),PARTIDAS!$F6906,CONCATENATE(PARTIDAS!$F6906," (",PARTIDAS!$G6906,")"))</f>
        <v>Motores y generadores, eléctricos, de potencia superior a 750 W, pero inferior o igual a 7,5 kW, con reductores, variadores o multiplicadores de veloc</v>
      </c>
      <c r="I6906" s="16" t="s">
        <v>9427</v>
      </c>
    </row>
    <row r="6907" spans="1:9" x14ac:dyDescent="0.25">
      <c r="A6907" s="16" t="s">
        <v>7840</v>
      </c>
      <c r="B6907" s="16" t="str">
        <f>TEXT(PARTIDA[[#This Row],[PARTIDA]],"0000000000")</f>
        <v>8501403900</v>
      </c>
      <c r="C6907" s="16" t="s">
        <v>860</v>
      </c>
      <c r="D6907" s="16" t="s">
        <v>873</v>
      </c>
      <c r="E6907" s="16" t="s">
        <v>9480</v>
      </c>
      <c r="F6907" s="27" t="s">
        <v>15118</v>
      </c>
      <c r="G6907" s="27"/>
      <c r="H6907" s="16" t="str">
        <f>IF(ISBLANK(PARTIDAS!$G6907),PARTIDAS!$F6907,CONCATENATE(PARTIDAS!$F6907," (",PARTIDAS!$G6907,")"))</f>
        <v>Motores y generadores, eléctricos, de potencia superior a 750 W, pero inferior o igual a 7,5 kW (los demás)</v>
      </c>
      <c r="I6907" s="16" t="s">
        <v>9427</v>
      </c>
    </row>
    <row r="6908" spans="1:9" x14ac:dyDescent="0.25">
      <c r="A6908" s="16" t="s">
        <v>7841</v>
      </c>
      <c r="B6908" s="16" t="str">
        <f>TEXT(PARTIDA[[#This Row],[PARTIDA]],"0000000000")</f>
        <v>8501404100</v>
      </c>
      <c r="C6908" s="16" t="s">
        <v>860</v>
      </c>
      <c r="D6908" s="16" t="s">
        <v>873</v>
      </c>
      <c r="E6908" s="16" t="s">
        <v>9480</v>
      </c>
      <c r="F6908" s="27" t="s">
        <v>15119</v>
      </c>
      <c r="G6908" s="27"/>
      <c r="H6908" s="16" t="str">
        <f>IF(ISBLANK(PARTIDAS!$G6908),PARTIDAS!$F6908,CONCATENATE(PARTIDAS!$F6908," (",PARTIDAS!$G6908,")"))</f>
        <v>Motores y generadores, eléctricos, de potencia superior a 7,5 kW, con reductores, variadores o multiplicadores de velocidad</v>
      </c>
      <c r="I6908" s="16" t="s">
        <v>9427</v>
      </c>
    </row>
    <row r="6909" spans="1:9" x14ac:dyDescent="0.25">
      <c r="A6909" s="16" t="s">
        <v>7842</v>
      </c>
      <c r="B6909" s="16" t="str">
        <f>TEXT(PARTIDA[[#This Row],[PARTIDA]],"0000000000")</f>
        <v>8501404900</v>
      </c>
      <c r="C6909" s="16" t="s">
        <v>860</v>
      </c>
      <c r="D6909" s="16" t="s">
        <v>873</v>
      </c>
      <c r="E6909" s="16" t="s">
        <v>9480</v>
      </c>
      <c r="F6909" s="27" t="s">
        <v>9306</v>
      </c>
      <c r="G6909" s="27"/>
      <c r="H6909" s="16" t="str">
        <f>IF(ISBLANK(PARTIDAS!$G6909),PARTIDAS!$F6909,CONCATENATE(PARTIDAS!$F6909," (",PARTIDAS!$G6909,")"))</f>
        <v>Motores y generadores, eléctricos, de potencia superior a 7,5 kW (los demás)</v>
      </c>
      <c r="I6909" s="16" t="s">
        <v>9477</v>
      </c>
    </row>
    <row r="6910" spans="1:9" x14ac:dyDescent="0.25">
      <c r="A6910" s="16" t="s">
        <v>7843</v>
      </c>
      <c r="B6910" s="16" t="str">
        <f>TEXT(PARTIDA[[#This Row],[PARTIDA]],"0000000000")</f>
        <v>8501511000</v>
      </c>
      <c r="C6910" s="16" t="s">
        <v>860</v>
      </c>
      <c r="D6910" s="16" t="s">
        <v>873</v>
      </c>
      <c r="E6910" s="16" t="s">
        <v>9480</v>
      </c>
      <c r="F6910" s="27" t="s">
        <v>15120</v>
      </c>
      <c r="G6910" s="27"/>
      <c r="H6910" s="16" t="str">
        <f>IF(ISBLANK(PARTIDAS!$G6910),PARTIDAS!$F6910,CONCATENATE(PARTIDAS!$F6910," (",PARTIDAS!$G6910,")"))</f>
        <v>Motores y generadores, eléctricos, de potencia inferior o igual a 750 W, con reductores, variadores o multiplicadores de velocidad</v>
      </c>
      <c r="I6910" s="16" t="s">
        <v>9427</v>
      </c>
    </row>
    <row r="6911" spans="1:9" x14ac:dyDescent="0.25">
      <c r="A6911" s="16" t="s">
        <v>7844</v>
      </c>
      <c r="B6911" s="16" t="str">
        <f>TEXT(PARTIDA[[#This Row],[PARTIDA]],"0000000000")</f>
        <v>8501519000</v>
      </c>
      <c r="C6911" s="16" t="s">
        <v>860</v>
      </c>
      <c r="D6911" s="16" t="s">
        <v>873</v>
      </c>
      <c r="E6911" s="16" t="s">
        <v>9480</v>
      </c>
      <c r="F6911" s="27" t="s">
        <v>7845</v>
      </c>
      <c r="G6911" s="27" t="s">
        <v>1472</v>
      </c>
      <c r="H6911" s="16" t="str">
        <f>IF(ISBLANK(PARTIDAS!$G6911),PARTIDAS!$F6911,CONCATENATE(PARTIDAS!$F6911," (",PARTIDAS!$G6911,")"))</f>
        <v>Motores (Verificar)</v>
      </c>
      <c r="I6911" s="16" t="s">
        <v>9427</v>
      </c>
    </row>
    <row r="6912" spans="1:9" x14ac:dyDescent="0.25">
      <c r="A6912" s="16" t="s">
        <v>7846</v>
      </c>
      <c r="B6912" s="16" t="str">
        <f>TEXT(PARTIDA[[#This Row],[PARTIDA]],"0000000000")</f>
        <v>8501521000</v>
      </c>
      <c r="C6912" s="16" t="s">
        <v>860</v>
      </c>
      <c r="D6912" s="16" t="s">
        <v>873</v>
      </c>
      <c r="E6912" s="16" t="s">
        <v>9480</v>
      </c>
      <c r="F6912" s="27" t="s">
        <v>15109</v>
      </c>
      <c r="G6912" s="27"/>
      <c r="H6912" s="16" t="str">
        <f>IF(ISBLANK(PARTIDAS!$G6912),PARTIDAS!$F6912,CONCATENATE(PARTIDAS!$F6912," (",PARTIDAS!$G6912,")"))</f>
        <v>Motores y generadores, eléctricos, de potencia superior a 750 W pero inferior o igual a 75 kW, de potencia inferior o igual a 7,5 kW</v>
      </c>
      <c r="I6912" s="16" t="s">
        <v>9427</v>
      </c>
    </row>
    <row r="6913" spans="1:9" x14ac:dyDescent="0.25">
      <c r="A6913" s="16" t="s">
        <v>7847</v>
      </c>
      <c r="B6913" s="16" t="str">
        <f>TEXT(PARTIDA[[#This Row],[PARTIDA]],"0000000000")</f>
        <v>8501522000</v>
      </c>
      <c r="C6913" s="16" t="s">
        <v>860</v>
      </c>
      <c r="D6913" s="16" t="s">
        <v>873</v>
      </c>
      <c r="E6913" s="16" t="s">
        <v>9480</v>
      </c>
      <c r="F6913" s="27" t="s">
        <v>7848</v>
      </c>
      <c r="G6913" s="27"/>
      <c r="H6913" s="16" t="str">
        <f>IF(ISBLANK(PARTIDAS!$G6913),PARTIDAS!$F6913,CONCATENATE(PARTIDAS!$F6913," (",PARTIDAS!$G6913,")"))</f>
        <v>Motores y generadores eléctricos</v>
      </c>
      <c r="I6913" s="16" t="s">
        <v>9427</v>
      </c>
    </row>
    <row r="6914" spans="1:9" x14ac:dyDescent="0.25">
      <c r="A6914" s="16" t="s">
        <v>7849</v>
      </c>
      <c r="B6914" s="16" t="str">
        <f>TEXT(PARTIDA[[#This Row],[PARTIDA]],"0000000000")</f>
        <v>8501523000</v>
      </c>
      <c r="C6914" s="16" t="s">
        <v>860</v>
      </c>
      <c r="D6914" s="16" t="s">
        <v>873</v>
      </c>
      <c r="E6914" s="16" t="s">
        <v>9480</v>
      </c>
      <c r="F6914" s="27" t="s">
        <v>15121</v>
      </c>
      <c r="G6914" s="27"/>
      <c r="H6914" s="16" t="str">
        <f>IF(ISBLANK(PARTIDAS!$G6914),PARTIDAS!$F6914,CONCATENATE(PARTIDAS!$F6914," (",PARTIDAS!$G6914,")"))</f>
        <v xml:space="preserve">Motores y generadores, eléctricos, de potencia superior a 750 W pero inferior o igual a 75 kW, de potencia superior a 18,5 kW pero inferior o igual a </v>
      </c>
      <c r="I6914" s="16" t="s">
        <v>9427</v>
      </c>
    </row>
    <row r="6915" spans="1:9" x14ac:dyDescent="0.25">
      <c r="A6915" s="16" t="s">
        <v>7850</v>
      </c>
      <c r="B6915" s="16" t="str">
        <f>TEXT(PARTIDA[[#This Row],[PARTIDA]],"0000000000")</f>
        <v>8501524000</v>
      </c>
      <c r="C6915" s="16" t="s">
        <v>860</v>
      </c>
      <c r="D6915" s="16" t="s">
        <v>873</v>
      </c>
      <c r="E6915" s="16" t="s">
        <v>9480</v>
      </c>
      <c r="F6915" s="27" t="s">
        <v>7848</v>
      </c>
      <c r="G6915" s="27"/>
      <c r="H6915" s="16" t="str">
        <f>IF(ISBLANK(PARTIDAS!$G6915),PARTIDAS!$F6915,CONCATENATE(PARTIDAS!$F6915," (",PARTIDAS!$G6915,")"))</f>
        <v>Motores y generadores eléctricos</v>
      </c>
      <c r="I6915" s="16" t="s">
        <v>9427</v>
      </c>
    </row>
    <row r="6916" spans="1:9" x14ac:dyDescent="0.25">
      <c r="A6916" s="16" t="s">
        <v>7851</v>
      </c>
      <c r="B6916" s="16" t="str">
        <f>TEXT(PARTIDA[[#This Row],[PARTIDA]],"0000000000")</f>
        <v>8501530000</v>
      </c>
      <c r="C6916" s="16" t="s">
        <v>860</v>
      </c>
      <c r="D6916" s="16" t="s">
        <v>873</v>
      </c>
      <c r="E6916" s="16" t="s">
        <v>9480</v>
      </c>
      <c r="F6916" s="27" t="s">
        <v>15122</v>
      </c>
      <c r="G6916" s="27"/>
      <c r="H6916" s="16" t="str">
        <f>IF(ISBLANK(PARTIDAS!$G6916),PARTIDAS!$F6916,CONCATENATE(PARTIDAS!$F6916," (",PARTIDAS!$G6916,")"))</f>
        <v>Motores y generadores, eléctricos, de potencia superior a 75 kW</v>
      </c>
      <c r="I6916" s="16" t="s">
        <v>9427</v>
      </c>
    </row>
    <row r="6917" spans="1:9" x14ac:dyDescent="0.25">
      <c r="A6917" s="16" t="s">
        <v>7852</v>
      </c>
      <c r="B6917" s="16" t="str">
        <f>TEXT(PARTIDA[[#This Row],[PARTIDA]],"0000000000")</f>
        <v>8501611000</v>
      </c>
      <c r="C6917" s="16" t="s">
        <v>860</v>
      </c>
      <c r="D6917" s="16" t="s">
        <v>873</v>
      </c>
      <c r="E6917" s="16" t="s">
        <v>9480</v>
      </c>
      <c r="F6917" s="27" t="s">
        <v>15123</v>
      </c>
      <c r="G6917" s="27"/>
      <c r="H6917" s="16" t="str">
        <f>IF(ISBLANK(PARTIDAS!$G6917),PARTIDAS!$F6917,CONCATENATE(PARTIDAS!$F6917," (",PARTIDAS!$G6917,")"))</f>
        <v>Generadores de corriente alterna (alternadores), de potencia inferior o igual a 75 kVA, de potencia inferior o igual a 18,5 kVA</v>
      </c>
      <c r="I6917" s="16" t="s">
        <v>9427</v>
      </c>
    </row>
    <row r="6918" spans="1:9" x14ac:dyDescent="0.25">
      <c r="A6918" s="16" t="s">
        <v>7853</v>
      </c>
      <c r="B6918" s="16" t="str">
        <f>TEXT(PARTIDA[[#This Row],[PARTIDA]],"0000000000")</f>
        <v>8501612000</v>
      </c>
      <c r="C6918" s="16" t="s">
        <v>860</v>
      </c>
      <c r="D6918" s="16" t="s">
        <v>873</v>
      </c>
      <c r="E6918" s="16" t="s">
        <v>9480</v>
      </c>
      <c r="F6918" s="27" t="s">
        <v>15124</v>
      </c>
      <c r="G6918" s="27"/>
      <c r="H6918" s="16" t="str">
        <f>IF(ISBLANK(PARTIDAS!$G6918),PARTIDAS!$F6918,CONCATENATE(PARTIDAS!$F6918," (",PARTIDAS!$G6918,")"))</f>
        <v>Generadores de corriente alterna (alternadores), de potencia inferior o igual a 75 kVA, de potencia superior a 18,5 kVA pero inferior o igual a 30 kVA</v>
      </c>
      <c r="I6918" s="16" t="s">
        <v>9427</v>
      </c>
    </row>
    <row r="6919" spans="1:9" x14ac:dyDescent="0.25">
      <c r="A6919" s="16" t="s">
        <v>7854</v>
      </c>
      <c r="B6919" s="16" t="str">
        <f>TEXT(PARTIDA[[#This Row],[PARTIDA]],"0000000000")</f>
        <v>8501619000</v>
      </c>
      <c r="C6919" s="16" t="s">
        <v>860</v>
      </c>
      <c r="D6919" s="16" t="s">
        <v>873</v>
      </c>
      <c r="E6919" s="16" t="s">
        <v>9480</v>
      </c>
      <c r="F6919" s="27" t="s">
        <v>15125</v>
      </c>
      <c r="G6919" s="27"/>
      <c r="H6919" s="16" t="str">
        <f>IF(ISBLANK(PARTIDAS!$G6919),PARTIDAS!$F6919,CONCATENATE(PARTIDAS!$F6919," (",PARTIDAS!$G6919,")"))</f>
        <v>Generadores de corriente alterna (alternadores), de potencia inferior o igual a 75 kVA (los demás)</v>
      </c>
      <c r="I6919" s="16" t="s">
        <v>9427</v>
      </c>
    </row>
    <row r="6920" spans="1:9" x14ac:dyDescent="0.25">
      <c r="A6920" s="16" t="s">
        <v>7855</v>
      </c>
      <c r="B6920" s="16" t="str">
        <f>TEXT(PARTIDA[[#This Row],[PARTIDA]],"0000000000")</f>
        <v>8501620000</v>
      </c>
      <c r="C6920" s="16" t="s">
        <v>860</v>
      </c>
      <c r="D6920" s="16" t="s">
        <v>873</v>
      </c>
      <c r="E6920" s="16" t="s">
        <v>9480</v>
      </c>
      <c r="F6920" s="27" t="s">
        <v>15126</v>
      </c>
      <c r="G6920" s="27"/>
      <c r="H6920" s="16" t="str">
        <f>IF(ISBLANK(PARTIDAS!$G6920),PARTIDAS!$F6920,CONCATENATE(PARTIDAS!$F6920," (",PARTIDAS!$G6920,")"))</f>
        <v>Generadores de corriente alterna (alternadores), de potencia superior a 75 kVA pero inferior o igual a 375 kVA</v>
      </c>
      <c r="I6920" s="16" t="s">
        <v>9427</v>
      </c>
    </row>
    <row r="6921" spans="1:9" x14ac:dyDescent="0.25">
      <c r="A6921" s="16" t="s">
        <v>7856</v>
      </c>
      <c r="B6921" s="16" t="str">
        <f>TEXT(PARTIDA[[#This Row],[PARTIDA]],"0000000000")</f>
        <v>8501630000</v>
      </c>
      <c r="C6921" s="16" t="s">
        <v>860</v>
      </c>
      <c r="D6921" s="16" t="s">
        <v>873</v>
      </c>
      <c r="E6921" s="16" t="s">
        <v>9480</v>
      </c>
      <c r="F6921" s="27" t="s">
        <v>15127</v>
      </c>
      <c r="G6921" s="27"/>
      <c r="H6921" s="16" t="str">
        <f>IF(ISBLANK(PARTIDAS!$G6921),PARTIDAS!$F6921,CONCATENATE(PARTIDAS!$F6921," (",PARTIDAS!$G6921,")"))</f>
        <v>Generadores de corriente alterna (alternadores), de potencia superior a 375 kVA pero inferior o igual a 750 kVA</v>
      </c>
      <c r="I6921" s="16" t="s">
        <v>9427</v>
      </c>
    </row>
    <row r="6922" spans="1:9" x14ac:dyDescent="0.25">
      <c r="A6922" s="16" t="s">
        <v>7857</v>
      </c>
      <c r="B6922" s="16" t="str">
        <f>TEXT(PARTIDA[[#This Row],[PARTIDA]],"0000000000")</f>
        <v>8501640000</v>
      </c>
      <c r="C6922" s="16" t="s">
        <v>860</v>
      </c>
      <c r="D6922" s="16" t="s">
        <v>873</v>
      </c>
      <c r="E6922" s="16" t="s">
        <v>9480</v>
      </c>
      <c r="F6922" s="27" t="s">
        <v>15128</v>
      </c>
      <c r="G6922" s="27"/>
      <c r="H6922" s="16" t="str">
        <f>IF(ISBLANK(PARTIDAS!$G6922),PARTIDAS!$F6922,CONCATENATE(PARTIDAS!$F6922," (",PARTIDAS!$G6922,")"))</f>
        <v>Generadores de corriente alterna (alternadores), de potencia superior a 750 kVA</v>
      </c>
      <c r="I6922" s="16" t="s">
        <v>9427</v>
      </c>
    </row>
    <row r="6923" spans="1:9" x14ac:dyDescent="0.25">
      <c r="A6923" s="16" t="s">
        <v>15129</v>
      </c>
      <c r="B6923" s="16" t="str">
        <f>TEXT(PARTIDA[[#This Row],[PARTIDA]],"0000000000")</f>
        <v>8501710000</v>
      </c>
      <c r="C6923" s="16" t="s">
        <v>860</v>
      </c>
      <c r="D6923" s="16" t="s">
        <v>873</v>
      </c>
      <c r="E6923" s="16" t="s">
        <v>9480</v>
      </c>
      <c r="F6923" s="27" t="s">
        <v>15130</v>
      </c>
      <c r="G6923" s="27"/>
      <c r="H6923" s="16" t="str">
        <f>IF(ISBLANK(PARTIDAS!$G6923),PARTIDAS!$F6923,CONCATENATE(PARTIDAS!$F6923," (",PARTIDAS!$G6923,")"))</f>
        <v>Generadores fotovoltaicos de corriente continua, de potencia inferior o igual a 50 W</v>
      </c>
      <c r="I6923" s="16" t="s">
        <v>9427</v>
      </c>
    </row>
    <row r="6924" spans="1:9" x14ac:dyDescent="0.25">
      <c r="A6924" s="16" t="s">
        <v>15131</v>
      </c>
      <c r="B6924" s="16" t="str">
        <f>TEXT(PARTIDA[[#This Row],[PARTIDA]],"0000000000")</f>
        <v>8501720000</v>
      </c>
      <c r="C6924" s="16" t="s">
        <v>860</v>
      </c>
      <c r="D6924" s="16" t="s">
        <v>873</v>
      </c>
      <c r="E6924" s="16" t="s">
        <v>9480</v>
      </c>
      <c r="F6924" s="27" t="s">
        <v>15132</v>
      </c>
      <c r="G6924" s="27"/>
      <c r="H6924" s="16" t="str">
        <f>IF(ISBLANK(PARTIDAS!$G6924),PARTIDAS!$F6924,CONCATENATE(PARTIDAS!$F6924," (",PARTIDAS!$G6924,")"))</f>
        <v>Generadores fotovoltaicos de corriente continua, de potencia superior a 50 W</v>
      </c>
      <c r="I6924" s="16" t="s">
        <v>9427</v>
      </c>
    </row>
    <row r="6925" spans="1:9" x14ac:dyDescent="0.25">
      <c r="A6925" s="16" t="s">
        <v>15133</v>
      </c>
      <c r="B6925" s="16" t="str">
        <f>TEXT(PARTIDA[[#This Row],[PARTIDA]],"0000000000")</f>
        <v>8501800000</v>
      </c>
      <c r="C6925" s="16" t="s">
        <v>860</v>
      </c>
      <c r="D6925" s="16" t="s">
        <v>873</v>
      </c>
      <c r="E6925" s="16" t="s">
        <v>9480</v>
      </c>
      <c r="F6925" s="27" t="s">
        <v>15134</v>
      </c>
      <c r="G6925" s="27"/>
      <c r="H6925" s="16" t="str">
        <f>IF(ISBLANK(PARTIDAS!$G6925),PARTIDAS!$F6925,CONCATENATE(PARTIDAS!$F6925," (",PARTIDAS!$G6925,")"))</f>
        <v>Generadores fotovoltaicos de corriente alterna</v>
      </c>
      <c r="I6925" s="16" t="s">
        <v>9427</v>
      </c>
    </row>
    <row r="6926" spans="1:9" x14ac:dyDescent="0.25">
      <c r="A6926" s="16" t="s">
        <v>7858</v>
      </c>
      <c r="B6926" s="16" t="str">
        <f>TEXT(PARTIDA[[#This Row],[PARTIDA]],"0000000000")</f>
        <v>8502111000</v>
      </c>
      <c r="C6926" s="16" t="s">
        <v>860</v>
      </c>
      <c r="D6926" s="16" t="s">
        <v>873</v>
      </c>
      <c r="E6926" s="16" t="s">
        <v>9480</v>
      </c>
      <c r="F6926" s="27" t="s">
        <v>15135</v>
      </c>
      <c r="G6926" s="27"/>
      <c r="H6926" s="16" t="str">
        <f>IF(ISBLANK(PARTIDAS!$G6926),PARTIDAS!$F6926,CONCATENATE(PARTIDAS!$F6926," (",PARTIDAS!$G6926,")"))</f>
        <v>Grupos electrógenos con motor de émbolo (pistón) de…, de potencia inferior o igual a 75 kVA, de corriente alterna</v>
      </c>
      <c r="I6926" s="16" t="s">
        <v>9427</v>
      </c>
    </row>
    <row r="6927" spans="1:9" x14ac:dyDescent="0.25">
      <c r="A6927" s="16" t="s">
        <v>7859</v>
      </c>
      <c r="B6927" s="16" t="str">
        <f>TEXT(PARTIDA[[#This Row],[PARTIDA]],"0000000000")</f>
        <v>8502119000</v>
      </c>
      <c r="C6927" s="16" t="s">
        <v>860</v>
      </c>
      <c r="D6927" s="16" t="s">
        <v>873</v>
      </c>
      <c r="E6927" s="16" t="s">
        <v>9480</v>
      </c>
      <c r="F6927" s="27" t="s">
        <v>15136</v>
      </c>
      <c r="G6927" s="27"/>
      <c r="H6927" s="16" t="str">
        <f>IF(ISBLANK(PARTIDAS!$G6927),PARTIDAS!$F6927,CONCATENATE(PARTIDAS!$F6927," (",PARTIDAS!$G6927,")"))</f>
        <v>Grupos electrógenos con motor de émbolo (pistón) de…, de potencia inferior o igual a 75 kVA (los demás)</v>
      </c>
      <c r="I6927" s="16" t="s">
        <v>9427</v>
      </c>
    </row>
    <row r="6928" spans="1:9" x14ac:dyDescent="0.25">
      <c r="A6928" s="16" t="s">
        <v>7860</v>
      </c>
      <c r="B6928" s="16" t="str">
        <f>TEXT(PARTIDA[[#This Row],[PARTIDA]],"0000000000")</f>
        <v>8502121000</v>
      </c>
      <c r="C6928" s="16" t="s">
        <v>860</v>
      </c>
      <c r="D6928" s="16" t="s">
        <v>873</v>
      </c>
      <c r="E6928" s="16" t="s">
        <v>9480</v>
      </c>
      <c r="F6928" s="27" t="s">
        <v>15137</v>
      </c>
      <c r="G6928" s="27"/>
      <c r="H6928" s="16" t="str">
        <f>IF(ISBLANK(PARTIDAS!$G6928),PARTIDAS!$F6928,CONCATENATE(PARTIDAS!$F6928," (",PARTIDAS!$G6928,")"))</f>
        <v>Grupos electrógenos con motor de émbolo (pistón) de…, de potencia superior a 75 kVA pero inferior o igual a 375 kVA, de corriente alterna</v>
      </c>
      <c r="I6928" s="16" t="s">
        <v>9427</v>
      </c>
    </row>
    <row r="6929" spans="1:9" x14ac:dyDescent="0.25">
      <c r="A6929" s="16" t="s">
        <v>7861</v>
      </c>
      <c r="B6929" s="16" t="str">
        <f>TEXT(PARTIDA[[#This Row],[PARTIDA]],"0000000000")</f>
        <v>8502129000</v>
      </c>
      <c r="C6929" s="16" t="s">
        <v>860</v>
      </c>
      <c r="D6929" s="16" t="s">
        <v>873</v>
      </c>
      <c r="E6929" s="16" t="s">
        <v>9480</v>
      </c>
      <c r="F6929" s="27" t="s">
        <v>15138</v>
      </c>
      <c r="G6929" s="27"/>
      <c r="H6929" s="16" t="str">
        <f>IF(ISBLANK(PARTIDAS!$G6929),PARTIDAS!$F6929,CONCATENATE(PARTIDAS!$F6929," (",PARTIDAS!$G6929,")"))</f>
        <v>Grupos electrógenos con motor de émbolo (pistón) de…, de potencia superior a 75 kVA pero inferior o igual a 375 kVA (los demás)</v>
      </c>
      <c r="I6929" s="16" t="s">
        <v>9427</v>
      </c>
    </row>
    <row r="6930" spans="1:9" x14ac:dyDescent="0.25">
      <c r="A6930" s="16" t="s">
        <v>7862</v>
      </c>
      <c r="B6930" s="16" t="str">
        <f>TEXT(PARTIDA[[#This Row],[PARTIDA]],"0000000000")</f>
        <v>8502131000</v>
      </c>
      <c r="C6930" s="16" t="s">
        <v>860</v>
      </c>
      <c r="D6930" s="16" t="s">
        <v>873</v>
      </c>
      <c r="E6930" s="16" t="s">
        <v>9480</v>
      </c>
      <c r="F6930" s="27" t="s">
        <v>9241</v>
      </c>
      <c r="G6930" s="27"/>
      <c r="H6930" s="16" t="str">
        <f>IF(ISBLANK(PARTIDAS!$G6930),PARTIDAS!$F6930,CONCATENATE(PARTIDAS!$F6930," (",PARTIDAS!$G6930,")"))</f>
        <v>Grupos electrógenos con motor de émbolo (pistón) de…, de potencia superior a 375 kVA, de corriente alterna</v>
      </c>
      <c r="I6930" s="16" t="s">
        <v>9477</v>
      </c>
    </row>
    <row r="6931" spans="1:9" x14ac:dyDescent="0.25">
      <c r="A6931" s="16" t="s">
        <v>7863</v>
      </c>
      <c r="B6931" s="16" t="str">
        <f>TEXT(PARTIDA[[#This Row],[PARTIDA]],"0000000000")</f>
        <v>8502139000</v>
      </c>
      <c r="C6931" s="16" t="s">
        <v>860</v>
      </c>
      <c r="D6931" s="16" t="s">
        <v>873</v>
      </c>
      <c r="E6931" s="16" t="s">
        <v>9480</v>
      </c>
      <c r="F6931" s="27" t="s">
        <v>9239</v>
      </c>
      <c r="G6931" s="27"/>
      <c r="H6931" s="16" t="str">
        <f>IF(ISBLANK(PARTIDAS!$G6931),PARTIDAS!$F6931,CONCATENATE(PARTIDAS!$F6931," (",PARTIDAS!$G6931,")"))</f>
        <v>Grupos electrógenos con motor de émbolo (pistón) de…, de potencia superior a 375 kVA (los demás)</v>
      </c>
      <c r="I6931" s="16" t="s">
        <v>9477</v>
      </c>
    </row>
    <row r="6932" spans="1:9" x14ac:dyDescent="0.25">
      <c r="A6932" s="16" t="s">
        <v>7864</v>
      </c>
      <c r="B6932" s="16" t="str">
        <f>TEXT(PARTIDA[[#This Row],[PARTIDA]],"0000000000")</f>
        <v>8502201000</v>
      </c>
      <c r="C6932" s="16" t="s">
        <v>860</v>
      </c>
      <c r="D6932" s="16" t="s">
        <v>873</v>
      </c>
      <c r="E6932" s="16" t="s">
        <v>9480</v>
      </c>
      <c r="F6932" s="27" t="s">
        <v>7097</v>
      </c>
      <c r="G6932" s="27"/>
      <c r="H6932" s="16" t="str">
        <f>IF(ISBLANK(PARTIDAS!$G6932),PARTIDAS!$F6932,CONCATENATE(PARTIDAS!$F6932," (",PARTIDAS!$G6932,")"))</f>
        <v>Partes de máquinas</v>
      </c>
      <c r="I6932" s="16" t="s">
        <v>9427</v>
      </c>
    </row>
    <row r="6933" spans="1:9" x14ac:dyDescent="0.25">
      <c r="A6933" s="16" t="s">
        <v>7865</v>
      </c>
      <c r="B6933" s="16" t="str">
        <f>TEXT(PARTIDA[[#This Row],[PARTIDA]],"0000000000")</f>
        <v>8502209000</v>
      </c>
      <c r="C6933" s="16" t="s">
        <v>860</v>
      </c>
      <c r="D6933" s="16" t="s">
        <v>873</v>
      </c>
      <c r="E6933" s="16" t="s">
        <v>9480</v>
      </c>
      <c r="F6933" s="27" t="s">
        <v>15139</v>
      </c>
      <c r="G6933" s="27"/>
      <c r="H6933" s="16" t="str">
        <f>IF(ISBLANK(PARTIDAS!$G6933),PARTIDAS!$F6933,CONCATENATE(PARTIDAS!$F6933," (",PARTIDAS!$G6933,")"))</f>
        <v>Grupos electrógenos con motor de émbolo (pistón) de encendido por… (los demás)</v>
      </c>
      <c r="I6933" s="16" t="s">
        <v>9427</v>
      </c>
    </row>
    <row r="6934" spans="1:9" x14ac:dyDescent="0.25">
      <c r="A6934" s="16" t="s">
        <v>7866</v>
      </c>
      <c r="B6934" s="16" t="str">
        <f>TEXT(PARTIDA[[#This Row],[PARTIDA]],"0000000000")</f>
        <v>8502310000</v>
      </c>
      <c r="C6934" s="16" t="s">
        <v>860</v>
      </c>
      <c r="D6934" s="16" t="s">
        <v>873</v>
      </c>
      <c r="E6934" s="16" t="s">
        <v>9480</v>
      </c>
      <c r="F6934" s="27" t="s">
        <v>15140</v>
      </c>
      <c r="G6934" s="27"/>
      <c r="H6934" s="16" t="str">
        <f>IF(ISBLANK(PARTIDAS!$G6934),PARTIDAS!$F6934,CONCATENATE(PARTIDAS!$F6934," (",PARTIDAS!$G6934,")"))</f>
        <v>Grupos electrógenos y convertidores rotativos eléctricos, de energía eólica</v>
      </c>
      <c r="I6934" s="16" t="s">
        <v>9427</v>
      </c>
    </row>
    <row r="6935" spans="1:9" x14ac:dyDescent="0.25">
      <c r="A6935" s="16" t="s">
        <v>7867</v>
      </c>
      <c r="B6935" s="16" t="str">
        <f>TEXT(PARTIDA[[#This Row],[PARTIDA]],"0000000000")</f>
        <v>8502391000</v>
      </c>
      <c r="C6935" s="16" t="s">
        <v>860</v>
      </c>
      <c r="D6935" s="16" t="s">
        <v>873</v>
      </c>
      <c r="E6935" s="16" t="s">
        <v>9480</v>
      </c>
      <c r="F6935" s="27" t="s">
        <v>15141</v>
      </c>
      <c r="G6935" s="27"/>
      <c r="H6935" s="16" t="str">
        <f>IF(ISBLANK(PARTIDAS!$G6935),PARTIDAS!$F6935,CONCATENATE(PARTIDAS!$F6935," (",PARTIDAS!$G6935,")"))</f>
        <v>Grupos electrógenos y convertidores rotativos eléctricos, de corriente alterna</v>
      </c>
      <c r="I6935" s="16" t="s">
        <v>9427</v>
      </c>
    </row>
    <row r="6936" spans="1:9" x14ac:dyDescent="0.25">
      <c r="A6936" s="16" t="s">
        <v>7868</v>
      </c>
      <c r="B6936" s="16" t="str">
        <f>TEXT(PARTIDA[[#This Row],[PARTIDA]],"0000000000")</f>
        <v>8502399000</v>
      </c>
      <c r="C6936" s="16" t="s">
        <v>860</v>
      </c>
      <c r="D6936" s="16" t="s">
        <v>873</v>
      </c>
      <c r="E6936" s="16" t="s">
        <v>9480</v>
      </c>
      <c r="F6936" s="27" t="s">
        <v>15142</v>
      </c>
      <c r="G6936" s="27"/>
      <c r="H6936" s="16" t="str">
        <f>IF(ISBLANK(PARTIDAS!$G6936),PARTIDAS!$F6936,CONCATENATE(PARTIDAS!$F6936," (",PARTIDAS!$G6936,")"))</f>
        <v>Grupos electrógenos y convertidores rotativos eléctricos (los demás)</v>
      </c>
      <c r="I6936" s="16" t="s">
        <v>9427</v>
      </c>
    </row>
    <row r="6937" spans="1:9" x14ac:dyDescent="0.25">
      <c r="A6937" s="16" t="s">
        <v>7869</v>
      </c>
      <c r="B6937" s="16" t="str">
        <f>TEXT(PARTIDA[[#This Row],[PARTIDA]],"0000000000")</f>
        <v>8502400000</v>
      </c>
      <c r="C6937" s="16" t="s">
        <v>860</v>
      </c>
      <c r="D6937" s="16" t="s">
        <v>873</v>
      </c>
      <c r="E6937" s="16" t="s">
        <v>9480</v>
      </c>
      <c r="F6937" s="27" t="s">
        <v>15143</v>
      </c>
      <c r="G6937" s="27"/>
      <c r="H6937" s="16" t="str">
        <f>IF(ISBLANK(PARTIDAS!$G6937),PARTIDAS!$F6937,CONCATENATE(PARTIDAS!$F6937," (",PARTIDAS!$G6937,")"))</f>
        <v>Convertidores rotativos eléctricos</v>
      </c>
      <c r="I6937" s="16" t="s">
        <v>9427</v>
      </c>
    </row>
    <row r="6938" spans="1:9" x14ac:dyDescent="0.25">
      <c r="A6938" s="16" t="s">
        <v>7870</v>
      </c>
      <c r="B6938" s="16" t="str">
        <f>TEXT(PARTIDA[[#This Row],[PARTIDA]],"0000000000")</f>
        <v>8503000000</v>
      </c>
      <c r="C6938" s="16" t="s">
        <v>860</v>
      </c>
      <c r="D6938" s="16" t="s">
        <v>873</v>
      </c>
      <c r="E6938" s="16" t="s">
        <v>9480</v>
      </c>
      <c r="F6938" s="27" t="s">
        <v>7097</v>
      </c>
      <c r="G6938" s="27"/>
      <c r="H6938" s="16" t="str">
        <f>IF(ISBLANK(PARTIDAS!$G6938),PARTIDAS!$F6938,CONCATENATE(PARTIDAS!$F6938," (",PARTIDAS!$G6938,")"))</f>
        <v>Partes de máquinas</v>
      </c>
      <c r="I6938" s="16" t="s">
        <v>9427</v>
      </c>
    </row>
    <row r="6939" spans="1:9" x14ac:dyDescent="0.25">
      <c r="A6939" s="16" t="s">
        <v>7871</v>
      </c>
      <c r="B6939" s="16" t="str">
        <f>TEXT(PARTIDA[[#This Row],[PARTIDA]],"0000000000")</f>
        <v>8504100000</v>
      </c>
      <c r="C6939" s="16" t="s">
        <v>860</v>
      </c>
      <c r="D6939" s="16" t="s">
        <v>873</v>
      </c>
      <c r="E6939" s="16" t="s">
        <v>9480</v>
      </c>
      <c r="F6939" s="27" t="s">
        <v>15144</v>
      </c>
      <c r="G6939" s="27"/>
      <c r="H6939" s="16" t="str">
        <f>IF(ISBLANK(PARTIDAS!$G6939),PARTIDAS!$F6939,CONCATENATE(PARTIDAS!$F6939," (",PARTIDAS!$G6939,")"))</f>
        <v>Balastos (reactancias) para lámparas o tubos de descarga</v>
      </c>
      <c r="I6939" s="16" t="s">
        <v>9427</v>
      </c>
    </row>
    <row r="6940" spans="1:9" x14ac:dyDescent="0.25">
      <c r="A6940" s="16" t="s">
        <v>7872</v>
      </c>
      <c r="B6940" s="16" t="str">
        <f>TEXT(PARTIDA[[#This Row],[PARTIDA]],"0000000000")</f>
        <v>8504211100</v>
      </c>
      <c r="C6940" s="16" t="s">
        <v>860</v>
      </c>
      <c r="D6940" s="16" t="s">
        <v>873</v>
      </c>
      <c r="E6940" s="16" t="s">
        <v>9480</v>
      </c>
      <c r="F6940" s="27" t="s">
        <v>15145</v>
      </c>
      <c r="G6940" s="27"/>
      <c r="H6940" s="16" t="str">
        <f>IF(ISBLANK(PARTIDAS!$G6940),PARTIDAS!$F6940,CONCATENATE(PARTIDAS!$F6940," (",PARTIDAS!$G6940,")"))</f>
        <v xml:space="preserve">Transformadores de dieléctrico líquido, de potencia inferior o igual a 650 kVA, de potencia inferior o igual a 10 kVA, de potencia inferior o igual a </v>
      </c>
      <c r="I6940" s="16" t="s">
        <v>9427</v>
      </c>
    </row>
    <row r="6941" spans="1:9" x14ac:dyDescent="0.25">
      <c r="A6941" s="16" t="s">
        <v>7873</v>
      </c>
      <c r="B6941" s="16" t="str">
        <f>TEXT(PARTIDA[[#This Row],[PARTIDA]],"0000000000")</f>
        <v>8504211900</v>
      </c>
      <c r="C6941" s="16" t="s">
        <v>860</v>
      </c>
      <c r="D6941" s="16" t="s">
        <v>873</v>
      </c>
      <c r="E6941" s="16" t="s">
        <v>9480</v>
      </c>
      <c r="F6941" s="27" t="s">
        <v>15146</v>
      </c>
      <c r="G6941" s="27"/>
      <c r="H6941" s="16" t="str">
        <f>IF(ISBLANK(PARTIDAS!$G6941),PARTIDAS!$F6941,CONCATENATE(PARTIDAS!$F6941," (",PARTIDAS!$G6941,")"))</f>
        <v>Transformadores de dieléctrico líquido, de potencia inferior o igual a 650 kVA, de potencia inferior o igual a 10 kVA (los demás)</v>
      </c>
      <c r="I6941" s="16" t="s">
        <v>9427</v>
      </c>
    </row>
    <row r="6942" spans="1:9" x14ac:dyDescent="0.25">
      <c r="A6942" s="16" t="s">
        <v>7874</v>
      </c>
      <c r="B6942" s="16" t="str">
        <f>TEXT(PARTIDA[[#This Row],[PARTIDA]],"0000000000")</f>
        <v>8504219000</v>
      </c>
      <c r="C6942" s="16" t="s">
        <v>860</v>
      </c>
      <c r="D6942" s="16" t="s">
        <v>873</v>
      </c>
      <c r="E6942" s="16" t="s">
        <v>9480</v>
      </c>
      <c r="F6942" s="27" t="s">
        <v>15147</v>
      </c>
      <c r="G6942" s="27"/>
      <c r="H6942" s="16" t="str">
        <f>IF(ISBLANK(PARTIDAS!$G6942),PARTIDAS!$F6942,CONCATENATE(PARTIDAS!$F6942," (",PARTIDAS!$G6942,")"))</f>
        <v>Transformadores de dieléctrico líquido, de potencia inferior o igual a 650 kVA (los demás)</v>
      </c>
      <c r="I6942" s="16" t="s">
        <v>9427</v>
      </c>
    </row>
    <row r="6943" spans="1:9" x14ac:dyDescent="0.25">
      <c r="A6943" s="16" t="s">
        <v>7875</v>
      </c>
      <c r="B6943" s="16" t="str">
        <f>TEXT(PARTIDA[[#This Row],[PARTIDA]],"0000000000")</f>
        <v>8504221000</v>
      </c>
      <c r="C6943" s="16" t="s">
        <v>860</v>
      </c>
      <c r="D6943" s="16" t="s">
        <v>873</v>
      </c>
      <c r="E6943" s="16" t="s">
        <v>9480</v>
      </c>
      <c r="F6943" s="27" t="s">
        <v>15148</v>
      </c>
      <c r="G6943" s="27"/>
      <c r="H6943" s="16" t="str">
        <f>IF(ISBLANK(PARTIDAS!$G6943),PARTIDAS!$F6943,CONCATENATE(PARTIDAS!$F6943," (",PARTIDAS!$G6943,")"))</f>
        <v>Transformadores de dieléctrico líquido, de potencia superior a 650 kVA pero inferior o igual a 10.000 kVA, de potencia superior a 650 kVA pero inferio</v>
      </c>
      <c r="I6943" s="16" t="s">
        <v>9427</v>
      </c>
    </row>
    <row r="6944" spans="1:9" x14ac:dyDescent="0.25">
      <c r="A6944" s="16" t="s">
        <v>7876</v>
      </c>
      <c r="B6944" s="16" t="str">
        <f>TEXT(PARTIDA[[#This Row],[PARTIDA]],"0000000000")</f>
        <v>8504229000</v>
      </c>
      <c r="C6944" s="16" t="s">
        <v>860</v>
      </c>
      <c r="D6944" s="16" t="s">
        <v>873</v>
      </c>
      <c r="E6944" s="16" t="s">
        <v>9480</v>
      </c>
      <c r="F6944" s="27" t="s">
        <v>15149</v>
      </c>
      <c r="G6944" s="27"/>
      <c r="H6944" s="16" t="str">
        <f>IF(ISBLANK(PARTIDAS!$G6944),PARTIDAS!$F6944,CONCATENATE(PARTIDAS!$F6944," (",PARTIDAS!$G6944,")"))</f>
        <v>Transformadores de dieléctrico líquido, de potencia superior a 650 kVA pero inferior o igual a 10.000 kVA (los demás)</v>
      </c>
      <c r="I6944" s="16" t="s">
        <v>9427</v>
      </c>
    </row>
    <row r="6945" spans="1:9" x14ac:dyDescent="0.25">
      <c r="A6945" s="16" t="s">
        <v>7877</v>
      </c>
      <c r="B6945" s="16" t="str">
        <f>TEXT(PARTIDA[[#This Row],[PARTIDA]],"0000000000")</f>
        <v>8504230000</v>
      </c>
      <c r="C6945" s="16" t="s">
        <v>860</v>
      </c>
      <c r="D6945" s="16" t="s">
        <v>873</v>
      </c>
      <c r="E6945" s="16" t="s">
        <v>9480</v>
      </c>
      <c r="F6945" s="27" t="s">
        <v>15150</v>
      </c>
      <c r="G6945" s="27"/>
      <c r="H6945" s="16" t="str">
        <f>IF(ISBLANK(PARTIDAS!$G6945),PARTIDAS!$F6945,CONCATENATE(PARTIDAS!$F6945," (",PARTIDAS!$G6945,")"))</f>
        <v>Transformadores de dieléctrico líquido, de potencia superior a 10.000 kVA</v>
      </c>
      <c r="I6945" s="16" t="s">
        <v>9427</v>
      </c>
    </row>
    <row r="6946" spans="1:9" x14ac:dyDescent="0.25">
      <c r="A6946" s="16" t="s">
        <v>7878</v>
      </c>
      <c r="B6946" s="16" t="str">
        <f>TEXT(PARTIDA[[#This Row],[PARTIDA]],"0000000000")</f>
        <v>8504311000</v>
      </c>
      <c r="C6946" s="16" t="s">
        <v>860</v>
      </c>
      <c r="D6946" s="16" t="s">
        <v>873</v>
      </c>
      <c r="E6946" s="16" t="s">
        <v>9480</v>
      </c>
      <c r="F6946" s="27" t="s">
        <v>15151</v>
      </c>
      <c r="G6946" s="27"/>
      <c r="H6946" s="16" t="str">
        <f>IF(ISBLANK(PARTIDAS!$G6946),PARTIDAS!$F6946,CONCATENATE(PARTIDAS!$F6946," (",PARTIDAS!$G6946,")"))</f>
        <v>Transformadores eléctricos, convertidores eléctricos…, de potencia inferior o igual a 1 kVA, de potencia inferior o igual 0,1 kVA</v>
      </c>
      <c r="I6946" s="16" t="s">
        <v>9427</v>
      </c>
    </row>
    <row r="6947" spans="1:9" x14ac:dyDescent="0.25">
      <c r="A6947" s="16" t="s">
        <v>7879</v>
      </c>
      <c r="B6947" s="16" t="str">
        <f>TEXT(PARTIDA[[#This Row],[PARTIDA]],"0000000000")</f>
        <v>8504319000</v>
      </c>
      <c r="C6947" s="16" t="s">
        <v>860</v>
      </c>
      <c r="D6947" s="16" t="s">
        <v>873</v>
      </c>
      <c r="E6947" s="16" t="s">
        <v>9480</v>
      </c>
      <c r="F6947" s="27" t="s">
        <v>15152</v>
      </c>
      <c r="G6947" s="27"/>
      <c r="H6947" s="16" t="str">
        <f>IF(ISBLANK(PARTIDAS!$G6947),PARTIDAS!$F6947,CONCATENATE(PARTIDAS!$F6947," (",PARTIDAS!$G6947,")"))</f>
        <v>Transformadores eléctricos, convertidores eléctricos…, de potencia inferior o igual a 1 kVA (los demás)</v>
      </c>
      <c r="I6947" s="16" t="s">
        <v>9427</v>
      </c>
    </row>
    <row r="6948" spans="1:9" x14ac:dyDescent="0.25">
      <c r="A6948" s="16" t="s">
        <v>7880</v>
      </c>
      <c r="B6948" s="16" t="str">
        <f>TEXT(PARTIDA[[#This Row],[PARTIDA]],"0000000000")</f>
        <v>8504321000</v>
      </c>
      <c r="C6948" s="16" t="s">
        <v>860</v>
      </c>
      <c r="D6948" s="16" t="s">
        <v>873</v>
      </c>
      <c r="E6948" s="16" t="s">
        <v>9480</v>
      </c>
      <c r="F6948" s="27" t="s">
        <v>15153</v>
      </c>
      <c r="G6948" s="27"/>
      <c r="H6948" s="16" t="str">
        <f>IF(ISBLANK(PARTIDAS!$G6948),PARTIDAS!$F6948,CONCATENATE(PARTIDAS!$F6948," (",PARTIDAS!$G6948,")"))</f>
        <v xml:space="preserve">Transformadores eléctricos, convertidores eléctricos…, de potencia superior a 1 kVA pero inferior o igual a 16 kVA, de potencia superior a 1 kVA pero </v>
      </c>
      <c r="I6948" s="16" t="s">
        <v>9427</v>
      </c>
    </row>
    <row r="6949" spans="1:9" x14ac:dyDescent="0.25">
      <c r="A6949" s="16" t="s">
        <v>7881</v>
      </c>
      <c r="B6949" s="16" t="str">
        <f>TEXT(PARTIDA[[#This Row],[PARTIDA]],"0000000000")</f>
        <v>8504329000</v>
      </c>
      <c r="C6949" s="16" t="s">
        <v>860</v>
      </c>
      <c r="D6949" s="16" t="s">
        <v>873</v>
      </c>
      <c r="E6949" s="16" t="s">
        <v>9480</v>
      </c>
      <c r="F6949" s="27" t="s">
        <v>15154</v>
      </c>
      <c r="G6949" s="27"/>
      <c r="H6949" s="16" t="str">
        <f>IF(ISBLANK(PARTIDAS!$G6949),PARTIDAS!$F6949,CONCATENATE(PARTIDAS!$F6949," (",PARTIDAS!$G6949,")"))</f>
        <v>Transformadores eléctricos, convertidores eléctricos…, de potencia superior a 1 kVA pero inferior o igual a 16 kVA (los demás)</v>
      </c>
      <c r="I6949" s="16" t="s">
        <v>9427</v>
      </c>
    </row>
    <row r="6950" spans="1:9" x14ac:dyDescent="0.25">
      <c r="A6950" s="16" t="s">
        <v>7882</v>
      </c>
      <c r="B6950" s="16" t="str">
        <f>TEXT(PARTIDA[[#This Row],[PARTIDA]],"0000000000")</f>
        <v>8504330000</v>
      </c>
      <c r="C6950" s="16" t="s">
        <v>860</v>
      </c>
      <c r="D6950" s="16" t="s">
        <v>873</v>
      </c>
      <c r="E6950" s="16" t="s">
        <v>9480</v>
      </c>
      <c r="F6950" s="27" t="s">
        <v>15155</v>
      </c>
      <c r="G6950" s="27"/>
      <c r="H6950" s="16" t="str">
        <f>IF(ISBLANK(PARTIDAS!$G6950),PARTIDAS!$F6950,CONCATENATE(PARTIDAS!$F6950," (",PARTIDAS!$G6950,")"))</f>
        <v>Transformadores eléctricos, convertidores eléctricos estáticos (por…, de potencia superior a 16 kVA pero inferior o igual a 500 kVA</v>
      </c>
      <c r="I6950" s="16" t="s">
        <v>9427</v>
      </c>
    </row>
    <row r="6951" spans="1:9" x14ac:dyDescent="0.25">
      <c r="A6951" s="16" t="s">
        <v>7883</v>
      </c>
      <c r="B6951" s="16" t="str">
        <f>TEXT(PARTIDA[[#This Row],[PARTIDA]],"0000000000")</f>
        <v>8504341000</v>
      </c>
      <c r="C6951" s="16" t="s">
        <v>860</v>
      </c>
      <c r="D6951" s="16" t="s">
        <v>873</v>
      </c>
      <c r="E6951" s="16" t="s">
        <v>9480</v>
      </c>
      <c r="F6951" s="27" t="s">
        <v>15156</v>
      </c>
      <c r="G6951" s="27"/>
      <c r="H6951" s="16" t="str">
        <f>IF(ISBLANK(PARTIDAS!$G6951),PARTIDAS!$F6951,CONCATENATE(PARTIDAS!$F6951," (",PARTIDAS!$G6951,")"))</f>
        <v>Transformadores eléctricos, convertidores eléctricos…, de potencia superior a 500 kVA, de potencia inferior o igual a 1.600 kVA</v>
      </c>
      <c r="I6951" s="16" t="s">
        <v>9427</v>
      </c>
    </row>
    <row r="6952" spans="1:9" x14ac:dyDescent="0.25">
      <c r="A6952" s="16" t="s">
        <v>7884</v>
      </c>
      <c r="B6952" s="16" t="str">
        <f>TEXT(PARTIDA[[#This Row],[PARTIDA]],"0000000000")</f>
        <v>8504342000</v>
      </c>
      <c r="C6952" s="16" t="s">
        <v>860</v>
      </c>
      <c r="D6952" s="16" t="s">
        <v>873</v>
      </c>
      <c r="E6952" s="16" t="s">
        <v>9480</v>
      </c>
      <c r="F6952" s="27" t="s">
        <v>15157</v>
      </c>
      <c r="G6952" s="27"/>
      <c r="H6952" s="16" t="str">
        <f>IF(ISBLANK(PARTIDAS!$G6952),PARTIDAS!$F6952,CONCATENATE(PARTIDAS!$F6952," (",PARTIDAS!$G6952,")"))</f>
        <v>Transformadores eléctricos, convertidores eléctricos…, de potencia superior a 500 kVA, de potencia superior a 1.600 kVA pero inferior o igual a 10.000</v>
      </c>
      <c r="I6952" s="16" t="s">
        <v>9427</v>
      </c>
    </row>
    <row r="6953" spans="1:9" x14ac:dyDescent="0.25">
      <c r="A6953" s="16" t="s">
        <v>7885</v>
      </c>
      <c r="B6953" s="16" t="str">
        <f>TEXT(PARTIDA[[#This Row],[PARTIDA]],"0000000000")</f>
        <v>8504343000</v>
      </c>
      <c r="C6953" s="16" t="s">
        <v>860</v>
      </c>
      <c r="D6953" s="16" t="s">
        <v>873</v>
      </c>
      <c r="E6953" s="16" t="s">
        <v>9480</v>
      </c>
      <c r="F6953" s="27" t="s">
        <v>15158</v>
      </c>
      <c r="G6953" s="27"/>
      <c r="H6953" s="16" t="str">
        <f>IF(ISBLANK(PARTIDAS!$G6953),PARTIDAS!$F6953,CONCATENATE(PARTIDAS!$F6953," (",PARTIDAS!$G6953,")"))</f>
        <v>Transformadores eléctricos, convertidores eléctricos…, de potencia superior a 500 kVA, de potencia superior a 10.000 kVA</v>
      </c>
      <c r="I6953" s="16" t="s">
        <v>9427</v>
      </c>
    </row>
    <row r="6954" spans="1:9" x14ac:dyDescent="0.25">
      <c r="A6954" s="16" t="s">
        <v>7886</v>
      </c>
      <c r="B6954" s="16" t="str">
        <f>TEXT(PARTIDA[[#This Row],[PARTIDA]],"0000000000")</f>
        <v>8504401000</v>
      </c>
      <c r="C6954" s="16" t="s">
        <v>860</v>
      </c>
      <c r="D6954" s="16" t="s">
        <v>873</v>
      </c>
      <c r="E6954" s="16" t="s">
        <v>9480</v>
      </c>
      <c r="F6954" s="27" t="s">
        <v>15159</v>
      </c>
      <c r="G6954" s="27"/>
      <c r="H6954" s="16" t="str">
        <f>IF(ISBLANK(PARTIDAS!$G6954),PARTIDAS!$F6954,CONCATENATE(PARTIDAS!$F6954," (",PARTIDAS!$G6954,")"))</f>
        <v>Unidades de alimentación estabilizada («UPS»)</v>
      </c>
      <c r="I6954" s="16" t="s">
        <v>9427</v>
      </c>
    </row>
    <row r="6955" spans="1:9" x14ac:dyDescent="0.25">
      <c r="A6955" s="16" t="s">
        <v>7887</v>
      </c>
      <c r="B6955" s="16" t="str">
        <f>TEXT(PARTIDA[[#This Row],[PARTIDA]],"0000000000")</f>
        <v>8504402000</v>
      </c>
      <c r="C6955" s="16" t="s">
        <v>860</v>
      </c>
      <c r="D6955" s="16" t="s">
        <v>873</v>
      </c>
      <c r="E6955" s="16" t="s">
        <v>9480</v>
      </c>
      <c r="F6955" s="27" t="s">
        <v>15160</v>
      </c>
      <c r="G6955" s="27"/>
      <c r="H6955" s="16" t="str">
        <f>IF(ISBLANK(PARTIDAS!$G6955),PARTIDAS!$F6955,CONCATENATE(PARTIDAS!$F6955," (",PARTIDAS!$G6955,")"))</f>
        <v>Arrancadores electrónicos</v>
      </c>
      <c r="I6955" s="16" t="s">
        <v>9427</v>
      </c>
    </row>
    <row r="6956" spans="1:9" x14ac:dyDescent="0.25">
      <c r="A6956" s="16" t="s">
        <v>7888</v>
      </c>
      <c r="B6956" s="16" t="str">
        <f>TEXT(PARTIDA[[#This Row],[PARTIDA]],"0000000000")</f>
        <v>8504409000</v>
      </c>
      <c r="C6956" s="16" t="s">
        <v>860</v>
      </c>
      <c r="D6956" s="16" t="s">
        <v>873</v>
      </c>
      <c r="E6956" s="16" t="s">
        <v>9480</v>
      </c>
      <c r="F6956" s="27" t="s">
        <v>15161</v>
      </c>
      <c r="G6956" s="27"/>
      <c r="H6956" s="16" t="str">
        <f>IF(ISBLANK(PARTIDAS!$G6956),PARTIDAS!$F6956,CONCATENATE(PARTIDAS!$F6956," (",PARTIDAS!$G6956,")"))</f>
        <v>Convertidores estáticos (los demás)</v>
      </c>
      <c r="I6956" s="16" t="s">
        <v>9427</v>
      </c>
    </row>
    <row r="6957" spans="1:9" x14ac:dyDescent="0.25">
      <c r="A6957" s="16" t="s">
        <v>7889</v>
      </c>
      <c r="B6957" s="16" t="str">
        <f>TEXT(PARTIDA[[#This Row],[PARTIDA]],"0000000000")</f>
        <v>8504501000</v>
      </c>
      <c r="C6957" s="16" t="s">
        <v>860</v>
      </c>
      <c r="D6957" s="16" t="s">
        <v>873</v>
      </c>
      <c r="E6957" s="16" t="s">
        <v>9480</v>
      </c>
      <c r="F6957" s="27" t="s">
        <v>15162</v>
      </c>
      <c r="G6957" s="27"/>
      <c r="H6957" s="16" t="str">
        <f>IF(ISBLANK(PARTIDAS!$G6957),PARTIDAS!$F6957,CONCATENATE(PARTIDAS!$F6957," (",PARTIDAS!$G6957,")"))</f>
        <v>Transformadores eléctricos, convertidores eléctricos estáticos (por…, para tensión de servicio inferior o igual a 260 V y para corrientes nominales in</v>
      </c>
      <c r="I6957" s="16" t="s">
        <v>9427</v>
      </c>
    </row>
    <row r="6958" spans="1:9" x14ac:dyDescent="0.25">
      <c r="A6958" s="16" t="s">
        <v>7890</v>
      </c>
      <c r="B6958" s="16" t="str">
        <f>TEXT(PARTIDA[[#This Row],[PARTIDA]],"0000000000")</f>
        <v>8504509000</v>
      </c>
      <c r="C6958" s="16" t="s">
        <v>860</v>
      </c>
      <c r="D6958" s="16" t="s">
        <v>873</v>
      </c>
      <c r="E6958" s="16" t="s">
        <v>9480</v>
      </c>
      <c r="F6958" s="27" t="s">
        <v>15163</v>
      </c>
      <c r="G6958" s="27"/>
      <c r="H6958" s="16" t="str">
        <f>IF(ISBLANK(PARTIDAS!$G6958),PARTIDAS!$F6958,CONCATENATE(PARTIDAS!$F6958," (",PARTIDAS!$G6958,")"))</f>
        <v>Transformadores eléctricos, convertidores eléctricos estáticos (por… (los demás)</v>
      </c>
      <c r="I6958" s="16" t="s">
        <v>9427</v>
      </c>
    </row>
    <row r="6959" spans="1:9" x14ac:dyDescent="0.25">
      <c r="A6959" s="16" t="s">
        <v>7891</v>
      </c>
      <c r="B6959" s="16" t="str">
        <f>TEXT(PARTIDA[[#This Row],[PARTIDA]],"0000000000")</f>
        <v>8504900000</v>
      </c>
      <c r="C6959" s="16" t="s">
        <v>860</v>
      </c>
      <c r="D6959" s="16" t="s">
        <v>873</v>
      </c>
      <c r="E6959" s="16" t="s">
        <v>9480</v>
      </c>
      <c r="F6959" s="27" t="s">
        <v>15164</v>
      </c>
      <c r="G6959" s="27"/>
      <c r="H6959" s="16" t="str">
        <f>IF(ISBLANK(PARTIDAS!$G6959),PARTIDAS!$F6959,CONCATENATE(PARTIDAS!$F6959," (",PARTIDAS!$G6959,")"))</f>
        <v>Transformadores eléctricos, convertidores eléctricos estáticos (por…, partes</v>
      </c>
      <c r="I6959" s="16" t="s">
        <v>9427</v>
      </c>
    </row>
    <row r="6960" spans="1:9" x14ac:dyDescent="0.25">
      <c r="A6960" s="16" t="s">
        <v>7892</v>
      </c>
      <c r="B6960" s="16" t="str">
        <f>TEXT(PARTIDA[[#This Row],[PARTIDA]],"0000000000")</f>
        <v>8505110000</v>
      </c>
      <c r="C6960" s="16" t="s">
        <v>860</v>
      </c>
      <c r="D6960" s="16" t="s">
        <v>873</v>
      </c>
      <c r="E6960" s="16" t="s">
        <v>9480</v>
      </c>
      <c r="F6960" s="27" t="s">
        <v>7893</v>
      </c>
      <c r="G6960" s="27"/>
      <c r="H6960" s="16" t="str">
        <f>IF(ISBLANK(PARTIDAS!$G6960),PARTIDAS!$F6960,CONCATENATE(PARTIDAS!$F6960," (",PARTIDAS!$G6960,")"))</f>
        <v>Dispositivos magnéticos o electromagnéticos </v>
      </c>
      <c r="I6960" s="16" t="s">
        <v>9427</v>
      </c>
    </row>
    <row r="6961" spans="1:9" x14ac:dyDescent="0.25">
      <c r="A6961" s="16" t="s">
        <v>7894</v>
      </c>
      <c r="B6961" s="16" t="str">
        <f>TEXT(PARTIDA[[#This Row],[PARTIDA]],"0000000000")</f>
        <v>8505191000</v>
      </c>
      <c r="C6961" s="16" t="s">
        <v>860</v>
      </c>
      <c r="D6961" s="16" t="s">
        <v>873</v>
      </c>
      <c r="E6961" s="16" t="s">
        <v>9480</v>
      </c>
      <c r="F6961" s="27" t="s">
        <v>15165</v>
      </c>
      <c r="G6961" s="27"/>
      <c r="H6961" s="16" t="str">
        <f>IF(ISBLANK(PARTIDAS!$G6961),PARTIDAS!$F6961,CONCATENATE(PARTIDAS!$F6961," (",PARTIDAS!$G6961,")"))</f>
        <v>Burletes magnéticos de caucho o plástico</v>
      </c>
      <c r="I6961" s="16" t="s">
        <v>9427</v>
      </c>
    </row>
    <row r="6962" spans="1:9" x14ac:dyDescent="0.25">
      <c r="A6962" s="16" t="s">
        <v>7895</v>
      </c>
      <c r="B6962" s="16" t="str">
        <f>TEXT(PARTIDA[[#This Row],[PARTIDA]],"0000000000")</f>
        <v>8505199000</v>
      </c>
      <c r="C6962" s="16" t="s">
        <v>860</v>
      </c>
      <c r="D6962" s="16" t="s">
        <v>873</v>
      </c>
      <c r="E6962" s="16" t="s">
        <v>9480</v>
      </c>
      <c r="F6962" s="27" t="s">
        <v>15166</v>
      </c>
      <c r="G6962" s="27"/>
      <c r="H6962" s="16" t="str">
        <f>IF(ISBLANK(PARTIDAS!$G6962),PARTIDAS!$F6962,CONCATENATE(PARTIDAS!$F6962," (",PARTIDAS!$G6962,")"))</f>
        <v>Imanes permanentes y artículos destinados a ser imantados… (los demás)</v>
      </c>
      <c r="I6962" s="16" t="s">
        <v>9427</v>
      </c>
    </row>
    <row r="6963" spans="1:9" x14ac:dyDescent="0.25">
      <c r="A6963" s="16" t="s">
        <v>7896</v>
      </c>
      <c r="B6963" s="16" t="str">
        <f>TEXT(PARTIDA[[#This Row],[PARTIDA]],"0000000000")</f>
        <v>8505200000</v>
      </c>
      <c r="C6963" s="16" t="s">
        <v>860</v>
      </c>
      <c r="D6963" s="16" t="s">
        <v>873</v>
      </c>
      <c r="E6963" s="16" t="s">
        <v>9480</v>
      </c>
      <c r="F6963" s="27" t="s">
        <v>15167</v>
      </c>
      <c r="G6963" s="27"/>
      <c r="H6963" s="16" t="str">
        <f>IF(ISBLANK(PARTIDAS!$G6963),PARTIDAS!$F6963,CONCATENATE(PARTIDAS!$F6963," (",PARTIDAS!$G6963,")"))</f>
        <v>Acoplamientos, embragues, variadores de velocidad y frenos, electromagnéticos</v>
      </c>
      <c r="I6963" s="16" t="s">
        <v>9427</v>
      </c>
    </row>
    <row r="6964" spans="1:9" x14ac:dyDescent="0.25">
      <c r="A6964" s="16" t="s">
        <v>7897</v>
      </c>
      <c r="B6964" s="16" t="str">
        <f>TEXT(PARTIDA[[#This Row],[PARTIDA]],"0000000000")</f>
        <v>8505901000</v>
      </c>
      <c r="C6964" s="16" t="s">
        <v>860</v>
      </c>
      <c r="D6964" s="16" t="s">
        <v>873</v>
      </c>
      <c r="E6964" s="16" t="s">
        <v>9480</v>
      </c>
      <c r="F6964" s="27" t="s">
        <v>15168</v>
      </c>
      <c r="G6964" s="27"/>
      <c r="H6964" s="16" t="str">
        <f>IF(ISBLANK(PARTIDAS!$G6964),PARTIDAS!$F6964,CONCATENATE(PARTIDAS!$F6964," (",PARTIDAS!$G6964,")"))</f>
        <v>Electroimanes, electroimanes</v>
      </c>
      <c r="I6964" s="16" t="s">
        <v>9427</v>
      </c>
    </row>
    <row r="6965" spans="1:9" x14ac:dyDescent="0.25">
      <c r="A6965" s="16" t="s">
        <v>7898</v>
      </c>
      <c r="B6965" s="16" t="str">
        <f>TEXT(PARTIDA[[#This Row],[PARTIDA]],"0000000000")</f>
        <v>8505902000</v>
      </c>
      <c r="C6965" s="16" t="s">
        <v>860</v>
      </c>
      <c r="D6965" s="16" t="s">
        <v>873</v>
      </c>
      <c r="E6965" s="16" t="s">
        <v>9480</v>
      </c>
      <c r="F6965" s="27" t="s">
        <v>15169</v>
      </c>
      <c r="G6965" s="27"/>
      <c r="H6965" s="16" t="str">
        <f>IF(ISBLANK(PARTIDAS!$G6965),PARTIDAS!$F6965,CONCATENATE(PARTIDAS!$F6965," (",PARTIDAS!$G6965,")"))</f>
        <v>Platos, mandriles y dispositivos similares de sujeción</v>
      </c>
      <c r="I6965" s="16" t="s">
        <v>9427</v>
      </c>
    </row>
    <row r="6966" spans="1:9" x14ac:dyDescent="0.25">
      <c r="A6966" s="16" t="s">
        <v>7899</v>
      </c>
      <c r="B6966" s="16" t="str">
        <f>TEXT(PARTIDA[[#This Row],[PARTIDA]],"0000000000")</f>
        <v>8505903000</v>
      </c>
      <c r="C6966" s="16" t="s">
        <v>860</v>
      </c>
      <c r="D6966" s="16" t="s">
        <v>873</v>
      </c>
      <c r="E6966" s="16" t="s">
        <v>9480</v>
      </c>
      <c r="F6966" s="27" t="s">
        <v>15170</v>
      </c>
      <c r="G6966" s="27"/>
      <c r="H6966" s="16" t="str">
        <f>IF(ISBLANK(PARTIDAS!$G6966),PARTIDAS!$F6966,CONCATENATE(PARTIDAS!$F6966," (",PARTIDAS!$G6966,")"))</f>
        <v>Cabezas elevadoras electromagnéticas</v>
      </c>
      <c r="I6966" s="16" t="s">
        <v>9427</v>
      </c>
    </row>
    <row r="6967" spans="1:9" x14ac:dyDescent="0.25">
      <c r="A6967" s="16" t="s">
        <v>7900</v>
      </c>
      <c r="B6967" s="16" t="str">
        <f>TEXT(PARTIDA[[#This Row],[PARTIDA]],"0000000000")</f>
        <v>8505909000</v>
      </c>
      <c r="C6967" s="16" t="s">
        <v>860</v>
      </c>
      <c r="D6967" s="16" t="s">
        <v>873</v>
      </c>
      <c r="E6967" s="16" t="s">
        <v>9480</v>
      </c>
      <c r="F6967" s="27" t="s">
        <v>15171</v>
      </c>
      <c r="G6967" s="27"/>
      <c r="H6967" s="16" t="str">
        <f>IF(ISBLANK(PARTIDAS!$G6967),PARTIDAS!$F6967,CONCATENATE(PARTIDAS!$F6967," (",PARTIDAS!$G6967,")"))</f>
        <v>Electroimanes, partes</v>
      </c>
      <c r="I6967" s="16" t="s">
        <v>9427</v>
      </c>
    </row>
    <row r="6968" spans="1:9" x14ac:dyDescent="0.25">
      <c r="A6968" s="16" t="s">
        <v>7901</v>
      </c>
      <c r="B6968" s="16" t="str">
        <f>TEXT(PARTIDA[[#This Row],[PARTIDA]],"0000000000")</f>
        <v>8506101100</v>
      </c>
      <c r="C6968" s="16" t="s">
        <v>860</v>
      </c>
      <c r="D6968" s="16" t="s">
        <v>873</v>
      </c>
      <c r="E6968" s="16" t="s">
        <v>9480</v>
      </c>
      <c r="F6968" s="27" t="s">
        <v>7902</v>
      </c>
      <c r="G6968" s="27"/>
      <c r="H6968" s="16" t="str">
        <f>IF(ISBLANK(PARTIDAS!$G6968),PARTIDAS!$F6968,CONCATENATE(PARTIDAS!$F6968," (",PARTIDAS!$G6968,")"))</f>
        <v>Pilas y baterías</v>
      </c>
      <c r="I6968" s="16" t="s">
        <v>9427</v>
      </c>
    </row>
    <row r="6969" spans="1:9" x14ac:dyDescent="0.25">
      <c r="A6969" s="16" t="s">
        <v>7903</v>
      </c>
      <c r="B6969" s="16" t="str">
        <f>TEXT(PARTIDA[[#This Row],[PARTIDA]],"0000000000")</f>
        <v>8506101200</v>
      </c>
      <c r="C6969" s="16" t="s">
        <v>860</v>
      </c>
      <c r="D6969" s="16" t="s">
        <v>873</v>
      </c>
      <c r="E6969" s="16" t="s">
        <v>9480</v>
      </c>
      <c r="F6969" s="27" t="s">
        <v>15172</v>
      </c>
      <c r="G6969" s="27"/>
      <c r="H6969" s="16" t="str">
        <f>IF(ISBLANK(PARTIDAS!$G6969),PARTIDAS!$F6969,CONCATENATE(PARTIDAS!$F6969," (",PARTIDAS!$G6969,")"))</f>
        <v>Alcalinas, de «botón»</v>
      </c>
      <c r="I6969" s="16" t="s">
        <v>9427</v>
      </c>
    </row>
    <row r="6970" spans="1:9" x14ac:dyDescent="0.25">
      <c r="A6970" s="16" t="s">
        <v>7904</v>
      </c>
      <c r="B6970" s="16" t="str">
        <f>TEXT(PARTIDA[[#This Row],[PARTIDA]],"0000000000")</f>
        <v>8506101900</v>
      </c>
      <c r="C6970" s="16" t="s">
        <v>860</v>
      </c>
      <c r="D6970" s="16" t="s">
        <v>873</v>
      </c>
      <c r="E6970" s="16" t="s">
        <v>9480</v>
      </c>
      <c r="F6970" s="27" t="s">
        <v>15173</v>
      </c>
      <c r="G6970" s="27"/>
      <c r="H6970" s="16" t="str">
        <f>IF(ISBLANK(PARTIDAS!$G6970),PARTIDAS!$F6970,CONCATENATE(PARTIDAS!$F6970," (",PARTIDAS!$G6970,")"))</f>
        <v>Alcalinas (los demás)</v>
      </c>
      <c r="I6970" s="16" t="s">
        <v>9427</v>
      </c>
    </row>
    <row r="6971" spans="1:9" x14ac:dyDescent="0.25">
      <c r="A6971" s="16" t="s">
        <v>7905</v>
      </c>
      <c r="B6971" s="16" t="str">
        <f>TEXT(PARTIDA[[#This Row],[PARTIDA]],"0000000000")</f>
        <v>8506109100</v>
      </c>
      <c r="C6971" s="16" t="s">
        <v>860</v>
      </c>
      <c r="D6971" s="16" t="s">
        <v>873</v>
      </c>
      <c r="E6971" s="16" t="s">
        <v>9480</v>
      </c>
      <c r="F6971" s="27" t="s">
        <v>15174</v>
      </c>
      <c r="G6971" s="27"/>
      <c r="H6971" s="16" t="str">
        <f>IF(ISBLANK(PARTIDAS!$G6971),PARTIDAS!$F6971,CONCATENATE(PARTIDAS!$F6971," (",PARTIDAS!$G6971,")"))</f>
        <v>Pilas y baterías de pilas, eléctricas, de dióxido de manganeso, cilíndricas</v>
      </c>
      <c r="I6971" s="16" t="s">
        <v>9427</v>
      </c>
    </row>
    <row r="6972" spans="1:9" x14ac:dyDescent="0.25">
      <c r="A6972" s="16" t="s">
        <v>7906</v>
      </c>
      <c r="B6972" s="16" t="str">
        <f>TEXT(PARTIDA[[#This Row],[PARTIDA]],"0000000000")</f>
        <v>8506109200</v>
      </c>
      <c r="C6972" s="16" t="s">
        <v>860</v>
      </c>
      <c r="D6972" s="16" t="s">
        <v>873</v>
      </c>
      <c r="E6972" s="16" t="s">
        <v>9480</v>
      </c>
      <c r="F6972" s="27" t="s">
        <v>15175</v>
      </c>
      <c r="G6972" s="27"/>
      <c r="H6972" s="16" t="str">
        <f>IF(ISBLANK(PARTIDAS!$G6972),PARTIDAS!$F6972,CONCATENATE(PARTIDAS!$F6972," (",PARTIDAS!$G6972,")"))</f>
        <v>Pilas y baterías de pilas, eléctricas, de dióxido de manganeso, de «botón»</v>
      </c>
      <c r="I6972" s="16" t="s">
        <v>9427</v>
      </c>
    </row>
    <row r="6973" spans="1:9" x14ac:dyDescent="0.25">
      <c r="A6973" s="16" t="s">
        <v>7907</v>
      </c>
      <c r="B6973" s="16" t="str">
        <f>TEXT(PARTIDA[[#This Row],[PARTIDA]],"0000000000")</f>
        <v>8506109900</v>
      </c>
      <c r="C6973" s="16" t="s">
        <v>860</v>
      </c>
      <c r="D6973" s="16" t="s">
        <v>873</v>
      </c>
      <c r="E6973" s="16" t="s">
        <v>9480</v>
      </c>
      <c r="F6973" s="27" t="s">
        <v>15176</v>
      </c>
      <c r="G6973" s="27"/>
      <c r="H6973" s="16" t="str">
        <f>IF(ISBLANK(PARTIDAS!$G6973),PARTIDAS!$F6973,CONCATENATE(PARTIDAS!$F6973," (",PARTIDAS!$G6973,")"))</f>
        <v>Pilas y baterías de pilas, eléctricas, de dióxido de manganeso (los demás)</v>
      </c>
      <c r="I6973" s="16" t="s">
        <v>9427</v>
      </c>
    </row>
    <row r="6974" spans="1:9" x14ac:dyDescent="0.25">
      <c r="A6974" s="16" t="s">
        <v>7908</v>
      </c>
      <c r="B6974" s="16" t="str">
        <f>TEXT(PARTIDA[[#This Row],[PARTIDA]],"0000000000")</f>
        <v>8506301000</v>
      </c>
      <c r="C6974" s="16" t="s">
        <v>860</v>
      </c>
      <c r="D6974" s="16" t="s">
        <v>873</v>
      </c>
      <c r="E6974" s="16" t="s">
        <v>9480</v>
      </c>
      <c r="F6974" s="27" t="s">
        <v>15177</v>
      </c>
      <c r="G6974" s="27"/>
      <c r="H6974" s="16" t="str">
        <f>IF(ISBLANK(PARTIDAS!$G6974),PARTIDAS!$F6974,CONCATENATE(PARTIDAS!$F6974," (",PARTIDAS!$G6974,")"))</f>
        <v>Pilas y baterías de pilas, eléctricas, de óxido de mercurio, cilíndricas</v>
      </c>
      <c r="I6974" s="16" t="s">
        <v>9427</v>
      </c>
    </row>
    <row r="6975" spans="1:9" x14ac:dyDescent="0.25">
      <c r="A6975" s="16" t="s">
        <v>7909</v>
      </c>
      <c r="B6975" s="16" t="str">
        <f>TEXT(PARTIDA[[#This Row],[PARTIDA]],"0000000000")</f>
        <v>8506302000</v>
      </c>
      <c r="C6975" s="16" t="s">
        <v>860</v>
      </c>
      <c r="D6975" s="16" t="s">
        <v>873</v>
      </c>
      <c r="E6975" s="16" t="s">
        <v>9480</v>
      </c>
      <c r="F6975" s="27" t="s">
        <v>15178</v>
      </c>
      <c r="G6975" s="27"/>
      <c r="H6975" s="16" t="str">
        <f>IF(ISBLANK(PARTIDAS!$G6975),PARTIDAS!$F6975,CONCATENATE(PARTIDAS!$F6975," (",PARTIDAS!$G6975,")"))</f>
        <v>Pilas y baterías de pilas, eléctricas, de óxido de mercurio, de «botón»</v>
      </c>
      <c r="I6975" s="16" t="s">
        <v>9427</v>
      </c>
    </row>
    <row r="6976" spans="1:9" x14ac:dyDescent="0.25">
      <c r="A6976" s="16" t="s">
        <v>7910</v>
      </c>
      <c r="B6976" s="16" t="str">
        <f>TEXT(PARTIDA[[#This Row],[PARTIDA]],"0000000000")</f>
        <v>8506309000</v>
      </c>
      <c r="C6976" s="16" t="s">
        <v>860</v>
      </c>
      <c r="D6976" s="16" t="s">
        <v>873</v>
      </c>
      <c r="E6976" s="16" t="s">
        <v>9480</v>
      </c>
      <c r="F6976" s="27" t="s">
        <v>15179</v>
      </c>
      <c r="G6976" s="27"/>
      <c r="H6976" s="16" t="str">
        <f>IF(ISBLANK(PARTIDAS!$G6976),PARTIDAS!$F6976,CONCATENATE(PARTIDAS!$F6976," (",PARTIDAS!$G6976,")"))</f>
        <v>Pilas y baterías de pilas, eléctricas, de óxido de mercurio (los demás)</v>
      </c>
      <c r="I6976" s="16" t="s">
        <v>9427</v>
      </c>
    </row>
    <row r="6977" spans="1:9" x14ac:dyDescent="0.25">
      <c r="A6977" s="16" t="s">
        <v>7911</v>
      </c>
      <c r="B6977" s="16" t="str">
        <f>TEXT(PARTIDA[[#This Row],[PARTIDA]],"0000000000")</f>
        <v>8506401000</v>
      </c>
      <c r="C6977" s="16" t="s">
        <v>860</v>
      </c>
      <c r="D6977" s="16" t="s">
        <v>873</v>
      </c>
      <c r="E6977" s="16" t="s">
        <v>9480</v>
      </c>
      <c r="F6977" s="27" t="s">
        <v>15180</v>
      </c>
      <c r="G6977" s="27"/>
      <c r="H6977" s="16" t="str">
        <f>IF(ISBLANK(PARTIDAS!$G6977),PARTIDAS!$F6977,CONCATENATE(PARTIDAS!$F6977," (",PARTIDAS!$G6977,")"))</f>
        <v>Pilas y baterías de pilas, eléctricas, de óxido de plata, cilíndricas</v>
      </c>
      <c r="I6977" s="16" t="s">
        <v>9427</v>
      </c>
    </row>
    <row r="6978" spans="1:9" x14ac:dyDescent="0.25">
      <c r="A6978" s="16" t="s">
        <v>7912</v>
      </c>
      <c r="B6978" s="16" t="str">
        <f>TEXT(PARTIDA[[#This Row],[PARTIDA]],"0000000000")</f>
        <v>8506402000</v>
      </c>
      <c r="C6978" s="16" t="s">
        <v>860</v>
      </c>
      <c r="D6978" s="16" t="s">
        <v>873</v>
      </c>
      <c r="E6978" s="16" t="s">
        <v>9480</v>
      </c>
      <c r="F6978" s="27" t="s">
        <v>15181</v>
      </c>
      <c r="G6978" s="27"/>
      <c r="H6978" s="16" t="str">
        <f>IF(ISBLANK(PARTIDAS!$G6978),PARTIDAS!$F6978,CONCATENATE(PARTIDAS!$F6978," (",PARTIDAS!$G6978,")"))</f>
        <v>Pilas y baterías de pilas, eléctricas, de óxido de plata, de «botón»</v>
      </c>
      <c r="I6978" s="16" t="s">
        <v>9427</v>
      </c>
    </row>
    <row r="6979" spans="1:9" x14ac:dyDescent="0.25">
      <c r="A6979" s="16" t="s">
        <v>7913</v>
      </c>
      <c r="B6979" s="16" t="str">
        <f>TEXT(PARTIDA[[#This Row],[PARTIDA]],"0000000000")</f>
        <v>8506409000</v>
      </c>
      <c r="C6979" s="16" t="s">
        <v>860</v>
      </c>
      <c r="D6979" s="16" t="s">
        <v>873</v>
      </c>
      <c r="E6979" s="16" t="s">
        <v>9480</v>
      </c>
      <c r="F6979" s="27" t="s">
        <v>15182</v>
      </c>
      <c r="G6979" s="27"/>
      <c r="H6979" s="16" t="str">
        <f>IF(ISBLANK(PARTIDAS!$G6979),PARTIDAS!$F6979,CONCATENATE(PARTIDAS!$F6979," (",PARTIDAS!$G6979,")"))</f>
        <v>Pilas y baterías de pilas, eléctricas, de óxido de plata (los demás)</v>
      </c>
      <c r="I6979" s="16" t="s">
        <v>9427</v>
      </c>
    </row>
    <row r="6980" spans="1:9" x14ac:dyDescent="0.25">
      <c r="A6980" s="16" t="s">
        <v>7914</v>
      </c>
      <c r="B6980" s="16" t="str">
        <f>TEXT(PARTIDA[[#This Row],[PARTIDA]],"0000000000")</f>
        <v>8506501000</v>
      </c>
      <c r="C6980" s="16" t="s">
        <v>860</v>
      </c>
      <c r="D6980" s="16" t="s">
        <v>873</v>
      </c>
      <c r="E6980" s="16" t="s">
        <v>9480</v>
      </c>
      <c r="F6980" s="27" t="s">
        <v>15183</v>
      </c>
      <c r="G6980" s="27"/>
      <c r="H6980" s="16" t="str">
        <f>IF(ISBLANK(PARTIDAS!$G6980),PARTIDAS!$F6980,CONCATENATE(PARTIDAS!$F6980," (",PARTIDAS!$G6980,")"))</f>
        <v>Pilas y baterías de pilas, eléctricas, de litio, cilíndricas</v>
      </c>
      <c r="I6980" s="16" t="s">
        <v>9427</v>
      </c>
    </row>
    <row r="6981" spans="1:9" x14ac:dyDescent="0.25">
      <c r="A6981" s="16" t="s">
        <v>7915</v>
      </c>
      <c r="B6981" s="16" t="str">
        <f>TEXT(PARTIDA[[#This Row],[PARTIDA]],"0000000000")</f>
        <v>8506502000</v>
      </c>
      <c r="C6981" s="16" t="s">
        <v>860</v>
      </c>
      <c r="D6981" s="16" t="s">
        <v>873</v>
      </c>
      <c r="E6981" s="16" t="s">
        <v>9480</v>
      </c>
      <c r="F6981" s="27" t="s">
        <v>15184</v>
      </c>
      <c r="G6981" s="27"/>
      <c r="H6981" s="16" t="str">
        <f>IF(ISBLANK(PARTIDAS!$G6981),PARTIDAS!$F6981,CONCATENATE(PARTIDAS!$F6981," (",PARTIDAS!$G6981,")"))</f>
        <v>Pilas y baterías de pilas, eléctricas, de litio, de «botón»</v>
      </c>
      <c r="I6981" s="16" t="s">
        <v>9427</v>
      </c>
    </row>
    <row r="6982" spans="1:9" x14ac:dyDescent="0.25">
      <c r="A6982" s="16" t="s">
        <v>7916</v>
      </c>
      <c r="B6982" s="16" t="str">
        <f>TEXT(PARTIDA[[#This Row],[PARTIDA]],"0000000000")</f>
        <v>8506509000</v>
      </c>
      <c r="C6982" s="16" t="s">
        <v>860</v>
      </c>
      <c r="D6982" s="16" t="s">
        <v>873</v>
      </c>
      <c r="E6982" s="16" t="s">
        <v>9480</v>
      </c>
      <c r="F6982" s="27" t="s">
        <v>15185</v>
      </c>
      <c r="G6982" s="27"/>
      <c r="H6982" s="16" t="str">
        <f>IF(ISBLANK(PARTIDAS!$G6982),PARTIDAS!$F6982,CONCATENATE(PARTIDAS!$F6982," (",PARTIDAS!$G6982,")"))</f>
        <v>Pilas y baterías de pilas, eléctricas, de litio (los demás)</v>
      </c>
      <c r="I6982" s="16" t="s">
        <v>9427</v>
      </c>
    </row>
    <row r="6983" spans="1:9" x14ac:dyDescent="0.25">
      <c r="A6983" s="16" t="s">
        <v>7917</v>
      </c>
      <c r="B6983" s="16" t="str">
        <f>TEXT(PARTIDA[[#This Row],[PARTIDA]],"0000000000")</f>
        <v>8506601000</v>
      </c>
      <c r="C6983" s="16" t="s">
        <v>860</v>
      </c>
      <c r="D6983" s="16" t="s">
        <v>873</v>
      </c>
      <c r="E6983" s="16" t="s">
        <v>9480</v>
      </c>
      <c r="F6983" s="27" t="s">
        <v>15186</v>
      </c>
      <c r="G6983" s="27"/>
      <c r="H6983" s="16" t="str">
        <f>IF(ISBLANK(PARTIDAS!$G6983),PARTIDAS!$F6983,CONCATENATE(PARTIDAS!$F6983," (",PARTIDAS!$G6983,")"))</f>
        <v>Pilas y baterías de pilas, eléctricas, de aire-cinc, cilíndricas</v>
      </c>
      <c r="I6983" s="16" t="s">
        <v>9427</v>
      </c>
    </row>
    <row r="6984" spans="1:9" x14ac:dyDescent="0.25">
      <c r="A6984" s="16" t="s">
        <v>7918</v>
      </c>
      <c r="B6984" s="16" t="str">
        <f>TEXT(PARTIDA[[#This Row],[PARTIDA]],"0000000000")</f>
        <v>8506602000</v>
      </c>
      <c r="C6984" s="16" t="s">
        <v>860</v>
      </c>
      <c r="D6984" s="16" t="s">
        <v>873</v>
      </c>
      <c r="E6984" s="16" t="s">
        <v>9480</v>
      </c>
      <c r="F6984" s="27" t="s">
        <v>15187</v>
      </c>
      <c r="G6984" s="27"/>
      <c r="H6984" s="16" t="str">
        <f>IF(ISBLANK(PARTIDAS!$G6984),PARTIDAS!$F6984,CONCATENATE(PARTIDAS!$F6984," (",PARTIDAS!$G6984,")"))</f>
        <v>Pilas y baterías de pilas, eléctricas, de aire-cinc, de «botón»</v>
      </c>
      <c r="I6984" s="16" t="s">
        <v>9427</v>
      </c>
    </row>
    <row r="6985" spans="1:9" x14ac:dyDescent="0.25">
      <c r="A6985" s="16" t="s">
        <v>7919</v>
      </c>
      <c r="B6985" s="16" t="str">
        <f>TEXT(PARTIDA[[#This Row],[PARTIDA]],"0000000000")</f>
        <v>8506609000</v>
      </c>
      <c r="C6985" s="16" t="s">
        <v>860</v>
      </c>
      <c r="D6985" s="16" t="s">
        <v>873</v>
      </c>
      <c r="E6985" s="16" t="s">
        <v>9480</v>
      </c>
      <c r="F6985" s="27" t="s">
        <v>15188</v>
      </c>
      <c r="G6985" s="27"/>
      <c r="H6985" s="16" t="str">
        <f>IF(ISBLANK(PARTIDAS!$G6985),PARTIDAS!$F6985,CONCATENATE(PARTIDAS!$F6985," (",PARTIDAS!$G6985,")"))</f>
        <v>Pilas y baterías de pilas, eléctricas, de aire-cinc (los demás)</v>
      </c>
      <c r="I6985" s="16" t="s">
        <v>9427</v>
      </c>
    </row>
    <row r="6986" spans="1:9" x14ac:dyDescent="0.25">
      <c r="A6986" s="16" t="s">
        <v>7920</v>
      </c>
      <c r="B6986" s="16" t="str">
        <f>TEXT(PARTIDA[[#This Row],[PARTIDA]],"0000000000")</f>
        <v>8506801000</v>
      </c>
      <c r="C6986" s="16" t="s">
        <v>860</v>
      </c>
      <c r="D6986" s="16" t="s">
        <v>873</v>
      </c>
      <c r="E6986" s="16" t="s">
        <v>9480</v>
      </c>
      <c r="F6986" s="27" t="s">
        <v>15189</v>
      </c>
      <c r="G6986" s="27"/>
      <c r="H6986" s="16" t="str">
        <f>IF(ISBLANK(PARTIDAS!$G6986),PARTIDAS!$F6986,CONCATENATE(PARTIDAS!$F6986," (",PARTIDAS!$G6986,")"))</f>
        <v>Pilas y baterías de pilas, eléctricas, cilíndricas</v>
      </c>
      <c r="I6986" s="16" t="s">
        <v>9427</v>
      </c>
    </row>
    <row r="6987" spans="1:9" x14ac:dyDescent="0.25">
      <c r="A6987" s="16" t="s">
        <v>7921</v>
      </c>
      <c r="B6987" s="16" t="str">
        <f>TEXT(PARTIDA[[#This Row],[PARTIDA]],"0000000000")</f>
        <v>8506802000</v>
      </c>
      <c r="C6987" s="16" t="s">
        <v>860</v>
      </c>
      <c r="D6987" s="16" t="s">
        <v>873</v>
      </c>
      <c r="E6987" s="16" t="s">
        <v>9480</v>
      </c>
      <c r="F6987" s="27" t="s">
        <v>15190</v>
      </c>
      <c r="G6987" s="27"/>
      <c r="H6987" s="16" t="str">
        <f>IF(ISBLANK(PARTIDAS!$G6987),PARTIDAS!$F6987,CONCATENATE(PARTIDAS!$F6987," (",PARTIDAS!$G6987,")"))</f>
        <v>Pilas y baterías de pilas, eléctricas, de «botón»</v>
      </c>
      <c r="I6987" s="16" t="s">
        <v>9427</v>
      </c>
    </row>
    <row r="6988" spans="1:9" x14ac:dyDescent="0.25">
      <c r="A6988" s="16" t="s">
        <v>7922</v>
      </c>
      <c r="B6988" s="16" t="str">
        <f>TEXT(PARTIDA[[#This Row],[PARTIDA]],"0000000000")</f>
        <v>8506809000</v>
      </c>
      <c r="C6988" s="16" t="s">
        <v>860</v>
      </c>
      <c r="D6988" s="16" t="s">
        <v>873</v>
      </c>
      <c r="E6988" s="16" t="s">
        <v>9480</v>
      </c>
      <c r="F6988" s="27" t="s">
        <v>15191</v>
      </c>
      <c r="G6988" s="27"/>
      <c r="H6988" s="16" t="str">
        <f>IF(ISBLANK(PARTIDAS!$G6988),PARTIDAS!$F6988,CONCATENATE(PARTIDAS!$F6988," (",PARTIDAS!$G6988,")"))</f>
        <v>Pilas y baterías de pilas, eléctricas (los demás)</v>
      </c>
      <c r="I6988" s="16" t="s">
        <v>9427</v>
      </c>
    </row>
    <row r="6989" spans="1:9" x14ac:dyDescent="0.25">
      <c r="A6989" s="16" t="s">
        <v>7923</v>
      </c>
      <c r="B6989" s="16" t="str">
        <f>TEXT(PARTIDA[[#This Row],[PARTIDA]],"0000000000")</f>
        <v>8506900000</v>
      </c>
      <c r="C6989" s="16" t="s">
        <v>860</v>
      </c>
      <c r="D6989" s="16" t="s">
        <v>873</v>
      </c>
      <c r="E6989" s="16" t="s">
        <v>9480</v>
      </c>
      <c r="F6989" s="27" t="s">
        <v>15192</v>
      </c>
      <c r="G6989" s="27"/>
      <c r="H6989" s="16" t="str">
        <f>IF(ISBLANK(PARTIDAS!$G6989),PARTIDAS!$F6989,CONCATENATE(PARTIDAS!$F6989," (",PARTIDAS!$G6989,")"))</f>
        <v>Pilas y baterías de pilas, eléctricas, partes</v>
      </c>
      <c r="I6989" s="16" t="s">
        <v>9427</v>
      </c>
    </row>
    <row r="6990" spans="1:9" x14ac:dyDescent="0.25">
      <c r="A6990" s="16" t="s">
        <v>7924</v>
      </c>
      <c r="B6990" s="16" t="str">
        <f>TEXT(PARTIDA[[#This Row],[PARTIDA]],"0000000000")</f>
        <v>8507100000</v>
      </c>
      <c r="C6990" s="16" t="s">
        <v>860</v>
      </c>
      <c r="D6990" s="16" t="s">
        <v>873</v>
      </c>
      <c r="E6990" s="16" t="s">
        <v>9478</v>
      </c>
      <c r="F6990" s="27" t="s">
        <v>15193</v>
      </c>
      <c r="G6990" s="27"/>
      <c r="H6990" s="16" t="str">
        <f>IF(ISBLANK(PARTIDAS!$G6990),PARTIDAS!$F6990,CONCATENATE(PARTIDAS!$F6990," (",PARTIDAS!$G6990,")"))</f>
        <v>Acumuladores eléctricos, incluidos sus separadores, aunque sean…, de plomo, de los tipos utilizados para arranque de motores de émbolo (pistón)</v>
      </c>
      <c r="I6990" s="16" t="s">
        <v>9427</v>
      </c>
    </row>
    <row r="6991" spans="1:9" x14ac:dyDescent="0.25">
      <c r="A6991" s="16" t="s">
        <v>7925</v>
      </c>
      <c r="B6991" s="16" t="str">
        <f>TEXT(PARTIDA[[#This Row],[PARTIDA]],"0000000000")</f>
        <v>8507200000</v>
      </c>
      <c r="C6991" s="16" t="s">
        <v>860</v>
      </c>
      <c r="D6991" s="16" t="s">
        <v>873</v>
      </c>
      <c r="E6991" s="16" t="s">
        <v>9478</v>
      </c>
      <c r="F6991" s="27" t="s">
        <v>15194</v>
      </c>
      <c r="G6991" s="27"/>
      <c r="H6991" s="16" t="str">
        <f>IF(ISBLANK(PARTIDAS!$G6991),PARTIDAS!$F6991,CONCATENATE(PARTIDAS!$F6991," (",PARTIDAS!$G6991,")"))</f>
        <v>Acumuladores eléctricos, incluidos sus separadores, aunque sean… (los demás, acumuladores de plomo)</v>
      </c>
      <c r="I6991" s="16" t="s">
        <v>9427</v>
      </c>
    </row>
    <row r="6992" spans="1:9" x14ac:dyDescent="0.25">
      <c r="A6992" s="16" t="s">
        <v>7926</v>
      </c>
      <c r="B6992" s="16" t="str">
        <f>TEXT(PARTIDA[[#This Row],[PARTIDA]],"0000000000")</f>
        <v>8507300000</v>
      </c>
      <c r="C6992" s="16" t="s">
        <v>860</v>
      </c>
      <c r="D6992" s="16" t="s">
        <v>873</v>
      </c>
      <c r="E6992" s="16" t="s">
        <v>9478</v>
      </c>
      <c r="F6992" s="27" t="s">
        <v>15195</v>
      </c>
      <c r="G6992" s="27"/>
      <c r="H6992" s="16" t="str">
        <f>IF(ISBLANK(PARTIDAS!$G6992),PARTIDAS!$F6992,CONCATENATE(PARTIDAS!$F6992," (",PARTIDAS!$G6992,")"))</f>
        <v>Acumuladores eléctricos, incluidos sus separadores, aunque sean…, de níquel-cadmio</v>
      </c>
      <c r="I6992" s="16" t="s">
        <v>9427</v>
      </c>
    </row>
    <row r="6993" spans="1:9" x14ac:dyDescent="0.25">
      <c r="A6993" s="16" t="s">
        <v>7927</v>
      </c>
      <c r="B6993" s="16" t="str">
        <f>TEXT(PARTIDA[[#This Row],[PARTIDA]],"0000000000")</f>
        <v>8507400000</v>
      </c>
      <c r="C6993" s="16" t="s">
        <v>860</v>
      </c>
      <c r="D6993" s="16" t="s">
        <v>873</v>
      </c>
      <c r="E6993" s="16" t="s">
        <v>9478</v>
      </c>
      <c r="F6993" s="27" t="s">
        <v>15196</v>
      </c>
      <c r="G6993" s="27"/>
      <c r="H6993" s="16" t="str">
        <f>IF(ISBLANK(PARTIDAS!$G6993),PARTIDAS!$F6993,CONCATENATE(PARTIDAS!$F6993," (",PARTIDAS!$G6993,")"))</f>
        <v>De níquel-hierro</v>
      </c>
      <c r="I6993" s="16" t="s">
        <v>9648</v>
      </c>
    </row>
    <row r="6994" spans="1:9" x14ac:dyDescent="0.25">
      <c r="A6994" s="16" t="s">
        <v>7928</v>
      </c>
      <c r="B6994" s="16" t="str">
        <f>TEXT(PARTIDA[[#This Row],[PARTIDA]],"0000000000")</f>
        <v>8507500000</v>
      </c>
      <c r="C6994" s="16" t="s">
        <v>860</v>
      </c>
      <c r="D6994" s="16" t="s">
        <v>873</v>
      </c>
      <c r="E6994" s="16" t="s">
        <v>9478</v>
      </c>
      <c r="F6994" s="27" t="s">
        <v>15197</v>
      </c>
      <c r="G6994" s="27"/>
      <c r="H6994" s="16" t="str">
        <f>IF(ISBLANK(PARTIDAS!$G6994),PARTIDAS!$F6994,CONCATENATE(PARTIDAS!$F6994," (",PARTIDAS!$G6994,")"))</f>
        <v>Acumuladores eléctricos, incluidos sus separadores, aunque sean…, de níquel-hidruro metálico</v>
      </c>
      <c r="I6994" s="16" t="s">
        <v>9427</v>
      </c>
    </row>
    <row r="6995" spans="1:9" x14ac:dyDescent="0.25">
      <c r="A6995" s="16" t="s">
        <v>7929</v>
      </c>
      <c r="B6995" s="16" t="str">
        <f>TEXT(PARTIDA[[#This Row],[PARTIDA]],"0000000000")</f>
        <v>8507600000</v>
      </c>
      <c r="C6995" s="16" t="s">
        <v>860</v>
      </c>
      <c r="D6995" s="16" t="s">
        <v>873</v>
      </c>
      <c r="E6995" s="16" t="s">
        <v>9478</v>
      </c>
      <c r="F6995" s="27" t="s">
        <v>15198</v>
      </c>
      <c r="G6995" s="27"/>
      <c r="H6995" s="16" t="str">
        <f>IF(ISBLANK(PARTIDAS!$G6995),PARTIDAS!$F6995,CONCATENATE(PARTIDAS!$F6995," (",PARTIDAS!$G6995,")"))</f>
        <v>Acumuladores eléctricos, incluidos sus separadores, aunque sean…, de iones de litio</v>
      </c>
      <c r="I6995" s="16" t="s">
        <v>9427</v>
      </c>
    </row>
    <row r="6996" spans="1:9" x14ac:dyDescent="0.25">
      <c r="A6996" s="16" t="s">
        <v>7930</v>
      </c>
      <c r="B6996" s="16" t="str">
        <f>TEXT(PARTIDA[[#This Row],[PARTIDA]],"0000000000")</f>
        <v>8507800000</v>
      </c>
      <c r="C6996" s="16" t="s">
        <v>860</v>
      </c>
      <c r="D6996" s="16" t="s">
        <v>873</v>
      </c>
      <c r="E6996" s="16" t="s">
        <v>9478</v>
      </c>
      <c r="F6996" s="27" t="s">
        <v>15199</v>
      </c>
      <c r="G6996" s="27"/>
      <c r="H6996" s="16" t="str">
        <f>IF(ISBLANK(PARTIDAS!$G6996),PARTIDAS!$F6996,CONCATENATE(PARTIDAS!$F6996," (",PARTIDAS!$G6996,")"))</f>
        <v>Acumuladores eléctricos, incluidos sus separadores, aunque sean cuadra (los demás)</v>
      </c>
      <c r="I6996" s="16" t="s">
        <v>9648</v>
      </c>
    </row>
    <row r="6997" spans="1:9" x14ac:dyDescent="0.25">
      <c r="A6997" s="16" t="s">
        <v>15200</v>
      </c>
      <c r="B6997" s="16" t="str">
        <f>TEXT(PARTIDA[[#This Row],[PARTIDA]],"0000000000")</f>
        <v>8507800010</v>
      </c>
      <c r="C6997" s="16" t="s">
        <v>860</v>
      </c>
      <c r="D6997" s="16" t="s">
        <v>873</v>
      </c>
      <c r="E6997" s="16" t="s">
        <v>9478</v>
      </c>
      <c r="F6997" s="27" t="s">
        <v>15201</v>
      </c>
      <c r="G6997" s="27"/>
      <c r="H6997" s="16" t="str">
        <f>IF(ISBLANK(PARTIDAS!$G6997),PARTIDAS!$F6997,CONCATENATE(PARTIDAS!$F6997," (",PARTIDAS!$G6997,")"))</f>
        <v>Acumuladores eléctricos, incluidos sus separadores, aunque sean…, de niquel-hierro</v>
      </c>
      <c r="I6997" s="16" t="s">
        <v>9427</v>
      </c>
    </row>
    <row r="6998" spans="1:9" x14ac:dyDescent="0.25">
      <c r="A6998" s="16" t="s">
        <v>15202</v>
      </c>
      <c r="B6998" s="16" t="str">
        <f>TEXT(PARTIDA[[#This Row],[PARTIDA]],"0000000000")</f>
        <v>8507800090</v>
      </c>
      <c r="C6998" s="16" t="s">
        <v>860</v>
      </c>
      <c r="D6998" s="16" t="s">
        <v>873</v>
      </c>
      <c r="E6998" s="16" t="s">
        <v>9478</v>
      </c>
      <c r="F6998" s="27" t="s">
        <v>15203</v>
      </c>
      <c r="G6998" s="27"/>
      <c r="H6998" s="16" t="str">
        <f>IF(ISBLANK(PARTIDAS!$G6998),PARTIDAS!$F6998,CONCATENATE(PARTIDAS!$F6998," (",PARTIDAS!$G6998,")"))</f>
        <v>Acumuladores eléctricos, incluidos sus separadores, aunque sean… (los demás)</v>
      </c>
      <c r="I6998" s="16" t="s">
        <v>9427</v>
      </c>
    </row>
    <row r="6999" spans="1:9" x14ac:dyDescent="0.25">
      <c r="A6999" s="16" t="s">
        <v>7931</v>
      </c>
      <c r="B6999" s="16" t="str">
        <f>TEXT(PARTIDA[[#This Row],[PARTIDA]],"0000000000")</f>
        <v>8507901000</v>
      </c>
      <c r="C6999" s="16" t="s">
        <v>860</v>
      </c>
      <c r="D6999" s="16" t="s">
        <v>873</v>
      </c>
      <c r="E6999" s="16" t="s">
        <v>9478</v>
      </c>
      <c r="F6999" s="27" t="s">
        <v>15204</v>
      </c>
      <c r="G6999" s="27"/>
      <c r="H6999" s="16" t="str">
        <f>IF(ISBLANK(PARTIDAS!$G6999),PARTIDAS!$F6999,CONCATENATE(PARTIDAS!$F6999," (",PARTIDAS!$G6999,")"))</f>
        <v>Cajas y tapas</v>
      </c>
      <c r="I6999" s="16" t="s">
        <v>9427</v>
      </c>
    </row>
    <row r="7000" spans="1:9" x14ac:dyDescent="0.25">
      <c r="A7000" s="16" t="s">
        <v>7932</v>
      </c>
      <c r="B7000" s="16" t="str">
        <f>TEXT(PARTIDA[[#This Row],[PARTIDA]],"0000000000")</f>
        <v>8507902000</v>
      </c>
      <c r="C7000" s="16" t="s">
        <v>860</v>
      </c>
      <c r="D7000" s="16" t="s">
        <v>873</v>
      </c>
      <c r="E7000" s="16" t="s">
        <v>9478</v>
      </c>
      <c r="F7000" s="27" t="s">
        <v>15205</v>
      </c>
      <c r="G7000" s="27"/>
      <c r="H7000" s="16" t="str">
        <f>IF(ISBLANK(PARTIDAS!$G7000),PARTIDAS!$F7000,CONCATENATE(PARTIDAS!$F7000," (",PARTIDAS!$G7000,")"))</f>
        <v>Acumuladores eléctricos, incluidos sus separadores…, partes, separadores</v>
      </c>
      <c r="I7000" s="16" t="s">
        <v>9427</v>
      </c>
    </row>
    <row r="7001" spans="1:9" x14ac:dyDescent="0.25">
      <c r="A7001" s="16" t="s">
        <v>7933</v>
      </c>
      <c r="B7001" s="16" t="str">
        <f>TEXT(PARTIDA[[#This Row],[PARTIDA]],"0000000000")</f>
        <v>8507903000</v>
      </c>
      <c r="C7001" s="16" t="s">
        <v>860</v>
      </c>
      <c r="D7001" s="16" t="s">
        <v>873</v>
      </c>
      <c r="E7001" s="16" t="s">
        <v>9478</v>
      </c>
      <c r="F7001" s="27" t="s">
        <v>15206</v>
      </c>
      <c r="G7001" s="27"/>
      <c r="H7001" s="16" t="str">
        <f>IF(ISBLANK(PARTIDAS!$G7001),PARTIDAS!$F7001,CONCATENATE(PARTIDAS!$F7001," (",PARTIDAS!$G7001,")"))</f>
        <v>Acumuladores eléctricos, incluidos sus separadores…, partes, placas</v>
      </c>
      <c r="I7001" s="16" t="s">
        <v>9427</v>
      </c>
    </row>
    <row r="7002" spans="1:9" x14ac:dyDescent="0.25">
      <c r="A7002" s="16" t="s">
        <v>7934</v>
      </c>
      <c r="B7002" s="16" t="str">
        <f>TEXT(PARTIDA[[#This Row],[PARTIDA]],"0000000000")</f>
        <v>8507909000</v>
      </c>
      <c r="C7002" s="16" t="s">
        <v>860</v>
      </c>
      <c r="D7002" s="16" t="s">
        <v>873</v>
      </c>
      <c r="E7002" s="16" t="s">
        <v>9478</v>
      </c>
      <c r="F7002" s="27" t="s">
        <v>15207</v>
      </c>
      <c r="G7002" s="27"/>
      <c r="H7002" s="16" t="str">
        <f>IF(ISBLANK(PARTIDAS!$G7002),PARTIDAS!$F7002,CONCATENATE(PARTIDAS!$F7002," (",PARTIDAS!$G7002,")"))</f>
        <v>Acumuladores eléctricos, incluidos sus separadores…, partes (los demás)</v>
      </c>
      <c r="I7002" s="16" t="s">
        <v>9427</v>
      </c>
    </row>
    <row r="7003" spans="1:9" x14ac:dyDescent="0.25">
      <c r="A7003" s="16" t="s">
        <v>7935</v>
      </c>
      <c r="B7003" s="16" t="str">
        <f>TEXT(PARTIDA[[#This Row],[PARTIDA]],"0000000000")</f>
        <v>8508110000</v>
      </c>
      <c r="C7003" s="16" t="s">
        <v>860</v>
      </c>
      <c r="D7003" s="16" t="s">
        <v>873</v>
      </c>
      <c r="E7003" s="16" t="s">
        <v>9480</v>
      </c>
      <c r="F7003" s="27" t="s">
        <v>15208</v>
      </c>
      <c r="G7003" s="27"/>
      <c r="H7003" s="16" t="str">
        <f>IF(ISBLANK(PARTIDAS!$G7003),PARTIDAS!$F7003,CONCATENATE(PARTIDAS!$F7003," (",PARTIDAS!$G7003,")"))</f>
        <v>Aspiradoras, con motor eléctrico incorporado, de potencia inferior o igual a 1.500 W y de capacidad del depósito o bolsa para el polvo inferior o igua</v>
      </c>
      <c r="I7003" s="16" t="s">
        <v>9427</v>
      </c>
    </row>
    <row r="7004" spans="1:9" x14ac:dyDescent="0.25">
      <c r="A7004" s="16" t="s">
        <v>7936</v>
      </c>
      <c r="B7004" s="16" t="str">
        <f>TEXT(PARTIDA[[#This Row],[PARTIDA]],"0000000000")</f>
        <v>8508190000</v>
      </c>
      <c r="C7004" s="16" t="s">
        <v>860</v>
      </c>
      <c r="D7004" s="16" t="s">
        <v>873</v>
      </c>
      <c r="E7004" s="16" t="s">
        <v>9480</v>
      </c>
      <c r="F7004" s="27" t="s">
        <v>15209</v>
      </c>
      <c r="G7004" s="27"/>
      <c r="H7004" s="16" t="str">
        <f>IF(ISBLANK(PARTIDAS!$G7004),PARTIDAS!$F7004,CONCATENATE(PARTIDAS!$F7004," (",PARTIDAS!$G7004,")"))</f>
        <v>Aspiradoras, con motor eléctrico incorporado (los demás)</v>
      </c>
      <c r="I7004" s="16" t="s">
        <v>9427</v>
      </c>
    </row>
    <row r="7005" spans="1:9" x14ac:dyDescent="0.25">
      <c r="A7005" s="16" t="s">
        <v>7937</v>
      </c>
      <c r="B7005" s="16" t="str">
        <f>TEXT(PARTIDA[[#This Row],[PARTIDA]],"0000000000")</f>
        <v>8508600000</v>
      </c>
      <c r="C7005" s="16" t="s">
        <v>860</v>
      </c>
      <c r="D7005" s="16" t="s">
        <v>873</v>
      </c>
      <c r="E7005" s="16" t="s">
        <v>9480</v>
      </c>
      <c r="F7005" s="27" t="s">
        <v>15210</v>
      </c>
      <c r="G7005" s="27"/>
      <c r="H7005" s="16" t="str">
        <f>IF(ISBLANK(PARTIDAS!$G7005),PARTIDAS!$F7005,CONCATENATE(PARTIDAS!$F7005," (",PARTIDAS!$G7005,")"))</f>
        <v>Aspiradoras (los demás, aspiradoras)</v>
      </c>
      <c r="I7005" s="16" t="s">
        <v>9427</v>
      </c>
    </row>
    <row r="7006" spans="1:9" x14ac:dyDescent="0.25">
      <c r="A7006" s="16" t="s">
        <v>7938</v>
      </c>
      <c r="B7006" s="16" t="str">
        <f>TEXT(PARTIDA[[#This Row],[PARTIDA]],"0000000000")</f>
        <v>8508700000</v>
      </c>
      <c r="C7006" s="16" t="s">
        <v>860</v>
      </c>
      <c r="D7006" s="16" t="s">
        <v>873</v>
      </c>
      <c r="E7006" s="16" t="s">
        <v>9480</v>
      </c>
      <c r="F7006" s="27" t="s">
        <v>15211</v>
      </c>
      <c r="G7006" s="27"/>
      <c r="H7006" s="16" t="str">
        <f>IF(ISBLANK(PARTIDAS!$G7006),PARTIDAS!$F7006,CONCATENATE(PARTIDAS!$F7006," (",PARTIDAS!$G7006,")"))</f>
        <v>Aspiradoras, partes</v>
      </c>
      <c r="I7006" s="16" t="s">
        <v>9427</v>
      </c>
    </row>
    <row r="7007" spans="1:9" x14ac:dyDescent="0.25">
      <c r="A7007" s="16" t="s">
        <v>7939</v>
      </c>
      <c r="B7007" s="16" t="str">
        <f>TEXT(PARTIDA[[#This Row],[PARTIDA]],"0000000000")</f>
        <v>8509401000</v>
      </c>
      <c r="C7007" s="16" t="s">
        <v>786</v>
      </c>
      <c r="D7007" s="16" t="s">
        <v>799</v>
      </c>
      <c r="E7007" s="16" t="s">
        <v>806</v>
      </c>
      <c r="F7007" s="27" t="s">
        <v>15212</v>
      </c>
      <c r="G7007" s="27"/>
      <c r="H7007" s="16" t="str">
        <f>IF(ISBLANK(PARTIDAS!$G7007),PARTIDAS!$F7007,CONCATENATE(PARTIDAS!$F7007," (",PARTIDAS!$G7007,")"))</f>
        <v>Trituradoras y mezcladoras de alimentos, licuadoras</v>
      </c>
      <c r="I7007" s="16" t="s">
        <v>9427</v>
      </c>
    </row>
    <row r="7008" spans="1:9" x14ac:dyDescent="0.25">
      <c r="A7008" s="16" t="s">
        <v>7940</v>
      </c>
      <c r="B7008" s="16" t="str">
        <f>TEXT(PARTIDA[[#This Row],[PARTIDA]],"0000000000")</f>
        <v>8509409000</v>
      </c>
      <c r="C7008" s="16" t="s">
        <v>786</v>
      </c>
      <c r="D7008" s="16" t="s">
        <v>799</v>
      </c>
      <c r="E7008" s="16" t="s">
        <v>806</v>
      </c>
      <c r="F7008" s="27" t="s">
        <v>15213</v>
      </c>
      <c r="G7008" s="27"/>
      <c r="H7008" s="16" t="str">
        <f>IF(ISBLANK(PARTIDAS!$G7008),PARTIDAS!$F7008,CONCATENATE(PARTIDAS!$F7008," (",PARTIDAS!$G7008,")"))</f>
        <v>Trituradoras y mezcladoras de alimentos (los demás)</v>
      </c>
      <c r="I7008" s="16" t="s">
        <v>9427</v>
      </c>
    </row>
    <row r="7009" spans="1:9" x14ac:dyDescent="0.25">
      <c r="A7009" s="16" t="s">
        <v>7941</v>
      </c>
      <c r="B7009" s="16" t="str">
        <f>TEXT(PARTIDA[[#This Row],[PARTIDA]],"0000000000")</f>
        <v>8509801000</v>
      </c>
      <c r="C7009" s="16" t="s">
        <v>786</v>
      </c>
      <c r="D7009" s="16" t="s">
        <v>799</v>
      </c>
      <c r="E7009" s="16" t="s">
        <v>806</v>
      </c>
      <c r="F7009" s="27" t="s">
        <v>15214</v>
      </c>
      <c r="G7009" s="27"/>
      <c r="H7009" s="16" t="str">
        <f>IF(ISBLANK(PARTIDAS!$G7009),PARTIDAS!$F7009,CONCATENATE(PARTIDAS!$F7009," (",PARTIDAS!$G7009,")"))</f>
        <v>Enceradoras (lustradoras) de pisos</v>
      </c>
      <c r="I7009" s="16" t="s">
        <v>9427</v>
      </c>
    </row>
    <row r="7010" spans="1:9" x14ac:dyDescent="0.25">
      <c r="A7010" s="16" t="s">
        <v>7942</v>
      </c>
      <c r="B7010" s="16" t="str">
        <f>TEXT(PARTIDA[[#This Row],[PARTIDA]],"0000000000")</f>
        <v>8509802000</v>
      </c>
      <c r="C7010" s="16" t="s">
        <v>786</v>
      </c>
      <c r="D7010" s="16" t="s">
        <v>799</v>
      </c>
      <c r="E7010" s="16" t="s">
        <v>806</v>
      </c>
      <c r="F7010" s="27" t="s">
        <v>15215</v>
      </c>
      <c r="G7010" s="27"/>
      <c r="H7010" s="16" t="str">
        <f>IF(ISBLANK(PARTIDAS!$G7010),PARTIDAS!$F7010,CONCATENATE(PARTIDAS!$F7010," (",PARTIDAS!$G7010,")"))</f>
        <v>Trituradoras de desperdicios de cocina</v>
      </c>
      <c r="I7010" s="16" t="s">
        <v>9427</v>
      </c>
    </row>
    <row r="7011" spans="1:9" x14ac:dyDescent="0.25">
      <c r="A7011" s="16" t="s">
        <v>7943</v>
      </c>
      <c r="B7011" s="16" t="str">
        <f>TEXT(PARTIDA[[#This Row],[PARTIDA]],"0000000000")</f>
        <v>8509809000</v>
      </c>
      <c r="C7011" s="16" t="s">
        <v>786</v>
      </c>
      <c r="D7011" s="16" t="s">
        <v>799</v>
      </c>
      <c r="E7011" s="16" t="s">
        <v>806</v>
      </c>
      <c r="F7011" s="27" t="s">
        <v>15216</v>
      </c>
      <c r="G7011" s="27"/>
      <c r="H7011" s="16" t="str">
        <f>IF(ISBLANK(PARTIDAS!$G7011),PARTIDAS!$F7011,CONCATENATE(PARTIDAS!$F7011," (",PARTIDAS!$G7011,")"))</f>
        <v>Aparatos electromecánicos con motor eléctrico incorporado, de uso… (los demás)</v>
      </c>
      <c r="I7011" s="16" t="s">
        <v>9427</v>
      </c>
    </row>
    <row r="7012" spans="1:9" x14ac:dyDescent="0.25">
      <c r="A7012" s="16" t="s">
        <v>7944</v>
      </c>
      <c r="B7012" s="16" t="str">
        <f>TEXT(PARTIDA[[#This Row],[PARTIDA]],"0000000000")</f>
        <v>8509900000</v>
      </c>
      <c r="C7012" s="16" t="s">
        <v>786</v>
      </c>
      <c r="D7012" s="16" t="s">
        <v>799</v>
      </c>
      <c r="E7012" s="16" t="s">
        <v>806</v>
      </c>
      <c r="F7012" s="27" t="s">
        <v>15217</v>
      </c>
      <c r="G7012" s="27"/>
      <c r="H7012" s="16" t="str">
        <f>IF(ISBLANK(PARTIDAS!$G7012),PARTIDAS!$F7012,CONCATENATE(PARTIDAS!$F7012," (",PARTIDAS!$G7012,")"))</f>
        <v>Aparatos electromecánicos con motor eléctrico incorporado, de uso…, partes</v>
      </c>
      <c r="I7012" s="16" t="s">
        <v>9427</v>
      </c>
    </row>
    <row r="7013" spans="1:9" x14ac:dyDescent="0.25">
      <c r="A7013" s="16" t="s">
        <v>7945</v>
      </c>
      <c r="B7013" s="16" t="str">
        <f>TEXT(PARTIDA[[#This Row],[PARTIDA]],"0000000000")</f>
        <v>8510100000</v>
      </c>
      <c r="C7013" s="16" t="s">
        <v>786</v>
      </c>
      <c r="D7013" s="16" t="s">
        <v>799</v>
      </c>
      <c r="E7013" s="16" t="s">
        <v>806</v>
      </c>
      <c r="F7013" s="27" t="s">
        <v>15218</v>
      </c>
      <c r="G7013" s="27"/>
      <c r="H7013" s="16" t="str">
        <f>IF(ISBLANK(PARTIDAS!$G7013),PARTIDAS!$F7013,CONCATENATE(PARTIDAS!$F7013," (",PARTIDAS!$G7013,")"))</f>
        <v>Afeitadoras</v>
      </c>
      <c r="I7013" s="16" t="s">
        <v>9427</v>
      </c>
    </row>
    <row r="7014" spans="1:9" x14ac:dyDescent="0.25">
      <c r="A7014" s="16" t="s">
        <v>7946</v>
      </c>
      <c r="B7014" s="16" t="str">
        <f>TEXT(PARTIDA[[#This Row],[PARTIDA]],"0000000000")</f>
        <v>8510201000</v>
      </c>
      <c r="C7014" s="16" t="s">
        <v>786</v>
      </c>
      <c r="D7014" s="16" t="s">
        <v>799</v>
      </c>
      <c r="E7014" s="16" t="s">
        <v>806</v>
      </c>
      <c r="F7014" s="27" t="s">
        <v>15219</v>
      </c>
      <c r="G7014" s="27"/>
      <c r="H7014" s="16" t="str">
        <f>IF(ISBLANK(PARTIDAS!$G7014),PARTIDAS!$F7014,CONCATENATE(PARTIDAS!$F7014," (",PARTIDAS!$G7014,")"))</f>
        <v>Máquinas de cortar el pelo o esquilar, de cortar el pelo</v>
      </c>
      <c r="I7014" s="16" t="s">
        <v>9427</v>
      </c>
    </row>
    <row r="7015" spans="1:9" x14ac:dyDescent="0.25">
      <c r="A7015" s="16" t="s">
        <v>7947</v>
      </c>
      <c r="B7015" s="16" t="str">
        <f>TEXT(PARTIDA[[#This Row],[PARTIDA]],"0000000000")</f>
        <v>8510202000</v>
      </c>
      <c r="C7015" s="16" t="s">
        <v>786</v>
      </c>
      <c r="D7015" s="16" t="s">
        <v>799</v>
      </c>
      <c r="E7015" s="16" t="s">
        <v>806</v>
      </c>
      <c r="F7015" s="27" t="s">
        <v>15220</v>
      </c>
      <c r="G7015" s="27"/>
      <c r="H7015" s="16" t="str">
        <f>IF(ISBLANK(PARTIDAS!$G7015),PARTIDAS!$F7015,CONCATENATE(PARTIDAS!$F7015," (",PARTIDAS!$G7015,")"))</f>
        <v>Máquinas de cortar el pelo o esquilar, de esquilar</v>
      </c>
      <c r="I7015" s="16" t="s">
        <v>9427</v>
      </c>
    </row>
    <row r="7016" spans="1:9" x14ac:dyDescent="0.25">
      <c r="A7016" s="16" t="s">
        <v>7948</v>
      </c>
      <c r="B7016" s="16" t="str">
        <f>TEXT(PARTIDA[[#This Row],[PARTIDA]],"0000000000")</f>
        <v>8510300000</v>
      </c>
      <c r="C7016" s="16" t="s">
        <v>786</v>
      </c>
      <c r="D7016" s="16" t="s">
        <v>799</v>
      </c>
      <c r="E7016" s="16" t="s">
        <v>806</v>
      </c>
      <c r="F7016" s="27" t="s">
        <v>15221</v>
      </c>
      <c r="G7016" s="27"/>
      <c r="H7016" s="16" t="str">
        <f>IF(ISBLANK(PARTIDAS!$G7016),PARTIDAS!$F7016,CONCATENATE(PARTIDAS!$F7016," (",PARTIDAS!$G7016,")"))</f>
        <v>Aparatos de depilar</v>
      </c>
      <c r="I7016" s="16" t="s">
        <v>9427</v>
      </c>
    </row>
    <row r="7017" spans="1:9" x14ac:dyDescent="0.25">
      <c r="A7017" s="16" t="s">
        <v>7949</v>
      </c>
      <c r="B7017" s="16" t="str">
        <f>TEXT(PARTIDA[[#This Row],[PARTIDA]],"0000000000")</f>
        <v>8510901000</v>
      </c>
      <c r="C7017" s="16" t="s">
        <v>786</v>
      </c>
      <c r="D7017" s="16" t="s">
        <v>799</v>
      </c>
      <c r="E7017" s="16" t="s">
        <v>806</v>
      </c>
      <c r="F7017" s="27" t="s">
        <v>15222</v>
      </c>
      <c r="G7017" s="27"/>
      <c r="H7017" s="16" t="str">
        <f>IF(ISBLANK(PARTIDAS!$G7017),PARTIDAS!$F7017,CONCATENATE(PARTIDAS!$F7017," (",PARTIDAS!$G7017,")"))</f>
        <v>Cabezas, peines, contrapeines, hojas y cuchillas para estas máquinas</v>
      </c>
      <c r="I7017" s="16" t="s">
        <v>9427</v>
      </c>
    </row>
    <row r="7018" spans="1:9" x14ac:dyDescent="0.25">
      <c r="A7018" s="16" t="s">
        <v>7950</v>
      </c>
      <c r="B7018" s="16" t="str">
        <f>TEXT(PARTIDA[[#This Row],[PARTIDA]],"0000000000")</f>
        <v>8510909000</v>
      </c>
      <c r="C7018" s="16" t="s">
        <v>786</v>
      </c>
      <c r="D7018" s="16" t="s">
        <v>799</v>
      </c>
      <c r="E7018" s="16" t="s">
        <v>806</v>
      </c>
      <c r="F7018" s="27" t="s">
        <v>15223</v>
      </c>
      <c r="G7018" s="27"/>
      <c r="H7018" s="16" t="str">
        <f>IF(ISBLANK(PARTIDAS!$G7018),PARTIDAS!$F7018,CONCATENATE(PARTIDAS!$F7018," (",PARTIDAS!$G7018,")"))</f>
        <v>Afeitadoras, máquinas de cortar el pelo o esquilar y…, partes (los demás)</v>
      </c>
      <c r="I7018" s="16" t="s">
        <v>9427</v>
      </c>
    </row>
    <row r="7019" spans="1:9" x14ac:dyDescent="0.25">
      <c r="A7019" s="16" t="s">
        <v>7951</v>
      </c>
      <c r="B7019" s="16" t="str">
        <f>TEXT(PARTIDA[[#This Row],[PARTIDA]],"0000000000")</f>
        <v>8511101000</v>
      </c>
      <c r="C7019" s="16" t="s">
        <v>860</v>
      </c>
      <c r="D7019" s="16" t="s">
        <v>881</v>
      </c>
      <c r="E7019" s="16" t="s">
        <v>9483</v>
      </c>
      <c r="F7019" s="27" t="s">
        <v>15224</v>
      </c>
      <c r="G7019" s="27"/>
      <c r="H7019" s="16" t="str">
        <f>IF(ISBLANK(PARTIDAS!$G7019),PARTIDAS!$F7019,CONCATENATE(PARTIDAS!$F7019," (",PARTIDAS!$G7019,")"))</f>
        <v>Bujías de encendido, de motores de aviación</v>
      </c>
      <c r="I7019" s="16" t="s">
        <v>9427</v>
      </c>
    </row>
    <row r="7020" spans="1:9" x14ac:dyDescent="0.25">
      <c r="A7020" s="16" t="s">
        <v>7952</v>
      </c>
      <c r="B7020" s="16" t="str">
        <f>TEXT(PARTIDA[[#This Row],[PARTIDA]],"0000000000")</f>
        <v>8511109000</v>
      </c>
      <c r="C7020" s="16" t="s">
        <v>860</v>
      </c>
      <c r="D7020" s="16" t="s">
        <v>881</v>
      </c>
      <c r="E7020" s="16" t="s">
        <v>9483</v>
      </c>
      <c r="F7020" s="27" t="s">
        <v>15225</v>
      </c>
      <c r="G7020" s="27"/>
      <c r="H7020" s="16" t="str">
        <f>IF(ISBLANK(PARTIDAS!$G7020),PARTIDAS!$F7020,CONCATENATE(PARTIDAS!$F7020," (",PARTIDAS!$G7020,")"))</f>
        <v>Bujías de encendido (los demás)</v>
      </c>
      <c r="I7020" s="16" t="s">
        <v>9427</v>
      </c>
    </row>
    <row r="7021" spans="1:9" x14ac:dyDescent="0.25">
      <c r="A7021" s="16" t="s">
        <v>7953</v>
      </c>
      <c r="B7021" s="16" t="str">
        <f>TEXT(PARTIDA[[#This Row],[PARTIDA]],"0000000000")</f>
        <v>8511201000</v>
      </c>
      <c r="C7021" s="16" t="s">
        <v>860</v>
      </c>
      <c r="D7021" s="16" t="s">
        <v>881</v>
      </c>
      <c r="E7021" s="16" t="s">
        <v>9483</v>
      </c>
      <c r="F7021" s="27" t="s">
        <v>15226</v>
      </c>
      <c r="G7021" s="27"/>
      <c r="H7021" s="16" t="str">
        <f>IF(ISBLANK(PARTIDAS!$G7021),PARTIDAS!$F7021,CONCATENATE(PARTIDAS!$F7021," (",PARTIDAS!$G7021,")"))</f>
        <v>Magnetos; dinamomagnetos; volantes magnéticos, de motores de aviación</v>
      </c>
      <c r="I7021" s="16" t="s">
        <v>9427</v>
      </c>
    </row>
    <row r="7022" spans="1:9" x14ac:dyDescent="0.25">
      <c r="A7022" s="16" t="s">
        <v>7954</v>
      </c>
      <c r="B7022" s="16" t="str">
        <f>TEXT(PARTIDA[[#This Row],[PARTIDA]],"0000000000")</f>
        <v>8511209000</v>
      </c>
      <c r="C7022" s="16" t="s">
        <v>860</v>
      </c>
      <c r="D7022" s="16" t="s">
        <v>881</v>
      </c>
      <c r="E7022" s="16" t="s">
        <v>9483</v>
      </c>
      <c r="F7022" s="27" t="s">
        <v>15227</v>
      </c>
      <c r="G7022" s="27"/>
      <c r="H7022" s="16" t="str">
        <f>IF(ISBLANK(PARTIDAS!$G7022),PARTIDAS!$F7022,CONCATENATE(PARTIDAS!$F7022," (",PARTIDAS!$G7022,")"))</f>
        <v>Magnetos; dinamomagnetos; volantes magnéticos (los demás)</v>
      </c>
      <c r="I7022" s="16" t="s">
        <v>9427</v>
      </c>
    </row>
    <row r="7023" spans="1:9" x14ac:dyDescent="0.25">
      <c r="A7023" s="16" t="s">
        <v>7955</v>
      </c>
      <c r="B7023" s="16" t="str">
        <f>TEXT(PARTIDA[[#This Row],[PARTIDA]],"0000000000")</f>
        <v>8511301000</v>
      </c>
      <c r="C7023" s="16" t="s">
        <v>860</v>
      </c>
      <c r="D7023" s="16" t="s">
        <v>881</v>
      </c>
      <c r="E7023" s="16" t="s">
        <v>9483</v>
      </c>
      <c r="F7023" s="27" t="s">
        <v>15228</v>
      </c>
      <c r="G7023" s="27"/>
      <c r="H7023" s="16" t="str">
        <f>IF(ISBLANK(PARTIDAS!$G7023),PARTIDAS!$F7023,CONCATENATE(PARTIDAS!$F7023," (",PARTIDAS!$G7023,")"))</f>
        <v>Distribuidores, de motores de aviación</v>
      </c>
      <c r="I7023" s="16" t="s">
        <v>9427</v>
      </c>
    </row>
    <row r="7024" spans="1:9" x14ac:dyDescent="0.25">
      <c r="A7024" s="16" t="s">
        <v>7956</v>
      </c>
      <c r="B7024" s="16" t="str">
        <f>TEXT(PARTIDA[[#This Row],[PARTIDA]],"0000000000")</f>
        <v>8511309100</v>
      </c>
      <c r="C7024" s="16" t="s">
        <v>860</v>
      </c>
      <c r="D7024" s="16" t="s">
        <v>881</v>
      </c>
      <c r="E7024" s="16" t="s">
        <v>9483</v>
      </c>
      <c r="F7024" s="27" t="s">
        <v>15229</v>
      </c>
      <c r="G7024" s="27"/>
      <c r="H7024" s="16" t="str">
        <f>IF(ISBLANK(PARTIDAS!$G7024),PARTIDAS!$F7024,CONCATENATE(PARTIDAS!$F7024," (",PARTIDAS!$G7024,")"))</f>
        <v>Distribuidores, distribuidores</v>
      </c>
      <c r="I7024" s="16" t="s">
        <v>9427</v>
      </c>
    </row>
    <row r="7025" spans="1:9" x14ac:dyDescent="0.25">
      <c r="A7025" s="16" t="s">
        <v>7957</v>
      </c>
      <c r="B7025" s="16" t="str">
        <f>TEXT(PARTIDA[[#This Row],[PARTIDA]],"0000000000")</f>
        <v>8511309200</v>
      </c>
      <c r="C7025" s="16" t="s">
        <v>860</v>
      </c>
      <c r="D7025" s="16" t="s">
        <v>881</v>
      </c>
      <c r="E7025" s="16" t="s">
        <v>9483</v>
      </c>
      <c r="F7025" s="27" t="s">
        <v>15230</v>
      </c>
      <c r="G7025" s="27"/>
      <c r="H7025" s="16" t="str">
        <f>IF(ISBLANK(PARTIDAS!$G7025),PARTIDAS!$F7025,CONCATENATE(PARTIDAS!$F7025," (",PARTIDAS!$G7025,")"))</f>
        <v>Bobinas de encendido</v>
      </c>
      <c r="I7025" s="16" t="s">
        <v>9427</v>
      </c>
    </row>
    <row r="7026" spans="1:9" x14ac:dyDescent="0.25">
      <c r="A7026" s="16" t="s">
        <v>7958</v>
      </c>
      <c r="B7026" s="16" t="str">
        <f>TEXT(PARTIDA[[#This Row],[PARTIDA]],"0000000000")</f>
        <v>8511401000</v>
      </c>
      <c r="C7026" s="16" t="s">
        <v>860</v>
      </c>
      <c r="D7026" s="16" t="s">
        <v>881</v>
      </c>
      <c r="E7026" s="16" t="s">
        <v>9483</v>
      </c>
      <c r="F7026" s="27" t="s">
        <v>15231</v>
      </c>
      <c r="G7026" s="27"/>
      <c r="H7026" s="16" t="str">
        <f>IF(ISBLANK(PARTIDAS!$G7026),PARTIDAS!$F7026,CONCATENATE(PARTIDAS!$F7026," (",PARTIDAS!$G7026,")"))</f>
        <v>Motores de arranque, aunque funcionen también como generadores, de motores de aviación</v>
      </c>
      <c r="I7026" s="16" t="s">
        <v>9427</v>
      </c>
    </row>
    <row r="7027" spans="1:9" x14ac:dyDescent="0.25">
      <c r="A7027" s="16" t="s">
        <v>7959</v>
      </c>
      <c r="B7027" s="16" t="str">
        <f>TEXT(PARTIDA[[#This Row],[PARTIDA]],"0000000000")</f>
        <v>8511409000</v>
      </c>
      <c r="C7027" s="16" t="s">
        <v>860</v>
      </c>
      <c r="D7027" s="16" t="s">
        <v>881</v>
      </c>
      <c r="E7027" s="16" t="s">
        <v>9483</v>
      </c>
      <c r="F7027" s="27" t="s">
        <v>15232</v>
      </c>
      <c r="G7027" s="27"/>
      <c r="H7027" s="16" t="str">
        <f>IF(ISBLANK(PARTIDAS!$G7027),PARTIDAS!$F7027,CONCATENATE(PARTIDAS!$F7027," (",PARTIDAS!$G7027,")"))</f>
        <v>Motores de arranque, aunque funcionen también como generadores (los demás)</v>
      </c>
      <c r="I7027" s="16" t="s">
        <v>9427</v>
      </c>
    </row>
    <row r="7028" spans="1:9" x14ac:dyDescent="0.25">
      <c r="A7028" s="16" t="s">
        <v>7960</v>
      </c>
      <c r="B7028" s="16" t="str">
        <f>TEXT(PARTIDA[[#This Row],[PARTIDA]],"0000000000")</f>
        <v>8511501000</v>
      </c>
      <c r="C7028" s="16" t="s">
        <v>860</v>
      </c>
      <c r="D7028" s="16" t="s">
        <v>881</v>
      </c>
      <c r="E7028" s="16" t="s">
        <v>9483</v>
      </c>
      <c r="F7028" s="27" t="s">
        <v>15233</v>
      </c>
      <c r="G7028" s="27"/>
      <c r="H7028" s="16" t="str">
        <f>IF(ISBLANK(PARTIDAS!$G7028),PARTIDAS!$F7028,CONCATENATE(PARTIDAS!$F7028," (",PARTIDAS!$G7028,")"))</f>
        <v>Aparatos y dispositivos eléctricos de encendido o de arranque, para…, de motores de aviación</v>
      </c>
      <c r="I7028" s="16" t="s">
        <v>9427</v>
      </c>
    </row>
    <row r="7029" spans="1:9" x14ac:dyDescent="0.25">
      <c r="A7029" s="16" t="s">
        <v>7961</v>
      </c>
      <c r="B7029" s="16" t="str">
        <f>TEXT(PARTIDA[[#This Row],[PARTIDA]],"0000000000")</f>
        <v>8511509000</v>
      </c>
      <c r="C7029" s="16" t="s">
        <v>860</v>
      </c>
      <c r="D7029" s="16" t="s">
        <v>881</v>
      </c>
      <c r="E7029" s="16" t="s">
        <v>9483</v>
      </c>
      <c r="F7029" s="27" t="s">
        <v>15234</v>
      </c>
      <c r="G7029" s="27"/>
      <c r="H7029" s="16" t="str">
        <f>IF(ISBLANK(PARTIDAS!$G7029),PARTIDAS!$F7029,CONCATENATE(PARTIDAS!$F7029," (",PARTIDAS!$G7029,")"))</f>
        <v>Aparatos y dispositivos eléctricos de encendido o de arranque, para… (los demás)</v>
      </c>
      <c r="I7029" s="16" t="s">
        <v>9427</v>
      </c>
    </row>
    <row r="7030" spans="1:9" x14ac:dyDescent="0.25">
      <c r="A7030" s="16" t="s">
        <v>7962</v>
      </c>
      <c r="B7030" s="16" t="str">
        <f>TEXT(PARTIDA[[#This Row],[PARTIDA]],"0000000000")</f>
        <v>8511801000</v>
      </c>
      <c r="C7030" s="16" t="s">
        <v>860</v>
      </c>
      <c r="D7030" s="16" t="s">
        <v>881</v>
      </c>
      <c r="E7030" s="16" t="s">
        <v>9483</v>
      </c>
      <c r="F7030" s="27" t="s">
        <v>15233</v>
      </c>
      <c r="G7030" s="27"/>
      <c r="H7030" s="16" t="str">
        <f>IF(ISBLANK(PARTIDAS!$G7030),PARTIDAS!$F7030,CONCATENATE(PARTIDAS!$F7030," (",PARTIDAS!$G7030,")"))</f>
        <v>Aparatos y dispositivos eléctricos de encendido o de arranque, para…, de motores de aviación</v>
      </c>
      <c r="I7030" s="16" t="s">
        <v>9427</v>
      </c>
    </row>
    <row r="7031" spans="1:9" x14ac:dyDescent="0.25">
      <c r="A7031" s="16" t="s">
        <v>7963</v>
      </c>
      <c r="B7031" s="16" t="str">
        <f>TEXT(PARTIDA[[#This Row],[PARTIDA]],"0000000000")</f>
        <v>8511809000</v>
      </c>
      <c r="C7031" s="16" t="s">
        <v>860</v>
      </c>
      <c r="D7031" s="16" t="s">
        <v>881</v>
      </c>
      <c r="E7031" s="16" t="s">
        <v>9483</v>
      </c>
      <c r="F7031" s="27" t="s">
        <v>15234</v>
      </c>
      <c r="G7031" s="27"/>
      <c r="H7031" s="16" t="str">
        <f>IF(ISBLANK(PARTIDAS!$G7031),PARTIDAS!$F7031,CONCATENATE(PARTIDAS!$F7031," (",PARTIDAS!$G7031,")"))</f>
        <v>Aparatos y dispositivos eléctricos de encendido o de arranque, para… (los demás)</v>
      </c>
      <c r="I7031" s="16" t="s">
        <v>9427</v>
      </c>
    </row>
    <row r="7032" spans="1:9" x14ac:dyDescent="0.25">
      <c r="A7032" s="16" t="s">
        <v>7964</v>
      </c>
      <c r="B7032" s="16" t="str">
        <f>TEXT(PARTIDA[[#This Row],[PARTIDA]],"0000000000")</f>
        <v>8511901000</v>
      </c>
      <c r="C7032" s="16" t="s">
        <v>860</v>
      </c>
      <c r="D7032" s="16" t="s">
        <v>881</v>
      </c>
      <c r="E7032" s="16" t="s">
        <v>9483</v>
      </c>
      <c r="F7032" s="27" t="s">
        <v>15235</v>
      </c>
      <c r="G7032" s="27"/>
      <c r="H7032" s="16" t="str">
        <f>IF(ISBLANK(PARTIDAS!$G7032),PARTIDAS!$F7032,CONCATENATE(PARTIDAS!$F7032," (",PARTIDAS!$G7032,")"))</f>
        <v>Aparatos y dispositivos eléctricos de encendido o de…, partes, de aparatos y dispositivos de motores de aviación</v>
      </c>
      <c r="I7032" s="16" t="s">
        <v>9427</v>
      </c>
    </row>
    <row r="7033" spans="1:9" x14ac:dyDescent="0.25">
      <c r="A7033" s="16" t="s">
        <v>7965</v>
      </c>
      <c r="B7033" s="16" t="str">
        <f>TEXT(PARTIDA[[#This Row],[PARTIDA]],"0000000000")</f>
        <v>8511902100</v>
      </c>
      <c r="C7033" s="16" t="s">
        <v>860</v>
      </c>
      <c r="D7033" s="16" t="s">
        <v>881</v>
      </c>
      <c r="E7033" s="16" t="s">
        <v>9483</v>
      </c>
      <c r="F7033" s="27" t="s">
        <v>15236</v>
      </c>
      <c r="G7033" s="27"/>
      <c r="H7033" s="16" t="str">
        <f>IF(ISBLANK(PARTIDAS!$G7033),PARTIDAS!$F7033,CONCATENATE(PARTIDAS!$F7033," (",PARTIDAS!$G7033,")"))</f>
        <v>Platinos, tapas y ruptores (rotores) de distribuidores, platinos</v>
      </c>
      <c r="I7033" s="16" t="s">
        <v>9427</v>
      </c>
    </row>
    <row r="7034" spans="1:9" x14ac:dyDescent="0.25">
      <c r="A7034" s="16" t="s">
        <v>7966</v>
      </c>
      <c r="B7034" s="16" t="str">
        <f>TEXT(PARTIDA[[#This Row],[PARTIDA]],"0000000000")</f>
        <v>8511902900</v>
      </c>
      <c r="C7034" s="16" t="s">
        <v>860</v>
      </c>
      <c r="D7034" s="16" t="s">
        <v>881</v>
      </c>
      <c r="E7034" s="16" t="s">
        <v>9483</v>
      </c>
      <c r="F7034" s="27" t="s">
        <v>15237</v>
      </c>
      <c r="G7034" s="27"/>
      <c r="H7034" s="16" t="str">
        <f>IF(ISBLANK(PARTIDAS!$G7034),PARTIDAS!$F7034,CONCATENATE(PARTIDAS!$F7034," (",PARTIDAS!$G7034,")"))</f>
        <v>Platinos, tapas y ruptores (rotores) de distribuidores (los demás)</v>
      </c>
      <c r="I7034" s="16" t="s">
        <v>9427</v>
      </c>
    </row>
    <row r="7035" spans="1:9" x14ac:dyDescent="0.25">
      <c r="A7035" s="16" t="s">
        <v>7967</v>
      </c>
      <c r="B7035" s="16" t="str">
        <f>TEXT(PARTIDA[[#This Row],[PARTIDA]],"0000000000")</f>
        <v>8511903000</v>
      </c>
      <c r="C7035" s="16" t="s">
        <v>860</v>
      </c>
      <c r="D7035" s="16" t="s">
        <v>881</v>
      </c>
      <c r="E7035" s="16" t="s">
        <v>9483</v>
      </c>
      <c r="F7035" s="27" t="s">
        <v>15238</v>
      </c>
      <c r="G7035" s="27"/>
      <c r="H7035" s="16" t="str">
        <f>IF(ISBLANK(PARTIDAS!$G7035),PARTIDAS!$F7035,CONCATENATE(PARTIDAS!$F7035," (",PARTIDAS!$G7035,")"))</f>
        <v>Aparatos y dispositivos eléctricos de encendido o de…, partes, de bujías, excepto para motores de aviación</v>
      </c>
      <c r="I7035" s="16" t="s">
        <v>9427</v>
      </c>
    </row>
    <row r="7036" spans="1:9" x14ac:dyDescent="0.25">
      <c r="A7036" s="16" t="s">
        <v>7968</v>
      </c>
      <c r="B7036" s="16" t="str">
        <f>TEXT(PARTIDA[[#This Row],[PARTIDA]],"0000000000")</f>
        <v>8511909000</v>
      </c>
      <c r="C7036" s="16" t="s">
        <v>860</v>
      </c>
      <c r="D7036" s="16" t="s">
        <v>881</v>
      </c>
      <c r="E7036" s="16" t="s">
        <v>9483</v>
      </c>
      <c r="F7036" s="27" t="s">
        <v>15239</v>
      </c>
      <c r="G7036" s="27"/>
      <c r="H7036" s="16" t="str">
        <f>IF(ISBLANK(PARTIDAS!$G7036),PARTIDAS!$F7036,CONCATENATE(PARTIDAS!$F7036," (",PARTIDAS!$G7036,")"))</f>
        <v>Aparatos y dispositivos eléctricos de encendido o de…, partes (los demás)</v>
      </c>
      <c r="I7036" s="16" t="s">
        <v>9427</v>
      </c>
    </row>
    <row r="7037" spans="1:9" x14ac:dyDescent="0.25">
      <c r="A7037" s="16" t="s">
        <v>7969</v>
      </c>
      <c r="B7037" s="16" t="str">
        <f>TEXT(PARTIDA[[#This Row],[PARTIDA]],"0000000000")</f>
        <v>8512100000</v>
      </c>
      <c r="C7037" s="16" t="s">
        <v>860</v>
      </c>
      <c r="D7037" s="16" t="s">
        <v>881</v>
      </c>
      <c r="E7037" s="16" t="s">
        <v>9483</v>
      </c>
      <c r="F7037" s="27" t="s">
        <v>15240</v>
      </c>
      <c r="G7037" s="27"/>
      <c r="H7037" s="16" t="str">
        <f>IF(ISBLANK(PARTIDAS!$G7037),PARTIDAS!$F7037,CONCATENATE(PARTIDAS!$F7037," (",PARTIDAS!$G7037,")"))</f>
        <v>Aparatos de alumbrado o señalización visual de los tipos utilizados en bicicletas</v>
      </c>
      <c r="I7037" s="16" t="s">
        <v>9427</v>
      </c>
    </row>
    <row r="7038" spans="1:9" x14ac:dyDescent="0.25">
      <c r="A7038" s="16" t="s">
        <v>7970</v>
      </c>
      <c r="B7038" s="16" t="str">
        <f>TEXT(PARTIDA[[#This Row],[PARTIDA]],"0000000000")</f>
        <v>8512201000</v>
      </c>
      <c r="C7038" s="16" t="s">
        <v>860</v>
      </c>
      <c r="D7038" s="16" t="s">
        <v>881</v>
      </c>
      <c r="E7038" s="16" t="s">
        <v>9483</v>
      </c>
      <c r="F7038" s="27" t="s">
        <v>15241</v>
      </c>
      <c r="G7038" s="27"/>
      <c r="H7038" s="16" t="str">
        <f>IF(ISBLANK(PARTIDAS!$G7038),PARTIDAS!$F7038,CONCATENATE(PARTIDAS!$F7038," (",PARTIDAS!$G7038,")"))</f>
        <v>Faros de carretera (excepto faros «sellados» de la subpartida 8539.10.00)</v>
      </c>
      <c r="I7038" s="16" t="s">
        <v>9427</v>
      </c>
    </row>
    <row r="7039" spans="1:9" x14ac:dyDescent="0.25">
      <c r="A7039" s="16" t="s">
        <v>7971</v>
      </c>
      <c r="B7039" s="16" t="str">
        <f>TEXT(PARTIDA[[#This Row],[PARTIDA]],"0000000000")</f>
        <v>8512209000</v>
      </c>
      <c r="C7039" s="16" t="s">
        <v>860</v>
      </c>
      <c r="D7039" s="16" t="s">
        <v>881</v>
      </c>
      <c r="E7039" s="16" t="s">
        <v>9483</v>
      </c>
      <c r="F7039" s="27" t="s">
        <v>7972</v>
      </c>
      <c r="G7039" s="27"/>
      <c r="H7039" s="16" t="str">
        <f>IF(ISBLANK(PARTIDAS!$G7039),PARTIDAS!$F7039,CONCATENATE(PARTIDAS!$F7039," (",PARTIDAS!$G7039,")"))</f>
        <v>Aparatos eléctricos</v>
      </c>
      <c r="I7039" s="16" t="s">
        <v>9427</v>
      </c>
    </row>
    <row r="7040" spans="1:9" x14ac:dyDescent="0.25">
      <c r="A7040" s="16" t="s">
        <v>7973</v>
      </c>
      <c r="B7040" s="16" t="str">
        <f>TEXT(PARTIDA[[#This Row],[PARTIDA]],"0000000000")</f>
        <v>8512301000</v>
      </c>
      <c r="C7040" s="16" t="s">
        <v>860</v>
      </c>
      <c r="D7040" s="16" t="s">
        <v>881</v>
      </c>
      <c r="E7040" s="16" t="s">
        <v>9483</v>
      </c>
      <c r="F7040" s="27" t="s">
        <v>15242</v>
      </c>
      <c r="G7040" s="27"/>
      <c r="H7040" s="16" t="str">
        <f>IF(ISBLANK(PARTIDAS!$G7040),PARTIDAS!$F7040,CONCATENATE(PARTIDAS!$F7040," (",PARTIDAS!$G7040,")"))</f>
        <v>Aparatos de señalización acústica, bocinas</v>
      </c>
      <c r="I7040" s="16" t="s">
        <v>9427</v>
      </c>
    </row>
    <row r="7041" spans="1:9" x14ac:dyDescent="0.25">
      <c r="A7041" s="16" t="s">
        <v>7974</v>
      </c>
      <c r="B7041" s="16" t="str">
        <f>TEXT(PARTIDA[[#This Row],[PARTIDA]],"0000000000")</f>
        <v>8512309000</v>
      </c>
      <c r="C7041" s="16" t="s">
        <v>860</v>
      </c>
      <c r="D7041" s="16" t="s">
        <v>881</v>
      </c>
      <c r="E7041" s="16" t="s">
        <v>9483</v>
      </c>
      <c r="F7041" s="27" t="s">
        <v>15243</v>
      </c>
      <c r="G7041" s="27"/>
      <c r="H7041" s="16" t="str">
        <f>IF(ISBLANK(PARTIDAS!$G7041),PARTIDAS!$F7041,CONCATENATE(PARTIDAS!$F7041," (",PARTIDAS!$G7041,")"))</f>
        <v>Aparatos de señalización acústica (los demás)</v>
      </c>
      <c r="I7041" s="16" t="s">
        <v>9427</v>
      </c>
    </row>
    <row r="7042" spans="1:9" x14ac:dyDescent="0.25">
      <c r="A7042" s="16" t="s">
        <v>7975</v>
      </c>
      <c r="B7042" s="16" t="str">
        <f>TEXT(PARTIDA[[#This Row],[PARTIDA]],"0000000000")</f>
        <v>8512400000</v>
      </c>
      <c r="C7042" s="16" t="s">
        <v>860</v>
      </c>
      <c r="D7042" s="16" t="s">
        <v>881</v>
      </c>
      <c r="E7042" s="16" t="s">
        <v>9483</v>
      </c>
      <c r="F7042" s="27" t="s">
        <v>15244</v>
      </c>
      <c r="G7042" s="27"/>
      <c r="H7042" s="16" t="str">
        <f>IF(ISBLANK(PARTIDAS!$G7042),PARTIDAS!$F7042,CONCATENATE(PARTIDAS!$F7042," (",PARTIDAS!$G7042,")"))</f>
        <v>Limpiaparabrisas y eliminadores de escarcha o vaho</v>
      </c>
      <c r="I7042" s="16" t="s">
        <v>9427</v>
      </c>
    </row>
    <row r="7043" spans="1:9" x14ac:dyDescent="0.25">
      <c r="A7043" s="16" t="s">
        <v>7976</v>
      </c>
      <c r="B7043" s="16" t="str">
        <f>TEXT(PARTIDA[[#This Row],[PARTIDA]],"0000000000")</f>
        <v>8512901000</v>
      </c>
      <c r="C7043" s="16" t="s">
        <v>860</v>
      </c>
      <c r="D7043" s="16" t="s">
        <v>881</v>
      </c>
      <c r="E7043" s="16" t="s">
        <v>9483</v>
      </c>
      <c r="F7043" s="27" t="s">
        <v>15245</v>
      </c>
      <c r="G7043" s="27"/>
      <c r="H7043" s="16" t="str">
        <f>IF(ISBLANK(PARTIDAS!$G7043),PARTIDAS!$F7043,CONCATENATE(PARTIDAS!$F7043," (",PARTIDAS!$G7043,")"))</f>
        <v>Brazos y cuchillas para limpiaparabrisas de vehículos automóviles y velocípedos</v>
      </c>
      <c r="I7043" s="16" t="s">
        <v>9427</v>
      </c>
    </row>
    <row r="7044" spans="1:9" x14ac:dyDescent="0.25">
      <c r="A7044" s="16" t="s">
        <v>7977</v>
      </c>
      <c r="B7044" s="16" t="str">
        <f>TEXT(PARTIDA[[#This Row],[PARTIDA]],"0000000000")</f>
        <v>8512909000</v>
      </c>
      <c r="C7044" s="16" t="s">
        <v>860</v>
      </c>
      <c r="D7044" s="16" t="s">
        <v>881</v>
      </c>
      <c r="E7044" s="16" t="s">
        <v>9483</v>
      </c>
      <c r="F7044" s="27" t="s">
        <v>15246</v>
      </c>
      <c r="G7044" s="27"/>
      <c r="H7044" s="16" t="str">
        <f>IF(ISBLANK(PARTIDAS!$G7044),PARTIDAS!$F7044,CONCATENATE(PARTIDAS!$F7044," (",PARTIDAS!$G7044,")"))</f>
        <v>Aparatos eléctricos de alumbrado o señalización, partes (los demás)</v>
      </c>
      <c r="I7044" s="16" t="s">
        <v>9427</v>
      </c>
    </row>
    <row r="7045" spans="1:9" x14ac:dyDescent="0.25">
      <c r="A7045" s="16" t="s">
        <v>7978</v>
      </c>
      <c r="B7045" s="16" t="str">
        <f>TEXT(PARTIDA[[#This Row],[PARTIDA]],"0000000000")</f>
        <v>8513101000</v>
      </c>
      <c r="C7045" s="16" t="s">
        <v>860</v>
      </c>
      <c r="D7045" s="16" t="s">
        <v>873</v>
      </c>
      <c r="E7045" s="16" t="s">
        <v>874</v>
      </c>
      <c r="F7045" s="27" t="s">
        <v>9280</v>
      </c>
      <c r="G7045" s="27"/>
      <c r="H7045" s="16" t="str">
        <f>IF(ISBLANK(PARTIDAS!$G7045),PARTIDAS!$F7045,CONCATENATE(PARTIDAS!$F7045," (",PARTIDAS!$G7045,")"))</f>
        <v>Lámparas, de seguridad</v>
      </c>
      <c r="I7045" s="16" t="s">
        <v>9477</v>
      </c>
    </row>
    <row r="7046" spans="1:9" x14ac:dyDescent="0.25">
      <c r="A7046" s="16" t="s">
        <v>7979</v>
      </c>
      <c r="B7046" s="16" t="str">
        <f>TEXT(PARTIDA[[#This Row],[PARTIDA]],"0000000000")</f>
        <v>8513109000</v>
      </c>
      <c r="C7046" s="16" t="s">
        <v>860</v>
      </c>
      <c r="D7046" s="16" t="s">
        <v>873</v>
      </c>
      <c r="E7046" s="16" t="s">
        <v>9480</v>
      </c>
      <c r="F7046" s="27" t="s">
        <v>876</v>
      </c>
      <c r="G7046" s="27"/>
      <c r="H7046" s="16" t="str">
        <f>IF(ISBLANK(PARTIDAS!$G7046),PARTIDAS!$F7046,CONCATENATE(PARTIDAS!$F7046," (",PARTIDAS!$G7046,")"))</f>
        <v>Herramientas</v>
      </c>
      <c r="I7046" s="16" t="s">
        <v>9427</v>
      </c>
    </row>
    <row r="7047" spans="1:9" x14ac:dyDescent="0.25">
      <c r="A7047" s="16" t="s">
        <v>7980</v>
      </c>
      <c r="B7047" s="16" t="str">
        <f>TEXT(PARTIDA[[#This Row],[PARTIDA]],"0000000000")</f>
        <v>8513900000</v>
      </c>
      <c r="C7047" s="16" t="s">
        <v>860</v>
      </c>
      <c r="D7047" s="16" t="s">
        <v>873</v>
      </c>
      <c r="E7047" s="16" t="s">
        <v>9480</v>
      </c>
      <c r="F7047" s="27" t="s">
        <v>15247</v>
      </c>
      <c r="G7047" s="27"/>
      <c r="H7047" s="16" t="str">
        <f>IF(ISBLANK(PARTIDAS!$G7047),PARTIDAS!$F7047,CONCATENATE(PARTIDAS!$F7047," (",PARTIDAS!$G7047,")"))</f>
        <v>Lámparas eléctricas portátiles diseñadas para funcionar con su propia…, partes</v>
      </c>
      <c r="I7047" s="16" t="s">
        <v>9427</v>
      </c>
    </row>
    <row r="7048" spans="1:9" x14ac:dyDescent="0.25">
      <c r="A7048" s="16" t="s">
        <v>7981</v>
      </c>
      <c r="B7048" s="16" t="str">
        <f>TEXT(PARTIDA[[#This Row],[PARTIDA]],"0000000000")</f>
        <v>8514100000</v>
      </c>
      <c r="C7048" s="16" t="s">
        <v>860</v>
      </c>
      <c r="D7048" s="16" t="s">
        <v>873</v>
      </c>
      <c r="E7048" s="16" t="s">
        <v>9480</v>
      </c>
      <c r="F7048" s="27" t="s">
        <v>15248</v>
      </c>
      <c r="G7048" s="27"/>
      <c r="H7048" s="16" t="str">
        <f>IF(ISBLANK(PARTIDAS!$G7048),PARTIDAS!$F7048,CONCATENATE(PARTIDAS!$F7048," (",PARTIDAS!$G7048,")"))</f>
        <v>Hornos de resistencia (de calentamiento indirecto)</v>
      </c>
      <c r="I7048" s="16" t="s">
        <v>9648</v>
      </c>
    </row>
    <row r="7049" spans="1:9" x14ac:dyDescent="0.25">
      <c r="A7049" s="16" t="s">
        <v>15249</v>
      </c>
      <c r="B7049" s="16" t="str">
        <f>TEXT(PARTIDA[[#This Row],[PARTIDA]],"0000000000")</f>
        <v>8514110000</v>
      </c>
      <c r="C7049" s="16" t="s">
        <v>860</v>
      </c>
      <c r="D7049" s="16" t="s">
        <v>873</v>
      </c>
      <c r="E7049" s="16" t="s">
        <v>9480</v>
      </c>
      <c r="F7049" s="27" t="s">
        <v>15250</v>
      </c>
      <c r="G7049" s="27"/>
      <c r="H7049" s="16" t="str">
        <f>IF(ISBLANK(PARTIDAS!$G7049),PARTIDAS!$F7049,CONCATENATE(PARTIDAS!$F7049," (",PARTIDAS!$G7049,")"))</f>
        <v>Prensas isostáticas en caliente</v>
      </c>
      <c r="I7049" s="16" t="s">
        <v>9427</v>
      </c>
    </row>
    <row r="7050" spans="1:9" x14ac:dyDescent="0.25">
      <c r="A7050" s="16" t="s">
        <v>15251</v>
      </c>
      <c r="B7050" s="16" t="str">
        <f>TEXT(PARTIDA[[#This Row],[PARTIDA]],"0000000000")</f>
        <v>8514190000</v>
      </c>
      <c r="C7050" s="16" t="s">
        <v>860</v>
      </c>
      <c r="D7050" s="16" t="s">
        <v>873</v>
      </c>
      <c r="E7050" s="16" t="s">
        <v>9480</v>
      </c>
      <c r="F7050" s="27" t="s">
        <v>15252</v>
      </c>
      <c r="G7050" s="27"/>
      <c r="H7050" s="16" t="str">
        <f>IF(ISBLANK(PARTIDAS!$G7050),PARTIDAS!$F7050,CONCATENATE(PARTIDAS!$F7050," (",PARTIDAS!$G7050,")"))</f>
        <v>Hornos de resistencia (de calentamiento indirecto) (los demás)</v>
      </c>
      <c r="I7050" s="16" t="s">
        <v>9427</v>
      </c>
    </row>
    <row r="7051" spans="1:9" x14ac:dyDescent="0.25">
      <c r="A7051" s="16" t="s">
        <v>7982</v>
      </c>
      <c r="B7051" s="16" t="str">
        <f>TEXT(PARTIDA[[#This Row],[PARTIDA]],"0000000000")</f>
        <v>8514200000</v>
      </c>
      <c r="C7051" s="16" t="s">
        <v>860</v>
      </c>
      <c r="D7051" s="16" t="s">
        <v>873</v>
      </c>
      <c r="E7051" s="16" t="s">
        <v>9480</v>
      </c>
      <c r="F7051" s="27" t="s">
        <v>15253</v>
      </c>
      <c r="G7051" s="27"/>
      <c r="H7051" s="16" t="str">
        <f>IF(ISBLANK(PARTIDAS!$G7051),PARTIDAS!$F7051,CONCATENATE(PARTIDAS!$F7051," (",PARTIDAS!$G7051,")"))</f>
        <v>Hornos que funcionen por inducción o pérdidas dieléctricas</v>
      </c>
      <c r="I7051" s="16" t="s">
        <v>9427</v>
      </c>
    </row>
    <row r="7052" spans="1:9" x14ac:dyDescent="0.25">
      <c r="A7052" s="16" t="s">
        <v>7983</v>
      </c>
      <c r="B7052" s="16" t="str">
        <f>TEXT(PARTIDA[[#This Row],[PARTIDA]],"0000000000")</f>
        <v>8514301000</v>
      </c>
      <c r="C7052" s="16" t="s">
        <v>860</v>
      </c>
      <c r="D7052" s="16" t="s">
        <v>873</v>
      </c>
      <c r="E7052" s="16" t="s">
        <v>9480</v>
      </c>
      <c r="F7052" s="27" t="s">
        <v>15254</v>
      </c>
      <c r="G7052" s="27"/>
      <c r="H7052" s="16" t="str">
        <f>IF(ISBLANK(PARTIDAS!$G7052),PARTIDAS!$F7052,CONCATENATE(PARTIDAS!$F7052," (",PARTIDAS!$G7052,")"))</f>
        <v>De arco</v>
      </c>
      <c r="I7052" s="16" t="s">
        <v>9648</v>
      </c>
    </row>
    <row r="7053" spans="1:9" x14ac:dyDescent="0.25">
      <c r="A7053" s="16" t="s">
        <v>7984</v>
      </c>
      <c r="B7053" s="16" t="str">
        <f>TEXT(PARTIDA[[#This Row],[PARTIDA]],"0000000000")</f>
        <v>8514309000</v>
      </c>
      <c r="C7053" s="16" t="s">
        <v>860</v>
      </c>
      <c r="D7053" s="16" t="s">
        <v>873</v>
      </c>
      <c r="E7053" s="16" t="s">
        <v>9480</v>
      </c>
      <c r="F7053" s="27" t="s">
        <v>15255</v>
      </c>
      <c r="G7053" s="27"/>
      <c r="H7053" s="16" t="str">
        <f>IF(ISBLANK(PARTIDAS!$G7053),PARTIDAS!$F7053,CONCATENATE(PARTIDAS!$F7053," (",PARTIDAS!$G7053,")"))</f>
        <v>Hornos eléctricos industriales o de laboratorio, incluidos los que fun (los demás)</v>
      </c>
      <c r="I7053" s="16" t="s">
        <v>9648</v>
      </c>
    </row>
    <row r="7054" spans="1:9" x14ac:dyDescent="0.25">
      <c r="A7054" s="16" t="s">
        <v>15256</v>
      </c>
      <c r="B7054" s="16" t="str">
        <f>TEXT(PARTIDA[[#This Row],[PARTIDA]],"0000000000")</f>
        <v>8514310000</v>
      </c>
      <c r="C7054" s="16" t="s">
        <v>860</v>
      </c>
      <c r="D7054" s="16" t="s">
        <v>873</v>
      </c>
      <c r="E7054" s="16" t="s">
        <v>9480</v>
      </c>
      <c r="F7054" s="27" t="s">
        <v>15257</v>
      </c>
      <c r="G7054" s="27"/>
      <c r="H7054" s="16" t="str">
        <f>IF(ISBLANK(PARTIDAS!$G7054),PARTIDAS!$F7054,CONCATENATE(PARTIDAS!$F7054," (",PARTIDAS!$G7054,")"))</f>
        <v>Hornos de haces de electrones</v>
      </c>
      <c r="I7054" s="16" t="s">
        <v>9427</v>
      </c>
    </row>
    <row r="7055" spans="1:9" x14ac:dyDescent="0.25">
      <c r="A7055" s="16" t="s">
        <v>15258</v>
      </c>
      <c r="B7055" s="16" t="str">
        <f>TEXT(PARTIDA[[#This Row],[PARTIDA]],"0000000000")</f>
        <v>8514320000</v>
      </c>
      <c r="C7055" s="16" t="s">
        <v>860</v>
      </c>
      <c r="D7055" s="16" t="s">
        <v>873</v>
      </c>
      <c r="E7055" s="16" t="s">
        <v>9480</v>
      </c>
      <c r="F7055" s="27" t="s">
        <v>15259</v>
      </c>
      <c r="G7055" s="27"/>
      <c r="H7055" s="16" t="str">
        <f>IF(ISBLANK(PARTIDAS!$G7055),PARTIDAS!$F7055,CONCATENATE(PARTIDAS!$F7055," (",PARTIDAS!$G7055,")"))</f>
        <v>Hornos de plasma y hornos de arco al vacío</v>
      </c>
      <c r="I7055" s="16" t="s">
        <v>9427</v>
      </c>
    </row>
    <row r="7056" spans="1:9" x14ac:dyDescent="0.25">
      <c r="A7056" s="16" t="s">
        <v>15260</v>
      </c>
      <c r="B7056" s="16" t="str">
        <f>TEXT(PARTIDA[[#This Row],[PARTIDA]],"0000000000")</f>
        <v>8514390000</v>
      </c>
      <c r="C7056" s="16" t="s">
        <v>860</v>
      </c>
      <c r="D7056" s="16" t="s">
        <v>873</v>
      </c>
      <c r="E7056" s="16" t="s">
        <v>9480</v>
      </c>
      <c r="F7056" s="27" t="s">
        <v>15261</v>
      </c>
      <c r="G7056" s="27"/>
      <c r="H7056" s="16" t="str">
        <f>IF(ISBLANK(PARTIDAS!$G7056),PARTIDAS!$F7056,CONCATENATE(PARTIDAS!$F7056," (",PARTIDAS!$G7056,")"))</f>
        <v>Hornos eléctricos industriales o de laboratorio, incluidos los que… (los demás)</v>
      </c>
      <c r="I7056" s="16" t="s">
        <v>9427</v>
      </c>
    </row>
    <row r="7057" spans="1:9" x14ac:dyDescent="0.25">
      <c r="A7057" s="16" t="s">
        <v>7985</v>
      </c>
      <c r="B7057" s="16" t="str">
        <f>TEXT(PARTIDA[[#This Row],[PARTIDA]],"0000000000")</f>
        <v>8514400000</v>
      </c>
      <c r="C7057" s="16" t="s">
        <v>860</v>
      </c>
      <c r="D7057" s="16" t="s">
        <v>873</v>
      </c>
      <c r="E7057" s="16" t="s">
        <v>9480</v>
      </c>
      <c r="F7057" s="27" t="s">
        <v>15262</v>
      </c>
      <c r="G7057" s="27"/>
      <c r="H7057" s="16" t="str">
        <f>IF(ISBLANK(PARTIDAS!$G7057),PARTIDAS!$F7057,CONCATENATE(PARTIDAS!$F7057," (",PARTIDAS!$G7057,")"))</f>
        <v>Hornos eléctricos industriales o de laboratorio, incluidos los que… (los demás, aparatos para tratamiento térmico de materias por inducción o pérdidas</v>
      </c>
      <c r="I7057" s="16" t="s">
        <v>9427</v>
      </c>
    </row>
    <row r="7058" spans="1:9" x14ac:dyDescent="0.25">
      <c r="A7058" s="16" t="s">
        <v>7986</v>
      </c>
      <c r="B7058" s="16" t="str">
        <f>TEXT(PARTIDA[[#This Row],[PARTIDA]],"0000000000")</f>
        <v>8514900000</v>
      </c>
      <c r="C7058" s="16" t="s">
        <v>860</v>
      </c>
      <c r="D7058" s="16" t="s">
        <v>873</v>
      </c>
      <c r="E7058" s="16" t="s">
        <v>9480</v>
      </c>
      <c r="F7058" s="27" t="s">
        <v>15263</v>
      </c>
      <c r="G7058" s="27"/>
      <c r="H7058" s="16" t="str">
        <f>IF(ISBLANK(PARTIDAS!$G7058),PARTIDAS!$F7058,CONCATENATE(PARTIDAS!$F7058," (",PARTIDAS!$G7058,")"))</f>
        <v>Hornos eléctricos industriales o de laboratorio, incluidos los que…, partes</v>
      </c>
      <c r="I7058" s="16" t="s">
        <v>9427</v>
      </c>
    </row>
    <row r="7059" spans="1:9" x14ac:dyDescent="0.25">
      <c r="A7059" s="16" t="s">
        <v>7987</v>
      </c>
      <c r="B7059" s="16" t="str">
        <f>TEXT(PARTIDA[[#This Row],[PARTIDA]],"0000000000")</f>
        <v>8515110000</v>
      </c>
      <c r="C7059" s="16" t="s">
        <v>860</v>
      </c>
      <c r="D7059" s="16" t="s">
        <v>873</v>
      </c>
      <c r="E7059" s="16" t="s">
        <v>9480</v>
      </c>
      <c r="F7059" s="27" t="s">
        <v>7988</v>
      </c>
      <c r="G7059" s="27"/>
      <c r="H7059" s="16" t="str">
        <f>IF(ISBLANK(PARTIDAS!$G7059),PARTIDAS!$F7059,CONCATENATE(PARTIDAS!$F7059," (",PARTIDAS!$G7059,")"))</f>
        <v>Soldadores y pistolas para soldar</v>
      </c>
      <c r="I7059" s="16" t="s">
        <v>9427</v>
      </c>
    </row>
    <row r="7060" spans="1:9" x14ac:dyDescent="0.25">
      <c r="A7060" s="16" t="s">
        <v>7989</v>
      </c>
      <c r="B7060" s="16" t="str">
        <f>TEXT(PARTIDA[[#This Row],[PARTIDA]],"0000000000")</f>
        <v>8515190000</v>
      </c>
      <c r="C7060" s="16" t="s">
        <v>860</v>
      </c>
      <c r="D7060" s="16" t="s">
        <v>873</v>
      </c>
      <c r="E7060" s="16" t="s">
        <v>9480</v>
      </c>
      <c r="F7060" s="27" t="s">
        <v>15264</v>
      </c>
      <c r="G7060" s="27"/>
      <c r="H7060" s="16" t="str">
        <f>IF(ISBLANK(PARTIDAS!$G7060),PARTIDAS!$F7060,CONCATENATE(PARTIDAS!$F7060," (",PARTIDAS!$G7060,")"))</f>
        <v>Máquinas y aparatos para soldadura fuerte o para soldadura blanda (los demás)</v>
      </c>
      <c r="I7060" s="16" t="s">
        <v>9427</v>
      </c>
    </row>
    <row r="7061" spans="1:9" x14ac:dyDescent="0.25">
      <c r="A7061" s="16" t="s">
        <v>7990</v>
      </c>
      <c r="B7061" s="16" t="str">
        <f>TEXT(PARTIDA[[#This Row],[PARTIDA]],"0000000000")</f>
        <v>8515210000</v>
      </c>
      <c r="C7061" s="16" t="s">
        <v>860</v>
      </c>
      <c r="D7061" s="16" t="s">
        <v>873</v>
      </c>
      <c r="E7061" s="16" t="s">
        <v>9480</v>
      </c>
      <c r="F7061" s="27" t="s">
        <v>15265</v>
      </c>
      <c r="G7061" s="27"/>
      <c r="H7061" s="16" t="str">
        <f>IF(ISBLANK(PARTIDAS!$G7061),PARTIDAS!$F7061,CONCATENATE(PARTIDAS!$F7061," (",PARTIDAS!$G7061,")"))</f>
        <v>Total o parcialmente automáticos</v>
      </c>
      <c r="I7061" s="16" t="s">
        <v>9427</v>
      </c>
    </row>
    <row r="7062" spans="1:9" x14ac:dyDescent="0.25">
      <c r="A7062" s="16" t="s">
        <v>7991</v>
      </c>
      <c r="B7062" s="16" t="str">
        <f>TEXT(PARTIDA[[#This Row],[PARTIDA]],"0000000000")</f>
        <v>8515290000</v>
      </c>
      <c r="C7062" s="16" t="s">
        <v>860</v>
      </c>
      <c r="D7062" s="16" t="s">
        <v>873</v>
      </c>
      <c r="E7062" s="16" t="s">
        <v>9480</v>
      </c>
      <c r="F7062" s="27" t="s">
        <v>15266</v>
      </c>
      <c r="G7062" s="27"/>
      <c r="H7062" s="16" t="str">
        <f>IF(ISBLANK(PARTIDAS!$G7062),PARTIDAS!$F7062,CONCATENATE(PARTIDAS!$F7062," (",PARTIDAS!$G7062,")"))</f>
        <v>Máquinas y aparatos para soldar metal por resistencia (los demás)</v>
      </c>
      <c r="I7062" s="16" t="s">
        <v>9427</v>
      </c>
    </row>
    <row r="7063" spans="1:9" x14ac:dyDescent="0.25">
      <c r="A7063" s="16" t="s">
        <v>7992</v>
      </c>
      <c r="B7063" s="16" t="str">
        <f>TEXT(PARTIDA[[#This Row],[PARTIDA]],"0000000000")</f>
        <v>8515310000</v>
      </c>
      <c r="C7063" s="16" t="s">
        <v>860</v>
      </c>
      <c r="D7063" s="16" t="s">
        <v>873</v>
      </c>
      <c r="E7063" s="16" t="s">
        <v>9480</v>
      </c>
      <c r="F7063" s="27" t="s">
        <v>15265</v>
      </c>
      <c r="G7063" s="27"/>
      <c r="H7063" s="16" t="str">
        <f>IF(ISBLANK(PARTIDAS!$G7063),PARTIDAS!$F7063,CONCATENATE(PARTIDAS!$F7063," (",PARTIDAS!$G7063,")"))</f>
        <v>Total o parcialmente automáticos</v>
      </c>
      <c r="I7063" s="16" t="s">
        <v>9427</v>
      </c>
    </row>
    <row r="7064" spans="1:9" x14ac:dyDescent="0.25">
      <c r="A7064" s="16" t="s">
        <v>7993</v>
      </c>
      <c r="B7064" s="16" t="str">
        <f>TEXT(PARTIDA[[#This Row],[PARTIDA]],"0000000000")</f>
        <v>8515390000</v>
      </c>
      <c r="C7064" s="16" t="s">
        <v>860</v>
      </c>
      <c r="D7064" s="16" t="s">
        <v>873</v>
      </c>
      <c r="E7064" s="16" t="s">
        <v>9480</v>
      </c>
      <c r="F7064" s="27" t="s">
        <v>15267</v>
      </c>
      <c r="G7064" s="27"/>
      <c r="H7064" s="16" t="str">
        <f>IF(ISBLANK(PARTIDAS!$G7064),PARTIDAS!$F7064,CONCATENATE(PARTIDAS!$F7064," (",PARTIDAS!$G7064,")"))</f>
        <v>Máquinas y aparatos para soldar metal, de arco o chorro de plasma (los demás)</v>
      </c>
      <c r="I7064" s="16" t="s">
        <v>9427</v>
      </c>
    </row>
    <row r="7065" spans="1:9" x14ac:dyDescent="0.25">
      <c r="A7065" s="16" t="s">
        <v>7994</v>
      </c>
      <c r="B7065" s="16" t="str">
        <f>TEXT(PARTIDA[[#This Row],[PARTIDA]],"0000000000")</f>
        <v>8515801000</v>
      </c>
      <c r="C7065" s="16" t="s">
        <v>860</v>
      </c>
      <c r="D7065" s="16" t="s">
        <v>873</v>
      </c>
      <c r="E7065" s="16" t="s">
        <v>9480</v>
      </c>
      <c r="F7065" s="27" t="s">
        <v>15268</v>
      </c>
      <c r="G7065" s="27"/>
      <c r="H7065" s="16" t="str">
        <f>IF(ISBLANK(PARTIDAS!$G7065),PARTIDAS!$F7065,CONCATENATE(PARTIDAS!$F7065," (",PARTIDAS!$G7065,")"))</f>
        <v>Por ultrasonido</v>
      </c>
      <c r="I7065" s="16" t="s">
        <v>9427</v>
      </c>
    </row>
    <row r="7066" spans="1:9" x14ac:dyDescent="0.25">
      <c r="A7066" s="16" t="s">
        <v>7995</v>
      </c>
      <c r="B7066" s="16" t="str">
        <f>TEXT(PARTIDA[[#This Row],[PARTIDA]],"0000000000")</f>
        <v>8515809000</v>
      </c>
      <c r="C7066" s="16" t="s">
        <v>860</v>
      </c>
      <c r="D7066" s="16" t="s">
        <v>873</v>
      </c>
      <c r="E7066" s="16" t="s">
        <v>9480</v>
      </c>
      <c r="F7066" s="27" t="s">
        <v>9322</v>
      </c>
      <c r="G7066" s="27"/>
      <c r="H7066" s="16" t="str">
        <f>IF(ISBLANK(PARTIDAS!$G7066),PARTIDAS!$F7066,CONCATENATE(PARTIDAS!$F7066," (",PARTIDAS!$G7066,")"))</f>
        <v>Máquinas y aparatos para soldar (aunque puedan cortar), eléctricos… (los demás)</v>
      </c>
      <c r="I7066" s="16" t="s">
        <v>9477</v>
      </c>
    </row>
    <row r="7067" spans="1:9" x14ac:dyDescent="0.25">
      <c r="A7067" s="16" t="s">
        <v>7996</v>
      </c>
      <c r="B7067" s="16" t="str">
        <f>TEXT(PARTIDA[[#This Row],[PARTIDA]],"0000000000")</f>
        <v>8515900000</v>
      </c>
      <c r="C7067" s="16" t="s">
        <v>860</v>
      </c>
      <c r="D7067" s="16" t="s">
        <v>873</v>
      </c>
      <c r="E7067" s="16" t="s">
        <v>9480</v>
      </c>
      <c r="F7067" s="27" t="s">
        <v>876</v>
      </c>
      <c r="G7067" s="27"/>
      <c r="H7067" s="16" t="str">
        <f>IF(ISBLANK(PARTIDAS!$G7067),PARTIDAS!$F7067,CONCATENATE(PARTIDAS!$F7067," (",PARTIDAS!$G7067,")"))</f>
        <v>Herramientas</v>
      </c>
      <c r="I7067" s="16" t="s">
        <v>9427</v>
      </c>
    </row>
    <row r="7068" spans="1:9" x14ac:dyDescent="0.25">
      <c r="A7068" s="16" t="s">
        <v>7997</v>
      </c>
      <c r="B7068" s="16" t="str">
        <f>TEXT(PARTIDA[[#This Row],[PARTIDA]],"0000000000")</f>
        <v>8516100000</v>
      </c>
      <c r="C7068" s="16" t="s">
        <v>786</v>
      </c>
      <c r="D7068" s="16" t="s">
        <v>799</v>
      </c>
      <c r="E7068" s="16" t="s">
        <v>806</v>
      </c>
      <c r="F7068" s="27" t="s">
        <v>15269</v>
      </c>
      <c r="G7068" s="27"/>
      <c r="H7068" s="16" t="str">
        <f>IF(ISBLANK(PARTIDAS!$G7068),PARTIDAS!$F7068,CONCATENATE(PARTIDAS!$F7068," (",PARTIDAS!$G7068,")"))</f>
        <v>Calentadores eléctricos de agua de calentamiento instantáneo o acumulación y calentadores eléctricos de inmersión</v>
      </c>
      <c r="I7068" s="16" t="s">
        <v>9427</v>
      </c>
    </row>
    <row r="7069" spans="1:9" x14ac:dyDescent="0.25">
      <c r="A7069" s="16" t="s">
        <v>7998</v>
      </c>
      <c r="B7069" s="16" t="str">
        <f>TEXT(PARTIDA[[#This Row],[PARTIDA]],"0000000000")</f>
        <v>8516210000</v>
      </c>
      <c r="C7069" s="16" t="s">
        <v>786</v>
      </c>
      <c r="D7069" s="16" t="s">
        <v>799</v>
      </c>
      <c r="E7069" s="16" t="s">
        <v>806</v>
      </c>
      <c r="F7069" s="27" t="s">
        <v>15270</v>
      </c>
      <c r="G7069" s="27"/>
      <c r="H7069" s="16" t="str">
        <f>IF(ISBLANK(PARTIDAS!$G7069),PARTIDAS!$F7069,CONCATENATE(PARTIDAS!$F7069," (",PARTIDAS!$G7069,")"))</f>
        <v>Radiadores de acumulación</v>
      </c>
      <c r="I7069" s="16" t="s">
        <v>9427</v>
      </c>
    </row>
    <row r="7070" spans="1:9" x14ac:dyDescent="0.25">
      <c r="A7070" s="16" t="s">
        <v>7999</v>
      </c>
      <c r="B7070" s="16" t="str">
        <f>TEXT(PARTIDA[[#This Row],[PARTIDA]],"0000000000")</f>
        <v>8516291000</v>
      </c>
      <c r="C7070" s="16" t="s">
        <v>786</v>
      </c>
      <c r="D7070" s="16" t="s">
        <v>799</v>
      </c>
      <c r="E7070" s="16" t="s">
        <v>806</v>
      </c>
      <c r="F7070" s="27" t="s">
        <v>15271</v>
      </c>
      <c r="G7070" s="27"/>
      <c r="H7070" s="16" t="str">
        <f>IF(ISBLANK(PARTIDAS!$G7070),PARTIDAS!$F7070,CONCATENATE(PARTIDAS!$F7070," (",PARTIDAS!$G7070,")"))</f>
        <v>Aparatos eléctricos para calefacción de espacios o suelos, estufas</v>
      </c>
      <c r="I7070" s="16" t="s">
        <v>9427</v>
      </c>
    </row>
    <row r="7071" spans="1:9" x14ac:dyDescent="0.25">
      <c r="A7071" s="16" t="s">
        <v>8000</v>
      </c>
      <c r="B7071" s="16" t="str">
        <f>TEXT(PARTIDA[[#This Row],[PARTIDA]],"0000000000")</f>
        <v>8516299000</v>
      </c>
      <c r="C7071" s="16" t="s">
        <v>786</v>
      </c>
      <c r="D7071" s="16" t="s">
        <v>799</v>
      </c>
      <c r="E7071" s="16" t="s">
        <v>806</v>
      </c>
      <c r="F7071" s="27" t="s">
        <v>15272</v>
      </c>
      <c r="G7071" s="27"/>
      <c r="H7071" s="16" t="str">
        <f>IF(ISBLANK(PARTIDAS!$G7071),PARTIDAS!$F7071,CONCATENATE(PARTIDAS!$F7071," (",PARTIDAS!$G7071,")"))</f>
        <v>Aparatos eléctricos para calefacción de espacios o suelos (los demás)</v>
      </c>
      <c r="I7071" s="16" t="s">
        <v>9427</v>
      </c>
    </row>
    <row r="7072" spans="1:9" x14ac:dyDescent="0.25">
      <c r="A7072" s="16" t="s">
        <v>8001</v>
      </c>
      <c r="B7072" s="16" t="str">
        <f>TEXT(PARTIDA[[#This Row],[PARTIDA]],"0000000000")</f>
        <v>8516310000</v>
      </c>
      <c r="C7072" s="16" t="s">
        <v>786</v>
      </c>
      <c r="D7072" s="16" t="s">
        <v>799</v>
      </c>
      <c r="E7072" s="16" t="s">
        <v>806</v>
      </c>
      <c r="F7072" s="27" t="s">
        <v>15273</v>
      </c>
      <c r="G7072" s="27"/>
      <c r="H7072" s="16" t="str">
        <f>IF(ISBLANK(PARTIDAS!$G7072),PARTIDAS!$F7072,CONCATENATE(PARTIDAS!$F7072," (",PARTIDAS!$G7072,")"))</f>
        <v>Secadores para el cabello</v>
      </c>
      <c r="I7072" s="16" t="s">
        <v>9427</v>
      </c>
    </row>
    <row r="7073" spans="1:9" x14ac:dyDescent="0.25">
      <c r="A7073" s="16" t="s">
        <v>8002</v>
      </c>
      <c r="B7073" s="16" t="str">
        <f>TEXT(PARTIDA[[#This Row],[PARTIDA]],"0000000000")</f>
        <v>8516320000</v>
      </c>
      <c r="C7073" s="16" t="s">
        <v>786</v>
      </c>
      <c r="D7073" s="16" t="s">
        <v>799</v>
      </c>
      <c r="E7073" s="16" t="s">
        <v>806</v>
      </c>
      <c r="F7073" s="27" t="s">
        <v>15274</v>
      </c>
      <c r="G7073" s="27"/>
      <c r="H7073" s="16" t="str">
        <f>IF(ISBLANK(PARTIDAS!$G7073),PARTIDAS!$F7073,CONCATENATE(PARTIDAS!$F7073," (",PARTIDAS!$G7073,")"))</f>
        <v>Aparatos electrotérmicos para el cuidado del cabello o para secar las… (los demás, aparatos para el cuidado del cabello)</v>
      </c>
      <c r="I7073" s="16" t="s">
        <v>9427</v>
      </c>
    </row>
    <row r="7074" spans="1:9" x14ac:dyDescent="0.25">
      <c r="A7074" s="16" t="s">
        <v>8003</v>
      </c>
      <c r="B7074" s="16" t="str">
        <f>TEXT(PARTIDA[[#This Row],[PARTIDA]],"0000000000")</f>
        <v>8516330000</v>
      </c>
      <c r="C7074" s="16" t="s">
        <v>786</v>
      </c>
      <c r="D7074" s="16" t="s">
        <v>799</v>
      </c>
      <c r="E7074" s="16" t="s">
        <v>806</v>
      </c>
      <c r="F7074" s="27" t="s">
        <v>15275</v>
      </c>
      <c r="G7074" s="27"/>
      <c r="H7074" s="16" t="str">
        <f>IF(ISBLANK(PARTIDAS!$G7074),PARTIDAS!$F7074,CONCATENATE(PARTIDAS!$F7074," (",PARTIDAS!$G7074,")"))</f>
        <v>Aparatos para secar las manos</v>
      </c>
      <c r="I7074" s="16" t="s">
        <v>9427</v>
      </c>
    </row>
    <row r="7075" spans="1:9" x14ac:dyDescent="0.25">
      <c r="A7075" s="16" t="s">
        <v>8004</v>
      </c>
      <c r="B7075" s="16" t="str">
        <f>TEXT(PARTIDA[[#This Row],[PARTIDA]],"0000000000")</f>
        <v>8516400000</v>
      </c>
      <c r="C7075" s="16" t="s">
        <v>786</v>
      </c>
      <c r="D7075" s="16" t="s">
        <v>799</v>
      </c>
      <c r="E7075" s="16" t="s">
        <v>806</v>
      </c>
      <c r="F7075" s="27" t="s">
        <v>15276</v>
      </c>
      <c r="G7075" s="27"/>
      <c r="H7075" s="16" t="str">
        <f>IF(ISBLANK(PARTIDAS!$G7075),PARTIDAS!$F7075,CONCATENATE(PARTIDAS!$F7075," (",PARTIDAS!$G7075,")"))</f>
        <v>Planchas eléctricas</v>
      </c>
      <c r="I7075" s="16" t="s">
        <v>9427</v>
      </c>
    </row>
    <row r="7076" spans="1:9" x14ac:dyDescent="0.25">
      <c r="A7076" s="16" t="s">
        <v>8005</v>
      </c>
      <c r="B7076" s="16" t="str">
        <f>TEXT(PARTIDA[[#This Row],[PARTIDA]],"0000000000")</f>
        <v>8516500000</v>
      </c>
      <c r="C7076" s="16" t="s">
        <v>786</v>
      </c>
      <c r="D7076" s="16" t="s">
        <v>799</v>
      </c>
      <c r="E7076" s="16" t="s">
        <v>806</v>
      </c>
      <c r="F7076" s="27" t="s">
        <v>15277</v>
      </c>
      <c r="G7076" s="27"/>
      <c r="H7076" s="16" t="str">
        <f>IF(ISBLANK(PARTIDAS!$G7076),PARTIDAS!$F7076,CONCATENATE(PARTIDAS!$F7076," (",PARTIDAS!$G7076,")"))</f>
        <v>Hornos de microondas</v>
      </c>
      <c r="I7076" s="16" t="s">
        <v>9427</v>
      </c>
    </row>
    <row r="7077" spans="1:9" x14ac:dyDescent="0.25">
      <c r="A7077" s="16" t="s">
        <v>8006</v>
      </c>
      <c r="B7077" s="16" t="str">
        <f>TEXT(PARTIDA[[#This Row],[PARTIDA]],"0000000000")</f>
        <v>8516601000</v>
      </c>
      <c r="C7077" s="16" t="s">
        <v>786</v>
      </c>
      <c r="D7077" s="16" t="s">
        <v>799</v>
      </c>
      <c r="E7077" s="16" t="s">
        <v>806</v>
      </c>
      <c r="F7077" s="27" t="s">
        <v>15278</v>
      </c>
      <c r="G7077" s="27"/>
      <c r="H7077" s="16" t="str">
        <f>IF(ISBLANK(PARTIDAS!$G7077),PARTIDAS!$F7077,CONCATENATE(PARTIDAS!$F7077," (",PARTIDAS!$G7077,")"))</f>
        <v>Calentadores eléctricos de agua de calentamiento instantáneo o…, hornos</v>
      </c>
      <c r="I7077" s="16" t="s">
        <v>9427</v>
      </c>
    </row>
    <row r="7078" spans="1:9" x14ac:dyDescent="0.25">
      <c r="A7078" s="16" t="s">
        <v>8007</v>
      </c>
      <c r="B7078" s="16" t="str">
        <f>TEXT(PARTIDA[[#This Row],[PARTIDA]],"0000000000")</f>
        <v>8516602000</v>
      </c>
      <c r="C7078" s="16" t="s">
        <v>786</v>
      </c>
      <c r="D7078" s="16" t="s">
        <v>799</v>
      </c>
      <c r="E7078" s="16" t="s">
        <v>806</v>
      </c>
      <c r="F7078" s="27" t="s">
        <v>15279</v>
      </c>
      <c r="G7078" s="27"/>
      <c r="H7078" s="16" t="str">
        <f>IF(ISBLANK(PARTIDAS!$G7078),PARTIDAS!$F7078,CONCATENATE(PARTIDAS!$F7078," (",PARTIDAS!$G7078,")"))</f>
        <v>Calentadores eléctricos de agua de calentamiento instantáneo o…, cocinas</v>
      </c>
      <c r="I7078" s="16" t="s">
        <v>9427</v>
      </c>
    </row>
    <row r="7079" spans="1:9" x14ac:dyDescent="0.25">
      <c r="A7079" s="16" t="s">
        <v>8008</v>
      </c>
      <c r="B7079" s="16" t="str">
        <f>TEXT(PARTIDA[[#This Row],[PARTIDA]],"0000000000")</f>
        <v>8516603000</v>
      </c>
      <c r="C7079" s="16" t="s">
        <v>786</v>
      </c>
      <c r="D7079" s="16" t="s">
        <v>799</v>
      </c>
      <c r="E7079" s="16" t="s">
        <v>806</v>
      </c>
      <c r="F7079" s="27" t="s">
        <v>15280</v>
      </c>
      <c r="G7079" s="27"/>
      <c r="H7079" s="16" t="str">
        <f>IF(ISBLANK(PARTIDAS!$G7079),PARTIDAS!$F7079,CONCATENATE(PARTIDAS!$F7079," (",PARTIDAS!$G7079,")"))</f>
        <v>Hornillos, parrillas y asadores</v>
      </c>
      <c r="I7079" s="16" t="s">
        <v>9427</v>
      </c>
    </row>
    <row r="7080" spans="1:9" x14ac:dyDescent="0.25">
      <c r="A7080" s="16" t="s">
        <v>8009</v>
      </c>
      <c r="B7080" s="16" t="str">
        <f>TEXT(PARTIDA[[#This Row],[PARTIDA]],"0000000000")</f>
        <v>8516710000</v>
      </c>
      <c r="C7080" s="16" t="s">
        <v>786</v>
      </c>
      <c r="D7080" s="16" t="s">
        <v>799</v>
      </c>
      <c r="E7080" s="16" t="s">
        <v>806</v>
      </c>
      <c r="F7080" s="27" t="s">
        <v>15281</v>
      </c>
      <c r="G7080" s="27"/>
      <c r="H7080" s="16" t="str">
        <f>IF(ISBLANK(PARTIDAS!$G7080),PARTIDAS!$F7080,CONCATENATE(PARTIDAS!$F7080," (",PARTIDAS!$G7080,")"))</f>
        <v>Aparatos para la preparación de café o té</v>
      </c>
      <c r="I7080" s="16" t="s">
        <v>9427</v>
      </c>
    </row>
    <row r="7081" spans="1:9" x14ac:dyDescent="0.25">
      <c r="A7081" s="16" t="s">
        <v>8010</v>
      </c>
      <c r="B7081" s="16" t="str">
        <f>TEXT(PARTIDA[[#This Row],[PARTIDA]],"0000000000")</f>
        <v>8516720000</v>
      </c>
      <c r="C7081" s="16" t="s">
        <v>786</v>
      </c>
      <c r="D7081" s="16" t="s">
        <v>799</v>
      </c>
      <c r="E7081" s="16" t="s">
        <v>806</v>
      </c>
      <c r="F7081" s="27" t="s">
        <v>15282</v>
      </c>
      <c r="G7081" s="27"/>
      <c r="H7081" s="16" t="str">
        <f>IF(ISBLANK(PARTIDAS!$G7081),PARTIDAS!$F7081,CONCATENATE(PARTIDAS!$F7081," (",PARTIDAS!$G7081,")"))</f>
        <v>Tostadoras de pan</v>
      </c>
      <c r="I7081" s="16" t="s">
        <v>9427</v>
      </c>
    </row>
    <row r="7082" spans="1:9" x14ac:dyDescent="0.25">
      <c r="A7082" s="16" t="s">
        <v>8011</v>
      </c>
      <c r="B7082" s="16" t="str">
        <f>TEXT(PARTIDA[[#This Row],[PARTIDA]],"0000000000")</f>
        <v>8516790000</v>
      </c>
      <c r="C7082" s="16" t="s">
        <v>786</v>
      </c>
      <c r="D7082" s="16" t="s">
        <v>799</v>
      </c>
      <c r="E7082" s="16" t="s">
        <v>806</v>
      </c>
      <c r="F7082" s="27" t="s">
        <v>15283</v>
      </c>
      <c r="G7082" s="27"/>
      <c r="H7082" s="16" t="str">
        <f>IF(ISBLANK(PARTIDAS!$G7082),PARTIDAS!$F7082,CONCATENATE(PARTIDAS!$F7082," (",PARTIDAS!$G7082,")"))</f>
        <v>Calentadores eléctricos de agua de calentamiento instantáneo o… (los demás)</v>
      </c>
      <c r="I7082" s="16" t="s">
        <v>9427</v>
      </c>
    </row>
    <row r="7083" spans="1:9" x14ac:dyDescent="0.25">
      <c r="A7083" s="16" t="s">
        <v>8012</v>
      </c>
      <c r="B7083" s="16" t="str">
        <f>TEXT(PARTIDA[[#This Row],[PARTIDA]],"0000000000")</f>
        <v>8516800000</v>
      </c>
      <c r="C7083" s="16" t="s">
        <v>860</v>
      </c>
      <c r="D7083" s="16" t="s">
        <v>873</v>
      </c>
      <c r="E7083" s="16" t="s">
        <v>9480</v>
      </c>
      <c r="F7083" s="27" t="s">
        <v>9374</v>
      </c>
      <c r="G7083" s="27"/>
      <c r="H7083" s="16" t="str">
        <f>IF(ISBLANK(PARTIDAS!$G7083),PARTIDAS!$F7083,CONCATENATE(PARTIDAS!$F7083," (",PARTIDAS!$G7083,")"))</f>
        <v>Resistencias calentadoras</v>
      </c>
      <c r="I7083" s="16" t="s">
        <v>9477</v>
      </c>
    </row>
    <row r="7084" spans="1:9" x14ac:dyDescent="0.25">
      <c r="A7084" s="16" t="s">
        <v>8013</v>
      </c>
      <c r="B7084" s="16" t="str">
        <f>TEXT(PARTIDA[[#This Row],[PARTIDA]],"0000000000")</f>
        <v>8516900000</v>
      </c>
      <c r="C7084" s="16" t="s">
        <v>786</v>
      </c>
      <c r="D7084" s="16" t="s">
        <v>799</v>
      </c>
      <c r="E7084" s="16" t="s">
        <v>806</v>
      </c>
      <c r="F7084" s="27" t="s">
        <v>15284</v>
      </c>
      <c r="G7084" s="27"/>
      <c r="H7084" s="16" t="str">
        <f>IF(ISBLANK(PARTIDAS!$G7084),PARTIDAS!$F7084,CONCATENATE(PARTIDAS!$F7084," (",PARTIDAS!$G7084,")"))</f>
        <v>Calentadores eléctricos de agua de calentamiento instantáneo o…, partes</v>
      </c>
      <c r="I7084" s="16" t="s">
        <v>9427</v>
      </c>
    </row>
    <row r="7085" spans="1:9" x14ac:dyDescent="0.25">
      <c r="A7085" s="16" t="s">
        <v>8014</v>
      </c>
      <c r="B7085" s="16" t="str">
        <f>TEXT(PARTIDA[[#This Row],[PARTIDA]],"0000000000")</f>
        <v>8517110000</v>
      </c>
      <c r="C7085" s="16" t="s">
        <v>860</v>
      </c>
      <c r="D7085" s="16" t="s">
        <v>873</v>
      </c>
      <c r="E7085" s="16" t="s">
        <v>874</v>
      </c>
      <c r="F7085" s="27" t="s">
        <v>15285</v>
      </c>
      <c r="G7085" s="27"/>
      <c r="H7085" s="16" t="str">
        <f>IF(ISBLANK(PARTIDAS!$G7085),PARTIDAS!$F7085,CONCATENATE(PARTIDAS!$F7085," (",PARTIDAS!$G7085,")"))</f>
        <v>Teléfonos de auricular inalámbrico combinado con micrófono</v>
      </c>
      <c r="I7085" s="16" t="s">
        <v>9427</v>
      </c>
    </row>
    <row r="7086" spans="1:9" x14ac:dyDescent="0.25">
      <c r="A7086" s="16" t="s">
        <v>8015</v>
      </c>
      <c r="B7086" s="16" t="str">
        <f>TEXT(PARTIDA[[#This Row],[PARTIDA]],"0000000000")</f>
        <v>8517120000</v>
      </c>
      <c r="C7086" s="16" t="s">
        <v>860</v>
      </c>
      <c r="D7086" s="16" t="s">
        <v>873</v>
      </c>
      <c r="E7086" s="16" t="s">
        <v>874</v>
      </c>
      <c r="F7086" s="27" t="s">
        <v>15286</v>
      </c>
      <c r="G7086" s="27"/>
      <c r="H7086" s="16" t="str">
        <f>IF(ISBLANK(PARTIDAS!$G7086),PARTIDAS!$F7086,CONCATENATE(PARTIDAS!$F7086," (",PARTIDAS!$G7086,")"))</f>
        <v>Teléfonos móviles (celulares) y los de otras redes inalámbricas</v>
      </c>
      <c r="I7086" s="16" t="s">
        <v>9648</v>
      </c>
    </row>
    <row r="7087" spans="1:9" x14ac:dyDescent="0.25">
      <c r="A7087" s="16" t="s">
        <v>15287</v>
      </c>
      <c r="B7087" s="16" t="str">
        <f>TEXT(PARTIDA[[#This Row],[PARTIDA]],"0000000000")</f>
        <v>8517130000</v>
      </c>
      <c r="C7087" s="16" t="s">
        <v>860</v>
      </c>
      <c r="D7087" s="16" t="s">
        <v>873</v>
      </c>
      <c r="E7087" s="16" t="s">
        <v>874</v>
      </c>
      <c r="F7087" s="27" t="s">
        <v>15288</v>
      </c>
      <c r="G7087" s="27"/>
      <c r="H7087" s="16" t="str">
        <f>IF(ISBLANK(PARTIDAS!$G7087),PARTIDAS!$F7087,CONCATENATE(PARTIDAS!$F7087," (",PARTIDAS!$G7087,")"))</f>
        <v>Teléfonos inteligentes</v>
      </c>
      <c r="I7087" s="16" t="s">
        <v>9427</v>
      </c>
    </row>
    <row r="7088" spans="1:9" x14ac:dyDescent="0.25">
      <c r="A7088" s="16" t="s">
        <v>15289</v>
      </c>
      <c r="B7088" s="16" t="str">
        <f>TEXT(PARTIDA[[#This Row],[PARTIDA]],"0000000000")</f>
        <v>8517140000</v>
      </c>
      <c r="C7088" s="16" t="s">
        <v>860</v>
      </c>
      <c r="D7088" s="16" t="s">
        <v>873</v>
      </c>
      <c r="E7088" s="16" t="s">
        <v>874</v>
      </c>
      <c r="F7088" s="27" t="s">
        <v>15290</v>
      </c>
      <c r="G7088" s="27"/>
      <c r="H7088" s="16" t="str">
        <f>IF(ISBLANK(PARTIDAS!$G7088),PARTIDAS!$F7088,CONCATENATE(PARTIDAS!$F7088," (",PARTIDAS!$G7088,")"))</f>
        <v>Teléfonos, incluidos los teléfonos inteligentes y demás teléfonos… (los demás, teléfonos móviles (celulares) y los de otras redes)</v>
      </c>
      <c r="I7088" s="16" t="s">
        <v>9427</v>
      </c>
    </row>
    <row r="7089" spans="1:9" x14ac:dyDescent="0.25">
      <c r="A7089" s="16" t="s">
        <v>8016</v>
      </c>
      <c r="B7089" s="16" t="str">
        <f>TEXT(PARTIDA[[#This Row],[PARTIDA]],"0000000000")</f>
        <v>8517180000</v>
      </c>
      <c r="C7089" s="16" t="s">
        <v>860</v>
      </c>
      <c r="D7089" s="16" t="s">
        <v>873</v>
      </c>
      <c r="E7089" s="16" t="s">
        <v>874</v>
      </c>
      <c r="F7089" s="27" t="s">
        <v>15291</v>
      </c>
      <c r="G7089" s="27"/>
      <c r="H7089" s="16" t="str">
        <f>IF(ISBLANK(PARTIDAS!$G7089),PARTIDAS!$F7089,CONCATENATE(PARTIDAS!$F7089," (",PARTIDAS!$G7089,")"))</f>
        <v>Teléfonos, incluidos los teléfonos inteligentes y demás teléfonos… (los demás)</v>
      </c>
      <c r="I7089" s="16" t="s">
        <v>9427</v>
      </c>
    </row>
    <row r="7090" spans="1:9" x14ac:dyDescent="0.25">
      <c r="A7090" s="16" t="s">
        <v>8017</v>
      </c>
      <c r="B7090" s="16" t="str">
        <f>TEXT(PARTIDA[[#This Row],[PARTIDA]],"0000000000")</f>
        <v>8517610000</v>
      </c>
      <c r="C7090" s="16" t="s">
        <v>860</v>
      </c>
      <c r="D7090" s="16" t="s">
        <v>873</v>
      </c>
      <c r="E7090" s="16" t="s">
        <v>874</v>
      </c>
      <c r="F7090" s="27" t="s">
        <v>15292</v>
      </c>
      <c r="G7090" s="27"/>
      <c r="H7090" s="16" t="str">
        <f>IF(ISBLANK(PARTIDAS!$G7090),PARTIDAS!$F7090,CONCATENATE(PARTIDAS!$F7090," (",PARTIDAS!$G7090,")"))</f>
        <v>Estaciones base</v>
      </c>
      <c r="I7090" s="16" t="s">
        <v>9427</v>
      </c>
    </row>
    <row r="7091" spans="1:9" x14ac:dyDescent="0.25">
      <c r="A7091" s="16" t="s">
        <v>8018</v>
      </c>
      <c r="B7091" s="16" t="str">
        <f>TEXT(PARTIDA[[#This Row],[PARTIDA]],"0000000000")</f>
        <v>8517621000</v>
      </c>
      <c r="C7091" s="16" t="s">
        <v>860</v>
      </c>
      <c r="D7091" s="16" t="s">
        <v>873</v>
      </c>
      <c r="E7091" s="16" t="s">
        <v>874</v>
      </c>
      <c r="F7091" s="27" t="s">
        <v>15293</v>
      </c>
      <c r="G7091" s="27"/>
      <c r="H7091" s="16" t="str">
        <f>IF(ISBLANK(PARTIDAS!$G7091),PARTIDAS!$F7091,CONCATENATE(PARTIDAS!$F7091," (",PARTIDAS!$G7091,")"))</f>
        <v>Aparatos de conmutación para telefonía o telegrafía, automáticos</v>
      </c>
      <c r="I7091" s="16" t="s">
        <v>9427</v>
      </c>
    </row>
    <row r="7092" spans="1:9" x14ac:dyDescent="0.25">
      <c r="A7092" s="16" t="s">
        <v>8019</v>
      </c>
      <c r="B7092" s="16" t="str">
        <f>TEXT(PARTIDA[[#This Row],[PARTIDA]],"0000000000")</f>
        <v>8517622000</v>
      </c>
      <c r="C7092" s="16" t="s">
        <v>860</v>
      </c>
      <c r="D7092" s="16" t="s">
        <v>873</v>
      </c>
      <c r="E7092" s="16" t="s">
        <v>874</v>
      </c>
      <c r="F7092" s="27" t="s">
        <v>15294</v>
      </c>
      <c r="G7092" s="27"/>
      <c r="H7092" s="16" t="str">
        <f>IF(ISBLANK(PARTIDAS!$G7092),PARTIDAS!$F7092,CONCATENATE(PARTIDAS!$F7092," (",PARTIDAS!$G7092,")"))</f>
        <v>Aparatos de telecomunicación por corriente portadora o telecomunicación digital</v>
      </c>
      <c r="I7092" s="16" t="s">
        <v>9427</v>
      </c>
    </row>
    <row r="7093" spans="1:9" x14ac:dyDescent="0.25">
      <c r="A7093" s="16" t="s">
        <v>8020</v>
      </c>
      <c r="B7093" s="16" t="str">
        <f>TEXT(PARTIDA[[#This Row],[PARTIDA]],"0000000000")</f>
        <v>8517629000</v>
      </c>
      <c r="C7093" s="16" t="s">
        <v>860</v>
      </c>
      <c r="D7093" s="16" t="s">
        <v>873</v>
      </c>
      <c r="E7093" s="16" t="s">
        <v>874</v>
      </c>
      <c r="F7093" s="27" t="s">
        <v>15295</v>
      </c>
      <c r="G7093" s="27"/>
      <c r="H7093" s="16" t="str">
        <f>IF(ISBLANK(PARTIDAS!$G7093),PARTIDAS!$F7093,CONCATENATE(PARTIDAS!$F7093," (",PARTIDAS!$G7093,")"))</f>
        <v>Aparatos para la recepción, conversión, emisión y transmisión o… (los demás)</v>
      </c>
      <c r="I7093" s="16" t="s">
        <v>9427</v>
      </c>
    </row>
    <row r="7094" spans="1:9" x14ac:dyDescent="0.25">
      <c r="A7094" s="16" t="s">
        <v>8021</v>
      </c>
      <c r="B7094" s="16" t="str">
        <f>TEXT(PARTIDA[[#This Row],[PARTIDA]],"0000000000")</f>
        <v>8517691000</v>
      </c>
      <c r="C7094" s="16" t="s">
        <v>860</v>
      </c>
      <c r="D7094" s="16" t="s">
        <v>873</v>
      </c>
      <c r="E7094" s="16" t="s">
        <v>874</v>
      </c>
      <c r="F7094" s="27" t="s">
        <v>15296</v>
      </c>
      <c r="G7094" s="27"/>
      <c r="H7094" s="16" t="str">
        <f>IF(ISBLANK(PARTIDAS!$G7094),PARTIDAS!$F7094,CONCATENATE(PARTIDAS!$F7094," (",PARTIDAS!$G7094,")"))</f>
        <v>Teléfonos, incluidos los teléfonos inteligentes y demás teléfonos…, videófonos</v>
      </c>
      <c r="I7094" s="16" t="s">
        <v>9427</v>
      </c>
    </row>
    <row r="7095" spans="1:9" x14ac:dyDescent="0.25">
      <c r="A7095" s="16" t="s">
        <v>8022</v>
      </c>
      <c r="B7095" s="16" t="str">
        <f>TEXT(PARTIDA[[#This Row],[PARTIDA]],"0000000000")</f>
        <v>8517692000</v>
      </c>
      <c r="C7095" s="16" t="s">
        <v>860</v>
      </c>
      <c r="D7095" s="16" t="s">
        <v>873</v>
      </c>
      <c r="E7095" s="16" t="s">
        <v>874</v>
      </c>
      <c r="F7095" s="27" t="s">
        <v>15297</v>
      </c>
      <c r="G7095" s="27"/>
      <c r="H7095" s="16" t="str">
        <f>IF(ISBLANK(PARTIDAS!$G7095),PARTIDAS!$F7095,CONCATENATE(PARTIDAS!$F7095," (",PARTIDAS!$G7095,")"))</f>
        <v>Aparatos emisores o receptores, de radiotelefonía o radiotelegrafía</v>
      </c>
      <c r="I7095" s="16" t="s">
        <v>9427</v>
      </c>
    </row>
    <row r="7096" spans="1:9" x14ac:dyDescent="0.25">
      <c r="A7096" s="16" t="s">
        <v>8023</v>
      </c>
      <c r="B7096" s="16" t="str">
        <f>TEXT(PARTIDA[[#This Row],[PARTIDA]],"0000000000")</f>
        <v>8517699000</v>
      </c>
      <c r="C7096" s="16" t="s">
        <v>860</v>
      </c>
      <c r="D7096" s="16" t="s">
        <v>873</v>
      </c>
      <c r="E7096" s="16" t="s">
        <v>874</v>
      </c>
      <c r="F7096" s="27" t="s">
        <v>15291</v>
      </c>
      <c r="G7096" s="27"/>
      <c r="H7096" s="16" t="str">
        <f>IF(ISBLANK(PARTIDAS!$G7096),PARTIDAS!$F7096,CONCATENATE(PARTIDAS!$F7096," (",PARTIDAS!$G7096,")"))</f>
        <v>Teléfonos, incluidos los teléfonos inteligentes y demás teléfonos… (los demás)</v>
      </c>
      <c r="I7096" s="16" t="s">
        <v>9427</v>
      </c>
    </row>
    <row r="7097" spans="1:9" x14ac:dyDescent="0.25">
      <c r="A7097" s="16" t="s">
        <v>8024</v>
      </c>
      <c r="B7097" s="16" t="str">
        <f>TEXT(PARTIDA[[#This Row],[PARTIDA]],"0000000000")</f>
        <v>8517700000</v>
      </c>
      <c r="C7097" s="16" t="s">
        <v>860</v>
      </c>
      <c r="D7097" s="16" t="s">
        <v>873</v>
      </c>
      <c r="E7097" s="16" t="s">
        <v>874</v>
      </c>
      <c r="F7097" s="27" t="s">
        <v>15298</v>
      </c>
      <c r="G7097" s="27"/>
      <c r="H7097" s="16" t="str">
        <f>IF(ISBLANK(PARTIDAS!$G7097),PARTIDAS!$F7097,CONCATENATE(PARTIDAS!$F7097," (",PARTIDAS!$G7097,")"))</f>
        <v>Partes</v>
      </c>
      <c r="I7097" s="16" t="s">
        <v>9648</v>
      </c>
    </row>
    <row r="7098" spans="1:9" x14ac:dyDescent="0.25">
      <c r="A7098" s="16" t="s">
        <v>15299</v>
      </c>
      <c r="B7098" s="16" t="str">
        <f>TEXT(PARTIDA[[#This Row],[PARTIDA]],"0000000000")</f>
        <v>8517710000</v>
      </c>
      <c r="C7098" s="16" t="s">
        <v>860</v>
      </c>
      <c r="D7098" s="16" t="s">
        <v>873</v>
      </c>
      <c r="E7098" s="16" t="s">
        <v>874</v>
      </c>
      <c r="F7098" s="27" t="s">
        <v>15300</v>
      </c>
      <c r="G7098" s="27"/>
      <c r="H7098" s="16" t="str">
        <f>IF(ISBLANK(PARTIDAS!$G7098),PARTIDAS!$F7098,CONCATENATE(PARTIDAS!$F7098," (",PARTIDAS!$G7098,")"))</f>
        <v>Antenas y reflectores de antena de cualquier tipo; partes identificables para ser utilizadas con dichos artículos</v>
      </c>
      <c r="I7098" s="16" t="s">
        <v>9427</v>
      </c>
    </row>
    <row r="7099" spans="1:9" x14ac:dyDescent="0.25">
      <c r="A7099" s="16" t="s">
        <v>15301</v>
      </c>
      <c r="B7099" s="16" t="str">
        <f>TEXT(PARTIDA[[#This Row],[PARTIDA]],"0000000000")</f>
        <v>8517790000</v>
      </c>
      <c r="C7099" s="16" t="s">
        <v>860</v>
      </c>
      <c r="D7099" s="16" t="s">
        <v>873</v>
      </c>
      <c r="E7099" s="16" t="s">
        <v>874</v>
      </c>
      <c r="F7099" s="27" t="s">
        <v>15302</v>
      </c>
      <c r="G7099" s="27"/>
      <c r="H7099" s="16" t="str">
        <f>IF(ISBLANK(PARTIDAS!$G7099),PARTIDAS!$F7099,CONCATENATE(PARTIDAS!$F7099," (",PARTIDAS!$G7099,")"))</f>
        <v>Teléfonos, incluidos los teléfonos inteligentes y…, partes (los demás)</v>
      </c>
      <c r="I7099" s="16" t="s">
        <v>9427</v>
      </c>
    </row>
    <row r="7100" spans="1:9" x14ac:dyDescent="0.25">
      <c r="A7100" s="16" t="s">
        <v>8025</v>
      </c>
      <c r="B7100" s="16" t="str">
        <f>TEXT(PARTIDA[[#This Row],[PARTIDA]],"0000000000")</f>
        <v>8518100000</v>
      </c>
      <c r="C7100" s="16" t="s">
        <v>860</v>
      </c>
      <c r="D7100" s="16" t="s">
        <v>873</v>
      </c>
      <c r="E7100" s="16" t="s">
        <v>9480</v>
      </c>
      <c r="F7100" s="27" t="s">
        <v>15303</v>
      </c>
      <c r="G7100" s="27"/>
      <c r="H7100" s="16" t="str">
        <f>IF(ISBLANK(PARTIDAS!$G7100),PARTIDAS!$F7100,CONCATENATE(PARTIDAS!$F7100," (",PARTIDAS!$G7100,")"))</f>
        <v>Micrófonos y sus soportes</v>
      </c>
      <c r="I7100" s="16" t="s">
        <v>9427</v>
      </c>
    </row>
    <row r="7101" spans="1:9" x14ac:dyDescent="0.25">
      <c r="A7101" s="16" t="s">
        <v>8026</v>
      </c>
      <c r="B7101" s="16" t="str">
        <f>TEXT(PARTIDA[[#This Row],[PARTIDA]],"0000000000")</f>
        <v>8518210000</v>
      </c>
      <c r="C7101" s="16" t="s">
        <v>860</v>
      </c>
      <c r="D7101" s="16" t="s">
        <v>873</v>
      </c>
      <c r="E7101" s="16" t="s">
        <v>9480</v>
      </c>
      <c r="F7101" s="27" t="s">
        <v>15304</v>
      </c>
      <c r="G7101" s="27"/>
      <c r="H7101" s="16" t="str">
        <f>IF(ISBLANK(PARTIDAS!$G7101),PARTIDAS!$F7101,CONCATENATE(PARTIDAS!$F7101," (",PARTIDAS!$G7101,")"))</f>
        <v>Un altavoz (altoparlante) montado en su caja</v>
      </c>
      <c r="I7101" s="16" t="s">
        <v>9427</v>
      </c>
    </row>
    <row r="7102" spans="1:9" x14ac:dyDescent="0.25">
      <c r="A7102" s="16" t="s">
        <v>8027</v>
      </c>
      <c r="B7102" s="16" t="str">
        <f>TEXT(PARTIDA[[#This Row],[PARTIDA]],"0000000000")</f>
        <v>8518220000</v>
      </c>
      <c r="C7102" s="16" t="s">
        <v>860</v>
      </c>
      <c r="D7102" s="16" t="s">
        <v>873</v>
      </c>
      <c r="E7102" s="16" t="s">
        <v>9480</v>
      </c>
      <c r="F7102" s="27" t="s">
        <v>15305</v>
      </c>
      <c r="G7102" s="27"/>
      <c r="H7102" s="16" t="str">
        <f>IF(ISBLANK(PARTIDAS!$G7102),PARTIDAS!$F7102,CONCATENATE(PARTIDAS!$F7102," (",PARTIDAS!$G7102,")"))</f>
        <v>Varios altavoces (altoparlantes) montados en una misma caja</v>
      </c>
      <c r="I7102" s="16" t="s">
        <v>9427</v>
      </c>
    </row>
    <row r="7103" spans="1:9" x14ac:dyDescent="0.25">
      <c r="A7103" s="16" t="s">
        <v>8028</v>
      </c>
      <c r="B7103" s="16" t="str">
        <f>TEXT(PARTIDA[[#This Row],[PARTIDA]],"0000000000")</f>
        <v>8518290000</v>
      </c>
      <c r="C7103" s="16" t="s">
        <v>860</v>
      </c>
      <c r="D7103" s="16" t="s">
        <v>873</v>
      </c>
      <c r="E7103" s="16" t="s">
        <v>9480</v>
      </c>
      <c r="F7103" s="27" t="s">
        <v>15306</v>
      </c>
      <c r="G7103" s="27"/>
      <c r="H7103" s="16" t="str">
        <f>IF(ISBLANK(PARTIDAS!$G7103),PARTIDAS!$F7103,CONCATENATE(PARTIDAS!$F7103," (",PARTIDAS!$G7103,")"))</f>
        <v>Altavoces (altoparlantes), incluso montados en sus cajas (los demás)</v>
      </c>
      <c r="I7103" s="16" t="s">
        <v>9427</v>
      </c>
    </row>
    <row r="7104" spans="1:9" x14ac:dyDescent="0.25">
      <c r="A7104" s="16" t="s">
        <v>8029</v>
      </c>
      <c r="B7104" s="16" t="str">
        <f>TEXT(PARTIDA[[#This Row],[PARTIDA]],"0000000000")</f>
        <v>8518300000</v>
      </c>
      <c r="C7104" s="16" t="s">
        <v>860</v>
      </c>
      <c r="D7104" s="16" t="s">
        <v>873</v>
      </c>
      <c r="E7104" s="16" t="s">
        <v>9480</v>
      </c>
      <c r="F7104" s="27" t="s">
        <v>15307</v>
      </c>
      <c r="G7104" s="27"/>
      <c r="H7104" s="16" t="str">
        <f>IF(ISBLANK(PARTIDAS!$G7104),PARTIDAS!$F7104,CONCATENATE(PARTIDAS!$F7104," (",PARTIDAS!$G7104,")"))</f>
        <v xml:space="preserve">Auriculares, incluidos los de casco, estén o no combinados con micrófono, y juegos o conjuntos constituidos por un micrófono y uno o varios altavoces </v>
      </c>
      <c r="I7104" s="16" t="s">
        <v>9427</v>
      </c>
    </row>
    <row r="7105" spans="1:9" x14ac:dyDescent="0.25">
      <c r="A7105" s="16" t="s">
        <v>8030</v>
      </c>
      <c r="B7105" s="16" t="str">
        <f>TEXT(PARTIDA[[#This Row],[PARTIDA]],"0000000000")</f>
        <v>8518400000</v>
      </c>
      <c r="C7105" s="16" t="s">
        <v>860</v>
      </c>
      <c r="D7105" s="16" t="s">
        <v>873</v>
      </c>
      <c r="E7105" s="16" t="s">
        <v>9480</v>
      </c>
      <c r="F7105" s="27" t="s">
        <v>15308</v>
      </c>
      <c r="G7105" s="27"/>
      <c r="H7105" s="16" t="str">
        <f>IF(ISBLANK(PARTIDAS!$G7105),PARTIDAS!$F7105,CONCATENATE(PARTIDAS!$F7105," (",PARTIDAS!$G7105,")"))</f>
        <v>Amplificadores eléctricos de audiofrecuencia</v>
      </c>
      <c r="I7105" s="16" t="s">
        <v>9427</v>
      </c>
    </row>
    <row r="7106" spans="1:9" x14ac:dyDescent="0.25">
      <c r="A7106" s="16" t="s">
        <v>8031</v>
      </c>
      <c r="B7106" s="16" t="str">
        <f>TEXT(PARTIDA[[#This Row],[PARTIDA]],"0000000000")</f>
        <v>8518500000</v>
      </c>
      <c r="C7106" s="16" t="s">
        <v>860</v>
      </c>
      <c r="D7106" s="16" t="s">
        <v>873</v>
      </c>
      <c r="E7106" s="16" t="s">
        <v>9480</v>
      </c>
      <c r="F7106" s="27" t="s">
        <v>15309</v>
      </c>
      <c r="G7106" s="27"/>
      <c r="H7106" s="16" t="str">
        <f>IF(ISBLANK(PARTIDAS!$G7106),PARTIDAS!$F7106,CONCATENATE(PARTIDAS!$F7106," (",PARTIDAS!$G7106,")"))</f>
        <v>Equipos eléctricos para amplificación de sonido</v>
      </c>
      <c r="I7106" s="16" t="s">
        <v>9427</v>
      </c>
    </row>
    <row r="7107" spans="1:9" x14ac:dyDescent="0.25">
      <c r="A7107" s="16" t="s">
        <v>8032</v>
      </c>
      <c r="B7107" s="16" t="str">
        <f>TEXT(PARTIDA[[#This Row],[PARTIDA]],"0000000000")</f>
        <v>8518901000</v>
      </c>
      <c r="C7107" s="16" t="s">
        <v>860</v>
      </c>
      <c r="D7107" s="16" t="s">
        <v>873</v>
      </c>
      <c r="E7107" s="16" t="s">
        <v>9480</v>
      </c>
      <c r="F7107" s="27" t="s">
        <v>15310</v>
      </c>
      <c r="G7107" s="27"/>
      <c r="H7107" s="16" t="str">
        <f>IF(ISBLANK(PARTIDAS!$G7107),PARTIDAS!$F7107,CONCATENATE(PARTIDAS!$F7107," (",PARTIDAS!$G7107,")"))</f>
        <v>Conos, diafragmas, yugos</v>
      </c>
      <c r="I7107" s="16" t="s">
        <v>9427</v>
      </c>
    </row>
    <row r="7108" spans="1:9" x14ac:dyDescent="0.25">
      <c r="A7108" s="16" t="s">
        <v>8033</v>
      </c>
      <c r="B7108" s="16" t="str">
        <f>TEXT(PARTIDA[[#This Row],[PARTIDA]],"0000000000")</f>
        <v>8518909000</v>
      </c>
      <c r="C7108" s="16" t="s">
        <v>860</v>
      </c>
      <c r="D7108" s="16" t="s">
        <v>873</v>
      </c>
      <c r="E7108" s="16" t="s">
        <v>9480</v>
      </c>
      <c r="F7108" s="27" t="s">
        <v>15311</v>
      </c>
      <c r="G7108" s="27"/>
      <c r="H7108" s="16" t="str">
        <f>IF(ISBLANK(PARTIDAS!$G7108),PARTIDAS!$F7108,CONCATENATE(PARTIDAS!$F7108," (",PARTIDAS!$G7108,")"))</f>
        <v>Micrófonos y sus soportes, partes (los demás)</v>
      </c>
      <c r="I7108" s="16" t="s">
        <v>9427</v>
      </c>
    </row>
    <row r="7109" spans="1:9" x14ac:dyDescent="0.25">
      <c r="A7109" s="16" t="s">
        <v>8034</v>
      </c>
      <c r="B7109" s="16" t="str">
        <f>TEXT(PARTIDA[[#This Row],[PARTIDA]],"0000000000")</f>
        <v>8519200000</v>
      </c>
      <c r="C7109" s="16" t="s">
        <v>786</v>
      </c>
      <c r="D7109" s="16" t="s">
        <v>799</v>
      </c>
      <c r="E7109" s="16" t="s">
        <v>806</v>
      </c>
      <c r="F7109" s="27" t="s">
        <v>15312</v>
      </c>
      <c r="G7109" s="27"/>
      <c r="H7109" s="16" t="str">
        <f>IF(ISBLANK(PARTIDAS!$G7109),PARTIDAS!$F7109,CONCATENATE(PARTIDAS!$F7109," (",PARTIDAS!$G7109,")"))</f>
        <v>Aparatos activados con monedas, billetes, tarjetas, fichas o cualquier otro medio de pago</v>
      </c>
      <c r="I7109" s="16" t="s">
        <v>9427</v>
      </c>
    </row>
    <row r="7110" spans="1:9" x14ac:dyDescent="0.25">
      <c r="A7110" s="16" t="s">
        <v>8035</v>
      </c>
      <c r="B7110" s="16" t="str">
        <f>TEXT(PARTIDA[[#This Row],[PARTIDA]],"0000000000")</f>
        <v>8519301000</v>
      </c>
      <c r="C7110" s="16" t="s">
        <v>786</v>
      </c>
      <c r="D7110" s="16" t="s">
        <v>799</v>
      </c>
      <c r="E7110" s="16" t="s">
        <v>806</v>
      </c>
      <c r="F7110" s="27" t="s">
        <v>15313</v>
      </c>
      <c r="G7110" s="27"/>
      <c r="H7110" s="16" t="str">
        <f>IF(ISBLANK(PARTIDAS!$G7110),PARTIDAS!$F7110,CONCATENATE(PARTIDAS!$F7110," (",PARTIDAS!$G7110,")"))</f>
        <v>Giradiscos, con cambiador automático de discos</v>
      </c>
      <c r="I7110" s="16" t="s">
        <v>9427</v>
      </c>
    </row>
    <row r="7111" spans="1:9" x14ac:dyDescent="0.25">
      <c r="A7111" s="16" t="s">
        <v>8036</v>
      </c>
      <c r="B7111" s="16" t="str">
        <f>TEXT(PARTIDA[[#This Row],[PARTIDA]],"0000000000")</f>
        <v>8519309000</v>
      </c>
      <c r="C7111" s="16" t="s">
        <v>786</v>
      </c>
      <c r="D7111" s="16" t="s">
        <v>799</v>
      </c>
      <c r="E7111" s="16" t="s">
        <v>806</v>
      </c>
      <c r="F7111" s="27" t="s">
        <v>15314</v>
      </c>
      <c r="G7111" s="27"/>
      <c r="H7111" s="16" t="str">
        <f>IF(ISBLANK(PARTIDAS!$G7111),PARTIDAS!$F7111,CONCATENATE(PARTIDAS!$F7111," (",PARTIDAS!$G7111,")"))</f>
        <v>Giradiscos (los demás)</v>
      </c>
      <c r="I7111" s="16" t="s">
        <v>9427</v>
      </c>
    </row>
    <row r="7112" spans="1:9" x14ac:dyDescent="0.25">
      <c r="A7112" s="16" t="s">
        <v>8037</v>
      </c>
      <c r="B7112" s="16" t="str">
        <f>TEXT(PARTIDA[[#This Row],[PARTIDA]],"0000000000")</f>
        <v>8519500000</v>
      </c>
      <c r="C7112" s="16" t="s">
        <v>786</v>
      </c>
      <c r="D7112" s="16" t="s">
        <v>799</v>
      </c>
      <c r="E7112" s="16" t="s">
        <v>806</v>
      </c>
      <c r="F7112" s="27" t="s">
        <v>15315</v>
      </c>
      <c r="G7112" s="27"/>
      <c r="H7112" s="16" t="str">
        <f>IF(ISBLANK(PARTIDAS!$G7112),PARTIDAS!$F7112,CONCATENATE(PARTIDAS!$F7112," (",PARTIDAS!$G7112,")"))</f>
        <v>Contestadores telefónicos</v>
      </c>
      <c r="I7112" s="16" t="s">
        <v>9648</v>
      </c>
    </row>
    <row r="7113" spans="1:9" x14ac:dyDescent="0.25">
      <c r="A7113" s="16" t="s">
        <v>8038</v>
      </c>
      <c r="B7113" s="16" t="str">
        <f>TEXT(PARTIDA[[#This Row],[PARTIDA]],"0000000000")</f>
        <v>8519811000</v>
      </c>
      <c r="C7113" s="16" t="s">
        <v>786</v>
      </c>
      <c r="D7113" s="16" t="s">
        <v>799</v>
      </c>
      <c r="E7113" s="16" t="s">
        <v>806</v>
      </c>
      <c r="F7113" s="27" t="s">
        <v>15316</v>
      </c>
      <c r="G7113" s="27"/>
      <c r="H7113" s="16" t="str">
        <f>IF(ISBLANK(PARTIDAS!$G7113),PARTIDAS!$F7113,CONCATENATE(PARTIDAS!$F7113," (",PARTIDAS!$G7113,")"))</f>
        <v>Aparatos de grabación de sonido, que utilizan un soporte magnético, óptico o semiconductor, reproductores de casetes (tocacasetes)</v>
      </c>
      <c r="I7113" s="16" t="s">
        <v>9427</v>
      </c>
    </row>
    <row r="7114" spans="1:9" x14ac:dyDescent="0.25">
      <c r="A7114" s="16" t="s">
        <v>8039</v>
      </c>
      <c r="B7114" s="16" t="str">
        <f>TEXT(PARTIDA[[#This Row],[PARTIDA]],"0000000000")</f>
        <v>8519812000</v>
      </c>
      <c r="C7114" s="16" t="s">
        <v>786</v>
      </c>
      <c r="D7114" s="16" t="s">
        <v>799</v>
      </c>
      <c r="E7114" s="16" t="s">
        <v>806</v>
      </c>
      <c r="F7114" s="27" t="s">
        <v>15317</v>
      </c>
      <c r="G7114" s="27"/>
      <c r="H7114" s="16" t="str">
        <f>IF(ISBLANK(PARTIDAS!$G7114),PARTIDAS!$F7114,CONCATENATE(PARTIDAS!$F7114," (",PARTIDAS!$G7114,")"))</f>
        <v>Aparatos de grabación de sonido, que utilizan un soporte magnético, óptico o semiconductor, reproductores por sistema de lectura óptica</v>
      </c>
      <c r="I7114" s="16" t="s">
        <v>9427</v>
      </c>
    </row>
    <row r="7115" spans="1:9" x14ac:dyDescent="0.25">
      <c r="A7115" s="16" t="s">
        <v>8040</v>
      </c>
      <c r="B7115" s="16" t="str">
        <f>TEXT(PARTIDA[[#This Row],[PARTIDA]],"0000000000")</f>
        <v>8519819000</v>
      </c>
      <c r="C7115" s="16" t="s">
        <v>786</v>
      </c>
      <c r="D7115" s="16" t="s">
        <v>799</v>
      </c>
      <c r="E7115" s="16" t="s">
        <v>806</v>
      </c>
      <c r="F7115" s="27" t="s">
        <v>15318</v>
      </c>
      <c r="G7115" s="27"/>
      <c r="H7115" s="16" t="str">
        <f>IF(ISBLANK(PARTIDAS!$G7115),PARTIDAS!$F7115,CONCATENATE(PARTIDAS!$F7115," (",PARTIDAS!$G7115,")"))</f>
        <v>Aparatos de grabación de sonido, que utilizan un soporte magnético, óptico o semiconductor (los demás)</v>
      </c>
      <c r="I7115" s="16" t="s">
        <v>9427</v>
      </c>
    </row>
    <row r="7116" spans="1:9" x14ac:dyDescent="0.25">
      <c r="A7116" s="16" t="s">
        <v>8041</v>
      </c>
      <c r="B7116" s="16" t="str">
        <f>TEXT(PARTIDA[[#This Row],[PARTIDA]],"0000000000")</f>
        <v>8519891000</v>
      </c>
      <c r="C7116" s="16" t="s">
        <v>786</v>
      </c>
      <c r="D7116" s="16" t="s">
        <v>799</v>
      </c>
      <c r="E7116" s="16" t="s">
        <v>806</v>
      </c>
      <c r="F7116" s="27" t="s">
        <v>15319</v>
      </c>
      <c r="G7116" s="27"/>
      <c r="H7116" s="16" t="str">
        <f>IF(ISBLANK(PARTIDAS!$G7116),PARTIDAS!$F7116,CONCATENATE(PARTIDAS!$F7116," (",PARTIDAS!$G7116,")"))</f>
        <v>Aparatos de grabación de sonido, tocadiscos</v>
      </c>
      <c r="I7116" s="16" t="s">
        <v>9427</v>
      </c>
    </row>
    <row r="7117" spans="1:9" x14ac:dyDescent="0.25">
      <c r="A7117" s="16" t="s">
        <v>8042</v>
      </c>
      <c r="B7117" s="16" t="str">
        <f>TEXT(PARTIDA[[#This Row],[PARTIDA]],"0000000000")</f>
        <v>8519899000</v>
      </c>
      <c r="C7117" s="16" t="s">
        <v>786</v>
      </c>
      <c r="D7117" s="16" t="s">
        <v>799</v>
      </c>
      <c r="E7117" s="16" t="s">
        <v>806</v>
      </c>
      <c r="F7117" s="27" t="s">
        <v>15320</v>
      </c>
      <c r="G7117" s="27"/>
      <c r="H7117" s="16" t="str">
        <f>IF(ISBLANK(PARTIDAS!$G7117),PARTIDAS!$F7117,CONCATENATE(PARTIDAS!$F7117," (",PARTIDAS!$G7117,")"))</f>
        <v>Aparatos de grabación de sonido (los demás)</v>
      </c>
      <c r="I7117" s="16" t="s">
        <v>9427</v>
      </c>
    </row>
    <row r="7118" spans="1:9" x14ac:dyDescent="0.25">
      <c r="A7118" s="16" t="s">
        <v>8043</v>
      </c>
      <c r="B7118" s="16" t="str">
        <f>TEXT(PARTIDA[[#This Row],[PARTIDA]],"0000000000")</f>
        <v>8521100000</v>
      </c>
      <c r="C7118" s="16" t="s">
        <v>786</v>
      </c>
      <c r="D7118" s="16" t="s">
        <v>799</v>
      </c>
      <c r="E7118" s="16" t="s">
        <v>806</v>
      </c>
      <c r="F7118" s="27" t="s">
        <v>15321</v>
      </c>
      <c r="G7118" s="27"/>
      <c r="H7118" s="16" t="str">
        <f>IF(ISBLANK(PARTIDAS!$G7118),PARTIDAS!$F7118,CONCATENATE(PARTIDAS!$F7118," (",PARTIDAS!$G7118,")"))</f>
        <v>Aparatos de grabación o reproducción de imagen y sonido (videos)…, de cinta magnética</v>
      </c>
      <c r="I7118" s="16" t="s">
        <v>9427</v>
      </c>
    </row>
    <row r="7119" spans="1:9" x14ac:dyDescent="0.25">
      <c r="A7119" s="16" t="s">
        <v>8044</v>
      </c>
      <c r="B7119" s="16" t="str">
        <f>TEXT(PARTIDA[[#This Row],[PARTIDA]],"0000000000")</f>
        <v>8521901000</v>
      </c>
      <c r="C7119" s="16" t="s">
        <v>786</v>
      </c>
      <c r="D7119" s="16" t="s">
        <v>799</v>
      </c>
      <c r="E7119" s="16" t="s">
        <v>806</v>
      </c>
      <c r="F7119" s="27" t="s">
        <v>15322</v>
      </c>
      <c r="G7119" s="27"/>
      <c r="H7119" s="16" t="str">
        <f>IF(ISBLANK(PARTIDAS!$G7119),PARTIDAS!$F7119,CONCATENATE(PARTIDAS!$F7119," (",PARTIDAS!$G7119,")"))</f>
        <v>Aparatos de grabación o reproducción de imagen y sonido (videos)…, del tipo de las utilizadas para grabación en discos compactos</v>
      </c>
      <c r="I7119" s="16" t="s">
        <v>9427</v>
      </c>
    </row>
    <row r="7120" spans="1:9" x14ac:dyDescent="0.25">
      <c r="A7120" s="16" t="s">
        <v>8045</v>
      </c>
      <c r="B7120" s="16" t="str">
        <f>TEXT(PARTIDA[[#This Row],[PARTIDA]],"0000000000")</f>
        <v>8521909000</v>
      </c>
      <c r="C7120" s="16" t="s">
        <v>786</v>
      </c>
      <c r="D7120" s="16" t="s">
        <v>799</v>
      </c>
      <c r="E7120" s="16" t="s">
        <v>806</v>
      </c>
      <c r="F7120" s="27" t="s">
        <v>15323</v>
      </c>
      <c r="G7120" s="27"/>
      <c r="H7120" s="16" t="str">
        <f>IF(ISBLANK(PARTIDAS!$G7120),PARTIDAS!$F7120,CONCATENATE(PARTIDAS!$F7120," (",PARTIDAS!$G7120,")"))</f>
        <v>Aparatos de grabación o reproducción de imagen y sonido (videos)… (los demás)</v>
      </c>
      <c r="I7120" s="16" t="s">
        <v>9427</v>
      </c>
    </row>
    <row r="7121" spans="1:9" x14ac:dyDescent="0.25">
      <c r="A7121" s="16" t="s">
        <v>8046</v>
      </c>
      <c r="B7121" s="16" t="str">
        <f>TEXT(PARTIDA[[#This Row],[PARTIDA]],"0000000000")</f>
        <v>8522100000</v>
      </c>
      <c r="C7121" s="16" t="s">
        <v>860</v>
      </c>
      <c r="D7121" s="16" t="s">
        <v>873</v>
      </c>
      <c r="E7121" s="16" t="s">
        <v>9480</v>
      </c>
      <c r="F7121" s="27" t="s">
        <v>15324</v>
      </c>
      <c r="G7121" s="27"/>
      <c r="H7121" s="16" t="str">
        <f>IF(ISBLANK(PARTIDAS!$G7121),PARTIDAS!$F7121,CONCATENATE(PARTIDAS!$F7121," (",PARTIDAS!$G7121,")"))</f>
        <v>Cápsulas fonocaptoras</v>
      </c>
      <c r="I7121" s="16" t="s">
        <v>9427</v>
      </c>
    </row>
    <row r="7122" spans="1:9" x14ac:dyDescent="0.25">
      <c r="A7122" s="16" t="s">
        <v>8047</v>
      </c>
      <c r="B7122" s="16" t="str">
        <f>TEXT(PARTIDA[[#This Row],[PARTIDA]],"0000000000")</f>
        <v>8522902000</v>
      </c>
      <c r="C7122" s="16" t="s">
        <v>860</v>
      </c>
      <c r="D7122" s="16" t="s">
        <v>873</v>
      </c>
      <c r="E7122" s="16" t="s">
        <v>9480</v>
      </c>
      <c r="F7122" s="27" t="s">
        <v>15325</v>
      </c>
      <c r="G7122" s="27"/>
      <c r="H7122" s="16" t="str">
        <f>IF(ISBLANK(PARTIDAS!$G7122),PARTIDAS!$F7122,CONCATENATE(PARTIDAS!$F7122," (",PARTIDAS!$G7122,")"))</f>
        <v>Muebles o cajas</v>
      </c>
      <c r="I7122" s="16" t="s">
        <v>9427</v>
      </c>
    </row>
    <row r="7123" spans="1:9" x14ac:dyDescent="0.25">
      <c r="A7123" s="16" t="s">
        <v>8048</v>
      </c>
      <c r="B7123" s="16" t="str">
        <f>TEXT(PARTIDA[[#This Row],[PARTIDA]],"0000000000")</f>
        <v>8522903000</v>
      </c>
      <c r="C7123" s="16" t="s">
        <v>860</v>
      </c>
      <c r="D7123" s="16" t="s">
        <v>873</v>
      </c>
      <c r="E7123" s="16" t="s">
        <v>9480</v>
      </c>
      <c r="F7123" s="27" t="s">
        <v>15326</v>
      </c>
      <c r="G7123" s="27"/>
      <c r="H7123" s="16" t="str">
        <f>IF(ISBLANK(PARTIDAS!$G7123),PARTIDAS!$F7123,CONCATENATE(PARTIDAS!$F7123," (",PARTIDAS!$G7123,")"))</f>
        <v>Puntas de zafiro o de diamante, sin montar</v>
      </c>
      <c r="I7123" s="16" t="s">
        <v>9427</v>
      </c>
    </row>
    <row r="7124" spans="1:9" x14ac:dyDescent="0.25">
      <c r="A7124" s="16" t="s">
        <v>8049</v>
      </c>
      <c r="B7124" s="16" t="str">
        <f>TEXT(PARTIDA[[#This Row],[PARTIDA]],"0000000000")</f>
        <v>8522904000</v>
      </c>
      <c r="C7124" s="16" t="s">
        <v>860</v>
      </c>
      <c r="D7124" s="16" t="s">
        <v>873</v>
      </c>
      <c r="E7124" s="16" t="s">
        <v>9480</v>
      </c>
      <c r="F7124" s="27" t="s">
        <v>15327</v>
      </c>
      <c r="G7124" s="27"/>
      <c r="H7124" s="16" t="str">
        <f>IF(ISBLANK(PARTIDAS!$G7124),PARTIDAS!$F7124,CONCATENATE(PARTIDAS!$F7124," (",PARTIDAS!$G7124,")"))</f>
        <v>Mecanismo reproductor por sistema de lectura óptica</v>
      </c>
      <c r="I7124" s="16" t="s">
        <v>9427</v>
      </c>
    </row>
    <row r="7125" spans="1:9" x14ac:dyDescent="0.25">
      <c r="A7125" s="16" t="s">
        <v>8050</v>
      </c>
      <c r="B7125" s="16" t="str">
        <f>TEXT(PARTIDA[[#This Row],[PARTIDA]],"0000000000")</f>
        <v>8522905000</v>
      </c>
      <c r="C7125" s="16" t="s">
        <v>860</v>
      </c>
      <c r="D7125" s="16" t="s">
        <v>873</v>
      </c>
      <c r="E7125" s="16" t="s">
        <v>9480</v>
      </c>
      <c r="F7125" s="27" t="s">
        <v>15328</v>
      </c>
      <c r="G7125" s="27"/>
      <c r="H7125" s="16" t="str">
        <f>IF(ISBLANK(PARTIDAS!$G7125),PARTIDAS!$F7125,CONCATENATE(PARTIDAS!$F7125," (",PARTIDAS!$G7125,")"))</f>
        <v>Mecanismo reproductor de casetes</v>
      </c>
      <c r="I7125" s="16" t="s">
        <v>9427</v>
      </c>
    </row>
    <row r="7126" spans="1:9" x14ac:dyDescent="0.25">
      <c r="A7126" s="16" t="s">
        <v>8051</v>
      </c>
      <c r="B7126" s="16" t="str">
        <f>TEXT(PARTIDA[[#This Row],[PARTIDA]],"0000000000")</f>
        <v>8522909000</v>
      </c>
      <c r="C7126" s="16" t="s">
        <v>860</v>
      </c>
      <c r="D7126" s="16" t="s">
        <v>873</v>
      </c>
      <c r="E7126" s="16" t="s">
        <v>9480</v>
      </c>
      <c r="F7126" s="27" t="s">
        <v>15329</v>
      </c>
      <c r="G7126" s="27"/>
      <c r="H7126" s="16" t="str">
        <f>IF(ISBLANK(PARTIDAS!$G7126),PARTIDAS!$F7126,CONCATENATE(PARTIDAS!$F7126," (",PARTIDAS!$G7126,")"))</f>
        <v>Partes y accesorios identificables como destinados, exclusiva o… (los demás)</v>
      </c>
      <c r="I7126" s="16" t="s">
        <v>9427</v>
      </c>
    </row>
    <row r="7127" spans="1:9" x14ac:dyDescent="0.25">
      <c r="A7127" s="16" t="s">
        <v>8052</v>
      </c>
      <c r="B7127" s="16" t="str">
        <f>TEXT(PARTIDA[[#This Row],[PARTIDA]],"0000000000")</f>
        <v>8523210000</v>
      </c>
      <c r="C7127" s="16" t="s">
        <v>786</v>
      </c>
      <c r="D7127" s="16" t="s">
        <v>787</v>
      </c>
      <c r="E7127" s="16" t="s">
        <v>797</v>
      </c>
      <c r="F7127" s="27" t="s">
        <v>15330</v>
      </c>
      <c r="G7127" s="27"/>
      <c r="H7127" s="16" t="str">
        <f>IF(ISBLANK(PARTIDAS!$G7127),PARTIDAS!$F7127,CONCATENATE(PARTIDAS!$F7127," (",PARTIDAS!$G7127,")"))</f>
        <v>Tarjetas con banda magnética incorporada</v>
      </c>
      <c r="I7127" s="16" t="s">
        <v>9427</v>
      </c>
    </row>
    <row r="7128" spans="1:9" x14ac:dyDescent="0.25">
      <c r="A7128" s="16" t="s">
        <v>8053</v>
      </c>
      <c r="B7128" s="16" t="str">
        <f>TEXT(PARTIDA[[#This Row],[PARTIDA]],"0000000000")</f>
        <v>8523291000</v>
      </c>
      <c r="C7128" s="16" t="s">
        <v>786</v>
      </c>
      <c r="D7128" s="16" t="s">
        <v>787</v>
      </c>
      <c r="E7128" s="16" t="s">
        <v>797</v>
      </c>
      <c r="F7128" s="27" t="s">
        <v>15331</v>
      </c>
      <c r="G7128" s="27"/>
      <c r="H7128" s="16" t="str">
        <f>IF(ISBLANK(PARTIDAS!$G7128),PARTIDAS!$F7128,CONCATENATE(PARTIDAS!$F7128," (",PARTIDAS!$G7128,")"))</f>
        <v>Discos magnéticos</v>
      </c>
      <c r="I7128" s="16" t="s">
        <v>9427</v>
      </c>
    </row>
    <row r="7129" spans="1:9" x14ac:dyDescent="0.25">
      <c r="A7129" s="16" t="s">
        <v>8054</v>
      </c>
      <c r="B7129" s="16" t="str">
        <f>TEXT(PARTIDA[[#This Row],[PARTIDA]],"0000000000")</f>
        <v>8523292100</v>
      </c>
      <c r="C7129" s="16" t="s">
        <v>786</v>
      </c>
      <c r="D7129" s="16" t="s">
        <v>787</v>
      </c>
      <c r="E7129" s="16" t="s">
        <v>797</v>
      </c>
      <c r="F7129" s="27" t="s">
        <v>15332</v>
      </c>
      <c r="G7129" s="27"/>
      <c r="H7129" s="16" t="str">
        <f>IF(ISBLANK(PARTIDAS!$G7129),PARTIDAS!$F7129,CONCATENATE(PARTIDAS!$F7129," (",PARTIDAS!$G7129,")"))</f>
        <v>Cintas magnéticas sin grabar, de anchura inferior o igual a 4 mm</v>
      </c>
      <c r="I7129" s="16" t="s">
        <v>9427</v>
      </c>
    </row>
    <row r="7130" spans="1:9" x14ac:dyDescent="0.25">
      <c r="A7130" s="16" t="s">
        <v>8055</v>
      </c>
      <c r="B7130" s="16" t="str">
        <f>TEXT(PARTIDA[[#This Row],[PARTIDA]],"0000000000")</f>
        <v>8523292200</v>
      </c>
      <c r="C7130" s="16" t="s">
        <v>786</v>
      </c>
      <c r="D7130" s="16" t="s">
        <v>787</v>
      </c>
      <c r="E7130" s="16" t="s">
        <v>797</v>
      </c>
      <c r="F7130" s="27" t="s">
        <v>15333</v>
      </c>
      <c r="G7130" s="27"/>
      <c r="H7130" s="16" t="str">
        <f>IF(ISBLANK(PARTIDAS!$G7130),PARTIDAS!$F7130,CONCATENATE(PARTIDAS!$F7130," (",PARTIDAS!$G7130,")"))</f>
        <v>Cintas magnéticas sin grabar, de anchura superior a 4 mm pero inferior o igual a 6,5 mm</v>
      </c>
      <c r="I7130" s="16" t="s">
        <v>9427</v>
      </c>
    </row>
    <row r="7131" spans="1:9" x14ac:dyDescent="0.25">
      <c r="A7131" s="16" t="s">
        <v>8056</v>
      </c>
      <c r="B7131" s="16" t="str">
        <f>TEXT(PARTIDA[[#This Row],[PARTIDA]],"0000000000")</f>
        <v>8523292300</v>
      </c>
      <c r="C7131" s="16" t="s">
        <v>786</v>
      </c>
      <c r="D7131" s="16" t="s">
        <v>787</v>
      </c>
      <c r="E7131" s="16" t="s">
        <v>797</v>
      </c>
      <c r="F7131" s="27" t="s">
        <v>15334</v>
      </c>
      <c r="G7131" s="27"/>
      <c r="H7131" s="16" t="str">
        <f>IF(ISBLANK(PARTIDAS!$G7131),PARTIDAS!$F7131,CONCATENATE(PARTIDAS!$F7131," (",PARTIDAS!$G7131,")"))</f>
        <v>Cintas magnéticas sin grabar, de anchura superior a 6,5 mm</v>
      </c>
      <c r="I7131" s="16" t="s">
        <v>9427</v>
      </c>
    </row>
    <row r="7132" spans="1:9" x14ac:dyDescent="0.25">
      <c r="A7132" s="16" t="s">
        <v>8057</v>
      </c>
      <c r="B7132" s="16" t="str">
        <f>TEXT(PARTIDA[[#This Row],[PARTIDA]],"0000000000")</f>
        <v>8523293110</v>
      </c>
      <c r="C7132" s="16" t="s">
        <v>786</v>
      </c>
      <c r="D7132" s="16" t="s">
        <v>787</v>
      </c>
      <c r="E7132" s="16" t="s">
        <v>797</v>
      </c>
      <c r="F7132" s="27" t="s">
        <v>7972</v>
      </c>
      <c r="G7132" s="27"/>
      <c r="H7132" s="16" t="str">
        <f>IF(ISBLANK(PARTIDAS!$G7132),PARTIDAS!$F7132,CONCATENATE(PARTIDAS!$F7132," (",PARTIDAS!$G7132,")"))</f>
        <v>Aparatos eléctricos</v>
      </c>
      <c r="I7132" s="16" t="s">
        <v>9427</v>
      </c>
    </row>
    <row r="7133" spans="1:9" x14ac:dyDescent="0.25">
      <c r="A7133" s="16" t="s">
        <v>8058</v>
      </c>
      <c r="B7133" s="16" t="str">
        <f>TEXT(PARTIDA[[#This Row],[PARTIDA]],"0000000000")</f>
        <v>8523293190</v>
      </c>
      <c r="C7133" s="16" t="s">
        <v>786</v>
      </c>
      <c r="D7133" s="16" t="s">
        <v>787</v>
      </c>
      <c r="E7133" s="16" t="s">
        <v>797</v>
      </c>
      <c r="F7133" s="27" t="s">
        <v>15335</v>
      </c>
      <c r="G7133" s="27"/>
      <c r="H7133" s="16" t="str">
        <f>IF(ISBLANK(PARTIDAS!$G7133),PARTIDAS!$F7133,CONCATENATE(PARTIDAS!$F7133," (",PARTIDAS!$G7133,")"))</f>
        <v>Cintas magnéticas grabadas, de anchura inferior o igual a 4 mm (los demás)</v>
      </c>
      <c r="I7133" s="16" t="s">
        <v>9427</v>
      </c>
    </row>
    <row r="7134" spans="1:9" x14ac:dyDescent="0.25">
      <c r="A7134" s="16" t="s">
        <v>8059</v>
      </c>
      <c r="B7134" s="16" t="str">
        <f>TEXT(PARTIDA[[#This Row],[PARTIDA]],"0000000000")</f>
        <v>8523293210</v>
      </c>
      <c r="C7134" s="16" t="s">
        <v>786</v>
      </c>
      <c r="D7134" s="16" t="s">
        <v>787</v>
      </c>
      <c r="E7134" s="16" t="s">
        <v>797</v>
      </c>
      <c r="F7134" s="27" t="s">
        <v>15336</v>
      </c>
      <c r="G7134" s="27"/>
      <c r="H7134" s="16" t="str">
        <f>IF(ISBLANK(PARTIDAS!$G7134),PARTIDAS!$F7134,CONCATENATE(PARTIDAS!$F7134," (",PARTIDAS!$G7134,")"))</f>
        <v>Cintas magnéticas grabadas, de anchura superior a 4 mm pero inferior o igual a 6,5 mm, para reproducir fenómenos distintos del sonido o imagen</v>
      </c>
      <c r="I7134" s="16" t="s">
        <v>9427</v>
      </c>
    </row>
    <row r="7135" spans="1:9" x14ac:dyDescent="0.25">
      <c r="A7135" s="16" t="s">
        <v>8060</v>
      </c>
      <c r="B7135" s="16" t="str">
        <f>TEXT(PARTIDA[[#This Row],[PARTIDA]],"0000000000")</f>
        <v>8523293290</v>
      </c>
      <c r="C7135" s="16" t="s">
        <v>786</v>
      </c>
      <c r="D7135" s="16" t="s">
        <v>787</v>
      </c>
      <c r="E7135" s="16" t="s">
        <v>797</v>
      </c>
      <c r="F7135" s="27" t="s">
        <v>15337</v>
      </c>
      <c r="G7135" s="27"/>
      <c r="H7135" s="16" t="str">
        <f>IF(ISBLANK(PARTIDAS!$G7135),PARTIDAS!$F7135,CONCATENATE(PARTIDAS!$F7135," (",PARTIDAS!$G7135,")"))</f>
        <v>Cintas magnéticas grabadas, de anchura superior a 4 mm pero inferior o igual a 6,5 mm (los demás)</v>
      </c>
      <c r="I7135" s="16" t="s">
        <v>9427</v>
      </c>
    </row>
    <row r="7136" spans="1:9" x14ac:dyDescent="0.25">
      <c r="A7136" s="16" t="s">
        <v>8061</v>
      </c>
      <c r="B7136" s="16" t="str">
        <f>TEXT(PARTIDA[[#This Row],[PARTIDA]],"0000000000")</f>
        <v>8523293310</v>
      </c>
      <c r="C7136" s="16" t="s">
        <v>786</v>
      </c>
      <c r="D7136" s="16" t="s">
        <v>787</v>
      </c>
      <c r="E7136" s="16" t="s">
        <v>797</v>
      </c>
      <c r="F7136" s="27" t="s">
        <v>15338</v>
      </c>
      <c r="G7136" s="27"/>
      <c r="H7136" s="16" t="str">
        <f>IF(ISBLANK(PARTIDAS!$G7136),PARTIDAS!$F7136,CONCATENATE(PARTIDAS!$F7136," (",PARTIDAS!$G7136,")"))</f>
        <v>Cintas magnéticas grabadas, de anchura superior a 6,5 mm, para reproducir fenómenos distintos del sonido o imagen</v>
      </c>
      <c r="I7136" s="16" t="s">
        <v>9427</v>
      </c>
    </row>
    <row r="7137" spans="1:9" x14ac:dyDescent="0.25">
      <c r="A7137" s="16" t="s">
        <v>8062</v>
      </c>
      <c r="B7137" s="16" t="str">
        <f>TEXT(PARTIDA[[#This Row],[PARTIDA]],"0000000000")</f>
        <v>8523293390</v>
      </c>
      <c r="C7137" s="16" t="s">
        <v>786</v>
      </c>
      <c r="D7137" s="16" t="s">
        <v>787</v>
      </c>
      <c r="E7137" s="16" t="s">
        <v>797</v>
      </c>
      <c r="F7137" s="27" t="s">
        <v>15339</v>
      </c>
      <c r="G7137" s="27"/>
      <c r="H7137" s="16" t="str">
        <f>IF(ISBLANK(PARTIDAS!$G7137),PARTIDAS!$F7137,CONCATENATE(PARTIDAS!$F7137," (",PARTIDAS!$G7137,")"))</f>
        <v>Cintas magnéticas grabadas, de anchura superior a 6,5 mm (los demás)</v>
      </c>
      <c r="I7137" s="16" t="s">
        <v>9427</v>
      </c>
    </row>
    <row r="7138" spans="1:9" x14ac:dyDescent="0.25">
      <c r="A7138" s="16" t="s">
        <v>8063</v>
      </c>
      <c r="B7138" s="16" t="str">
        <f>TEXT(PARTIDA[[#This Row],[PARTIDA]],"0000000000")</f>
        <v>8523299000</v>
      </c>
      <c r="C7138" s="16" t="s">
        <v>786</v>
      </c>
      <c r="D7138" s="16" t="s">
        <v>787</v>
      </c>
      <c r="E7138" s="16" t="s">
        <v>797</v>
      </c>
      <c r="F7138" s="27" t="s">
        <v>15340</v>
      </c>
      <c r="G7138" s="27"/>
      <c r="H7138" s="16" t="str">
        <f>IF(ISBLANK(PARTIDAS!$G7138),PARTIDAS!$F7138,CONCATENATE(PARTIDAS!$F7138," (",PARTIDAS!$G7138,")"))</f>
        <v>Soportes magnéticos (los demás)</v>
      </c>
      <c r="I7138" s="16" t="s">
        <v>9427</v>
      </c>
    </row>
    <row r="7139" spans="1:9" x14ac:dyDescent="0.25">
      <c r="A7139" s="16" t="s">
        <v>8064</v>
      </c>
      <c r="B7139" s="16" t="str">
        <f>TEXT(PARTIDA[[#This Row],[PARTIDA]],"0000000000")</f>
        <v>8523410000</v>
      </c>
      <c r="C7139" s="16" t="s">
        <v>786</v>
      </c>
      <c r="D7139" s="16" t="s">
        <v>787</v>
      </c>
      <c r="E7139" s="16" t="s">
        <v>797</v>
      </c>
      <c r="F7139" s="27" t="s">
        <v>15341</v>
      </c>
      <c r="G7139" s="27"/>
      <c r="H7139" s="16" t="str">
        <f>IF(ISBLANK(PARTIDAS!$G7139),PARTIDAS!$F7139,CONCATENATE(PARTIDAS!$F7139," (",PARTIDAS!$G7139,")"))</f>
        <v>Soportes ópticos, sin grabar</v>
      </c>
      <c r="I7139" s="16" t="s">
        <v>9427</v>
      </c>
    </row>
    <row r="7140" spans="1:9" x14ac:dyDescent="0.25">
      <c r="A7140" s="16" t="s">
        <v>8065</v>
      </c>
      <c r="B7140" s="16" t="str">
        <f>TEXT(PARTIDA[[#This Row],[PARTIDA]],"0000000000")</f>
        <v>8523491000</v>
      </c>
      <c r="C7140" s="16" t="s">
        <v>786</v>
      </c>
      <c r="D7140" s="16" t="s">
        <v>787</v>
      </c>
      <c r="E7140" s="16" t="s">
        <v>797</v>
      </c>
      <c r="F7140" s="27" t="s">
        <v>15342</v>
      </c>
      <c r="G7140" s="27"/>
      <c r="H7140" s="16" t="str">
        <f>IF(ISBLANK(PARTIDAS!$G7140),PARTIDAS!$F7140,CONCATENATE(PARTIDAS!$F7140," (",PARTIDAS!$G7140,")"))</f>
        <v>Soportes ópticos, para reproducir sonido</v>
      </c>
      <c r="I7140" s="16" t="s">
        <v>9427</v>
      </c>
    </row>
    <row r="7141" spans="1:9" x14ac:dyDescent="0.25">
      <c r="A7141" s="16" t="s">
        <v>8066</v>
      </c>
      <c r="B7141" s="16" t="str">
        <f>TEXT(PARTIDA[[#This Row],[PARTIDA]],"0000000000")</f>
        <v>8523492000</v>
      </c>
      <c r="C7141" s="16" t="s">
        <v>786</v>
      </c>
      <c r="D7141" s="16" t="s">
        <v>787</v>
      </c>
      <c r="E7141" s="16" t="s">
        <v>797</v>
      </c>
      <c r="F7141" s="27" t="s">
        <v>15343</v>
      </c>
      <c r="G7141" s="27"/>
      <c r="H7141" s="16" t="str">
        <f>IF(ISBLANK(PARTIDAS!$G7141),PARTIDAS!$F7141,CONCATENATE(PARTIDAS!$F7141," (",PARTIDAS!$G7141,")"))</f>
        <v>Soportes ópticos, para reproducir imagen o imagen y sonido</v>
      </c>
      <c r="I7141" s="16" t="s">
        <v>9427</v>
      </c>
    </row>
    <row r="7142" spans="1:9" x14ac:dyDescent="0.25">
      <c r="A7142" s="16" t="s">
        <v>8067</v>
      </c>
      <c r="B7142" s="16" t="str">
        <f>TEXT(PARTIDA[[#This Row],[PARTIDA]],"0000000000")</f>
        <v>8523499000</v>
      </c>
      <c r="C7142" s="16" t="s">
        <v>786</v>
      </c>
      <c r="D7142" s="16" t="s">
        <v>787</v>
      </c>
      <c r="E7142" s="16" t="s">
        <v>797</v>
      </c>
      <c r="F7142" s="27" t="s">
        <v>15344</v>
      </c>
      <c r="G7142" s="27"/>
      <c r="H7142" s="16" t="str">
        <f>IF(ISBLANK(PARTIDAS!$G7142),PARTIDAS!$F7142,CONCATENATE(PARTIDAS!$F7142," (",PARTIDAS!$G7142,")"))</f>
        <v>Soportes ópticos (los demás)</v>
      </c>
      <c r="I7142" s="16" t="s">
        <v>9427</v>
      </c>
    </row>
    <row r="7143" spans="1:9" x14ac:dyDescent="0.25">
      <c r="A7143" s="16" t="s">
        <v>8068</v>
      </c>
      <c r="B7143" s="16" t="str">
        <f>TEXT(PARTIDA[[#This Row],[PARTIDA]],"0000000000")</f>
        <v>8523510000</v>
      </c>
      <c r="C7143" s="16" t="s">
        <v>786</v>
      </c>
      <c r="D7143" s="16" t="s">
        <v>787</v>
      </c>
      <c r="E7143" s="16" t="s">
        <v>797</v>
      </c>
      <c r="F7143" s="27" t="s">
        <v>15345</v>
      </c>
      <c r="G7143" s="27"/>
      <c r="H7143" s="16" t="str">
        <f>IF(ISBLANK(PARTIDAS!$G7143),PARTIDAS!$F7143,CONCATENATE(PARTIDAS!$F7143," (",PARTIDAS!$G7143,")"))</f>
        <v>Dispositivos de almacenamiento permanente de datos a base de semiconductores</v>
      </c>
      <c r="I7143" s="16" t="s">
        <v>9427</v>
      </c>
    </row>
    <row r="7144" spans="1:9" x14ac:dyDescent="0.25">
      <c r="A7144" s="16" t="s">
        <v>8069</v>
      </c>
      <c r="B7144" s="16" t="str">
        <f>TEXT(PARTIDA[[#This Row],[PARTIDA]],"0000000000")</f>
        <v>8523520000</v>
      </c>
      <c r="C7144" s="16" t="s">
        <v>786</v>
      </c>
      <c r="D7144" s="16" t="s">
        <v>787</v>
      </c>
      <c r="E7144" s="16" t="s">
        <v>797</v>
      </c>
      <c r="F7144" s="27" t="s">
        <v>8070</v>
      </c>
      <c r="G7144" s="27"/>
      <c r="H7144" s="16" t="str">
        <f>IF(ISBLANK(PARTIDAS!$G7144),PARTIDAS!$F7144,CONCATENATE(PARTIDAS!$F7144," (",PARTIDAS!$G7144,")"))</f>
        <v>Tarjetas inteligentes</v>
      </c>
      <c r="I7144" s="16" t="s">
        <v>9427</v>
      </c>
    </row>
    <row r="7145" spans="1:9" x14ac:dyDescent="0.25">
      <c r="A7145" s="16" t="s">
        <v>8071</v>
      </c>
      <c r="B7145" s="16" t="str">
        <f>TEXT(PARTIDA[[#This Row],[PARTIDA]],"0000000000")</f>
        <v>8523591000</v>
      </c>
      <c r="C7145" s="16" t="s">
        <v>786</v>
      </c>
      <c r="D7145" s="16" t="s">
        <v>787</v>
      </c>
      <c r="E7145" s="16" t="s">
        <v>797</v>
      </c>
      <c r="F7145" s="27" t="s">
        <v>15346</v>
      </c>
      <c r="G7145" s="27"/>
      <c r="H7145" s="16" t="str">
        <f>IF(ISBLANK(PARTIDAS!$G7145),PARTIDAS!$F7145,CONCATENATE(PARTIDAS!$F7145," (",PARTIDAS!$G7145,")"))</f>
        <v>Tarjetas y etiquetas de activación por proximidad</v>
      </c>
      <c r="I7145" s="16" t="s">
        <v>9427</v>
      </c>
    </row>
    <row r="7146" spans="1:9" x14ac:dyDescent="0.25">
      <c r="A7146" s="16" t="s">
        <v>8072</v>
      </c>
      <c r="B7146" s="16" t="str">
        <f>TEXT(PARTIDA[[#This Row],[PARTIDA]],"0000000000")</f>
        <v>8523599000</v>
      </c>
      <c r="C7146" s="16" t="s">
        <v>786</v>
      </c>
      <c r="D7146" s="16" t="s">
        <v>787</v>
      </c>
      <c r="E7146" s="16" t="s">
        <v>797</v>
      </c>
      <c r="F7146" s="27" t="s">
        <v>7972</v>
      </c>
      <c r="G7146" s="27"/>
      <c r="H7146" s="16" t="str">
        <f>IF(ISBLANK(PARTIDAS!$G7146),PARTIDAS!$F7146,CONCATENATE(PARTIDAS!$F7146," (",PARTIDAS!$G7146,")"))</f>
        <v>Aparatos eléctricos</v>
      </c>
      <c r="I7146" s="16" t="s">
        <v>9427</v>
      </c>
    </row>
    <row r="7147" spans="1:9" x14ac:dyDescent="0.25">
      <c r="A7147" s="16" t="s">
        <v>8073</v>
      </c>
      <c r="B7147" s="16" t="str">
        <f>TEXT(PARTIDA[[#This Row],[PARTIDA]],"0000000000")</f>
        <v>8523801000</v>
      </c>
      <c r="C7147" s="16" t="s">
        <v>786</v>
      </c>
      <c r="D7147" s="16" t="s">
        <v>787</v>
      </c>
      <c r="E7147" s="16" t="s">
        <v>797</v>
      </c>
      <c r="F7147" s="27" t="s">
        <v>15347</v>
      </c>
      <c r="G7147" s="27"/>
      <c r="H7147" s="16" t="str">
        <f>IF(ISBLANK(PARTIDAS!$G7147),PARTIDAS!$F7147,CONCATENATE(PARTIDAS!$F7147," (",PARTIDAS!$G7147,")"))</f>
        <v>Discos («ceras» vírgenes y «flanes»), cintas, películas y demás moldes o matrices preparados</v>
      </c>
      <c r="I7147" s="16" t="s">
        <v>9427</v>
      </c>
    </row>
    <row r="7148" spans="1:9" x14ac:dyDescent="0.25">
      <c r="A7148" s="16" t="s">
        <v>15348</v>
      </c>
      <c r="B7148" s="16" t="str">
        <f>TEXT(PARTIDA[[#This Row],[PARTIDA]],"0000000000")</f>
        <v>8523802100</v>
      </c>
      <c r="C7148" s="16" t="s">
        <v>786</v>
      </c>
      <c r="D7148" s="16" t="s">
        <v>787</v>
      </c>
      <c r="E7148" s="16" t="s">
        <v>797</v>
      </c>
      <c r="F7148" s="27" t="s">
        <v>15349</v>
      </c>
      <c r="G7148" s="27"/>
      <c r="H7148" s="16" t="str">
        <f>IF(ISBLANK(PARTIDAS!$G7148),PARTIDAS!$F7148,CONCATENATE(PARTIDAS!$F7148," (",PARTIDAS!$G7148,")"))</f>
        <v>Discos para tocadiscos, de enseñanza</v>
      </c>
      <c r="I7148" s="16" t="s">
        <v>9427</v>
      </c>
    </row>
    <row r="7149" spans="1:9" x14ac:dyDescent="0.25">
      <c r="A7149" s="16" t="s">
        <v>8074</v>
      </c>
      <c r="B7149" s="16" t="str">
        <f>TEXT(PARTIDA[[#This Row],[PARTIDA]],"0000000000")</f>
        <v>8523802110</v>
      </c>
      <c r="C7149" s="16" t="s">
        <v>786</v>
      </c>
      <c r="D7149" s="16" t="s">
        <v>787</v>
      </c>
      <c r="E7149" s="16" t="s">
        <v>797</v>
      </c>
      <c r="F7149" s="27" t="s">
        <v>15350</v>
      </c>
      <c r="G7149" s="27"/>
      <c r="H7149" s="16" t="str">
        <f>IF(ISBLANK(PARTIDAS!$G7149),PARTIDAS!$F7149,CONCATENATE(PARTIDAS!$F7149," (",PARTIDAS!$G7149,")"))</f>
        <v>Sin grabar</v>
      </c>
      <c r="I7149" s="16" t="s">
        <v>9648</v>
      </c>
    </row>
    <row r="7150" spans="1:9" x14ac:dyDescent="0.25">
      <c r="A7150" s="16" t="s">
        <v>8075</v>
      </c>
      <c r="B7150" s="16" t="str">
        <f>TEXT(PARTIDA[[#This Row],[PARTIDA]],"0000000000")</f>
        <v>8523802120</v>
      </c>
      <c r="C7150" s="16" t="s">
        <v>786</v>
      </c>
      <c r="D7150" s="16" t="s">
        <v>787</v>
      </c>
      <c r="E7150" s="16" t="s">
        <v>797</v>
      </c>
      <c r="F7150" s="27" t="s">
        <v>15351</v>
      </c>
      <c r="G7150" s="27"/>
      <c r="H7150" s="16" t="str">
        <f>IF(ISBLANK(PARTIDAS!$G7150),PARTIDAS!$F7150,CONCATENATE(PARTIDAS!$F7150," (",PARTIDAS!$G7150,")"))</f>
        <v>Grabados</v>
      </c>
      <c r="I7150" s="16" t="s">
        <v>9648</v>
      </c>
    </row>
    <row r="7151" spans="1:9" x14ac:dyDescent="0.25">
      <c r="A7151" s="16" t="s">
        <v>8076</v>
      </c>
      <c r="B7151" s="16" t="str">
        <f>TEXT(PARTIDA[[#This Row],[PARTIDA]],"0000000000")</f>
        <v>8523802910</v>
      </c>
      <c r="C7151" s="16" t="s">
        <v>786</v>
      </c>
      <c r="D7151" s="16" t="s">
        <v>787</v>
      </c>
      <c r="E7151" s="16" t="s">
        <v>797</v>
      </c>
      <c r="F7151" s="27" t="s">
        <v>15352</v>
      </c>
      <c r="G7151" s="27"/>
      <c r="H7151" s="16" t="str">
        <f>IF(ISBLANK(PARTIDAS!$G7151),PARTIDAS!$F7151,CONCATENATE(PARTIDAS!$F7151," (",PARTIDAS!$G7151,")"))</f>
        <v>Discos para tocadiscos, sin grabar</v>
      </c>
      <c r="I7151" s="16" t="s">
        <v>9427</v>
      </c>
    </row>
    <row r="7152" spans="1:9" x14ac:dyDescent="0.25">
      <c r="A7152" s="16" t="s">
        <v>8077</v>
      </c>
      <c r="B7152" s="16" t="str">
        <f>TEXT(PARTIDA[[#This Row],[PARTIDA]],"0000000000")</f>
        <v>8523802920</v>
      </c>
      <c r="C7152" s="16" t="s">
        <v>786</v>
      </c>
      <c r="D7152" s="16" t="s">
        <v>787</v>
      </c>
      <c r="E7152" s="16" t="s">
        <v>797</v>
      </c>
      <c r="F7152" s="27" t="s">
        <v>15353</v>
      </c>
      <c r="G7152" s="27"/>
      <c r="H7152" s="16" t="str">
        <f>IF(ISBLANK(PARTIDAS!$G7152),PARTIDAS!$F7152,CONCATENATE(PARTIDAS!$F7152," (",PARTIDAS!$G7152,")"))</f>
        <v>Discos para tocadiscos, grabados</v>
      </c>
      <c r="I7152" s="16" t="s">
        <v>9427</v>
      </c>
    </row>
    <row r="7153" spans="1:9" x14ac:dyDescent="0.25">
      <c r="A7153" s="16" t="s">
        <v>8078</v>
      </c>
      <c r="B7153" s="16" t="str">
        <f>TEXT(PARTIDA[[#This Row],[PARTIDA]],"0000000000")</f>
        <v>8523803000</v>
      </c>
      <c r="C7153" s="16" t="s">
        <v>786</v>
      </c>
      <c r="D7153" s="16" t="s">
        <v>787</v>
      </c>
      <c r="E7153" s="16" t="s">
        <v>797</v>
      </c>
      <c r="F7153" s="27" t="s">
        <v>15354</v>
      </c>
      <c r="G7153" s="27"/>
      <c r="H7153" s="16" t="str">
        <f>IF(ISBLANK(PARTIDAS!$G7153),PARTIDAS!$F7153,CONCATENATE(PARTIDAS!$F7153," (",PARTIDAS!$G7153,")"))</f>
        <v>Discos, cintas, dispositivos de almacenamiento permanente de datos a…, para reproducir fenómenos distintos del sonido o imagen</v>
      </c>
      <c r="I7153" s="16" t="s">
        <v>9427</v>
      </c>
    </row>
    <row r="7154" spans="1:9" x14ac:dyDescent="0.25">
      <c r="A7154" s="16" t="s">
        <v>8079</v>
      </c>
      <c r="B7154" s="16" t="str">
        <f>TEXT(PARTIDA[[#This Row],[PARTIDA]],"0000000000")</f>
        <v>8523809000</v>
      </c>
      <c r="C7154" s="16" t="s">
        <v>786</v>
      </c>
      <c r="D7154" s="16" t="s">
        <v>787</v>
      </c>
      <c r="E7154" s="16" t="s">
        <v>797</v>
      </c>
      <c r="F7154" s="27" t="s">
        <v>15355</v>
      </c>
      <c r="G7154" s="27"/>
      <c r="H7154" s="16" t="str">
        <f>IF(ISBLANK(PARTIDAS!$G7154),PARTIDAS!$F7154,CONCATENATE(PARTIDAS!$F7154," (",PARTIDAS!$G7154,")"))</f>
        <v>Discos, cintas, dispositivos de almacenamiento permanente de datos a… (los demás)</v>
      </c>
      <c r="I7154" s="16" t="s">
        <v>9427</v>
      </c>
    </row>
    <row r="7155" spans="1:9" x14ac:dyDescent="0.25">
      <c r="A7155" s="16" t="s">
        <v>15356</v>
      </c>
      <c r="B7155" s="16" t="str">
        <f>TEXT(PARTIDA[[#This Row],[PARTIDA]],"0000000000")</f>
        <v>8524110010</v>
      </c>
      <c r="C7155" s="16" t="s">
        <v>860</v>
      </c>
      <c r="D7155" s="16" t="s">
        <v>873</v>
      </c>
      <c r="E7155" s="16" t="s">
        <v>9480</v>
      </c>
      <c r="F7155" s="27" t="s">
        <v>15357</v>
      </c>
      <c r="G7155" s="27"/>
      <c r="H7155" s="16" t="str">
        <f>IF(ISBLANK(PARTIDAS!$G7155),PARTIDAS!$F7155,CONCATENATE(PARTIDAS!$F7155," (",PARTIDAS!$G7155,")"))</f>
        <v>Módulos de visualización («display») de pantalla…, sin controladores («drivers») ni circuitos de control, de cristal líquido, de aparatos de las parti</v>
      </c>
      <c r="I7155" s="16" t="s">
        <v>9427</v>
      </c>
    </row>
    <row r="7156" spans="1:9" x14ac:dyDescent="0.25">
      <c r="A7156" s="16" t="s">
        <v>15358</v>
      </c>
      <c r="B7156" s="16" t="str">
        <f>TEXT(PARTIDA[[#This Row],[PARTIDA]],"0000000000")</f>
        <v>8524110090</v>
      </c>
      <c r="C7156" s="16" t="s">
        <v>860</v>
      </c>
      <c r="D7156" s="16" t="s">
        <v>873</v>
      </c>
      <c r="E7156" s="16" t="s">
        <v>9480</v>
      </c>
      <c r="F7156" s="27" t="s">
        <v>15359</v>
      </c>
      <c r="G7156" s="27"/>
      <c r="H7156" s="16" t="str">
        <f>IF(ISBLANK(PARTIDAS!$G7156),PARTIDAS!$F7156,CONCATENATE(PARTIDAS!$F7156," (",PARTIDAS!$G7156,")"))</f>
        <v>Módulos de visualización («display») de pantalla…, sin controladores («drivers») ni circuitos de control, de cristal líquido (los demás)</v>
      </c>
      <c r="I7156" s="16" t="s">
        <v>9427</v>
      </c>
    </row>
    <row r="7157" spans="1:9" x14ac:dyDescent="0.25">
      <c r="A7157" s="16" t="s">
        <v>15360</v>
      </c>
      <c r="B7157" s="16" t="str">
        <f>TEXT(PARTIDA[[#This Row],[PARTIDA]],"0000000000")</f>
        <v>8524120010</v>
      </c>
      <c r="C7157" s="16" t="s">
        <v>860</v>
      </c>
      <c r="D7157" s="16" t="s">
        <v>873</v>
      </c>
      <c r="E7157" s="16" t="s">
        <v>9480</v>
      </c>
      <c r="F7157" s="27" t="s">
        <v>15361</v>
      </c>
      <c r="G7157" s="27"/>
      <c r="H7157" s="16" t="str">
        <f>IF(ISBLANK(PARTIDAS!$G7157),PARTIDAS!$F7157,CONCATENATE(PARTIDAS!$F7157," (",PARTIDAS!$G7157,")"))</f>
        <v xml:space="preserve">Módulos de visualización («display») de pantalla…, sin controladores («drivers») ni circuitos de control, de diodos emisores de luz orgánicos (OLED), </v>
      </c>
      <c r="I7157" s="16" t="s">
        <v>9427</v>
      </c>
    </row>
    <row r="7158" spans="1:9" x14ac:dyDescent="0.25">
      <c r="A7158" s="16" t="s">
        <v>15362</v>
      </c>
      <c r="B7158" s="16" t="str">
        <f>TEXT(PARTIDA[[#This Row],[PARTIDA]],"0000000000")</f>
        <v>8524120090</v>
      </c>
      <c r="C7158" s="16" t="s">
        <v>860</v>
      </c>
      <c r="D7158" s="16" t="s">
        <v>873</v>
      </c>
      <c r="E7158" s="16" t="s">
        <v>9480</v>
      </c>
      <c r="F7158" s="27" t="s">
        <v>15363</v>
      </c>
      <c r="G7158" s="27"/>
      <c r="H7158" s="16" t="str">
        <f>IF(ISBLANK(PARTIDAS!$G7158),PARTIDAS!$F7158,CONCATENATE(PARTIDAS!$F7158," (",PARTIDAS!$G7158,")"))</f>
        <v>Módulos de visualización («display») de pantalla…, sin controladores («drivers») ni circuitos de control, de diodos emisores de luz orgánicos (OLED) (</v>
      </c>
      <c r="I7158" s="16" t="s">
        <v>9427</v>
      </c>
    </row>
    <row r="7159" spans="1:9" x14ac:dyDescent="0.25">
      <c r="A7159" s="16" t="s">
        <v>15364</v>
      </c>
      <c r="B7159" s="16" t="str">
        <f>TEXT(PARTIDA[[#This Row],[PARTIDA]],"0000000000")</f>
        <v>8524190010</v>
      </c>
      <c r="C7159" s="16" t="s">
        <v>860</v>
      </c>
      <c r="D7159" s="16" t="s">
        <v>873</v>
      </c>
      <c r="E7159" s="16" t="s">
        <v>9480</v>
      </c>
      <c r="F7159" s="27" t="s">
        <v>15365</v>
      </c>
      <c r="G7159" s="27"/>
      <c r="H7159" s="16" t="str">
        <f>IF(ISBLANK(PARTIDAS!$G7159),PARTIDAS!$F7159,CONCATENATE(PARTIDAS!$F7159," (",PARTIDAS!$G7159,")"))</f>
        <v>Módulos de visualización («display») de pantalla…, sin controladores («drivers») ni circuitos de control, de aparatos de las partidas 85.08, 85.09, 85</v>
      </c>
      <c r="I7159" s="16" t="s">
        <v>9427</v>
      </c>
    </row>
    <row r="7160" spans="1:9" x14ac:dyDescent="0.25">
      <c r="A7160" s="16" t="s">
        <v>15366</v>
      </c>
      <c r="B7160" s="16" t="str">
        <f>TEXT(PARTIDA[[#This Row],[PARTIDA]],"0000000000")</f>
        <v>8524190090</v>
      </c>
      <c r="C7160" s="16" t="s">
        <v>860</v>
      </c>
      <c r="D7160" s="16" t="s">
        <v>873</v>
      </c>
      <c r="E7160" s="16" t="s">
        <v>9480</v>
      </c>
      <c r="F7160" s="27" t="s">
        <v>15367</v>
      </c>
      <c r="G7160" s="27"/>
      <c r="H7160" s="16" t="str">
        <f>IF(ISBLANK(PARTIDAS!$G7160),PARTIDAS!$F7160,CONCATENATE(PARTIDAS!$F7160," (",PARTIDAS!$G7160,")"))</f>
        <v>Módulos de visualización («display») de pantalla…, sin controladores («drivers») ni circuitos de control (los demás)</v>
      </c>
      <c r="I7160" s="16" t="s">
        <v>9427</v>
      </c>
    </row>
    <row r="7161" spans="1:9" x14ac:dyDescent="0.25">
      <c r="A7161" s="16" t="s">
        <v>15368</v>
      </c>
      <c r="B7161" s="16" t="str">
        <f>TEXT(PARTIDA[[#This Row],[PARTIDA]],"0000000000")</f>
        <v>8524910010</v>
      </c>
      <c r="C7161" s="16" t="s">
        <v>860</v>
      </c>
      <c r="D7161" s="16" t="s">
        <v>873</v>
      </c>
      <c r="E7161" s="16" t="s">
        <v>9480</v>
      </c>
      <c r="F7161" s="27" t="s">
        <v>15369</v>
      </c>
      <c r="G7161" s="27"/>
      <c r="H7161" s="16" t="str">
        <f>IF(ISBLANK(PARTIDAS!$G7161),PARTIDAS!$F7161,CONCATENATE(PARTIDAS!$F7161," (",PARTIDAS!$G7161,")"))</f>
        <v>Módulos de visualización («display») de pantalla…, de cristal líquido, de aparatos de las partidas 85.08, 85.09, 85.10, 85.16, 85.18, 90.06, 90.21, 95</v>
      </c>
      <c r="I7161" s="16" t="s">
        <v>9427</v>
      </c>
    </row>
    <row r="7162" spans="1:9" x14ac:dyDescent="0.25">
      <c r="A7162" s="16" t="s">
        <v>15370</v>
      </c>
      <c r="B7162" s="16" t="str">
        <f>TEXT(PARTIDA[[#This Row],[PARTIDA]],"0000000000")</f>
        <v>8524910090</v>
      </c>
      <c r="C7162" s="16" t="s">
        <v>860</v>
      </c>
      <c r="D7162" s="16" t="s">
        <v>873</v>
      </c>
      <c r="E7162" s="16" t="s">
        <v>9480</v>
      </c>
      <c r="F7162" s="27" t="s">
        <v>15371</v>
      </c>
      <c r="G7162" s="27"/>
      <c r="H7162" s="16" t="str">
        <f>IF(ISBLANK(PARTIDAS!$G7162),PARTIDAS!$F7162,CONCATENATE(PARTIDAS!$F7162," (",PARTIDAS!$G7162,")"))</f>
        <v>Módulos de visualización («display») de pantalla…, de cristal líquido (los demás)</v>
      </c>
      <c r="I7162" s="16" t="s">
        <v>9427</v>
      </c>
    </row>
    <row r="7163" spans="1:9" x14ac:dyDescent="0.25">
      <c r="A7163" s="16" t="s">
        <v>15372</v>
      </c>
      <c r="B7163" s="16" t="str">
        <f>TEXT(PARTIDA[[#This Row],[PARTIDA]],"0000000000")</f>
        <v>8524920010</v>
      </c>
      <c r="C7163" s="16" t="s">
        <v>860</v>
      </c>
      <c r="D7163" s="16" t="s">
        <v>873</v>
      </c>
      <c r="E7163" s="16" t="s">
        <v>9480</v>
      </c>
      <c r="F7163" s="27" t="s">
        <v>15373</v>
      </c>
      <c r="G7163" s="27"/>
      <c r="H7163" s="16" t="str">
        <f>IF(ISBLANK(PARTIDAS!$G7163),PARTIDAS!$F7163,CONCATENATE(PARTIDAS!$F7163," (",PARTIDAS!$G7163,")"))</f>
        <v>Módulos de visualización («display») de pantalla…, de diodos emisores de luz orgánicos (OLED), de aparatos de las partidas 85.08, 85.09, 85.10, 85.16,</v>
      </c>
      <c r="I7163" s="16" t="s">
        <v>9427</v>
      </c>
    </row>
    <row r="7164" spans="1:9" x14ac:dyDescent="0.25">
      <c r="A7164" s="16" t="s">
        <v>15374</v>
      </c>
      <c r="B7164" s="16" t="str">
        <f>TEXT(PARTIDA[[#This Row],[PARTIDA]],"0000000000")</f>
        <v>8524920090</v>
      </c>
      <c r="C7164" s="16" t="s">
        <v>860</v>
      </c>
      <c r="D7164" s="16" t="s">
        <v>873</v>
      </c>
      <c r="E7164" s="16" t="s">
        <v>9480</v>
      </c>
      <c r="F7164" s="27" t="s">
        <v>15375</v>
      </c>
      <c r="G7164" s="27"/>
      <c r="H7164" s="16" t="str">
        <f>IF(ISBLANK(PARTIDAS!$G7164),PARTIDAS!$F7164,CONCATENATE(PARTIDAS!$F7164," (",PARTIDAS!$G7164,")"))</f>
        <v>Módulos de visualización («display») de pantalla…, de diodos emisores de luz orgánicos (OLED) (los demás)</v>
      </c>
      <c r="I7164" s="16" t="s">
        <v>9427</v>
      </c>
    </row>
    <row r="7165" spans="1:9" x14ac:dyDescent="0.25">
      <c r="A7165" s="16" t="s">
        <v>15376</v>
      </c>
      <c r="B7165" s="16" t="str">
        <f>TEXT(PARTIDA[[#This Row],[PARTIDA]],"0000000000")</f>
        <v>8524990010</v>
      </c>
      <c r="C7165" s="16" t="s">
        <v>860</v>
      </c>
      <c r="D7165" s="16" t="s">
        <v>873</v>
      </c>
      <c r="E7165" s="16" t="s">
        <v>9480</v>
      </c>
      <c r="F7165" s="27" t="s">
        <v>15377</v>
      </c>
      <c r="G7165" s="27"/>
      <c r="H7165" s="16" t="str">
        <f>IF(ISBLANK(PARTIDAS!$G7165),PARTIDAS!$F7165,CONCATENATE(PARTIDAS!$F7165," (",PARTIDAS!$G7165,")"))</f>
        <v>Módulos de visualización («display») de pantalla plana, incluso que…, de aparatos de las partidas 85.08, 85.09, 85.10, 85.16, 85.18, 90.06, 90.21, 95.</v>
      </c>
      <c r="I7165" s="16" t="s">
        <v>9427</v>
      </c>
    </row>
    <row r="7166" spans="1:9" x14ac:dyDescent="0.25">
      <c r="A7166" s="16" t="s">
        <v>15378</v>
      </c>
      <c r="B7166" s="16" t="str">
        <f>TEXT(PARTIDA[[#This Row],[PARTIDA]],"0000000000")</f>
        <v>8524990090</v>
      </c>
      <c r="C7166" s="16" t="s">
        <v>860</v>
      </c>
      <c r="D7166" s="16" t="s">
        <v>873</v>
      </c>
      <c r="E7166" s="16" t="s">
        <v>9480</v>
      </c>
      <c r="F7166" s="27" t="s">
        <v>15379</v>
      </c>
      <c r="G7166" s="27"/>
      <c r="H7166" s="16" t="str">
        <f>IF(ISBLANK(PARTIDAS!$G7166),PARTIDAS!$F7166,CONCATENATE(PARTIDAS!$F7166," (",PARTIDAS!$G7166,")"))</f>
        <v>Módulos de visualización («display») de pantalla plana, incluso que… (los demás)</v>
      </c>
      <c r="I7166" s="16" t="s">
        <v>9427</v>
      </c>
    </row>
    <row r="7167" spans="1:9" x14ac:dyDescent="0.25">
      <c r="A7167" s="16" t="s">
        <v>8080</v>
      </c>
      <c r="B7167" s="16" t="str">
        <f>TEXT(PARTIDA[[#This Row],[PARTIDA]],"0000000000")</f>
        <v>8525501000</v>
      </c>
      <c r="C7167" s="16" t="s">
        <v>786</v>
      </c>
      <c r="D7167" s="16" t="s">
        <v>799</v>
      </c>
      <c r="E7167" s="16" t="s">
        <v>806</v>
      </c>
      <c r="F7167" s="27" t="s">
        <v>15380</v>
      </c>
      <c r="G7167" s="27"/>
      <c r="H7167" s="16" t="str">
        <f>IF(ISBLANK(PARTIDAS!$G7167),PARTIDAS!$F7167,CONCATENATE(PARTIDAS!$F7167," (",PARTIDAS!$G7167,")"))</f>
        <v>Aparatos emisores, de radiodifusión</v>
      </c>
      <c r="I7167" s="16" t="s">
        <v>9427</v>
      </c>
    </row>
    <row r="7168" spans="1:9" x14ac:dyDescent="0.25">
      <c r="A7168" s="16" t="s">
        <v>8081</v>
      </c>
      <c r="B7168" s="16" t="str">
        <f>TEXT(PARTIDA[[#This Row],[PARTIDA]],"0000000000")</f>
        <v>8525502000</v>
      </c>
      <c r="C7168" s="16" t="s">
        <v>786</v>
      </c>
      <c r="D7168" s="16" t="s">
        <v>799</v>
      </c>
      <c r="E7168" s="16" t="s">
        <v>806</v>
      </c>
      <c r="F7168" s="27" t="s">
        <v>15381</v>
      </c>
      <c r="G7168" s="27"/>
      <c r="H7168" s="16" t="str">
        <f>IF(ISBLANK(PARTIDAS!$G7168),PARTIDAS!$F7168,CONCATENATE(PARTIDAS!$F7168," (",PARTIDAS!$G7168,")"))</f>
        <v>Aparatos emisores, de televisión</v>
      </c>
      <c r="I7168" s="16" t="s">
        <v>9427</v>
      </c>
    </row>
    <row r="7169" spans="1:9" x14ac:dyDescent="0.25">
      <c r="A7169" s="16" t="s">
        <v>8082</v>
      </c>
      <c r="B7169" s="16" t="str">
        <f>TEXT(PARTIDA[[#This Row],[PARTIDA]],"0000000000")</f>
        <v>8525601000</v>
      </c>
      <c r="C7169" s="16" t="s">
        <v>786</v>
      </c>
      <c r="D7169" s="16" t="s">
        <v>799</v>
      </c>
      <c r="E7169" s="16" t="s">
        <v>806</v>
      </c>
      <c r="F7169" s="27" t="s">
        <v>15382</v>
      </c>
      <c r="G7169" s="27"/>
      <c r="H7169" s="16" t="str">
        <f>IF(ISBLANK(PARTIDAS!$G7169),PARTIDAS!$F7169,CONCATENATE(PARTIDAS!$F7169," (",PARTIDAS!$G7169,")"))</f>
        <v>Aparatos emisores con aparato receptor incorporado, de radiodifusión</v>
      </c>
      <c r="I7169" s="16" t="s">
        <v>9427</v>
      </c>
    </row>
    <row r="7170" spans="1:9" x14ac:dyDescent="0.25">
      <c r="A7170" s="16" t="s">
        <v>8083</v>
      </c>
      <c r="B7170" s="16" t="str">
        <f>TEXT(PARTIDA[[#This Row],[PARTIDA]],"0000000000")</f>
        <v>8525602000</v>
      </c>
      <c r="C7170" s="16" t="s">
        <v>786</v>
      </c>
      <c r="D7170" s="16" t="s">
        <v>799</v>
      </c>
      <c r="E7170" s="16" t="s">
        <v>806</v>
      </c>
      <c r="F7170" s="27" t="s">
        <v>15383</v>
      </c>
      <c r="G7170" s="27"/>
      <c r="H7170" s="16" t="str">
        <f>IF(ISBLANK(PARTIDAS!$G7170),PARTIDAS!$F7170,CONCATENATE(PARTIDAS!$F7170," (",PARTIDAS!$G7170,")"))</f>
        <v>Aparatos emisores con aparato receptor incorporado, de televisión</v>
      </c>
      <c r="I7170" s="16" t="s">
        <v>9427</v>
      </c>
    </row>
    <row r="7171" spans="1:9" x14ac:dyDescent="0.25">
      <c r="A7171" s="16" t="s">
        <v>8084</v>
      </c>
      <c r="B7171" s="16" t="str">
        <f>TEXT(PARTIDA[[#This Row],[PARTIDA]],"0000000000")</f>
        <v>8525801000</v>
      </c>
      <c r="C7171" s="16" t="s">
        <v>786</v>
      </c>
      <c r="D7171" s="16" t="s">
        <v>799</v>
      </c>
      <c r="E7171" s="16" t="s">
        <v>806</v>
      </c>
      <c r="F7171" s="27" t="s">
        <v>15384</v>
      </c>
      <c r="G7171" s="27"/>
      <c r="H7171" s="16" t="str">
        <f>IF(ISBLANK(PARTIDAS!$G7171),PARTIDAS!$F7171,CONCATENATE(PARTIDAS!$F7171," (",PARTIDAS!$G7171,")"))</f>
        <v>Cámaras de televisión</v>
      </c>
      <c r="I7171" s="16" t="s">
        <v>9648</v>
      </c>
    </row>
    <row r="7172" spans="1:9" x14ac:dyDescent="0.25">
      <c r="A7172" s="16" t="s">
        <v>8085</v>
      </c>
      <c r="B7172" s="16" t="str">
        <f>TEXT(PARTIDA[[#This Row],[PARTIDA]],"0000000000")</f>
        <v>8525802000</v>
      </c>
      <c r="C7172" s="16" t="s">
        <v>786</v>
      </c>
      <c r="D7172" s="16" t="s">
        <v>799</v>
      </c>
      <c r="E7172" s="16" t="s">
        <v>806</v>
      </c>
      <c r="F7172" s="27" t="s">
        <v>8086</v>
      </c>
      <c r="G7172" s="27"/>
      <c r="H7172" s="16" t="str">
        <f>IF(ISBLANK(PARTIDAS!$G7172),PARTIDAS!$F7172,CONCATENATE(PARTIDAS!$F7172," (",PARTIDAS!$G7172,")"))</f>
        <v>Cámaras digitales y videocámaras</v>
      </c>
      <c r="I7172" s="16" t="s">
        <v>9648</v>
      </c>
    </row>
    <row r="7173" spans="1:9" x14ac:dyDescent="0.25">
      <c r="A7173" s="16" t="s">
        <v>15385</v>
      </c>
      <c r="B7173" s="16" t="str">
        <f>TEXT(PARTIDA[[#This Row],[PARTIDA]],"0000000000")</f>
        <v>8525810000</v>
      </c>
      <c r="C7173" s="16" t="s">
        <v>786</v>
      </c>
      <c r="D7173" s="16" t="s">
        <v>799</v>
      </c>
      <c r="E7173" s="16" t="s">
        <v>806</v>
      </c>
      <c r="F7173" s="27" t="s">
        <v>15386</v>
      </c>
      <c r="G7173" s="27"/>
      <c r="H7173" s="16" t="str">
        <f>IF(ISBLANK(PARTIDAS!$G7173),PARTIDAS!$F7173,CONCATENATE(PARTIDAS!$F7173," (",PARTIDAS!$G7173,")"))</f>
        <v>Ultrarrápidas, especificadas en la Nota 1 de subpartida de este Capítulo</v>
      </c>
      <c r="I7173" s="16" t="s">
        <v>9427</v>
      </c>
    </row>
    <row r="7174" spans="1:9" x14ac:dyDescent="0.25">
      <c r="A7174" s="16" t="s">
        <v>15387</v>
      </c>
      <c r="B7174" s="16" t="str">
        <f>TEXT(PARTIDA[[#This Row],[PARTIDA]],"0000000000")</f>
        <v>8525820000</v>
      </c>
      <c r="C7174" s="16" t="s">
        <v>786</v>
      </c>
      <c r="D7174" s="16" t="s">
        <v>799</v>
      </c>
      <c r="E7174" s="16" t="s">
        <v>806</v>
      </c>
      <c r="F7174" s="27" t="s">
        <v>15388</v>
      </c>
      <c r="G7174" s="27"/>
      <c r="H7174" s="16" t="str">
        <f>IF(ISBLANK(PARTIDAS!$G7174),PARTIDAS!$F7174,CONCATENATE(PARTIDAS!$F7174," (",PARTIDAS!$G7174,")"))</f>
        <v>Cámaras de televisión, cámaras digitales y videocámaras (los demás, resistentes a radiaciones, especificadas en la Nota 2 de subpartida de este Capítu</v>
      </c>
      <c r="I7174" s="16" t="s">
        <v>9427</v>
      </c>
    </row>
    <row r="7175" spans="1:9" x14ac:dyDescent="0.25">
      <c r="A7175" s="16" t="s">
        <v>15389</v>
      </c>
      <c r="B7175" s="16" t="str">
        <f>TEXT(PARTIDA[[#This Row],[PARTIDA]],"0000000000")</f>
        <v>8525830000</v>
      </c>
      <c r="C7175" s="16" t="s">
        <v>786</v>
      </c>
      <c r="D7175" s="16" t="s">
        <v>799</v>
      </c>
      <c r="E7175" s="16" t="s">
        <v>806</v>
      </c>
      <c r="F7175" s="27" t="s">
        <v>15390</v>
      </c>
      <c r="G7175" s="27"/>
      <c r="H7175" s="16" t="str">
        <f>IF(ISBLANK(PARTIDAS!$G7175),PARTIDAS!$F7175,CONCATENATE(PARTIDAS!$F7175," (",PARTIDAS!$G7175,")"))</f>
        <v>Cámaras de televisión, cámaras digitales y videocámaras (los demás, de visión nocturna, especificadas en la Nota 3 de subpartida de este Capítulo)</v>
      </c>
      <c r="I7175" s="16" t="s">
        <v>9427</v>
      </c>
    </row>
    <row r="7176" spans="1:9" x14ac:dyDescent="0.25">
      <c r="A7176" s="16" t="s">
        <v>15391</v>
      </c>
      <c r="B7176" s="16" t="str">
        <f>TEXT(PARTIDA[[#This Row],[PARTIDA]],"0000000000")</f>
        <v>8525890000</v>
      </c>
      <c r="C7176" s="16" t="s">
        <v>786</v>
      </c>
      <c r="D7176" s="16" t="s">
        <v>799</v>
      </c>
      <c r="E7176" s="16" t="s">
        <v>806</v>
      </c>
      <c r="F7176" s="27" t="s">
        <v>15392</v>
      </c>
      <c r="G7176" s="27"/>
      <c r="H7176" s="16" t="str">
        <f>IF(ISBLANK(PARTIDAS!$G7176),PARTIDAS!$F7176,CONCATENATE(PARTIDAS!$F7176," (",PARTIDAS!$G7176,")"))</f>
        <v>Cámaras de televisión, cámaras digitales y videocámaras (los demás)</v>
      </c>
      <c r="I7176" s="16" t="s">
        <v>9427</v>
      </c>
    </row>
    <row r="7177" spans="1:9" x14ac:dyDescent="0.25">
      <c r="A7177" s="16" t="s">
        <v>8087</v>
      </c>
      <c r="B7177" s="16" t="str">
        <f>TEXT(PARTIDA[[#This Row],[PARTIDA]],"0000000000")</f>
        <v>8526100000</v>
      </c>
      <c r="C7177" s="16" t="s">
        <v>860</v>
      </c>
      <c r="D7177" s="16" t="s">
        <v>873</v>
      </c>
      <c r="E7177" s="16" t="s">
        <v>9480</v>
      </c>
      <c r="F7177" s="27" t="s">
        <v>15393</v>
      </c>
      <c r="G7177" s="27"/>
      <c r="H7177" s="16" t="str">
        <f>IF(ISBLANK(PARTIDAS!$G7177),PARTIDAS!$F7177,CONCATENATE(PARTIDAS!$F7177," (",PARTIDAS!$G7177,")"))</f>
        <v>Aparatos de radar</v>
      </c>
      <c r="I7177" s="16" t="s">
        <v>9427</v>
      </c>
    </row>
    <row r="7178" spans="1:9" x14ac:dyDescent="0.25">
      <c r="A7178" s="16" t="s">
        <v>8088</v>
      </c>
      <c r="B7178" s="16" t="str">
        <f>TEXT(PARTIDA[[#This Row],[PARTIDA]],"0000000000")</f>
        <v>8526910000</v>
      </c>
      <c r="C7178" s="16" t="s">
        <v>860</v>
      </c>
      <c r="D7178" s="16" t="s">
        <v>873</v>
      </c>
      <c r="E7178" s="16" t="s">
        <v>9480</v>
      </c>
      <c r="F7178" s="27" t="s">
        <v>15394</v>
      </c>
      <c r="G7178" s="27"/>
      <c r="H7178" s="16" t="str">
        <f>IF(ISBLANK(PARTIDAS!$G7178),PARTIDAS!$F7178,CONCATENATE(PARTIDAS!$F7178," (",PARTIDAS!$G7178,")"))</f>
        <v>Aparatos de radionavegación</v>
      </c>
      <c r="I7178" s="16" t="s">
        <v>9427</v>
      </c>
    </row>
    <row r="7179" spans="1:9" x14ac:dyDescent="0.25">
      <c r="A7179" s="16" t="s">
        <v>8089</v>
      </c>
      <c r="B7179" s="16" t="str">
        <f>TEXT(PARTIDA[[#This Row],[PARTIDA]],"0000000000")</f>
        <v>8526920000</v>
      </c>
      <c r="C7179" s="16" t="s">
        <v>860</v>
      </c>
      <c r="D7179" s="16" t="s">
        <v>873</v>
      </c>
      <c r="E7179" s="16" t="s">
        <v>9480</v>
      </c>
      <c r="F7179" s="27" t="s">
        <v>15395</v>
      </c>
      <c r="G7179" s="27"/>
      <c r="H7179" s="16" t="str">
        <f>IF(ISBLANK(PARTIDAS!$G7179),PARTIDAS!$F7179,CONCATENATE(PARTIDAS!$F7179," (",PARTIDAS!$G7179,")"))</f>
        <v>Aparatos de radiotelemando</v>
      </c>
      <c r="I7179" s="16" t="s">
        <v>9427</v>
      </c>
    </row>
    <row r="7180" spans="1:9" x14ac:dyDescent="0.25">
      <c r="A7180" s="16" t="s">
        <v>8090</v>
      </c>
      <c r="B7180" s="16" t="str">
        <f>TEXT(PARTIDA[[#This Row],[PARTIDA]],"0000000000")</f>
        <v>8527120000</v>
      </c>
      <c r="C7180" s="16" t="s">
        <v>786</v>
      </c>
      <c r="D7180" s="16" t="s">
        <v>799</v>
      </c>
      <c r="E7180" s="16" t="s">
        <v>806</v>
      </c>
      <c r="F7180" s="27" t="s">
        <v>15396</v>
      </c>
      <c r="G7180" s="27"/>
      <c r="H7180" s="16" t="str">
        <f>IF(ISBLANK(PARTIDAS!$G7180),PARTIDAS!$F7180,CONCATENATE(PARTIDAS!$F7180," (",PARTIDAS!$G7180,")"))</f>
        <v>Radiocasetes de bolsillo</v>
      </c>
      <c r="I7180" s="16" t="s">
        <v>9427</v>
      </c>
    </row>
    <row r="7181" spans="1:9" x14ac:dyDescent="0.25">
      <c r="A7181" s="16" t="s">
        <v>8091</v>
      </c>
      <c r="B7181" s="16" t="str">
        <f>TEXT(PARTIDA[[#This Row],[PARTIDA]],"0000000000")</f>
        <v>8527130000</v>
      </c>
      <c r="C7181" s="16" t="s">
        <v>786</v>
      </c>
      <c r="D7181" s="16" t="s">
        <v>799</v>
      </c>
      <c r="E7181" s="16" t="s">
        <v>806</v>
      </c>
      <c r="F7181" s="27" t="s">
        <v>15397</v>
      </c>
      <c r="G7181" s="27"/>
      <c r="H7181" s="16" t="str">
        <f>IF(ISBLANK(PARTIDAS!$G7181),PARTIDAS!$F7181,CONCATENATE(PARTIDAS!$F7181," (",PARTIDAS!$G7181,")"))</f>
        <v>Aparatos receptores de radiodifusión que puedan funcionar sin fuente… (los demás, aparatos combinados con grabador o reproductor de sonido)</v>
      </c>
      <c r="I7181" s="16" t="s">
        <v>9427</v>
      </c>
    </row>
    <row r="7182" spans="1:9" x14ac:dyDescent="0.25">
      <c r="A7182" s="16" t="s">
        <v>8092</v>
      </c>
      <c r="B7182" s="16" t="str">
        <f>TEXT(PARTIDA[[#This Row],[PARTIDA]],"0000000000")</f>
        <v>8527190000</v>
      </c>
      <c r="C7182" s="16" t="s">
        <v>786</v>
      </c>
      <c r="D7182" s="16" t="s">
        <v>799</v>
      </c>
      <c r="E7182" s="16" t="s">
        <v>806</v>
      </c>
      <c r="F7182" s="27" t="s">
        <v>15398</v>
      </c>
      <c r="G7182" s="27"/>
      <c r="H7182" s="16" t="str">
        <f>IF(ISBLANK(PARTIDAS!$G7182),PARTIDAS!$F7182,CONCATENATE(PARTIDAS!$F7182," (",PARTIDAS!$G7182,")"))</f>
        <v>Aparatos receptores de radiodifusión que puedan funcionar sin fuente… (los demás)</v>
      </c>
      <c r="I7182" s="16" t="s">
        <v>9427</v>
      </c>
    </row>
    <row r="7183" spans="1:9" x14ac:dyDescent="0.25">
      <c r="A7183" s="16" t="s">
        <v>8093</v>
      </c>
      <c r="B7183" s="16" t="str">
        <f>TEXT(PARTIDA[[#This Row],[PARTIDA]],"0000000000")</f>
        <v>8527210000</v>
      </c>
      <c r="C7183" s="16" t="s">
        <v>786</v>
      </c>
      <c r="D7183" s="16" t="s">
        <v>799</v>
      </c>
      <c r="E7183" s="16" t="s">
        <v>806</v>
      </c>
      <c r="F7183" s="27" t="s">
        <v>15399</v>
      </c>
      <c r="G7183" s="27"/>
      <c r="H7183" s="16" t="str">
        <f>IF(ISBLANK(PARTIDAS!$G7183),PARTIDAS!$F7183,CONCATENATE(PARTIDAS!$F7183," (",PARTIDAS!$G7183,")"))</f>
        <v>Combinados con grabador o reproductor de sonido</v>
      </c>
      <c r="I7183" s="16" t="s">
        <v>9427</v>
      </c>
    </row>
    <row r="7184" spans="1:9" x14ac:dyDescent="0.25">
      <c r="A7184" s="16" t="s">
        <v>8094</v>
      </c>
      <c r="B7184" s="16" t="str">
        <f>TEXT(PARTIDA[[#This Row],[PARTIDA]],"0000000000")</f>
        <v>8527290000</v>
      </c>
      <c r="C7184" s="16" t="s">
        <v>786</v>
      </c>
      <c r="D7184" s="16" t="s">
        <v>799</v>
      </c>
      <c r="E7184" s="16" t="s">
        <v>806</v>
      </c>
      <c r="F7184" s="27" t="s">
        <v>15400</v>
      </c>
      <c r="G7184" s="27"/>
      <c r="H7184" s="16" t="str">
        <f>IF(ISBLANK(PARTIDAS!$G7184),PARTIDAS!$F7184,CONCATENATE(PARTIDAS!$F7184," (",PARTIDAS!$G7184,")"))</f>
        <v>Aparatos receptores de radiodifusión que solo funcionen con fuente de… (los demás)</v>
      </c>
      <c r="I7184" s="16" t="s">
        <v>9427</v>
      </c>
    </row>
    <row r="7185" spans="1:9" x14ac:dyDescent="0.25">
      <c r="A7185" s="16" t="s">
        <v>8095</v>
      </c>
      <c r="B7185" s="16" t="str">
        <f>TEXT(PARTIDA[[#This Row],[PARTIDA]],"0000000000")</f>
        <v>8527910000</v>
      </c>
      <c r="C7185" s="16" t="s">
        <v>786</v>
      </c>
      <c r="D7185" s="16" t="s">
        <v>799</v>
      </c>
      <c r="E7185" s="16" t="s">
        <v>806</v>
      </c>
      <c r="F7185" s="27" t="s">
        <v>15399</v>
      </c>
      <c r="G7185" s="27"/>
      <c r="H7185" s="16" t="str">
        <f>IF(ISBLANK(PARTIDAS!$G7185),PARTIDAS!$F7185,CONCATENATE(PARTIDAS!$F7185," (",PARTIDAS!$G7185,")"))</f>
        <v>Combinados con grabador o reproductor de sonido</v>
      </c>
      <c r="I7185" s="16" t="s">
        <v>9427</v>
      </c>
    </row>
    <row r="7186" spans="1:9" x14ac:dyDescent="0.25">
      <c r="A7186" s="16" t="s">
        <v>8096</v>
      </c>
      <c r="B7186" s="16" t="str">
        <f>TEXT(PARTIDA[[#This Row],[PARTIDA]],"0000000000")</f>
        <v>8527920000</v>
      </c>
      <c r="C7186" s="16" t="s">
        <v>786</v>
      </c>
      <c r="D7186" s="16" t="s">
        <v>799</v>
      </c>
      <c r="E7186" s="16" t="s">
        <v>806</v>
      </c>
      <c r="F7186" s="27" t="s">
        <v>15401</v>
      </c>
      <c r="G7186" s="27"/>
      <c r="H7186" s="16" t="str">
        <f>IF(ISBLANK(PARTIDAS!$G7186),PARTIDAS!$F7186,CONCATENATE(PARTIDAS!$F7186," (",PARTIDAS!$G7186,")"))</f>
        <v>Aparatos receptores de radiodifusión, incluso combinados en la misma…, sin combinar con grabador o reproductor de sonido, pero combinados con reloj</v>
      </c>
      <c r="I7186" s="16" t="s">
        <v>9427</v>
      </c>
    </row>
    <row r="7187" spans="1:9" x14ac:dyDescent="0.25">
      <c r="A7187" s="16" t="s">
        <v>8097</v>
      </c>
      <c r="B7187" s="16" t="str">
        <f>TEXT(PARTIDA[[#This Row],[PARTIDA]],"0000000000")</f>
        <v>8527990000</v>
      </c>
      <c r="C7187" s="16" t="s">
        <v>786</v>
      </c>
      <c r="D7187" s="16" t="s">
        <v>799</v>
      </c>
      <c r="E7187" s="16" t="s">
        <v>806</v>
      </c>
      <c r="F7187" s="27" t="s">
        <v>15402</v>
      </c>
      <c r="G7187" s="27"/>
      <c r="H7187" s="16" t="str">
        <f>IF(ISBLANK(PARTIDAS!$G7187),PARTIDAS!$F7187,CONCATENATE(PARTIDAS!$F7187," (",PARTIDAS!$G7187,")"))</f>
        <v>Aparatos receptores de radiodifusión, incluso combinados en la misma… (los demás)</v>
      </c>
      <c r="I7187" s="16" t="s">
        <v>9427</v>
      </c>
    </row>
    <row r="7188" spans="1:9" x14ac:dyDescent="0.25">
      <c r="A7188" s="16" t="s">
        <v>8098</v>
      </c>
      <c r="B7188" s="16" t="str">
        <f>TEXT(PARTIDA[[#This Row],[PARTIDA]],"0000000000")</f>
        <v>8528420000</v>
      </c>
      <c r="C7188" s="16" t="s">
        <v>786</v>
      </c>
      <c r="D7188" s="16" t="s">
        <v>799</v>
      </c>
      <c r="E7188" s="16" t="s">
        <v>806</v>
      </c>
      <c r="F7188" s="27" t="s">
        <v>15403</v>
      </c>
      <c r="G7188" s="27"/>
      <c r="H7188" s="16" t="str">
        <f>IF(ISBLANK(PARTIDAS!$G7188),PARTIDAS!$F7188,CONCATENATE(PARTIDAS!$F7188," (",PARTIDAS!$G7188,")"))</f>
        <v>Aptos para ser conectados directamente y diseñados para ser utilizados con una máquina automática para tratamiento o procesamiento de datos de la part</v>
      </c>
      <c r="I7188" s="16" t="s">
        <v>9427</v>
      </c>
    </row>
    <row r="7189" spans="1:9" x14ac:dyDescent="0.25">
      <c r="A7189" s="16" t="s">
        <v>8099</v>
      </c>
      <c r="B7189" s="16" t="str">
        <f>TEXT(PARTIDA[[#This Row],[PARTIDA]],"0000000000")</f>
        <v>8528490000</v>
      </c>
      <c r="C7189" s="16" t="s">
        <v>786</v>
      </c>
      <c r="D7189" s="16" t="s">
        <v>799</v>
      </c>
      <c r="E7189" s="16" t="s">
        <v>806</v>
      </c>
      <c r="F7189" s="27" t="s">
        <v>15404</v>
      </c>
      <c r="G7189" s="27"/>
      <c r="H7189" s="16" t="str">
        <f>IF(ISBLANK(PARTIDAS!$G7189),PARTIDAS!$F7189,CONCATENATE(PARTIDAS!$F7189," (",PARTIDAS!$G7189,")"))</f>
        <v>Monitores con tubo de rayos catódicos (los demás)</v>
      </c>
      <c r="I7189" s="16" t="s">
        <v>9427</v>
      </c>
    </row>
    <row r="7190" spans="1:9" x14ac:dyDescent="0.25">
      <c r="A7190" s="16" t="s">
        <v>8100</v>
      </c>
      <c r="B7190" s="16" t="str">
        <f>TEXT(PARTIDA[[#This Row],[PARTIDA]],"0000000000")</f>
        <v>8528520000</v>
      </c>
      <c r="C7190" s="16" t="s">
        <v>786</v>
      </c>
      <c r="D7190" s="16" t="s">
        <v>799</v>
      </c>
      <c r="E7190" s="16" t="s">
        <v>806</v>
      </c>
      <c r="F7190" s="27" t="s">
        <v>15403</v>
      </c>
      <c r="G7190" s="27"/>
      <c r="H7190" s="16" t="str">
        <f>IF(ISBLANK(PARTIDAS!$G7190),PARTIDAS!$F7190,CONCATENATE(PARTIDAS!$F7190," (",PARTIDAS!$G7190,")"))</f>
        <v>Aptos para ser conectados directamente y diseñados para ser utilizados con una máquina automática para tratamiento o procesamiento de datos de la part</v>
      </c>
      <c r="I7190" s="16" t="s">
        <v>9427</v>
      </c>
    </row>
    <row r="7191" spans="1:9" x14ac:dyDescent="0.25">
      <c r="A7191" s="16" t="s">
        <v>8101</v>
      </c>
      <c r="B7191" s="16" t="str">
        <f>TEXT(PARTIDA[[#This Row],[PARTIDA]],"0000000000")</f>
        <v>8528590000</v>
      </c>
      <c r="C7191" s="16" t="s">
        <v>786</v>
      </c>
      <c r="D7191" s="16" t="s">
        <v>799</v>
      </c>
      <c r="E7191" s="16" t="s">
        <v>806</v>
      </c>
      <c r="F7191" s="27" t="s">
        <v>15405</v>
      </c>
      <c r="G7191" s="27"/>
      <c r="H7191" s="16" t="str">
        <f>IF(ISBLANK(PARTIDAS!$G7191),PARTIDAS!$F7191,CONCATENATE(PARTIDAS!$F7191," (",PARTIDAS!$G7191,")"))</f>
        <v>Monitores y proyectores, que no incorporen aparato receptor de… (los demás)</v>
      </c>
      <c r="I7191" s="16" t="s">
        <v>9427</v>
      </c>
    </row>
    <row r="7192" spans="1:9" x14ac:dyDescent="0.25">
      <c r="A7192" s="16" t="s">
        <v>8102</v>
      </c>
      <c r="B7192" s="16" t="str">
        <f>TEXT(PARTIDA[[#This Row],[PARTIDA]],"0000000000")</f>
        <v>8528620000</v>
      </c>
      <c r="C7192" s="16" t="s">
        <v>786</v>
      </c>
      <c r="D7192" s="16" t="s">
        <v>799</v>
      </c>
      <c r="E7192" s="16" t="s">
        <v>806</v>
      </c>
      <c r="F7192" s="27" t="s">
        <v>15403</v>
      </c>
      <c r="G7192" s="27"/>
      <c r="H7192" s="16" t="str">
        <f>IF(ISBLANK(PARTIDAS!$G7192),PARTIDAS!$F7192,CONCATENATE(PARTIDAS!$F7192," (",PARTIDAS!$G7192,")"))</f>
        <v>Aptos para ser conectados directamente y diseñados para ser utilizados con una máquina automática para tratamiento o procesamiento de datos de la part</v>
      </c>
      <c r="I7192" s="16" t="s">
        <v>9427</v>
      </c>
    </row>
    <row r="7193" spans="1:9" x14ac:dyDescent="0.25">
      <c r="A7193" s="16" t="s">
        <v>8103</v>
      </c>
      <c r="B7193" s="16" t="str">
        <f>TEXT(PARTIDA[[#This Row],[PARTIDA]],"0000000000")</f>
        <v>8528690000</v>
      </c>
      <c r="C7193" s="16" t="s">
        <v>786</v>
      </c>
      <c r="D7193" s="16" t="s">
        <v>799</v>
      </c>
      <c r="E7193" s="16" t="s">
        <v>806</v>
      </c>
      <c r="F7193" s="27" t="s">
        <v>15406</v>
      </c>
      <c r="G7193" s="27"/>
      <c r="H7193" s="16" t="str">
        <f>IF(ISBLANK(PARTIDAS!$G7193),PARTIDAS!$F7193,CONCATENATE(PARTIDAS!$F7193," (",PARTIDAS!$G7193,")"))</f>
        <v>Proyectores (los demás)</v>
      </c>
      <c r="I7193" s="16" t="s">
        <v>9427</v>
      </c>
    </row>
    <row r="7194" spans="1:9" x14ac:dyDescent="0.25">
      <c r="A7194" s="16" t="s">
        <v>8104</v>
      </c>
      <c r="B7194" s="16" t="str">
        <f>TEXT(PARTIDA[[#This Row],[PARTIDA]],"0000000000")</f>
        <v>8528710000</v>
      </c>
      <c r="C7194" s="16" t="s">
        <v>786</v>
      </c>
      <c r="D7194" s="16" t="s">
        <v>799</v>
      </c>
      <c r="E7194" s="16" t="s">
        <v>806</v>
      </c>
      <c r="F7194" s="27" t="s">
        <v>15407</v>
      </c>
      <c r="G7194" s="27"/>
      <c r="H7194" s="16" t="str">
        <f>IF(ISBLANK(PARTIDAS!$G7194),PARTIDAS!$F7194,CONCATENATE(PARTIDAS!$F7194," (",PARTIDAS!$G7194,")"))</f>
        <v>No diseñados para incorporar un dispositivo de visualización («display») o pantalla de vídeo</v>
      </c>
      <c r="I7194" s="16" t="s">
        <v>9427</v>
      </c>
    </row>
    <row r="7195" spans="1:9" x14ac:dyDescent="0.25">
      <c r="A7195" s="16" t="s">
        <v>8105</v>
      </c>
      <c r="B7195" s="16" t="str">
        <f>TEXT(PARTIDA[[#This Row],[PARTIDA]],"0000000000")</f>
        <v>8528720000</v>
      </c>
      <c r="C7195" s="16" t="s">
        <v>786</v>
      </c>
      <c r="D7195" s="16" t="s">
        <v>799</v>
      </c>
      <c r="E7195" s="16" t="s">
        <v>806</v>
      </c>
      <c r="F7195" s="27" t="s">
        <v>15408</v>
      </c>
      <c r="G7195" s="27"/>
      <c r="H7195" s="16" t="str">
        <f>IF(ISBLANK(PARTIDAS!$G7195),PARTIDAS!$F7195,CONCATENATE(PARTIDAS!$F7195," (",PARTIDAS!$G7195,")"))</f>
        <v>Aparatos receptores de televisión, incluso con aparato receptor de… (los demás, en colores)</v>
      </c>
      <c r="I7195" s="16" t="s">
        <v>9427</v>
      </c>
    </row>
    <row r="7196" spans="1:9" x14ac:dyDescent="0.25">
      <c r="A7196" s="16" t="s">
        <v>8106</v>
      </c>
      <c r="B7196" s="16" t="str">
        <f>TEXT(PARTIDA[[#This Row],[PARTIDA]],"0000000000")</f>
        <v>8528730000</v>
      </c>
      <c r="C7196" s="16" t="s">
        <v>786</v>
      </c>
      <c r="D7196" s="16" t="s">
        <v>799</v>
      </c>
      <c r="E7196" s="16" t="s">
        <v>806</v>
      </c>
      <c r="F7196" s="27" t="s">
        <v>15409</v>
      </c>
      <c r="G7196" s="27"/>
      <c r="H7196" s="16" t="str">
        <f>IF(ISBLANK(PARTIDAS!$G7196),PARTIDAS!$F7196,CONCATENATE(PARTIDAS!$F7196," (",PARTIDAS!$G7196,")"))</f>
        <v>Aparatos receptores de televisión, incluso con aparato receptor de… (los demás, monocromos)</v>
      </c>
      <c r="I7196" s="16" t="s">
        <v>9427</v>
      </c>
    </row>
    <row r="7197" spans="1:9" x14ac:dyDescent="0.25">
      <c r="A7197" s="16" t="s">
        <v>8107</v>
      </c>
      <c r="B7197" s="16" t="str">
        <f>TEXT(PARTIDA[[#This Row],[PARTIDA]],"0000000000")</f>
        <v>8529101000</v>
      </c>
      <c r="C7197" s="16" t="s">
        <v>860</v>
      </c>
      <c r="D7197" s="16" t="s">
        <v>873</v>
      </c>
      <c r="E7197" s="16" t="s">
        <v>9478</v>
      </c>
      <c r="F7197" s="27" t="s">
        <v>15410</v>
      </c>
      <c r="G7197" s="27"/>
      <c r="H7197" s="16" t="str">
        <f>IF(ISBLANK(PARTIDAS!$G7197),PARTIDAS!$F7197,CONCATENATE(PARTIDAS!$F7197," (",PARTIDAS!$G7197,")"))</f>
        <v>Antenas de ferrita</v>
      </c>
      <c r="I7197" s="16" t="s">
        <v>9427</v>
      </c>
    </row>
    <row r="7198" spans="1:9" x14ac:dyDescent="0.25">
      <c r="A7198" s="16" t="s">
        <v>8108</v>
      </c>
      <c r="B7198" s="16" t="str">
        <f>TEXT(PARTIDA[[#This Row],[PARTIDA]],"0000000000")</f>
        <v>8529102000</v>
      </c>
      <c r="C7198" s="16" t="s">
        <v>860</v>
      </c>
      <c r="D7198" s="16" t="s">
        <v>873</v>
      </c>
      <c r="E7198" s="16" t="s">
        <v>9478</v>
      </c>
      <c r="F7198" s="27" t="s">
        <v>15411</v>
      </c>
      <c r="G7198" s="27"/>
      <c r="H7198" s="16" t="str">
        <f>IF(ISBLANK(PARTIDAS!$G7198),PARTIDAS!$F7198,CONCATENATE(PARTIDAS!$F7198," (",PARTIDAS!$G7198,")"))</f>
        <v>Antenas parabólicas</v>
      </c>
      <c r="I7198" s="16" t="s">
        <v>9427</v>
      </c>
    </row>
    <row r="7199" spans="1:9" x14ac:dyDescent="0.25">
      <c r="A7199" s="16" t="s">
        <v>8109</v>
      </c>
      <c r="B7199" s="16" t="str">
        <f>TEXT(PARTIDA[[#This Row],[PARTIDA]],"0000000000")</f>
        <v>8529109000</v>
      </c>
      <c r="C7199" s="16" t="s">
        <v>860</v>
      </c>
      <c r="D7199" s="16" t="s">
        <v>873</v>
      </c>
      <c r="E7199" s="16" t="s">
        <v>9478</v>
      </c>
      <c r="F7199" s="27" t="s">
        <v>15412</v>
      </c>
      <c r="G7199" s="27"/>
      <c r="H7199" s="16" t="str">
        <f>IF(ISBLANK(PARTIDAS!$G7199),PARTIDAS!$F7199,CONCATENATE(PARTIDAS!$F7199," (",PARTIDAS!$G7199,")"))</f>
        <v>Antenas y reflectores de antena de cualquier tipo (los demás, ; partes)</v>
      </c>
      <c r="I7199" s="16" t="s">
        <v>9427</v>
      </c>
    </row>
    <row r="7200" spans="1:9" x14ac:dyDescent="0.25">
      <c r="A7200" s="16" t="s">
        <v>8110</v>
      </c>
      <c r="B7200" s="16" t="str">
        <f>TEXT(PARTIDA[[#This Row],[PARTIDA]],"0000000000")</f>
        <v>8529901000</v>
      </c>
      <c r="C7200" s="16" t="s">
        <v>860</v>
      </c>
      <c r="D7200" s="16" t="s">
        <v>873</v>
      </c>
      <c r="E7200" s="16" t="s">
        <v>9478</v>
      </c>
      <c r="F7200" s="27" t="s">
        <v>15325</v>
      </c>
      <c r="G7200" s="27"/>
      <c r="H7200" s="16" t="str">
        <f>IF(ISBLANK(PARTIDAS!$G7200),PARTIDAS!$F7200,CONCATENATE(PARTIDAS!$F7200," (",PARTIDAS!$G7200,")"))</f>
        <v>Muebles o cajas</v>
      </c>
      <c r="I7200" s="16" t="s">
        <v>9427</v>
      </c>
    </row>
    <row r="7201" spans="1:9" x14ac:dyDescent="0.25">
      <c r="A7201" s="16" t="s">
        <v>8111</v>
      </c>
      <c r="B7201" s="16" t="str">
        <f>TEXT(PARTIDA[[#This Row],[PARTIDA]],"0000000000")</f>
        <v>8529902000</v>
      </c>
      <c r="C7201" s="16" t="s">
        <v>860</v>
      </c>
      <c r="D7201" s="16" t="s">
        <v>873</v>
      </c>
      <c r="E7201" s="16" t="s">
        <v>9478</v>
      </c>
      <c r="F7201" s="27" t="s">
        <v>15413</v>
      </c>
      <c r="G7201" s="27"/>
      <c r="H7201" s="16" t="str">
        <f>IF(ISBLANK(PARTIDAS!$G7201),PARTIDAS!$F7201,CONCATENATE(PARTIDAS!$F7201," (",PARTIDAS!$G7201,")"))</f>
        <v>Tarjetas con componentes impresos o de superficie</v>
      </c>
      <c r="I7201" s="16" t="s">
        <v>9427</v>
      </c>
    </row>
    <row r="7202" spans="1:9" x14ac:dyDescent="0.25">
      <c r="A7202" s="16" t="s">
        <v>8112</v>
      </c>
      <c r="B7202" s="16" t="str">
        <f>TEXT(PARTIDA[[#This Row],[PARTIDA]],"0000000000")</f>
        <v>8529909000</v>
      </c>
      <c r="C7202" s="16" t="s">
        <v>860</v>
      </c>
      <c r="D7202" s="16" t="s">
        <v>873</v>
      </c>
      <c r="E7202" s="16" t="s">
        <v>9478</v>
      </c>
      <c r="F7202" s="27" t="s">
        <v>15414</v>
      </c>
      <c r="G7202" s="27"/>
      <c r="H7202" s="16" t="str">
        <f>IF(ISBLANK(PARTIDAS!$G7202),PARTIDAS!$F7202,CONCATENATE(PARTIDAS!$F7202," (",PARTIDAS!$G7202,")"))</f>
        <v>Partes identificables como destinadas, exclusiva o principalmente, a l (los demás)</v>
      </c>
      <c r="I7202" s="16" t="s">
        <v>9648</v>
      </c>
    </row>
    <row r="7203" spans="1:9" x14ac:dyDescent="0.25">
      <c r="A7203" s="16" t="s">
        <v>15415</v>
      </c>
      <c r="B7203" s="16" t="str">
        <f>TEXT(PARTIDA[[#This Row],[PARTIDA]],"0000000000")</f>
        <v>8529909010</v>
      </c>
      <c r="C7203" s="16" t="s">
        <v>860</v>
      </c>
      <c r="D7203" s="16" t="s">
        <v>873</v>
      </c>
      <c r="E7203" s="16" t="s">
        <v>9478</v>
      </c>
      <c r="F7203" s="27" t="s">
        <v>15416</v>
      </c>
      <c r="G7203" s="27"/>
      <c r="H7203" s="16" t="str">
        <f>IF(ISBLANK(PARTIDAS!$G7203),PARTIDAS!$F7203,CONCATENATE(PARTIDAS!$F7203," (",PARTIDAS!$G7203,")"))</f>
        <v xml:space="preserve">Partes identificables como destinadas, exclusiva o principalmente, a…, partes de módulos de visualización («display») de pantallas planas de aparatos </v>
      </c>
      <c r="I7203" s="16" t="s">
        <v>9427</v>
      </c>
    </row>
    <row r="7204" spans="1:9" x14ac:dyDescent="0.25">
      <c r="A7204" s="16" t="s">
        <v>15417</v>
      </c>
      <c r="B7204" s="16" t="str">
        <f>TEXT(PARTIDA[[#This Row],[PARTIDA]],"0000000000")</f>
        <v>8529909090</v>
      </c>
      <c r="C7204" s="16" t="s">
        <v>860</v>
      </c>
      <c r="D7204" s="16" t="s">
        <v>873</v>
      </c>
      <c r="E7204" s="16" t="s">
        <v>9478</v>
      </c>
      <c r="F7204" s="27" t="s">
        <v>14446</v>
      </c>
      <c r="G7204" s="27"/>
      <c r="H7204" s="16" t="str">
        <f>IF(ISBLANK(PARTIDAS!$G7204),PARTIDAS!$F7204,CONCATENATE(PARTIDAS!$F7204," (",PARTIDAS!$G7204,")"))</f>
        <v>Partes identificables como destinadas, exclusiva o principalmente, a… (los demás)</v>
      </c>
      <c r="I7204" s="16" t="s">
        <v>9427</v>
      </c>
    </row>
    <row r="7205" spans="1:9" x14ac:dyDescent="0.25">
      <c r="A7205" s="16" t="s">
        <v>8113</v>
      </c>
      <c r="B7205" s="16" t="str">
        <f>TEXT(PARTIDA[[#This Row],[PARTIDA]],"0000000000")</f>
        <v>8530100000</v>
      </c>
      <c r="C7205" s="16" t="s">
        <v>860</v>
      </c>
      <c r="D7205" s="16" t="s">
        <v>873</v>
      </c>
      <c r="E7205" s="16" t="s">
        <v>9480</v>
      </c>
      <c r="F7205" s="27" t="s">
        <v>15418</v>
      </c>
      <c r="G7205" s="27"/>
      <c r="H7205" s="16" t="str">
        <f>IF(ISBLANK(PARTIDAS!$G7205),PARTIDAS!$F7205,CONCATENATE(PARTIDAS!$F7205," (",PARTIDAS!$G7205,")"))</f>
        <v>Aparatos para vías férreas o similares</v>
      </c>
      <c r="I7205" s="16" t="s">
        <v>9427</v>
      </c>
    </row>
    <row r="7206" spans="1:9" x14ac:dyDescent="0.25">
      <c r="A7206" s="16" t="s">
        <v>8114</v>
      </c>
      <c r="B7206" s="16" t="str">
        <f>TEXT(PARTIDA[[#This Row],[PARTIDA]],"0000000000")</f>
        <v>8530801000</v>
      </c>
      <c r="C7206" s="16" t="s">
        <v>860</v>
      </c>
      <c r="D7206" s="16" t="s">
        <v>873</v>
      </c>
      <c r="E7206" s="16" t="s">
        <v>9480</v>
      </c>
      <c r="F7206" s="27" t="s">
        <v>15419</v>
      </c>
      <c r="G7206" s="27"/>
      <c r="H7206" s="16" t="str">
        <f>IF(ISBLANK(PARTIDAS!$G7206),PARTIDAS!$F7206,CONCATENATE(PARTIDAS!$F7206," (",PARTIDAS!$G7206,")"))</f>
        <v>Semáforos y sus cajas de control</v>
      </c>
      <c r="I7206" s="16" t="s">
        <v>9427</v>
      </c>
    </row>
    <row r="7207" spans="1:9" x14ac:dyDescent="0.25">
      <c r="A7207" s="16" t="s">
        <v>8115</v>
      </c>
      <c r="B7207" s="16" t="str">
        <f>TEXT(PARTIDA[[#This Row],[PARTIDA]],"0000000000")</f>
        <v>8530809000</v>
      </c>
      <c r="C7207" s="16" t="s">
        <v>860</v>
      </c>
      <c r="D7207" s="16" t="s">
        <v>873</v>
      </c>
      <c r="E7207" s="16" t="s">
        <v>9480</v>
      </c>
      <c r="F7207" s="27" t="s">
        <v>15420</v>
      </c>
      <c r="G7207" s="27"/>
      <c r="H7207" s="16" t="str">
        <f>IF(ISBLANK(PARTIDAS!$G7207),PARTIDAS!$F7207,CONCATENATE(PARTIDAS!$F7207," (",PARTIDAS!$G7207,")"))</f>
        <v>Aparatos eléctricos de señalización (los demás)</v>
      </c>
      <c r="I7207" s="16" t="s">
        <v>9427</v>
      </c>
    </row>
    <row r="7208" spans="1:9" x14ac:dyDescent="0.25">
      <c r="A7208" s="16" t="s">
        <v>8116</v>
      </c>
      <c r="B7208" s="16" t="str">
        <f>TEXT(PARTIDA[[#This Row],[PARTIDA]],"0000000000")</f>
        <v>8530900000</v>
      </c>
      <c r="C7208" s="16" t="s">
        <v>860</v>
      </c>
      <c r="D7208" s="16" t="s">
        <v>873</v>
      </c>
      <c r="E7208" s="16" t="s">
        <v>9480</v>
      </c>
      <c r="F7208" s="27" t="s">
        <v>15421</v>
      </c>
      <c r="G7208" s="27"/>
      <c r="H7208" s="16" t="str">
        <f>IF(ISBLANK(PARTIDAS!$G7208),PARTIDAS!$F7208,CONCATENATE(PARTIDAS!$F7208," (",PARTIDAS!$G7208,")"))</f>
        <v>Aparatos eléctricos de señalización, partes</v>
      </c>
      <c r="I7208" s="16" t="s">
        <v>9427</v>
      </c>
    </row>
    <row r="7209" spans="1:9" x14ac:dyDescent="0.25">
      <c r="A7209" s="16" t="s">
        <v>8117</v>
      </c>
      <c r="B7209" s="16" t="str">
        <f>TEXT(PARTIDA[[#This Row],[PARTIDA]],"0000000000")</f>
        <v>8531100000</v>
      </c>
      <c r="C7209" s="16" t="s">
        <v>860</v>
      </c>
      <c r="D7209" s="16" t="s">
        <v>873</v>
      </c>
      <c r="E7209" s="16" t="s">
        <v>9480</v>
      </c>
      <c r="F7209" s="27" t="s">
        <v>15422</v>
      </c>
      <c r="G7209" s="27"/>
      <c r="H7209" s="16" t="str">
        <f>IF(ISBLANK(PARTIDAS!$G7209),PARTIDAS!$F7209,CONCATENATE(PARTIDAS!$F7209," (",PARTIDAS!$G7209,")"))</f>
        <v>Avisadores eléctricos de protección contra robo o incendio y aparatos similares</v>
      </c>
      <c r="I7209" s="16" t="s">
        <v>9427</v>
      </c>
    </row>
    <row r="7210" spans="1:9" x14ac:dyDescent="0.25">
      <c r="A7210" s="16" t="s">
        <v>8118</v>
      </c>
      <c r="B7210" s="16" t="str">
        <f>TEXT(PARTIDA[[#This Row],[PARTIDA]],"0000000000")</f>
        <v>8531200000</v>
      </c>
      <c r="C7210" s="16" t="s">
        <v>860</v>
      </c>
      <c r="D7210" s="16" t="s">
        <v>873</v>
      </c>
      <c r="E7210" s="16" t="s">
        <v>9480</v>
      </c>
      <c r="F7210" s="27" t="s">
        <v>15423</v>
      </c>
      <c r="G7210" s="27"/>
      <c r="H7210" s="16" t="str">
        <f>IF(ISBLANK(PARTIDAS!$G7210),PARTIDAS!$F7210,CONCATENATE(PARTIDAS!$F7210," (",PARTIDAS!$G7210,")"))</f>
        <v>Tableros indicadores con dispositivos de cristal líquido (LCD) o diodos emisores de luz (LED), incorporados</v>
      </c>
      <c r="I7210" s="16" t="s">
        <v>9427</v>
      </c>
    </row>
    <row r="7211" spans="1:9" x14ac:dyDescent="0.25">
      <c r="A7211" s="16" t="s">
        <v>8119</v>
      </c>
      <c r="B7211" s="16" t="str">
        <f>TEXT(PARTIDA[[#This Row],[PARTIDA]],"0000000000")</f>
        <v>8531800000</v>
      </c>
      <c r="C7211" s="16" t="s">
        <v>860</v>
      </c>
      <c r="D7211" s="16" t="s">
        <v>873</v>
      </c>
      <c r="E7211" s="16" t="s">
        <v>9480</v>
      </c>
      <c r="F7211" s="27" t="s">
        <v>7972</v>
      </c>
      <c r="G7211" s="27"/>
      <c r="H7211" s="16" t="str">
        <f>IF(ISBLANK(PARTIDAS!$G7211),PARTIDAS!$F7211,CONCATENATE(PARTIDAS!$F7211," (",PARTIDAS!$G7211,")"))</f>
        <v>Aparatos eléctricos</v>
      </c>
      <c r="I7211" s="16" t="s">
        <v>9427</v>
      </c>
    </row>
    <row r="7212" spans="1:9" x14ac:dyDescent="0.25">
      <c r="A7212" s="16" t="s">
        <v>8120</v>
      </c>
      <c r="B7212" s="16" t="str">
        <f>TEXT(PARTIDA[[#This Row],[PARTIDA]],"0000000000")</f>
        <v>8531900000</v>
      </c>
      <c r="C7212" s="16" t="s">
        <v>860</v>
      </c>
      <c r="D7212" s="16" t="s">
        <v>873</v>
      </c>
      <c r="E7212" s="16" t="s">
        <v>9480</v>
      </c>
      <c r="F7212" s="27" t="s">
        <v>7972</v>
      </c>
      <c r="G7212" s="27"/>
      <c r="H7212" s="16" t="str">
        <f>IF(ISBLANK(PARTIDAS!$G7212),PARTIDAS!$F7212,CONCATENATE(PARTIDAS!$F7212," (",PARTIDAS!$G7212,")"))</f>
        <v>Aparatos eléctricos</v>
      </c>
      <c r="I7212" s="16" t="s">
        <v>9427</v>
      </c>
    </row>
    <row r="7213" spans="1:9" x14ac:dyDescent="0.25">
      <c r="A7213" s="16" t="s">
        <v>8121</v>
      </c>
      <c r="B7213" s="16" t="str">
        <f>TEXT(PARTIDA[[#This Row],[PARTIDA]],"0000000000")</f>
        <v>8532100000</v>
      </c>
      <c r="C7213" s="16" t="s">
        <v>860</v>
      </c>
      <c r="D7213" s="16" t="s">
        <v>873</v>
      </c>
      <c r="E7213" s="16" t="s">
        <v>9480</v>
      </c>
      <c r="F7213" s="27" t="s">
        <v>15424</v>
      </c>
      <c r="G7213" s="27"/>
      <c r="H7213" s="16" t="str">
        <f>IF(ISBLANK(PARTIDAS!$G7213),PARTIDAS!$F7213,CONCATENATE(PARTIDAS!$F7213," (",PARTIDAS!$G7213,")"))</f>
        <v>Condensadores fijos diseñados para redes eléctricas de 50/60 Hz, para una potencia reactiva superior o igual a 0,5 kvar (condensadores de potencia)</v>
      </c>
      <c r="I7213" s="16" t="s">
        <v>9427</v>
      </c>
    </row>
    <row r="7214" spans="1:9" x14ac:dyDescent="0.25">
      <c r="A7214" s="16" t="s">
        <v>8122</v>
      </c>
      <c r="B7214" s="16" t="str">
        <f>TEXT(PARTIDA[[#This Row],[PARTIDA]],"0000000000")</f>
        <v>8532210000</v>
      </c>
      <c r="C7214" s="16" t="s">
        <v>860</v>
      </c>
      <c r="D7214" s="16" t="s">
        <v>873</v>
      </c>
      <c r="E7214" s="16" t="s">
        <v>9480</v>
      </c>
      <c r="F7214" s="27" t="s">
        <v>15425</v>
      </c>
      <c r="G7214" s="27"/>
      <c r="H7214" s="16" t="str">
        <f>IF(ISBLANK(PARTIDAS!$G7214),PARTIDAS!$F7214,CONCATENATE(PARTIDAS!$F7214," (",PARTIDAS!$G7214,")"))</f>
        <v>Condensadores eléctricos fijos, variables o ajustables, de tantalio</v>
      </c>
      <c r="I7214" s="16" t="s">
        <v>9427</v>
      </c>
    </row>
    <row r="7215" spans="1:9" x14ac:dyDescent="0.25">
      <c r="A7215" s="16" t="s">
        <v>8123</v>
      </c>
      <c r="B7215" s="16" t="str">
        <f>TEXT(PARTIDA[[#This Row],[PARTIDA]],"0000000000")</f>
        <v>8532220000</v>
      </c>
      <c r="C7215" s="16" t="s">
        <v>860</v>
      </c>
      <c r="D7215" s="16" t="s">
        <v>873</v>
      </c>
      <c r="E7215" s="16" t="s">
        <v>9480</v>
      </c>
      <c r="F7215" s="27" t="s">
        <v>15426</v>
      </c>
      <c r="G7215" s="27"/>
      <c r="H7215" s="16" t="str">
        <f>IF(ISBLANK(PARTIDAS!$G7215),PARTIDAS!$F7215,CONCATENATE(PARTIDAS!$F7215," (",PARTIDAS!$G7215,")"))</f>
        <v>Electrolíticos de aluminio</v>
      </c>
      <c r="I7215" s="16" t="s">
        <v>9427</v>
      </c>
    </row>
    <row r="7216" spans="1:9" x14ac:dyDescent="0.25">
      <c r="A7216" s="16" t="s">
        <v>8124</v>
      </c>
      <c r="B7216" s="16" t="str">
        <f>TEXT(PARTIDA[[#This Row],[PARTIDA]],"0000000000")</f>
        <v>8532230000</v>
      </c>
      <c r="C7216" s="16" t="s">
        <v>860</v>
      </c>
      <c r="D7216" s="16" t="s">
        <v>873</v>
      </c>
      <c r="E7216" s="16" t="s">
        <v>9480</v>
      </c>
      <c r="F7216" s="27" t="s">
        <v>15427</v>
      </c>
      <c r="G7216" s="27"/>
      <c r="H7216" s="16" t="str">
        <f>IF(ISBLANK(PARTIDAS!$G7216),PARTIDAS!$F7216,CONCATENATE(PARTIDAS!$F7216," (",PARTIDAS!$G7216,")"))</f>
        <v>Condensadores eléctricos fijos, variables o ajustables, con dieléctrico de cerámica de una sola capa</v>
      </c>
      <c r="I7216" s="16" t="s">
        <v>9427</v>
      </c>
    </row>
    <row r="7217" spans="1:9" x14ac:dyDescent="0.25">
      <c r="A7217" s="16" t="s">
        <v>8125</v>
      </c>
      <c r="B7217" s="16" t="str">
        <f>TEXT(PARTIDA[[#This Row],[PARTIDA]],"0000000000")</f>
        <v>8532240000</v>
      </c>
      <c r="C7217" s="16" t="s">
        <v>860</v>
      </c>
      <c r="D7217" s="16" t="s">
        <v>873</v>
      </c>
      <c r="E7217" s="16" t="s">
        <v>9480</v>
      </c>
      <c r="F7217" s="27" t="s">
        <v>15428</v>
      </c>
      <c r="G7217" s="27"/>
      <c r="H7217" s="16" t="str">
        <f>IF(ISBLANK(PARTIDAS!$G7217),PARTIDAS!$F7217,CONCATENATE(PARTIDAS!$F7217," (",PARTIDAS!$G7217,")"))</f>
        <v>Condensadores eléctricos fijos, variables o ajustables, con dieléctrico de cerámica, multicapas</v>
      </c>
      <c r="I7217" s="16" t="s">
        <v>9427</v>
      </c>
    </row>
    <row r="7218" spans="1:9" x14ac:dyDescent="0.25">
      <c r="A7218" s="16" t="s">
        <v>8126</v>
      </c>
      <c r="B7218" s="16" t="str">
        <f>TEXT(PARTIDA[[#This Row],[PARTIDA]],"0000000000")</f>
        <v>8532250000</v>
      </c>
      <c r="C7218" s="16" t="s">
        <v>860</v>
      </c>
      <c r="D7218" s="16" t="s">
        <v>873</v>
      </c>
      <c r="E7218" s="16" t="s">
        <v>9480</v>
      </c>
      <c r="F7218" s="27" t="s">
        <v>15429</v>
      </c>
      <c r="G7218" s="27"/>
      <c r="H7218" s="16" t="str">
        <f>IF(ISBLANK(PARTIDAS!$G7218),PARTIDAS!$F7218,CONCATENATE(PARTIDAS!$F7218," (",PARTIDAS!$G7218,")"))</f>
        <v>Condensadores eléctricos fijos, variables o ajustables, con dieléctrico de papel o plástico</v>
      </c>
      <c r="I7218" s="16" t="s">
        <v>9427</v>
      </c>
    </row>
    <row r="7219" spans="1:9" x14ac:dyDescent="0.25">
      <c r="A7219" s="16" t="s">
        <v>8127</v>
      </c>
      <c r="B7219" s="16" t="str">
        <f>TEXT(PARTIDA[[#This Row],[PARTIDA]],"0000000000")</f>
        <v>8532290000</v>
      </c>
      <c r="C7219" s="16" t="s">
        <v>860</v>
      </c>
      <c r="D7219" s="16" t="s">
        <v>873</v>
      </c>
      <c r="E7219" s="16" t="s">
        <v>9480</v>
      </c>
      <c r="F7219" s="27" t="s">
        <v>15430</v>
      </c>
      <c r="G7219" s="27"/>
      <c r="H7219" s="16" t="str">
        <f>IF(ISBLANK(PARTIDAS!$G7219),PARTIDAS!$F7219,CONCATENATE(PARTIDAS!$F7219," (",PARTIDAS!$G7219,")"))</f>
        <v>Condensadores eléctricos fijos, variables o ajustables (los demás)</v>
      </c>
      <c r="I7219" s="16" t="s">
        <v>9427</v>
      </c>
    </row>
    <row r="7220" spans="1:9" x14ac:dyDescent="0.25">
      <c r="A7220" s="16" t="s">
        <v>8128</v>
      </c>
      <c r="B7220" s="16" t="str">
        <f>TEXT(PARTIDA[[#This Row],[PARTIDA]],"0000000000")</f>
        <v>8532300000</v>
      </c>
      <c r="C7220" s="16" t="s">
        <v>860</v>
      </c>
      <c r="D7220" s="16" t="s">
        <v>873</v>
      </c>
      <c r="E7220" s="16" t="s">
        <v>9480</v>
      </c>
      <c r="F7220" s="27" t="s">
        <v>15431</v>
      </c>
      <c r="G7220" s="27"/>
      <c r="H7220" s="16" t="str">
        <f>IF(ISBLANK(PARTIDAS!$G7220),PARTIDAS!$F7220,CONCATENATE(PARTIDAS!$F7220," (",PARTIDAS!$G7220,")"))</f>
        <v>Condensadores variables o ajustables</v>
      </c>
      <c r="I7220" s="16" t="s">
        <v>9427</v>
      </c>
    </row>
    <row r="7221" spans="1:9" x14ac:dyDescent="0.25">
      <c r="A7221" s="16" t="s">
        <v>8129</v>
      </c>
      <c r="B7221" s="16" t="str">
        <f>TEXT(PARTIDA[[#This Row],[PARTIDA]],"0000000000")</f>
        <v>8532900000</v>
      </c>
      <c r="C7221" s="16" t="s">
        <v>860</v>
      </c>
      <c r="D7221" s="16" t="s">
        <v>873</v>
      </c>
      <c r="E7221" s="16" t="s">
        <v>9480</v>
      </c>
      <c r="F7221" s="27" t="s">
        <v>15432</v>
      </c>
      <c r="G7221" s="27"/>
      <c r="H7221" s="16" t="str">
        <f>IF(ISBLANK(PARTIDAS!$G7221),PARTIDAS!$F7221,CONCATENATE(PARTIDAS!$F7221," (",PARTIDAS!$G7221,")"))</f>
        <v>Condensadores eléctricos fijos, variables o ajustables, partes</v>
      </c>
      <c r="I7221" s="16" t="s">
        <v>9427</v>
      </c>
    </row>
    <row r="7222" spans="1:9" x14ac:dyDescent="0.25">
      <c r="A7222" s="16" t="s">
        <v>8130</v>
      </c>
      <c r="B7222" s="16" t="str">
        <f>TEXT(PARTIDA[[#This Row],[PARTIDA]],"0000000000")</f>
        <v>8533100000</v>
      </c>
      <c r="C7222" s="16" t="s">
        <v>860</v>
      </c>
      <c r="D7222" s="16" t="s">
        <v>873</v>
      </c>
      <c r="E7222" s="16" t="s">
        <v>9480</v>
      </c>
      <c r="F7222" s="27" t="s">
        <v>15433</v>
      </c>
      <c r="G7222" s="27"/>
      <c r="H7222" s="16" t="str">
        <f>IF(ISBLANK(PARTIDAS!$G7222),PARTIDAS!$F7222,CONCATENATE(PARTIDAS!$F7222," (",PARTIDAS!$G7222,")"))</f>
        <v>Resistencias fijas de carbono, aglomeradas o de capa</v>
      </c>
      <c r="I7222" s="16" t="s">
        <v>9427</v>
      </c>
    </row>
    <row r="7223" spans="1:9" x14ac:dyDescent="0.25">
      <c r="A7223" s="16" t="s">
        <v>8131</v>
      </c>
      <c r="B7223" s="16" t="str">
        <f>TEXT(PARTIDA[[#This Row],[PARTIDA]],"0000000000")</f>
        <v>8533210000</v>
      </c>
      <c r="C7223" s="16" t="s">
        <v>860</v>
      </c>
      <c r="D7223" s="16" t="s">
        <v>873</v>
      </c>
      <c r="E7223" s="16" t="s">
        <v>9480</v>
      </c>
      <c r="F7223" s="27" t="s">
        <v>15434</v>
      </c>
      <c r="G7223" s="27"/>
      <c r="H7223" s="16" t="str">
        <f>IF(ISBLANK(PARTIDAS!$G7223),PARTIDAS!$F7223,CONCATENATE(PARTIDAS!$F7223," (",PARTIDAS!$G7223,")"))</f>
        <v>Resistencias eléctricas, de potencia inferior o igual a 20 W</v>
      </c>
      <c r="I7223" s="16" t="s">
        <v>9427</v>
      </c>
    </row>
    <row r="7224" spans="1:9" x14ac:dyDescent="0.25">
      <c r="A7224" s="16" t="s">
        <v>8132</v>
      </c>
      <c r="B7224" s="16" t="str">
        <f>TEXT(PARTIDA[[#This Row],[PARTIDA]],"0000000000")</f>
        <v>8533290000</v>
      </c>
      <c r="C7224" s="16" t="s">
        <v>860</v>
      </c>
      <c r="D7224" s="16" t="s">
        <v>873</v>
      </c>
      <c r="E7224" s="16" t="s">
        <v>9480</v>
      </c>
      <c r="F7224" s="27" t="s">
        <v>15435</v>
      </c>
      <c r="G7224" s="27"/>
      <c r="H7224" s="16" t="str">
        <f>IF(ISBLANK(PARTIDAS!$G7224),PARTIDAS!$F7224,CONCATENATE(PARTIDAS!$F7224," (",PARTIDAS!$G7224,")"))</f>
        <v>Resistencias eléctricas (los demás)</v>
      </c>
      <c r="I7224" s="16" t="s">
        <v>9427</v>
      </c>
    </row>
    <row r="7225" spans="1:9" x14ac:dyDescent="0.25">
      <c r="A7225" s="16" t="s">
        <v>8133</v>
      </c>
      <c r="B7225" s="16" t="str">
        <f>TEXT(PARTIDA[[#This Row],[PARTIDA]],"0000000000")</f>
        <v>8533311000</v>
      </c>
      <c r="C7225" s="16" t="s">
        <v>860</v>
      </c>
      <c r="D7225" s="16" t="s">
        <v>873</v>
      </c>
      <c r="E7225" s="16" t="s">
        <v>9480</v>
      </c>
      <c r="F7225" s="27" t="s">
        <v>7972</v>
      </c>
      <c r="G7225" s="27"/>
      <c r="H7225" s="16" t="str">
        <f>IF(ISBLANK(PARTIDAS!$G7225),PARTIDAS!$F7225,CONCATENATE(PARTIDAS!$F7225," (",PARTIDAS!$G7225,")"))</f>
        <v>Aparatos eléctricos</v>
      </c>
      <c r="I7225" s="16" t="s">
        <v>9427</v>
      </c>
    </row>
    <row r="7226" spans="1:9" x14ac:dyDescent="0.25">
      <c r="A7226" s="16" t="s">
        <v>8134</v>
      </c>
      <c r="B7226" s="16" t="str">
        <f>TEXT(PARTIDA[[#This Row],[PARTIDA]],"0000000000")</f>
        <v>8533312000</v>
      </c>
      <c r="C7226" s="16" t="s">
        <v>860</v>
      </c>
      <c r="D7226" s="16" t="s">
        <v>873</v>
      </c>
      <c r="E7226" s="16" t="s">
        <v>9480</v>
      </c>
      <c r="F7226" s="27" t="s">
        <v>15436</v>
      </c>
      <c r="G7226" s="27"/>
      <c r="H7226" s="16" t="str">
        <f>IF(ISBLANK(PARTIDAS!$G7226),PARTIDAS!$F7226,CONCATENATE(PARTIDAS!$F7226," (",PARTIDAS!$G7226,")"))</f>
        <v>Resistencias variables bobinadas (incluidos reóstatos…, de potencia inferior o igual a 20 W, potenciómetros</v>
      </c>
      <c r="I7226" s="16" t="s">
        <v>9427</v>
      </c>
    </row>
    <row r="7227" spans="1:9" x14ac:dyDescent="0.25">
      <c r="A7227" s="16" t="s">
        <v>8135</v>
      </c>
      <c r="B7227" s="16" t="str">
        <f>TEXT(PARTIDA[[#This Row],[PARTIDA]],"0000000000")</f>
        <v>8533319000</v>
      </c>
      <c r="C7227" s="16" t="s">
        <v>860</v>
      </c>
      <c r="D7227" s="16" t="s">
        <v>873</v>
      </c>
      <c r="E7227" s="16" t="s">
        <v>9480</v>
      </c>
      <c r="F7227" s="27" t="s">
        <v>7972</v>
      </c>
      <c r="G7227" s="27"/>
      <c r="H7227" s="16" t="str">
        <f>IF(ISBLANK(PARTIDAS!$G7227),PARTIDAS!$F7227,CONCATENATE(PARTIDAS!$F7227," (",PARTIDAS!$G7227,")"))</f>
        <v>Aparatos eléctricos</v>
      </c>
      <c r="I7227" s="16" t="s">
        <v>9427</v>
      </c>
    </row>
    <row r="7228" spans="1:9" x14ac:dyDescent="0.25">
      <c r="A7228" s="16" t="s">
        <v>8136</v>
      </c>
      <c r="B7228" s="16" t="str">
        <f>TEXT(PARTIDA[[#This Row],[PARTIDA]],"0000000000")</f>
        <v>8533391000</v>
      </c>
      <c r="C7228" s="16" t="s">
        <v>860</v>
      </c>
      <c r="D7228" s="16" t="s">
        <v>873</v>
      </c>
      <c r="E7228" s="16" t="s">
        <v>9480</v>
      </c>
      <c r="F7228" s="27" t="s">
        <v>15437</v>
      </c>
      <c r="G7228" s="27"/>
      <c r="H7228" s="16" t="str">
        <f>IF(ISBLANK(PARTIDAS!$G7228),PARTIDAS!$F7228,CONCATENATE(PARTIDAS!$F7228," (",PARTIDAS!$G7228,")"))</f>
        <v>Reóstatos para una tensión inferior o igual a 260 V e intensidad inferior o igual a 30 A</v>
      </c>
      <c r="I7228" s="16" t="s">
        <v>9427</v>
      </c>
    </row>
    <row r="7229" spans="1:9" x14ac:dyDescent="0.25">
      <c r="A7229" s="16" t="s">
        <v>8137</v>
      </c>
      <c r="B7229" s="16" t="str">
        <f>TEXT(PARTIDA[[#This Row],[PARTIDA]],"0000000000")</f>
        <v>8533392000</v>
      </c>
      <c r="C7229" s="16" t="s">
        <v>860</v>
      </c>
      <c r="D7229" s="16" t="s">
        <v>873</v>
      </c>
      <c r="E7229" s="16" t="s">
        <v>9480</v>
      </c>
      <c r="F7229" s="27" t="s">
        <v>15438</v>
      </c>
      <c r="G7229" s="27"/>
      <c r="H7229" s="16" t="str">
        <f>IF(ISBLANK(PARTIDAS!$G7229),PARTIDAS!$F7229,CONCATENATE(PARTIDAS!$F7229," (",PARTIDAS!$G7229,")"))</f>
        <v>Resistencias variables bobinadas (incluidos reóstatos y… (los demás, reóstatos)</v>
      </c>
      <c r="I7229" s="16" t="s">
        <v>9427</v>
      </c>
    </row>
    <row r="7230" spans="1:9" x14ac:dyDescent="0.25">
      <c r="A7230" s="16" t="s">
        <v>8138</v>
      </c>
      <c r="B7230" s="16" t="str">
        <f>TEXT(PARTIDA[[#This Row],[PARTIDA]],"0000000000")</f>
        <v>8533393000</v>
      </c>
      <c r="C7230" s="16" t="s">
        <v>860</v>
      </c>
      <c r="D7230" s="16" t="s">
        <v>873</v>
      </c>
      <c r="E7230" s="16" t="s">
        <v>9480</v>
      </c>
      <c r="F7230" s="27" t="s">
        <v>15439</v>
      </c>
      <c r="G7230" s="27"/>
      <c r="H7230" s="16" t="str">
        <f>IF(ISBLANK(PARTIDAS!$G7230),PARTIDAS!$F7230,CONCATENATE(PARTIDAS!$F7230," (",PARTIDAS!$G7230,")"))</f>
        <v>Resistencias variables bobinadas (incluidos reóstatos y…, potenciómetros</v>
      </c>
      <c r="I7230" s="16" t="s">
        <v>9427</v>
      </c>
    </row>
    <row r="7231" spans="1:9" x14ac:dyDescent="0.25">
      <c r="A7231" s="16" t="s">
        <v>8139</v>
      </c>
      <c r="B7231" s="16" t="str">
        <f>TEXT(PARTIDA[[#This Row],[PARTIDA]],"0000000000")</f>
        <v>8533399000</v>
      </c>
      <c r="C7231" s="16" t="s">
        <v>860</v>
      </c>
      <c r="D7231" s="16" t="s">
        <v>873</v>
      </c>
      <c r="E7231" s="16" t="s">
        <v>9480</v>
      </c>
      <c r="F7231" s="27" t="s">
        <v>15440</v>
      </c>
      <c r="G7231" s="27"/>
      <c r="H7231" s="16" t="str">
        <f>IF(ISBLANK(PARTIDAS!$G7231),PARTIDAS!$F7231,CONCATENATE(PARTIDAS!$F7231," (",PARTIDAS!$G7231,")"))</f>
        <v>Resistencias variables bobinadas (incluidos reóstatos y… (los demás)</v>
      </c>
      <c r="I7231" s="16" t="s">
        <v>9427</v>
      </c>
    </row>
    <row r="7232" spans="1:9" x14ac:dyDescent="0.25">
      <c r="A7232" s="16" t="s">
        <v>8140</v>
      </c>
      <c r="B7232" s="16" t="str">
        <f>TEXT(PARTIDA[[#This Row],[PARTIDA]],"0000000000")</f>
        <v>8533401000</v>
      </c>
      <c r="C7232" s="16" t="s">
        <v>860</v>
      </c>
      <c r="D7232" s="16" t="s">
        <v>873</v>
      </c>
      <c r="E7232" s="16" t="s">
        <v>9480</v>
      </c>
      <c r="F7232" s="27" t="s">
        <v>15437</v>
      </c>
      <c r="G7232" s="27"/>
      <c r="H7232" s="16" t="str">
        <f>IF(ISBLANK(PARTIDAS!$G7232),PARTIDAS!$F7232,CONCATENATE(PARTIDAS!$F7232," (",PARTIDAS!$G7232,")"))</f>
        <v>Reóstatos para una tensión inferior o igual a 260 V e intensidad inferior o igual a 30 A</v>
      </c>
      <c r="I7232" s="16" t="s">
        <v>9427</v>
      </c>
    </row>
    <row r="7233" spans="1:9" x14ac:dyDescent="0.25">
      <c r="A7233" s="16" t="s">
        <v>8141</v>
      </c>
      <c r="B7233" s="16" t="str">
        <f>TEXT(PARTIDA[[#This Row],[PARTIDA]],"0000000000")</f>
        <v>8533402000</v>
      </c>
      <c r="C7233" s="16" t="s">
        <v>860</v>
      </c>
      <c r="D7233" s="16" t="s">
        <v>873</v>
      </c>
      <c r="E7233" s="16" t="s">
        <v>9480</v>
      </c>
      <c r="F7233" s="27" t="s">
        <v>15441</v>
      </c>
      <c r="G7233" s="27"/>
      <c r="H7233" s="16" t="str">
        <f>IF(ISBLANK(PARTIDAS!$G7233),PARTIDAS!$F7233,CONCATENATE(PARTIDAS!$F7233," (",PARTIDAS!$G7233,")"))</f>
        <v>Resistencias eléctricas (los demás, reóstatos)</v>
      </c>
      <c r="I7233" s="16" t="s">
        <v>9427</v>
      </c>
    </row>
    <row r="7234" spans="1:9" x14ac:dyDescent="0.25">
      <c r="A7234" s="16" t="s">
        <v>8142</v>
      </c>
      <c r="B7234" s="16" t="str">
        <f>TEXT(PARTIDA[[#This Row],[PARTIDA]],"0000000000")</f>
        <v>8533403000</v>
      </c>
      <c r="C7234" s="16" t="s">
        <v>860</v>
      </c>
      <c r="D7234" s="16" t="s">
        <v>873</v>
      </c>
      <c r="E7234" s="16" t="s">
        <v>9480</v>
      </c>
      <c r="F7234" s="27" t="s">
        <v>15442</v>
      </c>
      <c r="G7234" s="27"/>
      <c r="H7234" s="16" t="str">
        <f>IF(ISBLANK(PARTIDAS!$G7234),PARTIDAS!$F7234,CONCATENATE(PARTIDAS!$F7234," (",PARTIDAS!$G7234,")"))</f>
        <v>Potenciómetros de carbón</v>
      </c>
      <c r="I7234" s="16" t="s">
        <v>9427</v>
      </c>
    </row>
    <row r="7235" spans="1:9" x14ac:dyDescent="0.25">
      <c r="A7235" s="16" t="s">
        <v>8143</v>
      </c>
      <c r="B7235" s="16" t="str">
        <f>TEXT(PARTIDA[[#This Row],[PARTIDA]],"0000000000")</f>
        <v>8533404000</v>
      </c>
      <c r="C7235" s="16" t="s">
        <v>860</v>
      </c>
      <c r="D7235" s="16" t="s">
        <v>873</v>
      </c>
      <c r="E7235" s="16" t="s">
        <v>9480</v>
      </c>
      <c r="F7235" s="27" t="s">
        <v>15443</v>
      </c>
      <c r="G7235" s="27"/>
      <c r="H7235" s="16" t="str">
        <f>IF(ISBLANK(PARTIDAS!$G7235),PARTIDAS!$F7235,CONCATENATE(PARTIDAS!$F7235," (",PARTIDAS!$G7235,")"))</f>
        <v>Resistencias eléctricas (los demás, potenciómetros)</v>
      </c>
      <c r="I7235" s="16" t="s">
        <v>9427</v>
      </c>
    </row>
    <row r="7236" spans="1:9" x14ac:dyDescent="0.25">
      <c r="A7236" s="16" t="s">
        <v>8144</v>
      </c>
      <c r="B7236" s="16" t="str">
        <f>TEXT(PARTIDA[[#This Row],[PARTIDA]],"0000000000")</f>
        <v>8533409000</v>
      </c>
      <c r="C7236" s="16" t="s">
        <v>860</v>
      </c>
      <c r="D7236" s="16" t="s">
        <v>873</v>
      </c>
      <c r="E7236" s="16" t="s">
        <v>9480</v>
      </c>
      <c r="F7236" s="27" t="s">
        <v>15435</v>
      </c>
      <c r="G7236" s="27"/>
      <c r="H7236" s="16" t="str">
        <f>IF(ISBLANK(PARTIDAS!$G7236),PARTIDAS!$F7236,CONCATENATE(PARTIDAS!$F7236," (",PARTIDAS!$G7236,")"))</f>
        <v>Resistencias eléctricas (los demás)</v>
      </c>
      <c r="I7236" s="16" t="s">
        <v>9427</v>
      </c>
    </row>
    <row r="7237" spans="1:9" x14ac:dyDescent="0.25">
      <c r="A7237" s="16" t="s">
        <v>8145</v>
      </c>
      <c r="B7237" s="16" t="str">
        <f>TEXT(PARTIDA[[#This Row],[PARTIDA]],"0000000000")</f>
        <v>8533900000</v>
      </c>
      <c r="C7237" s="16" t="s">
        <v>860</v>
      </c>
      <c r="D7237" s="16" t="s">
        <v>873</v>
      </c>
      <c r="E7237" s="16" t="s">
        <v>9480</v>
      </c>
      <c r="F7237" s="27" t="s">
        <v>15444</v>
      </c>
      <c r="G7237" s="27"/>
      <c r="H7237" s="16" t="str">
        <f>IF(ISBLANK(PARTIDAS!$G7237),PARTIDAS!$F7237,CONCATENATE(PARTIDAS!$F7237," (",PARTIDAS!$G7237,")"))</f>
        <v>Resistencias eléctricas, partes</v>
      </c>
      <c r="I7237" s="16" t="s">
        <v>9427</v>
      </c>
    </row>
    <row r="7238" spans="1:9" x14ac:dyDescent="0.25">
      <c r="A7238" s="16" t="s">
        <v>8146</v>
      </c>
      <c r="B7238" s="16" t="str">
        <f>TEXT(PARTIDA[[#This Row],[PARTIDA]],"0000000000")</f>
        <v>8534000000</v>
      </c>
      <c r="C7238" s="16" t="s">
        <v>860</v>
      </c>
      <c r="D7238" s="16" t="s">
        <v>873</v>
      </c>
      <c r="E7238" s="16" t="s">
        <v>9480</v>
      </c>
      <c r="F7238" s="27" t="s">
        <v>8147</v>
      </c>
      <c r="G7238" s="27"/>
      <c r="H7238" s="16" t="str">
        <f>IF(ISBLANK(PARTIDAS!$G7238),PARTIDAS!$F7238,CONCATENATE(PARTIDAS!$F7238," (",PARTIDAS!$G7238,")"))</f>
        <v>Circuitos impresos.</v>
      </c>
      <c r="I7238" s="16" t="s">
        <v>9427</v>
      </c>
    </row>
    <row r="7239" spans="1:9" x14ac:dyDescent="0.25">
      <c r="A7239" s="16" t="s">
        <v>8148</v>
      </c>
      <c r="B7239" s="16" t="str">
        <f>TEXT(PARTIDA[[#This Row],[PARTIDA]],"0000000000")</f>
        <v>8535100000</v>
      </c>
      <c r="C7239" s="16" t="s">
        <v>860</v>
      </c>
      <c r="D7239" s="16" t="s">
        <v>873</v>
      </c>
      <c r="E7239" s="16" t="s">
        <v>9480</v>
      </c>
      <c r="F7239" s="27" t="s">
        <v>7972</v>
      </c>
      <c r="G7239" s="27"/>
      <c r="H7239" s="16" t="str">
        <f>IF(ISBLANK(PARTIDAS!$G7239),PARTIDAS!$F7239,CONCATENATE(PARTIDAS!$F7239," (",PARTIDAS!$G7239,")"))</f>
        <v>Aparatos eléctricos</v>
      </c>
      <c r="I7239" s="16" t="s">
        <v>9427</v>
      </c>
    </row>
    <row r="7240" spans="1:9" x14ac:dyDescent="0.25">
      <c r="A7240" s="16" t="s">
        <v>8149</v>
      </c>
      <c r="B7240" s="16" t="str">
        <f>TEXT(PARTIDA[[#This Row],[PARTIDA]],"0000000000")</f>
        <v>8535210000</v>
      </c>
      <c r="C7240" s="16" t="s">
        <v>860</v>
      </c>
      <c r="D7240" s="16" t="s">
        <v>873</v>
      </c>
      <c r="E7240" s="16" t="s">
        <v>9480</v>
      </c>
      <c r="F7240" s="27" t="s">
        <v>15445</v>
      </c>
      <c r="G7240" s="27"/>
      <c r="H7240" s="16" t="str">
        <f>IF(ISBLANK(PARTIDAS!$G7240),PARTIDAS!$F7240,CONCATENATE(PARTIDAS!$F7240," (",PARTIDAS!$G7240,")"))</f>
        <v>Disyuntores, para una tensión inferior a 72,5 kV</v>
      </c>
      <c r="I7240" s="16" t="s">
        <v>9427</v>
      </c>
    </row>
    <row r="7241" spans="1:9" x14ac:dyDescent="0.25">
      <c r="A7241" s="16" t="s">
        <v>8150</v>
      </c>
      <c r="B7241" s="16" t="str">
        <f>TEXT(PARTIDA[[#This Row],[PARTIDA]],"0000000000")</f>
        <v>8535290000</v>
      </c>
      <c r="C7241" s="16" t="s">
        <v>860</v>
      </c>
      <c r="D7241" s="16" t="s">
        <v>873</v>
      </c>
      <c r="E7241" s="16" t="s">
        <v>9480</v>
      </c>
      <c r="F7241" s="27" t="s">
        <v>15446</v>
      </c>
      <c r="G7241" s="27"/>
      <c r="H7241" s="16" t="str">
        <f>IF(ISBLANK(PARTIDAS!$G7241),PARTIDAS!$F7241,CONCATENATE(PARTIDAS!$F7241," (",PARTIDAS!$G7241,")"))</f>
        <v>Disyuntores (los demás)</v>
      </c>
      <c r="I7241" s="16" t="s">
        <v>9427</v>
      </c>
    </row>
    <row r="7242" spans="1:9" x14ac:dyDescent="0.25">
      <c r="A7242" s="16" t="s">
        <v>8151</v>
      </c>
      <c r="B7242" s="16" t="str">
        <f>TEXT(PARTIDA[[#This Row],[PARTIDA]],"0000000000")</f>
        <v>8535300000</v>
      </c>
      <c r="C7242" s="16" t="s">
        <v>860</v>
      </c>
      <c r="D7242" s="16" t="s">
        <v>873</v>
      </c>
      <c r="E7242" s="16" t="s">
        <v>9480</v>
      </c>
      <c r="F7242" s="27" t="s">
        <v>15447</v>
      </c>
      <c r="G7242" s="27"/>
      <c r="H7242" s="16" t="str">
        <f>IF(ISBLANK(PARTIDAS!$G7242),PARTIDAS!$F7242,CONCATENATE(PARTIDAS!$F7242," (",PARTIDAS!$G7242,")"))</f>
        <v>Seccionadores e interruptores</v>
      </c>
      <c r="I7242" s="16" t="s">
        <v>9427</v>
      </c>
    </row>
    <row r="7243" spans="1:9" x14ac:dyDescent="0.25">
      <c r="A7243" s="16" t="s">
        <v>8152</v>
      </c>
      <c r="B7243" s="16" t="str">
        <f>TEXT(PARTIDA[[#This Row],[PARTIDA]],"0000000000")</f>
        <v>8535401000</v>
      </c>
      <c r="C7243" s="16" t="s">
        <v>860</v>
      </c>
      <c r="D7243" s="16" t="s">
        <v>873</v>
      </c>
      <c r="E7243" s="16" t="s">
        <v>9480</v>
      </c>
      <c r="F7243" s="27" t="s">
        <v>15448</v>
      </c>
      <c r="G7243" s="27"/>
      <c r="H7243" s="16" t="str">
        <f>IF(ISBLANK(PARTIDAS!$G7243),PARTIDAS!$F7243,CONCATENATE(PARTIDAS!$F7243," (",PARTIDAS!$G7243,")"))</f>
        <v>Pararrayos y limitadores de tensión</v>
      </c>
      <c r="I7243" s="16" t="s">
        <v>9427</v>
      </c>
    </row>
    <row r="7244" spans="1:9" x14ac:dyDescent="0.25">
      <c r="A7244" s="16" t="s">
        <v>8153</v>
      </c>
      <c r="B7244" s="16" t="str">
        <f>TEXT(PARTIDA[[#This Row],[PARTIDA]],"0000000000")</f>
        <v>8535402000</v>
      </c>
      <c r="C7244" s="16" t="s">
        <v>860</v>
      </c>
      <c r="D7244" s="16" t="s">
        <v>873</v>
      </c>
      <c r="E7244" s="16" t="s">
        <v>9480</v>
      </c>
      <c r="F7244" s="27" t="s">
        <v>15449</v>
      </c>
      <c r="G7244" s="27"/>
      <c r="H7244" s="16" t="str">
        <f>IF(ISBLANK(PARTIDAS!$G7244),PARTIDAS!$F7244,CONCATENATE(PARTIDAS!$F7244," (",PARTIDAS!$G7244,")"))</f>
        <v>Supresores de sobretensión transitoria («Amortiguadores de onda»)</v>
      </c>
      <c r="I7244" s="16" t="s">
        <v>9427</v>
      </c>
    </row>
    <row r="7245" spans="1:9" x14ac:dyDescent="0.25">
      <c r="A7245" s="16" t="s">
        <v>8154</v>
      </c>
      <c r="B7245" s="16" t="str">
        <f>TEXT(PARTIDA[[#This Row],[PARTIDA]],"0000000000")</f>
        <v>8535901000</v>
      </c>
      <c r="C7245" s="16" t="s">
        <v>860</v>
      </c>
      <c r="D7245" s="16" t="s">
        <v>873</v>
      </c>
      <c r="E7245" s="16" t="s">
        <v>9480</v>
      </c>
      <c r="F7245" s="27" t="s">
        <v>15450</v>
      </c>
      <c r="G7245" s="27"/>
      <c r="H7245" s="16" t="str">
        <f>IF(ISBLANK(PARTIDAS!$G7245),PARTIDAS!$F7245,CONCATENATE(PARTIDAS!$F7245," (",PARTIDAS!$G7245,")"))</f>
        <v>Aparatos para corte, seccionamiento, protección, derivación, empalme…, conmutadores</v>
      </c>
      <c r="I7245" s="16" t="s">
        <v>9427</v>
      </c>
    </row>
    <row r="7246" spans="1:9" x14ac:dyDescent="0.25">
      <c r="A7246" s="16" t="s">
        <v>8155</v>
      </c>
      <c r="B7246" s="16" t="str">
        <f>TEXT(PARTIDA[[#This Row],[PARTIDA]],"0000000000")</f>
        <v>8535909000</v>
      </c>
      <c r="C7246" s="16" t="s">
        <v>860</v>
      </c>
      <c r="D7246" s="16" t="s">
        <v>873</v>
      </c>
      <c r="E7246" s="16" t="s">
        <v>9480</v>
      </c>
      <c r="F7246" s="27" t="s">
        <v>15451</v>
      </c>
      <c r="G7246" s="27"/>
      <c r="H7246" s="16" t="str">
        <f>IF(ISBLANK(PARTIDAS!$G7246),PARTIDAS!$F7246,CONCATENATE(PARTIDAS!$F7246," (",PARTIDAS!$G7246,")"))</f>
        <v>Aparatos para corte, seccionamiento, protección, derivación, empalme… (los demás)</v>
      </c>
      <c r="I7246" s="16" t="s">
        <v>9427</v>
      </c>
    </row>
    <row r="7247" spans="1:9" x14ac:dyDescent="0.25">
      <c r="A7247" s="16" t="s">
        <v>8156</v>
      </c>
      <c r="B7247" s="16" t="str">
        <f>TEXT(PARTIDA[[#This Row],[PARTIDA]],"0000000000")</f>
        <v>8536101000</v>
      </c>
      <c r="C7247" s="16" t="s">
        <v>860</v>
      </c>
      <c r="D7247" s="16" t="s">
        <v>873</v>
      </c>
      <c r="E7247" s="16" t="s">
        <v>9478</v>
      </c>
      <c r="F7247" s="27" t="s">
        <v>15452</v>
      </c>
      <c r="G7247" s="27"/>
      <c r="H7247" s="16" t="str">
        <f>IF(ISBLANK(PARTIDAS!$G7247),PARTIDAS!$F7247,CONCATENATE(PARTIDAS!$F7247," (",PARTIDAS!$G7247,")"))</f>
        <v>Fusibles para vehículos del Capítulo 87</v>
      </c>
      <c r="I7247" s="16" t="s">
        <v>9427</v>
      </c>
    </row>
    <row r="7248" spans="1:9" x14ac:dyDescent="0.25">
      <c r="A7248" s="16" t="s">
        <v>8157</v>
      </c>
      <c r="B7248" s="16" t="str">
        <f>TEXT(PARTIDA[[#This Row],[PARTIDA]],"0000000000")</f>
        <v>8536102000</v>
      </c>
      <c r="C7248" s="16" t="s">
        <v>860</v>
      </c>
      <c r="D7248" s="16" t="s">
        <v>873</v>
      </c>
      <c r="E7248" s="16" t="s">
        <v>9478</v>
      </c>
      <c r="F7248" s="27" t="s">
        <v>15453</v>
      </c>
      <c r="G7248" s="27"/>
      <c r="H7248" s="16" t="str">
        <f>IF(ISBLANK(PARTIDAS!$G7248),PARTIDAS!$F7248,CONCATENATE(PARTIDAS!$F7248," (",PARTIDAS!$G7248,")"))</f>
        <v>Fusibles y cortacircuitos de fusible (los demás, para una tensión inferior o igual a 260 V e intensidad inferior o igual a 30 A)</v>
      </c>
      <c r="I7248" s="16" t="s">
        <v>9427</v>
      </c>
    </row>
    <row r="7249" spans="1:9" x14ac:dyDescent="0.25">
      <c r="A7249" s="16" t="s">
        <v>8158</v>
      </c>
      <c r="B7249" s="16" t="str">
        <f>TEXT(PARTIDA[[#This Row],[PARTIDA]],"0000000000")</f>
        <v>8536109000</v>
      </c>
      <c r="C7249" s="16" t="s">
        <v>860</v>
      </c>
      <c r="D7249" s="16" t="s">
        <v>873</v>
      </c>
      <c r="E7249" s="16" t="s">
        <v>9478</v>
      </c>
      <c r="F7249" s="27" t="s">
        <v>7972</v>
      </c>
      <c r="G7249" s="27"/>
      <c r="H7249" s="16" t="str">
        <f>IF(ISBLANK(PARTIDAS!$G7249),PARTIDAS!$F7249,CONCATENATE(PARTIDAS!$F7249," (",PARTIDAS!$G7249,")"))</f>
        <v>Aparatos eléctricos</v>
      </c>
      <c r="I7249" s="16" t="s">
        <v>9427</v>
      </c>
    </row>
    <row r="7250" spans="1:9" x14ac:dyDescent="0.25">
      <c r="A7250" s="16" t="s">
        <v>8159</v>
      </c>
      <c r="B7250" s="16" t="str">
        <f>TEXT(PARTIDA[[#This Row],[PARTIDA]],"0000000000")</f>
        <v>8536202000</v>
      </c>
      <c r="C7250" s="16" t="s">
        <v>860</v>
      </c>
      <c r="D7250" s="16" t="s">
        <v>873</v>
      </c>
      <c r="E7250" s="16" t="s">
        <v>9478</v>
      </c>
      <c r="F7250" s="27" t="s">
        <v>15454</v>
      </c>
      <c r="G7250" s="27"/>
      <c r="H7250" s="16" t="str">
        <f>IF(ISBLANK(PARTIDAS!$G7250),PARTIDAS!$F7250,CONCATENATE(PARTIDAS!$F7250," (",PARTIDAS!$G7250,")"))</f>
        <v>Disyuntores, para una tensión inferior o igual a 260 V e intensidad inferior o igual a 100 A</v>
      </c>
      <c r="I7250" s="16" t="s">
        <v>9427</v>
      </c>
    </row>
    <row r="7251" spans="1:9" x14ac:dyDescent="0.25">
      <c r="A7251" s="16" t="s">
        <v>8160</v>
      </c>
      <c r="B7251" s="16" t="str">
        <f>TEXT(PARTIDA[[#This Row],[PARTIDA]],"0000000000")</f>
        <v>8536209000</v>
      </c>
      <c r="C7251" s="16" t="s">
        <v>860</v>
      </c>
      <c r="D7251" s="16" t="s">
        <v>873</v>
      </c>
      <c r="E7251" s="16" t="s">
        <v>9478</v>
      </c>
      <c r="F7251" s="27" t="s">
        <v>7972</v>
      </c>
      <c r="G7251" s="27"/>
      <c r="H7251" s="16" t="str">
        <f>IF(ISBLANK(PARTIDAS!$G7251),PARTIDAS!$F7251,CONCATENATE(PARTIDAS!$F7251," (",PARTIDAS!$G7251,")"))</f>
        <v>Aparatos eléctricos</v>
      </c>
      <c r="I7251" s="16" t="s">
        <v>9427</v>
      </c>
    </row>
    <row r="7252" spans="1:9" x14ac:dyDescent="0.25">
      <c r="A7252" s="16" t="s">
        <v>8161</v>
      </c>
      <c r="B7252" s="16" t="str">
        <f>TEXT(PARTIDA[[#This Row],[PARTIDA]],"0000000000")</f>
        <v>8536301100</v>
      </c>
      <c r="C7252" s="16" t="s">
        <v>860</v>
      </c>
      <c r="D7252" s="16" t="s">
        <v>873</v>
      </c>
      <c r="E7252" s="16" t="s">
        <v>9478</v>
      </c>
      <c r="F7252" s="27" t="s">
        <v>15455</v>
      </c>
      <c r="G7252" s="27"/>
      <c r="H7252" s="16" t="str">
        <f>IF(ISBLANK(PARTIDAS!$G7252),PARTIDAS!$F7252,CONCATENATE(PARTIDAS!$F7252," (",PARTIDAS!$G7252,")"))</f>
        <v>Descargadores con electrodos en atmósfera gaseosa, para proteger líneas telefónicas</v>
      </c>
      <c r="I7252" s="16" t="s">
        <v>9427</v>
      </c>
    </row>
    <row r="7253" spans="1:9" x14ac:dyDescent="0.25">
      <c r="A7253" s="16" t="s">
        <v>8162</v>
      </c>
      <c r="B7253" s="16" t="str">
        <f>TEXT(PARTIDA[[#This Row],[PARTIDA]],"0000000000")</f>
        <v>8536301900</v>
      </c>
      <c r="C7253" s="16" t="s">
        <v>860</v>
      </c>
      <c r="D7253" s="16" t="s">
        <v>873</v>
      </c>
      <c r="E7253" s="16" t="s">
        <v>9478</v>
      </c>
      <c r="F7253" s="27" t="s">
        <v>15456</v>
      </c>
      <c r="G7253" s="27"/>
      <c r="H7253" s="16" t="str">
        <f>IF(ISBLANK(PARTIDAS!$G7253),PARTIDAS!$F7253,CONCATENATE(PARTIDAS!$F7253," (",PARTIDAS!$G7253,")"))</f>
        <v>Supresores de sobretensión transitoria («Amortiguadores de onda») (los demás)</v>
      </c>
      <c r="I7253" s="16" t="s">
        <v>9427</v>
      </c>
    </row>
    <row r="7254" spans="1:9" x14ac:dyDescent="0.25">
      <c r="A7254" s="16" t="s">
        <v>8163</v>
      </c>
      <c r="B7254" s="16" t="str">
        <f>TEXT(PARTIDA[[#This Row],[PARTIDA]],"0000000000")</f>
        <v>8536309000</v>
      </c>
      <c r="C7254" s="16" t="s">
        <v>860</v>
      </c>
      <c r="D7254" s="16" t="s">
        <v>873</v>
      </c>
      <c r="E7254" s="16" t="s">
        <v>9478</v>
      </c>
      <c r="F7254" s="27" t="s">
        <v>15451</v>
      </c>
      <c r="G7254" s="27"/>
      <c r="H7254" s="16" t="str">
        <f>IF(ISBLANK(PARTIDAS!$G7254),PARTIDAS!$F7254,CONCATENATE(PARTIDAS!$F7254," (",PARTIDAS!$G7254,")"))</f>
        <v>Aparatos para corte, seccionamiento, protección, derivación, empalme… (los demás)</v>
      </c>
      <c r="I7254" s="16" t="s">
        <v>9427</v>
      </c>
    </row>
    <row r="7255" spans="1:9" x14ac:dyDescent="0.25">
      <c r="A7255" s="16" t="s">
        <v>8164</v>
      </c>
      <c r="B7255" s="16" t="str">
        <f>TEXT(PARTIDA[[#This Row],[PARTIDA]],"0000000000")</f>
        <v>8536411000</v>
      </c>
      <c r="C7255" s="16" t="s">
        <v>860</v>
      </c>
      <c r="D7255" s="16" t="s">
        <v>873</v>
      </c>
      <c r="E7255" s="16" t="s">
        <v>9478</v>
      </c>
      <c r="F7255" s="27" t="s">
        <v>7972</v>
      </c>
      <c r="G7255" s="27"/>
      <c r="H7255" s="16" t="str">
        <f>IF(ISBLANK(PARTIDAS!$G7255),PARTIDAS!$F7255,CONCATENATE(PARTIDAS!$F7255," (",PARTIDAS!$G7255,")"))</f>
        <v>Aparatos eléctricos</v>
      </c>
      <c r="I7255" s="16" t="s">
        <v>9427</v>
      </c>
    </row>
    <row r="7256" spans="1:9" x14ac:dyDescent="0.25">
      <c r="A7256" s="16" t="s">
        <v>8165</v>
      </c>
      <c r="B7256" s="16" t="str">
        <f>TEXT(PARTIDA[[#This Row],[PARTIDA]],"0000000000")</f>
        <v>8536419000</v>
      </c>
      <c r="C7256" s="16" t="s">
        <v>860</v>
      </c>
      <c r="D7256" s="16" t="s">
        <v>873</v>
      </c>
      <c r="E7256" s="16" t="s">
        <v>9478</v>
      </c>
      <c r="F7256" s="27" t="s">
        <v>7972</v>
      </c>
      <c r="G7256" s="27"/>
      <c r="H7256" s="16" t="str">
        <f>IF(ISBLANK(PARTIDAS!$G7256),PARTIDAS!$F7256,CONCATENATE(PARTIDAS!$F7256," (",PARTIDAS!$G7256,")"))</f>
        <v>Aparatos eléctricos</v>
      </c>
      <c r="I7256" s="16" t="s">
        <v>9427</v>
      </c>
    </row>
    <row r="7257" spans="1:9" x14ac:dyDescent="0.25">
      <c r="A7257" s="16" t="s">
        <v>8166</v>
      </c>
      <c r="B7257" s="16" t="str">
        <f>TEXT(PARTIDA[[#This Row],[PARTIDA]],"0000000000")</f>
        <v>8536491100</v>
      </c>
      <c r="C7257" s="16" t="s">
        <v>860</v>
      </c>
      <c r="D7257" s="16" t="s">
        <v>873</v>
      </c>
      <c r="E7257" s="16" t="s">
        <v>9478</v>
      </c>
      <c r="F7257" s="27" t="s">
        <v>15457</v>
      </c>
      <c r="G7257" s="27"/>
      <c r="H7257" s="16" t="str">
        <f>IF(ISBLANK(PARTIDAS!$G7257),PARTIDAS!$F7257,CONCATENATE(PARTIDAS!$F7257," (",PARTIDAS!$G7257,")"))</f>
        <v>Relés, para una tensión superior a 60 V pero inferior o igual a 260 V e…, contactores</v>
      </c>
      <c r="I7257" s="16" t="s">
        <v>9427</v>
      </c>
    </row>
    <row r="7258" spans="1:9" x14ac:dyDescent="0.25">
      <c r="A7258" s="16" t="s">
        <v>8167</v>
      </c>
      <c r="B7258" s="16" t="str">
        <f>TEXT(PARTIDA[[#This Row],[PARTIDA]],"0000000000")</f>
        <v>8536491900</v>
      </c>
      <c r="C7258" s="16" t="s">
        <v>860</v>
      </c>
      <c r="D7258" s="16" t="s">
        <v>873</v>
      </c>
      <c r="E7258" s="16" t="s">
        <v>9478</v>
      </c>
      <c r="F7258" s="27" t="s">
        <v>15458</v>
      </c>
      <c r="G7258" s="27"/>
      <c r="H7258" s="16" t="str">
        <f>IF(ISBLANK(PARTIDAS!$G7258),PARTIDAS!$F7258,CONCATENATE(PARTIDAS!$F7258," (",PARTIDAS!$G7258,")"))</f>
        <v>Relés, para una tensión superior a 60 V pero inferior o igual a 260 V e… (los demás)</v>
      </c>
      <c r="I7258" s="16" t="s">
        <v>9427</v>
      </c>
    </row>
    <row r="7259" spans="1:9" x14ac:dyDescent="0.25">
      <c r="A7259" s="16" t="s">
        <v>8168</v>
      </c>
      <c r="B7259" s="16" t="str">
        <f>TEXT(PARTIDA[[#This Row],[PARTIDA]],"0000000000")</f>
        <v>8536499000</v>
      </c>
      <c r="C7259" s="16" t="s">
        <v>860</v>
      </c>
      <c r="D7259" s="16" t="s">
        <v>873</v>
      </c>
      <c r="E7259" s="16" t="s">
        <v>9478</v>
      </c>
      <c r="F7259" s="27" t="s">
        <v>15459</v>
      </c>
      <c r="G7259" s="27"/>
      <c r="H7259" s="16" t="str">
        <f>IF(ISBLANK(PARTIDAS!$G7259),PARTIDAS!$F7259,CONCATENATE(PARTIDAS!$F7259," (",PARTIDAS!$G7259,")"))</f>
        <v>Relés (los demás)</v>
      </c>
      <c r="I7259" s="16" t="s">
        <v>9427</v>
      </c>
    </row>
    <row r="7260" spans="1:9" x14ac:dyDescent="0.25">
      <c r="A7260" s="16" t="s">
        <v>8169</v>
      </c>
      <c r="B7260" s="16" t="str">
        <f>TEXT(PARTIDA[[#This Row],[PARTIDA]],"0000000000")</f>
        <v>8536501100</v>
      </c>
      <c r="C7260" s="16" t="s">
        <v>860</v>
      </c>
      <c r="D7260" s="16" t="s">
        <v>873</v>
      </c>
      <c r="E7260" s="16" t="s">
        <v>9478</v>
      </c>
      <c r="F7260" s="27" t="s">
        <v>15460</v>
      </c>
      <c r="G7260" s="27"/>
      <c r="H7260" s="16" t="str">
        <f>IF(ISBLANK(PARTIDAS!$G7260),PARTIDAS!$F7260,CONCATENATE(PARTIDAS!$F7260," (",PARTIDAS!$G7260,")"))</f>
        <v>Aparatos para corte, seccionamiento, protección…, para una tensión inferior o igual a 260 V e intensidad inferior o…, para vehículos del Capítulo 87</v>
      </c>
      <c r="I7260" s="16" t="s">
        <v>9427</v>
      </c>
    </row>
    <row r="7261" spans="1:9" x14ac:dyDescent="0.25">
      <c r="A7261" s="16" t="s">
        <v>8170</v>
      </c>
      <c r="B7261" s="16" t="str">
        <f>TEXT(PARTIDA[[#This Row],[PARTIDA]],"0000000000")</f>
        <v>8536501900</v>
      </c>
      <c r="C7261" s="16" t="s">
        <v>860</v>
      </c>
      <c r="D7261" s="16" t="s">
        <v>873</v>
      </c>
      <c r="E7261" s="16" t="s">
        <v>9478</v>
      </c>
      <c r="F7261" s="27" t="s">
        <v>7972</v>
      </c>
      <c r="G7261" s="27"/>
      <c r="H7261" s="16" t="str">
        <f>IF(ISBLANK(PARTIDAS!$G7261),PARTIDAS!$F7261,CONCATENATE(PARTIDAS!$F7261," (",PARTIDAS!$G7261,")"))</f>
        <v>Aparatos eléctricos</v>
      </c>
      <c r="I7261" s="16" t="s">
        <v>9427</v>
      </c>
    </row>
    <row r="7262" spans="1:9" x14ac:dyDescent="0.25">
      <c r="A7262" s="16" t="s">
        <v>8171</v>
      </c>
      <c r="B7262" s="16" t="str">
        <f>TEXT(PARTIDA[[#This Row],[PARTIDA]],"0000000000")</f>
        <v>8536509000</v>
      </c>
      <c r="C7262" s="16" t="s">
        <v>860</v>
      </c>
      <c r="D7262" s="16" t="s">
        <v>873</v>
      </c>
      <c r="E7262" s="16" t="s">
        <v>9478</v>
      </c>
      <c r="F7262" s="27" t="s">
        <v>7972</v>
      </c>
      <c r="G7262" s="27"/>
      <c r="H7262" s="16" t="str">
        <f>IF(ISBLANK(PARTIDAS!$G7262),PARTIDAS!$F7262,CONCATENATE(PARTIDAS!$F7262," (",PARTIDAS!$G7262,")"))</f>
        <v>Aparatos eléctricos</v>
      </c>
      <c r="I7262" s="16" t="s">
        <v>9427</v>
      </c>
    </row>
    <row r="7263" spans="1:9" x14ac:dyDescent="0.25">
      <c r="A7263" s="16" t="s">
        <v>8172</v>
      </c>
      <c r="B7263" s="16" t="str">
        <f>TEXT(PARTIDA[[#This Row],[PARTIDA]],"0000000000")</f>
        <v>8536610000</v>
      </c>
      <c r="C7263" s="16" t="s">
        <v>860</v>
      </c>
      <c r="D7263" s="16" t="s">
        <v>873</v>
      </c>
      <c r="E7263" s="16" t="s">
        <v>9478</v>
      </c>
      <c r="F7263" s="27" t="s">
        <v>7972</v>
      </c>
      <c r="G7263" s="27"/>
      <c r="H7263" s="16" t="str">
        <f>IF(ISBLANK(PARTIDAS!$G7263),PARTIDAS!$F7263,CONCATENATE(PARTIDAS!$F7263," (",PARTIDAS!$G7263,")"))</f>
        <v>Aparatos eléctricos</v>
      </c>
      <c r="I7263" s="16" t="s">
        <v>9427</v>
      </c>
    </row>
    <row r="7264" spans="1:9" x14ac:dyDescent="0.25">
      <c r="A7264" s="16" t="s">
        <v>8173</v>
      </c>
      <c r="B7264" s="16" t="str">
        <f>TEXT(PARTIDA[[#This Row],[PARTIDA]],"0000000000")</f>
        <v>8536690000</v>
      </c>
      <c r="C7264" s="16" t="s">
        <v>860</v>
      </c>
      <c r="D7264" s="16" t="s">
        <v>873</v>
      </c>
      <c r="E7264" s="16" t="s">
        <v>9482</v>
      </c>
      <c r="F7264" s="27" t="s">
        <v>7972</v>
      </c>
      <c r="G7264" s="27"/>
      <c r="H7264" s="16" t="str">
        <f>IF(ISBLANK(PARTIDAS!$G7264),PARTIDAS!$F7264,CONCATENATE(PARTIDAS!$F7264," (",PARTIDAS!$G7264,")"))</f>
        <v>Aparatos eléctricos</v>
      </c>
      <c r="I7264" s="16" t="s">
        <v>9477</v>
      </c>
    </row>
    <row r="7265" spans="1:9" x14ac:dyDescent="0.25">
      <c r="A7265" s="16" t="s">
        <v>8174</v>
      </c>
      <c r="B7265" s="16" t="str">
        <f>TEXT(PARTIDA[[#This Row],[PARTIDA]],"0000000000")</f>
        <v>8536700000</v>
      </c>
      <c r="C7265" s="16" t="s">
        <v>860</v>
      </c>
      <c r="D7265" s="16" t="s">
        <v>873</v>
      </c>
      <c r="E7265" s="16" t="s">
        <v>9478</v>
      </c>
      <c r="F7265" s="27" t="s">
        <v>15461</v>
      </c>
      <c r="G7265" s="27"/>
      <c r="H7265" s="16" t="str">
        <f>IF(ISBLANK(PARTIDAS!$G7265),PARTIDAS!$F7265,CONCATENATE(PARTIDAS!$F7265," (",PARTIDAS!$G7265,")"))</f>
        <v>Conectores de fibras ópticas, haces o cables de fibras ópticas</v>
      </c>
      <c r="I7265" s="16" t="s">
        <v>9427</v>
      </c>
    </row>
    <row r="7266" spans="1:9" x14ac:dyDescent="0.25">
      <c r="A7266" s="16" t="s">
        <v>8175</v>
      </c>
      <c r="B7266" s="16" t="str">
        <f>TEXT(PARTIDA[[#This Row],[PARTIDA]],"0000000000")</f>
        <v>8536901000</v>
      </c>
      <c r="C7266" s="16" t="s">
        <v>860</v>
      </c>
      <c r="D7266" s="16" t="s">
        <v>873</v>
      </c>
      <c r="E7266" s="16" t="s">
        <v>9478</v>
      </c>
      <c r="F7266" s="27" t="s">
        <v>7972</v>
      </c>
      <c r="G7266" s="27"/>
      <c r="H7266" s="16" t="str">
        <f>IF(ISBLANK(PARTIDAS!$G7266),PARTIDAS!$F7266,CONCATENATE(PARTIDAS!$F7266," (",PARTIDAS!$G7266,")"))</f>
        <v>Aparatos eléctricos</v>
      </c>
      <c r="I7266" s="16" t="s">
        <v>9427</v>
      </c>
    </row>
    <row r="7267" spans="1:9" x14ac:dyDescent="0.25">
      <c r="A7267" s="16" t="s">
        <v>8176</v>
      </c>
      <c r="B7267" s="16" t="str">
        <f>TEXT(PARTIDA[[#This Row],[PARTIDA]],"0000000000")</f>
        <v>8536902000</v>
      </c>
      <c r="C7267" s="16" t="s">
        <v>860</v>
      </c>
      <c r="D7267" s="16" t="s">
        <v>873</v>
      </c>
      <c r="E7267" s="16" t="s">
        <v>9478</v>
      </c>
      <c r="F7267" s="27" t="s">
        <v>15462</v>
      </c>
      <c r="G7267" s="27"/>
      <c r="H7267" s="16" t="str">
        <f>IF(ISBLANK(PARTIDAS!$G7267),PARTIDAS!$F7267,CONCATENATE(PARTIDAS!$F7267," (",PARTIDAS!$G7267,")"))</f>
        <v>Terminales para una tensión inferior o igual a 24 V</v>
      </c>
      <c r="I7267" s="16" t="s">
        <v>9427</v>
      </c>
    </row>
    <row r="7268" spans="1:9" x14ac:dyDescent="0.25">
      <c r="A7268" s="16" t="s">
        <v>8177</v>
      </c>
      <c r="B7268" s="16" t="str">
        <f>TEXT(PARTIDA[[#This Row],[PARTIDA]],"0000000000")</f>
        <v>8536909000</v>
      </c>
      <c r="C7268" s="16" t="s">
        <v>860</v>
      </c>
      <c r="D7268" s="16" t="s">
        <v>873</v>
      </c>
      <c r="E7268" s="16" t="s">
        <v>9478</v>
      </c>
      <c r="F7268" s="27" t="s">
        <v>7972</v>
      </c>
      <c r="G7268" s="27"/>
      <c r="H7268" s="16" t="str">
        <f>IF(ISBLANK(PARTIDAS!$G7268),PARTIDAS!$F7268,CONCATENATE(PARTIDAS!$F7268," (",PARTIDAS!$G7268,")"))</f>
        <v>Aparatos eléctricos</v>
      </c>
      <c r="I7268" s="16" t="s">
        <v>9427</v>
      </c>
    </row>
    <row r="7269" spans="1:9" x14ac:dyDescent="0.25">
      <c r="A7269" s="16" t="s">
        <v>8178</v>
      </c>
      <c r="B7269" s="16" t="str">
        <f>TEXT(PARTIDA[[#This Row],[PARTIDA]],"0000000000")</f>
        <v>8537101000</v>
      </c>
      <c r="C7269" s="16" t="s">
        <v>860</v>
      </c>
      <c r="D7269" s="16" t="s">
        <v>873</v>
      </c>
      <c r="E7269" s="16" t="s">
        <v>9478</v>
      </c>
      <c r="F7269" s="27" t="s">
        <v>15463</v>
      </c>
      <c r="G7269" s="27"/>
      <c r="H7269" s="16" t="str">
        <f>IF(ISBLANK(PARTIDAS!$G7269),PARTIDAS!$F7269,CONCATENATE(PARTIDAS!$F7269," (",PARTIDAS!$G7269,")"))</f>
        <v>Controladores lógicos programables (PLC)</v>
      </c>
      <c r="I7269" s="16" t="s">
        <v>9427</v>
      </c>
    </row>
    <row r="7270" spans="1:9" x14ac:dyDescent="0.25">
      <c r="A7270" s="16" t="s">
        <v>8179</v>
      </c>
      <c r="B7270" s="16" t="str">
        <f>TEXT(PARTIDA[[#This Row],[PARTIDA]],"0000000000")</f>
        <v>8537109000</v>
      </c>
      <c r="C7270" s="16" t="s">
        <v>860</v>
      </c>
      <c r="D7270" s="16" t="s">
        <v>873</v>
      </c>
      <c r="E7270" s="16" t="s">
        <v>9478</v>
      </c>
      <c r="F7270" s="27" t="s">
        <v>7972</v>
      </c>
      <c r="G7270" s="27"/>
      <c r="H7270" s="16" t="str">
        <f>IF(ISBLANK(PARTIDAS!$G7270),PARTIDAS!$F7270,CONCATENATE(PARTIDAS!$F7270," (",PARTIDAS!$G7270,")"))</f>
        <v>Aparatos eléctricos</v>
      </c>
      <c r="I7270" s="16" t="s">
        <v>9427</v>
      </c>
    </row>
    <row r="7271" spans="1:9" x14ac:dyDescent="0.25">
      <c r="A7271" s="16" t="s">
        <v>8180</v>
      </c>
      <c r="B7271" s="16" t="str">
        <f>TEXT(PARTIDA[[#This Row],[PARTIDA]],"0000000000")</f>
        <v>8537200000</v>
      </c>
      <c r="C7271" s="16" t="s">
        <v>860</v>
      </c>
      <c r="D7271" s="16" t="s">
        <v>873</v>
      </c>
      <c r="E7271" s="16" t="s">
        <v>9478</v>
      </c>
      <c r="F7271" s="27" t="s">
        <v>15464</v>
      </c>
      <c r="G7271" s="27"/>
      <c r="H7271" s="16" t="str">
        <f>IF(ISBLANK(PARTIDAS!$G7271),PARTIDAS!$F7271,CONCATENATE(PARTIDAS!$F7271," (",PARTIDAS!$G7271,")"))</f>
        <v>Cuadros, paneles, consolas, armarios y demás soportes equipados con…, para una tensión superior a 1.000 V</v>
      </c>
      <c r="I7271" s="16" t="s">
        <v>9427</v>
      </c>
    </row>
    <row r="7272" spans="1:9" x14ac:dyDescent="0.25">
      <c r="A7272" s="16" t="s">
        <v>8181</v>
      </c>
      <c r="B7272" s="16" t="str">
        <f>TEXT(PARTIDA[[#This Row],[PARTIDA]],"0000000000")</f>
        <v>8538100000</v>
      </c>
      <c r="C7272" s="16" t="s">
        <v>860</v>
      </c>
      <c r="D7272" s="16" t="s">
        <v>873</v>
      </c>
      <c r="E7272" s="16" t="s">
        <v>9478</v>
      </c>
      <c r="F7272" s="27" t="s">
        <v>15465</v>
      </c>
      <c r="G7272" s="27"/>
      <c r="H7272" s="16" t="str">
        <f>IF(ISBLANK(PARTIDAS!$G7272),PARTIDAS!$F7272,CONCATENATE(PARTIDAS!$F7272," (",PARTIDAS!$G7272,")"))</f>
        <v>Cuadros, paneles, consolas, armarios y demás soportes de la partida 85.37, sin sus aparatos</v>
      </c>
      <c r="I7272" s="16" t="s">
        <v>9427</v>
      </c>
    </row>
    <row r="7273" spans="1:9" x14ac:dyDescent="0.25">
      <c r="A7273" s="16" t="s">
        <v>8182</v>
      </c>
      <c r="B7273" s="16" t="str">
        <f>TEXT(PARTIDA[[#This Row],[PARTIDA]],"0000000000")</f>
        <v>8538900000</v>
      </c>
      <c r="C7273" s="16" t="s">
        <v>860</v>
      </c>
      <c r="D7273" s="16" t="s">
        <v>873</v>
      </c>
      <c r="E7273" s="16" t="s">
        <v>9478</v>
      </c>
      <c r="F7273" s="27" t="s">
        <v>14446</v>
      </c>
      <c r="G7273" s="27"/>
      <c r="H7273" s="16" t="str">
        <f>IF(ISBLANK(PARTIDAS!$G7273),PARTIDAS!$F7273,CONCATENATE(PARTIDAS!$F7273," (",PARTIDAS!$G7273,")"))</f>
        <v>Partes identificables como destinadas, exclusiva o principalmente, a… (los demás)</v>
      </c>
      <c r="I7273" s="16" t="s">
        <v>9427</v>
      </c>
    </row>
    <row r="7274" spans="1:9" x14ac:dyDescent="0.25">
      <c r="A7274" s="16" t="s">
        <v>8183</v>
      </c>
      <c r="B7274" s="16" t="str">
        <f>TEXT(PARTIDA[[#This Row],[PARTIDA]],"0000000000")</f>
        <v>8539100000</v>
      </c>
      <c r="C7274" s="16" t="s">
        <v>860</v>
      </c>
      <c r="D7274" s="16" t="s">
        <v>873</v>
      </c>
      <c r="E7274" s="16" t="s">
        <v>9478</v>
      </c>
      <c r="F7274" s="27" t="s">
        <v>15466</v>
      </c>
      <c r="G7274" s="27"/>
      <c r="H7274" s="16" t="str">
        <f>IF(ISBLANK(PARTIDAS!$G7274),PARTIDAS!$F7274,CONCATENATE(PARTIDAS!$F7274," (",PARTIDAS!$G7274,")"))</f>
        <v>Faros o unidades «sellados»</v>
      </c>
      <c r="I7274" s="16" t="s">
        <v>9427</v>
      </c>
    </row>
    <row r="7275" spans="1:9" x14ac:dyDescent="0.25">
      <c r="A7275" s="16" t="s">
        <v>8184</v>
      </c>
      <c r="B7275" s="16" t="str">
        <f>TEXT(PARTIDA[[#This Row],[PARTIDA]],"0000000000")</f>
        <v>8539210000</v>
      </c>
      <c r="C7275" s="16" t="s">
        <v>860</v>
      </c>
      <c r="D7275" s="16" t="s">
        <v>873</v>
      </c>
      <c r="E7275" s="16" t="s">
        <v>9478</v>
      </c>
      <c r="F7275" s="27" t="s">
        <v>15467</v>
      </c>
      <c r="G7275" s="27"/>
      <c r="H7275" s="16" t="str">
        <f>IF(ISBLANK(PARTIDAS!$G7275),PARTIDAS!$F7275,CONCATENATE(PARTIDAS!$F7275," (",PARTIDAS!$G7275,")"))</f>
        <v>Halógenos, de volframio (tungsteno)</v>
      </c>
      <c r="I7275" s="16" t="s">
        <v>9427</v>
      </c>
    </row>
    <row r="7276" spans="1:9" x14ac:dyDescent="0.25">
      <c r="A7276" s="16" t="s">
        <v>8185</v>
      </c>
      <c r="B7276" s="16" t="str">
        <f>TEXT(PARTIDA[[#This Row],[PARTIDA]],"0000000000")</f>
        <v>8539221000</v>
      </c>
      <c r="C7276" s="16" t="s">
        <v>860</v>
      </c>
      <c r="D7276" s="16" t="s">
        <v>873</v>
      </c>
      <c r="E7276" s="16" t="s">
        <v>9478</v>
      </c>
      <c r="F7276" s="27" t="s">
        <v>15468</v>
      </c>
      <c r="G7276" s="27"/>
      <c r="H7276" s="16" t="str">
        <f>IF(ISBLANK(PARTIDAS!$G7276),PARTIDAS!$F7276,CONCATENATE(PARTIDAS!$F7276," (",PARTIDAS!$G7276,")"))</f>
        <v>Lámparas y tubos eléctricos de incandescencia o de descarga…, tipo miniatura</v>
      </c>
      <c r="I7276" s="16" t="s">
        <v>9427</v>
      </c>
    </row>
    <row r="7277" spans="1:9" x14ac:dyDescent="0.25">
      <c r="A7277" s="16" t="s">
        <v>8186</v>
      </c>
      <c r="B7277" s="16" t="str">
        <f>TEXT(PARTIDA[[#This Row],[PARTIDA]],"0000000000")</f>
        <v>8539229000</v>
      </c>
      <c r="C7277" s="16" t="s">
        <v>860</v>
      </c>
      <c r="D7277" s="16" t="s">
        <v>873</v>
      </c>
      <c r="E7277" s="16" t="s">
        <v>9478</v>
      </c>
      <c r="F7277" s="27" t="s">
        <v>15469</v>
      </c>
      <c r="G7277" s="27"/>
      <c r="H7277" s="16" t="str">
        <f>IF(ISBLANK(PARTIDAS!$G7277),PARTIDAS!$F7277,CONCATENATE(PARTIDAS!$F7277," (",PARTIDAS!$G7277,")"))</f>
        <v>Lámparas y tubos eléctricos de incandescencia o de descarga… (los demás)</v>
      </c>
      <c r="I7277" s="16" t="s">
        <v>9427</v>
      </c>
    </row>
    <row r="7278" spans="1:9" x14ac:dyDescent="0.25">
      <c r="A7278" s="16" t="s">
        <v>8187</v>
      </c>
      <c r="B7278" s="16" t="str">
        <f>TEXT(PARTIDA[[#This Row],[PARTIDA]],"0000000000")</f>
        <v>8539291000</v>
      </c>
      <c r="C7278" s="16" t="s">
        <v>860</v>
      </c>
      <c r="D7278" s="16" t="s">
        <v>873</v>
      </c>
      <c r="E7278" s="16" t="s">
        <v>9478</v>
      </c>
      <c r="F7278" s="27" t="s">
        <v>7972</v>
      </c>
      <c r="G7278" s="27"/>
      <c r="H7278" s="16" t="str">
        <f>IF(ISBLANK(PARTIDAS!$G7278),PARTIDAS!$F7278,CONCATENATE(PARTIDAS!$F7278," (",PARTIDAS!$G7278,")"))</f>
        <v>Aparatos eléctricos</v>
      </c>
      <c r="I7278" s="16" t="s">
        <v>9427</v>
      </c>
    </row>
    <row r="7279" spans="1:9" x14ac:dyDescent="0.25">
      <c r="A7279" s="16" t="s">
        <v>8188</v>
      </c>
      <c r="B7279" s="16" t="str">
        <f>TEXT(PARTIDA[[#This Row],[PARTIDA]],"0000000000")</f>
        <v>8539292000</v>
      </c>
      <c r="C7279" s="16" t="s">
        <v>860</v>
      </c>
      <c r="D7279" s="16" t="s">
        <v>873</v>
      </c>
      <c r="E7279" s="16" t="s">
        <v>9478</v>
      </c>
      <c r="F7279" s="27" t="s">
        <v>15468</v>
      </c>
      <c r="G7279" s="27"/>
      <c r="H7279" s="16" t="str">
        <f>IF(ISBLANK(PARTIDAS!$G7279),PARTIDAS!$F7279,CONCATENATE(PARTIDAS!$F7279," (",PARTIDAS!$G7279,")"))</f>
        <v>Lámparas y tubos eléctricos de incandescencia o de descarga…, tipo miniatura</v>
      </c>
      <c r="I7279" s="16" t="s">
        <v>9427</v>
      </c>
    </row>
    <row r="7280" spans="1:9" x14ac:dyDescent="0.25">
      <c r="A7280" s="16" t="s">
        <v>8189</v>
      </c>
      <c r="B7280" s="16" t="str">
        <f>TEXT(PARTIDA[[#This Row],[PARTIDA]],"0000000000")</f>
        <v>8539299010</v>
      </c>
      <c r="C7280" s="16" t="s">
        <v>860</v>
      </c>
      <c r="D7280" s="16" t="s">
        <v>873</v>
      </c>
      <c r="E7280" s="16" t="s">
        <v>9478</v>
      </c>
      <c r="F7280" s="27" t="s">
        <v>15470</v>
      </c>
      <c r="G7280" s="27"/>
      <c r="H7280" s="16" t="str">
        <f>IF(ISBLANK(PARTIDAS!$G7280),PARTIDAS!$F7280,CONCATENATE(PARTIDAS!$F7280," (",PARTIDAS!$G7280,")"))</f>
        <v>Lámparas y tubos eléctricos de incandescencia o de descarga…, para lámparas de luz sin sombra o «escialíticas»</v>
      </c>
      <c r="I7280" s="16" t="s">
        <v>9427</v>
      </c>
    </row>
    <row r="7281" spans="1:9" x14ac:dyDescent="0.25">
      <c r="A7281" s="16" t="s">
        <v>8190</v>
      </c>
      <c r="B7281" s="16" t="str">
        <f>TEXT(PARTIDA[[#This Row],[PARTIDA]],"0000000000")</f>
        <v>8539299090</v>
      </c>
      <c r="C7281" s="16" t="s">
        <v>860</v>
      </c>
      <c r="D7281" s="16" t="s">
        <v>873</v>
      </c>
      <c r="E7281" s="16" t="s">
        <v>9478</v>
      </c>
      <c r="F7281" s="27" t="s">
        <v>15469</v>
      </c>
      <c r="G7281" s="27"/>
      <c r="H7281" s="16" t="str">
        <f>IF(ISBLANK(PARTIDAS!$G7281),PARTIDAS!$F7281,CONCATENATE(PARTIDAS!$F7281," (",PARTIDAS!$G7281,")"))</f>
        <v>Lámparas y tubos eléctricos de incandescencia o de descarga… (los demás)</v>
      </c>
      <c r="I7281" s="16" t="s">
        <v>9427</v>
      </c>
    </row>
    <row r="7282" spans="1:9" x14ac:dyDescent="0.25">
      <c r="A7282" s="16" t="s">
        <v>8191</v>
      </c>
      <c r="B7282" s="16" t="str">
        <f>TEXT(PARTIDA[[#This Row],[PARTIDA]],"0000000000")</f>
        <v>8539311000</v>
      </c>
      <c r="C7282" s="16" t="s">
        <v>860</v>
      </c>
      <c r="D7282" s="16" t="s">
        <v>873</v>
      </c>
      <c r="E7282" s="16" t="s">
        <v>9478</v>
      </c>
      <c r="F7282" s="27" t="s">
        <v>15471</v>
      </c>
      <c r="G7282" s="27"/>
      <c r="H7282" s="16" t="str">
        <f>IF(ISBLANK(PARTIDAS!$G7282),PARTIDAS!$F7282,CONCATENATE(PARTIDAS!$F7282," (",PARTIDAS!$G7282,")"))</f>
        <v>Tubulares rectos</v>
      </c>
      <c r="I7282" s="16" t="s">
        <v>9427</v>
      </c>
    </row>
    <row r="7283" spans="1:9" x14ac:dyDescent="0.25">
      <c r="A7283" s="16" t="s">
        <v>8192</v>
      </c>
      <c r="B7283" s="16" t="str">
        <f>TEXT(PARTIDA[[#This Row],[PARTIDA]],"0000000000")</f>
        <v>8539312000</v>
      </c>
      <c r="C7283" s="16" t="s">
        <v>860</v>
      </c>
      <c r="D7283" s="16" t="s">
        <v>873</v>
      </c>
      <c r="E7283" s="16" t="s">
        <v>9478</v>
      </c>
      <c r="F7283" s="27" t="s">
        <v>15472</v>
      </c>
      <c r="G7283" s="27"/>
      <c r="H7283" s="16" t="str">
        <f>IF(ISBLANK(PARTIDAS!$G7283),PARTIDAS!$F7283,CONCATENATE(PARTIDAS!$F7283," (",PARTIDAS!$G7283,")"))</f>
        <v>Tubulares circulares</v>
      </c>
      <c r="I7283" s="16" t="s">
        <v>9427</v>
      </c>
    </row>
    <row r="7284" spans="1:9" x14ac:dyDescent="0.25">
      <c r="A7284" s="16" t="s">
        <v>8193</v>
      </c>
      <c r="B7284" s="16" t="str">
        <f>TEXT(PARTIDA[[#This Row],[PARTIDA]],"0000000000")</f>
        <v>8539313000</v>
      </c>
      <c r="C7284" s="16" t="s">
        <v>860</v>
      </c>
      <c r="D7284" s="16" t="s">
        <v>873</v>
      </c>
      <c r="E7284" s="16" t="s">
        <v>9478</v>
      </c>
      <c r="F7284" s="27" t="s">
        <v>15473</v>
      </c>
      <c r="G7284" s="27"/>
      <c r="H7284" s="16" t="str">
        <f>IF(ISBLANK(PARTIDAS!$G7284),PARTIDAS!$F7284,CONCATENATE(PARTIDAS!$F7284," (",PARTIDAS!$G7284,")"))</f>
        <v>Compactos integrados y no integrados (lámparas compactas fluorescentes)</v>
      </c>
      <c r="I7284" s="16" t="s">
        <v>9427</v>
      </c>
    </row>
    <row r="7285" spans="1:9" x14ac:dyDescent="0.25">
      <c r="A7285" s="16" t="s">
        <v>8194</v>
      </c>
      <c r="B7285" s="16" t="str">
        <f>TEXT(PARTIDA[[#This Row],[PARTIDA]],"0000000000")</f>
        <v>8539319000</v>
      </c>
      <c r="C7285" s="16" t="s">
        <v>860</v>
      </c>
      <c r="D7285" s="16" t="s">
        <v>873</v>
      </c>
      <c r="E7285" s="16" t="s">
        <v>9478</v>
      </c>
      <c r="F7285" s="27" t="s">
        <v>15474</v>
      </c>
      <c r="G7285" s="27"/>
      <c r="H7285" s="16" t="str">
        <f>IF(ISBLANK(PARTIDAS!$G7285),PARTIDAS!$F7285,CONCATENATE(PARTIDAS!$F7285," (",PARTIDAS!$G7285,")"))</f>
        <v>Fluorescentes, de cátodo caliente (los demás)</v>
      </c>
      <c r="I7285" s="16" t="s">
        <v>9427</v>
      </c>
    </row>
    <row r="7286" spans="1:9" x14ac:dyDescent="0.25">
      <c r="A7286" s="16" t="s">
        <v>8195</v>
      </c>
      <c r="B7286" s="16" t="str">
        <f>TEXT(PARTIDA[[#This Row],[PARTIDA]],"0000000000")</f>
        <v>8539320000</v>
      </c>
      <c r="C7286" s="16" t="s">
        <v>860</v>
      </c>
      <c r="D7286" s="16" t="s">
        <v>873</v>
      </c>
      <c r="E7286" s="16" t="s">
        <v>9478</v>
      </c>
      <c r="F7286" s="27" t="s">
        <v>15475</v>
      </c>
      <c r="G7286" s="27"/>
      <c r="H7286" s="16" t="str">
        <f>IF(ISBLANK(PARTIDAS!$G7286),PARTIDAS!$F7286,CONCATENATE(PARTIDAS!$F7286," (",PARTIDAS!$G7286,")"))</f>
        <v>Lámparas de vapor de mercurio o sodio; lámparas de halogenuro metálico</v>
      </c>
      <c r="I7286" s="16" t="s">
        <v>9427</v>
      </c>
    </row>
    <row r="7287" spans="1:9" x14ac:dyDescent="0.25">
      <c r="A7287" s="16" t="s">
        <v>8196</v>
      </c>
      <c r="B7287" s="16" t="str">
        <f>TEXT(PARTIDA[[#This Row],[PARTIDA]],"0000000000")</f>
        <v>8539392000</v>
      </c>
      <c r="C7287" s="16" t="s">
        <v>860</v>
      </c>
      <c r="D7287" s="16" t="s">
        <v>873</v>
      </c>
      <c r="E7287" s="16" t="s">
        <v>9478</v>
      </c>
      <c r="F7287" s="27" t="s">
        <v>15476</v>
      </c>
      <c r="G7287" s="27"/>
      <c r="H7287" s="16" t="str">
        <f>IF(ISBLANK(PARTIDAS!$G7287),PARTIDAS!$F7287,CONCATENATE(PARTIDAS!$F7287," (",PARTIDAS!$G7287,")"))</f>
        <v>Lámparas y tubos de descarga, para la producción de luz relámpago</v>
      </c>
      <c r="I7287" s="16" t="s">
        <v>9427</v>
      </c>
    </row>
    <row r="7288" spans="1:9" x14ac:dyDescent="0.25">
      <c r="A7288" s="16" t="s">
        <v>8197</v>
      </c>
      <c r="B7288" s="16" t="str">
        <f>TEXT(PARTIDA[[#This Row],[PARTIDA]],"0000000000")</f>
        <v>8539399000</v>
      </c>
      <c r="C7288" s="16" t="s">
        <v>860</v>
      </c>
      <c r="D7288" s="16" t="s">
        <v>873</v>
      </c>
      <c r="E7288" s="16" t="s">
        <v>9478</v>
      </c>
      <c r="F7288" s="27" t="s">
        <v>15477</v>
      </c>
      <c r="G7288" s="27"/>
      <c r="H7288" s="16" t="str">
        <f>IF(ISBLANK(PARTIDAS!$G7288),PARTIDAS!$F7288,CONCATENATE(PARTIDAS!$F7288," (",PARTIDAS!$G7288,")"))</f>
        <v>Lámparas y tubos de descarga (los demás)</v>
      </c>
      <c r="I7288" s="16" t="s">
        <v>9427</v>
      </c>
    </row>
    <row r="7289" spans="1:9" x14ac:dyDescent="0.25">
      <c r="A7289" s="16" t="s">
        <v>8198</v>
      </c>
      <c r="B7289" s="16" t="str">
        <f>TEXT(PARTIDA[[#This Row],[PARTIDA]],"0000000000")</f>
        <v>8539410000</v>
      </c>
      <c r="C7289" s="16" t="s">
        <v>860</v>
      </c>
      <c r="D7289" s="16" t="s">
        <v>873</v>
      </c>
      <c r="E7289" s="16" t="s">
        <v>9478</v>
      </c>
      <c r="F7289" s="27" t="s">
        <v>15478</v>
      </c>
      <c r="G7289" s="27"/>
      <c r="H7289" s="16" t="str">
        <f>IF(ISBLANK(PARTIDAS!$G7289),PARTIDAS!$F7289,CONCATENATE(PARTIDAS!$F7289," (",PARTIDAS!$G7289,")"))</f>
        <v>Lámparas de arco</v>
      </c>
      <c r="I7289" s="16" t="s">
        <v>9427</v>
      </c>
    </row>
    <row r="7290" spans="1:9" x14ac:dyDescent="0.25">
      <c r="A7290" s="16" t="s">
        <v>8199</v>
      </c>
      <c r="B7290" s="16" t="str">
        <f>TEXT(PARTIDA[[#This Row],[PARTIDA]],"0000000000")</f>
        <v>8539490000</v>
      </c>
      <c r="C7290" s="16" t="s">
        <v>860</v>
      </c>
      <c r="D7290" s="16" t="s">
        <v>873</v>
      </c>
      <c r="E7290" s="16" t="s">
        <v>9478</v>
      </c>
      <c r="F7290" s="27" t="s">
        <v>15479</v>
      </c>
      <c r="G7290" s="27"/>
      <c r="H7290" s="16" t="str">
        <f>IF(ISBLANK(PARTIDAS!$G7290),PARTIDAS!$F7290,CONCATENATE(PARTIDAS!$F7290," (",PARTIDAS!$G7290,")"))</f>
        <v>Lámparas y tubos de rayos ultravioletas o infrarrojos (los demás)</v>
      </c>
      <c r="I7290" s="16" t="s">
        <v>9427</v>
      </c>
    </row>
    <row r="7291" spans="1:9" x14ac:dyDescent="0.25">
      <c r="A7291" s="16" t="s">
        <v>8200</v>
      </c>
      <c r="B7291" s="16" t="str">
        <f>TEXT(PARTIDA[[#This Row],[PARTIDA]],"0000000000")</f>
        <v>8539500000</v>
      </c>
      <c r="C7291" s="16" t="s">
        <v>860</v>
      </c>
      <c r="D7291" s="16" t="s">
        <v>873</v>
      </c>
      <c r="E7291" s="16" t="s">
        <v>9478</v>
      </c>
      <c r="F7291" s="27" t="s">
        <v>15480</v>
      </c>
      <c r="G7291" s="27"/>
      <c r="H7291" s="16" t="str">
        <f>IF(ISBLANK(PARTIDAS!$G7291),PARTIDAS!$F7291,CONCATENATE(PARTIDAS!$F7291," (",PARTIDAS!$G7291,")"))</f>
        <v>Lámparas y tubos de diodos emisores de luz (LED)</v>
      </c>
      <c r="I7291" s="16" t="s">
        <v>9648</v>
      </c>
    </row>
    <row r="7292" spans="1:9" x14ac:dyDescent="0.25">
      <c r="A7292" s="16" t="s">
        <v>15481</v>
      </c>
      <c r="B7292" s="16" t="str">
        <f>TEXT(PARTIDA[[#This Row],[PARTIDA]],"0000000000")</f>
        <v>8539510010</v>
      </c>
      <c r="C7292" s="16" t="s">
        <v>860</v>
      </c>
      <c r="D7292" s="16" t="s">
        <v>873</v>
      </c>
      <c r="E7292" s="16" t="s">
        <v>9478</v>
      </c>
      <c r="F7292" s="27" t="s">
        <v>15482</v>
      </c>
      <c r="G7292" s="27"/>
      <c r="H7292" s="16" t="str">
        <f>IF(ISBLANK(PARTIDAS!$G7292),PARTIDAS!$F7292,CONCATENATE(PARTIDAS!$F7292," (",PARTIDAS!$G7292,")"))</f>
        <v>Módulos de diodos emisores de luz (LED), de luminarias y aparatos de alumbrado de la subpartida 9405.11, excepto para lámparas de salas de cirugía u o</v>
      </c>
      <c r="I7292" s="16" t="s">
        <v>9427</v>
      </c>
    </row>
    <row r="7293" spans="1:9" x14ac:dyDescent="0.25">
      <c r="A7293" s="16" t="s">
        <v>15483</v>
      </c>
      <c r="B7293" s="16" t="str">
        <f>TEXT(PARTIDA[[#This Row],[PARTIDA]],"0000000000")</f>
        <v>8539510090</v>
      </c>
      <c r="C7293" s="16" t="s">
        <v>860</v>
      </c>
      <c r="D7293" s="16" t="s">
        <v>873</v>
      </c>
      <c r="E7293" s="16" t="s">
        <v>9478</v>
      </c>
      <c r="F7293" s="27" t="s">
        <v>15484</v>
      </c>
      <c r="G7293" s="27"/>
      <c r="H7293" s="16" t="str">
        <f>IF(ISBLANK(PARTIDAS!$G7293),PARTIDAS!$F7293,CONCATENATE(PARTIDAS!$F7293," (",PARTIDAS!$G7293,")"))</f>
        <v>Módulos de diodos emisores de luz (LED) (los demás)</v>
      </c>
      <c r="I7293" s="16" t="s">
        <v>9427</v>
      </c>
    </row>
    <row r="7294" spans="1:9" x14ac:dyDescent="0.25">
      <c r="A7294" s="16" t="s">
        <v>15485</v>
      </c>
      <c r="B7294" s="16" t="str">
        <f>TEXT(PARTIDA[[#This Row],[PARTIDA]],"0000000000")</f>
        <v>8539520000</v>
      </c>
      <c r="C7294" s="16" t="s">
        <v>860</v>
      </c>
      <c r="D7294" s="16" t="s">
        <v>873</v>
      </c>
      <c r="E7294" s="16" t="s">
        <v>9478</v>
      </c>
      <c r="F7294" s="27" t="s">
        <v>15480</v>
      </c>
      <c r="G7294" s="27"/>
      <c r="H7294" s="16" t="str">
        <f>IF(ISBLANK(PARTIDAS!$G7294),PARTIDAS!$F7294,CONCATENATE(PARTIDAS!$F7294," (",PARTIDAS!$G7294,")"))</f>
        <v>Lámparas y tubos de diodos emisores de luz (LED)</v>
      </c>
      <c r="I7294" s="16" t="s">
        <v>9427</v>
      </c>
    </row>
    <row r="7295" spans="1:9" x14ac:dyDescent="0.25">
      <c r="A7295" s="16" t="s">
        <v>8201</v>
      </c>
      <c r="B7295" s="16" t="str">
        <f>TEXT(PARTIDA[[#This Row],[PARTIDA]],"0000000000")</f>
        <v>8539901000</v>
      </c>
      <c r="C7295" s="16" t="s">
        <v>860</v>
      </c>
      <c r="D7295" s="16" t="s">
        <v>873</v>
      </c>
      <c r="E7295" s="16" t="s">
        <v>9478</v>
      </c>
      <c r="F7295" s="27" t="s">
        <v>15486</v>
      </c>
      <c r="G7295" s="27"/>
      <c r="H7295" s="16" t="str">
        <f>IF(ISBLANK(PARTIDAS!$G7295),PARTIDAS!$F7295,CONCATENATE(PARTIDAS!$F7295," (",PARTIDAS!$G7295,")"))</f>
        <v>Casquillos de rosca</v>
      </c>
      <c r="I7295" s="16" t="s">
        <v>9427</v>
      </c>
    </row>
    <row r="7296" spans="1:9" x14ac:dyDescent="0.25">
      <c r="A7296" s="16" t="s">
        <v>8202</v>
      </c>
      <c r="B7296" s="16" t="str">
        <f>TEXT(PARTIDA[[#This Row],[PARTIDA]],"0000000000")</f>
        <v>8539909000</v>
      </c>
      <c r="C7296" s="16" t="s">
        <v>860</v>
      </c>
      <c r="D7296" s="16" t="s">
        <v>873</v>
      </c>
      <c r="E7296" s="16" t="s">
        <v>9478</v>
      </c>
      <c r="F7296" s="27" t="s">
        <v>15487</v>
      </c>
      <c r="G7296" s="27"/>
      <c r="H7296" s="16" t="str">
        <f>IF(ISBLANK(PARTIDAS!$G7296),PARTIDAS!$F7296,CONCATENATE(PARTIDAS!$F7296," (",PARTIDAS!$G7296,")"))</f>
        <v>Lámparas y tubos eléctricos de incandescencia o de descarga, incluidos (los demás)</v>
      </c>
      <c r="I7296" s="16" t="s">
        <v>9648</v>
      </c>
    </row>
    <row r="7297" spans="1:9" x14ac:dyDescent="0.25">
      <c r="A7297" s="16" t="s">
        <v>15488</v>
      </c>
      <c r="B7297" s="16" t="str">
        <f>TEXT(PARTIDA[[#This Row],[PARTIDA]],"0000000000")</f>
        <v>8539909010</v>
      </c>
      <c r="C7297" s="16" t="s">
        <v>860</v>
      </c>
      <c r="D7297" s="16" t="s">
        <v>873</v>
      </c>
      <c r="E7297" s="16" t="s">
        <v>9478</v>
      </c>
      <c r="F7297" s="27" t="s">
        <v>15489</v>
      </c>
      <c r="G7297" s="27"/>
      <c r="H7297" s="16" t="str">
        <f>IF(ISBLANK(PARTIDAS!$G7297),PARTIDAS!$F7297,CONCATENATE(PARTIDAS!$F7297," (",PARTIDAS!$G7297,")"))</f>
        <v>Lámparas y tubos eléctricos de incandescencia o de…, partes, de módulos de diodos emisores de luz (LED) de la subpartida 8539.51.00.10</v>
      </c>
      <c r="I7297" s="16" t="s">
        <v>9427</v>
      </c>
    </row>
    <row r="7298" spans="1:9" x14ac:dyDescent="0.25">
      <c r="A7298" s="16" t="s">
        <v>15490</v>
      </c>
      <c r="B7298" s="16" t="str">
        <f>TEXT(PARTIDA[[#This Row],[PARTIDA]],"0000000000")</f>
        <v>8539909020</v>
      </c>
      <c r="C7298" s="16" t="s">
        <v>860</v>
      </c>
      <c r="D7298" s="16" t="s">
        <v>873</v>
      </c>
      <c r="E7298" s="16" t="s">
        <v>9478</v>
      </c>
      <c r="F7298" s="27" t="s">
        <v>15491</v>
      </c>
      <c r="G7298" s="27"/>
      <c r="H7298" s="16" t="str">
        <f>IF(ISBLANK(PARTIDAS!$G7298),PARTIDAS!$F7298,CONCATENATE(PARTIDAS!$F7298," (",PARTIDAS!$G7298,")"))</f>
        <v>Lámparas y tubos eléctricos de incandescencia o de…, partes, de los demás módulos de diodos emisores de luz (LED)</v>
      </c>
      <c r="I7298" s="16" t="s">
        <v>9427</v>
      </c>
    </row>
    <row r="7299" spans="1:9" x14ac:dyDescent="0.25">
      <c r="A7299" s="16" t="s">
        <v>15492</v>
      </c>
      <c r="B7299" s="16" t="str">
        <f>TEXT(PARTIDA[[#This Row],[PARTIDA]],"0000000000")</f>
        <v>8539909030</v>
      </c>
      <c r="C7299" s="16" t="s">
        <v>860</v>
      </c>
      <c r="D7299" s="16" t="s">
        <v>873</v>
      </c>
      <c r="E7299" s="16" t="s">
        <v>9478</v>
      </c>
      <c r="F7299" s="27" t="s">
        <v>15493</v>
      </c>
      <c r="G7299" s="27"/>
      <c r="H7299" s="16" t="str">
        <f>IF(ISBLANK(PARTIDAS!$G7299),PARTIDAS!$F7299,CONCATENATE(PARTIDAS!$F7299," (",PARTIDAS!$G7299,")"))</f>
        <v>Lámparas y tubos eléctricos de incandescencia o de…, partes, de lámparas y tubos de diodos emisores de luz (LED)</v>
      </c>
      <c r="I7299" s="16" t="s">
        <v>9427</v>
      </c>
    </row>
    <row r="7300" spans="1:9" x14ac:dyDescent="0.25">
      <c r="A7300" s="16" t="s">
        <v>15494</v>
      </c>
      <c r="B7300" s="16" t="str">
        <f>TEXT(PARTIDA[[#This Row],[PARTIDA]],"0000000000")</f>
        <v>8539909090</v>
      </c>
      <c r="C7300" s="16" t="s">
        <v>860</v>
      </c>
      <c r="D7300" s="16" t="s">
        <v>873</v>
      </c>
      <c r="E7300" s="16" t="s">
        <v>9478</v>
      </c>
      <c r="F7300" s="27" t="s">
        <v>15495</v>
      </c>
      <c r="G7300" s="27"/>
      <c r="H7300" s="16" t="str">
        <f>IF(ISBLANK(PARTIDAS!$G7300),PARTIDAS!$F7300,CONCATENATE(PARTIDAS!$F7300," (",PARTIDAS!$G7300,")"))</f>
        <v>Lámparas y tubos eléctricos de incandescencia o de…, partes (los demás)</v>
      </c>
      <c r="I7300" s="16" t="s">
        <v>9427</v>
      </c>
    </row>
    <row r="7301" spans="1:9" x14ac:dyDescent="0.25">
      <c r="A7301" s="16" t="s">
        <v>8203</v>
      </c>
      <c r="B7301" s="16" t="str">
        <f>TEXT(PARTIDA[[#This Row],[PARTIDA]],"0000000000")</f>
        <v>8540110000</v>
      </c>
      <c r="C7301" s="16" t="s">
        <v>860</v>
      </c>
      <c r="D7301" s="16" t="s">
        <v>873</v>
      </c>
      <c r="E7301" s="16" t="s">
        <v>9478</v>
      </c>
      <c r="F7301" s="27" t="s">
        <v>15496</v>
      </c>
      <c r="G7301" s="27"/>
      <c r="H7301" s="16" t="str">
        <f>IF(ISBLANK(PARTIDAS!$G7301),PARTIDAS!$F7301,CONCATENATE(PARTIDAS!$F7301," (",PARTIDAS!$G7301,")"))</f>
        <v>Tubos de rayos catódicos para aparatos receptores de televisión…, en colores</v>
      </c>
      <c r="I7301" s="16" t="s">
        <v>9427</v>
      </c>
    </row>
    <row r="7302" spans="1:9" x14ac:dyDescent="0.25">
      <c r="A7302" s="16" t="s">
        <v>8204</v>
      </c>
      <c r="B7302" s="16" t="str">
        <f>TEXT(PARTIDA[[#This Row],[PARTIDA]],"0000000000")</f>
        <v>8540120000</v>
      </c>
      <c r="C7302" s="16" t="s">
        <v>860</v>
      </c>
      <c r="D7302" s="16" t="s">
        <v>873</v>
      </c>
      <c r="E7302" s="16" t="s">
        <v>9478</v>
      </c>
      <c r="F7302" s="27" t="s">
        <v>15497</v>
      </c>
      <c r="G7302" s="27"/>
      <c r="H7302" s="16" t="str">
        <f>IF(ISBLANK(PARTIDAS!$G7302),PARTIDAS!$F7302,CONCATENATE(PARTIDAS!$F7302," (",PARTIDAS!$G7302,")"))</f>
        <v>Tubos de rayos catódicos para aparatos receptores de televisión…, monocromos</v>
      </c>
      <c r="I7302" s="16" t="s">
        <v>9427</v>
      </c>
    </row>
    <row r="7303" spans="1:9" x14ac:dyDescent="0.25">
      <c r="A7303" s="16" t="s">
        <v>8205</v>
      </c>
      <c r="B7303" s="16" t="str">
        <f>TEXT(PARTIDA[[#This Row],[PARTIDA]],"0000000000")</f>
        <v>8540200000</v>
      </c>
      <c r="C7303" s="16" t="s">
        <v>860</v>
      </c>
      <c r="D7303" s="16" t="s">
        <v>873</v>
      </c>
      <c r="E7303" s="16" t="s">
        <v>9478</v>
      </c>
      <c r="F7303" s="27" t="s">
        <v>15498</v>
      </c>
      <c r="G7303" s="27"/>
      <c r="H7303" s="16" t="str">
        <f>IF(ISBLANK(PARTIDAS!$G7303),PARTIDAS!$F7303,CONCATENATE(PARTIDAS!$F7303," (",PARTIDAS!$G7303,")"))</f>
        <v>Tubos para cámaras de televisión; tubos convertidores o intensificadores de imagen; los demás tubos de fotocátodo</v>
      </c>
      <c r="I7303" s="16" t="s">
        <v>9427</v>
      </c>
    </row>
    <row r="7304" spans="1:9" x14ac:dyDescent="0.25">
      <c r="A7304" s="16" t="s">
        <v>8206</v>
      </c>
      <c r="B7304" s="16" t="str">
        <f>TEXT(PARTIDA[[#This Row],[PARTIDA]],"0000000000")</f>
        <v>8540400000</v>
      </c>
      <c r="C7304" s="16" t="s">
        <v>860</v>
      </c>
      <c r="D7304" s="16" t="s">
        <v>873</v>
      </c>
      <c r="E7304" s="16" t="s">
        <v>9478</v>
      </c>
      <c r="F7304" s="27" t="s">
        <v>15499</v>
      </c>
      <c r="G7304" s="27"/>
      <c r="H7304" s="16" t="str">
        <f>IF(ISBLANK(PARTIDAS!$G7304),PARTIDAS!$F7304,CONCATENATE(PARTIDAS!$F7304," (",PARTIDAS!$G7304,")"))</f>
        <v>Tubos para visualizar datos gráficos monocromos; tubos para visualizar datos gráficos en colores, con pantalla fosfórica de separación de puntos infer</v>
      </c>
      <c r="I7304" s="16" t="s">
        <v>9427</v>
      </c>
    </row>
    <row r="7305" spans="1:9" x14ac:dyDescent="0.25">
      <c r="A7305" s="16" t="s">
        <v>8207</v>
      </c>
      <c r="B7305" s="16" t="str">
        <f>TEXT(PARTIDA[[#This Row],[PARTIDA]],"0000000000")</f>
        <v>8540600000</v>
      </c>
      <c r="C7305" s="16" t="s">
        <v>860</v>
      </c>
      <c r="D7305" s="16" t="s">
        <v>873</v>
      </c>
      <c r="E7305" s="16" t="s">
        <v>9478</v>
      </c>
      <c r="F7305" s="27" t="s">
        <v>15500</v>
      </c>
      <c r="G7305" s="27"/>
      <c r="H7305" s="16" t="str">
        <f>IF(ISBLANK(PARTIDAS!$G7305),PARTIDAS!$F7305,CONCATENATE(PARTIDAS!$F7305," (",PARTIDAS!$G7305,")"))</f>
        <v>Lámparas, tubos y válvulas electrónicos, de cátodo caliente, cátodo… (los demás, tubos de rayos catódicos)</v>
      </c>
      <c r="I7305" s="16" t="s">
        <v>9427</v>
      </c>
    </row>
    <row r="7306" spans="1:9" x14ac:dyDescent="0.25">
      <c r="A7306" s="16" t="s">
        <v>8208</v>
      </c>
      <c r="B7306" s="16" t="str">
        <f>TEXT(PARTIDA[[#This Row],[PARTIDA]],"0000000000")</f>
        <v>8540710000</v>
      </c>
      <c r="C7306" s="16" t="s">
        <v>860</v>
      </c>
      <c r="D7306" s="16" t="s">
        <v>873</v>
      </c>
      <c r="E7306" s="16" t="s">
        <v>9478</v>
      </c>
      <c r="F7306" s="27" t="s">
        <v>15501</v>
      </c>
      <c r="G7306" s="27"/>
      <c r="H7306" s="16" t="str">
        <f>IF(ISBLANK(PARTIDAS!$G7306),PARTIDAS!$F7306,CONCATENATE(PARTIDAS!$F7306," (",PARTIDAS!$G7306,")"))</f>
        <v>Tubos para hiperfrecuencias (por ejemplo, magnetrones</v>
      </c>
      <c r="I7306" s="16" t="s">
        <v>9427</v>
      </c>
    </row>
    <row r="7307" spans="1:9" x14ac:dyDescent="0.25">
      <c r="A7307" s="16" t="s">
        <v>8209</v>
      </c>
      <c r="B7307" s="16" t="str">
        <f>TEXT(PARTIDA[[#This Row],[PARTIDA]],"0000000000")</f>
        <v>8540790000</v>
      </c>
      <c r="C7307" s="16" t="s">
        <v>860</v>
      </c>
      <c r="D7307" s="16" t="s">
        <v>873</v>
      </c>
      <c r="E7307" s="16" t="s">
        <v>9478</v>
      </c>
      <c r="F7307" s="27" t="s">
        <v>15502</v>
      </c>
      <c r="G7307" s="27"/>
      <c r="H7307" s="16" t="str">
        <f>IF(ISBLANK(PARTIDAS!$G7307),PARTIDAS!$F7307,CONCATENATE(PARTIDAS!$F7307," (",PARTIDAS!$G7307,")"))</f>
        <v>Tubos para hiperfrecuencias (por ejemplo (los demás)</v>
      </c>
      <c r="I7307" s="16" t="s">
        <v>9427</v>
      </c>
    </row>
    <row r="7308" spans="1:9" x14ac:dyDescent="0.25">
      <c r="A7308" s="16" t="s">
        <v>8210</v>
      </c>
      <c r="B7308" s="16" t="str">
        <f>TEXT(PARTIDA[[#This Row],[PARTIDA]],"0000000000")</f>
        <v>8540810000</v>
      </c>
      <c r="C7308" s="16" t="s">
        <v>860</v>
      </c>
      <c r="D7308" s="16" t="s">
        <v>873</v>
      </c>
      <c r="E7308" s="16" t="s">
        <v>9478</v>
      </c>
      <c r="F7308" s="27" t="s">
        <v>15503</v>
      </c>
      <c r="G7308" s="27"/>
      <c r="H7308" s="16" t="str">
        <f>IF(ISBLANK(PARTIDAS!$G7308),PARTIDAS!$F7308,CONCATENATE(PARTIDAS!$F7308," (",PARTIDAS!$G7308,")"))</f>
        <v>Tubos receptores o amplificadores</v>
      </c>
      <c r="I7308" s="16" t="s">
        <v>9427</v>
      </c>
    </row>
    <row r="7309" spans="1:9" x14ac:dyDescent="0.25">
      <c r="A7309" s="16" t="s">
        <v>8211</v>
      </c>
      <c r="B7309" s="16" t="str">
        <f>TEXT(PARTIDA[[#This Row],[PARTIDA]],"0000000000")</f>
        <v>8540890000</v>
      </c>
      <c r="C7309" s="16" t="s">
        <v>860</v>
      </c>
      <c r="D7309" s="16" t="s">
        <v>873</v>
      </c>
      <c r="E7309" s="16" t="s">
        <v>9478</v>
      </c>
      <c r="F7309" s="27" t="s">
        <v>15504</v>
      </c>
      <c r="G7309" s="27"/>
      <c r="H7309" s="16" t="str">
        <f>IF(ISBLANK(PARTIDAS!$G7309),PARTIDAS!$F7309,CONCATENATE(PARTIDAS!$F7309," (",PARTIDAS!$G7309,")"))</f>
        <v>Lámparas, tubos y válvulas electrónicos, de cátodo caliente, cátodo… (los demás)</v>
      </c>
      <c r="I7309" s="16" t="s">
        <v>9427</v>
      </c>
    </row>
    <row r="7310" spans="1:9" x14ac:dyDescent="0.25">
      <c r="A7310" s="16" t="s">
        <v>8212</v>
      </c>
      <c r="B7310" s="16" t="str">
        <f>TEXT(PARTIDA[[#This Row],[PARTIDA]],"0000000000")</f>
        <v>8540910000</v>
      </c>
      <c r="C7310" s="16" t="s">
        <v>860</v>
      </c>
      <c r="D7310" s="16" t="s">
        <v>873</v>
      </c>
      <c r="E7310" s="16" t="s">
        <v>9478</v>
      </c>
      <c r="F7310" s="27" t="s">
        <v>15505</v>
      </c>
      <c r="G7310" s="27"/>
      <c r="H7310" s="16" t="str">
        <f>IF(ISBLANK(PARTIDAS!$G7310),PARTIDAS!$F7310,CONCATENATE(PARTIDAS!$F7310," (",PARTIDAS!$G7310,")"))</f>
        <v>Lámparas, tubos y válvulas electrónicos, de cátodo…, partes, de tubos de rayos catódicos</v>
      </c>
      <c r="I7310" s="16" t="s">
        <v>9427</v>
      </c>
    </row>
    <row r="7311" spans="1:9" x14ac:dyDescent="0.25">
      <c r="A7311" s="16" t="s">
        <v>8213</v>
      </c>
      <c r="B7311" s="16" t="str">
        <f>TEXT(PARTIDA[[#This Row],[PARTIDA]],"0000000000")</f>
        <v>8540990000</v>
      </c>
      <c r="C7311" s="16" t="s">
        <v>860</v>
      </c>
      <c r="D7311" s="16" t="s">
        <v>873</v>
      </c>
      <c r="E7311" s="16" t="s">
        <v>9478</v>
      </c>
      <c r="F7311" s="27" t="s">
        <v>15506</v>
      </c>
      <c r="G7311" s="27"/>
      <c r="H7311" s="16" t="str">
        <f>IF(ISBLANK(PARTIDAS!$G7311),PARTIDAS!$F7311,CONCATENATE(PARTIDAS!$F7311," (",PARTIDAS!$G7311,")"))</f>
        <v>Lámparas, tubos y válvulas electrónicos, de cátodo…, partes (los demás)</v>
      </c>
      <c r="I7311" s="16" t="s">
        <v>9427</v>
      </c>
    </row>
    <row r="7312" spans="1:9" x14ac:dyDescent="0.25">
      <c r="A7312" s="16" t="s">
        <v>8214</v>
      </c>
      <c r="B7312" s="16" t="str">
        <f>TEXT(PARTIDA[[#This Row],[PARTIDA]],"0000000000")</f>
        <v>8541100000</v>
      </c>
      <c r="C7312" s="16" t="s">
        <v>860</v>
      </c>
      <c r="D7312" s="16" t="s">
        <v>873</v>
      </c>
      <c r="E7312" s="16" t="s">
        <v>9478</v>
      </c>
      <c r="F7312" s="27" t="s">
        <v>15507</v>
      </c>
      <c r="G7312" s="27"/>
      <c r="H7312" s="16" t="str">
        <f>IF(ISBLANK(PARTIDAS!$G7312),PARTIDAS!$F7312,CONCATENATE(PARTIDAS!$F7312," (",PARTIDAS!$G7312,")"))</f>
        <v>Diodos, excepto los fotodiodos y los diodos emisores de luz (LED)</v>
      </c>
      <c r="I7312" s="16" t="s">
        <v>9427</v>
      </c>
    </row>
    <row r="7313" spans="1:9" x14ac:dyDescent="0.25">
      <c r="A7313" s="16" t="s">
        <v>8215</v>
      </c>
      <c r="B7313" s="16" t="str">
        <f>TEXT(PARTIDA[[#This Row],[PARTIDA]],"0000000000")</f>
        <v>8541210000</v>
      </c>
      <c r="C7313" s="16" t="s">
        <v>860</v>
      </c>
      <c r="D7313" s="16" t="s">
        <v>873</v>
      </c>
      <c r="E7313" s="16" t="s">
        <v>9478</v>
      </c>
      <c r="F7313" s="27" t="s">
        <v>15508</v>
      </c>
      <c r="G7313" s="27"/>
      <c r="H7313" s="16" t="str">
        <f>IF(ISBLANK(PARTIDAS!$G7313),PARTIDAS!$F7313,CONCATENATE(PARTIDAS!$F7313," (",PARTIDAS!$G7313,")"))</f>
        <v>Transistores, con una capacidad de disipación inferior a 1 W</v>
      </c>
      <c r="I7313" s="16" t="s">
        <v>9427</v>
      </c>
    </row>
    <row r="7314" spans="1:9" x14ac:dyDescent="0.25">
      <c r="A7314" s="16" t="s">
        <v>8216</v>
      </c>
      <c r="B7314" s="16" t="str">
        <f>TEXT(PARTIDA[[#This Row],[PARTIDA]],"0000000000")</f>
        <v>8541290000</v>
      </c>
      <c r="C7314" s="16" t="s">
        <v>860</v>
      </c>
      <c r="D7314" s="16" t="s">
        <v>873</v>
      </c>
      <c r="E7314" s="16" t="s">
        <v>9478</v>
      </c>
      <c r="F7314" s="27" t="s">
        <v>15509</v>
      </c>
      <c r="G7314" s="27"/>
      <c r="H7314" s="16" t="str">
        <f>IF(ISBLANK(PARTIDAS!$G7314),PARTIDAS!$F7314,CONCATENATE(PARTIDAS!$F7314," (",PARTIDAS!$G7314,")"))</f>
        <v>Transistores (los demás)</v>
      </c>
      <c r="I7314" s="16" t="s">
        <v>9427</v>
      </c>
    </row>
    <row r="7315" spans="1:9" x14ac:dyDescent="0.25">
      <c r="A7315" s="16" t="s">
        <v>8217</v>
      </c>
      <c r="B7315" s="16" t="str">
        <f>TEXT(PARTIDA[[#This Row],[PARTIDA]],"0000000000")</f>
        <v>8541300000</v>
      </c>
      <c r="C7315" s="16" t="s">
        <v>860</v>
      </c>
      <c r="D7315" s="16" t="s">
        <v>873</v>
      </c>
      <c r="E7315" s="16" t="s">
        <v>9478</v>
      </c>
      <c r="F7315" s="27" t="s">
        <v>15510</v>
      </c>
      <c r="G7315" s="27"/>
      <c r="H7315" s="16" t="str">
        <f>IF(ISBLANK(PARTIDAS!$G7315),PARTIDAS!$F7315,CONCATENATE(PARTIDAS!$F7315," (",PARTIDAS!$G7315,")"))</f>
        <v>Tiristores, diacs y triacs, excepto los dispositivos fotosensibles</v>
      </c>
      <c r="I7315" s="16" t="s">
        <v>9427</v>
      </c>
    </row>
    <row r="7316" spans="1:9" x14ac:dyDescent="0.25">
      <c r="A7316" s="16" t="s">
        <v>8218</v>
      </c>
      <c r="B7316" s="16" t="str">
        <f>TEXT(PARTIDA[[#This Row],[PARTIDA]],"0000000000")</f>
        <v>8541401000</v>
      </c>
      <c r="C7316" s="16" t="s">
        <v>860</v>
      </c>
      <c r="D7316" s="16" t="s">
        <v>873</v>
      </c>
      <c r="E7316" s="16" t="s">
        <v>9478</v>
      </c>
      <c r="F7316" s="27" t="s">
        <v>15511</v>
      </c>
      <c r="G7316" s="27"/>
      <c r="H7316" s="16" t="str">
        <f>IF(ISBLANK(PARTIDAS!$G7316),PARTIDAS!$F7316,CONCATENATE(PARTIDAS!$F7316," (",PARTIDAS!$G7316,")"))</f>
        <v>Células fotovoltaicas, aunque estén ensambladas en módulos o paneles</v>
      </c>
      <c r="I7316" s="16" t="s">
        <v>9648</v>
      </c>
    </row>
    <row r="7317" spans="1:9" x14ac:dyDescent="0.25">
      <c r="A7317" s="16" t="s">
        <v>8219</v>
      </c>
      <c r="B7317" s="16" t="str">
        <f>TEXT(PARTIDA[[#This Row],[PARTIDA]],"0000000000")</f>
        <v>8541409000</v>
      </c>
      <c r="C7317" s="16" t="s">
        <v>860</v>
      </c>
      <c r="D7317" s="16" t="s">
        <v>873</v>
      </c>
      <c r="E7317" s="16" t="s">
        <v>9478</v>
      </c>
      <c r="F7317" s="27" t="s">
        <v>15512</v>
      </c>
      <c r="G7317" s="27"/>
      <c r="H7317" s="16" t="str">
        <f>IF(ISBLANK(PARTIDAS!$G7317),PARTIDAS!$F7317,CONCATENATE(PARTIDAS!$F7317," (",PARTIDAS!$G7317,")"))</f>
        <v>Dispositivos semiconductores (por ejemplo: diodos, transistores, trans (los demás)</v>
      </c>
      <c r="I7317" s="16" t="s">
        <v>9648</v>
      </c>
    </row>
    <row r="7318" spans="1:9" x14ac:dyDescent="0.25">
      <c r="A7318" s="16" t="s">
        <v>15513</v>
      </c>
      <c r="B7318" s="16" t="str">
        <f>TEXT(PARTIDA[[#This Row],[PARTIDA]],"0000000000")</f>
        <v>8541410000</v>
      </c>
      <c r="C7318" s="16" t="s">
        <v>860</v>
      </c>
      <c r="D7318" s="16" t="s">
        <v>873</v>
      </c>
      <c r="E7318" s="16" t="s">
        <v>9478</v>
      </c>
      <c r="F7318" s="27" t="s">
        <v>15514</v>
      </c>
      <c r="G7318" s="27"/>
      <c r="H7318" s="16" t="str">
        <f>IF(ISBLANK(PARTIDAS!$G7318),PARTIDAS!$F7318,CONCATENATE(PARTIDAS!$F7318," (",PARTIDAS!$G7318,")"))</f>
        <v>Diodos emisores de luz (LED)</v>
      </c>
      <c r="I7318" s="16" t="s">
        <v>9427</v>
      </c>
    </row>
    <row r="7319" spans="1:9" x14ac:dyDescent="0.25">
      <c r="A7319" s="16" t="s">
        <v>15515</v>
      </c>
      <c r="B7319" s="16" t="str">
        <f>TEXT(PARTIDA[[#This Row],[PARTIDA]],"0000000000")</f>
        <v>8541420000</v>
      </c>
      <c r="C7319" s="16" t="s">
        <v>860</v>
      </c>
      <c r="D7319" s="16" t="s">
        <v>873</v>
      </c>
      <c r="E7319" s="16" t="s">
        <v>9478</v>
      </c>
      <c r="F7319" s="27" t="s">
        <v>15516</v>
      </c>
      <c r="G7319" s="27"/>
      <c r="H7319" s="16" t="str">
        <f>IF(ISBLANK(PARTIDAS!$G7319),PARTIDAS!$F7319,CONCATENATE(PARTIDAS!$F7319," (",PARTIDAS!$G7319,")"))</f>
        <v>Células fotovoltaicas sin ensamblar en módulos ni paneles</v>
      </c>
      <c r="I7319" s="16" t="s">
        <v>9427</v>
      </c>
    </row>
    <row r="7320" spans="1:9" x14ac:dyDescent="0.25">
      <c r="A7320" s="16" t="s">
        <v>15517</v>
      </c>
      <c r="B7320" s="16" t="str">
        <f>TEXT(PARTIDA[[#This Row],[PARTIDA]],"0000000000")</f>
        <v>8541430000</v>
      </c>
      <c r="C7320" s="16" t="s">
        <v>860</v>
      </c>
      <c r="D7320" s="16" t="s">
        <v>873</v>
      </c>
      <c r="E7320" s="16" t="s">
        <v>9478</v>
      </c>
      <c r="F7320" s="27" t="s">
        <v>15518</v>
      </c>
      <c r="G7320" s="27"/>
      <c r="H7320" s="16" t="str">
        <f>IF(ISBLANK(PARTIDAS!$G7320),PARTIDAS!$F7320,CONCATENATE(PARTIDAS!$F7320," (",PARTIDAS!$G7320,")"))</f>
        <v>Células fotovoltaicas ensambladas en módulos o paneles</v>
      </c>
      <c r="I7320" s="16" t="s">
        <v>9427</v>
      </c>
    </row>
    <row r="7321" spans="1:9" x14ac:dyDescent="0.25">
      <c r="A7321" s="16" t="s">
        <v>15519</v>
      </c>
      <c r="B7321" s="16" t="str">
        <f>TEXT(PARTIDA[[#This Row],[PARTIDA]],"0000000000")</f>
        <v>8541490000</v>
      </c>
      <c r="C7321" s="16" t="s">
        <v>860</v>
      </c>
      <c r="D7321" s="16" t="s">
        <v>873</v>
      </c>
      <c r="E7321" s="16" t="s">
        <v>9478</v>
      </c>
      <c r="F7321" s="27" t="s">
        <v>15520</v>
      </c>
      <c r="G7321" s="27"/>
      <c r="H7321" s="16" t="str">
        <f>IF(ISBLANK(PARTIDAS!$G7321),PARTIDAS!$F7321,CONCATENATE(PARTIDAS!$F7321," (",PARTIDAS!$G7321,")"))</f>
        <v>Dispositivos semiconductores fotosensibles, incluidas las células… (los demás)</v>
      </c>
      <c r="I7321" s="16" t="s">
        <v>9427</v>
      </c>
    </row>
    <row r="7322" spans="1:9" x14ac:dyDescent="0.25">
      <c r="A7322" s="16" t="s">
        <v>8220</v>
      </c>
      <c r="B7322" s="16" t="str">
        <f>TEXT(PARTIDA[[#This Row],[PARTIDA]],"0000000000")</f>
        <v>8541500000</v>
      </c>
      <c r="C7322" s="16" t="s">
        <v>860</v>
      </c>
      <c r="D7322" s="16" t="s">
        <v>873</v>
      </c>
      <c r="E7322" s="16" t="s">
        <v>9478</v>
      </c>
      <c r="F7322" s="27" t="s">
        <v>7972</v>
      </c>
      <c r="G7322" s="27"/>
      <c r="H7322" s="16" t="str">
        <f>IF(ISBLANK(PARTIDAS!$G7322),PARTIDAS!$F7322,CONCATENATE(PARTIDAS!$F7322," (",PARTIDAS!$G7322,")"))</f>
        <v>Aparatos eléctricos</v>
      </c>
      <c r="I7322" s="16" t="s">
        <v>9648</v>
      </c>
    </row>
    <row r="7323" spans="1:9" x14ac:dyDescent="0.25">
      <c r="A7323" s="16" t="s">
        <v>15521</v>
      </c>
      <c r="B7323" s="16" t="str">
        <f>TEXT(PARTIDA[[#This Row],[PARTIDA]],"0000000000")</f>
        <v>8541510010</v>
      </c>
      <c r="C7323" s="16" t="s">
        <v>860</v>
      </c>
      <c r="D7323" s="16" t="s">
        <v>873</v>
      </c>
      <c r="E7323" s="16" t="s">
        <v>9478</v>
      </c>
      <c r="F7323" s="27" t="s">
        <v>15522</v>
      </c>
      <c r="G7323" s="27"/>
      <c r="H7323" s="16" t="str">
        <f>IF(ISBLANK(PARTIDAS!$G7323),PARTIDAS!$F7323,CONCATENATE(PARTIDAS!$F7323," (",PARTIDAS!$G7323,")"))</f>
        <v>Transductores basados en semiconductores, de aparatos de las partidas 85.18, 90.25, 93.05, 93.06 y 95.04</v>
      </c>
      <c r="I7323" s="16" t="s">
        <v>9427</v>
      </c>
    </row>
    <row r="7324" spans="1:9" x14ac:dyDescent="0.25">
      <c r="A7324" s="16" t="s">
        <v>15523</v>
      </c>
      <c r="B7324" s="16" t="str">
        <f>TEXT(PARTIDA[[#This Row],[PARTIDA]],"0000000000")</f>
        <v>8541510090</v>
      </c>
      <c r="C7324" s="16" t="s">
        <v>860</v>
      </c>
      <c r="D7324" s="16" t="s">
        <v>873</v>
      </c>
      <c r="E7324" s="16" t="s">
        <v>9478</v>
      </c>
      <c r="F7324" s="27" t="s">
        <v>15524</v>
      </c>
      <c r="G7324" s="27"/>
      <c r="H7324" s="16" t="str">
        <f>IF(ISBLANK(PARTIDAS!$G7324),PARTIDAS!$F7324,CONCATENATE(PARTIDAS!$F7324," (",PARTIDAS!$G7324,")"))</f>
        <v>Transductores basados en semiconductores (los demás)</v>
      </c>
      <c r="I7324" s="16" t="s">
        <v>9427</v>
      </c>
    </row>
    <row r="7325" spans="1:9" x14ac:dyDescent="0.25">
      <c r="A7325" s="16" t="s">
        <v>15525</v>
      </c>
      <c r="B7325" s="16" t="str">
        <f>TEXT(PARTIDA[[#This Row],[PARTIDA]],"0000000000")</f>
        <v>8541590010</v>
      </c>
      <c r="C7325" s="16" t="s">
        <v>860</v>
      </c>
      <c r="D7325" s="16" t="s">
        <v>873</v>
      </c>
      <c r="E7325" s="16" t="s">
        <v>9478</v>
      </c>
      <c r="F7325" s="27" t="s">
        <v>15526</v>
      </c>
      <c r="G7325" s="27"/>
      <c r="H7325" s="16" t="str">
        <f>IF(ISBLANK(PARTIDAS!$G7325),PARTIDAS!$F7325,CONCATENATE(PARTIDAS!$F7325," (",PARTIDAS!$G7325,")"))</f>
        <v>Dispositivos semiconductores (por ejemplo, de aparatos de las partidas 85.18, 90.25, 93.05, 93.06 y 95.04</v>
      </c>
      <c r="I7325" s="16" t="s">
        <v>9427</v>
      </c>
    </row>
    <row r="7326" spans="1:9" x14ac:dyDescent="0.25">
      <c r="A7326" s="16" t="s">
        <v>15527</v>
      </c>
      <c r="B7326" s="16" t="str">
        <f>TEXT(PARTIDA[[#This Row],[PARTIDA]],"0000000000")</f>
        <v>8541590090</v>
      </c>
      <c r="C7326" s="16" t="s">
        <v>860</v>
      </c>
      <c r="D7326" s="16" t="s">
        <v>873</v>
      </c>
      <c r="E7326" s="16" t="s">
        <v>9478</v>
      </c>
      <c r="F7326" s="27" t="s">
        <v>15528</v>
      </c>
      <c r="G7326" s="27"/>
      <c r="H7326" s="16" t="str">
        <f>IF(ISBLANK(PARTIDAS!$G7326),PARTIDAS!$F7326,CONCATENATE(PARTIDAS!$F7326," (",PARTIDAS!$G7326,")"))</f>
        <v>Dispositivos semiconductores (por ejemplo (los demás)</v>
      </c>
      <c r="I7326" s="16" t="s">
        <v>9427</v>
      </c>
    </row>
    <row r="7327" spans="1:9" x14ac:dyDescent="0.25">
      <c r="A7327" s="16" t="s">
        <v>8221</v>
      </c>
      <c r="B7327" s="16" t="str">
        <f>TEXT(PARTIDA[[#This Row],[PARTIDA]],"0000000000")</f>
        <v>8541600000</v>
      </c>
      <c r="C7327" s="16" t="s">
        <v>860</v>
      </c>
      <c r="D7327" s="16" t="s">
        <v>873</v>
      </c>
      <c r="E7327" s="16" t="s">
        <v>9478</v>
      </c>
      <c r="F7327" s="27" t="s">
        <v>15529</v>
      </c>
      <c r="G7327" s="27"/>
      <c r="H7327" s="16" t="str">
        <f>IF(ISBLANK(PARTIDAS!$G7327),PARTIDAS!$F7327,CONCATENATE(PARTIDAS!$F7327," (",PARTIDAS!$G7327,")"))</f>
        <v>Cristales piezoeléctricos montados</v>
      </c>
      <c r="I7327" s="16" t="s">
        <v>9427</v>
      </c>
    </row>
    <row r="7328" spans="1:9" x14ac:dyDescent="0.25">
      <c r="A7328" s="16" t="s">
        <v>8222</v>
      </c>
      <c r="B7328" s="16" t="str">
        <f>TEXT(PARTIDA[[#This Row],[PARTIDA]],"0000000000")</f>
        <v>8541900000</v>
      </c>
      <c r="C7328" s="16" t="s">
        <v>860</v>
      </c>
      <c r="D7328" s="16" t="s">
        <v>873</v>
      </c>
      <c r="E7328" s="16" t="s">
        <v>9478</v>
      </c>
      <c r="F7328" s="27" t="s">
        <v>15530</v>
      </c>
      <c r="G7328" s="27"/>
      <c r="H7328" s="16" t="str">
        <f>IF(ISBLANK(PARTIDAS!$G7328),PARTIDAS!$F7328,CONCATENATE(PARTIDAS!$F7328," (",PARTIDAS!$G7328,")"))</f>
        <v>Dispositivos semiconductores (por ejemplo, partes</v>
      </c>
      <c r="I7328" s="16" t="s">
        <v>9427</v>
      </c>
    </row>
    <row r="7329" spans="1:9" x14ac:dyDescent="0.25">
      <c r="A7329" s="16" t="s">
        <v>8223</v>
      </c>
      <c r="B7329" s="16" t="str">
        <f>TEXT(PARTIDA[[#This Row],[PARTIDA]],"0000000000")</f>
        <v>8542310000</v>
      </c>
      <c r="C7329" s="16" t="s">
        <v>860</v>
      </c>
      <c r="D7329" s="16" t="s">
        <v>873</v>
      </c>
      <c r="E7329" s="16" t="s">
        <v>9478</v>
      </c>
      <c r="F7329" s="27" t="s">
        <v>7972</v>
      </c>
      <c r="G7329" s="27"/>
      <c r="H7329" s="16" t="str">
        <f>IF(ISBLANK(PARTIDAS!$G7329),PARTIDAS!$F7329,CONCATENATE(PARTIDAS!$F7329," (",PARTIDAS!$G7329,")"))</f>
        <v>Aparatos eléctricos</v>
      </c>
      <c r="I7329" s="16" t="s">
        <v>9427</v>
      </c>
    </row>
    <row r="7330" spans="1:9" x14ac:dyDescent="0.25">
      <c r="A7330" s="16" t="s">
        <v>8224</v>
      </c>
      <c r="B7330" s="16" t="str">
        <f>TEXT(PARTIDA[[#This Row],[PARTIDA]],"0000000000")</f>
        <v>8542320000</v>
      </c>
      <c r="C7330" s="16" t="s">
        <v>860</v>
      </c>
      <c r="D7330" s="16" t="s">
        <v>873</v>
      </c>
      <c r="E7330" s="16" t="s">
        <v>9478</v>
      </c>
      <c r="F7330" s="27" t="s">
        <v>15531</v>
      </c>
      <c r="G7330" s="27"/>
      <c r="H7330" s="16" t="str">
        <f>IF(ISBLANK(PARTIDAS!$G7330),PARTIDAS!$F7330,CONCATENATE(PARTIDAS!$F7330," (",PARTIDAS!$G7330,")"))</f>
        <v>Circuitos electrónicos integrados, memorias</v>
      </c>
      <c r="I7330" s="16" t="s">
        <v>9427</v>
      </c>
    </row>
    <row r="7331" spans="1:9" x14ac:dyDescent="0.25">
      <c r="A7331" s="16" t="s">
        <v>8225</v>
      </c>
      <c r="B7331" s="16" t="str">
        <f>TEXT(PARTIDA[[#This Row],[PARTIDA]],"0000000000")</f>
        <v>8542330000</v>
      </c>
      <c r="C7331" s="16" t="s">
        <v>860</v>
      </c>
      <c r="D7331" s="16" t="s">
        <v>873</v>
      </c>
      <c r="E7331" s="16" t="s">
        <v>9478</v>
      </c>
      <c r="F7331" s="27" t="s">
        <v>15532</v>
      </c>
      <c r="G7331" s="27"/>
      <c r="H7331" s="16" t="str">
        <f>IF(ISBLANK(PARTIDAS!$G7331),PARTIDAS!$F7331,CONCATENATE(PARTIDAS!$F7331," (",PARTIDAS!$G7331,")"))</f>
        <v>Circuitos electrónicos integrados, amplificadores</v>
      </c>
      <c r="I7331" s="16" t="s">
        <v>9427</v>
      </c>
    </row>
    <row r="7332" spans="1:9" x14ac:dyDescent="0.25">
      <c r="A7332" s="16" t="s">
        <v>8226</v>
      </c>
      <c r="B7332" s="16" t="str">
        <f>TEXT(PARTIDA[[#This Row],[PARTIDA]],"0000000000")</f>
        <v>8542390000</v>
      </c>
      <c r="C7332" s="16" t="s">
        <v>860</v>
      </c>
      <c r="D7332" s="16" t="s">
        <v>873</v>
      </c>
      <c r="E7332" s="16" t="s">
        <v>9478</v>
      </c>
      <c r="F7332" s="27" t="s">
        <v>15533</v>
      </c>
      <c r="G7332" s="27"/>
      <c r="H7332" s="16" t="str">
        <f>IF(ISBLANK(PARTIDAS!$G7332),PARTIDAS!$F7332,CONCATENATE(PARTIDAS!$F7332," (",PARTIDAS!$G7332,")"))</f>
        <v>Circuitos electrónicos integrados (los demás)</v>
      </c>
      <c r="I7332" s="16" t="s">
        <v>9427</v>
      </c>
    </row>
    <row r="7333" spans="1:9" x14ac:dyDescent="0.25">
      <c r="A7333" s="16" t="s">
        <v>8227</v>
      </c>
      <c r="B7333" s="16" t="str">
        <f>TEXT(PARTIDA[[#This Row],[PARTIDA]],"0000000000")</f>
        <v>8542900000</v>
      </c>
      <c r="C7333" s="16" t="s">
        <v>860</v>
      </c>
      <c r="D7333" s="16" t="s">
        <v>873</v>
      </c>
      <c r="E7333" s="16" t="s">
        <v>9478</v>
      </c>
      <c r="F7333" s="27" t="s">
        <v>15534</v>
      </c>
      <c r="G7333" s="27"/>
      <c r="H7333" s="16" t="str">
        <f>IF(ISBLANK(PARTIDAS!$G7333),PARTIDAS!$F7333,CONCATENATE(PARTIDAS!$F7333," (",PARTIDAS!$G7333,")"))</f>
        <v>Circuitos electrónicos integrados, partes</v>
      </c>
      <c r="I7333" s="16" t="s">
        <v>9427</v>
      </c>
    </row>
    <row r="7334" spans="1:9" x14ac:dyDescent="0.25">
      <c r="A7334" s="16" t="s">
        <v>8228</v>
      </c>
      <c r="B7334" s="16" t="str">
        <f>TEXT(PARTIDA[[#This Row],[PARTIDA]],"0000000000")</f>
        <v>8543100000</v>
      </c>
      <c r="C7334" s="16" t="s">
        <v>860</v>
      </c>
      <c r="D7334" s="16" t="s">
        <v>873</v>
      </c>
      <c r="E7334" s="16" t="s">
        <v>9480</v>
      </c>
      <c r="F7334" s="27" t="s">
        <v>15535</v>
      </c>
      <c r="G7334" s="27"/>
      <c r="H7334" s="16" t="str">
        <f>IF(ISBLANK(PARTIDAS!$G7334),PARTIDAS!$F7334,CONCATENATE(PARTIDAS!$F7334," (",PARTIDAS!$G7334,")"))</f>
        <v>Aceleradores de partículas</v>
      </c>
      <c r="I7334" s="16" t="s">
        <v>9427</v>
      </c>
    </row>
    <row r="7335" spans="1:9" x14ac:dyDescent="0.25">
      <c r="A7335" s="16" t="s">
        <v>8229</v>
      </c>
      <c r="B7335" s="16" t="str">
        <f>TEXT(PARTIDA[[#This Row],[PARTIDA]],"0000000000")</f>
        <v>8543200000</v>
      </c>
      <c r="C7335" s="16" t="s">
        <v>860</v>
      </c>
      <c r="D7335" s="16" t="s">
        <v>873</v>
      </c>
      <c r="E7335" s="16" t="s">
        <v>9480</v>
      </c>
      <c r="F7335" s="27" t="s">
        <v>15536</v>
      </c>
      <c r="G7335" s="27"/>
      <c r="H7335" s="16" t="str">
        <f>IF(ISBLANK(PARTIDAS!$G7335),PARTIDAS!$F7335,CONCATENATE(PARTIDAS!$F7335," (",PARTIDAS!$G7335,")"))</f>
        <v>Generadores de señales</v>
      </c>
      <c r="I7335" s="16" t="s">
        <v>9427</v>
      </c>
    </row>
    <row r="7336" spans="1:9" x14ac:dyDescent="0.25">
      <c r="A7336" s="16" t="s">
        <v>8230</v>
      </c>
      <c r="B7336" s="16" t="str">
        <f>TEXT(PARTIDA[[#This Row],[PARTIDA]],"0000000000")</f>
        <v>8543300000</v>
      </c>
      <c r="C7336" s="16" t="s">
        <v>860</v>
      </c>
      <c r="D7336" s="16" t="s">
        <v>873</v>
      </c>
      <c r="E7336" s="16" t="s">
        <v>9480</v>
      </c>
      <c r="F7336" s="27" t="s">
        <v>15537</v>
      </c>
      <c r="G7336" s="27"/>
      <c r="H7336" s="16" t="str">
        <f>IF(ISBLANK(PARTIDAS!$G7336),PARTIDAS!$F7336,CONCATENATE(PARTIDAS!$F7336," (",PARTIDAS!$G7336,")"))</f>
        <v>Máquinas y aparatos de galvanoplastia, electrólisis o electroforesis</v>
      </c>
      <c r="I7336" s="16" t="s">
        <v>9427</v>
      </c>
    </row>
    <row r="7337" spans="1:9" x14ac:dyDescent="0.25">
      <c r="A7337" s="16" t="s">
        <v>15538</v>
      </c>
      <c r="B7337" s="16" t="str">
        <f>TEXT(PARTIDA[[#This Row],[PARTIDA]],"0000000000")</f>
        <v>8543400000</v>
      </c>
      <c r="C7337" s="16" t="s">
        <v>860</v>
      </c>
      <c r="D7337" s="16" t="s">
        <v>873</v>
      </c>
      <c r="E7337" s="16" t="s">
        <v>9480</v>
      </c>
      <c r="F7337" s="27" t="s">
        <v>15539</v>
      </c>
      <c r="G7337" s="27"/>
      <c r="H7337" s="16" t="str">
        <f>IF(ISBLANK(PARTIDAS!$G7337),PARTIDAS!$F7337,CONCATENATE(PARTIDAS!$F7337," (",PARTIDAS!$G7337,")"))</f>
        <v>Cigarrillos electrónicos y dispositivos personales de vaporización eléctricos similares</v>
      </c>
      <c r="I7337" s="16" t="s">
        <v>9427</v>
      </c>
    </row>
    <row r="7338" spans="1:9" x14ac:dyDescent="0.25">
      <c r="A7338" s="16" t="s">
        <v>8231</v>
      </c>
      <c r="B7338" s="16" t="str">
        <f>TEXT(PARTIDA[[#This Row],[PARTIDA]],"0000000000")</f>
        <v>8543701000</v>
      </c>
      <c r="C7338" s="16" t="s">
        <v>860</v>
      </c>
      <c r="D7338" s="16" t="s">
        <v>873</v>
      </c>
      <c r="E7338" s="16" t="s">
        <v>9480</v>
      </c>
      <c r="F7338" s="27" t="s">
        <v>15540</v>
      </c>
      <c r="G7338" s="27"/>
      <c r="H7338" s="16" t="str">
        <f>IF(ISBLANK(PARTIDAS!$G7338),PARTIDAS!$F7338,CONCATENATE(PARTIDAS!$F7338," (",PARTIDAS!$G7338,")"))</f>
        <v>Electrificadores de cercas</v>
      </c>
      <c r="I7338" s="16" t="s">
        <v>9427</v>
      </c>
    </row>
    <row r="7339" spans="1:9" x14ac:dyDescent="0.25">
      <c r="A7339" s="16" t="s">
        <v>8232</v>
      </c>
      <c r="B7339" s="16" t="str">
        <f>TEXT(PARTIDA[[#This Row],[PARTIDA]],"0000000000")</f>
        <v>8543702000</v>
      </c>
      <c r="C7339" s="16" t="s">
        <v>860</v>
      </c>
      <c r="D7339" s="16" t="s">
        <v>873</v>
      </c>
      <c r="E7339" s="16" t="s">
        <v>9480</v>
      </c>
      <c r="F7339" s="27" t="s">
        <v>15541</v>
      </c>
      <c r="G7339" s="27"/>
      <c r="H7339" s="16" t="str">
        <f>IF(ISBLANK(PARTIDAS!$G7339),PARTIDAS!$F7339,CONCATENATE(PARTIDAS!$F7339," (",PARTIDAS!$G7339,")"))</f>
        <v>Detectores de metales</v>
      </c>
      <c r="I7339" s="16" t="s">
        <v>9427</v>
      </c>
    </row>
    <row r="7340" spans="1:9" x14ac:dyDescent="0.25">
      <c r="A7340" s="16" t="s">
        <v>8233</v>
      </c>
      <c r="B7340" s="16" t="str">
        <f>TEXT(PARTIDA[[#This Row],[PARTIDA]],"0000000000")</f>
        <v>8543703000</v>
      </c>
      <c r="C7340" s="16" t="s">
        <v>860</v>
      </c>
      <c r="D7340" s="16" t="s">
        <v>873</v>
      </c>
      <c r="E7340" s="16" t="s">
        <v>9480</v>
      </c>
      <c r="F7340" s="27" t="s">
        <v>15542</v>
      </c>
      <c r="G7340" s="27"/>
      <c r="H7340" s="16" t="str">
        <f>IF(ISBLANK(PARTIDAS!$G7340),PARTIDAS!$F7340,CONCATENATE(PARTIDAS!$F7340," (",PARTIDAS!$G7340,")"))</f>
        <v>Mando a distancia (control remoto)</v>
      </c>
      <c r="I7340" s="16" t="s">
        <v>9427</v>
      </c>
    </row>
    <row r="7341" spans="1:9" x14ac:dyDescent="0.25">
      <c r="A7341" s="16" t="s">
        <v>8234</v>
      </c>
      <c r="B7341" s="16" t="str">
        <f>TEXT(PARTIDA[[#This Row],[PARTIDA]],"0000000000")</f>
        <v>8543709000</v>
      </c>
      <c r="C7341" s="16" t="s">
        <v>860</v>
      </c>
      <c r="D7341" s="16" t="s">
        <v>873</v>
      </c>
      <c r="E7341" s="16" t="s">
        <v>9480</v>
      </c>
      <c r="F7341" s="27" t="s">
        <v>15543</v>
      </c>
      <c r="G7341" s="27"/>
      <c r="H7341" s="16" t="str">
        <f>IF(ISBLANK(PARTIDAS!$G7341),PARTIDAS!$F7341,CONCATENATE(PARTIDAS!$F7341," (",PARTIDAS!$G7341,")"))</f>
        <v>Máquinas y aparatos eléctricos con función propia, no expresados ni… (los demás)</v>
      </c>
      <c r="I7341" s="16" t="s">
        <v>9427</v>
      </c>
    </row>
    <row r="7342" spans="1:9" x14ac:dyDescent="0.25">
      <c r="A7342" s="16" t="s">
        <v>8235</v>
      </c>
      <c r="B7342" s="16" t="str">
        <f>TEXT(PARTIDA[[#This Row],[PARTIDA]],"0000000000")</f>
        <v>8543900000</v>
      </c>
      <c r="C7342" s="16" t="s">
        <v>860</v>
      </c>
      <c r="D7342" s="16" t="s">
        <v>873</v>
      </c>
      <c r="E7342" s="16" t="s">
        <v>9480</v>
      </c>
      <c r="F7342" s="27" t="s">
        <v>15544</v>
      </c>
      <c r="G7342" s="27"/>
      <c r="H7342" s="16" t="str">
        <f>IF(ISBLANK(PARTIDAS!$G7342),PARTIDAS!$F7342,CONCATENATE(PARTIDAS!$F7342," (",PARTIDAS!$G7342,")"))</f>
        <v>Máquinas y aparatos eléctricos con función propia, no expresados ni…, partes</v>
      </c>
      <c r="I7342" s="16" t="s">
        <v>9427</v>
      </c>
    </row>
    <row r="7343" spans="1:9" x14ac:dyDescent="0.25">
      <c r="A7343" s="16" t="s">
        <v>8236</v>
      </c>
      <c r="B7343" s="16" t="str">
        <f>TEXT(PARTIDA[[#This Row],[PARTIDA]],"0000000000")</f>
        <v>8544110000</v>
      </c>
      <c r="C7343" s="16" t="s">
        <v>815</v>
      </c>
      <c r="D7343" s="16" t="s">
        <v>835</v>
      </c>
      <c r="E7343" s="16" t="s">
        <v>9463</v>
      </c>
      <c r="F7343" s="27" t="s">
        <v>15545</v>
      </c>
      <c r="G7343" s="27"/>
      <c r="H7343" s="16" t="str">
        <f>IF(ISBLANK(PARTIDAS!$G7343),PARTIDAS!$F7343,CONCATENATE(PARTIDAS!$F7343," (",PARTIDAS!$G7343,")"))</f>
        <v>Alambre para bobinar, de cobre</v>
      </c>
      <c r="I7343" s="16" t="s">
        <v>9427</v>
      </c>
    </row>
    <row r="7344" spans="1:9" x14ac:dyDescent="0.25">
      <c r="A7344" s="16" t="s">
        <v>8237</v>
      </c>
      <c r="B7344" s="16" t="str">
        <f>TEXT(PARTIDA[[#This Row],[PARTIDA]],"0000000000")</f>
        <v>8544190000</v>
      </c>
      <c r="C7344" s="16" t="s">
        <v>815</v>
      </c>
      <c r="D7344" s="16" t="s">
        <v>835</v>
      </c>
      <c r="E7344" s="16" t="s">
        <v>9463</v>
      </c>
      <c r="F7344" s="27" t="s">
        <v>15546</v>
      </c>
      <c r="G7344" s="27"/>
      <c r="H7344" s="16" t="str">
        <f>IF(ISBLANK(PARTIDAS!$G7344),PARTIDAS!$F7344,CONCATENATE(PARTIDAS!$F7344," (",PARTIDAS!$G7344,")"))</f>
        <v>Alambre para bobinar (los demás)</v>
      </c>
      <c r="I7344" s="16" t="s">
        <v>9427</v>
      </c>
    </row>
    <row r="7345" spans="1:9" x14ac:dyDescent="0.25">
      <c r="A7345" s="16" t="s">
        <v>8238</v>
      </c>
      <c r="B7345" s="16" t="str">
        <f>TEXT(PARTIDA[[#This Row],[PARTIDA]],"0000000000")</f>
        <v>8544200000</v>
      </c>
      <c r="C7345" s="16" t="s">
        <v>815</v>
      </c>
      <c r="D7345" s="16" t="s">
        <v>835</v>
      </c>
      <c r="E7345" s="16" t="s">
        <v>9463</v>
      </c>
      <c r="F7345" s="27" t="s">
        <v>8239</v>
      </c>
      <c r="G7345" s="27"/>
      <c r="H7345" s="16" t="str">
        <f>IF(ISBLANK(PARTIDAS!$G7345),PARTIDAS!$F7345,CONCATENATE(PARTIDAS!$F7345," (",PARTIDAS!$G7345,")"))</f>
        <v>Cables</v>
      </c>
      <c r="I7345" s="16" t="s">
        <v>9427</v>
      </c>
    </row>
    <row r="7346" spans="1:9" x14ac:dyDescent="0.25">
      <c r="A7346" s="16" t="s">
        <v>8240</v>
      </c>
      <c r="B7346" s="16" t="str">
        <f>TEXT(PARTIDA[[#This Row],[PARTIDA]],"0000000000")</f>
        <v>8544300000</v>
      </c>
      <c r="C7346" s="16" t="s">
        <v>815</v>
      </c>
      <c r="D7346" s="16" t="s">
        <v>835</v>
      </c>
      <c r="E7346" s="16" t="s">
        <v>9463</v>
      </c>
      <c r="F7346" s="27" t="s">
        <v>15547</v>
      </c>
      <c r="G7346" s="27"/>
      <c r="H7346" s="16" t="str">
        <f>IF(ISBLANK(PARTIDAS!$G7346),PARTIDAS!$F7346,CONCATENATE(PARTIDAS!$F7346," (",PARTIDAS!$G7346,")"))</f>
        <v>Juegos de cables para bujías de encendido y demás juegos de cables de los tipos utilizados en los medios de transporte</v>
      </c>
      <c r="I7346" s="16" t="s">
        <v>9427</v>
      </c>
    </row>
    <row r="7347" spans="1:9" x14ac:dyDescent="0.25">
      <c r="A7347" s="16" t="s">
        <v>8241</v>
      </c>
      <c r="B7347" s="16" t="str">
        <f>TEXT(PARTIDA[[#This Row],[PARTIDA]],"0000000000")</f>
        <v>8544421000</v>
      </c>
      <c r="C7347" s="16" t="s">
        <v>815</v>
      </c>
      <c r="D7347" s="16" t="s">
        <v>835</v>
      </c>
      <c r="E7347" s="16" t="s">
        <v>9463</v>
      </c>
      <c r="F7347" s="27" t="s">
        <v>15548</v>
      </c>
      <c r="G7347" s="27"/>
      <c r="H7347" s="16" t="str">
        <f>IF(ISBLANK(PARTIDAS!$G7347),PARTIDAS!$F7347,CONCATENATE(PARTIDAS!$F7347," (",PARTIDAS!$G7347,")"))</f>
        <v>Provistos de piezas de conexión, de telecomunicación</v>
      </c>
      <c r="I7347" s="16" t="s">
        <v>9427</v>
      </c>
    </row>
    <row r="7348" spans="1:9" x14ac:dyDescent="0.25">
      <c r="A7348" s="16" t="s">
        <v>8242</v>
      </c>
      <c r="B7348" s="16" t="str">
        <f>TEXT(PARTIDA[[#This Row],[PARTIDA]],"0000000000")</f>
        <v>8544422000</v>
      </c>
      <c r="C7348" s="16" t="s">
        <v>815</v>
      </c>
      <c r="D7348" s="16" t="s">
        <v>835</v>
      </c>
      <c r="E7348" s="16" t="s">
        <v>9463</v>
      </c>
      <c r="F7348" s="27" t="s">
        <v>8239</v>
      </c>
      <c r="G7348" s="27"/>
      <c r="H7348" s="16" t="str">
        <f>IF(ISBLANK(PARTIDAS!$G7348),PARTIDAS!$F7348,CONCATENATE(PARTIDAS!$F7348," (",PARTIDAS!$G7348,")"))</f>
        <v>Cables</v>
      </c>
      <c r="I7348" s="16" t="s">
        <v>9427</v>
      </c>
    </row>
    <row r="7349" spans="1:9" x14ac:dyDescent="0.25">
      <c r="A7349" s="16" t="s">
        <v>8243</v>
      </c>
      <c r="B7349" s="16" t="str">
        <f>TEXT(PARTIDA[[#This Row],[PARTIDA]],"0000000000")</f>
        <v>8544429000</v>
      </c>
      <c r="C7349" s="16" t="s">
        <v>815</v>
      </c>
      <c r="D7349" s="16" t="s">
        <v>835</v>
      </c>
      <c r="E7349" s="16" t="s">
        <v>9463</v>
      </c>
      <c r="F7349" s="27" t="s">
        <v>7972</v>
      </c>
      <c r="G7349" s="27"/>
      <c r="H7349" s="16" t="str">
        <f>IF(ISBLANK(PARTIDAS!$G7349),PARTIDAS!$F7349,CONCATENATE(PARTIDAS!$F7349," (",PARTIDAS!$G7349,")"))</f>
        <v>Aparatos eléctricos</v>
      </c>
      <c r="I7349" s="16" t="s">
        <v>9427</v>
      </c>
    </row>
    <row r="7350" spans="1:9" x14ac:dyDescent="0.25">
      <c r="A7350" s="16" t="s">
        <v>8244</v>
      </c>
      <c r="B7350" s="16" t="str">
        <f>TEXT(PARTIDA[[#This Row],[PARTIDA]],"0000000000")</f>
        <v>8544491010</v>
      </c>
      <c r="C7350" s="16" t="s">
        <v>815</v>
      </c>
      <c r="D7350" s="16" t="s">
        <v>835</v>
      </c>
      <c r="E7350" s="16" t="s">
        <v>9463</v>
      </c>
      <c r="F7350" s="27" t="s">
        <v>15549</v>
      </c>
      <c r="G7350" s="27"/>
      <c r="H7350" s="16" t="str">
        <f>IF(ISBLANK(PARTIDAS!$G7350),PARTIDAS!$F7350,CONCATENATE(PARTIDAS!$F7350," (",PARTIDAS!$G7350,")"))</f>
        <v>Hilos, cables (incluidos los coaxiales) y demás…, de cobre, para una tensión inferior o igual a 80 V</v>
      </c>
      <c r="I7350" s="16" t="s">
        <v>9427</v>
      </c>
    </row>
    <row r="7351" spans="1:9" x14ac:dyDescent="0.25">
      <c r="A7351" s="16" t="s">
        <v>8245</v>
      </c>
      <c r="B7351" s="16" t="str">
        <f>TEXT(PARTIDA[[#This Row],[PARTIDA]],"0000000000")</f>
        <v>8544491090</v>
      </c>
      <c r="C7351" s="16" t="s">
        <v>815</v>
      </c>
      <c r="D7351" s="16" t="s">
        <v>835</v>
      </c>
      <c r="E7351" s="16" t="s">
        <v>9463</v>
      </c>
      <c r="F7351" s="27" t="s">
        <v>8239</v>
      </c>
      <c r="G7351" s="27"/>
      <c r="H7351" s="16" t="str">
        <f>IF(ISBLANK(PARTIDAS!$G7351),PARTIDAS!$F7351,CONCATENATE(PARTIDAS!$F7351," (",PARTIDAS!$G7351,")"))</f>
        <v>Cables</v>
      </c>
      <c r="I7351" s="16" t="s">
        <v>9477</v>
      </c>
    </row>
    <row r="7352" spans="1:9" x14ac:dyDescent="0.25">
      <c r="A7352" s="16" t="s">
        <v>8246</v>
      </c>
      <c r="B7352" s="16" t="str">
        <f>TEXT(PARTIDA[[#This Row],[PARTIDA]],"0000000000")</f>
        <v>8544499010</v>
      </c>
      <c r="C7352" s="16" t="s">
        <v>815</v>
      </c>
      <c r="D7352" s="16" t="s">
        <v>835</v>
      </c>
      <c r="E7352" s="16" t="s">
        <v>9463</v>
      </c>
      <c r="F7352" s="27" t="s">
        <v>15550</v>
      </c>
      <c r="G7352" s="27"/>
      <c r="H7352" s="16" t="str">
        <f>IF(ISBLANK(PARTIDAS!$G7352),PARTIDAS!$F7352,CONCATENATE(PARTIDAS!$F7352," (",PARTIDAS!$G7352,")"))</f>
        <v>Hilos, cables (incluidos los coaxiales) y demás conductores aislados…, para una tensión inferior o igual a 80 V</v>
      </c>
      <c r="I7352" s="16" t="s">
        <v>9427</v>
      </c>
    </row>
    <row r="7353" spans="1:9" x14ac:dyDescent="0.25">
      <c r="A7353" s="16" t="s">
        <v>8247</v>
      </c>
      <c r="B7353" s="16" t="str">
        <f>TEXT(PARTIDA[[#This Row],[PARTIDA]],"0000000000")</f>
        <v>8544499090</v>
      </c>
      <c r="C7353" s="16" t="s">
        <v>815</v>
      </c>
      <c r="D7353" s="16" t="s">
        <v>835</v>
      </c>
      <c r="E7353" s="16" t="s">
        <v>9463</v>
      </c>
      <c r="F7353" s="27" t="s">
        <v>8239</v>
      </c>
      <c r="G7353" s="27"/>
      <c r="H7353" s="16" t="str">
        <f>IF(ISBLANK(PARTIDAS!$G7353),PARTIDAS!$F7353,CONCATENATE(PARTIDAS!$F7353," (",PARTIDAS!$G7353,")"))</f>
        <v>Cables</v>
      </c>
      <c r="I7353" s="16" t="s">
        <v>9427</v>
      </c>
    </row>
    <row r="7354" spans="1:9" x14ac:dyDescent="0.25">
      <c r="A7354" s="16" t="s">
        <v>8248</v>
      </c>
      <c r="B7354" s="16" t="str">
        <f>TEXT(PARTIDA[[#This Row],[PARTIDA]],"0000000000")</f>
        <v>8544601000</v>
      </c>
      <c r="C7354" s="16" t="s">
        <v>815</v>
      </c>
      <c r="D7354" s="16" t="s">
        <v>835</v>
      </c>
      <c r="E7354" s="16" t="s">
        <v>9463</v>
      </c>
      <c r="F7354" s="27" t="s">
        <v>8239</v>
      </c>
      <c r="G7354" s="27"/>
      <c r="H7354" s="16" t="str">
        <f>IF(ISBLANK(PARTIDAS!$G7354),PARTIDAS!$F7354,CONCATENATE(PARTIDAS!$F7354," (",PARTIDAS!$G7354,")"))</f>
        <v>Cables</v>
      </c>
      <c r="I7354" s="16" t="s">
        <v>9427</v>
      </c>
    </row>
    <row r="7355" spans="1:9" x14ac:dyDescent="0.25">
      <c r="A7355" s="16" t="s">
        <v>8249</v>
      </c>
      <c r="B7355" s="16" t="str">
        <f>TEXT(PARTIDA[[#This Row],[PARTIDA]],"0000000000")</f>
        <v>8544609000</v>
      </c>
      <c r="C7355" s="16" t="s">
        <v>815</v>
      </c>
      <c r="D7355" s="16" t="s">
        <v>835</v>
      </c>
      <c r="E7355" s="16" t="s">
        <v>9463</v>
      </c>
      <c r="F7355" s="27" t="s">
        <v>8239</v>
      </c>
      <c r="G7355" s="27"/>
      <c r="H7355" s="16" t="str">
        <f>IF(ISBLANK(PARTIDAS!$G7355),PARTIDAS!$F7355,CONCATENATE(PARTIDAS!$F7355," (",PARTIDAS!$G7355,")"))</f>
        <v>Cables</v>
      </c>
      <c r="I7355" s="16" t="s">
        <v>9427</v>
      </c>
    </row>
    <row r="7356" spans="1:9" x14ac:dyDescent="0.25">
      <c r="A7356" s="16" t="s">
        <v>8250</v>
      </c>
      <c r="B7356" s="16" t="str">
        <f>TEXT(PARTIDA[[#This Row],[PARTIDA]],"0000000000")</f>
        <v>8544700000</v>
      </c>
      <c r="C7356" s="16" t="s">
        <v>815</v>
      </c>
      <c r="D7356" s="16" t="s">
        <v>835</v>
      </c>
      <c r="E7356" s="16" t="s">
        <v>9463</v>
      </c>
      <c r="F7356" s="27" t="s">
        <v>15551</v>
      </c>
      <c r="G7356" s="27"/>
      <c r="H7356" s="16" t="str">
        <f>IF(ISBLANK(PARTIDAS!$G7356),PARTIDAS!$F7356,CONCATENATE(PARTIDAS!$F7356," (",PARTIDAS!$G7356,")"))</f>
        <v>Cables de fibras ópticas</v>
      </c>
      <c r="I7356" s="16" t="s">
        <v>9427</v>
      </c>
    </row>
    <row r="7357" spans="1:9" x14ac:dyDescent="0.25">
      <c r="A7357" s="16" t="s">
        <v>8251</v>
      </c>
      <c r="B7357" s="16" t="str">
        <f>TEXT(PARTIDA[[#This Row],[PARTIDA]],"0000000000")</f>
        <v>8545110000</v>
      </c>
      <c r="C7357" s="16" t="s">
        <v>860</v>
      </c>
      <c r="D7357" s="16" t="s">
        <v>873</v>
      </c>
      <c r="E7357" s="16" t="s">
        <v>9480</v>
      </c>
      <c r="F7357" s="27" t="s">
        <v>15552</v>
      </c>
      <c r="G7357" s="27"/>
      <c r="H7357" s="16" t="str">
        <f>IF(ISBLANK(PARTIDAS!$G7357),PARTIDAS!$F7357,CONCATENATE(PARTIDAS!$F7357," (",PARTIDAS!$G7357,")"))</f>
        <v>Electrodos, de los tipos utilizados en hornos</v>
      </c>
      <c r="I7357" s="16" t="s">
        <v>9427</v>
      </c>
    </row>
    <row r="7358" spans="1:9" x14ac:dyDescent="0.25">
      <c r="A7358" s="16" t="s">
        <v>8252</v>
      </c>
      <c r="B7358" s="16" t="str">
        <f>TEXT(PARTIDA[[#This Row],[PARTIDA]],"0000000000")</f>
        <v>8545190000</v>
      </c>
      <c r="C7358" s="16" t="s">
        <v>860</v>
      </c>
      <c r="D7358" s="16" t="s">
        <v>873</v>
      </c>
      <c r="E7358" s="16" t="s">
        <v>9480</v>
      </c>
      <c r="F7358" s="27" t="s">
        <v>15553</v>
      </c>
      <c r="G7358" s="27"/>
      <c r="H7358" s="16" t="str">
        <f>IF(ISBLANK(PARTIDAS!$G7358),PARTIDAS!$F7358,CONCATENATE(PARTIDAS!$F7358," (",PARTIDAS!$G7358,")"))</f>
        <v>Electrodos (los demás)</v>
      </c>
      <c r="I7358" s="16" t="s">
        <v>9427</v>
      </c>
    </row>
    <row r="7359" spans="1:9" x14ac:dyDescent="0.25">
      <c r="A7359" s="16" t="s">
        <v>8253</v>
      </c>
      <c r="B7359" s="16" t="str">
        <f>TEXT(PARTIDA[[#This Row],[PARTIDA]],"0000000000")</f>
        <v>8545200000</v>
      </c>
      <c r="C7359" s="16" t="s">
        <v>860</v>
      </c>
      <c r="D7359" s="16" t="s">
        <v>873</v>
      </c>
      <c r="E7359" s="16" t="s">
        <v>9480</v>
      </c>
      <c r="F7359" s="27" t="s">
        <v>15554</v>
      </c>
      <c r="G7359" s="27"/>
      <c r="H7359" s="16" t="str">
        <f>IF(ISBLANK(PARTIDAS!$G7359),PARTIDAS!$F7359,CONCATENATE(PARTIDAS!$F7359," (",PARTIDAS!$G7359,")"))</f>
        <v>Escobillas</v>
      </c>
      <c r="I7359" s="16" t="s">
        <v>9427</v>
      </c>
    </row>
    <row r="7360" spans="1:9" x14ac:dyDescent="0.25">
      <c r="A7360" s="16" t="s">
        <v>8254</v>
      </c>
      <c r="B7360" s="16" t="str">
        <f>TEXT(PARTIDA[[#This Row],[PARTIDA]],"0000000000")</f>
        <v>8545902000</v>
      </c>
      <c r="C7360" s="16" t="s">
        <v>860</v>
      </c>
      <c r="D7360" s="16" t="s">
        <v>873</v>
      </c>
      <c r="E7360" s="16" t="s">
        <v>9480</v>
      </c>
      <c r="F7360" s="27" t="s">
        <v>15555</v>
      </c>
      <c r="G7360" s="27"/>
      <c r="H7360" s="16" t="str">
        <f>IF(ISBLANK(PARTIDAS!$G7360),PARTIDAS!$F7360,CONCATENATE(PARTIDAS!$F7360," (",PARTIDAS!$G7360,")"))</f>
        <v>Carbones para pilas</v>
      </c>
      <c r="I7360" s="16" t="s">
        <v>9427</v>
      </c>
    </row>
    <row r="7361" spans="1:9" x14ac:dyDescent="0.25">
      <c r="A7361" s="16" t="s">
        <v>8255</v>
      </c>
      <c r="B7361" s="16" t="str">
        <f>TEXT(PARTIDA[[#This Row],[PARTIDA]],"0000000000")</f>
        <v>8545909000</v>
      </c>
      <c r="C7361" s="16" t="s">
        <v>860</v>
      </c>
      <c r="D7361" s="16" t="s">
        <v>873</v>
      </c>
      <c r="E7361" s="16" t="s">
        <v>9480</v>
      </c>
      <c r="F7361" s="27" t="s">
        <v>15556</v>
      </c>
      <c r="G7361" s="27"/>
      <c r="H7361" s="16" t="str">
        <f>IF(ISBLANK(PARTIDAS!$G7361),PARTIDAS!$F7361,CONCATENATE(PARTIDAS!$F7361," (",PARTIDAS!$G7361,")"))</f>
        <v>Electrodos y escobillas de carbón, carbón para lámparas o pilas y… (los demás)</v>
      </c>
      <c r="I7361" s="16" t="s">
        <v>9427</v>
      </c>
    </row>
    <row r="7362" spans="1:9" x14ac:dyDescent="0.25">
      <c r="A7362" s="16" t="s">
        <v>8256</v>
      </c>
      <c r="B7362" s="16" t="str">
        <f>TEXT(PARTIDA[[#This Row],[PARTIDA]],"0000000000")</f>
        <v>8546100000</v>
      </c>
      <c r="C7362" s="16" t="s">
        <v>860</v>
      </c>
      <c r="D7362" s="16" t="s">
        <v>873</v>
      </c>
      <c r="E7362" s="16" t="s">
        <v>9478</v>
      </c>
      <c r="F7362" s="27" t="s">
        <v>15557</v>
      </c>
      <c r="G7362" s="27"/>
      <c r="H7362" s="16" t="str">
        <f>IF(ISBLANK(PARTIDAS!$G7362),PARTIDAS!$F7362,CONCATENATE(PARTIDAS!$F7362," (",PARTIDAS!$G7362,")"))</f>
        <v>Aisladores eléctricos de cualquier materia, de vidrio</v>
      </c>
      <c r="I7362" s="16" t="s">
        <v>9427</v>
      </c>
    </row>
    <row r="7363" spans="1:9" x14ac:dyDescent="0.25">
      <c r="A7363" s="16" t="s">
        <v>8257</v>
      </c>
      <c r="B7363" s="16" t="str">
        <f>TEXT(PARTIDA[[#This Row],[PARTIDA]],"0000000000")</f>
        <v>8546200000</v>
      </c>
      <c r="C7363" s="16" t="s">
        <v>860</v>
      </c>
      <c r="D7363" s="16" t="s">
        <v>873</v>
      </c>
      <c r="E7363" s="16" t="s">
        <v>9478</v>
      </c>
      <c r="F7363" s="27" t="s">
        <v>15558</v>
      </c>
      <c r="G7363" s="27"/>
      <c r="H7363" s="16" t="str">
        <f>IF(ISBLANK(PARTIDAS!$G7363),PARTIDAS!$F7363,CONCATENATE(PARTIDAS!$F7363," (",PARTIDAS!$G7363,")"))</f>
        <v>Aisladores eléctricos de cualquier materia, de cerámica</v>
      </c>
      <c r="I7363" s="16" t="s">
        <v>9427</v>
      </c>
    </row>
    <row r="7364" spans="1:9" x14ac:dyDescent="0.25">
      <c r="A7364" s="16" t="s">
        <v>8258</v>
      </c>
      <c r="B7364" s="16" t="str">
        <f>TEXT(PARTIDA[[#This Row],[PARTIDA]],"0000000000")</f>
        <v>8546901000</v>
      </c>
      <c r="C7364" s="16" t="s">
        <v>860</v>
      </c>
      <c r="D7364" s="16" t="s">
        <v>873</v>
      </c>
      <c r="E7364" s="16" t="s">
        <v>9478</v>
      </c>
      <c r="F7364" s="27" t="s">
        <v>15559</v>
      </c>
      <c r="G7364" s="27"/>
      <c r="H7364" s="16" t="str">
        <f>IF(ISBLANK(PARTIDAS!$G7364),PARTIDAS!$F7364,CONCATENATE(PARTIDAS!$F7364," (",PARTIDAS!$G7364,")"))</f>
        <v>Aisladores eléctricos de cualquier materia, de silicona</v>
      </c>
      <c r="I7364" s="16" t="s">
        <v>9427</v>
      </c>
    </row>
    <row r="7365" spans="1:9" x14ac:dyDescent="0.25">
      <c r="A7365" s="16" t="s">
        <v>8259</v>
      </c>
      <c r="B7365" s="16" t="str">
        <f>TEXT(PARTIDA[[#This Row],[PARTIDA]],"0000000000")</f>
        <v>8546909000</v>
      </c>
      <c r="C7365" s="16" t="s">
        <v>860</v>
      </c>
      <c r="D7365" s="16" t="s">
        <v>873</v>
      </c>
      <c r="E7365" s="16" t="s">
        <v>9478</v>
      </c>
      <c r="F7365" s="27" t="s">
        <v>15560</v>
      </c>
      <c r="G7365" s="27"/>
      <c r="H7365" s="16" t="str">
        <f>IF(ISBLANK(PARTIDAS!$G7365),PARTIDAS!$F7365,CONCATENATE(PARTIDAS!$F7365," (",PARTIDAS!$G7365,")"))</f>
        <v>Aisladores eléctricos de cualquier materia (los demás)</v>
      </c>
      <c r="I7365" s="16" t="s">
        <v>9427</v>
      </c>
    </row>
    <row r="7366" spans="1:9" x14ac:dyDescent="0.25">
      <c r="A7366" s="16" t="s">
        <v>8260</v>
      </c>
      <c r="B7366" s="16" t="str">
        <f>TEXT(PARTIDA[[#This Row],[PARTIDA]],"0000000000")</f>
        <v>8547101000</v>
      </c>
      <c r="C7366" s="16" t="s">
        <v>860</v>
      </c>
      <c r="D7366" s="16" t="s">
        <v>873</v>
      </c>
      <c r="E7366" s="16" t="s">
        <v>9478</v>
      </c>
      <c r="F7366" s="27" t="s">
        <v>15561</v>
      </c>
      <c r="G7366" s="27"/>
      <c r="H7366" s="16" t="str">
        <f>IF(ISBLANK(PARTIDAS!$G7366),PARTIDAS!$F7366,CONCATENATE(PARTIDAS!$F7366," (",PARTIDAS!$G7366,")"))</f>
        <v>Cuerpos de bujías</v>
      </c>
      <c r="I7366" s="16" t="s">
        <v>9427</v>
      </c>
    </row>
    <row r="7367" spans="1:9" x14ac:dyDescent="0.25">
      <c r="A7367" s="16" t="s">
        <v>8261</v>
      </c>
      <c r="B7367" s="16" t="str">
        <f>TEXT(PARTIDA[[#This Row],[PARTIDA]],"0000000000")</f>
        <v>8547109000</v>
      </c>
      <c r="C7367" s="16" t="s">
        <v>860</v>
      </c>
      <c r="D7367" s="16" t="s">
        <v>873</v>
      </c>
      <c r="E7367" s="16" t="s">
        <v>9478</v>
      </c>
      <c r="F7367" s="27" t="s">
        <v>15562</v>
      </c>
      <c r="G7367" s="27"/>
      <c r="H7367" s="16" t="str">
        <f>IF(ISBLANK(PARTIDAS!$G7367),PARTIDAS!$F7367,CONCATENATE(PARTIDAS!$F7367," (",PARTIDAS!$G7367,")"))</f>
        <v>Piezas aislantes de cerámica (los demás)</v>
      </c>
      <c r="I7367" s="16" t="s">
        <v>9427</v>
      </c>
    </row>
    <row r="7368" spans="1:9" x14ac:dyDescent="0.25">
      <c r="A7368" s="16" t="s">
        <v>8262</v>
      </c>
      <c r="B7368" s="16" t="str">
        <f>TEXT(PARTIDA[[#This Row],[PARTIDA]],"0000000000")</f>
        <v>8547200000</v>
      </c>
      <c r="C7368" s="16" t="s">
        <v>860</v>
      </c>
      <c r="D7368" s="16" t="s">
        <v>873</v>
      </c>
      <c r="E7368" s="16" t="s">
        <v>9478</v>
      </c>
      <c r="F7368" s="27" t="s">
        <v>15563</v>
      </c>
      <c r="G7368" s="27"/>
      <c r="H7368" s="16" t="str">
        <f>IF(ISBLANK(PARTIDAS!$G7368),PARTIDAS!$F7368,CONCATENATE(PARTIDAS!$F7368," (",PARTIDAS!$G7368,")"))</f>
        <v>Piezas aislantes de plástico</v>
      </c>
      <c r="I7368" s="16" t="s">
        <v>9427</v>
      </c>
    </row>
    <row r="7369" spans="1:9" x14ac:dyDescent="0.25">
      <c r="A7369" s="16" t="s">
        <v>8263</v>
      </c>
      <c r="B7369" s="16" t="str">
        <f>TEXT(PARTIDA[[#This Row],[PARTIDA]],"0000000000")</f>
        <v>8547901000</v>
      </c>
      <c r="C7369" s="16" t="s">
        <v>860</v>
      </c>
      <c r="D7369" s="16" t="s">
        <v>873</v>
      </c>
      <c r="E7369" s="16" t="s">
        <v>9478</v>
      </c>
      <c r="F7369" s="27" t="s">
        <v>15564</v>
      </c>
      <c r="G7369" s="27"/>
      <c r="H7369" s="16" t="str">
        <f>IF(ISBLANK(PARTIDAS!$G7369),PARTIDAS!$F7369,CONCATENATE(PARTIDAS!$F7369," (",PARTIDAS!$G7369,")"))</f>
        <v>Tubos y sus piezas de unión, de metales comunes, aislados interiormente</v>
      </c>
      <c r="I7369" s="16" t="s">
        <v>9427</v>
      </c>
    </row>
    <row r="7370" spans="1:9" x14ac:dyDescent="0.25">
      <c r="A7370" s="16" t="s">
        <v>8264</v>
      </c>
      <c r="B7370" s="16" t="str">
        <f>TEXT(PARTIDA[[#This Row],[PARTIDA]],"0000000000")</f>
        <v>8547909000</v>
      </c>
      <c r="C7370" s="16" t="s">
        <v>860</v>
      </c>
      <c r="D7370" s="16" t="s">
        <v>873</v>
      </c>
      <c r="E7370" s="16" t="s">
        <v>9478</v>
      </c>
      <c r="F7370" s="27" t="s">
        <v>15565</v>
      </c>
      <c r="G7370" s="27"/>
      <c r="H7370" s="16" t="str">
        <f>IF(ISBLANK(PARTIDAS!$G7370),PARTIDAS!$F7370,CONCATENATE(PARTIDAS!$F7370," (",PARTIDAS!$G7370,")"))</f>
        <v>Piezas aislantes totalmente de materia aislante o con simples piezas… (los demás)</v>
      </c>
      <c r="I7370" s="16" t="s">
        <v>9427</v>
      </c>
    </row>
    <row r="7371" spans="1:9" x14ac:dyDescent="0.25">
      <c r="A7371" s="16" t="s">
        <v>15566</v>
      </c>
      <c r="B7371" s="16" t="str">
        <f>TEXT(PARTIDA[[#This Row],[PARTIDA]],"0000000000")</f>
        <v>8548000000</v>
      </c>
      <c r="C7371" s="16" t="s">
        <v>860</v>
      </c>
      <c r="D7371" s="16" t="s">
        <v>873</v>
      </c>
      <c r="E7371" s="16" t="s">
        <v>9478</v>
      </c>
      <c r="F7371" s="27" t="s">
        <v>15567</v>
      </c>
      <c r="G7371" s="27"/>
      <c r="H7371" s="16" t="str">
        <f>IF(ISBLANK(PARTIDAS!$G7371),PARTIDAS!$F7371,CONCATENATE(PARTIDAS!$F7371," (",PARTIDAS!$G7371,")"))</f>
        <v>Piezas aislantes totalmente de materia aislante o con simples piezas…, partes eléctricas de máquinas o aparatos, no expresadas ni comprendidas en otra</v>
      </c>
      <c r="I7371" s="16" t="s">
        <v>9427</v>
      </c>
    </row>
    <row r="7372" spans="1:9" x14ac:dyDescent="0.25">
      <c r="A7372" s="16" t="s">
        <v>8265</v>
      </c>
      <c r="B7372" s="16" t="str">
        <f>TEXT(PARTIDA[[#This Row],[PARTIDA]],"0000000000")</f>
        <v>8548100000</v>
      </c>
      <c r="C7372" s="16" t="s">
        <v>860</v>
      </c>
      <c r="D7372" s="16" t="s">
        <v>873</v>
      </c>
      <c r="E7372" s="16" t="s">
        <v>9478</v>
      </c>
      <c r="F7372" s="27" t="s">
        <v>15568</v>
      </c>
      <c r="G7372" s="27"/>
      <c r="H7372" s="16" t="str">
        <f>IF(ISBLANK(PARTIDAS!$G7372),PARTIDAS!$F7372,CONCATENATE(PARTIDAS!$F7372," (",PARTIDAS!$G7372,")"))</f>
        <v>Desperdicios y desechos de pilas, baterías de pilas o acumuladores, eléctricos; pilas, baterías de pilas y acumuladores, eléctricos, inservibles</v>
      </c>
      <c r="I7372" s="16" t="s">
        <v>9648</v>
      </c>
    </row>
    <row r="7373" spans="1:9" x14ac:dyDescent="0.25">
      <c r="A7373" s="16" t="s">
        <v>8266</v>
      </c>
      <c r="B7373" s="16" t="str">
        <f>TEXT(PARTIDA[[#This Row],[PARTIDA]],"0000000000")</f>
        <v>8548900000</v>
      </c>
      <c r="C7373" s="16" t="s">
        <v>860</v>
      </c>
      <c r="D7373" s="16" t="s">
        <v>873</v>
      </c>
      <c r="E7373" s="16" t="s">
        <v>9478</v>
      </c>
      <c r="F7373" s="27" t="s">
        <v>15569</v>
      </c>
      <c r="G7373" s="27"/>
      <c r="H7373" s="16" t="str">
        <f>IF(ISBLANK(PARTIDAS!$G7373),PARTIDAS!$F7373,CONCATENATE(PARTIDAS!$F7373," (",PARTIDAS!$G7373,")"))</f>
        <v>Piezas aislantes totalmente de materia aislante o con simples piezas m (los demás)</v>
      </c>
      <c r="I7373" s="16" t="s">
        <v>9648</v>
      </c>
    </row>
    <row r="7374" spans="1:9" x14ac:dyDescent="0.25">
      <c r="A7374" s="16" t="s">
        <v>15570</v>
      </c>
      <c r="B7374" s="16" t="str">
        <f>TEXT(PARTIDA[[#This Row],[PARTIDA]],"0000000000")</f>
        <v>8549110000</v>
      </c>
      <c r="C7374" s="16" t="s">
        <v>860</v>
      </c>
      <c r="D7374" s="16" t="s">
        <v>873</v>
      </c>
      <c r="E7374" s="16" t="s">
        <v>9480</v>
      </c>
      <c r="F7374" s="27" t="s">
        <v>15571</v>
      </c>
      <c r="G7374" s="27"/>
      <c r="H7374" s="16" t="str">
        <f>IF(ISBLANK(PARTIDAS!$G7374),PARTIDAS!$F7374,CONCATENATE(PARTIDAS!$F7374," (",PARTIDAS!$G7374,")"))</f>
        <v>Desperdicios y desechos de acumuladores de plomo y ácido; acumuladores de plomo y ácido inservibles</v>
      </c>
      <c r="I7374" s="16" t="s">
        <v>9427</v>
      </c>
    </row>
    <row r="7375" spans="1:9" x14ac:dyDescent="0.25">
      <c r="A7375" s="16" t="s">
        <v>15572</v>
      </c>
      <c r="B7375" s="16" t="str">
        <f>TEXT(PARTIDA[[#This Row],[PARTIDA]],"0000000000")</f>
        <v>8549120000</v>
      </c>
      <c r="C7375" s="16" t="s">
        <v>860</v>
      </c>
      <c r="D7375" s="16" t="s">
        <v>873</v>
      </c>
      <c r="E7375" s="16" t="s">
        <v>9480</v>
      </c>
      <c r="F7375" s="27" t="s">
        <v>15573</v>
      </c>
      <c r="G7375" s="27"/>
      <c r="H7375" s="16" t="str">
        <f>IF(ISBLANK(PARTIDAS!$G7375),PARTIDAS!$F7375,CONCATENATE(PARTIDAS!$F7375," (",PARTIDAS!$G7375,")"))</f>
        <v>Desperdicios y desechos, de pilas, baterías de pilas o acumuladores… (los demás, que contengan plomo, cadmio o mercurio)</v>
      </c>
      <c r="I7375" s="16" t="s">
        <v>9427</v>
      </c>
    </row>
    <row r="7376" spans="1:9" x14ac:dyDescent="0.25">
      <c r="A7376" s="16" t="s">
        <v>15574</v>
      </c>
      <c r="B7376" s="16" t="str">
        <f>TEXT(PARTIDA[[#This Row],[PARTIDA]],"0000000000")</f>
        <v>8549130000</v>
      </c>
      <c r="C7376" s="16" t="s">
        <v>860</v>
      </c>
      <c r="D7376" s="16" t="s">
        <v>873</v>
      </c>
      <c r="E7376" s="16" t="s">
        <v>9480</v>
      </c>
      <c r="F7376" s="27" t="s">
        <v>15575</v>
      </c>
      <c r="G7376" s="27"/>
      <c r="H7376" s="16" t="str">
        <f>IF(ISBLANK(PARTIDAS!$G7376),PARTIDAS!$F7376,CONCATENATE(PARTIDAS!$F7376," (",PARTIDAS!$G7376,")"))</f>
        <v>Clasificados por tipo de componente químico, que no contengan plomo, cadmio o mercurio</v>
      </c>
      <c r="I7376" s="16" t="s">
        <v>9427</v>
      </c>
    </row>
    <row r="7377" spans="1:9" x14ac:dyDescent="0.25">
      <c r="A7377" s="16" t="s">
        <v>15576</v>
      </c>
      <c r="B7377" s="16" t="str">
        <f>TEXT(PARTIDA[[#This Row],[PARTIDA]],"0000000000")</f>
        <v>8549140000</v>
      </c>
      <c r="C7377" s="16" t="s">
        <v>860</v>
      </c>
      <c r="D7377" s="16" t="s">
        <v>873</v>
      </c>
      <c r="E7377" s="16" t="s">
        <v>9480</v>
      </c>
      <c r="F7377" s="27" t="s">
        <v>15577</v>
      </c>
      <c r="G7377" s="27"/>
      <c r="H7377" s="16" t="str">
        <f>IF(ISBLANK(PARTIDAS!$G7377),PARTIDAS!$F7377,CONCATENATE(PARTIDAS!$F7377," (",PARTIDAS!$G7377,")"))</f>
        <v>Desperdicios y desechos, de pilas, baterías de pilas o acumuladores…, sin clasificar, que no contengan plomo, cadmio o mercurio</v>
      </c>
      <c r="I7377" s="16" t="s">
        <v>9427</v>
      </c>
    </row>
    <row r="7378" spans="1:9" x14ac:dyDescent="0.25">
      <c r="A7378" s="16" t="s">
        <v>15578</v>
      </c>
      <c r="B7378" s="16" t="str">
        <f>TEXT(PARTIDA[[#This Row],[PARTIDA]],"0000000000")</f>
        <v>8549190000</v>
      </c>
      <c r="C7378" s="16" t="s">
        <v>860</v>
      </c>
      <c r="D7378" s="16" t="s">
        <v>873</v>
      </c>
      <c r="E7378" s="16" t="s">
        <v>9480</v>
      </c>
      <c r="F7378" s="27" t="s">
        <v>15579</v>
      </c>
      <c r="G7378" s="27"/>
      <c r="H7378" s="16" t="str">
        <f>IF(ISBLANK(PARTIDAS!$G7378),PARTIDAS!$F7378,CONCATENATE(PARTIDAS!$F7378," (",PARTIDAS!$G7378,")"))</f>
        <v>Desperdicios y desechos, de pilas, baterías de pilas o acumuladores… (los demás)</v>
      </c>
      <c r="I7378" s="16" t="s">
        <v>9427</v>
      </c>
    </row>
    <row r="7379" spans="1:9" x14ac:dyDescent="0.25">
      <c r="A7379" s="16" t="s">
        <v>15580</v>
      </c>
      <c r="B7379" s="16" t="str">
        <f>TEXT(PARTIDA[[#This Row],[PARTIDA]],"0000000000")</f>
        <v>8549210000</v>
      </c>
      <c r="C7379" s="16" t="s">
        <v>860</v>
      </c>
      <c r="D7379" s="16" t="s">
        <v>873</v>
      </c>
      <c r="E7379" s="16" t="s">
        <v>9480</v>
      </c>
      <c r="F7379" s="27" t="s">
        <v>15581</v>
      </c>
      <c r="G7379" s="27"/>
      <c r="H7379" s="16" t="str">
        <f>IF(ISBLANK(PARTIDAS!$G7379),PARTIDAS!$F7379,CONCATENATE(PARTIDAS!$F7379," (",PARTIDAS!$G7379,")"))</f>
        <v xml:space="preserve">Desperdicios y desechos, eléctricos y electrónicos, de los tipos utilizados principalmente para la recuperación de…, que contengan pilas, baterías de </v>
      </c>
      <c r="I7379" s="16" t="s">
        <v>9427</v>
      </c>
    </row>
    <row r="7380" spans="1:9" x14ac:dyDescent="0.25">
      <c r="A7380" s="16" t="s">
        <v>15582</v>
      </c>
      <c r="B7380" s="16" t="str">
        <f>TEXT(PARTIDA[[#This Row],[PARTIDA]],"0000000000")</f>
        <v>8549290000</v>
      </c>
      <c r="C7380" s="16" t="s">
        <v>860</v>
      </c>
      <c r="D7380" s="16" t="s">
        <v>873</v>
      </c>
      <c r="E7380" s="16" t="s">
        <v>9480</v>
      </c>
      <c r="F7380" s="27" t="s">
        <v>15583</v>
      </c>
      <c r="G7380" s="27"/>
      <c r="H7380" s="16" t="str">
        <f>IF(ISBLANK(PARTIDAS!$G7380),PARTIDAS!$F7380,CONCATENATE(PARTIDAS!$F7380," (",PARTIDAS!$G7380,")"))</f>
        <v>Desperdicios y desechos, eléctricos y electrónicos, de los tipos utilizados principalmente para la recuperación de… (los demás)</v>
      </c>
      <c r="I7380" s="16" t="s">
        <v>9427</v>
      </c>
    </row>
    <row r="7381" spans="1:9" x14ac:dyDescent="0.25">
      <c r="A7381" s="16" t="s">
        <v>15584</v>
      </c>
      <c r="B7381" s="16" t="str">
        <f>TEXT(PARTIDA[[#This Row],[PARTIDA]],"0000000000")</f>
        <v>8549310000</v>
      </c>
      <c r="C7381" s="16" t="s">
        <v>860</v>
      </c>
      <c r="D7381" s="16" t="s">
        <v>873</v>
      </c>
      <c r="E7381" s="16" t="s">
        <v>9480</v>
      </c>
      <c r="F7381" s="27" t="s">
        <v>15585</v>
      </c>
      <c r="G7381" s="27"/>
      <c r="H7381" s="16" t="str">
        <f>IF(ISBLANK(PARTIDAS!$G7381),PARTIDAS!$F7381,CONCATENATE(PARTIDAS!$F7381," (",PARTIDAS!$G7381,")"))</f>
        <v>Desperdicios y desechos, eléctricos y electrónicos, que contengan pilas, baterías de pilas, acumuladores eléctricos, interruptores de mercurio, vidrio</v>
      </c>
      <c r="I7381" s="16" t="s">
        <v>9427</v>
      </c>
    </row>
    <row r="7382" spans="1:9" x14ac:dyDescent="0.25">
      <c r="A7382" s="16" t="s">
        <v>15586</v>
      </c>
      <c r="B7382" s="16" t="str">
        <f>TEXT(PARTIDA[[#This Row],[PARTIDA]],"0000000000")</f>
        <v>8549390000</v>
      </c>
      <c r="C7382" s="16" t="s">
        <v>860</v>
      </c>
      <c r="D7382" s="16" t="s">
        <v>873</v>
      </c>
      <c r="E7382" s="16" t="s">
        <v>9480</v>
      </c>
      <c r="F7382" s="27" t="s">
        <v>15587</v>
      </c>
      <c r="G7382" s="27"/>
      <c r="H7382" s="16" t="str">
        <f>IF(ISBLANK(PARTIDAS!$G7382),PARTIDAS!$F7382,CONCATENATE(PARTIDAS!$F7382," (",PARTIDAS!$G7382,")"))</f>
        <v>Desperdicios y desechos, eléctricos y electrónicos (los demás)</v>
      </c>
      <c r="I7382" s="16" t="s">
        <v>9427</v>
      </c>
    </row>
    <row r="7383" spans="1:9" x14ac:dyDescent="0.25">
      <c r="A7383" s="16" t="s">
        <v>15588</v>
      </c>
      <c r="B7383" s="16" t="str">
        <f>TEXT(PARTIDA[[#This Row],[PARTIDA]],"0000000000")</f>
        <v>8549910000</v>
      </c>
      <c r="C7383" s="16" t="s">
        <v>860</v>
      </c>
      <c r="D7383" s="16" t="s">
        <v>873</v>
      </c>
      <c r="E7383" s="16" t="s">
        <v>9480</v>
      </c>
      <c r="F7383" s="27" t="s">
        <v>15585</v>
      </c>
      <c r="G7383" s="27"/>
      <c r="H7383" s="16" t="str">
        <f>IF(ISBLANK(PARTIDAS!$G7383),PARTIDAS!$F7383,CONCATENATE(PARTIDAS!$F7383," (",PARTIDAS!$G7383,")"))</f>
        <v>Desperdicios y desechos, eléctricos y electrónicos, que contengan pilas, baterías de pilas, acumuladores eléctricos, interruptores de mercurio, vidrio</v>
      </c>
      <c r="I7383" s="16" t="s">
        <v>9427</v>
      </c>
    </row>
    <row r="7384" spans="1:9" x14ac:dyDescent="0.25">
      <c r="A7384" s="16" t="s">
        <v>15589</v>
      </c>
      <c r="B7384" s="16" t="str">
        <f>TEXT(PARTIDA[[#This Row],[PARTIDA]],"0000000000")</f>
        <v>8549990000</v>
      </c>
      <c r="C7384" s="16" t="s">
        <v>860</v>
      </c>
      <c r="D7384" s="16" t="s">
        <v>873</v>
      </c>
      <c r="E7384" s="16" t="s">
        <v>9480</v>
      </c>
      <c r="F7384" s="27" t="s">
        <v>15587</v>
      </c>
      <c r="G7384" s="27"/>
      <c r="H7384" s="16" t="str">
        <f>IF(ISBLANK(PARTIDAS!$G7384),PARTIDAS!$F7384,CONCATENATE(PARTIDAS!$F7384," (",PARTIDAS!$G7384,")"))</f>
        <v>Desperdicios y desechos, eléctricos y electrónicos (los demás)</v>
      </c>
      <c r="I7384" s="16" t="s">
        <v>9427</v>
      </c>
    </row>
    <row r="7385" spans="1:9" x14ac:dyDescent="0.25">
      <c r="A7385" s="16" t="s">
        <v>8267</v>
      </c>
      <c r="B7385" s="16" t="str">
        <f>TEXT(PARTIDA[[#This Row],[PARTIDA]],"0000000000")</f>
        <v>8601100000</v>
      </c>
      <c r="C7385" s="16" t="s">
        <v>860</v>
      </c>
      <c r="D7385" s="16" t="s">
        <v>881</v>
      </c>
      <c r="E7385" s="16" t="s">
        <v>9484</v>
      </c>
      <c r="F7385" s="27" t="s">
        <v>15590</v>
      </c>
      <c r="G7385" s="27"/>
      <c r="H7385" s="16" t="str">
        <f>IF(ISBLANK(PARTIDAS!$G7385),PARTIDAS!$F7385,CONCATENATE(PARTIDAS!$F7385," (",PARTIDAS!$G7385,")"))</f>
        <v>Locomotoras y locotractores, de fuente externa de electricidad o…, de fuente externa de electricidad</v>
      </c>
      <c r="I7385" s="16" t="s">
        <v>9427</v>
      </c>
    </row>
    <row r="7386" spans="1:9" x14ac:dyDescent="0.25">
      <c r="A7386" s="16" t="s">
        <v>8268</v>
      </c>
      <c r="B7386" s="16" t="str">
        <f>TEXT(PARTIDA[[#This Row],[PARTIDA]],"0000000000")</f>
        <v>8601200000</v>
      </c>
      <c r="C7386" s="16" t="s">
        <v>860</v>
      </c>
      <c r="D7386" s="16" t="s">
        <v>881</v>
      </c>
      <c r="E7386" s="16" t="s">
        <v>9484</v>
      </c>
      <c r="F7386" s="27" t="s">
        <v>15591</v>
      </c>
      <c r="G7386" s="27"/>
      <c r="H7386" s="16" t="str">
        <f>IF(ISBLANK(PARTIDAS!$G7386),PARTIDAS!$F7386,CONCATENATE(PARTIDAS!$F7386," (",PARTIDAS!$G7386,")"))</f>
        <v>Locomotoras y locotractores, de fuente externa de electricidad o…, de acumuladores eléctricos</v>
      </c>
      <c r="I7386" s="16" t="s">
        <v>9427</v>
      </c>
    </row>
    <row r="7387" spans="1:9" x14ac:dyDescent="0.25">
      <c r="A7387" s="16" t="s">
        <v>8269</v>
      </c>
      <c r="B7387" s="16" t="str">
        <f>TEXT(PARTIDA[[#This Row],[PARTIDA]],"0000000000")</f>
        <v>8602100000</v>
      </c>
      <c r="C7387" s="16" t="s">
        <v>860</v>
      </c>
      <c r="D7387" s="16" t="s">
        <v>881</v>
      </c>
      <c r="E7387" s="16" t="s">
        <v>9484</v>
      </c>
      <c r="F7387" s="27" t="s">
        <v>15592</v>
      </c>
      <c r="G7387" s="27"/>
      <c r="H7387" s="16" t="str">
        <f>IF(ISBLANK(PARTIDAS!$G7387),PARTIDAS!$F7387,CONCATENATE(PARTIDAS!$F7387," (",PARTIDAS!$G7387,")"))</f>
        <v>Locomotoras diésel-eléctricas</v>
      </c>
      <c r="I7387" s="16" t="s">
        <v>9427</v>
      </c>
    </row>
    <row r="7388" spans="1:9" x14ac:dyDescent="0.25">
      <c r="A7388" s="16" t="s">
        <v>8270</v>
      </c>
      <c r="B7388" s="16" t="str">
        <f>TEXT(PARTIDA[[#This Row],[PARTIDA]],"0000000000")</f>
        <v>8602900000</v>
      </c>
      <c r="C7388" s="16" t="s">
        <v>860</v>
      </c>
      <c r="D7388" s="16" t="s">
        <v>881</v>
      </c>
      <c r="E7388" s="16" t="s">
        <v>9484</v>
      </c>
      <c r="F7388" s="27" t="s">
        <v>15593</v>
      </c>
      <c r="G7388" s="27"/>
      <c r="H7388" s="16" t="str">
        <f>IF(ISBLANK(PARTIDAS!$G7388),PARTIDAS!$F7388,CONCATENATE(PARTIDAS!$F7388," (",PARTIDAS!$G7388,")"))</f>
        <v>Vehículos y material para vías férreas o similares, y sus partes (los demás)</v>
      </c>
      <c r="I7388" s="16" t="s">
        <v>9427</v>
      </c>
    </row>
    <row r="7389" spans="1:9" x14ac:dyDescent="0.25">
      <c r="A7389" s="16" t="s">
        <v>8271</v>
      </c>
      <c r="B7389" s="16" t="str">
        <f>TEXT(PARTIDA[[#This Row],[PARTIDA]],"0000000000")</f>
        <v>8603100000</v>
      </c>
      <c r="C7389" s="16" t="s">
        <v>860</v>
      </c>
      <c r="D7389" s="16" t="s">
        <v>881</v>
      </c>
      <c r="E7389" s="16" t="s">
        <v>9484</v>
      </c>
      <c r="F7389" s="27" t="s">
        <v>15594</v>
      </c>
      <c r="G7389" s="27"/>
      <c r="H7389" s="16" t="str">
        <f>IF(ISBLANK(PARTIDAS!$G7389),PARTIDAS!$F7389,CONCATENATE(PARTIDAS!$F7389," (",PARTIDAS!$G7389,")"))</f>
        <v>Automotores para vías férreas y tranvías autopropulsados, de fuente externa de electricidad</v>
      </c>
      <c r="I7389" s="16" t="s">
        <v>9427</v>
      </c>
    </row>
    <row r="7390" spans="1:9" x14ac:dyDescent="0.25">
      <c r="A7390" s="16" t="s">
        <v>8272</v>
      </c>
      <c r="B7390" s="16" t="str">
        <f>TEXT(PARTIDA[[#This Row],[PARTIDA]],"0000000000")</f>
        <v>8603900000</v>
      </c>
      <c r="C7390" s="16" t="s">
        <v>860</v>
      </c>
      <c r="D7390" s="16" t="s">
        <v>881</v>
      </c>
      <c r="E7390" s="16" t="s">
        <v>9484</v>
      </c>
      <c r="F7390" s="27" t="s">
        <v>15595</v>
      </c>
      <c r="G7390" s="27"/>
      <c r="H7390" s="16" t="str">
        <f>IF(ISBLANK(PARTIDAS!$G7390),PARTIDAS!$F7390,CONCATENATE(PARTIDAS!$F7390," (",PARTIDAS!$G7390,")"))</f>
        <v>Automotores para vías férreas y tranvías autopropulsados (los demás)</v>
      </c>
      <c r="I7390" s="16" t="s">
        <v>9427</v>
      </c>
    </row>
    <row r="7391" spans="1:9" x14ac:dyDescent="0.25">
      <c r="A7391" s="16" t="s">
        <v>8273</v>
      </c>
      <c r="B7391" s="16" t="str">
        <f>TEXT(PARTIDA[[#This Row],[PARTIDA]],"0000000000")</f>
        <v>8604001000</v>
      </c>
      <c r="C7391" s="16" t="s">
        <v>860</v>
      </c>
      <c r="D7391" s="16" t="s">
        <v>881</v>
      </c>
      <c r="E7391" s="16" t="s">
        <v>9484</v>
      </c>
      <c r="F7391" s="27" t="s">
        <v>15596</v>
      </c>
      <c r="G7391" s="27"/>
      <c r="H7391" s="16" t="str">
        <f>IF(ISBLANK(PARTIDAS!$G7391),PARTIDAS!$F7391,CONCATENATE(PARTIDAS!$F7391," (",PARTIDAS!$G7391,")"))</f>
        <v>Autopropulsados</v>
      </c>
      <c r="I7391" s="16" t="s">
        <v>9427</v>
      </c>
    </row>
    <row r="7392" spans="1:9" x14ac:dyDescent="0.25">
      <c r="A7392" s="16" t="s">
        <v>8274</v>
      </c>
      <c r="B7392" s="16" t="str">
        <f>TEXT(PARTIDA[[#This Row],[PARTIDA]],"0000000000")</f>
        <v>8604009000</v>
      </c>
      <c r="C7392" s="16" t="s">
        <v>860</v>
      </c>
      <c r="D7392" s="16" t="s">
        <v>881</v>
      </c>
      <c r="E7392" s="16" t="s">
        <v>9484</v>
      </c>
      <c r="F7392" s="27" t="s">
        <v>15595</v>
      </c>
      <c r="G7392" s="27"/>
      <c r="H7392" s="16" t="str">
        <f>IF(ISBLANK(PARTIDAS!$G7392),PARTIDAS!$F7392,CONCATENATE(PARTIDAS!$F7392," (",PARTIDAS!$G7392,")"))</f>
        <v>Automotores para vías férreas y tranvías autopropulsados (los demás)</v>
      </c>
      <c r="I7392" s="16" t="s">
        <v>9427</v>
      </c>
    </row>
    <row r="7393" spans="1:9" x14ac:dyDescent="0.25">
      <c r="A7393" s="16" t="s">
        <v>8275</v>
      </c>
      <c r="B7393" s="16" t="str">
        <f>TEXT(PARTIDA[[#This Row],[PARTIDA]],"0000000000")</f>
        <v>8605000000</v>
      </c>
      <c r="C7393" s="16" t="s">
        <v>860</v>
      </c>
      <c r="D7393" s="16" t="s">
        <v>881</v>
      </c>
      <c r="E7393" s="16" t="s">
        <v>9484</v>
      </c>
      <c r="F7393" s="27" t="s">
        <v>8276</v>
      </c>
      <c r="G7393" s="27"/>
      <c r="H7393" s="16" t="str">
        <f>IF(ISBLANK(PARTIDAS!$G7393),PARTIDAS!$F7393,CONCATENATE(PARTIDAS!$F7393," (",PARTIDAS!$G7393,")"))</f>
        <v>Coches de viajeros, furgones de equipajes,
coches correo y demás coches especiales, para
vías férreas o similares (excepto los coches de la
partida 86.04).</v>
      </c>
      <c r="I7393" s="16" t="s">
        <v>9427</v>
      </c>
    </row>
    <row r="7394" spans="1:9" x14ac:dyDescent="0.25">
      <c r="A7394" s="16" t="s">
        <v>8277</v>
      </c>
      <c r="B7394" s="16" t="str">
        <f>TEXT(PARTIDA[[#This Row],[PARTIDA]],"0000000000")</f>
        <v>8606100000</v>
      </c>
      <c r="C7394" s="16" t="s">
        <v>860</v>
      </c>
      <c r="D7394" s="16" t="s">
        <v>881</v>
      </c>
      <c r="E7394" s="16" t="s">
        <v>9484</v>
      </c>
      <c r="F7394" s="27" t="s">
        <v>15597</v>
      </c>
      <c r="G7394" s="27"/>
      <c r="H7394" s="16" t="str">
        <f>IF(ISBLANK(PARTIDAS!$G7394),PARTIDAS!$F7394,CONCATENATE(PARTIDAS!$F7394," (",PARTIDAS!$G7394,")"))</f>
        <v>Vagones cisterna y similares</v>
      </c>
      <c r="I7394" s="16" t="s">
        <v>9427</v>
      </c>
    </row>
    <row r="7395" spans="1:9" x14ac:dyDescent="0.25">
      <c r="A7395" s="16" t="s">
        <v>8278</v>
      </c>
      <c r="B7395" s="16" t="str">
        <f>TEXT(PARTIDA[[#This Row],[PARTIDA]],"0000000000")</f>
        <v>8606300000</v>
      </c>
      <c r="C7395" s="16" t="s">
        <v>860</v>
      </c>
      <c r="D7395" s="16" t="s">
        <v>881</v>
      </c>
      <c r="E7395" s="16" t="s">
        <v>9484</v>
      </c>
      <c r="F7395" s="27" t="s">
        <v>15598</v>
      </c>
      <c r="G7395" s="27"/>
      <c r="H7395" s="16" t="str">
        <f>IF(ISBLANK(PARTIDAS!$G7395),PARTIDAS!$F7395,CONCATENATE(PARTIDAS!$F7395," (",PARTIDAS!$G7395,")"))</f>
        <v>Vagones de descarga automática, excepto los de la subpartida 8606.10</v>
      </c>
      <c r="I7395" s="16" t="s">
        <v>9427</v>
      </c>
    </row>
    <row r="7396" spans="1:9" x14ac:dyDescent="0.25">
      <c r="A7396" s="16" t="s">
        <v>8279</v>
      </c>
      <c r="B7396" s="16" t="str">
        <f>TEXT(PARTIDA[[#This Row],[PARTIDA]],"0000000000")</f>
        <v>8606910000</v>
      </c>
      <c r="C7396" s="16" t="s">
        <v>860</v>
      </c>
      <c r="D7396" s="16" t="s">
        <v>881</v>
      </c>
      <c r="E7396" s="16" t="s">
        <v>9484</v>
      </c>
      <c r="F7396" s="27" t="s">
        <v>15599</v>
      </c>
      <c r="G7396" s="27"/>
      <c r="H7396" s="16" t="str">
        <f>IF(ISBLANK(PARTIDAS!$G7396),PARTIDAS!$F7396,CONCATENATE(PARTIDAS!$F7396," (",PARTIDAS!$G7396,")"))</f>
        <v>Cubiertos y cerrados</v>
      </c>
      <c r="I7396" s="16" t="s">
        <v>9427</v>
      </c>
    </row>
    <row r="7397" spans="1:9" x14ac:dyDescent="0.25">
      <c r="A7397" s="16" t="s">
        <v>8280</v>
      </c>
      <c r="B7397" s="16" t="str">
        <f>TEXT(PARTIDA[[#This Row],[PARTIDA]],"0000000000")</f>
        <v>8606920000</v>
      </c>
      <c r="C7397" s="16" t="s">
        <v>860</v>
      </c>
      <c r="D7397" s="16" t="s">
        <v>881</v>
      </c>
      <c r="E7397" s="16" t="s">
        <v>9484</v>
      </c>
      <c r="F7397" s="27" t="s">
        <v>15600</v>
      </c>
      <c r="G7397" s="27"/>
      <c r="H7397" s="16" t="str">
        <f>IF(ISBLANK(PARTIDAS!$G7397),PARTIDAS!$F7397,CONCATENATE(PARTIDAS!$F7397," (",PARTIDAS!$G7397,")"))</f>
        <v>Abiertos, con pared fija de altura superior a 60 cm</v>
      </c>
      <c r="I7397" s="16" t="s">
        <v>9427</v>
      </c>
    </row>
    <row r="7398" spans="1:9" x14ac:dyDescent="0.25">
      <c r="A7398" s="16" t="s">
        <v>8281</v>
      </c>
      <c r="B7398" s="16" t="str">
        <f>TEXT(PARTIDA[[#This Row],[PARTIDA]],"0000000000")</f>
        <v>8606990000</v>
      </c>
      <c r="C7398" s="16" t="s">
        <v>860</v>
      </c>
      <c r="D7398" s="16" t="s">
        <v>881</v>
      </c>
      <c r="E7398" s="16" t="s">
        <v>9484</v>
      </c>
      <c r="F7398" s="27" t="s">
        <v>15601</v>
      </c>
      <c r="G7398" s="27"/>
      <c r="H7398" s="16" t="str">
        <f>IF(ISBLANK(PARTIDAS!$G7398),PARTIDAS!$F7398,CONCATENATE(PARTIDAS!$F7398," (",PARTIDAS!$G7398,")"))</f>
        <v>Vagones para transporte de mercancías sobre carriles (rieles) (los demás)</v>
      </c>
      <c r="I7398" s="16" t="s">
        <v>9427</v>
      </c>
    </row>
    <row r="7399" spans="1:9" x14ac:dyDescent="0.25">
      <c r="A7399" s="16" t="s">
        <v>8282</v>
      </c>
      <c r="B7399" s="16" t="str">
        <f>TEXT(PARTIDA[[#This Row],[PARTIDA]],"0000000000")</f>
        <v>8607110000</v>
      </c>
      <c r="C7399" s="16" t="s">
        <v>860</v>
      </c>
      <c r="D7399" s="16" t="s">
        <v>881</v>
      </c>
      <c r="E7399" s="16" t="s">
        <v>9483</v>
      </c>
      <c r="F7399" s="27" t="s">
        <v>15602</v>
      </c>
      <c r="G7399" s="27"/>
      <c r="H7399" s="16" t="str">
        <f>IF(ISBLANK(PARTIDAS!$G7399),PARTIDAS!$F7399,CONCATENATE(PARTIDAS!$F7399," (",PARTIDAS!$G7399,")"))</f>
        <v>Bojes y «bissels», de tracción</v>
      </c>
      <c r="I7399" s="16" t="s">
        <v>9427</v>
      </c>
    </row>
    <row r="7400" spans="1:9" x14ac:dyDescent="0.25">
      <c r="A7400" s="16" t="s">
        <v>8283</v>
      </c>
      <c r="B7400" s="16" t="str">
        <f>TEXT(PARTIDA[[#This Row],[PARTIDA]],"0000000000")</f>
        <v>8607120000</v>
      </c>
      <c r="C7400" s="16" t="s">
        <v>860</v>
      </c>
      <c r="D7400" s="16" t="s">
        <v>881</v>
      </c>
      <c r="E7400" s="16" t="s">
        <v>9483</v>
      </c>
      <c r="F7400" s="27" t="s">
        <v>15603</v>
      </c>
      <c r="G7400" s="27"/>
      <c r="H7400" s="16" t="str">
        <f>IF(ISBLANK(PARTIDAS!$G7400),PARTIDAS!$F7400,CONCATENATE(PARTIDAS!$F7400," (",PARTIDAS!$G7400,")"))</f>
        <v>Bojes, «bissels», ejes y ruedas, y sus partes (los demás, bojes y «bissels»)</v>
      </c>
      <c r="I7400" s="16" t="s">
        <v>9427</v>
      </c>
    </row>
    <row r="7401" spans="1:9" x14ac:dyDescent="0.25">
      <c r="A7401" s="16" t="s">
        <v>8284</v>
      </c>
      <c r="B7401" s="16" t="str">
        <f>TEXT(PARTIDA[[#This Row],[PARTIDA]],"0000000000")</f>
        <v>8607190000</v>
      </c>
      <c r="C7401" s="16" t="s">
        <v>860</v>
      </c>
      <c r="D7401" s="16" t="s">
        <v>881</v>
      </c>
      <c r="E7401" s="16" t="s">
        <v>9483</v>
      </c>
      <c r="F7401" s="27" t="s">
        <v>15604</v>
      </c>
      <c r="G7401" s="27"/>
      <c r="H7401" s="16" t="str">
        <f>IF(ISBLANK(PARTIDAS!$G7401),PARTIDAS!$F7401,CONCATENATE(PARTIDAS!$F7401," (",PARTIDAS!$G7401,")"))</f>
        <v>Bojes, «bissels», ejes y ruedas, y sus partes (los demás, incluidas las partes)</v>
      </c>
      <c r="I7401" s="16" t="s">
        <v>9427</v>
      </c>
    </row>
    <row r="7402" spans="1:9" x14ac:dyDescent="0.25">
      <c r="A7402" s="16" t="s">
        <v>8285</v>
      </c>
      <c r="B7402" s="16" t="str">
        <f>TEXT(PARTIDA[[#This Row],[PARTIDA]],"0000000000")</f>
        <v>8607210000</v>
      </c>
      <c r="C7402" s="16" t="s">
        <v>860</v>
      </c>
      <c r="D7402" s="16" t="s">
        <v>881</v>
      </c>
      <c r="E7402" s="16" t="s">
        <v>9483</v>
      </c>
      <c r="F7402" s="27" t="s">
        <v>15605</v>
      </c>
      <c r="G7402" s="27"/>
      <c r="H7402" s="16" t="str">
        <f>IF(ISBLANK(PARTIDAS!$G7402),PARTIDAS!$F7402,CONCATENATE(PARTIDAS!$F7402," (",PARTIDAS!$G7402,")"))</f>
        <v>Frenos de aire comprimido y sus partes</v>
      </c>
      <c r="I7402" s="16" t="s">
        <v>9427</v>
      </c>
    </row>
    <row r="7403" spans="1:9" x14ac:dyDescent="0.25">
      <c r="A7403" s="16" t="s">
        <v>8286</v>
      </c>
      <c r="B7403" s="16" t="str">
        <f>TEXT(PARTIDA[[#This Row],[PARTIDA]],"0000000000")</f>
        <v>8607290000</v>
      </c>
      <c r="C7403" s="16" t="s">
        <v>860</v>
      </c>
      <c r="D7403" s="16" t="s">
        <v>881</v>
      </c>
      <c r="E7403" s="16" t="s">
        <v>9483</v>
      </c>
      <c r="F7403" s="27" t="s">
        <v>15606</v>
      </c>
      <c r="G7403" s="27"/>
      <c r="H7403" s="16" t="str">
        <f>IF(ISBLANK(PARTIDAS!$G7403),PARTIDAS!$F7403,CONCATENATE(PARTIDAS!$F7403," (",PARTIDAS!$G7403,")"))</f>
        <v>Frenos y sus partes (los demás)</v>
      </c>
      <c r="I7403" s="16" t="s">
        <v>9427</v>
      </c>
    </row>
    <row r="7404" spans="1:9" x14ac:dyDescent="0.25">
      <c r="A7404" s="16" t="s">
        <v>8287</v>
      </c>
      <c r="B7404" s="16" t="str">
        <f>TEXT(PARTIDA[[#This Row],[PARTIDA]],"0000000000")</f>
        <v>8607300000</v>
      </c>
      <c r="C7404" s="16" t="s">
        <v>860</v>
      </c>
      <c r="D7404" s="16" t="s">
        <v>881</v>
      </c>
      <c r="E7404" s="16" t="s">
        <v>9483</v>
      </c>
      <c r="F7404" s="27" t="s">
        <v>15607</v>
      </c>
      <c r="G7404" s="27"/>
      <c r="H7404" s="16" t="str">
        <f>IF(ISBLANK(PARTIDAS!$G7404),PARTIDAS!$F7404,CONCATENATE(PARTIDAS!$F7404," (",PARTIDAS!$G7404,")"))</f>
        <v>Ganchos y demás sistemas de enganche, topes, y sus partes</v>
      </c>
      <c r="I7404" s="16" t="s">
        <v>9427</v>
      </c>
    </row>
    <row r="7405" spans="1:9" x14ac:dyDescent="0.25">
      <c r="A7405" s="16" t="s">
        <v>8288</v>
      </c>
      <c r="B7405" s="16" t="str">
        <f>TEXT(PARTIDA[[#This Row],[PARTIDA]],"0000000000")</f>
        <v>8607910000</v>
      </c>
      <c r="C7405" s="16" t="s">
        <v>860</v>
      </c>
      <c r="D7405" s="16" t="s">
        <v>881</v>
      </c>
      <c r="E7405" s="16" t="s">
        <v>9483</v>
      </c>
      <c r="F7405" s="27" t="s">
        <v>15608</v>
      </c>
      <c r="G7405" s="27"/>
      <c r="H7405" s="16" t="str">
        <f>IF(ISBLANK(PARTIDAS!$G7405),PARTIDAS!$F7405,CONCATENATE(PARTIDAS!$F7405," (",PARTIDAS!$G7405,")"))</f>
        <v>Partes de vehículos para vías férreas o similares, de locomotoras o locotractores</v>
      </c>
      <c r="I7405" s="16" t="s">
        <v>9427</v>
      </c>
    </row>
    <row r="7406" spans="1:9" x14ac:dyDescent="0.25">
      <c r="A7406" s="16" t="s">
        <v>8289</v>
      </c>
      <c r="B7406" s="16" t="str">
        <f>TEXT(PARTIDA[[#This Row],[PARTIDA]],"0000000000")</f>
        <v>8607990000</v>
      </c>
      <c r="C7406" s="16" t="s">
        <v>860</v>
      </c>
      <c r="D7406" s="16" t="s">
        <v>881</v>
      </c>
      <c r="E7406" s="16" t="s">
        <v>9483</v>
      </c>
      <c r="F7406" s="27" t="s">
        <v>15609</v>
      </c>
      <c r="G7406" s="27"/>
      <c r="H7406" s="16" t="str">
        <f>IF(ISBLANK(PARTIDAS!$G7406),PARTIDAS!$F7406,CONCATENATE(PARTIDAS!$F7406," (",PARTIDAS!$G7406,")"))</f>
        <v>Partes de vehículos para vías férreas o similares (los demás)</v>
      </c>
      <c r="I7406" s="16" t="s">
        <v>9427</v>
      </c>
    </row>
    <row r="7407" spans="1:9" x14ac:dyDescent="0.25">
      <c r="A7407" s="16" t="s">
        <v>8290</v>
      </c>
      <c r="B7407" s="16" t="str">
        <f>TEXT(PARTIDA[[#This Row],[PARTIDA]],"0000000000")</f>
        <v>8608000000</v>
      </c>
      <c r="C7407" s="16" t="s">
        <v>860</v>
      </c>
      <c r="D7407" s="16" t="s">
        <v>881</v>
      </c>
      <c r="E7407" s="16" t="s">
        <v>9483</v>
      </c>
      <c r="F7407" s="27" t="s">
        <v>8291</v>
      </c>
      <c r="G7407" s="27"/>
      <c r="H7407" s="16" t="str">
        <f>IF(ISBLANK(PARTIDAS!$G7407),PARTIDAS!$F7407,CONCATENATE(PARTIDAS!$F7407," (",PARTIDAS!$G7407,")"))</f>
        <v>Material fijo de vías férreas o similares; aparatos
mecánicos (incluso electromecánicos) de
señalización, seguridad, control o mando para
vías férreas o similares, carreteras o vías
fluviales, áreas o parques de estacionamiento,
instalaciones portuarias o aeropuertos; sus partes.</v>
      </c>
      <c r="I7407" s="16" t="s">
        <v>9427</v>
      </c>
    </row>
    <row r="7408" spans="1:9" x14ac:dyDescent="0.25">
      <c r="A7408" s="16" t="s">
        <v>8292</v>
      </c>
      <c r="B7408" s="16" t="str">
        <f>TEXT(PARTIDA[[#This Row],[PARTIDA]],"0000000000")</f>
        <v>8609000000</v>
      </c>
      <c r="C7408" s="16" t="s">
        <v>860</v>
      </c>
      <c r="D7408" s="16" t="s">
        <v>881</v>
      </c>
      <c r="E7408" s="16" t="s">
        <v>9484</v>
      </c>
      <c r="F7408" s="27" t="s">
        <v>8293</v>
      </c>
      <c r="G7408" s="27"/>
      <c r="H7408" s="16" t="str">
        <f>IF(ISBLANK(PARTIDAS!$G7408),PARTIDAS!$F7408,CONCATENATE(PARTIDAS!$F7408," (",PARTIDAS!$G7408,")"))</f>
        <v>Contenedores (incluidos los contenedores
cisterna y los contenedores depósito)
especialmente concebidos y equipados para uno
o varios medios de transporte.</v>
      </c>
      <c r="I7408" s="16" t="s">
        <v>9427</v>
      </c>
    </row>
    <row r="7409" spans="1:9" x14ac:dyDescent="0.25">
      <c r="A7409" s="16" t="s">
        <v>8294</v>
      </c>
      <c r="B7409" s="16" t="str">
        <f>TEXT(PARTIDA[[#This Row],[PARTIDA]],"0000000000")</f>
        <v>8701100000</v>
      </c>
      <c r="C7409" s="16" t="s">
        <v>860</v>
      </c>
      <c r="D7409" s="16" t="s">
        <v>881</v>
      </c>
      <c r="E7409" s="16" t="s">
        <v>9484</v>
      </c>
      <c r="F7409" s="27" t="s">
        <v>8295</v>
      </c>
      <c r="G7409" s="27"/>
      <c r="H7409" s="16" t="str">
        <f>IF(ISBLANK(PARTIDAS!$G7409),PARTIDAS!$F7409,CONCATENATE(PARTIDAS!$F7409," (",PARTIDAS!$G7409,")"))</f>
        <v>Tractores de un solo eje</v>
      </c>
      <c r="I7409" s="16" t="s">
        <v>9427</v>
      </c>
    </row>
    <row r="7410" spans="1:9" x14ac:dyDescent="0.25">
      <c r="A7410" s="16" t="s">
        <v>8296</v>
      </c>
      <c r="B7410" s="16" t="str">
        <f>TEXT(PARTIDA[[#This Row],[PARTIDA]],"0000000000")</f>
        <v>8701200000</v>
      </c>
      <c r="C7410" s="16" t="s">
        <v>860</v>
      </c>
      <c r="D7410" s="16" t="s">
        <v>881</v>
      </c>
      <c r="E7410" s="16" t="s">
        <v>9484</v>
      </c>
      <c r="F7410" s="27" t="s">
        <v>15610</v>
      </c>
      <c r="G7410" s="27"/>
      <c r="H7410" s="16" t="str">
        <f>IF(ISBLANK(PARTIDAS!$G7410),PARTIDAS!$F7410,CONCATENATE(PARTIDAS!$F7410," (",PARTIDAS!$G7410,")"))</f>
        <v>Tractores de carretera para semirremolques</v>
      </c>
      <c r="I7410" s="16" t="s">
        <v>9648</v>
      </c>
    </row>
    <row r="7411" spans="1:9" x14ac:dyDescent="0.25">
      <c r="A7411" s="16" t="s">
        <v>15611</v>
      </c>
      <c r="B7411" s="16" t="str">
        <f>TEXT(PARTIDA[[#This Row],[PARTIDA]],"0000000000")</f>
        <v>8701210000</v>
      </c>
      <c r="C7411" s="16" t="s">
        <v>860</v>
      </c>
      <c r="D7411" s="16" t="s">
        <v>881</v>
      </c>
      <c r="E7411" s="16" t="s">
        <v>9484</v>
      </c>
      <c r="F7411" s="27" t="s">
        <v>15612</v>
      </c>
      <c r="G7411" s="27"/>
      <c r="H7411" s="16" t="str">
        <f>IF(ISBLANK(PARTIDAS!$G7411),PARTIDAS!$F7411,CONCATENATE(PARTIDAS!$F7411," (",PARTIDAS!$G7411,")"))</f>
        <v>Tractores de carretera para semirremolques, únicamente con motor de émbolo (pistón), de encendido por compresión (diésel o semi-diésel)</v>
      </c>
      <c r="I7411" s="16" t="s">
        <v>9427</v>
      </c>
    </row>
    <row r="7412" spans="1:9" x14ac:dyDescent="0.25">
      <c r="A7412" s="16" t="s">
        <v>15613</v>
      </c>
      <c r="B7412" s="16" t="str">
        <f>TEXT(PARTIDA[[#This Row],[PARTIDA]],"0000000000")</f>
        <v>8701220000</v>
      </c>
      <c r="C7412" s="16" t="s">
        <v>860</v>
      </c>
      <c r="D7412" s="16" t="s">
        <v>881</v>
      </c>
      <c r="E7412" s="16" t="s">
        <v>9484</v>
      </c>
      <c r="F7412" s="27" t="s">
        <v>15614</v>
      </c>
      <c r="G7412" s="27"/>
      <c r="H7412" s="16" t="str">
        <f>IF(ISBLANK(PARTIDAS!$G7412),PARTIDAS!$F7412,CONCATENATE(PARTIDAS!$F7412," (",PARTIDAS!$G7412,")"))</f>
        <v>Equipados para la propulsión con motor de émbolo (pistón), de encendido por compresión (diésel o semi-diésel) y con motor eléctrico</v>
      </c>
      <c r="I7412" s="16" t="s">
        <v>9427</v>
      </c>
    </row>
    <row r="7413" spans="1:9" x14ac:dyDescent="0.25">
      <c r="A7413" s="16" t="s">
        <v>15615</v>
      </c>
      <c r="B7413" s="16" t="str">
        <f>TEXT(PARTIDA[[#This Row],[PARTIDA]],"0000000000")</f>
        <v>8701230000</v>
      </c>
      <c r="C7413" s="16" t="s">
        <v>860</v>
      </c>
      <c r="D7413" s="16" t="s">
        <v>881</v>
      </c>
      <c r="E7413" s="16" t="s">
        <v>9484</v>
      </c>
      <c r="F7413" s="27" t="s">
        <v>15616</v>
      </c>
      <c r="G7413" s="27"/>
      <c r="H7413" s="16" t="str">
        <f>IF(ISBLANK(PARTIDAS!$G7413),PARTIDAS!$F7413,CONCATENATE(PARTIDAS!$F7413," (",PARTIDAS!$G7413,")"))</f>
        <v>Equipados para la propulsión con motor de émbolo (pistón), de encendido por chispa y con motor eléctrico</v>
      </c>
      <c r="I7413" s="16" t="s">
        <v>9427</v>
      </c>
    </row>
    <row r="7414" spans="1:9" x14ac:dyDescent="0.25">
      <c r="A7414" s="16" t="s">
        <v>15617</v>
      </c>
      <c r="B7414" s="16" t="str">
        <f>TEXT(PARTIDA[[#This Row],[PARTIDA]],"0000000000")</f>
        <v>8701240000</v>
      </c>
      <c r="C7414" s="16" t="s">
        <v>860</v>
      </c>
      <c r="D7414" s="16" t="s">
        <v>881</v>
      </c>
      <c r="E7414" s="16" t="s">
        <v>9484</v>
      </c>
      <c r="F7414" s="27" t="s">
        <v>15618</v>
      </c>
      <c r="G7414" s="27"/>
      <c r="H7414" s="16" t="str">
        <f>IF(ISBLANK(PARTIDAS!$G7414),PARTIDAS!$F7414,CONCATENATE(PARTIDAS!$F7414," (",PARTIDAS!$G7414,")"))</f>
        <v>Tractores de carretera para semirremolques, únicamente propulsados con motor eléctrico</v>
      </c>
      <c r="I7414" s="16" t="s">
        <v>9427</v>
      </c>
    </row>
    <row r="7415" spans="1:9" x14ac:dyDescent="0.25">
      <c r="A7415" s="16" t="s">
        <v>15619</v>
      </c>
      <c r="B7415" s="16" t="str">
        <f>TEXT(PARTIDA[[#This Row],[PARTIDA]],"0000000000")</f>
        <v>8701290000</v>
      </c>
      <c r="C7415" s="16" t="s">
        <v>860</v>
      </c>
      <c r="D7415" s="16" t="s">
        <v>881</v>
      </c>
      <c r="E7415" s="16" t="s">
        <v>9484</v>
      </c>
      <c r="F7415" s="27" t="s">
        <v>15620</v>
      </c>
      <c r="G7415" s="27"/>
      <c r="H7415" s="16" t="str">
        <f>IF(ISBLANK(PARTIDAS!$G7415),PARTIDAS!$F7415,CONCATENATE(PARTIDAS!$F7415," (",PARTIDAS!$G7415,")"))</f>
        <v>Tractores de carretera para semirremolques (los demás)</v>
      </c>
      <c r="I7415" s="16" t="s">
        <v>9427</v>
      </c>
    </row>
    <row r="7416" spans="1:9" x14ac:dyDescent="0.25">
      <c r="A7416" s="16" t="s">
        <v>8297</v>
      </c>
      <c r="B7416" s="16" t="str">
        <f>TEXT(PARTIDA[[#This Row],[PARTIDA]],"0000000000")</f>
        <v>8701300000</v>
      </c>
      <c r="C7416" s="16" t="s">
        <v>860</v>
      </c>
      <c r="D7416" s="16" t="s">
        <v>881</v>
      </c>
      <c r="E7416" s="16" t="s">
        <v>9484</v>
      </c>
      <c r="F7416" s="27" t="s">
        <v>15621</v>
      </c>
      <c r="G7416" s="27"/>
      <c r="H7416" s="16" t="str">
        <f>IF(ISBLANK(PARTIDAS!$G7416),PARTIDAS!$F7416,CONCATENATE(PARTIDAS!$F7416," (",PARTIDAS!$G7416,")"))</f>
        <v>Tractores de orugas</v>
      </c>
      <c r="I7416" s="16" t="s">
        <v>9427</v>
      </c>
    </row>
    <row r="7417" spans="1:9" x14ac:dyDescent="0.25">
      <c r="A7417" s="16" t="s">
        <v>8298</v>
      </c>
      <c r="B7417" s="16" t="str">
        <f>TEXT(PARTIDA[[#This Row],[PARTIDA]],"0000000000")</f>
        <v>8701910000</v>
      </c>
      <c r="C7417" s="16" t="s">
        <v>860</v>
      </c>
      <c r="D7417" s="16" t="s">
        <v>881</v>
      </c>
      <c r="E7417" s="16" t="s">
        <v>9484</v>
      </c>
      <c r="F7417" s="27" t="s">
        <v>15622</v>
      </c>
      <c r="G7417" s="27"/>
      <c r="H7417" s="16" t="str">
        <f>IF(ISBLANK(PARTIDAS!$G7417),PARTIDAS!$F7417,CONCATENATE(PARTIDAS!$F7417," (",PARTIDAS!$G7417,")"))</f>
        <v>Tractores, inferior o igual a 18 kW</v>
      </c>
      <c r="I7417" s="16" t="s">
        <v>9427</v>
      </c>
    </row>
    <row r="7418" spans="1:9" x14ac:dyDescent="0.25">
      <c r="A7418" s="16" t="s">
        <v>8299</v>
      </c>
      <c r="B7418" s="16" t="str">
        <f>TEXT(PARTIDA[[#This Row],[PARTIDA]],"0000000000")</f>
        <v>8701920000</v>
      </c>
      <c r="C7418" s="16" t="s">
        <v>860</v>
      </c>
      <c r="D7418" s="16" t="s">
        <v>881</v>
      </c>
      <c r="E7418" s="16" t="s">
        <v>9484</v>
      </c>
      <c r="F7418" s="27" t="s">
        <v>15623</v>
      </c>
      <c r="G7418" s="27"/>
      <c r="H7418" s="16" t="str">
        <f>IF(ISBLANK(PARTIDAS!$G7418),PARTIDAS!$F7418,CONCATENATE(PARTIDAS!$F7418," (",PARTIDAS!$G7418,")"))</f>
        <v>Tractores, superior a 18 kW pero inferior o igual a 37 kW</v>
      </c>
      <c r="I7418" s="16" t="s">
        <v>9427</v>
      </c>
    </row>
    <row r="7419" spans="1:9" x14ac:dyDescent="0.25">
      <c r="A7419" s="16" t="s">
        <v>8300</v>
      </c>
      <c r="B7419" s="16" t="str">
        <f>TEXT(PARTIDA[[#This Row],[PARTIDA]],"0000000000")</f>
        <v>8701930000</v>
      </c>
      <c r="C7419" s="16" t="s">
        <v>860</v>
      </c>
      <c r="D7419" s="16" t="s">
        <v>881</v>
      </c>
      <c r="E7419" s="16" t="s">
        <v>9484</v>
      </c>
      <c r="F7419" s="27" t="s">
        <v>15624</v>
      </c>
      <c r="G7419" s="27"/>
      <c r="H7419" s="16" t="str">
        <f>IF(ISBLANK(PARTIDAS!$G7419),PARTIDAS!$F7419,CONCATENATE(PARTIDAS!$F7419," (",PARTIDAS!$G7419,")"))</f>
        <v>Tractores, superior a 37 kW pero inferior o igual a 75 kW</v>
      </c>
      <c r="I7419" s="16" t="s">
        <v>9427</v>
      </c>
    </row>
    <row r="7420" spans="1:9" x14ac:dyDescent="0.25">
      <c r="A7420" s="16" t="s">
        <v>8301</v>
      </c>
      <c r="B7420" s="16" t="str">
        <f>TEXT(PARTIDA[[#This Row],[PARTIDA]],"0000000000")</f>
        <v>8701940000</v>
      </c>
      <c r="C7420" s="16" t="s">
        <v>860</v>
      </c>
      <c r="D7420" s="16" t="s">
        <v>881</v>
      </c>
      <c r="E7420" s="16" t="s">
        <v>9484</v>
      </c>
      <c r="F7420" s="27" t="s">
        <v>15625</v>
      </c>
      <c r="G7420" s="27"/>
      <c r="H7420" s="16" t="str">
        <f>IF(ISBLANK(PARTIDAS!$G7420),PARTIDAS!$F7420,CONCATENATE(PARTIDAS!$F7420," (",PARTIDAS!$G7420,")"))</f>
        <v>Tractores, superior a 75 kW pero inferior o igual a 130 kW</v>
      </c>
      <c r="I7420" s="16" t="s">
        <v>9427</v>
      </c>
    </row>
    <row r="7421" spans="1:9" x14ac:dyDescent="0.25">
      <c r="A7421" s="16" t="s">
        <v>8302</v>
      </c>
      <c r="B7421" s="16" t="str">
        <f>TEXT(PARTIDA[[#This Row],[PARTIDA]],"0000000000")</f>
        <v>8701950000</v>
      </c>
      <c r="C7421" s="16" t="s">
        <v>860</v>
      </c>
      <c r="D7421" s="16" t="s">
        <v>881</v>
      </c>
      <c r="E7421" s="16" t="s">
        <v>9484</v>
      </c>
      <c r="F7421" s="27" t="s">
        <v>15626</v>
      </c>
      <c r="G7421" s="27"/>
      <c r="H7421" s="16" t="str">
        <f>IF(ISBLANK(PARTIDAS!$G7421),PARTIDAS!$F7421,CONCATENATE(PARTIDAS!$F7421," (",PARTIDAS!$G7421,")"))</f>
        <v>Tractores, superior a 130 kW</v>
      </c>
      <c r="I7421" s="16" t="s">
        <v>9427</v>
      </c>
    </row>
    <row r="7422" spans="1:9" x14ac:dyDescent="0.25">
      <c r="A7422" s="16" t="s">
        <v>8303</v>
      </c>
      <c r="B7422" s="16" t="str">
        <f>TEXT(PARTIDA[[#This Row],[PARTIDA]],"0000000000")</f>
        <v>8702101000</v>
      </c>
      <c r="C7422" s="16" t="s">
        <v>860</v>
      </c>
      <c r="D7422" s="16" t="s">
        <v>881</v>
      </c>
      <c r="E7422" s="16" t="s">
        <v>9484</v>
      </c>
      <c r="F7422" s="27" t="s">
        <v>15627</v>
      </c>
      <c r="G7422" s="27"/>
      <c r="H7422" s="16" t="str">
        <f>IF(ISBLANK(PARTIDAS!$G7422),PARTIDAS!$F7422,CONCATENATE(PARTIDAS!$F7422," (",PARTIDAS!$G7422,")"))</f>
        <v xml:space="preserve">Vehículos automóviles para transporte de diez o más…, únicamente con motor de émbolo (pistón), de encendido por compresión…, para el transporte de un </v>
      </c>
      <c r="I7422" s="16" t="s">
        <v>9427</v>
      </c>
    </row>
    <row r="7423" spans="1:9" x14ac:dyDescent="0.25">
      <c r="A7423" s="16" t="s">
        <v>8304</v>
      </c>
      <c r="B7423" s="16" t="str">
        <f>TEXT(PARTIDA[[#This Row],[PARTIDA]],"0000000000")</f>
        <v>8702109000</v>
      </c>
      <c r="C7423" s="16" t="s">
        <v>860</v>
      </c>
      <c r="D7423" s="16" t="s">
        <v>881</v>
      </c>
      <c r="E7423" s="16" t="s">
        <v>9484</v>
      </c>
      <c r="F7423" s="27" t="s">
        <v>15628</v>
      </c>
      <c r="G7423" s="27"/>
      <c r="H7423" s="16" t="str">
        <f>IF(ISBLANK(PARTIDAS!$G7423),PARTIDAS!$F7423,CONCATENATE(PARTIDAS!$F7423," (",PARTIDAS!$G7423,")"))</f>
        <v>Vehículos automóviles para transporte de diez o más…, únicamente con motor de émbolo (pistón), de encendido por compresión… (los demás)</v>
      </c>
      <c r="I7423" s="16" t="s">
        <v>9427</v>
      </c>
    </row>
    <row r="7424" spans="1:9" x14ac:dyDescent="0.25">
      <c r="A7424" s="16" t="s">
        <v>8305</v>
      </c>
      <c r="B7424" s="16" t="str">
        <f>TEXT(PARTIDA[[#This Row],[PARTIDA]],"0000000000")</f>
        <v>8702201000</v>
      </c>
      <c r="C7424" s="16" t="s">
        <v>860</v>
      </c>
      <c r="D7424" s="16" t="s">
        <v>881</v>
      </c>
      <c r="E7424" s="16" t="s">
        <v>9484</v>
      </c>
      <c r="F7424" s="27" t="s">
        <v>15629</v>
      </c>
      <c r="G7424" s="27"/>
      <c r="H7424" s="16" t="str">
        <f>IF(ISBLANK(PARTIDAS!$G7424),PARTIDAS!$F7424,CONCATENATE(PARTIDAS!$F7424," (",PARTIDAS!$G7424,")"))</f>
        <v>Equipados para la propulsión con motor de émbolo (pistón), de…, para el transporte de un máximo de 16 personas, incluído el conductor</v>
      </c>
      <c r="I7424" s="16" t="s">
        <v>9427</v>
      </c>
    </row>
    <row r="7425" spans="1:9" x14ac:dyDescent="0.25">
      <c r="A7425" s="16" t="s">
        <v>8306</v>
      </c>
      <c r="B7425" s="16" t="str">
        <f>TEXT(PARTIDA[[#This Row],[PARTIDA]],"0000000000")</f>
        <v>8702209000</v>
      </c>
      <c r="C7425" s="16" t="s">
        <v>860</v>
      </c>
      <c r="D7425" s="16" t="s">
        <v>881</v>
      </c>
      <c r="E7425" s="16" t="s">
        <v>9484</v>
      </c>
      <c r="F7425" s="27" t="s">
        <v>15630</v>
      </c>
      <c r="G7425" s="27"/>
      <c r="H7425" s="16" t="str">
        <f>IF(ISBLANK(PARTIDAS!$G7425),PARTIDAS!$F7425,CONCATENATE(PARTIDAS!$F7425," (",PARTIDAS!$G7425,")"))</f>
        <v>Equipados para la propulsión con motor de émbolo (pistón), de… (los demás)</v>
      </c>
      <c r="I7425" s="16" t="s">
        <v>9427</v>
      </c>
    </row>
    <row r="7426" spans="1:9" x14ac:dyDescent="0.25">
      <c r="A7426" s="16" t="s">
        <v>8307</v>
      </c>
      <c r="B7426" s="16" t="str">
        <f>TEXT(PARTIDA[[#This Row],[PARTIDA]],"0000000000")</f>
        <v>8702301000</v>
      </c>
      <c r="C7426" s="16" t="s">
        <v>860</v>
      </c>
      <c r="D7426" s="16" t="s">
        <v>881</v>
      </c>
      <c r="E7426" s="16" t="s">
        <v>9484</v>
      </c>
      <c r="F7426" s="27" t="s">
        <v>15629</v>
      </c>
      <c r="G7426" s="27"/>
      <c r="H7426" s="16" t="str">
        <f>IF(ISBLANK(PARTIDAS!$G7426),PARTIDAS!$F7426,CONCATENATE(PARTIDAS!$F7426," (",PARTIDAS!$G7426,")"))</f>
        <v>Equipados para la propulsión con motor de émbolo (pistón), de…, para el transporte de un máximo de 16 personas, incluído el conductor</v>
      </c>
      <c r="I7426" s="16" t="s">
        <v>9427</v>
      </c>
    </row>
    <row r="7427" spans="1:9" x14ac:dyDescent="0.25">
      <c r="A7427" s="16" t="s">
        <v>8308</v>
      </c>
      <c r="B7427" s="16" t="str">
        <f>TEXT(PARTIDA[[#This Row],[PARTIDA]],"0000000000")</f>
        <v>8702309000</v>
      </c>
      <c r="C7427" s="16" t="s">
        <v>860</v>
      </c>
      <c r="D7427" s="16" t="s">
        <v>881</v>
      </c>
      <c r="E7427" s="16" t="s">
        <v>9484</v>
      </c>
      <c r="F7427" s="27" t="s">
        <v>15630</v>
      </c>
      <c r="G7427" s="27"/>
      <c r="H7427" s="16" t="str">
        <f>IF(ISBLANK(PARTIDAS!$G7427),PARTIDAS!$F7427,CONCATENATE(PARTIDAS!$F7427," (",PARTIDAS!$G7427,")"))</f>
        <v>Equipados para la propulsión con motor de émbolo (pistón), de… (los demás)</v>
      </c>
      <c r="I7427" s="16" t="s">
        <v>9427</v>
      </c>
    </row>
    <row r="7428" spans="1:9" x14ac:dyDescent="0.25">
      <c r="A7428" s="16" t="s">
        <v>8309</v>
      </c>
      <c r="B7428" s="16" t="str">
        <f>TEXT(PARTIDA[[#This Row],[PARTIDA]],"0000000000")</f>
        <v>8702401000</v>
      </c>
      <c r="C7428" s="16" t="s">
        <v>860</v>
      </c>
      <c r="D7428" s="16" t="s">
        <v>881</v>
      </c>
      <c r="E7428" s="16" t="s">
        <v>9484</v>
      </c>
      <c r="F7428" s="27" t="s">
        <v>15631</v>
      </c>
      <c r="G7428" s="27"/>
      <c r="H7428" s="16" t="str">
        <f>IF(ISBLANK(PARTIDAS!$G7428),PARTIDAS!$F7428,CONCATENATE(PARTIDAS!$F7428," (",PARTIDAS!$G7428,")"))</f>
        <v>Vehículos automóviles para transporte de diez o más…, únicamente propulsados con motor eléctrico, trolebuses</v>
      </c>
      <c r="I7428" s="16" t="s">
        <v>9427</v>
      </c>
    </row>
    <row r="7429" spans="1:9" x14ac:dyDescent="0.25">
      <c r="A7429" s="16" t="s">
        <v>8310</v>
      </c>
      <c r="B7429" s="16" t="str">
        <f>TEXT(PARTIDA[[#This Row],[PARTIDA]],"0000000000")</f>
        <v>8702409000</v>
      </c>
      <c r="C7429" s="16" t="s">
        <v>860</v>
      </c>
      <c r="D7429" s="16" t="s">
        <v>881</v>
      </c>
      <c r="E7429" s="16" t="s">
        <v>9484</v>
      </c>
      <c r="F7429" s="27" t="s">
        <v>15632</v>
      </c>
      <c r="G7429" s="27"/>
      <c r="H7429" s="16" t="str">
        <f>IF(ISBLANK(PARTIDAS!$G7429),PARTIDAS!$F7429,CONCATENATE(PARTIDAS!$F7429," (",PARTIDAS!$G7429,")"))</f>
        <v>Vehículos automóviles para transporte de diez o más…, únicamente propulsados con motor eléctrico (los demás)</v>
      </c>
      <c r="I7429" s="16" t="s">
        <v>9427</v>
      </c>
    </row>
    <row r="7430" spans="1:9" x14ac:dyDescent="0.25">
      <c r="A7430" s="16" t="s">
        <v>8311</v>
      </c>
      <c r="B7430" s="16" t="str">
        <f>TEXT(PARTIDA[[#This Row],[PARTIDA]],"0000000000")</f>
        <v>8702901010</v>
      </c>
      <c r="C7430" s="16" t="s">
        <v>860</v>
      </c>
      <c r="D7430" s="16" t="s">
        <v>881</v>
      </c>
      <c r="E7430" s="16" t="s">
        <v>9484</v>
      </c>
      <c r="F7430" s="27" t="s">
        <v>15633</v>
      </c>
      <c r="G7430" s="27"/>
      <c r="H7430" s="16" t="str">
        <f>IF(ISBLANK(PARTIDAS!$G7430),PARTIDAS!$F7430,CONCATENATE(PARTIDAS!$F7430," (",PARTIDAS!$G7430,")"))</f>
        <v>Únicamente con motor de émbolo o pistón alternativo, de encendido por chispa</v>
      </c>
      <c r="I7430" s="16" t="s">
        <v>9648</v>
      </c>
    </row>
    <row r="7431" spans="1:9" x14ac:dyDescent="0.25">
      <c r="A7431" s="16" t="s">
        <v>8312</v>
      </c>
      <c r="B7431" s="16" t="str">
        <f>TEXT(PARTIDA[[#This Row],[PARTIDA]],"0000000000")</f>
        <v>8702901090</v>
      </c>
      <c r="C7431" s="16" t="s">
        <v>860</v>
      </c>
      <c r="D7431" s="16" t="s">
        <v>881</v>
      </c>
      <c r="E7431" s="16" t="s">
        <v>9484</v>
      </c>
      <c r="F7431" s="27" t="s">
        <v>15634</v>
      </c>
      <c r="G7431" s="27"/>
      <c r="H7431" s="16" t="str">
        <f>IF(ISBLANK(PARTIDAS!$G7431),PARTIDAS!$F7431,CONCATENATE(PARTIDAS!$F7431," (",PARTIDAS!$G7431,")"))</f>
        <v>Vehículos automóviles para transporte de diez o más personas, incluido (los demás)</v>
      </c>
      <c r="I7431" s="16" t="s">
        <v>9648</v>
      </c>
    </row>
    <row r="7432" spans="1:9" x14ac:dyDescent="0.25">
      <c r="A7432" s="16" t="s">
        <v>15635</v>
      </c>
      <c r="B7432" s="16" t="str">
        <f>TEXT(PARTIDA[[#This Row],[PARTIDA]],"0000000000")</f>
        <v>8702902010</v>
      </c>
      <c r="C7432" s="16" t="s">
        <v>860</v>
      </c>
      <c r="D7432" s="16" t="s">
        <v>881</v>
      </c>
      <c r="E7432" s="16" t="s">
        <v>9484</v>
      </c>
      <c r="F7432" s="27" t="s">
        <v>15636</v>
      </c>
      <c r="G7432" s="27"/>
      <c r="H7432" s="16" t="str">
        <f>IF(ISBLANK(PARTIDAS!$G7432),PARTIDAS!$F7432,CONCATENATE(PARTIDAS!$F7432," (",PARTIDAS!$G7432,")"))</f>
        <v>Vehículos automóviles para transporte de diez o más…, para el transporte de un máximo de 16 personas, incluido el conductor, únicamente con motor de é</v>
      </c>
      <c r="I7432" s="16" t="s">
        <v>9427</v>
      </c>
    </row>
    <row r="7433" spans="1:9" x14ac:dyDescent="0.25">
      <c r="A7433" s="16" t="s">
        <v>15637</v>
      </c>
      <c r="B7433" s="16" t="str">
        <f>TEXT(PARTIDA[[#This Row],[PARTIDA]],"0000000000")</f>
        <v>8702902090</v>
      </c>
      <c r="C7433" s="16" t="s">
        <v>860</v>
      </c>
      <c r="D7433" s="16" t="s">
        <v>881</v>
      </c>
      <c r="E7433" s="16" t="s">
        <v>9484</v>
      </c>
      <c r="F7433" s="27" t="s">
        <v>15638</v>
      </c>
      <c r="G7433" s="27"/>
      <c r="H7433" s="16" t="str">
        <f>IF(ISBLANK(PARTIDAS!$G7433),PARTIDAS!$F7433,CONCATENATE(PARTIDAS!$F7433," (",PARTIDAS!$G7433,")"))</f>
        <v>Vehículos automóviles para transporte de diez o más…, para el transporte de un máximo de 16 personas, incluido el conductor (los demás)</v>
      </c>
      <c r="I7433" s="16" t="s">
        <v>9427</v>
      </c>
    </row>
    <row r="7434" spans="1:9" x14ac:dyDescent="0.25">
      <c r="A7434" s="16" t="s">
        <v>8313</v>
      </c>
      <c r="B7434" s="16" t="str">
        <f>TEXT(PARTIDA[[#This Row],[PARTIDA]],"0000000000")</f>
        <v>8702909010</v>
      </c>
      <c r="C7434" s="16" t="s">
        <v>860</v>
      </c>
      <c r="D7434" s="16" t="s">
        <v>881</v>
      </c>
      <c r="E7434" s="16" t="s">
        <v>9484</v>
      </c>
      <c r="F7434" s="27" t="s">
        <v>15639</v>
      </c>
      <c r="G7434" s="27"/>
      <c r="H7434" s="16" t="str">
        <f>IF(ISBLANK(PARTIDAS!$G7434),PARTIDAS!$F7434,CONCATENATE(PARTIDAS!$F7434," (",PARTIDAS!$G7434,")"))</f>
        <v>Vehículos automóviles para transporte de diez o más personas…, únicamente con motor de émbolo (pistón), de encendido por chispa</v>
      </c>
      <c r="I7434" s="16" t="s">
        <v>9427</v>
      </c>
    </row>
    <row r="7435" spans="1:9" x14ac:dyDescent="0.25">
      <c r="A7435" s="16" t="s">
        <v>8314</v>
      </c>
      <c r="B7435" s="16" t="str">
        <f>TEXT(PARTIDA[[#This Row],[PARTIDA]],"0000000000")</f>
        <v>8702909090</v>
      </c>
      <c r="C7435" s="16" t="s">
        <v>860</v>
      </c>
      <c r="D7435" s="16" t="s">
        <v>881</v>
      </c>
      <c r="E7435" s="16" t="s">
        <v>9484</v>
      </c>
      <c r="F7435" s="27" t="s">
        <v>15640</v>
      </c>
      <c r="G7435" s="27"/>
      <c r="H7435" s="16" t="str">
        <f>IF(ISBLANK(PARTIDAS!$G7435),PARTIDAS!$F7435,CONCATENATE(PARTIDAS!$F7435," (",PARTIDAS!$G7435,")"))</f>
        <v>Vehículos automóviles para transporte de diez o más personas… (los demás)</v>
      </c>
      <c r="I7435" s="16" t="s">
        <v>9427</v>
      </c>
    </row>
    <row r="7436" spans="1:9" x14ac:dyDescent="0.25">
      <c r="A7436" s="16" t="s">
        <v>8315</v>
      </c>
      <c r="B7436" s="16" t="str">
        <f>TEXT(PARTIDA[[#This Row],[PARTIDA]],"0000000000")</f>
        <v>8703100000</v>
      </c>
      <c r="C7436" s="16" t="s">
        <v>786</v>
      </c>
      <c r="D7436" s="16" t="s">
        <v>799</v>
      </c>
      <c r="E7436" s="16" t="s">
        <v>808</v>
      </c>
      <c r="F7436" s="27" t="s">
        <v>15641</v>
      </c>
      <c r="G7436" s="27"/>
      <c r="H7436" s="16" t="str">
        <f>IF(ISBLANK(PARTIDAS!$G7436),PARTIDAS!$F7436,CONCATENATE(PARTIDAS!$F7436," (",PARTIDAS!$G7436,")"))</f>
        <v>Vehículos especialmente diseñados para desplazarse sobre nieve; vehículos especiales para transporte de personas en campos de golf y vehículos similar</v>
      </c>
      <c r="I7436" s="16" t="s">
        <v>9427</v>
      </c>
    </row>
    <row r="7437" spans="1:9" x14ac:dyDescent="0.25">
      <c r="A7437" s="16" t="s">
        <v>8316</v>
      </c>
      <c r="B7437" s="16" t="str">
        <f>TEXT(PARTIDA[[#This Row],[PARTIDA]],"0000000000")</f>
        <v>8703210010</v>
      </c>
      <c r="C7437" s="16" t="s">
        <v>786</v>
      </c>
      <c r="D7437" s="16" t="s">
        <v>799</v>
      </c>
      <c r="E7437" s="16" t="s">
        <v>808</v>
      </c>
      <c r="F7437" s="27" t="s">
        <v>15642</v>
      </c>
      <c r="G7437" s="27"/>
      <c r="H7437" s="16" t="str">
        <f>IF(ISBLANK(PARTIDAS!$G7437),PARTIDAS!$F7437,CONCATENATE(PARTIDAS!$F7437," (",PARTIDAS!$G7437,")"))</f>
        <v>Automóviles de turismo y demás vehículos automóviles…, de cilindrada inferior o igual a 1.000 cm3, ensamblados</v>
      </c>
      <c r="I7437" s="16" t="s">
        <v>9427</v>
      </c>
    </row>
    <row r="7438" spans="1:9" x14ac:dyDescent="0.25">
      <c r="A7438" s="16" t="s">
        <v>8317</v>
      </c>
      <c r="B7438" s="16" t="str">
        <f>TEXT(PARTIDA[[#This Row],[PARTIDA]],"0000000000")</f>
        <v>8703210090</v>
      </c>
      <c r="C7438" s="16" t="s">
        <v>786</v>
      </c>
      <c r="D7438" s="16" t="s">
        <v>799</v>
      </c>
      <c r="E7438" s="16" t="s">
        <v>808</v>
      </c>
      <c r="F7438" s="27" t="s">
        <v>15643</v>
      </c>
      <c r="G7438" s="27"/>
      <c r="H7438" s="16" t="str">
        <f>IF(ISBLANK(PARTIDAS!$G7438),PARTIDAS!$F7438,CONCATENATE(PARTIDAS!$F7438," (",PARTIDAS!$G7438,")"))</f>
        <v>Automóviles de turismo y demás vehículos automóviles…, de cilindrada inferior o igual a 1.000 cm3 (los demás)</v>
      </c>
      <c r="I7438" s="16" t="s">
        <v>9427</v>
      </c>
    </row>
    <row r="7439" spans="1:9" x14ac:dyDescent="0.25">
      <c r="A7439" s="16" t="s">
        <v>8318</v>
      </c>
      <c r="B7439" s="16" t="str">
        <f>TEXT(PARTIDA[[#This Row],[PARTIDA]],"0000000000")</f>
        <v>8703221000</v>
      </c>
      <c r="C7439" s="16" t="s">
        <v>786</v>
      </c>
      <c r="D7439" s="16" t="s">
        <v>799</v>
      </c>
      <c r="E7439" s="16" t="s">
        <v>808</v>
      </c>
      <c r="F7439" s="27" t="s">
        <v>15644</v>
      </c>
      <c r="G7439" s="27"/>
      <c r="H7439" s="16" t="str">
        <f>IF(ISBLANK(PARTIDAS!$G7439),PARTIDAS!$F7439,CONCATENATE(PARTIDAS!$F7439," (",PARTIDAS!$G7439,")"))</f>
        <v>Automóviles de turismo y demás vehículos automóviles…, de cilindrada superior a 1.000 cm3 pero inferior o igual a 1.500 cm3, con tracción en las cuatr</v>
      </c>
      <c r="I7439" s="16" t="s">
        <v>9427</v>
      </c>
    </row>
    <row r="7440" spans="1:9" x14ac:dyDescent="0.25">
      <c r="A7440" s="16" t="s">
        <v>8319</v>
      </c>
      <c r="B7440" s="16" t="str">
        <f>TEXT(PARTIDA[[#This Row],[PARTIDA]],"0000000000")</f>
        <v>8703229010</v>
      </c>
      <c r="C7440" s="16" t="s">
        <v>786</v>
      </c>
      <c r="D7440" s="16" t="s">
        <v>799</v>
      </c>
      <c r="E7440" s="16" t="s">
        <v>808</v>
      </c>
      <c r="F7440" s="27" t="s">
        <v>15645</v>
      </c>
      <c r="G7440" s="27"/>
      <c r="H7440" s="16" t="str">
        <f>IF(ISBLANK(PARTIDAS!$G7440),PARTIDAS!$F7440,CONCATENATE(PARTIDAS!$F7440," (",PARTIDAS!$G7440,")"))</f>
        <v>Coches ambulancias, celulares y mortuorios</v>
      </c>
      <c r="I7440" s="16" t="s">
        <v>9427</v>
      </c>
    </row>
    <row r="7441" spans="1:9" x14ac:dyDescent="0.25">
      <c r="A7441" s="16" t="s">
        <v>8320</v>
      </c>
      <c r="B7441" s="16" t="str">
        <f>TEXT(PARTIDA[[#This Row],[PARTIDA]],"0000000000")</f>
        <v>8703229020</v>
      </c>
      <c r="C7441" s="16" t="s">
        <v>786</v>
      </c>
      <c r="D7441" s="16" t="s">
        <v>799</v>
      </c>
      <c r="E7441" s="16" t="s">
        <v>808</v>
      </c>
      <c r="F7441" s="27" t="s">
        <v>15646</v>
      </c>
      <c r="G7441" s="27"/>
      <c r="H7441" s="16" t="str">
        <f>IF(ISBLANK(PARTIDAS!$G7441),PARTIDAS!$F7441,CONCATENATE(PARTIDAS!$F7441," (",PARTIDAS!$G7441,")"))</f>
        <v>Automóviles de turismo y demás vehículos automóviles…, de cilindrada superior a 1.000 cm3 pero inferior o igual a 1.500 cm3 (los demás, ensamblados)</v>
      </c>
      <c r="I7441" s="16" t="s">
        <v>9427</v>
      </c>
    </row>
    <row r="7442" spans="1:9" x14ac:dyDescent="0.25">
      <c r="A7442" s="16" t="s">
        <v>8321</v>
      </c>
      <c r="B7442" s="16" t="str">
        <f>TEXT(PARTIDA[[#This Row],[PARTIDA]],"0000000000")</f>
        <v>8703229090</v>
      </c>
      <c r="C7442" s="16" t="s">
        <v>786</v>
      </c>
      <c r="D7442" s="16" t="s">
        <v>799</v>
      </c>
      <c r="E7442" s="16" t="s">
        <v>808</v>
      </c>
      <c r="F7442" s="27" t="s">
        <v>15647</v>
      </c>
      <c r="G7442" s="27"/>
      <c r="H7442" s="16" t="str">
        <f>IF(ISBLANK(PARTIDAS!$G7442),PARTIDAS!$F7442,CONCATENATE(PARTIDAS!$F7442," (",PARTIDAS!$G7442,")"))</f>
        <v>Automóviles de turismo y demás vehículos automóviles…, de cilindrada superior a 1.000 cm3 pero inferior o igual a 1.500 cm3 (los demás)</v>
      </c>
      <c r="I7442" s="16" t="s">
        <v>9427</v>
      </c>
    </row>
    <row r="7443" spans="1:9" x14ac:dyDescent="0.25">
      <c r="A7443" s="16" t="s">
        <v>8322</v>
      </c>
      <c r="B7443" s="16" t="str">
        <f>TEXT(PARTIDA[[#This Row],[PARTIDA]],"0000000000")</f>
        <v>8703231000</v>
      </c>
      <c r="C7443" s="16" t="s">
        <v>786</v>
      </c>
      <c r="D7443" s="16" t="s">
        <v>799</v>
      </c>
      <c r="E7443" s="16" t="s">
        <v>808</v>
      </c>
      <c r="F7443" s="27" t="s">
        <v>15648</v>
      </c>
      <c r="G7443" s="27"/>
      <c r="H7443" s="16" t="str">
        <f>IF(ISBLANK(PARTIDAS!$G7443),PARTIDAS!$F7443,CONCATENATE(PARTIDAS!$F7443," (",PARTIDAS!$G7443,")"))</f>
        <v>Automóviles de turismo y demás vehículos automóviles…, de cilindrada superior a 1.500 cm3 pero inferior o igual a 3.000 cm3, con tracción en las cuatr</v>
      </c>
      <c r="I7443" s="16" t="s">
        <v>9427</v>
      </c>
    </row>
    <row r="7444" spans="1:9" x14ac:dyDescent="0.25">
      <c r="A7444" s="16" t="s">
        <v>8323</v>
      </c>
      <c r="B7444" s="16" t="str">
        <f>TEXT(PARTIDA[[#This Row],[PARTIDA]],"0000000000")</f>
        <v>8703239010</v>
      </c>
      <c r="C7444" s="16" t="s">
        <v>786</v>
      </c>
      <c r="D7444" s="16" t="s">
        <v>799</v>
      </c>
      <c r="E7444" s="16" t="s">
        <v>808</v>
      </c>
      <c r="F7444" s="27" t="s">
        <v>15645</v>
      </c>
      <c r="G7444" s="27"/>
      <c r="H7444" s="16" t="str">
        <f>IF(ISBLANK(PARTIDAS!$G7444),PARTIDAS!$F7444,CONCATENATE(PARTIDAS!$F7444," (",PARTIDAS!$G7444,")"))</f>
        <v>Coches ambulancias, celulares y mortuorios</v>
      </c>
      <c r="I7444" s="16" t="s">
        <v>9427</v>
      </c>
    </row>
    <row r="7445" spans="1:9" x14ac:dyDescent="0.25">
      <c r="A7445" s="16" t="s">
        <v>8324</v>
      </c>
      <c r="B7445" s="16" t="str">
        <f>TEXT(PARTIDA[[#This Row],[PARTIDA]],"0000000000")</f>
        <v>8703239020</v>
      </c>
      <c r="C7445" s="16" t="s">
        <v>786</v>
      </c>
      <c r="D7445" s="16" t="s">
        <v>799</v>
      </c>
      <c r="E7445" s="16" t="s">
        <v>808</v>
      </c>
      <c r="F7445" s="27" t="s">
        <v>15649</v>
      </c>
      <c r="G7445" s="27"/>
      <c r="H7445" s="16" t="str">
        <f>IF(ISBLANK(PARTIDAS!$G7445),PARTIDAS!$F7445,CONCATENATE(PARTIDAS!$F7445," (",PARTIDAS!$G7445,")"))</f>
        <v>Automóviles de turismo y demás vehículos automóviles…, de cilindrada superior a 1.500 cm3 pero inferior o igual a 3.000 cm3 (los demás, ensamblados)</v>
      </c>
      <c r="I7445" s="16" t="s">
        <v>9427</v>
      </c>
    </row>
    <row r="7446" spans="1:9" x14ac:dyDescent="0.25">
      <c r="A7446" s="16" t="s">
        <v>8325</v>
      </c>
      <c r="B7446" s="16" t="str">
        <f>TEXT(PARTIDA[[#This Row],[PARTIDA]],"0000000000")</f>
        <v>8703239090</v>
      </c>
      <c r="C7446" s="16" t="s">
        <v>786</v>
      </c>
      <c r="D7446" s="16" t="s">
        <v>799</v>
      </c>
      <c r="E7446" s="16" t="s">
        <v>808</v>
      </c>
      <c r="F7446" s="27" t="s">
        <v>15650</v>
      </c>
      <c r="G7446" s="27"/>
      <c r="H7446" s="16" t="str">
        <f>IF(ISBLANK(PARTIDAS!$G7446),PARTIDAS!$F7446,CONCATENATE(PARTIDAS!$F7446," (",PARTIDAS!$G7446,")"))</f>
        <v>Automóviles de turismo y demás vehículos automóviles…, de cilindrada superior a 1.500 cm3 pero inferior o igual a 3.000 cm3 (los demás)</v>
      </c>
      <c r="I7446" s="16" t="s">
        <v>9427</v>
      </c>
    </row>
    <row r="7447" spans="1:9" x14ac:dyDescent="0.25">
      <c r="A7447" s="16" t="s">
        <v>8326</v>
      </c>
      <c r="B7447" s="16" t="str">
        <f>TEXT(PARTIDA[[#This Row],[PARTIDA]],"0000000000")</f>
        <v>8703241000</v>
      </c>
      <c r="C7447" s="16" t="s">
        <v>786</v>
      </c>
      <c r="D7447" s="16" t="s">
        <v>799</v>
      </c>
      <c r="E7447" s="16" t="s">
        <v>808</v>
      </c>
      <c r="F7447" s="27" t="s">
        <v>15651</v>
      </c>
      <c r="G7447" s="27"/>
      <c r="H7447" s="16" t="str">
        <f>IF(ISBLANK(PARTIDAS!$G7447),PARTIDAS!$F7447,CONCATENATE(PARTIDAS!$F7447," (",PARTIDAS!$G7447,")"))</f>
        <v>Automóviles de turismo y demás vehículos automóviles…, de cilindrada superior a 3.000 cm3, con tracción en las cuatro ruedas</v>
      </c>
      <c r="I7447" s="16" t="s">
        <v>9427</v>
      </c>
    </row>
    <row r="7448" spans="1:9" x14ac:dyDescent="0.25">
      <c r="A7448" s="16" t="s">
        <v>8327</v>
      </c>
      <c r="B7448" s="16" t="str">
        <f>TEXT(PARTIDA[[#This Row],[PARTIDA]],"0000000000")</f>
        <v>8703249010</v>
      </c>
      <c r="C7448" s="16" t="s">
        <v>786</v>
      </c>
      <c r="D7448" s="16" t="s">
        <v>799</v>
      </c>
      <c r="E7448" s="16" t="s">
        <v>808</v>
      </c>
      <c r="F7448" s="27" t="s">
        <v>15645</v>
      </c>
      <c r="G7448" s="27"/>
      <c r="H7448" s="16" t="str">
        <f>IF(ISBLANK(PARTIDAS!$G7448),PARTIDAS!$F7448,CONCATENATE(PARTIDAS!$F7448," (",PARTIDAS!$G7448,")"))</f>
        <v>Coches ambulancias, celulares y mortuorios</v>
      </c>
      <c r="I7448" s="16" t="s">
        <v>9427</v>
      </c>
    </row>
    <row r="7449" spans="1:9" x14ac:dyDescent="0.25">
      <c r="A7449" s="16" t="s">
        <v>8328</v>
      </c>
      <c r="B7449" s="16" t="str">
        <f>TEXT(PARTIDA[[#This Row],[PARTIDA]],"0000000000")</f>
        <v>8703249020</v>
      </c>
      <c r="C7449" s="16" t="s">
        <v>786</v>
      </c>
      <c r="D7449" s="16" t="s">
        <v>799</v>
      </c>
      <c r="E7449" s="16" t="s">
        <v>808</v>
      </c>
      <c r="F7449" s="27" t="s">
        <v>15652</v>
      </c>
      <c r="G7449" s="27"/>
      <c r="H7449" s="16" t="str">
        <f>IF(ISBLANK(PARTIDAS!$G7449),PARTIDAS!$F7449,CONCATENATE(PARTIDAS!$F7449," (",PARTIDAS!$G7449,")"))</f>
        <v>Automóviles de turismo y demás vehículos automóviles…, de cilindrada superior a 3.000 cm3 (los demás, ensamblados)</v>
      </c>
      <c r="I7449" s="16" t="s">
        <v>9427</v>
      </c>
    </row>
    <row r="7450" spans="1:9" x14ac:dyDescent="0.25">
      <c r="A7450" s="16" t="s">
        <v>8329</v>
      </c>
      <c r="B7450" s="16" t="str">
        <f>TEXT(PARTIDA[[#This Row],[PARTIDA]],"0000000000")</f>
        <v>8703249090</v>
      </c>
      <c r="C7450" s="16" t="s">
        <v>786</v>
      </c>
      <c r="D7450" s="16" t="s">
        <v>799</v>
      </c>
      <c r="E7450" s="16" t="s">
        <v>808</v>
      </c>
      <c r="F7450" s="27" t="s">
        <v>8330</v>
      </c>
      <c r="G7450" s="27"/>
      <c r="H7450" s="16" t="str">
        <f>IF(ISBLANK(PARTIDAS!$G7450),PARTIDAS!$F7450,CONCATENATE(PARTIDAS!$F7450," (",PARTIDAS!$G7450,")"))</f>
        <v>Vehículos terrestres</v>
      </c>
      <c r="I7450" s="16" t="s">
        <v>9427</v>
      </c>
    </row>
    <row r="7451" spans="1:9" x14ac:dyDescent="0.25">
      <c r="A7451" s="16" t="s">
        <v>8331</v>
      </c>
      <c r="B7451" s="16" t="str">
        <f>TEXT(PARTIDA[[#This Row],[PARTIDA]],"0000000000")</f>
        <v>8703311000</v>
      </c>
      <c r="C7451" s="16" t="s">
        <v>786</v>
      </c>
      <c r="D7451" s="16" t="s">
        <v>799</v>
      </c>
      <c r="E7451" s="16" t="s">
        <v>808</v>
      </c>
      <c r="F7451" s="27" t="s">
        <v>15653</v>
      </c>
      <c r="G7451" s="27"/>
      <c r="H7451" s="16" t="str">
        <f>IF(ISBLANK(PARTIDAS!$G7451),PARTIDAS!$F7451,CONCATENATE(PARTIDAS!$F7451," (",PARTIDAS!$G7451,")"))</f>
        <v>Automóviles de turismo y demás vehículos automóviles…, de cilindrada inferior o igual a 1.500 cm3, con tracción en las cuatro ruedas</v>
      </c>
      <c r="I7451" s="16" t="s">
        <v>9427</v>
      </c>
    </row>
    <row r="7452" spans="1:9" x14ac:dyDescent="0.25">
      <c r="A7452" s="16" t="s">
        <v>8332</v>
      </c>
      <c r="B7452" s="16" t="str">
        <f>TEXT(PARTIDA[[#This Row],[PARTIDA]],"0000000000")</f>
        <v>8703319010</v>
      </c>
      <c r="C7452" s="16" t="s">
        <v>786</v>
      </c>
      <c r="D7452" s="16" t="s">
        <v>799</v>
      </c>
      <c r="E7452" s="16" t="s">
        <v>808</v>
      </c>
      <c r="F7452" s="27" t="s">
        <v>15645</v>
      </c>
      <c r="G7452" s="27"/>
      <c r="H7452" s="16" t="str">
        <f>IF(ISBLANK(PARTIDAS!$G7452),PARTIDAS!$F7452,CONCATENATE(PARTIDAS!$F7452," (",PARTIDAS!$G7452,")"))</f>
        <v>Coches ambulancias, celulares y mortuorios</v>
      </c>
      <c r="I7452" s="16" t="s">
        <v>9427</v>
      </c>
    </row>
    <row r="7453" spans="1:9" x14ac:dyDescent="0.25">
      <c r="A7453" s="16" t="s">
        <v>8333</v>
      </c>
      <c r="B7453" s="16" t="str">
        <f>TEXT(PARTIDA[[#This Row],[PARTIDA]],"0000000000")</f>
        <v>8703319020</v>
      </c>
      <c r="C7453" s="16" t="s">
        <v>786</v>
      </c>
      <c r="D7453" s="16" t="s">
        <v>799</v>
      </c>
      <c r="E7453" s="16" t="s">
        <v>808</v>
      </c>
      <c r="F7453" s="27" t="s">
        <v>15654</v>
      </c>
      <c r="G7453" s="27"/>
      <c r="H7453" s="16" t="str">
        <f>IF(ISBLANK(PARTIDAS!$G7453),PARTIDAS!$F7453,CONCATENATE(PARTIDAS!$F7453," (",PARTIDAS!$G7453,")"))</f>
        <v>Automóviles de turismo y demás vehículos automóviles…, de cilindrada inferior o igual a 1.500 cm3 (los demás, ensamblados)</v>
      </c>
      <c r="I7453" s="16" t="s">
        <v>9427</v>
      </c>
    </row>
    <row r="7454" spans="1:9" x14ac:dyDescent="0.25">
      <c r="A7454" s="16" t="s">
        <v>8334</v>
      </c>
      <c r="B7454" s="16" t="str">
        <f>TEXT(PARTIDA[[#This Row],[PARTIDA]],"0000000000")</f>
        <v>8703319090</v>
      </c>
      <c r="C7454" s="16" t="s">
        <v>786</v>
      </c>
      <c r="D7454" s="16" t="s">
        <v>799</v>
      </c>
      <c r="E7454" s="16" t="s">
        <v>808</v>
      </c>
      <c r="F7454" s="27" t="s">
        <v>15655</v>
      </c>
      <c r="G7454" s="27"/>
      <c r="H7454" s="16" t="str">
        <f>IF(ISBLANK(PARTIDAS!$G7454),PARTIDAS!$F7454,CONCATENATE(PARTIDAS!$F7454," (",PARTIDAS!$G7454,")"))</f>
        <v>Automóviles de turismo y demás vehículos automóviles…, de cilindrada inferior o igual a 1.500 cm3 (los demás)</v>
      </c>
      <c r="I7454" s="16" t="s">
        <v>9427</v>
      </c>
    </row>
    <row r="7455" spans="1:9" x14ac:dyDescent="0.25">
      <c r="A7455" s="16" t="s">
        <v>8335</v>
      </c>
      <c r="B7455" s="16" t="str">
        <f>TEXT(PARTIDA[[#This Row],[PARTIDA]],"0000000000")</f>
        <v>8703321000</v>
      </c>
      <c r="C7455" s="16" t="s">
        <v>786</v>
      </c>
      <c r="D7455" s="16" t="s">
        <v>799</v>
      </c>
      <c r="E7455" s="16" t="s">
        <v>808</v>
      </c>
      <c r="F7455" s="27" t="s">
        <v>15656</v>
      </c>
      <c r="G7455" s="27"/>
      <c r="H7455" s="16" t="str">
        <f>IF(ISBLANK(PARTIDAS!$G7455),PARTIDAS!$F7455,CONCATENATE(PARTIDAS!$F7455," (",PARTIDAS!$G7455,")"))</f>
        <v>Automóviles de turismo y demás vehículos automóviles…, de cilindrada superior a 1.500 cm3 pero inferior o igual a 2.500 cm3, con tracción en las cuatr</v>
      </c>
      <c r="I7455" s="16" t="s">
        <v>9427</v>
      </c>
    </row>
    <row r="7456" spans="1:9" x14ac:dyDescent="0.25">
      <c r="A7456" s="16" t="s">
        <v>8336</v>
      </c>
      <c r="B7456" s="16" t="str">
        <f>TEXT(PARTIDA[[#This Row],[PARTIDA]],"0000000000")</f>
        <v>8703329010</v>
      </c>
      <c r="C7456" s="16" t="s">
        <v>786</v>
      </c>
      <c r="D7456" s="16" t="s">
        <v>799</v>
      </c>
      <c r="E7456" s="16" t="s">
        <v>808</v>
      </c>
      <c r="F7456" s="27" t="s">
        <v>15645</v>
      </c>
      <c r="G7456" s="27"/>
      <c r="H7456" s="16" t="str">
        <f>IF(ISBLANK(PARTIDAS!$G7456),PARTIDAS!$F7456,CONCATENATE(PARTIDAS!$F7456," (",PARTIDAS!$G7456,")"))</f>
        <v>Coches ambulancias, celulares y mortuorios</v>
      </c>
      <c r="I7456" s="16" t="s">
        <v>9427</v>
      </c>
    </row>
    <row r="7457" spans="1:9" x14ac:dyDescent="0.25">
      <c r="A7457" s="16" t="s">
        <v>8337</v>
      </c>
      <c r="B7457" s="16" t="str">
        <f>TEXT(PARTIDA[[#This Row],[PARTIDA]],"0000000000")</f>
        <v>8703329020</v>
      </c>
      <c r="C7457" s="16" t="s">
        <v>786</v>
      </c>
      <c r="D7457" s="16" t="s">
        <v>799</v>
      </c>
      <c r="E7457" s="16" t="s">
        <v>808</v>
      </c>
      <c r="F7457" s="27" t="s">
        <v>15657</v>
      </c>
      <c r="G7457" s="27"/>
      <c r="H7457" s="16" t="str">
        <f>IF(ISBLANK(PARTIDAS!$G7457),PARTIDAS!$F7457,CONCATENATE(PARTIDAS!$F7457," (",PARTIDAS!$G7457,")"))</f>
        <v>Automóviles de turismo y demás vehículos automóviles…, de cilindrada superior a 1.500 cm3 pero inferior o igual a 2.500 cm3 (los demás, ensamblados)</v>
      </c>
      <c r="I7457" s="16" t="s">
        <v>9427</v>
      </c>
    </row>
    <row r="7458" spans="1:9" x14ac:dyDescent="0.25">
      <c r="A7458" s="16" t="s">
        <v>8338</v>
      </c>
      <c r="B7458" s="16" t="str">
        <f>TEXT(PARTIDA[[#This Row],[PARTIDA]],"0000000000")</f>
        <v>8703329090</v>
      </c>
      <c r="C7458" s="16" t="s">
        <v>786</v>
      </c>
      <c r="D7458" s="16" t="s">
        <v>799</v>
      </c>
      <c r="E7458" s="16" t="s">
        <v>808</v>
      </c>
      <c r="F7458" s="27" t="s">
        <v>15658</v>
      </c>
      <c r="G7458" s="27"/>
      <c r="H7458" s="16" t="str">
        <f>IF(ISBLANK(PARTIDAS!$G7458),PARTIDAS!$F7458,CONCATENATE(PARTIDAS!$F7458," (",PARTIDAS!$G7458,")"))</f>
        <v>Automóviles de turismo y demás vehículos automóviles…, de cilindrada superior a 1.500 cm3 pero inferior o igual a 2.500 cm3 (los demás)</v>
      </c>
      <c r="I7458" s="16" t="s">
        <v>9427</v>
      </c>
    </row>
    <row r="7459" spans="1:9" x14ac:dyDescent="0.25">
      <c r="A7459" s="16" t="s">
        <v>8339</v>
      </c>
      <c r="B7459" s="16" t="str">
        <f>TEXT(PARTIDA[[#This Row],[PARTIDA]],"0000000000")</f>
        <v>8703331000</v>
      </c>
      <c r="C7459" s="16" t="s">
        <v>786</v>
      </c>
      <c r="D7459" s="16" t="s">
        <v>799</v>
      </c>
      <c r="E7459" s="16" t="s">
        <v>808</v>
      </c>
      <c r="F7459" s="27" t="s">
        <v>15659</v>
      </c>
      <c r="G7459" s="27"/>
      <c r="H7459" s="16" t="str">
        <f>IF(ISBLANK(PARTIDAS!$G7459),PARTIDAS!$F7459,CONCATENATE(PARTIDAS!$F7459," (",PARTIDAS!$G7459,")"))</f>
        <v>Automóviles de turismo y demás vehículos automóviles…, de cilindrada superior a 2.500 cm3, con tracción en las cuatro ruedas</v>
      </c>
      <c r="I7459" s="16" t="s">
        <v>9427</v>
      </c>
    </row>
    <row r="7460" spans="1:9" x14ac:dyDescent="0.25">
      <c r="A7460" s="16" t="s">
        <v>8340</v>
      </c>
      <c r="B7460" s="16" t="str">
        <f>TEXT(PARTIDA[[#This Row],[PARTIDA]],"0000000000")</f>
        <v>8703339010</v>
      </c>
      <c r="C7460" s="16" t="s">
        <v>786</v>
      </c>
      <c r="D7460" s="16" t="s">
        <v>799</v>
      </c>
      <c r="E7460" s="16" t="s">
        <v>808</v>
      </c>
      <c r="F7460" s="27" t="s">
        <v>15645</v>
      </c>
      <c r="G7460" s="27"/>
      <c r="H7460" s="16" t="str">
        <f>IF(ISBLANK(PARTIDAS!$G7460),PARTIDAS!$F7460,CONCATENATE(PARTIDAS!$F7460," (",PARTIDAS!$G7460,")"))</f>
        <v>Coches ambulancias, celulares y mortuorios</v>
      </c>
      <c r="I7460" s="16" t="s">
        <v>9427</v>
      </c>
    </row>
    <row r="7461" spans="1:9" x14ac:dyDescent="0.25">
      <c r="A7461" s="16" t="s">
        <v>8341</v>
      </c>
      <c r="B7461" s="16" t="str">
        <f>TEXT(PARTIDA[[#This Row],[PARTIDA]],"0000000000")</f>
        <v>8703339020</v>
      </c>
      <c r="C7461" s="16" t="s">
        <v>786</v>
      </c>
      <c r="D7461" s="16" t="s">
        <v>799</v>
      </c>
      <c r="E7461" s="16" t="s">
        <v>808</v>
      </c>
      <c r="F7461" s="27" t="s">
        <v>15660</v>
      </c>
      <c r="G7461" s="27"/>
      <c r="H7461" s="16" t="str">
        <f>IF(ISBLANK(PARTIDAS!$G7461),PARTIDAS!$F7461,CONCATENATE(PARTIDAS!$F7461," (",PARTIDAS!$G7461,")"))</f>
        <v>Automóviles de turismo y demás vehículos automóviles…, de cilindrada superior a 2.500 cm3 (los demás, ensamblados)</v>
      </c>
      <c r="I7461" s="16" t="s">
        <v>9427</v>
      </c>
    </row>
    <row r="7462" spans="1:9" x14ac:dyDescent="0.25">
      <c r="A7462" s="16" t="s">
        <v>8342</v>
      </c>
      <c r="B7462" s="16" t="str">
        <f>TEXT(PARTIDA[[#This Row],[PARTIDA]],"0000000000")</f>
        <v>8703339090</v>
      </c>
      <c r="C7462" s="16" t="s">
        <v>786</v>
      </c>
      <c r="D7462" s="16" t="s">
        <v>799</v>
      </c>
      <c r="E7462" s="16" t="s">
        <v>808</v>
      </c>
      <c r="F7462" s="27" t="s">
        <v>15661</v>
      </c>
      <c r="G7462" s="27"/>
      <c r="H7462" s="16" t="str">
        <f>IF(ISBLANK(PARTIDAS!$G7462),PARTIDAS!$F7462,CONCATENATE(PARTIDAS!$F7462," (",PARTIDAS!$G7462,")"))</f>
        <v>Automóviles de turismo y demás vehículos automóviles…, de cilindrada superior a 2.500 cm3 (los demás)</v>
      </c>
      <c r="I7462" s="16" t="s">
        <v>9427</v>
      </c>
    </row>
    <row r="7463" spans="1:9" x14ac:dyDescent="0.25">
      <c r="A7463" s="16" t="s">
        <v>8343</v>
      </c>
      <c r="B7463" s="16" t="str">
        <f>TEXT(PARTIDA[[#This Row],[PARTIDA]],"0000000000")</f>
        <v>8703401000</v>
      </c>
      <c r="C7463" s="16" t="s">
        <v>786</v>
      </c>
      <c r="D7463" s="16" t="s">
        <v>799</v>
      </c>
      <c r="E7463" s="16" t="s">
        <v>808</v>
      </c>
      <c r="F7463" s="27" t="s">
        <v>15662</v>
      </c>
      <c r="G7463" s="27"/>
      <c r="H7463" s="16" t="str">
        <f>IF(ISBLANK(PARTIDAS!$G7463),PARTIDAS!$F7463,CONCATENATE(PARTIDAS!$F7463," (",PARTIDAS!$G7463,")"))</f>
        <v>Automóviles de turismo y demás vehículos automóviles diseñados…, con tracción en las cuatro ruedas</v>
      </c>
      <c r="I7463" s="16" t="s">
        <v>9427</v>
      </c>
    </row>
    <row r="7464" spans="1:9" x14ac:dyDescent="0.25">
      <c r="A7464" s="16" t="s">
        <v>8344</v>
      </c>
      <c r="B7464" s="16" t="str">
        <f>TEXT(PARTIDA[[#This Row],[PARTIDA]],"0000000000")</f>
        <v>8703409010</v>
      </c>
      <c r="C7464" s="16" t="s">
        <v>786</v>
      </c>
      <c r="D7464" s="16" t="s">
        <v>799</v>
      </c>
      <c r="E7464" s="16" t="s">
        <v>808</v>
      </c>
      <c r="F7464" s="27" t="s">
        <v>15645</v>
      </c>
      <c r="G7464" s="27"/>
      <c r="H7464" s="16" t="str">
        <f>IF(ISBLANK(PARTIDAS!$G7464),PARTIDAS!$F7464,CONCATENATE(PARTIDAS!$F7464," (",PARTIDAS!$G7464,")"))</f>
        <v>Coches ambulancias, celulares y mortuorios</v>
      </c>
      <c r="I7464" s="16" t="s">
        <v>9427</v>
      </c>
    </row>
    <row r="7465" spans="1:9" x14ac:dyDescent="0.25">
      <c r="A7465" s="16" t="s">
        <v>8345</v>
      </c>
      <c r="B7465" s="16" t="str">
        <f>TEXT(PARTIDA[[#This Row],[PARTIDA]],"0000000000")</f>
        <v>8703409020</v>
      </c>
      <c r="C7465" s="16" t="s">
        <v>786</v>
      </c>
      <c r="D7465" s="16" t="s">
        <v>799</v>
      </c>
      <c r="E7465" s="16" t="s">
        <v>808</v>
      </c>
      <c r="F7465" s="27" t="s">
        <v>15663</v>
      </c>
      <c r="G7465" s="27"/>
      <c r="H7465" s="16" t="str">
        <f>IF(ISBLANK(PARTIDAS!$G7465),PARTIDAS!$F7465,CONCATENATE(PARTIDAS!$F7465," (",PARTIDAS!$G7465,")"))</f>
        <v>Automóviles de turismo y demás vehículos automóviles diseñados… (los demás, ensamblados)</v>
      </c>
      <c r="I7465" s="16" t="s">
        <v>9427</v>
      </c>
    </row>
    <row r="7466" spans="1:9" x14ac:dyDescent="0.25">
      <c r="A7466" s="16" t="s">
        <v>8346</v>
      </c>
      <c r="B7466" s="16" t="str">
        <f>TEXT(PARTIDA[[#This Row],[PARTIDA]],"0000000000")</f>
        <v>8703409090</v>
      </c>
      <c r="C7466" s="16" t="s">
        <v>786</v>
      </c>
      <c r="D7466" s="16" t="s">
        <v>799</v>
      </c>
      <c r="E7466" s="16" t="s">
        <v>808</v>
      </c>
      <c r="F7466" s="27" t="s">
        <v>15664</v>
      </c>
      <c r="G7466" s="27"/>
      <c r="H7466" s="16" t="str">
        <f>IF(ISBLANK(PARTIDAS!$G7466),PARTIDAS!$F7466,CONCATENATE(PARTIDAS!$F7466," (",PARTIDAS!$G7466,")"))</f>
        <v>Automóviles de turismo y demás vehículos automóviles diseñados… (los demás)</v>
      </c>
      <c r="I7466" s="16" t="s">
        <v>9427</v>
      </c>
    </row>
    <row r="7467" spans="1:9" x14ac:dyDescent="0.25">
      <c r="A7467" s="16" t="s">
        <v>8347</v>
      </c>
      <c r="B7467" s="16" t="str">
        <f>TEXT(PARTIDA[[#This Row],[PARTIDA]],"0000000000")</f>
        <v>8703501000</v>
      </c>
      <c r="C7467" s="16" t="s">
        <v>786</v>
      </c>
      <c r="D7467" s="16" t="s">
        <v>799</v>
      </c>
      <c r="E7467" s="16" t="s">
        <v>808</v>
      </c>
      <c r="F7467" s="27" t="s">
        <v>15662</v>
      </c>
      <c r="G7467" s="27"/>
      <c r="H7467" s="16" t="str">
        <f>IF(ISBLANK(PARTIDAS!$G7467),PARTIDAS!$F7467,CONCATENATE(PARTIDAS!$F7467," (",PARTIDAS!$G7467,")"))</f>
        <v>Automóviles de turismo y demás vehículos automóviles diseñados…, con tracción en las cuatro ruedas</v>
      </c>
      <c r="I7467" s="16" t="s">
        <v>9427</v>
      </c>
    </row>
    <row r="7468" spans="1:9" x14ac:dyDescent="0.25">
      <c r="A7468" s="16" t="s">
        <v>8348</v>
      </c>
      <c r="B7468" s="16" t="str">
        <f>TEXT(PARTIDA[[#This Row],[PARTIDA]],"0000000000")</f>
        <v>8703509010</v>
      </c>
      <c r="C7468" s="16" t="s">
        <v>786</v>
      </c>
      <c r="D7468" s="16" t="s">
        <v>799</v>
      </c>
      <c r="E7468" s="16" t="s">
        <v>808</v>
      </c>
      <c r="F7468" s="27" t="s">
        <v>15645</v>
      </c>
      <c r="G7468" s="27"/>
      <c r="H7468" s="16" t="str">
        <f>IF(ISBLANK(PARTIDAS!$G7468),PARTIDAS!$F7468,CONCATENATE(PARTIDAS!$F7468," (",PARTIDAS!$G7468,")"))</f>
        <v>Coches ambulancias, celulares y mortuorios</v>
      </c>
      <c r="I7468" s="16" t="s">
        <v>9427</v>
      </c>
    </row>
    <row r="7469" spans="1:9" x14ac:dyDescent="0.25">
      <c r="A7469" s="16" t="s">
        <v>8349</v>
      </c>
      <c r="B7469" s="16" t="str">
        <f>TEXT(PARTIDA[[#This Row],[PARTIDA]],"0000000000")</f>
        <v>8703509020</v>
      </c>
      <c r="C7469" s="16" t="s">
        <v>786</v>
      </c>
      <c r="D7469" s="16" t="s">
        <v>799</v>
      </c>
      <c r="E7469" s="16" t="s">
        <v>808</v>
      </c>
      <c r="F7469" s="27" t="s">
        <v>15663</v>
      </c>
      <c r="G7469" s="27"/>
      <c r="H7469" s="16" t="str">
        <f>IF(ISBLANK(PARTIDAS!$G7469),PARTIDAS!$F7469,CONCATENATE(PARTIDAS!$F7469," (",PARTIDAS!$G7469,")"))</f>
        <v>Automóviles de turismo y demás vehículos automóviles diseñados… (los demás, ensamblados)</v>
      </c>
      <c r="I7469" s="16" t="s">
        <v>9427</v>
      </c>
    </row>
    <row r="7470" spans="1:9" x14ac:dyDescent="0.25">
      <c r="A7470" s="16" t="s">
        <v>8350</v>
      </c>
      <c r="B7470" s="16" t="str">
        <f>TEXT(PARTIDA[[#This Row],[PARTIDA]],"0000000000")</f>
        <v>8703509090</v>
      </c>
      <c r="C7470" s="16" t="s">
        <v>786</v>
      </c>
      <c r="D7470" s="16" t="s">
        <v>799</v>
      </c>
      <c r="E7470" s="16" t="s">
        <v>808</v>
      </c>
      <c r="F7470" s="27" t="s">
        <v>15664</v>
      </c>
      <c r="G7470" s="27"/>
      <c r="H7470" s="16" t="str">
        <f>IF(ISBLANK(PARTIDAS!$G7470),PARTIDAS!$F7470,CONCATENATE(PARTIDAS!$F7470," (",PARTIDAS!$G7470,")"))</f>
        <v>Automóviles de turismo y demás vehículos automóviles diseñados… (los demás)</v>
      </c>
      <c r="I7470" s="16" t="s">
        <v>9427</v>
      </c>
    </row>
    <row r="7471" spans="1:9" x14ac:dyDescent="0.25">
      <c r="A7471" s="16" t="s">
        <v>8351</v>
      </c>
      <c r="B7471" s="16" t="str">
        <f>TEXT(PARTIDA[[#This Row],[PARTIDA]],"0000000000")</f>
        <v>8703601000</v>
      </c>
      <c r="C7471" s="16" t="s">
        <v>786</v>
      </c>
      <c r="D7471" s="16" t="s">
        <v>799</v>
      </c>
      <c r="E7471" s="16" t="s">
        <v>808</v>
      </c>
      <c r="F7471" s="27" t="s">
        <v>15662</v>
      </c>
      <c r="G7471" s="27"/>
      <c r="H7471" s="16" t="str">
        <f>IF(ISBLANK(PARTIDAS!$G7471),PARTIDAS!$F7471,CONCATENATE(PARTIDAS!$F7471," (",PARTIDAS!$G7471,")"))</f>
        <v>Automóviles de turismo y demás vehículos automóviles diseñados…, con tracción en las cuatro ruedas</v>
      </c>
      <c r="I7471" s="16" t="s">
        <v>9427</v>
      </c>
    </row>
    <row r="7472" spans="1:9" x14ac:dyDescent="0.25">
      <c r="A7472" s="16" t="s">
        <v>8352</v>
      </c>
      <c r="B7472" s="16" t="str">
        <f>TEXT(PARTIDA[[#This Row],[PARTIDA]],"0000000000")</f>
        <v>8703609010</v>
      </c>
      <c r="C7472" s="16" t="s">
        <v>786</v>
      </c>
      <c r="D7472" s="16" t="s">
        <v>799</v>
      </c>
      <c r="E7472" s="16" t="s">
        <v>808</v>
      </c>
      <c r="F7472" s="27" t="s">
        <v>15645</v>
      </c>
      <c r="G7472" s="27"/>
      <c r="H7472" s="16" t="str">
        <f>IF(ISBLANK(PARTIDAS!$G7472),PARTIDAS!$F7472,CONCATENATE(PARTIDAS!$F7472," (",PARTIDAS!$G7472,")"))</f>
        <v>Coches ambulancias, celulares y mortuorios</v>
      </c>
      <c r="I7472" s="16" t="s">
        <v>9427</v>
      </c>
    </row>
    <row r="7473" spans="1:9" x14ac:dyDescent="0.25">
      <c r="A7473" s="16" t="s">
        <v>8353</v>
      </c>
      <c r="B7473" s="16" t="str">
        <f>TEXT(PARTIDA[[#This Row],[PARTIDA]],"0000000000")</f>
        <v>8703609020</v>
      </c>
      <c r="C7473" s="16" t="s">
        <v>786</v>
      </c>
      <c r="D7473" s="16" t="s">
        <v>799</v>
      </c>
      <c r="E7473" s="16" t="s">
        <v>808</v>
      </c>
      <c r="F7473" s="27" t="s">
        <v>15663</v>
      </c>
      <c r="G7473" s="27"/>
      <c r="H7473" s="16" t="str">
        <f>IF(ISBLANK(PARTIDAS!$G7473),PARTIDAS!$F7473,CONCATENATE(PARTIDAS!$F7473," (",PARTIDAS!$G7473,")"))</f>
        <v>Automóviles de turismo y demás vehículos automóviles diseñados… (los demás, ensamblados)</v>
      </c>
      <c r="I7473" s="16" t="s">
        <v>9427</v>
      </c>
    </row>
    <row r="7474" spans="1:9" x14ac:dyDescent="0.25">
      <c r="A7474" s="16" t="s">
        <v>8354</v>
      </c>
      <c r="B7474" s="16" t="str">
        <f>TEXT(PARTIDA[[#This Row],[PARTIDA]],"0000000000")</f>
        <v>8703609090</v>
      </c>
      <c r="C7474" s="16" t="s">
        <v>786</v>
      </c>
      <c r="D7474" s="16" t="s">
        <v>799</v>
      </c>
      <c r="E7474" s="16" t="s">
        <v>808</v>
      </c>
      <c r="F7474" s="27" t="s">
        <v>15664</v>
      </c>
      <c r="G7474" s="27"/>
      <c r="H7474" s="16" t="str">
        <f>IF(ISBLANK(PARTIDAS!$G7474),PARTIDAS!$F7474,CONCATENATE(PARTIDAS!$F7474," (",PARTIDAS!$G7474,")"))</f>
        <v>Automóviles de turismo y demás vehículos automóviles diseñados… (los demás)</v>
      </c>
      <c r="I7474" s="16" t="s">
        <v>9427</v>
      </c>
    </row>
    <row r="7475" spans="1:9" x14ac:dyDescent="0.25">
      <c r="A7475" s="16" t="s">
        <v>8355</v>
      </c>
      <c r="B7475" s="16" t="str">
        <f>TEXT(PARTIDA[[#This Row],[PARTIDA]],"0000000000")</f>
        <v>8703701000</v>
      </c>
      <c r="C7475" s="16" t="s">
        <v>786</v>
      </c>
      <c r="D7475" s="16" t="s">
        <v>799</v>
      </c>
      <c r="E7475" s="16" t="s">
        <v>808</v>
      </c>
      <c r="F7475" s="27" t="s">
        <v>15662</v>
      </c>
      <c r="G7475" s="27"/>
      <c r="H7475" s="16" t="str">
        <f>IF(ISBLANK(PARTIDAS!$G7475),PARTIDAS!$F7475,CONCATENATE(PARTIDAS!$F7475," (",PARTIDAS!$G7475,")"))</f>
        <v>Automóviles de turismo y demás vehículos automóviles diseñados…, con tracción en las cuatro ruedas</v>
      </c>
      <c r="I7475" s="16" t="s">
        <v>9427</v>
      </c>
    </row>
    <row r="7476" spans="1:9" x14ac:dyDescent="0.25">
      <c r="A7476" s="16" t="s">
        <v>8356</v>
      </c>
      <c r="B7476" s="16" t="str">
        <f>TEXT(PARTIDA[[#This Row],[PARTIDA]],"0000000000")</f>
        <v>8703709010</v>
      </c>
      <c r="C7476" s="16" t="s">
        <v>786</v>
      </c>
      <c r="D7476" s="16" t="s">
        <v>799</v>
      </c>
      <c r="E7476" s="16" t="s">
        <v>808</v>
      </c>
      <c r="F7476" s="27" t="s">
        <v>15645</v>
      </c>
      <c r="G7476" s="27"/>
      <c r="H7476" s="16" t="str">
        <f>IF(ISBLANK(PARTIDAS!$G7476),PARTIDAS!$F7476,CONCATENATE(PARTIDAS!$F7476," (",PARTIDAS!$G7476,")"))</f>
        <v>Coches ambulancias, celulares y mortuorios</v>
      </c>
      <c r="I7476" s="16" t="s">
        <v>9427</v>
      </c>
    </row>
    <row r="7477" spans="1:9" x14ac:dyDescent="0.25">
      <c r="A7477" s="16" t="s">
        <v>8357</v>
      </c>
      <c r="B7477" s="16" t="str">
        <f>TEXT(PARTIDA[[#This Row],[PARTIDA]],"0000000000")</f>
        <v>8703709020</v>
      </c>
      <c r="C7477" s="16" t="s">
        <v>786</v>
      </c>
      <c r="D7477" s="16" t="s">
        <v>799</v>
      </c>
      <c r="E7477" s="16" t="s">
        <v>808</v>
      </c>
      <c r="F7477" s="27" t="s">
        <v>15663</v>
      </c>
      <c r="G7477" s="27"/>
      <c r="H7477" s="16" t="str">
        <f>IF(ISBLANK(PARTIDAS!$G7477),PARTIDAS!$F7477,CONCATENATE(PARTIDAS!$F7477," (",PARTIDAS!$G7477,")"))</f>
        <v>Automóviles de turismo y demás vehículos automóviles diseñados… (los demás, ensamblados)</v>
      </c>
      <c r="I7477" s="16" t="s">
        <v>9427</v>
      </c>
    </row>
    <row r="7478" spans="1:9" x14ac:dyDescent="0.25">
      <c r="A7478" s="16" t="s">
        <v>8358</v>
      </c>
      <c r="B7478" s="16" t="str">
        <f>TEXT(PARTIDA[[#This Row],[PARTIDA]],"0000000000")</f>
        <v>8703709090</v>
      </c>
      <c r="C7478" s="16" t="s">
        <v>786</v>
      </c>
      <c r="D7478" s="16" t="s">
        <v>799</v>
      </c>
      <c r="E7478" s="16" t="s">
        <v>808</v>
      </c>
      <c r="F7478" s="27" t="s">
        <v>15664</v>
      </c>
      <c r="G7478" s="27"/>
      <c r="H7478" s="16" t="str">
        <f>IF(ISBLANK(PARTIDAS!$G7478),PARTIDAS!$F7478,CONCATENATE(PARTIDAS!$F7478," (",PARTIDAS!$G7478,")"))</f>
        <v>Automóviles de turismo y demás vehículos automóviles diseñados… (los demás)</v>
      </c>
      <c r="I7478" s="16" t="s">
        <v>9427</v>
      </c>
    </row>
    <row r="7479" spans="1:9" x14ac:dyDescent="0.25">
      <c r="A7479" s="16" t="s">
        <v>8359</v>
      </c>
      <c r="B7479" s="16" t="str">
        <f>TEXT(PARTIDA[[#This Row],[PARTIDA]],"0000000000")</f>
        <v>8703801000</v>
      </c>
      <c r="C7479" s="16" t="s">
        <v>786</v>
      </c>
      <c r="D7479" s="16" t="s">
        <v>799</v>
      </c>
      <c r="E7479" s="16" t="s">
        <v>808</v>
      </c>
      <c r="F7479" s="27" t="s">
        <v>15662</v>
      </c>
      <c r="G7479" s="27"/>
      <c r="H7479" s="16" t="str">
        <f>IF(ISBLANK(PARTIDAS!$G7479),PARTIDAS!$F7479,CONCATENATE(PARTIDAS!$F7479," (",PARTIDAS!$G7479,")"))</f>
        <v>Automóviles de turismo y demás vehículos automóviles diseñados…, con tracción en las cuatro ruedas</v>
      </c>
      <c r="I7479" s="16" t="s">
        <v>9427</v>
      </c>
    </row>
    <row r="7480" spans="1:9" x14ac:dyDescent="0.25">
      <c r="A7480" s="16" t="s">
        <v>8360</v>
      </c>
      <c r="B7480" s="16" t="str">
        <f>TEXT(PARTIDA[[#This Row],[PARTIDA]],"0000000000")</f>
        <v>8703809010</v>
      </c>
      <c r="C7480" s="16" t="s">
        <v>786</v>
      </c>
      <c r="D7480" s="16" t="s">
        <v>799</v>
      </c>
      <c r="E7480" s="16" t="s">
        <v>808</v>
      </c>
      <c r="F7480" s="27" t="s">
        <v>15645</v>
      </c>
      <c r="G7480" s="27"/>
      <c r="H7480" s="16" t="str">
        <f>IF(ISBLANK(PARTIDAS!$G7480),PARTIDAS!$F7480,CONCATENATE(PARTIDAS!$F7480," (",PARTIDAS!$G7480,")"))</f>
        <v>Coches ambulancias, celulares y mortuorios</v>
      </c>
      <c r="I7480" s="16" t="s">
        <v>9427</v>
      </c>
    </row>
    <row r="7481" spans="1:9" x14ac:dyDescent="0.25">
      <c r="A7481" s="16" t="s">
        <v>8361</v>
      </c>
      <c r="B7481" s="16" t="str">
        <f>TEXT(PARTIDA[[#This Row],[PARTIDA]],"0000000000")</f>
        <v>8703809020</v>
      </c>
      <c r="C7481" s="16" t="s">
        <v>786</v>
      </c>
      <c r="D7481" s="16" t="s">
        <v>799</v>
      </c>
      <c r="E7481" s="16" t="s">
        <v>808</v>
      </c>
      <c r="F7481" s="27" t="s">
        <v>15663</v>
      </c>
      <c r="G7481" s="27"/>
      <c r="H7481" s="16" t="str">
        <f>IF(ISBLANK(PARTIDAS!$G7481),PARTIDAS!$F7481,CONCATENATE(PARTIDAS!$F7481," (",PARTIDAS!$G7481,")"))</f>
        <v>Automóviles de turismo y demás vehículos automóviles diseñados… (los demás, ensamblados)</v>
      </c>
      <c r="I7481" s="16" t="s">
        <v>9427</v>
      </c>
    </row>
    <row r="7482" spans="1:9" x14ac:dyDescent="0.25">
      <c r="A7482" s="16" t="s">
        <v>8362</v>
      </c>
      <c r="B7482" s="16" t="str">
        <f>TEXT(PARTIDA[[#This Row],[PARTIDA]],"0000000000")</f>
        <v>8703809090</v>
      </c>
      <c r="C7482" s="16" t="s">
        <v>786</v>
      </c>
      <c r="D7482" s="16" t="s">
        <v>799</v>
      </c>
      <c r="E7482" s="16" t="s">
        <v>808</v>
      </c>
      <c r="F7482" s="27" t="s">
        <v>15664</v>
      </c>
      <c r="G7482" s="27"/>
      <c r="H7482" s="16" t="str">
        <f>IF(ISBLANK(PARTIDAS!$G7482),PARTIDAS!$F7482,CONCATENATE(PARTIDAS!$F7482," (",PARTIDAS!$G7482,")"))</f>
        <v>Automóviles de turismo y demás vehículos automóviles diseñados… (los demás)</v>
      </c>
      <c r="I7482" s="16" t="s">
        <v>9427</v>
      </c>
    </row>
    <row r="7483" spans="1:9" x14ac:dyDescent="0.25">
      <c r="A7483" s="16" t="s">
        <v>8363</v>
      </c>
      <c r="B7483" s="16" t="str">
        <f>TEXT(PARTIDA[[#This Row],[PARTIDA]],"0000000000")</f>
        <v>8703900010</v>
      </c>
      <c r="C7483" s="16" t="s">
        <v>786</v>
      </c>
      <c r="D7483" s="16" t="s">
        <v>799</v>
      </c>
      <c r="E7483" s="16" t="s">
        <v>808</v>
      </c>
      <c r="F7483" s="27" t="s">
        <v>15645</v>
      </c>
      <c r="G7483" s="27"/>
      <c r="H7483" s="16" t="str">
        <f>IF(ISBLANK(PARTIDAS!$G7483),PARTIDAS!$F7483,CONCATENATE(PARTIDAS!$F7483," (",PARTIDAS!$G7483,")"))</f>
        <v>Coches ambulancias, celulares y mortuorios</v>
      </c>
      <c r="I7483" s="16" t="s">
        <v>9427</v>
      </c>
    </row>
    <row r="7484" spans="1:9" x14ac:dyDescent="0.25">
      <c r="A7484" s="16" t="s">
        <v>8364</v>
      </c>
      <c r="B7484" s="16" t="str">
        <f>TEXT(PARTIDA[[#This Row],[PARTIDA]],"0000000000")</f>
        <v>8703900020</v>
      </c>
      <c r="C7484" s="16" t="s">
        <v>786</v>
      </c>
      <c r="D7484" s="16" t="s">
        <v>799</v>
      </c>
      <c r="E7484" s="16" t="s">
        <v>808</v>
      </c>
      <c r="F7484" s="27" t="s">
        <v>15663</v>
      </c>
      <c r="G7484" s="27"/>
      <c r="H7484" s="16" t="str">
        <f>IF(ISBLANK(PARTIDAS!$G7484),PARTIDAS!$F7484,CONCATENATE(PARTIDAS!$F7484," (",PARTIDAS!$G7484,")"))</f>
        <v>Automóviles de turismo y demás vehículos automóviles diseñados… (los demás, ensamblados)</v>
      </c>
      <c r="I7484" s="16" t="s">
        <v>9427</v>
      </c>
    </row>
    <row r="7485" spans="1:9" x14ac:dyDescent="0.25">
      <c r="A7485" s="16" t="s">
        <v>8365</v>
      </c>
      <c r="B7485" s="16" t="str">
        <f>TEXT(PARTIDA[[#This Row],[PARTIDA]],"0000000000")</f>
        <v>8703900090</v>
      </c>
      <c r="C7485" s="16" t="s">
        <v>786</v>
      </c>
      <c r="D7485" s="16" t="s">
        <v>799</v>
      </c>
      <c r="E7485" s="16" t="s">
        <v>808</v>
      </c>
      <c r="F7485" s="27" t="s">
        <v>15664</v>
      </c>
      <c r="G7485" s="27"/>
      <c r="H7485" s="16" t="str">
        <f>IF(ISBLANK(PARTIDAS!$G7485),PARTIDAS!$F7485,CONCATENATE(PARTIDAS!$F7485," (",PARTIDAS!$G7485,")"))</f>
        <v>Automóviles de turismo y demás vehículos automóviles diseñados… (los demás)</v>
      </c>
      <c r="I7485" s="16" t="s">
        <v>9427</v>
      </c>
    </row>
    <row r="7486" spans="1:9" x14ac:dyDescent="0.25">
      <c r="A7486" s="16" t="s">
        <v>8366</v>
      </c>
      <c r="B7486" s="16" t="str">
        <f>TEXT(PARTIDA[[#This Row],[PARTIDA]],"0000000000")</f>
        <v>8704100000</v>
      </c>
      <c r="C7486" s="16" t="s">
        <v>860</v>
      </c>
      <c r="D7486" s="16" t="s">
        <v>881</v>
      </c>
      <c r="E7486" s="16" t="s">
        <v>9484</v>
      </c>
      <c r="F7486" s="27" t="s">
        <v>15665</v>
      </c>
      <c r="G7486" s="27"/>
      <c r="H7486" s="16" t="str">
        <f>IF(ISBLANK(PARTIDAS!$G7486),PARTIDAS!$F7486,CONCATENATE(PARTIDAS!$F7486," (",PARTIDAS!$G7486,")"))</f>
        <v>Volquetes automotores diseñados para utilizarlos fuera de la red de carreteras</v>
      </c>
      <c r="I7486" s="16" t="s">
        <v>9427</v>
      </c>
    </row>
    <row r="7487" spans="1:9" x14ac:dyDescent="0.25">
      <c r="A7487" s="16" t="s">
        <v>8367</v>
      </c>
      <c r="B7487" s="16" t="str">
        <f>TEXT(PARTIDA[[#This Row],[PARTIDA]],"0000000000")</f>
        <v>8704211010</v>
      </c>
      <c r="C7487" s="16" t="s">
        <v>860</v>
      </c>
      <c r="D7487" s="16" t="s">
        <v>881</v>
      </c>
      <c r="E7487" s="16" t="s">
        <v>9484</v>
      </c>
      <c r="F7487" s="27" t="s">
        <v>15666</v>
      </c>
      <c r="G7487" s="27"/>
      <c r="H7487" s="16" t="str">
        <f>IF(ISBLANK(PARTIDAS!$G7487),PARTIDAS!$F7487,CONCATENATE(PARTIDAS!$F7487," (",PARTIDAS!$G7487,")"))</f>
        <v>Camionetas pick-up ensambladas</v>
      </c>
      <c r="I7487" s="16" t="s">
        <v>9427</v>
      </c>
    </row>
    <row r="7488" spans="1:9" x14ac:dyDescent="0.25">
      <c r="A7488" s="16" t="s">
        <v>8368</v>
      </c>
      <c r="B7488" s="16" t="str">
        <f>TEXT(PARTIDA[[#This Row],[PARTIDA]],"0000000000")</f>
        <v>8704211090</v>
      </c>
      <c r="C7488" s="16" t="s">
        <v>860</v>
      </c>
      <c r="D7488" s="16" t="s">
        <v>881</v>
      </c>
      <c r="E7488" s="16" t="s">
        <v>9484</v>
      </c>
      <c r="F7488" s="27" t="s">
        <v>9405</v>
      </c>
      <c r="G7488" s="27"/>
      <c r="H7488" s="16" t="str">
        <f>IF(ISBLANK(PARTIDAS!$G7488),PARTIDAS!$F7488,CONCATENATE(PARTIDAS!$F7488," (",PARTIDAS!$G7488,")"))</f>
        <v>Vehículos automóviles para transporte de mercancías, de peso total con carga máxima inferior o igual a 5 t, inferior o igual a 4,537 t (los demás)</v>
      </c>
      <c r="I7488" s="16" t="s">
        <v>9427</v>
      </c>
    </row>
    <row r="7489" spans="1:9" x14ac:dyDescent="0.25">
      <c r="A7489" s="16" t="s">
        <v>8369</v>
      </c>
      <c r="B7489" s="16" t="str">
        <f>TEXT(PARTIDA[[#This Row],[PARTIDA]],"0000000000")</f>
        <v>8704219000</v>
      </c>
      <c r="C7489" s="16" t="s">
        <v>860</v>
      </c>
      <c r="D7489" s="16" t="s">
        <v>881</v>
      </c>
      <c r="E7489" s="16" t="s">
        <v>9484</v>
      </c>
      <c r="F7489" s="27" t="s">
        <v>15667</v>
      </c>
      <c r="G7489" s="27"/>
      <c r="H7489" s="16" t="str">
        <f>IF(ISBLANK(PARTIDAS!$G7489),PARTIDAS!$F7489,CONCATENATE(PARTIDAS!$F7489," (",PARTIDAS!$G7489,")"))</f>
        <v>Vehículos automóviles para transporte de mercancías, de peso total con carga máxima inferior o igual a 5 t (los demás)</v>
      </c>
      <c r="I7489" s="16" t="s">
        <v>9427</v>
      </c>
    </row>
    <row r="7490" spans="1:9" x14ac:dyDescent="0.25">
      <c r="A7490" s="16" t="s">
        <v>8370</v>
      </c>
      <c r="B7490" s="16" t="str">
        <f>TEXT(PARTIDA[[#This Row],[PARTIDA]],"0000000000")</f>
        <v>8704221000</v>
      </c>
      <c r="C7490" s="16" t="s">
        <v>860</v>
      </c>
      <c r="D7490" s="16" t="s">
        <v>881</v>
      </c>
      <c r="E7490" s="16" t="s">
        <v>9484</v>
      </c>
      <c r="F7490" s="27" t="s">
        <v>15668</v>
      </c>
      <c r="G7490" s="27"/>
      <c r="H7490" s="16" t="str">
        <f>IF(ISBLANK(PARTIDAS!$G7490),PARTIDAS!$F7490,CONCATENATE(PARTIDAS!$F7490," (",PARTIDAS!$G7490,")"))</f>
        <v>Vehículos automóviles para transporte de mercancías, de peso total con carga máxima superior a 5 t pero inferior o igual a…, inferior o igual a 6,2 t</v>
      </c>
      <c r="I7490" s="16" t="s">
        <v>9427</v>
      </c>
    </row>
    <row r="7491" spans="1:9" x14ac:dyDescent="0.25">
      <c r="A7491" s="16" t="s">
        <v>8371</v>
      </c>
      <c r="B7491" s="16" t="str">
        <f>TEXT(PARTIDA[[#This Row],[PARTIDA]],"0000000000")</f>
        <v>8704222000</v>
      </c>
      <c r="C7491" s="16" t="s">
        <v>860</v>
      </c>
      <c r="D7491" s="16" t="s">
        <v>881</v>
      </c>
      <c r="E7491" s="16" t="s">
        <v>9484</v>
      </c>
      <c r="F7491" s="27" t="s">
        <v>15669</v>
      </c>
      <c r="G7491" s="27"/>
      <c r="H7491" s="16" t="str">
        <f>IF(ISBLANK(PARTIDAS!$G7491),PARTIDAS!$F7491,CONCATENATE(PARTIDAS!$F7491," (",PARTIDAS!$G7491,")"))</f>
        <v>Vehículos automóviles para transporte de mercancías, de peso total con carga máxima superior a 5 t pero inferior o igual a…, superior a 6,2 t, pero in</v>
      </c>
      <c r="I7491" s="16" t="s">
        <v>9427</v>
      </c>
    </row>
    <row r="7492" spans="1:9" x14ac:dyDescent="0.25">
      <c r="A7492" s="16" t="s">
        <v>8372</v>
      </c>
      <c r="B7492" s="16" t="str">
        <f>TEXT(PARTIDA[[#This Row],[PARTIDA]],"0000000000")</f>
        <v>8704229000</v>
      </c>
      <c r="C7492" s="16" t="s">
        <v>860</v>
      </c>
      <c r="D7492" s="16" t="s">
        <v>881</v>
      </c>
      <c r="E7492" s="16" t="s">
        <v>9484</v>
      </c>
      <c r="F7492" s="27" t="s">
        <v>15670</v>
      </c>
      <c r="G7492" s="27"/>
      <c r="H7492" s="16" t="str">
        <f>IF(ISBLANK(PARTIDAS!$G7492),PARTIDAS!$F7492,CONCATENATE(PARTIDAS!$F7492," (",PARTIDAS!$G7492,")"))</f>
        <v>Vehículos automóviles para transporte de mercancías, de peso total con carga máxima superior a 5 t pero inferior o igual a…, superior a 9,3 t</v>
      </c>
      <c r="I7492" s="16" t="s">
        <v>9427</v>
      </c>
    </row>
    <row r="7493" spans="1:9" x14ac:dyDescent="0.25">
      <c r="A7493" s="16" t="s">
        <v>8373</v>
      </c>
      <c r="B7493" s="16" t="str">
        <f>TEXT(PARTIDA[[#This Row],[PARTIDA]],"0000000000")</f>
        <v>8704230000</v>
      </c>
      <c r="C7493" s="16" t="s">
        <v>860</v>
      </c>
      <c r="D7493" s="16" t="s">
        <v>881</v>
      </c>
      <c r="E7493" s="16" t="s">
        <v>9484</v>
      </c>
      <c r="F7493" s="27" t="s">
        <v>15671</v>
      </c>
      <c r="G7493" s="27"/>
      <c r="H7493" s="16" t="str">
        <f>IF(ISBLANK(PARTIDAS!$G7493),PARTIDAS!$F7493,CONCATENATE(PARTIDAS!$F7493," (",PARTIDAS!$G7493,")"))</f>
        <v>Vehículos automóviles para transporte de mercancías, de peso total con carga máxima superior a 20 t</v>
      </c>
      <c r="I7493" s="16" t="s">
        <v>9427</v>
      </c>
    </row>
    <row r="7494" spans="1:9" x14ac:dyDescent="0.25">
      <c r="A7494" s="16" t="s">
        <v>8374</v>
      </c>
      <c r="B7494" s="16" t="str">
        <f>TEXT(PARTIDA[[#This Row],[PARTIDA]],"0000000000")</f>
        <v>8704311010</v>
      </c>
      <c r="C7494" s="16" t="s">
        <v>860</v>
      </c>
      <c r="D7494" s="16" t="s">
        <v>881</v>
      </c>
      <c r="E7494" s="16" t="s">
        <v>9484</v>
      </c>
      <c r="F7494" s="27" t="s">
        <v>15666</v>
      </c>
      <c r="G7494" s="27"/>
      <c r="H7494" s="16" t="str">
        <f>IF(ISBLANK(PARTIDAS!$G7494),PARTIDAS!$F7494,CONCATENATE(PARTIDAS!$F7494," (",PARTIDAS!$G7494,")"))</f>
        <v>Camionetas pick-up ensambladas</v>
      </c>
      <c r="I7494" s="16" t="s">
        <v>9427</v>
      </c>
    </row>
    <row r="7495" spans="1:9" x14ac:dyDescent="0.25">
      <c r="A7495" s="16" t="s">
        <v>8375</v>
      </c>
      <c r="B7495" s="16" t="str">
        <f>TEXT(PARTIDA[[#This Row],[PARTIDA]],"0000000000")</f>
        <v>8704311090</v>
      </c>
      <c r="C7495" s="16" t="s">
        <v>860</v>
      </c>
      <c r="D7495" s="16" t="s">
        <v>881</v>
      </c>
      <c r="E7495" s="16" t="s">
        <v>9484</v>
      </c>
      <c r="F7495" s="27" t="s">
        <v>9405</v>
      </c>
      <c r="G7495" s="27"/>
      <c r="H7495" s="16" t="str">
        <f>IF(ISBLANK(PARTIDAS!$G7495),PARTIDAS!$F7495,CONCATENATE(PARTIDAS!$F7495," (",PARTIDAS!$G7495,")"))</f>
        <v>Vehículos automóviles para transporte de mercancías, de peso total con carga máxima inferior o igual a 5 t, inferior o igual a 4,537 t (los demás)</v>
      </c>
      <c r="I7495" s="16" t="s">
        <v>9477</v>
      </c>
    </row>
    <row r="7496" spans="1:9" x14ac:dyDescent="0.25">
      <c r="A7496" s="16" t="s">
        <v>8376</v>
      </c>
      <c r="B7496" s="16" t="str">
        <f>TEXT(PARTIDA[[#This Row],[PARTIDA]],"0000000000")</f>
        <v>8704319000</v>
      </c>
      <c r="C7496" s="16" t="s">
        <v>860</v>
      </c>
      <c r="D7496" s="16" t="s">
        <v>881</v>
      </c>
      <c r="E7496" s="16" t="s">
        <v>9484</v>
      </c>
      <c r="F7496" s="27" t="s">
        <v>15667</v>
      </c>
      <c r="G7496" s="27"/>
      <c r="H7496" s="16" t="str">
        <f>IF(ISBLANK(PARTIDAS!$G7496),PARTIDAS!$F7496,CONCATENATE(PARTIDAS!$F7496," (",PARTIDAS!$G7496,")"))</f>
        <v>Vehículos automóviles para transporte de mercancías, de peso total con carga máxima inferior o igual a 5 t (los demás)</v>
      </c>
      <c r="I7496" s="16" t="s">
        <v>9427</v>
      </c>
    </row>
    <row r="7497" spans="1:9" x14ac:dyDescent="0.25">
      <c r="A7497" s="16" t="s">
        <v>8377</v>
      </c>
      <c r="B7497" s="16" t="str">
        <f>TEXT(PARTIDA[[#This Row],[PARTIDA]],"0000000000")</f>
        <v>8704321000</v>
      </c>
      <c r="C7497" s="16" t="s">
        <v>860</v>
      </c>
      <c r="D7497" s="16" t="s">
        <v>881</v>
      </c>
      <c r="E7497" s="16" t="s">
        <v>9484</v>
      </c>
      <c r="F7497" s="27" t="s">
        <v>15672</v>
      </c>
      <c r="G7497" s="27"/>
      <c r="H7497" s="16" t="str">
        <f>IF(ISBLANK(PARTIDAS!$G7497),PARTIDAS!$F7497,CONCATENATE(PARTIDAS!$F7497," (",PARTIDAS!$G7497,")"))</f>
        <v>Vehículos automóviles para transporte de mercancías, de peso total con carga máxima superior a 5 t, inferior o igual a 6,2 t</v>
      </c>
      <c r="I7497" s="16" t="s">
        <v>9427</v>
      </c>
    </row>
    <row r="7498" spans="1:9" x14ac:dyDescent="0.25">
      <c r="A7498" s="16" t="s">
        <v>8378</v>
      </c>
      <c r="B7498" s="16" t="str">
        <f>TEXT(PARTIDA[[#This Row],[PARTIDA]],"0000000000")</f>
        <v>8704322000</v>
      </c>
      <c r="C7498" s="16" t="s">
        <v>860</v>
      </c>
      <c r="D7498" s="16" t="s">
        <v>881</v>
      </c>
      <c r="E7498" s="16" t="s">
        <v>9484</v>
      </c>
      <c r="F7498" s="27" t="s">
        <v>15673</v>
      </c>
      <c r="G7498" s="27"/>
      <c r="H7498" s="16" t="str">
        <f>IF(ISBLANK(PARTIDAS!$G7498),PARTIDAS!$F7498,CONCATENATE(PARTIDAS!$F7498," (",PARTIDAS!$G7498,")"))</f>
        <v>Vehículos automóviles para transporte de mercancías, de peso total con carga máxima superior a 5 t, superior a 6,2 t, pero inferior o igual a 9,3 t</v>
      </c>
      <c r="I7498" s="16" t="s">
        <v>9427</v>
      </c>
    </row>
    <row r="7499" spans="1:9" x14ac:dyDescent="0.25">
      <c r="A7499" s="16" t="s">
        <v>8379</v>
      </c>
      <c r="B7499" s="16" t="str">
        <f>TEXT(PARTIDA[[#This Row],[PARTIDA]],"0000000000")</f>
        <v>8704329000</v>
      </c>
      <c r="C7499" s="16" t="s">
        <v>860</v>
      </c>
      <c r="D7499" s="16" t="s">
        <v>881</v>
      </c>
      <c r="E7499" s="16" t="s">
        <v>9484</v>
      </c>
      <c r="F7499" s="27" t="s">
        <v>15674</v>
      </c>
      <c r="G7499" s="27"/>
      <c r="H7499" s="16" t="str">
        <f>IF(ISBLANK(PARTIDAS!$G7499),PARTIDAS!$F7499,CONCATENATE(PARTIDAS!$F7499," (",PARTIDAS!$G7499,")"))</f>
        <v>Vehículos automóviles para transporte de mercancías, de peso total con carga máxima superior a 5 t, superior a 9,3 t</v>
      </c>
      <c r="I7499" s="16" t="s">
        <v>9427</v>
      </c>
    </row>
    <row r="7500" spans="1:9" x14ac:dyDescent="0.25">
      <c r="A7500" s="16" t="s">
        <v>15675</v>
      </c>
      <c r="B7500" s="16" t="str">
        <f>TEXT(PARTIDA[[#This Row],[PARTIDA]],"0000000000")</f>
        <v>8704411000</v>
      </c>
      <c r="C7500" s="16" t="s">
        <v>860</v>
      </c>
      <c r="D7500" s="16" t="s">
        <v>881</v>
      </c>
      <c r="E7500" s="16" t="s">
        <v>9484</v>
      </c>
      <c r="F7500" s="27" t="s">
        <v>15676</v>
      </c>
      <c r="G7500" s="27"/>
      <c r="H7500" s="16" t="str">
        <f>IF(ISBLANK(PARTIDAS!$G7500),PARTIDAS!$F7500,CONCATENATE(PARTIDAS!$F7500," (",PARTIDAS!$G7500,")"))</f>
        <v xml:space="preserve">Vehículos automóviles para transporte de mercancías, de peso total con carga máxima inferior o igual a 5 t, de peso total con carga máxima inferior a </v>
      </c>
      <c r="I7500" s="16" t="s">
        <v>9427</v>
      </c>
    </row>
    <row r="7501" spans="1:9" x14ac:dyDescent="0.25">
      <c r="A7501" s="16" t="s">
        <v>15677</v>
      </c>
      <c r="B7501" s="16" t="str">
        <f>TEXT(PARTIDA[[#This Row],[PARTIDA]],"0000000000")</f>
        <v>8704419000</v>
      </c>
      <c r="C7501" s="16" t="s">
        <v>860</v>
      </c>
      <c r="D7501" s="16" t="s">
        <v>881</v>
      </c>
      <c r="E7501" s="16" t="s">
        <v>9484</v>
      </c>
      <c r="F7501" s="27" t="s">
        <v>15667</v>
      </c>
      <c r="G7501" s="27"/>
      <c r="H7501" s="16" t="str">
        <f>IF(ISBLANK(PARTIDAS!$G7501),PARTIDAS!$F7501,CONCATENATE(PARTIDAS!$F7501," (",PARTIDAS!$G7501,")"))</f>
        <v>Vehículos automóviles para transporte de mercancías, de peso total con carga máxima inferior o igual a 5 t (los demás)</v>
      </c>
      <c r="I7501" s="16" t="s">
        <v>9427</v>
      </c>
    </row>
    <row r="7502" spans="1:9" x14ac:dyDescent="0.25">
      <c r="A7502" s="16" t="s">
        <v>15678</v>
      </c>
      <c r="B7502" s="16" t="str">
        <f>TEXT(PARTIDA[[#This Row],[PARTIDA]],"0000000000")</f>
        <v>8704420000</v>
      </c>
      <c r="C7502" s="16" t="s">
        <v>860</v>
      </c>
      <c r="D7502" s="16" t="s">
        <v>881</v>
      </c>
      <c r="E7502" s="16" t="s">
        <v>9484</v>
      </c>
      <c r="F7502" s="27" t="s">
        <v>15679</v>
      </c>
      <c r="G7502" s="27"/>
      <c r="H7502" s="16" t="str">
        <f>IF(ISBLANK(PARTIDAS!$G7502),PARTIDAS!$F7502,CONCATENATE(PARTIDAS!$F7502," (",PARTIDAS!$G7502,")"))</f>
        <v>Vehículos automóviles para transporte de mercancías, de peso total con carga máxima superior a 5 t pero inferior o igual a 20 t</v>
      </c>
      <c r="I7502" s="16" t="s">
        <v>9427</v>
      </c>
    </row>
    <row r="7503" spans="1:9" x14ac:dyDescent="0.25">
      <c r="A7503" s="16" t="s">
        <v>15680</v>
      </c>
      <c r="B7503" s="16" t="str">
        <f>TEXT(PARTIDA[[#This Row],[PARTIDA]],"0000000000")</f>
        <v>8704430000</v>
      </c>
      <c r="C7503" s="16" t="s">
        <v>860</v>
      </c>
      <c r="D7503" s="16" t="s">
        <v>881</v>
      </c>
      <c r="E7503" s="16" t="s">
        <v>9484</v>
      </c>
      <c r="F7503" s="27" t="s">
        <v>15671</v>
      </c>
      <c r="G7503" s="27"/>
      <c r="H7503" s="16" t="str">
        <f>IF(ISBLANK(PARTIDAS!$G7503),PARTIDAS!$F7503,CONCATENATE(PARTIDAS!$F7503," (",PARTIDAS!$G7503,")"))</f>
        <v>Vehículos automóviles para transporte de mercancías, de peso total con carga máxima superior a 20 t</v>
      </c>
      <c r="I7503" s="16" t="s">
        <v>9427</v>
      </c>
    </row>
    <row r="7504" spans="1:9" x14ac:dyDescent="0.25">
      <c r="A7504" s="16" t="s">
        <v>15681</v>
      </c>
      <c r="B7504" s="16" t="str">
        <f>TEXT(PARTIDA[[#This Row],[PARTIDA]],"0000000000")</f>
        <v>8704511000</v>
      </c>
      <c r="C7504" s="16" t="s">
        <v>860</v>
      </c>
      <c r="D7504" s="16" t="s">
        <v>881</v>
      </c>
      <c r="E7504" s="16" t="s">
        <v>9484</v>
      </c>
      <c r="F7504" s="27" t="s">
        <v>15676</v>
      </c>
      <c r="G7504" s="27"/>
      <c r="H7504" s="16" t="str">
        <f>IF(ISBLANK(PARTIDAS!$G7504),PARTIDAS!$F7504,CONCATENATE(PARTIDAS!$F7504," (",PARTIDAS!$G7504,")"))</f>
        <v xml:space="preserve">Vehículos automóviles para transporte de mercancías, de peso total con carga máxima inferior o igual a 5 t, de peso total con carga máxima inferior a </v>
      </c>
      <c r="I7504" s="16" t="s">
        <v>9427</v>
      </c>
    </row>
    <row r="7505" spans="1:9" x14ac:dyDescent="0.25">
      <c r="A7505" s="16" t="s">
        <v>15682</v>
      </c>
      <c r="B7505" s="16" t="str">
        <f>TEXT(PARTIDA[[#This Row],[PARTIDA]],"0000000000")</f>
        <v>8704519000</v>
      </c>
      <c r="C7505" s="16" t="s">
        <v>860</v>
      </c>
      <c r="D7505" s="16" t="s">
        <v>881</v>
      </c>
      <c r="E7505" s="16" t="s">
        <v>9484</v>
      </c>
      <c r="F7505" s="27" t="s">
        <v>15667</v>
      </c>
      <c r="G7505" s="27"/>
      <c r="H7505" s="16" t="str">
        <f>IF(ISBLANK(PARTIDAS!$G7505),PARTIDAS!$F7505,CONCATENATE(PARTIDAS!$F7505," (",PARTIDAS!$G7505,")"))</f>
        <v>Vehículos automóviles para transporte de mercancías, de peso total con carga máxima inferior o igual a 5 t (los demás)</v>
      </c>
      <c r="I7505" s="16" t="s">
        <v>9427</v>
      </c>
    </row>
    <row r="7506" spans="1:9" x14ac:dyDescent="0.25">
      <c r="A7506" s="16" t="s">
        <v>15683</v>
      </c>
      <c r="B7506" s="16" t="str">
        <f>TEXT(PARTIDA[[#This Row],[PARTIDA]],"0000000000")</f>
        <v>8704520000</v>
      </c>
      <c r="C7506" s="16" t="s">
        <v>860</v>
      </c>
      <c r="D7506" s="16" t="s">
        <v>881</v>
      </c>
      <c r="E7506" s="16" t="s">
        <v>9484</v>
      </c>
      <c r="F7506" s="27" t="s">
        <v>15684</v>
      </c>
      <c r="G7506" s="27"/>
      <c r="H7506" s="16" t="str">
        <f>IF(ISBLANK(PARTIDAS!$G7506),PARTIDAS!$F7506,CONCATENATE(PARTIDAS!$F7506," (",PARTIDAS!$G7506,")"))</f>
        <v>Vehículos automóviles para transporte de mercancías, de peso total con carga máxima superior a 5 t</v>
      </c>
      <c r="I7506" s="16" t="s">
        <v>9427</v>
      </c>
    </row>
    <row r="7507" spans="1:9" x14ac:dyDescent="0.25">
      <c r="A7507" s="16" t="s">
        <v>15685</v>
      </c>
      <c r="B7507" s="16" t="str">
        <f>TEXT(PARTIDA[[#This Row],[PARTIDA]],"0000000000")</f>
        <v>8704601000</v>
      </c>
      <c r="C7507" s="16" t="s">
        <v>860</v>
      </c>
      <c r="D7507" s="16" t="s">
        <v>881</v>
      </c>
      <c r="E7507" s="16" t="s">
        <v>9484</v>
      </c>
      <c r="F7507" s="27" t="s">
        <v>15686</v>
      </c>
      <c r="G7507" s="27"/>
      <c r="H7507" s="16" t="str">
        <f>IF(ISBLANK(PARTIDAS!$G7507),PARTIDAS!$F7507,CONCATENATE(PARTIDAS!$F7507," (",PARTIDAS!$G7507,")"))</f>
        <v>Vehículos automóviles para transporte de mercancías, de peso total con carga máxima inferior a 4,537 t</v>
      </c>
      <c r="I7507" s="16" t="s">
        <v>9427</v>
      </c>
    </row>
    <row r="7508" spans="1:9" x14ac:dyDescent="0.25">
      <c r="A7508" s="16" t="s">
        <v>15687</v>
      </c>
      <c r="B7508" s="16" t="str">
        <f>TEXT(PARTIDA[[#This Row],[PARTIDA]],"0000000000")</f>
        <v>8704609000</v>
      </c>
      <c r="C7508" s="16" t="s">
        <v>860</v>
      </c>
      <c r="D7508" s="16" t="s">
        <v>881</v>
      </c>
      <c r="E7508" s="16" t="s">
        <v>9484</v>
      </c>
      <c r="F7508" s="27" t="s">
        <v>15688</v>
      </c>
      <c r="G7508" s="27"/>
      <c r="H7508" s="16" t="str">
        <f>IF(ISBLANK(PARTIDAS!$G7508),PARTIDAS!$F7508,CONCATENATE(PARTIDAS!$F7508," (",PARTIDAS!$G7508,")"))</f>
        <v>Vehículos automóviles para transporte de mercancías (los demás)</v>
      </c>
      <c r="I7508" s="16" t="s">
        <v>9427</v>
      </c>
    </row>
    <row r="7509" spans="1:9" x14ac:dyDescent="0.25">
      <c r="A7509" s="16" t="s">
        <v>15689</v>
      </c>
      <c r="B7509" s="16" t="str">
        <f>TEXT(PARTIDA[[#This Row],[PARTIDA]],"0000000000")</f>
        <v>8704901000</v>
      </c>
      <c r="C7509" s="16" t="s">
        <v>860</v>
      </c>
      <c r="D7509" s="16" t="s">
        <v>881</v>
      </c>
      <c r="E7509" s="16" t="s">
        <v>9484</v>
      </c>
      <c r="F7509" s="27" t="s">
        <v>15686</v>
      </c>
      <c r="G7509" s="27"/>
      <c r="H7509" s="16" t="str">
        <f>IF(ISBLANK(PARTIDAS!$G7509),PARTIDAS!$F7509,CONCATENATE(PARTIDAS!$F7509," (",PARTIDAS!$G7509,")"))</f>
        <v>Vehículos automóviles para transporte de mercancías, de peso total con carga máxima inferior a 4,537 t</v>
      </c>
      <c r="I7509" s="16" t="s">
        <v>9427</v>
      </c>
    </row>
    <row r="7510" spans="1:9" x14ac:dyDescent="0.25">
      <c r="A7510" s="16" t="s">
        <v>8380</v>
      </c>
      <c r="B7510" s="16" t="str">
        <f>TEXT(PARTIDA[[#This Row],[PARTIDA]],"0000000000")</f>
        <v>8704901100</v>
      </c>
      <c r="C7510" s="16" t="s">
        <v>860</v>
      </c>
      <c r="D7510" s="16" t="s">
        <v>881</v>
      </c>
      <c r="E7510" s="16" t="s">
        <v>9484</v>
      </c>
      <c r="F7510" s="27" t="s">
        <v>15690</v>
      </c>
      <c r="G7510" s="27"/>
      <c r="H7510" s="16" t="str">
        <f>IF(ISBLANK(PARTIDAS!$G7510),PARTIDAS!$F7510,CONCATENATE(PARTIDAS!$F7510," (",PARTIDAS!$G7510,")"))</f>
        <v>De peso total con carga máxima inferior a 4,537 t</v>
      </c>
      <c r="I7510" s="16" t="s">
        <v>9648</v>
      </c>
    </row>
    <row r="7511" spans="1:9" x14ac:dyDescent="0.25">
      <c r="A7511" s="16" t="s">
        <v>8381</v>
      </c>
      <c r="B7511" s="16" t="str">
        <f>TEXT(PARTIDA[[#This Row],[PARTIDA]],"0000000000")</f>
        <v>8704901900</v>
      </c>
      <c r="C7511" s="16" t="s">
        <v>860</v>
      </c>
      <c r="D7511" s="16" t="s">
        <v>881</v>
      </c>
      <c r="E7511" s="16" t="s">
        <v>9484</v>
      </c>
      <c r="F7511" s="27" t="s">
        <v>15688</v>
      </c>
      <c r="G7511" s="27"/>
      <c r="H7511" s="16" t="str">
        <f>IF(ISBLANK(PARTIDAS!$G7511),PARTIDAS!$F7511,CONCATENATE(PARTIDAS!$F7511," (",PARTIDAS!$G7511,")"))</f>
        <v>Vehículos automóviles para transporte de mercancías (los demás)</v>
      </c>
      <c r="I7511" s="16" t="s">
        <v>9648</v>
      </c>
    </row>
    <row r="7512" spans="1:9" x14ac:dyDescent="0.25">
      <c r="A7512" s="16" t="s">
        <v>8382</v>
      </c>
      <c r="B7512" s="16" t="str">
        <f>TEXT(PARTIDA[[#This Row],[PARTIDA]],"0000000000")</f>
        <v>8704902100</v>
      </c>
      <c r="C7512" s="16" t="s">
        <v>860</v>
      </c>
      <c r="D7512" s="16" t="s">
        <v>881</v>
      </c>
      <c r="E7512" s="16" t="s">
        <v>9484</v>
      </c>
      <c r="F7512" s="27" t="s">
        <v>15690</v>
      </c>
      <c r="G7512" s="27"/>
      <c r="H7512" s="16" t="str">
        <f>IF(ISBLANK(PARTIDAS!$G7512),PARTIDAS!$F7512,CONCATENATE(PARTIDAS!$F7512," (",PARTIDAS!$G7512,")"))</f>
        <v>De peso total con carga máxima inferior a 4,537 t</v>
      </c>
      <c r="I7512" s="16" t="s">
        <v>9648</v>
      </c>
    </row>
    <row r="7513" spans="1:9" x14ac:dyDescent="0.25">
      <c r="A7513" s="16" t="s">
        <v>8383</v>
      </c>
      <c r="B7513" s="16" t="str">
        <f>TEXT(PARTIDA[[#This Row],[PARTIDA]],"0000000000")</f>
        <v>8704902900</v>
      </c>
      <c r="C7513" s="16" t="s">
        <v>860</v>
      </c>
      <c r="D7513" s="16" t="s">
        <v>881</v>
      </c>
      <c r="E7513" s="16" t="s">
        <v>9484</v>
      </c>
      <c r="F7513" s="27" t="s">
        <v>15688</v>
      </c>
      <c r="G7513" s="27"/>
      <c r="H7513" s="16" t="str">
        <f>IF(ISBLANK(PARTIDAS!$G7513),PARTIDAS!$F7513,CONCATENATE(PARTIDAS!$F7513," (",PARTIDAS!$G7513,")"))</f>
        <v>Vehículos automóviles para transporte de mercancías (los demás)</v>
      </c>
      <c r="I7513" s="16" t="s">
        <v>9648</v>
      </c>
    </row>
    <row r="7514" spans="1:9" x14ac:dyDescent="0.25">
      <c r="A7514" s="16" t="s">
        <v>8384</v>
      </c>
      <c r="B7514" s="16" t="str">
        <f>TEXT(PARTIDA[[#This Row],[PARTIDA]],"0000000000")</f>
        <v>8704903100</v>
      </c>
      <c r="C7514" s="16" t="s">
        <v>860</v>
      </c>
      <c r="D7514" s="16" t="s">
        <v>881</v>
      </c>
      <c r="E7514" s="16" t="s">
        <v>9484</v>
      </c>
      <c r="F7514" s="27" t="s">
        <v>15690</v>
      </c>
      <c r="G7514" s="27"/>
      <c r="H7514" s="16" t="str">
        <f>IF(ISBLANK(PARTIDAS!$G7514),PARTIDAS!$F7514,CONCATENATE(PARTIDAS!$F7514," (",PARTIDAS!$G7514,")"))</f>
        <v>De peso total con carga máxima inferior a 4,537 t</v>
      </c>
      <c r="I7514" s="16" t="s">
        <v>9648</v>
      </c>
    </row>
    <row r="7515" spans="1:9" x14ac:dyDescent="0.25">
      <c r="A7515" s="16" t="s">
        <v>8385</v>
      </c>
      <c r="B7515" s="16" t="str">
        <f>TEXT(PARTIDA[[#This Row],[PARTIDA]],"0000000000")</f>
        <v>8704903900</v>
      </c>
      <c r="C7515" s="16" t="s">
        <v>860</v>
      </c>
      <c r="D7515" s="16" t="s">
        <v>881</v>
      </c>
      <c r="E7515" s="16" t="s">
        <v>9484</v>
      </c>
      <c r="F7515" s="27" t="s">
        <v>15688</v>
      </c>
      <c r="G7515" s="27"/>
      <c r="H7515" s="16" t="str">
        <f>IF(ISBLANK(PARTIDAS!$G7515),PARTIDAS!$F7515,CONCATENATE(PARTIDAS!$F7515," (",PARTIDAS!$G7515,")"))</f>
        <v>Vehículos automóviles para transporte de mercancías (los demás)</v>
      </c>
      <c r="I7515" s="16" t="s">
        <v>9648</v>
      </c>
    </row>
    <row r="7516" spans="1:9" x14ac:dyDescent="0.25">
      <c r="A7516" s="16" t="s">
        <v>8386</v>
      </c>
      <c r="B7516" s="16" t="str">
        <f>TEXT(PARTIDA[[#This Row],[PARTIDA]],"0000000000")</f>
        <v>8704904100</v>
      </c>
      <c r="C7516" s="16" t="s">
        <v>860</v>
      </c>
      <c r="D7516" s="16" t="s">
        <v>881</v>
      </c>
      <c r="E7516" s="16" t="s">
        <v>9484</v>
      </c>
      <c r="F7516" s="27" t="s">
        <v>15690</v>
      </c>
      <c r="G7516" s="27"/>
      <c r="H7516" s="16" t="str">
        <f>IF(ISBLANK(PARTIDAS!$G7516),PARTIDAS!$F7516,CONCATENATE(PARTIDAS!$F7516," (",PARTIDAS!$G7516,")"))</f>
        <v>De peso total con carga máxima inferior a 4,537 t</v>
      </c>
      <c r="I7516" s="16" t="s">
        <v>9648</v>
      </c>
    </row>
    <row r="7517" spans="1:9" x14ac:dyDescent="0.25">
      <c r="A7517" s="16" t="s">
        <v>8387</v>
      </c>
      <c r="B7517" s="16" t="str">
        <f>TEXT(PARTIDA[[#This Row],[PARTIDA]],"0000000000")</f>
        <v>8704904900</v>
      </c>
      <c r="C7517" s="16" t="s">
        <v>860</v>
      </c>
      <c r="D7517" s="16" t="s">
        <v>881</v>
      </c>
      <c r="E7517" s="16" t="s">
        <v>9484</v>
      </c>
      <c r="F7517" s="27" t="s">
        <v>15688</v>
      </c>
      <c r="G7517" s="27"/>
      <c r="H7517" s="16" t="str">
        <f>IF(ISBLANK(PARTIDAS!$G7517),PARTIDAS!$F7517,CONCATENATE(PARTIDAS!$F7517," (",PARTIDAS!$G7517,")"))</f>
        <v>Vehículos automóviles para transporte de mercancías (los demás)</v>
      </c>
      <c r="I7517" s="16" t="s">
        <v>9648</v>
      </c>
    </row>
    <row r="7518" spans="1:9" x14ac:dyDescent="0.25">
      <c r="A7518" s="16" t="s">
        <v>8388</v>
      </c>
      <c r="B7518" s="16" t="str">
        <f>TEXT(PARTIDA[[#This Row],[PARTIDA]],"0000000000")</f>
        <v>8704905100</v>
      </c>
      <c r="C7518" s="16" t="s">
        <v>860</v>
      </c>
      <c r="D7518" s="16" t="s">
        <v>881</v>
      </c>
      <c r="E7518" s="16" t="s">
        <v>9484</v>
      </c>
      <c r="F7518" s="27" t="s">
        <v>15690</v>
      </c>
      <c r="G7518" s="27"/>
      <c r="H7518" s="16" t="str">
        <f>IF(ISBLANK(PARTIDAS!$G7518),PARTIDAS!$F7518,CONCATENATE(PARTIDAS!$F7518," (",PARTIDAS!$G7518,")"))</f>
        <v>De peso total con carga máxima inferior a 4,537 t</v>
      </c>
      <c r="I7518" s="16" t="s">
        <v>9648</v>
      </c>
    </row>
    <row r="7519" spans="1:9" x14ac:dyDescent="0.25">
      <c r="A7519" s="16" t="s">
        <v>8389</v>
      </c>
      <c r="B7519" s="16" t="str">
        <f>TEXT(PARTIDA[[#This Row],[PARTIDA]],"0000000000")</f>
        <v>8704905900</v>
      </c>
      <c r="C7519" s="16" t="s">
        <v>860</v>
      </c>
      <c r="D7519" s="16" t="s">
        <v>881</v>
      </c>
      <c r="E7519" s="16" t="s">
        <v>9484</v>
      </c>
      <c r="F7519" s="27" t="s">
        <v>15688</v>
      </c>
      <c r="G7519" s="27"/>
      <c r="H7519" s="16" t="str">
        <f>IF(ISBLANK(PARTIDAS!$G7519),PARTIDAS!$F7519,CONCATENATE(PARTIDAS!$F7519," (",PARTIDAS!$G7519,")"))</f>
        <v>Vehículos automóviles para transporte de mercancías (los demás)</v>
      </c>
      <c r="I7519" s="16" t="s">
        <v>9648</v>
      </c>
    </row>
    <row r="7520" spans="1:9" x14ac:dyDescent="0.25">
      <c r="A7520" s="16" t="s">
        <v>15691</v>
      </c>
      <c r="B7520" s="16" t="str">
        <f>TEXT(PARTIDA[[#This Row],[PARTIDA]],"0000000000")</f>
        <v>8704909000</v>
      </c>
      <c r="C7520" s="16" t="s">
        <v>860</v>
      </c>
      <c r="D7520" s="16" t="s">
        <v>881</v>
      </c>
      <c r="E7520" s="16" t="s">
        <v>9484</v>
      </c>
      <c r="F7520" s="27" t="s">
        <v>15688</v>
      </c>
      <c r="G7520" s="27"/>
      <c r="H7520" s="16" t="str">
        <f>IF(ISBLANK(PARTIDAS!$G7520),PARTIDAS!$F7520,CONCATENATE(PARTIDAS!$F7520," (",PARTIDAS!$G7520,")"))</f>
        <v>Vehículos automóviles para transporte de mercancías (los demás)</v>
      </c>
      <c r="I7520" s="16" t="s">
        <v>9427</v>
      </c>
    </row>
    <row r="7521" spans="1:9" x14ac:dyDescent="0.25">
      <c r="A7521" s="16" t="s">
        <v>8390</v>
      </c>
      <c r="B7521" s="16" t="str">
        <f>TEXT(PARTIDA[[#This Row],[PARTIDA]],"0000000000")</f>
        <v>8704909100</v>
      </c>
      <c r="C7521" s="16" t="s">
        <v>860</v>
      </c>
      <c r="D7521" s="16" t="s">
        <v>881</v>
      </c>
      <c r="E7521" s="16" t="s">
        <v>9484</v>
      </c>
      <c r="F7521" s="27" t="s">
        <v>15690</v>
      </c>
      <c r="G7521" s="27"/>
      <c r="H7521" s="16" t="str">
        <f>IF(ISBLANK(PARTIDAS!$G7521),PARTIDAS!$F7521,CONCATENATE(PARTIDAS!$F7521," (",PARTIDAS!$G7521,")"))</f>
        <v>De peso total con carga máxima inferior a 4,537 t</v>
      </c>
      <c r="I7521" s="16" t="s">
        <v>9648</v>
      </c>
    </row>
    <row r="7522" spans="1:9" x14ac:dyDescent="0.25">
      <c r="A7522" s="16" t="s">
        <v>8391</v>
      </c>
      <c r="B7522" s="16" t="str">
        <f>TEXT(PARTIDA[[#This Row],[PARTIDA]],"0000000000")</f>
        <v>8704909900</v>
      </c>
      <c r="C7522" s="16" t="s">
        <v>860</v>
      </c>
      <c r="D7522" s="16" t="s">
        <v>881</v>
      </c>
      <c r="E7522" s="16" t="s">
        <v>9484</v>
      </c>
      <c r="F7522" s="27" t="s">
        <v>15688</v>
      </c>
      <c r="G7522" s="27"/>
      <c r="H7522" s="16" t="str">
        <f>IF(ISBLANK(PARTIDAS!$G7522),PARTIDAS!$F7522,CONCATENATE(PARTIDAS!$F7522," (",PARTIDAS!$G7522,")"))</f>
        <v>Vehículos automóviles para transporte de mercancías (los demás)</v>
      </c>
      <c r="I7522" s="16" t="s">
        <v>9648</v>
      </c>
    </row>
    <row r="7523" spans="1:9" x14ac:dyDescent="0.25">
      <c r="A7523" s="16" t="s">
        <v>8392</v>
      </c>
      <c r="B7523" s="16" t="str">
        <f>TEXT(PARTIDA[[#This Row],[PARTIDA]],"0000000000")</f>
        <v>8705100000</v>
      </c>
      <c r="C7523" s="16" t="s">
        <v>860</v>
      </c>
      <c r="D7523" s="16" t="s">
        <v>881</v>
      </c>
      <c r="E7523" s="16" t="s">
        <v>9484</v>
      </c>
      <c r="F7523" s="27" t="s">
        <v>15692</v>
      </c>
      <c r="G7523" s="27"/>
      <c r="H7523" s="16" t="str">
        <f>IF(ISBLANK(PARTIDAS!$G7523),PARTIDAS!$F7523,CONCATENATE(PARTIDAS!$F7523," (",PARTIDAS!$G7523,")"))</f>
        <v>Camiones grúa</v>
      </c>
      <c r="I7523" s="16" t="s">
        <v>9427</v>
      </c>
    </row>
    <row r="7524" spans="1:9" x14ac:dyDescent="0.25">
      <c r="A7524" s="16" t="s">
        <v>8393</v>
      </c>
      <c r="B7524" s="16" t="str">
        <f>TEXT(PARTIDA[[#This Row],[PARTIDA]],"0000000000")</f>
        <v>8705200000</v>
      </c>
      <c r="C7524" s="16" t="s">
        <v>860</v>
      </c>
      <c r="D7524" s="16" t="s">
        <v>881</v>
      </c>
      <c r="E7524" s="16" t="s">
        <v>9484</v>
      </c>
      <c r="F7524" s="27" t="s">
        <v>15693</v>
      </c>
      <c r="G7524" s="27"/>
      <c r="H7524" s="16" t="str">
        <f>IF(ISBLANK(PARTIDAS!$G7524),PARTIDAS!$F7524,CONCATENATE(PARTIDAS!$F7524," (",PARTIDAS!$G7524,")"))</f>
        <v>Camiones automóviles para sondeo o perforación</v>
      </c>
      <c r="I7524" s="16" t="s">
        <v>9427</v>
      </c>
    </row>
    <row r="7525" spans="1:9" x14ac:dyDescent="0.25">
      <c r="A7525" s="16" t="s">
        <v>8394</v>
      </c>
      <c r="B7525" s="16" t="str">
        <f>TEXT(PARTIDA[[#This Row],[PARTIDA]],"0000000000")</f>
        <v>8705300000</v>
      </c>
      <c r="C7525" s="16" t="s">
        <v>860</v>
      </c>
      <c r="D7525" s="16" t="s">
        <v>881</v>
      </c>
      <c r="E7525" s="16" t="s">
        <v>9484</v>
      </c>
      <c r="F7525" s="27" t="s">
        <v>15694</v>
      </c>
      <c r="G7525" s="27"/>
      <c r="H7525" s="16" t="str">
        <f>IF(ISBLANK(PARTIDAS!$G7525),PARTIDAS!$F7525,CONCATENATE(PARTIDAS!$F7525," (",PARTIDAS!$G7525,")"))</f>
        <v>Camiones de bomberos</v>
      </c>
      <c r="I7525" s="16" t="s">
        <v>9427</v>
      </c>
    </row>
    <row r="7526" spans="1:9" x14ac:dyDescent="0.25">
      <c r="A7526" s="16" t="s">
        <v>8395</v>
      </c>
      <c r="B7526" s="16" t="str">
        <f>TEXT(PARTIDA[[#This Row],[PARTIDA]],"0000000000")</f>
        <v>8705400000</v>
      </c>
      <c r="C7526" s="16" t="s">
        <v>860</v>
      </c>
      <c r="D7526" s="16" t="s">
        <v>881</v>
      </c>
      <c r="E7526" s="16" t="s">
        <v>9484</v>
      </c>
      <c r="F7526" s="27" t="s">
        <v>9186</v>
      </c>
      <c r="G7526" s="27"/>
      <c r="H7526" s="16" t="str">
        <f>IF(ISBLANK(PARTIDAS!$G7526),PARTIDAS!$F7526,CONCATENATE(PARTIDAS!$F7526," (",PARTIDAS!$G7526,")"))</f>
        <v>Camiones hormigonera</v>
      </c>
      <c r="I7526" s="16" t="s">
        <v>9477</v>
      </c>
    </row>
    <row r="7527" spans="1:9" x14ac:dyDescent="0.25">
      <c r="A7527" s="16" t="s">
        <v>8396</v>
      </c>
      <c r="B7527" s="16" t="str">
        <f>TEXT(PARTIDA[[#This Row],[PARTIDA]],"0000000000")</f>
        <v>8705901100</v>
      </c>
      <c r="C7527" s="16" t="s">
        <v>860</v>
      </c>
      <c r="D7527" s="16" t="s">
        <v>881</v>
      </c>
      <c r="E7527" s="16" t="s">
        <v>9484</v>
      </c>
      <c r="F7527" s="27" t="s">
        <v>15695</v>
      </c>
      <c r="G7527" s="27"/>
      <c r="H7527" s="16" t="str">
        <f>IF(ISBLANK(PARTIDAS!$G7527),PARTIDAS!$F7527,CONCATENATE(PARTIDAS!$F7527," (",PARTIDAS!$G7527,")"))</f>
        <v>Coches barredera</v>
      </c>
      <c r="I7527" s="16" t="s">
        <v>9427</v>
      </c>
    </row>
    <row r="7528" spans="1:9" x14ac:dyDescent="0.25">
      <c r="A7528" s="16" t="s">
        <v>8397</v>
      </c>
      <c r="B7528" s="16" t="str">
        <f>TEXT(PARTIDA[[#This Row],[PARTIDA]],"0000000000")</f>
        <v>8705901900</v>
      </c>
      <c r="C7528" s="16" t="s">
        <v>860</v>
      </c>
      <c r="D7528" s="16" t="s">
        <v>881</v>
      </c>
      <c r="E7528" s="16" t="s">
        <v>9484</v>
      </c>
      <c r="F7528" s="27" t="s">
        <v>15696</v>
      </c>
      <c r="G7528" s="27"/>
      <c r="H7528" s="16" t="str">
        <f>IF(ISBLANK(PARTIDAS!$G7528),PARTIDAS!$F7528,CONCATENATE(PARTIDAS!$F7528," (",PARTIDAS!$G7528,")"))</f>
        <v>Coches barredera, regadores y análogos para la limpieza de vías… (los demás)</v>
      </c>
      <c r="I7528" s="16" t="s">
        <v>9427</v>
      </c>
    </row>
    <row r="7529" spans="1:9" x14ac:dyDescent="0.25">
      <c r="A7529" s="16" t="s">
        <v>8398</v>
      </c>
      <c r="B7529" s="16" t="str">
        <f>TEXT(PARTIDA[[#This Row],[PARTIDA]],"0000000000")</f>
        <v>8705902000</v>
      </c>
      <c r="C7529" s="16" t="s">
        <v>860</v>
      </c>
      <c r="D7529" s="16" t="s">
        <v>881</v>
      </c>
      <c r="E7529" s="16" t="s">
        <v>9484</v>
      </c>
      <c r="F7529" s="27" t="s">
        <v>15697</v>
      </c>
      <c r="G7529" s="27"/>
      <c r="H7529" s="16" t="str">
        <f>IF(ISBLANK(PARTIDAS!$G7529),PARTIDAS!$F7529,CONCATENATE(PARTIDAS!$F7529," (",PARTIDAS!$G7529,")"))</f>
        <v>Coches radiológicos</v>
      </c>
      <c r="I7529" s="16" t="s">
        <v>9427</v>
      </c>
    </row>
    <row r="7530" spans="1:9" x14ac:dyDescent="0.25">
      <c r="A7530" s="16" t="s">
        <v>8399</v>
      </c>
      <c r="B7530" s="16" t="str">
        <f>TEXT(PARTIDA[[#This Row],[PARTIDA]],"0000000000")</f>
        <v>8705909000</v>
      </c>
      <c r="C7530" s="16" t="s">
        <v>860</v>
      </c>
      <c r="D7530" s="16" t="s">
        <v>881</v>
      </c>
      <c r="E7530" s="16" t="s">
        <v>9484</v>
      </c>
      <c r="F7530" s="27" t="s">
        <v>15698</v>
      </c>
      <c r="G7530" s="27"/>
      <c r="H7530" s="16" t="str">
        <f>IF(ISBLANK(PARTIDAS!$G7530),PARTIDAS!$F7530,CONCATENATE(PARTIDAS!$F7530," (",PARTIDAS!$G7530,")"))</f>
        <v>Vehículos automóviles para usos especiales (los demás)</v>
      </c>
      <c r="I7530" s="16" t="s">
        <v>9427</v>
      </c>
    </row>
    <row r="7531" spans="1:9" x14ac:dyDescent="0.25">
      <c r="A7531" s="16" t="s">
        <v>8400</v>
      </c>
      <c r="B7531" s="16" t="str">
        <f>TEXT(PARTIDA[[#This Row],[PARTIDA]],"0000000000")</f>
        <v>8706001000</v>
      </c>
      <c r="C7531" s="16" t="s">
        <v>860</v>
      </c>
      <c r="D7531" s="16" t="s">
        <v>881</v>
      </c>
      <c r="E7531" s="16" t="s">
        <v>9483</v>
      </c>
      <c r="F7531" s="27" t="s">
        <v>15699</v>
      </c>
      <c r="G7531" s="27"/>
      <c r="H7531" s="16" t="str">
        <f>IF(ISBLANK(PARTIDAS!$G7531),PARTIDAS!$F7531,CONCATENATE(PARTIDAS!$F7531," (",PARTIDAS!$G7531,")"))</f>
        <v>Vehículos automóviles para usos especiales, de vehículos de la partida 87.03</v>
      </c>
      <c r="I7531" s="16" t="s">
        <v>9427</v>
      </c>
    </row>
    <row r="7532" spans="1:9" x14ac:dyDescent="0.25">
      <c r="A7532" s="16" t="s">
        <v>8401</v>
      </c>
      <c r="B7532" s="16" t="str">
        <f>TEXT(PARTIDA[[#This Row],[PARTIDA]],"0000000000")</f>
        <v>8706002100</v>
      </c>
      <c r="C7532" s="16" t="s">
        <v>860</v>
      </c>
      <c r="D7532" s="16" t="s">
        <v>881</v>
      </c>
      <c r="E7532" s="16" t="s">
        <v>9483</v>
      </c>
      <c r="F7532" s="27" t="s">
        <v>15700</v>
      </c>
      <c r="G7532" s="27"/>
      <c r="H7532" s="16" t="str">
        <f>IF(ISBLANK(PARTIDAS!$G7532),PARTIDAS!$F7532,CONCATENATE(PARTIDAS!$F7532," (",PARTIDAS!$G7532,")"))</f>
        <v>Vehículos automóviles para usos especiales, de vehículos de las subpartidas 8704.21 y 8704.31, de peso total con carga máxima inferior a 4,537 t</v>
      </c>
      <c r="I7532" s="16" t="s">
        <v>9427</v>
      </c>
    </row>
    <row r="7533" spans="1:9" x14ac:dyDescent="0.25">
      <c r="A7533" s="16" t="s">
        <v>8402</v>
      </c>
      <c r="B7533" s="16" t="str">
        <f>TEXT(PARTIDA[[#This Row],[PARTIDA]],"0000000000")</f>
        <v>8706002900</v>
      </c>
      <c r="C7533" s="16" t="s">
        <v>860</v>
      </c>
      <c r="D7533" s="16" t="s">
        <v>881</v>
      </c>
      <c r="E7533" s="16" t="s">
        <v>9483</v>
      </c>
      <c r="F7533" s="27" t="s">
        <v>15701</v>
      </c>
      <c r="G7533" s="27"/>
      <c r="H7533" s="16" t="str">
        <f>IF(ISBLANK(PARTIDAS!$G7533),PARTIDAS!$F7533,CONCATENATE(PARTIDAS!$F7533," (",PARTIDAS!$G7533,")"))</f>
        <v>Vehículos automóviles para usos especiales, de vehículos de las subpartidas 8704.21 y 8704.31 (los demás)</v>
      </c>
      <c r="I7533" s="16" t="s">
        <v>9427</v>
      </c>
    </row>
    <row r="7534" spans="1:9" x14ac:dyDescent="0.25">
      <c r="A7534" s="16" t="s">
        <v>8403</v>
      </c>
      <c r="B7534" s="16" t="str">
        <f>TEXT(PARTIDA[[#This Row],[PARTIDA]],"0000000000")</f>
        <v>8706009100</v>
      </c>
      <c r="C7534" s="16" t="s">
        <v>860</v>
      </c>
      <c r="D7534" s="16" t="s">
        <v>881</v>
      </c>
      <c r="E7534" s="16" t="s">
        <v>9483</v>
      </c>
      <c r="F7534" s="27" t="s">
        <v>15702</v>
      </c>
      <c r="G7534" s="27"/>
      <c r="H7534" s="16" t="str">
        <f>IF(ISBLANK(PARTIDAS!$G7534),PARTIDAS!$F7534,CONCATENATE(PARTIDAS!$F7534," (",PARTIDAS!$G7534,")"))</f>
        <v>Vehículos automóviles para usos especiales, de vehículos de peso total con carga máxima superior a 5 t pero inferior o igual a 6,2 t</v>
      </c>
      <c r="I7534" s="16" t="s">
        <v>9427</v>
      </c>
    </row>
    <row r="7535" spans="1:9" x14ac:dyDescent="0.25">
      <c r="A7535" s="16" t="s">
        <v>8404</v>
      </c>
      <c r="B7535" s="16" t="str">
        <f>TEXT(PARTIDA[[#This Row],[PARTIDA]],"0000000000")</f>
        <v>8706009200</v>
      </c>
      <c r="C7535" s="16" t="s">
        <v>860</v>
      </c>
      <c r="D7535" s="16" t="s">
        <v>881</v>
      </c>
      <c r="E7535" s="16" t="s">
        <v>9483</v>
      </c>
      <c r="F7535" s="27" t="s">
        <v>15703</v>
      </c>
      <c r="G7535" s="27"/>
      <c r="H7535" s="16" t="str">
        <f>IF(ISBLANK(PARTIDAS!$G7535),PARTIDAS!$F7535,CONCATENATE(PARTIDAS!$F7535," (",PARTIDAS!$G7535,")"))</f>
        <v>Vehículos automóviles para usos especiales, de vehículos de peso total con carga máxima superior a 6,2 t</v>
      </c>
      <c r="I7535" s="16" t="s">
        <v>9427</v>
      </c>
    </row>
    <row r="7536" spans="1:9" x14ac:dyDescent="0.25">
      <c r="A7536" s="16" t="s">
        <v>8405</v>
      </c>
      <c r="B7536" s="16" t="str">
        <f>TEXT(PARTIDA[[#This Row],[PARTIDA]],"0000000000")</f>
        <v>8706009900</v>
      </c>
      <c r="C7536" s="16" t="s">
        <v>860</v>
      </c>
      <c r="D7536" s="16" t="s">
        <v>881</v>
      </c>
      <c r="E7536" s="16" t="s">
        <v>9483</v>
      </c>
      <c r="F7536" s="27" t="s">
        <v>15698</v>
      </c>
      <c r="G7536" s="27"/>
      <c r="H7536" s="16" t="str">
        <f>IF(ISBLANK(PARTIDAS!$G7536),PARTIDAS!$F7536,CONCATENATE(PARTIDAS!$F7536," (",PARTIDAS!$G7536,")"))</f>
        <v>Vehículos automóviles para usos especiales (los demás)</v>
      </c>
      <c r="I7536" s="16" t="s">
        <v>9427</v>
      </c>
    </row>
    <row r="7537" spans="1:9" x14ac:dyDescent="0.25">
      <c r="A7537" s="16" t="s">
        <v>8406</v>
      </c>
      <c r="B7537" s="16" t="str">
        <f>TEXT(PARTIDA[[#This Row],[PARTIDA]],"0000000000")</f>
        <v>8707100000</v>
      </c>
      <c r="C7537" s="16" t="s">
        <v>860</v>
      </c>
      <c r="D7537" s="16" t="s">
        <v>881</v>
      </c>
      <c r="E7537" s="16" t="s">
        <v>9483</v>
      </c>
      <c r="F7537" s="27" t="s">
        <v>8407</v>
      </c>
      <c r="G7537" s="27"/>
      <c r="H7537" s="16" t="str">
        <f>IF(ISBLANK(PARTIDAS!$G7537),PARTIDAS!$F7537,CONCATENATE(PARTIDAS!$F7537," (",PARTIDAS!$G7537,")"))</f>
        <v>Motor de avioneta</v>
      </c>
      <c r="I7537" s="16" t="s">
        <v>9427</v>
      </c>
    </row>
    <row r="7538" spans="1:9" x14ac:dyDescent="0.25">
      <c r="A7538" s="16" t="s">
        <v>8408</v>
      </c>
      <c r="B7538" s="16" t="str">
        <f>TEXT(PARTIDA[[#This Row],[PARTIDA]],"0000000000")</f>
        <v>8707901000</v>
      </c>
      <c r="C7538" s="16" t="s">
        <v>860</v>
      </c>
      <c r="D7538" s="16" t="s">
        <v>881</v>
      </c>
      <c r="E7538" s="16" t="s">
        <v>9483</v>
      </c>
      <c r="F7538" s="27" t="s">
        <v>15704</v>
      </c>
      <c r="G7538" s="27"/>
      <c r="H7538" s="16" t="str">
        <f>IF(ISBLANK(PARTIDAS!$G7538),PARTIDAS!$F7538,CONCATENATE(PARTIDAS!$F7538," (",PARTIDAS!$G7538,")"))</f>
        <v>Carrocerías de vehículos automóviles de las partidas 87.01 a 87.05…, de vehículos de la partida 87.02</v>
      </c>
      <c r="I7538" s="16" t="s">
        <v>9427</v>
      </c>
    </row>
    <row r="7539" spans="1:9" x14ac:dyDescent="0.25">
      <c r="A7539" s="16" t="s">
        <v>8409</v>
      </c>
      <c r="B7539" s="16" t="str">
        <f>TEXT(PARTIDA[[#This Row],[PARTIDA]],"0000000000")</f>
        <v>8707909000</v>
      </c>
      <c r="C7539" s="16" t="s">
        <v>860</v>
      </c>
      <c r="D7539" s="16" t="s">
        <v>881</v>
      </c>
      <c r="E7539" s="16" t="s">
        <v>9483</v>
      </c>
      <c r="F7539" s="27" t="s">
        <v>15705</v>
      </c>
      <c r="G7539" s="27"/>
      <c r="H7539" s="16" t="str">
        <f>IF(ISBLANK(PARTIDAS!$G7539),PARTIDAS!$F7539,CONCATENATE(PARTIDAS!$F7539," (",PARTIDAS!$G7539,")"))</f>
        <v>Carrocerías de vehículos automóviles de las partidas 87.01 a 87.05… (los demás)</v>
      </c>
      <c r="I7539" s="16" t="s">
        <v>9427</v>
      </c>
    </row>
    <row r="7540" spans="1:9" x14ac:dyDescent="0.25">
      <c r="A7540" s="16" t="s">
        <v>8410</v>
      </c>
      <c r="B7540" s="16" t="str">
        <f>TEXT(PARTIDA[[#This Row],[PARTIDA]],"0000000000")</f>
        <v>8708100000</v>
      </c>
      <c r="C7540" s="16" t="s">
        <v>860</v>
      </c>
      <c r="D7540" s="16" t="s">
        <v>881</v>
      </c>
      <c r="E7540" s="16" t="s">
        <v>9483</v>
      </c>
      <c r="F7540" s="27" t="s">
        <v>15706</v>
      </c>
      <c r="G7540" s="27"/>
      <c r="H7540" s="16" t="str">
        <f>IF(ISBLANK(PARTIDAS!$G7540),PARTIDAS!$F7540,CONCATENATE(PARTIDAS!$F7540," (",PARTIDAS!$G7540,")"))</f>
        <v>Parachoques (paragolpes, defensas) y sus partes</v>
      </c>
      <c r="I7540" s="16" t="s">
        <v>9427</v>
      </c>
    </row>
    <row r="7541" spans="1:9" x14ac:dyDescent="0.25">
      <c r="A7541" s="16" t="s">
        <v>8411</v>
      </c>
      <c r="B7541" s="16" t="str">
        <f>TEXT(PARTIDA[[#This Row],[PARTIDA]],"0000000000")</f>
        <v>8708210000</v>
      </c>
      <c r="C7541" s="16" t="s">
        <v>860</v>
      </c>
      <c r="D7541" s="16" t="s">
        <v>881</v>
      </c>
      <c r="E7541" s="16" t="s">
        <v>9483</v>
      </c>
      <c r="F7541" s="27" t="s">
        <v>9202</v>
      </c>
      <c r="G7541" s="27"/>
      <c r="H7541" s="16" t="str">
        <f>IF(ISBLANK(PARTIDAS!$G7541),PARTIDAS!$F7541,CONCATENATE(PARTIDAS!$F7541," (",PARTIDAS!$G7541,")"))</f>
        <v>Cinturones de seguridad</v>
      </c>
      <c r="I7541" s="16" t="s">
        <v>9427</v>
      </c>
    </row>
    <row r="7542" spans="1:9" x14ac:dyDescent="0.25">
      <c r="A7542" s="16" t="s">
        <v>15707</v>
      </c>
      <c r="B7542" s="16" t="str">
        <f>TEXT(PARTIDA[[#This Row],[PARTIDA]],"0000000000")</f>
        <v>8708220000</v>
      </c>
      <c r="C7542" s="16" t="s">
        <v>860</v>
      </c>
      <c r="D7542" s="16" t="s">
        <v>881</v>
      </c>
      <c r="E7542" s="16" t="s">
        <v>9483</v>
      </c>
      <c r="F7542" s="27" t="s">
        <v>15708</v>
      </c>
      <c r="G7542" s="27"/>
      <c r="H7542" s="16" t="str">
        <f>IF(ISBLANK(PARTIDAS!$G7542),PARTIDAS!$F7542,CONCATENATE(PARTIDAS!$F7542," (",PARTIDAS!$G7542,")"))</f>
        <v>Parabrisas, vidrios traseros (lunetas) y demás ventanillas especificados en la Nota 1 de subpartida de este Capítulo</v>
      </c>
      <c r="I7542" s="16" t="s">
        <v>9427</v>
      </c>
    </row>
    <row r="7543" spans="1:9" x14ac:dyDescent="0.25">
      <c r="A7543" s="16" t="s">
        <v>8412</v>
      </c>
      <c r="B7543" s="16" t="str">
        <f>TEXT(PARTIDA[[#This Row],[PARTIDA]],"0000000000")</f>
        <v>8708291000</v>
      </c>
      <c r="C7543" s="16" t="s">
        <v>860</v>
      </c>
      <c r="D7543" s="16" t="s">
        <v>881</v>
      </c>
      <c r="E7543" s="16" t="s">
        <v>9483</v>
      </c>
      <c r="F7543" s="27" t="s">
        <v>15709</v>
      </c>
      <c r="G7543" s="27"/>
      <c r="H7543" s="16" t="str">
        <f>IF(ISBLANK(PARTIDAS!$G7543),PARTIDAS!$F7543,CONCATENATE(PARTIDAS!$F7543," (",PARTIDAS!$G7543,")"))</f>
        <v>Techos (capotas)</v>
      </c>
      <c r="I7543" s="16" t="s">
        <v>9427</v>
      </c>
    </row>
    <row r="7544" spans="1:9" x14ac:dyDescent="0.25">
      <c r="A7544" s="16" t="s">
        <v>8413</v>
      </c>
      <c r="B7544" s="16" t="str">
        <f>TEXT(PARTIDA[[#This Row],[PARTIDA]],"0000000000")</f>
        <v>8708292000</v>
      </c>
      <c r="C7544" s="16" t="s">
        <v>860</v>
      </c>
      <c r="D7544" s="16" t="s">
        <v>881</v>
      </c>
      <c r="E7544" s="16" t="s">
        <v>9483</v>
      </c>
      <c r="F7544" s="27" t="s">
        <v>15710</v>
      </c>
      <c r="G7544" s="27"/>
      <c r="H7544" s="16" t="str">
        <f>IF(ISBLANK(PARTIDAS!$G7544),PARTIDAS!$F7544,CONCATENATE(PARTIDAS!$F7544," (",PARTIDAS!$G7544,")"))</f>
        <v>Guardafangos, cubiertas de motor, flancos, puertas, y sus partes</v>
      </c>
      <c r="I7544" s="16" t="s">
        <v>9427</v>
      </c>
    </row>
    <row r="7545" spans="1:9" x14ac:dyDescent="0.25">
      <c r="A7545" s="16" t="s">
        <v>8414</v>
      </c>
      <c r="B7545" s="16" t="str">
        <f>TEXT(PARTIDA[[#This Row],[PARTIDA]],"0000000000")</f>
        <v>8708293000</v>
      </c>
      <c r="C7545" s="16" t="s">
        <v>860</v>
      </c>
      <c r="D7545" s="16" t="s">
        <v>881</v>
      </c>
      <c r="E7545" s="16" t="s">
        <v>9483</v>
      </c>
      <c r="F7545" s="27" t="s">
        <v>15711</v>
      </c>
      <c r="G7545" s="27"/>
      <c r="H7545" s="16" t="str">
        <f>IF(ISBLANK(PARTIDAS!$G7545),PARTIDAS!$F7545,CONCATENATE(PARTIDAS!$F7545," (",PARTIDAS!$G7545,")"))</f>
        <v>Rejillas delanteras (persianas, parrillas)</v>
      </c>
      <c r="I7545" s="16" t="s">
        <v>9427</v>
      </c>
    </row>
    <row r="7546" spans="1:9" x14ac:dyDescent="0.25">
      <c r="A7546" s="16" t="s">
        <v>8415</v>
      </c>
      <c r="B7546" s="16" t="str">
        <f>TEXT(PARTIDA[[#This Row],[PARTIDA]],"0000000000")</f>
        <v>8708294000</v>
      </c>
      <c r="C7546" s="16" t="s">
        <v>860</v>
      </c>
      <c r="D7546" s="16" t="s">
        <v>881</v>
      </c>
      <c r="E7546" s="16" t="s">
        <v>9483</v>
      </c>
      <c r="F7546" s="27" t="s">
        <v>15712</v>
      </c>
      <c r="G7546" s="27"/>
      <c r="H7546" s="16" t="str">
        <f>IF(ISBLANK(PARTIDAS!$G7546),PARTIDAS!$F7546,CONCATENATE(PARTIDAS!$F7546," (",PARTIDAS!$G7546,")"))</f>
        <v>Tableros de instrumentos (salpicaderos)</v>
      </c>
      <c r="I7546" s="16" t="s">
        <v>9427</v>
      </c>
    </row>
    <row r="7547" spans="1:9" x14ac:dyDescent="0.25">
      <c r="A7547" s="16" t="s">
        <v>8416</v>
      </c>
      <c r="B7547" s="16" t="str">
        <f>TEXT(PARTIDA[[#This Row],[PARTIDA]],"0000000000")</f>
        <v>8708295000</v>
      </c>
      <c r="C7547" s="16" t="s">
        <v>860</v>
      </c>
      <c r="D7547" s="16" t="s">
        <v>881</v>
      </c>
      <c r="E7547" s="16" t="s">
        <v>9483</v>
      </c>
      <c r="F7547" s="27" t="s">
        <v>15713</v>
      </c>
      <c r="G7547" s="27"/>
      <c r="H7547" s="16" t="str">
        <f>IF(ISBLANK(PARTIDAS!$G7547),PARTIDAS!$F7547,CONCATENATE(PARTIDAS!$F7547," (",PARTIDAS!$G7547,")"))</f>
        <v>Vidrios enmarcados; vidrios, incluso enmarcados, con resistencias calentadoras o dispositivos de conexión eléctrica</v>
      </c>
      <c r="I7547" s="16" t="s">
        <v>9648</v>
      </c>
    </row>
    <row r="7548" spans="1:9" x14ac:dyDescent="0.25">
      <c r="A7548" s="16" t="s">
        <v>8417</v>
      </c>
      <c r="B7548" s="16" t="str">
        <f>TEXT(PARTIDA[[#This Row],[PARTIDA]],"0000000000")</f>
        <v>8708299000</v>
      </c>
      <c r="C7548" s="16" t="s">
        <v>860</v>
      </c>
      <c r="D7548" s="16" t="s">
        <v>881</v>
      </c>
      <c r="E7548" s="16" t="s">
        <v>9483</v>
      </c>
      <c r="F7548" s="27" t="s">
        <v>15714</v>
      </c>
      <c r="G7548" s="27"/>
      <c r="H7548" s="16" t="str">
        <f>IF(ISBLANK(PARTIDAS!$G7548),PARTIDAS!$F7548,CONCATENATE(PARTIDAS!$F7548," (",PARTIDAS!$G7548,")"))</f>
        <v>Partes y accesorios de vehículos automóviles de las partidas 87.01 a… (los demás)</v>
      </c>
      <c r="I7548" s="16" t="s">
        <v>9427</v>
      </c>
    </row>
    <row r="7549" spans="1:9" x14ac:dyDescent="0.25">
      <c r="A7549" s="16" t="s">
        <v>8418</v>
      </c>
      <c r="B7549" s="16" t="str">
        <f>TEXT(PARTIDA[[#This Row],[PARTIDA]],"0000000000")</f>
        <v>8708301000</v>
      </c>
      <c r="C7549" s="16" t="s">
        <v>860</v>
      </c>
      <c r="D7549" s="16" t="s">
        <v>881</v>
      </c>
      <c r="E7549" s="16" t="s">
        <v>9483</v>
      </c>
      <c r="F7549" s="27" t="s">
        <v>15715</v>
      </c>
      <c r="G7549" s="27"/>
      <c r="H7549" s="16" t="str">
        <f>IF(ISBLANK(PARTIDAS!$G7549),PARTIDAS!$F7549,CONCATENATE(PARTIDAS!$F7549," (",PARTIDAS!$G7549,")"))</f>
        <v>Guarniciones de frenos montadas</v>
      </c>
      <c r="I7549" s="16" t="s">
        <v>9427</v>
      </c>
    </row>
    <row r="7550" spans="1:9" x14ac:dyDescent="0.25">
      <c r="A7550" s="16" t="s">
        <v>8419</v>
      </c>
      <c r="B7550" s="16" t="str">
        <f>TEXT(PARTIDA[[#This Row],[PARTIDA]],"0000000000")</f>
        <v>8708302100</v>
      </c>
      <c r="C7550" s="16" t="s">
        <v>860</v>
      </c>
      <c r="D7550" s="16" t="s">
        <v>881</v>
      </c>
      <c r="E7550" s="16" t="s">
        <v>9483</v>
      </c>
      <c r="F7550" s="27" t="s">
        <v>15716</v>
      </c>
      <c r="G7550" s="27"/>
      <c r="H7550" s="16" t="str">
        <f>IF(ISBLANK(PARTIDAS!$G7550),PARTIDAS!$F7550,CONCATENATE(PARTIDAS!$F7550," (",PARTIDAS!$G7550,")"))</f>
        <v>Frenos y servofrenos, tambores</v>
      </c>
      <c r="I7550" s="16" t="s">
        <v>9427</v>
      </c>
    </row>
    <row r="7551" spans="1:9" x14ac:dyDescent="0.25">
      <c r="A7551" s="16" t="s">
        <v>8420</v>
      </c>
      <c r="B7551" s="16" t="str">
        <f>TEXT(PARTIDA[[#This Row],[PARTIDA]],"0000000000")</f>
        <v>8708302200</v>
      </c>
      <c r="C7551" s="16" t="s">
        <v>860</v>
      </c>
      <c r="D7551" s="16" t="s">
        <v>881</v>
      </c>
      <c r="E7551" s="16" t="s">
        <v>9483</v>
      </c>
      <c r="F7551" s="27" t="s">
        <v>15717</v>
      </c>
      <c r="G7551" s="27"/>
      <c r="H7551" s="16" t="str">
        <f>IF(ISBLANK(PARTIDAS!$G7551),PARTIDAS!$F7551,CONCATENATE(PARTIDAS!$F7551," (",PARTIDAS!$G7551,")"))</f>
        <v>Sistemas neumáticos</v>
      </c>
      <c r="I7551" s="16" t="s">
        <v>9427</v>
      </c>
    </row>
    <row r="7552" spans="1:9" x14ac:dyDescent="0.25">
      <c r="A7552" s="16" t="s">
        <v>8421</v>
      </c>
      <c r="B7552" s="16" t="str">
        <f>TEXT(PARTIDA[[#This Row],[PARTIDA]],"0000000000")</f>
        <v>8708302300</v>
      </c>
      <c r="C7552" s="16" t="s">
        <v>860</v>
      </c>
      <c r="D7552" s="16" t="s">
        <v>881</v>
      </c>
      <c r="E7552" s="16" t="s">
        <v>9483</v>
      </c>
      <c r="F7552" s="27" t="s">
        <v>15718</v>
      </c>
      <c r="G7552" s="27"/>
      <c r="H7552" s="16" t="str">
        <f>IF(ISBLANK(PARTIDAS!$G7552),PARTIDAS!$F7552,CONCATENATE(PARTIDAS!$F7552," (",PARTIDAS!$G7552,")"))</f>
        <v>Sistemas hidráulicos</v>
      </c>
      <c r="I7552" s="16" t="s">
        <v>9427</v>
      </c>
    </row>
    <row r="7553" spans="1:9" x14ac:dyDescent="0.25">
      <c r="A7553" s="16" t="s">
        <v>8422</v>
      </c>
      <c r="B7553" s="16" t="str">
        <f>TEXT(PARTIDA[[#This Row],[PARTIDA]],"0000000000")</f>
        <v>8708302400</v>
      </c>
      <c r="C7553" s="16" t="s">
        <v>860</v>
      </c>
      <c r="D7553" s="16" t="s">
        <v>881</v>
      </c>
      <c r="E7553" s="16" t="s">
        <v>9483</v>
      </c>
      <c r="F7553" s="27" t="s">
        <v>15719</v>
      </c>
      <c r="G7553" s="27"/>
      <c r="H7553" s="16" t="str">
        <f>IF(ISBLANK(PARTIDAS!$G7553),PARTIDAS!$F7553,CONCATENATE(PARTIDAS!$F7553," (",PARTIDAS!$G7553,")"))</f>
        <v>Frenos y servofrenos, servofrenos</v>
      </c>
      <c r="I7553" s="16" t="s">
        <v>9427</v>
      </c>
    </row>
    <row r="7554" spans="1:9" x14ac:dyDescent="0.25">
      <c r="A7554" s="16" t="s">
        <v>8423</v>
      </c>
      <c r="B7554" s="16" t="str">
        <f>TEXT(PARTIDA[[#This Row],[PARTIDA]],"0000000000")</f>
        <v>8708302500</v>
      </c>
      <c r="C7554" s="16" t="s">
        <v>860</v>
      </c>
      <c r="D7554" s="16" t="s">
        <v>881</v>
      </c>
      <c r="E7554" s="16" t="s">
        <v>9483</v>
      </c>
      <c r="F7554" s="27" t="s">
        <v>15720</v>
      </c>
      <c r="G7554" s="27"/>
      <c r="H7554" s="16" t="str">
        <f>IF(ISBLANK(PARTIDAS!$G7554),PARTIDAS!$F7554,CONCATENATE(PARTIDAS!$F7554," (",PARTIDAS!$G7554,")"))</f>
        <v>Frenos y servofrenos, discos</v>
      </c>
      <c r="I7554" s="16" t="s">
        <v>9427</v>
      </c>
    </row>
    <row r="7555" spans="1:9" x14ac:dyDescent="0.25">
      <c r="A7555" s="16" t="s">
        <v>8424</v>
      </c>
      <c r="B7555" s="16" t="str">
        <f>TEXT(PARTIDA[[#This Row],[PARTIDA]],"0000000000")</f>
        <v>8708302900</v>
      </c>
      <c r="C7555" s="16" t="s">
        <v>860</v>
      </c>
      <c r="D7555" s="16" t="s">
        <v>881</v>
      </c>
      <c r="E7555" s="16" t="s">
        <v>9483</v>
      </c>
      <c r="F7555" s="27" t="s">
        <v>15721</v>
      </c>
      <c r="G7555" s="27"/>
      <c r="H7555" s="16" t="str">
        <f>IF(ISBLANK(PARTIDAS!$G7555),PARTIDAS!$F7555,CONCATENATE(PARTIDAS!$F7555," (",PARTIDAS!$G7555,")"))</f>
        <v>Frenos y servofrenos (los demás, partes)</v>
      </c>
      <c r="I7555" s="16" t="s">
        <v>9427</v>
      </c>
    </row>
    <row r="7556" spans="1:9" x14ac:dyDescent="0.25">
      <c r="A7556" s="16" t="s">
        <v>8425</v>
      </c>
      <c r="B7556" s="16" t="str">
        <f>TEXT(PARTIDA[[#This Row],[PARTIDA]],"0000000000")</f>
        <v>8708401000</v>
      </c>
      <c r="C7556" s="16" t="s">
        <v>860</v>
      </c>
      <c r="D7556" s="16" t="s">
        <v>881</v>
      </c>
      <c r="E7556" s="16" t="s">
        <v>9483</v>
      </c>
      <c r="F7556" s="27" t="s">
        <v>15722</v>
      </c>
      <c r="G7556" s="27"/>
      <c r="H7556" s="16" t="str">
        <f>IF(ISBLANK(PARTIDAS!$G7556),PARTIDAS!$F7556,CONCATENATE(PARTIDAS!$F7556," (",PARTIDAS!$G7556,")"))</f>
        <v>Cajas de cambio</v>
      </c>
      <c r="I7556" s="16" t="s">
        <v>9427</v>
      </c>
    </row>
    <row r="7557" spans="1:9" x14ac:dyDescent="0.25">
      <c r="A7557" s="16" t="s">
        <v>8426</v>
      </c>
      <c r="B7557" s="16" t="str">
        <f>TEXT(PARTIDA[[#This Row],[PARTIDA]],"0000000000")</f>
        <v>8708409000</v>
      </c>
      <c r="C7557" s="16" t="s">
        <v>860</v>
      </c>
      <c r="D7557" s="16" t="s">
        <v>881</v>
      </c>
      <c r="E7557" s="16" t="s">
        <v>9483</v>
      </c>
      <c r="F7557" s="27" t="s">
        <v>15723</v>
      </c>
      <c r="G7557" s="27"/>
      <c r="H7557" s="16" t="str">
        <f>IF(ISBLANK(PARTIDAS!$G7557),PARTIDAS!$F7557,CONCATENATE(PARTIDAS!$F7557," (",PARTIDAS!$G7557,")"))</f>
        <v>Cajas de cambio y sus partes, partes</v>
      </c>
      <c r="I7557" s="16" t="s">
        <v>9427</v>
      </c>
    </row>
    <row r="7558" spans="1:9" x14ac:dyDescent="0.25">
      <c r="A7558" s="16" t="s">
        <v>8427</v>
      </c>
      <c r="B7558" s="16" t="str">
        <f>TEXT(PARTIDA[[#This Row],[PARTIDA]],"0000000000")</f>
        <v>8708501100</v>
      </c>
      <c r="C7558" s="16" t="s">
        <v>860</v>
      </c>
      <c r="D7558" s="16" t="s">
        <v>881</v>
      </c>
      <c r="E7558" s="16" t="s">
        <v>9483</v>
      </c>
      <c r="F7558" s="27" t="s">
        <v>15724</v>
      </c>
      <c r="G7558" s="27"/>
      <c r="H7558" s="16" t="str">
        <f>IF(ISBLANK(PARTIDAS!$G7558),PARTIDAS!$F7558,CONCATENATE(PARTIDAS!$F7558," (",PARTIDAS!$G7558,")"))</f>
        <v>Ejes con diferencial</v>
      </c>
      <c r="I7558" s="16" t="s">
        <v>9427</v>
      </c>
    </row>
    <row r="7559" spans="1:9" x14ac:dyDescent="0.25">
      <c r="A7559" s="16" t="s">
        <v>8428</v>
      </c>
      <c r="B7559" s="16" t="str">
        <f>TEXT(PARTIDA[[#This Row],[PARTIDA]],"0000000000")</f>
        <v>8708501900</v>
      </c>
      <c r="C7559" s="16" t="s">
        <v>860</v>
      </c>
      <c r="D7559" s="16" t="s">
        <v>881</v>
      </c>
      <c r="E7559" s="16" t="s">
        <v>9483</v>
      </c>
      <c r="F7559" s="27" t="s">
        <v>15725</v>
      </c>
      <c r="G7559" s="27"/>
      <c r="H7559" s="16" t="str">
        <f>IF(ISBLANK(PARTIDAS!$G7559),PARTIDAS!$F7559,CONCATENATE(PARTIDAS!$F7559," (",PARTIDAS!$G7559,")"))</f>
        <v>Ejes con diferencial, incluso provistos con otros órganos de…, partes</v>
      </c>
      <c r="I7559" s="16" t="s">
        <v>9427</v>
      </c>
    </row>
    <row r="7560" spans="1:9" x14ac:dyDescent="0.25">
      <c r="A7560" s="16" t="s">
        <v>8429</v>
      </c>
      <c r="B7560" s="16" t="str">
        <f>TEXT(PARTIDA[[#This Row],[PARTIDA]],"0000000000")</f>
        <v>8708502100</v>
      </c>
      <c r="C7560" s="16" t="s">
        <v>860</v>
      </c>
      <c r="D7560" s="16" t="s">
        <v>881</v>
      </c>
      <c r="E7560" s="16" t="s">
        <v>9483</v>
      </c>
      <c r="F7560" s="27" t="s">
        <v>15726</v>
      </c>
      <c r="G7560" s="27"/>
      <c r="H7560" s="16" t="str">
        <f>IF(ISBLANK(PARTIDAS!$G7560),PARTIDAS!$F7560,CONCATENATE(PARTIDAS!$F7560," (",PARTIDAS!$G7560,")"))</f>
        <v>Ejes portadores</v>
      </c>
      <c r="I7560" s="16" t="s">
        <v>9427</v>
      </c>
    </row>
    <row r="7561" spans="1:9" x14ac:dyDescent="0.25">
      <c r="A7561" s="16" t="s">
        <v>8430</v>
      </c>
      <c r="B7561" s="16" t="str">
        <f>TEXT(PARTIDA[[#This Row],[PARTIDA]],"0000000000")</f>
        <v>8708502900</v>
      </c>
      <c r="C7561" s="16" t="s">
        <v>860</v>
      </c>
      <c r="D7561" s="16" t="s">
        <v>881</v>
      </c>
      <c r="E7561" s="16" t="s">
        <v>9483</v>
      </c>
      <c r="F7561" s="27" t="s">
        <v>15727</v>
      </c>
      <c r="G7561" s="27"/>
      <c r="H7561" s="16" t="str">
        <f>IF(ISBLANK(PARTIDAS!$G7561),PARTIDAS!$F7561,CONCATENATE(PARTIDAS!$F7561," (",PARTIDAS!$G7561,")"))</f>
        <v>Ejes portadores y sus partes, partes</v>
      </c>
      <c r="I7561" s="16" t="s">
        <v>9427</v>
      </c>
    </row>
    <row r="7562" spans="1:9" x14ac:dyDescent="0.25">
      <c r="A7562" s="16" t="s">
        <v>8431</v>
      </c>
      <c r="B7562" s="16" t="str">
        <f>TEXT(PARTIDA[[#This Row],[PARTIDA]],"0000000000")</f>
        <v>8708701000</v>
      </c>
      <c r="C7562" s="16" t="s">
        <v>860</v>
      </c>
      <c r="D7562" s="16" t="s">
        <v>881</v>
      </c>
      <c r="E7562" s="16" t="s">
        <v>9483</v>
      </c>
      <c r="F7562" s="27" t="s">
        <v>8432</v>
      </c>
      <c r="G7562" s="27"/>
      <c r="H7562" s="16" t="str">
        <f>IF(ISBLANK(PARTIDAS!$G7562),PARTIDAS!$F7562,CONCATENATE(PARTIDAS!$F7562," (",PARTIDAS!$G7562,")"))</f>
        <v>Ruedas y sus partes</v>
      </c>
      <c r="I7562" s="16" t="s">
        <v>9427</v>
      </c>
    </row>
    <row r="7563" spans="1:9" x14ac:dyDescent="0.25">
      <c r="A7563" s="16" t="s">
        <v>8433</v>
      </c>
      <c r="B7563" s="16" t="str">
        <f>TEXT(PARTIDA[[#This Row],[PARTIDA]],"0000000000")</f>
        <v>8708702000</v>
      </c>
      <c r="C7563" s="16" t="s">
        <v>860</v>
      </c>
      <c r="D7563" s="16" t="s">
        <v>881</v>
      </c>
      <c r="E7563" s="16" t="s">
        <v>9483</v>
      </c>
      <c r="F7563" s="27" t="s">
        <v>15728</v>
      </c>
      <c r="G7563" s="27"/>
      <c r="H7563" s="16" t="str">
        <f>IF(ISBLANK(PARTIDAS!$G7563),PARTIDAS!$F7563,CONCATENATE(PARTIDAS!$F7563," (",PARTIDAS!$G7563,")"))</f>
        <v>Embellecedores de ruedas (tapacubos, copas, vasos) y demás accesorios</v>
      </c>
      <c r="I7563" s="16" t="s">
        <v>9427</v>
      </c>
    </row>
    <row r="7564" spans="1:9" x14ac:dyDescent="0.25">
      <c r="A7564" s="16" t="s">
        <v>8434</v>
      </c>
      <c r="B7564" s="16" t="str">
        <f>TEXT(PARTIDA[[#This Row],[PARTIDA]],"0000000000")</f>
        <v>8708801000</v>
      </c>
      <c r="C7564" s="16" t="s">
        <v>860</v>
      </c>
      <c r="D7564" s="16" t="s">
        <v>881</v>
      </c>
      <c r="E7564" s="16" t="s">
        <v>9483</v>
      </c>
      <c r="F7564" s="27" t="s">
        <v>15729</v>
      </c>
      <c r="G7564" s="27"/>
      <c r="H7564" s="16" t="str">
        <f>IF(ISBLANK(PARTIDAS!$G7564),PARTIDAS!$F7564,CONCATENATE(PARTIDAS!$F7564," (",PARTIDAS!$G7564,")"))</f>
        <v>Rótulas y sus partes</v>
      </c>
      <c r="I7564" s="16" t="s">
        <v>9427</v>
      </c>
    </row>
    <row r="7565" spans="1:9" x14ac:dyDescent="0.25">
      <c r="A7565" s="16" t="s">
        <v>8435</v>
      </c>
      <c r="B7565" s="16" t="str">
        <f>TEXT(PARTIDA[[#This Row],[PARTIDA]],"0000000000")</f>
        <v>8708802000</v>
      </c>
      <c r="C7565" s="16" t="s">
        <v>860</v>
      </c>
      <c r="D7565" s="16" t="s">
        <v>881</v>
      </c>
      <c r="E7565" s="16" t="s">
        <v>9483</v>
      </c>
      <c r="F7565" s="27" t="s">
        <v>15730</v>
      </c>
      <c r="G7565" s="27"/>
      <c r="H7565" s="16" t="str">
        <f>IF(ISBLANK(PARTIDAS!$G7565),PARTIDAS!$F7565,CONCATENATE(PARTIDAS!$F7565," (",PARTIDAS!$G7565,")"))</f>
        <v>Amortiguadores y sus partes</v>
      </c>
      <c r="I7565" s="16" t="s">
        <v>9427</v>
      </c>
    </row>
    <row r="7566" spans="1:9" x14ac:dyDescent="0.25">
      <c r="A7566" s="16" t="s">
        <v>8436</v>
      </c>
      <c r="B7566" s="16" t="str">
        <f>TEXT(PARTIDA[[#This Row],[PARTIDA]],"0000000000")</f>
        <v>8708809000</v>
      </c>
      <c r="C7566" s="16" t="s">
        <v>860</v>
      </c>
      <c r="D7566" s="16" t="s">
        <v>881</v>
      </c>
      <c r="E7566" s="16" t="s">
        <v>9483</v>
      </c>
      <c r="F7566" s="27" t="s">
        <v>15731</v>
      </c>
      <c r="G7566" s="27"/>
      <c r="H7566" s="16" t="str">
        <f>IF(ISBLANK(PARTIDAS!$G7566),PARTIDAS!$F7566,CONCATENATE(PARTIDAS!$F7566," (",PARTIDAS!$G7566,")"))</f>
        <v>Sistemas de suspensión y sus partes (incluidos los amortiguadores) (los demás)</v>
      </c>
      <c r="I7566" s="16" t="s">
        <v>9427</v>
      </c>
    </row>
    <row r="7567" spans="1:9" x14ac:dyDescent="0.25">
      <c r="A7567" s="16" t="s">
        <v>8437</v>
      </c>
      <c r="B7567" s="16" t="str">
        <f>TEXT(PARTIDA[[#This Row],[PARTIDA]],"0000000000")</f>
        <v>8708910000</v>
      </c>
      <c r="C7567" s="16" t="s">
        <v>860</v>
      </c>
      <c r="D7567" s="16" t="s">
        <v>881</v>
      </c>
      <c r="E7567" s="16" t="s">
        <v>9483</v>
      </c>
      <c r="F7567" s="27" t="s">
        <v>9370</v>
      </c>
      <c r="G7567" s="27"/>
      <c r="H7567" s="16" t="str">
        <f>IF(ISBLANK(PARTIDAS!$G7567),PARTIDAS!$F7567,CONCATENATE(PARTIDAS!$F7567," (",PARTIDAS!$G7567,")"))</f>
        <v>Radiadores y sus partes</v>
      </c>
      <c r="I7567" s="16" t="s">
        <v>9477</v>
      </c>
    </row>
    <row r="7568" spans="1:9" x14ac:dyDescent="0.25">
      <c r="A7568" s="16" t="s">
        <v>8438</v>
      </c>
      <c r="B7568" s="16" t="str">
        <f>TEXT(PARTIDA[[#This Row],[PARTIDA]],"0000000000")</f>
        <v>8708920000</v>
      </c>
      <c r="C7568" s="16" t="s">
        <v>860</v>
      </c>
      <c r="D7568" s="16" t="s">
        <v>881</v>
      </c>
      <c r="E7568" s="16" t="s">
        <v>9483</v>
      </c>
      <c r="F7568" s="27" t="s">
        <v>15732</v>
      </c>
      <c r="G7568" s="27"/>
      <c r="H7568" s="16" t="str">
        <f>IF(ISBLANK(PARTIDAS!$G7568),PARTIDAS!$F7568,CONCATENATE(PARTIDAS!$F7568," (",PARTIDAS!$G7568,")"))</f>
        <v>Silenciadores y tubos (caños) de escape; sus partes</v>
      </c>
      <c r="I7568" s="16" t="s">
        <v>9427</v>
      </c>
    </row>
    <row r="7569" spans="1:9" x14ac:dyDescent="0.25">
      <c r="A7569" s="16" t="s">
        <v>8439</v>
      </c>
      <c r="B7569" s="16" t="str">
        <f>TEXT(PARTIDA[[#This Row],[PARTIDA]],"0000000000")</f>
        <v>8708931000</v>
      </c>
      <c r="C7569" s="16" t="s">
        <v>860</v>
      </c>
      <c r="D7569" s="16" t="s">
        <v>881</v>
      </c>
      <c r="E7569" s="16" t="s">
        <v>9483</v>
      </c>
      <c r="F7569" s="27" t="s">
        <v>15733</v>
      </c>
      <c r="G7569" s="27"/>
      <c r="H7569" s="16" t="str">
        <f>IF(ISBLANK(PARTIDAS!$G7569),PARTIDAS!$F7569,CONCATENATE(PARTIDAS!$F7569," (",PARTIDAS!$G7569,")"))</f>
        <v>Embragues y sus partes, embragues</v>
      </c>
      <c r="I7569" s="16" t="s">
        <v>9427</v>
      </c>
    </row>
    <row r="7570" spans="1:9" x14ac:dyDescent="0.25">
      <c r="A7570" s="16" t="s">
        <v>8440</v>
      </c>
      <c r="B7570" s="16" t="str">
        <f>TEXT(PARTIDA[[#This Row],[PARTIDA]],"0000000000")</f>
        <v>8708939100</v>
      </c>
      <c r="C7570" s="16" t="s">
        <v>860</v>
      </c>
      <c r="D7570" s="16" t="s">
        <v>881</v>
      </c>
      <c r="E7570" s="16" t="s">
        <v>9483</v>
      </c>
      <c r="F7570" s="27" t="s">
        <v>15734</v>
      </c>
      <c r="G7570" s="27"/>
      <c r="H7570" s="16" t="str">
        <f>IF(ISBLANK(PARTIDAS!$G7570),PARTIDAS!$F7570,CONCATENATE(PARTIDAS!$F7570," (",PARTIDAS!$G7570,")"))</f>
        <v>Platos (prensas) y discos</v>
      </c>
      <c r="I7570" s="16" t="s">
        <v>9427</v>
      </c>
    </row>
    <row r="7571" spans="1:9" x14ac:dyDescent="0.25">
      <c r="A7571" s="16" t="s">
        <v>8441</v>
      </c>
      <c r="B7571" s="16" t="str">
        <f>TEXT(PARTIDA[[#This Row],[PARTIDA]],"0000000000")</f>
        <v>8708939900</v>
      </c>
      <c r="C7571" s="16" t="s">
        <v>860</v>
      </c>
      <c r="D7571" s="16" t="s">
        <v>881</v>
      </c>
      <c r="E7571" s="16" t="s">
        <v>9483</v>
      </c>
      <c r="F7571" s="27" t="s">
        <v>15735</v>
      </c>
      <c r="G7571" s="27"/>
      <c r="H7571" s="16" t="str">
        <f>IF(ISBLANK(PARTIDAS!$G7571),PARTIDAS!$F7571,CONCATENATE(PARTIDAS!$F7571," (",PARTIDAS!$G7571,")"))</f>
        <v>Embragues y sus partes, partes (los demás)</v>
      </c>
      <c r="I7571" s="16" t="s">
        <v>9427</v>
      </c>
    </row>
    <row r="7572" spans="1:9" x14ac:dyDescent="0.25">
      <c r="A7572" s="16" t="s">
        <v>8442</v>
      </c>
      <c r="B7572" s="16" t="str">
        <f>TEXT(PARTIDA[[#This Row],[PARTIDA]],"0000000000")</f>
        <v>8708940000</v>
      </c>
      <c r="C7572" s="16" t="s">
        <v>860</v>
      </c>
      <c r="D7572" s="16" t="s">
        <v>881</v>
      </c>
      <c r="E7572" s="16" t="s">
        <v>9483</v>
      </c>
      <c r="F7572" s="27" t="s">
        <v>15736</v>
      </c>
      <c r="G7572" s="27"/>
      <c r="H7572" s="16" t="str">
        <f>IF(ISBLANK(PARTIDAS!$G7572),PARTIDAS!$F7572,CONCATENATE(PARTIDAS!$F7572," (",PARTIDAS!$G7572,")"))</f>
        <v>Volantes, columnas y cajas de dirección; sus partes</v>
      </c>
      <c r="I7572" s="16" t="s">
        <v>9427</v>
      </c>
    </row>
    <row r="7573" spans="1:9" x14ac:dyDescent="0.25">
      <c r="A7573" s="16" t="s">
        <v>8443</v>
      </c>
      <c r="B7573" s="16" t="str">
        <f>TEXT(PARTIDA[[#This Row],[PARTIDA]],"0000000000")</f>
        <v>8708950000</v>
      </c>
      <c r="C7573" s="16" t="s">
        <v>860</v>
      </c>
      <c r="D7573" s="16" t="s">
        <v>881</v>
      </c>
      <c r="E7573" s="16" t="s">
        <v>9483</v>
      </c>
      <c r="F7573" s="27" t="s">
        <v>15737</v>
      </c>
      <c r="G7573" s="27"/>
      <c r="H7573" s="16" t="str">
        <f>IF(ISBLANK(PARTIDAS!$G7573),PARTIDAS!$F7573,CONCATENATE(PARTIDAS!$F7573," (",PARTIDAS!$G7573,")"))</f>
        <v>Bolsas inflables de seguridad con sistema de inflado (airbag); sus partes</v>
      </c>
      <c r="I7573" s="16" t="s">
        <v>9427</v>
      </c>
    </row>
    <row r="7574" spans="1:9" x14ac:dyDescent="0.25">
      <c r="A7574" s="16" t="s">
        <v>8444</v>
      </c>
      <c r="B7574" s="16" t="str">
        <f>TEXT(PARTIDA[[#This Row],[PARTIDA]],"0000000000")</f>
        <v>8708991100</v>
      </c>
      <c r="C7574" s="16" t="s">
        <v>860</v>
      </c>
      <c r="D7574" s="16" t="s">
        <v>881</v>
      </c>
      <c r="E7574" s="16" t="s">
        <v>9483</v>
      </c>
      <c r="F7574" s="27" t="s">
        <v>15738</v>
      </c>
      <c r="G7574" s="27"/>
      <c r="H7574" s="16" t="str">
        <f>IF(ISBLANK(PARTIDAS!$G7574),PARTIDAS!$F7574,CONCATENATE(PARTIDAS!$F7574," (",PARTIDAS!$G7574,")"))</f>
        <v>Bastidores de chasis</v>
      </c>
      <c r="I7574" s="16" t="s">
        <v>9427</v>
      </c>
    </row>
    <row r="7575" spans="1:9" x14ac:dyDescent="0.25">
      <c r="A7575" s="16" t="s">
        <v>8445</v>
      </c>
      <c r="B7575" s="16" t="str">
        <f>TEXT(PARTIDA[[#This Row],[PARTIDA]],"0000000000")</f>
        <v>8708991900</v>
      </c>
      <c r="C7575" s="16" t="s">
        <v>860</v>
      </c>
      <c r="D7575" s="16" t="s">
        <v>881</v>
      </c>
      <c r="E7575" s="16" t="s">
        <v>9483</v>
      </c>
      <c r="F7575" s="27" t="s">
        <v>15739</v>
      </c>
      <c r="G7575" s="27"/>
      <c r="H7575" s="16" t="str">
        <f>IF(ISBLANK(PARTIDAS!$G7575),PARTIDAS!$F7575,CONCATENATE(PARTIDAS!$F7575," (",PARTIDAS!$G7575,")"))</f>
        <v>Bastidores de chasis y sus partes, partes</v>
      </c>
      <c r="I7575" s="16" t="s">
        <v>9427</v>
      </c>
    </row>
    <row r="7576" spans="1:9" x14ac:dyDescent="0.25">
      <c r="A7576" s="16" t="s">
        <v>8446</v>
      </c>
      <c r="B7576" s="16" t="str">
        <f>TEXT(PARTIDA[[#This Row],[PARTIDA]],"0000000000")</f>
        <v>8708992100</v>
      </c>
      <c r="C7576" s="16" t="s">
        <v>860</v>
      </c>
      <c r="D7576" s="16" t="s">
        <v>881</v>
      </c>
      <c r="E7576" s="16" t="s">
        <v>9483</v>
      </c>
      <c r="F7576" s="27" t="s">
        <v>15740</v>
      </c>
      <c r="G7576" s="27"/>
      <c r="H7576" s="16" t="str">
        <f>IF(ISBLANK(PARTIDAS!$G7576),PARTIDAS!$F7576,CONCATENATE(PARTIDAS!$F7576," (",PARTIDAS!$G7576,")"))</f>
        <v>Transmisiones cardánicas</v>
      </c>
      <c r="I7576" s="16" t="s">
        <v>9427</v>
      </c>
    </row>
    <row r="7577" spans="1:9" x14ac:dyDescent="0.25">
      <c r="A7577" s="16" t="s">
        <v>8447</v>
      </c>
      <c r="B7577" s="16" t="str">
        <f>TEXT(PARTIDA[[#This Row],[PARTIDA]],"0000000000")</f>
        <v>8708992900</v>
      </c>
      <c r="C7577" s="16" t="s">
        <v>860</v>
      </c>
      <c r="D7577" s="16" t="s">
        <v>881</v>
      </c>
      <c r="E7577" s="16" t="s">
        <v>9483</v>
      </c>
      <c r="F7577" s="27" t="s">
        <v>15741</v>
      </c>
      <c r="G7577" s="27"/>
      <c r="H7577" s="16" t="str">
        <f>IF(ISBLANK(PARTIDAS!$G7577),PARTIDAS!$F7577,CONCATENATE(PARTIDAS!$F7577," (",PARTIDAS!$G7577,")"))</f>
        <v>Transmisiones cardánicas y sus partes, partes</v>
      </c>
      <c r="I7577" s="16" t="s">
        <v>9427</v>
      </c>
    </row>
    <row r="7578" spans="1:9" x14ac:dyDescent="0.25">
      <c r="A7578" s="16" t="s">
        <v>8448</v>
      </c>
      <c r="B7578" s="16" t="str">
        <f>TEXT(PARTIDA[[#This Row],[PARTIDA]],"0000000000")</f>
        <v>8708993100</v>
      </c>
      <c r="C7578" s="16" t="s">
        <v>860</v>
      </c>
      <c r="D7578" s="16" t="s">
        <v>881</v>
      </c>
      <c r="E7578" s="16" t="s">
        <v>9483</v>
      </c>
      <c r="F7578" s="27" t="s">
        <v>15742</v>
      </c>
      <c r="G7578" s="27"/>
      <c r="H7578" s="16" t="str">
        <f>IF(ISBLANK(PARTIDAS!$G7578),PARTIDAS!$F7578,CONCATENATE(PARTIDAS!$F7578," (",PARTIDAS!$G7578,")"))</f>
        <v>Sistemas mecánicos</v>
      </c>
      <c r="I7578" s="16" t="s">
        <v>9427</v>
      </c>
    </row>
    <row r="7579" spans="1:9" x14ac:dyDescent="0.25">
      <c r="A7579" s="16" t="s">
        <v>8449</v>
      </c>
      <c r="B7579" s="16" t="str">
        <f>TEXT(PARTIDA[[#This Row],[PARTIDA]],"0000000000")</f>
        <v>8708993200</v>
      </c>
      <c r="C7579" s="16" t="s">
        <v>860</v>
      </c>
      <c r="D7579" s="16" t="s">
        <v>881</v>
      </c>
      <c r="E7579" s="16" t="s">
        <v>9483</v>
      </c>
      <c r="F7579" s="27" t="s">
        <v>15718</v>
      </c>
      <c r="G7579" s="27"/>
      <c r="H7579" s="16" t="str">
        <f>IF(ISBLANK(PARTIDAS!$G7579),PARTIDAS!$F7579,CONCATENATE(PARTIDAS!$F7579," (",PARTIDAS!$G7579,")"))</f>
        <v>Sistemas hidráulicos</v>
      </c>
      <c r="I7579" s="16" t="s">
        <v>9427</v>
      </c>
    </row>
    <row r="7580" spans="1:9" x14ac:dyDescent="0.25">
      <c r="A7580" s="16" t="s">
        <v>8450</v>
      </c>
      <c r="B7580" s="16" t="str">
        <f>TEXT(PARTIDA[[#This Row],[PARTIDA]],"0000000000")</f>
        <v>8708993300</v>
      </c>
      <c r="C7580" s="16" t="s">
        <v>860</v>
      </c>
      <c r="D7580" s="16" t="s">
        <v>881</v>
      </c>
      <c r="E7580" s="16" t="s">
        <v>9483</v>
      </c>
      <c r="F7580" s="27" t="s">
        <v>15743</v>
      </c>
      <c r="G7580" s="27"/>
      <c r="H7580" s="16" t="str">
        <f>IF(ISBLANK(PARTIDAS!$G7580),PARTIDAS!$F7580,CONCATENATE(PARTIDAS!$F7580," (",PARTIDAS!$G7580,")"))</f>
        <v>Sistemas de dirección y sus partes, terminales</v>
      </c>
      <c r="I7580" s="16" t="s">
        <v>9427</v>
      </c>
    </row>
    <row r="7581" spans="1:9" x14ac:dyDescent="0.25">
      <c r="A7581" s="16" t="s">
        <v>8451</v>
      </c>
      <c r="B7581" s="16" t="str">
        <f>TEXT(PARTIDA[[#This Row],[PARTIDA]],"0000000000")</f>
        <v>8708993900</v>
      </c>
      <c r="C7581" s="16" t="s">
        <v>860</v>
      </c>
      <c r="D7581" s="16" t="s">
        <v>881</v>
      </c>
      <c r="E7581" s="16" t="s">
        <v>9483</v>
      </c>
      <c r="F7581" s="27" t="s">
        <v>15744</v>
      </c>
      <c r="G7581" s="27"/>
      <c r="H7581" s="16" t="str">
        <f>IF(ISBLANK(PARTIDAS!$G7581),PARTIDAS!$F7581,CONCATENATE(PARTIDAS!$F7581," (",PARTIDAS!$G7581,")"))</f>
        <v>Sistemas de dirección y sus partes (los demás, partes)</v>
      </c>
      <c r="I7581" s="16" t="s">
        <v>9427</v>
      </c>
    </row>
    <row r="7582" spans="1:9" x14ac:dyDescent="0.25">
      <c r="A7582" s="16" t="s">
        <v>8452</v>
      </c>
      <c r="B7582" s="16" t="str">
        <f>TEXT(PARTIDA[[#This Row],[PARTIDA]],"0000000000")</f>
        <v>8708994000</v>
      </c>
      <c r="C7582" s="16" t="s">
        <v>860</v>
      </c>
      <c r="D7582" s="16" t="s">
        <v>881</v>
      </c>
      <c r="E7582" s="16" t="s">
        <v>9483</v>
      </c>
      <c r="F7582" s="27" t="s">
        <v>15745</v>
      </c>
      <c r="G7582" s="27"/>
      <c r="H7582" s="16" t="str">
        <f>IF(ISBLANK(PARTIDAS!$G7582),PARTIDAS!$F7582,CONCATENATE(PARTIDAS!$F7582," (",PARTIDAS!$G7582,")"))</f>
        <v>Trenes de rodamiento de oruga y sus partes</v>
      </c>
      <c r="I7582" s="16" t="s">
        <v>9427</v>
      </c>
    </row>
    <row r="7583" spans="1:9" x14ac:dyDescent="0.25">
      <c r="A7583" s="16" t="s">
        <v>8453</v>
      </c>
      <c r="B7583" s="16" t="str">
        <f>TEXT(PARTIDA[[#This Row],[PARTIDA]],"0000000000")</f>
        <v>8708995000</v>
      </c>
      <c r="C7583" s="16" t="s">
        <v>860</v>
      </c>
      <c r="D7583" s="16" t="s">
        <v>881</v>
      </c>
      <c r="E7583" s="16" t="s">
        <v>9483</v>
      </c>
      <c r="F7583" s="27" t="s">
        <v>15746</v>
      </c>
      <c r="G7583" s="27"/>
      <c r="H7583" s="16" t="str">
        <f>IF(ISBLANK(PARTIDAS!$G7583),PARTIDAS!$F7583,CONCATENATE(PARTIDAS!$F7583," (",PARTIDAS!$G7583,")"))</f>
        <v>Tanques para carburante</v>
      </c>
      <c r="I7583" s="16" t="s">
        <v>9427</v>
      </c>
    </row>
    <row r="7584" spans="1:9" x14ac:dyDescent="0.25">
      <c r="A7584" s="16" t="s">
        <v>8454</v>
      </c>
      <c r="B7584" s="16" t="str">
        <f>TEXT(PARTIDA[[#This Row],[PARTIDA]],"0000000000")</f>
        <v>8708999600</v>
      </c>
      <c r="C7584" s="16" t="s">
        <v>860</v>
      </c>
      <c r="D7584" s="16" t="s">
        <v>881</v>
      </c>
      <c r="E7584" s="16" t="s">
        <v>9483</v>
      </c>
      <c r="F7584" s="27" t="s">
        <v>15747</v>
      </c>
      <c r="G7584" s="27"/>
      <c r="H7584" s="16" t="str">
        <f>IF(ISBLANK(PARTIDAS!$G7584),PARTIDAS!$F7584,CONCATENATE(PARTIDAS!$F7584," (",PARTIDAS!$G7584,")"))</f>
        <v>Cargador y sensor de bloqueo para cinturones de seguridad</v>
      </c>
      <c r="I7584" s="16" t="s">
        <v>9427</v>
      </c>
    </row>
    <row r="7585" spans="1:9" x14ac:dyDescent="0.25">
      <c r="A7585" s="16" t="s">
        <v>8455</v>
      </c>
      <c r="B7585" s="16" t="str">
        <f>TEXT(PARTIDA[[#This Row],[PARTIDA]],"0000000000")</f>
        <v>8708999900</v>
      </c>
      <c r="C7585" s="16" t="s">
        <v>860</v>
      </c>
      <c r="D7585" s="16" t="s">
        <v>881</v>
      </c>
      <c r="E7585" s="16" t="s">
        <v>9483</v>
      </c>
      <c r="F7585" s="27" t="s">
        <v>15714</v>
      </c>
      <c r="G7585" s="27"/>
      <c r="H7585" s="16" t="str">
        <f>IF(ISBLANK(PARTIDAS!$G7585),PARTIDAS!$F7585,CONCATENATE(PARTIDAS!$F7585," (",PARTIDAS!$G7585,")"))</f>
        <v>Partes y accesorios de vehículos automóviles de las partidas 87.01 a… (los demás)</v>
      </c>
      <c r="I7585" s="16" t="s">
        <v>9427</v>
      </c>
    </row>
    <row r="7586" spans="1:9" x14ac:dyDescent="0.25">
      <c r="A7586" s="16" t="s">
        <v>8456</v>
      </c>
      <c r="B7586" s="16" t="str">
        <f>TEXT(PARTIDA[[#This Row],[PARTIDA]],"0000000000")</f>
        <v>8709110000</v>
      </c>
      <c r="C7586" s="16" t="s">
        <v>860</v>
      </c>
      <c r="D7586" s="16" t="s">
        <v>881</v>
      </c>
      <c r="E7586" s="16" t="s">
        <v>9484</v>
      </c>
      <c r="F7586" s="27" t="s">
        <v>15748</v>
      </c>
      <c r="G7586" s="27"/>
      <c r="H7586" s="16" t="str">
        <f>IF(ISBLANK(PARTIDAS!$G7586),PARTIDAS!$F7586,CONCATENATE(PARTIDAS!$F7586," (",PARTIDAS!$G7586,")"))</f>
        <v>Carretillas, eléctricas</v>
      </c>
      <c r="I7586" s="16" t="s">
        <v>9427</v>
      </c>
    </row>
    <row r="7587" spans="1:9" x14ac:dyDescent="0.25">
      <c r="A7587" s="16" t="s">
        <v>8457</v>
      </c>
      <c r="B7587" s="16" t="str">
        <f>TEXT(PARTIDA[[#This Row],[PARTIDA]],"0000000000")</f>
        <v>8709190000</v>
      </c>
      <c r="C7587" s="16" t="s">
        <v>860</v>
      </c>
      <c r="D7587" s="16" t="s">
        <v>881</v>
      </c>
      <c r="E7587" s="16" t="s">
        <v>9484</v>
      </c>
      <c r="F7587" s="27" t="s">
        <v>15749</v>
      </c>
      <c r="G7587" s="27"/>
      <c r="H7587" s="16" t="str">
        <f>IF(ISBLANK(PARTIDAS!$G7587),PARTIDAS!$F7587,CONCATENATE(PARTIDAS!$F7587," (",PARTIDAS!$G7587,")"))</f>
        <v>Carretillas (los demás)</v>
      </c>
      <c r="I7587" s="16" t="s">
        <v>9427</v>
      </c>
    </row>
    <row r="7588" spans="1:9" x14ac:dyDescent="0.25">
      <c r="A7588" s="16" t="s">
        <v>8458</v>
      </c>
      <c r="B7588" s="16" t="str">
        <f>TEXT(PARTIDA[[#This Row],[PARTIDA]],"0000000000")</f>
        <v>8709900000</v>
      </c>
      <c r="C7588" s="16" t="s">
        <v>860</v>
      </c>
      <c r="D7588" s="16" t="s">
        <v>881</v>
      </c>
      <c r="E7588" s="16" t="s">
        <v>9484</v>
      </c>
      <c r="F7588" s="27" t="s">
        <v>15750</v>
      </c>
      <c r="G7588" s="27"/>
      <c r="H7588" s="16" t="str">
        <f>IF(ISBLANK(PARTIDAS!$G7588),PARTIDAS!$F7588,CONCATENATE(PARTIDAS!$F7588," (",PARTIDAS!$G7588,")"))</f>
        <v>Carretillas automóvil sin dispositivo de elevación de los tipos…, partes</v>
      </c>
      <c r="I7588" s="16" t="s">
        <v>9427</v>
      </c>
    </row>
    <row r="7589" spans="1:9" x14ac:dyDescent="0.25">
      <c r="A7589" s="16" t="s">
        <v>8459</v>
      </c>
      <c r="B7589" s="16" t="str">
        <f>TEXT(PARTIDA[[#This Row],[PARTIDA]],"0000000000")</f>
        <v>8710000000</v>
      </c>
      <c r="C7589" s="16" t="s">
        <v>860</v>
      </c>
      <c r="D7589" s="16" t="s">
        <v>881</v>
      </c>
      <c r="E7589" s="16" t="s">
        <v>9484</v>
      </c>
      <c r="F7589" s="27" t="s">
        <v>8460</v>
      </c>
      <c r="G7589" s="27"/>
      <c r="H7589" s="16" t="str">
        <f>IF(ISBLANK(PARTIDAS!$G7589),PARTIDAS!$F7589,CONCATENATE(PARTIDAS!$F7589," (",PARTIDAS!$G7589,")"))</f>
        <v>Tanques y  vehículos automóviles blindados de combate</v>
      </c>
      <c r="I7589" s="16" t="s">
        <v>9427</v>
      </c>
    </row>
    <row r="7590" spans="1:9" x14ac:dyDescent="0.25">
      <c r="A7590" s="16" t="s">
        <v>8461</v>
      </c>
      <c r="B7590" s="16" t="str">
        <f>TEXT(PARTIDA[[#This Row],[PARTIDA]],"0000000000")</f>
        <v>8711100000</v>
      </c>
      <c r="C7590" s="16" t="s">
        <v>786</v>
      </c>
      <c r="D7590" s="16" t="s">
        <v>799</v>
      </c>
      <c r="E7590" s="16" t="s">
        <v>808</v>
      </c>
      <c r="F7590" s="27" t="s">
        <v>15751</v>
      </c>
      <c r="G7590" s="27"/>
      <c r="H7590" s="16" t="str">
        <f>IF(ISBLANK(PARTIDAS!$G7590),PARTIDAS!$F7590,CONCATENATE(PARTIDAS!$F7590," (",PARTIDAS!$G7590,")"))</f>
        <v>Motocicletas (incluidos los ciclomotores) y velocípedos equipados con…, con motor de émbolo (pistón) de cilindrada inferior o igual a 50 cm3</v>
      </c>
      <c r="I7590" s="16" t="s">
        <v>9427</v>
      </c>
    </row>
    <row r="7591" spans="1:9" x14ac:dyDescent="0.25">
      <c r="A7591" s="16" t="s">
        <v>8462</v>
      </c>
      <c r="B7591" s="16" t="str">
        <f>TEXT(PARTIDA[[#This Row],[PARTIDA]],"0000000000")</f>
        <v>8711200000</v>
      </c>
      <c r="C7591" s="16" t="s">
        <v>786</v>
      </c>
      <c r="D7591" s="16" t="s">
        <v>799</v>
      </c>
      <c r="E7591" s="16" t="s">
        <v>808</v>
      </c>
      <c r="F7591" s="27" t="s">
        <v>8463</v>
      </c>
      <c r="G7591" s="27"/>
      <c r="H7591" s="16" t="str">
        <f>IF(ISBLANK(PARTIDAS!$G7591),PARTIDAS!$F7591,CONCATENATE(PARTIDAS!$F7591," (",PARTIDAS!$G7591,")"))</f>
        <v>Motos</v>
      </c>
      <c r="I7591" s="16" t="s">
        <v>9427</v>
      </c>
    </row>
    <row r="7592" spans="1:9" x14ac:dyDescent="0.25">
      <c r="A7592" s="16" t="s">
        <v>8464</v>
      </c>
      <c r="B7592" s="16" t="str">
        <f>TEXT(PARTIDA[[#This Row],[PARTIDA]],"0000000000")</f>
        <v>8711300000</v>
      </c>
      <c r="C7592" s="16" t="s">
        <v>786</v>
      </c>
      <c r="D7592" s="16" t="s">
        <v>799</v>
      </c>
      <c r="E7592" s="16" t="s">
        <v>808</v>
      </c>
      <c r="F7592" s="27" t="s">
        <v>15752</v>
      </c>
      <c r="G7592" s="27"/>
      <c r="H7592" s="16" t="str">
        <f>IF(ISBLANK(PARTIDAS!$G7592),PARTIDAS!$F7592,CONCATENATE(PARTIDAS!$F7592," (",PARTIDAS!$G7592,")"))</f>
        <v xml:space="preserve">Motocicletas (incluidos los ciclomotores) y velocípedos equipados con…, con motor de émbolo (pistón) de cilindrada superior a 250 cm3 pero inferior o </v>
      </c>
      <c r="I7592" s="16" t="s">
        <v>9427</v>
      </c>
    </row>
    <row r="7593" spans="1:9" x14ac:dyDescent="0.25">
      <c r="A7593" s="16" t="s">
        <v>8465</v>
      </c>
      <c r="B7593" s="16" t="str">
        <f>TEXT(PARTIDA[[#This Row],[PARTIDA]],"0000000000")</f>
        <v>8711400000</v>
      </c>
      <c r="C7593" s="16" t="s">
        <v>786</v>
      </c>
      <c r="D7593" s="16" t="s">
        <v>799</v>
      </c>
      <c r="E7593" s="16" t="s">
        <v>808</v>
      </c>
      <c r="F7593" s="27" t="s">
        <v>15753</v>
      </c>
      <c r="G7593" s="27"/>
      <c r="H7593" s="16" t="str">
        <f>IF(ISBLANK(PARTIDAS!$G7593),PARTIDAS!$F7593,CONCATENATE(PARTIDAS!$F7593," (",PARTIDAS!$G7593,")"))</f>
        <v xml:space="preserve">Motocicletas (incluidos los ciclomotores) y velocípedos equipados con…, con motor de émbolo (pistón) de cilindrada superior a 500 cm3 pero inferior o </v>
      </c>
      <c r="I7593" s="16" t="s">
        <v>9427</v>
      </c>
    </row>
    <row r="7594" spans="1:9" x14ac:dyDescent="0.25">
      <c r="A7594" s="16" t="s">
        <v>8466</v>
      </c>
      <c r="B7594" s="16" t="str">
        <f>TEXT(PARTIDA[[#This Row],[PARTIDA]],"0000000000")</f>
        <v>8711500000</v>
      </c>
      <c r="C7594" s="16" t="s">
        <v>786</v>
      </c>
      <c r="D7594" s="16" t="s">
        <v>799</v>
      </c>
      <c r="E7594" s="16" t="s">
        <v>808</v>
      </c>
      <c r="F7594" s="27" t="s">
        <v>15754</v>
      </c>
      <c r="G7594" s="27"/>
      <c r="H7594" s="16" t="str">
        <f>IF(ISBLANK(PARTIDAS!$G7594),PARTIDAS!$F7594,CONCATENATE(PARTIDAS!$F7594," (",PARTIDAS!$G7594,")"))</f>
        <v>Motocicletas (incluidos los ciclomotores) y velocípedos equipados con…, con motor de émbolo (pistón) de cilindrada superior a 800 cm3</v>
      </c>
      <c r="I7594" s="16" t="s">
        <v>9427</v>
      </c>
    </row>
    <row r="7595" spans="1:9" x14ac:dyDescent="0.25">
      <c r="A7595" s="16" t="s">
        <v>8467</v>
      </c>
      <c r="B7595" s="16" t="str">
        <f>TEXT(PARTIDA[[#This Row],[PARTIDA]],"0000000000")</f>
        <v>8711600000</v>
      </c>
      <c r="C7595" s="16" t="s">
        <v>786</v>
      </c>
      <c r="D7595" s="16" t="s">
        <v>799</v>
      </c>
      <c r="E7595" s="16" t="s">
        <v>808</v>
      </c>
      <c r="F7595" s="27" t="s">
        <v>15755</v>
      </c>
      <c r="G7595" s="27"/>
      <c r="H7595" s="16" t="str">
        <f>IF(ISBLANK(PARTIDAS!$G7595),PARTIDAS!$F7595,CONCATENATE(PARTIDAS!$F7595," (",PARTIDAS!$G7595,")"))</f>
        <v>Propulsados con motor eléctrico</v>
      </c>
      <c r="I7595" s="16" t="s">
        <v>9648</v>
      </c>
    </row>
    <row r="7596" spans="1:9" x14ac:dyDescent="0.25">
      <c r="A7596" s="16" t="s">
        <v>15756</v>
      </c>
      <c r="B7596" s="16" t="str">
        <f>TEXT(PARTIDA[[#This Row],[PARTIDA]],"0000000000")</f>
        <v>8711600010</v>
      </c>
      <c r="C7596" s="16" t="s">
        <v>786</v>
      </c>
      <c r="D7596" s="16" t="s">
        <v>799</v>
      </c>
      <c r="E7596" s="16" t="s">
        <v>808</v>
      </c>
      <c r="F7596" s="27" t="s">
        <v>15757</v>
      </c>
      <c r="G7596" s="27"/>
      <c r="H7596" s="16" t="str">
        <f>IF(ISBLANK(PARTIDAS!$G7596),PARTIDAS!$F7596,CONCATENATE(PARTIDAS!$F7596," (",PARTIDAS!$G7596,")"))</f>
        <v>Bicicletas con Sistema de Pedaleo Asistido (SPA)</v>
      </c>
      <c r="I7596" s="16" t="s">
        <v>9427</v>
      </c>
    </row>
    <row r="7597" spans="1:9" x14ac:dyDescent="0.25">
      <c r="A7597" s="16" t="s">
        <v>15758</v>
      </c>
      <c r="B7597" s="16" t="str">
        <f>TEXT(PARTIDA[[#This Row],[PARTIDA]],"0000000000")</f>
        <v>8711600090</v>
      </c>
      <c r="C7597" s="16" t="s">
        <v>786</v>
      </c>
      <c r="D7597" s="16" t="s">
        <v>799</v>
      </c>
      <c r="E7597" s="16" t="s">
        <v>808</v>
      </c>
      <c r="F7597" s="27" t="s">
        <v>15759</v>
      </c>
      <c r="G7597" s="27"/>
      <c r="H7597" s="16" t="str">
        <f>IF(ISBLANK(PARTIDAS!$G7597),PARTIDAS!$F7597,CONCATENATE(PARTIDAS!$F7597," (",PARTIDAS!$G7597,")"))</f>
        <v>Propulsados con motor eléctrico (los demás)</v>
      </c>
      <c r="I7597" s="16" t="s">
        <v>9427</v>
      </c>
    </row>
    <row r="7598" spans="1:9" x14ac:dyDescent="0.25">
      <c r="A7598" s="16" t="s">
        <v>8468</v>
      </c>
      <c r="B7598" s="16" t="str">
        <f>TEXT(PARTIDA[[#This Row],[PARTIDA]],"0000000000")</f>
        <v>8711900000</v>
      </c>
      <c r="C7598" s="16" t="s">
        <v>786</v>
      </c>
      <c r="D7598" s="16" t="s">
        <v>799</v>
      </c>
      <c r="E7598" s="16" t="s">
        <v>808</v>
      </c>
      <c r="F7598" s="27" t="s">
        <v>15760</v>
      </c>
      <c r="G7598" s="27"/>
      <c r="H7598" s="16" t="str">
        <f>IF(ISBLANK(PARTIDAS!$G7598),PARTIDAS!$F7598,CONCATENATE(PARTIDAS!$F7598," (",PARTIDAS!$G7598,")"))</f>
        <v>Motocicletas (incluidos los ciclomotores) y velocípedos equipados con… (los demás)</v>
      </c>
      <c r="I7598" s="16" t="s">
        <v>9427</v>
      </c>
    </row>
    <row r="7599" spans="1:9" x14ac:dyDescent="0.25">
      <c r="A7599" s="16" t="s">
        <v>8469</v>
      </c>
      <c r="B7599" s="16" t="str">
        <f>TEXT(PARTIDA[[#This Row],[PARTIDA]],"0000000000")</f>
        <v>8712000000</v>
      </c>
      <c r="C7599" s="16" t="s">
        <v>786</v>
      </c>
      <c r="D7599" s="16" t="s">
        <v>799</v>
      </c>
      <c r="E7599" s="16" t="s">
        <v>808</v>
      </c>
      <c r="F7599" s="27" t="s">
        <v>8470</v>
      </c>
      <c r="G7599" s="27"/>
      <c r="H7599" s="16" t="str">
        <f>IF(ISBLANK(PARTIDAS!$G7599),PARTIDAS!$F7599,CONCATENATE(PARTIDAS!$F7599," (",PARTIDAS!$G7599,")"))</f>
        <v>Bicicletas</v>
      </c>
      <c r="I7599" s="16" t="s">
        <v>9427</v>
      </c>
    </row>
    <row r="7600" spans="1:9" x14ac:dyDescent="0.25">
      <c r="A7600" s="16" t="s">
        <v>8471</v>
      </c>
      <c r="B7600" s="16" t="str">
        <f>TEXT(PARTIDA[[#This Row],[PARTIDA]],"0000000000")</f>
        <v>8713100000</v>
      </c>
      <c r="C7600" s="16" t="s">
        <v>786</v>
      </c>
      <c r="D7600" s="16" t="s">
        <v>787</v>
      </c>
      <c r="E7600" s="16" t="s">
        <v>797</v>
      </c>
      <c r="F7600" s="27" t="s">
        <v>15761</v>
      </c>
      <c r="G7600" s="27"/>
      <c r="H7600" s="16" t="str">
        <f>IF(ISBLANK(PARTIDAS!$G7600),PARTIDAS!$F7600,CONCATENATE(PARTIDAS!$F7600," (",PARTIDAS!$G7600,")"))</f>
        <v>Sillones de ruedas y demás vehículos para inválidos, incluso con…, sin mecanismo de propulsión</v>
      </c>
      <c r="I7600" s="16" t="s">
        <v>9427</v>
      </c>
    </row>
    <row r="7601" spans="1:9" x14ac:dyDescent="0.25">
      <c r="A7601" s="16" t="s">
        <v>8472</v>
      </c>
      <c r="B7601" s="16" t="str">
        <f>TEXT(PARTIDA[[#This Row],[PARTIDA]],"0000000000")</f>
        <v>8713900000</v>
      </c>
      <c r="C7601" s="16" t="s">
        <v>786</v>
      </c>
      <c r="D7601" s="16" t="s">
        <v>787</v>
      </c>
      <c r="E7601" s="16" t="s">
        <v>797</v>
      </c>
      <c r="F7601" s="27" t="s">
        <v>15762</v>
      </c>
      <c r="G7601" s="27"/>
      <c r="H7601" s="16" t="str">
        <f>IF(ISBLANK(PARTIDAS!$G7601),PARTIDAS!$F7601,CONCATENATE(PARTIDAS!$F7601," (",PARTIDAS!$G7601,")"))</f>
        <v>Sillones de ruedas y demás vehículos para inválidos, incluso con… (los demás)</v>
      </c>
      <c r="I7601" s="16" t="s">
        <v>9427</v>
      </c>
    </row>
    <row r="7602" spans="1:9" x14ac:dyDescent="0.25">
      <c r="A7602" s="16" t="s">
        <v>8473</v>
      </c>
      <c r="B7602" s="16" t="str">
        <f>TEXT(PARTIDA[[#This Row],[PARTIDA]],"0000000000")</f>
        <v>8714101000</v>
      </c>
      <c r="C7602" s="16" t="s">
        <v>860</v>
      </c>
      <c r="D7602" s="16" t="s">
        <v>881</v>
      </c>
      <c r="E7602" s="16" t="s">
        <v>9483</v>
      </c>
      <c r="F7602" s="27" t="s">
        <v>15763</v>
      </c>
      <c r="G7602" s="27"/>
      <c r="H7602" s="16" t="str">
        <f>IF(ISBLANK(PARTIDAS!$G7602),PARTIDAS!$F7602,CONCATENATE(PARTIDAS!$F7602," (",PARTIDAS!$G7602,")"))</f>
        <v>Sillines (asientos)</v>
      </c>
      <c r="I7602" s="16" t="s">
        <v>9427</v>
      </c>
    </row>
    <row r="7603" spans="1:9" x14ac:dyDescent="0.25">
      <c r="A7603" s="16" t="s">
        <v>8474</v>
      </c>
      <c r="B7603" s="16" t="str">
        <f>TEXT(PARTIDA[[#This Row],[PARTIDA]],"0000000000")</f>
        <v>8714109000</v>
      </c>
      <c r="C7603" s="16" t="s">
        <v>860</v>
      </c>
      <c r="D7603" s="16" t="s">
        <v>881</v>
      </c>
      <c r="E7603" s="16" t="s">
        <v>9483</v>
      </c>
      <c r="F7603" s="27" t="s">
        <v>876</v>
      </c>
      <c r="G7603" s="27"/>
      <c r="H7603" s="16" t="str">
        <f>IF(ISBLANK(PARTIDAS!$G7603),PARTIDAS!$F7603,CONCATENATE(PARTIDAS!$F7603," (",PARTIDAS!$G7603,")"))</f>
        <v>Herramientas</v>
      </c>
      <c r="I7603" s="16" t="s">
        <v>9427</v>
      </c>
    </row>
    <row r="7604" spans="1:9" x14ac:dyDescent="0.25">
      <c r="A7604" s="16" t="s">
        <v>8475</v>
      </c>
      <c r="B7604" s="16" t="str">
        <f>TEXT(PARTIDA[[#This Row],[PARTIDA]],"0000000000")</f>
        <v>8714200000</v>
      </c>
      <c r="C7604" s="16" t="s">
        <v>860</v>
      </c>
      <c r="D7604" s="16" t="s">
        <v>881</v>
      </c>
      <c r="E7604" s="16" t="s">
        <v>9483</v>
      </c>
      <c r="F7604" s="27" t="s">
        <v>15764</v>
      </c>
      <c r="G7604" s="27"/>
      <c r="H7604" s="16" t="str">
        <f>IF(ISBLANK(PARTIDAS!$G7604),PARTIDAS!$F7604,CONCATENATE(PARTIDAS!$F7604," (",PARTIDAS!$G7604,")"))</f>
        <v>Partes y accesorios de vehículos de las partidas 87.11 a 87.13, de sillones de ruedas y demás vehículos para inválidos</v>
      </c>
      <c r="I7604" s="16" t="s">
        <v>9427</v>
      </c>
    </row>
    <row r="7605" spans="1:9" x14ac:dyDescent="0.25">
      <c r="A7605" s="16" t="s">
        <v>8476</v>
      </c>
      <c r="B7605" s="16" t="str">
        <f>TEXT(PARTIDA[[#This Row],[PARTIDA]],"0000000000")</f>
        <v>8714910000</v>
      </c>
      <c r="C7605" s="16" t="s">
        <v>860</v>
      </c>
      <c r="D7605" s="16" t="s">
        <v>881</v>
      </c>
      <c r="E7605" s="16" t="s">
        <v>9483</v>
      </c>
      <c r="F7605" s="27" t="s">
        <v>15765</v>
      </c>
      <c r="G7605" s="27"/>
      <c r="H7605" s="16" t="str">
        <f>IF(ISBLANK(PARTIDAS!$G7605),PARTIDAS!$F7605,CONCATENATE(PARTIDAS!$F7605," (",PARTIDAS!$G7605,")"))</f>
        <v>Cuadros y horquillas, y sus partes</v>
      </c>
      <c r="I7605" s="16" t="s">
        <v>9427</v>
      </c>
    </row>
    <row r="7606" spans="1:9" x14ac:dyDescent="0.25">
      <c r="A7606" s="16" t="s">
        <v>8477</v>
      </c>
      <c r="B7606" s="16" t="str">
        <f>TEXT(PARTIDA[[#This Row],[PARTIDA]],"0000000000")</f>
        <v>8714921000</v>
      </c>
      <c r="C7606" s="16" t="s">
        <v>860</v>
      </c>
      <c r="D7606" s="16" t="s">
        <v>881</v>
      </c>
      <c r="E7606" s="16" t="s">
        <v>9483</v>
      </c>
      <c r="F7606" s="27" t="s">
        <v>15766</v>
      </c>
      <c r="G7606" s="27"/>
      <c r="H7606" s="16" t="str">
        <f>IF(ISBLANK(PARTIDAS!$G7606),PARTIDAS!$F7606,CONCATENATE(PARTIDAS!$F7606," (",PARTIDAS!$G7606,")"))</f>
        <v>Llantas (aros)</v>
      </c>
      <c r="I7606" s="16" t="s">
        <v>9427</v>
      </c>
    </row>
    <row r="7607" spans="1:9" x14ac:dyDescent="0.25">
      <c r="A7607" s="16" t="s">
        <v>8478</v>
      </c>
      <c r="B7607" s="16" t="str">
        <f>TEXT(PARTIDA[[#This Row],[PARTIDA]],"0000000000")</f>
        <v>8714929000</v>
      </c>
      <c r="C7607" s="16" t="s">
        <v>860</v>
      </c>
      <c r="D7607" s="16" t="s">
        <v>881</v>
      </c>
      <c r="E7607" s="16" t="s">
        <v>9483</v>
      </c>
      <c r="F7607" s="27" t="s">
        <v>15767</v>
      </c>
      <c r="G7607" s="27"/>
      <c r="H7607" s="16" t="str">
        <f>IF(ISBLANK(PARTIDAS!$G7607),PARTIDAS!$F7607,CONCATENATE(PARTIDAS!$F7607," (",PARTIDAS!$G7607,")"))</f>
        <v>Llantas y radios, radios</v>
      </c>
      <c r="I7607" s="16" t="s">
        <v>9427</v>
      </c>
    </row>
    <row r="7608" spans="1:9" x14ac:dyDescent="0.25">
      <c r="A7608" s="16" t="s">
        <v>8479</v>
      </c>
      <c r="B7608" s="16" t="str">
        <f>TEXT(PARTIDA[[#This Row],[PARTIDA]],"0000000000")</f>
        <v>8714930000</v>
      </c>
      <c r="C7608" s="16" t="s">
        <v>860</v>
      </c>
      <c r="D7608" s="16" t="s">
        <v>881</v>
      </c>
      <c r="E7608" s="16" t="s">
        <v>9483</v>
      </c>
      <c r="F7608" s="27" t="s">
        <v>15768</v>
      </c>
      <c r="G7608" s="27"/>
      <c r="H7608" s="16" t="str">
        <f>IF(ISBLANK(PARTIDAS!$G7608),PARTIDAS!$F7608,CONCATENATE(PARTIDAS!$F7608," (",PARTIDAS!$G7608,")"))</f>
        <v>Bujes sin freno y piñones libres</v>
      </c>
      <c r="I7608" s="16" t="s">
        <v>9427</v>
      </c>
    </row>
    <row r="7609" spans="1:9" x14ac:dyDescent="0.25">
      <c r="A7609" s="16" t="s">
        <v>8480</v>
      </c>
      <c r="B7609" s="16" t="str">
        <f>TEXT(PARTIDA[[#This Row],[PARTIDA]],"0000000000")</f>
        <v>8714940000</v>
      </c>
      <c r="C7609" s="16" t="s">
        <v>860</v>
      </c>
      <c r="D7609" s="16" t="s">
        <v>881</v>
      </c>
      <c r="E7609" s="16" t="s">
        <v>9483</v>
      </c>
      <c r="F7609" s="27" t="s">
        <v>15769</v>
      </c>
      <c r="G7609" s="27"/>
      <c r="H7609" s="16" t="str">
        <f>IF(ISBLANK(PARTIDAS!$G7609),PARTIDAS!$F7609,CONCATENATE(PARTIDAS!$F7609," (",PARTIDAS!$G7609,")"))</f>
        <v>Frenos, incluidos los bujes con freno, y sus partes</v>
      </c>
      <c r="I7609" s="16" t="s">
        <v>9427</v>
      </c>
    </row>
    <row r="7610" spans="1:9" x14ac:dyDescent="0.25">
      <c r="A7610" s="16" t="s">
        <v>8481</v>
      </c>
      <c r="B7610" s="16" t="str">
        <f>TEXT(PARTIDA[[#This Row],[PARTIDA]],"0000000000")</f>
        <v>8714950000</v>
      </c>
      <c r="C7610" s="16" t="s">
        <v>860</v>
      </c>
      <c r="D7610" s="16" t="s">
        <v>881</v>
      </c>
      <c r="E7610" s="16" t="s">
        <v>9483</v>
      </c>
      <c r="F7610" s="27" t="s">
        <v>15763</v>
      </c>
      <c r="G7610" s="27"/>
      <c r="H7610" s="16" t="str">
        <f>IF(ISBLANK(PARTIDAS!$G7610),PARTIDAS!$F7610,CONCATENATE(PARTIDAS!$F7610," (",PARTIDAS!$G7610,")"))</f>
        <v>Sillines (asientos)</v>
      </c>
      <c r="I7610" s="16" t="s">
        <v>9427</v>
      </c>
    </row>
    <row r="7611" spans="1:9" x14ac:dyDescent="0.25">
      <c r="A7611" s="16" t="s">
        <v>8482</v>
      </c>
      <c r="B7611" s="16" t="str">
        <f>TEXT(PARTIDA[[#This Row],[PARTIDA]],"0000000000")</f>
        <v>8714960000</v>
      </c>
      <c r="C7611" s="16" t="s">
        <v>860</v>
      </c>
      <c r="D7611" s="16" t="s">
        <v>881</v>
      </c>
      <c r="E7611" s="16" t="s">
        <v>9483</v>
      </c>
      <c r="F7611" s="27" t="s">
        <v>15770</v>
      </c>
      <c r="G7611" s="27"/>
      <c r="H7611" s="16" t="str">
        <f>IF(ISBLANK(PARTIDAS!$G7611),PARTIDAS!$F7611,CONCATENATE(PARTIDAS!$F7611," (",PARTIDAS!$G7611,")"))</f>
        <v>Pedales y mecanismos de pedal, y sus partes</v>
      </c>
      <c r="I7611" s="16" t="s">
        <v>9427</v>
      </c>
    </row>
    <row r="7612" spans="1:9" x14ac:dyDescent="0.25">
      <c r="A7612" s="16" t="s">
        <v>8483</v>
      </c>
      <c r="B7612" s="16" t="str">
        <f>TEXT(PARTIDA[[#This Row],[PARTIDA]],"0000000000")</f>
        <v>8714990000</v>
      </c>
      <c r="C7612" s="16" t="s">
        <v>860</v>
      </c>
      <c r="D7612" s="16" t="s">
        <v>881</v>
      </c>
      <c r="E7612" s="16" t="s">
        <v>9483</v>
      </c>
      <c r="F7612" s="27" t="s">
        <v>15771</v>
      </c>
      <c r="G7612" s="27"/>
      <c r="H7612" s="16" t="str">
        <f>IF(ISBLANK(PARTIDAS!$G7612),PARTIDAS!$F7612,CONCATENATE(PARTIDAS!$F7612," (",PARTIDAS!$G7612,")"))</f>
        <v>Partes y accesorios de vehículos de las partidas 87.11 a 87.13 (los demás)</v>
      </c>
      <c r="I7612" s="16" t="s">
        <v>9427</v>
      </c>
    </row>
    <row r="7613" spans="1:9" x14ac:dyDescent="0.25">
      <c r="A7613" s="16" t="s">
        <v>8484</v>
      </c>
      <c r="B7613" s="16" t="str">
        <f>TEXT(PARTIDA[[#This Row],[PARTIDA]],"0000000000")</f>
        <v>8715001000</v>
      </c>
      <c r="C7613" s="16" t="s">
        <v>860</v>
      </c>
      <c r="D7613" s="16" t="s">
        <v>881</v>
      </c>
      <c r="E7613" s="16" t="s">
        <v>9484</v>
      </c>
      <c r="F7613" s="27" t="s">
        <v>15772</v>
      </c>
      <c r="G7613" s="27"/>
      <c r="H7613" s="16" t="str">
        <f>IF(ISBLANK(PARTIDAS!$G7613),PARTIDAS!$F7613,CONCATENATE(PARTIDAS!$F7613," (",PARTIDAS!$G7613,")"))</f>
        <v>Coches, sillas y vehículos similares</v>
      </c>
      <c r="I7613" s="16" t="s">
        <v>9427</v>
      </c>
    </row>
    <row r="7614" spans="1:9" x14ac:dyDescent="0.25">
      <c r="A7614" s="16" t="s">
        <v>8485</v>
      </c>
      <c r="B7614" s="16" t="str">
        <f>TEXT(PARTIDA[[#This Row],[PARTIDA]],"0000000000")</f>
        <v>8715009000</v>
      </c>
      <c r="C7614" s="16" t="s">
        <v>860</v>
      </c>
      <c r="D7614" s="16" t="s">
        <v>881</v>
      </c>
      <c r="E7614" s="16" t="s">
        <v>9484</v>
      </c>
      <c r="F7614" s="27" t="s">
        <v>15773</v>
      </c>
      <c r="G7614" s="27"/>
      <c r="H7614" s="16" t="str">
        <f>IF(ISBLANK(PARTIDAS!$G7614),PARTIDAS!$F7614,CONCATENATE(PARTIDAS!$F7614," (",PARTIDAS!$G7614,")"))</f>
        <v>Partes y accesorios de vehículos de las partidas 87.11 a 87.13, partes</v>
      </c>
      <c r="I7614" s="16" t="s">
        <v>9427</v>
      </c>
    </row>
    <row r="7615" spans="1:9" x14ac:dyDescent="0.25">
      <c r="A7615" s="16" t="s">
        <v>8486</v>
      </c>
      <c r="B7615" s="16" t="str">
        <f>TEXT(PARTIDA[[#This Row],[PARTIDA]],"0000000000")</f>
        <v>8716100000</v>
      </c>
      <c r="C7615" s="16" t="s">
        <v>860</v>
      </c>
      <c r="D7615" s="16" t="s">
        <v>881</v>
      </c>
      <c r="E7615" s="16" t="s">
        <v>9484</v>
      </c>
      <c r="F7615" s="27" t="s">
        <v>15774</v>
      </c>
      <c r="G7615" s="27"/>
      <c r="H7615" s="16" t="str">
        <f>IF(ISBLANK(PARTIDAS!$G7615),PARTIDAS!$F7615,CONCATENATE(PARTIDAS!$F7615," (",PARTIDAS!$G7615,")"))</f>
        <v>Remolques y semirremolques para vivienda o acampar, del tipo caravana</v>
      </c>
      <c r="I7615" s="16" t="s">
        <v>9427</v>
      </c>
    </row>
    <row r="7616" spans="1:9" x14ac:dyDescent="0.25">
      <c r="A7616" s="16" t="s">
        <v>8487</v>
      </c>
      <c r="B7616" s="16" t="str">
        <f>TEXT(PARTIDA[[#This Row],[PARTIDA]],"0000000000")</f>
        <v>8716200000</v>
      </c>
      <c r="C7616" s="16" t="s">
        <v>860</v>
      </c>
      <c r="D7616" s="16" t="s">
        <v>865</v>
      </c>
      <c r="E7616" s="16" t="s">
        <v>871</v>
      </c>
      <c r="F7616" s="27" t="s">
        <v>15775</v>
      </c>
      <c r="G7616" s="27"/>
      <c r="H7616" s="16" t="str">
        <f>IF(ISBLANK(PARTIDAS!$G7616),PARTIDAS!$F7616,CONCATENATE(PARTIDAS!$F7616," (",PARTIDAS!$G7616,")"))</f>
        <v>Remolques y semirremolques, autocargadores o autodescargadores, para uso agrícola</v>
      </c>
      <c r="I7616" s="16" t="s">
        <v>9427</v>
      </c>
    </row>
    <row r="7617" spans="1:9" x14ac:dyDescent="0.25">
      <c r="A7617" s="16" t="s">
        <v>8488</v>
      </c>
      <c r="B7617" s="16" t="str">
        <f>TEXT(PARTIDA[[#This Row],[PARTIDA]],"0000000000")</f>
        <v>8716310000</v>
      </c>
      <c r="C7617" s="16" t="s">
        <v>860</v>
      </c>
      <c r="D7617" s="16" t="s">
        <v>881</v>
      </c>
      <c r="E7617" s="16" t="s">
        <v>9484</v>
      </c>
      <c r="F7617" s="27" t="s">
        <v>15776</v>
      </c>
      <c r="G7617" s="27"/>
      <c r="H7617" s="16" t="str">
        <f>IF(ISBLANK(PARTIDAS!$G7617),PARTIDAS!$F7617,CONCATENATE(PARTIDAS!$F7617," (",PARTIDAS!$G7617,")"))</f>
        <v>Remolques y semirremolques para cualquier vehículo, cisternas</v>
      </c>
      <c r="I7617" s="16" t="s">
        <v>9427</v>
      </c>
    </row>
    <row r="7618" spans="1:9" x14ac:dyDescent="0.25">
      <c r="A7618" s="16" t="s">
        <v>8489</v>
      </c>
      <c r="B7618" s="16" t="str">
        <f>TEXT(PARTIDA[[#This Row],[PARTIDA]],"0000000000")</f>
        <v>8716390000</v>
      </c>
      <c r="C7618" s="16" t="s">
        <v>860</v>
      </c>
      <c r="D7618" s="16" t="s">
        <v>881</v>
      </c>
      <c r="E7618" s="16" t="s">
        <v>9484</v>
      </c>
      <c r="F7618" s="27" t="s">
        <v>15777</v>
      </c>
      <c r="G7618" s="27"/>
      <c r="H7618" s="16" t="str">
        <f>IF(ISBLANK(PARTIDAS!$G7618),PARTIDAS!$F7618,CONCATENATE(PARTIDAS!$F7618," (",PARTIDAS!$G7618,")"))</f>
        <v>Remolques y semirremolques para cualquier vehículo (los demás)</v>
      </c>
      <c r="I7618" s="16" t="s">
        <v>9427</v>
      </c>
    </row>
    <row r="7619" spans="1:9" x14ac:dyDescent="0.25">
      <c r="A7619" s="16" t="s">
        <v>8490</v>
      </c>
      <c r="B7619" s="16" t="str">
        <f>TEXT(PARTIDA[[#This Row],[PARTIDA]],"0000000000")</f>
        <v>8716400000</v>
      </c>
      <c r="C7619" s="16" t="s">
        <v>860</v>
      </c>
      <c r="D7619" s="16" t="s">
        <v>881</v>
      </c>
      <c r="E7619" s="16" t="s">
        <v>9484</v>
      </c>
      <c r="F7619" s="27" t="s">
        <v>15778</v>
      </c>
      <c r="G7619" s="27"/>
      <c r="H7619" s="16" t="str">
        <f>IF(ISBLANK(PARTIDAS!$G7619),PARTIDAS!$F7619,CONCATENATE(PARTIDAS!$F7619," (",PARTIDAS!$G7619,")"))</f>
        <v>Remolques y semirremolques para cualquier vehículo (los demás, remolques y semirremolques)</v>
      </c>
      <c r="I7619" s="16" t="s">
        <v>9427</v>
      </c>
    </row>
    <row r="7620" spans="1:9" x14ac:dyDescent="0.25">
      <c r="A7620" s="16" t="s">
        <v>8491</v>
      </c>
      <c r="B7620" s="16" t="str">
        <f>TEXT(PARTIDA[[#This Row],[PARTIDA]],"0000000000")</f>
        <v>8716801000</v>
      </c>
      <c r="C7620" s="16" t="s">
        <v>860</v>
      </c>
      <c r="D7620" s="16" t="s">
        <v>881</v>
      </c>
      <c r="E7620" s="16" t="s">
        <v>9484</v>
      </c>
      <c r="F7620" s="27" t="s">
        <v>15779</v>
      </c>
      <c r="G7620" s="27"/>
      <c r="H7620" s="16" t="str">
        <f>IF(ISBLANK(PARTIDAS!$G7620),PARTIDAS!$F7620,CONCATENATE(PARTIDAS!$F7620," (",PARTIDAS!$G7620,")"))</f>
        <v>Carretillas de mano</v>
      </c>
      <c r="I7620" s="16" t="s">
        <v>9427</v>
      </c>
    </row>
    <row r="7621" spans="1:9" x14ac:dyDescent="0.25">
      <c r="A7621" s="16" t="s">
        <v>8492</v>
      </c>
      <c r="B7621" s="16" t="str">
        <f>TEXT(PARTIDA[[#This Row],[PARTIDA]],"0000000000")</f>
        <v>8716809000</v>
      </c>
      <c r="C7621" s="16" t="s">
        <v>860</v>
      </c>
      <c r="D7621" s="16" t="s">
        <v>881</v>
      </c>
      <c r="E7621" s="16" t="s">
        <v>9484</v>
      </c>
      <c r="F7621" s="27" t="s">
        <v>15777</v>
      </c>
      <c r="G7621" s="27"/>
      <c r="H7621" s="16" t="str">
        <f>IF(ISBLANK(PARTIDAS!$G7621),PARTIDAS!$F7621,CONCATENATE(PARTIDAS!$F7621," (",PARTIDAS!$G7621,")"))</f>
        <v>Remolques y semirremolques para cualquier vehículo (los demás)</v>
      </c>
      <c r="I7621" s="16" t="s">
        <v>9427</v>
      </c>
    </row>
    <row r="7622" spans="1:9" x14ac:dyDescent="0.25">
      <c r="A7622" s="16" t="s">
        <v>8493</v>
      </c>
      <c r="B7622" s="16" t="str">
        <f>TEXT(PARTIDA[[#This Row],[PARTIDA]],"0000000000")</f>
        <v>8716900000</v>
      </c>
      <c r="C7622" s="16" t="s">
        <v>860</v>
      </c>
      <c r="D7622" s="16" t="s">
        <v>881</v>
      </c>
      <c r="E7622" s="16" t="s">
        <v>9484</v>
      </c>
      <c r="F7622" s="27" t="s">
        <v>15780</v>
      </c>
      <c r="G7622" s="27"/>
      <c r="H7622" s="16" t="str">
        <f>IF(ISBLANK(PARTIDAS!$G7622),PARTIDAS!$F7622,CONCATENATE(PARTIDAS!$F7622," (",PARTIDAS!$G7622,")"))</f>
        <v>Remolques y semirremolques para cualquier vehículo, partes</v>
      </c>
      <c r="I7622" s="16" t="s">
        <v>9427</v>
      </c>
    </row>
    <row r="7623" spans="1:9" x14ac:dyDescent="0.25">
      <c r="A7623" s="16" t="s">
        <v>8494</v>
      </c>
      <c r="B7623" s="16" t="str">
        <f>TEXT(PARTIDA[[#This Row],[PARTIDA]],"0000000000")</f>
        <v>8801000010</v>
      </c>
      <c r="C7623" s="16" t="s">
        <v>860</v>
      </c>
      <c r="D7623" s="16" t="s">
        <v>881</v>
      </c>
      <c r="E7623" s="16" t="s">
        <v>9484</v>
      </c>
      <c r="F7623" s="27" t="s">
        <v>15781</v>
      </c>
      <c r="G7623" s="27"/>
      <c r="H7623" s="16" t="str">
        <f>IF(ISBLANK(PARTIDAS!$G7623),PARTIDAS!$F7623,CONCATENATE(PARTIDAS!$F7623," (",PARTIDAS!$G7623,")"))</f>
        <v>Planeadores y alas planeadoras</v>
      </c>
      <c r="I7623" s="16" t="s">
        <v>9427</v>
      </c>
    </row>
    <row r="7624" spans="1:9" x14ac:dyDescent="0.25">
      <c r="A7624" s="16" t="s">
        <v>8495</v>
      </c>
      <c r="B7624" s="16" t="str">
        <f>TEXT(PARTIDA[[#This Row],[PARTIDA]],"0000000000")</f>
        <v>8801000090</v>
      </c>
      <c r="C7624" s="16" t="s">
        <v>860</v>
      </c>
      <c r="D7624" s="16" t="s">
        <v>881</v>
      </c>
      <c r="E7624" s="16" t="s">
        <v>9484</v>
      </c>
      <c r="F7624" s="27" t="s">
        <v>15782</v>
      </c>
      <c r="G7624" s="27"/>
      <c r="H7624" s="16" t="str">
        <f>IF(ISBLANK(PARTIDAS!$G7624),PARTIDAS!$F7624,CONCATENATE(PARTIDAS!$F7624," (",PARTIDAS!$G7624,")"))</f>
        <v>Aeronaves, vehículos espaciales, y sus partes (los demás)</v>
      </c>
      <c r="I7624" s="16" t="s">
        <v>9427</v>
      </c>
    </row>
    <row r="7625" spans="1:9" x14ac:dyDescent="0.25">
      <c r="A7625" s="16" t="s">
        <v>8496</v>
      </c>
      <c r="B7625" s="16" t="str">
        <f>TEXT(PARTIDA[[#This Row],[PARTIDA]],"0000000000")</f>
        <v>8802110000</v>
      </c>
      <c r="C7625" s="16" t="s">
        <v>860</v>
      </c>
      <c r="D7625" s="16" t="s">
        <v>881</v>
      </c>
      <c r="E7625" s="16" t="s">
        <v>9484</v>
      </c>
      <c r="F7625" s="27" t="s">
        <v>15783</v>
      </c>
      <c r="G7625" s="27"/>
      <c r="H7625" s="16" t="str">
        <f>IF(ISBLANK(PARTIDAS!$G7625),PARTIDAS!$F7625,CONCATENATE(PARTIDAS!$F7625," (",PARTIDAS!$G7625,")"))</f>
        <v>Helicópteros, de peso en vacío inferior o igual a 2.000 kg</v>
      </c>
      <c r="I7625" s="16" t="s">
        <v>9427</v>
      </c>
    </row>
    <row r="7626" spans="1:9" x14ac:dyDescent="0.25">
      <c r="A7626" s="16" t="s">
        <v>8497</v>
      </c>
      <c r="B7626" s="16" t="str">
        <f>TEXT(PARTIDA[[#This Row],[PARTIDA]],"0000000000")</f>
        <v>8802120000</v>
      </c>
      <c r="C7626" s="16" t="s">
        <v>860</v>
      </c>
      <c r="D7626" s="16" t="s">
        <v>881</v>
      </c>
      <c r="E7626" s="16" t="s">
        <v>9484</v>
      </c>
      <c r="F7626" s="27" t="s">
        <v>15784</v>
      </c>
      <c r="G7626" s="27"/>
      <c r="H7626" s="16" t="str">
        <f>IF(ISBLANK(PARTIDAS!$G7626),PARTIDAS!$F7626,CONCATENATE(PARTIDAS!$F7626," (",PARTIDAS!$G7626,")"))</f>
        <v>Helicópteros, de peso en vacío superior a 2.000 kg</v>
      </c>
      <c r="I7626" s="16" t="s">
        <v>9427</v>
      </c>
    </row>
    <row r="7627" spans="1:9" x14ac:dyDescent="0.25">
      <c r="A7627" s="16" t="s">
        <v>8498</v>
      </c>
      <c r="B7627" s="16" t="str">
        <f>TEXT(PARTIDA[[#This Row],[PARTIDA]],"0000000000")</f>
        <v>8802201000</v>
      </c>
      <c r="C7627" s="16" t="s">
        <v>860</v>
      </c>
      <c r="D7627" s="16" t="s">
        <v>881</v>
      </c>
      <c r="E7627" s="16" t="s">
        <v>9484</v>
      </c>
      <c r="F7627" s="27" t="s">
        <v>15785</v>
      </c>
      <c r="G7627" s="27"/>
      <c r="H7627" s="16" t="str">
        <f>IF(ISBLANK(PARTIDAS!$G7627),PARTIDAS!$F7627,CONCATENATE(PARTIDAS!$F7627," (",PARTIDAS!$G7627,")"))</f>
        <v>Aviones de peso máximo de despegue inferior o igual a 5.700 kg, excepto los diseñados específicamente para uso militar</v>
      </c>
      <c r="I7627" s="16" t="s">
        <v>9427</v>
      </c>
    </row>
    <row r="7628" spans="1:9" x14ac:dyDescent="0.25">
      <c r="A7628" s="16" t="s">
        <v>8499</v>
      </c>
      <c r="B7628" s="16" t="str">
        <f>TEXT(PARTIDA[[#This Row],[PARTIDA]],"0000000000")</f>
        <v>8802209000</v>
      </c>
      <c r="C7628" s="16" t="s">
        <v>860</v>
      </c>
      <c r="D7628" s="16" t="s">
        <v>881</v>
      </c>
      <c r="E7628" s="16" t="s">
        <v>9484</v>
      </c>
      <c r="F7628" s="27" t="s">
        <v>15786</v>
      </c>
      <c r="G7628" s="27"/>
      <c r="H7628" s="16" t="str">
        <f>IF(ISBLANK(PARTIDAS!$G7628),PARTIDAS!$F7628,CONCATENATE(PARTIDAS!$F7628," (",PARTIDAS!$G7628,")"))</f>
        <v>Aviones y demás aeronaves, de peso en vacío inferior o igual a 2.000… (los demás)</v>
      </c>
      <c r="I7628" s="16" t="s">
        <v>9427</v>
      </c>
    </row>
    <row r="7629" spans="1:9" x14ac:dyDescent="0.25">
      <c r="A7629" s="16" t="s">
        <v>8500</v>
      </c>
      <c r="B7629" s="16" t="str">
        <f>TEXT(PARTIDA[[#This Row],[PARTIDA]],"0000000000")</f>
        <v>8802301000</v>
      </c>
      <c r="C7629" s="16" t="s">
        <v>860</v>
      </c>
      <c r="D7629" s="16" t="s">
        <v>881</v>
      </c>
      <c r="E7629" s="16" t="s">
        <v>9484</v>
      </c>
      <c r="F7629" s="27" t="s">
        <v>15785</v>
      </c>
      <c r="G7629" s="27"/>
      <c r="H7629" s="16" t="str">
        <f>IF(ISBLANK(PARTIDAS!$G7629),PARTIDAS!$F7629,CONCATENATE(PARTIDAS!$F7629," (",PARTIDAS!$G7629,")"))</f>
        <v>Aviones de peso máximo de despegue inferior o igual a 5.700 kg, excepto los diseñados específicamente para uso militar</v>
      </c>
      <c r="I7629" s="16" t="s">
        <v>9427</v>
      </c>
    </row>
    <row r="7630" spans="1:9" x14ac:dyDescent="0.25">
      <c r="A7630" s="16" t="s">
        <v>8501</v>
      </c>
      <c r="B7630" s="16" t="str">
        <f>TEXT(PARTIDA[[#This Row],[PARTIDA]],"0000000000")</f>
        <v>8802309000</v>
      </c>
      <c r="C7630" s="16" t="s">
        <v>860</v>
      </c>
      <c r="D7630" s="16" t="s">
        <v>881</v>
      </c>
      <c r="E7630" s="16" t="s">
        <v>9484</v>
      </c>
      <c r="F7630" s="27" t="s">
        <v>15787</v>
      </c>
      <c r="G7630" s="27"/>
      <c r="H7630" s="16" t="str">
        <f>IF(ISBLANK(PARTIDAS!$G7630),PARTIDAS!$F7630,CONCATENATE(PARTIDAS!$F7630," (",PARTIDAS!$G7630,")"))</f>
        <v>Aviones y demás aeronaves, de peso en vacío superior a 2.000 kg pero… (los demás)</v>
      </c>
      <c r="I7630" s="16" t="s">
        <v>9427</v>
      </c>
    </row>
    <row r="7631" spans="1:9" x14ac:dyDescent="0.25">
      <c r="A7631" s="16" t="s">
        <v>8502</v>
      </c>
      <c r="B7631" s="16" t="str">
        <f>TEXT(PARTIDA[[#This Row],[PARTIDA]],"0000000000")</f>
        <v>8802400000</v>
      </c>
      <c r="C7631" s="16" t="s">
        <v>860</v>
      </c>
      <c r="D7631" s="16" t="s">
        <v>881</v>
      </c>
      <c r="E7631" s="16" t="s">
        <v>9484</v>
      </c>
      <c r="F7631" s="27" t="s">
        <v>15788</v>
      </c>
      <c r="G7631" s="27"/>
      <c r="H7631" s="16" t="str">
        <f>IF(ISBLANK(PARTIDAS!$G7631),PARTIDAS!$F7631,CONCATENATE(PARTIDAS!$F7631," (",PARTIDAS!$G7631,")"))</f>
        <v>Aviones y demás aeronaves, de peso en vacío superior a 15.000 kg</v>
      </c>
      <c r="I7631" s="16" t="s">
        <v>9427</v>
      </c>
    </row>
    <row r="7632" spans="1:9" x14ac:dyDescent="0.25">
      <c r="A7632" s="16" t="s">
        <v>8503</v>
      </c>
      <c r="B7632" s="16" t="str">
        <f>TEXT(PARTIDA[[#This Row],[PARTIDA]],"0000000000")</f>
        <v>8802600000</v>
      </c>
      <c r="C7632" s="16" t="s">
        <v>860</v>
      </c>
      <c r="D7632" s="16" t="s">
        <v>881</v>
      </c>
      <c r="E7632" s="16" t="s">
        <v>9484</v>
      </c>
      <c r="F7632" s="27" t="s">
        <v>15789</v>
      </c>
      <c r="G7632" s="27"/>
      <c r="H7632" s="16" t="str">
        <f>IF(ISBLANK(PARTIDAS!$G7632),PARTIDAS!$F7632,CONCATENATE(PARTIDAS!$F7632," (",PARTIDAS!$G7632,")"))</f>
        <v>Vehículos espaciales (incluidos los satélites) y sus vehículos de lanzamiento y vehículos suborbitales</v>
      </c>
      <c r="I7632" s="16" t="s">
        <v>9427</v>
      </c>
    </row>
    <row r="7633" spans="1:9" x14ac:dyDescent="0.25">
      <c r="A7633" s="16" t="s">
        <v>8504</v>
      </c>
      <c r="B7633" s="16" t="str">
        <f>TEXT(PARTIDA[[#This Row],[PARTIDA]],"0000000000")</f>
        <v>8803100000</v>
      </c>
      <c r="C7633" s="16" t="s">
        <v>860</v>
      </c>
      <c r="D7633" s="16" t="s">
        <v>881</v>
      </c>
      <c r="E7633" s="16" t="s">
        <v>9484</v>
      </c>
      <c r="F7633" s="27" t="s">
        <v>8505</v>
      </c>
      <c r="G7633" s="27"/>
      <c r="H7633" s="16" t="str">
        <f>IF(ISBLANK(PARTIDAS!$G7633),PARTIDAS!$F7633,CONCATENATE(PARTIDAS!$F7633," (",PARTIDAS!$G7633,")"))</f>
        <v>Hélices, rotores y sus partes</v>
      </c>
      <c r="I7633" s="16" t="s">
        <v>9648</v>
      </c>
    </row>
    <row r="7634" spans="1:9" x14ac:dyDescent="0.25">
      <c r="A7634" s="16" t="s">
        <v>8506</v>
      </c>
      <c r="B7634" s="16" t="str">
        <f>TEXT(PARTIDA[[#This Row],[PARTIDA]],"0000000000")</f>
        <v>8803200000</v>
      </c>
      <c r="C7634" s="16" t="s">
        <v>860</v>
      </c>
      <c r="D7634" s="16" t="s">
        <v>881</v>
      </c>
      <c r="E7634" s="16" t="s">
        <v>9484</v>
      </c>
      <c r="F7634" s="27" t="s">
        <v>15790</v>
      </c>
      <c r="G7634" s="27"/>
      <c r="H7634" s="16" t="str">
        <f>IF(ISBLANK(PARTIDAS!$G7634),PARTIDAS!$F7634,CONCATENATE(PARTIDAS!$F7634," (",PARTIDAS!$G7634,")"))</f>
        <v>Trenes de aterrizaje y sus partes</v>
      </c>
      <c r="I7634" s="16" t="s">
        <v>9648</v>
      </c>
    </row>
    <row r="7635" spans="1:9" x14ac:dyDescent="0.25">
      <c r="A7635" s="16" t="s">
        <v>8507</v>
      </c>
      <c r="B7635" s="16" t="str">
        <f>TEXT(PARTIDA[[#This Row],[PARTIDA]],"0000000000")</f>
        <v>8803300000</v>
      </c>
      <c r="C7635" s="16" t="s">
        <v>860</v>
      </c>
      <c r="D7635" s="16" t="s">
        <v>881</v>
      </c>
      <c r="E7635" s="16" t="s">
        <v>9484</v>
      </c>
      <c r="F7635" s="27" t="s">
        <v>1535</v>
      </c>
      <c r="G7635" s="27"/>
      <c r="H7635" s="16" t="str">
        <f>IF(ISBLANK(PARTIDAS!$G7635),PARTIDAS!$F7635,CONCATENATE(PARTIDAS!$F7635," (",PARTIDAS!$G7635,")"))</f>
        <v>Los demás</v>
      </c>
      <c r="I7635" s="16" t="s">
        <v>9648</v>
      </c>
    </row>
    <row r="7636" spans="1:9" x14ac:dyDescent="0.25">
      <c r="A7636" s="16" t="s">
        <v>8508</v>
      </c>
      <c r="B7636" s="16" t="str">
        <f>TEXT(PARTIDA[[#This Row],[PARTIDA]],"0000000000")</f>
        <v>8803900000</v>
      </c>
      <c r="C7636" s="16" t="s">
        <v>860</v>
      </c>
      <c r="D7636" s="16" t="s">
        <v>881</v>
      </c>
      <c r="E7636" s="16" t="s">
        <v>9484</v>
      </c>
      <c r="F7636" s="27" t="s">
        <v>1535</v>
      </c>
      <c r="G7636" s="27"/>
      <c r="H7636" s="16" t="str">
        <f>IF(ISBLANK(PARTIDAS!$G7636),PARTIDAS!$F7636,CONCATENATE(PARTIDAS!$F7636," (",PARTIDAS!$G7636,")"))</f>
        <v>Los demás</v>
      </c>
      <c r="I7636" s="16" t="s">
        <v>9648</v>
      </c>
    </row>
    <row r="7637" spans="1:9" x14ac:dyDescent="0.25">
      <c r="A7637" s="16" t="s">
        <v>8509</v>
      </c>
      <c r="B7637" s="16" t="str">
        <f>TEXT(PARTIDA[[#This Row],[PARTIDA]],"0000000000")</f>
        <v>8804000000</v>
      </c>
      <c r="C7637" s="16" t="s">
        <v>860</v>
      </c>
      <c r="D7637" s="16" t="s">
        <v>881</v>
      </c>
      <c r="E7637" s="16" t="s">
        <v>9484</v>
      </c>
      <c r="F7637" s="27" t="s">
        <v>8510</v>
      </c>
      <c r="G7637" s="27"/>
      <c r="H7637" s="16" t="str">
        <f>IF(ISBLANK(PARTIDAS!$G7637),PARTIDAS!$F7637,CONCATENATE(PARTIDAS!$F7637," (",PARTIDAS!$G7637,")"))</f>
        <v>Paracaídas</v>
      </c>
      <c r="I7637" s="16" t="s">
        <v>9427</v>
      </c>
    </row>
    <row r="7638" spans="1:9" x14ac:dyDescent="0.25">
      <c r="A7638" s="16" t="s">
        <v>8511</v>
      </c>
      <c r="B7638" s="16" t="str">
        <f>TEXT(PARTIDA[[#This Row],[PARTIDA]],"0000000000")</f>
        <v>8805100000</v>
      </c>
      <c r="C7638" s="16" t="s">
        <v>860</v>
      </c>
      <c r="D7638" s="16" t="s">
        <v>881</v>
      </c>
      <c r="E7638" s="16" t="s">
        <v>9484</v>
      </c>
      <c r="F7638" s="27" t="s">
        <v>15791</v>
      </c>
      <c r="G7638" s="27"/>
      <c r="H7638" s="16" t="str">
        <f>IF(ISBLANK(PARTIDAS!$G7638),PARTIDAS!$F7638,CONCATENATE(PARTIDAS!$F7638," (",PARTIDAS!$G7638,")"))</f>
        <v xml:space="preserve">Aparatos y dispositivos para lanzamiento de aeronaves y sus partes; aparatos y dispositivos para aterrizaje en portaaviones y aparatos y dispositivos </v>
      </c>
      <c r="I7638" s="16" t="s">
        <v>9427</v>
      </c>
    </row>
    <row r="7639" spans="1:9" x14ac:dyDescent="0.25">
      <c r="A7639" s="16" t="s">
        <v>8512</v>
      </c>
      <c r="B7639" s="16" t="str">
        <f>TEXT(PARTIDA[[#This Row],[PARTIDA]],"0000000000")</f>
        <v>8805210000</v>
      </c>
      <c r="C7639" s="16" t="s">
        <v>860</v>
      </c>
      <c r="D7639" s="16" t="s">
        <v>881</v>
      </c>
      <c r="E7639" s="16" t="s">
        <v>9484</v>
      </c>
      <c r="F7639" s="27" t="s">
        <v>15792</v>
      </c>
      <c r="G7639" s="27"/>
      <c r="H7639" s="16" t="str">
        <f>IF(ISBLANK(PARTIDAS!$G7639),PARTIDAS!$F7639,CONCATENATE(PARTIDAS!$F7639," (",PARTIDAS!$G7639,")"))</f>
        <v>Simuladores de combate aéreo y sus partes</v>
      </c>
      <c r="I7639" s="16" t="s">
        <v>9427</v>
      </c>
    </row>
    <row r="7640" spans="1:9" x14ac:dyDescent="0.25">
      <c r="A7640" s="16" t="s">
        <v>8513</v>
      </c>
      <c r="B7640" s="16" t="str">
        <f>TEXT(PARTIDA[[#This Row],[PARTIDA]],"0000000000")</f>
        <v>8805290000</v>
      </c>
      <c r="C7640" s="16" t="s">
        <v>860</v>
      </c>
      <c r="D7640" s="16" t="s">
        <v>881</v>
      </c>
      <c r="E7640" s="16" t="s">
        <v>9484</v>
      </c>
      <c r="F7640" s="27" t="s">
        <v>15793</v>
      </c>
      <c r="G7640" s="27"/>
      <c r="H7640" s="16" t="str">
        <f>IF(ISBLANK(PARTIDAS!$G7640),PARTIDAS!$F7640,CONCATENATE(PARTIDAS!$F7640," (",PARTIDAS!$G7640,")"))</f>
        <v>Aparatos de entrenamiento de vuelo en tierra y sus partes (los demás)</v>
      </c>
      <c r="I7640" s="16" t="s">
        <v>9427</v>
      </c>
    </row>
    <row r="7641" spans="1:9" x14ac:dyDescent="0.25">
      <c r="A7641" s="16" t="s">
        <v>15794</v>
      </c>
      <c r="B7641" s="16" t="str">
        <f>TEXT(PARTIDA[[#This Row],[PARTIDA]],"0000000000")</f>
        <v>8806100000</v>
      </c>
      <c r="C7641" s="16" t="s">
        <v>860</v>
      </c>
      <c r="D7641" s="16" t="s">
        <v>881</v>
      </c>
      <c r="E7641" s="16" t="s">
        <v>9484</v>
      </c>
      <c r="F7641" s="27" t="s">
        <v>15795</v>
      </c>
      <c r="G7641" s="27"/>
      <c r="H7641" s="16" t="str">
        <f>IF(ISBLANK(PARTIDAS!$G7641),PARTIDAS!$F7641,CONCATENATE(PARTIDAS!$F7641," (",PARTIDAS!$G7641,")"))</f>
        <v>Diseñadas para el transporte de pasajeros</v>
      </c>
      <c r="I7641" s="16" t="s">
        <v>9427</v>
      </c>
    </row>
    <row r="7642" spans="1:9" x14ac:dyDescent="0.25">
      <c r="A7642" s="16" t="s">
        <v>15796</v>
      </c>
      <c r="B7642" s="16" t="str">
        <f>TEXT(PARTIDA[[#This Row],[PARTIDA]],"0000000000")</f>
        <v>8806210000</v>
      </c>
      <c r="C7642" s="16" t="s">
        <v>860</v>
      </c>
      <c r="D7642" s="16" t="s">
        <v>881</v>
      </c>
      <c r="E7642" s="16" t="s">
        <v>9484</v>
      </c>
      <c r="F7642" s="27" t="s">
        <v>15797</v>
      </c>
      <c r="G7642" s="27"/>
      <c r="H7642" s="16" t="str">
        <f>IF(ISBLANK(PARTIDAS!$G7642),PARTIDAS!$F7642,CONCATENATE(PARTIDAS!$F7642," (",PARTIDAS!$G7642,")"))</f>
        <v>Aeronaves no tripuladas, con un peso máximo de despegue inferior o igual a 250 g</v>
      </c>
      <c r="I7642" s="16" t="s">
        <v>9427</v>
      </c>
    </row>
    <row r="7643" spans="1:9" x14ac:dyDescent="0.25">
      <c r="A7643" s="16" t="s">
        <v>15798</v>
      </c>
      <c r="B7643" s="16" t="str">
        <f>TEXT(PARTIDA[[#This Row],[PARTIDA]],"0000000000")</f>
        <v>8806220000</v>
      </c>
      <c r="C7643" s="16" t="s">
        <v>860</v>
      </c>
      <c r="D7643" s="16" t="s">
        <v>881</v>
      </c>
      <c r="E7643" s="16" t="s">
        <v>9484</v>
      </c>
      <c r="F7643" s="27" t="s">
        <v>15799</v>
      </c>
      <c r="G7643" s="27"/>
      <c r="H7643" s="16" t="str">
        <f>IF(ISBLANK(PARTIDAS!$G7643),PARTIDAS!$F7643,CONCATENATE(PARTIDAS!$F7643," (",PARTIDAS!$G7643,")"))</f>
        <v>Aeronaves no tripuladas, con un peso máximo de despegue superior a 250 g pero inferior o igual a 7 kg</v>
      </c>
      <c r="I7643" s="16" t="s">
        <v>9427</v>
      </c>
    </row>
    <row r="7644" spans="1:9" x14ac:dyDescent="0.25">
      <c r="A7644" s="16" t="s">
        <v>15800</v>
      </c>
      <c r="B7644" s="16" t="str">
        <f>TEXT(PARTIDA[[#This Row],[PARTIDA]],"0000000000")</f>
        <v>8806230000</v>
      </c>
      <c r="C7644" s="16" t="s">
        <v>860</v>
      </c>
      <c r="D7644" s="16" t="s">
        <v>881</v>
      </c>
      <c r="E7644" s="16" t="s">
        <v>9484</v>
      </c>
      <c r="F7644" s="27" t="s">
        <v>15801</v>
      </c>
      <c r="G7644" s="27"/>
      <c r="H7644" s="16" t="str">
        <f>IF(ISBLANK(PARTIDAS!$G7644),PARTIDAS!$F7644,CONCATENATE(PARTIDAS!$F7644," (",PARTIDAS!$G7644,")"))</f>
        <v>Aeronaves no tripuladas, con un peso máximo de despegue superior a 7 kg pero inferior o igual a 25 kg</v>
      </c>
      <c r="I7644" s="16" t="s">
        <v>9427</v>
      </c>
    </row>
    <row r="7645" spans="1:9" x14ac:dyDescent="0.25">
      <c r="A7645" s="16" t="s">
        <v>15802</v>
      </c>
      <c r="B7645" s="16" t="str">
        <f>TEXT(PARTIDA[[#This Row],[PARTIDA]],"0000000000")</f>
        <v>8806240000</v>
      </c>
      <c r="C7645" s="16" t="s">
        <v>860</v>
      </c>
      <c r="D7645" s="16" t="s">
        <v>881</v>
      </c>
      <c r="E7645" s="16" t="s">
        <v>9484</v>
      </c>
      <c r="F7645" s="27" t="s">
        <v>15803</v>
      </c>
      <c r="G7645" s="27"/>
      <c r="H7645" s="16" t="str">
        <f>IF(ISBLANK(PARTIDAS!$G7645),PARTIDAS!$F7645,CONCATENATE(PARTIDAS!$F7645," (",PARTIDAS!$G7645,")"))</f>
        <v>Aeronaves no tripuladas, con un peso máximo de despegue superior a 25 kg pero inferior o igual a 150 kg</v>
      </c>
      <c r="I7645" s="16" t="s">
        <v>9427</v>
      </c>
    </row>
    <row r="7646" spans="1:9" x14ac:dyDescent="0.25">
      <c r="A7646" s="16" t="s">
        <v>15804</v>
      </c>
      <c r="B7646" s="16" t="str">
        <f>TEXT(PARTIDA[[#This Row],[PARTIDA]],"0000000000")</f>
        <v>8806290000</v>
      </c>
      <c r="C7646" s="16" t="s">
        <v>860</v>
      </c>
      <c r="D7646" s="16" t="s">
        <v>881</v>
      </c>
      <c r="E7646" s="16" t="s">
        <v>9484</v>
      </c>
      <c r="F7646" s="27" t="s">
        <v>15805</v>
      </c>
      <c r="G7646" s="27"/>
      <c r="H7646" s="16" t="str">
        <f>IF(ISBLANK(PARTIDAS!$G7646),PARTIDAS!$F7646,CONCATENATE(PARTIDAS!$F7646," (",PARTIDAS!$G7646,")"))</f>
        <v>Aeronaves no tripuladas (los demás)</v>
      </c>
      <c r="I7646" s="16" t="s">
        <v>9427</v>
      </c>
    </row>
    <row r="7647" spans="1:9" x14ac:dyDescent="0.25">
      <c r="A7647" s="16" t="s">
        <v>15806</v>
      </c>
      <c r="B7647" s="16" t="str">
        <f>TEXT(PARTIDA[[#This Row],[PARTIDA]],"0000000000")</f>
        <v>8806910000</v>
      </c>
      <c r="C7647" s="16" t="s">
        <v>860</v>
      </c>
      <c r="D7647" s="16" t="s">
        <v>881</v>
      </c>
      <c r="E7647" s="16" t="s">
        <v>9484</v>
      </c>
      <c r="F7647" s="27" t="s">
        <v>15797</v>
      </c>
      <c r="G7647" s="27"/>
      <c r="H7647" s="16" t="str">
        <f>IF(ISBLANK(PARTIDAS!$G7647),PARTIDAS!$F7647,CONCATENATE(PARTIDAS!$F7647," (",PARTIDAS!$G7647,")"))</f>
        <v>Aeronaves no tripuladas, con un peso máximo de despegue inferior o igual a 250 g</v>
      </c>
      <c r="I7647" s="16" t="s">
        <v>9427</v>
      </c>
    </row>
    <row r="7648" spans="1:9" x14ac:dyDescent="0.25">
      <c r="A7648" s="16" t="s">
        <v>15807</v>
      </c>
      <c r="B7648" s="16" t="str">
        <f>TEXT(PARTIDA[[#This Row],[PARTIDA]],"0000000000")</f>
        <v>8806920000</v>
      </c>
      <c r="C7648" s="16" t="s">
        <v>860</v>
      </c>
      <c r="D7648" s="16" t="s">
        <v>881</v>
      </c>
      <c r="E7648" s="16" t="s">
        <v>9484</v>
      </c>
      <c r="F7648" s="27" t="s">
        <v>15799</v>
      </c>
      <c r="G7648" s="27"/>
      <c r="H7648" s="16" t="str">
        <f>IF(ISBLANK(PARTIDAS!$G7648),PARTIDAS!$F7648,CONCATENATE(PARTIDAS!$F7648," (",PARTIDAS!$G7648,")"))</f>
        <v>Aeronaves no tripuladas, con un peso máximo de despegue superior a 250 g pero inferior o igual a 7 kg</v>
      </c>
      <c r="I7648" s="16" t="s">
        <v>9427</v>
      </c>
    </row>
    <row r="7649" spans="1:9" x14ac:dyDescent="0.25">
      <c r="A7649" s="16" t="s">
        <v>15808</v>
      </c>
      <c r="B7649" s="16" t="str">
        <f>TEXT(PARTIDA[[#This Row],[PARTIDA]],"0000000000")</f>
        <v>8806930000</v>
      </c>
      <c r="C7649" s="16" t="s">
        <v>860</v>
      </c>
      <c r="D7649" s="16" t="s">
        <v>881</v>
      </c>
      <c r="E7649" s="16" t="s">
        <v>9484</v>
      </c>
      <c r="F7649" s="27" t="s">
        <v>15801</v>
      </c>
      <c r="G7649" s="27"/>
      <c r="H7649" s="16" t="str">
        <f>IF(ISBLANK(PARTIDAS!$G7649),PARTIDAS!$F7649,CONCATENATE(PARTIDAS!$F7649," (",PARTIDAS!$G7649,")"))</f>
        <v>Aeronaves no tripuladas, con un peso máximo de despegue superior a 7 kg pero inferior o igual a 25 kg</v>
      </c>
      <c r="I7649" s="16" t="s">
        <v>9427</v>
      </c>
    </row>
    <row r="7650" spans="1:9" x14ac:dyDescent="0.25">
      <c r="A7650" s="16" t="s">
        <v>15809</v>
      </c>
      <c r="B7650" s="16" t="str">
        <f>TEXT(PARTIDA[[#This Row],[PARTIDA]],"0000000000")</f>
        <v>8806940000</v>
      </c>
      <c r="C7650" s="16" t="s">
        <v>860</v>
      </c>
      <c r="D7650" s="16" t="s">
        <v>881</v>
      </c>
      <c r="E7650" s="16" t="s">
        <v>9484</v>
      </c>
      <c r="F7650" s="27" t="s">
        <v>15803</v>
      </c>
      <c r="G7650" s="27"/>
      <c r="H7650" s="16" t="str">
        <f>IF(ISBLANK(PARTIDAS!$G7650),PARTIDAS!$F7650,CONCATENATE(PARTIDAS!$F7650," (",PARTIDAS!$G7650,")"))</f>
        <v>Aeronaves no tripuladas, con un peso máximo de despegue superior a 25 kg pero inferior o igual a 150 kg</v>
      </c>
      <c r="I7650" s="16" t="s">
        <v>9427</v>
      </c>
    </row>
    <row r="7651" spans="1:9" x14ac:dyDescent="0.25">
      <c r="A7651" s="16" t="s">
        <v>15810</v>
      </c>
      <c r="B7651" s="16" t="str">
        <f>TEXT(PARTIDA[[#This Row],[PARTIDA]],"0000000000")</f>
        <v>8806990000</v>
      </c>
      <c r="C7651" s="16" t="s">
        <v>860</v>
      </c>
      <c r="D7651" s="16" t="s">
        <v>881</v>
      </c>
      <c r="E7651" s="16" t="s">
        <v>9484</v>
      </c>
      <c r="F7651" s="27" t="s">
        <v>15805</v>
      </c>
      <c r="G7651" s="27"/>
      <c r="H7651" s="16" t="str">
        <f>IF(ISBLANK(PARTIDAS!$G7651),PARTIDAS!$F7651,CONCATENATE(PARTIDAS!$F7651," (",PARTIDAS!$G7651,")"))</f>
        <v>Aeronaves no tripuladas (los demás)</v>
      </c>
      <c r="I7651" s="16" t="s">
        <v>9427</v>
      </c>
    </row>
    <row r="7652" spans="1:9" x14ac:dyDescent="0.25">
      <c r="A7652" s="16" t="s">
        <v>8514</v>
      </c>
      <c r="B7652" s="16" t="str">
        <f>TEXT(PARTIDA[[#This Row],[PARTIDA]],"0000000000")</f>
        <v>8807100000</v>
      </c>
      <c r="C7652" s="16" t="s">
        <v>860</v>
      </c>
      <c r="D7652" s="16" t="s">
        <v>881</v>
      </c>
      <c r="E7652" s="16" t="s">
        <v>9483</v>
      </c>
      <c r="F7652" s="27" t="s">
        <v>8505</v>
      </c>
      <c r="G7652" s="27"/>
      <c r="H7652" s="16" t="str">
        <f>IF(ISBLANK(PARTIDAS!$G7652),PARTIDAS!$F7652,CONCATENATE(PARTIDAS!$F7652," (",PARTIDAS!$G7652,")"))</f>
        <v>Hélices, rotores y sus partes</v>
      </c>
      <c r="I7652" s="16" t="s">
        <v>9427</v>
      </c>
    </row>
    <row r="7653" spans="1:9" x14ac:dyDescent="0.25">
      <c r="A7653" s="16" t="s">
        <v>15811</v>
      </c>
      <c r="B7653" s="16" t="str">
        <f>TEXT(PARTIDA[[#This Row],[PARTIDA]],"0000000000")</f>
        <v>8807200000</v>
      </c>
      <c r="C7653" s="16" t="s">
        <v>860</v>
      </c>
      <c r="D7653" s="16" t="s">
        <v>881</v>
      </c>
      <c r="E7653" s="16" t="s">
        <v>9483</v>
      </c>
      <c r="F7653" s="27" t="s">
        <v>15790</v>
      </c>
      <c r="G7653" s="27"/>
      <c r="H7653" s="16" t="str">
        <f>IF(ISBLANK(PARTIDAS!$G7653),PARTIDAS!$F7653,CONCATENATE(PARTIDAS!$F7653," (",PARTIDAS!$G7653,")"))</f>
        <v>Trenes de aterrizaje y sus partes</v>
      </c>
      <c r="I7653" s="16" t="s">
        <v>9427</v>
      </c>
    </row>
    <row r="7654" spans="1:9" x14ac:dyDescent="0.25">
      <c r="A7654" s="16" t="s">
        <v>9099</v>
      </c>
      <c r="B7654" s="16" t="str">
        <f>TEXT(PARTIDA[[#This Row],[PARTIDA]],"0000000000")</f>
        <v>8807300000</v>
      </c>
      <c r="C7654" s="16" t="s">
        <v>860</v>
      </c>
      <c r="D7654" s="16" t="s">
        <v>881</v>
      </c>
      <c r="E7654" s="16" t="s">
        <v>9483</v>
      </c>
      <c r="F7654" s="27" t="s">
        <v>7097</v>
      </c>
      <c r="G7654" s="27"/>
      <c r="H7654" s="16" t="str">
        <f>IF(ISBLANK(PARTIDAS!$G7654),PARTIDAS!$F7654,CONCATENATE(PARTIDAS!$F7654," (",PARTIDAS!$G7654,")"))</f>
        <v>Partes de máquinas</v>
      </c>
      <c r="I7654" s="16" t="s">
        <v>9427</v>
      </c>
    </row>
    <row r="7655" spans="1:9" x14ac:dyDescent="0.25">
      <c r="A7655" s="16" t="s">
        <v>15812</v>
      </c>
      <c r="B7655" s="16" t="str">
        <f>TEXT(PARTIDA[[#This Row],[PARTIDA]],"0000000000")</f>
        <v>8807900000</v>
      </c>
      <c r="C7655" s="16" t="s">
        <v>860</v>
      </c>
      <c r="D7655" s="16" t="s">
        <v>881</v>
      </c>
      <c r="E7655" s="16" t="s">
        <v>9483</v>
      </c>
      <c r="F7655" s="27" t="s">
        <v>15813</v>
      </c>
      <c r="G7655" s="27"/>
      <c r="H7655" s="16" t="str">
        <f>IF(ISBLANK(PARTIDAS!$G7655),PARTIDAS!$F7655,CONCATENATE(PARTIDAS!$F7655," (",PARTIDAS!$G7655,")"))</f>
        <v>Partes de los aparatos de las partidas 88.01, 88.02 u 88.06 (los demás)</v>
      </c>
      <c r="I7655" s="16" t="s">
        <v>9427</v>
      </c>
    </row>
    <row r="7656" spans="1:9" x14ac:dyDescent="0.25">
      <c r="A7656" s="16" t="s">
        <v>8515</v>
      </c>
      <c r="B7656" s="16" t="str">
        <f>TEXT(PARTIDA[[#This Row],[PARTIDA]],"0000000000")</f>
        <v>8901101100</v>
      </c>
      <c r="C7656" s="16" t="s">
        <v>860</v>
      </c>
      <c r="D7656" s="16" t="s">
        <v>881</v>
      </c>
      <c r="E7656" s="16" t="s">
        <v>9484</v>
      </c>
      <c r="F7656" s="27" t="s">
        <v>15814</v>
      </c>
      <c r="G7656" s="27"/>
      <c r="H7656" s="16" t="str">
        <f>IF(ISBLANK(PARTIDAS!$G7656),PARTIDAS!$F7656,CONCATENATE(PARTIDAS!$F7656," (",PARTIDAS!$G7656,")"))</f>
        <v>Transatlánticos, barcos para excursiones (de cruceros)…, de registro inferior o igual a 1.000 t, inferior o igual a 50 t</v>
      </c>
      <c r="I7656" s="16" t="s">
        <v>9427</v>
      </c>
    </row>
    <row r="7657" spans="1:9" x14ac:dyDescent="0.25">
      <c r="A7657" s="16" t="s">
        <v>8516</v>
      </c>
      <c r="B7657" s="16" t="str">
        <f>TEXT(PARTIDA[[#This Row],[PARTIDA]],"0000000000")</f>
        <v>8901101900</v>
      </c>
      <c r="C7657" s="16" t="s">
        <v>860</v>
      </c>
      <c r="D7657" s="16" t="s">
        <v>881</v>
      </c>
      <c r="E7657" s="16" t="s">
        <v>9484</v>
      </c>
      <c r="F7657" s="27" t="s">
        <v>15815</v>
      </c>
      <c r="G7657" s="27"/>
      <c r="H7657" s="16" t="str">
        <f>IF(ISBLANK(PARTIDAS!$G7657),PARTIDAS!$F7657,CONCATENATE(PARTIDAS!$F7657," (",PARTIDAS!$G7657,")"))</f>
        <v>Transatlánticos, barcos para excursiones (de cruceros)…, de registro inferior o igual a 1.000 t (los demás)</v>
      </c>
      <c r="I7657" s="16" t="s">
        <v>9427</v>
      </c>
    </row>
    <row r="7658" spans="1:9" x14ac:dyDescent="0.25">
      <c r="A7658" s="16" t="s">
        <v>8517</v>
      </c>
      <c r="B7658" s="16" t="str">
        <f>TEXT(PARTIDA[[#This Row],[PARTIDA]],"0000000000")</f>
        <v>8901102000</v>
      </c>
      <c r="C7658" s="16" t="s">
        <v>860</v>
      </c>
      <c r="D7658" s="16" t="s">
        <v>881</v>
      </c>
      <c r="E7658" s="16" t="s">
        <v>9484</v>
      </c>
      <c r="F7658" s="27" t="s">
        <v>15816</v>
      </c>
      <c r="G7658" s="27"/>
      <c r="H7658" s="16" t="str">
        <f>IF(ISBLANK(PARTIDAS!$G7658),PARTIDAS!$F7658,CONCATENATE(PARTIDAS!$F7658," (",PARTIDAS!$G7658,")"))</f>
        <v>Transatlánticos, barcos para excursiones (de cruceros) y barcos…, de registro superior a 1.000 t</v>
      </c>
      <c r="I7658" s="16" t="s">
        <v>9427</v>
      </c>
    </row>
    <row r="7659" spans="1:9" x14ac:dyDescent="0.25">
      <c r="A7659" s="16" t="s">
        <v>8518</v>
      </c>
      <c r="B7659" s="16" t="str">
        <f>TEXT(PARTIDA[[#This Row],[PARTIDA]],"0000000000")</f>
        <v>8901201100</v>
      </c>
      <c r="C7659" s="16" t="s">
        <v>860</v>
      </c>
      <c r="D7659" s="16" t="s">
        <v>881</v>
      </c>
      <c r="E7659" s="16" t="s">
        <v>9484</v>
      </c>
      <c r="F7659" s="27" t="s">
        <v>15817</v>
      </c>
      <c r="G7659" s="27"/>
      <c r="H7659" s="16" t="str">
        <f>IF(ISBLANK(PARTIDAS!$G7659),PARTIDAS!$F7659,CONCATENATE(PARTIDAS!$F7659," (",PARTIDAS!$G7659,")"))</f>
        <v>Barcos cisterna, de registro inferior o igual a 1.000 t, inferior o igual a 50 t</v>
      </c>
      <c r="I7659" s="16" t="s">
        <v>9427</v>
      </c>
    </row>
    <row r="7660" spans="1:9" x14ac:dyDescent="0.25">
      <c r="A7660" s="16" t="s">
        <v>8519</v>
      </c>
      <c r="B7660" s="16" t="str">
        <f>TEXT(PARTIDA[[#This Row],[PARTIDA]],"0000000000")</f>
        <v>8901201900</v>
      </c>
      <c r="C7660" s="16" t="s">
        <v>860</v>
      </c>
      <c r="D7660" s="16" t="s">
        <v>881</v>
      </c>
      <c r="E7660" s="16" t="s">
        <v>9484</v>
      </c>
      <c r="F7660" s="27" t="s">
        <v>15818</v>
      </c>
      <c r="G7660" s="27"/>
      <c r="H7660" s="16" t="str">
        <f>IF(ISBLANK(PARTIDAS!$G7660),PARTIDAS!$F7660,CONCATENATE(PARTIDAS!$F7660," (",PARTIDAS!$G7660,")"))</f>
        <v>Barcos cisterna, de registro inferior o igual a 1.000 t (los demás)</v>
      </c>
      <c r="I7660" s="16" t="s">
        <v>9427</v>
      </c>
    </row>
    <row r="7661" spans="1:9" x14ac:dyDescent="0.25">
      <c r="A7661" s="16" t="s">
        <v>8520</v>
      </c>
      <c r="B7661" s="16" t="str">
        <f>TEXT(PARTIDA[[#This Row],[PARTIDA]],"0000000000")</f>
        <v>8901202000</v>
      </c>
      <c r="C7661" s="16" t="s">
        <v>860</v>
      </c>
      <c r="D7661" s="16" t="s">
        <v>881</v>
      </c>
      <c r="E7661" s="16" t="s">
        <v>9484</v>
      </c>
      <c r="F7661" s="27" t="s">
        <v>15819</v>
      </c>
      <c r="G7661" s="27"/>
      <c r="H7661" s="16" t="str">
        <f>IF(ISBLANK(PARTIDAS!$G7661),PARTIDAS!$F7661,CONCATENATE(PARTIDAS!$F7661," (",PARTIDAS!$G7661,")"))</f>
        <v>Barcos cisterna, de registro superior a 1.000 t</v>
      </c>
      <c r="I7661" s="16" t="s">
        <v>9427</v>
      </c>
    </row>
    <row r="7662" spans="1:9" x14ac:dyDescent="0.25">
      <c r="A7662" s="16" t="s">
        <v>8521</v>
      </c>
      <c r="B7662" s="16" t="str">
        <f>TEXT(PARTIDA[[#This Row],[PARTIDA]],"0000000000")</f>
        <v>8901301100</v>
      </c>
      <c r="C7662" s="16" t="s">
        <v>860</v>
      </c>
      <c r="D7662" s="16" t="s">
        <v>881</v>
      </c>
      <c r="E7662" s="16" t="s">
        <v>9484</v>
      </c>
      <c r="F7662" s="27" t="s">
        <v>15820</v>
      </c>
      <c r="G7662" s="27"/>
      <c r="H7662" s="16" t="str">
        <f>IF(ISBLANK(PARTIDAS!$G7662),PARTIDAS!$F7662,CONCATENATE(PARTIDAS!$F7662," (",PARTIDAS!$G7662,")"))</f>
        <v>Barcos frigorífico, de registro inferior o igual a 1.000 t, inferior o igual a 50t</v>
      </c>
      <c r="I7662" s="16" t="s">
        <v>9427</v>
      </c>
    </row>
    <row r="7663" spans="1:9" x14ac:dyDescent="0.25">
      <c r="A7663" s="16" t="s">
        <v>8522</v>
      </c>
      <c r="B7663" s="16" t="str">
        <f>TEXT(PARTIDA[[#This Row],[PARTIDA]],"0000000000")</f>
        <v>8901301900</v>
      </c>
      <c r="C7663" s="16" t="s">
        <v>860</v>
      </c>
      <c r="D7663" s="16" t="s">
        <v>881</v>
      </c>
      <c r="E7663" s="16" t="s">
        <v>9484</v>
      </c>
      <c r="F7663" s="27" t="s">
        <v>15821</v>
      </c>
      <c r="G7663" s="27"/>
      <c r="H7663" s="16" t="str">
        <f>IF(ISBLANK(PARTIDAS!$G7663),PARTIDAS!$F7663,CONCATENATE(PARTIDAS!$F7663," (",PARTIDAS!$G7663,")"))</f>
        <v>Barcos frigorífico, de registro inferior o igual a 1.000 t (los demás)</v>
      </c>
      <c r="I7663" s="16" t="s">
        <v>9427</v>
      </c>
    </row>
    <row r="7664" spans="1:9" x14ac:dyDescent="0.25">
      <c r="A7664" s="16" t="s">
        <v>8523</v>
      </c>
      <c r="B7664" s="16" t="str">
        <f>TEXT(PARTIDA[[#This Row],[PARTIDA]],"0000000000")</f>
        <v>8901302000</v>
      </c>
      <c r="C7664" s="16" t="s">
        <v>860</v>
      </c>
      <c r="D7664" s="16" t="s">
        <v>881</v>
      </c>
      <c r="E7664" s="16" t="s">
        <v>9484</v>
      </c>
      <c r="F7664" s="27" t="s">
        <v>15822</v>
      </c>
      <c r="G7664" s="27"/>
      <c r="H7664" s="16" t="str">
        <f>IF(ISBLANK(PARTIDAS!$G7664),PARTIDAS!$F7664,CONCATENATE(PARTIDAS!$F7664," (",PARTIDAS!$G7664,")"))</f>
        <v>Barcos frigorífico, de registro superior a 1.000 t</v>
      </c>
      <c r="I7664" s="16" t="s">
        <v>9427</v>
      </c>
    </row>
    <row r="7665" spans="1:9" x14ac:dyDescent="0.25">
      <c r="A7665" s="16" t="s">
        <v>8524</v>
      </c>
      <c r="B7665" s="16" t="str">
        <f>TEXT(PARTIDA[[#This Row],[PARTIDA]],"0000000000")</f>
        <v>8901901100</v>
      </c>
      <c r="C7665" s="16" t="s">
        <v>860</v>
      </c>
      <c r="D7665" s="16" t="s">
        <v>881</v>
      </c>
      <c r="E7665" s="16" t="s">
        <v>9484</v>
      </c>
      <c r="F7665" s="27" t="s">
        <v>15823</v>
      </c>
      <c r="G7665" s="27"/>
      <c r="H7665" s="16" t="str">
        <f>IF(ISBLANK(PARTIDAS!$G7665),PARTIDAS!$F7665,CONCATENATE(PARTIDAS!$F7665," (",PARTIDAS!$G7665,")"))</f>
        <v>Transatlánticos, barcos para excursiones (de…, de registro inferior o igual a 1.000 t, inferior o igual a 50 t</v>
      </c>
      <c r="I7665" s="16" t="s">
        <v>9427</v>
      </c>
    </row>
    <row r="7666" spans="1:9" x14ac:dyDescent="0.25">
      <c r="A7666" s="16" t="s">
        <v>8525</v>
      </c>
      <c r="B7666" s="16" t="str">
        <f>TEXT(PARTIDA[[#This Row],[PARTIDA]],"0000000000")</f>
        <v>8901901900</v>
      </c>
      <c r="C7666" s="16" t="s">
        <v>860</v>
      </c>
      <c r="D7666" s="16" t="s">
        <v>881</v>
      </c>
      <c r="E7666" s="16" t="s">
        <v>9484</v>
      </c>
      <c r="F7666" s="27" t="s">
        <v>15824</v>
      </c>
      <c r="G7666" s="27"/>
      <c r="H7666" s="16" t="str">
        <f>IF(ISBLANK(PARTIDAS!$G7666),PARTIDAS!$F7666,CONCATENATE(PARTIDAS!$F7666," (",PARTIDAS!$G7666,")"))</f>
        <v>Transatlánticos, barcos para excursiones (de…, de registro inferior o igual a 1.000 t (los demás)</v>
      </c>
      <c r="I7666" s="16" t="s">
        <v>9427</v>
      </c>
    </row>
    <row r="7667" spans="1:9" x14ac:dyDescent="0.25">
      <c r="A7667" s="16" t="s">
        <v>8526</v>
      </c>
      <c r="B7667" s="16" t="str">
        <f>TEXT(PARTIDA[[#This Row],[PARTIDA]],"0000000000")</f>
        <v>8901902000</v>
      </c>
      <c r="C7667" s="16" t="s">
        <v>860</v>
      </c>
      <c r="D7667" s="16" t="s">
        <v>881</v>
      </c>
      <c r="E7667" s="16" t="s">
        <v>9484</v>
      </c>
      <c r="F7667" s="27" t="s">
        <v>15825</v>
      </c>
      <c r="G7667" s="27"/>
      <c r="H7667" s="16" t="str">
        <f>IF(ISBLANK(PARTIDAS!$G7667),PARTIDAS!$F7667,CONCATENATE(PARTIDAS!$F7667," (",PARTIDAS!$G7667,")"))</f>
        <v>Transatlánticos, barcos para excursiones (de cruceros)…, de registro superior a 1.000 t</v>
      </c>
      <c r="I7667" s="16" t="s">
        <v>9427</v>
      </c>
    </row>
    <row r="7668" spans="1:9" x14ac:dyDescent="0.25">
      <c r="A7668" s="16" t="s">
        <v>8527</v>
      </c>
      <c r="B7668" s="16" t="str">
        <f>TEXT(PARTIDA[[#This Row],[PARTIDA]],"0000000000")</f>
        <v>8902001100</v>
      </c>
      <c r="C7668" s="16" t="s">
        <v>860</v>
      </c>
      <c r="D7668" s="16" t="s">
        <v>881</v>
      </c>
      <c r="E7668" s="16" t="s">
        <v>9484</v>
      </c>
      <c r="F7668" s="27" t="s">
        <v>15823</v>
      </c>
      <c r="G7668" s="27"/>
      <c r="H7668" s="16" t="str">
        <f>IF(ISBLANK(PARTIDAS!$G7668),PARTIDAS!$F7668,CONCATENATE(PARTIDAS!$F7668," (",PARTIDAS!$G7668,")"))</f>
        <v>Transatlánticos, barcos para excursiones (de…, de registro inferior o igual a 1.000 t, inferior o igual a 50 t</v>
      </c>
      <c r="I7668" s="16" t="s">
        <v>9427</v>
      </c>
    </row>
    <row r="7669" spans="1:9" x14ac:dyDescent="0.25">
      <c r="A7669" s="16" t="s">
        <v>8528</v>
      </c>
      <c r="B7669" s="16" t="str">
        <f>TEXT(PARTIDA[[#This Row],[PARTIDA]],"0000000000")</f>
        <v>8902001900</v>
      </c>
      <c r="C7669" s="16" t="s">
        <v>860</v>
      </c>
      <c r="D7669" s="16" t="s">
        <v>881</v>
      </c>
      <c r="E7669" s="16" t="s">
        <v>9484</v>
      </c>
      <c r="F7669" s="27" t="s">
        <v>15824</v>
      </c>
      <c r="G7669" s="27"/>
      <c r="H7669" s="16" t="str">
        <f>IF(ISBLANK(PARTIDAS!$G7669),PARTIDAS!$F7669,CONCATENATE(PARTIDAS!$F7669," (",PARTIDAS!$G7669,")"))</f>
        <v>Transatlánticos, barcos para excursiones (de…, de registro inferior o igual a 1.000 t (los demás)</v>
      </c>
      <c r="I7669" s="16" t="s">
        <v>9427</v>
      </c>
    </row>
    <row r="7670" spans="1:9" x14ac:dyDescent="0.25">
      <c r="A7670" s="16" t="s">
        <v>8529</v>
      </c>
      <c r="B7670" s="16" t="str">
        <f>TEXT(PARTIDA[[#This Row],[PARTIDA]],"0000000000")</f>
        <v>8902002000</v>
      </c>
      <c r="C7670" s="16" t="s">
        <v>860</v>
      </c>
      <c r="D7670" s="16" t="s">
        <v>881</v>
      </c>
      <c r="E7670" s="16" t="s">
        <v>9484</v>
      </c>
      <c r="F7670" s="27" t="s">
        <v>15825</v>
      </c>
      <c r="G7670" s="27"/>
      <c r="H7670" s="16" t="str">
        <f>IF(ISBLANK(PARTIDAS!$G7670),PARTIDAS!$F7670,CONCATENATE(PARTIDAS!$F7670," (",PARTIDAS!$G7670,")"))</f>
        <v>Transatlánticos, barcos para excursiones (de cruceros)…, de registro superior a 1.000 t</v>
      </c>
      <c r="I7670" s="16" t="s">
        <v>9427</v>
      </c>
    </row>
    <row r="7671" spans="1:9" x14ac:dyDescent="0.25">
      <c r="A7671" s="16" t="s">
        <v>8530</v>
      </c>
      <c r="B7671" s="16" t="str">
        <f>TEXT(PARTIDA[[#This Row],[PARTIDA]],"0000000000")</f>
        <v>8903100000</v>
      </c>
      <c r="C7671" s="16" t="s">
        <v>860</v>
      </c>
      <c r="D7671" s="16" t="s">
        <v>881</v>
      </c>
      <c r="E7671" s="16" t="s">
        <v>9484</v>
      </c>
      <c r="F7671" s="27" t="s">
        <v>15826</v>
      </c>
      <c r="G7671" s="27"/>
      <c r="H7671" s="16" t="str">
        <f>IF(ISBLANK(PARTIDAS!$G7671),PARTIDAS!$F7671,CONCATENATE(PARTIDAS!$F7671," (",PARTIDAS!$G7671,")"))</f>
        <v>Embarcaciones inflables</v>
      </c>
      <c r="I7671" s="16" t="s">
        <v>9648</v>
      </c>
    </row>
    <row r="7672" spans="1:9" x14ac:dyDescent="0.25">
      <c r="A7672" s="16" t="s">
        <v>15827</v>
      </c>
      <c r="B7672" s="16" t="str">
        <f>TEXT(PARTIDA[[#This Row],[PARTIDA]],"0000000000")</f>
        <v>8903110000</v>
      </c>
      <c r="C7672" s="16" t="s">
        <v>860</v>
      </c>
      <c r="D7672" s="16" t="s">
        <v>881</v>
      </c>
      <c r="E7672" s="16" t="s">
        <v>9484</v>
      </c>
      <c r="F7672" s="27" t="s">
        <v>15828</v>
      </c>
      <c r="G7672" s="27"/>
      <c r="H7672" s="16" t="str">
        <f>IF(ISBLANK(PARTIDAS!$G7672),PARTIDAS!$F7672,CONCATENATE(PARTIDAS!$F7672," (",PARTIDAS!$G7672,")"))</f>
        <v>Equipadas o diseñadas para equiparlas con motor, de peso en vacío, sin motor, inferior o igual a 100 kg</v>
      </c>
      <c r="I7672" s="16" t="s">
        <v>9427</v>
      </c>
    </row>
    <row r="7673" spans="1:9" x14ac:dyDescent="0.25">
      <c r="A7673" s="16" t="s">
        <v>15829</v>
      </c>
      <c r="B7673" s="16" t="str">
        <f>TEXT(PARTIDA[[#This Row],[PARTIDA]],"0000000000")</f>
        <v>8903120000</v>
      </c>
      <c r="C7673" s="16" t="s">
        <v>860</v>
      </c>
      <c r="D7673" s="16" t="s">
        <v>881</v>
      </c>
      <c r="E7673" s="16" t="s">
        <v>9484</v>
      </c>
      <c r="F7673" s="27" t="s">
        <v>15830</v>
      </c>
      <c r="G7673" s="27"/>
      <c r="H7673" s="16" t="str">
        <f>IF(ISBLANK(PARTIDAS!$G7673),PARTIDAS!$F7673,CONCATENATE(PARTIDAS!$F7673," (",PARTIDAS!$G7673,")"))</f>
        <v>No diseñadas para ser utilizadas con motor y de peso en vacío inferior o igual a 100 kg</v>
      </c>
      <c r="I7673" s="16" t="s">
        <v>9427</v>
      </c>
    </row>
    <row r="7674" spans="1:9" x14ac:dyDescent="0.25">
      <c r="A7674" s="16" t="s">
        <v>15831</v>
      </c>
      <c r="B7674" s="16" t="str">
        <f>TEXT(PARTIDA[[#This Row],[PARTIDA]],"0000000000")</f>
        <v>8903190000</v>
      </c>
      <c r="C7674" s="16" t="s">
        <v>860</v>
      </c>
      <c r="D7674" s="16" t="s">
        <v>881</v>
      </c>
      <c r="E7674" s="16" t="s">
        <v>9484</v>
      </c>
      <c r="F7674" s="27" t="s">
        <v>15832</v>
      </c>
      <c r="G7674" s="27"/>
      <c r="H7674" s="16" t="str">
        <f>IF(ISBLANK(PARTIDAS!$G7674),PARTIDAS!$F7674,CONCATENATE(PARTIDAS!$F7674," (",PARTIDAS!$G7674,")"))</f>
        <v>Embarcaciones inflables, incluso con casco rígido (los demás)</v>
      </c>
      <c r="I7674" s="16" t="s">
        <v>9427</v>
      </c>
    </row>
    <row r="7675" spans="1:9" x14ac:dyDescent="0.25">
      <c r="A7675" s="16" t="s">
        <v>15833</v>
      </c>
      <c r="B7675" s="16" t="str">
        <f>TEXT(PARTIDA[[#This Row],[PARTIDA]],"0000000000")</f>
        <v>8903210000</v>
      </c>
      <c r="C7675" s="16" t="s">
        <v>860</v>
      </c>
      <c r="D7675" s="16" t="s">
        <v>881</v>
      </c>
      <c r="E7675" s="16" t="s">
        <v>9484</v>
      </c>
      <c r="F7675" s="27" t="s">
        <v>15834</v>
      </c>
      <c r="G7675" s="27"/>
      <c r="H7675" s="16" t="str">
        <f>IF(ISBLANK(PARTIDAS!$G7675),PARTIDAS!$F7675,CONCATENATE(PARTIDAS!$F7675," (",PARTIDAS!$G7675,")"))</f>
        <v>Barcos de vela, distintos de los inflables, incluso con motor auxiliar, de longitud inferior o igual a 7,5 m</v>
      </c>
      <c r="I7675" s="16" t="s">
        <v>9427</v>
      </c>
    </row>
    <row r="7676" spans="1:9" x14ac:dyDescent="0.25">
      <c r="A7676" s="16" t="s">
        <v>15835</v>
      </c>
      <c r="B7676" s="16" t="str">
        <f>TEXT(PARTIDA[[#This Row],[PARTIDA]],"0000000000")</f>
        <v>8903220000</v>
      </c>
      <c r="C7676" s="16" t="s">
        <v>860</v>
      </c>
      <c r="D7676" s="16" t="s">
        <v>881</v>
      </c>
      <c r="E7676" s="16" t="s">
        <v>9484</v>
      </c>
      <c r="F7676" s="27" t="s">
        <v>15836</v>
      </c>
      <c r="G7676" s="27"/>
      <c r="H7676" s="16" t="str">
        <f>IF(ISBLANK(PARTIDAS!$G7676),PARTIDAS!$F7676,CONCATENATE(PARTIDAS!$F7676," (",PARTIDAS!$G7676,")"))</f>
        <v>Barcos de vela, distintos de los inflables, incluso con motor auxiliar, de longitud superior a 7,5 m pero inferior o igual a 24 m</v>
      </c>
      <c r="I7676" s="16" t="s">
        <v>9427</v>
      </c>
    </row>
    <row r="7677" spans="1:9" x14ac:dyDescent="0.25">
      <c r="A7677" s="16" t="s">
        <v>15837</v>
      </c>
      <c r="B7677" s="16" t="str">
        <f>TEXT(PARTIDA[[#This Row],[PARTIDA]],"0000000000")</f>
        <v>8903230000</v>
      </c>
      <c r="C7677" s="16" t="s">
        <v>860</v>
      </c>
      <c r="D7677" s="16" t="s">
        <v>881</v>
      </c>
      <c r="E7677" s="16" t="s">
        <v>9484</v>
      </c>
      <c r="F7677" s="27" t="s">
        <v>15838</v>
      </c>
      <c r="G7677" s="27"/>
      <c r="H7677" s="16" t="str">
        <f>IF(ISBLANK(PARTIDAS!$G7677),PARTIDAS!$F7677,CONCATENATE(PARTIDAS!$F7677," (",PARTIDAS!$G7677,")"))</f>
        <v>Barcos de vela, distintos de los inflables, incluso con motor auxiliar, de longitud superior o igual a 24 m</v>
      </c>
      <c r="I7677" s="16" t="s">
        <v>9427</v>
      </c>
    </row>
    <row r="7678" spans="1:9" x14ac:dyDescent="0.25">
      <c r="A7678" s="16" t="s">
        <v>15839</v>
      </c>
      <c r="B7678" s="16" t="str">
        <f>TEXT(PARTIDA[[#This Row],[PARTIDA]],"0000000000")</f>
        <v>8903310000</v>
      </c>
      <c r="C7678" s="16" t="s">
        <v>860</v>
      </c>
      <c r="D7678" s="16" t="s">
        <v>881</v>
      </c>
      <c r="E7678" s="16" t="s">
        <v>9484</v>
      </c>
      <c r="F7678" s="27" t="s">
        <v>15840</v>
      </c>
      <c r="G7678" s="27"/>
      <c r="H7678" s="16" t="str">
        <f>IF(ISBLANK(PARTIDAS!$G7678),PARTIDAS!$F7678,CONCATENATE(PARTIDAS!$F7678," (",PARTIDAS!$G7678,")"))</f>
        <v>Barcos de motor, distintos de los inflables, de longitud inferior o igual a 7,5 m</v>
      </c>
      <c r="I7678" s="16" t="s">
        <v>9427</v>
      </c>
    </row>
    <row r="7679" spans="1:9" x14ac:dyDescent="0.25">
      <c r="A7679" s="16" t="s">
        <v>15841</v>
      </c>
      <c r="B7679" s="16" t="str">
        <f>TEXT(PARTIDA[[#This Row],[PARTIDA]],"0000000000")</f>
        <v>8903320000</v>
      </c>
      <c r="C7679" s="16" t="s">
        <v>860</v>
      </c>
      <c r="D7679" s="16" t="s">
        <v>881</v>
      </c>
      <c r="E7679" s="16" t="s">
        <v>9484</v>
      </c>
      <c r="F7679" s="27" t="s">
        <v>15842</v>
      </c>
      <c r="G7679" s="27"/>
      <c r="H7679" s="16" t="str">
        <f>IF(ISBLANK(PARTIDAS!$G7679),PARTIDAS!$F7679,CONCATENATE(PARTIDAS!$F7679," (",PARTIDAS!$G7679,")"))</f>
        <v>Barcos de motor, distintos de los inflables, de longitud superior a 7,5 m pero inferior o igual a 24 m</v>
      </c>
      <c r="I7679" s="16" t="s">
        <v>9427</v>
      </c>
    </row>
    <row r="7680" spans="1:9" x14ac:dyDescent="0.25">
      <c r="A7680" s="16" t="s">
        <v>15843</v>
      </c>
      <c r="B7680" s="16" t="str">
        <f>TEXT(PARTIDA[[#This Row],[PARTIDA]],"0000000000")</f>
        <v>8903330000</v>
      </c>
      <c r="C7680" s="16" t="s">
        <v>860</v>
      </c>
      <c r="D7680" s="16" t="s">
        <v>881</v>
      </c>
      <c r="E7680" s="16" t="s">
        <v>9484</v>
      </c>
      <c r="F7680" s="27" t="s">
        <v>15844</v>
      </c>
      <c r="G7680" s="27"/>
      <c r="H7680" s="16" t="str">
        <f>IF(ISBLANK(PARTIDAS!$G7680),PARTIDAS!$F7680,CONCATENATE(PARTIDAS!$F7680," (",PARTIDAS!$G7680,")"))</f>
        <v>Barcos de motor, distintos de los inflables, de longitud superior a 24 m</v>
      </c>
      <c r="I7680" s="16" t="s">
        <v>9427</v>
      </c>
    </row>
    <row r="7681" spans="1:9" x14ac:dyDescent="0.25">
      <c r="A7681" s="16" t="s">
        <v>8531</v>
      </c>
      <c r="B7681" s="16" t="str">
        <f>TEXT(PARTIDA[[#This Row],[PARTIDA]],"0000000000")</f>
        <v>8903910000</v>
      </c>
      <c r="C7681" s="16" t="s">
        <v>860</v>
      </c>
      <c r="D7681" s="16" t="s">
        <v>881</v>
      </c>
      <c r="E7681" s="16" t="s">
        <v>9484</v>
      </c>
      <c r="F7681" s="27" t="s">
        <v>15845</v>
      </c>
      <c r="G7681" s="27"/>
      <c r="H7681" s="16" t="str">
        <f>IF(ISBLANK(PARTIDAS!$G7681),PARTIDAS!$F7681,CONCATENATE(PARTIDAS!$F7681," (",PARTIDAS!$G7681,")"))</f>
        <v>Barcos de vela, incluso con motor auxiliar</v>
      </c>
      <c r="I7681" s="16" t="s">
        <v>9648</v>
      </c>
    </row>
    <row r="7682" spans="1:9" x14ac:dyDescent="0.25">
      <c r="A7682" s="16" t="s">
        <v>8532</v>
      </c>
      <c r="B7682" s="16" t="str">
        <f>TEXT(PARTIDA[[#This Row],[PARTIDA]],"0000000000")</f>
        <v>8903920000</v>
      </c>
      <c r="C7682" s="16" t="s">
        <v>860</v>
      </c>
      <c r="D7682" s="16" t="s">
        <v>881</v>
      </c>
      <c r="E7682" s="16" t="s">
        <v>9484</v>
      </c>
      <c r="F7682" s="27" t="s">
        <v>15846</v>
      </c>
      <c r="G7682" s="27"/>
      <c r="H7682" s="16" t="str">
        <f>IF(ISBLANK(PARTIDAS!$G7682),PARTIDAS!$F7682,CONCATENATE(PARTIDAS!$F7682," (",PARTIDAS!$G7682,")"))</f>
        <v>Barcos de motor, excepto los de motor fueraborda</v>
      </c>
      <c r="I7682" s="16" t="s">
        <v>9648</v>
      </c>
    </row>
    <row r="7683" spans="1:9" x14ac:dyDescent="0.25">
      <c r="A7683" s="16" t="s">
        <v>15847</v>
      </c>
      <c r="B7683" s="16" t="str">
        <f>TEXT(PARTIDA[[#This Row],[PARTIDA]],"0000000000")</f>
        <v>8903931000</v>
      </c>
      <c r="C7683" s="16" t="s">
        <v>860</v>
      </c>
      <c r="D7683" s="16" t="s">
        <v>881</v>
      </c>
      <c r="E7683" s="16" t="s">
        <v>9484</v>
      </c>
      <c r="F7683" s="27" t="s">
        <v>15848</v>
      </c>
      <c r="G7683" s="27"/>
      <c r="H7683" s="16" t="str">
        <f>IF(ISBLANK(PARTIDAS!$G7683),PARTIDAS!$F7683,CONCATENATE(PARTIDAS!$F7683," (",PARTIDAS!$G7683,")"))</f>
        <v>Motos náuticas</v>
      </c>
      <c r="I7683" s="16" t="s">
        <v>9427</v>
      </c>
    </row>
    <row r="7684" spans="1:9" x14ac:dyDescent="0.25">
      <c r="A7684" s="16" t="s">
        <v>15849</v>
      </c>
      <c r="B7684" s="16" t="str">
        <f>TEXT(PARTIDA[[#This Row],[PARTIDA]],"0000000000")</f>
        <v>8903939000</v>
      </c>
      <c r="C7684" s="16" t="s">
        <v>860</v>
      </c>
      <c r="D7684" s="16" t="s">
        <v>881</v>
      </c>
      <c r="E7684" s="16" t="s">
        <v>9484</v>
      </c>
      <c r="F7684" s="27" t="s">
        <v>15850</v>
      </c>
      <c r="G7684" s="27"/>
      <c r="H7684" s="16" t="str">
        <f>IF(ISBLANK(PARTIDAS!$G7684),PARTIDAS!$F7684,CONCATENATE(PARTIDAS!$F7684," (",PARTIDAS!$G7684,")"))</f>
        <v>Yates y demás barcos y embarcaciones de recreo o…, de longitud inferior o igual a 7,5 m (los demás)</v>
      </c>
      <c r="I7684" s="16" t="s">
        <v>9427</v>
      </c>
    </row>
    <row r="7685" spans="1:9" x14ac:dyDescent="0.25">
      <c r="A7685" s="16" t="s">
        <v>15851</v>
      </c>
      <c r="B7685" s="16" t="str">
        <f>TEXT(PARTIDA[[#This Row],[PARTIDA]],"0000000000")</f>
        <v>8903990000</v>
      </c>
      <c r="C7685" s="16" t="s">
        <v>860</v>
      </c>
      <c r="D7685" s="16" t="s">
        <v>881</v>
      </c>
      <c r="E7685" s="16" t="s">
        <v>9484</v>
      </c>
      <c r="F7685" s="27" t="s">
        <v>15852</v>
      </c>
      <c r="G7685" s="27"/>
      <c r="H7685" s="16" t="str">
        <f>IF(ISBLANK(PARTIDAS!$G7685),PARTIDAS!$F7685,CONCATENATE(PARTIDAS!$F7685," (",PARTIDAS!$G7685,")"))</f>
        <v>Yates y demás barcos y embarcaciones de recreo o deporte (los demás)</v>
      </c>
      <c r="I7685" s="16" t="s">
        <v>9427</v>
      </c>
    </row>
    <row r="7686" spans="1:9" x14ac:dyDescent="0.25">
      <c r="A7686" s="16" t="s">
        <v>8533</v>
      </c>
      <c r="B7686" s="16" t="str">
        <f>TEXT(PARTIDA[[#This Row],[PARTIDA]],"0000000000")</f>
        <v>8903991000</v>
      </c>
      <c r="C7686" s="16" t="s">
        <v>860</v>
      </c>
      <c r="D7686" s="16" t="s">
        <v>881</v>
      </c>
      <c r="E7686" s="16" t="s">
        <v>9484</v>
      </c>
      <c r="F7686" s="27" t="s">
        <v>15848</v>
      </c>
      <c r="G7686" s="27"/>
      <c r="H7686" s="16" t="str">
        <f>IF(ISBLANK(PARTIDAS!$G7686),PARTIDAS!$F7686,CONCATENATE(PARTIDAS!$F7686," (",PARTIDAS!$G7686,")"))</f>
        <v>Motos náuticas</v>
      </c>
      <c r="I7686" s="16" t="s">
        <v>9648</v>
      </c>
    </row>
    <row r="7687" spans="1:9" x14ac:dyDescent="0.25">
      <c r="A7687" s="16" t="s">
        <v>8534</v>
      </c>
      <c r="B7687" s="16" t="str">
        <f>TEXT(PARTIDA[[#This Row],[PARTIDA]],"0000000000")</f>
        <v>8903999000</v>
      </c>
      <c r="C7687" s="16" t="s">
        <v>860</v>
      </c>
      <c r="D7687" s="16" t="s">
        <v>881</v>
      </c>
      <c r="E7687" s="16" t="s">
        <v>9484</v>
      </c>
      <c r="F7687" s="27" t="s">
        <v>15853</v>
      </c>
      <c r="G7687" s="27"/>
      <c r="H7687" s="16" t="str">
        <f>IF(ISBLANK(PARTIDAS!$G7687),PARTIDAS!$F7687,CONCATENATE(PARTIDAS!$F7687," (",PARTIDAS!$G7687,")"))</f>
        <v>Yates y demás barcos y embarcaciones de recreo o deporte; barcas (bote (los demás)</v>
      </c>
      <c r="I7687" s="16" t="s">
        <v>9648</v>
      </c>
    </row>
    <row r="7688" spans="1:9" x14ac:dyDescent="0.25">
      <c r="A7688" s="16" t="s">
        <v>8535</v>
      </c>
      <c r="B7688" s="16" t="str">
        <f>TEXT(PARTIDA[[#This Row],[PARTIDA]],"0000000000")</f>
        <v>8904001000</v>
      </c>
      <c r="C7688" s="16" t="s">
        <v>860</v>
      </c>
      <c r="D7688" s="16" t="s">
        <v>881</v>
      </c>
      <c r="E7688" s="16" t="s">
        <v>9484</v>
      </c>
      <c r="F7688" s="27" t="s">
        <v>15854</v>
      </c>
      <c r="G7688" s="27"/>
      <c r="H7688" s="16" t="str">
        <f>IF(ISBLANK(PARTIDAS!$G7688),PARTIDAS!$F7688,CONCATENATE(PARTIDAS!$F7688," (",PARTIDAS!$G7688,")"))</f>
        <v>Yates y demás barcos y embarcaciones de recreo o deporte, de registro inferior o igual a 50 t</v>
      </c>
      <c r="I7688" s="16" t="s">
        <v>9427</v>
      </c>
    </row>
    <row r="7689" spans="1:9" x14ac:dyDescent="0.25">
      <c r="A7689" s="16" t="s">
        <v>8536</v>
      </c>
      <c r="B7689" s="16" t="str">
        <f>TEXT(PARTIDA[[#This Row],[PARTIDA]],"0000000000")</f>
        <v>8904009000</v>
      </c>
      <c r="C7689" s="16" t="s">
        <v>860</v>
      </c>
      <c r="D7689" s="16" t="s">
        <v>881</v>
      </c>
      <c r="E7689" s="16" t="s">
        <v>9484</v>
      </c>
      <c r="F7689" s="27" t="s">
        <v>15852</v>
      </c>
      <c r="G7689" s="27"/>
      <c r="H7689" s="16" t="str">
        <f>IF(ISBLANK(PARTIDAS!$G7689),PARTIDAS!$F7689,CONCATENATE(PARTIDAS!$F7689," (",PARTIDAS!$G7689,")"))</f>
        <v>Yates y demás barcos y embarcaciones de recreo o deporte (los demás)</v>
      </c>
      <c r="I7689" s="16" t="s">
        <v>9427</v>
      </c>
    </row>
    <row r="7690" spans="1:9" x14ac:dyDescent="0.25">
      <c r="A7690" s="16" t="s">
        <v>8537</v>
      </c>
      <c r="B7690" s="16" t="str">
        <f>TEXT(PARTIDA[[#This Row],[PARTIDA]],"0000000000")</f>
        <v>8905100000</v>
      </c>
      <c r="C7690" s="16" t="s">
        <v>860</v>
      </c>
      <c r="D7690" s="16" t="s">
        <v>881</v>
      </c>
      <c r="E7690" s="16" t="s">
        <v>9484</v>
      </c>
      <c r="F7690" s="27" t="s">
        <v>15855</v>
      </c>
      <c r="G7690" s="27"/>
      <c r="H7690" s="16" t="str">
        <f>IF(ISBLANK(PARTIDAS!$G7690),PARTIDAS!$F7690,CONCATENATE(PARTIDAS!$F7690," (",PARTIDAS!$G7690,")"))</f>
        <v>Dragas</v>
      </c>
      <c r="I7690" s="16" t="s">
        <v>9427</v>
      </c>
    </row>
    <row r="7691" spans="1:9" x14ac:dyDescent="0.25">
      <c r="A7691" s="16" t="s">
        <v>8538</v>
      </c>
      <c r="B7691" s="16" t="str">
        <f>TEXT(PARTIDA[[#This Row],[PARTIDA]],"0000000000")</f>
        <v>8905200000</v>
      </c>
      <c r="C7691" s="16" t="s">
        <v>860</v>
      </c>
      <c r="D7691" s="16" t="s">
        <v>881</v>
      </c>
      <c r="E7691" s="16" t="s">
        <v>9484</v>
      </c>
      <c r="F7691" s="27" t="s">
        <v>15856</v>
      </c>
      <c r="G7691" s="27"/>
      <c r="H7691" s="16" t="str">
        <f>IF(ISBLANK(PARTIDAS!$G7691),PARTIDAS!$F7691,CONCATENATE(PARTIDAS!$F7691," (",PARTIDAS!$G7691,")"))</f>
        <v>Plataformas de perforación o explotación, flotantes o sumergibles</v>
      </c>
      <c r="I7691" s="16" t="s">
        <v>9427</v>
      </c>
    </row>
    <row r="7692" spans="1:9" x14ac:dyDescent="0.25">
      <c r="A7692" s="16" t="s">
        <v>8539</v>
      </c>
      <c r="B7692" s="16" t="str">
        <f>TEXT(PARTIDA[[#This Row],[PARTIDA]],"0000000000")</f>
        <v>8905900000</v>
      </c>
      <c r="C7692" s="16" t="s">
        <v>860</v>
      </c>
      <c r="D7692" s="16" t="s">
        <v>881</v>
      </c>
      <c r="E7692" s="16" t="s">
        <v>9484</v>
      </c>
      <c r="F7692" s="27" t="s">
        <v>15857</v>
      </c>
      <c r="G7692" s="27"/>
      <c r="H7692" s="16" t="str">
        <f>IF(ISBLANK(PARTIDAS!$G7692),PARTIDAS!$F7692,CONCATENATE(PARTIDAS!$F7692," (",PARTIDAS!$G7692,")"))</f>
        <v>Barcos faro, barcos bomba, dragas, pontones grúa y demás barcos en… (los demás)</v>
      </c>
      <c r="I7692" s="16" t="s">
        <v>9427</v>
      </c>
    </row>
    <row r="7693" spans="1:9" x14ac:dyDescent="0.25">
      <c r="A7693" s="16" t="s">
        <v>8540</v>
      </c>
      <c r="B7693" s="16" t="str">
        <f>TEXT(PARTIDA[[#This Row],[PARTIDA]],"0000000000")</f>
        <v>8906100000</v>
      </c>
      <c r="C7693" s="16" t="s">
        <v>860</v>
      </c>
      <c r="D7693" s="16" t="s">
        <v>881</v>
      </c>
      <c r="E7693" s="16" t="s">
        <v>9484</v>
      </c>
      <c r="F7693" s="27" t="s">
        <v>15858</v>
      </c>
      <c r="G7693" s="27"/>
      <c r="H7693" s="16" t="str">
        <f>IF(ISBLANK(PARTIDAS!$G7693),PARTIDAS!$F7693,CONCATENATE(PARTIDAS!$F7693," (",PARTIDAS!$G7693,")"))</f>
        <v>Navíos de guerra</v>
      </c>
      <c r="I7693" s="16" t="s">
        <v>9427</v>
      </c>
    </row>
    <row r="7694" spans="1:9" x14ac:dyDescent="0.25">
      <c r="A7694" s="16" t="s">
        <v>8541</v>
      </c>
      <c r="B7694" s="16" t="str">
        <f>TEXT(PARTIDA[[#This Row],[PARTIDA]],"0000000000")</f>
        <v>8906901000</v>
      </c>
      <c r="C7694" s="16" t="s">
        <v>860</v>
      </c>
      <c r="D7694" s="16" t="s">
        <v>881</v>
      </c>
      <c r="E7694" s="16" t="s">
        <v>9484</v>
      </c>
      <c r="F7694" s="27" t="s">
        <v>15859</v>
      </c>
      <c r="G7694" s="27"/>
      <c r="H7694" s="16" t="str">
        <f>IF(ISBLANK(PARTIDAS!$G7694),PARTIDAS!$F7694,CONCATENATE(PARTIDAS!$F7694," (",PARTIDAS!$G7694,")"))</f>
        <v>Barcos y demás artefactos flotantes, de registro inferior o igual a 1.000 t</v>
      </c>
      <c r="I7694" s="16" t="s">
        <v>9427</v>
      </c>
    </row>
    <row r="7695" spans="1:9" x14ac:dyDescent="0.25">
      <c r="A7695" s="16" t="s">
        <v>8542</v>
      </c>
      <c r="B7695" s="16" t="str">
        <f>TEXT(PARTIDA[[#This Row],[PARTIDA]],"0000000000")</f>
        <v>8906909000</v>
      </c>
      <c r="C7695" s="16" t="s">
        <v>860</v>
      </c>
      <c r="D7695" s="16" t="s">
        <v>881</v>
      </c>
      <c r="E7695" s="16" t="s">
        <v>9484</v>
      </c>
      <c r="F7695" s="27" t="s">
        <v>15860</v>
      </c>
      <c r="G7695" s="27"/>
      <c r="H7695" s="16" t="str">
        <f>IF(ISBLANK(PARTIDAS!$G7695),PARTIDAS!$F7695,CONCATENATE(PARTIDAS!$F7695," (",PARTIDAS!$G7695,")"))</f>
        <v>Barcos y demás artefactos flotantes (los demás)</v>
      </c>
      <c r="I7695" s="16" t="s">
        <v>9427</v>
      </c>
    </row>
    <row r="7696" spans="1:9" x14ac:dyDescent="0.25">
      <c r="A7696" s="16" t="s">
        <v>8543</v>
      </c>
      <c r="B7696" s="16" t="str">
        <f>TEXT(PARTIDA[[#This Row],[PARTIDA]],"0000000000")</f>
        <v>8907100000</v>
      </c>
      <c r="C7696" s="16" t="s">
        <v>860</v>
      </c>
      <c r="D7696" s="16" t="s">
        <v>881</v>
      </c>
      <c r="E7696" s="16" t="s">
        <v>9484</v>
      </c>
      <c r="F7696" s="27" t="s">
        <v>15861</v>
      </c>
      <c r="G7696" s="27"/>
      <c r="H7696" s="16" t="str">
        <f>IF(ISBLANK(PARTIDAS!$G7696),PARTIDAS!$F7696,CONCATENATE(PARTIDAS!$F7696," (",PARTIDAS!$G7696,")"))</f>
        <v>Balsas inflables</v>
      </c>
      <c r="I7696" s="16" t="s">
        <v>9427</v>
      </c>
    </row>
    <row r="7697" spans="1:9" x14ac:dyDescent="0.25">
      <c r="A7697" s="16" t="s">
        <v>8544</v>
      </c>
      <c r="B7697" s="16" t="str">
        <f>TEXT(PARTIDA[[#This Row],[PARTIDA]],"0000000000")</f>
        <v>8907901000</v>
      </c>
      <c r="C7697" s="16" t="s">
        <v>860</v>
      </c>
      <c r="D7697" s="16" t="s">
        <v>881</v>
      </c>
      <c r="E7697" s="16" t="s">
        <v>9484</v>
      </c>
      <c r="F7697" s="27" t="s">
        <v>15862</v>
      </c>
      <c r="G7697" s="27"/>
      <c r="H7697" s="16" t="str">
        <f>IF(ISBLANK(PARTIDAS!$G7697),PARTIDAS!$F7697,CONCATENATE(PARTIDAS!$F7697," (",PARTIDAS!$G7697,")"))</f>
        <v>Boyas luminosas</v>
      </c>
      <c r="I7697" s="16" t="s">
        <v>9427</v>
      </c>
    </row>
    <row r="7698" spans="1:9" x14ac:dyDescent="0.25">
      <c r="A7698" s="16" t="s">
        <v>8545</v>
      </c>
      <c r="B7698" s="16" t="str">
        <f>TEXT(PARTIDA[[#This Row],[PARTIDA]],"0000000000")</f>
        <v>8907909000</v>
      </c>
      <c r="C7698" s="16" t="s">
        <v>860</v>
      </c>
      <c r="D7698" s="16" t="s">
        <v>881</v>
      </c>
      <c r="E7698" s="16" t="s">
        <v>9484</v>
      </c>
      <c r="F7698" s="27" t="s">
        <v>15860</v>
      </c>
      <c r="G7698" s="27"/>
      <c r="H7698" s="16" t="str">
        <f>IF(ISBLANK(PARTIDAS!$G7698),PARTIDAS!$F7698,CONCATENATE(PARTIDAS!$F7698," (",PARTIDAS!$G7698,")"))</f>
        <v>Barcos y demás artefactos flotantes (los demás)</v>
      </c>
      <c r="I7698" s="16" t="s">
        <v>9427</v>
      </c>
    </row>
    <row r="7699" spans="1:9" x14ac:dyDescent="0.25">
      <c r="A7699" s="16" t="s">
        <v>8546</v>
      </c>
      <c r="B7699" s="16" t="str">
        <f>TEXT(PARTIDA[[#This Row],[PARTIDA]],"0000000000")</f>
        <v>8908000000</v>
      </c>
      <c r="C7699" s="16" t="s">
        <v>860</v>
      </c>
      <c r="D7699" s="16" t="s">
        <v>881</v>
      </c>
      <c r="E7699" s="16" t="s">
        <v>9484</v>
      </c>
      <c r="F7699" s="27" t="s">
        <v>8547</v>
      </c>
      <c r="G7699" s="27"/>
      <c r="H7699" s="16" t="str">
        <f>IF(ISBLANK(PARTIDAS!$G7699),PARTIDAS!$F7699,CONCATENATE(PARTIDAS!$F7699," (",PARTIDAS!$G7699,")"))</f>
        <v>Barcos</v>
      </c>
      <c r="I7699" s="16" t="s">
        <v>9427</v>
      </c>
    </row>
    <row r="7700" spans="1:9" x14ac:dyDescent="0.25">
      <c r="A7700" s="16" t="s">
        <v>8548</v>
      </c>
      <c r="B7700" s="16" t="str">
        <f>TEXT(PARTIDA[[#This Row],[PARTIDA]],"0000000000")</f>
        <v>9001100000</v>
      </c>
      <c r="C7700" s="16" t="s">
        <v>786</v>
      </c>
      <c r="D7700" s="16" t="s">
        <v>787</v>
      </c>
      <c r="E7700" s="16" t="s">
        <v>797</v>
      </c>
      <c r="F7700" s="27" t="s">
        <v>15863</v>
      </c>
      <c r="G7700" s="27"/>
      <c r="H7700" s="16" t="str">
        <f>IF(ISBLANK(PARTIDAS!$G7700),PARTIDAS!$F7700,CONCATENATE(PARTIDAS!$F7700," (",PARTIDAS!$G7700,")"))</f>
        <v>Fibras ópticas, haces y cables de fibras ópticas</v>
      </c>
      <c r="I7700" s="16" t="s">
        <v>9427</v>
      </c>
    </row>
    <row r="7701" spans="1:9" x14ac:dyDescent="0.25">
      <c r="A7701" s="16" t="s">
        <v>8549</v>
      </c>
      <c r="B7701" s="16" t="str">
        <f>TEXT(PARTIDA[[#This Row],[PARTIDA]],"0000000000")</f>
        <v>9001200000</v>
      </c>
      <c r="C7701" s="16" t="s">
        <v>786</v>
      </c>
      <c r="D7701" s="16" t="s">
        <v>787</v>
      </c>
      <c r="E7701" s="16" t="s">
        <v>797</v>
      </c>
      <c r="F7701" s="27" t="s">
        <v>15864</v>
      </c>
      <c r="G7701" s="27"/>
      <c r="H7701" s="16" t="str">
        <f>IF(ISBLANK(PARTIDAS!$G7701),PARTIDAS!$F7701,CONCATENATE(PARTIDAS!$F7701," (",PARTIDAS!$G7701,")"))</f>
        <v>Hojas y placas de materia polarizante</v>
      </c>
      <c r="I7701" s="16" t="s">
        <v>9427</v>
      </c>
    </row>
    <row r="7702" spans="1:9" x14ac:dyDescent="0.25">
      <c r="A7702" s="16" t="s">
        <v>8550</v>
      </c>
      <c r="B7702" s="16" t="str">
        <f>TEXT(PARTIDA[[#This Row],[PARTIDA]],"0000000000")</f>
        <v>9001300000</v>
      </c>
      <c r="C7702" s="16" t="s">
        <v>786</v>
      </c>
      <c r="D7702" s="16" t="s">
        <v>787</v>
      </c>
      <c r="E7702" s="16" t="s">
        <v>797</v>
      </c>
      <c r="F7702" s="27" t="s">
        <v>15865</v>
      </c>
      <c r="G7702" s="27"/>
      <c r="H7702" s="16" t="str">
        <f>IF(ISBLANK(PARTIDAS!$G7702),PARTIDAS!$F7702,CONCATENATE(PARTIDAS!$F7702," (",PARTIDAS!$G7702,")"))</f>
        <v>Lentes de contacto</v>
      </c>
      <c r="I7702" s="16" t="s">
        <v>9427</v>
      </c>
    </row>
    <row r="7703" spans="1:9" x14ac:dyDescent="0.25">
      <c r="A7703" s="16" t="s">
        <v>8551</v>
      </c>
      <c r="B7703" s="16" t="str">
        <f>TEXT(PARTIDA[[#This Row],[PARTIDA]],"0000000000")</f>
        <v>9001400000</v>
      </c>
      <c r="C7703" s="16" t="s">
        <v>786</v>
      </c>
      <c r="D7703" s="16" t="s">
        <v>787</v>
      </c>
      <c r="E7703" s="16" t="s">
        <v>797</v>
      </c>
      <c r="F7703" s="27" t="s">
        <v>15866</v>
      </c>
      <c r="G7703" s="27"/>
      <c r="H7703" s="16" t="str">
        <f>IF(ISBLANK(PARTIDAS!$G7703),PARTIDAS!$F7703,CONCATENATE(PARTIDAS!$F7703," (",PARTIDAS!$G7703,")"))</f>
        <v>Lentes de vidrio para gafas (anteojos)</v>
      </c>
      <c r="I7703" s="16" t="s">
        <v>9427</v>
      </c>
    </row>
    <row r="7704" spans="1:9" x14ac:dyDescent="0.25">
      <c r="A7704" s="16" t="s">
        <v>8552</v>
      </c>
      <c r="B7704" s="16" t="str">
        <f>TEXT(PARTIDA[[#This Row],[PARTIDA]],"0000000000")</f>
        <v>9001500000</v>
      </c>
      <c r="C7704" s="16" t="s">
        <v>786</v>
      </c>
      <c r="D7704" s="16" t="s">
        <v>787</v>
      </c>
      <c r="E7704" s="16" t="s">
        <v>797</v>
      </c>
      <c r="F7704" s="27" t="s">
        <v>15867</v>
      </c>
      <c r="G7704" s="27"/>
      <c r="H7704" s="16" t="str">
        <f>IF(ISBLANK(PARTIDAS!$G7704),PARTIDAS!$F7704,CONCATENATE(PARTIDAS!$F7704," (",PARTIDAS!$G7704,")"))</f>
        <v>Lentes de otras materias para gafas (anteojos)</v>
      </c>
      <c r="I7704" s="16" t="s">
        <v>9427</v>
      </c>
    </row>
    <row r="7705" spans="1:9" x14ac:dyDescent="0.25">
      <c r="A7705" s="16" t="s">
        <v>8553</v>
      </c>
      <c r="B7705" s="16" t="str">
        <f>TEXT(PARTIDA[[#This Row],[PARTIDA]],"0000000000")</f>
        <v>9001900000</v>
      </c>
      <c r="C7705" s="16" t="s">
        <v>786</v>
      </c>
      <c r="D7705" s="16" t="s">
        <v>787</v>
      </c>
      <c r="E7705" s="16" t="s">
        <v>797</v>
      </c>
      <c r="F7705" s="27" t="s">
        <v>15868</v>
      </c>
      <c r="G7705" s="27"/>
      <c r="H7705" s="16" t="str">
        <f>IF(ISBLANK(PARTIDAS!$G7705),PARTIDAS!$F7705,CONCATENATE(PARTIDAS!$F7705," (",PARTIDAS!$G7705,")"))</f>
        <v>Fibras ópticas y haces de fibras ópticas (los demás)</v>
      </c>
      <c r="I7705" s="16" t="s">
        <v>9427</v>
      </c>
    </row>
    <row r="7706" spans="1:9" x14ac:dyDescent="0.25">
      <c r="A7706" s="16" t="s">
        <v>8554</v>
      </c>
      <c r="B7706" s="16" t="str">
        <f>TEXT(PARTIDA[[#This Row],[PARTIDA]],"0000000000")</f>
        <v>9002110000</v>
      </c>
      <c r="C7706" s="16" t="s">
        <v>786</v>
      </c>
      <c r="D7706" s="16" t="s">
        <v>787</v>
      </c>
      <c r="E7706" s="16" t="s">
        <v>797</v>
      </c>
      <c r="F7706" s="27" t="s">
        <v>15869</v>
      </c>
      <c r="G7706" s="27"/>
      <c r="H7706" s="16" t="str">
        <f>IF(ISBLANK(PARTIDAS!$G7706),PARTIDAS!$F7706,CONCATENATE(PARTIDAS!$F7706," (",PARTIDAS!$G7706,")"))</f>
        <v>Objetivos, para cámaras, proyectores o aparatos fotográficos o cinematográficos de ampliación o reducción</v>
      </c>
      <c r="I7706" s="16" t="s">
        <v>9427</v>
      </c>
    </row>
    <row r="7707" spans="1:9" x14ac:dyDescent="0.25">
      <c r="A7707" s="16" t="s">
        <v>8555</v>
      </c>
      <c r="B7707" s="16" t="str">
        <f>TEXT(PARTIDA[[#This Row],[PARTIDA]],"0000000000")</f>
        <v>9002190000</v>
      </c>
      <c r="C7707" s="16" t="s">
        <v>786</v>
      </c>
      <c r="D7707" s="16" t="s">
        <v>787</v>
      </c>
      <c r="E7707" s="16" t="s">
        <v>797</v>
      </c>
      <c r="F7707" s="27" t="s">
        <v>15870</v>
      </c>
      <c r="G7707" s="27"/>
      <c r="H7707" s="16" t="str">
        <f>IF(ISBLANK(PARTIDAS!$G7707),PARTIDAS!$F7707,CONCATENATE(PARTIDAS!$F7707," (",PARTIDAS!$G7707,")"))</f>
        <v>Objetivos (los demás)</v>
      </c>
      <c r="I7707" s="16" t="s">
        <v>9427</v>
      </c>
    </row>
    <row r="7708" spans="1:9" x14ac:dyDescent="0.25">
      <c r="A7708" s="16" t="s">
        <v>8556</v>
      </c>
      <c r="B7708" s="16" t="str">
        <f>TEXT(PARTIDA[[#This Row],[PARTIDA]],"0000000000")</f>
        <v>9002200000</v>
      </c>
      <c r="C7708" s="16" t="s">
        <v>786</v>
      </c>
      <c r="D7708" s="16" t="s">
        <v>787</v>
      </c>
      <c r="E7708" s="16" t="s">
        <v>797</v>
      </c>
      <c r="F7708" s="27" t="s">
        <v>7227</v>
      </c>
      <c r="G7708" s="27"/>
      <c r="H7708" s="16" t="str">
        <f>IF(ISBLANK(PARTIDAS!$G7708),PARTIDAS!$F7708,CONCATENATE(PARTIDAS!$F7708," (",PARTIDAS!$G7708,")"))</f>
        <v>Filtros</v>
      </c>
      <c r="I7708" s="16" t="s">
        <v>9427</v>
      </c>
    </row>
    <row r="7709" spans="1:9" x14ac:dyDescent="0.25">
      <c r="A7709" s="16" t="s">
        <v>8557</v>
      </c>
      <c r="B7709" s="16" t="str">
        <f>TEXT(PARTIDA[[#This Row],[PARTIDA]],"0000000000")</f>
        <v>9002900000</v>
      </c>
      <c r="C7709" s="16" t="s">
        <v>786</v>
      </c>
      <c r="D7709" s="16" t="s">
        <v>787</v>
      </c>
      <c r="E7709" s="16" t="s">
        <v>797</v>
      </c>
      <c r="F7709" s="27" t="s">
        <v>15871</v>
      </c>
      <c r="G7709" s="27"/>
      <c r="H7709" s="16" t="str">
        <f>IF(ISBLANK(PARTIDAS!$G7709),PARTIDAS!$F7709,CONCATENATE(PARTIDAS!$F7709," (",PARTIDAS!$G7709,")"))</f>
        <v>Lentes, prismas, espejos y demás elementos de óptica de cualquier… (los demás)</v>
      </c>
      <c r="I7709" s="16" t="s">
        <v>9427</v>
      </c>
    </row>
    <row r="7710" spans="1:9" x14ac:dyDescent="0.25">
      <c r="A7710" s="16" t="s">
        <v>8558</v>
      </c>
      <c r="B7710" s="16" t="str">
        <f>TEXT(PARTIDA[[#This Row],[PARTIDA]],"0000000000")</f>
        <v>9003110000</v>
      </c>
      <c r="C7710" s="16" t="s">
        <v>786</v>
      </c>
      <c r="D7710" s="16" t="s">
        <v>787</v>
      </c>
      <c r="E7710" s="16" t="s">
        <v>797</v>
      </c>
      <c r="F7710" s="27" t="s">
        <v>15872</v>
      </c>
      <c r="G7710" s="27"/>
      <c r="H7710" s="16" t="str">
        <f>IF(ISBLANK(PARTIDAS!$G7710),PARTIDAS!$F7710,CONCATENATE(PARTIDAS!$F7710," (",PARTIDAS!$G7710,")"))</f>
        <v>Monturas (armazones), de plástico</v>
      </c>
      <c r="I7710" s="16" t="s">
        <v>9427</v>
      </c>
    </row>
    <row r="7711" spans="1:9" x14ac:dyDescent="0.25">
      <c r="A7711" s="16" t="s">
        <v>8559</v>
      </c>
      <c r="B7711" s="16" t="str">
        <f>TEXT(PARTIDA[[#This Row],[PARTIDA]],"0000000000")</f>
        <v>9003191000</v>
      </c>
      <c r="C7711" s="16" t="s">
        <v>786</v>
      </c>
      <c r="D7711" s="16" t="s">
        <v>787</v>
      </c>
      <c r="E7711" s="16" t="s">
        <v>797</v>
      </c>
      <c r="F7711" s="27" t="s">
        <v>15873</v>
      </c>
      <c r="G7711" s="27"/>
      <c r="H7711" s="16" t="str">
        <f>IF(ISBLANK(PARTIDAS!$G7711),PARTIDAS!$F7711,CONCATENATE(PARTIDAS!$F7711," (",PARTIDAS!$G7711,")"))</f>
        <v>Monturas (armazones), de otras materias, de metal precioso o de metal común chapado (plaqué)</v>
      </c>
      <c r="I7711" s="16" t="s">
        <v>9427</v>
      </c>
    </row>
    <row r="7712" spans="1:9" x14ac:dyDescent="0.25">
      <c r="A7712" s="16" t="s">
        <v>8560</v>
      </c>
      <c r="B7712" s="16" t="str">
        <f>TEXT(PARTIDA[[#This Row],[PARTIDA]],"0000000000")</f>
        <v>9003199000</v>
      </c>
      <c r="C7712" s="16" t="s">
        <v>786</v>
      </c>
      <c r="D7712" s="16" t="s">
        <v>787</v>
      </c>
      <c r="E7712" s="16" t="s">
        <v>797</v>
      </c>
      <c r="F7712" s="27" t="s">
        <v>15874</v>
      </c>
      <c r="G7712" s="27"/>
      <c r="H7712" s="16" t="str">
        <f>IF(ISBLANK(PARTIDAS!$G7712),PARTIDAS!$F7712,CONCATENATE(PARTIDAS!$F7712," (",PARTIDAS!$G7712,")"))</f>
        <v>Monturas (armazones), de otras materias (los demás)</v>
      </c>
      <c r="I7712" s="16" t="s">
        <v>9427</v>
      </c>
    </row>
    <row r="7713" spans="1:9" x14ac:dyDescent="0.25">
      <c r="A7713" s="16" t="s">
        <v>8561</v>
      </c>
      <c r="B7713" s="16" t="str">
        <f>TEXT(PARTIDA[[#This Row],[PARTIDA]],"0000000000")</f>
        <v>9003900000</v>
      </c>
      <c r="C7713" s="16" t="s">
        <v>786</v>
      </c>
      <c r="D7713" s="16" t="s">
        <v>787</v>
      </c>
      <c r="E7713" s="16" t="s">
        <v>797</v>
      </c>
      <c r="F7713" s="27" t="s">
        <v>15875</v>
      </c>
      <c r="G7713" s="27"/>
      <c r="H7713" s="16" t="str">
        <f>IF(ISBLANK(PARTIDAS!$G7713),PARTIDAS!$F7713,CONCATENATE(PARTIDAS!$F7713," (",PARTIDAS!$G7713,")"))</f>
        <v>Monturas (armazones) de gafas (anteojos) o artículos similares y sus…, partes</v>
      </c>
      <c r="I7713" s="16" t="s">
        <v>9427</v>
      </c>
    </row>
    <row r="7714" spans="1:9" x14ac:dyDescent="0.25">
      <c r="A7714" s="16" t="s">
        <v>8562</v>
      </c>
      <c r="B7714" s="16" t="str">
        <f>TEXT(PARTIDA[[#This Row],[PARTIDA]],"0000000000")</f>
        <v>9004100000</v>
      </c>
      <c r="C7714" s="16" t="s">
        <v>786</v>
      </c>
      <c r="D7714" s="16" t="s">
        <v>787</v>
      </c>
      <c r="E7714" s="16" t="s">
        <v>797</v>
      </c>
      <c r="F7714" s="27" t="s">
        <v>15876</v>
      </c>
      <c r="G7714" s="27"/>
      <c r="H7714" s="16" t="str">
        <f>IF(ISBLANK(PARTIDAS!$G7714),PARTIDAS!$F7714,CONCATENATE(PARTIDAS!$F7714," (",PARTIDAS!$G7714,")"))</f>
        <v>Gafas (anteojos) de sol</v>
      </c>
      <c r="I7714" s="16" t="s">
        <v>9427</v>
      </c>
    </row>
    <row r="7715" spans="1:9" x14ac:dyDescent="0.25">
      <c r="A7715" s="16" t="s">
        <v>8563</v>
      </c>
      <c r="B7715" s="16" t="str">
        <f>TEXT(PARTIDA[[#This Row],[PARTIDA]],"0000000000")</f>
        <v>9004901000</v>
      </c>
      <c r="C7715" s="16" t="s">
        <v>786</v>
      </c>
      <c r="D7715" s="16" t="s">
        <v>799</v>
      </c>
      <c r="E7715" s="16" t="s">
        <v>9440</v>
      </c>
      <c r="F7715" s="27" t="s">
        <v>9234</v>
      </c>
      <c r="G7715" s="27"/>
      <c r="H7715" s="16" t="str">
        <f>IF(ISBLANK(PARTIDAS!$G7715),PARTIDAS!$F7715,CONCATENATE(PARTIDAS!$F7715," (",PARTIDAS!$G7715,")"))</f>
        <v>Gafas protectoras para el trabajo</v>
      </c>
      <c r="I7715" s="16" t="s">
        <v>9477</v>
      </c>
    </row>
    <row r="7716" spans="1:9" x14ac:dyDescent="0.25">
      <c r="A7716" s="16" t="s">
        <v>8564</v>
      </c>
      <c r="B7716" s="16" t="str">
        <f>TEXT(PARTIDA[[#This Row],[PARTIDA]],"0000000000")</f>
        <v>9004909000</v>
      </c>
      <c r="C7716" s="16" t="s">
        <v>786</v>
      </c>
      <c r="D7716" s="16" t="s">
        <v>787</v>
      </c>
      <c r="E7716" s="16" t="s">
        <v>797</v>
      </c>
      <c r="F7716" s="27" t="s">
        <v>8565</v>
      </c>
      <c r="G7716" s="27"/>
      <c r="H7716" s="16" t="str">
        <f>IF(ISBLANK(PARTIDAS!$G7716),PARTIDAS!$F7716,CONCATENATE(PARTIDAS!$F7716," (",PARTIDAS!$G7716,")"))</f>
        <v>Gafas </v>
      </c>
      <c r="I7716" s="16" t="s">
        <v>9427</v>
      </c>
    </row>
    <row r="7717" spans="1:9" x14ac:dyDescent="0.25">
      <c r="A7717" s="16" t="s">
        <v>8566</v>
      </c>
      <c r="B7717" s="16" t="str">
        <f>TEXT(PARTIDA[[#This Row],[PARTIDA]],"0000000000")</f>
        <v>9005100000</v>
      </c>
      <c r="C7717" s="16" t="s">
        <v>860</v>
      </c>
      <c r="D7717" s="16" t="s">
        <v>873</v>
      </c>
      <c r="E7717" s="16" t="s">
        <v>9482</v>
      </c>
      <c r="F7717" s="27" t="s">
        <v>15877</v>
      </c>
      <c r="G7717" s="27"/>
      <c r="H7717" s="16" t="str">
        <f>IF(ISBLANK(PARTIDAS!$G7717),PARTIDAS!$F7717,CONCATENATE(PARTIDAS!$F7717," (",PARTIDAS!$G7717,")"))</f>
        <v>Binoculares (incluidos los prismáticos)</v>
      </c>
      <c r="I7717" s="16" t="s">
        <v>9427</v>
      </c>
    </row>
    <row r="7718" spans="1:9" x14ac:dyDescent="0.25">
      <c r="A7718" s="16" t="s">
        <v>8567</v>
      </c>
      <c r="B7718" s="16" t="str">
        <f>TEXT(PARTIDA[[#This Row],[PARTIDA]],"0000000000")</f>
        <v>9005800000</v>
      </c>
      <c r="C7718" s="16" t="s">
        <v>860</v>
      </c>
      <c r="D7718" s="16" t="s">
        <v>873</v>
      </c>
      <c r="E7718" s="16" t="s">
        <v>9482</v>
      </c>
      <c r="F7718" s="27" t="s">
        <v>15878</v>
      </c>
      <c r="G7718" s="27"/>
      <c r="H7718" s="16" t="str">
        <f>IF(ISBLANK(PARTIDAS!$G7718),PARTIDAS!$F7718,CONCATENATE(PARTIDAS!$F7718," (",PARTIDAS!$G7718,")"))</f>
        <v>Binoculares (incluidos los prismáticos), catalejos, anteojos… (los demás, instrumentos)</v>
      </c>
      <c r="I7718" s="16" t="s">
        <v>9427</v>
      </c>
    </row>
    <row r="7719" spans="1:9" x14ac:dyDescent="0.25">
      <c r="A7719" s="16" t="s">
        <v>8568</v>
      </c>
      <c r="B7719" s="16" t="str">
        <f>TEXT(PARTIDA[[#This Row],[PARTIDA]],"0000000000")</f>
        <v>9005900000</v>
      </c>
      <c r="C7719" s="16" t="s">
        <v>860</v>
      </c>
      <c r="D7719" s="16" t="s">
        <v>873</v>
      </c>
      <c r="E7719" s="16" t="s">
        <v>9482</v>
      </c>
      <c r="F7719" s="27" t="s">
        <v>15879</v>
      </c>
      <c r="G7719" s="27"/>
      <c r="H7719" s="16" t="str">
        <f>IF(ISBLANK(PARTIDAS!$G7719),PARTIDAS!$F7719,CONCATENATE(PARTIDAS!$F7719," (",PARTIDAS!$G7719,")"))</f>
        <v>Binoculares (incluidos los prismáticos), catalejos, anteojos…, partes y accesorios (incluidas las armazones)</v>
      </c>
      <c r="I7719" s="16" t="s">
        <v>9427</v>
      </c>
    </row>
    <row r="7720" spans="1:9" x14ac:dyDescent="0.25">
      <c r="A7720" s="16" t="s">
        <v>8569</v>
      </c>
      <c r="B7720" s="16" t="str">
        <f>TEXT(PARTIDA[[#This Row],[PARTIDA]],"0000000000")</f>
        <v>9006300000</v>
      </c>
      <c r="C7720" s="16" t="s">
        <v>860</v>
      </c>
      <c r="D7720" s="16" t="s">
        <v>873</v>
      </c>
      <c r="E7720" s="16" t="s">
        <v>9482</v>
      </c>
      <c r="F7720" s="27" t="s">
        <v>15880</v>
      </c>
      <c r="G7720" s="27"/>
      <c r="H7720" s="16" t="str">
        <f>IF(ISBLANK(PARTIDAS!$G7720),PARTIDAS!$F7720,CONCATENATE(PARTIDAS!$F7720," (",PARTIDAS!$G7720,")"))</f>
        <v>Cámaras especiales para fotografía submarina o aérea, examen médico de órganos internos o para laboratorios de medicina legal o identificación judicia</v>
      </c>
      <c r="I7720" s="16" t="s">
        <v>9427</v>
      </c>
    </row>
    <row r="7721" spans="1:9" x14ac:dyDescent="0.25">
      <c r="A7721" s="16" t="s">
        <v>8570</v>
      </c>
      <c r="B7721" s="16" t="str">
        <f>TEXT(PARTIDA[[#This Row],[PARTIDA]],"0000000000")</f>
        <v>9006400000</v>
      </c>
      <c r="C7721" s="16" t="s">
        <v>860</v>
      </c>
      <c r="D7721" s="16" t="s">
        <v>873</v>
      </c>
      <c r="E7721" s="16" t="s">
        <v>9482</v>
      </c>
      <c r="F7721" s="27" t="s">
        <v>15881</v>
      </c>
      <c r="G7721" s="27"/>
      <c r="H7721" s="16" t="str">
        <f>IF(ISBLANK(PARTIDAS!$G7721),PARTIDAS!$F7721,CONCATENATE(PARTIDAS!$F7721," (",PARTIDAS!$G7721,")"))</f>
        <v>Cámaras fotográficas de autorrevelado</v>
      </c>
      <c r="I7721" s="16" t="s">
        <v>9427</v>
      </c>
    </row>
    <row r="7722" spans="1:9" x14ac:dyDescent="0.25">
      <c r="A7722" s="16" t="s">
        <v>8571</v>
      </c>
      <c r="B7722" s="16" t="str">
        <f>TEXT(PARTIDA[[#This Row],[PARTIDA]],"0000000000")</f>
        <v>9006510000</v>
      </c>
      <c r="C7722" s="16" t="s">
        <v>860</v>
      </c>
      <c r="D7722" s="16" t="s">
        <v>873</v>
      </c>
      <c r="E7722" s="16" t="s">
        <v>9482</v>
      </c>
      <c r="F7722" s="27" t="s">
        <v>15882</v>
      </c>
      <c r="G7722" s="27"/>
      <c r="H7722" s="16" t="str">
        <f>IF(ISBLANK(PARTIDAS!$G7722),PARTIDAS!$F7722,CONCATENATE(PARTIDAS!$F7722," (",PARTIDAS!$G7722,")"))</f>
        <v>Con visor de reflexión a través del objetivo, para películas en rollo de anchura inferior o igual a 35 mm</v>
      </c>
      <c r="I7722" s="16" t="s">
        <v>9648</v>
      </c>
    </row>
    <row r="7723" spans="1:9" x14ac:dyDescent="0.25">
      <c r="A7723" s="16" t="s">
        <v>8572</v>
      </c>
      <c r="B7723" s="16" t="str">
        <f>TEXT(PARTIDA[[#This Row],[PARTIDA]],"0000000000")</f>
        <v>9006521010</v>
      </c>
      <c r="C7723" s="16" t="s">
        <v>860</v>
      </c>
      <c r="D7723" s="16" t="s">
        <v>873</v>
      </c>
      <c r="E7723" s="16" t="s">
        <v>9482</v>
      </c>
      <c r="F7723" s="27" t="s">
        <v>15883</v>
      </c>
      <c r="G7723" s="27"/>
      <c r="H7723" s="16" t="str">
        <f>IF(ISBLANK(PARTIDAS!$G7723),PARTIDAS!$F7723,CONCATENATE(PARTIDAS!$F7723," (",PARTIDAS!$G7723,")"))</f>
        <v>De los tipos utilizados para registrar documentos en microfilmes, microfichas u otros microformatos</v>
      </c>
      <c r="I7723" s="16" t="s">
        <v>9648</v>
      </c>
    </row>
    <row r="7724" spans="1:9" x14ac:dyDescent="0.25">
      <c r="A7724" s="16" t="s">
        <v>8573</v>
      </c>
      <c r="B7724" s="16" t="str">
        <f>TEXT(PARTIDA[[#This Row],[PARTIDA]],"0000000000")</f>
        <v>9006521090</v>
      </c>
      <c r="C7724" s="16" t="s">
        <v>860</v>
      </c>
      <c r="D7724" s="16" t="s">
        <v>873</v>
      </c>
      <c r="E7724" s="16" t="s">
        <v>9482</v>
      </c>
      <c r="F7724" s="27" t="s">
        <v>15884</v>
      </c>
      <c r="G7724" s="27"/>
      <c r="H7724" s="16" t="str">
        <f>IF(ISBLANK(PARTIDAS!$G7724),PARTIDAS!$F7724,CONCATENATE(PARTIDAS!$F7724," (",PARTIDAS!$G7724,")"))</f>
        <v>Cámaras fotográficas; aparatos y dispositivos, incluidos las lámparas  (los demás)</v>
      </c>
      <c r="I7724" s="16" t="s">
        <v>9648</v>
      </c>
    </row>
    <row r="7725" spans="1:9" x14ac:dyDescent="0.25">
      <c r="A7725" s="16" t="s">
        <v>8574</v>
      </c>
      <c r="B7725" s="16" t="str">
        <f>TEXT(PARTIDA[[#This Row],[PARTIDA]],"0000000000")</f>
        <v>9006529010</v>
      </c>
      <c r="C7725" s="16" t="s">
        <v>860</v>
      </c>
      <c r="D7725" s="16" t="s">
        <v>873</v>
      </c>
      <c r="E7725" s="16" t="s">
        <v>9482</v>
      </c>
      <c r="F7725" s="27" t="s">
        <v>15883</v>
      </c>
      <c r="G7725" s="27"/>
      <c r="H7725" s="16" t="str">
        <f>IF(ISBLANK(PARTIDAS!$G7725),PARTIDAS!$F7725,CONCATENATE(PARTIDAS!$F7725," (",PARTIDAS!$G7725,")"))</f>
        <v>De los tipos utilizados para registrar documentos en microfilmes, microfichas u otros microformatos</v>
      </c>
      <c r="I7725" s="16" t="s">
        <v>9648</v>
      </c>
    </row>
    <row r="7726" spans="1:9" x14ac:dyDescent="0.25">
      <c r="A7726" s="16" t="s">
        <v>8575</v>
      </c>
      <c r="B7726" s="16" t="str">
        <f>TEXT(PARTIDA[[#This Row],[PARTIDA]],"0000000000")</f>
        <v>9006529090</v>
      </c>
      <c r="C7726" s="16" t="s">
        <v>860</v>
      </c>
      <c r="D7726" s="16" t="s">
        <v>873</v>
      </c>
      <c r="E7726" s="16" t="s">
        <v>9482</v>
      </c>
      <c r="F7726" s="27" t="s">
        <v>15884</v>
      </c>
      <c r="G7726" s="27"/>
      <c r="H7726" s="16" t="str">
        <f>IF(ISBLANK(PARTIDAS!$G7726),PARTIDAS!$F7726,CONCATENATE(PARTIDAS!$F7726," (",PARTIDAS!$G7726,")"))</f>
        <v>Cámaras fotográficas; aparatos y dispositivos, incluidos las lámparas  (los demás)</v>
      </c>
      <c r="I7726" s="16" t="s">
        <v>9648</v>
      </c>
    </row>
    <row r="7727" spans="1:9" x14ac:dyDescent="0.25">
      <c r="A7727" s="16" t="s">
        <v>8576</v>
      </c>
      <c r="B7727" s="16" t="str">
        <f>TEXT(PARTIDA[[#This Row],[PARTIDA]],"0000000000")</f>
        <v>9006531010</v>
      </c>
      <c r="C7727" s="16" t="s">
        <v>860</v>
      </c>
      <c r="D7727" s="16" t="s">
        <v>873</v>
      </c>
      <c r="E7727" s="16" t="s">
        <v>9482</v>
      </c>
      <c r="F7727" s="27" t="s">
        <v>15885</v>
      </c>
      <c r="G7727" s="27"/>
      <c r="H7727" s="16" t="str">
        <f>IF(ISBLANK(PARTIDAS!$G7727),PARTIDAS!$F7727,CONCATENATE(PARTIDAS!$F7727," (",PARTIDAS!$G7727,")"))</f>
        <v>Cámaras fotográficas, para películas en rollo de anchura igual a 35 mm, de foco fijo, de los tipos utilizados para registrar documentos en microfilmes</v>
      </c>
      <c r="I7727" s="16" t="s">
        <v>9427</v>
      </c>
    </row>
    <row r="7728" spans="1:9" x14ac:dyDescent="0.25">
      <c r="A7728" s="16" t="s">
        <v>8577</v>
      </c>
      <c r="B7728" s="16" t="str">
        <f>TEXT(PARTIDA[[#This Row],[PARTIDA]],"0000000000")</f>
        <v>9006531090</v>
      </c>
      <c r="C7728" s="16" t="s">
        <v>860</v>
      </c>
      <c r="D7728" s="16" t="s">
        <v>873</v>
      </c>
      <c r="E7728" s="16" t="s">
        <v>9482</v>
      </c>
      <c r="F7728" s="27" t="s">
        <v>15886</v>
      </c>
      <c r="G7728" s="27"/>
      <c r="H7728" s="16" t="str">
        <f>IF(ISBLANK(PARTIDAS!$G7728),PARTIDAS!$F7728,CONCATENATE(PARTIDAS!$F7728," (",PARTIDAS!$G7728,")"))</f>
        <v>Cámaras fotográficas, para películas en rollo de anchura igual a 35 mm, de foco fijo (los demás)</v>
      </c>
      <c r="I7728" s="16" t="s">
        <v>9427</v>
      </c>
    </row>
    <row r="7729" spans="1:9" x14ac:dyDescent="0.25">
      <c r="A7729" s="16" t="s">
        <v>8578</v>
      </c>
      <c r="B7729" s="16" t="str">
        <f>TEXT(PARTIDA[[#This Row],[PARTIDA]],"0000000000")</f>
        <v>9006539010</v>
      </c>
      <c r="C7729" s="16" t="s">
        <v>860</v>
      </c>
      <c r="D7729" s="16" t="s">
        <v>873</v>
      </c>
      <c r="E7729" s="16" t="s">
        <v>9482</v>
      </c>
      <c r="F7729" s="27" t="s">
        <v>15887</v>
      </c>
      <c r="G7729" s="27"/>
      <c r="H7729" s="16" t="str">
        <f>IF(ISBLANK(PARTIDAS!$G7729),PARTIDAS!$F7729,CONCATENATE(PARTIDAS!$F7729," (",PARTIDAS!$G7729,")"))</f>
        <v xml:space="preserve">Cámaras fotográficas, para películas en rollo de anchura igual a 35 mm, de los tipos utilizados para registrar documentos en microfilmes, microfichas </v>
      </c>
      <c r="I7729" s="16" t="s">
        <v>9427</v>
      </c>
    </row>
    <row r="7730" spans="1:9" x14ac:dyDescent="0.25">
      <c r="A7730" s="16" t="s">
        <v>8579</v>
      </c>
      <c r="B7730" s="16" t="str">
        <f>TEXT(PARTIDA[[#This Row],[PARTIDA]],"0000000000")</f>
        <v>9006539090</v>
      </c>
      <c r="C7730" s="16" t="s">
        <v>860</v>
      </c>
      <c r="D7730" s="16" t="s">
        <v>873</v>
      </c>
      <c r="E7730" s="16" t="s">
        <v>9482</v>
      </c>
      <c r="F7730" s="27" t="s">
        <v>15888</v>
      </c>
      <c r="G7730" s="27"/>
      <c r="H7730" s="16" t="str">
        <f>IF(ISBLANK(PARTIDAS!$G7730),PARTIDAS!$F7730,CONCATENATE(PARTIDAS!$F7730," (",PARTIDAS!$G7730,")"))</f>
        <v>Cámaras fotográficas, para películas en rollo de anchura igual a 35 mm (los demás)</v>
      </c>
      <c r="I7730" s="16" t="s">
        <v>9427</v>
      </c>
    </row>
    <row r="7731" spans="1:9" x14ac:dyDescent="0.25">
      <c r="A7731" s="16" t="s">
        <v>8580</v>
      </c>
      <c r="B7731" s="16" t="str">
        <f>TEXT(PARTIDA[[#This Row],[PARTIDA]],"0000000000")</f>
        <v>9006591010</v>
      </c>
      <c r="C7731" s="16" t="s">
        <v>860</v>
      </c>
      <c r="D7731" s="16" t="s">
        <v>873</v>
      </c>
      <c r="E7731" s="16" t="s">
        <v>9482</v>
      </c>
      <c r="F7731" s="27" t="s">
        <v>15889</v>
      </c>
      <c r="G7731" s="27"/>
      <c r="H7731" s="16" t="str">
        <f>IF(ISBLANK(PARTIDAS!$G7731),PARTIDAS!$F7731,CONCATENATE(PARTIDAS!$F7731," (",PARTIDAS!$G7731,")"))</f>
        <v>Cámaras fotográficas, de foco fijo, de los tipos utilizados para registrar documentos en microfilmes, microfichas u otros microformatos</v>
      </c>
      <c r="I7731" s="16" t="s">
        <v>9427</v>
      </c>
    </row>
    <row r="7732" spans="1:9" x14ac:dyDescent="0.25">
      <c r="A7732" s="16" t="s">
        <v>8581</v>
      </c>
      <c r="B7732" s="16" t="str">
        <f>TEXT(PARTIDA[[#This Row],[PARTIDA]],"0000000000")</f>
        <v>9006591090</v>
      </c>
      <c r="C7732" s="16" t="s">
        <v>860</v>
      </c>
      <c r="D7732" s="16" t="s">
        <v>873</v>
      </c>
      <c r="E7732" s="16" t="s">
        <v>9482</v>
      </c>
      <c r="F7732" s="27" t="s">
        <v>15890</v>
      </c>
      <c r="G7732" s="27"/>
      <c r="H7732" s="16" t="str">
        <f>IF(ISBLANK(PARTIDAS!$G7732),PARTIDAS!$F7732,CONCATENATE(PARTIDAS!$F7732," (",PARTIDAS!$G7732,")"))</f>
        <v>Cámaras fotográficas, de foco fijo (los demás)</v>
      </c>
      <c r="I7732" s="16" t="s">
        <v>9427</v>
      </c>
    </row>
    <row r="7733" spans="1:9" x14ac:dyDescent="0.25">
      <c r="A7733" s="16" t="s">
        <v>8582</v>
      </c>
      <c r="B7733" s="16" t="str">
        <f>TEXT(PARTIDA[[#This Row],[PARTIDA]],"0000000000")</f>
        <v>9006599010</v>
      </c>
      <c r="C7733" s="16" t="s">
        <v>860</v>
      </c>
      <c r="D7733" s="16" t="s">
        <v>873</v>
      </c>
      <c r="E7733" s="16" t="s">
        <v>9482</v>
      </c>
      <c r="F7733" s="27" t="s">
        <v>15891</v>
      </c>
      <c r="G7733" s="27"/>
      <c r="H7733" s="16" t="str">
        <f>IF(ISBLANK(PARTIDAS!$G7733),PARTIDAS!$F7733,CONCATENATE(PARTIDAS!$F7733," (",PARTIDAS!$G7733,")"))</f>
        <v>Cámaras fotográficas, de los tipos utilizados para registrar documentos en microfilmes, microfichas u otros microformatos</v>
      </c>
      <c r="I7733" s="16" t="s">
        <v>9427</v>
      </c>
    </row>
    <row r="7734" spans="1:9" x14ac:dyDescent="0.25">
      <c r="A7734" s="16" t="s">
        <v>8583</v>
      </c>
      <c r="B7734" s="16" t="str">
        <f>TEXT(PARTIDA[[#This Row],[PARTIDA]],"0000000000")</f>
        <v>9006599020</v>
      </c>
      <c r="C7734" s="16" t="s">
        <v>860</v>
      </c>
      <c r="D7734" s="16" t="s">
        <v>873</v>
      </c>
      <c r="E7734" s="16" t="s">
        <v>9482</v>
      </c>
      <c r="F7734" s="27" t="s">
        <v>15892</v>
      </c>
      <c r="G7734" s="27"/>
      <c r="H7734" s="16" t="str">
        <f>IF(ISBLANK(PARTIDAS!$G7734),PARTIDAS!$F7734,CONCATENATE(PARTIDAS!$F7734," (",PARTIDAS!$G7734,")"))</f>
        <v>Cámaras fotográficas, de los tipos utilizados para preparar clisés o cilindros de imprenta</v>
      </c>
      <c r="I7734" s="16" t="s">
        <v>9427</v>
      </c>
    </row>
    <row r="7735" spans="1:9" x14ac:dyDescent="0.25">
      <c r="A7735" s="16" t="s">
        <v>8584</v>
      </c>
      <c r="B7735" s="16" t="str">
        <f>TEXT(PARTIDA[[#This Row],[PARTIDA]],"0000000000")</f>
        <v>9006599090</v>
      </c>
      <c r="C7735" s="16" t="s">
        <v>860</v>
      </c>
      <c r="D7735" s="16" t="s">
        <v>873</v>
      </c>
      <c r="E7735" s="16" t="s">
        <v>9482</v>
      </c>
      <c r="F7735" s="27" t="s">
        <v>15893</v>
      </c>
      <c r="G7735" s="27"/>
      <c r="H7735" s="16" t="str">
        <f>IF(ISBLANK(PARTIDAS!$G7735),PARTIDAS!$F7735,CONCATENATE(PARTIDAS!$F7735," (",PARTIDAS!$G7735,")"))</f>
        <v>Cámaras fotográficas (los demás)</v>
      </c>
      <c r="I7735" s="16" t="s">
        <v>9427</v>
      </c>
    </row>
    <row r="7736" spans="1:9" x14ac:dyDescent="0.25">
      <c r="A7736" s="16" t="s">
        <v>8585</v>
      </c>
      <c r="B7736" s="16" t="str">
        <f>TEXT(PARTIDA[[#This Row],[PARTIDA]],"0000000000")</f>
        <v>9006610000</v>
      </c>
      <c r="C7736" s="16" t="s">
        <v>860</v>
      </c>
      <c r="D7736" s="16" t="s">
        <v>873</v>
      </c>
      <c r="E7736" s="16" t="s">
        <v>9482</v>
      </c>
      <c r="F7736" s="27" t="s">
        <v>15894</v>
      </c>
      <c r="G7736" s="27"/>
      <c r="H7736" s="16" t="str">
        <f>IF(ISBLANK(PARTIDAS!$G7736),PARTIDAS!$F7736,CONCATENATE(PARTIDAS!$F7736," (",PARTIDAS!$G7736,")"))</f>
        <v>Aparatos de tubo de descarga para producir destellos (flashes electrónicos)</v>
      </c>
      <c r="I7736" s="16" t="s">
        <v>9427</v>
      </c>
    </row>
    <row r="7737" spans="1:9" x14ac:dyDescent="0.25">
      <c r="A7737" s="16" t="s">
        <v>8586</v>
      </c>
      <c r="B7737" s="16" t="str">
        <f>TEXT(PARTIDA[[#This Row],[PARTIDA]],"0000000000")</f>
        <v>9006690000</v>
      </c>
      <c r="C7737" s="16" t="s">
        <v>860</v>
      </c>
      <c r="D7737" s="16" t="s">
        <v>873</v>
      </c>
      <c r="E7737" s="16" t="s">
        <v>9482</v>
      </c>
      <c r="F7737" s="27" t="s">
        <v>15895</v>
      </c>
      <c r="G7737" s="27"/>
      <c r="H7737" s="16" t="str">
        <f>IF(ISBLANK(PARTIDAS!$G7737),PARTIDAS!$F7737,CONCATENATE(PARTIDAS!$F7737," (",PARTIDAS!$G7737,")"))</f>
        <v>Aparatos y dispositivos, incluidos lámparas y tubos, para producir… (los demás)</v>
      </c>
      <c r="I7737" s="16" t="s">
        <v>9427</v>
      </c>
    </row>
    <row r="7738" spans="1:9" x14ac:dyDescent="0.25">
      <c r="A7738" s="16" t="s">
        <v>8587</v>
      </c>
      <c r="B7738" s="16" t="str">
        <f>TEXT(PARTIDA[[#This Row],[PARTIDA]],"0000000000")</f>
        <v>9006910000</v>
      </c>
      <c r="C7738" s="16" t="s">
        <v>860</v>
      </c>
      <c r="D7738" s="16" t="s">
        <v>873</v>
      </c>
      <c r="E7738" s="16" t="s">
        <v>9482</v>
      </c>
      <c r="F7738" s="27" t="s">
        <v>15896</v>
      </c>
      <c r="G7738" s="27"/>
      <c r="H7738" s="16" t="str">
        <f>IF(ISBLANK(PARTIDAS!$G7738),PARTIDAS!$F7738,CONCATENATE(PARTIDAS!$F7738," (",PARTIDAS!$G7738,")"))</f>
        <v>Cámaras fotográficas, partes y accesorios, de cámaras fotográficas</v>
      </c>
      <c r="I7738" s="16" t="s">
        <v>9427</v>
      </c>
    </row>
    <row r="7739" spans="1:9" x14ac:dyDescent="0.25">
      <c r="A7739" s="16" t="s">
        <v>8588</v>
      </c>
      <c r="B7739" s="16" t="str">
        <f>TEXT(PARTIDA[[#This Row],[PARTIDA]],"0000000000")</f>
        <v>9006990000</v>
      </c>
      <c r="C7739" s="16" t="s">
        <v>860</v>
      </c>
      <c r="D7739" s="16" t="s">
        <v>873</v>
      </c>
      <c r="E7739" s="16" t="s">
        <v>9482</v>
      </c>
      <c r="F7739" s="27" t="s">
        <v>15897</v>
      </c>
      <c r="G7739" s="27"/>
      <c r="H7739" s="16" t="str">
        <f>IF(ISBLANK(PARTIDAS!$G7739),PARTIDAS!$F7739,CONCATENATE(PARTIDAS!$F7739," (",PARTIDAS!$G7739,")"))</f>
        <v>Cámaras fotográficas, partes y accesorios (los demás)</v>
      </c>
      <c r="I7739" s="16" t="s">
        <v>9427</v>
      </c>
    </row>
    <row r="7740" spans="1:9" x14ac:dyDescent="0.25">
      <c r="A7740" s="16" t="s">
        <v>8589</v>
      </c>
      <c r="B7740" s="16" t="str">
        <f>TEXT(PARTIDA[[#This Row],[PARTIDA]],"0000000000")</f>
        <v>9007100010</v>
      </c>
      <c r="C7740" s="16" t="s">
        <v>860</v>
      </c>
      <c r="D7740" s="16" t="s">
        <v>873</v>
      </c>
      <c r="E7740" s="16" t="s">
        <v>9482</v>
      </c>
      <c r="F7740" s="27" t="s">
        <v>15898</v>
      </c>
      <c r="G7740" s="27"/>
      <c r="H7740" s="16" t="str">
        <f>IF(ISBLANK(PARTIDAS!$G7740),PARTIDAS!$F7740,CONCATENATE(PARTIDAS!$F7740," (",PARTIDAS!$G7740,")"))</f>
        <v>Cámaras, para película cinematográfica (filme) de anchura inferior a 16 mm o para la doble - 8 mm</v>
      </c>
      <c r="I7740" s="16" t="s">
        <v>9427</v>
      </c>
    </row>
    <row r="7741" spans="1:9" x14ac:dyDescent="0.25">
      <c r="A7741" s="16" t="s">
        <v>8590</v>
      </c>
      <c r="B7741" s="16" t="str">
        <f>TEXT(PARTIDA[[#This Row],[PARTIDA]],"0000000000")</f>
        <v>9007100090</v>
      </c>
      <c r="C7741" s="16" t="s">
        <v>860</v>
      </c>
      <c r="D7741" s="16" t="s">
        <v>873</v>
      </c>
      <c r="E7741" s="16" t="s">
        <v>9482</v>
      </c>
      <c r="F7741" s="27" t="s">
        <v>15899</v>
      </c>
      <c r="G7741" s="27"/>
      <c r="H7741" s="16" t="str">
        <f>IF(ISBLANK(PARTIDAS!$G7741),PARTIDAS!$F7741,CONCATENATE(PARTIDAS!$F7741," (",PARTIDAS!$G7741,")"))</f>
        <v>Cámaras (los demás)</v>
      </c>
      <c r="I7741" s="16" t="s">
        <v>9427</v>
      </c>
    </row>
    <row r="7742" spans="1:9" x14ac:dyDescent="0.25">
      <c r="A7742" s="16" t="s">
        <v>8591</v>
      </c>
      <c r="B7742" s="16" t="str">
        <f>TEXT(PARTIDA[[#This Row],[PARTIDA]],"0000000000")</f>
        <v>9007201000</v>
      </c>
      <c r="C7742" s="16" t="s">
        <v>860</v>
      </c>
      <c r="D7742" s="16" t="s">
        <v>873</v>
      </c>
      <c r="E7742" s="16" t="s">
        <v>9482</v>
      </c>
      <c r="F7742" s="27" t="s">
        <v>15900</v>
      </c>
      <c r="G7742" s="27"/>
      <c r="H7742" s="16" t="str">
        <f>IF(ISBLANK(PARTIDAS!$G7742),PARTIDAS!$F7742,CONCATENATE(PARTIDAS!$F7742," (",PARTIDAS!$G7742,")"))</f>
        <v>Proyectores, para filmes de anchura superior o igual a 35 mm</v>
      </c>
      <c r="I7742" s="16" t="s">
        <v>9427</v>
      </c>
    </row>
    <row r="7743" spans="1:9" x14ac:dyDescent="0.25">
      <c r="A7743" s="16" t="s">
        <v>8592</v>
      </c>
      <c r="B7743" s="16" t="str">
        <f>TEXT(PARTIDA[[#This Row],[PARTIDA]],"0000000000")</f>
        <v>9007209000</v>
      </c>
      <c r="C7743" s="16" t="s">
        <v>860</v>
      </c>
      <c r="D7743" s="16" t="s">
        <v>873</v>
      </c>
      <c r="E7743" s="16" t="s">
        <v>9482</v>
      </c>
      <c r="F7743" s="27" t="s">
        <v>15406</v>
      </c>
      <c r="G7743" s="27"/>
      <c r="H7743" s="16" t="str">
        <f>IF(ISBLANK(PARTIDAS!$G7743),PARTIDAS!$F7743,CONCATENATE(PARTIDAS!$F7743," (",PARTIDAS!$G7743,")"))</f>
        <v>Proyectores (los demás)</v>
      </c>
      <c r="I7743" s="16" t="s">
        <v>9427</v>
      </c>
    </row>
    <row r="7744" spans="1:9" x14ac:dyDescent="0.25">
      <c r="A7744" s="16" t="s">
        <v>8593</v>
      </c>
      <c r="B7744" s="16" t="str">
        <f>TEXT(PARTIDA[[#This Row],[PARTIDA]],"0000000000")</f>
        <v>9007910000</v>
      </c>
      <c r="C7744" s="16" t="s">
        <v>860</v>
      </c>
      <c r="D7744" s="16" t="s">
        <v>873</v>
      </c>
      <c r="E7744" s="16" t="s">
        <v>9482</v>
      </c>
      <c r="F7744" s="27" t="s">
        <v>15901</v>
      </c>
      <c r="G7744" s="27"/>
      <c r="H7744" s="16" t="str">
        <f>IF(ISBLANK(PARTIDAS!$G7744),PARTIDAS!$F7744,CONCATENATE(PARTIDAS!$F7744," (",PARTIDAS!$G7744,")"))</f>
        <v>Cámaras y proyectores cinematográficos, incluso con…, partes y accesorios, de cámaras</v>
      </c>
      <c r="I7744" s="16" t="s">
        <v>9427</v>
      </c>
    </row>
    <row r="7745" spans="1:9" x14ac:dyDescent="0.25">
      <c r="A7745" s="16" t="s">
        <v>8594</v>
      </c>
      <c r="B7745" s="16" t="str">
        <f>TEXT(PARTIDA[[#This Row],[PARTIDA]],"0000000000")</f>
        <v>9007920000</v>
      </c>
      <c r="C7745" s="16" t="s">
        <v>860</v>
      </c>
      <c r="D7745" s="16" t="s">
        <v>873</v>
      </c>
      <c r="E7745" s="16" t="s">
        <v>9482</v>
      </c>
      <c r="F7745" s="27" t="s">
        <v>15902</v>
      </c>
      <c r="G7745" s="27"/>
      <c r="H7745" s="16" t="str">
        <f>IF(ISBLANK(PARTIDAS!$G7745),PARTIDAS!$F7745,CONCATENATE(PARTIDAS!$F7745," (",PARTIDAS!$G7745,")"))</f>
        <v>Cámaras y proyectores cinematográficos, incluso con…, partes y accesorios, de proyectores</v>
      </c>
      <c r="I7745" s="16" t="s">
        <v>9427</v>
      </c>
    </row>
    <row r="7746" spans="1:9" x14ac:dyDescent="0.25">
      <c r="A7746" s="16" t="s">
        <v>8595</v>
      </c>
      <c r="B7746" s="16" t="str">
        <f>TEXT(PARTIDA[[#This Row],[PARTIDA]],"0000000000")</f>
        <v>9008501000</v>
      </c>
      <c r="C7746" s="16" t="s">
        <v>860</v>
      </c>
      <c r="D7746" s="16" t="s">
        <v>873</v>
      </c>
      <c r="E7746" s="16" t="s">
        <v>9482</v>
      </c>
      <c r="F7746" s="27" t="s">
        <v>15903</v>
      </c>
      <c r="G7746" s="27"/>
      <c r="H7746" s="16" t="str">
        <f>IF(ISBLANK(PARTIDAS!$G7746),PARTIDAS!$F7746,CONCATENATE(PARTIDAS!$F7746," (",PARTIDAS!$G7746,")"))</f>
        <v>Proyectores de diapositivas</v>
      </c>
      <c r="I7746" s="16" t="s">
        <v>9427</v>
      </c>
    </row>
    <row r="7747" spans="1:9" x14ac:dyDescent="0.25">
      <c r="A7747" s="16" t="s">
        <v>8596</v>
      </c>
      <c r="B7747" s="16" t="str">
        <f>TEXT(PARTIDA[[#This Row],[PARTIDA]],"0000000000")</f>
        <v>9008502000</v>
      </c>
      <c r="C7747" s="16" t="s">
        <v>860</v>
      </c>
      <c r="D7747" s="16" t="s">
        <v>873</v>
      </c>
      <c r="E7747" s="16" t="s">
        <v>9482</v>
      </c>
      <c r="F7747" s="27" t="s">
        <v>15904</v>
      </c>
      <c r="G7747" s="27"/>
      <c r="H7747" s="16" t="str">
        <f>IF(ISBLANK(PARTIDAS!$G7747),PARTIDAS!$F7747,CONCATENATE(PARTIDAS!$F7747," (",PARTIDAS!$G7747,")"))</f>
        <v>Lectores de microfilmes, microfichas u otros microformatos, incluso copiadores</v>
      </c>
      <c r="I7747" s="16" t="s">
        <v>9427</v>
      </c>
    </row>
    <row r="7748" spans="1:9" x14ac:dyDescent="0.25">
      <c r="A7748" s="16" t="s">
        <v>8597</v>
      </c>
      <c r="B7748" s="16" t="str">
        <f>TEXT(PARTIDA[[#This Row],[PARTIDA]],"0000000000")</f>
        <v>9008503000</v>
      </c>
      <c r="C7748" s="16" t="s">
        <v>860</v>
      </c>
      <c r="D7748" s="16" t="s">
        <v>873</v>
      </c>
      <c r="E7748" s="16" t="s">
        <v>9482</v>
      </c>
      <c r="F7748" s="27" t="s">
        <v>15905</v>
      </c>
      <c r="G7748" s="27"/>
      <c r="H7748" s="16" t="str">
        <f>IF(ISBLANK(PARTIDAS!$G7748),PARTIDAS!$F7748,CONCATENATE(PARTIDAS!$F7748," (",PARTIDAS!$G7748,")"))</f>
        <v>Proyectores, ampliadoras o reductoras (los demás, proyectores de imagen fija)</v>
      </c>
      <c r="I7748" s="16" t="s">
        <v>9427</v>
      </c>
    </row>
    <row r="7749" spans="1:9" x14ac:dyDescent="0.25">
      <c r="A7749" s="16" t="s">
        <v>8598</v>
      </c>
      <c r="B7749" s="16" t="str">
        <f>TEXT(PARTIDA[[#This Row],[PARTIDA]],"0000000000")</f>
        <v>9008504000</v>
      </c>
      <c r="C7749" s="16" t="s">
        <v>860</v>
      </c>
      <c r="D7749" s="16" t="s">
        <v>873</v>
      </c>
      <c r="E7749" s="16" t="s">
        <v>9482</v>
      </c>
      <c r="F7749" s="27" t="s">
        <v>15906</v>
      </c>
      <c r="G7749" s="27"/>
      <c r="H7749" s="16" t="str">
        <f>IF(ISBLANK(PARTIDAS!$G7749),PARTIDAS!$F7749,CONCATENATE(PARTIDAS!$F7749," (",PARTIDAS!$G7749,")"))</f>
        <v>Ampliadoras o reductoras, fotográficas</v>
      </c>
      <c r="I7749" s="16" t="s">
        <v>9427</v>
      </c>
    </row>
    <row r="7750" spans="1:9" x14ac:dyDescent="0.25">
      <c r="A7750" s="16" t="s">
        <v>8599</v>
      </c>
      <c r="B7750" s="16" t="str">
        <f>TEXT(PARTIDA[[#This Row],[PARTIDA]],"0000000000")</f>
        <v>9008900000</v>
      </c>
      <c r="C7750" s="16" t="s">
        <v>860</v>
      </c>
      <c r="D7750" s="16" t="s">
        <v>873</v>
      </c>
      <c r="E7750" s="16" t="s">
        <v>9482</v>
      </c>
      <c r="F7750" s="27" t="s">
        <v>15907</v>
      </c>
      <c r="G7750" s="27"/>
      <c r="H7750" s="16" t="str">
        <f>IF(ISBLANK(PARTIDAS!$G7750),PARTIDAS!$F7750,CONCATENATE(PARTIDAS!$F7750," (",PARTIDAS!$G7750,")"))</f>
        <v>Proyectores de imagen fija, partes y accesorios</v>
      </c>
      <c r="I7750" s="16" t="s">
        <v>9427</v>
      </c>
    </row>
    <row r="7751" spans="1:9" x14ac:dyDescent="0.25">
      <c r="A7751" s="16" t="s">
        <v>8600</v>
      </c>
      <c r="B7751" s="16" t="str">
        <f>TEXT(PARTIDA[[#This Row],[PARTIDA]],"0000000000")</f>
        <v>9010100000</v>
      </c>
      <c r="C7751" s="16" t="s">
        <v>860</v>
      </c>
      <c r="D7751" s="16" t="s">
        <v>873</v>
      </c>
      <c r="E7751" s="16" t="s">
        <v>9482</v>
      </c>
      <c r="F7751" s="27" t="s">
        <v>15908</v>
      </c>
      <c r="G7751" s="27"/>
      <c r="H7751" s="16" t="str">
        <f>IF(ISBLANK(PARTIDAS!$G7751),PARTIDAS!$F7751,CONCATENATE(PARTIDAS!$F7751," (",PARTIDAS!$G7751,")"))</f>
        <v>Aparatos y material para revelado automático de película fotográfica, película cinematográfica (filme) o papel fotográfico en rollo o para impresión a</v>
      </c>
      <c r="I7751" s="16" t="s">
        <v>9427</v>
      </c>
    </row>
    <row r="7752" spans="1:9" x14ac:dyDescent="0.25">
      <c r="A7752" s="16" t="s">
        <v>8601</v>
      </c>
      <c r="B7752" s="16" t="str">
        <f>TEXT(PARTIDA[[#This Row],[PARTIDA]],"0000000000")</f>
        <v>9010500000</v>
      </c>
      <c r="C7752" s="16" t="s">
        <v>860</v>
      </c>
      <c r="D7752" s="16" t="s">
        <v>873</v>
      </c>
      <c r="E7752" s="16" t="s">
        <v>9482</v>
      </c>
      <c r="F7752" s="27" t="s">
        <v>15909</v>
      </c>
      <c r="G7752" s="27"/>
      <c r="H7752" s="16" t="str">
        <f>IF(ISBLANK(PARTIDAS!$G7752),PARTIDAS!$F7752,CONCATENATE(PARTIDAS!$F7752," (",PARTIDAS!$G7752,")"))</f>
        <v>Aparatos y material para laboratorios fotográficos o… (los demás, aparatos y material para laboratorios fotográficos o cinematográficos; negatoscopios</v>
      </c>
      <c r="I7752" s="16" t="s">
        <v>9427</v>
      </c>
    </row>
    <row r="7753" spans="1:9" x14ac:dyDescent="0.25">
      <c r="A7753" s="16" t="s">
        <v>8602</v>
      </c>
      <c r="B7753" s="16" t="str">
        <f>TEXT(PARTIDA[[#This Row],[PARTIDA]],"0000000000")</f>
        <v>9010600000</v>
      </c>
      <c r="C7753" s="16" t="s">
        <v>860</v>
      </c>
      <c r="D7753" s="16" t="s">
        <v>873</v>
      </c>
      <c r="E7753" s="16" t="s">
        <v>9482</v>
      </c>
      <c r="F7753" s="27" t="s">
        <v>15910</v>
      </c>
      <c r="G7753" s="27"/>
      <c r="H7753" s="16" t="str">
        <f>IF(ISBLANK(PARTIDAS!$G7753),PARTIDAS!$F7753,CONCATENATE(PARTIDAS!$F7753," (",PARTIDAS!$G7753,")"))</f>
        <v>Pantallas de proyección</v>
      </c>
      <c r="I7753" s="16" t="s">
        <v>9427</v>
      </c>
    </row>
    <row r="7754" spans="1:9" x14ac:dyDescent="0.25">
      <c r="A7754" s="16" t="s">
        <v>8603</v>
      </c>
      <c r="B7754" s="16" t="str">
        <f>TEXT(PARTIDA[[#This Row],[PARTIDA]],"0000000000")</f>
        <v>9010900000</v>
      </c>
      <c r="C7754" s="16" t="s">
        <v>860</v>
      </c>
      <c r="D7754" s="16" t="s">
        <v>873</v>
      </c>
      <c r="E7754" s="16" t="s">
        <v>9482</v>
      </c>
      <c r="F7754" s="27" t="s">
        <v>15911</v>
      </c>
      <c r="G7754" s="27"/>
      <c r="H7754" s="16" t="str">
        <f>IF(ISBLANK(PARTIDAS!$G7754),PARTIDAS!$F7754,CONCATENATE(PARTIDAS!$F7754," (",PARTIDAS!$G7754,")"))</f>
        <v>Aparatos y material para laboratorios fotográficos o…, partes y accesorios</v>
      </c>
      <c r="I7754" s="16" t="s">
        <v>9427</v>
      </c>
    </row>
    <row r="7755" spans="1:9" x14ac:dyDescent="0.25">
      <c r="A7755" s="16" t="s">
        <v>8604</v>
      </c>
      <c r="B7755" s="16" t="str">
        <f>TEXT(PARTIDA[[#This Row],[PARTIDA]],"0000000000")</f>
        <v>9011100000</v>
      </c>
      <c r="C7755" s="16" t="s">
        <v>860</v>
      </c>
      <c r="D7755" s="16" t="s">
        <v>873</v>
      </c>
      <c r="E7755" s="16" t="s">
        <v>9482</v>
      </c>
      <c r="F7755" s="27" t="s">
        <v>15912</v>
      </c>
      <c r="G7755" s="27"/>
      <c r="H7755" s="16" t="str">
        <f>IF(ISBLANK(PARTIDAS!$G7755),PARTIDAS!$F7755,CONCATENATE(PARTIDAS!$F7755," (",PARTIDAS!$G7755,")"))</f>
        <v>Microscopios estereoscópicos</v>
      </c>
      <c r="I7755" s="16" t="s">
        <v>9427</v>
      </c>
    </row>
    <row r="7756" spans="1:9" x14ac:dyDescent="0.25">
      <c r="A7756" s="16" t="s">
        <v>8605</v>
      </c>
      <c r="B7756" s="16" t="str">
        <f>TEXT(PARTIDA[[#This Row],[PARTIDA]],"0000000000")</f>
        <v>9011200000</v>
      </c>
      <c r="C7756" s="16" t="s">
        <v>860</v>
      </c>
      <c r="D7756" s="16" t="s">
        <v>873</v>
      </c>
      <c r="E7756" s="16" t="s">
        <v>9482</v>
      </c>
      <c r="F7756" s="27" t="s">
        <v>15913</v>
      </c>
      <c r="G7756" s="27"/>
      <c r="H7756" s="16" t="str">
        <f>IF(ISBLANK(PARTIDAS!$G7756),PARTIDAS!$F7756,CONCATENATE(PARTIDAS!$F7756," (",PARTIDAS!$G7756,")"))</f>
        <v>Microscopios ópticos, incluso para fotomicrografía… (los demás, microscopios para fotomicrografía, cinefotomicrografía o microproyección)</v>
      </c>
      <c r="I7756" s="16" t="s">
        <v>9427</v>
      </c>
    </row>
    <row r="7757" spans="1:9" x14ac:dyDescent="0.25">
      <c r="A7757" s="16" t="s">
        <v>8606</v>
      </c>
      <c r="B7757" s="16" t="str">
        <f>TEXT(PARTIDA[[#This Row],[PARTIDA]],"0000000000")</f>
        <v>9011800000</v>
      </c>
      <c r="C7757" s="16" t="s">
        <v>860</v>
      </c>
      <c r="D7757" s="16" t="s">
        <v>873</v>
      </c>
      <c r="E7757" s="16" t="s">
        <v>9482</v>
      </c>
      <c r="F7757" s="27" t="s">
        <v>15914</v>
      </c>
      <c r="G7757" s="27"/>
      <c r="H7757" s="16" t="str">
        <f>IF(ISBLANK(PARTIDAS!$G7757),PARTIDAS!$F7757,CONCATENATE(PARTIDAS!$F7757," (",PARTIDAS!$G7757,")"))</f>
        <v>Microscopios ópticos, incluso para fotomicrografía… (los demás, microscopios)</v>
      </c>
      <c r="I7757" s="16" t="s">
        <v>9427</v>
      </c>
    </row>
    <row r="7758" spans="1:9" x14ac:dyDescent="0.25">
      <c r="A7758" s="16" t="s">
        <v>8607</v>
      </c>
      <c r="B7758" s="16" t="str">
        <f>TEXT(PARTIDA[[#This Row],[PARTIDA]],"0000000000")</f>
        <v>9011900000</v>
      </c>
      <c r="C7758" s="16" t="s">
        <v>860</v>
      </c>
      <c r="D7758" s="16" t="s">
        <v>873</v>
      </c>
      <c r="E7758" s="16" t="s">
        <v>9482</v>
      </c>
      <c r="F7758" s="27" t="s">
        <v>15915</v>
      </c>
      <c r="G7758" s="27"/>
      <c r="H7758" s="16" t="str">
        <f>IF(ISBLANK(PARTIDAS!$G7758),PARTIDAS!$F7758,CONCATENATE(PARTIDAS!$F7758," (",PARTIDAS!$G7758,")"))</f>
        <v>Microscopios ópticos, incluso para fotomicrografía…, partes y accesorios</v>
      </c>
      <c r="I7758" s="16" t="s">
        <v>9427</v>
      </c>
    </row>
    <row r="7759" spans="1:9" x14ac:dyDescent="0.25">
      <c r="A7759" s="16" t="s">
        <v>8608</v>
      </c>
      <c r="B7759" s="16" t="str">
        <f>TEXT(PARTIDA[[#This Row],[PARTIDA]],"0000000000")</f>
        <v>9012100000</v>
      </c>
      <c r="C7759" s="16" t="s">
        <v>860</v>
      </c>
      <c r="D7759" s="16" t="s">
        <v>873</v>
      </c>
      <c r="E7759" s="16" t="s">
        <v>9482</v>
      </c>
      <c r="F7759" s="27" t="s">
        <v>15916</v>
      </c>
      <c r="G7759" s="27"/>
      <c r="H7759" s="16" t="str">
        <f>IF(ISBLANK(PARTIDAS!$G7759),PARTIDAS!$F7759,CONCATENATE(PARTIDAS!$F7759," (",PARTIDAS!$G7759,")"))</f>
        <v>Microscopios, excepto los ópticos; difractógrafos</v>
      </c>
      <c r="I7759" s="16" t="s">
        <v>9427</v>
      </c>
    </row>
    <row r="7760" spans="1:9" x14ac:dyDescent="0.25">
      <c r="A7760" s="16" t="s">
        <v>8609</v>
      </c>
      <c r="B7760" s="16" t="str">
        <f>TEXT(PARTIDA[[#This Row],[PARTIDA]],"0000000000")</f>
        <v>9012900000</v>
      </c>
      <c r="C7760" s="16" t="s">
        <v>860</v>
      </c>
      <c r="D7760" s="16" t="s">
        <v>873</v>
      </c>
      <c r="E7760" s="16" t="s">
        <v>9482</v>
      </c>
      <c r="F7760" s="27" t="s">
        <v>15917</v>
      </c>
      <c r="G7760" s="27"/>
      <c r="H7760" s="16" t="str">
        <f>IF(ISBLANK(PARTIDAS!$G7760),PARTIDAS!$F7760,CONCATENATE(PARTIDAS!$F7760," (",PARTIDAS!$G7760,")"))</f>
        <v>Microscopios, partes y accesorios</v>
      </c>
      <c r="I7760" s="16" t="s">
        <v>9427</v>
      </c>
    </row>
    <row r="7761" spans="1:9" x14ac:dyDescent="0.25">
      <c r="A7761" s="16" t="s">
        <v>8610</v>
      </c>
      <c r="B7761" s="16" t="str">
        <f>TEXT(PARTIDA[[#This Row],[PARTIDA]],"0000000000")</f>
        <v>9013100000</v>
      </c>
      <c r="C7761" s="16" t="s">
        <v>860</v>
      </c>
      <c r="D7761" s="16" t="s">
        <v>873</v>
      </c>
      <c r="E7761" s="16" t="s">
        <v>9482</v>
      </c>
      <c r="F7761" s="27" t="s">
        <v>15918</v>
      </c>
      <c r="G7761" s="27"/>
      <c r="H7761" s="16" t="str">
        <f>IF(ISBLANK(PARTIDAS!$G7761),PARTIDAS!$F7761,CONCATENATE(PARTIDAS!$F7761," (",PARTIDAS!$G7761,")"))</f>
        <v>Miras telescópicas para armas; periscopios; visores para máquinas, aparatos o instrumentos de este Capítulo o de la Sección XVI</v>
      </c>
      <c r="I7761" s="16" t="s">
        <v>9427</v>
      </c>
    </row>
    <row r="7762" spans="1:9" x14ac:dyDescent="0.25">
      <c r="A7762" s="16" t="s">
        <v>8611</v>
      </c>
      <c r="B7762" s="16" t="str">
        <f>TEXT(PARTIDA[[#This Row],[PARTIDA]],"0000000000")</f>
        <v>9013200000</v>
      </c>
      <c r="C7762" s="16" t="s">
        <v>860</v>
      </c>
      <c r="D7762" s="16" t="s">
        <v>873</v>
      </c>
      <c r="E7762" s="16" t="s">
        <v>9482</v>
      </c>
      <c r="F7762" s="27" t="s">
        <v>15919</v>
      </c>
      <c r="G7762" s="27"/>
      <c r="H7762" s="16" t="str">
        <f>IF(ISBLANK(PARTIDAS!$G7762),PARTIDAS!$F7762,CONCATENATE(PARTIDAS!$F7762," (",PARTIDAS!$G7762,")"))</f>
        <v>Láseres, excepto los diodos láser</v>
      </c>
      <c r="I7762" s="16" t="s">
        <v>9427</v>
      </c>
    </row>
    <row r="7763" spans="1:9" x14ac:dyDescent="0.25">
      <c r="A7763" s="16" t="s">
        <v>8612</v>
      </c>
      <c r="B7763" s="16" t="str">
        <f>TEXT(PARTIDA[[#This Row],[PARTIDA]],"0000000000")</f>
        <v>9013801000</v>
      </c>
      <c r="C7763" s="16" t="s">
        <v>860</v>
      </c>
      <c r="D7763" s="16" t="s">
        <v>873</v>
      </c>
      <c r="E7763" s="16" t="s">
        <v>9482</v>
      </c>
      <c r="F7763" s="27" t="s">
        <v>15920</v>
      </c>
      <c r="G7763" s="27"/>
      <c r="H7763" s="16" t="str">
        <f>IF(ISBLANK(PARTIDAS!$G7763),PARTIDAS!$F7763,CONCATENATE(PARTIDAS!$F7763," (",PARTIDAS!$G7763,")"))</f>
        <v>Láseres, excepto los diodos láser, lupas</v>
      </c>
      <c r="I7763" s="16" t="s">
        <v>9427</v>
      </c>
    </row>
    <row r="7764" spans="1:9" x14ac:dyDescent="0.25">
      <c r="A7764" s="16" t="s">
        <v>8613</v>
      </c>
      <c r="B7764" s="16" t="str">
        <f>TEXT(PARTIDA[[#This Row],[PARTIDA]],"0000000000")</f>
        <v>9013809000</v>
      </c>
      <c r="C7764" s="16" t="s">
        <v>860</v>
      </c>
      <c r="D7764" s="16" t="s">
        <v>873</v>
      </c>
      <c r="E7764" s="16" t="s">
        <v>9482</v>
      </c>
      <c r="F7764" s="27" t="s">
        <v>15921</v>
      </c>
      <c r="G7764" s="27"/>
      <c r="H7764" s="16" t="str">
        <f>IF(ISBLANK(PARTIDAS!$G7764),PARTIDAS!$F7764,CONCATENATE(PARTIDAS!$F7764," (",PARTIDAS!$G7764,")"))</f>
        <v>Láseres, excepto los diodos láser (los demás)</v>
      </c>
      <c r="I7764" s="16" t="s">
        <v>9427</v>
      </c>
    </row>
    <row r="7765" spans="1:9" x14ac:dyDescent="0.25">
      <c r="A7765" s="16" t="s">
        <v>8614</v>
      </c>
      <c r="B7765" s="16" t="str">
        <f>TEXT(PARTIDA[[#This Row],[PARTIDA]],"0000000000")</f>
        <v>9013900000</v>
      </c>
      <c r="C7765" s="16" t="s">
        <v>860</v>
      </c>
      <c r="D7765" s="16" t="s">
        <v>873</v>
      </c>
      <c r="E7765" s="16" t="s">
        <v>9482</v>
      </c>
      <c r="F7765" s="27" t="s">
        <v>15922</v>
      </c>
      <c r="G7765" s="27"/>
      <c r="H7765" s="16" t="str">
        <f>IF(ISBLANK(PARTIDAS!$G7765),PARTIDAS!$F7765,CONCATENATE(PARTIDAS!$F7765," (",PARTIDAS!$G7765,")"))</f>
        <v>Láseres, excepto los diodos láser, partes y accesorios</v>
      </c>
      <c r="I7765" s="16" t="s">
        <v>9427</v>
      </c>
    </row>
    <row r="7766" spans="1:9" x14ac:dyDescent="0.25">
      <c r="A7766" s="16" t="s">
        <v>8615</v>
      </c>
      <c r="B7766" s="16" t="str">
        <f>TEXT(PARTIDA[[#This Row],[PARTIDA]],"0000000000")</f>
        <v>9014100000</v>
      </c>
      <c r="C7766" s="16" t="s">
        <v>860</v>
      </c>
      <c r="D7766" s="16" t="s">
        <v>873</v>
      </c>
      <c r="E7766" s="16" t="s">
        <v>9482</v>
      </c>
      <c r="F7766" s="27" t="s">
        <v>15923</v>
      </c>
      <c r="G7766" s="27"/>
      <c r="H7766" s="16" t="str">
        <f>IF(ISBLANK(PARTIDAS!$G7766),PARTIDAS!$F7766,CONCATENATE(PARTIDAS!$F7766," (",PARTIDAS!$G7766,")"))</f>
        <v>Brújulas, incluidos los compases de navegación</v>
      </c>
      <c r="I7766" s="16" t="s">
        <v>9427</v>
      </c>
    </row>
    <row r="7767" spans="1:9" x14ac:dyDescent="0.25">
      <c r="A7767" s="16" t="s">
        <v>8616</v>
      </c>
      <c r="B7767" s="16" t="str">
        <f>TEXT(PARTIDA[[#This Row],[PARTIDA]],"0000000000")</f>
        <v>9014200000</v>
      </c>
      <c r="C7767" s="16" t="s">
        <v>860</v>
      </c>
      <c r="D7767" s="16" t="s">
        <v>873</v>
      </c>
      <c r="E7767" s="16" t="s">
        <v>9482</v>
      </c>
      <c r="F7767" s="27" t="s">
        <v>15924</v>
      </c>
      <c r="G7767" s="27"/>
      <c r="H7767" s="16" t="str">
        <f>IF(ISBLANK(PARTIDAS!$G7767),PARTIDAS!$F7767,CONCATENATE(PARTIDAS!$F7767," (",PARTIDAS!$G7767,")"))</f>
        <v>Instrumentos y aparatos para navegación aérea o espacial (excepto las brújulas)</v>
      </c>
      <c r="I7767" s="16" t="s">
        <v>9427</v>
      </c>
    </row>
    <row r="7768" spans="1:9" x14ac:dyDescent="0.25">
      <c r="A7768" s="16" t="s">
        <v>8617</v>
      </c>
      <c r="B7768" s="16" t="str">
        <f>TEXT(PARTIDA[[#This Row],[PARTIDA]],"0000000000")</f>
        <v>9014800000</v>
      </c>
      <c r="C7768" s="16" t="s">
        <v>860</v>
      </c>
      <c r="D7768" s="16" t="s">
        <v>873</v>
      </c>
      <c r="E7768" s="16" t="s">
        <v>9482</v>
      </c>
      <c r="F7768" s="27" t="s">
        <v>15925</v>
      </c>
      <c r="G7768" s="27"/>
      <c r="H7768" s="16" t="str">
        <f>IF(ISBLANK(PARTIDAS!$G7768),PARTIDAS!$F7768,CONCATENATE(PARTIDAS!$F7768," (",PARTIDAS!$G7768,")"))</f>
        <v>Brújulas, incluidos los compases de navegación (los demás, instrumentos y aparatos)</v>
      </c>
      <c r="I7768" s="16" t="s">
        <v>9427</v>
      </c>
    </row>
    <row r="7769" spans="1:9" x14ac:dyDescent="0.25">
      <c r="A7769" s="16" t="s">
        <v>8618</v>
      </c>
      <c r="B7769" s="16" t="str">
        <f>TEXT(PARTIDA[[#This Row],[PARTIDA]],"0000000000")</f>
        <v>9014900000</v>
      </c>
      <c r="C7769" s="16" t="s">
        <v>860</v>
      </c>
      <c r="D7769" s="16" t="s">
        <v>873</v>
      </c>
      <c r="E7769" s="16" t="s">
        <v>9482</v>
      </c>
      <c r="F7769" s="27" t="s">
        <v>15926</v>
      </c>
      <c r="G7769" s="27"/>
      <c r="H7769" s="16" t="str">
        <f>IF(ISBLANK(PARTIDAS!$G7769),PARTIDAS!$F7769,CONCATENATE(PARTIDAS!$F7769," (",PARTIDAS!$G7769,")"))</f>
        <v>Brújulas, incluidos los compases de navegación, partes y accesorios</v>
      </c>
      <c r="I7769" s="16" t="s">
        <v>9427</v>
      </c>
    </row>
    <row r="7770" spans="1:9" x14ac:dyDescent="0.25">
      <c r="A7770" s="16" t="s">
        <v>8619</v>
      </c>
      <c r="B7770" s="16" t="str">
        <f>TEXT(PARTIDA[[#This Row],[PARTIDA]],"0000000000")</f>
        <v>9015100000</v>
      </c>
      <c r="C7770" s="16" t="s">
        <v>860</v>
      </c>
      <c r="D7770" s="16" t="s">
        <v>873</v>
      </c>
      <c r="E7770" s="16" t="s">
        <v>9482</v>
      </c>
      <c r="F7770" s="27" t="s">
        <v>15927</v>
      </c>
      <c r="G7770" s="27"/>
      <c r="H7770" s="16" t="str">
        <f>IF(ISBLANK(PARTIDAS!$G7770),PARTIDAS!$F7770,CONCATENATE(PARTIDAS!$F7770," (",PARTIDAS!$G7770,")"))</f>
        <v>Telémetros</v>
      </c>
      <c r="I7770" s="16" t="s">
        <v>9427</v>
      </c>
    </row>
    <row r="7771" spans="1:9" x14ac:dyDescent="0.25">
      <c r="A7771" s="16" t="s">
        <v>8620</v>
      </c>
      <c r="B7771" s="16" t="str">
        <f>TEXT(PARTIDA[[#This Row],[PARTIDA]],"0000000000")</f>
        <v>9015201000</v>
      </c>
      <c r="C7771" s="16" t="s">
        <v>860</v>
      </c>
      <c r="D7771" s="16" t="s">
        <v>873</v>
      </c>
      <c r="E7771" s="16" t="s">
        <v>9482</v>
      </c>
      <c r="F7771" s="27" t="s">
        <v>15928</v>
      </c>
      <c r="G7771" s="27"/>
      <c r="H7771" s="16" t="str">
        <f>IF(ISBLANK(PARTIDAS!$G7771),PARTIDAS!$F7771,CONCATENATE(PARTIDAS!$F7771," (",PARTIDAS!$G7771,")"))</f>
        <v>Teodolitos y taquímetros, teodolitos</v>
      </c>
      <c r="I7771" s="16" t="s">
        <v>9427</v>
      </c>
    </row>
    <row r="7772" spans="1:9" x14ac:dyDescent="0.25">
      <c r="A7772" s="16" t="s">
        <v>8621</v>
      </c>
      <c r="B7772" s="16" t="str">
        <f>TEXT(PARTIDA[[#This Row],[PARTIDA]],"0000000000")</f>
        <v>9015202000</v>
      </c>
      <c r="C7772" s="16" t="s">
        <v>860</v>
      </c>
      <c r="D7772" s="16" t="s">
        <v>873</v>
      </c>
      <c r="E7772" s="16" t="s">
        <v>9482</v>
      </c>
      <c r="F7772" s="27" t="s">
        <v>15929</v>
      </c>
      <c r="G7772" s="27"/>
      <c r="H7772" s="16" t="str">
        <f>IF(ISBLANK(PARTIDAS!$G7772),PARTIDAS!$F7772,CONCATENATE(PARTIDAS!$F7772," (",PARTIDAS!$G7772,")"))</f>
        <v>Teodolitos y taquímetros, taquímetros</v>
      </c>
      <c r="I7772" s="16" t="s">
        <v>9427</v>
      </c>
    </row>
    <row r="7773" spans="1:9" x14ac:dyDescent="0.25">
      <c r="A7773" s="16" t="s">
        <v>8622</v>
      </c>
      <c r="B7773" s="16" t="str">
        <f>TEXT(PARTIDA[[#This Row],[PARTIDA]],"0000000000")</f>
        <v>9015300000</v>
      </c>
      <c r="C7773" s="16" t="s">
        <v>860</v>
      </c>
      <c r="D7773" s="16" t="s">
        <v>873</v>
      </c>
      <c r="E7773" s="16" t="s">
        <v>9482</v>
      </c>
      <c r="F7773" s="27" t="s">
        <v>15930</v>
      </c>
      <c r="G7773" s="27"/>
      <c r="H7773" s="16" t="str">
        <f>IF(ISBLANK(PARTIDAS!$G7773),PARTIDAS!$F7773,CONCATENATE(PARTIDAS!$F7773," (",PARTIDAS!$G7773,")"))</f>
        <v>Niveles</v>
      </c>
      <c r="I7773" s="16" t="s">
        <v>9427</v>
      </c>
    </row>
    <row r="7774" spans="1:9" x14ac:dyDescent="0.25">
      <c r="A7774" s="16" t="s">
        <v>8623</v>
      </c>
      <c r="B7774" s="16" t="str">
        <f>TEXT(PARTIDA[[#This Row],[PARTIDA]],"0000000000")</f>
        <v>9015401000</v>
      </c>
      <c r="C7774" s="16" t="s">
        <v>860</v>
      </c>
      <c r="D7774" s="16" t="s">
        <v>873</v>
      </c>
      <c r="E7774" s="16" t="s">
        <v>9482</v>
      </c>
      <c r="F7774" s="27" t="s">
        <v>15931</v>
      </c>
      <c r="G7774" s="27"/>
      <c r="H7774" s="16" t="str">
        <f>IF(ISBLANK(PARTIDAS!$G7774),PARTIDAS!$F7774,CONCATENATE(PARTIDAS!$F7774," (",PARTIDAS!$G7774,")"))</f>
        <v>Eléctricos o electrónicos</v>
      </c>
      <c r="I7774" s="16" t="s">
        <v>9427</v>
      </c>
    </row>
    <row r="7775" spans="1:9" x14ac:dyDescent="0.25">
      <c r="A7775" s="16" t="s">
        <v>8624</v>
      </c>
      <c r="B7775" s="16" t="str">
        <f>TEXT(PARTIDA[[#This Row],[PARTIDA]],"0000000000")</f>
        <v>9015409000</v>
      </c>
      <c r="C7775" s="16" t="s">
        <v>860</v>
      </c>
      <c r="D7775" s="16" t="s">
        <v>873</v>
      </c>
      <c r="E7775" s="16" t="s">
        <v>9482</v>
      </c>
      <c r="F7775" s="27" t="s">
        <v>15932</v>
      </c>
      <c r="G7775" s="27"/>
      <c r="H7775" s="16" t="str">
        <f>IF(ISBLANK(PARTIDAS!$G7775),PARTIDAS!$F7775,CONCATENATE(PARTIDAS!$F7775," (",PARTIDAS!$G7775,")"))</f>
        <v>Instrumentos y aparatos de fotogrametría (los demás)</v>
      </c>
      <c r="I7775" s="16" t="s">
        <v>9427</v>
      </c>
    </row>
    <row r="7776" spans="1:9" x14ac:dyDescent="0.25">
      <c r="A7776" s="16" t="s">
        <v>8625</v>
      </c>
      <c r="B7776" s="16" t="str">
        <f>TEXT(PARTIDA[[#This Row],[PARTIDA]],"0000000000")</f>
        <v>9015801000</v>
      </c>
      <c r="C7776" s="16" t="s">
        <v>860</v>
      </c>
      <c r="D7776" s="16" t="s">
        <v>873</v>
      </c>
      <c r="E7776" s="16" t="s">
        <v>9482</v>
      </c>
      <c r="F7776" s="27" t="s">
        <v>15931</v>
      </c>
      <c r="G7776" s="27"/>
      <c r="H7776" s="16" t="str">
        <f>IF(ISBLANK(PARTIDAS!$G7776),PARTIDAS!$F7776,CONCATENATE(PARTIDAS!$F7776," (",PARTIDAS!$G7776,")"))</f>
        <v>Eléctricos o electrónicos</v>
      </c>
      <c r="I7776" s="16" t="s">
        <v>9427</v>
      </c>
    </row>
    <row r="7777" spans="1:9" x14ac:dyDescent="0.25">
      <c r="A7777" s="16" t="s">
        <v>8626</v>
      </c>
      <c r="B7777" s="16" t="str">
        <f>TEXT(PARTIDA[[#This Row],[PARTIDA]],"0000000000")</f>
        <v>9015809000</v>
      </c>
      <c r="C7777" s="16" t="s">
        <v>860</v>
      </c>
      <c r="D7777" s="16" t="s">
        <v>873</v>
      </c>
      <c r="E7777" s="16" t="s">
        <v>874</v>
      </c>
      <c r="F7777" s="27" t="s">
        <v>9269</v>
      </c>
      <c r="G7777" s="27"/>
      <c r="H7777" s="16" t="str">
        <f>IF(ISBLANK(PARTIDAS!$G7777),PARTIDAS!$F7777,CONCATENATE(PARTIDAS!$F7777," (",PARTIDAS!$G7777,")"))</f>
        <v>Instrumentos y aparatos de geodesia, topografía, agrimensura… (los demás)</v>
      </c>
      <c r="I7777" s="16" t="s">
        <v>9477</v>
      </c>
    </row>
    <row r="7778" spans="1:9" x14ac:dyDescent="0.25">
      <c r="A7778" s="16" t="s">
        <v>8627</v>
      </c>
      <c r="B7778" s="16" t="str">
        <f>TEXT(PARTIDA[[#This Row],[PARTIDA]],"0000000000")</f>
        <v>9015900000</v>
      </c>
      <c r="C7778" s="16" t="s">
        <v>860</v>
      </c>
      <c r="D7778" s="16" t="s">
        <v>873</v>
      </c>
      <c r="E7778" s="16" t="s">
        <v>9482</v>
      </c>
      <c r="F7778" s="27" t="s">
        <v>15933</v>
      </c>
      <c r="G7778" s="27"/>
      <c r="H7778" s="16" t="str">
        <f>IF(ISBLANK(PARTIDAS!$G7778),PARTIDAS!$F7778,CONCATENATE(PARTIDAS!$F7778," (",PARTIDAS!$G7778,")"))</f>
        <v>Instrumentos y aparatos de geodesia, topografía, agrimensura…, partes y accesorios</v>
      </c>
      <c r="I7778" s="16" t="s">
        <v>9427</v>
      </c>
    </row>
    <row r="7779" spans="1:9" x14ac:dyDescent="0.25">
      <c r="A7779" s="16" t="s">
        <v>8628</v>
      </c>
      <c r="B7779" s="16" t="str">
        <f>TEXT(PARTIDA[[#This Row],[PARTIDA]],"0000000000")</f>
        <v>9016001100</v>
      </c>
      <c r="C7779" s="16" t="s">
        <v>860</v>
      </c>
      <c r="D7779" s="16" t="s">
        <v>873</v>
      </c>
      <c r="E7779" s="16" t="s">
        <v>9482</v>
      </c>
      <c r="F7779" s="27" t="s">
        <v>15934</v>
      </c>
      <c r="G7779" s="27"/>
      <c r="H7779" s="16" t="str">
        <f>IF(ISBLANK(PARTIDAS!$G7779),PARTIDAS!$F7779,CONCATENATE(PARTIDAS!$F7779," (",PARTIDAS!$G7779,")"))</f>
        <v>Balanzas, eléctricas</v>
      </c>
      <c r="I7779" s="16" t="s">
        <v>9427</v>
      </c>
    </row>
    <row r="7780" spans="1:9" x14ac:dyDescent="0.25">
      <c r="A7780" s="16" t="s">
        <v>8629</v>
      </c>
      <c r="B7780" s="16" t="str">
        <f>TEXT(PARTIDA[[#This Row],[PARTIDA]],"0000000000")</f>
        <v>9016001200</v>
      </c>
      <c r="C7780" s="16" t="s">
        <v>860</v>
      </c>
      <c r="D7780" s="16" t="s">
        <v>873</v>
      </c>
      <c r="E7780" s="16" t="s">
        <v>9482</v>
      </c>
      <c r="F7780" s="27" t="s">
        <v>15935</v>
      </c>
      <c r="G7780" s="27"/>
      <c r="H7780" s="16" t="str">
        <f>IF(ISBLANK(PARTIDAS!$G7780),PARTIDAS!$F7780,CONCATENATE(PARTIDAS!$F7780," (",PARTIDAS!$G7780,")"))</f>
        <v>Balanzas, electrónicas</v>
      </c>
      <c r="I7780" s="16" t="s">
        <v>9427</v>
      </c>
    </row>
    <row r="7781" spans="1:9" x14ac:dyDescent="0.25">
      <c r="A7781" s="16" t="s">
        <v>8630</v>
      </c>
      <c r="B7781" s="16" t="str">
        <f>TEXT(PARTIDA[[#This Row],[PARTIDA]],"0000000000")</f>
        <v>9016001900</v>
      </c>
      <c r="C7781" s="16" t="s">
        <v>860</v>
      </c>
      <c r="D7781" s="16" t="s">
        <v>873</v>
      </c>
      <c r="E7781" s="16" t="s">
        <v>9482</v>
      </c>
      <c r="F7781" s="27" t="s">
        <v>15936</v>
      </c>
      <c r="G7781" s="27"/>
      <c r="H7781" s="16" t="str">
        <f>IF(ISBLANK(PARTIDAS!$G7781),PARTIDAS!$F7781,CONCATENATE(PARTIDAS!$F7781," (",PARTIDAS!$G7781,")"))</f>
        <v>Balanzas (los demás)</v>
      </c>
      <c r="I7781" s="16" t="s">
        <v>9427</v>
      </c>
    </row>
    <row r="7782" spans="1:9" x14ac:dyDescent="0.25">
      <c r="A7782" s="16" t="s">
        <v>8631</v>
      </c>
      <c r="B7782" s="16" t="str">
        <f>TEXT(PARTIDA[[#This Row],[PARTIDA]],"0000000000")</f>
        <v>9016009000</v>
      </c>
      <c r="C7782" s="16" t="s">
        <v>860</v>
      </c>
      <c r="D7782" s="16" t="s">
        <v>873</v>
      </c>
      <c r="E7782" s="16" t="s">
        <v>9482</v>
      </c>
      <c r="F7782" s="27" t="s">
        <v>15933</v>
      </c>
      <c r="G7782" s="27"/>
      <c r="H7782" s="16" t="str">
        <f>IF(ISBLANK(PARTIDAS!$G7782),PARTIDAS!$F7782,CONCATENATE(PARTIDAS!$F7782," (",PARTIDAS!$G7782,")"))</f>
        <v>Instrumentos y aparatos de geodesia, topografía, agrimensura…, partes y accesorios</v>
      </c>
      <c r="I7782" s="16" t="s">
        <v>9427</v>
      </c>
    </row>
    <row r="7783" spans="1:9" x14ac:dyDescent="0.25">
      <c r="A7783" s="16" t="s">
        <v>8632</v>
      </c>
      <c r="B7783" s="16" t="str">
        <f>TEXT(PARTIDA[[#This Row],[PARTIDA]],"0000000000")</f>
        <v>9017100000</v>
      </c>
      <c r="C7783" s="16" t="s">
        <v>860</v>
      </c>
      <c r="D7783" s="16" t="s">
        <v>873</v>
      </c>
      <c r="E7783" s="16" t="s">
        <v>9482</v>
      </c>
      <c r="F7783" s="27" t="s">
        <v>15937</v>
      </c>
      <c r="G7783" s="27"/>
      <c r="H7783" s="16" t="str">
        <f>IF(ISBLANK(PARTIDAS!$G7783),PARTIDAS!$F7783,CONCATENATE(PARTIDAS!$F7783," (",PARTIDAS!$G7783,")"))</f>
        <v>Mesas y máquinas de dibujar, incluso automáticas</v>
      </c>
      <c r="I7783" s="16" t="s">
        <v>9427</v>
      </c>
    </row>
    <row r="7784" spans="1:9" x14ac:dyDescent="0.25">
      <c r="A7784" s="16" t="s">
        <v>8633</v>
      </c>
      <c r="B7784" s="16" t="str">
        <f>TEXT(PARTIDA[[#This Row],[PARTIDA]],"0000000000")</f>
        <v>9017201000</v>
      </c>
      <c r="C7784" s="16" t="s">
        <v>860</v>
      </c>
      <c r="D7784" s="16" t="s">
        <v>873</v>
      </c>
      <c r="E7784" s="16" t="s">
        <v>9482</v>
      </c>
      <c r="F7784" s="27" t="s">
        <v>15938</v>
      </c>
      <c r="G7784" s="27"/>
      <c r="H7784" s="16" t="str">
        <f>IF(ISBLANK(PARTIDAS!$G7784),PARTIDAS!$F7784,CONCATENATE(PARTIDAS!$F7784," (",PARTIDAS!$G7784,")"))</f>
        <v>Instrumentos de dibujo, trazado o cálculo (por ejemplo, pantógrafos</v>
      </c>
      <c r="I7784" s="16" t="s">
        <v>9427</v>
      </c>
    </row>
    <row r="7785" spans="1:9" x14ac:dyDescent="0.25">
      <c r="A7785" s="16" t="s">
        <v>8634</v>
      </c>
      <c r="B7785" s="16" t="str">
        <f>TEXT(PARTIDA[[#This Row],[PARTIDA]],"0000000000")</f>
        <v>9017202000</v>
      </c>
      <c r="C7785" s="16" t="s">
        <v>860</v>
      </c>
      <c r="D7785" s="16" t="s">
        <v>873</v>
      </c>
      <c r="E7785" s="16" t="s">
        <v>9482</v>
      </c>
      <c r="F7785" s="27" t="s">
        <v>15939</v>
      </c>
      <c r="G7785" s="27"/>
      <c r="H7785" s="16" t="str">
        <f>IF(ISBLANK(PARTIDAS!$G7785),PARTIDAS!$F7785,CONCATENATE(PARTIDAS!$F7785," (",PARTIDAS!$G7785,")"))</f>
        <v>Estuches de dibujo (cajas de matemáticas) y sus componentes presentados aisladamente</v>
      </c>
      <c r="I7785" s="16" t="s">
        <v>9427</v>
      </c>
    </row>
    <row r="7786" spans="1:9" x14ac:dyDescent="0.25">
      <c r="A7786" s="16" t="s">
        <v>8635</v>
      </c>
      <c r="B7786" s="16" t="str">
        <f>TEXT(PARTIDA[[#This Row],[PARTIDA]],"0000000000")</f>
        <v>9017203000</v>
      </c>
      <c r="C7786" s="16" t="s">
        <v>860</v>
      </c>
      <c r="D7786" s="16" t="s">
        <v>873</v>
      </c>
      <c r="E7786" s="16" t="s">
        <v>9482</v>
      </c>
      <c r="F7786" s="27" t="s">
        <v>8636</v>
      </c>
      <c r="G7786" s="27"/>
      <c r="H7786" s="16" t="str">
        <f>IF(ISBLANK(PARTIDAS!$G7786),PARTIDAS!$F7786,CONCATENATE(PARTIDAS!$F7786," (",PARTIDAS!$G7786,")"))</f>
        <v>Instrumentos de dibujo, trazado o cálculo</v>
      </c>
      <c r="I7786" s="16" t="s">
        <v>9427</v>
      </c>
    </row>
    <row r="7787" spans="1:9" x14ac:dyDescent="0.25">
      <c r="A7787" s="16" t="s">
        <v>8637</v>
      </c>
      <c r="B7787" s="16" t="str">
        <f>TEXT(PARTIDA[[#This Row],[PARTIDA]],"0000000000")</f>
        <v>9017209000</v>
      </c>
      <c r="C7787" s="16" t="s">
        <v>860</v>
      </c>
      <c r="D7787" s="16" t="s">
        <v>873</v>
      </c>
      <c r="E7787" s="16" t="s">
        <v>9482</v>
      </c>
      <c r="F7787" s="27" t="s">
        <v>876</v>
      </c>
      <c r="G7787" s="27"/>
      <c r="H7787" s="16" t="str">
        <f>IF(ISBLANK(PARTIDAS!$G7787),PARTIDAS!$F7787,CONCATENATE(PARTIDAS!$F7787," (",PARTIDAS!$G7787,")"))</f>
        <v>Herramientas</v>
      </c>
      <c r="I7787" s="16" t="s">
        <v>9427</v>
      </c>
    </row>
    <row r="7788" spans="1:9" x14ac:dyDescent="0.25">
      <c r="A7788" s="16" t="s">
        <v>8638</v>
      </c>
      <c r="B7788" s="16" t="str">
        <f>TEXT(PARTIDA[[#This Row],[PARTIDA]],"0000000000")</f>
        <v>9017300000</v>
      </c>
      <c r="C7788" s="16" t="s">
        <v>860</v>
      </c>
      <c r="D7788" s="16" t="s">
        <v>873</v>
      </c>
      <c r="E7788" s="16" t="s">
        <v>9482</v>
      </c>
      <c r="F7788" s="27" t="s">
        <v>876</v>
      </c>
      <c r="G7788" s="27"/>
      <c r="H7788" s="16" t="str">
        <f>IF(ISBLANK(PARTIDAS!$G7788),PARTIDAS!$F7788,CONCATENATE(PARTIDAS!$F7788," (",PARTIDAS!$G7788,")"))</f>
        <v>Herramientas</v>
      </c>
      <c r="I7788" s="16" t="s">
        <v>9427</v>
      </c>
    </row>
    <row r="7789" spans="1:9" x14ac:dyDescent="0.25">
      <c r="A7789" s="16" t="s">
        <v>8639</v>
      </c>
      <c r="B7789" s="16" t="str">
        <f>TEXT(PARTIDA[[#This Row],[PARTIDA]],"0000000000")</f>
        <v>9017801000</v>
      </c>
      <c r="C7789" s="16" t="s">
        <v>860</v>
      </c>
      <c r="D7789" s="16" t="s">
        <v>873</v>
      </c>
      <c r="E7789" s="16" t="s">
        <v>874</v>
      </c>
      <c r="F7789" s="27" t="s">
        <v>876</v>
      </c>
      <c r="G7789" s="27"/>
      <c r="H7789" s="16" t="str">
        <f>IF(ISBLANK(PARTIDAS!$G7789),PARTIDAS!$F7789,CONCATENATE(PARTIDAS!$F7789," (",PARTIDAS!$G7789,")"))</f>
        <v>Herramientas</v>
      </c>
      <c r="I7789" s="16" t="s">
        <v>9477</v>
      </c>
    </row>
    <row r="7790" spans="1:9" x14ac:dyDescent="0.25">
      <c r="A7790" s="16" t="s">
        <v>8640</v>
      </c>
      <c r="B7790" s="16" t="str">
        <f>TEXT(PARTIDA[[#This Row],[PARTIDA]],"0000000000")</f>
        <v>9017809000</v>
      </c>
      <c r="C7790" s="16" t="s">
        <v>860</v>
      </c>
      <c r="D7790" s="16" t="s">
        <v>873</v>
      </c>
      <c r="E7790" s="16" t="s">
        <v>9482</v>
      </c>
      <c r="F7790" s="27" t="s">
        <v>876</v>
      </c>
      <c r="G7790" s="27"/>
      <c r="H7790" s="16" t="str">
        <f>IF(ISBLANK(PARTIDAS!$G7790),PARTIDAS!$F7790,CONCATENATE(PARTIDAS!$F7790," (",PARTIDAS!$G7790,")"))</f>
        <v>Herramientas</v>
      </c>
      <c r="I7790" s="16" t="s">
        <v>9427</v>
      </c>
    </row>
    <row r="7791" spans="1:9" x14ac:dyDescent="0.25">
      <c r="A7791" s="16" t="s">
        <v>8641</v>
      </c>
      <c r="B7791" s="16" t="str">
        <f>TEXT(PARTIDA[[#This Row],[PARTIDA]],"0000000000")</f>
        <v>9017900000</v>
      </c>
      <c r="C7791" s="16" t="s">
        <v>860</v>
      </c>
      <c r="D7791" s="16" t="s">
        <v>873</v>
      </c>
      <c r="E7791" s="16" t="s">
        <v>9482</v>
      </c>
      <c r="F7791" s="27" t="s">
        <v>876</v>
      </c>
      <c r="G7791" s="27"/>
      <c r="H7791" s="16" t="str">
        <f>IF(ISBLANK(PARTIDAS!$G7791),PARTIDAS!$F7791,CONCATENATE(PARTIDAS!$F7791," (",PARTIDAS!$G7791,")"))</f>
        <v>Herramientas</v>
      </c>
      <c r="I7791" s="16" t="s">
        <v>9427</v>
      </c>
    </row>
    <row r="7792" spans="1:9" x14ac:dyDescent="0.25">
      <c r="A7792" s="16" t="s">
        <v>8642</v>
      </c>
      <c r="B7792" s="16" t="str">
        <f>TEXT(PARTIDA[[#This Row],[PARTIDA]],"0000000000")</f>
        <v>9018110000</v>
      </c>
      <c r="C7792" s="16" t="s">
        <v>860</v>
      </c>
      <c r="D7792" s="16" t="s">
        <v>873</v>
      </c>
      <c r="E7792" s="16" t="s">
        <v>9482</v>
      </c>
      <c r="F7792" s="27" t="s">
        <v>876</v>
      </c>
      <c r="G7792" s="27"/>
      <c r="H7792" s="16" t="str">
        <f>IF(ISBLANK(PARTIDAS!$G7792),PARTIDAS!$F7792,CONCATENATE(PARTIDAS!$F7792," (",PARTIDAS!$G7792,")"))</f>
        <v>Herramientas</v>
      </c>
      <c r="I7792" s="16" t="s">
        <v>9427</v>
      </c>
    </row>
    <row r="7793" spans="1:9" x14ac:dyDescent="0.25">
      <c r="A7793" s="16" t="s">
        <v>8643</v>
      </c>
      <c r="B7793" s="16" t="str">
        <f>TEXT(PARTIDA[[#This Row],[PARTIDA]],"0000000000")</f>
        <v>9018120000</v>
      </c>
      <c r="C7793" s="16" t="s">
        <v>860</v>
      </c>
      <c r="D7793" s="16" t="s">
        <v>873</v>
      </c>
      <c r="E7793" s="16" t="s">
        <v>9482</v>
      </c>
      <c r="F7793" s="27" t="s">
        <v>876</v>
      </c>
      <c r="G7793" s="27"/>
      <c r="H7793" s="16" t="str">
        <f>IF(ISBLANK(PARTIDAS!$G7793),PARTIDAS!$F7793,CONCATENATE(PARTIDAS!$F7793," (",PARTIDAS!$G7793,")"))</f>
        <v>Herramientas</v>
      </c>
      <c r="I7793" s="16" t="s">
        <v>9427</v>
      </c>
    </row>
    <row r="7794" spans="1:9" x14ac:dyDescent="0.25">
      <c r="A7794" s="16" t="s">
        <v>8644</v>
      </c>
      <c r="B7794" s="16" t="str">
        <f>TEXT(PARTIDA[[#This Row],[PARTIDA]],"0000000000")</f>
        <v>9018130000</v>
      </c>
      <c r="C7794" s="16" t="s">
        <v>860</v>
      </c>
      <c r="D7794" s="16" t="s">
        <v>873</v>
      </c>
      <c r="E7794" s="16" t="s">
        <v>9482</v>
      </c>
      <c r="F7794" s="27" t="s">
        <v>876</v>
      </c>
      <c r="G7794" s="27"/>
      <c r="H7794" s="16" t="str">
        <f>IF(ISBLANK(PARTIDAS!$G7794),PARTIDAS!$F7794,CONCATENATE(PARTIDAS!$F7794," (",PARTIDAS!$G7794,")"))</f>
        <v>Herramientas</v>
      </c>
      <c r="I7794" s="16" t="s">
        <v>9427</v>
      </c>
    </row>
    <row r="7795" spans="1:9" x14ac:dyDescent="0.25">
      <c r="A7795" s="16" t="s">
        <v>8645</v>
      </c>
      <c r="B7795" s="16" t="str">
        <f>TEXT(PARTIDA[[#This Row],[PARTIDA]],"0000000000")</f>
        <v>9018140000</v>
      </c>
      <c r="C7795" s="16" t="s">
        <v>860</v>
      </c>
      <c r="D7795" s="16" t="s">
        <v>873</v>
      </c>
      <c r="E7795" s="16" t="s">
        <v>9482</v>
      </c>
      <c r="F7795" s="27" t="s">
        <v>876</v>
      </c>
      <c r="G7795" s="27"/>
      <c r="H7795" s="16" t="str">
        <f>IF(ISBLANK(PARTIDAS!$G7795),PARTIDAS!$F7795,CONCATENATE(PARTIDAS!$F7795," (",PARTIDAS!$G7795,")"))</f>
        <v>Herramientas</v>
      </c>
      <c r="I7795" s="16" t="s">
        <v>9427</v>
      </c>
    </row>
    <row r="7796" spans="1:9" x14ac:dyDescent="0.25">
      <c r="A7796" s="16" t="s">
        <v>8646</v>
      </c>
      <c r="B7796" s="16" t="str">
        <f>TEXT(PARTIDA[[#This Row],[PARTIDA]],"0000000000")</f>
        <v>9018190000</v>
      </c>
      <c r="C7796" s="16" t="s">
        <v>860</v>
      </c>
      <c r="D7796" s="16" t="s">
        <v>873</v>
      </c>
      <c r="E7796" s="16" t="s">
        <v>9482</v>
      </c>
      <c r="F7796" s="27" t="s">
        <v>876</v>
      </c>
      <c r="G7796" s="27"/>
      <c r="H7796" s="16" t="str">
        <f>IF(ISBLANK(PARTIDAS!$G7796),PARTIDAS!$F7796,CONCATENATE(PARTIDAS!$F7796," (",PARTIDAS!$G7796,")"))</f>
        <v>Herramientas</v>
      </c>
      <c r="I7796" s="16" t="s">
        <v>9427</v>
      </c>
    </row>
    <row r="7797" spans="1:9" x14ac:dyDescent="0.25">
      <c r="A7797" s="16" t="s">
        <v>8647</v>
      </c>
      <c r="B7797" s="16" t="str">
        <f>TEXT(PARTIDA[[#This Row],[PARTIDA]],"0000000000")</f>
        <v>9018200000</v>
      </c>
      <c r="C7797" s="16" t="s">
        <v>860</v>
      </c>
      <c r="D7797" s="16" t="s">
        <v>873</v>
      </c>
      <c r="E7797" s="16" t="s">
        <v>9482</v>
      </c>
      <c r="F7797" s="27" t="s">
        <v>876</v>
      </c>
      <c r="G7797" s="27"/>
      <c r="H7797" s="16" t="str">
        <f>IF(ISBLANK(PARTIDAS!$G7797),PARTIDAS!$F7797,CONCATENATE(PARTIDAS!$F7797," (",PARTIDAS!$G7797,")"))</f>
        <v>Herramientas</v>
      </c>
      <c r="I7797" s="16" t="s">
        <v>9427</v>
      </c>
    </row>
    <row r="7798" spans="1:9" x14ac:dyDescent="0.25">
      <c r="A7798" s="16" t="s">
        <v>8648</v>
      </c>
      <c r="B7798" s="16" t="str">
        <f>TEXT(PARTIDA[[#This Row],[PARTIDA]],"0000000000")</f>
        <v>9018312000</v>
      </c>
      <c r="C7798" s="16" t="s">
        <v>860</v>
      </c>
      <c r="D7798" s="16" t="s">
        <v>873</v>
      </c>
      <c r="E7798" s="16" t="s">
        <v>9482</v>
      </c>
      <c r="F7798" s="27" t="s">
        <v>876</v>
      </c>
      <c r="G7798" s="27"/>
      <c r="H7798" s="16" t="str">
        <f>IF(ISBLANK(PARTIDAS!$G7798),PARTIDAS!$F7798,CONCATENATE(PARTIDAS!$F7798," (",PARTIDAS!$G7798,")"))</f>
        <v>Herramientas</v>
      </c>
      <c r="I7798" s="16" t="s">
        <v>9427</v>
      </c>
    </row>
    <row r="7799" spans="1:9" x14ac:dyDescent="0.25">
      <c r="A7799" s="16" t="s">
        <v>8649</v>
      </c>
      <c r="B7799" s="16" t="str">
        <f>TEXT(PARTIDA[[#This Row],[PARTIDA]],"0000000000")</f>
        <v>9018319000</v>
      </c>
      <c r="C7799" s="16" t="s">
        <v>860</v>
      </c>
      <c r="D7799" s="16" t="s">
        <v>873</v>
      </c>
      <c r="E7799" s="16" t="s">
        <v>9482</v>
      </c>
      <c r="F7799" s="27" t="s">
        <v>876</v>
      </c>
      <c r="G7799" s="27"/>
      <c r="H7799" s="16" t="str">
        <f>IF(ISBLANK(PARTIDAS!$G7799),PARTIDAS!$F7799,CONCATENATE(PARTIDAS!$F7799," (",PARTIDAS!$G7799,")"))</f>
        <v>Herramientas</v>
      </c>
      <c r="I7799" s="16" t="s">
        <v>9427</v>
      </c>
    </row>
    <row r="7800" spans="1:9" x14ac:dyDescent="0.25">
      <c r="A7800" s="16" t="s">
        <v>8650</v>
      </c>
      <c r="B7800" s="16" t="str">
        <f>TEXT(PARTIDA[[#This Row],[PARTIDA]],"0000000000")</f>
        <v>9018320000</v>
      </c>
      <c r="C7800" s="16" t="s">
        <v>860</v>
      </c>
      <c r="D7800" s="16" t="s">
        <v>873</v>
      </c>
      <c r="E7800" s="16" t="s">
        <v>9482</v>
      </c>
      <c r="F7800" s="27" t="s">
        <v>876</v>
      </c>
      <c r="G7800" s="27"/>
      <c r="H7800" s="16" t="str">
        <f>IF(ISBLANK(PARTIDAS!$G7800),PARTIDAS!$F7800,CONCATENATE(PARTIDAS!$F7800," (",PARTIDAS!$G7800,")"))</f>
        <v>Herramientas</v>
      </c>
      <c r="I7800" s="16" t="s">
        <v>9427</v>
      </c>
    </row>
    <row r="7801" spans="1:9" x14ac:dyDescent="0.25">
      <c r="A7801" s="16" t="s">
        <v>8651</v>
      </c>
      <c r="B7801" s="16" t="str">
        <f>TEXT(PARTIDA[[#This Row],[PARTIDA]],"0000000000")</f>
        <v>9018390010</v>
      </c>
      <c r="C7801" s="16" t="s">
        <v>860</v>
      </c>
      <c r="D7801" s="16" t="s">
        <v>873</v>
      </c>
      <c r="E7801" s="16" t="s">
        <v>9482</v>
      </c>
      <c r="F7801" s="27" t="s">
        <v>876</v>
      </c>
      <c r="G7801" s="27"/>
      <c r="H7801" s="16" t="str">
        <f>IF(ISBLANK(PARTIDAS!$G7801),PARTIDAS!$F7801,CONCATENATE(PARTIDAS!$F7801," (",PARTIDAS!$G7801,")"))</f>
        <v>Herramientas</v>
      </c>
      <c r="I7801" s="16" t="s">
        <v>9427</v>
      </c>
    </row>
    <row r="7802" spans="1:9" x14ac:dyDescent="0.25">
      <c r="A7802" s="16" t="s">
        <v>8652</v>
      </c>
      <c r="B7802" s="16" t="str">
        <f>TEXT(PARTIDA[[#This Row],[PARTIDA]],"0000000000")</f>
        <v>9018390090</v>
      </c>
      <c r="C7802" s="16" t="s">
        <v>860</v>
      </c>
      <c r="D7802" s="16" t="s">
        <v>873</v>
      </c>
      <c r="E7802" s="16" t="s">
        <v>9482</v>
      </c>
      <c r="F7802" s="27" t="s">
        <v>876</v>
      </c>
      <c r="G7802" s="27"/>
      <c r="H7802" s="16" t="str">
        <f>IF(ISBLANK(PARTIDAS!$G7802),PARTIDAS!$F7802,CONCATENATE(PARTIDAS!$F7802," (",PARTIDAS!$G7802,")"))</f>
        <v>Herramientas</v>
      </c>
      <c r="I7802" s="16" t="s">
        <v>9427</v>
      </c>
    </row>
    <row r="7803" spans="1:9" x14ac:dyDescent="0.25">
      <c r="A7803" s="16" t="s">
        <v>8653</v>
      </c>
      <c r="B7803" s="16" t="str">
        <f>TEXT(PARTIDA[[#This Row],[PARTIDA]],"0000000000")</f>
        <v>9018410000</v>
      </c>
      <c r="C7803" s="16" t="s">
        <v>860</v>
      </c>
      <c r="D7803" s="16" t="s">
        <v>873</v>
      </c>
      <c r="E7803" s="16" t="s">
        <v>9482</v>
      </c>
      <c r="F7803" s="27" t="s">
        <v>876</v>
      </c>
      <c r="G7803" s="27"/>
      <c r="H7803" s="16" t="str">
        <f>IF(ISBLANK(PARTIDAS!$G7803),PARTIDAS!$F7803,CONCATENATE(PARTIDAS!$F7803," (",PARTIDAS!$G7803,")"))</f>
        <v>Herramientas</v>
      </c>
      <c r="I7803" s="16" t="s">
        <v>9427</v>
      </c>
    </row>
    <row r="7804" spans="1:9" x14ac:dyDescent="0.25">
      <c r="A7804" s="16" t="s">
        <v>8654</v>
      </c>
      <c r="B7804" s="16" t="str">
        <f>TEXT(PARTIDA[[#This Row],[PARTIDA]],"0000000000")</f>
        <v>9018491000</v>
      </c>
      <c r="C7804" s="16" t="s">
        <v>860</v>
      </c>
      <c r="D7804" s="16" t="s">
        <v>873</v>
      </c>
      <c r="E7804" s="16" t="s">
        <v>9482</v>
      </c>
      <c r="F7804" s="27" t="s">
        <v>876</v>
      </c>
      <c r="G7804" s="27"/>
      <c r="H7804" s="16" t="str">
        <f>IF(ISBLANK(PARTIDAS!$G7804),PARTIDAS!$F7804,CONCATENATE(PARTIDAS!$F7804," (",PARTIDAS!$G7804,")"))</f>
        <v>Herramientas</v>
      </c>
      <c r="I7804" s="16" t="s">
        <v>9427</v>
      </c>
    </row>
    <row r="7805" spans="1:9" x14ac:dyDescent="0.25">
      <c r="A7805" s="16" t="s">
        <v>8655</v>
      </c>
      <c r="B7805" s="16" t="str">
        <f>TEXT(PARTIDA[[#This Row],[PARTIDA]],"0000000000")</f>
        <v>9018499000</v>
      </c>
      <c r="C7805" s="16" t="s">
        <v>860</v>
      </c>
      <c r="D7805" s="16" t="s">
        <v>873</v>
      </c>
      <c r="E7805" s="16" t="s">
        <v>9482</v>
      </c>
      <c r="F7805" s="27" t="s">
        <v>876</v>
      </c>
      <c r="G7805" s="27"/>
      <c r="H7805" s="16" t="str">
        <f>IF(ISBLANK(PARTIDAS!$G7805),PARTIDAS!$F7805,CONCATENATE(PARTIDAS!$F7805," (",PARTIDAS!$G7805,")"))</f>
        <v>Herramientas</v>
      </c>
      <c r="I7805" s="16" t="s">
        <v>9427</v>
      </c>
    </row>
    <row r="7806" spans="1:9" x14ac:dyDescent="0.25">
      <c r="A7806" s="16" t="s">
        <v>8656</v>
      </c>
      <c r="B7806" s="16" t="str">
        <f>TEXT(PARTIDA[[#This Row],[PARTIDA]],"0000000000")</f>
        <v>9018500000</v>
      </c>
      <c r="C7806" s="16" t="s">
        <v>860</v>
      </c>
      <c r="D7806" s="16" t="s">
        <v>873</v>
      </c>
      <c r="E7806" s="16" t="s">
        <v>9482</v>
      </c>
      <c r="F7806" s="27" t="s">
        <v>876</v>
      </c>
      <c r="G7806" s="27"/>
      <c r="H7806" s="16" t="str">
        <f>IF(ISBLANK(PARTIDAS!$G7806),PARTIDAS!$F7806,CONCATENATE(PARTIDAS!$F7806," (",PARTIDAS!$G7806,")"))</f>
        <v>Herramientas</v>
      </c>
      <c r="I7806" s="16" t="s">
        <v>9427</v>
      </c>
    </row>
    <row r="7807" spans="1:9" x14ac:dyDescent="0.25">
      <c r="A7807" s="16" t="s">
        <v>8657</v>
      </c>
      <c r="B7807" s="16" t="str">
        <f>TEXT(PARTIDA[[#This Row],[PARTIDA]],"0000000000")</f>
        <v>9018901000</v>
      </c>
      <c r="C7807" s="16" t="s">
        <v>860</v>
      </c>
      <c r="D7807" s="16" t="s">
        <v>873</v>
      </c>
      <c r="E7807" s="16" t="s">
        <v>9482</v>
      </c>
      <c r="F7807" s="27" t="s">
        <v>876</v>
      </c>
      <c r="G7807" s="27"/>
      <c r="H7807" s="16" t="str">
        <f>IF(ISBLANK(PARTIDAS!$G7807),PARTIDAS!$F7807,CONCATENATE(PARTIDAS!$F7807," (",PARTIDAS!$G7807,")"))</f>
        <v>Herramientas</v>
      </c>
      <c r="I7807" s="16" t="s">
        <v>9427</v>
      </c>
    </row>
    <row r="7808" spans="1:9" x14ac:dyDescent="0.25">
      <c r="A7808" s="16" t="s">
        <v>8658</v>
      </c>
      <c r="B7808" s="16" t="str">
        <f>TEXT(PARTIDA[[#This Row],[PARTIDA]],"0000000000")</f>
        <v>9018909000</v>
      </c>
      <c r="C7808" s="16" t="s">
        <v>860</v>
      </c>
      <c r="D7808" s="16" t="s">
        <v>873</v>
      </c>
      <c r="E7808" s="16" t="s">
        <v>9482</v>
      </c>
      <c r="F7808" s="27" t="s">
        <v>876</v>
      </c>
      <c r="G7808" s="27"/>
      <c r="H7808" s="16" t="str">
        <f>IF(ISBLANK(PARTIDAS!$G7808),PARTIDAS!$F7808,CONCATENATE(PARTIDAS!$F7808," (",PARTIDAS!$G7808,")"))</f>
        <v>Herramientas</v>
      </c>
      <c r="I7808" s="16" t="s">
        <v>9427</v>
      </c>
    </row>
    <row r="7809" spans="1:9" x14ac:dyDescent="0.25">
      <c r="A7809" s="16" t="s">
        <v>8659</v>
      </c>
      <c r="B7809" s="16" t="str">
        <f>TEXT(PARTIDA[[#This Row],[PARTIDA]],"0000000000")</f>
        <v>9019100000</v>
      </c>
      <c r="C7809" s="16" t="s">
        <v>860</v>
      </c>
      <c r="D7809" s="16" t="s">
        <v>873</v>
      </c>
      <c r="E7809" s="16" t="s">
        <v>9482</v>
      </c>
      <c r="F7809" s="27" t="s">
        <v>876</v>
      </c>
      <c r="G7809" s="27"/>
      <c r="H7809" s="16" t="str">
        <f>IF(ISBLANK(PARTIDAS!$G7809),PARTIDAS!$F7809,CONCATENATE(PARTIDAS!$F7809," (",PARTIDAS!$G7809,")"))</f>
        <v>Herramientas</v>
      </c>
      <c r="I7809" s="16" t="s">
        <v>9427</v>
      </c>
    </row>
    <row r="7810" spans="1:9" x14ac:dyDescent="0.25">
      <c r="A7810" s="16" t="s">
        <v>8660</v>
      </c>
      <c r="B7810" s="16" t="str">
        <f>TEXT(PARTIDA[[#This Row],[PARTIDA]],"0000000000")</f>
        <v>9019200000</v>
      </c>
      <c r="C7810" s="16" t="s">
        <v>860</v>
      </c>
      <c r="D7810" s="16" t="s">
        <v>873</v>
      </c>
      <c r="E7810" s="16" t="s">
        <v>9482</v>
      </c>
      <c r="F7810" s="27" t="s">
        <v>876</v>
      </c>
      <c r="G7810" s="27"/>
      <c r="H7810" s="16" t="str">
        <f>IF(ISBLANK(PARTIDAS!$G7810),PARTIDAS!$F7810,CONCATENATE(PARTIDAS!$F7810," (",PARTIDAS!$G7810,")"))</f>
        <v>Herramientas</v>
      </c>
      <c r="I7810" s="16" t="s">
        <v>9427</v>
      </c>
    </row>
    <row r="7811" spans="1:9" x14ac:dyDescent="0.25">
      <c r="A7811" s="16" t="s">
        <v>8661</v>
      </c>
      <c r="B7811" s="16" t="str">
        <f>TEXT(PARTIDA[[#This Row],[PARTIDA]],"0000000000")</f>
        <v>9020000000</v>
      </c>
      <c r="C7811" s="16" t="s">
        <v>860</v>
      </c>
      <c r="D7811" s="16" t="s">
        <v>873</v>
      </c>
      <c r="E7811" s="16" t="s">
        <v>874</v>
      </c>
      <c r="F7811" s="27" t="s">
        <v>876</v>
      </c>
      <c r="G7811" s="27"/>
      <c r="H7811" s="16" t="str">
        <f>IF(ISBLANK(PARTIDAS!$G7811),PARTIDAS!$F7811,CONCATENATE(PARTIDAS!$F7811," (",PARTIDAS!$G7811,")"))</f>
        <v>Herramientas</v>
      </c>
      <c r="I7811" s="16" t="s">
        <v>9477</v>
      </c>
    </row>
    <row r="7812" spans="1:9" x14ac:dyDescent="0.25">
      <c r="A7812" s="16" t="s">
        <v>8662</v>
      </c>
      <c r="B7812" s="16" t="str">
        <f>TEXT(PARTIDA[[#This Row],[PARTIDA]],"0000000000")</f>
        <v>9021101000</v>
      </c>
      <c r="C7812" s="16" t="s">
        <v>860</v>
      </c>
      <c r="D7812" s="16" t="s">
        <v>873</v>
      </c>
      <c r="E7812" s="16" t="s">
        <v>9482</v>
      </c>
      <c r="F7812" s="27" t="s">
        <v>876</v>
      </c>
      <c r="G7812" s="27"/>
      <c r="H7812" s="16" t="str">
        <f>IF(ISBLANK(PARTIDAS!$G7812),PARTIDAS!$F7812,CONCATENATE(PARTIDAS!$F7812," (",PARTIDAS!$G7812,")"))</f>
        <v>Herramientas</v>
      </c>
      <c r="I7812" s="16" t="s">
        <v>9648</v>
      </c>
    </row>
    <row r="7813" spans="1:9" x14ac:dyDescent="0.25">
      <c r="A7813" s="16" t="s">
        <v>15940</v>
      </c>
      <c r="B7813" s="16" t="str">
        <f>TEXT(PARTIDA[[#This Row],[PARTIDA]],"0000000000")</f>
        <v>9021101010</v>
      </c>
      <c r="C7813" s="16" t="s">
        <v>860</v>
      </c>
      <c r="D7813" s="16" t="s">
        <v>873</v>
      </c>
      <c r="E7813" s="16" t="s">
        <v>9482</v>
      </c>
      <c r="F7813" s="27" t="s">
        <v>15941</v>
      </c>
      <c r="G7813" s="27"/>
      <c r="H7813" s="16" t="str">
        <f>IF(ISBLANK(PARTIDAS!$G7813),PARTIDAS!$F7813,CONCATENATE(PARTIDAS!$F7813," (",PARTIDAS!$G7813,")"))</f>
        <v>Artículos de las subpartidas 7318.19, 7318.29, 8108.90 especialmente diseñados para ser utilizados, exclusivamente como implantes de uso médico, quirú</v>
      </c>
      <c r="I7813" s="16" t="s">
        <v>9427</v>
      </c>
    </row>
    <row r="7814" spans="1:9" x14ac:dyDescent="0.25">
      <c r="A7814" s="16" t="s">
        <v>15942</v>
      </c>
      <c r="B7814" s="16" t="str">
        <f>TEXT(PARTIDA[[#This Row],[PARTIDA]],"0000000000")</f>
        <v>9021101090</v>
      </c>
      <c r="C7814" s="16" t="s">
        <v>860</v>
      </c>
      <c r="D7814" s="16" t="s">
        <v>873</v>
      </c>
      <c r="E7814" s="16" t="s">
        <v>9482</v>
      </c>
      <c r="F7814" s="27" t="s">
        <v>15943</v>
      </c>
      <c r="G7814" s="27"/>
      <c r="H7814" s="16" t="str">
        <f>IF(ISBLANK(PARTIDAS!$G7814),PARTIDAS!$F7814,CONCATENATE(PARTIDAS!$F7814," (",PARTIDAS!$G7814,")"))</f>
        <v>Artículos y aparatos de ortopedia o para fracturas (los demás)</v>
      </c>
      <c r="I7814" s="16" t="s">
        <v>9427</v>
      </c>
    </row>
    <row r="7815" spans="1:9" x14ac:dyDescent="0.25">
      <c r="A7815" s="16" t="s">
        <v>8663</v>
      </c>
      <c r="B7815" s="16" t="str">
        <f>TEXT(PARTIDA[[#This Row],[PARTIDA]],"0000000000")</f>
        <v>9021102000</v>
      </c>
      <c r="C7815" s="16" t="s">
        <v>860</v>
      </c>
      <c r="D7815" s="16" t="s">
        <v>873</v>
      </c>
      <c r="E7815" s="16" t="s">
        <v>9482</v>
      </c>
      <c r="F7815" s="27" t="s">
        <v>876</v>
      </c>
      <c r="G7815" s="27"/>
      <c r="H7815" s="16" t="str">
        <f>IF(ISBLANK(PARTIDAS!$G7815),PARTIDAS!$F7815,CONCATENATE(PARTIDAS!$F7815," (",PARTIDAS!$G7815,")"))</f>
        <v>Herramientas</v>
      </c>
      <c r="I7815" s="16" t="s">
        <v>9648</v>
      </c>
    </row>
    <row r="7816" spans="1:9" x14ac:dyDescent="0.25">
      <c r="A7816" s="16" t="s">
        <v>15944</v>
      </c>
      <c r="B7816" s="16" t="str">
        <f>TEXT(PARTIDA[[#This Row],[PARTIDA]],"0000000000")</f>
        <v>9021102010</v>
      </c>
      <c r="C7816" s="16" t="s">
        <v>860</v>
      </c>
      <c r="D7816" s="16" t="s">
        <v>873</v>
      </c>
      <c r="E7816" s="16" t="s">
        <v>9482</v>
      </c>
      <c r="F7816" s="27" t="s">
        <v>15941</v>
      </c>
      <c r="G7816" s="27"/>
      <c r="H7816" s="16" t="str">
        <f>IF(ISBLANK(PARTIDAS!$G7816),PARTIDAS!$F7816,CONCATENATE(PARTIDAS!$F7816," (",PARTIDAS!$G7816,")"))</f>
        <v>Artículos de las subpartidas 7318.19, 7318.29, 8108.90 especialmente diseñados para ser utilizados, exclusivamente como implantes de uso médico, quirú</v>
      </c>
      <c r="I7816" s="16" t="s">
        <v>9427</v>
      </c>
    </row>
    <row r="7817" spans="1:9" x14ac:dyDescent="0.25">
      <c r="A7817" s="16" t="s">
        <v>15945</v>
      </c>
      <c r="B7817" s="16" t="str">
        <f>TEXT(PARTIDA[[#This Row],[PARTIDA]],"0000000000")</f>
        <v>9021102090</v>
      </c>
      <c r="C7817" s="16" t="s">
        <v>860</v>
      </c>
      <c r="D7817" s="16" t="s">
        <v>873</v>
      </c>
      <c r="E7817" s="16" t="s">
        <v>9482</v>
      </c>
      <c r="F7817" s="27" t="s">
        <v>15946</v>
      </c>
      <c r="G7817" s="27"/>
      <c r="H7817" s="16" t="str">
        <f>IF(ISBLANK(PARTIDAS!$G7817),PARTIDAS!$F7817,CONCATENATE(PARTIDAS!$F7817," (",PARTIDAS!$G7817,")"))</f>
        <v>Artículos y aparatos de ortopedia o para fracturas, para fracturas (los demás)</v>
      </c>
      <c r="I7817" s="16" t="s">
        <v>9427</v>
      </c>
    </row>
    <row r="7818" spans="1:9" x14ac:dyDescent="0.25">
      <c r="A7818" s="16" t="s">
        <v>8664</v>
      </c>
      <c r="B7818" s="16" t="str">
        <f>TEXT(PARTIDA[[#This Row],[PARTIDA]],"0000000000")</f>
        <v>9021210000</v>
      </c>
      <c r="C7818" s="16" t="s">
        <v>860</v>
      </c>
      <c r="D7818" s="16" t="s">
        <v>873</v>
      </c>
      <c r="E7818" s="16" t="s">
        <v>9482</v>
      </c>
      <c r="F7818" s="27" t="s">
        <v>876</v>
      </c>
      <c r="G7818" s="27"/>
      <c r="H7818" s="16" t="str">
        <f>IF(ISBLANK(PARTIDAS!$G7818),PARTIDAS!$F7818,CONCATENATE(PARTIDAS!$F7818," (",PARTIDAS!$G7818,")"))</f>
        <v>Herramientas</v>
      </c>
      <c r="I7818" s="16" t="s">
        <v>9427</v>
      </c>
    </row>
    <row r="7819" spans="1:9" x14ac:dyDescent="0.25">
      <c r="A7819" s="16" t="s">
        <v>8665</v>
      </c>
      <c r="B7819" s="16" t="str">
        <f>TEXT(PARTIDA[[#This Row],[PARTIDA]],"0000000000")</f>
        <v>9021290000</v>
      </c>
      <c r="C7819" s="16" t="s">
        <v>860</v>
      </c>
      <c r="D7819" s="16" t="s">
        <v>873</v>
      </c>
      <c r="E7819" s="16" t="s">
        <v>9482</v>
      </c>
      <c r="F7819" s="27" t="s">
        <v>876</v>
      </c>
      <c r="G7819" s="27"/>
      <c r="H7819" s="16" t="str">
        <f>IF(ISBLANK(PARTIDAS!$G7819),PARTIDAS!$F7819,CONCATENATE(PARTIDAS!$F7819," (",PARTIDAS!$G7819,")"))</f>
        <v>Herramientas</v>
      </c>
      <c r="I7819" s="16" t="s">
        <v>9648</v>
      </c>
    </row>
    <row r="7820" spans="1:9" x14ac:dyDescent="0.25">
      <c r="A7820" s="16" t="s">
        <v>15947</v>
      </c>
      <c r="B7820" s="16" t="str">
        <f>TEXT(PARTIDA[[#This Row],[PARTIDA]],"0000000000")</f>
        <v>9021290010</v>
      </c>
      <c r="C7820" s="16" t="s">
        <v>860</v>
      </c>
      <c r="D7820" s="16" t="s">
        <v>873</v>
      </c>
      <c r="E7820" s="16" t="s">
        <v>9482</v>
      </c>
      <c r="F7820" s="27" t="s">
        <v>15941</v>
      </c>
      <c r="G7820" s="27"/>
      <c r="H7820" s="16" t="str">
        <f>IF(ISBLANK(PARTIDAS!$G7820),PARTIDAS!$F7820,CONCATENATE(PARTIDAS!$F7820," (",PARTIDAS!$G7820,")"))</f>
        <v>Artículos de las subpartidas 7318.19, 7318.29, 8108.90 especialmente diseñados para ser utilizados, exclusivamente como implantes de uso médico, quirú</v>
      </c>
      <c r="I7820" s="16" t="s">
        <v>9427</v>
      </c>
    </row>
    <row r="7821" spans="1:9" x14ac:dyDescent="0.25">
      <c r="A7821" s="16" t="s">
        <v>15948</v>
      </c>
      <c r="B7821" s="16" t="str">
        <f>TEXT(PARTIDA[[#This Row],[PARTIDA]],"0000000000")</f>
        <v>9021290090</v>
      </c>
      <c r="C7821" s="16" t="s">
        <v>860</v>
      </c>
      <c r="D7821" s="16" t="s">
        <v>873</v>
      </c>
      <c r="E7821" s="16" t="s">
        <v>9482</v>
      </c>
      <c r="F7821" s="27" t="s">
        <v>15949</v>
      </c>
      <c r="G7821" s="27"/>
      <c r="H7821" s="16" t="str">
        <f>IF(ISBLANK(PARTIDAS!$G7821),PARTIDAS!$F7821,CONCATENATE(PARTIDAS!$F7821," (",PARTIDAS!$G7821,")"))</f>
        <v>Artículos y aparatos de prótesis dental (los demás)</v>
      </c>
      <c r="I7821" s="16" t="s">
        <v>9427</v>
      </c>
    </row>
    <row r="7822" spans="1:9" x14ac:dyDescent="0.25">
      <c r="A7822" s="16" t="s">
        <v>8666</v>
      </c>
      <c r="B7822" s="16" t="str">
        <f>TEXT(PARTIDA[[#This Row],[PARTIDA]],"0000000000")</f>
        <v>9021310000</v>
      </c>
      <c r="C7822" s="16" t="s">
        <v>860</v>
      </c>
      <c r="D7822" s="16" t="s">
        <v>873</v>
      </c>
      <c r="E7822" s="16" t="s">
        <v>9482</v>
      </c>
      <c r="F7822" s="27" t="s">
        <v>876</v>
      </c>
      <c r="G7822" s="27"/>
      <c r="H7822" s="16" t="str">
        <f>IF(ISBLANK(PARTIDAS!$G7822),PARTIDAS!$F7822,CONCATENATE(PARTIDAS!$F7822," (",PARTIDAS!$G7822,")"))</f>
        <v>Herramientas</v>
      </c>
      <c r="I7822" s="16" t="s">
        <v>9427</v>
      </c>
    </row>
    <row r="7823" spans="1:9" x14ac:dyDescent="0.25">
      <c r="A7823" s="16" t="s">
        <v>8667</v>
      </c>
      <c r="B7823" s="16" t="str">
        <f>TEXT(PARTIDA[[#This Row],[PARTIDA]],"0000000000")</f>
        <v>9021391000</v>
      </c>
      <c r="C7823" s="16" t="s">
        <v>860</v>
      </c>
      <c r="D7823" s="16" t="s">
        <v>873</v>
      </c>
      <c r="E7823" s="16" t="s">
        <v>9482</v>
      </c>
      <c r="F7823" s="27" t="s">
        <v>876</v>
      </c>
      <c r="G7823" s="27"/>
      <c r="H7823" s="16" t="str">
        <f>IF(ISBLANK(PARTIDAS!$G7823),PARTIDAS!$F7823,CONCATENATE(PARTIDAS!$F7823," (",PARTIDAS!$G7823,")"))</f>
        <v>Herramientas</v>
      </c>
      <c r="I7823" s="16" t="s">
        <v>9427</v>
      </c>
    </row>
    <row r="7824" spans="1:9" x14ac:dyDescent="0.25">
      <c r="A7824" s="16" t="s">
        <v>8668</v>
      </c>
      <c r="B7824" s="16" t="str">
        <f>TEXT(PARTIDA[[#This Row],[PARTIDA]],"0000000000")</f>
        <v>9021399000</v>
      </c>
      <c r="C7824" s="16" t="s">
        <v>860</v>
      </c>
      <c r="D7824" s="16" t="s">
        <v>873</v>
      </c>
      <c r="E7824" s="16" t="s">
        <v>9482</v>
      </c>
      <c r="F7824" s="27" t="s">
        <v>876</v>
      </c>
      <c r="G7824" s="27"/>
      <c r="H7824" s="16" t="str">
        <f>IF(ISBLANK(PARTIDAS!$G7824),PARTIDAS!$F7824,CONCATENATE(PARTIDAS!$F7824," (",PARTIDAS!$G7824,")"))</f>
        <v>Herramientas</v>
      </c>
      <c r="I7824" s="16" t="s">
        <v>9427</v>
      </c>
    </row>
    <row r="7825" spans="1:9" x14ac:dyDescent="0.25">
      <c r="A7825" s="16" t="s">
        <v>8669</v>
      </c>
      <c r="B7825" s="16" t="str">
        <f>TEXT(PARTIDA[[#This Row],[PARTIDA]],"0000000000")</f>
        <v>9021400000</v>
      </c>
      <c r="C7825" s="16" t="s">
        <v>860</v>
      </c>
      <c r="D7825" s="16" t="s">
        <v>873</v>
      </c>
      <c r="E7825" s="16" t="s">
        <v>9482</v>
      </c>
      <c r="F7825" s="27" t="s">
        <v>876</v>
      </c>
      <c r="G7825" s="27"/>
      <c r="H7825" s="16" t="str">
        <f>IF(ISBLANK(PARTIDAS!$G7825),PARTIDAS!$F7825,CONCATENATE(PARTIDAS!$F7825," (",PARTIDAS!$G7825,")"))</f>
        <v>Herramientas</v>
      </c>
      <c r="I7825" s="16" t="s">
        <v>9427</v>
      </c>
    </row>
    <row r="7826" spans="1:9" x14ac:dyDescent="0.25">
      <c r="A7826" s="16" t="s">
        <v>8670</v>
      </c>
      <c r="B7826" s="16" t="str">
        <f>TEXT(PARTIDA[[#This Row],[PARTIDA]],"0000000000")</f>
        <v>9021500000</v>
      </c>
      <c r="C7826" s="16" t="s">
        <v>860</v>
      </c>
      <c r="D7826" s="16" t="s">
        <v>873</v>
      </c>
      <c r="E7826" s="16" t="s">
        <v>9482</v>
      </c>
      <c r="F7826" s="27" t="s">
        <v>876</v>
      </c>
      <c r="G7826" s="27"/>
      <c r="H7826" s="16" t="str">
        <f>IF(ISBLANK(PARTIDAS!$G7826),PARTIDAS!$F7826,CONCATENATE(PARTIDAS!$F7826," (",PARTIDAS!$G7826,")"))</f>
        <v>Herramientas</v>
      </c>
      <c r="I7826" s="16" t="s">
        <v>9427</v>
      </c>
    </row>
    <row r="7827" spans="1:9" x14ac:dyDescent="0.25">
      <c r="A7827" s="16" t="s">
        <v>8671</v>
      </c>
      <c r="B7827" s="16" t="str">
        <f>TEXT(PARTIDA[[#This Row],[PARTIDA]],"0000000000")</f>
        <v>9021900000</v>
      </c>
      <c r="C7827" s="16" t="s">
        <v>860</v>
      </c>
      <c r="D7827" s="16" t="s">
        <v>873</v>
      </c>
      <c r="E7827" s="16" t="s">
        <v>9482</v>
      </c>
      <c r="F7827" s="27" t="s">
        <v>876</v>
      </c>
      <c r="G7827" s="27"/>
      <c r="H7827" s="16" t="str">
        <f>IF(ISBLANK(PARTIDAS!$G7827),PARTIDAS!$F7827,CONCATENATE(PARTIDAS!$F7827," (",PARTIDAS!$G7827,")"))</f>
        <v>Herramientas</v>
      </c>
      <c r="I7827" s="16" t="s">
        <v>9427</v>
      </c>
    </row>
    <row r="7828" spans="1:9" x14ac:dyDescent="0.25">
      <c r="A7828" s="16" t="s">
        <v>8672</v>
      </c>
      <c r="B7828" s="16" t="str">
        <f>TEXT(PARTIDA[[#This Row],[PARTIDA]],"0000000000")</f>
        <v>9022120000</v>
      </c>
      <c r="C7828" s="16" t="s">
        <v>860</v>
      </c>
      <c r="D7828" s="16" t="s">
        <v>873</v>
      </c>
      <c r="E7828" s="16" t="s">
        <v>9482</v>
      </c>
      <c r="F7828" s="27" t="s">
        <v>876</v>
      </c>
      <c r="G7828" s="27"/>
      <c r="H7828" s="16" t="str">
        <f>IF(ISBLANK(PARTIDAS!$G7828),PARTIDAS!$F7828,CONCATENATE(PARTIDAS!$F7828," (",PARTIDAS!$G7828,")"))</f>
        <v>Herramientas</v>
      </c>
      <c r="I7828" s="16" t="s">
        <v>9427</v>
      </c>
    </row>
    <row r="7829" spans="1:9" x14ac:dyDescent="0.25">
      <c r="A7829" s="16" t="s">
        <v>8673</v>
      </c>
      <c r="B7829" s="16" t="str">
        <f>TEXT(PARTIDA[[#This Row],[PARTIDA]],"0000000000")</f>
        <v>9022130000</v>
      </c>
      <c r="C7829" s="16" t="s">
        <v>860</v>
      </c>
      <c r="D7829" s="16" t="s">
        <v>873</v>
      </c>
      <c r="E7829" s="16" t="s">
        <v>9482</v>
      </c>
      <c r="F7829" s="27" t="s">
        <v>876</v>
      </c>
      <c r="G7829" s="27"/>
      <c r="H7829" s="16" t="str">
        <f>IF(ISBLANK(PARTIDAS!$G7829),PARTIDAS!$F7829,CONCATENATE(PARTIDAS!$F7829," (",PARTIDAS!$G7829,")"))</f>
        <v>Herramientas</v>
      </c>
      <c r="I7829" s="16" t="s">
        <v>9427</v>
      </c>
    </row>
    <row r="7830" spans="1:9" x14ac:dyDescent="0.25">
      <c r="A7830" s="16" t="s">
        <v>8674</v>
      </c>
      <c r="B7830" s="16" t="str">
        <f>TEXT(PARTIDA[[#This Row],[PARTIDA]],"0000000000")</f>
        <v>9022140000</v>
      </c>
      <c r="C7830" s="16" t="s">
        <v>860</v>
      </c>
      <c r="D7830" s="16" t="s">
        <v>873</v>
      </c>
      <c r="E7830" s="16" t="s">
        <v>9482</v>
      </c>
      <c r="F7830" s="27" t="s">
        <v>876</v>
      </c>
      <c r="G7830" s="27"/>
      <c r="H7830" s="16" t="str">
        <f>IF(ISBLANK(PARTIDAS!$G7830),PARTIDAS!$F7830,CONCATENATE(PARTIDAS!$F7830," (",PARTIDAS!$G7830,")"))</f>
        <v>Herramientas</v>
      </c>
      <c r="I7830" s="16" t="s">
        <v>9427</v>
      </c>
    </row>
    <row r="7831" spans="1:9" x14ac:dyDescent="0.25">
      <c r="A7831" s="16" t="s">
        <v>8675</v>
      </c>
      <c r="B7831" s="16" t="str">
        <f>TEXT(PARTIDA[[#This Row],[PARTIDA]],"0000000000")</f>
        <v>9022190000</v>
      </c>
      <c r="C7831" s="16" t="s">
        <v>860</v>
      </c>
      <c r="D7831" s="16" t="s">
        <v>873</v>
      </c>
      <c r="E7831" s="16" t="s">
        <v>9482</v>
      </c>
      <c r="F7831" s="27" t="s">
        <v>876</v>
      </c>
      <c r="G7831" s="27"/>
      <c r="H7831" s="16" t="str">
        <f>IF(ISBLANK(PARTIDAS!$G7831),PARTIDAS!$F7831,CONCATENATE(PARTIDAS!$F7831," (",PARTIDAS!$G7831,")"))</f>
        <v>Herramientas</v>
      </c>
      <c r="I7831" s="16" t="s">
        <v>9427</v>
      </c>
    </row>
    <row r="7832" spans="1:9" x14ac:dyDescent="0.25">
      <c r="A7832" s="16" t="s">
        <v>8676</v>
      </c>
      <c r="B7832" s="16" t="str">
        <f>TEXT(PARTIDA[[#This Row],[PARTIDA]],"0000000000")</f>
        <v>9022210000</v>
      </c>
      <c r="C7832" s="16" t="s">
        <v>860</v>
      </c>
      <c r="D7832" s="16" t="s">
        <v>873</v>
      </c>
      <c r="E7832" s="16" t="s">
        <v>9482</v>
      </c>
      <c r="F7832" s="27" t="s">
        <v>876</v>
      </c>
      <c r="G7832" s="27"/>
      <c r="H7832" s="16" t="str">
        <f>IF(ISBLANK(PARTIDAS!$G7832),PARTIDAS!$F7832,CONCATENATE(PARTIDAS!$F7832," (",PARTIDAS!$G7832,")"))</f>
        <v>Herramientas</v>
      </c>
      <c r="I7832" s="16" t="s">
        <v>9427</v>
      </c>
    </row>
    <row r="7833" spans="1:9" x14ac:dyDescent="0.25">
      <c r="A7833" s="16" t="s">
        <v>8677</v>
      </c>
      <c r="B7833" s="16" t="str">
        <f>TEXT(PARTIDA[[#This Row],[PARTIDA]],"0000000000")</f>
        <v>9022290000</v>
      </c>
      <c r="C7833" s="16" t="s">
        <v>860</v>
      </c>
      <c r="D7833" s="16" t="s">
        <v>873</v>
      </c>
      <c r="E7833" s="16" t="s">
        <v>9482</v>
      </c>
      <c r="F7833" s="27" t="s">
        <v>876</v>
      </c>
      <c r="G7833" s="27"/>
      <c r="H7833" s="16" t="str">
        <f>IF(ISBLANK(PARTIDAS!$G7833),PARTIDAS!$F7833,CONCATENATE(PARTIDAS!$F7833," (",PARTIDAS!$G7833,")"))</f>
        <v>Herramientas</v>
      </c>
      <c r="I7833" s="16" t="s">
        <v>9427</v>
      </c>
    </row>
    <row r="7834" spans="1:9" x14ac:dyDescent="0.25">
      <c r="A7834" s="16" t="s">
        <v>8678</v>
      </c>
      <c r="B7834" s="16" t="str">
        <f>TEXT(PARTIDA[[#This Row],[PARTIDA]],"0000000000")</f>
        <v>9022300000</v>
      </c>
      <c r="C7834" s="16" t="s">
        <v>860</v>
      </c>
      <c r="D7834" s="16" t="s">
        <v>873</v>
      </c>
      <c r="E7834" s="16" t="s">
        <v>9482</v>
      </c>
      <c r="F7834" s="27" t="s">
        <v>876</v>
      </c>
      <c r="G7834" s="27"/>
      <c r="H7834" s="16" t="str">
        <f>IF(ISBLANK(PARTIDAS!$G7834),PARTIDAS!$F7834,CONCATENATE(PARTIDAS!$F7834," (",PARTIDAS!$G7834,")"))</f>
        <v>Herramientas</v>
      </c>
      <c r="I7834" s="16" t="s">
        <v>9427</v>
      </c>
    </row>
    <row r="7835" spans="1:9" x14ac:dyDescent="0.25">
      <c r="A7835" s="16" t="s">
        <v>8679</v>
      </c>
      <c r="B7835" s="16" t="str">
        <f>TEXT(PARTIDA[[#This Row],[PARTIDA]],"0000000000")</f>
        <v>9022900000</v>
      </c>
      <c r="C7835" s="16" t="s">
        <v>860</v>
      </c>
      <c r="D7835" s="16" t="s">
        <v>873</v>
      </c>
      <c r="E7835" s="16" t="s">
        <v>9482</v>
      </c>
      <c r="F7835" s="27" t="s">
        <v>876</v>
      </c>
      <c r="G7835" s="27"/>
      <c r="H7835" s="16" t="str">
        <f>IF(ISBLANK(PARTIDAS!$G7835),PARTIDAS!$F7835,CONCATENATE(PARTIDAS!$F7835," (",PARTIDAS!$G7835,")"))</f>
        <v>Herramientas</v>
      </c>
      <c r="I7835" s="16" t="s">
        <v>9427</v>
      </c>
    </row>
    <row r="7836" spans="1:9" x14ac:dyDescent="0.25">
      <c r="A7836" s="16" t="s">
        <v>8680</v>
      </c>
      <c r="B7836" s="16" t="str">
        <f>TEXT(PARTIDA[[#This Row],[PARTIDA]],"0000000000")</f>
        <v>9023001000</v>
      </c>
      <c r="C7836" s="16" t="s">
        <v>860</v>
      </c>
      <c r="D7836" s="16" t="s">
        <v>873</v>
      </c>
      <c r="E7836" s="16" t="s">
        <v>9482</v>
      </c>
      <c r="F7836" s="27" t="s">
        <v>876</v>
      </c>
      <c r="G7836" s="27"/>
      <c r="H7836" s="16" t="str">
        <f>IF(ISBLANK(PARTIDAS!$G7836),PARTIDAS!$F7836,CONCATENATE(PARTIDAS!$F7836," (",PARTIDAS!$G7836,")"))</f>
        <v>Herramientas</v>
      </c>
      <c r="I7836" s="16" t="s">
        <v>9427</v>
      </c>
    </row>
    <row r="7837" spans="1:9" x14ac:dyDescent="0.25">
      <c r="A7837" s="16" t="s">
        <v>8681</v>
      </c>
      <c r="B7837" s="16" t="str">
        <f>TEXT(PARTIDA[[#This Row],[PARTIDA]],"0000000000")</f>
        <v>9023002000</v>
      </c>
      <c r="C7837" s="16" t="s">
        <v>860</v>
      </c>
      <c r="D7837" s="16" t="s">
        <v>873</v>
      </c>
      <c r="E7837" s="16" t="s">
        <v>9482</v>
      </c>
      <c r="F7837" s="27" t="s">
        <v>876</v>
      </c>
      <c r="G7837" s="27"/>
      <c r="H7837" s="16" t="str">
        <f>IF(ISBLANK(PARTIDAS!$G7837),PARTIDAS!$F7837,CONCATENATE(PARTIDAS!$F7837," (",PARTIDAS!$G7837,")"))</f>
        <v>Herramientas</v>
      </c>
      <c r="I7837" s="16" t="s">
        <v>9427</v>
      </c>
    </row>
    <row r="7838" spans="1:9" x14ac:dyDescent="0.25">
      <c r="A7838" s="16" t="s">
        <v>8682</v>
      </c>
      <c r="B7838" s="16" t="str">
        <f>TEXT(PARTIDA[[#This Row],[PARTIDA]],"0000000000")</f>
        <v>9023009000</v>
      </c>
      <c r="C7838" s="16" t="s">
        <v>860</v>
      </c>
      <c r="D7838" s="16" t="s">
        <v>873</v>
      </c>
      <c r="E7838" s="16" t="s">
        <v>9482</v>
      </c>
      <c r="F7838" s="27" t="s">
        <v>876</v>
      </c>
      <c r="G7838" s="27"/>
      <c r="H7838" s="16" t="str">
        <f>IF(ISBLANK(PARTIDAS!$G7838),PARTIDAS!$F7838,CONCATENATE(PARTIDAS!$F7838," (",PARTIDAS!$G7838,")"))</f>
        <v>Herramientas</v>
      </c>
      <c r="I7838" s="16" t="s">
        <v>9427</v>
      </c>
    </row>
    <row r="7839" spans="1:9" x14ac:dyDescent="0.25">
      <c r="A7839" s="16" t="s">
        <v>8683</v>
      </c>
      <c r="B7839" s="16" t="str">
        <f>TEXT(PARTIDA[[#This Row],[PARTIDA]],"0000000000")</f>
        <v>9024100000</v>
      </c>
      <c r="C7839" s="16" t="s">
        <v>860</v>
      </c>
      <c r="D7839" s="16" t="s">
        <v>873</v>
      </c>
      <c r="E7839" s="16" t="s">
        <v>9482</v>
      </c>
      <c r="F7839" s="27" t="s">
        <v>876</v>
      </c>
      <c r="G7839" s="27"/>
      <c r="H7839" s="16" t="str">
        <f>IF(ISBLANK(PARTIDAS!$G7839),PARTIDAS!$F7839,CONCATENATE(PARTIDAS!$F7839," (",PARTIDAS!$G7839,")"))</f>
        <v>Herramientas</v>
      </c>
      <c r="I7839" s="16" t="s">
        <v>9427</v>
      </c>
    </row>
    <row r="7840" spans="1:9" x14ac:dyDescent="0.25">
      <c r="A7840" s="16" t="s">
        <v>8684</v>
      </c>
      <c r="B7840" s="16" t="str">
        <f>TEXT(PARTIDA[[#This Row],[PARTIDA]],"0000000000")</f>
        <v>9024800000</v>
      </c>
      <c r="C7840" s="16" t="s">
        <v>860</v>
      </c>
      <c r="D7840" s="16" t="s">
        <v>873</v>
      </c>
      <c r="E7840" s="16" t="s">
        <v>874</v>
      </c>
      <c r="F7840" s="27" t="s">
        <v>876</v>
      </c>
      <c r="G7840" s="27"/>
      <c r="H7840" s="16" t="str">
        <f>IF(ISBLANK(PARTIDAS!$G7840),PARTIDAS!$F7840,CONCATENATE(PARTIDAS!$F7840," (",PARTIDAS!$G7840,")"))</f>
        <v>Herramientas</v>
      </c>
      <c r="I7840" s="16" t="s">
        <v>9477</v>
      </c>
    </row>
    <row r="7841" spans="1:9" x14ac:dyDescent="0.25">
      <c r="A7841" s="16" t="s">
        <v>8685</v>
      </c>
      <c r="B7841" s="16" t="str">
        <f>TEXT(PARTIDA[[#This Row],[PARTIDA]],"0000000000")</f>
        <v>9024900000</v>
      </c>
      <c r="C7841" s="16" t="s">
        <v>860</v>
      </c>
      <c r="D7841" s="16" t="s">
        <v>873</v>
      </c>
      <c r="E7841" s="16" t="s">
        <v>9482</v>
      </c>
      <c r="F7841" s="27" t="s">
        <v>876</v>
      </c>
      <c r="G7841" s="27"/>
      <c r="H7841" s="16" t="str">
        <f>IF(ISBLANK(PARTIDAS!$G7841),PARTIDAS!$F7841,CONCATENATE(PARTIDAS!$F7841," (",PARTIDAS!$G7841,")"))</f>
        <v>Herramientas</v>
      </c>
      <c r="I7841" s="16" t="s">
        <v>9427</v>
      </c>
    </row>
    <row r="7842" spans="1:9" x14ac:dyDescent="0.25">
      <c r="A7842" s="16" t="s">
        <v>8686</v>
      </c>
      <c r="B7842" s="16" t="str">
        <f>TEXT(PARTIDA[[#This Row],[PARTIDA]],"0000000000")</f>
        <v>9025111000</v>
      </c>
      <c r="C7842" s="16" t="s">
        <v>860</v>
      </c>
      <c r="D7842" s="16" t="s">
        <v>873</v>
      </c>
      <c r="E7842" s="16" t="s">
        <v>9482</v>
      </c>
      <c r="F7842" s="27" t="s">
        <v>876</v>
      </c>
      <c r="G7842" s="27"/>
      <c r="H7842" s="16" t="str">
        <f>IF(ISBLANK(PARTIDAS!$G7842),PARTIDAS!$F7842,CONCATENATE(PARTIDAS!$F7842," (",PARTIDAS!$G7842,")"))</f>
        <v>Herramientas</v>
      </c>
      <c r="I7842" s="16" t="s">
        <v>9427</v>
      </c>
    </row>
    <row r="7843" spans="1:9" x14ac:dyDescent="0.25">
      <c r="A7843" s="16" t="s">
        <v>8687</v>
      </c>
      <c r="B7843" s="16" t="str">
        <f>TEXT(PARTIDA[[#This Row],[PARTIDA]],"0000000000")</f>
        <v>9025119000</v>
      </c>
      <c r="C7843" s="16" t="s">
        <v>860</v>
      </c>
      <c r="D7843" s="16" t="s">
        <v>873</v>
      </c>
      <c r="E7843" s="16" t="s">
        <v>9482</v>
      </c>
      <c r="F7843" s="27" t="s">
        <v>876</v>
      </c>
      <c r="G7843" s="27"/>
      <c r="H7843" s="16" t="str">
        <f>IF(ISBLANK(PARTIDAS!$G7843),PARTIDAS!$F7843,CONCATENATE(PARTIDAS!$F7843," (",PARTIDAS!$G7843,")"))</f>
        <v>Herramientas</v>
      </c>
      <c r="I7843" s="16" t="s">
        <v>9427</v>
      </c>
    </row>
    <row r="7844" spans="1:9" x14ac:dyDescent="0.25">
      <c r="A7844" s="16" t="s">
        <v>8688</v>
      </c>
      <c r="B7844" s="16" t="str">
        <f>TEXT(PARTIDA[[#This Row],[PARTIDA]],"0000000000")</f>
        <v>9025191100</v>
      </c>
      <c r="C7844" s="16" t="s">
        <v>860</v>
      </c>
      <c r="D7844" s="16" t="s">
        <v>873</v>
      </c>
      <c r="E7844" s="16" t="s">
        <v>9482</v>
      </c>
      <c r="F7844" s="27" t="s">
        <v>876</v>
      </c>
      <c r="G7844" s="27"/>
      <c r="H7844" s="16" t="str">
        <f>IF(ISBLANK(PARTIDAS!$G7844),PARTIDAS!$F7844,CONCATENATE(PARTIDAS!$F7844," (",PARTIDAS!$G7844,")"))</f>
        <v>Herramientas</v>
      </c>
      <c r="I7844" s="16" t="s">
        <v>9427</v>
      </c>
    </row>
    <row r="7845" spans="1:9" x14ac:dyDescent="0.25">
      <c r="A7845" s="16" t="s">
        <v>8689</v>
      </c>
      <c r="B7845" s="16" t="str">
        <f>TEXT(PARTIDA[[#This Row],[PARTIDA]],"0000000000")</f>
        <v>9025191200</v>
      </c>
      <c r="C7845" s="16" t="s">
        <v>860</v>
      </c>
      <c r="D7845" s="16" t="s">
        <v>873</v>
      </c>
      <c r="E7845" s="16" t="s">
        <v>9482</v>
      </c>
      <c r="F7845" s="27" t="s">
        <v>876</v>
      </c>
      <c r="G7845" s="27"/>
      <c r="H7845" s="16" t="str">
        <f>IF(ISBLANK(PARTIDAS!$G7845),PARTIDAS!$F7845,CONCATENATE(PARTIDAS!$F7845," (",PARTIDAS!$G7845,")"))</f>
        <v>Herramientas</v>
      </c>
      <c r="I7845" s="16" t="s">
        <v>9427</v>
      </c>
    </row>
    <row r="7846" spans="1:9" x14ac:dyDescent="0.25">
      <c r="A7846" s="16" t="s">
        <v>8690</v>
      </c>
      <c r="B7846" s="16" t="str">
        <f>TEXT(PARTIDA[[#This Row],[PARTIDA]],"0000000000")</f>
        <v>9025191900</v>
      </c>
      <c r="C7846" s="16" t="s">
        <v>860</v>
      </c>
      <c r="D7846" s="16" t="s">
        <v>873</v>
      </c>
      <c r="E7846" s="16" t="s">
        <v>9482</v>
      </c>
      <c r="F7846" s="27" t="s">
        <v>876</v>
      </c>
      <c r="G7846" s="27"/>
      <c r="H7846" s="16" t="str">
        <f>IF(ISBLANK(PARTIDAS!$G7846),PARTIDAS!$F7846,CONCATENATE(PARTIDAS!$F7846," (",PARTIDAS!$G7846,")"))</f>
        <v>Herramientas</v>
      </c>
      <c r="I7846" s="16" t="s">
        <v>9427</v>
      </c>
    </row>
    <row r="7847" spans="1:9" x14ac:dyDescent="0.25">
      <c r="A7847" s="16" t="s">
        <v>8691</v>
      </c>
      <c r="B7847" s="16" t="str">
        <f>TEXT(PARTIDA[[#This Row],[PARTIDA]],"0000000000")</f>
        <v>9025199000</v>
      </c>
      <c r="C7847" s="16" t="s">
        <v>860</v>
      </c>
      <c r="D7847" s="16" t="s">
        <v>873</v>
      </c>
      <c r="E7847" s="16" t="s">
        <v>9482</v>
      </c>
      <c r="F7847" s="27" t="s">
        <v>876</v>
      </c>
      <c r="G7847" s="27"/>
      <c r="H7847" s="16" t="str">
        <f>IF(ISBLANK(PARTIDAS!$G7847),PARTIDAS!$F7847,CONCATENATE(PARTIDAS!$F7847," (",PARTIDAS!$G7847,")"))</f>
        <v>Herramientas</v>
      </c>
      <c r="I7847" s="16" t="s">
        <v>9427</v>
      </c>
    </row>
    <row r="7848" spans="1:9" x14ac:dyDescent="0.25">
      <c r="A7848" s="16" t="s">
        <v>8692</v>
      </c>
      <c r="B7848" s="16" t="str">
        <f>TEXT(PARTIDA[[#This Row],[PARTIDA]],"0000000000")</f>
        <v>9025803000</v>
      </c>
      <c r="C7848" s="16" t="s">
        <v>860</v>
      </c>
      <c r="D7848" s="16" t="s">
        <v>873</v>
      </c>
      <c r="E7848" s="16" t="s">
        <v>9482</v>
      </c>
      <c r="F7848" s="27" t="s">
        <v>876</v>
      </c>
      <c r="G7848" s="27"/>
      <c r="H7848" s="16" t="str">
        <f>IF(ISBLANK(PARTIDAS!$G7848),PARTIDAS!$F7848,CONCATENATE(PARTIDAS!$F7848," (",PARTIDAS!$G7848,")"))</f>
        <v>Herramientas</v>
      </c>
      <c r="I7848" s="16" t="s">
        <v>9427</v>
      </c>
    </row>
    <row r="7849" spans="1:9" x14ac:dyDescent="0.25">
      <c r="A7849" s="16" t="s">
        <v>8693</v>
      </c>
      <c r="B7849" s="16" t="str">
        <f>TEXT(PARTIDA[[#This Row],[PARTIDA]],"0000000000")</f>
        <v>9025804100</v>
      </c>
      <c r="C7849" s="16" t="s">
        <v>860</v>
      </c>
      <c r="D7849" s="16" t="s">
        <v>873</v>
      </c>
      <c r="E7849" s="16" t="s">
        <v>9482</v>
      </c>
      <c r="F7849" s="27" t="s">
        <v>876</v>
      </c>
      <c r="G7849" s="27"/>
      <c r="H7849" s="16" t="str">
        <f>IF(ISBLANK(PARTIDAS!$G7849),PARTIDAS!$F7849,CONCATENATE(PARTIDAS!$F7849," (",PARTIDAS!$G7849,")"))</f>
        <v>Herramientas</v>
      </c>
      <c r="I7849" s="16" t="s">
        <v>9427</v>
      </c>
    </row>
    <row r="7850" spans="1:9" x14ac:dyDescent="0.25">
      <c r="A7850" s="16" t="s">
        <v>8694</v>
      </c>
      <c r="B7850" s="16" t="str">
        <f>TEXT(PARTIDA[[#This Row],[PARTIDA]],"0000000000")</f>
        <v>9025804900</v>
      </c>
      <c r="C7850" s="16" t="s">
        <v>860</v>
      </c>
      <c r="D7850" s="16" t="s">
        <v>873</v>
      </c>
      <c r="E7850" s="16" t="s">
        <v>9482</v>
      </c>
      <c r="F7850" s="27" t="s">
        <v>876</v>
      </c>
      <c r="G7850" s="27"/>
      <c r="H7850" s="16" t="str">
        <f>IF(ISBLANK(PARTIDAS!$G7850),PARTIDAS!$F7850,CONCATENATE(PARTIDAS!$F7850," (",PARTIDAS!$G7850,")"))</f>
        <v>Herramientas</v>
      </c>
      <c r="I7850" s="16" t="s">
        <v>9427</v>
      </c>
    </row>
    <row r="7851" spans="1:9" x14ac:dyDescent="0.25">
      <c r="A7851" s="16" t="s">
        <v>8695</v>
      </c>
      <c r="B7851" s="16" t="str">
        <f>TEXT(PARTIDA[[#This Row],[PARTIDA]],"0000000000")</f>
        <v>9025809000</v>
      </c>
      <c r="C7851" s="16" t="s">
        <v>860</v>
      </c>
      <c r="D7851" s="16" t="s">
        <v>873</v>
      </c>
      <c r="E7851" s="16" t="s">
        <v>9482</v>
      </c>
      <c r="F7851" s="27" t="s">
        <v>876</v>
      </c>
      <c r="G7851" s="27"/>
      <c r="H7851" s="16" t="str">
        <f>IF(ISBLANK(PARTIDAS!$G7851),PARTIDAS!$F7851,CONCATENATE(PARTIDAS!$F7851," (",PARTIDAS!$G7851,")"))</f>
        <v>Herramientas</v>
      </c>
      <c r="I7851" s="16" t="s">
        <v>9427</v>
      </c>
    </row>
    <row r="7852" spans="1:9" x14ac:dyDescent="0.25">
      <c r="A7852" s="16" t="s">
        <v>8696</v>
      </c>
      <c r="B7852" s="16" t="str">
        <f>TEXT(PARTIDA[[#This Row],[PARTIDA]],"0000000000")</f>
        <v>9025900000</v>
      </c>
      <c r="C7852" s="16" t="s">
        <v>860</v>
      </c>
      <c r="D7852" s="16" t="s">
        <v>873</v>
      </c>
      <c r="E7852" s="16" t="s">
        <v>9482</v>
      </c>
      <c r="F7852" s="27" t="s">
        <v>876</v>
      </c>
      <c r="G7852" s="27"/>
      <c r="H7852" s="16" t="str">
        <f>IF(ISBLANK(PARTIDAS!$G7852),PARTIDAS!$F7852,CONCATENATE(PARTIDAS!$F7852," (",PARTIDAS!$G7852,")"))</f>
        <v>Herramientas</v>
      </c>
      <c r="I7852" s="16" t="s">
        <v>9427</v>
      </c>
    </row>
    <row r="7853" spans="1:9" x14ac:dyDescent="0.25">
      <c r="A7853" s="16" t="s">
        <v>8697</v>
      </c>
      <c r="B7853" s="16" t="str">
        <f>TEXT(PARTIDA[[#This Row],[PARTIDA]],"0000000000")</f>
        <v>9026101100</v>
      </c>
      <c r="C7853" s="16" t="s">
        <v>860</v>
      </c>
      <c r="D7853" s="16" t="s">
        <v>873</v>
      </c>
      <c r="E7853" s="16" t="s">
        <v>9482</v>
      </c>
      <c r="F7853" s="27" t="s">
        <v>876</v>
      </c>
      <c r="G7853" s="27"/>
      <c r="H7853" s="16" t="str">
        <f>IF(ISBLANK(PARTIDAS!$G7853),PARTIDAS!$F7853,CONCATENATE(PARTIDAS!$F7853," (",PARTIDAS!$G7853,")"))</f>
        <v>Herramientas</v>
      </c>
      <c r="I7853" s="16" t="s">
        <v>9427</v>
      </c>
    </row>
    <row r="7854" spans="1:9" x14ac:dyDescent="0.25">
      <c r="A7854" s="16" t="s">
        <v>8698</v>
      </c>
      <c r="B7854" s="16" t="str">
        <f>TEXT(PARTIDA[[#This Row],[PARTIDA]],"0000000000")</f>
        <v>9026101200</v>
      </c>
      <c r="C7854" s="16" t="s">
        <v>860</v>
      </c>
      <c r="D7854" s="16" t="s">
        <v>873</v>
      </c>
      <c r="E7854" s="16" t="s">
        <v>9482</v>
      </c>
      <c r="F7854" s="27" t="s">
        <v>876</v>
      </c>
      <c r="G7854" s="27"/>
      <c r="H7854" s="16" t="str">
        <f>IF(ISBLANK(PARTIDAS!$G7854),PARTIDAS!$F7854,CONCATENATE(PARTIDAS!$F7854," (",PARTIDAS!$G7854,")"))</f>
        <v>Herramientas</v>
      </c>
      <c r="I7854" s="16" t="s">
        <v>9427</v>
      </c>
    </row>
    <row r="7855" spans="1:9" x14ac:dyDescent="0.25">
      <c r="A7855" s="16" t="s">
        <v>8699</v>
      </c>
      <c r="B7855" s="16" t="str">
        <f>TEXT(PARTIDA[[#This Row],[PARTIDA]],"0000000000")</f>
        <v>9026101900</v>
      </c>
      <c r="C7855" s="16" t="s">
        <v>860</v>
      </c>
      <c r="D7855" s="16" t="s">
        <v>873</v>
      </c>
      <c r="E7855" s="16" t="s">
        <v>9482</v>
      </c>
      <c r="F7855" s="27" t="s">
        <v>876</v>
      </c>
      <c r="G7855" s="27"/>
      <c r="H7855" s="16" t="str">
        <f>IF(ISBLANK(PARTIDAS!$G7855),PARTIDAS!$F7855,CONCATENATE(PARTIDAS!$F7855," (",PARTIDAS!$G7855,")"))</f>
        <v>Herramientas</v>
      </c>
      <c r="I7855" s="16" t="s">
        <v>9427</v>
      </c>
    </row>
    <row r="7856" spans="1:9" x14ac:dyDescent="0.25">
      <c r="A7856" s="16" t="s">
        <v>8700</v>
      </c>
      <c r="B7856" s="16" t="str">
        <f>TEXT(PARTIDA[[#This Row],[PARTIDA]],"0000000000")</f>
        <v>9026109000</v>
      </c>
      <c r="C7856" s="16" t="s">
        <v>860</v>
      </c>
      <c r="D7856" s="16" t="s">
        <v>873</v>
      </c>
      <c r="E7856" s="16" t="s">
        <v>9482</v>
      </c>
      <c r="F7856" s="27" t="s">
        <v>7810</v>
      </c>
      <c r="G7856" s="27"/>
      <c r="H7856" s="16" t="str">
        <f>IF(ISBLANK(PARTIDAS!$G7856),PARTIDAS!$F7856,CONCATENATE(PARTIDAS!$F7856," (",PARTIDAS!$G7856,")"))</f>
        <v>Instrumentos para la industria</v>
      </c>
      <c r="I7856" s="16" t="s">
        <v>9427</v>
      </c>
    </row>
    <row r="7857" spans="1:9" x14ac:dyDescent="0.25">
      <c r="A7857" s="16" t="s">
        <v>8701</v>
      </c>
      <c r="B7857" s="16" t="str">
        <f>TEXT(PARTIDA[[#This Row],[PARTIDA]],"0000000000")</f>
        <v>9026200000</v>
      </c>
      <c r="C7857" s="16" t="s">
        <v>860</v>
      </c>
      <c r="D7857" s="16" t="s">
        <v>873</v>
      </c>
      <c r="E7857" s="16" t="s">
        <v>874</v>
      </c>
      <c r="F7857" s="27" t="s">
        <v>7810</v>
      </c>
      <c r="G7857" s="27"/>
      <c r="H7857" s="16" t="str">
        <f>IF(ISBLANK(PARTIDAS!$G7857),PARTIDAS!$F7857,CONCATENATE(PARTIDAS!$F7857," (",PARTIDAS!$G7857,")"))</f>
        <v>Instrumentos para la industria</v>
      </c>
      <c r="I7857" s="16" t="s">
        <v>9477</v>
      </c>
    </row>
    <row r="7858" spans="1:9" x14ac:dyDescent="0.25">
      <c r="A7858" s="16" t="s">
        <v>8702</v>
      </c>
      <c r="B7858" s="16" t="str">
        <f>TEXT(PARTIDA[[#This Row],[PARTIDA]],"0000000000")</f>
        <v>9026801100</v>
      </c>
      <c r="C7858" s="16" t="s">
        <v>860</v>
      </c>
      <c r="D7858" s="16" t="s">
        <v>873</v>
      </c>
      <c r="E7858" s="16" t="s">
        <v>9482</v>
      </c>
      <c r="F7858" s="27" t="s">
        <v>15950</v>
      </c>
      <c r="G7858" s="27"/>
      <c r="H7858" s="16" t="str">
        <f>IF(ISBLANK(PARTIDAS!$G7858),PARTIDAS!$F7858,CONCATENATE(PARTIDAS!$F7858," (",PARTIDAS!$G7858,")"))</f>
        <v>Contadores de calor de par termoeléctrico</v>
      </c>
      <c r="I7858" s="16" t="s">
        <v>9427</v>
      </c>
    </row>
    <row r="7859" spans="1:9" x14ac:dyDescent="0.25">
      <c r="A7859" s="16" t="s">
        <v>8703</v>
      </c>
      <c r="B7859" s="16" t="str">
        <f>TEXT(PARTIDA[[#This Row],[PARTIDA]],"0000000000")</f>
        <v>9026801900</v>
      </c>
      <c r="C7859" s="16" t="s">
        <v>860</v>
      </c>
      <c r="D7859" s="16" t="s">
        <v>873</v>
      </c>
      <c r="E7859" s="16" t="s">
        <v>9482</v>
      </c>
      <c r="F7859" s="27" t="s">
        <v>15951</v>
      </c>
      <c r="G7859" s="27"/>
      <c r="H7859" s="16" t="str">
        <f>IF(ISBLANK(PARTIDAS!$G7859),PARTIDAS!$F7859,CONCATENATE(PARTIDAS!$F7859," (",PARTIDAS!$G7859,")"))</f>
        <v>Eléctricos o electrónicos (los demás)</v>
      </c>
      <c r="I7859" s="16" t="s">
        <v>9427</v>
      </c>
    </row>
    <row r="7860" spans="1:9" x14ac:dyDescent="0.25">
      <c r="A7860" s="16" t="s">
        <v>8704</v>
      </c>
      <c r="B7860" s="16" t="str">
        <f>TEXT(PARTIDA[[#This Row],[PARTIDA]],"0000000000")</f>
        <v>9026809000</v>
      </c>
      <c r="C7860" s="16" t="s">
        <v>860</v>
      </c>
      <c r="D7860" s="16" t="s">
        <v>873</v>
      </c>
      <c r="E7860" s="16" t="s">
        <v>9482</v>
      </c>
      <c r="F7860" s="27" t="s">
        <v>15952</v>
      </c>
      <c r="G7860" s="27"/>
      <c r="H7860" s="16" t="str">
        <f>IF(ISBLANK(PARTIDAS!$G7860),PARTIDAS!$F7860,CONCATENATE(PARTIDAS!$F7860," (",PARTIDAS!$G7860,")"))</f>
        <v>Instrumentos y aparatos para medida o control de caudal, nivel… (los demás)</v>
      </c>
      <c r="I7860" s="16" t="s">
        <v>9427</v>
      </c>
    </row>
    <row r="7861" spans="1:9" x14ac:dyDescent="0.25">
      <c r="A7861" s="16" t="s">
        <v>8705</v>
      </c>
      <c r="B7861" s="16" t="str">
        <f>TEXT(PARTIDA[[#This Row],[PARTIDA]],"0000000000")</f>
        <v>9026900000</v>
      </c>
      <c r="C7861" s="16" t="s">
        <v>860</v>
      </c>
      <c r="D7861" s="16" t="s">
        <v>873</v>
      </c>
      <c r="E7861" s="16" t="s">
        <v>9482</v>
      </c>
      <c r="F7861" s="27" t="s">
        <v>7097</v>
      </c>
      <c r="G7861" s="27"/>
      <c r="H7861" s="16" t="str">
        <f>IF(ISBLANK(PARTIDAS!$G7861),PARTIDAS!$F7861,CONCATENATE(PARTIDAS!$F7861," (",PARTIDAS!$G7861,")"))</f>
        <v>Partes de máquinas</v>
      </c>
      <c r="I7861" s="16" t="s">
        <v>9427</v>
      </c>
    </row>
    <row r="7862" spans="1:9" x14ac:dyDescent="0.25">
      <c r="A7862" s="16" t="s">
        <v>8706</v>
      </c>
      <c r="B7862" s="16" t="str">
        <f>TEXT(PARTIDA[[#This Row],[PARTIDA]],"0000000000")</f>
        <v>9027101000</v>
      </c>
      <c r="C7862" s="16" t="s">
        <v>860</v>
      </c>
      <c r="D7862" s="16" t="s">
        <v>873</v>
      </c>
      <c r="E7862" s="16" t="s">
        <v>9482</v>
      </c>
      <c r="F7862" s="27" t="s">
        <v>15931</v>
      </c>
      <c r="G7862" s="27"/>
      <c r="H7862" s="16" t="str">
        <f>IF(ISBLANK(PARTIDAS!$G7862),PARTIDAS!$F7862,CONCATENATE(PARTIDAS!$F7862," (",PARTIDAS!$G7862,")"))</f>
        <v>Eléctricos o electrónicos</v>
      </c>
      <c r="I7862" s="16" t="s">
        <v>9427</v>
      </c>
    </row>
    <row r="7863" spans="1:9" x14ac:dyDescent="0.25">
      <c r="A7863" s="16" t="s">
        <v>8707</v>
      </c>
      <c r="B7863" s="16" t="str">
        <f>TEXT(PARTIDA[[#This Row],[PARTIDA]],"0000000000")</f>
        <v>9027109000</v>
      </c>
      <c r="C7863" s="16" t="s">
        <v>860</v>
      </c>
      <c r="D7863" s="16" t="s">
        <v>873</v>
      </c>
      <c r="E7863" s="16" t="s">
        <v>874</v>
      </c>
      <c r="F7863" s="27" t="s">
        <v>9148</v>
      </c>
      <c r="G7863" s="27"/>
      <c r="H7863" s="16" t="str">
        <f>IF(ISBLANK(PARTIDAS!$G7863),PARTIDAS!$F7863,CONCATENATE(PARTIDAS!$F7863," (",PARTIDAS!$G7863,")"))</f>
        <v>Analizadores de gases o humos (los demás)</v>
      </c>
      <c r="I7863" s="16" t="s">
        <v>9477</v>
      </c>
    </row>
    <row r="7864" spans="1:9" x14ac:dyDescent="0.25">
      <c r="A7864" s="16" t="s">
        <v>8708</v>
      </c>
      <c r="B7864" s="16" t="str">
        <f>TEXT(PARTIDA[[#This Row],[PARTIDA]],"0000000000")</f>
        <v>9027200000</v>
      </c>
      <c r="C7864" s="16" t="s">
        <v>860</v>
      </c>
      <c r="D7864" s="16" t="s">
        <v>873</v>
      </c>
      <c r="E7864" s="16" t="s">
        <v>9482</v>
      </c>
      <c r="F7864" s="27" t="s">
        <v>15953</v>
      </c>
      <c r="G7864" s="27"/>
      <c r="H7864" s="16" t="str">
        <f>IF(ISBLANK(PARTIDAS!$G7864),PARTIDAS!$F7864,CONCATENATE(PARTIDAS!$F7864," (",PARTIDAS!$G7864,")"))</f>
        <v>Cromatógrafos e instrumentos de electroforesis</v>
      </c>
      <c r="I7864" s="16" t="s">
        <v>9427</v>
      </c>
    </row>
    <row r="7865" spans="1:9" x14ac:dyDescent="0.25">
      <c r="A7865" s="16" t="s">
        <v>8709</v>
      </c>
      <c r="B7865" s="16" t="str">
        <f>TEXT(PARTIDA[[#This Row],[PARTIDA]],"0000000000")</f>
        <v>9027300000</v>
      </c>
      <c r="C7865" s="16" t="s">
        <v>860</v>
      </c>
      <c r="D7865" s="16" t="s">
        <v>873</v>
      </c>
      <c r="E7865" s="16" t="s">
        <v>9482</v>
      </c>
      <c r="F7865" s="27" t="s">
        <v>15954</v>
      </c>
      <c r="G7865" s="27"/>
      <c r="H7865" s="16" t="str">
        <f>IF(ISBLANK(PARTIDAS!$G7865),PARTIDAS!$F7865,CONCATENATE(PARTIDAS!$F7865," (",PARTIDAS!$G7865,")"))</f>
        <v>Espectrómetros, espectrofotómetros y espectrógrafos que utilicen radiaciones ópticas (UV, visibles, IR)</v>
      </c>
      <c r="I7865" s="16" t="s">
        <v>9427</v>
      </c>
    </row>
    <row r="7866" spans="1:9" x14ac:dyDescent="0.25">
      <c r="A7866" s="16" t="s">
        <v>8710</v>
      </c>
      <c r="B7866" s="16" t="str">
        <f>TEXT(PARTIDA[[#This Row],[PARTIDA]],"0000000000")</f>
        <v>9027500000</v>
      </c>
      <c r="C7866" s="16" t="s">
        <v>860</v>
      </c>
      <c r="D7866" s="16" t="s">
        <v>873</v>
      </c>
      <c r="E7866" s="16" t="s">
        <v>9482</v>
      </c>
      <c r="F7866" s="27" t="s">
        <v>15955</v>
      </c>
      <c r="G7866" s="27"/>
      <c r="H7866" s="16" t="str">
        <f>IF(ISBLANK(PARTIDAS!$G7866),PARTIDAS!$F7866,CONCATENATE(PARTIDAS!$F7866," (",PARTIDAS!$G7866,")"))</f>
        <v>Instrumentos y aparatos para análisis físicos o químicos (por ejemplo (los demás, instrumentos y aparatos que utilicen radiaciones ópticas (UV, visibl</v>
      </c>
      <c r="I7866" s="16" t="s">
        <v>9427</v>
      </c>
    </row>
    <row r="7867" spans="1:9" x14ac:dyDescent="0.25">
      <c r="A7867" s="16" t="s">
        <v>8711</v>
      </c>
      <c r="B7867" s="16" t="str">
        <f>TEXT(PARTIDA[[#This Row],[PARTIDA]],"0000000000")</f>
        <v>9027802000</v>
      </c>
      <c r="C7867" s="16" t="s">
        <v>860</v>
      </c>
      <c r="D7867" s="16" t="s">
        <v>873</v>
      </c>
      <c r="E7867" s="16" t="s">
        <v>9482</v>
      </c>
      <c r="F7867" s="27" t="s">
        <v>15956</v>
      </c>
      <c r="G7867" s="27"/>
      <c r="H7867" s="16" t="str">
        <f>IF(ISBLANK(PARTIDAS!$G7867),PARTIDAS!$F7867,CONCATENATE(PARTIDAS!$F7867," (",PARTIDAS!$G7867,")"))</f>
        <v>Polarímetros, medidores de pH (peachímetros), turbidímetros, salinómetros y dilatómetros</v>
      </c>
      <c r="I7867" s="16" t="s">
        <v>9648</v>
      </c>
    </row>
    <row r="7868" spans="1:9" x14ac:dyDescent="0.25">
      <c r="A7868" s="16" t="s">
        <v>8712</v>
      </c>
      <c r="B7868" s="16" t="str">
        <f>TEXT(PARTIDA[[#This Row],[PARTIDA]],"0000000000")</f>
        <v>9027803000</v>
      </c>
      <c r="C7868" s="16" t="s">
        <v>860</v>
      </c>
      <c r="D7868" s="16" t="s">
        <v>873</v>
      </c>
      <c r="E7868" s="16" t="s">
        <v>9482</v>
      </c>
      <c r="F7868" s="27" t="s">
        <v>15957</v>
      </c>
      <c r="G7868" s="27"/>
      <c r="H7868" s="16" t="str">
        <f>IF(ISBLANK(PARTIDAS!$G7868),PARTIDAS!$F7868,CONCATENATE(PARTIDAS!$F7868," (",PARTIDAS!$G7868,")"))</f>
        <v>Detectores de humo</v>
      </c>
      <c r="I7868" s="16" t="s">
        <v>9648</v>
      </c>
    </row>
    <row r="7869" spans="1:9" x14ac:dyDescent="0.25">
      <c r="A7869" s="16" t="s">
        <v>8713</v>
      </c>
      <c r="B7869" s="16" t="str">
        <f>TEXT(PARTIDA[[#This Row],[PARTIDA]],"0000000000")</f>
        <v>9027809000</v>
      </c>
      <c r="C7869" s="16" t="s">
        <v>860</v>
      </c>
      <c r="D7869" s="16" t="s">
        <v>873</v>
      </c>
      <c r="E7869" s="16" t="s">
        <v>9482</v>
      </c>
      <c r="F7869" s="27" t="s">
        <v>876</v>
      </c>
      <c r="G7869" s="27"/>
      <c r="H7869" s="16" t="str">
        <f>IF(ISBLANK(PARTIDAS!$G7869),PARTIDAS!$F7869,CONCATENATE(PARTIDAS!$F7869," (",PARTIDAS!$G7869,")"))</f>
        <v>Herramientas</v>
      </c>
      <c r="I7869" s="16" t="s">
        <v>9648</v>
      </c>
    </row>
    <row r="7870" spans="1:9" x14ac:dyDescent="0.25">
      <c r="A7870" s="16" t="s">
        <v>15958</v>
      </c>
      <c r="B7870" s="16" t="str">
        <f>TEXT(PARTIDA[[#This Row],[PARTIDA]],"0000000000")</f>
        <v>9027810000</v>
      </c>
      <c r="C7870" s="16" t="s">
        <v>860</v>
      </c>
      <c r="D7870" s="16" t="s">
        <v>873</v>
      </c>
      <c r="E7870" s="16" t="s">
        <v>9482</v>
      </c>
      <c r="F7870" s="27" t="s">
        <v>15959</v>
      </c>
      <c r="G7870" s="27"/>
      <c r="H7870" s="16" t="str">
        <f>IF(ISBLANK(PARTIDAS!$G7870),PARTIDAS!$F7870,CONCATENATE(PARTIDAS!$F7870," (",PARTIDAS!$G7870,")"))</f>
        <v>Espectrómetros de masa</v>
      </c>
      <c r="I7870" s="16" t="s">
        <v>9427</v>
      </c>
    </row>
    <row r="7871" spans="1:9" x14ac:dyDescent="0.25">
      <c r="A7871" s="16" t="s">
        <v>15960</v>
      </c>
      <c r="B7871" s="16" t="str">
        <f>TEXT(PARTIDA[[#This Row],[PARTIDA]],"0000000000")</f>
        <v>9027891000</v>
      </c>
      <c r="C7871" s="16" t="s">
        <v>860</v>
      </c>
      <c r="D7871" s="16" t="s">
        <v>873</v>
      </c>
      <c r="E7871" s="16" t="s">
        <v>9482</v>
      </c>
      <c r="F7871" s="27" t="s">
        <v>15956</v>
      </c>
      <c r="G7871" s="27"/>
      <c r="H7871" s="16" t="str">
        <f>IF(ISBLANK(PARTIDAS!$G7871),PARTIDAS!$F7871,CONCATENATE(PARTIDAS!$F7871," (",PARTIDAS!$G7871,")"))</f>
        <v>Polarímetros, medidores de pH (peachímetros), turbidímetros, salinómetros y dilatómetros</v>
      </c>
      <c r="I7871" s="16" t="s">
        <v>9427</v>
      </c>
    </row>
    <row r="7872" spans="1:9" x14ac:dyDescent="0.25">
      <c r="A7872" s="16" t="s">
        <v>15961</v>
      </c>
      <c r="B7872" s="16" t="str">
        <f>TEXT(PARTIDA[[#This Row],[PARTIDA]],"0000000000")</f>
        <v>9027892000</v>
      </c>
      <c r="C7872" s="16" t="s">
        <v>860</v>
      </c>
      <c r="D7872" s="16" t="s">
        <v>873</v>
      </c>
      <c r="E7872" s="16" t="s">
        <v>9482</v>
      </c>
      <c r="F7872" s="27" t="s">
        <v>15957</v>
      </c>
      <c r="G7872" s="27"/>
      <c r="H7872" s="16" t="str">
        <f>IF(ISBLANK(PARTIDAS!$G7872),PARTIDAS!$F7872,CONCATENATE(PARTIDAS!$F7872," (",PARTIDAS!$G7872,")"))</f>
        <v>Detectores de humo</v>
      </c>
      <c r="I7872" s="16" t="s">
        <v>9427</v>
      </c>
    </row>
    <row r="7873" spans="1:9" x14ac:dyDescent="0.25">
      <c r="A7873" s="16" t="s">
        <v>15962</v>
      </c>
      <c r="B7873" s="16" t="str">
        <f>TEXT(PARTIDA[[#This Row],[PARTIDA]],"0000000000")</f>
        <v>9027899000</v>
      </c>
      <c r="C7873" s="16" t="s">
        <v>860</v>
      </c>
      <c r="D7873" s="16" t="s">
        <v>873</v>
      </c>
      <c r="E7873" s="16" t="s">
        <v>9482</v>
      </c>
      <c r="F7873" s="27" t="s">
        <v>15963</v>
      </c>
      <c r="G7873" s="27"/>
      <c r="H7873" s="16" t="str">
        <f>IF(ISBLANK(PARTIDAS!$G7873),PARTIDAS!$F7873,CONCATENATE(PARTIDAS!$F7873," (",PARTIDAS!$G7873,")"))</f>
        <v>Instrumentos y aparatos para análisis físicos o químicos (por ejemplo (los demás)</v>
      </c>
      <c r="I7873" s="16" t="s">
        <v>9427</v>
      </c>
    </row>
    <row r="7874" spans="1:9" x14ac:dyDescent="0.25">
      <c r="A7874" s="16" t="s">
        <v>8714</v>
      </c>
      <c r="B7874" s="16" t="str">
        <f>TEXT(PARTIDA[[#This Row],[PARTIDA]],"0000000000")</f>
        <v>9027901000</v>
      </c>
      <c r="C7874" s="16" t="s">
        <v>860</v>
      </c>
      <c r="D7874" s="16" t="s">
        <v>873</v>
      </c>
      <c r="E7874" s="16" t="s">
        <v>9482</v>
      </c>
      <c r="F7874" s="27" t="s">
        <v>15964</v>
      </c>
      <c r="G7874" s="27"/>
      <c r="H7874" s="16" t="str">
        <f>IF(ISBLANK(PARTIDAS!$G7874),PARTIDAS!$F7874,CONCATENATE(PARTIDAS!$F7874," (",PARTIDAS!$G7874,")"))</f>
        <v>Micrótomos, micrótomos</v>
      </c>
      <c r="I7874" s="16" t="s">
        <v>9427</v>
      </c>
    </row>
    <row r="7875" spans="1:9" x14ac:dyDescent="0.25">
      <c r="A7875" s="16" t="s">
        <v>8715</v>
      </c>
      <c r="B7875" s="16" t="str">
        <f>TEXT(PARTIDA[[#This Row],[PARTIDA]],"0000000000")</f>
        <v>9027909000</v>
      </c>
      <c r="C7875" s="16" t="s">
        <v>860</v>
      </c>
      <c r="D7875" s="16" t="s">
        <v>873</v>
      </c>
      <c r="E7875" s="16" t="s">
        <v>9482</v>
      </c>
      <c r="F7875" s="27" t="s">
        <v>15965</v>
      </c>
      <c r="G7875" s="27"/>
      <c r="H7875" s="16" t="str">
        <f>IF(ISBLANK(PARTIDAS!$G7875),PARTIDAS!$F7875,CONCATENATE(PARTIDAS!$F7875," (",PARTIDAS!$G7875,")"))</f>
        <v>Micrótomos, partes y accesorios Código Descripción de la Mercancia A/V</v>
      </c>
      <c r="I7875" s="16" t="s">
        <v>9427</v>
      </c>
    </row>
    <row r="7876" spans="1:9" x14ac:dyDescent="0.25">
      <c r="A7876" s="16" t="s">
        <v>8716</v>
      </c>
      <c r="B7876" s="16" t="str">
        <f>TEXT(PARTIDA[[#This Row],[PARTIDA]],"0000000000")</f>
        <v>9028100000</v>
      </c>
      <c r="C7876" s="16" t="s">
        <v>860</v>
      </c>
      <c r="D7876" s="16" t="s">
        <v>873</v>
      </c>
      <c r="E7876" s="16" t="s">
        <v>9482</v>
      </c>
      <c r="F7876" s="27" t="s">
        <v>15966</v>
      </c>
      <c r="G7876" s="27"/>
      <c r="H7876" s="16" t="str">
        <f>IF(ISBLANK(PARTIDAS!$G7876),PARTIDAS!$F7876,CONCATENATE(PARTIDAS!$F7876," (",PARTIDAS!$G7876,")"))</f>
        <v>Contadores de gas</v>
      </c>
      <c r="I7876" s="16" t="s">
        <v>9427</v>
      </c>
    </row>
    <row r="7877" spans="1:9" x14ac:dyDescent="0.25">
      <c r="A7877" s="16" t="s">
        <v>8717</v>
      </c>
      <c r="B7877" s="16" t="str">
        <f>TEXT(PARTIDA[[#This Row],[PARTIDA]],"0000000000")</f>
        <v>9028201000</v>
      </c>
      <c r="C7877" s="16" t="s">
        <v>860</v>
      </c>
      <c r="D7877" s="16" t="s">
        <v>873</v>
      </c>
      <c r="E7877" s="16" t="s">
        <v>9482</v>
      </c>
      <c r="F7877" s="27" t="s">
        <v>15967</v>
      </c>
      <c r="G7877" s="27"/>
      <c r="H7877" s="16" t="str">
        <f>IF(ISBLANK(PARTIDAS!$G7877),PARTIDAS!$F7877,CONCATENATE(PARTIDAS!$F7877," (",PARTIDAS!$G7877,")"))</f>
        <v>Contadores de agua</v>
      </c>
      <c r="I7877" s="16" t="s">
        <v>9427</v>
      </c>
    </row>
    <row r="7878" spans="1:9" x14ac:dyDescent="0.25">
      <c r="A7878" s="16" t="s">
        <v>8718</v>
      </c>
      <c r="B7878" s="16" t="str">
        <f>TEXT(PARTIDA[[#This Row],[PARTIDA]],"0000000000")</f>
        <v>9028209000</v>
      </c>
      <c r="C7878" s="16" t="s">
        <v>860</v>
      </c>
      <c r="D7878" s="16" t="s">
        <v>873</v>
      </c>
      <c r="E7878" s="16" t="s">
        <v>9482</v>
      </c>
      <c r="F7878" s="27" t="s">
        <v>15968</v>
      </c>
      <c r="G7878" s="27"/>
      <c r="H7878" s="16" t="str">
        <f>IF(ISBLANK(PARTIDAS!$G7878),PARTIDAS!$F7878,CONCATENATE(PARTIDAS!$F7878," (",PARTIDAS!$G7878,")"))</f>
        <v>Contadores de líquido (los demás)</v>
      </c>
      <c r="I7878" s="16" t="s">
        <v>9427</v>
      </c>
    </row>
    <row r="7879" spans="1:9" x14ac:dyDescent="0.25">
      <c r="A7879" s="16" t="s">
        <v>8719</v>
      </c>
      <c r="B7879" s="16" t="str">
        <f>TEXT(PARTIDA[[#This Row],[PARTIDA]],"0000000000")</f>
        <v>9028301000</v>
      </c>
      <c r="C7879" s="16" t="s">
        <v>860</v>
      </c>
      <c r="D7879" s="16" t="s">
        <v>873</v>
      </c>
      <c r="E7879" s="16" t="s">
        <v>9482</v>
      </c>
      <c r="F7879" s="27" t="s">
        <v>15969</v>
      </c>
      <c r="G7879" s="27"/>
      <c r="H7879" s="16" t="str">
        <f>IF(ISBLANK(PARTIDAS!$G7879),PARTIDAS!$F7879,CONCATENATE(PARTIDAS!$F7879," (",PARTIDAS!$G7879,")"))</f>
        <v>Contadores de electricidad, monofásicos</v>
      </c>
      <c r="I7879" s="16" t="s">
        <v>9427</v>
      </c>
    </row>
    <row r="7880" spans="1:9" x14ac:dyDescent="0.25">
      <c r="A7880" s="16" t="s">
        <v>8720</v>
      </c>
      <c r="B7880" s="16" t="str">
        <f>TEXT(PARTIDA[[#This Row],[PARTIDA]],"0000000000")</f>
        <v>9028309000</v>
      </c>
      <c r="C7880" s="16" t="s">
        <v>860</v>
      </c>
      <c r="D7880" s="16" t="s">
        <v>873</v>
      </c>
      <c r="E7880" s="16" t="s">
        <v>9482</v>
      </c>
      <c r="F7880" s="27" t="s">
        <v>15970</v>
      </c>
      <c r="G7880" s="27"/>
      <c r="H7880" s="16" t="str">
        <f>IF(ISBLANK(PARTIDAS!$G7880),PARTIDAS!$F7880,CONCATENATE(PARTIDAS!$F7880," (",PARTIDAS!$G7880,")"))</f>
        <v>Contadores de electricidad (los demás)</v>
      </c>
      <c r="I7880" s="16" t="s">
        <v>9427</v>
      </c>
    </row>
    <row r="7881" spans="1:9" x14ac:dyDescent="0.25">
      <c r="A7881" s="16" t="s">
        <v>8721</v>
      </c>
      <c r="B7881" s="16" t="str">
        <f>TEXT(PARTIDA[[#This Row],[PARTIDA]],"0000000000")</f>
        <v>9028901000</v>
      </c>
      <c r="C7881" s="16" t="s">
        <v>860</v>
      </c>
      <c r="D7881" s="16" t="s">
        <v>873</v>
      </c>
      <c r="E7881" s="16" t="s">
        <v>9482</v>
      </c>
      <c r="F7881" s="27" t="s">
        <v>15971</v>
      </c>
      <c r="G7881" s="27"/>
      <c r="H7881" s="16" t="str">
        <f>IF(ISBLANK(PARTIDAS!$G7881),PARTIDAS!$F7881,CONCATENATE(PARTIDAS!$F7881," (",PARTIDAS!$G7881,")"))</f>
        <v>Contadores de gas, líquido o electricidad, incluidos…, partes y accesorios, de contadores de electricidad</v>
      </c>
      <c r="I7881" s="16" t="s">
        <v>9427</v>
      </c>
    </row>
    <row r="7882" spans="1:9" x14ac:dyDescent="0.25">
      <c r="A7882" s="16" t="s">
        <v>8722</v>
      </c>
      <c r="B7882" s="16" t="str">
        <f>TEXT(PARTIDA[[#This Row],[PARTIDA]],"0000000000")</f>
        <v>9028909000</v>
      </c>
      <c r="C7882" s="16" t="s">
        <v>860</v>
      </c>
      <c r="D7882" s="16" t="s">
        <v>873</v>
      </c>
      <c r="E7882" s="16" t="s">
        <v>9482</v>
      </c>
      <c r="F7882" s="27" t="s">
        <v>15972</v>
      </c>
      <c r="G7882" s="27"/>
      <c r="H7882" s="16" t="str">
        <f>IF(ISBLANK(PARTIDAS!$G7882),PARTIDAS!$F7882,CONCATENATE(PARTIDAS!$F7882," (",PARTIDAS!$G7882,")"))</f>
        <v>Contadores de gas, líquido o electricidad, incluidos…, partes y accesorios (los demás)</v>
      </c>
      <c r="I7882" s="16" t="s">
        <v>9427</v>
      </c>
    </row>
    <row r="7883" spans="1:9" x14ac:dyDescent="0.25">
      <c r="A7883" s="16" t="s">
        <v>8723</v>
      </c>
      <c r="B7883" s="16" t="str">
        <f>TEXT(PARTIDA[[#This Row],[PARTIDA]],"0000000000")</f>
        <v>9029101000</v>
      </c>
      <c r="C7883" s="16" t="s">
        <v>860</v>
      </c>
      <c r="D7883" s="16" t="s">
        <v>873</v>
      </c>
      <c r="E7883" s="16" t="s">
        <v>9482</v>
      </c>
      <c r="F7883" s="27" t="s">
        <v>15973</v>
      </c>
      <c r="G7883" s="27"/>
      <c r="H7883" s="16" t="str">
        <f>IF(ISBLANK(PARTIDAS!$G7883),PARTIDAS!$F7883,CONCATENATE(PARTIDAS!$F7883," (",PARTIDAS!$G7883,")"))</f>
        <v>Cuentarrevoluciones, contadores de producción, taxímetros…, taxímetros</v>
      </c>
      <c r="I7883" s="16" t="s">
        <v>9427</v>
      </c>
    </row>
    <row r="7884" spans="1:9" x14ac:dyDescent="0.25">
      <c r="A7884" s="16" t="s">
        <v>8724</v>
      </c>
      <c r="B7884" s="16" t="str">
        <f>TEXT(PARTIDA[[#This Row],[PARTIDA]],"0000000000")</f>
        <v>9029102000</v>
      </c>
      <c r="C7884" s="16" t="s">
        <v>860</v>
      </c>
      <c r="D7884" s="16" t="s">
        <v>873</v>
      </c>
      <c r="E7884" s="16" t="s">
        <v>9482</v>
      </c>
      <c r="F7884" s="27" t="s">
        <v>15974</v>
      </c>
      <c r="G7884" s="27"/>
      <c r="H7884" s="16" t="str">
        <f>IF(ISBLANK(PARTIDAS!$G7884),PARTIDAS!$F7884,CONCATENATE(PARTIDAS!$F7884," (",PARTIDAS!$G7884,")"))</f>
        <v>Contadores de producción, electrónicos</v>
      </c>
      <c r="I7884" s="16" t="s">
        <v>9427</v>
      </c>
    </row>
    <row r="7885" spans="1:9" x14ac:dyDescent="0.25">
      <c r="A7885" s="16" t="s">
        <v>8725</v>
      </c>
      <c r="B7885" s="16" t="str">
        <f>TEXT(PARTIDA[[#This Row],[PARTIDA]],"0000000000")</f>
        <v>9029109000</v>
      </c>
      <c r="C7885" s="16" t="s">
        <v>860</v>
      </c>
      <c r="D7885" s="16" t="s">
        <v>873</v>
      </c>
      <c r="E7885" s="16" t="s">
        <v>9482</v>
      </c>
      <c r="F7885" s="27" t="s">
        <v>15975</v>
      </c>
      <c r="G7885" s="27"/>
      <c r="H7885" s="16" t="str">
        <f>IF(ISBLANK(PARTIDAS!$G7885),PARTIDAS!$F7885,CONCATENATE(PARTIDAS!$F7885," (",PARTIDAS!$G7885,")"))</f>
        <v>Cuentarrevoluciones, contadores de producción, taxímetros… (los demás)</v>
      </c>
      <c r="I7885" s="16" t="s">
        <v>9427</v>
      </c>
    </row>
    <row r="7886" spans="1:9" x14ac:dyDescent="0.25">
      <c r="A7886" s="16" t="s">
        <v>8726</v>
      </c>
      <c r="B7886" s="16" t="str">
        <f>TEXT(PARTIDA[[#This Row],[PARTIDA]],"0000000000")</f>
        <v>9029201000</v>
      </c>
      <c r="C7886" s="16" t="s">
        <v>860</v>
      </c>
      <c r="D7886" s="16" t="s">
        <v>873</v>
      </c>
      <c r="E7886" s="16" t="s">
        <v>9482</v>
      </c>
      <c r="F7886" s="27" t="s">
        <v>15976</v>
      </c>
      <c r="G7886" s="27"/>
      <c r="H7886" s="16" t="str">
        <f>IF(ISBLANK(PARTIDAS!$G7886),PARTIDAS!$F7886,CONCATENATE(PARTIDAS!$F7886," (",PARTIDAS!$G7886,")"))</f>
        <v>Velocímetros, excepto eléctricos o electrónicos</v>
      </c>
      <c r="I7886" s="16" t="s">
        <v>9427</v>
      </c>
    </row>
    <row r="7887" spans="1:9" x14ac:dyDescent="0.25">
      <c r="A7887" s="16" t="s">
        <v>8727</v>
      </c>
      <c r="B7887" s="16" t="str">
        <f>TEXT(PARTIDA[[#This Row],[PARTIDA]],"0000000000")</f>
        <v>9029202000</v>
      </c>
      <c r="C7887" s="16" t="s">
        <v>860</v>
      </c>
      <c r="D7887" s="16" t="s">
        <v>873</v>
      </c>
      <c r="E7887" s="16" t="s">
        <v>9482</v>
      </c>
      <c r="F7887" s="27" t="s">
        <v>15977</v>
      </c>
      <c r="G7887" s="27"/>
      <c r="H7887" s="16" t="str">
        <f>IF(ISBLANK(PARTIDAS!$G7887),PARTIDAS!$F7887,CONCATENATE(PARTIDAS!$F7887," (",PARTIDAS!$G7887,")"))</f>
        <v>Velocímetros y tacómetros, tacómetros</v>
      </c>
      <c r="I7887" s="16" t="s">
        <v>9427</v>
      </c>
    </row>
    <row r="7888" spans="1:9" x14ac:dyDescent="0.25">
      <c r="A7888" s="16" t="s">
        <v>8728</v>
      </c>
      <c r="B7888" s="16" t="str">
        <f>TEXT(PARTIDA[[#This Row],[PARTIDA]],"0000000000")</f>
        <v>9029209000</v>
      </c>
      <c r="C7888" s="16" t="s">
        <v>860</v>
      </c>
      <c r="D7888" s="16" t="s">
        <v>873</v>
      </c>
      <c r="E7888" s="16" t="s">
        <v>9482</v>
      </c>
      <c r="F7888" s="27" t="s">
        <v>15978</v>
      </c>
      <c r="G7888" s="27"/>
      <c r="H7888" s="16" t="str">
        <f>IF(ISBLANK(PARTIDAS!$G7888),PARTIDAS!$F7888,CONCATENATE(PARTIDAS!$F7888," (",PARTIDAS!$G7888,")"))</f>
        <v>Velocímetros y tacómetros (los demás)</v>
      </c>
      <c r="I7888" s="16" t="s">
        <v>9427</v>
      </c>
    </row>
    <row r="7889" spans="1:9" x14ac:dyDescent="0.25">
      <c r="A7889" s="16" t="s">
        <v>8729</v>
      </c>
      <c r="B7889" s="16" t="str">
        <f>TEXT(PARTIDA[[#This Row],[PARTIDA]],"0000000000")</f>
        <v>9029901000</v>
      </c>
      <c r="C7889" s="16" t="s">
        <v>860</v>
      </c>
      <c r="D7889" s="16" t="s">
        <v>873</v>
      </c>
      <c r="E7889" s="16" t="s">
        <v>9482</v>
      </c>
      <c r="F7889" s="27" t="s">
        <v>15979</v>
      </c>
      <c r="G7889" s="27"/>
      <c r="H7889" s="16" t="str">
        <f>IF(ISBLANK(PARTIDAS!$G7889),PARTIDAS!$F7889,CONCATENATE(PARTIDAS!$F7889," (",PARTIDAS!$G7889,")"))</f>
        <v>Instrumentos y aparatos de óptica, fotografía o…, partes y accesorios, de velocímetros</v>
      </c>
      <c r="I7889" s="16" t="s">
        <v>9427</v>
      </c>
    </row>
    <row r="7890" spans="1:9" x14ac:dyDescent="0.25">
      <c r="A7890" s="16" t="s">
        <v>8730</v>
      </c>
      <c r="B7890" s="16" t="str">
        <f>TEXT(PARTIDA[[#This Row],[PARTIDA]],"0000000000")</f>
        <v>9029909000</v>
      </c>
      <c r="C7890" s="16" t="s">
        <v>860</v>
      </c>
      <c r="D7890" s="16" t="s">
        <v>873</v>
      </c>
      <c r="E7890" s="16" t="s">
        <v>9482</v>
      </c>
      <c r="F7890" s="27" t="s">
        <v>15980</v>
      </c>
      <c r="G7890" s="27"/>
      <c r="H7890" s="16" t="str">
        <f>IF(ISBLANK(PARTIDAS!$G7890),PARTIDAS!$F7890,CONCATENATE(PARTIDAS!$F7890," (",PARTIDAS!$G7890,")"))</f>
        <v>Instrumentos y aparatos de óptica, fotografía o…, partes y accesorios (los demás)</v>
      </c>
      <c r="I7890" s="16" t="s">
        <v>9427</v>
      </c>
    </row>
    <row r="7891" spans="1:9" x14ac:dyDescent="0.25">
      <c r="A7891" s="16" t="s">
        <v>8731</v>
      </c>
      <c r="B7891" s="16" t="str">
        <f>TEXT(PARTIDA[[#This Row],[PARTIDA]],"0000000000")</f>
        <v>9030100000</v>
      </c>
      <c r="C7891" s="16" t="s">
        <v>860</v>
      </c>
      <c r="D7891" s="16" t="s">
        <v>873</v>
      </c>
      <c r="E7891" s="16" t="s">
        <v>9482</v>
      </c>
      <c r="F7891" s="27" t="s">
        <v>15981</v>
      </c>
      <c r="G7891" s="27"/>
      <c r="H7891" s="16" t="str">
        <f>IF(ISBLANK(PARTIDAS!$G7891),PARTIDAS!$F7891,CONCATENATE(PARTIDAS!$F7891," (",PARTIDAS!$G7891,")"))</f>
        <v>Instrumentos y aparatos para medida o detección de radiaciones ionizantes</v>
      </c>
      <c r="I7891" s="16" t="s">
        <v>9427</v>
      </c>
    </row>
    <row r="7892" spans="1:9" x14ac:dyDescent="0.25">
      <c r="A7892" s="16" t="s">
        <v>8732</v>
      </c>
      <c r="B7892" s="16" t="str">
        <f>TEXT(PARTIDA[[#This Row],[PARTIDA]],"0000000000")</f>
        <v>9030200000</v>
      </c>
      <c r="C7892" s="16" t="s">
        <v>860</v>
      </c>
      <c r="D7892" s="16" t="s">
        <v>873</v>
      </c>
      <c r="E7892" s="16" t="s">
        <v>9482</v>
      </c>
      <c r="F7892" s="27" t="s">
        <v>15982</v>
      </c>
      <c r="G7892" s="27"/>
      <c r="H7892" s="16" t="str">
        <f>IF(ISBLANK(PARTIDAS!$G7892),PARTIDAS!$F7892,CONCATENATE(PARTIDAS!$F7892," (",PARTIDAS!$G7892,")"))</f>
        <v>Osciloscopios y oscilógrafos</v>
      </c>
      <c r="I7892" s="16" t="s">
        <v>9427</v>
      </c>
    </row>
    <row r="7893" spans="1:9" x14ac:dyDescent="0.25">
      <c r="A7893" s="16" t="s">
        <v>8733</v>
      </c>
      <c r="B7893" s="16" t="str">
        <f>TEXT(PARTIDA[[#This Row],[PARTIDA]],"0000000000")</f>
        <v>9030310000</v>
      </c>
      <c r="C7893" s="16" t="s">
        <v>860</v>
      </c>
      <c r="D7893" s="16" t="s">
        <v>873</v>
      </c>
      <c r="E7893" s="16" t="s">
        <v>9482</v>
      </c>
      <c r="F7893" s="27" t="s">
        <v>15983</v>
      </c>
      <c r="G7893" s="27"/>
      <c r="H7893" s="16" t="str">
        <f>IF(ISBLANK(PARTIDAS!$G7893),PARTIDAS!$F7893,CONCATENATE(PARTIDAS!$F7893," (",PARTIDAS!$G7893,")"))</f>
        <v>Multímetros, sin dispositivo registrador</v>
      </c>
      <c r="I7893" s="16" t="s">
        <v>9427</v>
      </c>
    </row>
    <row r="7894" spans="1:9" x14ac:dyDescent="0.25">
      <c r="A7894" s="16" t="s">
        <v>8734</v>
      </c>
      <c r="B7894" s="16" t="str">
        <f>TEXT(PARTIDA[[#This Row],[PARTIDA]],"0000000000")</f>
        <v>9030320000</v>
      </c>
      <c r="C7894" s="16" t="s">
        <v>860</v>
      </c>
      <c r="D7894" s="16" t="s">
        <v>873</v>
      </c>
      <c r="E7894" s="16" t="s">
        <v>9482</v>
      </c>
      <c r="F7894" s="27" t="s">
        <v>876</v>
      </c>
      <c r="G7894" s="27"/>
      <c r="H7894" s="16" t="str">
        <f>IF(ISBLANK(PARTIDAS!$G7894),PARTIDAS!$F7894,CONCATENATE(PARTIDAS!$F7894," (",PARTIDAS!$G7894,")"))</f>
        <v>Herramientas</v>
      </c>
      <c r="I7894" s="16" t="s">
        <v>9427</v>
      </c>
    </row>
    <row r="7895" spans="1:9" x14ac:dyDescent="0.25">
      <c r="A7895" s="16" t="s">
        <v>8735</v>
      </c>
      <c r="B7895" s="16" t="str">
        <f>TEXT(PARTIDA[[#This Row],[PARTIDA]],"0000000000")</f>
        <v>9030330000</v>
      </c>
      <c r="C7895" s="16" t="s">
        <v>860</v>
      </c>
      <c r="D7895" s="16" t="s">
        <v>873</v>
      </c>
      <c r="E7895" s="16" t="s">
        <v>9482</v>
      </c>
      <c r="F7895" s="27" t="s">
        <v>15984</v>
      </c>
      <c r="G7895" s="27"/>
      <c r="H7895" s="16" t="str">
        <f>IF(ISBLANK(PARTIDAS!$G7895),PARTIDAS!$F7895,CONCATENATE(PARTIDAS!$F7895," (",PARTIDAS!$G7895,")"))</f>
        <v>Osciloscopios, analizadores de espectro y demás instrumentos y… (los demás, sin dispositivo registrador)</v>
      </c>
      <c r="I7895" s="16" t="s">
        <v>9427</v>
      </c>
    </row>
    <row r="7896" spans="1:9" x14ac:dyDescent="0.25">
      <c r="A7896" s="16" t="s">
        <v>8736</v>
      </c>
      <c r="B7896" s="16" t="str">
        <f>TEXT(PARTIDA[[#This Row],[PARTIDA]],"0000000000")</f>
        <v>9030390000</v>
      </c>
      <c r="C7896" s="16" t="s">
        <v>860</v>
      </c>
      <c r="D7896" s="16" t="s">
        <v>873</v>
      </c>
      <c r="E7896" s="16" t="s">
        <v>9482</v>
      </c>
      <c r="F7896" s="27" t="s">
        <v>15985</v>
      </c>
      <c r="G7896" s="27"/>
      <c r="H7896" s="16" t="str">
        <f>IF(ISBLANK(PARTIDAS!$G7896),PARTIDAS!$F7896,CONCATENATE(PARTIDAS!$F7896," (",PARTIDAS!$G7896,")"))</f>
        <v>Osciloscopios, analizadores de espectro y demás instrumentos y… (los demás, con dispositivo registrador)</v>
      </c>
      <c r="I7896" s="16" t="s">
        <v>9427</v>
      </c>
    </row>
    <row r="7897" spans="1:9" x14ac:dyDescent="0.25">
      <c r="A7897" s="16" t="s">
        <v>8737</v>
      </c>
      <c r="B7897" s="16" t="str">
        <f>TEXT(PARTIDA[[#This Row],[PARTIDA]],"0000000000")</f>
        <v>9030400000</v>
      </c>
      <c r="C7897" s="16" t="s">
        <v>860</v>
      </c>
      <c r="D7897" s="16" t="s">
        <v>873</v>
      </c>
      <c r="E7897" s="16" t="s">
        <v>9482</v>
      </c>
      <c r="F7897" s="27" t="s">
        <v>15986</v>
      </c>
      <c r="G7897" s="27"/>
      <c r="H7897" s="16" t="str">
        <f>IF(ISBLANK(PARTIDAS!$G7897),PARTIDAS!$F7897,CONCATENATE(PARTIDAS!$F7897," (",PARTIDAS!$G7897,")"))</f>
        <v>Osciloscopios, analizadores de espectro y demás instrumentos y… (los demás, instrumentos y aparatos, especialmente diseñados para técnicas de telecomu</v>
      </c>
      <c r="I7897" s="16" t="s">
        <v>9427</v>
      </c>
    </row>
    <row r="7898" spans="1:9" x14ac:dyDescent="0.25">
      <c r="A7898" s="16" t="s">
        <v>8738</v>
      </c>
      <c r="B7898" s="16" t="str">
        <f>TEXT(PARTIDA[[#This Row],[PARTIDA]],"0000000000")</f>
        <v>9030820000</v>
      </c>
      <c r="C7898" s="16" t="s">
        <v>860</v>
      </c>
      <c r="D7898" s="16" t="s">
        <v>873</v>
      </c>
      <c r="E7898" s="16" t="s">
        <v>9482</v>
      </c>
      <c r="F7898" s="27" t="s">
        <v>15987</v>
      </c>
      <c r="G7898" s="27"/>
      <c r="H7898" s="16" t="str">
        <f>IF(ISBLANK(PARTIDAS!$G7898),PARTIDAS!$F7898,CONCATENATE(PARTIDAS!$F7898," (",PARTIDAS!$G7898,")"))</f>
        <v xml:space="preserve">Osciloscopios, analizadores de espectro y demás instrumentos y…, para medida o control de obleas («wafers») o dispositivos semiconductores (incluidos </v>
      </c>
      <c r="I7898" s="16" t="s">
        <v>9427</v>
      </c>
    </row>
    <row r="7899" spans="1:9" x14ac:dyDescent="0.25">
      <c r="A7899" s="16" t="s">
        <v>8739</v>
      </c>
      <c r="B7899" s="16" t="str">
        <f>TEXT(PARTIDA[[#This Row],[PARTIDA]],"0000000000")</f>
        <v>9030840000</v>
      </c>
      <c r="C7899" s="16" t="s">
        <v>860</v>
      </c>
      <c r="D7899" s="16" t="s">
        <v>873</v>
      </c>
      <c r="E7899" s="16" t="s">
        <v>9482</v>
      </c>
      <c r="F7899" s="27" t="s">
        <v>15985</v>
      </c>
      <c r="G7899" s="27"/>
      <c r="H7899" s="16" t="str">
        <f>IF(ISBLANK(PARTIDAS!$G7899),PARTIDAS!$F7899,CONCATENATE(PARTIDAS!$F7899," (",PARTIDAS!$G7899,")"))</f>
        <v>Osciloscopios, analizadores de espectro y demás instrumentos y… (los demás, con dispositivo registrador)</v>
      </c>
      <c r="I7899" s="16" t="s">
        <v>9427</v>
      </c>
    </row>
    <row r="7900" spans="1:9" x14ac:dyDescent="0.25">
      <c r="A7900" s="16" t="s">
        <v>8740</v>
      </c>
      <c r="B7900" s="16" t="str">
        <f>TEXT(PARTIDA[[#This Row],[PARTIDA]],"0000000000")</f>
        <v>9030890000</v>
      </c>
      <c r="C7900" s="16" t="s">
        <v>860</v>
      </c>
      <c r="D7900" s="16" t="s">
        <v>873</v>
      </c>
      <c r="E7900" s="16" t="s">
        <v>9482</v>
      </c>
      <c r="F7900" s="27" t="s">
        <v>15988</v>
      </c>
      <c r="G7900" s="27"/>
      <c r="H7900" s="16" t="str">
        <f>IF(ISBLANK(PARTIDAS!$G7900),PARTIDAS!$F7900,CONCATENATE(PARTIDAS!$F7900," (",PARTIDAS!$G7900,")"))</f>
        <v>Osciloscopios, analizadores de espectro y demás instrumentos y… (los demás)</v>
      </c>
      <c r="I7900" s="16" t="s">
        <v>9427</v>
      </c>
    </row>
    <row r="7901" spans="1:9" x14ac:dyDescent="0.25">
      <c r="A7901" s="16" t="s">
        <v>8741</v>
      </c>
      <c r="B7901" s="16" t="str">
        <f>TEXT(PARTIDA[[#This Row],[PARTIDA]],"0000000000")</f>
        <v>9030901000</v>
      </c>
      <c r="C7901" s="16" t="s">
        <v>860</v>
      </c>
      <c r="D7901" s="16" t="s">
        <v>873</v>
      </c>
      <c r="E7901" s="16" t="s">
        <v>9482</v>
      </c>
      <c r="F7901" s="27" t="s">
        <v>15989</v>
      </c>
      <c r="G7901" s="27"/>
      <c r="H7901" s="16" t="str">
        <f>IF(ISBLANK(PARTIDAS!$G7901),PARTIDAS!$F7901,CONCATENATE(PARTIDAS!$F7901," (",PARTIDAS!$G7901,")"))</f>
        <v>Osciloscopios, analizadores de espectro y demás…, partes y accesorios, de instrumentos o aparatos para la medida de magnitudes eléctricas</v>
      </c>
      <c r="I7901" s="16" t="s">
        <v>9427</v>
      </c>
    </row>
    <row r="7902" spans="1:9" x14ac:dyDescent="0.25">
      <c r="A7902" s="16" t="s">
        <v>8742</v>
      </c>
      <c r="B7902" s="16" t="str">
        <f>TEXT(PARTIDA[[#This Row],[PARTIDA]],"0000000000")</f>
        <v>9030909000</v>
      </c>
      <c r="C7902" s="16" t="s">
        <v>860</v>
      </c>
      <c r="D7902" s="16" t="s">
        <v>873</v>
      </c>
      <c r="E7902" s="16" t="s">
        <v>9482</v>
      </c>
      <c r="F7902" s="27" t="s">
        <v>15990</v>
      </c>
      <c r="G7902" s="27"/>
      <c r="H7902" s="16" t="str">
        <f>IF(ISBLANK(PARTIDAS!$G7902),PARTIDAS!$F7902,CONCATENATE(PARTIDAS!$F7902," (",PARTIDAS!$G7902,")"))</f>
        <v>Osciloscopios, analizadores de espectro y demás…, partes y accesorios (los demás)</v>
      </c>
      <c r="I7902" s="16" t="s">
        <v>9427</v>
      </c>
    </row>
    <row r="7903" spans="1:9" x14ac:dyDescent="0.25">
      <c r="A7903" s="16" t="s">
        <v>8743</v>
      </c>
      <c r="B7903" s="16" t="str">
        <f>TEXT(PARTIDA[[#This Row],[PARTIDA]],"0000000000")</f>
        <v>9031101000</v>
      </c>
      <c r="C7903" s="16" t="s">
        <v>860</v>
      </c>
      <c r="D7903" s="16" t="s">
        <v>873</v>
      </c>
      <c r="E7903" s="16" t="s">
        <v>9482</v>
      </c>
      <c r="F7903" s="27" t="s">
        <v>15991</v>
      </c>
      <c r="G7903" s="27"/>
      <c r="H7903" s="16" t="str">
        <f>IF(ISBLANK(PARTIDAS!$G7903),PARTIDAS!$F7903,CONCATENATE(PARTIDAS!$F7903," (",PARTIDAS!$G7903,")"))</f>
        <v>Máquinas para equilibrar piezas mecánicas, electrónicas</v>
      </c>
      <c r="I7903" s="16" t="s">
        <v>9427</v>
      </c>
    </row>
    <row r="7904" spans="1:9" x14ac:dyDescent="0.25">
      <c r="A7904" s="16" t="s">
        <v>8744</v>
      </c>
      <c r="B7904" s="16" t="str">
        <f>TEXT(PARTIDA[[#This Row],[PARTIDA]],"0000000000")</f>
        <v>9031109000</v>
      </c>
      <c r="C7904" s="16" t="s">
        <v>860</v>
      </c>
      <c r="D7904" s="16" t="s">
        <v>873</v>
      </c>
      <c r="E7904" s="16" t="s">
        <v>9482</v>
      </c>
      <c r="F7904" s="27" t="s">
        <v>15992</v>
      </c>
      <c r="G7904" s="27"/>
      <c r="H7904" s="16" t="str">
        <f>IF(ISBLANK(PARTIDAS!$G7904),PARTIDAS!$F7904,CONCATENATE(PARTIDAS!$F7904," (",PARTIDAS!$G7904,")"))</f>
        <v>Máquinas para equilibrar piezas mecánicas (los demás)</v>
      </c>
      <c r="I7904" s="16" t="s">
        <v>9427</v>
      </c>
    </row>
    <row r="7905" spans="1:9" x14ac:dyDescent="0.25">
      <c r="A7905" s="16" t="s">
        <v>8745</v>
      </c>
      <c r="B7905" s="16" t="str">
        <f>TEXT(PARTIDA[[#This Row],[PARTIDA]],"0000000000")</f>
        <v>9031200000</v>
      </c>
      <c r="C7905" s="16" t="s">
        <v>860</v>
      </c>
      <c r="D7905" s="16" t="s">
        <v>873</v>
      </c>
      <c r="E7905" s="16" t="s">
        <v>9482</v>
      </c>
      <c r="F7905" s="27" t="s">
        <v>15993</v>
      </c>
      <c r="G7905" s="27"/>
      <c r="H7905" s="16" t="str">
        <f>IF(ISBLANK(PARTIDAS!$G7905),PARTIDAS!$F7905,CONCATENATE(PARTIDAS!$F7905," (",PARTIDAS!$G7905,")"))</f>
        <v>Bancos de pruebas</v>
      </c>
      <c r="I7905" s="16" t="s">
        <v>9427</v>
      </c>
    </row>
    <row r="7906" spans="1:9" x14ac:dyDescent="0.25">
      <c r="A7906" s="16" t="s">
        <v>8746</v>
      </c>
      <c r="B7906" s="16" t="str">
        <f>TEXT(PARTIDA[[#This Row],[PARTIDA]],"0000000000")</f>
        <v>9031410000</v>
      </c>
      <c r="C7906" s="16" t="s">
        <v>860</v>
      </c>
      <c r="D7906" s="16" t="s">
        <v>873</v>
      </c>
      <c r="E7906" s="16" t="s">
        <v>9482</v>
      </c>
      <c r="F7906" s="27" t="s">
        <v>15994</v>
      </c>
      <c r="G7906" s="27"/>
      <c r="H7906" s="16" t="str">
        <f>IF(ISBLANK(PARTIDAS!$G7906),PARTIDAS!$F7906,CONCATENATE(PARTIDAS!$F7906," (",PARTIDAS!$G7906,")"))</f>
        <v>Instrumentos, aparatos y máquinas de medida o control, no expresados…, para control de obleas («wafers») o dispositivos semiconductores (incluidos los</v>
      </c>
      <c r="I7906" s="16" t="s">
        <v>9427</v>
      </c>
    </row>
    <row r="7907" spans="1:9" x14ac:dyDescent="0.25">
      <c r="A7907" s="16" t="s">
        <v>8747</v>
      </c>
      <c r="B7907" s="16" t="str">
        <f>TEXT(PARTIDA[[#This Row],[PARTIDA]],"0000000000")</f>
        <v>9031491000</v>
      </c>
      <c r="C7907" s="16" t="s">
        <v>860</v>
      </c>
      <c r="D7907" s="16" t="s">
        <v>873</v>
      </c>
      <c r="E7907" s="16" t="s">
        <v>9482</v>
      </c>
      <c r="F7907" s="27" t="s">
        <v>15995</v>
      </c>
      <c r="G7907" s="27"/>
      <c r="H7907" s="16" t="str">
        <f>IF(ISBLANK(PARTIDAS!$G7907),PARTIDAS!$F7907,CONCATENATE(PARTIDAS!$F7907," (",PARTIDAS!$G7907,")"))</f>
        <v>Comparadores llamados «ópticos», bancos comparadores, bancos de medida, interferómetros, comprobadores ópticos de superficies, aparatos con palpador d</v>
      </c>
      <c r="I7907" s="16" t="s">
        <v>9427</v>
      </c>
    </row>
    <row r="7908" spans="1:9" x14ac:dyDescent="0.25">
      <c r="A7908" s="16" t="s">
        <v>8748</v>
      </c>
      <c r="B7908" s="16" t="str">
        <f>TEXT(PARTIDA[[#This Row],[PARTIDA]],"0000000000")</f>
        <v>9031492000</v>
      </c>
      <c r="C7908" s="16" t="s">
        <v>860</v>
      </c>
      <c r="D7908" s="16" t="s">
        <v>873</v>
      </c>
      <c r="E7908" s="16" t="s">
        <v>9482</v>
      </c>
      <c r="F7908" s="27" t="s">
        <v>15996</v>
      </c>
      <c r="G7908" s="27"/>
      <c r="H7908" s="16" t="str">
        <f>IF(ISBLANK(PARTIDAS!$G7908),PARTIDAS!$F7908,CONCATENATE(PARTIDAS!$F7908," (",PARTIDAS!$G7908,")"))</f>
        <v>Proyectores de perfiles</v>
      </c>
      <c r="I7908" s="16" t="s">
        <v>9427</v>
      </c>
    </row>
    <row r="7909" spans="1:9" x14ac:dyDescent="0.25">
      <c r="A7909" s="16" t="s">
        <v>8749</v>
      </c>
      <c r="B7909" s="16" t="str">
        <f>TEXT(PARTIDA[[#This Row],[PARTIDA]],"0000000000")</f>
        <v>9031499000</v>
      </c>
      <c r="C7909" s="16" t="s">
        <v>860</v>
      </c>
      <c r="D7909" s="16" t="s">
        <v>873</v>
      </c>
      <c r="E7909" s="16" t="s">
        <v>9482</v>
      </c>
      <c r="F7909" s="27" t="s">
        <v>15997</v>
      </c>
      <c r="G7909" s="27"/>
      <c r="H7909" s="16" t="str">
        <f>IF(ISBLANK(PARTIDAS!$G7909),PARTIDAS!$F7909,CONCATENATE(PARTIDAS!$F7909," (",PARTIDAS!$G7909,")"))</f>
        <v>Instrumentos, aparatos y máquinas de medida o control, no expresados… (los demás)</v>
      </c>
      <c r="I7909" s="16" t="s">
        <v>9427</v>
      </c>
    </row>
    <row r="7910" spans="1:9" x14ac:dyDescent="0.25">
      <c r="A7910" s="16" t="s">
        <v>8750</v>
      </c>
      <c r="B7910" s="16" t="str">
        <f>TEXT(PARTIDA[[#This Row],[PARTIDA]],"0000000000")</f>
        <v>9031802000</v>
      </c>
      <c r="C7910" s="16" t="s">
        <v>860</v>
      </c>
      <c r="D7910" s="16" t="s">
        <v>873</v>
      </c>
      <c r="E7910" s="16" t="s">
        <v>9482</v>
      </c>
      <c r="F7910" s="27" t="s">
        <v>15998</v>
      </c>
      <c r="G7910" s="27"/>
      <c r="H7910" s="16" t="str">
        <f>IF(ISBLANK(PARTIDAS!$G7910),PARTIDAS!$F7910,CONCATENATE(PARTIDAS!$F7910," (",PARTIDAS!$G7910,")"))</f>
        <v>Aparatos para regular los motores de vehículos del Capítulo 87 (sincroscopios)</v>
      </c>
      <c r="I7910" s="16" t="s">
        <v>9427</v>
      </c>
    </row>
    <row r="7911" spans="1:9" x14ac:dyDescent="0.25">
      <c r="A7911" s="16" t="s">
        <v>8751</v>
      </c>
      <c r="B7911" s="16" t="str">
        <f>TEXT(PARTIDA[[#This Row],[PARTIDA]],"0000000000")</f>
        <v>9031803000</v>
      </c>
      <c r="C7911" s="16" t="s">
        <v>860</v>
      </c>
      <c r="D7911" s="16" t="s">
        <v>873</v>
      </c>
      <c r="E7911" s="16" t="s">
        <v>9482</v>
      </c>
      <c r="F7911" s="27" t="s">
        <v>15999</v>
      </c>
      <c r="G7911" s="27"/>
      <c r="H7911" s="16" t="str">
        <f>IF(ISBLANK(PARTIDAS!$G7911),PARTIDAS!$F7911,CONCATENATE(PARTIDAS!$F7911," (",PARTIDAS!$G7911,")"))</f>
        <v>Instrumentos, aparatos y máquinas de medida o control, no expresados…, planímetros</v>
      </c>
      <c r="I7911" s="16" t="s">
        <v>9427</v>
      </c>
    </row>
    <row r="7912" spans="1:9" x14ac:dyDescent="0.25">
      <c r="A7912" s="16" t="s">
        <v>8752</v>
      </c>
      <c r="B7912" s="16" t="str">
        <f>TEXT(PARTIDA[[#This Row],[PARTIDA]],"0000000000")</f>
        <v>9031809000</v>
      </c>
      <c r="C7912" s="16" t="s">
        <v>860</v>
      </c>
      <c r="D7912" s="16" t="s">
        <v>873</v>
      </c>
      <c r="E7912" s="16" t="s">
        <v>874</v>
      </c>
      <c r="F7912" s="27" t="s">
        <v>876</v>
      </c>
      <c r="G7912" s="27"/>
      <c r="H7912" s="16" t="str">
        <f>IF(ISBLANK(PARTIDAS!$G7912),PARTIDAS!$F7912,CONCATENATE(PARTIDAS!$F7912," (",PARTIDAS!$G7912,")"))</f>
        <v>Herramientas</v>
      </c>
      <c r="I7912" s="16" t="s">
        <v>9477</v>
      </c>
    </row>
    <row r="7913" spans="1:9" x14ac:dyDescent="0.25">
      <c r="A7913" s="16" t="s">
        <v>8753</v>
      </c>
      <c r="B7913" s="16" t="str">
        <f>TEXT(PARTIDA[[#This Row],[PARTIDA]],"0000000000")</f>
        <v>9031900000</v>
      </c>
      <c r="C7913" s="16" t="s">
        <v>860</v>
      </c>
      <c r="D7913" s="16" t="s">
        <v>873</v>
      </c>
      <c r="E7913" s="16" t="s">
        <v>9482</v>
      </c>
      <c r="F7913" s="27" t="s">
        <v>8754</v>
      </c>
      <c r="G7913" s="27"/>
      <c r="H7913" s="16" t="str">
        <f>IF(ISBLANK(PARTIDAS!$G7913),PARTIDAS!$F7913,CONCATENATE(PARTIDAS!$F7913," (",PARTIDAS!$G7913,")"))</f>
        <v>Instrumentos de medida</v>
      </c>
      <c r="I7913" s="16" t="s">
        <v>9427</v>
      </c>
    </row>
    <row r="7914" spans="1:9" x14ac:dyDescent="0.25">
      <c r="A7914" s="16" t="s">
        <v>8755</v>
      </c>
      <c r="B7914" s="16" t="str">
        <f>TEXT(PARTIDA[[#This Row],[PARTIDA]],"0000000000")</f>
        <v>9032100000</v>
      </c>
      <c r="C7914" s="16" t="s">
        <v>860</v>
      </c>
      <c r="D7914" s="16" t="s">
        <v>873</v>
      </c>
      <c r="E7914" s="16" t="s">
        <v>9482</v>
      </c>
      <c r="F7914" s="27" t="s">
        <v>16000</v>
      </c>
      <c r="G7914" s="27"/>
      <c r="H7914" s="16" t="str">
        <f>IF(ISBLANK(PARTIDAS!$G7914),PARTIDAS!$F7914,CONCATENATE(PARTIDAS!$F7914," (",PARTIDAS!$G7914,")"))</f>
        <v>Termostatos</v>
      </c>
      <c r="I7914" s="16" t="s">
        <v>9427</v>
      </c>
    </row>
    <row r="7915" spans="1:9" x14ac:dyDescent="0.25">
      <c r="A7915" s="16" t="s">
        <v>8756</v>
      </c>
      <c r="B7915" s="16" t="str">
        <f>TEXT(PARTIDA[[#This Row],[PARTIDA]],"0000000000")</f>
        <v>9032200000</v>
      </c>
      <c r="C7915" s="16" t="s">
        <v>860</v>
      </c>
      <c r="D7915" s="16" t="s">
        <v>873</v>
      </c>
      <c r="E7915" s="16" t="s">
        <v>9482</v>
      </c>
      <c r="F7915" s="27" t="s">
        <v>16001</v>
      </c>
      <c r="G7915" s="27"/>
      <c r="H7915" s="16" t="str">
        <f>IF(ISBLANK(PARTIDAS!$G7915),PARTIDAS!$F7915,CONCATENATE(PARTIDAS!$F7915," (",PARTIDAS!$G7915,")"))</f>
        <v>Manostatos (presostatos)</v>
      </c>
      <c r="I7915" s="16" t="s">
        <v>9427</v>
      </c>
    </row>
    <row r="7916" spans="1:9" x14ac:dyDescent="0.25">
      <c r="A7916" s="16" t="s">
        <v>8757</v>
      </c>
      <c r="B7916" s="16" t="str">
        <f>TEXT(PARTIDA[[#This Row],[PARTIDA]],"0000000000")</f>
        <v>9032810000</v>
      </c>
      <c r="C7916" s="16" t="s">
        <v>860</v>
      </c>
      <c r="D7916" s="16" t="s">
        <v>873</v>
      </c>
      <c r="E7916" s="16" t="s">
        <v>9482</v>
      </c>
      <c r="F7916" s="27" t="s">
        <v>16002</v>
      </c>
      <c r="G7916" s="27"/>
      <c r="H7916" s="16" t="str">
        <f>IF(ISBLANK(PARTIDAS!$G7916),PARTIDAS!$F7916,CONCATENATE(PARTIDAS!$F7916," (",PARTIDAS!$G7916,")"))</f>
        <v>Hidráulicos o neumáticos</v>
      </c>
      <c r="I7916" s="16" t="s">
        <v>9427</v>
      </c>
    </row>
    <row r="7917" spans="1:9" x14ac:dyDescent="0.25">
      <c r="A7917" s="16" t="s">
        <v>8758</v>
      </c>
      <c r="B7917" s="16" t="str">
        <f>TEXT(PARTIDA[[#This Row],[PARTIDA]],"0000000000")</f>
        <v>9032891100</v>
      </c>
      <c r="C7917" s="16" t="s">
        <v>860</v>
      </c>
      <c r="D7917" s="16" t="s">
        <v>873</v>
      </c>
      <c r="E7917" s="16" t="s">
        <v>9482</v>
      </c>
      <c r="F7917" s="27" t="s">
        <v>16003</v>
      </c>
      <c r="G7917" s="27"/>
      <c r="H7917" s="16" t="str">
        <f>IF(ISBLANK(PARTIDAS!$G7917),PARTIDAS!$F7917,CONCATENATE(PARTIDAS!$F7917," (",PARTIDAS!$G7917,")"))</f>
        <v>Reguladores de voltaje, para una tensión inferior o igual a 260 V e intensidad inferior o igual a 30 A</v>
      </c>
      <c r="I7917" s="16" t="s">
        <v>9427</v>
      </c>
    </row>
    <row r="7918" spans="1:9" x14ac:dyDescent="0.25">
      <c r="A7918" s="16" t="s">
        <v>8759</v>
      </c>
      <c r="B7918" s="16" t="str">
        <f>TEXT(PARTIDA[[#This Row],[PARTIDA]],"0000000000")</f>
        <v>9032891900</v>
      </c>
      <c r="C7918" s="16" t="s">
        <v>860</v>
      </c>
      <c r="D7918" s="16" t="s">
        <v>873</v>
      </c>
      <c r="E7918" s="16" t="s">
        <v>9482</v>
      </c>
      <c r="F7918" s="27" t="s">
        <v>16004</v>
      </c>
      <c r="G7918" s="27"/>
      <c r="H7918" s="16" t="str">
        <f>IF(ISBLANK(PARTIDAS!$G7918),PARTIDAS!$F7918,CONCATENATE(PARTIDAS!$F7918," (",PARTIDAS!$G7918,")"))</f>
        <v>Reguladores de voltaje (los demás)</v>
      </c>
      <c r="I7918" s="16" t="s">
        <v>9427</v>
      </c>
    </row>
    <row r="7919" spans="1:9" x14ac:dyDescent="0.25">
      <c r="A7919" s="16" t="s">
        <v>8760</v>
      </c>
      <c r="B7919" s="16" t="str">
        <f>TEXT(PARTIDA[[#This Row],[PARTIDA]],"0000000000")</f>
        <v>9032899000</v>
      </c>
      <c r="C7919" s="16" t="s">
        <v>860</v>
      </c>
      <c r="D7919" s="16" t="s">
        <v>873</v>
      </c>
      <c r="E7919" s="16" t="s">
        <v>9482</v>
      </c>
      <c r="F7919" s="27" t="s">
        <v>7810</v>
      </c>
      <c r="G7919" s="27"/>
      <c r="H7919" s="16" t="str">
        <f>IF(ISBLANK(PARTIDAS!$G7919),PARTIDAS!$F7919,CONCATENATE(PARTIDAS!$F7919," (",PARTIDAS!$G7919,")"))</f>
        <v>Instrumentos para la industria</v>
      </c>
      <c r="I7919" s="16" t="s">
        <v>9427</v>
      </c>
    </row>
    <row r="7920" spans="1:9" x14ac:dyDescent="0.25">
      <c r="A7920" s="16" t="s">
        <v>8761</v>
      </c>
      <c r="B7920" s="16" t="str">
        <f>TEXT(PARTIDA[[#This Row],[PARTIDA]],"0000000000")</f>
        <v>9032901000</v>
      </c>
      <c r="C7920" s="16" t="s">
        <v>860</v>
      </c>
      <c r="D7920" s="16" t="s">
        <v>873</v>
      </c>
      <c r="E7920" s="16" t="s">
        <v>9482</v>
      </c>
      <c r="F7920" s="27" t="s">
        <v>16005</v>
      </c>
      <c r="G7920" s="27"/>
      <c r="H7920" s="16" t="str">
        <f>IF(ISBLANK(PARTIDAS!$G7920),PARTIDAS!$F7920,CONCATENATE(PARTIDAS!$F7920," (",PARTIDAS!$G7920,")"))</f>
        <v>Instrumentos y aparatos para regulación o control…, partes y accesorios, de termostatos</v>
      </c>
      <c r="I7920" s="16" t="s">
        <v>9427</v>
      </c>
    </row>
    <row r="7921" spans="1:9" x14ac:dyDescent="0.25">
      <c r="A7921" s="16" t="s">
        <v>8762</v>
      </c>
      <c r="B7921" s="16" t="str">
        <f>TEXT(PARTIDA[[#This Row],[PARTIDA]],"0000000000")</f>
        <v>9032902000</v>
      </c>
      <c r="C7921" s="16" t="s">
        <v>860</v>
      </c>
      <c r="D7921" s="16" t="s">
        <v>873</v>
      </c>
      <c r="E7921" s="16" t="s">
        <v>9482</v>
      </c>
      <c r="F7921" s="27" t="s">
        <v>16006</v>
      </c>
      <c r="G7921" s="27"/>
      <c r="H7921" s="16" t="str">
        <f>IF(ISBLANK(PARTIDAS!$G7921),PARTIDAS!$F7921,CONCATENATE(PARTIDAS!$F7921," (",PARTIDAS!$G7921,")"))</f>
        <v>Instrumentos y aparatos para regulación o control…, partes y accesorios, de reguladores de voltaje</v>
      </c>
      <c r="I7921" s="16" t="s">
        <v>9427</v>
      </c>
    </row>
    <row r="7922" spans="1:9" x14ac:dyDescent="0.25">
      <c r="A7922" s="16" t="s">
        <v>8763</v>
      </c>
      <c r="B7922" s="16" t="str">
        <f>TEXT(PARTIDA[[#This Row],[PARTIDA]],"0000000000")</f>
        <v>9032909000</v>
      </c>
      <c r="C7922" s="16" t="s">
        <v>860</v>
      </c>
      <c r="D7922" s="16" t="s">
        <v>873</v>
      </c>
      <c r="E7922" s="16" t="s">
        <v>9482</v>
      </c>
      <c r="F7922" s="27" t="s">
        <v>16007</v>
      </c>
      <c r="G7922" s="27"/>
      <c r="H7922" s="16" t="str">
        <f>IF(ISBLANK(PARTIDAS!$G7922),PARTIDAS!$F7922,CONCATENATE(PARTIDAS!$F7922," (",PARTIDAS!$G7922,")"))</f>
        <v>Instrumentos y aparatos para regulación o control…, partes y accesorios (los demás)</v>
      </c>
      <c r="I7922" s="16" t="s">
        <v>9427</v>
      </c>
    </row>
    <row r="7923" spans="1:9" x14ac:dyDescent="0.25">
      <c r="A7923" s="16" t="s">
        <v>8764</v>
      </c>
      <c r="B7923" s="16" t="str">
        <f>TEXT(PARTIDA[[#This Row],[PARTIDA]],"0000000000")</f>
        <v>9033000000</v>
      </c>
      <c r="C7923" s="16" t="s">
        <v>860</v>
      </c>
      <c r="D7923" s="16" t="s">
        <v>873</v>
      </c>
      <c r="E7923" s="16" t="s">
        <v>9482</v>
      </c>
      <c r="F7923" s="27" t="s">
        <v>7097</v>
      </c>
      <c r="G7923" s="27"/>
      <c r="H7923" s="16" t="str">
        <f>IF(ISBLANK(PARTIDAS!$G7923),PARTIDAS!$F7923,CONCATENATE(PARTIDAS!$F7923," (",PARTIDAS!$G7923,")"))</f>
        <v>Partes de máquinas</v>
      </c>
      <c r="I7923" s="16" t="s">
        <v>9427</v>
      </c>
    </row>
    <row r="7924" spans="1:9" x14ac:dyDescent="0.25">
      <c r="A7924" s="16" t="s">
        <v>8765</v>
      </c>
      <c r="B7924" s="16" t="str">
        <f>TEXT(PARTIDA[[#This Row],[PARTIDA]],"0000000000")</f>
        <v>9101110000</v>
      </c>
      <c r="C7924" s="16" t="s">
        <v>786</v>
      </c>
      <c r="D7924" s="16" t="s">
        <v>799</v>
      </c>
      <c r="E7924" s="16" t="s">
        <v>9440</v>
      </c>
      <c r="F7924" s="27" t="s">
        <v>16008</v>
      </c>
      <c r="G7924" s="27"/>
      <c r="H7924" s="16" t="str">
        <f>IF(ISBLANK(PARTIDAS!$G7924),PARTIDAS!$F7924,CONCATENATE(PARTIDAS!$F7924," (",PARTIDAS!$G7924,")"))</f>
        <v>Relojes de pulsera, eléctricos, incluso con contador de tiempo…, con indicador mecánico solamente</v>
      </c>
      <c r="I7924" s="16" t="s">
        <v>9427</v>
      </c>
    </row>
    <row r="7925" spans="1:9" x14ac:dyDescent="0.25">
      <c r="A7925" s="16" t="s">
        <v>8766</v>
      </c>
      <c r="B7925" s="16" t="str">
        <f>TEXT(PARTIDA[[#This Row],[PARTIDA]],"0000000000")</f>
        <v>9101190000</v>
      </c>
      <c r="C7925" s="16" t="s">
        <v>786</v>
      </c>
      <c r="D7925" s="16" t="s">
        <v>799</v>
      </c>
      <c r="E7925" s="16" t="s">
        <v>9440</v>
      </c>
      <c r="F7925" s="27" t="s">
        <v>16009</v>
      </c>
      <c r="G7925" s="27"/>
      <c r="H7925" s="16" t="str">
        <f>IF(ISBLANK(PARTIDAS!$G7925),PARTIDAS!$F7925,CONCATENATE(PARTIDAS!$F7925," (",PARTIDAS!$G7925,")"))</f>
        <v>Relojes de pulsera, eléctricos, incluso con contador de tiempo… (los demás)</v>
      </c>
      <c r="I7925" s="16" t="s">
        <v>9427</v>
      </c>
    </row>
    <row r="7926" spans="1:9" x14ac:dyDescent="0.25">
      <c r="A7926" s="16" t="s">
        <v>8767</v>
      </c>
      <c r="B7926" s="16" t="str">
        <f>TEXT(PARTIDA[[#This Row],[PARTIDA]],"0000000000")</f>
        <v>9101210000</v>
      </c>
      <c r="C7926" s="16" t="s">
        <v>786</v>
      </c>
      <c r="D7926" s="16" t="s">
        <v>799</v>
      </c>
      <c r="E7926" s="16" t="s">
        <v>9440</v>
      </c>
      <c r="F7926" s="27" t="s">
        <v>16010</v>
      </c>
      <c r="G7926" s="27"/>
      <c r="H7926" s="16" t="str">
        <f>IF(ISBLANK(PARTIDAS!$G7926),PARTIDAS!$F7926,CONCATENATE(PARTIDAS!$F7926," (",PARTIDAS!$G7926,")"))</f>
        <v>Relojes de pulsera, bolsillo y similares (incluidos los contadores de…, automáticos</v>
      </c>
      <c r="I7926" s="16" t="s">
        <v>9427</v>
      </c>
    </row>
    <row r="7927" spans="1:9" x14ac:dyDescent="0.25">
      <c r="A7927" s="16" t="s">
        <v>8768</v>
      </c>
      <c r="B7927" s="16" t="str">
        <f>TEXT(PARTIDA[[#This Row],[PARTIDA]],"0000000000")</f>
        <v>9101290000</v>
      </c>
      <c r="C7927" s="16" t="s">
        <v>786</v>
      </c>
      <c r="D7927" s="16" t="s">
        <v>799</v>
      </c>
      <c r="E7927" s="16" t="s">
        <v>9440</v>
      </c>
      <c r="F7927" s="27" t="s">
        <v>16011</v>
      </c>
      <c r="G7927" s="27"/>
      <c r="H7927" s="16" t="str">
        <f>IF(ISBLANK(PARTIDAS!$G7927),PARTIDAS!$F7927,CONCATENATE(PARTIDAS!$F7927," (",PARTIDAS!$G7927,")"))</f>
        <v>Relojes de pulsera, bolsillo y similares (incluidos los contadores de… (los demás)</v>
      </c>
      <c r="I7927" s="16" t="s">
        <v>9427</v>
      </c>
    </row>
    <row r="7928" spans="1:9" x14ac:dyDescent="0.25">
      <c r="A7928" s="16" t="s">
        <v>8769</v>
      </c>
      <c r="B7928" s="16" t="str">
        <f>TEXT(PARTIDA[[#This Row],[PARTIDA]],"0000000000")</f>
        <v>9101910000</v>
      </c>
      <c r="C7928" s="16" t="s">
        <v>786</v>
      </c>
      <c r="D7928" s="16" t="s">
        <v>799</v>
      </c>
      <c r="E7928" s="16" t="s">
        <v>9440</v>
      </c>
      <c r="F7928" s="27" t="s">
        <v>16012</v>
      </c>
      <c r="G7928" s="27"/>
      <c r="H7928" s="16" t="str">
        <f>IF(ISBLANK(PARTIDAS!$G7928),PARTIDAS!$F7928,CONCATENATE(PARTIDAS!$F7928," (",PARTIDAS!$G7928,")"))</f>
        <v>Relojes de pulsera, bolsillo y similares (incluidos los contadores de…, eléctricos</v>
      </c>
      <c r="I7928" s="16" t="s">
        <v>9427</v>
      </c>
    </row>
    <row r="7929" spans="1:9" x14ac:dyDescent="0.25">
      <c r="A7929" s="16" t="s">
        <v>8770</v>
      </c>
      <c r="B7929" s="16" t="str">
        <f>TEXT(PARTIDA[[#This Row],[PARTIDA]],"0000000000")</f>
        <v>9101990000</v>
      </c>
      <c r="C7929" s="16" t="s">
        <v>786</v>
      </c>
      <c r="D7929" s="16" t="s">
        <v>799</v>
      </c>
      <c r="E7929" s="16" t="s">
        <v>9440</v>
      </c>
      <c r="F7929" s="27" t="s">
        <v>16011</v>
      </c>
      <c r="G7929" s="27"/>
      <c r="H7929" s="16" t="str">
        <f>IF(ISBLANK(PARTIDAS!$G7929),PARTIDAS!$F7929,CONCATENATE(PARTIDAS!$F7929," (",PARTIDAS!$G7929,")"))</f>
        <v>Relojes de pulsera, bolsillo y similares (incluidos los contadores de… (los demás)</v>
      </c>
      <c r="I7929" s="16" t="s">
        <v>9427</v>
      </c>
    </row>
    <row r="7930" spans="1:9" x14ac:dyDescent="0.25">
      <c r="A7930" s="16" t="s">
        <v>8771</v>
      </c>
      <c r="B7930" s="16" t="str">
        <f>TEXT(PARTIDA[[#This Row],[PARTIDA]],"0000000000")</f>
        <v>9102110000</v>
      </c>
      <c r="C7930" s="16" t="s">
        <v>786</v>
      </c>
      <c r="D7930" s="16" t="s">
        <v>799</v>
      </c>
      <c r="E7930" s="16" t="s">
        <v>9440</v>
      </c>
      <c r="F7930" s="27" t="s">
        <v>16008</v>
      </c>
      <c r="G7930" s="27"/>
      <c r="H7930" s="16" t="str">
        <f>IF(ISBLANK(PARTIDAS!$G7930),PARTIDAS!$F7930,CONCATENATE(PARTIDAS!$F7930," (",PARTIDAS!$G7930,")"))</f>
        <v>Relojes de pulsera, eléctricos, incluso con contador de tiempo…, con indicador mecánico solamente</v>
      </c>
      <c r="I7930" s="16" t="s">
        <v>9427</v>
      </c>
    </row>
    <row r="7931" spans="1:9" x14ac:dyDescent="0.25">
      <c r="A7931" s="16" t="s">
        <v>8772</v>
      </c>
      <c r="B7931" s="16" t="str">
        <f>TEXT(PARTIDA[[#This Row],[PARTIDA]],"0000000000")</f>
        <v>9102120000</v>
      </c>
      <c r="C7931" s="16" t="s">
        <v>786</v>
      </c>
      <c r="D7931" s="16" t="s">
        <v>799</v>
      </c>
      <c r="E7931" s="16" t="s">
        <v>9440</v>
      </c>
      <c r="F7931" s="27" t="s">
        <v>16013</v>
      </c>
      <c r="G7931" s="27"/>
      <c r="H7931" s="16" t="str">
        <f>IF(ISBLANK(PARTIDAS!$G7931),PARTIDAS!$F7931,CONCATENATE(PARTIDAS!$F7931," (",PARTIDAS!$G7931,")"))</f>
        <v>Relojes de pulsera, eléctricos, incluso con contador de tiempo…, con indicador optoelectrónico solamente</v>
      </c>
      <c r="I7931" s="16" t="s">
        <v>9427</v>
      </c>
    </row>
    <row r="7932" spans="1:9" x14ac:dyDescent="0.25">
      <c r="A7932" s="16" t="s">
        <v>8773</v>
      </c>
      <c r="B7932" s="16" t="str">
        <f>TEXT(PARTIDA[[#This Row],[PARTIDA]],"0000000000")</f>
        <v>9102190000</v>
      </c>
      <c r="C7932" s="16" t="s">
        <v>786</v>
      </c>
      <c r="D7932" s="16" t="s">
        <v>799</v>
      </c>
      <c r="E7932" s="16" t="s">
        <v>9440</v>
      </c>
      <c r="F7932" s="27" t="s">
        <v>16009</v>
      </c>
      <c r="G7932" s="27"/>
      <c r="H7932" s="16" t="str">
        <f>IF(ISBLANK(PARTIDAS!$G7932),PARTIDAS!$F7932,CONCATENATE(PARTIDAS!$F7932," (",PARTIDAS!$G7932,")"))</f>
        <v>Relojes de pulsera, eléctricos, incluso con contador de tiempo… (los demás)</v>
      </c>
      <c r="I7932" s="16" t="s">
        <v>9427</v>
      </c>
    </row>
    <row r="7933" spans="1:9" x14ac:dyDescent="0.25">
      <c r="A7933" s="16" t="s">
        <v>8774</v>
      </c>
      <c r="B7933" s="16" t="str">
        <f>TEXT(PARTIDA[[#This Row],[PARTIDA]],"0000000000")</f>
        <v>9102210000</v>
      </c>
      <c r="C7933" s="16" t="s">
        <v>786</v>
      </c>
      <c r="D7933" s="16" t="s">
        <v>799</v>
      </c>
      <c r="E7933" s="16" t="s">
        <v>9440</v>
      </c>
      <c r="F7933" s="27" t="s">
        <v>16010</v>
      </c>
      <c r="G7933" s="27"/>
      <c r="H7933" s="16" t="str">
        <f>IF(ISBLANK(PARTIDAS!$G7933),PARTIDAS!$F7933,CONCATENATE(PARTIDAS!$F7933," (",PARTIDAS!$G7933,")"))</f>
        <v>Relojes de pulsera, bolsillo y similares (incluidos los contadores de…, automáticos</v>
      </c>
      <c r="I7933" s="16" t="s">
        <v>9427</v>
      </c>
    </row>
    <row r="7934" spans="1:9" x14ac:dyDescent="0.25">
      <c r="A7934" s="16" t="s">
        <v>8775</v>
      </c>
      <c r="B7934" s="16" t="str">
        <f>TEXT(PARTIDA[[#This Row],[PARTIDA]],"0000000000")</f>
        <v>9102290000</v>
      </c>
      <c r="C7934" s="16" t="s">
        <v>786</v>
      </c>
      <c r="D7934" s="16" t="s">
        <v>799</v>
      </c>
      <c r="E7934" s="16" t="s">
        <v>9440</v>
      </c>
      <c r="F7934" s="27" t="s">
        <v>16011</v>
      </c>
      <c r="G7934" s="27"/>
      <c r="H7934" s="16" t="str">
        <f>IF(ISBLANK(PARTIDAS!$G7934),PARTIDAS!$F7934,CONCATENATE(PARTIDAS!$F7934," (",PARTIDAS!$G7934,")"))</f>
        <v>Relojes de pulsera, bolsillo y similares (incluidos los contadores de… (los demás)</v>
      </c>
      <c r="I7934" s="16" t="s">
        <v>9427</v>
      </c>
    </row>
    <row r="7935" spans="1:9" x14ac:dyDescent="0.25">
      <c r="A7935" s="16" t="s">
        <v>8776</v>
      </c>
      <c r="B7935" s="16" t="str">
        <f>TEXT(PARTIDA[[#This Row],[PARTIDA]],"0000000000")</f>
        <v>9102910000</v>
      </c>
      <c r="C7935" s="16" t="s">
        <v>786</v>
      </c>
      <c r="D7935" s="16" t="s">
        <v>799</v>
      </c>
      <c r="E7935" s="16" t="s">
        <v>9440</v>
      </c>
      <c r="F7935" s="27" t="s">
        <v>16012</v>
      </c>
      <c r="G7935" s="27"/>
      <c r="H7935" s="16" t="str">
        <f>IF(ISBLANK(PARTIDAS!$G7935),PARTIDAS!$F7935,CONCATENATE(PARTIDAS!$F7935," (",PARTIDAS!$G7935,")"))</f>
        <v>Relojes de pulsera, bolsillo y similares (incluidos los contadores de…, eléctricos</v>
      </c>
      <c r="I7935" s="16" t="s">
        <v>9427</v>
      </c>
    </row>
    <row r="7936" spans="1:9" x14ac:dyDescent="0.25">
      <c r="A7936" s="16" t="s">
        <v>8777</v>
      </c>
      <c r="B7936" s="16" t="str">
        <f>TEXT(PARTIDA[[#This Row],[PARTIDA]],"0000000000")</f>
        <v>9102990000</v>
      </c>
      <c r="C7936" s="16" t="s">
        <v>786</v>
      </c>
      <c r="D7936" s="16" t="s">
        <v>799</v>
      </c>
      <c r="E7936" s="16" t="s">
        <v>9440</v>
      </c>
      <c r="F7936" s="27" t="s">
        <v>16011</v>
      </c>
      <c r="G7936" s="27"/>
      <c r="H7936" s="16" t="str">
        <f>IF(ISBLANK(PARTIDAS!$G7936),PARTIDAS!$F7936,CONCATENATE(PARTIDAS!$F7936," (",PARTIDAS!$G7936,")"))</f>
        <v>Relojes de pulsera, bolsillo y similares (incluidos los contadores de… (los demás)</v>
      </c>
      <c r="I7936" s="16" t="s">
        <v>9427</v>
      </c>
    </row>
    <row r="7937" spans="1:9" x14ac:dyDescent="0.25">
      <c r="A7937" s="16" t="s">
        <v>8778</v>
      </c>
      <c r="B7937" s="16" t="str">
        <f>TEXT(PARTIDA[[#This Row],[PARTIDA]],"0000000000")</f>
        <v>9103100000</v>
      </c>
      <c r="C7937" s="16" t="s">
        <v>786</v>
      </c>
      <c r="D7937" s="16" t="s">
        <v>799</v>
      </c>
      <c r="E7937" s="16" t="s">
        <v>9440</v>
      </c>
      <c r="F7937" s="27" t="s">
        <v>16014</v>
      </c>
      <c r="G7937" s="27"/>
      <c r="H7937" s="16" t="str">
        <f>IF(ISBLANK(PARTIDAS!$G7937),PARTIDAS!$F7937,CONCATENATE(PARTIDAS!$F7937," (",PARTIDAS!$G7937,")"))</f>
        <v>Eléctricos</v>
      </c>
      <c r="I7937" s="16" t="s">
        <v>9427</v>
      </c>
    </row>
    <row r="7938" spans="1:9" x14ac:dyDescent="0.25">
      <c r="A7938" s="16" t="s">
        <v>8779</v>
      </c>
      <c r="B7938" s="16" t="str">
        <f>TEXT(PARTIDA[[#This Row],[PARTIDA]],"0000000000")</f>
        <v>9103900000</v>
      </c>
      <c r="C7938" s="16" t="s">
        <v>786</v>
      </c>
      <c r="D7938" s="16" t="s">
        <v>799</v>
      </c>
      <c r="E7938" s="16" t="s">
        <v>9440</v>
      </c>
      <c r="F7938" s="27" t="s">
        <v>16015</v>
      </c>
      <c r="G7938" s="27"/>
      <c r="H7938" s="16" t="str">
        <f>IF(ISBLANK(PARTIDAS!$G7938),PARTIDAS!$F7938,CONCATENATE(PARTIDAS!$F7938," (",PARTIDAS!$G7938,")"))</f>
        <v>Despertadores y demás relojes de pequeño mecanismo de relojería (los demás)</v>
      </c>
      <c r="I7938" s="16" t="s">
        <v>9427</v>
      </c>
    </row>
    <row r="7939" spans="1:9" x14ac:dyDescent="0.25">
      <c r="A7939" s="16" t="s">
        <v>8780</v>
      </c>
      <c r="B7939" s="16" t="str">
        <f>TEXT(PARTIDA[[#This Row],[PARTIDA]],"0000000000")</f>
        <v>9104001000</v>
      </c>
      <c r="C7939" s="16" t="s">
        <v>786</v>
      </c>
      <c r="D7939" s="16" t="s">
        <v>799</v>
      </c>
      <c r="E7939" s="16" t="s">
        <v>9440</v>
      </c>
      <c r="F7939" s="27" t="s">
        <v>16016</v>
      </c>
      <c r="G7939" s="27"/>
      <c r="H7939" s="16" t="str">
        <f>IF(ISBLANK(PARTIDAS!$G7939),PARTIDAS!$F7939,CONCATENATE(PARTIDAS!$F7939," (",PARTIDAS!$G7939,")"))</f>
        <v>Despertadores y demás relojes de pequeño mecanismo de relojería.…, para vehículos del Capítulo 87</v>
      </c>
      <c r="I7939" s="16" t="s">
        <v>9427</v>
      </c>
    </row>
    <row r="7940" spans="1:9" x14ac:dyDescent="0.25">
      <c r="A7940" s="16" t="s">
        <v>8781</v>
      </c>
      <c r="B7940" s="16" t="str">
        <f>TEXT(PARTIDA[[#This Row],[PARTIDA]],"0000000000")</f>
        <v>9104009000</v>
      </c>
      <c r="C7940" s="16" t="s">
        <v>786</v>
      </c>
      <c r="D7940" s="16" t="s">
        <v>799</v>
      </c>
      <c r="E7940" s="16" t="s">
        <v>9440</v>
      </c>
      <c r="F7940" s="27" t="s">
        <v>16017</v>
      </c>
      <c r="G7940" s="27"/>
      <c r="H7940" s="16" t="str">
        <f>IF(ISBLANK(PARTIDAS!$G7940),PARTIDAS!$F7940,CONCATENATE(PARTIDAS!$F7940," (",PARTIDAS!$G7940,")"))</f>
        <v>Despertadores y demás relojes de pequeño mecanismo de relojería.… (los demás)</v>
      </c>
      <c r="I7940" s="16" t="s">
        <v>9427</v>
      </c>
    </row>
    <row r="7941" spans="1:9" x14ac:dyDescent="0.25">
      <c r="A7941" s="16" t="s">
        <v>8782</v>
      </c>
      <c r="B7941" s="16" t="str">
        <f>TEXT(PARTIDA[[#This Row],[PARTIDA]],"0000000000")</f>
        <v>9105110000</v>
      </c>
      <c r="C7941" s="16" t="s">
        <v>786</v>
      </c>
      <c r="D7941" s="16" t="s">
        <v>799</v>
      </c>
      <c r="E7941" s="16" t="s">
        <v>9440</v>
      </c>
      <c r="F7941" s="27" t="s">
        <v>16018</v>
      </c>
      <c r="G7941" s="27"/>
      <c r="H7941" s="16" t="str">
        <f>IF(ISBLANK(PARTIDAS!$G7941),PARTIDAS!$F7941,CONCATENATE(PARTIDAS!$F7941," (",PARTIDAS!$G7941,")"))</f>
        <v>Despertadores, eléctricos</v>
      </c>
      <c r="I7941" s="16" t="s">
        <v>9427</v>
      </c>
    </row>
    <row r="7942" spans="1:9" x14ac:dyDescent="0.25">
      <c r="A7942" s="16" t="s">
        <v>8783</v>
      </c>
      <c r="B7942" s="16" t="str">
        <f>TEXT(PARTIDA[[#This Row],[PARTIDA]],"0000000000")</f>
        <v>9105190000</v>
      </c>
      <c r="C7942" s="16" t="s">
        <v>786</v>
      </c>
      <c r="D7942" s="16" t="s">
        <v>799</v>
      </c>
      <c r="E7942" s="16" t="s">
        <v>9440</v>
      </c>
      <c r="F7942" s="27" t="s">
        <v>16019</v>
      </c>
      <c r="G7942" s="27"/>
      <c r="H7942" s="16" t="str">
        <f>IF(ISBLANK(PARTIDAS!$G7942),PARTIDAS!$F7942,CONCATENATE(PARTIDAS!$F7942," (",PARTIDAS!$G7942,")"))</f>
        <v>Despertadores (los demás)</v>
      </c>
      <c r="I7942" s="16" t="s">
        <v>9427</v>
      </c>
    </row>
    <row r="7943" spans="1:9" x14ac:dyDescent="0.25">
      <c r="A7943" s="16" t="s">
        <v>8784</v>
      </c>
      <c r="B7943" s="16" t="str">
        <f>TEXT(PARTIDA[[#This Row],[PARTIDA]],"0000000000")</f>
        <v>9105210000</v>
      </c>
      <c r="C7943" s="16" t="s">
        <v>786</v>
      </c>
      <c r="D7943" s="16" t="s">
        <v>799</v>
      </c>
      <c r="E7943" s="16" t="s">
        <v>9440</v>
      </c>
      <c r="F7943" s="27" t="s">
        <v>16020</v>
      </c>
      <c r="G7943" s="27"/>
      <c r="H7943" s="16" t="str">
        <f>IF(ISBLANK(PARTIDAS!$G7943),PARTIDAS!$F7943,CONCATENATE(PARTIDAS!$F7943," (",PARTIDAS!$G7943,")"))</f>
        <v>Relojes de pared, eléctricos</v>
      </c>
      <c r="I7943" s="16" t="s">
        <v>9427</v>
      </c>
    </row>
    <row r="7944" spans="1:9" x14ac:dyDescent="0.25">
      <c r="A7944" s="16" t="s">
        <v>8785</v>
      </c>
      <c r="B7944" s="16" t="str">
        <f>TEXT(PARTIDA[[#This Row],[PARTIDA]],"0000000000")</f>
        <v>9105290000</v>
      </c>
      <c r="C7944" s="16" t="s">
        <v>786</v>
      </c>
      <c r="D7944" s="16" t="s">
        <v>799</v>
      </c>
      <c r="E7944" s="16" t="s">
        <v>9440</v>
      </c>
      <c r="F7944" s="27" t="s">
        <v>16021</v>
      </c>
      <c r="G7944" s="27"/>
      <c r="H7944" s="16" t="str">
        <f>IF(ISBLANK(PARTIDAS!$G7944),PARTIDAS!$F7944,CONCATENATE(PARTIDAS!$F7944," (",PARTIDAS!$G7944,")"))</f>
        <v>Relojes de pared (los demás)</v>
      </c>
      <c r="I7944" s="16" t="s">
        <v>9427</v>
      </c>
    </row>
    <row r="7945" spans="1:9" x14ac:dyDescent="0.25">
      <c r="A7945" s="16" t="s">
        <v>8786</v>
      </c>
      <c r="B7945" s="16" t="str">
        <f>TEXT(PARTIDA[[#This Row],[PARTIDA]],"0000000000")</f>
        <v>9105911000</v>
      </c>
      <c r="C7945" s="16" t="s">
        <v>786</v>
      </c>
      <c r="D7945" s="16" t="s">
        <v>799</v>
      </c>
      <c r="E7945" s="16" t="s">
        <v>9440</v>
      </c>
      <c r="F7945" s="27" t="s">
        <v>16022</v>
      </c>
      <c r="G7945" s="27"/>
      <c r="H7945" s="16" t="str">
        <f>IF(ISBLANK(PARTIDAS!$G7945),PARTIDAS!$F7945,CONCATENATE(PARTIDAS!$F7945," (",PARTIDAS!$G7945,")"))</f>
        <v>Aparatos de relojería para redes eléctricas de distribución y de unificación de la hora (maestro y secundario)</v>
      </c>
      <c r="I7945" s="16" t="s">
        <v>9427</v>
      </c>
    </row>
    <row r="7946" spans="1:9" x14ac:dyDescent="0.25">
      <c r="A7946" s="16" t="s">
        <v>8787</v>
      </c>
      <c r="B7946" s="16" t="str">
        <f>TEXT(PARTIDA[[#This Row],[PARTIDA]],"0000000000")</f>
        <v>9105919000</v>
      </c>
      <c r="C7946" s="16" t="s">
        <v>786</v>
      </c>
      <c r="D7946" s="16" t="s">
        <v>799</v>
      </c>
      <c r="E7946" s="16" t="s">
        <v>9440</v>
      </c>
      <c r="F7946" s="27" t="s">
        <v>16023</v>
      </c>
      <c r="G7946" s="27"/>
      <c r="H7946" s="16" t="str">
        <f>IF(ISBLANK(PARTIDAS!$G7946),PARTIDAS!$F7946,CONCATENATE(PARTIDAS!$F7946," (",PARTIDAS!$G7946,")"))</f>
        <v>Eléctricos (los demás)</v>
      </c>
      <c r="I7946" s="16" t="s">
        <v>9427</v>
      </c>
    </row>
    <row r="7947" spans="1:9" x14ac:dyDescent="0.25">
      <c r="A7947" s="16" t="s">
        <v>8788</v>
      </c>
      <c r="B7947" s="16" t="str">
        <f>TEXT(PARTIDA[[#This Row],[PARTIDA]],"0000000000")</f>
        <v>9105990000</v>
      </c>
      <c r="C7947" s="16" t="s">
        <v>786</v>
      </c>
      <c r="D7947" s="16" t="s">
        <v>799</v>
      </c>
      <c r="E7947" s="16" t="s">
        <v>9440</v>
      </c>
      <c r="F7947" s="27" t="s">
        <v>16024</v>
      </c>
      <c r="G7947" s="27"/>
      <c r="H7947" s="16" t="str">
        <f>IF(ISBLANK(PARTIDAS!$G7947),PARTIDAS!$F7947,CONCATENATE(PARTIDAS!$F7947," (",PARTIDAS!$G7947,")"))</f>
        <v>Aparatos de relojería y sus partes (los demás)</v>
      </c>
      <c r="I7947" s="16" t="s">
        <v>9427</v>
      </c>
    </row>
    <row r="7948" spans="1:9" x14ac:dyDescent="0.25">
      <c r="A7948" s="16" t="s">
        <v>8789</v>
      </c>
      <c r="B7948" s="16" t="str">
        <f>TEXT(PARTIDA[[#This Row],[PARTIDA]],"0000000000")</f>
        <v>9106100000</v>
      </c>
      <c r="C7948" s="16" t="s">
        <v>786</v>
      </c>
      <c r="D7948" s="16" t="s">
        <v>799</v>
      </c>
      <c r="E7948" s="16" t="s">
        <v>9440</v>
      </c>
      <c r="F7948" s="27" t="s">
        <v>16025</v>
      </c>
      <c r="G7948" s="27"/>
      <c r="H7948" s="16" t="str">
        <f>IF(ISBLANK(PARTIDAS!$G7948),PARTIDAS!$F7948,CONCATENATE(PARTIDAS!$F7948," (",PARTIDAS!$G7948,")"))</f>
        <v>Registradores de asistencia; registradores fechadores y registradores contadores</v>
      </c>
      <c r="I7948" s="16" t="s">
        <v>9427</v>
      </c>
    </row>
    <row r="7949" spans="1:9" x14ac:dyDescent="0.25">
      <c r="A7949" s="16" t="s">
        <v>8790</v>
      </c>
      <c r="B7949" s="16" t="str">
        <f>TEXT(PARTIDA[[#This Row],[PARTIDA]],"0000000000")</f>
        <v>9106901000</v>
      </c>
      <c r="C7949" s="16" t="s">
        <v>786</v>
      </c>
      <c r="D7949" s="16" t="s">
        <v>799</v>
      </c>
      <c r="E7949" s="16" t="s">
        <v>9440</v>
      </c>
      <c r="F7949" s="27" t="s">
        <v>16026</v>
      </c>
      <c r="G7949" s="27"/>
      <c r="H7949" s="16" t="str">
        <f>IF(ISBLANK(PARTIDAS!$G7949),PARTIDAS!$F7949,CONCATENATE(PARTIDAS!$F7949," (",PARTIDAS!$G7949,")"))</f>
        <v>Aparatos de control de tiempo y contadores de tiempo, con mecanismo…, parquímetros</v>
      </c>
      <c r="I7949" s="16" t="s">
        <v>9427</v>
      </c>
    </row>
    <row r="7950" spans="1:9" x14ac:dyDescent="0.25">
      <c r="A7950" s="16" t="s">
        <v>8791</v>
      </c>
      <c r="B7950" s="16" t="str">
        <f>TEXT(PARTIDA[[#This Row],[PARTIDA]],"0000000000")</f>
        <v>9106909000</v>
      </c>
      <c r="C7950" s="16" t="s">
        <v>786</v>
      </c>
      <c r="D7950" s="16" t="s">
        <v>799</v>
      </c>
      <c r="E7950" s="16" t="s">
        <v>9440</v>
      </c>
      <c r="F7950" s="27" t="s">
        <v>16027</v>
      </c>
      <c r="G7950" s="27"/>
      <c r="H7950" s="16" t="str">
        <f>IF(ISBLANK(PARTIDAS!$G7950),PARTIDAS!$F7950,CONCATENATE(PARTIDAS!$F7950," (",PARTIDAS!$G7950,")"))</f>
        <v>Aparatos de control de tiempo y contadores de tiempo, con mecanismo… (los demás)</v>
      </c>
      <c r="I7950" s="16" t="s">
        <v>9427</v>
      </c>
    </row>
    <row r="7951" spans="1:9" x14ac:dyDescent="0.25">
      <c r="A7951" s="16" t="s">
        <v>8792</v>
      </c>
      <c r="B7951" s="16" t="str">
        <f>TEXT(PARTIDA[[#This Row],[PARTIDA]],"0000000000")</f>
        <v>9107000000</v>
      </c>
      <c r="C7951" s="16" t="s">
        <v>786</v>
      </c>
      <c r="D7951" s="16" t="s">
        <v>799</v>
      </c>
      <c r="E7951" s="16" t="s">
        <v>9440</v>
      </c>
      <c r="F7951" s="27" t="s">
        <v>7972</v>
      </c>
      <c r="G7951" s="27"/>
      <c r="H7951" s="16" t="str">
        <f>IF(ISBLANK(PARTIDAS!$G7951),PARTIDAS!$F7951,CONCATENATE(PARTIDAS!$F7951," (",PARTIDAS!$G7951,")"))</f>
        <v>Aparatos eléctricos</v>
      </c>
      <c r="I7951" s="16" t="s">
        <v>9427</v>
      </c>
    </row>
    <row r="7952" spans="1:9" x14ac:dyDescent="0.25">
      <c r="A7952" s="16" t="s">
        <v>8793</v>
      </c>
      <c r="B7952" s="16" t="str">
        <f>TEXT(PARTIDA[[#This Row],[PARTIDA]],"0000000000")</f>
        <v>9108110000</v>
      </c>
      <c r="C7952" s="16" t="s">
        <v>786</v>
      </c>
      <c r="D7952" s="16" t="s">
        <v>799</v>
      </c>
      <c r="E7952" s="16" t="s">
        <v>9440</v>
      </c>
      <c r="F7952" s="27" t="s">
        <v>16028</v>
      </c>
      <c r="G7952" s="27"/>
      <c r="H7952" s="16" t="str">
        <f>IF(ISBLANK(PARTIDAS!$G7952),PARTIDAS!$F7952,CONCATENATE(PARTIDAS!$F7952," (",PARTIDAS!$G7952,")"))</f>
        <v>Eléctricos, con indicador mecánico solamente o con dispositivo que permita incorporarlo</v>
      </c>
      <c r="I7952" s="16" t="s">
        <v>9427</v>
      </c>
    </row>
    <row r="7953" spans="1:9" x14ac:dyDescent="0.25">
      <c r="A7953" s="16" t="s">
        <v>8794</v>
      </c>
      <c r="B7953" s="16" t="str">
        <f>TEXT(PARTIDA[[#This Row],[PARTIDA]],"0000000000")</f>
        <v>9108120000</v>
      </c>
      <c r="C7953" s="16" t="s">
        <v>786</v>
      </c>
      <c r="D7953" s="16" t="s">
        <v>799</v>
      </c>
      <c r="E7953" s="16" t="s">
        <v>9440</v>
      </c>
      <c r="F7953" s="27" t="s">
        <v>16029</v>
      </c>
      <c r="G7953" s="27"/>
      <c r="H7953" s="16" t="str">
        <f>IF(ISBLANK(PARTIDAS!$G7953),PARTIDAS!$F7953,CONCATENATE(PARTIDAS!$F7953," (",PARTIDAS!$G7953,")"))</f>
        <v>Eléctricos, con indicador optoelectrónico solamente</v>
      </c>
      <c r="I7953" s="16" t="s">
        <v>9427</v>
      </c>
    </row>
    <row r="7954" spans="1:9" x14ac:dyDescent="0.25">
      <c r="A7954" s="16" t="s">
        <v>8795</v>
      </c>
      <c r="B7954" s="16" t="str">
        <f>TEXT(PARTIDA[[#This Row],[PARTIDA]],"0000000000")</f>
        <v>9108190000</v>
      </c>
      <c r="C7954" s="16" t="s">
        <v>786</v>
      </c>
      <c r="D7954" s="16" t="s">
        <v>799</v>
      </c>
      <c r="E7954" s="16" t="s">
        <v>9440</v>
      </c>
      <c r="F7954" s="27" t="s">
        <v>16023</v>
      </c>
      <c r="G7954" s="27"/>
      <c r="H7954" s="16" t="str">
        <f>IF(ISBLANK(PARTIDAS!$G7954),PARTIDAS!$F7954,CONCATENATE(PARTIDAS!$F7954," (",PARTIDAS!$G7954,")"))</f>
        <v>Eléctricos (los demás)</v>
      </c>
      <c r="I7954" s="16" t="s">
        <v>9427</v>
      </c>
    </row>
    <row r="7955" spans="1:9" x14ac:dyDescent="0.25">
      <c r="A7955" s="16" t="s">
        <v>8796</v>
      </c>
      <c r="B7955" s="16" t="str">
        <f>TEXT(PARTIDA[[#This Row],[PARTIDA]],"0000000000")</f>
        <v>9108200000</v>
      </c>
      <c r="C7955" s="16" t="s">
        <v>786</v>
      </c>
      <c r="D7955" s="16" t="s">
        <v>799</v>
      </c>
      <c r="E7955" s="16" t="s">
        <v>9440</v>
      </c>
      <c r="F7955" s="27" t="s">
        <v>16030</v>
      </c>
      <c r="G7955" s="27"/>
      <c r="H7955" s="16" t="str">
        <f>IF(ISBLANK(PARTIDAS!$G7955),PARTIDAS!$F7955,CONCATENATE(PARTIDAS!$F7955," (",PARTIDAS!$G7955,")"))</f>
        <v>Automáticos</v>
      </c>
      <c r="I7955" s="16" t="s">
        <v>9427</v>
      </c>
    </row>
    <row r="7956" spans="1:9" x14ac:dyDescent="0.25">
      <c r="A7956" s="16" t="s">
        <v>8797</v>
      </c>
      <c r="B7956" s="16" t="str">
        <f>TEXT(PARTIDA[[#This Row],[PARTIDA]],"0000000000")</f>
        <v>9108900000</v>
      </c>
      <c r="C7956" s="16" t="s">
        <v>786</v>
      </c>
      <c r="D7956" s="16" t="s">
        <v>799</v>
      </c>
      <c r="E7956" s="16" t="s">
        <v>9440</v>
      </c>
      <c r="F7956" s="27" t="s">
        <v>16031</v>
      </c>
      <c r="G7956" s="27"/>
      <c r="H7956" s="16" t="str">
        <f>IF(ISBLANK(PARTIDAS!$G7956),PARTIDAS!$F7956,CONCATENATE(PARTIDAS!$F7956," (",PARTIDAS!$G7956,")"))</f>
        <v>Pequeños mecanismos de relojería completos y montados (los demás)</v>
      </c>
      <c r="I7956" s="16" t="s">
        <v>9427</v>
      </c>
    </row>
    <row r="7957" spans="1:9" x14ac:dyDescent="0.25">
      <c r="A7957" s="16" t="s">
        <v>8798</v>
      </c>
      <c r="B7957" s="16" t="str">
        <f>TEXT(PARTIDA[[#This Row],[PARTIDA]],"0000000000")</f>
        <v>9109100000</v>
      </c>
      <c r="C7957" s="16" t="s">
        <v>786</v>
      </c>
      <c r="D7957" s="16" t="s">
        <v>799</v>
      </c>
      <c r="E7957" s="16" t="s">
        <v>9440</v>
      </c>
      <c r="F7957" s="27" t="s">
        <v>16014</v>
      </c>
      <c r="G7957" s="27"/>
      <c r="H7957" s="16" t="str">
        <f>IF(ISBLANK(PARTIDAS!$G7957),PARTIDAS!$F7957,CONCATENATE(PARTIDAS!$F7957," (",PARTIDAS!$G7957,")"))</f>
        <v>Eléctricos</v>
      </c>
      <c r="I7957" s="16" t="s">
        <v>9427</v>
      </c>
    </row>
    <row r="7958" spans="1:9" x14ac:dyDescent="0.25">
      <c r="A7958" s="16" t="s">
        <v>8799</v>
      </c>
      <c r="B7958" s="16" t="str">
        <f>TEXT(PARTIDA[[#This Row],[PARTIDA]],"0000000000")</f>
        <v>9109900000</v>
      </c>
      <c r="C7958" s="16" t="s">
        <v>786</v>
      </c>
      <c r="D7958" s="16" t="s">
        <v>799</v>
      </c>
      <c r="E7958" s="16" t="s">
        <v>9440</v>
      </c>
      <c r="F7958" s="27" t="s">
        <v>16024</v>
      </c>
      <c r="G7958" s="27"/>
      <c r="H7958" s="16" t="str">
        <f>IF(ISBLANK(PARTIDAS!$G7958),PARTIDAS!$F7958,CONCATENATE(PARTIDAS!$F7958," (",PARTIDAS!$G7958,")"))</f>
        <v>Aparatos de relojería y sus partes (los demás)</v>
      </c>
      <c r="I7958" s="16" t="s">
        <v>9427</v>
      </c>
    </row>
    <row r="7959" spans="1:9" x14ac:dyDescent="0.25">
      <c r="A7959" s="16" t="s">
        <v>8800</v>
      </c>
      <c r="B7959" s="16" t="str">
        <f>TEXT(PARTIDA[[#This Row],[PARTIDA]],"0000000000")</f>
        <v>9110110000</v>
      </c>
      <c r="C7959" s="16" t="s">
        <v>786</v>
      </c>
      <c r="D7959" s="16" t="s">
        <v>799</v>
      </c>
      <c r="E7959" s="16" t="s">
        <v>9440</v>
      </c>
      <c r="F7959" s="27" t="s">
        <v>16032</v>
      </c>
      <c r="G7959" s="27"/>
      <c r="H7959" s="16" t="str">
        <f>IF(ISBLANK(PARTIDAS!$G7959),PARTIDAS!$F7959,CONCATENATE(PARTIDAS!$F7959," (",PARTIDAS!$G7959,")"))</f>
        <v>Mecanismos completos, sin montar o parcialmente montados («chablons»)</v>
      </c>
      <c r="I7959" s="16" t="s">
        <v>9427</v>
      </c>
    </row>
    <row r="7960" spans="1:9" x14ac:dyDescent="0.25">
      <c r="A7960" s="16" t="s">
        <v>8801</v>
      </c>
      <c r="B7960" s="16" t="str">
        <f>TEXT(PARTIDA[[#This Row],[PARTIDA]],"0000000000")</f>
        <v>9110120000</v>
      </c>
      <c r="C7960" s="16" t="s">
        <v>786</v>
      </c>
      <c r="D7960" s="16" t="s">
        <v>799</v>
      </c>
      <c r="E7960" s="16" t="s">
        <v>9440</v>
      </c>
      <c r="F7960" s="27" t="s">
        <v>16033</v>
      </c>
      <c r="G7960" s="27"/>
      <c r="H7960" s="16" t="str">
        <f>IF(ISBLANK(PARTIDAS!$G7960),PARTIDAS!$F7960,CONCATENATE(PARTIDAS!$F7960," (",PARTIDAS!$G7960,")"))</f>
        <v>Mecanismos incompletos, montados</v>
      </c>
      <c r="I7960" s="16" t="s">
        <v>9427</v>
      </c>
    </row>
    <row r="7961" spans="1:9" x14ac:dyDescent="0.25">
      <c r="A7961" s="16" t="s">
        <v>8802</v>
      </c>
      <c r="B7961" s="16" t="str">
        <f>TEXT(PARTIDA[[#This Row],[PARTIDA]],"0000000000")</f>
        <v>9110190000</v>
      </c>
      <c r="C7961" s="16" t="s">
        <v>786</v>
      </c>
      <c r="D7961" s="16" t="s">
        <v>799</v>
      </c>
      <c r="E7961" s="16" t="s">
        <v>9440</v>
      </c>
      <c r="F7961" s="27" t="s">
        <v>16034</v>
      </c>
      <c r="G7961" s="27"/>
      <c r="H7961" s="16" t="str">
        <f>IF(ISBLANK(PARTIDAS!$G7961),PARTIDAS!$F7961,CONCATENATE(PARTIDAS!$F7961," (",PARTIDAS!$G7961,")"))</f>
        <v>Mecanismos «en blanco» («ébauches»)</v>
      </c>
      <c r="I7961" s="16" t="s">
        <v>9427</v>
      </c>
    </row>
    <row r="7962" spans="1:9" x14ac:dyDescent="0.25">
      <c r="A7962" s="16" t="s">
        <v>8803</v>
      </c>
      <c r="B7962" s="16" t="str">
        <f>TEXT(PARTIDA[[#This Row],[PARTIDA]],"0000000000")</f>
        <v>9110900000</v>
      </c>
      <c r="C7962" s="16" t="s">
        <v>786</v>
      </c>
      <c r="D7962" s="16" t="s">
        <v>799</v>
      </c>
      <c r="E7962" s="16" t="s">
        <v>9440</v>
      </c>
      <c r="F7962" s="27" t="s">
        <v>16035</v>
      </c>
      <c r="G7962" s="27"/>
      <c r="H7962" s="16" t="str">
        <f>IF(ISBLANK(PARTIDAS!$G7962),PARTIDAS!$F7962,CONCATENATE(PARTIDAS!$F7962," (",PARTIDAS!$G7962,")"))</f>
        <v>Mecanismos de relojería completos, sin montar o parcialmente montados… (los demás)</v>
      </c>
      <c r="I7962" s="16" t="s">
        <v>9427</v>
      </c>
    </row>
    <row r="7963" spans="1:9" x14ac:dyDescent="0.25">
      <c r="A7963" s="16" t="s">
        <v>8804</v>
      </c>
      <c r="B7963" s="16" t="str">
        <f>TEXT(PARTIDA[[#This Row],[PARTIDA]],"0000000000")</f>
        <v>9111100000</v>
      </c>
      <c r="C7963" s="16" t="s">
        <v>786</v>
      </c>
      <c r="D7963" s="16" t="s">
        <v>799</v>
      </c>
      <c r="E7963" s="16" t="s">
        <v>9440</v>
      </c>
      <c r="F7963" s="27" t="s">
        <v>16036</v>
      </c>
      <c r="G7963" s="27"/>
      <c r="H7963" s="16" t="str">
        <f>IF(ISBLANK(PARTIDAS!$G7963),PARTIDAS!$F7963,CONCATENATE(PARTIDAS!$F7963," (",PARTIDAS!$G7963,")"))</f>
        <v>Cajas de metal precioso o chapado de metal precioso (plaqué)</v>
      </c>
      <c r="I7963" s="16" t="s">
        <v>9427</v>
      </c>
    </row>
    <row r="7964" spans="1:9" x14ac:dyDescent="0.25">
      <c r="A7964" s="16" t="s">
        <v>8805</v>
      </c>
      <c r="B7964" s="16" t="str">
        <f>TEXT(PARTIDA[[#This Row],[PARTIDA]],"0000000000")</f>
        <v>9111200000</v>
      </c>
      <c r="C7964" s="16" t="s">
        <v>786</v>
      </c>
      <c r="D7964" s="16" t="s">
        <v>799</v>
      </c>
      <c r="E7964" s="16" t="s">
        <v>9440</v>
      </c>
      <c r="F7964" s="27" t="s">
        <v>16037</v>
      </c>
      <c r="G7964" s="27"/>
      <c r="H7964" s="16" t="str">
        <f>IF(ISBLANK(PARTIDAS!$G7964),PARTIDAS!$F7964,CONCATENATE(PARTIDAS!$F7964," (",PARTIDAS!$G7964,")"))</f>
        <v>Cajas de metal común, incluso dorado o plateado</v>
      </c>
      <c r="I7964" s="16" t="s">
        <v>9427</v>
      </c>
    </row>
    <row r="7965" spans="1:9" x14ac:dyDescent="0.25">
      <c r="A7965" s="16" t="s">
        <v>8806</v>
      </c>
      <c r="B7965" s="16" t="str">
        <f>TEXT(PARTIDA[[#This Row],[PARTIDA]],"0000000000")</f>
        <v>9111800000</v>
      </c>
      <c r="C7965" s="16" t="s">
        <v>786</v>
      </c>
      <c r="D7965" s="16" t="s">
        <v>799</v>
      </c>
      <c r="E7965" s="16" t="s">
        <v>9440</v>
      </c>
      <c r="F7965" s="27" t="s">
        <v>16038</v>
      </c>
      <c r="G7965" s="27"/>
      <c r="H7965" s="16" t="str">
        <f>IF(ISBLANK(PARTIDAS!$G7965),PARTIDAS!$F7965,CONCATENATE(PARTIDAS!$F7965," (",PARTIDAS!$G7965,")"))</f>
        <v>Cajas de los relojes de las partidas 91.01 o 91.02, y sus partes (los demás, cajas)</v>
      </c>
      <c r="I7965" s="16" t="s">
        <v>9427</v>
      </c>
    </row>
    <row r="7966" spans="1:9" x14ac:dyDescent="0.25">
      <c r="A7966" s="16" t="s">
        <v>8807</v>
      </c>
      <c r="B7966" s="16" t="str">
        <f>TEXT(PARTIDA[[#This Row],[PARTIDA]],"0000000000")</f>
        <v>9111900000</v>
      </c>
      <c r="C7966" s="16" t="s">
        <v>786</v>
      </c>
      <c r="D7966" s="16" t="s">
        <v>799</v>
      </c>
      <c r="E7966" s="16" t="s">
        <v>9440</v>
      </c>
      <c r="F7966" s="27" t="s">
        <v>16039</v>
      </c>
      <c r="G7966" s="27"/>
      <c r="H7966" s="16" t="str">
        <f>IF(ISBLANK(PARTIDAS!$G7966),PARTIDAS!$F7966,CONCATENATE(PARTIDAS!$F7966," (",PARTIDAS!$G7966,")"))</f>
        <v>Cajas de los relojes de las partidas 91.01 o 91.02, y sus partes, partes</v>
      </c>
      <c r="I7966" s="16" t="s">
        <v>9427</v>
      </c>
    </row>
    <row r="7967" spans="1:9" x14ac:dyDescent="0.25">
      <c r="A7967" s="16" t="s">
        <v>8808</v>
      </c>
      <c r="B7967" s="16" t="str">
        <f>TEXT(PARTIDA[[#This Row],[PARTIDA]],"0000000000")</f>
        <v>9112200000</v>
      </c>
      <c r="C7967" s="16" t="s">
        <v>786</v>
      </c>
      <c r="D7967" s="16" t="s">
        <v>799</v>
      </c>
      <c r="E7967" s="16" t="s">
        <v>9440</v>
      </c>
      <c r="F7967" s="27" t="s">
        <v>16040</v>
      </c>
      <c r="G7967" s="27"/>
      <c r="H7967" s="16" t="str">
        <f>IF(ISBLANK(PARTIDAS!$G7967),PARTIDAS!$F7967,CONCATENATE(PARTIDAS!$F7967," (",PARTIDAS!$G7967,")"))</f>
        <v>Cajas y envolturas similares</v>
      </c>
      <c r="I7967" s="16" t="s">
        <v>9427</v>
      </c>
    </row>
    <row r="7968" spans="1:9" x14ac:dyDescent="0.25">
      <c r="A7968" s="16" t="s">
        <v>8809</v>
      </c>
      <c r="B7968" s="16" t="str">
        <f>TEXT(PARTIDA[[#This Row],[PARTIDA]],"0000000000")</f>
        <v>9112900000</v>
      </c>
      <c r="C7968" s="16" t="s">
        <v>786</v>
      </c>
      <c r="D7968" s="16" t="s">
        <v>799</v>
      </c>
      <c r="E7968" s="16" t="s">
        <v>9440</v>
      </c>
      <c r="F7968" s="27" t="s">
        <v>16041</v>
      </c>
      <c r="G7968" s="27"/>
      <c r="H7968" s="16" t="str">
        <f>IF(ISBLANK(PARTIDAS!$G7968),PARTIDAS!$F7968,CONCATENATE(PARTIDAS!$F7968," (",PARTIDAS!$G7968,")"))</f>
        <v>Cajas y envolturas similares para los demás aparatos de relojería, y…, partes</v>
      </c>
      <c r="I7968" s="16" t="s">
        <v>9427</v>
      </c>
    </row>
    <row r="7969" spans="1:9" x14ac:dyDescent="0.25">
      <c r="A7969" s="16" t="s">
        <v>8810</v>
      </c>
      <c r="B7969" s="16" t="str">
        <f>TEXT(PARTIDA[[#This Row],[PARTIDA]],"0000000000")</f>
        <v>9113100000</v>
      </c>
      <c r="C7969" s="16" t="s">
        <v>786</v>
      </c>
      <c r="D7969" s="16" t="s">
        <v>799</v>
      </c>
      <c r="E7969" s="16" t="s">
        <v>9440</v>
      </c>
      <c r="F7969" s="27" t="s">
        <v>16042</v>
      </c>
      <c r="G7969" s="27"/>
      <c r="H7969" s="16" t="str">
        <f>IF(ISBLANK(PARTIDAS!$G7969),PARTIDAS!$F7969,CONCATENATE(PARTIDAS!$F7969," (",PARTIDAS!$G7969,")"))</f>
        <v>Pulseras para reloj y sus partes, de metal precioso o chapado de metal precioso (plaqué)</v>
      </c>
      <c r="I7969" s="16" t="s">
        <v>9427</v>
      </c>
    </row>
    <row r="7970" spans="1:9" x14ac:dyDescent="0.25">
      <c r="A7970" s="16" t="s">
        <v>8811</v>
      </c>
      <c r="B7970" s="16" t="str">
        <f>TEXT(PARTIDA[[#This Row],[PARTIDA]],"0000000000")</f>
        <v>9113200000</v>
      </c>
      <c r="C7970" s="16" t="s">
        <v>786</v>
      </c>
      <c r="D7970" s="16" t="s">
        <v>799</v>
      </c>
      <c r="E7970" s="16" t="s">
        <v>9440</v>
      </c>
      <c r="F7970" s="27" t="s">
        <v>16043</v>
      </c>
      <c r="G7970" s="27"/>
      <c r="H7970" s="16" t="str">
        <f>IF(ISBLANK(PARTIDAS!$G7970),PARTIDAS!$F7970,CONCATENATE(PARTIDAS!$F7970," (",PARTIDAS!$G7970,")"))</f>
        <v>Pulseras para reloj y sus partes, de metal común, incluso dorado o plateado</v>
      </c>
      <c r="I7970" s="16" t="s">
        <v>9427</v>
      </c>
    </row>
    <row r="7971" spans="1:9" x14ac:dyDescent="0.25">
      <c r="A7971" s="16" t="s">
        <v>8812</v>
      </c>
      <c r="B7971" s="16" t="str">
        <f>TEXT(PARTIDA[[#This Row],[PARTIDA]],"0000000000")</f>
        <v>9113901000</v>
      </c>
      <c r="C7971" s="16" t="s">
        <v>786</v>
      </c>
      <c r="D7971" s="16" t="s">
        <v>799</v>
      </c>
      <c r="E7971" s="16" t="s">
        <v>9440</v>
      </c>
      <c r="F7971" s="27" t="s">
        <v>16044</v>
      </c>
      <c r="G7971" s="27"/>
      <c r="H7971" s="16" t="str">
        <f>IF(ISBLANK(PARTIDAS!$G7971),PARTIDAS!$F7971,CONCATENATE(PARTIDAS!$F7971," (",PARTIDAS!$G7971,")"))</f>
        <v>Pulseras para reloj y sus partes, de plástico</v>
      </c>
      <c r="I7971" s="16" t="s">
        <v>9427</v>
      </c>
    </row>
    <row r="7972" spans="1:9" x14ac:dyDescent="0.25">
      <c r="A7972" s="16" t="s">
        <v>8813</v>
      </c>
      <c r="B7972" s="16" t="str">
        <f>TEXT(PARTIDA[[#This Row],[PARTIDA]],"0000000000")</f>
        <v>9113902000</v>
      </c>
      <c r="C7972" s="16" t="s">
        <v>786</v>
      </c>
      <c r="D7972" s="16" t="s">
        <v>799</v>
      </c>
      <c r="E7972" s="16" t="s">
        <v>9440</v>
      </c>
      <c r="F7972" s="27" t="s">
        <v>16045</v>
      </c>
      <c r="G7972" s="27"/>
      <c r="H7972" s="16" t="str">
        <f>IF(ISBLANK(PARTIDAS!$G7972),PARTIDAS!$F7972,CONCATENATE(PARTIDAS!$F7972," (",PARTIDAS!$G7972,")"))</f>
        <v>Pulseras para reloj y sus partes, de cuero</v>
      </c>
      <c r="I7972" s="16" t="s">
        <v>9427</v>
      </c>
    </row>
    <row r="7973" spans="1:9" x14ac:dyDescent="0.25">
      <c r="A7973" s="16" t="s">
        <v>8814</v>
      </c>
      <c r="B7973" s="16" t="str">
        <f>TEXT(PARTIDA[[#This Row],[PARTIDA]],"0000000000")</f>
        <v>9113909000</v>
      </c>
      <c r="C7973" s="16" t="s">
        <v>786</v>
      </c>
      <c r="D7973" s="16" t="s">
        <v>799</v>
      </c>
      <c r="E7973" s="16" t="s">
        <v>9440</v>
      </c>
      <c r="F7973" s="27" t="s">
        <v>16046</v>
      </c>
      <c r="G7973" s="27"/>
      <c r="H7973" s="16" t="str">
        <f>IF(ISBLANK(PARTIDAS!$G7973),PARTIDAS!$F7973,CONCATENATE(PARTIDAS!$F7973," (",PARTIDAS!$G7973,")"))</f>
        <v>Pulseras para reloj y sus partes (los demás)</v>
      </c>
      <c r="I7973" s="16" t="s">
        <v>9427</v>
      </c>
    </row>
    <row r="7974" spans="1:9" x14ac:dyDescent="0.25">
      <c r="A7974" s="16" t="s">
        <v>8815</v>
      </c>
      <c r="B7974" s="16" t="str">
        <f>TEXT(PARTIDA[[#This Row],[PARTIDA]],"0000000000")</f>
        <v>9114100000</v>
      </c>
      <c r="C7974" s="16" t="s">
        <v>786</v>
      </c>
      <c r="D7974" s="16" t="s">
        <v>799</v>
      </c>
      <c r="E7974" s="16" t="s">
        <v>9440</v>
      </c>
      <c r="F7974" s="27" t="s">
        <v>16047</v>
      </c>
      <c r="G7974" s="27"/>
      <c r="H7974" s="16" t="str">
        <f>IF(ISBLANK(PARTIDAS!$G7974),PARTIDAS!$F7974,CONCATENATE(PARTIDAS!$F7974," (",PARTIDAS!$G7974,")"))</f>
        <v>Muelles (resortes), incluidas las espirales</v>
      </c>
      <c r="I7974" s="16" t="s">
        <v>9648</v>
      </c>
    </row>
    <row r="7975" spans="1:9" x14ac:dyDescent="0.25">
      <c r="A7975" s="16" t="s">
        <v>8816</v>
      </c>
      <c r="B7975" s="16" t="str">
        <f>TEXT(PARTIDA[[#This Row],[PARTIDA]],"0000000000")</f>
        <v>9114300000</v>
      </c>
      <c r="C7975" s="16" t="s">
        <v>786</v>
      </c>
      <c r="D7975" s="16" t="s">
        <v>799</v>
      </c>
      <c r="E7975" s="16" t="s">
        <v>9440</v>
      </c>
      <c r="F7975" s="27" t="s">
        <v>16048</v>
      </c>
      <c r="G7975" s="27"/>
      <c r="H7975" s="16" t="str">
        <f>IF(ISBLANK(PARTIDAS!$G7975),PARTIDAS!$F7975,CONCATENATE(PARTIDAS!$F7975," (",PARTIDAS!$G7975,")"))</f>
        <v>Esferas o cuadrantes</v>
      </c>
      <c r="I7975" s="16" t="s">
        <v>9427</v>
      </c>
    </row>
    <row r="7976" spans="1:9" x14ac:dyDescent="0.25">
      <c r="A7976" s="16" t="s">
        <v>8817</v>
      </c>
      <c r="B7976" s="16" t="str">
        <f>TEXT(PARTIDA[[#This Row],[PARTIDA]],"0000000000")</f>
        <v>9114400000</v>
      </c>
      <c r="C7976" s="16" t="s">
        <v>786</v>
      </c>
      <c r="D7976" s="16" t="s">
        <v>799</v>
      </c>
      <c r="E7976" s="16" t="s">
        <v>9440</v>
      </c>
      <c r="F7976" s="27" t="s">
        <v>16049</v>
      </c>
      <c r="G7976" s="27"/>
      <c r="H7976" s="16" t="str">
        <f>IF(ISBLANK(PARTIDAS!$G7976),PARTIDAS!$F7976,CONCATENATE(PARTIDAS!$F7976," (",PARTIDAS!$G7976,")"))</f>
        <v>Platinas y puentes</v>
      </c>
      <c r="I7976" s="16" t="s">
        <v>9427</v>
      </c>
    </row>
    <row r="7977" spans="1:9" x14ac:dyDescent="0.25">
      <c r="A7977" s="16" t="s">
        <v>8818</v>
      </c>
      <c r="B7977" s="16" t="str">
        <f>TEXT(PARTIDA[[#This Row],[PARTIDA]],"0000000000")</f>
        <v>9114900000</v>
      </c>
      <c r="C7977" s="16" t="s">
        <v>786</v>
      </c>
      <c r="D7977" s="16" t="s">
        <v>799</v>
      </c>
      <c r="E7977" s="16" t="s">
        <v>9440</v>
      </c>
      <c r="F7977" s="27" t="s">
        <v>16024</v>
      </c>
      <c r="G7977" s="27"/>
      <c r="H7977" s="16" t="str">
        <f>IF(ISBLANK(PARTIDAS!$G7977),PARTIDAS!$F7977,CONCATENATE(PARTIDAS!$F7977," (",PARTIDAS!$G7977,")"))</f>
        <v>Aparatos de relojería y sus partes (los demás)</v>
      </c>
      <c r="I7977" s="16" t="s">
        <v>9427</v>
      </c>
    </row>
    <row r="7978" spans="1:9" x14ac:dyDescent="0.25">
      <c r="A7978" s="16" t="s">
        <v>8819</v>
      </c>
      <c r="B7978" s="16" t="str">
        <f>TEXT(PARTIDA[[#This Row],[PARTIDA]],"0000000000")</f>
        <v>9201100000</v>
      </c>
      <c r="C7978" s="16" t="s">
        <v>786</v>
      </c>
      <c r="D7978" s="16" t="s">
        <v>787</v>
      </c>
      <c r="E7978" s="16" t="s">
        <v>797</v>
      </c>
      <c r="F7978" s="27" t="s">
        <v>16050</v>
      </c>
      <c r="G7978" s="27"/>
      <c r="H7978" s="16" t="str">
        <f>IF(ISBLANK(PARTIDAS!$G7978),PARTIDAS!$F7978,CONCATENATE(PARTIDAS!$F7978," (",PARTIDAS!$G7978,")"))</f>
        <v>Pianos verticales</v>
      </c>
      <c r="I7978" s="16" t="s">
        <v>9427</v>
      </c>
    </row>
    <row r="7979" spans="1:9" x14ac:dyDescent="0.25">
      <c r="A7979" s="16" t="s">
        <v>8820</v>
      </c>
      <c r="B7979" s="16" t="str">
        <f>TEXT(PARTIDA[[#This Row],[PARTIDA]],"0000000000")</f>
        <v>9201200000</v>
      </c>
      <c r="C7979" s="16" t="s">
        <v>786</v>
      </c>
      <c r="D7979" s="16" t="s">
        <v>787</v>
      </c>
      <c r="E7979" s="16" t="s">
        <v>797</v>
      </c>
      <c r="F7979" s="27" t="s">
        <v>16051</v>
      </c>
      <c r="G7979" s="27"/>
      <c r="H7979" s="16" t="str">
        <f>IF(ISBLANK(PARTIDAS!$G7979),PARTIDAS!$F7979,CONCATENATE(PARTIDAS!$F7979," (",PARTIDAS!$G7979,")"))</f>
        <v>Pianos de cola</v>
      </c>
      <c r="I7979" s="16" t="s">
        <v>9427</v>
      </c>
    </row>
    <row r="7980" spans="1:9" x14ac:dyDescent="0.25">
      <c r="A7980" s="16" t="s">
        <v>8821</v>
      </c>
      <c r="B7980" s="16" t="str">
        <f>TEXT(PARTIDA[[#This Row],[PARTIDA]],"0000000000")</f>
        <v>9201900000</v>
      </c>
      <c r="C7980" s="16" t="s">
        <v>786</v>
      </c>
      <c r="D7980" s="16" t="s">
        <v>787</v>
      </c>
      <c r="E7980" s="16" t="s">
        <v>797</v>
      </c>
      <c r="F7980" s="27" t="s">
        <v>16052</v>
      </c>
      <c r="G7980" s="27"/>
      <c r="H7980" s="16" t="str">
        <f>IF(ISBLANK(PARTIDAS!$G7980),PARTIDAS!$F7980,CONCATENATE(PARTIDAS!$F7980," (",PARTIDAS!$G7980,")"))</f>
        <v>Pianos, incluso automáticos (los demás)</v>
      </c>
      <c r="I7980" s="16" t="s">
        <v>9427</v>
      </c>
    </row>
    <row r="7981" spans="1:9" x14ac:dyDescent="0.25">
      <c r="A7981" s="16" t="s">
        <v>8822</v>
      </c>
      <c r="B7981" s="16" t="str">
        <f>TEXT(PARTIDA[[#This Row],[PARTIDA]],"0000000000")</f>
        <v>9202100000</v>
      </c>
      <c r="C7981" s="16" t="s">
        <v>786</v>
      </c>
      <c r="D7981" s="16" t="s">
        <v>787</v>
      </c>
      <c r="E7981" s="16" t="s">
        <v>797</v>
      </c>
      <c r="F7981" s="27" t="s">
        <v>16053</v>
      </c>
      <c r="G7981" s="27"/>
      <c r="H7981" s="16" t="str">
        <f>IF(ISBLANK(PARTIDAS!$G7981),PARTIDAS!$F7981,CONCATENATE(PARTIDAS!$F7981," (",PARTIDAS!$G7981,")"))</f>
        <v>Instrumentos musicales, de arco</v>
      </c>
      <c r="I7981" s="16" t="s">
        <v>9427</v>
      </c>
    </row>
    <row r="7982" spans="1:9" x14ac:dyDescent="0.25">
      <c r="A7982" s="16" t="s">
        <v>8823</v>
      </c>
      <c r="B7982" s="16" t="str">
        <f>TEXT(PARTIDA[[#This Row],[PARTIDA]],"0000000000")</f>
        <v>9202900000</v>
      </c>
      <c r="C7982" s="16" t="s">
        <v>786</v>
      </c>
      <c r="D7982" s="16" t="s">
        <v>787</v>
      </c>
      <c r="E7982" s="16" t="s">
        <v>797</v>
      </c>
      <c r="F7982" s="27" t="s">
        <v>16054</v>
      </c>
      <c r="G7982" s="27"/>
      <c r="H7982" s="16" t="str">
        <f>IF(ISBLANK(PARTIDAS!$G7982),PARTIDAS!$F7982,CONCATENATE(PARTIDAS!$F7982," (",PARTIDAS!$G7982,")"))</f>
        <v>Instrumentos musicales (los demás)</v>
      </c>
      <c r="I7982" s="16" t="s">
        <v>9427</v>
      </c>
    </row>
    <row r="7983" spans="1:9" x14ac:dyDescent="0.25">
      <c r="A7983" s="16" t="s">
        <v>8824</v>
      </c>
      <c r="B7983" s="16" t="str">
        <f>TEXT(PARTIDA[[#This Row],[PARTIDA]],"0000000000")</f>
        <v>9205100000</v>
      </c>
      <c r="C7983" s="16" t="s">
        <v>786</v>
      </c>
      <c r="D7983" s="16" t="s">
        <v>787</v>
      </c>
      <c r="E7983" s="16" t="s">
        <v>797</v>
      </c>
      <c r="F7983" s="27" t="s">
        <v>16055</v>
      </c>
      <c r="G7983" s="27"/>
      <c r="H7983" s="16" t="str">
        <f>IF(ISBLANK(PARTIDAS!$G7983),PARTIDAS!$F7983,CONCATENATE(PARTIDAS!$F7983," (",PARTIDAS!$G7983,")"))</f>
        <v>Instrumentos llamados «metales»</v>
      </c>
      <c r="I7983" s="16" t="s">
        <v>9427</v>
      </c>
    </row>
    <row r="7984" spans="1:9" x14ac:dyDescent="0.25">
      <c r="A7984" s="16" t="s">
        <v>8825</v>
      </c>
      <c r="B7984" s="16" t="str">
        <f>TEXT(PARTIDA[[#This Row],[PARTIDA]],"0000000000")</f>
        <v>9205901000</v>
      </c>
      <c r="C7984" s="16" t="s">
        <v>786</v>
      </c>
      <c r="D7984" s="16" t="s">
        <v>787</v>
      </c>
      <c r="E7984" s="16" t="s">
        <v>797</v>
      </c>
      <c r="F7984" s="27" t="s">
        <v>16056</v>
      </c>
      <c r="G7984" s="27"/>
      <c r="H7984" s="16" t="str">
        <f>IF(ISBLANK(PARTIDAS!$G7984),PARTIDAS!$F7984,CONCATENATE(PARTIDAS!$F7984," (",PARTIDAS!$G7984,")"))</f>
        <v>Órganos de tubos y teclado; armonios e instrumentos similares de teclado y lengüetas metálicas libres</v>
      </c>
      <c r="I7984" s="16" t="s">
        <v>9427</v>
      </c>
    </row>
    <row r="7985" spans="1:9" x14ac:dyDescent="0.25">
      <c r="A7985" s="16" t="s">
        <v>8826</v>
      </c>
      <c r="B7985" s="16" t="str">
        <f>TEXT(PARTIDA[[#This Row],[PARTIDA]],"0000000000")</f>
        <v>9205902000</v>
      </c>
      <c r="C7985" s="16" t="s">
        <v>786</v>
      </c>
      <c r="D7985" s="16" t="s">
        <v>787</v>
      </c>
      <c r="E7985" s="16" t="s">
        <v>797</v>
      </c>
      <c r="F7985" s="27" t="s">
        <v>16057</v>
      </c>
      <c r="G7985" s="27"/>
      <c r="H7985" s="16" t="str">
        <f>IF(ISBLANK(PARTIDAS!$G7985),PARTIDAS!$F7985,CONCATENATE(PARTIDAS!$F7985," (",PARTIDAS!$G7985,")"))</f>
        <v>Acordeones e instrumentos similares</v>
      </c>
      <c r="I7985" s="16" t="s">
        <v>9427</v>
      </c>
    </row>
    <row r="7986" spans="1:9" x14ac:dyDescent="0.25">
      <c r="A7986" s="16" t="s">
        <v>8827</v>
      </c>
      <c r="B7986" s="16" t="str">
        <f>TEXT(PARTIDA[[#This Row],[PARTIDA]],"0000000000")</f>
        <v>9205903000</v>
      </c>
      <c r="C7986" s="16" t="s">
        <v>786</v>
      </c>
      <c r="D7986" s="16" t="s">
        <v>787</v>
      </c>
      <c r="E7986" s="16" t="s">
        <v>797</v>
      </c>
      <c r="F7986" s="27" t="s">
        <v>16058</v>
      </c>
      <c r="G7986" s="27"/>
      <c r="H7986" s="16" t="str">
        <f>IF(ISBLANK(PARTIDAS!$G7986),PARTIDAS!$F7986,CONCATENATE(PARTIDAS!$F7986," (",PARTIDAS!$G7986,")"))</f>
        <v>Instrumentos musicales de viento (por ejemplo, armónicas</v>
      </c>
      <c r="I7986" s="16" t="s">
        <v>9427</v>
      </c>
    </row>
    <row r="7987" spans="1:9" x14ac:dyDescent="0.25">
      <c r="A7987" s="16" t="s">
        <v>8828</v>
      </c>
      <c r="B7987" s="16" t="str">
        <f>TEXT(PARTIDA[[#This Row],[PARTIDA]],"0000000000")</f>
        <v>9205909000</v>
      </c>
      <c r="C7987" s="16" t="s">
        <v>786</v>
      </c>
      <c r="D7987" s="16" t="s">
        <v>787</v>
      </c>
      <c r="E7987" s="16" t="s">
        <v>797</v>
      </c>
      <c r="F7987" s="27" t="s">
        <v>16059</v>
      </c>
      <c r="G7987" s="27"/>
      <c r="H7987" s="16" t="str">
        <f>IF(ISBLANK(PARTIDAS!$G7987),PARTIDAS!$F7987,CONCATENATE(PARTIDAS!$F7987," (",PARTIDAS!$G7987,")"))</f>
        <v>Instrumentos musicales de viento (por ejemplo (los demás)</v>
      </c>
      <c r="I7987" s="16" t="s">
        <v>9427</v>
      </c>
    </row>
    <row r="7988" spans="1:9" x14ac:dyDescent="0.25">
      <c r="A7988" s="16" t="s">
        <v>8829</v>
      </c>
      <c r="B7988" s="16" t="str">
        <f>TEXT(PARTIDA[[#This Row],[PARTIDA]],"0000000000")</f>
        <v>9206000000</v>
      </c>
      <c r="C7988" s="16" t="s">
        <v>786</v>
      </c>
      <c r="D7988" s="16" t="s">
        <v>787</v>
      </c>
      <c r="E7988" s="16" t="s">
        <v>797</v>
      </c>
      <c r="F7988" s="27" t="s">
        <v>8830</v>
      </c>
      <c r="G7988" s="27"/>
      <c r="H7988" s="16" t="str">
        <f>IF(ISBLANK(PARTIDAS!$G7988),PARTIDAS!$F7988,CONCATENATE(PARTIDAS!$F7988," (",PARTIDAS!$G7988,")"))</f>
        <v>Instrumentos musicales</v>
      </c>
      <c r="I7988" s="16" t="s">
        <v>9427</v>
      </c>
    </row>
    <row r="7989" spans="1:9" x14ac:dyDescent="0.25">
      <c r="A7989" s="16" t="s">
        <v>8831</v>
      </c>
      <c r="B7989" s="16" t="str">
        <f>TEXT(PARTIDA[[#This Row],[PARTIDA]],"0000000000")</f>
        <v>9207100000</v>
      </c>
      <c r="C7989" s="16" t="s">
        <v>786</v>
      </c>
      <c r="D7989" s="16" t="s">
        <v>787</v>
      </c>
      <c r="E7989" s="16" t="s">
        <v>797</v>
      </c>
      <c r="F7989" s="27" t="s">
        <v>16060</v>
      </c>
      <c r="G7989" s="27"/>
      <c r="H7989" s="16" t="str">
        <f>IF(ISBLANK(PARTIDAS!$G7989),PARTIDAS!$F7989,CONCATENATE(PARTIDAS!$F7989," (",PARTIDAS!$G7989,")"))</f>
        <v>Instrumentos de teclado, excepto los acordeones</v>
      </c>
      <c r="I7989" s="16" t="s">
        <v>9427</v>
      </c>
    </row>
    <row r="7990" spans="1:9" x14ac:dyDescent="0.25">
      <c r="A7990" s="16" t="s">
        <v>8832</v>
      </c>
      <c r="B7990" s="16" t="str">
        <f>TEXT(PARTIDA[[#This Row],[PARTIDA]],"0000000000")</f>
        <v>9207900000</v>
      </c>
      <c r="C7990" s="16" t="s">
        <v>786</v>
      </c>
      <c r="D7990" s="16" t="s">
        <v>787</v>
      </c>
      <c r="E7990" s="16" t="s">
        <v>797</v>
      </c>
      <c r="F7990" s="27" t="s">
        <v>16061</v>
      </c>
      <c r="G7990" s="27"/>
      <c r="H7990" s="16" t="str">
        <f>IF(ISBLANK(PARTIDAS!$G7990),PARTIDAS!$F7990,CONCATENATE(PARTIDAS!$F7990," (",PARTIDAS!$G7990,")"))</f>
        <v>Instrumentos musicales en los que el sonido se produzca o tenga que… (los demás)</v>
      </c>
      <c r="I7990" s="16" t="s">
        <v>9427</v>
      </c>
    </row>
    <row r="7991" spans="1:9" x14ac:dyDescent="0.25">
      <c r="A7991" s="16" t="s">
        <v>8833</v>
      </c>
      <c r="B7991" s="16" t="str">
        <f>TEXT(PARTIDA[[#This Row],[PARTIDA]],"0000000000")</f>
        <v>9208100000</v>
      </c>
      <c r="C7991" s="16" t="s">
        <v>786</v>
      </c>
      <c r="D7991" s="16" t="s">
        <v>787</v>
      </c>
      <c r="E7991" s="16" t="s">
        <v>797</v>
      </c>
      <c r="F7991" s="27" t="s">
        <v>16062</v>
      </c>
      <c r="G7991" s="27"/>
      <c r="H7991" s="16" t="str">
        <f>IF(ISBLANK(PARTIDAS!$G7991),PARTIDAS!$F7991,CONCATENATE(PARTIDAS!$F7991," (",PARTIDAS!$G7991,")"))</f>
        <v>Cajas de música</v>
      </c>
      <c r="I7991" s="16" t="s">
        <v>9427</v>
      </c>
    </row>
    <row r="7992" spans="1:9" x14ac:dyDescent="0.25">
      <c r="A7992" s="16" t="s">
        <v>8834</v>
      </c>
      <c r="B7992" s="16" t="str">
        <f>TEXT(PARTIDA[[#This Row],[PARTIDA]],"0000000000")</f>
        <v>9208900000</v>
      </c>
      <c r="C7992" s="16" t="s">
        <v>786</v>
      </c>
      <c r="D7992" s="16" t="s">
        <v>787</v>
      </c>
      <c r="E7992" s="16" t="s">
        <v>797</v>
      </c>
      <c r="F7992" s="27" t="s">
        <v>16063</v>
      </c>
      <c r="G7992" s="27"/>
      <c r="H7992" s="16" t="str">
        <f>IF(ISBLANK(PARTIDAS!$G7992),PARTIDAS!$F7992,CONCATENATE(PARTIDAS!$F7992," (",PARTIDAS!$G7992,")"))</f>
        <v>Cajas de música, orquestriones, organillos, pájaros cantores, sierras… (los demás)</v>
      </c>
      <c r="I7992" s="16" t="s">
        <v>9427</v>
      </c>
    </row>
    <row r="7993" spans="1:9" x14ac:dyDescent="0.25">
      <c r="A7993" s="16" t="s">
        <v>8835</v>
      </c>
      <c r="B7993" s="16" t="str">
        <f>TEXT(PARTIDA[[#This Row],[PARTIDA]],"0000000000")</f>
        <v>9209300000</v>
      </c>
      <c r="C7993" s="16" t="s">
        <v>786</v>
      </c>
      <c r="D7993" s="16" t="s">
        <v>787</v>
      </c>
      <c r="E7993" s="16" t="s">
        <v>797</v>
      </c>
      <c r="F7993" s="27" t="s">
        <v>16064</v>
      </c>
      <c r="G7993" s="27"/>
      <c r="H7993" s="16" t="str">
        <f>IF(ISBLANK(PARTIDAS!$G7993),PARTIDAS!$F7993,CONCATENATE(PARTIDAS!$F7993," (",PARTIDAS!$G7993,")"))</f>
        <v>Cuerdas armónicas</v>
      </c>
      <c r="I7993" s="16" t="s">
        <v>9427</v>
      </c>
    </row>
    <row r="7994" spans="1:9" x14ac:dyDescent="0.25">
      <c r="A7994" s="16" t="s">
        <v>8836</v>
      </c>
      <c r="B7994" s="16" t="str">
        <f>TEXT(PARTIDA[[#This Row],[PARTIDA]],"0000000000")</f>
        <v>9209910000</v>
      </c>
      <c r="C7994" s="16" t="s">
        <v>786</v>
      </c>
      <c r="D7994" s="16" t="s">
        <v>787</v>
      </c>
      <c r="E7994" s="16" t="s">
        <v>797</v>
      </c>
      <c r="F7994" s="27" t="s">
        <v>16065</v>
      </c>
      <c r="G7994" s="27"/>
      <c r="H7994" s="16" t="str">
        <f>IF(ISBLANK(PARTIDAS!$G7994),PARTIDAS!$F7994,CONCATENATE(PARTIDAS!$F7994," (",PARTIDAS!$G7994,")"))</f>
        <v>Partes (por ejemplo, mecanismos de cajas de música) y accesorios (por…, partes y accesorios de pianos</v>
      </c>
      <c r="I7994" s="16" t="s">
        <v>9427</v>
      </c>
    </row>
    <row r="7995" spans="1:9" x14ac:dyDescent="0.25">
      <c r="A7995" s="16" t="s">
        <v>8837</v>
      </c>
      <c r="B7995" s="16" t="str">
        <f>TEXT(PARTIDA[[#This Row],[PARTIDA]],"0000000000")</f>
        <v>9209920000</v>
      </c>
      <c r="C7995" s="16" t="s">
        <v>786</v>
      </c>
      <c r="D7995" s="16" t="s">
        <v>787</v>
      </c>
      <c r="E7995" s="16" t="s">
        <v>797</v>
      </c>
      <c r="F7995" s="27" t="s">
        <v>16066</v>
      </c>
      <c r="G7995" s="27"/>
      <c r="H7995" s="16" t="str">
        <f>IF(ISBLANK(PARTIDAS!$G7995),PARTIDAS!$F7995,CONCATENATE(PARTIDAS!$F7995," (",PARTIDAS!$G7995,")"))</f>
        <v>Partes (por ejemplo, mecanismos de cajas de música) y accesorios (por…, partes y accesorios de instrumentos musicales de la partida 92.02</v>
      </c>
      <c r="I7995" s="16" t="s">
        <v>9427</v>
      </c>
    </row>
    <row r="7996" spans="1:9" x14ac:dyDescent="0.25">
      <c r="A7996" s="16" t="s">
        <v>8838</v>
      </c>
      <c r="B7996" s="16" t="str">
        <f>TEXT(PARTIDA[[#This Row],[PARTIDA]],"0000000000")</f>
        <v>9209940000</v>
      </c>
      <c r="C7996" s="16" t="s">
        <v>786</v>
      </c>
      <c r="D7996" s="16" t="s">
        <v>787</v>
      </c>
      <c r="E7996" s="16" t="s">
        <v>797</v>
      </c>
      <c r="F7996" s="27" t="s">
        <v>16067</v>
      </c>
      <c r="G7996" s="27"/>
      <c r="H7996" s="16" t="str">
        <f>IF(ISBLANK(PARTIDAS!$G7996),PARTIDAS!$F7996,CONCATENATE(PARTIDAS!$F7996," (",PARTIDAS!$G7996,")"))</f>
        <v>Partes (por ejemplo, mecanismos de cajas de música) y accesorios (por…, partes y accesorios de instrumentos musicales de la partida 92.07</v>
      </c>
      <c r="I7996" s="16" t="s">
        <v>9427</v>
      </c>
    </row>
    <row r="7997" spans="1:9" x14ac:dyDescent="0.25">
      <c r="A7997" s="16" t="s">
        <v>8839</v>
      </c>
      <c r="B7997" s="16" t="str">
        <f>TEXT(PARTIDA[[#This Row],[PARTIDA]],"0000000000")</f>
        <v>9209990000</v>
      </c>
      <c r="C7997" s="16" t="s">
        <v>786</v>
      </c>
      <c r="D7997" s="16" t="s">
        <v>787</v>
      </c>
      <c r="E7997" s="16" t="s">
        <v>797</v>
      </c>
      <c r="F7997" s="27" t="s">
        <v>16068</v>
      </c>
      <c r="G7997" s="27"/>
      <c r="H7997" s="16" t="str">
        <f>IF(ISBLANK(PARTIDAS!$G7997),PARTIDAS!$F7997,CONCATENATE(PARTIDAS!$F7997," (",PARTIDAS!$G7997,")"))</f>
        <v>Partes (por ejemplo, mecanismos de cajas de música) y accesorios (por… (los demás)</v>
      </c>
      <c r="I7997" s="16" t="s">
        <v>9427</v>
      </c>
    </row>
    <row r="7998" spans="1:9" x14ac:dyDescent="0.25">
      <c r="A7998" s="16" t="s">
        <v>8840</v>
      </c>
      <c r="B7998" s="16" t="str">
        <f>TEXT(PARTIDA[[#This Row],[PARTIDA]],"0000000000")</f>
        <v>9301101000</v>
      </c>
      <c r="C7998" s="16" t="s">
        <v>786</v>
      </c>
      <c r="D7998" s="16" t="s">
        <v>799</v>
      </c>
      <c r="E7998" s="16" t="s">
        <v>810</v>
      </c>
      <c r="F7998" s="27" t="s">
        <v>16069</v>
      </c>
      <c r="G7998" s="27"/>
      <c r="H7998" s="16" t="str">
        <f>IF(ISBLANK(PARTIDAS!$G7998),PARTIDAS!$F7998,CONCATENATE(PARTIDAS!$F7998," (",PARTIDAS!$G7998,")"))</f>
        <v>Piezas de artillería (por ejemplo, autopropulsadas</v>
      </c>
      <c r="I7998" s="16" t="s">
        <v>9427</v>
      </c>
    </row>
    <row r="7999" spans="1:9" x14ac:dyDescent="0.25">
      <c r="A7999" s="16" t="s">
        <v>8841</v>
      </c>
      <c r="B7999" s="16" t="str">
        <f>TEXT(PARTIDA[[#This Row],[PARTIDA]],"0000000000")</f>
        <v>9301109000</v>
      </c>
      <c r="C7999" s="16" t="s">
        <v>786</v>
      </c>
      <c r="D7999" s="16" t="s">
        <v>799</v>
      </c>
      <c r="E7999" s="16" t="s">
        <v>810</v>
      </c>
      <c r="F7999" s="27" t="s">
        <v>16070</v>
      </c>
      <c r="G7999" s="27"/>
      <c r="H7999" s="16" t="str">
        <f>IF(ISBLANK(PARTIDAS!$G7999),PARTIDAS!$F7999,CONCATENATE(PARTIDAS!$F7999," (",PARTIDAS!$G7999,")"))</f>
        <v>Piezas de artillería (por ejemplo (los demás)</v>
      </c>
      <c r="I7999" s="16" t="s">
        <v>9427</v>
      </c>
    </row>
    <row r="8000" spans="1:9" x14ac:dyDescent="0.25">
      <c r="A8000" s="16" t="s">
        <v>8842</v>
      </c>
      <c r="B8000" s="16" t="str">
        <f>TEXT(PARTIDA[[#This Row],[PARTIDA]],"0000000000")</f>
        <v>9301200000</v>
      </c>
      <c r="C8000" s="16" t="s">
        <v>786</v>
      </c>
      <c r="D8000" s="16" t="s">
        <v>799</v>
      </c>
      <c r="E8000" s="16" t="s">
        <v>810</v>
      </c>
      <c r="F8000" s="27" t="s">
        <v>16071</v>
      </c>
      <c r="G8000" s="27"/>
      <c r="H8000" s="16" t="str">
        <f>IF(ISBLANK(PARTIDAS!$G8000),PARTIDAS!$F8000,CONCATENATE(PARTIDAS!$F8000," (",PARTIDAS!$G8000,")"))</f>
        <v>Lanzacohetes; lanzallamas; lanzagranadas; lanzatorpedos y lanzadores similares</v>
      </c>
      <c r="I8000" s="16" t="s">
        <v>9427</v>
      </c>
    </row>
    <row r="8001" spans="1:9" x14ac:dyDescent="0.25">
      <c r="A8001" s="16" t="s">
        <v>8843</v>
      </c>
      <c r="B8001" s="16" t="str">
        <f>TEXT(PARTIDA[[#This Row],[PARTIDA]],"0000000000")</f>
        <v>9301901000</v>
      </c>
      <c r="C8001" s="16" t="s">
        <v>786</v>
      </c>
      <c r="D8001" s="16" t="s">
        <v>799</v>
      </c>
      <c r="E8001" s="16" t="s">
        <v>810</v>
      </c>
      <c r="F8001" s="27" t="s">
        <v>16072</v>
      </c>
      <c r="G8001" s="27"/>
      <c r="H8001" s="16" t="str">
        <f>IF(ISBLANK(PARTIDAS!$G8001),PARTIDAS!$F8001,CONCATENATE(PARTIDAS!$F8001," (",PARTIDAS!$G8001,")"))</f>
        <v>Armas largas con cañón de ánima lisa, completamente automáticas</v>
      </c>
      <c r="I8001" s="16" t="s">
        <v>9427</v>
      </c>
    </row>
    <row r="8002" spans="1:9" x14ac:dyDescent="0.25">
      <c r="A8002" s="16" t="s">
        <v>8844</v>
      </c>
      <c r="B8002" s="16" t="str">
        <f>TEXT(PARTIDA[[#This Row],[PARTIDA]],"0000000000")</f>
        <v>9301902100</v>
      </c>
      <c r="C8002" s="16" t="s">
        <v>786</v>
      </c>
      <c r="D8002" s="16" t="s">
        <v>799</v>
      </c>
      <c r="E8002" s="16" t="s">
        <v>810</v>
      </c>
      <c r="F8002" s="27" t="s">
        <v>16073</v>
      </c>
      <c r="G8002" s="27"/>
      <c r="H8002" s="16" t="str">
        <f>IF(ISBLANK(PARTIDAS!$G8002),PARTIDAS!$F8002,CONCATENATE(PARTIDAS!$F8002," (",PARTIDAS!$G8002,")"))</f>
        <v>Armas de guerra, de cerrojo</v>
      </c>
      <c r="I8002" s="16" t="s">
        <v>9427</v>
      </c>
    </row>
    <row r="8003" spans="1:9" x14ac:dyDescent="0.25">
      <c r="A8003" s="16" t="s">
        <v>8845</v>
      </c>
      <c r="B8003" s="16" t="str">
        <f>TEXT(PARTIDA[[#This Row],[PARTIDA]],"0000000000")</f>
        <v>9301902200</v>
      </c>
      <c r="C8003" s="16" t="s">
        <v>786</v>
      </c>
      <c r="D8003" s="16" t="s">
        <v>799</v>
      </c>
      <c r="E8003" s="16" t="s">
        <v>810</v>
      </c>
      <c r="F8003" s="27" t="s">
        <v>16074</v>
      </c>
      <c r="G8003" s="27"/>
      <c r="H8003" s="16" t="str">
        <f>IF(ISBLANK(PARTIDAS!$G8003),PARTIDAS!$F8003,CONCATENATE(PARTIDAS!$F8003," (",PARTIDAS!$G8003,")"))</f>
        <v>Armas de guerra, semiautomáticas</v>
      </c>
      <c r="I8003" s="16" t="s">
        <v>9427</v>
      </c>
    </row>
    <row r="8004" spans="1:9" x14ac:dyDescent="0.25">
      <c r="A8004" s="16" t="s">
        <v>8846</v>
      </c>
      <c r="B8004" s="16" t="str">
        <f>TEXT(PARTIDA[[#This Row],[PARTIDA]],"0000000000")</f>
        <v>9301902300</v>
      </c>
      <c r="C8004" s="16" t="s">
        <v>786</v>
      </c>
      <c r="D8004" s="16" t="s">
        <v>799</v>
      </c>
      <c r="E8004" s="16" t="s">
        <v>810</v>
      </c>
      <c r="F8004" s="27" t="s">
        <v>16075</v>
      </c>
      <c r="G8004" s="27"/>
      <c r="H8004" s="16" t="str">
        <f>IF(ISBLANK(PARTIDAS!$G8004),PARTIDAS!$F8004,CONCATENATE(PARTIDAS!$F8004," (",PARTIDAS!$G8004,")"))</f>
        <v>Armas de guerra, automáticas</v>
      </c>
      <c r="I8004" s="16" t="s">
        <v>9427</v>
      </c>
    </row>
    <row r="8005" spans="1:9" x14ac:dyDescent="0.25">
      <c r="A8005" s="16" t="s">
        <v>8847</v>
      </c>
      <c r="B8005" s="16" t="str">
        <f>TEXT(PARTIDA[[#This Row],[PARTIDA]],"0000000000")</f>
        <v>9301902900</v>
      </c>
      <c r="C8005" s="16" t="s">
        <v>786</v>
      </c>
      <c r="D8005" s="16" t="s">
        <v>799</v>
      </c>
      <c r="E8005" s="16" t="s">
        <v>810</v>
      </c>
      <c r="F8005" s="27" t="s">
        <v>16076</v>
      </c>
      <c r="G8005" s="27"/>
      <c r="H8005" s="16" t="str">
        <f>IF(ISBLANK(PARTIDAS!$G8005),PARTIDAS!$F8005,CONCATENATE(PARTIDAS!$F8005," (",PARTIDAS!$G8005,")"))</f>
        <v>Armas de guerra (los demás)</v>
      </c>
      <c r="I8005" s="16" t="s">
        <v>9427</v>
      </c>
    </row>
    <row r="8006" spans="1:9" x14ac:dyDescent="0.25">
      <c r="A8006" s="16" t="s">
        <v>8848</v>
      </c>
      <c r="B8006" s="16" t="str">
        <f>TEXT(PARTIDA[[#This Row],[PARTIDA]],"0000000000")</f>
        <v>9301903000</v>
      </c>
      <c r="C8006" s="16" t="s">
        <v>786</v>
      </c>
      <c r="D8006" s="16" t="s">
        <v>799</v>
      </c>
      <c r="E8006" s="16" t="s">
        <v>810</v>
      </c>
      <c r="F8006" s="27" t="s">
        <v>16077</v>
      </c>
      <c r="G8006" s="27"/>
      <c r="H8006" s="16" t="str">
        <f>IF(ISBLANK(PARTIDAS!$G8006),PARTIDAS!$F8006,CONCATENATE(PARTIDAS!$F8006," (",PARTIDAS!$G8006,")"))</f>
        <v>Armas de guerra, ametralladoras</v>
      </c>
      <c r="I8006" s="16" t="s">
        <v>9427</v>
      </c>
    </row>
    <row r="8007" spans="1:9" x14ac:dyDescent="0.25">
      <c r="A8007" s="16" t="s">
        <v>8849</v>
      </c>
      <c r="B8007" s="16" t="str">
        <f>TEXT(PARTIDA[[#This Row],[PARTIDA]],"0000000000")</f>
        <v>9301904100</v>
      </c>
      <c r="C8007" s="16" t="s">
        <v>786</v>
      </c>
      <c r="D8007" s="16" t="s">
        <v>799</v>
      </c>
      <c r="E8007" s="16" t="s">
        <v>810</v>
      </c>
      <c r="F8007" s="27" t="s">
        <v>16078</v>
      </c>
      <c r="G8007" s="27"/>
      <c r="H8007" s="16" t="str">
        <f>IF(ISBLANK(PARTIDAS!$G8007),PARTIDAS!$F8007,CONCATENATE(PARTIDAS!$F8007," (",PARTIDAS!$G8007,")"))</f>
        <v>Pistolas automáticas</v>
      </c>
      <c r="I8007" s="16" t="s">
        <v>9427</v>
      </c>
    </row>
    <row r="8008" spans="1:9" x14ac:dyDescent="0.25">
      <c r="A8008" s="16" t="s">
        <v>8850</v>
      </c>
      <c r="B8008" s="16" t="str">
        <f>TEXT(PARTIDA[[#This Row],[PARTIDA]],"0000000000")</f>
        <v>9301904900</v>
      </c>
      <c r="C8008" s="16" t="s">
        <v>786</v>
      </c>
      <c r="D8008" s="16" t="s">
        <v>799</v>
      </c>
      <c r="E8008" s="16" t="s">
        <v>810</v>
      </c>
      <c r="F8008" s="27" t="s">
        <v>16079</v>
      </c>
      <c r="G8008" s="27"/>
      <c r="H8008" s="16" t="str">
        <f>IF(ISBLANK(PARTIDAS!$G8008),PARTIDAS!$F8008,CONCATENATE(PARTIDAS!$F8008," (",PARTIDAS!$G8008,")"))</f>
        <v>Pistolas ametralladoras (metralletas) (los demás)</v>
      </c>
      <c r="I8008" s="16" t="s">
        <v>9427</v>
      </c>
    </row>
    <row r="8009" spans="1:9" x14ac:dyDescent="0.25">
      <c r="A8009" s="16" t="s">
        <v>8851</v>
      </c>
      <c r="B8009" s="16" t="str">
        <f>TEXT(PARTIDA[[#This Row],[PARTIDA]],"0000000000")</f>
        <v>9301909000</v>
      </c>
      <c r="C8009" s="16" t="s">
        <v>786</v>
      </c>
      <c r="D8009" s="16" t="s">
        <v>799</v>
      </c>
      <c r="E8009" s="16" t="s">
        <v>810</v>
      </c>
      <c r="F8009" s="27" t="s">
        <v>16076</v>
      </c>
      <c r="G8009" s="27"/>
      <c r="H8009" s="16" t="str">
        <f>IF(ISBLANK(PARTIDAS!$G8009),PARTIDAS!$F8009,CONCATENATE(PARTIDAS!$F8009," (",PARTIDAS!$G8009,")"))</f>
        <v>Armas de guerra (los demás)</v>
      </c>
      <c r="I8009" s="16" t="s">
        <v>9427</v>
      </c>
    </row>
    <row r="8010" spans="1:9" x14ac:dyDescent="0.25">
      <c r="A8010" s="16" t="s">
        <v>8852</v>
      </c>
      <c r="B8010" s="16" t="str">
        <f>TEXT(PARTIDA[[#This Row],[PARTIDA]],"0000000000")</f>
        <v>9302001000</v>
      </c>
      <c r="C8010" s="16" t="s">
        <v>786</v>
      </c>
      <c r="D8010" s="16" t="s">
        <v>799</v>
      </c>
      <c r="E8010" s="16" t="s">
        <v>810</v>
      </c>
      <c r="F8010" s="27" t="s">
        <v>16080</v>
      </c>
      <c r="G8010" s="27"/>
      <c r="H8010" s="16" t="str">
        <f>IF(ISBLANK(PARTIDAS!$G8010),PARTIDAS!$F8010,CONCATENATE(PARTIDAS!$F8010," (",PARTIDAS!$G8010,")"))</f>
        <v>Revólveres</v>
      </c>
      <c r="I8010" s="16" t="s">
        <v>9427</v>
      </c>
    </row>
    <row r="8011" spans="1:9" x14ac:dyDescent="0.25">
      <c r="A8011" s="16" t="s">
        <v>8853</v>
      </c>
      <c r="B8011" s="16" t="str">
        <f>TEXT(PARTIDA[[#This Row],[PARTIDA]],"0000000000")</f>
        <v>9302002100</v>
      </c>
      <c r="C8011" s="16" t="s">
        <v>786</v>
      </c>
      <c r="D8011" s="16" t="s">
        <v>799</v>
      </c>
      <c r="E8011" s="16" t="s">
        <v>810</v>
      </c>
      <c r="F8011" s="27" t="s">
        <v>16081</v>
      </c>
      <c r="G8011" s="27"/>
      <c r="H8011" s="16" t="str">
        <f>IF(ISBLANK(PARTIDAS!$G8011),PARTIDAS!$F8011,CONCATENATE(PARTIDAS!$F8011," (",PARTIDAS!$G8011,")"))</f>
        <v>Pistolas con cañón único, semiautomáticas</v>
      </c>
      <c r="I8011" s="16" t="s">
        <v>9427</v>
      </c>
    </row>
    <row r="8012" spans="1:9" x14ac:dyDescent="0.25">
      <c r="A8012" s="16" t="s">
        <v>8854</v>
      </c>
      <c r="B8012" s="16" t="str">
        <f>TEXT(PARTIDA[[#This Row],[PARTIDA]],"0000000000")</f>
        <v>9302002900</v>
      </c>
      <c r="C8012" s="16" t="s">
        <v>786</v>
      </c>
      <c r="D8012" s="16" t="s">
        <v>799</v>
      </c>
      <c r="E8012" s="16" t="s">
        <v>810</v>
      </c>
      <c r="F8012" s="27" t="s">
        <v>16082</v>
      </c>
      <c r="G8012" s="27"/>
      <c r="H8012" s="16" t="str">
        <f>IF(ISBLANK(PARTIDAS!$G8012),PARTIDAS!$F8012,CONCATENATE(PARTIDAS!$F8012," (",PARTIDAS!$G8012,")"))</f>
        <v>Pistolas con cañón único (los demás)</v>
      </c>
      <c r="I8012" s="16" t="s">
        <v>9427</v>
      </c>
    </row>
    <row r="8013" spans="1:9" x14ac:dyDescent="0.25">
      <c r="A8013" s="16" t="s">
        <v>8855</v>
      </c>
      <c r="B8013" s="16" t="str">
        <f>TEXT(PARTIDA[[#This Row],[PARTIDA]],"0000000000")</f>
        <v>9302003000</v>
      </c>
      <c r="C8013" s="16" t="s">
        <v>786</v>
      </c>
      <c r="D8013" s="16" t="s">
        <v>799</v>
      </c>
      <c r="E8013" s="16" t="s">
        <v>810</v>
      </c>
      <c r="F8013" s="27" t="s">
        <v>16083</v>
      </c>
      <c r="G8013" s="27"/>
      <c r="H8013" s="16" t="str">
        <f>IF(ISBLANK(PARTIDAS!$G8013),PARTIDAS!$F8013,CONCATENATE(PARTIDAS!$F8013," (",PARTIDAS!$G8013,")"))</f>
        <v>Pistolas con cañón multiple</v>
      </c>
      <c r="I8013" s="16" t="s">
        <v>9427</v>
      </c>
    </row>
    <row r="8014" spans="1:9" x14ac:dyDescent="0.25">
      <c r="A8014" s="16" t="s">
        <v>8856</v>
      </c>
      <c r="B8014" s="16" t="str">
        <f>TEXT(PARTIDA[[#This Row],[PARTIDA]],"0000000000")</f>
        <v>9303100000</v>
      </c>
      <c r="C8014" s="16" t="s">
        <v>786</v>
      </c>
      <c r="D8014" s="16" t="s">
        <v>799</v>
      </c>
      <c r="E8014" s="16" t="s">
        <v>810</v>
      </c>
      <c r="F8014" s="27" t="s">
        <v>16084</v>
      </c>
      <c r="G8014" s="27"/>
      <c r="H8014" s="16" t="str">
        <f>IF(ISBLANK(PARTIDAS!$G8014),PARTIDAS!$F8014,CONCATENATE(PARTIDAS!$F8014," (",PARTIDAS!$G8014,")"))</f>
        <v>Armas de avancarga</v>
      </c>
      <c r="I8014" s="16" t="s">
        <v>9427</v>
      </c>
    </row>
    <row r="8015" spans="1:9" x14ac:dyDescent="0.25">
      <c r="A8015" s="16" t="s">
        <v>8857</v>
      </c>
      <c r="B8015" s="16" t="str">
        <f>TEXT(PARTIDA[[#This Row],[PARTIDA]],"0000000000")</f>
        <v>9303201100</v>
      </c>
      <c r="C8015" s="16" t="s">
        <v>786</v>
      </c>
      <c r="D8015" s="16" t="s">
        <v>799</v>
      </c>
      <c r="E8015" s="16" t="s">
        <v>810</v>
      </c>
      <c r="F8015" s="27" t="s">
        <v>16085</v>
      </c>
      <c r="G8015" s="27"/>
      <c r="H8015" s="16" t="str">
        <f>IF(ISBLANK(PARTIDAS!$G8015),PARTIDAS!$F8015,CONCATENATE(PARTIDAS!$F8015," (",PARTIDAS!$G8015,")"))</f>
        <v>Armas largas con cañón único de ánima lisa, de repetición (de corredera)</v>
      </c>
      <c r="I8015" s="16" t="s">
        <v>9427</v>
      </c>
    </row>
    <row r="8016" spans="1:9" x14ac:dyDescent="0.25">
      <c r="A8016" s="16" t="s">
        <v>8858</v>
      </c>
      <c r="B8016" s="16" t="str">
        <f>TEXT(PARTIDA[[#This Row],[PARTIDA]],"0000000000")</f>
        <v>9303201200</v>
      </c>
      <c r="C8016" s="16" t="s">
        <v>786</v>
      </c>
      <c r="D8016" s="16" t="s">
        <v>799</v>
      </c>
      <c r="E8016" s="16" t="s">
        <v>810</v>
      </c>
      <c r="F8016" s="27" t="s">
        <v>16086</v>
      </c>
      <c r="G8016" s="27"/>
      <c r="H8016" s="16" t="str">
        <f>IF(ISBLANK(PARTIDAS!$G8016),PARTIDAS!$F8016,CONCATENATE(PARTIDAS!$F8016," (",PARTIDAS!$G8016,")"))</f>
        <v>Armas largas con cañón único de ánima lisa, semiautomáticas</v>
      </c>
      <c r="I8016" s="16" t="s">
        <v>9427</v>
      </c>
    </row>
    <row r="8017" spans="1:9" x14ac:dyDescent="0.25">
      <c r="A8017" s="16" t="s">
        <v>8859</v>
      </c>
      <c r="B8017" s="16" t="str">
        <f>TEXT(PARTIDA[[#This Row],[PARTIDA]],"0000000000")</f>
        <v>9303201900</v>
      </c>
      <c r="C8017" s="16" t="s">
        <v>786</v>
      </c>
      <c r="D8017" s="16" t="s">
        <v>799</v>
      </c>
      <c r="E8017" s="16" t="s">
        <v>810</v>
      </c>
      <c r="F8017" s="27" t="s">
        <v>16087</v>
      </c>
      <c r="G8017" s="27"/>
      <c r="H8017" s="16" t="str">
        <f>IF(ISBLANK(PARTIDAS!$G8017),PARTIDAS!$F8017,CONCATENATE(PARTIDAS!$F8017," (",PARTIDAS!$G8017,")"))</f>
        <v>Armas largas con cañón único de ánima lisa (los demás)</v>
      </c>
      <c r="I8017" s="16" t="s">
        <v>9427</v>
      </c>
    </row>
    <row r="8018" spans="1:9" x14ac:dyDescent="0.25">
      <c r="A8018" s="16" t="s">
        <v>8860</v>
      </c>
      <c r="B8018" s="16" t="str">
        <f>TEXT(PARTIDA[[#This Row],[PARTIDA]],"0000000000")</f>
        <v>9303202000</v>
      </c>
      <c r="C8018" s="16" t="s">
        <v>786</v>
      </c>
      <c r="D8018" s="16" t="s">
        <v>799</v>
      </c>
      <c r="E8018" s="16" t="s">
        <v>810</v>
      </c>
      <c r="F8018" s="27" t="s">
        <v>16088</v>
      </c>
      <c r="G8018" s="27"/>
      <c r="H8018" s="16" t="str">
        <f>IF(ISBLANK(PARTIDAS!$G8018),PARTIDAS!$F8018,CONCATENATE(PARTIDAS!$F8018," (",PARTIDAS!$G8018,")"))</f>
        <v>Armas largas con cañón múltiple de ánima lisa, incluso las combinadas</v>
      </c>
      <c r="I8018" s="16" t="s">
        <v>9427</v>
      </c>
    </row>
    <row r="8019" spans="1:9" x14ac:dyDescent="0.25">
      <c r="A8019" s="16" t="s">
        <v>8861</v>
      </c>
      <c r="B8019" s="16" t="str">
        <f>TEXT(PARTIDA[[#This Row],[PARTIDA]],"0000000000")</f>
        <v>9303209000</v>
      </c>
      <c r="C8019" s="16" t="s">
        <v>786</v>
      </c>
      <c r="D8019" s="16" t="s">
        <v>799</v>
      </c>
      <c r="E8019" s="16" t="s">
        <v>810</v>
      </c>
      <c r="F8019" s="27" t="s">
        <v>16089</v>
      </c>
      <c r="G8019" s="27"/>
      <c r="H8019" s="16" t="str">
        <f>IF(ISBLANK(PARTIDAS!$G8019),PARTIDAS!$F8019,CONCATENATE(PARTIDAS!$F8019," (",PARTIDAS!$G8019,")"))</f>
        <v>Armas, municiones, y sus partes y accesorios (los demás)</v>
      </c>
      <c r="I8019" s="16" t="s">
        <v>9427</v>
      </c>
    </row>
    <row r="8020" spans="1:9" x14ac:dyDescent="0.25">
      <c r="A8020" s="16" t="s">
        <v>8862</v>
      </c>
      <c r="B8020" s="16" t="str">
        <f>TEXT(PARTIDA[[#This Row],[PARTIDA]],"0000000000")</f>
        <v>9303301000</v>
      </c>
      <c r="C8020" s="16" t="s">
        <v>786</v>
      </c>
      <c r="D8020" s="16" t="s">
        <v>799</v>
      </c>
      <c r="E8020" s="16" t="s">
        <v>810</v>
      </c>
      <c r="F8020" s="27" t="s">
        <v>16090</v>
      </c>
      <c r="G8020" s="27"/>
      <c r="H8020" s="16" t="str">
        <f>IF(ISBLANK(PARTIDAS!$G8020),PARTIDAS!$F8020,CONCATENATE(PARTIDAS!$F8020," (",PARTIDAS!$G8020,")"))</f>
        <v>Armas, municiones, y sus partes y accesorios, de disparo único</v>
      </c>
      <c r="I8020" s="16" t="s">
        <v>9427</v>
      </c>
    </row>
    <row r="8021" spans="1:9" x14ac:dyDescent="0.25">
      <c r="A8021" s="16" t="s">
        <v>8863</v>
      </c>
      <c r="B8021" s="16" t="str">
        <f>TEXT(PARTIDA[[#This Row],[PARTIDA]],"0000000000")</f>
        <v>9303302000</v>
      </c>
      <c r="C8021" s="16" t="s">
        <v>786</v>
      </c>
      <c r="D8021" s="16" t="s">
        <v>799</v>
      </c>
      <c r="E8021" s="16" t="s">
        <v>810</v>
      </c>
      <c r="F8021" s="27" t="s">
        <v>16091</v>
      </c>
      <c r="G8021" s="27"/>
      <c r="H8021" s="16" t="str">
        <f>IF(ISBLANK(PARTIDAS!$G8021),PARTIDAS!$F8021,CONCATENATE(PARTIDAS!$F8021," (",PARTIDAS!$G8021,")"))</f>
        <v>Armas, municiones, y sus partes y accesorios, semiautomáticas</v>
      </c>
      <c r="I8021" s="16" t="s">
        <v>9427</v>
      </c>
    </row>
    <row r="8022" spans="1:9" x14ac:dyDescent="0.25">
      <c r="A8022" s="16" t="s">
        <v>8864</v>
      </c>
      <c r="B8022" s="16" t="str">
        <f>TEXT(PARTIDA[[#This Row],[PARTIDA]],"0000000000")</f>
        <v>9303309000</v>
      </c>
      <c r="C8022" s="16" t="s">
        <v>786</v>
      </c>
      <c r="D8022" s="16" t="s">
        <v>799</v>
      </c>
      <c r="E8022" s="16" t="s">
        <v>810</v>
      </c>
      <c r="F8022" s="27" t="s">
        <v>16089</v>
      </c>
      <c r="G8022" s="27"/>
      <c r="H8022" s="16" t="str">
        <f>IF(ISBLANK(PARTIDAS!$G8022),PARTIDAS!$F8022,CONCATENATE(PARTIDAS!$F8022," (",PARTIDAS!$G8022,")"))</f>
        <v>Armas, municiones, y sus partes y accesorios (los demás)</v>
      </c>
      <c r="I8022" s="16" t="s">
        <v>9427</v>
      </c>
    </row>
    <row r="8023" spans="1:9" x14ac:dyDescent="0.25">
      <c r="A8023" s="16" t="s">
        <v>8865</v>
      </c>
      <c r="B8023" s="16" t="str">
        <f>TEXT(PARTIDA[[#This Row],[PARTIDA]],"0000000000")</f>
        <v>9303900000</v>
      </c>
      <c r="C8023" s="16" t="s">
        <v>786</v>
      </c>
      <c r="D8023" s="16" t="s">
        <v>799</v>
      </c>
      <c r="E8023" s="16" t="s">
        <v>810</v>
      </c>
      <c r="F8023" s="27" t="s">
        <v>16089</v>
      </c>
      <c r="G8023" s="27"/>
      <c r="H8023" s="16" t="str">
        <f>IF(ISBLANK(PARTIDAS!$G8023),PARTIDAS!$F8023,CONCATENATE(PARTIDAS!$F8023," (",PARTIDAS!$G8023,")"))</f>
        <v>Armas, municiones, y sus partes y accesorios (los demás)</v>
      </c>
      <c r="I8023" s="16" t="s">
        <v>9427</v>
      </c>
    </row>
    <row r="8024" spans="1:9" x14ac:dyDescent="0.25">
      <c r="A8024" s="16" t="s">
        <v>8866</v>
      </c>
      <c r="B8024" s="16" t="str">
        <f>TEXT(PARTIDA[[#This Row],[PARTIDA]],"0000000000")</f>
        <v>9304001000</v>
      </c>
      <c r="C8024" s="16" t="s">
        <v>786</v>
      </c>
      <c r="D8024" s="16" t="s">
        <v>799</v>
      </c>
      <c r="E8024" s="16" t="s">
        <v>810</v>
      </c>
      <c r="F8024" s="27" t="s">
        <v>16092</v>
      </c>
      <c r="G8024" s="27"/>
      <c r="H8024" s="16" t="str">
        <f>IF(ISBLANK(PARTIDAS!$G8024),PARTIDAS!$F8024,CONCATENATE(PARTIDAS!$F8024," (",PARTIDAS!$G8024,")"))</f>
        <v>Armas, municiones, y sus partes y accesorios, de aire comprimido</v>
      </c>
      <c r="I8024" s="16" t="s">
        <v>9427</v>
      </c>
    </row>
    <row r="8025" spans="1:9" x14ac:dyDescent="0.25">
      <c r="A8025" s="16" t="s">
        <v>8867</v>
      </c>
      <c r="B8025" s="16" t="str">
        <f>TEXT(PARTIDA[[#This Row],[PARTIDA]],"0000000000")</f>
        <v>9304009000</v>
      </c>
      <c r="C8025" s="16" t="s">
        <v>786</v>
      </c>
      <c r="D8025" s="16" t="s">
        <v>799</v>
      </c>
      <c r="E8025" s="16" t="s">
        <v>810</v>
      </c>
      <c r="F8025" s="27" t="s">
        <v>16089</v>
      </c>
      <c r="G8025" s="27"/>
      <c r="H8025" s="16" t="str">
        <f>IF(ISBLANK(PARTIDAS!$G8025),PARTIDAS!$F8025,CONCATENATE(PARTIDAS!$F8025," (",PARTIDAS!$G8025,")"))</f>
        <v>Armas, municiones, y sus partes y accesorios (los demás)</v>
      </c>
      <c r="I8025" s="16" t="s">
        <v>9427</v>
      </c>
    </row>
    <row r="8026" spans="1:9" x14ac:dyDescent="0.25">
      <c r="A8026" s="16" t="s">
        <v>8868</v>
      </c>
      <c r="B8026" s="16" t="str">
        <f>TEXT(PARTIDA[[#This Row],[PARTIDA]],"0000000000")</f>
        <v>9305101000</v>
      </c>
      <c r="C8026" s="16" t="s">
        <v>786</v>
      </c>
      <c r="D8026" s="16" t="s">
        <v>799</v>
      </c>
      <c r="E8026" s="16" t="s">
        <v>810</v>
      </c>
      <c r="F8026" s="27" t="s">
        <v>16093</v>
      </c>
      <c r="G8026" s="27"/>
      <c r="H8026" s="16" t="str">
        <f>IF(ISBLANK(PARTIDAS!$G8026),PARTIDAS!$F8026,CONCATENATE(PARTIDAS!$F8026," (",PARTIDAS!$G8026,")"))</f>
        <v>Mecanismos de disparo</v>
      </c>
      <c r="I8026" s="16" t="s">
        <v>9427</v>
      </c>
    </row>
    <row r="8027" spans="1:9" x14ac:dyDescent="0.25">
      <c r="A8027" s="16" t="s">
        <v>8869</v>
      </c>
      <c r="B8027" s="16" t="str">
        <f>TEXT(PARTIDA[[#This Row],[PARTIDA]],"0000000000")</f>
        <v>9305102000</v>
      </c>
      <c r="C8027" s="16" t="s">
        <v>786</v>
      </c>
      <c r="D8027" s="16" t="s">
        <v>799</v>
      </c>
      <c r="E8027" s="16" t="s">
        <v>810</v>
      </c>
      <c r="F8027" s="27" t="s">
        <v>16094</v>
      </c>
      <c r="G8027" s="27"/>
      <c r="H8027" s="16" t="str">
        <f>IF(ISBLANK(PARTIDAS!$G8027),PARTIDAS!$F8027,CONCATENATE(PARTIDAS!$F8027," (",PARTIDAS!$G8027,")"))</f>
        <v>Armazones y plantillas</v>
      </c>
      <c r="I8027" s="16" t="s">
        <v>9427</v>
      </c>
    </row>
    <row r="8028" spans="1:9" x14ac:dyDescent="0.25">
      <c r="A8028" s="16" t="s">
        <v>8870</v>
      </c>
      <c r="B8028" s="16" t="str">
        <f>TEXT(PARTIDA[[#This Row],[PARTIDA]],"0000000000")</f>
        <v>9305103000</v>
      </c>
      <c r="C8028" s="16" t="s">
        <v>786</v>
      </c>
      <c r="D8028" s="16" t="s">
        <v>799</v>
      </c>
      <c r="E8028" s="16" t="s">
        <v>810</v>
      </c>
      <c r="F8028" s="27" t="s">
        <v>16095</v>
      </c>
      <c r="G8028" s="27"/>
      <c r="H8028" s="16" t="str">
        <f>IF(ISBLANK(PARTIDAS!$G8028),PARTIDAS!$F8028,CONCATENATE(PARTIDAS!$F8028," (",PARTIDAS!$G8028,")"))</f>
        <v>Partes y accesorios de los artículos de las partidas…, de revólveres o pistolas, cañones</v>
      </c>
      <c r="I8028" s="16" t="s">
        <v>9427</v>
      </c>
    </row>
    <row r="8029" spans="1:9" x14ac:dyDescent="0.25">
      <c r="A8029" s="16" t="s">
        <v>8871</v>
      </c>
      <c r="B8029" s="16" t="str">
        <f>TEXT(PARTIDA[[#This Row],[PARTIDA]],"0000000000")</f>
        <v>9305104000</v>
      </c>
      <c r="C8029" s="16" t="s">
        <v>786</v>
      </c>
      <c r="D8029" s="16" t="s">
        <v>799</v>
      </c>
      <c r="E8029" s="16" t="s">
        <v>810</v>
      </c>
      <c r="F8029" s="27" t="s">
        <v>16096</v>
      </c>
      <c r="G8029" s="27"/>
      <c r="H8029" s="16" t="str">
        <f>IF(ISBLANK(PARTIDAS!$G8029),PARTIDAS!$F8029,CONCATENATE(PARTIDAS!$F8029," (",PARTIDAS!$G8029,")"))</f>
        <v>Pistones, pasadores y amortiguadores de retroceso (frenos de boca)</v>
      </c>
      <c r="I8029" s="16" t="s">
        <v>9427</v>
      </c>
    </row>
    <row r="8030" spans="1:9" x14ac:dyDescent="0.25">
      <c r="A8030" s="16" t="s">
        <v>8872</v>
      </c>
      <c r="B8030" s="16" t="str">
        <f>TEXT(PARTIDA[[#This Row],[PARTIDA]],"0000000000")</f>
        <v>9305105000</v>
      </c>
      <c r="C8030" s="16" t="s">
        <v>786</v>
      </c>
      <c r="D8030" s="16" t="s">
        <v>799</v>
      </c>
      <c r="E8030" s="16" t="s">
        <v>810</v>
      </c>
      <c r="F8030" s="27" t="s">
        <v>16097</v>
      </c>
      <c r="G8030" s="27"/>
      <c r="H8030" s="16" t="str">
        <f>IF(ISBLANK(PARTIDAS!$G8030),PARTIDAS!$F8030,CONCATENATE(PARTIDAS!$F8030," (",PARTIDAS!$G8030,")"))</f>
        <v>Cargadores y sus partes</v>
      </c>
      <c r="I8030" s="16" t="s">
        <v>9427</v>
      </c>
    </row>
    <row r="8031" spans="1:9" x14ac:dyDescent="0.25">
      <c r="A8031" s="16" t="s">
        <v>8873</v>
      </c>
      <c r="B8031" s="16" t="str">
        <f>TEXT(PARTIDA[[#This Row],[PARTIDA]],"0000000000")</f>
        <v>9305106000</v>
      </c>
      <c r="C8031" s="16" t="s">
        <v>786</v>
      </c>
      <c r="D8031" s="16" t="s">
        <v>799</v>
      </c>
      <c r="E8031" s="16" t="s">
        <v>810</v>
      </c>
      <c r="F8031" s="27" t="s">
        <v>16098</v>
      </c>
      <c r="G8031" s="27"/>
      <c r="H8031" s="16" t="str">
        <f>IF(ISBLANK(PARTIDAS!$G8031),PARTIDAS!$F8031,CONCATENATE(PARTIDAS!$F8031," (",PARTIDAS!$G8031,")"))</f>
        <v>Silenciadores y sus partes</v>
      </c>
      <c r="I8031" s="16" t="s">
        <v>9427</v>
      </c>
    </row>
    <row r="8032" spans="1:9" x14ac:dyDescent="0.25">
      <c r="A8032" s="16" t="s">
        <v>8874</v>
      </c>
      <c r="B8032" s="16" t="str">
        <f>TEXT(PARTIDA[[#This Row],[PARTIDA]],"0000000000")</f>
        <v>9305107000</v>
      </c>
      <c r="C8032" s="16" t="s">
        <v>786</v>
      </c>
      <c r="D8032" s="16" t="s">
        <v>799</v>
      </c>
      <c r="E8032" s="16" t="s">
        <v>810</v>
      </c>
      <c r="F8032" s="27" t="s">
        <v>16099</v>
      </c>
      <c r="G8032" s="27"/>
      <c r="H8032" s="16" t="str">
        <f>IF(ISBLANK(PARTIDAS!$G8032),PARTIDAS!$F8032,CONCATENATE(PARTIDAS!$F8032," (",PARTIDAS!$G8032,")"))</f>
        <v>Culatas, empuñaduras y platinas</v>
      </c>
      <c r="I8032" s="16" t="s">
        <v>9427</v>
      </c>
    </row>
    <row r="8033" spans="1:9" x14ac:dyDescent="0.25">
      <c r="A8033" s="16" t="s">
        <v>8875</v>
      </c>
      <c r="B8033" s="16" t="str">
        <f>TEXT(PARTIDA[[#This Row],[PARTIDA]],"0000000000")</f>
        <v>9305108000</v>
      </c>
      <c r="C8033" s="16" t="s">
        <v>786</v>
      </c>
      <c r="D8033" s="16" t="s">
        <v>799</v>
      </c>
      <c r="E8033" s="16" t="s">
        <v>810</v>
      </c>
      <c r="F8033" s="27" t="s">
        <v>16100</v>
      </c>
      <c r="G8033" s="27"/>
      <c r="H8033" s="16" t="str">
        <f>IF(ISBLANK(PARTIDAS!$G8033),PARTIDAS!$F8033,CONCATENATE(PARTIDAS!$F8033," (",PARTIDAS!$G8033,")"))</f>
        <v>Correderas (para pistolas) y tambores (para revólveres)</v>
      </c>
      <c r="I8033" s="16" t="s">
        <v>9427</v>
      </c>
    </row>
    <row r="8034" spans="1:9" x14ac:dyDescent="0.25">
      <c r="A8034" s="16" t="s">
        <v>8876</v>
      </c>
      <c r="B8034" s="16" t="str">
        <f>TEXT(PARTIDA[[#This Row],[PARTIDA]],"0000000000")</f>
        <v>9305109000</v>
      </c>
      <c r="C8034" s="16" t="s">
        <v>786</v>
      </c>
      <c r="D8034" s="16" t="s">
        <v>799</v>
      </c>
      <c r="E8034" s="16" t="s">
        <v>810</v>
      </c>
      <c r="F8034" s="27" t="s">
        <v>16101</v>
      </c>
      <c r="G8034" s="27"/>
      <c r="H8034" s="16" t="str">
        <f>IF(ISBLANK(PARTIDAS!$G8034),PARTIDAS!$F8034,CONCATENATE(PARTIDAS!$F8034," (",PARTIDAS!$G8034,")"))</f>
        <v>Partes y accesorios de los artículos de las partidas…, de revólveres o pistolas (los demás)</v>
      </c>
      <c r="I8034" s="16" t="s">
        <v>9427</v>
      </c>
    </row>
    <row r="8035" spans="1:9" x14ac:dyDescent="0.25">
      <c r="A8035" s="16" t="s">
        <v>8877</v>
      </c>
      <c r="B8035" s="16" t="str">
        <f>TEXT(PARTIDA[[#This Row],[PARTIDA]],"0000000000")</f>
        <v>9305201000</v>
      </c>
      <c r="C8035" s="16" t="s">
        <v>786</v>
      </c>
      <c r="D8035" s="16" t="s">
        <v>799</v>
      </c>
      <c r="E8035" s="16" t="s">
        <v>810</v>
      </c>
      <c r="F8035" s="27" t="s">
        <v>16102</v>
      </c>
      <c r="G8035" s="27"/>
      <c r="H8035" s="16" t="str">
        <f>IF(ISBLANK(PARTIDAS!$G8035),PARTIDAS!$F8035,CONCATENATE(PARTIDAS!$F8035," (",PARTIDAS!$G8035,")"))</f>
        <v>Cañones de ánima lisa</v>
      </c>
      <c r="I8035" s="16" t="s">
        <v>9427</v>
      </c>
    </row>
    <row r="8036" spans="1:9" x14ac:dyDescent="0.25">
      <c r="A8036" s="16" t="s">
        <v>8878</v>
      </c>
      <c r="B8036" s="16" t="str">
        <f>TEXT(PARTIDA[[#This Row],[PARTIDA]],"0000000000")</f>
        <v>9305202100</v>
      </c>
      <c r="C8036" s="16" t="s">
        <v>786</v>
      </c>
      <c r="D8036" s="16" t="s">
        <v>799</v>
      </c>
      <c r="E8036" s="16" t="s">
        <v>810</v>
      </c>
      <c r="F8036" s="27" t="s">
        <v>16093</v>
      </c>
      <c r="G8036" s="27"/>
      <c r="H8036" s="16" t="str">
        <f>IF(ISBLANK(PARTIDAS!$G8036),PARTIDAS!$F8036,CONCATENATE(PARTIDAS!$F8036," (",PARTIDAS!$G8036,")"))</f>
        <v>Mecanismos de disparo</v>
      </c>
      <c r="I8036" s="16" t="s">
        <v>9427</v>
      </c>
    </row>
    <row r="8037" spans="1:9" x14ac:dyDescent="0.25">
      <c r="A8037" s="16" t="s">
        <v>8879</v>
      </c>
      <c r="B8037" s="16" t="str">
        <f>TEXT(PARTIDA[[#This Row],[PARTIDA]],"0000000000")</f>
        <v>9305202200</v>
      </c>
      <c r="C8037" s="16" t="s">
        <v>786</v>
      </c>
      <c r="D8037" s="16" t="s">
        <v>799</v>
      </c>
      <c r="E8037" s="16" t="s">
        <v>810</v>
      </c>
      <c r="F8037" s="27" t="s">
        <v>16094</v>
      </c>
      <c r="G8037" s="27"/>
      <c r="H8037" s="16" t="str">
        <f>IF(ISBLANK(PARTIDAS!$G8037),PARTIDAS!$F8037,CONCATENATE(PARTIDAS!$F8037," (",PARTIDAS!$G8037,")"))</f>
        <v>Armazones y plantillas</v>
      </c>
      <c r="I8037" s="16" t="s">
        <v>9427</v>
      </c>
    </row>
    <row r="8038" spans="1:9" x14ac:dyDescent="0.25">
      <c r="A8038" s="16" t="s">
        <v>8880</v>
      </c>
      <c r="B8038" s="16" t="str">
        <f>TEXT(PARTIDA[[#This Row],[PARTIDA]],"0000000000")</f>
        <v>9305202300</v>
      </c>
      <c r="C8038" s="16" t="s">
        <v>786</v>
      </c>
      <c r="D8038" s="16" t="s">
        <v>799</v>
      </c>
      <c r="E8038" s="16" t="s">
        <v>810</v>
      </c>
      <c r="F8038" s="27" t="s">
        <v>16103</v>
      </c>
      <c r="G8038" s="27"/>
      <c r="H8038" s="16" t="str">
        <f>IF(ISBLANK(PARTIDAS!$G8038),PARTIDAS!$F8038,CONCATENATE(PARTIDAS!$F8038," (",PARTIDAS!$G8038,")"))</f>
        <v>Cañones de ánima rayada</v>
      </c>
      <c r="I8038" s="16" t="s">
        <v>9427</v>
      </c>
    </row>
    <row r="8039" spans="1:9" x14ac:dyDescent="0.25">
      <c r="A8039" s="16" t="s">
        <v>8881</v>
      </c>
      <c r="B8039" s="16" t="str">
        <f>TEXT(PARTIDA[[#This Row],[PARTIDA]],"0000000000")</f>
        <v>9305202400</v>
      </c>
      <c r="C8039" s="16" t="s">
        <v>786</v>
      </c>
      <c r="D8039" s="16" t="s">
        <v>799</v>
      </c>
      <c r="E8039" s="16" t="s">
        <v>810</v>
      </c>
      <c r="F8039" s="27" t="s">
        <v>16096</v>
      </c>
      <c r="G8039" s="27"/>
      <c r="H8039" s="16" t="str">
        <f>IF(ISBLANK(PARTIDAS!$G8039),PARTIDAS!$F8039,CONCATENATE(PARTIDAS!$F8039," (",PARTIDAS!$G8039,")"))</f>
        <v>Pistones, pasadores y amortiguadores de retroceso (frenos de boca)</v>
      </c>
      <c r="I8039" s="16" t="s">
        <v>9427</v>
      </c>
    </row>
    <row r="8040" spans="1:9" x14ac:dyDescent="0.25">
      <c r="A8040" s="16" t="s">
        <v>8882</v>
      </c>
      <c r="B8040" s="16" t="str">
        <f>TEXT(PARTIDA[[#This Row],[PARTIDA]],"0000000000")</f>
        <v>9305202500</v>
      </c>
      <c r="C8040" s="16" t="s">
        <v>786</v>
      </c>
      <c r="D8040" s="16" t="s">
        <v>799</v>
      </c>
      <c r="E8040" s="16" t="s">
        <v>810</v>
      </c>
      <c r="F8040" s="27" t="s">
        <v>16097</v>
      </c>
      <c r="G8040" s="27"/>
      <c r="H8040" s="16" t="str">
        <f>IF(ISBLANK(PARTIDAS!$G8040),PARTIDAS!$F8040,CONCATENATE(PARTIDAS!$F8040," (",PARTIDAS!$G8040,")"))</f>
        <v>Cargadores y sus partes</v>
      </c>
      <c r="I8040" s="16" t="s">
        <v>9427</v>
      </c>
    </row>
    <row r="8041" spans="1:9" x14ac:dyDescent="0.25">
      <c r="A8041" s="16" t="s">
        <v>8883</v>
      </c>
      <c r="B8041" s="16" t="str">
        <f>TEXT(PARTIDA[[#This Row],[PARTIDA]],"0000000000")</f>
        <v>9305202600</v>
      </c>
      <c r="C8041" s="16" t="s">
        <v>786</v>
      </c>
      <c r="D8041" s="16" t="s">
        <v>799</v>
      </c>
      <c r="E8041" s="16" t="s">
        <v>810</v>
      </c>
      <c r="F8041" s="27" t="s">
        <v>16098</v>
      </c>
      <c r="G8041" s="27"/>
      <c r="H8041" s="16" t="str">
        <f>IF(ISBLANK(PARTIDAS!$G8041),PARTIDAS!$F8041,CONCATENATE(PARTIDAS!$F8041," (",PARTIDAS!$G8041,")"))</f>
        <v>Silenciadores y sus partes</v>
      </c>
      <c r="I8041" s="16" t="s">
        <v>9427</v>
      </c>
    </row>
    <row r="8042" spans="1:9" x14ac:dyDescent="0.25">
      <c r="A8042" s="16" t="s">
        <v>8884</v>
      </c>
      <c r="B8042" s="16" t="str">
        <f>TEXT(PARTIDA[[#This Row],[PARTIDA]],"0000000000")</f>
        <v>9305202700</v>
      </c>
      <c r="C8042" s="16" t="s">
        <v>786</v>
      </c>
      <c r="D8042" s="16" t="s">
        <v>799</v>
      </c>
      <c r="E8042" s="16" t="s">
        <v>810</v>
      </c>
      <c r="F8042" s="27" t="s">
        <v>16104</v>
      </c>
      <c r="G8042" s="27"/>
      <c r="H8042" s="16" t="str">
        <f>IF(ISBLANK(PARTIDAS!$G8042),PARTIDAS!$F8042,CONCATENATE(PARTIDAS!$F8042," (",PARTIDAS!$G8042,")"))</f>
        <v>Cubrellamas y sus partes</v>
      </c>
      <c r="I8042" s="16" t="s">
        <v>9427</v>
      </c>
    </row>
    <row r="8043" spans="1:9" x14ac:dyDescent="0.25">
      <c r="A8043" s="16" t="s">
        <v>8885</v>
      </c>
      <c r="B8043" s="16" t="str">
        <f>TEXT(PARTIDA[[#This Row],[PARTIDA]],"0000000000")</f>
        <v>9305202800</v>
      </c>
      <c r="C8043" s="16" t="s">
        <v>786</v>
      </c>
      <c r="D8043" s="16" t="s">
        <v>799</v>
      </c>
      <c r="E8043" s="16" t="s">
        <v>810</v>
      </c>
      <c r="F8043" s="27" t="s">
        <v>16105</v>
      </c>
      <c r="G8043" s="27"/>
      <c r="H8043" s="16" t="str">
        <f>IF(ISBLANK(PARTIDAS!$G8043),PARTIDAS!$F8043,CONCATENATE(PARTIDAS!$F8043," (",PARTIDAS!$G8043,")"))</f>
        <v>Recámaras, cerrojos y portacerrojos</v>
      </c>
      <c r="I8043" s="16" t="s">
        <v>9427</v>
      </c>
    </row>
    <row r="8044" spans="1:9" x14ac:dyDescent="0.25">
      <c r="A8044" s="16" t="s">
        <v>8886</v>
      </c>
      <c r="B8044" s="16" t="str">
        <f>TEXT(PARTIDA[[#This Row],[PARTIDA]],"0000000000")</f>
        <v>9305202900</v>
      </c>
      <c r="C8044" s="16" t="s">
        <v>786</v>
      </c>
      <c r="D8044" s="16" t="s">
        <v>799</v>
      </c>
      <c r="E8044" s="16" t="s">
        <v>810</v>
      </c>
      <c r="F8044" s="27" t="s">
        <v>16106</v>
      </c>
      <c r="G8044" s="27"/>
      <c r="H8044" s="16" t="str">
        <f>IF(ISBLANK(PARTIDAS!$G8044),PARTIDAS!$F8044,CONCATENATE(PARTIDAS!$F8044," (",PARTIDAS!$G8044,")"))</f>
        <v>Partes y accesorios de los artículos de las partidas…, de armas largas de la partida 93.03 (los demás)</v>
      </c>
      <c r="I8044" s="16" t="s">
        <v>9427</v>
      </c>
    </row>
    <row r="8045" spans="1:9" x14ac:dyDescent="0.25">
      <c r="A8045" s="16" t="s">
        <v>8887</v>
      </c>
      <c r="B8045" s="16" t="str">
        <f>TEXT(PARTIDA[[#This Row],[PARTIDA]],"0000000000")</f>
        <v>9305911100</v>
      </c>
      <c r="C8045" s="16" t="s">
        <v>786</v>
      </c>
      <c r="D8045" s="16" t="s">
        <v>799</v>
      </c>
      <c r="E8045" s="16" t="s">
        <v>810</v>
      </c>
      <c r="F8045" s="27" t="s">
        <v>16093</v>
      </c>
      <c r="G8045" s="27"/>
      <c r="H8045" s="16" t="str">
        <f>IF(ISBLANK(PARTIDAS!$G8045),PARTIDAS!$F8045,CONCATENATE(PARTIDAS!$F8045," (",PARTIDAS!$G8045,")"))</f>
        <v>Mecanismos de disparo</v>
      </c>
      <c r="I8045" s="16" t="s">
        <v>9427</v>
      </c>
    </row>
    <row r="8046" spans="1:9" x14ac:dyDescent="0.25">
      <c r="A8046" s="16" t="s">
        <v>8888</v>
      </c>
      <c r="B8046" s="16" t="str">
        <f>TEXT(PARTIDA[[#This Row],[PARTIDA]],"0000000000")</f>
        <v>9305911200</v>
      </c>
      <c r="C8046" s="16" t="s">
        <v>786</v>
      </c>
      <c r="D8046" s="16" t="s">
        <v>799</v>
      </c>
      <c r="E8046" s="16" t="s">
        <v>810</v>
      </c>
      <c r="F8046" s="27" t="s">
        <v>16094</v>
      </c>
      <c r="G8046" s="27"/>
      <c r="H8046" s="16" t="str">
        <f>IF(ISBLANK(PARTIDAS!$G8046),PARTIDAS!$F8046,CONCATENATE(PARTIDAS!$F8046," (",PARTIDAS!$G8046,")"))</f>
        <v>Armazones y plantillas</v>
      </c>
      <c r="I8046" s="16" t="s">
        <v>9427</v>
      </c>
    </row>
    <row r="8047" spans="1:9" x14ac:dyDescent="0.25">
      <c r="A8047" s="16" t="s">
        <v>8889</v>
      </c>
      <c r="B8047" s="16" t="str">
        <f>TEXT(PARTIDA[[#This Row],[PARTIDA]],"0000000000")</f>
        <v>9305911300</v>
      </c>
      <c r="C8047" s="16" t="s">
        <v>786</v>
      </c>
      <c r="D8047" s="16" t="s">
        <v>799</v>
      </c>
      <c r="E8047" s="16" t="s">
        <v>810</v>
      </c>
      <c r="F8047" s="27" t="s">
        <v>16107</v>
      </c>
      <c r="G8047" s="27"/>
      <c r="H8047" s="16" t="str">
        <f>IF(ISBLANK(PARTIDAS!$G8047),PARTIDAS!$F8047,CONCATENATE(PARTIDAS!$F8047," (",PARTIDAS!$G8047,")"))</f>
        <v>Partes y accesorios de los artículos de las partidas…, de armas de guerra de la partida 93.01, de ametralladoras, fusiles ametralladores y pistolas am</v>
      </c>
      <c r="I8047" s="16" t="s">
        <v>9427</v>
      </c>
    </row>
    <row r="8048" spans="1:9" x14ac:dyDescent="0.25">
      <c r="A8048" s="16" t="s">
        <v>8890</v>
      </c>
      <c r="B8048" s="16" t="str">
        <f>TEXT(PARTIDA[[#This Row],[PARTIDA]],"0000000000")</f>
        <v>9305911400</v>
      </c>
      <c r="C8048" s="16" t="s">
        <v>786</v>
      </c>
      <c r="D8048" s="16" t="s">
        <v>799</v>
      </c>
      <c r="E8048" s="16" t="s">
        <v>810</v>
      </c>
      <c r="F8048" s="27" t="s">
        <v>16096</v>
      </c>
      <c r="G8048" s="27"/>
      <c r="H8048" s="16" t="str">
        <f>IF(ISBLANK(PARTIDAS!$G8048),PARTIDAS!$F8048,CONCATENATE(PARTIDAS!$F8048," (",PARTIDAS!$G8048,")"))</f>
        <v>Pistones, pasadores y amortiguadores de retroceso (frenos de boca)</v>
      </c>
      <c r="I8048" s="16" t="s">
        <v>9427</v>
      </c>
    </row>
    <row r="8049" spans="1:9" x14ac:dyDescent="0.25">
      <c r="A8049" s="16" t="s">
        <v>8891</v>
      </c>
      <c r="B8049" s="16" t="str">
        <f>TEXT(PARTIDA[[#This Row],[PARTIDA]],"0000000000")</f>
        <v>9305911500</v>
      </c>
      <c r="C8049" s="16" t="s">
        <v>786</v>
      </c>
      <c r="D8049" s="16" t="s">
        <v>799</v>
      </c>
      <c r="E8049" s="16" t="s">
        <v>810</v>
      </c>
      <c r="F8049" s="27" t="s">
        <v>16097</v>
      </c>
      <c r="G8049" s="27"/>
      <c r="H8049" s="16" t="str">
        <f>IF(ISBLANK(PARTIDAS!$G8049),PARTIDAS!$F8049,CONCATENATE(PARTIDAS!$F8049," (",PARTIDAS!$G8049,")"))</f>
        <v>Cargadores y sus partes</v>
      </c>
      <c r="I8049" s="16" t="s">
        <v>9427</v>
      </c>
    </row>
    <row r="8050" spans="1:9" x14ac:dyDescent="0.25">
      <c r="A8050" s="16" t="s">
        <v>8892</v>
      </c>
      <c r="B8050" s="16" t="str">
        <f>TEXT(PARTIDA[[#This Row],[PARTIDA]],"0000000000")</f>
        <v>9305911600</v>
      </c>
      <c r="C8050" s="16" t="s">
        <v>786</v>
      </c>
      <c r="D8050" s="16" t="s">
        <v>799</v>
      </c>
      <c r="E8050" s="16" t="s">
        <v>810</v>
      </c>
      <c r="F8050" s="27" t="s">
        <v>16098</v>
      </c>
      <c r="G8050" s="27"/>
      <c r="H8050" s="16" t="str">
        <f>IF(ISBLANK(PARTIDAS!$G8050),PARTIDAS!$F8050,CONCATENATE(PARTIDAS!$F8050," (",PARTIDAS!$G8050,")"))</f>
        <v>Silenciadores y sus partes</v>
      </c>
      <c r="I8050" s="16" t="s">
        <v>9427</v>
      </c>
    </row>
    <row r="8051" spans="1:9" x14ac:dyDescent="0.25">
      <c r="A8051" s="16" t="s">
        <v>8893</v>
      </c>
      <c r="B8051" s="16" t="str">
        <f>TEXT(PARTIDA[[#This Row],[PARTIDA]],"0000000000")</f>
        <v>9305911700</v>
      </c>
      <c r="C8051" s="16" t="s">
        <v>786</v>
      </c>
      <c r="D8051" s="16" t="s">
        <v>799</v>
      </c>
      <c r="E8051" s="16" t="s">
        <v>810</v>
      </c>
      <c r="F8051" s="27" t="s">
        <v>16104</v>
      </c>
      <c r="G8051" s="27"/>
      <c r="H8051" s="16" t="str">
        <f>IF(ISBLANK(PARTIDAS!$G8051),PARTIDAS!$F8051,CONCATENATE(PARTIDAS!$F8051," (",PARTIDAS!$G8051,")"))</f>
        <v>Cubrellamas y sus partes</v>
      </c>
      <c r="I8051" s="16" t="s">
        <v>9427</v>
      </c>
    </row>
    <row r="8052" spans="1:9" x14ac:dyDescent="0.25">
      <c r="A8052" s="16" t="s">
        <v>8894</v>
      </c>
      <c r="B8052" s="16" t="str">
        <f>TEXT(PARTIDA[[#This Row],[PARTIDA]],"0000000000")</f>
        <v>9305911800</v>
      </c>
      <c r="C8052" s="16" t="s">
        <v>786</v>
      </c>
      <c r="D8052" s="16" t="s">
        <v>799</v>
      </c>
      <c r="E8052" s="16" t="s">
        <v>810</v>
      </c>
      <c r="F8052" s="27" t="s">
        <v>16105</v>
      </c>
      <c r="G8052" s="27"/>
      <c r="H8052" s="16" t="str">
        <f>IF(ISBLANK(PARTIDAS!$G8052),PARTIDAS!$F8052,CONCATENATE(PARTIDAS!$F8052," (",PARTIDAS!$G8052,")"))</f>
        <v>Recámaras, cerrojos y portacerrojos</v>
      </c>
      <c r="I8052" s="16" t="s">
        <v>9427</v>
      </c>
    </row>
    <row r="8053" spans="1:9" x14ac:dyDescent="0.25">
      <c r="A8053" s="16" t="s">
        <v>8895</v>
      </c>
      <c r="B8053" s="16" t="str">
        <f>TEXT(PARTIDA[[#This Row],[PARTIDA]],"0000000000")</f>
        <v>9305911900</v>
      </c>
      <c r="C8053" s="16" t="s">
        <v>786</v>
      </c>
      <c r="D8053" s="16" t="s">
        <v>799</v>
      </c>
      <c r="E8053" s="16" t="s">
        <v>810</v>
      </c>
      <c r="F8053" s="27" t="s">
        <v>16107</v>
      </c>
      <c r="G8053" s="27"/>
      <c r="H8053" s="16" t="str">
        <f>IF(ISBLANK(PARTIDAS!$G8053),PARTIDAS!$F8053,CONCATENATE(PARTIDAS!$F8053," (",PARTIDAS!$G8053,")"))</f>
        <v>Partes y accesorios de los artículos de las partidas…, de armas de guerra de la partida 93.01, de ametralladoras, fusiles ametralladores y pistolas am</v>
      </c>
      <c r="I8053" s="16" t="s">
        <v>9427</v>
      </c>
    </row>
    <row r="8054" spans="1:9" x14ac:dyDescent="0.25">
      <c r="A8054" s="16" t="s">
        <v>8896</v>
      </c>
      <c r="B8054" s="16" t="str">
        <f>TEXT(PARTIDA[[#This Row],[PARTIDA]],"0000000000")</f>
        <v>9305919000</v>
      </c>
      <c r="C8054" s="16" t="s">
        <v>786</v>
      </c>
      <c r="D8054" s="16" t="s">
        <v>799</v>
      </c>
      <c r="E8054" s="16" t="s">
        <v>810</v>
      </c>
      <c r="F8054" s="27" t="s">
        <v>16108</v>
      </c>
      <c r="G8054" s="27"/>
      <c r="H8054" s="16" t="str">
        <f>IF(ISBLANK(PARTIDAS!$G8054),PARTIDAS!$F8054,CONCATENATE(PARTIDAS!$F8054," (",PARTIDAS!$G8054,")"))</f>
        <v>Partes y accesorios de los artículos de las partidas…, de armas de guerra de la partida 93.01 (los demás)</v>
      </c>
      <c r="I8054" s="16" t="s">
        <v>9427</v>
      </c>
    </row>
    <row r="8055" spans="1:9" x14ac:dyDescent="0.25">
      <c r="A8055" s="16" t="s">
        <v>8897</v>
      </c>
      <c r="B8055" s="16" t="str">
        <f>TEXT(PARTIDA[[#This Row],[PARTIDA]],"0000000000")</f>
        <v>9305990000</v>
      </c>
      <c r="C8055" s="16" t="s">
        <v>786</v>
      </c>
      <c r="D8055" s="16" t="s">
        <v>799</v>
      </c>
      <c r="E8055" s="16" t="s">
        <v>810</v>
      </c>
      <c r="F8055" s="27" t="s">
        <v>16109</v>
      </c>
      <c r="G8055" s="27"/>
      <c r="H8055" s="16" t="str">
        <f>IF(ISBLANK(PARTIDAS!$G8055),PARTIDAS!$F8055,CONCATENATE(PARTIDAS!$F8055," (",PARTIDAS!$G8055,")"))</f>
        <v>Partes y accesorios de los artículos de las partidas 93.01 a 93.04 (los demás)</v>
      </c>
      <c r="I8055" s="16" t="s">
        <v>9427</v>
      </c>
    </row>
    <row r="8056" spans="1:9" x14ac:dyDescent="0.25">
      <c r="A8056" s="16" t="s">
        <v>8898</v>
      </c>
      <c r="B8056" s="16" t="str">
        <f>TEXT(PARTIDA[[#This Row],[PARTIDA]],"0000000000")</f>
        <v>9306210000</v>
      </c>
      <c r="C8056" s="16" t="s">
        <v>786</v>
      </c>
      <c r="D8056" s="16" t="s">
        <v>799</v>
      </c>
      <c r="E8056" s="16" t="s">
        <v>810</v>
      </c>
      <c r="F8056" s="27" t="s">
        <v>16110</v>
      </c>
      <c r="G8056" s="27"/>
      <c r="H8056" s="16" t="str">
        <f>IF(ISBLANK(PARTIDAS!$G8056),PARTIDAS!$F8056,CONCATENATE(PARTIDAS!$F8056," (",PARTIDAS!$G8056,")"))</f>
        <v>Cartuchos para armas largas con cañón de ánima lisa y sus partes, cartuchos</v>
      </c>
      <c r="I8056" s="16" t="s">
        <v>9427</v>
      </c>
    </row>
    <row r="8057" spans="1:9" x14ac:dyDescent="0.25">
      <c r="A8057" s="16" t="s">
        <v>8899</v>
      </c>
      <c r="B8057" s="16" t="str">
        <f>TEXT(PARTIDA[[#This Row],[PARTIDA]],"0000000000")</f>
        <v>9306291000</v>
      </c>
      <c r="C8057" s="16" t="s">
        <v>786</v>
      </c>
      <c r="D8057" s="16" t="s">
        <v>799</v>
      </c>
      <c r="E8057" s="16" t="s">
        <v>810</v>
      </c>
      <c r="F8057" s="27" t="s">
        <v>16111</v>
      </c>
      <c r="G8057" s="27"/>
      <c r="H8057" s="16" t="str">
        <f>IF(ISBLANK(PARTIDAS!$G8057),PARTIDAS!$F8057,CONCATENATE(PARTIDAS!$F8057," (",PARTIDAS!$G8057,")"))</f>
        <v>Cartuchos para armas largas con cañón de ánima lisa y sus partes, balines</v>
      </c>
      <c r="I8057" s="16" t="s">
        <v>9427</v>
      </c>
    </row>
    <row r="8058" spans="1:9" x14ac:dyDescent="0.25">
      <c r="A8058" s="16" t="s">
        <v>8900</v>
      </c>
      <c r="B8058" s="16" t="str">
        <f>TEXT(PARTIDA[[#This Row],[PARTIDA]],"0000000000")</f>
        <v>9306299000</v>
      </c>
      <c r="C8058" s="16" t="s">
        <v>786</v>
      </c>
      <c r="D8058" s="16" t="s">
        <v>799</v>
      </c>
      <c r="E8058" s="16" t="s">
        <v>810</v>
      </c>
      <c r="F8058" s="27" t="s">
        <v>16112</v>
      </c>
      <c r="G8058" s="27"/>
      <c r="H8058" s="16" t="str">
        <f>IF(ISBLANK(PARTIDAS!$G8058),PARTIDAS!$F8058,CONCATENATE(PARTIDAS!$F8058," (",PARTIDAS!$G8058,")"))</f>
        <v>Cartuchos para armas largas con cañón de ánima lisa y sus partes, partes</v>
      </c>
      <c r="I8058" s="16" t="s">
        <v>9427</v>
      </c>
    </row>
    <row r="8059" spans="1:9" x14ac:dyDescent="0.25">
      <c r="A8059" s="16" t="s">
        <v>8901</v>
      </c>
      <c r="B8059" s="16" t="str">
        <f>TEXT(PARTIDA[[#This Row],[PARTIDA]],"0000000000")</f>
        <v>9306302000</v>
      </c>
      <c r="C8059" s="16" t="s">
        <v>786</v>
      </c>
      <c r="D8059" s="16" t="s">
        <v>799</v>
      </c>
      <c r="E8059" s="16" t="s">
        <v>810</v>
      </c>
      <c r="F8059" s="27" t="s">
        <v>16113</v>
      </c>
      <c r="G8059" s="27"/>
      <c r="H8059" s="16" t="str">
        <f>IF(ISBLANK(PARTIDAS!$G8059),PARTIDAS!$F8059,CONCATENATE(PARTIDAS!$F8059," (",PARTIDAS!$G8059,")"))</f>
        <v>Cartuchos para «pistolas» de remachar o usos similares, para pistolas de matarife</v>
      </c>
      <c r="I8059" s="16" t="s">
        <v>9427</v>
      </c>
    </row>
    <row r="8060" spans="1:9" x14ac:dyDescent="0.25">
      <c r="A8060" s="16" t="s">
        <v>8902</v>
      </c>
      <c r="B8060" s="16" t="str">
        <f>TEXT(PARTIDA[[#This Row],[PARTIDA]],"0000000000")</f>
        <v>9306303000</v>
      </c>
      <c r="C8060" s="16" t="s">
        <v>786</v>
      </c>
      <c r="D8060" s="16" t="s">
        <v>799</v>
      </c>
      <c r="E8060" s="16" t="s">
        <v>810</v>
      </c>
      <c r="F8060" s="27" t="s">
        <v>16114</v>
      </c>
      <c r="G8060" s="27"/>
      <c r="H8060" s="16" t="str">
        <f>IF(ISBLANK(PARTIDAS!$G8060),PARTIDAS!$F8060,CONCATENATE(PARTIDAS!$F8060," (",PARTIDAS!$G8060,")"))</f>
        <v>Bombas, granadas, torpedos, minas, misiles, cartuchos y demás… (los demás, cartuchos)</v>
      </c>
      <c r="I8060" s="16" t="s">
        <v>9427</v>
      </c>
    </row>
    <row r="8061" spans="1:9" x14ac:dyDescent="0.25">
      <c r="A8061" s="16" t="s">
        <v>8903</v>
      </c>
      <c r="B8061" s="16" t="str">
        <f>TEXT(PARTIDA[[#This Row],[PARTIDA]],"0000000000")</f>
        <v>9306309000</v>
      </c>
      <c r="C8061" s="16" t="s">
        <v>786</v>
      </c>
      <c r="D8061" s="16" t="s">
        <v>799</v>
      </c>
      <c r="E8061" s="16" t="s">
        <v>810</v>
      </c>
      <c r="F8061" s="27" t="s">
        <v>16115</v>
      </c>
      <c r="G8061" s="27"/>
      <c r="H8061" s="16" t="str">
        <f>IF(ISBLANK(PARTIDAS!$G8061),PARTIDAS!$F8061,CONCATENATE(PARTIDAS!$F8061," (",PARTIDAS!$G8061,")"))</f>
        <v>Bombas, granadas, torpedos, minas, misiles, cartuchos y demás…, partes</v>
      </c>
      <c r="I8061" s="16" t="s">
        <v>9427</v>
      </c>
    </row>
    <row r="8062" spans="1:9" x14ac:dyDescent="0.25">
      <c r="A8062" s="16" t="s">
        <v>8904</v>
      </c>
      <c r="B8062" s="16" t="str">
        <f>TEXT(PARTIDA[[#This Row],[PARTIDA]],"0000000000")</f>
        <v>9306901100</v>
      </c>
      <c r="C8062" s="16" t="s">
        <v>786</v>
      </c>
      <c r="D8062" s="16" t="s">
        <v>799</v>
      </c>
      <c r="E8062" s="16" t="s">
        <v>810</v>
      </c>
      <c r="F8062" s="27" t="s">
        <v>16116</v>
      </c>
      <c r="G8062" s="27"/>
      <c r="H8062" s="16" t="str">
        <f>IF(ISBLANK(PARTIDAS!$G8062),PARTIDAS!$F8062,CONCATENATE(PARTIDAS!$F8062," (",PARTIDAS!$G8062,")"))</f>
        <v>Municiones y proyectiles, para armas de guerra</v>
      </c>
      <c r="I8062" s="16" t="s">
        <v>9427</v>
      </c>
    </row>
    <row r="8063" spans="1:9" x14ac:dyDescent="0.25">
      <c r="A8063" s="16" t="s">
        <v>8905</v>
      </c>
      <c r="B8063" s="16" t="str">
        <f>TEXT(PARTIDA[[#This Row],[PARTIDA]],"0000000000")</f>
        <v>9306901200</v>
      </c>
      <c r="C8063" s="16" t="s">
        <v>786</v>
      </c>
      <c r="D8063" s="16" t="s">
        <v>799</v>
      </c>
      <c r="E8063" s="16" t="s">
        <v>810</v>
      </c>
      <c r="F8063" s="27" t="s">
        <v>16117</v>
      </c>
      <c r="G8063" s="27"/>
      <c r="H8063" s="16" t="str">
        <f>IF(ISBLANK(PARTIDAS!$G8063),PARTIDAS!$F8063,CONCATENATE(PARTIDAS!$F8063," (",PARTIDAS!$G8063,")"))</f>
        <v>Arpones para lanzaarpones</v>
      </c>
      <c r="I8063" s="16" t="s">
        <v>9427</v>
      </c>
    </row>
    <row r="8064" spans="1:9" x14ac:dyDescent="0.25">
      <c r="A8064" s="16" t="s">
        <v>8906</v>
      </c>
      <c r="B8064" s="16" t="str">
        <f>TEXT(PARTIDA[[#This Row],[PARTIDA]],"0000000000")</f>
        <v>9306901900</v>
      </c>
      <c r="C8064" s="16" t="s">
        <v>786</v>
      </c>
      <c r="D8064" s="16" t="s">
        <v>799</v>
      </c>
      <c r="E8064" s="16" t="s">
        <v>810</v>
      </c>
      <c r="F8064" s="27" t="s">
        <v>16118</v>
      </c>
      <c r="G8064" s="27"/>
      <c r="H8064" s="16" t="str">
        <f>IF(ISBLANK(PARTIDAS!$G8064),PARTIDAS!$F8064,CONCATENATE(PARTIDAS!$F8064," (",PARTIDAS!$G8064,")"))</f>
        <v>Municiones y proyectiles (los demás)</v>
      </c>
      <c r="I8064" s="16" t="s">
        <v>9427</v>
      </c>
    </row>
    <row r="8065" spans="1:9" x14ac:dyDescent="0.25">
      <c r="A8065" s="16" t="s">
        <v>8907</v>
      </c>
      <c r="B8065" s="16" t="str">
        <f>TEXT(PARTIDA[[#This Row],[PARTIDA]],"0000000000")</f>
        <v>9306909000</v>
      </c>
      <c r="C8065" s="16" t="s">
        <v>786</v>
      </c>
      <c r="D8065" s="16" t="s">
        <v>799</v>
      </c>
      <c r="E8065" s="16" t="s">
        <v>810</v>
      </c>
      <c r="F8065" s="27" t="s">
        <v>16115</v>
      </c>
      <c r="G8065" s="27"/>
      <c r="H8065" s="16" t="str">
        <f>IF(ISBLANK(PARTIDAS!$G8065),PARTIDAS!$F8065,CONCATENATE(PARTIDAS!$F8065," (",PARTIDAS!$G8065,")"))</f>
        <v>Bombas, granadas, torpedos, minas, misiles, cartuchos y demás…, partes</v>
      </c>
      <c r="I8065" s="16" t="s">
        <v>9427</v>
      </c>
    </row>
    <row r="8066" spans="1:9" x14ac:dyDescent="0.25">
      <c r="A8066" s="16" t="s">
        <v>8908</v>
      </c>
      <c r="B8066" s="16" t="str">
        <f>TEXT(PARTIDA[[#This Row],[PARTIDA]],"0000000000")</f>
        <v>9307000000</v>
      </c>
      <c r="C8066" s="16" t="s">
        <v>786</v>
      </c>
      <c r="D8066" s="16" t="s">
        <v>799</v>
      </c>
      <c r="E8066" s="16" t="s">
        <v>810</v>
      </c>
      <c r="F8066" s="27" t="s">
        <v>8909</v>
      </c>
      <c r="G8066" s="27"/>
      <c r="H8066" s="16" t="str">
        <f>IF(ISBLANK(PARTIDAS!$G8066),PARTIDAS!$F8066,CONCATENATE(PARTIDAS!$F8066," (",PARTIDAS!$G8066,")"))</f>
        <v>Sables, espadas, lanzas y similares</v>
      </c>
      <c r="I8066" s="16" t="s">
        <v>9427</v>
      </c>
    </row>
    <row r="8067" spans="1:9" x14ac:dyDescent="0.25">
      <c r="A8067" s="16" t="s">
        <v>8910</v>
      </c>
      <c r="B8067" s="16" t="str">
        <f>TEXT(PARTIDA[[#This Row],[PARTIDA]],"0000000000")</f>
        <v>9401100000</v>
      </c>
      <c r="C8067" s="16" t="s">
        <v>786</v>
      </c>
      <c r="D8067" s="16" t="s">
        <v>799</v>
      </c>
      <c r="E8067" s="16" t="s">
        <v>804</v>
      </c>
      <c r="F8067" s="27" t="s">
        <v>16119</v>
      </c>
      <c r="G8067" s="27"/>
      <c r="H8067" s="16" t="str">
        <f>IF(ISBLANK(PARTIDAS!$G8067),PARTIDAS!$F8067,CONCATENATE(PARTIDAS!$F8067," (",PARTIDAS!$G8067,")"))</f>
        <v>Asientos de los tipos utilizados en aeronaves</v>
      </c>
      <c r="I8067" s="16" t="s">
        <v>9427</v>
      </c>
    </row>
    <row r="8068" spans="1:9" x14ac:dyDescent="0.25">
      <c r="A8068" s="16" t="s">
        <v>8911</v>
      </c>
      <c r="B8068" s="16" t="str">
        <f>TEXT(PARTIDA[[#This Row],[PARTIDA]],"0000000000")</f>
        <v>9401200000</v>
      </c>
      <c r="C8068" s="16" t="s">
        <v>786</v>
      </c>
      <c r="D8068" s="16" t="s">
        <v>799</v>
      </c>
      <c r="E8068" s="16" t="s">
        <v>804</v>
      </c>
      <c r="F8068" s="27" t="s">
        <v>16120</v>
      </c>
      <c r="G8068" s="27"/>
      <c r="H8068" s="16" t="str">
        <f>IF(ISBLANK(PARTIDAS!$G8068),PARTIDAS!$F8068,CONCATENATE(PARTIDAS!$F8068," (",PARTIDAS!$G8068,")"))</f>
        <v>Asientos de los tipos utilizados en vehículos automóviles</v>
      </c>
      <c r="I8068" s="16" t="s">
        <v>9427</v>
      </c>
    </row>
    <row r="8069" spans="1:9" x14ac:dyDescent="0.25">
      <c r="A8069" s="16" t="s">
        <v>8912</v>
      </c>
      <c r="B8069" s="16" t="str">
        <f>TEXT(PARTIDA[[#This Row],[PARTIDA]],"0000000000")</f>
        <v>9401300000</v>
      </c>
      <c r="C8069" s="16" t="s">
        <v>786</v>
      </c>
      <c r="D8069" s="16" t="s">
        <v>799</v>
      </c>
      <c r="E8069" s="16" t="s">
        <v>804</v>
      </c>
      <c r="F8069" s="27" t="s">
        <v>16121</v>
      </c>
      <c r="G8069" s="27"/>
      <c r="H8069" s="16" t="str">
        <f>IF(ISBLANK(PARTIDAS!$G8069),PARTIDAS!$F8069,CONCATENATE(PARTIDAS!$F8069," (",PARTIDAS!$G8069,")"))</f>
        <v>Asientos giratorios de altura ajustable</v>
      </c>
      <c r="I8069" s="16" t="s">
        <v>9648</v>
      </c>
    </row>
    <row r="8070" spans="1:9" x14ac:dyDescent="0.25">
      <c r="A8070" s="16" t="s">
        <v>16122</v>
      </c>
      <c r="B8070" s="16" t="str">
        <f>TEXT(PARTIDA[[#This Row],[PARTIDA]],"0000000000")</f>
        <v>9401310000</v>
      </c>
      <c r="C8070" s="16" t="s">
        <v>786</v>
      </c>
      <c r="D8070" s="16" t="s">
        <v>799</v>
      </c>
      <c r="E8070" s="16" t="s">
        <v>804</v>
      </c>
      <c r="F8070" s="27" t="s">
        <v>16123</v>
      </c>
      <c r="G8070" s="27"/>
      <c r="H8070" s="16" t="str">
        <f>IF(ISBLANK(PARTIDAS!$G8070),PARTIDAS!$F8070,CONCATENATE(PARTIDAS!$F8070," (",PARTIDAS!$G8070,")"))</f>
        <v>Asientos giratorios de altura ajustable, de madera</v>
      </c>
      <c r="I8070" s="16" t="s">
        <v>9427</v>
      </c>
    </row>
    <row r="8071" spans="1:9" x14ac:dyDescent="0.25">
      <c r="A8071" s="16" t="s">
        <v>16124</v>
      </c>
      <c r="B8071" s="16" t="str">
        <f>TEXT(PARTIDA[[#This Row],[PARTIDA]],"0000000000")</f>
        <v>9401390000</v>
      </c>
      <c r="C8071" s="16" t="s">
        <v>786</v>
      </c>
      <c r="D8071" s="16" t="s">
        <v>799</v>
      </c>
      <c r="E8071" s="16" t="s">
        <v>804</v>
      </c>
      <c r="F8071" s="27" t="s">
        <v>16125</v>
      </c>
      <c r="G8071" s="27"/>
      <c r="H8071" s="16" t="str">
        <f>IF(ISBLANK(PARTIDAS!$G8071),PARTIDAS!$F8071,CONCATENATE(PARTIDAS!$F8071," (",PARTIDAS!$G8071,")"))</f>
        <v>Asientos giratorios de altura ajustable (los demás)</v>
      </c>
      <c r="I8071" s="16" t="s">
        <v>9427</v>
      </c>
    </row>
    <row r="8072" spans="1:9" x14ac:dyDescent="0.25">
      <c r="A8072" s="16" t="s">
        <v>8913</v>
      </c>
      <c r="B8072" s="16" t="str">
        <f>TEXT(PARTIDA[[#This Row],[PARTIDA]],"0000000000")</f>
        <v>9401400000</v>
      </c>
      <c r="C8072" s="16" t="s">
        <v>786</v>
      </c>
      <c r="D8072" s="16" t="s">
        <v>799</v>
      </c>
      <c r="E8072" s="16" t="s">
        <v>804</v>
      </c>
      <c r="F8072" s="27" t="s">
        <v>16126</v>
      </c>
      <c r="G8072" s="27"/>
      <c r="H8072" s="16" t="str">
        <f>IF(ISBLANK(PARTIDAS!$G8072),PARTIDAS!$F8072,CONCATENATE(PARTIDAS!$F8072," (",PARTIDAS!$G8072,")"))</f>
        <v>Asientos transformables en cama, excepto el material de acampar o de jardín</v>
      </c>
      <c r="I8072" s="16" t="s">
        <v>9648</v>
      </c>
    </row>
    <row r="8073" spans="1:9" x14ac:dyDescent="0.25">
      <c r="A8073" s="16" t="s">
        <v>16127</v>
      </c>
      <c r="B8073" s="16" t="str">
        <f>TEXT(PARTIDA[[#This Row],[PARTIDA]],"0000000000")</f>
        <v>9401410000</v>
      </c>
      <c r="C8073" s="16" t="s">
        <v>786</v>
      </c>
      <c r="D8073" s="16" t="s">
        <v>799</v>
      </c>
      <c r="E8073" s="16" t="s">
        <v>804</v>
      </c>
      <c r="F8073" s="27" t="s">
        <v>16128</v>
      </c>
      <c r="G8073" s="27"/>
      <c r="H8073" s="16" t="str">
        <f>IF(ISBLANK(PARTIDAS!$G8073),PARTIDAS!$F8073,CONCATENATE(PARTIDAS!$F8073," (",PARTIDAS!$G8073,")"))</f>
        <v>Asientos transformables en cama, de madera</v>
      </c>
      <c r="I8073" s="16" t="s">
        <v>9427</v>
      </c>
    </row>
    <row r="8074" spans="1:9" x14ac:dyDescent="0.25">
      <c r="A8074" s="16" t="s">
        <v>16129</v>
      </c>
      <c r="B8074" s="16" t="str">
        <f>TEXT(PARTIDA[[#This Row],[PARTIDA]],"0000000000")</f>
        <v>9401490000</v>
      </c>
      <c r="C8074" s="16" t="s">
        <v>786</v>
      </c>
      <c r="D8074" s="16" t="s">
        <v>799</v>
      </c>
      <c r="E8074" s="16" t="s">
        <v>804</v>
      </c>
      <c r="F8074" s="27" t="s">
        <v>16130</v>
      </c>
      <c r="G8074" s="27"/>
      <c r="H8074" s="16" t="str">
        <f>IF(ISBLANK(PARTIDAS!$G8074),PARTIDAS!$F8074,CONCATENATE(PARTIDAS!$F8074," (",PARTIDAS!$G8074,")"))</f>
        <v>Asientos transformables en cama (los demás)</v>
      </c>
      <c r="I8074" s="16" t="s">
        <v>9427</v>
      </c>
    </row>
    <row r="8075" spans="1:9" x14ac:dyDescent="0.25">
      <c r="A8075" s="16" t="s">
        <v>8914</v>
      </c>
      <c r="B8075" s="16" t="str">
        <f>TEXT(PARTIDA[[#This Row],[PARTIDA]],"0000000000")</f>
        <v>9401520000</v>
      </c>
      <c r="C8075" s="16" t="s">
        <v>786</v>
      </c>
      <c r="D8075" s="16" t="s">
        <v>799</v>
      </c>
      <c r="E8075" s="16" t="s">
        <v>804</v>
      </c>
      <c r="F8075" s="27" t="s">
        <v>16131</v>
      </c>
      <c r="G8075" s="27"/>
      <c r="H8075" s="16" t="str">
        <f>IF(ISBLANK(PARTIDAS!$G8075),PARTIDAS!$F8075,CONCATENATE(PARTIDAS!$F8075," (",PARTIDAS!$G8075,")"))</f>
        <v>Asientos de roten (ratán), mimbre, bambú o materias similares, de bambú</v>
      </c>
      <c r="I8075" s="16" t="s">
        <v>9427</v>
      </c>
    </row>
    <row r="8076" spans="1:9" x14ac:dyDescent="0.25">
      <c r="A8076" s="16" t="s">
        <v>8915</v>
      </c>
      <c r="B8076" s="16" t="str">
        <f>TEXT(PARTIDA[[#This Row],[PARTIDA]],"0000000000")</f>
        <v>9401530000</v>
      </c>
      <c r="C8076" s="16" t="s">
        <v>786</v>
      </c>
      <c r="D8076" s="16" t="s">
        <v>799</v>
      </c>
      <c r="E8076" s="16" t="s">
        <v>804</v>
      </c>
      <c r="F8076" s="27" t="s">
        <v>16132</v>
      </c>
      <c r="G8076" s="27"/>
      <c r="H8076" s="16" t="str">
        <f>IF(ISBLANK(PARTIDAS!$G8076),PARTIDAS!$F8076,CONCATENATE(PARTIDAS!$F8076," (",PARTIDAS!$G8076,")"))</f>
        <v>Asientos de roten (ratán), mimbre, bambú o materias similares, de roten (ratán)</v>
      </c>
      <c r="I8076" s="16" t="s">
        <v>9427</v>
      </c>
    </row>
    <row r="8077" spans="1:9" x14ac:dyDescent="0.25">
      <c r="A8077" s="16" t="s">
        <v>8916</v>
      </c>
      <c r="B8077" s="16" t="str">
        <f>TEXT(PARTIDA[[#This Row],[PARTIDA]],"0000000000")</f>
        <v>9401590000</v>
      </c>
      <c r="C8077" s="16" t="s">
        <v>786</v>
      </c>
      <c r="D8077" s="16" t="s">
        <v>799</v>
      </c>
      <c r="E8077" s="16" t="s">
        <v>804</v>
      </c>
      <c r="F8077" s="27" t="s">
        <v>16133</v>
      </c>
      <c r="G8077" s="27"/>
      <c r="H8077" s="16" t="str">
        <f>IF(ISBLANK(PARTIDAS!$G8077),PARTIDAS!$F8077,CONCATENATE(PARTIDAS!$F8077," (",PARTIDAS!$G8077,")"))</f>
        <v>Asientos de roten (ratán), mimbre, bambú o materias similares (los demás)</v>
      </c>
      <c r="I8077" s="16" t="s">
        <v>9427</v>
      </c>
    </row>
    <row r="8078" spans="1:9" x14ac:dyDescent="0.25">
      <c r="A8078" s="16" t="s">
        <v>8917</v>
      </c>
      <c r="B8078" s="16" t="str">
        <f>TEXT(PARTIDA[[#This Row],[PARTIDA]],"0000000000")</f>
        <v>9401610000</v>
      </c>
      <c r="C8078" s="16" t="s">
        <v>786</v>
      </c>
      <c r="D8078" s="16" t="s">
        <v>799</v>
      </c>
      <c r="E8078" s="16" t="s">
        <v>804</v>
      </c>
      <c r="F8078" s="27" t="s">
        <v>16134</v>
      </c>
      <c r="G8078" s="27"/>
      <c r="H8078" s="16" t="str">
        <f>IF(ISBLANK(PARTIDAS!$G8078),PARTIDAS!$F8078,CONCATENATE(PARTIDAS!$F8078," (",PARTIDAS!$G8078,")"))</f>
        <v>Asientos (excepto los de la partida 94.02), incluso los…, con relleno</v>
      </c>
      <c r="I8078" s="16" t="s">
        <v>9427</v>
      </c>
    </row>
    <row r="8079" spans="1:9" x14ac:dyDescent="0.25">
      <c r="A8079" s="16" t="s">
        <v>8918</v>
      </c>
      <c r="B8079" s="16" t="str">
        <f>TEXT(PARTIDA[[#This Row],[PARTIDA]],"0000000000")</f>
        <v>9401690000</v>
      </c>
      <c r="C8079" s="16" t="s">
        <v>786</v>
      </c>
      <c r="D8079" s="16" t="s">
        <v>799</v>
      </c>
      <c r="E8079" s="16" t="s">
        <v>804</v>
      </c>
      <c r="F8079" s="27" t="s">
        <v>16135</v>
      </c>
      <c r="G8079" s="27"/>
      <c r="H8079" s="16" t="str">
        <f>IF(ISBLANK(PARTIDAS!$G8079),PARTIDAS!$F8079,CONCATENATE(PARTIDAS!$F8079," (",PARTIDAS!$G8079,")"))</f>
        <v>Asientos (excepto los de la partida 94.02), incluso los… (los demás)</v>
      </c>
      <c r="I8079" s="16" t="s">
        <v>9427</v>
      </c>
    </row>
    <row r="8080" spans="1:9" x14ac:dyDescent="0.25">
      <c r="A8080" s="16" t="s">
        <v>8919</v>
      </c>
      <c r="B8080" s="16" t="str">
        <f>TEXT(PARTIDA[[#This Row],[PARTIDA]],"0000000000")</f>
        <v>9401710000</v>
      </c>
      <c r="C8080" s="16" t="s">
        <v>786</v>
      </c>
      <c r="D8080" s="16" t="s">
        <v>799</v>
      </c>
      <c r="E8080" s="16" t="s">
        <v>804</v>
      </c>
      <c r="F8080" s="27" t="s">
        <v>16134</v>
      </c>
      <c r="G8080" s="27"/>
      <c r="H8080" s="16" t="str">
        <f>IF(ISBLANK(PARTIDAS!$G8080),PARTIDAS!$F8080,CONCATENATE(PARTIDAS!$F8080," (",PARTIDAS!$G8080,")"))</f>
        <v>Asientos (excepto los de la partida 94.02), incluso los…, con relleno</v>
      </c>
      <c r="I8080" s="16" t="s">
        <v>9427</v>
      </c>
    </row>
    <row r="8081" spans="1:9" x14ac:dyDescent="0.25">
      <c r="A8081" s="16" t="s">
        <v>8920</v>
      </c>
      <c r="B8081" s="16" t="str">
        <f>TEXT(PARTIDA[[#This Row],[PARTIDA]],"0000000000")</f>
        <v>9401790000</v>
      </c>
      <c r="C8081" s="16" t="s">
        <v>786</v>
      </c>
      <c r="D8081" s="16" t="s">
        <v>799</v>
      </c>
      <c r="E8081" s="16" t="s">
        <v>804</v>
      </c>
      <c r="F8081" s="27" t="s">
        <v>16135</v>
      </c>
      <c r="G8081" s="27"/>
      <c r="H8081" s="16" t="str">
        <f>IF(ISBLANK(PARTIDAS!$G8081),PARTIDAS!$F8081,CONCATENATE(PARTIDAS!$F8081," (",PARTIDAS!$G8081,")"))</f>
        <v>Asientos (excepto los de la partida 94.02), incluso los… (los demás)</v>
      </c>
      <c r="I8081" s="16" t="s">
        <v>9427</v>
      </c>
    </row>
    <row r="8082" spans="1:9" x14ac:dyDescent="0.25">
      <c r="A8082" s="16" t="s">
        <v>8921</v>
      </c>
      <c r="B8082" s="16" t="str">
        <f>TEXT(PARTIDA[[#This Row],[PARTIDA]],"0000000000")</f>
        <v>9401800000</v>
      </c>
      <c r="C8082" s="16" t="s">
        <v>786</v>
      </c>
      <c r="D8082" s="16" t="s">
        <v>799</v>
      </c>
      <c r="E8082" s="16" t="s">
        <v>804</v>
      </c>
      <c r="F8082" s="27" t="s">
        <v>16136</v>
      </c>
      <c r="G8082" s="27"/>
      <c r="H8082" s="16" t="str">
        <f>IF(ISBLANK(PARTIDAS!$G8082),PARTIDAS!$F8082,CONCATENATE(PARTIDAS!$F8082," (",PARTIDAS!$G8082,")"))</f>
        <v>Asientos (excepto los de la partida 94.02), incluso los… (los demás, asientos)</v>
      </c>
      <c r="I8082" s="16" t="s">
        <v>9427</v>
      </c>
    </row>
    <row r="8083" spans="1:9" x14ac:dyDescent="0.25">
      <c r="A8083" s="16" t="s">
        <v>8922</v>
      </c>
      <c r="B8083" s="16" t="str">
        <f>TEXT(PARTIDA[[#This Row],[PARTIDA]],"0000000000")</f>
        <v>9401901000</v>
      </c>
      <c r="C8083" s="16" t="s">
        <v>786</v>
      </c>
      <c r="D8083" s="16" t="s">
        <v>799</v>
      </c>
      <c r="E8083" s="16" t="s">
        <v>804</v>
      </c>
      <c r="F8083" s="27" t="s">
        <v>16137</v>
      </c>
      <c r="G8083" s="27"/>
      <c r="H8083" s="16" t="str">
        <f>IF(ISBLANK(PARTIDAS!$G8083),PARTIDAS!$F8083,CONCATENATE(PARTIDAS!$F8083," (",PARTIDAS!$G8083,")"))</f>
        <v>Dispositivos para asientos reclinables</v>
      </c>
      <c r="I8083" s="16" t="s">
        <v>9648</v>
      </c>
    </row>
    <row r="8084" spans="1:9" x14ac:dyDescent="0.25">
      <c r="A8084" s="16" t="s">
        <v>8923</v>
      </c>
      <c r="B8084" s="16" t="str">
        <f>TEXT(PARTIDA[[#This Row],[PARTIDA]],"0000000000")</f>
        <v>9401909000</v>
      </c>
      <c r="C8084" s="16" t="s">
        <v>786</v>
      </c>
      <c r="D8084" s="16" t="s">
        <v>799</v>
      </c>
      <c r="E8084" s="16" t="s">
        <v>804</v>
      </c>
      <c r="F8084" s="27" t="s">
        <v>16138</v>
      </c>
      <c r="G8084" s="27"/>
      <c r="H8084" s="16" t="str">
        <f>IF(ISBLANK(PARTIDAS!$G8084),PARTIDAS!$F8084,CONCATENATE(PARTIDAS!$F8084," (",PARTIDAS!$G8084,")"))</f>
        <v>Asientos (excepto los de la partida 94.02), incluso los transformables (los demás)</v>
      </c>
      <c r="I8084" s="16" t="s">
        <v>9648</v>
      </c>
    </row>
    <row r="8085" spans="1:9" x14ac:dyDescent="0.25">
      <c r="A8085" s="16" t="s">
        <v>16139</v>
      </c>
      <c r="B8085" s="16" t="str">
        <f>TEXT(PARTIDA[[#This Row],[PARTIDA]],"0000000000")</f>
        <v>9401910000</v>
      </c>
      <c r="C8085" s="16" t="s">
        <v>786</v>
      </c>
      <c r="D8085" s="16" t="s">
        <v>799</v>
      </c>
      <c r="E8085" s="16" t="s">
        <v>804</v>
      </c>
      <c r="F8085" s="27" t="s">
        <v>16140</v>
      </c>
      <c r="G8085" s="27"/>
      <c r="H8085" s="16" t="str">
        <f>IF(ISBLANK(PARTIDAS!$G8085),PARTIDAS!$F8085,CONCATENATE(PARTIDAS!$F8085," (",PARTIDAS!$G8085,")"))</f>
        <v>Asientos (excepto los de la partida 94.02), incluso…, partes, de madera</v>
      </c>
      <c r="I8085" s="16" t="s">
        <v>9427</v>
      </c>
    </row>
    <row r="8086" spans="1:9" x14ac:dyDescent="0.25">
      <c r="A8086" s="16" t="s">
        <v>16141</v>
      </c>
      <c r="B8086" s="16" t="str">
        <f>TEXT(PARTIDA[[#This Row],[PARTIDA]],"0000000000")</f>
        <v>9401990000</v>
      </c>
      <c r="C8086" s="16" t="s">
        <v>786</v>
      </c>
      <c r="D8086" s="16" t="s">
        <v>799</v>
      </c>
      <c r="E8086" s="16" t="s">
        <v>804</v>
      </c>
      <c r="F8086" s="27" t="s">
        <v>16142</v>
      </c>
      <c r="G8086" s="27"/>
      <c r="H8086" s="16" t="str">
        <f>IF(ISBLANK(PARTIDAS!$G8086),PARTIDAS!$F8086,CONCATENATE(PARTIDAS!$F8086," (",PARTIDAS!$G8086,")"))</f>
        <v>Asientos (excepto los de la partida 94.02), incluso…, partes (los demás)</v>
      </c>
      <c r="I8086" s="16" t="s">
        <v>9427</v>
      </c>
    </row>
    <row r="8087" spans="1:9" x14ac:dyDescent="0.25">
      <c r="A8087" s="16" t="s">
        <v>8924</v>
      </c>
      <c r="B8087" s="16" t="str">
        <f>TEXT(PARTIDA[[#This Row],[PARTIDA]],"0000000000")</f>
        <v>9402101000</v>
      </c>
      <c r="C8087" s="16" t="s">
        <v>786</v>
      </c>
      <c r="D8087" s="16" t="s">
        <v>799</v>
      </c>
      <c r="E8087" s="16" t="s">
        <v>804</v>
      </c>
      <c r="F8087" s="27" t="s">
        <v>16143</v>
      </c>
      <c r="G8087" s="27"/>
      <c r="H8087" s="16" t="str">
        <f>IF(ISBLANK(PARTIDAS!$G8087),PARTIDAS!$F8087,CONCATENATE(PARTIDAS!$F8087," (",PARTIDAS!$G8087,")"))</f>
        <v>Sillones de dentista</v>
      </c>
      <c r="I8087" s="16" t="s">
        <v>9427</v>
      </c>
    </row>
    <row r="8088" spans="1:9" x14ac:dyDescent="0.25">
      <c r="A8088" s="16" t="s">
        <v>8925</v>
      </c>
      <c r="B8088" s="16" t="str">
        <f>TEXT(PARTIDA[[#This Row],[PARTIDA]],"0000000000")</f>
        <v>9402109000</v>
      </c>
      <c r="C8088" s="16" t="s">
        <v>786</v>
      </c>
      <c r="D8088" s="16" t="s">
        <v>799</v>
      </c>
      <c r="E8088" s="16" t="s">
        <v>804</v>
      </c>
      <c r="F8088" s="27" t="s">
        <v>16144</v>
      </c>
      <c r="G8088" s="27"/>
      <c r="H8088" s="16" t="str">
        <f>IF(ISBLANK(PARTIDAS!$G8088),PARTIDAS!$F8088,CONCATENATE(PARTIDAS!$F8088," (",PARTIDAS!$G8088,")"))</f>
        <v>Sillones de dentista, de peluquería y sillones similares, y sus partes (los demás)</v>
      </c>
      <c r="I8088" s="16" t="s">
        <v>9427</v>
      </c>
    </row>
    <row r="8089" spans="1:9" x14ac:dyDescent="0.25">
      <c r="A8089" s="16" t="s">
        <v>8926</v>
      </c>
      <c r="B8089" s="16" t="str">
        <f>TEXT(PARTIDA[[#This Row],[PARTIDA]],"0000000000")</f>
        <v>9402901000</v>
      </c>
      <c r="C8089" s="16" t="s">
        <v>786</v>
      </c>
      <c r="D8089" s="16" t="s">
        <v>799</v>
      </c>
      <c r="E8089" s="16" t="s">
        <v>804</v>
      </c>
      <c r="F8089" s="27" t="s">
        <v>16145</v>
      </c>
      <c r="G8089" s="27"/>
      <c r="H8089" s="16" t="str">
        <f>IF(ISBLANK(PARTIDAS!$G8089),PARTIDAS!$F8089,CONCATENATE(PARTIDAS!$F8089," (",PARTIDAS!$G8089,")"))</f>
        <v>Mesas de operaciones y sus partes</v>
      </c>
      <c r="I8089" s="16" t="s">
        <v>9427</v>
      </c>
    </row>
    <row r="8090" spans="1:9" x14ac:dyDescent="0.25">
      <c r="A8090" s="16" t="s">
        <v>8927</v>
      </c>
      <c r="B8090" s="16" t="str">
        <f>TEXT(PARTIDA[[#This Row],[PARTIDA]],"0000000000")</f>
        <v>9402909000</v>
      </c>
      <c r="C8090" s="16" t="s">
        <v>786</v>
      </c>
      <c r="D8090" s="16" t="s">
        <v>799</v>
      </c>
      <c r="E8090" s="16" t="s">
        <v>804</v>
      </c>
      <c r="F8090" s="27" t="s">
        <v>16146</v>
      </c>
      <c r="G8090" s="27"/>
      <c r="H8090" s="16" t="str">
        <f>IF(ISBLANK(PARTIDAS!$G8090),PARTIDAS!$F8090,CONCATENATE(PARTIDAS!$F8090," (",PARTIDAS!$G8090,")"))</f>
        <v>Mobiliario para medicina, cirugía, odontología o veterinaria (por… (los demás, y sus partes)</v>
      </c>
      <c r="I8090" s="16" t="s">
        <v>9427</v>
      </c>
    </row>
    <row r="8091" spans="1:9" x14ac:dyDescent="0.25">
      <c r="A8091" s="16" t="s">
        <v>8928</v>
      </c>
      <c r="B8091" s="16" t="str">
        <f>TEXT(PARTIDA[[#This Row],[PARTIDA]],"0000000000")</f>
        <v>9403100000</v>
      </c>
      <c r="C8091" s="16" t="s">
        <v>786</v>
      </c>
      <c r="D8091" s="16" t="s">
        <v>799</v>
      </c>
      <c r="E8091" s="16" t="s">
        <v>804</v>
      </c>
      <c r="F8091" s="27" t="s">
        <v>16147</v>
      </c>
      <c r="G8091" s="27"/>
      <c r="H8091" s="16" t="str">
        <f>IF(ISBLANK(PARTIDAS!$G8091),PARTIDAS!$F8091,CONCATENATE(PARTIDAS!$F8091," (",PARTIDAS!$G8091,")"))</f>
        <v>Muebles de metal de los tipos utilizados en oficinas</v>
      </c>
      <c r="I8091" s="16" t="s">
        <v>9427</v>
      </c>
    </row>
    <row r="8092" spans="1:9" x14ac:dyDescent="0.25">
      <c r="A8092" s="16" t="s">
        <v>8929</v>
      </c>
      <c r="B8092" s="16" t="str">
        <f>TEXT(PARTIDA[[#This Row],[PARTIDA]],"0000000000")</f>
        <v>9403200000</v>
      </c>
      <c r="C8092" s="16" t="s">
        <v>786</v>
      </c>
      <c r="D8092" s="16" t="s">
        <v>799</v>
      </c>
      <c r="E8092" s="16" t="s">
        <v>804</v>
      </c>
      <c r="F8092" s="27" t="s">
        <v>8930</v>
      </c>
      <c r="G8092" s="27"/>
      <c r="H8092" s="16" t="str">
        <f>IF(ISBLANK(PARTIDAS!$G8092),PARTIDAS!$F8092,CONCATENATE(PARTIDAS!$F8092," (",PARTIDAS!$G8092,")"))</f>
        <v>Muebles de metal</v>
      </c>
      <c r="I8092" s="16" t="s">
        <v>9427</v>
      </c>
    </row>
    <row r="8093" spans="1:9" x14ac:dyDescent="0.25">
      <c r="A8093" s="16" t="s">
        <v>8931</v>
      </c>
      <c r="B8093" s="16" t="str">
        <f>TEXT(PARTIDA[[#This Row],[PARTIDA]],"0000000000")</f>
        <v>9403300000</v>
      </c>
      <c r="C8093" s="16" t="s">
        <v>786</v>
      </c>
      <c r="D8093" s="16" t="s">
        <v>799</v>
      </c>
      <c r="E8093" s="16" t="s">
        <v>804</v>
      </c>
      <c r="F8093" s="27" t="s">
        <v>16148</v>
      </c>
      <c r="G8093" s="27"/>
      <c r="H8093" s="16" t="str">
        <f>IF(ISBLANK(PARTIDAS!$G8093),PARTIDAS!$F8093,CONCATENATE(PARTIDAS!$F8093," (",PARTIDAS!$G8093,")"))</f>
        <v>Muebles de madera de los tipos utilizados en oficinas</v>
      </c>
      <c r="I8093" s="16" t="s">
        <v>9427</v>
      </c>
    </row>
    <row r="8094" spans="1:9" x14ac:dyDescent="0.25">
      <c r="A8094" s="16" t="s">
        <v>8932</v>
      </c>
      <c r="B8094" s="16" t="str">
        <f>TEXT(PARTIDA[[#This Row],[PARTIDA]],"0000000000")</f>
        <v>9403400000</v>
      </c>
      <c r="C8094" s="16" t="s">
        <v>786</v>
      </c>
      <c r="D8094" s="16" t="s">
        <v>799</v>
      </c>
      <c r="E8094" s="16" t="s">
        <v>804</v>
      </c>
      <c r="F8094" s="27" t="s">
        <v>8933</v>
      </c>
      <c r="G8094" s="27"/>
      <c r="H8094" s="16" t="str">
        <f>IF(ISBLANK(PARTIDAS!$G8094),PARTIDAS!$F8094,CONCATENATE(PARTIDAS!$F8094," (",PARTIDAS!$G8094,")"))</f>
        <v>Muebles de madera</v>
      </c>
      <c r="I8094" s="16" t="s">
        <v>9427</v>
      </c>
    </row>
    <row r="8095" spans="1:9" x14ac:dyDescent="0.25">
      <c r="A8095" s="16" t="s">
        <v>8934</v>
      </c>
      <c r="B8095" s="16" t="str">
        <f>TEXT(PARTIDA[[#This Row],[PARTIDA]],"0000000000")</f>
        <v>9403500000</v>
      </c>
      <c r="C8095" s="16" t="s">
        <v>786</v>
      </c>
      <c r="D8095" s="16" t="s">
        <v>799</v>
      </c>
      <c r="E8095" s="16" t="s">
        <v>804</v>
      </c>
      <c r="F8095" s="27" t="s">
        <v>9308</v>
      </c>
      <c r="G8095" s="27"/>
      <c r="H8095" s="16" t="str">
        <f>IF(ISBLANK(PARTIDAS!$G8095),PARTIDAS!$F8095,CONCATENATE(PARTIDAS!$F8095," (",PARTIDAS!$G8095,")"))</f>
        <v>Muebles de madera de los tipos utilizados en dormitorios</v>
      </c>
      <c r="I8095" s="16" t="s">
        <v>9477</v>
      </c>
    </row>
    <row r="8096" spans="1:9" x14ac:dyDescent="0.25">
      <c r="A8096" s="16" t="s">
        <v>8935</v>
      </c>
      <c r="B8096" s="16" t="str">
        <f>TEXT(PARTIDA[[#This Row],[PARTIDA]],"0000000000")</f>
        <v>9403600000</v>
      </c>
      <c r="C8096" s="16" t="s">
        <v>786</v>
      </c>
      <c r="D8096" s="16" t="s">
        <v>799</v>
      </c>
      <c r="E8096" s="16" t="s">
        <v>804</v>
      </c>
      <c r="F8096" s="27" t="s">
        <v>8933</v>
      </c>
      <c r="G8096" s="27"/>
      <c r="H8096" s="16" t="str">
        <f>IF(ISBLANK(PARTIDAS!$G8096),PARTIDAS!$F8096,CONCATENATE(PARTIDAS!$F8096," (",PARTIDAS!$G8096,")"))</f>
        <v>Muebles de madera</v>
      </c>
      <c r="I8096" s="16" t="s">
        <v>9427</v>
      </c>
    </row>
    <row r="8097" spans="1:9" x14ac:dyDescent="0.25">
      <c r="A8097" s="16" t="s">
        <v>8936</v>
      </c>
      <c r="B8097" s="16" t="str">
        <f>TEXT(PARTIDA[[#This Row],[PARTIDA]],"0000000000")</f>
        <v>9403700000</v>
      </c>
      <c r="C8097" s="16" t="s">
        <v>786</v>
      </c>
      <c r="D8097" s="16" t="s">
        <v>799</v>
      </c>
      <c r="E8097" s="16" t="s">
        <v>804</v>
      </c>
      <c r="F8097" s="27" t="s">
        <v>16149</v>
      </c>
      <c r="G8097" s="27"/>
      <c r="H8097" s="16" t="str">
        <f>IF(ISBLANK(PARTIDAS!$G8097),PARTIDAS!$F8097,CONCATENATE(PARTIDAS!$F8097," (",PARTIDAS!$G8097,")"))</f>
        <v>Muebles de plástico</v>
      </c>
      <c r="I8097" s="16" t="s">
        <v>9427</v>
      </c>
    </row>
    <row r="8098" spans="1:9" x14ac:dyDescent="0.25">
      <c r="A8098" s="16" t="s">
        <v>8937</v>
      </c>
      <c r="B8098" s="16" t="str">
        <f>TEXT(PARTIDA[[#This Row],[PARTIDA]],"0000000000")</f>
        <v>9403820000</v>
      </c>
      <c r="C8098" s="16" t="s">
        <v>786</v>
      </c>
      <c r="D8098" s="16" t="s">
        <v>799</v>
      </c>
      <c r="E8098" s="16" t="s">
        <v>804</v>
      </c>
      <c r="F8098" s="27" t="s">
        <v>16150</v>
      </c>
      <c r="G8098" s="27"/>
      <c r="H8098" s="16" t="str">
        <f>IF(ISBLANK(PARTIDAS!$G8098),PARTIDAS!$F8098,CONCATENATE(PARTIDAS!$F8098," (",PARTIDAS!$G8098,")"))</f>
        <v>Muebles de otras materias, incluidos el roten (ratán), mimbre, bambú…, de bambú</v>
      </c>
      <c r="I8098" s="16" t="s">
        <v>9427</v>
      </c>
    </row>
    <row r="8099" spans="1:9" x14ac:dyDescent="0.25">
      <c r="A8099" s="16" t="s">
        <v>8938</v>
      </c>
      <c r="B8099" s="16" t="str">
        <f>TEXT(PARTIDA[[#This Row],[PARTIDA]],"0000000000")</f>
        <v>9403830000</v>
      </c>
      <c r="C8099" s="16" t="s">
        <v>786</v>
      </c>
      <c r="D8099" s="16" t="s">
        <v>799</v>
      </c>
      <c r="E8099" s="16" t="s">
        <v>804</v>
      </c>
      <c r="F8099" s="27" t="s">
        <v>16151</v>
      </c>
      <c r="G8099" s="27"/>
      <c r="H8099" s="16" t="str">
        <f>IF(ISBLANK(PARTIDAS!$G8099),PARTIDAS!$F8099,CONCATENATE(PARTIDAS!$F8099," (",PARTIDAS!$G8099,")"))</f>
        <v>Muebles de otras materias, incluidos el roten (ratán), mimbre, bambú…, de roten (ratán)</v>
      </c>
      <c r="I8099" s="16" t="s">
        <v>9427</v>
      </c>
    </row>
    <row r="8100" spans="1:9" x14ac:dyDescent="0.25">
      <c r="A8100" s="16" t="s">
        <v>8939</v>
      </c>
      <c r="B8100" s="16" t="str">
        <f>TEXT(PARTIDA[[#This Row],[PARTIDA]],"0000000000")</f>
        <v>9403890000</v>
      </c>
      <c r="C8100" s="16" t="s">
        <v>786</v>
      </c>
      <c r="D8100" s="16" t="s">
        <v>799</v>
      </c>
      <c r="E8100" s="16" t="s">
        <v>804</v>
      </c>
      <c r="F8100" s="27" t="s">
        <v>16152</v>
      </c>
      <c r="G8100" s="27"/>
      <c r="H8100" s="16" t="str">
        <f>IF(ISBLANK(PARTIDAS!$G8100),PARTIDAS!$F8100,CONCATENATE(PARTIDAS!$F8100," (",PARTIDAS!$G8100,")"))</f>
        <v>Muebles de otras materias, incluidos el roten (ratán), mimbre, bambú… (los demás)</v>
      </c>
      <c r="I8100" s="16" t="s">
        <v>9427</v>
      </c>
    </row>
    <row r="8101" spans="1:9" x14ac:dyDescent="0.25">
      <c r="A8101" s="16" t="s">
        <v>8940</v>
      </c>
      <c r="B8101" s="16" t="str">
        <f>TEXT(PARTIDA[[#This Row],[PARTIDA]],"0000000000")</f>
        <v>9403900000</v>
      </c>
      <c r="C8101" s="16" t="s">
        <v>786</v>
      </c>
      <c r="D8101" s="16" t="s">
        <v>799</v>
      </c>
      <c r="E8101" s="16" t="s">
        <v>804</v>
      </c>
      <c r="F8101" s="27" t="s">
        <v>8933</v>
      </c>
      <c r="G8101" s="27"/>
      <c r="H8101" s="16" t="str">
        <f>IF(ISBLANK(PARTIDAS!$G8101),PARTIDAS!$F8101,CONCATENATE(PARTIDAS!$F8101," (",PARTIDAS!$G8101,")"))</f>
        <v>Muebles de madera</v>
      </c>
      <c r="I8101" s="16" t="s">
        <v>9648</v>
      </c>
    </row>
    <row r="8102" spans="1:9" x14ac:dyDescent="0.25">
      <c r="A8102" s="16" t="s">
        <v>16153</v>
      </c>
      <c r="B8102" s="16" t="str">
        <f>TEXT(PARTIDA[[#This Row],[PARTIDA]],"0000000000")</f>
        <v>9403910000</v>
      </c>
      <c r="C8102" s="16" t="s">
        <v>786</v>
      </c>
      <c r="D8102" s="16" t="s">
        <v>799</v>
      </c>
      <c r="E8102" s="16" t="s">
        <v>804</v>
      </c>
      <c r="F8102" s="27" t="s">
        <v>16154</v>
      </c>
      <c r="G8102" s="27"/>
      <c r="H8102" s="16" t="str">
        <f>IF(ISBLANK(PARTIDAS!$G8102),PARTIDAS!$F8102,CONCATENATE(PARTIDAS!$F8102," (",PARTIDAS!$G8102,")"))</f>
        <v>Muebles; mobiliario medicoquirúrgico; artículos de…, partes, de madera</v>
      </c>
      <c r="I8102" s="16" t="s">
        <v>9427</v>
      </c>
    </row>
    <row r="8103" spans="1:9" x14ac:dyDescent="0.25">
      <c r="A8103" s="16" t="s">
        <v>9116</v>
      </c>
      <c r="B8103" s="16" t="str">
        <f>TEXT(PARTIDA[[#This Row],[PARTIDA]],"0000000000")</f>
        <v>9403990000</v>
      </c>
      <c r="C8103" s="16" t="s">
        <v>786</v>
      </c>
      <c r="D8103" s="16" t="s">
        <v>799</v>
      </c>
      <c r="E8103" s="16" t="s">
        <v>804</v>
      </c>
      <c r="F8103" s="27" t="s">
        <v>9310</v>
      </c>
      <c r="G8103" s="27"/>
      <c r="H8103" s="16" t="str">
        <f>IF(ISBLANK(PARTIDAS!$G8103),PARTIDAS!$F8103,CONCATENATE(PARTIDAS!$F8103," (",PARTIDAS!$G8103,")"))</f>
        <v>Muebles; mobiliario medicoquirúrgico; artículos de…, partes (los demás)</v>
      </c>
      <c r="I8103" s="16" t="s">
        <v>9477</v>
      </c>
    </row>
    <row r="8104" spans="1:9" x14ac:dyDescent="0.25">
      <c r="A8104" s="16" t="s">
        <v>8941</v>
      </c>
      <c r="B8104" s="16" t="str">
        <f>TEXT(PARTIDA[[#This Row],[PARTIDA]],"0000000000")</f>
        <v>9404100000</v>
      </c>
      <c r="C8104" s="16" t="s">
        <v>786</v>
      </c>
      <c r="D8104" s="16" t="s">
        <v>799</v>
      </c>
      <c r="E8104" s="16" t="s">
        <v>804</v>
      </c>
      <c r="F8104" s="27" t="s">
        <v>16155</v>
      </c>
      <c r="G8104" s="27"/>
      <c r="H8104" s="16" t="str">
        <f>IF(ISBLANK(PARTIDAS!$G8104),PARTIDAS!$F8104,CONCATENATE(PARTIDAS!$F8104," (",PARTIDAS!$G8104,")"))</f>
        <v>Somieres</v>
      </c>
      <c r="I8104" s="16" t="s">
        <v>9427</v>
      </c>
    </row>
    <row r="8105" spans="1:9" x14ac:dyDescent="0.25">
      <c r="A8105" s="16" t="s">
        <v>8942</v>
      </c>
      <c r="B8105" s="16" t="str">
        <f>TEXT(PARTIDA[[#This Row],[PARTIDA]],"0000000000")</f>
        <v>9404210000</v>
      </c>
      <c r="C8105" s="16" t="s">
        <v>786</v>
      </c>
      <c r="D8105" s="16" t="s">
        <v>799</v>
      </c>
      <c r="E8105" s="16" t="s">
        <v>804</v>
      </c>
      <c r="F8105" s="27" t="s">
        <v>16156</v>
      </c>
      <c r="G8105" s="27"/>
      <c r="H8105" s="16" t="str">
        <f>IF(ISBLANK(PARTIDAS!$G8105),PARTIDAS!$F8105,CONCATENATE(PARTIDAS!$F8105," (",PARTIDAS!$G8105,")"))</f>
        <v>Colchones, de caucho o plástico celulares, recubiertos o no</v>
      </c>
      <c r="I8105" s="16" t="s">
        <v>9427</v>
      </c>
    </row>
    <row r="8106" spans="1:9" x14ac:dyDescent="0.25">
      <c r="A8106" s="16" t="s">
        <v>8943</v>
      </c>
      <c r="B8106" s="16" t="str">
        <f>TEXT(PARTIDA[[#This Row],[PARTIDA]],"0000000000")</f>
        <v>9404290000</v>
      </c>
      <c r="C8106" s="16" t="s">
        <v>786</v>
      </c>
      <c r="D8106" s="16" t="s">
        <v>799</v>
      </c>
      <c r="E8106" s="16" t="s">
        <v>804</v>
      </c>
      <c r="F8106" s="27" t="s">
        <v>16157</v>
      </c>
      <c r="G8106" s="27"/>
      <c r="H8106" s="16" t="str">
        <f>IF(ISBLANK(PARTIDAS!$G8106),PARTIDAS!$F8106,CONCATENATE(PARTIDAS!$F8106," (",PARTIDAS!$G8106,")"))</f>
        <v>Colchones, de otras materias</v>
      </c>
      <c r="I8106" s="16" t="s">
        <v>9427</v>
      </c>
    </row>
    <row r="8107" spans="1:9" x14ac:dyDescent="0.25">
      <c r="A8107" s="16" t="s">
        <v>8944</v>
      </c>
      <c r="B8107" s="16" t="str">
        <f>TEXT(PARTIDA[[#This Row],[PARTIDA]],"0000000000")</f>
        <v>9404300000</v>
      </c>
      <c r="C8107" s="16" t="s">
        <v>786</v>
      </c>
      <c r="D8107" s="16" t="s">
        <v>799</v>
      </c>
      <c r="E8107" s="16" t="s">
        <v>804</v>
      </c>
      <c r="F8107" s="27" t="s">
        <v>16158</v>
      </c>
      <c r="G8107" s="27"/>
      <c r="H8107" s="16" t="str">
        <f>IF(ISBLANK(PARTIDAS!$G8107),PARTIDAS!$F8107,CONCATENATE(PARTIDAS!$F8107," (",PARTIDAS!$G8107,")"))</f>
        <v>Sacos (bolsas) de dormir</v>
      </c>
      <c r="I8107" s="16" t="s">
        <v>9427</v>
      </c>
    </row>
    <row r="8108" spans="1:9" x14ac:dyDescent="0.25">
      <c r="A8108" s="16" t="s">
        <v>16159</v>
      </c>
      <c r="B8108" s="16" t="str">
        <f>TEXT(PARTIDA[[#This Row],[PARTIDA]],"0000000000")</f>
        <v>9404400000</v>
      </c>
      <c r="C8108" s="16" t="s">
        <v>786</v>
      </c>
      <c r="D8108" s="16" t="s">
        <v>799</v>
      </c>
      <c r="E8108" s="16" t="s">
        <v>804</v>
      </c>
      <c r="F8108" s="27" t="s">
        <v>16160</v>
      </c>
      <c r="G8108" s="27"/>
      <c r="H8108" s="16" t="str">
        <f>IF(ISBLANK(PARTIDAS!$G8108),PARTIDAS!$F8108,CONCATENATE(PARTIDAS!$F8108," (",PARTIDAS!$G8108,")"))</f>
        <v>Cubrepiés, colchas, edredones y cobertores</v>
      </c>
      <c r="I8108" s="16" t="s">
        <v>9427</v>
      </c>
    </row>
    <row r="8109" spans="1:9" x14ac:dyDescent="0.25">
      <c r="A8109" s="16" t="s">
        <v>8945</v>
      </c>
      <c r="B8109" s="16" t="str">
        <f>TEXT(PARTIDA[[#This Row],[PARTIDA]],"0000000000")</f>
        <v>9404900000</v>
      </c>
      <c r="C8109" s="16" t="s">
        <v>786</v>
      </c>
      <c r="D8109" s="16" t="s">
        <v>799</v>
      </c>
      <c r="E8109" s="16" t="s">
        <v>804</v>
      </c>
      <c r="F8109" s="27" t="s">
        <v>16161</v>
      </c>
      <c r="G8109" s="27"/>
      <c r="H8109" s="16" t="str">
        <f>IF(ISBLANK(PARTIDAS!$G8109),PARTIDAS!$F8109,CONCATENATE(PARTIDAS!$F8109," (",PARTIDAS!$G8109,")"))</f>
        <v>Somieres; artículos de cama y artículos similares (por ejemplo (los demás)</v>
      </c>
      <c r="I8109" s="16" t="s">
        <v>9427</v>
      </c>
    </row>
    <row r="8110" spans="1:9" x14ac:dyDescent="0.25">
      <c r="A8110" s="16" t="s">
        <v>8946</v>
      </c>
      <c r="B8110" s="16" t="str">
        <f>TEXT(PARTIDA[[#This Row],[PARTIDA]],"0000000000")</f>
        <v>9405101000</v>
      </c>
      <c r="C8110" s="16" t="s">
        <v>786</v>
      </c>
      <c r="D8110" s="16" t="s">
        <v>799</v>
      </c>
      <c r="E8110" s="16" t="s">
        <v>804</v>
      </c>
      <c r="F8110" s="27" t="s">
        <v>16162</v>
      </c>
      <c r="G8110" s="27"/>
      <c r="H8110" s="16" t="str">
        <f>IF(ISBLANK(PARTIDAS!$G8110),PARTIDAS!$F8110,CONCATENATE(PARTIDAS!$F8110," (",PARTIDAS!$G8110,")"))</f>
        <v>Especiales para salas de cirugía u odontología (de luz sin sombra o «escialíticas»)</v>
      </c>
      <c r="I8110" s="16" t="s">
        <v>9648</v>
      </c>
    </row>
    <row r="8111" spans="1:9" x14ac:dyDescent="0.25">
      <c r="A8111" s="16" t="s">
        <v>8947</v>
      </c>
      <c r="B8111" s="16" t="str">
        <f>TEXT(PARTIDA[[#This Row],[PARTIDA]],"0000000000")</f>
        <v>9405102000</v>
      </c>
      <c r="C8111" s="16" t="s">
        <v>786</v>
      </c>
      <c r="D8111" s="16" t="s">
        <v>799</v>
      </c>
      <c r="E8111" s="16" t="s">
        <v>804</v>
      </c>
      <c r="F8111" s="27" t="s">
        <v>16163</v>
      </c>
      <c r="G8111" s="27"/>
      <c r="H8111" s="16" t="str">
        <f>IF(ISBLANK(PARTIDAS!$G8111),PARTIDAS!$F8111,CONCATENATE(PARTIDAS!$F8111," (",PARTIDAS!$G8111,")"))</f>
        <v>Proyectores de luz</v>
      </c>
      <c r="I8111" s="16" t="s">
        <v>9648</v>
      </c>
    </row>
    <row r="8112" spans="1:9" x14ac:dyDescent="0.25">
      <c r="A8112" s="16" t="s">
        <v>8948</v>
      </c>
      <c r="B8112" s="16" t="str">
        <f>TEXT(PARTIDA[[#This Row],[PARTIDA]],"0000000000")</f>
        <v>9405109000</v>
      </c>
      <c r="C8112" s="16" t="s">
        <v>786</v>
      </c>
      <c r="D8112" s="16" t="s">
        <v>799</v>
      </c>
      <c r="E8112" s="16" t="s">
        <v>804</v>
      </c>
      <c r="F8112" s="27" t="s">
        <v>16164</v>
      </c>
      <c r="G8112" s="27"/>
      <c r="H8112" s="16" t="str">
        <f>IF(ISBLANK(PARTIDAS!$G8112),PARTIDAS!$F8112,CONCATENATE(PARTIDAS!$F8112," (",PARTIDAS!$G8112,")"))</f>
        <v>Luminarias y aparatos de alumbrado (incluidos los proyectores) y sus p (los demás)</v>
      </c>
      <c r="I8112" s="16" t="s">
        <v>9648</v>
      </c>
    </row>
    <row r="8113" spans="1:9" x14ac:dyDescent="0.25">
      <c r="A8113" s="16" t="s">
        <v>16165</v>
      </c>
      <c r="B8113" s="16" t="str">
        <f>TEXT(PARTIDA[[#This Row],[PARTIDA]],"0000000000")</f>
        <v>9405111000</v>
      </c>
      <c r="C8113" s="16" t="s">
        <v>786</v>
      </c>
      <c r="D8113" s="16" t="s">
        <v>799</v>
      </c>
      <c r="E8113" s="16" t="s">
        <v>804</v>
      </c>
      <c r="F8113" s="27" t="s">
        <v>16162</v>
      </c>
      <c r="G8113" s="27"/>
      <c r="H8113" s="16" t="str">
        <f>IF(ISBLANK(PARTIDAS!$G8113),PARTIDAS!$F8113,CONCATENATE(PARTIDAS!$F8113," (",PARTIDAS!$G8113,")"))</f>
        <v>Especiales para salas de cirugía u odontología (de luz sin sombra o «escialíticas»)</v>
      </c>
      <c r="I8113" s="16" t="s">
        <v>9427</v>
      </c>
    </row>
    <row r="8114" spans="1:9" x14ac:dyDescent="0.25">
      <c r="A8114" s="16" t="s">
        <v>16166</v>
      </c>
      <c r="B8114" s="16" t="str">
        <f>TEXT(PARTIDA[[#This Row],[PARTIDA]],"0000000000")</f>
        <v>9405112000</v>
      </c>
      <c r="C8114" s="16" t="s">
        <v>786</v>
      </c>
      <c r="D8114" s="16" t="s">
        <v>799</v>
      </c>
      <c r="E8114" s="16" t="s">
        <v>804</v>
      </c>
      <c r="F8114" s="27" t="s">
        <v>16163</v>
      </c>
      <c r="G8114" s="27"/>
      <c r="H8114" s="16" t="str">
        <f>IF(ISBLANK(PARTIDAS!$G8114),PARTIDAS!$F8114,CONCATENATE(PARTIDAS!$F8114," (",PARTIDAS!$G8114,")"))</f>
        <v>Proyectores de luz</v>
      </c>
      <c r="I8114" s="16" t="s">
        <v>9427</v>
      </c>
    </row>
    <row r="8115" spans="1:9" x14ac:dyDescent="0.25">
      <c r="A8115" s="16" t="s">
        <v>16167</v>
      </c>
      <c r="B8115" s="16" t="str">
        <f>TEXT(PARTIDA[[#This Row],[PARTIDA]],"0000000000")</f>
        <v>9405119000</v>
      </c>
      <c r="C8115" s="16" t="s">
        <v>786</v>
      </c>
      <c r="D8115" s="16" t="s">
        <v>799</v>
      </c>
      <c r="E8115" s="16" t="s">
        <v>804</v>
      </c>
      <c r="F8115" s="27" t="s">
        <v>16168</v>
      </c>
      <c r="G8115" s="27"/>
      <c r="H8115" s="16" t="str">
        <f>IF(ISBLANK(PARTIDAS!$G8115),PARTIDAS!$F8115,CONCATENATE(PARTIDAS!$F8115," (",PARTIDAS!$G8115,")"))</f>
        <v>Diseñadas para ser utilizadas únicamente con fuentes luminosas de… (los demás)</v>
      </c>
      <c r="I8115" s="16" t="s">
        <v>9427</v>
      </c>
    </row>
    <row r="8116" spans="1:9" x14ac:dyDescent="0.25">
      <c r="A8116" s="16" t="s">
        <v>16169</v>
      </c>
      <c r="B8116" s="16" t="str">
        <f>TEXT(PARTIDA[[#This Row],[PARTIDA]],"0000000000")</f>
        <v>9405191000</v>
      </c>
      <c r="C8116" s="16" t="s">
        <v>786</v>
      </c>
      <c r="D8116" s="16" t="s">
        <v>799</v>
      </c>
      <c r="E8116" s="16" t="s">
        <v>804</v>
      </c>
      <c r="F8116" s="27" t="s">
        <v>16162</v>
      </c>
      <c r="G8116" s="27"/>
      <c r="H8116" s="16" t="str">
        <f>IF(ISBLANK(PARTIDAS!$G8116),PARTIDAS!$F8116,CONCATENATE(PARTIDAS!$F8116," (",PARTIDAS!$G8116,")"))</f>
        <v>Especiales para salas de cirugía u odontología (de luz sin sombra o «escialíticas»)</v>
      </c>
      <c r="I8116" s="16" t="s">
        <v>9427</v>
      </c>
    </row>
    <row r="8117" spans="1:9" x14ac:dyDescent="0.25">
      <c r="A8117" s="16" t="s">
        <v>16170</v>
      </c>
      <c r="B8117" s="16" t="str">
        <f>TEXT(PARTIDA[[#This Row],[PARTIDA]],"0000000000")</f>
        <v>9405192000</v>
      </c>
      <c r="C8117" s="16" t="s">
        <v>786</v>
      </c>
      <c r="D8117" s="16" t="s">
        <v>799</v>
      </c>
      <c r="E8117" s="16" t="s">
        <v>804</v>
      </c>
      <c r="F8117" s="27" t="s">
        <v>16163</v>
      </c>
      <c r="G8117" s="27"/>
      <c r="H8117" s="16" t="str">
        <f>IF(ISBLANK(PARTIDAS!$G8117),PARTIDAS!$F8117,CONCATENATE(PARTIDAS!$F8117," (",PARTIDAS!$G8117,")"))</f>
        <v>Proyectores de luz</v>
      </c>
      <c r="I8117" s="16" t="s">
        <v>9427</v>
      </c>
    </row>
    <row r="8118" spans="1:9" x14ac:dyDescent="0.25">
      <c r="A8118" s="16" t="s">
        <v>9101</v>
      </c>
      <c r="B8118" s="16" t="str">
        <f>TEXT(PARTIDA[[#This Row],[PARTIDA]],"0000000000")</f>
        <v>9405199000</v>
      </c>
      <c r="C8118" s="16" t="s">
        <v>786</v>
      </c>
      <c r="D8118" s="16" t="s">
        <v>799</v>
      </c>
      <c r="E8118" s="16" t="s">
        <v>804</v>
      </c>
      <c r="F8118" s="27" t="s">
        <v>9102</v>
      </c>
      <c r="G8118" s="27"/>
      <c r="H8118" s="16" t="str">
        <f>IF(ISBLANK(PARTIDAS!$G8118),PARTIDAS!$F8118,CONCATENATE(PARTIDAS!$F8118," (",PARTIDAS!$G8118,")"))</f>
        <v>Aparatos de alumbrado</v>
      </c>
      <c r="I8118" s="16" t="s">
        <v>9427</v>
      </c>
    </row>
    <row r="8119" spans="1:9" x14ac:dyDescent="0.25">
      <c r="A8119" s="16" t="s">
        <v>8949</v>
      </c>
      <c r="B8119" s="16" t="str">
        <f>TEXT(PARTIDA[[#This Row],[PARTIDA]],"0000000000")</f>
        <v>9405200000</v>
      </c>
      <c r="C8119" s="16" t="s">
        <v>786</v>
      </c>
      <c r="D8119" s="16" t="s">
        <v>799</v>
      </c>
      <c r="E8119" s="16" t="s">
        <v>804</v>
      </c>
      <c r="F8119" s="27" t="s">
        <v>16171</v>
      </c>
      <c r="G8119" s="27"/>
      <c r="H8119" s="16" t="str">
        <f>IF(ISBLANK(PARTIDAS!$G8119),PARTIDAS!$F8119,CONCATENATE(PARTIDAS!$F8119," (",PARTIDAS!$G8119,")"))</f>
        <v>Lámparas eléctricas de cabecera, mesa, oficina o de pie</v>
      </c>
      <c r="I8119" s="16" t="s">
        <v>9648</v>
      </c>
    </row>
    <row r="8120" spans="1:9" x14ac:dyDescent="0.25">
      <c r="A8120" s="16" t="s">
        <v>16172</v>
      </c>
      <c r="B8120" s="16" t="str">
        <f>TEXT(PARTIDA[[#This Row],[PARTIDA]],"0000000000")</f>
        <v>9405210000</v>
      </c>
      <c r="C8120" s="16" t="s">
        <v>786</v>
      </c>
      <c r="D8120" s="16" t="s">
        <v>799</v>
      </c>
      <c r="E8120" s="16" t="s">
        <v>804</v>
      </c>
      <c r="F8120" s="27" t="s">
        <v>16173</v>
      </c>
      <c r="G8120" s="27"/>
      <c r="H8120" s="16" t="str">
        <f>IF(ISBLANK(PARTIDAS!$G8120),PARTIDAS!$F8120,CONCATENATE(PARTIDAS!$F8120," (",PARTIDAS!$G8120,")"))</f>
        <v>Diseñadas para ser utilizadas únicamente con fuentes luminosas de diodos emisores de luz (LED)</v>
      </c>
      <c r="I8120" s="16" t="s">
        <v>9427</v>
      </c>
    </row>
    <row r="8121" spans="1:9" x14ac:dyDescent="0.25">
      <c r="A8121" s="16" t="s">
        <v>16174</v>
      </c>
      <c r="B8121" s="16" t="str">
        <f>TEXT(PARTIDA[[#This Row],[PARTIDA]],"0000000000")</f>
        <v>9405290000</v>
      </c>
      <c r="C8121" s="16" t="s">
        <v>786</v>
      </c>
      <c r="D8121" s="16" t="s">
        <v>799</v>
      </c>
      <c r="E8121" s="16" t="s">
        <v>804</v>
      </c>
      <c r="F8121" s="27" t="s">
        <v>16175</v>
      </c>
      <c r="G8121" s="27"/>
      <c r="H8121" s="16" t="str">
        <f>IF(ISBLANK(PARTIDAS!$G8121),PARTIDAS!$F8121,CONCATENATE(PARTIDAS!$F8121," (",PARTIDAS!$G8121,")"))</f>
        <v>Lámparas eléctricas de mesa, oficina, cabecera o de pie (los demás)</v>
      </c>
      <c r="I8121" s="16" t="s">
        <v>9427</v>
      </c>
    </row>
    <row r="8122" spans="1:9" x14ac:dyDescent="0.25">
      <c r="A8122" s="16" t="s">
        <v>8950</v>
      </c>
      <c r="B8122" s="16" t="str">
        <f>TEXT(PARTIDA[[#This Row],[PARTIDA]],"0000000000")</f>
        <v>9405300000</v>
      </c>
      <c r="C8122" s="16" t="s">
        <v>786</v>
      </c>
      <c r="D8122" s="16" t="s">
        <v>799</v>
      </c>
      <c r="E8122" s="16" t="s">
        <v>804</v>
      </c>
      <c r="F8122" s="27" t="s">
        <v>16176</v>
      </c>
      <c r="G8122" s="27"/>
      <c r="H8122" s="16" t="str">
        <f>IF(ISBLANK(PARTIDAS!$G8122),PARTIDAS!$F8122,CONCATENATE(PARTIDAS!$F8122," (",PARTIDAS!$G8122,")"))</f>
        <v>Guirnaldas eléctricas de los tipos utilizados en árboles de Navidad</v>
      </c>
      <c r="I8122" s="16" t="s">
        <v>9648</v>
      </c>
    </row>
    <row r="8123" spans="1:9" x14ac:dyDescent="0.25">
      <c r="A8123" s="16" t="s">
        <v>16177</v>
      </c>
      <c r="B8123" s="16" t="str">
        <f>TEXT(PARTIDA[[#This Row],[PARTIDA]],"0000000000")</f>
        <v>9405310000</v>
      </c>
      <c r="C8123" s="16" t="s">
        <v>786</v>
      </c>
      <c r="D8123" s="16" t="s">
        <v>799</v>
      </c>
      <c r="E8123" s="16" t="s">
        <v>804</v>
      </c>
      <c r="F8123" s="27" t="s">
        <v>16173</v>
      </c>
      <c r="G8123" s="27"/>
      <c r="H8123" s="16" t="str">
        <f>IF(ISBLANK(PARTIDAS!$G8123),PARTIDAS!$F8123,CONCATENATE(PARTIDAS!$F8123," (",PARTIDAS!$G8123,")"))</f>
        <v>Diseñadas para ser utilizadas únicamente con fuentes luminosas de diodos emisores de luz (LED)</v>
      </c>
      <c r="I8123" s="16" t="s">
        <v>9427</v>
      </c>
    </row>
    <row r="8124" spans="1:9" x14ac:dyDescent="0.25">
      <c r="A8124" s="16" t="s">
        <v>16178</v>
      </c>
      <c r="B8124" s="16" t="str">
        <f>TEXT(PARTIDA[[#This Row],[PARTIDA]],"0000000000")</f>
        <v>9405390000</v>
      </c>
      <c r="C8124" s="16" t="s">
        <v>786</v>
      </c>
      <c r="D8124" s="16" t="s">
        <v>799</v>
      </c>
      <c r="E8124" s="16" t="s">
        <v>804</v>
      </c>
      <c r="F8124" s="27" t="s">
        <v>16179</v>
      </c>
      <c r="G8124" s="27"/>
      <c r="H8124" s="16" t="str">
        <f>IF(ISBLANK(PARTIDAS!$G8124),PARTIDAS!$F8124,CONCATENATE(PARTIDAS!$F8124," (",PARTIDAS!$G8124,")"))</f>
        <v>Guirnaldas eléctricas de los tipos utilizados en árboles de Navidad (los demás)</v>
      </c>
      <c r="I8124" s="16" t="s">
        <v>9427</v>
      </c>
    </row>
    <row r="8125" spans="1:9" x14ac:dyDescent="0.25">
      <c r="A8125" s="16" t="s">
        <v>8951</v>
      </c>
      <c r="B8125" s="16" t="str">
        <f>TEXT(PARTIDA[[#This Row],[PARTIDA]],"0000000000")</f>
        <v>9405401100</v>
      </c>
      <c r="C8125" s="16" t="s">
        <v>786</v>
      </c>
      <c r="D8125" s="16" t="s">
        <v>799</v>
      </c>
      <c r="E8125" s="16" t="s">
        <v>804</v>
      </c>
      <c r="F8125" s="27" t="s">
        <v>16163</v>
      </c>
      <c r="G8125" s="27"/>
      <c r="H8125" s="16" t="str">
        <f>IF(ISBLANK(PARTIDAS!$G8125),PARTIDAS!$F8125,CONCATENATE(PARTIDAS!$F8125," (",PARTIDAS!$G8125,")"))</f>
        <v>Proyectores de luz</v>
      </c>
      <c r="I8125" s="16" t="s">
        <v>9648</v>
      </c>
    </row>
    <row r="8126" spans="1:9" x14ac:dyDescent="0.25">
      <c r="A8126" s="16" t="s">
        <v>8952</v>
      </c>
      <c r="B8126" s="16" t="str">
        <f>TEXT(PARTIDA[[#This Row],[PARTIDA]],"0000000000")</f>
        <v>9405401900</v>
      </c>
      <c r="C8126" s="16" t="s">
        <v>786</v>
      </c>
      <c r="D8126" s="16" t="s">
        <v>799</v>
      </c>
      <c r="E8126" s="16" t="s">
        <v>804</v>
      </c>
      <c r="F8126" s="27" t="s">
        <v>16164</v>
      </c>
      <c r="G8126" s="27"/>
      <c r="H8126" s="16" t="str">
        <f>IF(ISBLANK(PARTIDAS!$G8126),PARTIDAS!$F8126,CONCATENATE(PARTIDAS!$F8126," (",PARTIDAS!$G8126,")"))</f>
        <v>Luminarias y aparatos de alumbrado (incluidos los proyectores) y sus p (los demás)</v>
      </c>
      <c r="I8126" s="16" t="s">
        <v>9648</v>
      </c>
    </row>
    <row r="8127" spans="1:9" x14ac:dyDescent="0.25">
      <c r="A8127" s="16" t="s">
        <v>8953</v>
      </c>
      <c r="B8127" s="16" t="str">
        <f>TEXT(PARTIDA[[#This Row],[PARTIDA]],"0000000000")</f>
        <v>9405409000</v>
      </c>
      <c r="C8127" s="16" t="s">
        <v>786</v>
      </c>
      <c r="D8127" s="16" t="s">
        <v>799</v>
      </c>
      <c r="E8127" s="16" t="s">
        <v>804</v>
      </c>
      <c r="F8127" s="27" t="s">
        <v>16164</v>
      </c>
      <c r="G8127" s="27"/>
      <c r="H8127" s="16" t="str">
        <f>IF(ISBLANK(PARTIDAS!$G8127),PARTIDAS!$F8127,CONCATENATE(PARTIDAS!$F8127," (",PARTIDAS!$G8127,")"))</f>
        <v>Luminarias y aparatos de alumbrado (incluidos los proyectores) y sus p (los demás)</v>
      </c>
      <c r="I8127" s="16" t="s">
        <v>9648</v>
      </c>
    </row>
    <row r="8128" spans="1:9" x14ac:dyDescent="0.25">
      <c r="A8128" s="16" t="s">
        <v>16180</v>
      </c>
      <c r="B8128" s="16" t="str">
        <f>TEXT(PARTIDA[[#This Row],[PARTIDA]],"0000000000")</f>
        <v>9405411100</v>
      </c>
      <c r="C8128" s="16" t="s">
        <v>786</v>
      </c>
      <c r="D8128" s="16" t="s">
        <v>799</v>
      </c>
      <c r="E8128" s="16" t="s">
        <v>804</v>
      </c>
      <c r="F8128" s="27" t="s">
        <v>16163</v>
      </c>
      <c r="G8128" s="27"/>
      <c r="H8128" s="16" t="str">
        <f>IF(ISBLANK(PARTIDAS!$G8128),PARTIDAS!$F8128,CONCATENATE(PARTIDAS!$F8128," (",PARTIDAS!$G8128,")"))</f>
        <v>Proyectores de luz</v>
      </c>
      <c r="I8128" s="16" t="s">
        <v>9427</v>
      </c>
    </row>
    <row r="8129" spans="1:9" x14ac:dyDescent="0.25">
      <c r="A8129" s="16" t="s">
        <v>16181</v>
      </c>
      <c r="B8129" s="16" t="str">
        <f>TEXT(PARTIDA[[#This Row],[PARTIDA]],"0000000000")</f>
        <v>9405411900</v>
      </c>
      <c r="C8129" s="16" t="s">
        <v>786</v>
      </c>
      <c r="D8129" s="16" t="s">
        <v>799</v>
      </c>
      <c r="E8129" s="16" t="s">
        <v>804</v>
      </c>
      <c r="F8129" s="27" t="s">
        <v>16182</v>
      </c>
      <c r="G8129" s="27"/>
      <c r="H8129" s="16" t="str">
        <f>IF(ISBLANK(PARTIDAS!$G8129),PARTIDAS!$F8129,CONCATENATE(PARTIDAS!$F8129," (",PARTIDAS!$G8129,")"))</f>
        <v>Fotovoltaicos, diseñados para ser utilizados…, de los tipos utilizados para el alumbrado de espacios o vías públicos (los demás)</v>
      </c>
      <c r="I8129" s="16" t="s">
        <v>9427</v>
      </c>
    </row>
    <row r="8130" spans="1:9" x14ac:dyDescent="0.25">
      <c r="A8130" s="16" t="s">
        <v>16183</v>
      </c>
      <c r="B8130" s="16" t="str">
        <f>TEXT(PARTIDA[[#This Row],[PARTIDA]],"0000000000")</f>
        <v>9405419000</v>
      </c>
      <c r="C8130" s="16" t="s">
        <v>786</v>
      </c>
      <c r="D8130" s="16" t="s">
        <v>799</v>
      </c>
      <c r="E8130" s="16" t="s">
        <v>804</v>
      </c>
      <c r="F8130" s="27" t="s">
        <v>16184</v>
      </c>
      <c r="G8130" s="27"/>
      <c r="H8130" s="16" t="str">
        <f>IF(ISBLANK(PARTIDAS!$G8130),PARTIDAS!$F8130,CONCATENATE(PARTIDAS!$F8130," (",PARTIDAS!$G8130,")"))</f>
        <v>Fotovoltaicos, diseñados para ser utilizados únicamente con fuentes… (los demás)</v>
      </c>
      <c r="I8130" s="16" t="s">
        <v>9427</v>
      </c>
    </row>
    <row r="8131" spans="1:9" x14ac:dyDescent="0.25">
      <c r="A8131" s="16" t="s">
        <v>16185</v>
      </c>
      <c r="B8131" s="16" t="str">
        <f>TEXT(PARTIDA[[#This Row],[PARTIDA]],"0000000000")</f>
        <v>9405421100</v>
      </c>
      <c r="C8131" s="16" t="s">
        <v>786</v>
      </c>
      <c r="D8131" s="16" t="s">
        <v>799</v>
      </c>
      <c r="E8131" s="16" t="s">
        <v>804</v>
      </c>
      <c r="F8131" s="27" t="s">
        <v>16163</v>
      </c>
      <c r="G8131" s="27"/>
      <c r="H8131" s="16" t="str">
        <f>IF(ISBLANK(PARTIDAS!$G8131),PARTIDAS!$F8131,CONCATENATE(PARTIDAS!$F8131," (",PARTIDAS!$G8131,")"))</f>
        <v>Proyectores de luz</v>
      </c>
      <c r="I8131" s="16" t="s">
        <v>9427</v>
      </c>
    </row>
    <row r="8132" spans="1:9" x14ac:dyDescent="0.25">
      <c r="A8132" s="16" t="s">
        <v>16186</v>
      </c>
      <c r="B8132" s="16" t="str">
        <f>TEXT(PARTIDA[[#This Row],[PARTIDA]],"0000000000")</f>
        <v>9405421900</v>
      </c>
      <c r="C8132" s="16" t="s">
        <v>786</v>
      </c>
      <c r="D8132" s="16" t="s">
        <v>799</v>
      </c>
      <c r="E8132" s="16" t="s">
        <v>804</v>
      </c>
      <c r="F8132" s="27" t="s">
        <v>16187</v>
      </c>
      <c r="G8132" s="27"/>
      <c r="H8132" s="16" t="str">
        <f>IF(ISBLANK(PARTIDAS!$G8132),PARTIDAS!$F8132,CONCATENATE(PARTIDAS!$F8132," (",PARTIDAS!$G8132,")"))</f>
        <v>Luminarias y aparatos de alumbrado (incluidos los…, de los tipos utilizados para el alumbrado de espacios o vías públicos (los demás)</v>
      </c>
      <c r="I8132" s="16" t="s">
        <v>9427</v>
      </c>
    </row>
    <row r="8133" spans="1:9" x14ac:dyDescent="0.25">
      <c r="A8133" s="16" t="s">
        <v>16188</v>
      </c>
      <c r="B8133" s="16" t="str">
        <f>TEXT(PARTIDA[[#This Row],[PARTIDA]],"0000000000")</f>
        <v>9405429000</v>
      </c>
      <c r="C8133" s="16" t="s">
        <v>786</v>
      </c>
      <c r="D8133" s="16" t="s">
        <v>799</v>
      </c>
      <c r="E8133" s="16" t="s">
        <v>804</v>
      </c>
      <c r="F8133" s="27" t="s">
        <v>16189</v>
      </c>
      <c r="G8133" s="27"/>
      <c r="H8133" s="16" t="str">
        <f>IF(ISBLANK(PARTIDAS!$G8133),PARTIDAS!$F8133,CONCATENATE(PARTIDAS!$F8133," (",PARTIDAS!$G8133,")"))</f>
        <v>Luminarias y aparatos de alumbrado (incluidos los proyectores) y sus… (los demás)</v>
      </c>
      <c r="I8133" s="16" t="s">
        <v>9427</v>
      </c>
    </row>
    <row r="8134" spans="1:9" x14ac:dyDescent="0.25">
      <c r="A8134" s="16" t="s">
        <v>16190</v>
      </c>
      <c r="B8134" s="16" t="str">
        <f>TEXT(PARTIDA[[#This Row],[PARTIDA]],"0000000000")</f>
        <v>9405491100</v>
      </c>
      <c r="C8134" s="16" t="s">
        <v>786</v>
      </c>
      <c r="D8134" s="16" t="s">
        <v>799</v>
      </c>
      <c r="E8134" s="16" t="s">
        <v>804</v>
      </c>
      <c r="F8134" s="27" t="s">
        <v>16163</v>
      </c>
      <c r="G8134" s="27"/>
      <c r="H8134" s="16" t="str">
        <f>IF(ISBLANK(PARTIDAS!$G8134),PARTIDAS!$F8134,CONCATENATE(PARTIDAS!$F8134," (",PARTIDAS!$G8134,")"))</f>
        <v>Proyectores de luz</v>
      </c>
      <c r="I8134" s="16" t="s">
        <v>9427</v>
      </c>
    </row>
    <row r="8135" spans="1:9" x14ac:dyDescent="0.25">
      <c r="A8135" s="16" t="s">
        <v>16191</v>
      </c>
      <c r="B8135" s="16" t="str">
        <f>TEXT(PARTIDA[[#This Row],[PARTIDA]],"0000000000")</f>
        <v>9405491900</v>
      </c>
      <c r="C8135" s="16" t="s">
        <v>786</v>
      </c>
      <c r="D8135" s="16" t="s">
        <v>799</v>
      </c>
      <c r="E8135" s="16" t="s">
        <v>804</v>
      </c>
      <c r="F8135" s="27" t="s">
        <v>16187</v>
      </c>
      <c r="G8135" s="27"/>
      <c r="H8135" s="16" t="str">
        <f>IF(ISBLANK(PARTIDAS!$G8135),PARTIDAS!$F8135,CONCATENATE(PARTIDAS!$F8135," (",PARTIDAS!$G8135,")"))</f>
        <v>Luminarias y aparatos de alumbrado (incluidos los…, de los tipos utilizados para el alumbrado de espacios o vías públicos (los demás)</v>
      </c>
      <c r="I8135" s="16" t="s">
        <v>9427</v>
      </c>
    </row>
    <row r="8136" spans="1:9" x14ac:dyDescent="0.25">
      <c r="A8136" s="16" t="s">
        <v>16192</v>
      </c>
      <c r="B8136" s="16" t="str">
        <f>TEXT(PARTIDA[[#This Row],[PARTIDA]],"0000000000")</f>
        <v>9405499000</v>
      </c>
      <c r="C8136" s="16" t="s">
        <v>786</v>
      </c>
      <c r="D8136" s="16" t="s">
        <v>799</v>
      </c>
      <c r="E8136" s="16" t="s">
        <v>804</v>
      </c>
      <c r="F8136" s="27" t="s">
        <v>16189</v>
      </c>
      <c r="G8136" s="27"/>
      <c r="H8136" s="16" t="str">
        <f>IF(ISBLANK(PARTIDAS!$G8136),PARTIDAS!$F8136,CONCATENATE(PARTIDAS!$F8136," (",PARTIDAS!$G8136,")"))</f>
        <v>Luminarias y aparatos de alumbrado (incluidos los proyectores) y sus… (los demás)</v>
      </c>
      <c r="I8136" s="16" t="s">
        <v>9427</v>
      </c>
    </row>
    <row r="8137" spans="1:9" x14ac:dyDescent="0.25">
      <c r="A8137" s="16" t="s">
        <v>8954</v>
      </c>
      <c r="B8137" s="16" t="str">
        <f>TEXT(PARTIDA[[#This Row],[PARTIDA]],"0000000000")</f>
        <v>9405501000</v>
      </c>
      <c r="C8137" s="16" t="s">
        <v>786</v>
      </c>
      <c r="D8137" s="16" t="s">
        <v>799</v>
      </c>
      <c r="E8137" s="16" t="s">
        <v>804</v>
      </c>
      <c r="F8137" s="27" t="s">
        <v>16193</v>
      </c>
      <c r="G8137" s="27"/>
      <c r="H8137" s="16" t="str">
        <f>IF(ISBLANK(PARTIDAS!$G8137),PARTIDAS!$F8137,CONCATENATE(PARTIDAS!$F8137," (",PARTIDAS!$G8137,")"))</f>
        <v>Luminarias y aparatos de alumbrado, no eléctricos, de combustible líquido a presión</v>
      </c>
      <c r="I8137" s="16" t="s">
        <v>9427</v>
      </c>
    </row>
    <row r="8138" spans="1:9" x14ac:dyDescent="0.25">
      <c r="A8138" s="16" t="s">
        <v>8955</v>
      </c>
      <c r="B8138" s="16" t="str">
        <f>TEXT(PARTIDA[[#This Row],[PARTIDA]],"0000000000")</f>
        <v>9405509000</v>
      </c>
      <c r="C8138" s="16" t="s">
        <v>786</v>
      </c>
      <c r="D8138" s="16" t="s">
        <v>799</v>
      </c>
      <c r="E8138" s="16" t="s">
        <v>804</v>
      </c>
      <c r="F8138" s="27" t="s">
        <v>16194</v>
      </c>
      <c r="G8138" s="27"/>
      <c r="H8138" s="16" t="str">
        <f>IF(ISBLANK(PARTIDAS!$G8138),PARTIDAS!$F8138,CONCATENATE(PARTIDAS!$F8138," (",PARTIDAS!$G8138,")"))</f>
        <v>Luminarias y aparatos de alumbrado, no eléctricos (los demás)</v>
      </c>
      <c r="I8138" s="16" t="s">
        <v>9427</v>
      </c>
    </row>
    <row r="8139" spans="1:9" x14ac:dyDescent="0.25">
      <c r="A8139" s="16" t="s">
        <v>8956</v>
      </c>
      <c r="B8139" s="16" t="str">
        <f>TEXT(PARTIDA[[#This Row],[PARTIDA]],"0000000000")</f>
        <v>9405600000</v>
      </c>
      <c r="C8139" s="16" t="s">
        <v>786</v>
      </c>
      <c r="D8139" s="16" t="s">
        <v>799</v>
      </c>
      <c r="E8139" s="16" t="s">
        <v>804</v>
      </c>
      <c r="F8139" s="27" t="s">
        <v>16195</v>
      </c>
      <c r="G8139" s="27"/>
      <c r="H8139" s="16" t="str">
        <f>IF(ISBLANK(PARTIDAS!$G8139),PARTIDAS!$F8139,CONCATENATE(PARTIDAS!$F8139," (",PARTIDAS!$G8139,")"))</f>
        <v>Anuncios, letreros y placas indicadoras, luminosos y artículos similares</v>
      </c>
      <c r="I8139" s="16" t="s">
        <v>9648</v>
      </c>
    </row>
    <row r="8140" spans="1:9" x14ac:dyDescent="0.25">
      <c r="A8140" s="16" t="s">
        <v>16196</v>
      </c>
      <c r="B8140" s="16" t="str">
        <f>TEXT(PARTIDA[[#This Row],[PARTIDA]],"0000000000")</f>
        <v>9405610000</v>
      </c>
      <c r="C8140" s="16" t="s">
        <v>786</v>
      </c>
      <c r="D8140" s="16" t="s">
        <v>799</v>
      </c>
      <c r="E8140" s="16" t="s">
        <v>804</v>
      </c>
      <c r="F8140" s="27" t="s">
        <v>16197</v>
      </c>
      <c r="G8140" s="27"/>
      <c r="H8140" s="16" t="str">
        <f>IF(ISBLANK(PARTIDAS!$G8140),PARTIDAS!$F8140,CONCATENATE(PARTIDAS!$F8140," (",PARTIDAS!$G8140,")"))</f>
        <v>Diseñados para ser utilizados únicamente con fuentes luminosas de diodos emisores de luz (LED)</v>
      </c>
      <c r="I8140" s="16" t="s">
        <v>9427</v>
      </c>
    </row>
    <row r="8141" spans="1:9" x14ac:dyDescent="0.25">
      <c r="A8141" s="16" t="s">
        <v>16198</v>
      </c>
      <c r="B8141" s="16" t="str">
        <f>TEXT(PARTIDA[[#This Row],[PARTIDA]],"0000000000")</f>
        <v>9405690000</v>
      </c>
      <c r="C8141" s="16" t="s">
        <v>786</v>
      </c>
      <c r="D8141" s="16" t="s">
        <v>799</v>
      </c>
      <c r="E8141" s="16" t="s">
        <v>804</v>
      </c>
      <c r="F8141" s="27" t="s">
        <v>16199</v>
      </c>
      <c r="G8141" s="27"/>
      <c r="H8141" s="16" t="str">
        <f>IF(ISBLANK(PARTIDAS!$G8141),PARTIDAS!$F8141,CONCATENATE(PARTIDAS!$F8141," (",PARTIDAS!$G8141,")"))</f>
        <v>Anuncios, letreros y placas indicadoras, luminosos y artículos… (los demás)</v>
      </c>
      <c r="I8141" s="16" t="s">
        <v>9427</v>
      </c>
    </row>
    <row r="8142" spans="1:9" x14ac:dyDescent="0.25">
      <c r="A8142" s="16" t="s">
        <v>8957</v>
      </c>
      <c r="B8142" s="16" t="str">
        <f>TEXT(PARTIDA[[#This Row],[PARTIDA]],"0000000000")</f>
        <v>9405910000</v>
      </c>
      <c r="C8142" s="16" t="s">
        <v>786</v>
      </c>
      <c r="D8142" s="16" t="s">
        <v>799</v>
      </c>
      <c r="E8142" s="16" t="s">
        <v>804</v>
      </c>
      <c r="F8142" s="27" t="s">
        <v>16200</v>
      </c>
      <c r="G8142" s="27"/>
      <c r="H8142" s="16" t="str">
        <f>IF(ISBLANK(PARTIDAS!$G8142),PARTIDAS!$F8142,CONCATENATE(PARTIDAS!$F8142," (",PARTIDAS!$G8142,")"))</f>
        <v>Luminarias y aparatos de alumbrado (incluidos los…, partes, de vidrio</v>
      </c>
      <c r="I8142" s="16" t="s">
        <v>9427</v>
      </c>
    </row>
    <row r="8143" spans="1:9" x14ac:dyDescent="0.25">
      <c r="A8143" s="16" t="s">
        <v>8958</v>
      </c>
      <c r="B8143" s="16" t="str">
        <f>TEXT(PARTIDA[[#This Row],[PARTIDA]],"0000000000")</f>
        <v>9405920000</v>
      </c>
      <c r="C8143" s="16" t="s">
        <v>786</v>
      </c>
      <c r="D8143" s="16" t="s">
        <v>799</v>
      </c>
      <c r="E8143" s="16" t="s">
        <v>804</v>
      </c>
      <c r="F8143" s="27" t="s">
        <v>16201</v>
      </c>
      <c r="G8143" s="27"/>
      <c r="H8143" s="16" t="str">
        <f>IF(ISBLANK(PARTIDAS!$G8143),PARTIDAS!$F8143,CONCATENATE(PARTIDAS!$F8143," (",PARTIDAS!$G8143,")"))</f>
        <v>Luminarias y aparatos de alumbrado (incluidos los…, partes, de plástico</v>
      </c>
      <c r="I8143" s="16" t="s">
        <v>9427</v>
      </c>
    </row>
    <row r="8144" spans="1:9" x14ac:dyDescent="0.25">
      <c r="A8144" s="16" t="s">
        <v>8959</v>
      </c>
      <c r="B8144" s="16" t="str">
        <f>TEXT(PARTIDA[[#This Row],[PARTIDA]],"0000000000")</f>
        <v>9405990000</v>
      </c>
      <c r="C8144" s="16" t="s">
        <v>786</v>
      </c>
      <c r="D8144" s="16" t="s">
        <v>799</v>
      </c>
      <c r="E8144" s="16" t="s">
        <v>804</v>
      </c>
      <c r="F8144" s="27" t="s">
        <v>16202</v>
      </c>
      <c r="G8144" s="27"/>
      <c r="H8144" s="16" t="str">
        <f>IF(ISBLANK(PARTIDAS!$G8144),PARTIDAS!$F8144,CONCATENATE(PARTIDAS!$F8144," (",PARTIDAS!$G8144,")"))</f>
        <v>Luminarias y aparatos de alumbrado (incluidos los…, partes (los demás)</v>
      </c>
      <c r="I8144" s="16" t="s">
        <v>9427</v>
      </c>
    </row>
    <row r="8145" spans="1:9" x14ac:dyDescent="0.25">
      <c r="A8145" s="16" t="s">
        <v>8960</v>
      </c>
      <c r="B8145" s="16" t="str">
        <f>TEXT(PARTIDA[[#This Row],[PARTIDA]],"0000000000")</f>
        <v>9406100000</v>
      </c>
      <c r="C8145" s="16" t="s">
        <v>860</v>
      </c>
      <c r="D8145" s="16" t="s">
        <v>861</v>
      </c>
      <c r="E8145" s="16" t="s">
        <v>9473</v>
      </c>
      <c r="F8145" s="27" t="s">
        <v>16203</v>
      </c>
      <c r="G8145" s="27"/>
      <c r="H8145" s="16" t="str">
        <f>IF(ISBLANK(PARTIDAS!$G8145),PARTIDAS!$F8145,CONCATENATE(PARTIDAS!$F8145," (",PARTIDAS!$G8145,")"))</f>
        <v>Construcciones prefabricadas, de madera</v>
      </c>
      <c r="I8145" s="16" t="s">
        <v>9427</v>
      </c>
    </row>
    <row r="8146" spans="1:9" x14ac:dyDescent="0.25">
      <c r="A8146" s="16" t="s">
        <v>16204</v>
      </c>
      <c r="B8146" s="16" t="str">
        <f>TEXT(PARTIDA[[#This Row],[PARTIDA]],"0000000000")</f>
        <v>9406200000</v>
      </c>
      <c r="C8146" s="16" t="s">
        <v>860</v>
      </c>
      <c r="D8146" s="16" t="s">
        <v>861</v>
      </c>
      <c r="E8146" s="16" t="s">
        <v>9473</v>
      </c>
      <c r="F8146" s="27" t="s">
        <v>16205</v>
      </c>
      <c r="G8146" s="27"/>
      <c r="H8146" s="16" t="str">
        <f>IF(ISBLANK(PARTIDAS!$G8146),PARTIDAS!$F8146,CONCATENATE(PARTIDAS!$F8146," (",PARTIDAS!$G8146,")"))</f>
        <v>Unidades de construcción modular, de acero</v>
      </c>
      <c r="I8146" s="16" t="s">
        <v>9427</v>
      </c>
    </row>
    <row r="8147" spans="1:9" x14ac:dyDescent="0.25">
      <c r="A8147" s="16" t="s">
        <v>8961</v>
      </c>
      <c r="B8147" s="16" t="str">
        <f>TEXT(PARTIDA[[#This Row],[PARTIDA]],"0000000000")</f>
        <v>9406900000</v>
      </c>
      <c r="C8147" s="16" t="s">
        <v>860</v>
      </c>
      <c r="D8147" s="16" t="s">
        <v>861</v>
      </c>
      <c r="E8147" s="16" t="s">
        <v>9473</v>
      </c>
      <c r="F8147" s="27" t="s">
        <v>16206</v>
      </c>
      <c r="G8147" s="27"/>
      <c r="H8147" s="16" t="str">
        <f>IF(ISBLANK(PARTIDAS!$G8147),PARTIDAS!$F8147,CONCATENATE(PARTIDAS!$F8147," (",PARTIDAS!$G8147,")"))</f>
        <v>Construcciones prefabricadas (los demás)</v>
      </c>
      <c r="I8147" s="16" t="s">
        <v>9427</v>
      </c>
    </row>
    <row r="8148" spans="1:9" x14ac:dyDescent="0.25">
      <c r="A8148" s="16" t="s">
        <v>8962</v>
      </c>
      <c r="B8148" s="16" t="str">
        <f>TEXT(PARTIDA[[#This Row],[PARTIDA]],"0000000000")</f>
        <v>9503001000</v>
      </c>
      <c r="C8148" s="16" t="s">
        <v>786</v>
      </c>
      <c r="D8148" s="16" t="s">
        <v>787</v>
      </c>
      <c r="E8148" s="16" t="s">
        <v>797</v>
      </c>
      <c r="F8148" s="27" t="s">
        <v>16207</v>
      </c>
      <c r="G8148" s="27"/>
      <c r="H8148" s="16" t="str">
        <f>IF(ISBLANK(PARTIDAS!$G8148),PARTIDAS!$F8148,CONCATENATE(PARTIDAS!$F8148," (",PARTIDAS!$G8148,")"))</f>
        <v>Triciclos, patinetes, coches de pedal y juguetes similares con ruedas; coches y sillas de ruedas para muñecas o muñecos</v>
      </c>
      <c r="I8148" s="16" t="s">
        <v>9427</v>
      </c>
    </row>
    <row r="8149" spans="1:9" x14ac:dyDescent="0.25">
      <c r="A8149" s="16" t="s">
        <v>8963</v>
      </c>
      <c r="B8149" s="16" t="str">
        <f>TEXT(PARTIDA[[#This Row],[PARTIDA]],"0000000000")</f>
        <v>9503002200</v>
      </c>
      <c r="C8149" s="16" t="s">
        <v>786</v>
      </c>
      <c r="D8149" s="16" t="s">
        <v>787</v>
      </c>
      <c r="E8149" s="16" t="s">
        <v>797</v>
      </c>
      <c r="F8149" s="27" t="s">
        <v>16208</v>
      </c>
      <c r="G8149" s="27"/>
      <c r="H8149" s="16" t="str">
        <f>IF(ISBLANK(PARTIDAS!$G8149),PARTIDAS!$F8149,CONCATENATE(PARTIDAS!$F8149," (",PARTIDAS!$G8149,")"))</f>
        <v>Muñecas o muñecos, incluso vestidos</v>
      </c>
      <c r="I8149" s="16" t="s">
        <v>9427</v>
      </c>
    </row>
    <row r="8150" spans="1:9" x14ac:dyDescent="0.25">
      <c r="A8150" s="16" t="s">
        <v>8964</v>
      </c>
      <c r="B8150" s="16" t="str">
        <f>TEXT(PARTIDA[[#This Row],[PARTIDA]],"0000000000")</f>
        <v>9503002800</v>
      </c>
      <c r="C8150" s="16" t="s">
        <v>786</v>
      </c>
      <c r="D8150" s="16" t="s">
        <v>787</v>
      </c>
      <c r="E8150" s="16" t="s">
        <v>797</v>
      </c>
      <c r="F8150" s="27" t="s">
        <v>16209</v>
      </c>
      <c r="G8150" s="27"/>
      <c r="H8150" s="16" t="str">
        <f>IF(ISBLANK(PARTIDAS!$G8150),PARTIDAS!$F8150,CONCATENATE(PARTIDAS!$F8150," (",PARTIDAS!$G8150,")"))</f>
        <v>Prendas y sus complementos (accesorios), de vestir, calzado, y sombreros y demás tocados</v>
      </c>
      <c r="I8150" s="16" t="s">
        <v>9427</v>
      </c>
    </row>
    <row r="8151" spans="1:9" x14ac:dyDescent="0.25">
      <c r="A8151" s="16" t="s">
        <v>8965</v>
      </c>
      <c r="B8151" s="16" t="str">
        <f>TEXT(PARTIDA[[#This Row],[PARTIDA]],"0000000000")</f>
        <v>9503002900</v>
      </c>
      <c r="C8151" s="16" t="s">
        <v>786</v>
      </c>
      <c r="D8151" s="16" t="s">
        <v>787</v>
      </c>
      <c r="E8151" s="16" t="s">
        <v>797</v>
      </c>
      <c r="F8151" s="27" t="s">
        <v>16210</v>
      </c>
      <c r="G8151" s="27"/>
      <c r="H8151" s="16" t="str">
        <f>IF(ISBLANK(PARTIDAS!$G8151),PARTIDAS!$F8151,CONCATENATE(PARTIDAS!$F8151," (",PARTIDAS!$G8151,")"))</f>
        <v>Muñecas o muñecos, sus partes y accesorios, partes y demás accesorios</v>
      </c>
      <c r="I8151" s="16" t="s">
        <v>9427</v>
      </c>
    </row>
    <row r="8152" spans="1:9" x14ac:dyDescent="0.25">
      <c r="A8152" s="16" t="s">
        <v>8966</v>
      </c>
      <c r="B8152" s="16" t="str">
        <f>TEXT(PARTIDA[[#This Row],[PARTIDA]],"0000000000")</f>
        <v>9503003000</v>
      </c>
      <c r="C8152" s="16" t="s">
        <v>786</v>
      </c>
      <c r="D8152" s="16" t="s">
        <v>787</v>
      </c>
      <c r="E8152" s="16" t="s">
        <v>797</v>
      </c>
      <c r="F8152" s="27" t="s">
        <v>16211</v>
      </c>
      <c r="G8152" s="27"/>
      <c r="H8152" s="16" t="str">
        <f>IF(ISBLANK(PARTIDAS!$G8152),PARTIDAS!$F8152,CONCATENATE(PARTIDAS!$F8152," (",PARTIDAS!$G8152,")"))</f>
        <v>Modelos reducidos y modelos similares, para entretenimiento, incluso animados</v>
      </c>
      <c r="I8152" s="16" t="s">
        <v>9427</v>
      </c>
    </row>
    <row r="8153" spans="1:9" x14ac:dyDescent="0.25">
      <c r="A8153" s="16" t="s">
        <v>8967</v>
      </c>
      <c r="B8153" s="16" t="str">
        <f>TEXT(PARTIDA[[#This Row],[PARTIDA]],"0000000000")</f>
        <v>9503004000</v>
      </c>
      <c r="C8153" s="16" t="s">
        <v>786</v>
      </c>
      <c r="D8153" s="16" t="s">
        <v>787</v>
      </c>
      <c r="E8153" s="16" t="s">
        <v>797</v>
      </c>
      <c r="F8153" s="27" t="s">
        <v>16212</v>
      </c>
      <c r="G8153" s="27"/>
      <c r="H8153" s="16" t="str">
        <f>IF(ISBLANK(PARTIDAS!$G8153),PARTIDAS!$F8153,CONCATENATE(PARTIDAS!$F8153," (",PARTIDAS!$G8153,")"))</f>
        <v>Rompecabezas de cualquier clase</v>
      </c>
      <c r="I8153" s="16" t="s">
        <v>9427</v>
      </c>
    </row>
    <row r="8154" spans="1:9" x14ac:dyDescent="0.25">
      <c r="A8154" s="16" t="s">
        <v>8968</v>
      </c>
      <c r="B8154" s="16" t="str">
        <f>TEXT(PARTIDA[[#This Row],[PARTIDA]],"0000000000")</f>
        <v>9503009100</v>
      </c>
      <c r="C8154" s="16" t="s">
        <v>786</v>
      </c>
      <c r="D8154" s="16" t="s">
        <v>787</v>
      </c>
      <c r="E8154" s="16" t="s">
        <v>797</v>
      </c>
      <c r="F8154" s="27" t="s">
        <v>16213</v>
      </c>
      <c r="G8154" s="27"/>
      <c r="H8154" s="16" t="str">
        <f>IF(ISBLANK(PARTIDAS!$G8154),PARTIDAS!$F8154,CONCATENATE(PARTIDAS!$F8154," (",PARTIDAS!$G8154,")"))</f>
        <v>Trenes eléctricos, incluidos los carriles (rieles), señales y demás accesorios</v>
      </c>
      <c r="I8154" s="16" t="s">
        <v>9427</v>
      </c>
    </row>
    <row r="8155" spans="1:9" x14ac:dyDescent="0.25">
      <c r="A8155" s="16" t="s">
        <v>8969</v>
      </c>
      <c r="B8155" s="16" t="str">
        <f>TEXT(PARTIDA[[#This Row],[PARTIDA]],"0000000000")</f>
        <v>9503009200</v>
      </c>
      <c r="C8155" s="16" t="s">
        <v>786</v>
      </c>
      <c r="D8155" s="16" t="s">
        <v>787</v>
      </c>
      <c r="E8155" s="16" t="s">
        <v>797</v>
      </c>
      <c r="F8155" s="27" t="s">
        <v>16214</v>
      </c>
      <c r="G8155" s="27"/>
      <c r="H8155" s="16" t="str">
        <f>IF(ISBLANK(PARTIDAS!$G8155),PARTIDAS!$F8155,CONCATENATE(PARTIDAS!$F8155," (",PARTIDAS!$G8155,")"))</f>
        <v>Juguetes, juegos y artículos para recreo o deporte, de construcción</v>
      </c>
      <c r="I8155" s="16" t="s">
        <v>9427</v>
      </c>
    </row>
    <row r="8156" spans="1:9" x14ac:dyDescent="0.25">
      <c r="A8156" s="16" t="s">
        <v>8970</v>
      </c>
      <c r="B8156" s="16" t="str">
        <f>TEXT(PARTIDA[[#This Row],[PARTIDA]],"0000000000")</f>
        <v>9503009300</v>
      </c>
      <c r="C8156" s="16" t="s">
        <v>786</v>
      </c>
      <c r="D8156" s="16" t="s">
        <v>787</v>
      </c>
      <c r="E8156" s="16" t="s">
        <v>797</v>
      </c>
      <c r="F8156" s="27" t="s">
        <v>16215</v>
      </c>
      <c r="G8156" s="27"/>
      <c r="H8156" s="16" t="str">
        <f>IF(ISBLANK(PARTIDAS!$G8156),PARTIDAS!$F8156,CONCATENATE(PARTIDAS!$F8156," (",PARTIDAS!$G8156,")"))</f>
        <v>Juguetes, juegos y artículos para recreo o deporte, que representen animales o seres no humanos</v>
      </c>
      <c r="I8156" s="16" t="s">
        <v>9427</v>
      </c>
    </row>
    <row r="8157" spans="1:9" x14ac:dyDescent="0.25">
      <c r="A8157" s="16" t="s">
        <v>8971</v>
      </c>
      <c r="B8157" s="16" t="str">
        <f>TEXT(PARTIDA[[#This Row],[PARTIDA]],"0000000000")</f>
        <v>9503009400</v>
      </c>
      <c r="C8157" s="16" t="s">
        <v>786</v>
      </c>
      <c r="D8157" s="16" t="s">
        <v>787</v>
      </c>
      <c r="E8157" s="16" t="s">
        <v>797</v>
      </c>
      <c r="F8157" s="27" t="s">
        <v>16216</v>
      </c>
      <c r="G8157" s="27"/>
      <c r="H8157" s="16" t="str">
        <f>IF(ISBLANK(PARTIDAS!$G8157),PARTIDAS!$F8157,CONCATENATE(PARTIDAS!$F8157," (",PARTIDAS!$G8157,")"))</f>
        <v>Instrumentos y aparatos, de música</v>
      </c>
      <c r="I8157" s="16" t="s">
        <v>9427</v>
      </c>
    </row>
    <row r="8158" spans="1:9" x14ac:dyDescent="0.25">
      <c r="A8158" s="16" t="s">
        <v>8972</v>
      </c>
      <c r="B8158" s="16" t="str">
        <f>TEXT(PARTIDA[[#This Row],[PARTIDA]],"0000000000")</f>
        <v>9503009500</v>
      </c>
      <c r="C8158" s="16" t="s">
        <v>786</v>
      </c>
      <c r="D8158" s="16" t="s">
        <v>787</v>
      </c>
      <c r="E8158" s="16" t="s">
        <v>797</v>
      </c>
      <c r="F8158" s="27" t="s">
        <v>16217</v>
      </c>
      <c r="G8158" s="27"/>
      <c r="H8158" s="16" t="str">
        <f>IF(ISBLANK(PARTIDAS!$G8158),PARTIDAS!$F8158,CONCATENATE(PARTIDAS!$F8158," (",PARTIDAS!$G8158,")"))</f>
        <v>Juguetes, juegos y artículos para recreo o deporte, presentados en juegos o surtidos o en panoplias</v>
      </c>
      <c r="I8158" s="16" t="s">
        <v>9427</v>
      </c>
    </row>
    <row r="8159" spans="1:9" x14ac:dyDescent="0.25">
      <c r="A8159" s="16" t="s">
        <v>8973</v>
      </c>
      <c r="B8159" s="16" t="str">
        <f>TEXT(PARTIDA[[#This Row],[PARTIDA]],"0000000000")</f>
        <v>9503009600</v>
      </c>
      <c r="C8159" s="16" t="s">
        <v>786</v>
      </c>
      <c r="D8159" s="16" t="s">
        <v>787</v>
      </c>
      <c r="E8159" s="16" t="s">
        <v>797</v>
      </c>
      <c r="F8159" s="27" t="s">
        <v>16218</v>
      </c>
      <c r="G8159" s="27"/>
      <c r="H8159" s="16" t="str">
        <f>IF(ISBLANK(PARTIDAS!$G8159),PARTIDAS!$F8159,CONCATENATE(PARTIDAS!$F8159," (",PARTIDAS!$G8159,")"))</f>
        <v>Juguetes, juegos y artículos para recreo o deporte (los demás, con motor)</v>
      </c>
      <c r="I8159" s="16" t="s">
        <v>9427</v>
      </c>
    </row>
    <row r="8160" spans="1:9" x14ac:dyDescent="0.25">
      <c r="A8160" s="16" t="s">
        <v>8974</v>
      </c>
      <c r="B8160" s="16" t="str">
        <f>TEXT(PARTIDA[[#This Row],[PARTIDA]],"0000000000")</f>
        <v>9503009900</v>
      </c>
      <c r="C8160" s="16" t="s">
        <v>786</v>
      </c>
      <c r="D8160" s="16" t="s">
        <v>787</v>
      </c>
      <c r="E8160" s="16" t="s">
        <v>797</v>
      </c>
      <c r="F8160" s="27" t="s">
        <v>16219</v>
      </c>
      <c r="G8160" s="27"/>
      <c r="H8160" s="16" t="str">
        <f>IF(ISBLANK(PARTIDAS!$G8160),PARTIDAS!$F8160,CONCATENATE(PARTIDAS!$F8160," (",PARTIDAS!$G8160,")"))</f>
        <v>Juguetes, juegos y artículos para recreo o deporte (los demás)</v>
      </c>
      <c r="I8160" s="16" t="s">
        <v>9427</v>
      </c>
    </row>
    <row r="8161" spans="1:9" x14ac:dyDescent="0.25">
      <c r="A8161" s="16" t="s">
        <v>8975</v>
      </c>
      <c r="B8161" s="16" t="str">
        <f>TEXT(PARTIDA[[#This Row],[PARTIDA]],"0000000000")</f>
        <v>9504200000</v>
      </c>
      <c r="C8161" s="16" t="s">
        <v>786</v>
      </c>
      <c r="D8161" s="16" t="s">
        <v>787</v>
      </c>
      <c r="E8161" s="16" t="s">
        <v>797</v>
      </c>
      <c r="F8161" s="27" t="s">
        <v>16220</v>
      </c>
      <c r="G8161" s="27"/>
      <c r="H8161" s="16" t="str">
        <f>IF(ISBLANK(PARTIDAS!$G8161),PARTIDAS!$F8161,CONCATENATE(PARTIDAS!$F8161," (",PARTIDAS!$G8161,")"))</f>
        <v>Billares de cualquier clase y sus accesorios</v>
      </c>
      <c r="I8161" s="16" t="s">
        <v>9427</v>
      </c>
    </row>
    <row r="8162" spans="1:9" x14ac:dyDescent="0.25">
      <c r="A8162" s="16" t="s">
        <v>8976</v>
      </c>
      <c r="B8162" s="16" t="str">
        <f>TEXT(PARTIDA[[#This Row],[PARTIDA]],"0000000000")</f>
        <v>9504301000</v>
      </c>
      <c r="C8162" s="16" t="s">
        <v>786</v>
      </c>
      <c r="D8162" s="16" t="s">
        <v>787</v>
      </c>
      <c r="E8162" s="16" t="s">
        <v>797</v>
      </c>
      <c r="F8162" s="27" t="s">
        <v>16221</v>
      </c>
      <c r="G8162" s="27"/>
      <c r="H8162" s="16" t="str">
        <f>IF(ISBLANK(PARTIDAS!$G8162),PARTIDAS!$F8162,CONCATENATE(PARTIDAS!$F8162," (",PARTIDAS!$G8162,")"))</f>
        <v>Videoconsolas y máquinas de videojuego, juegos de sociedad, incluidos…, de suerte, envite y azar</v>
      </c>
      <c r="I8162" s="16" t="s">
        <v>9427</v>
      </c>
    </row>
    <row r="8163" spans="1:9" x14ac:dyDescent="0.25">
      <c r="A8163" s="16" t="s">
        <v>8977</v>
      </c>
      <c r="B8163" s="16" t="str">
        <f>TEXT(PARTIDA[[#This Row],[PARTIDA]],"0000000000")</f>
        <v>9504309000</v>
      </c>
      <c r="C8163" s="16" t="s">
        <v>786</v>
      </c>
      <c r="D8163" s="16" t="s">
        <v>787</v>
      </c>
      <c r="E8163" s="16" t="s">
        <v>797</v>
      </c>
      <c r="F8163" s="27" t="s">
        <v>16222</v>
      </c>
      <c r="G8163" s="27"/>
      <c r="H8163" s="16" t="str">
        <f>IF(ISBLANK(PARTIDAS!$G8163),PARTIDAS!$F8163,CONCATENATE(PARTIDAS!$F8163," (",PARTIDAS!$G8163,")"))</f>
        <v>Videoconsolas y máquinas de videojuego, juegos de sociedad, incluidos… (los demás)</v>
      </c>
      <c r="I8163" s="16" t="s">
        <v>9427</v>
      </c>
    </row>
    <row r="8164" spans="1:9" x14ac:dyDescent="0.25">
      <c r="A8164" s="16" t="s">
        <v>8978</v>
      </c>
      <c r="B8164" s="16" t="str">
        <f>TEXT(PARTIDA[[#This Row],[PARTIDA]],"0000000000")</f>
        <v>9504400000</v>
      </c>
      <c r="C8164" s="16" t="s">
        <v>786</v>
      </c>
      <c r="D8164" s="16" t="s">
        <v>787</v>
      </c>
      <c r="E8164" s="16" t="s">
        <v>797</v>
      </c>
      <c r="F8164" s="27" t="s">
        <v>16223</v>
      </c>
      <c r="G8164" s="27"/>
      <c r="H8164" s="16" t="str">
        <f>IF(ISBLANK(PARTIDAS!$G8164),PARTIDAS!$F8164,CONCATENATE(PARTIDAS!$F8164," (",PARTIDAS!$G8164,")"))</f>
        <v>Naipes</v>
      </c>
      <c r="I8164" s="16" t="s">
        <v>9427</v>
      </c>
    </row>
    <row r="8165" spans="1:9" x14ac:dyDescent="0.25">
      <c r="A8165" s="16" t="s">
        <v>8979</v>
      </c>
      <c r="B8165" s="16" t="str">
        <f>TEXT(PARTIDA[[#This Row],[PARTIDA]],"0000000000")</f>
        <v>9504500000</v>
      </c>
      <c r="C8165" s="16" t="s">
        <v>786</v>
      </c>
      <c r="D8165" s="16" t="s">
        <v>787</v>
      </c>
      <c r="E8165" s="16" t="s">
        <v>797</v>
      </c>
      <c r="F8165" s="27" t="s">
        <v>16224</v>
      </c>
      <c r="G8165" s="27"/>
      <c r="H8165" s="16" t="str">
        <f>IF(ISBLANK(PARTIDAS!$G8165),PARTIDAS!$F8165,CONCATENATE(PARTIDAS!$F8165," (",PARTIDAS!$G8165,")"))</f>
        <v>Videoconsolas y máquinas de videojuego, excepto las de la subpartida 9504.30</v>
      </c>
      <c r="I8165" s="16" t="s">
        <v>9427</v>
      </c>
    </row>
    <row r="8166" spans="1:9" x14ac:dyDescent="0.25">
      <c r="A8166" s="16" t="s">
        <v>8980</v>
      </c>
      <c r="B8166" s="16" t="str">
        <f>TEXT(PARTIDA[[#This Row],[PARTIDA]],"0000000000")</f>
        <v>9504901000</v>
      </c>
      <c r="C8166" s="16" t="s">
        <v>786</v>
      </c>
      <c r="D8166" s="16" t="s">
        <v>787</v>
      </c>
      <c r="E8166" s="16" t="s">
        <v>797</v>
      </c>
      <c r="F8166" s="27" t="s">
        <v>16225</v>
      </c>
      <c r="G8166" s="27"/>
      <c r="H8166" s="16" t="str">
        <f>IF(ISBLANK(PARTIDAS!$G8166),PARTIDAS!$F8166,CONCATENATE(PARTIDAS!$F8166," (",PARTIDAS!$G8166,")"))</f>
        <v>Juegos de ajedrez y de damas</v>
      </c>
      <c r="I8166" s="16" t="s">
        <v>9427</v>
      </c>
    </row>
    <row r="8167" spans="1:9" x14ac:dyDescent="0.25">
      <c r="A8167" s="16" t="s">
        <v>8981</v>
      </c>
      <c r="B8167" s="16" t="str">
        <f>TEXT(PARTIDA[[#This Row],[PARTIDA]],"0000000000")</f>
        <v>9504903000</v>
      </c>
      <c r="C8167" s="16" t="s">
        <v>786</v>
      </c>
      <c r="D8167" s="16" t="s">
        <v>787</v>
      </c>
      <c r="E8167" s="16" t="s">
        <v>797</v>
      </c>
      <c r="F8167" s="27" t="s">
        <v>16226</v>
      </c>
      <c r="G8167" s="27"/>
      <c r="H8167" s="16" t="str">
        <f>IF(ISBLANK(PARTIDAS!$G8167),PARTIDAS!$F8167,CONCATENATE(PARTIDAS!$F8167," (",PARTIDAS!$G8167,")"))</f>
        <v>Juegos de bolos, incluso automáticos («bowlings»)</v>
      </c>
      <c r="I8167" s="16" t="s">
        <v>9427</v>
      </c>
    </row>
    <row r="8168" spans="1:9" x14ac:dyDescent="0.25">
      <c r="A8168" s="16" t="s">
        <v>8982</v>
      </c>
      <c r="B8168" s="16" t="str">
        <f>TEXT(PARTIDA[[#This Row],[PARTIDA]],"0000000000")</f>
        <v>9504909100</v>
      </c>
      <c r="C8168" s="16" t="s">
        <v>786</v>
      </c>
      <c r="D8168" s="16" t="s">
        <v>787</v>
      </c>
      <c r="E8168" s="16" t="s">
        <v>797</v>
      </c>
      <c r="F8168" s="27" t="s">
        <v>16221</v>
      </c>
      <c r="G8168" s="27"/>
      <c r="H8168" s="16" t="str">
        <f>IF(ISBLANK(PARTIDAS!$G8168),PARTIDAS!$F8168,CONCATENATE(PARTIDAS!$F8168," (",PARTIDAS!$G8168,")"))</f>
        <v>Videoconsolas y máquinas de videojuego, juegos de sociedad, incluidos…, de suerte, envite y azar</v>
      </c>
      <c r="I8168" s="16" t="s">
        <v>9427</v>
      </c>
    </row>
    <row r="8169" spans="1:9" x14ac:dyDescent="0.25">
      <c r="A8169" s="16" t="s">
        <v>8983</v>
      </c>
      <c r="B8169" s="16" t="str">
        <f>TEXT(PARTIDA[[#This Row],[PARTIDA]],"0000000000")</f>
        <v>9504909900</v>
      </c>
      <c r="C8169" s="16" t="s">
        <v>786</v>
      </c>
      <c r="D8169" s="16" t="s">
        <v>787</v>
      </c>
      <c r="E8169" s="16" t="s">
        <v>797</v>
      </c>
      <c r="F8169" s="27" t="s">
        <v>16222</v>
      </c>
      <c r="G8169" s="27"/>
      <c r="H8169" s="16" t="str">
        <f>IF(ISBLANK(PARTIDAS!$G8169),PARTIDAS!$F8169,CONCATENATE(PARTIDAS!$F8169," (",PARTIDAS!$G8169,")"))</f>
        <v>Videoconsolas y máquinas de videojuego, juegos de sociedad, incluidos… (los demás)</v>
      </c>
      <c r="I8169" s="16" t="s">
        <v>9427</v>
      </c>
    </row>
    <row r="8170" spans="1:9" x14ac:dyDescent="0.25">
      <c r="A8170" s="16" t="s">
        <v>8984</v>
      </c>
      <c r="B8170" s="16" t="str">
        <f>TEXT(PARTIDA[[#This Row],[PARTIDA]],"0000000000")</f>
        <v>9505100000</v>
      </c>
      <c r="C8170" s="16" t="s">
        <v>786</v>
      </c>
      <c r="D8170" s="16" t="s">
        <v>787</v>
      </c>
      <c r="E8170" s="16" t="s">
        <v>797</v>
      </c>
      <c r="F8170" s="27" t="s">
        <v>8985</v>
      </c>
      <c r="G8170" s="27"/>
      <c r="H8170" s="16" t="str">
        <f>IF(ISBLANK(PARTIDAS!$G8170),PARTIDAS!$F8170,CONCATENATE(PARTIDAS!$F8170," (",PARTIDAS!$G8170,")"))</f>
        <v>Adornos de navidad</v>
      </c>
      <c r="I8170" s="16" t="s">
        <v>9427</v>
      </c>
    </row>
    <row r="8171" spans="1:9" x14ac:dyDescent="0.25">
      <c r="A8171" s="16" t="s">
        <v>8986</v>
      </c>
      <c r="B8171" s="16" t="str">
        <f>TEXT(PARTIDA[[#This Row],[PARTIDA]],"0000000000")</f>
        <v>9505900000</v>
      </c>
      <c r="C8171" s="16" t="s">
        <v>786</v>
      </c>
      <c r="D8171" s="16" t="s">
        <v>787</v>
      </c>
      <c r="E8171" s="16" t="s">
        <v>797</v>
      </c>
      <c r="F8171" s="27" t="s">
        <v>8987</v>
      </c>
      <c r="G8171" s="27"/>
      <c r="H8171" s="16" t="str">
        <f>IF(ISBLANK(PARTIDAS!$G8171),PARTIDAS!$F8171,CONCATENATE(PARTIDAS!$F8171," (",PARTIDAS!$G8171,")"))</f>
        <v>Adornos</v>
      </c>
      <c r="I8171" s="16" t="s">
        <v>9427</v>
      </c>
    </row>
    <row r="8172" spans="1:9" x14ac:dyDescent="0.25">
      <c r="A8172" s="16" t="s">
        <v>8988</v>
      </c>
      <c r="B8172" s="16" t="str">
        <f>TEXT(PARTIDA[[#This Row],[PARTIDA]],"0000000000")</f>
        <v>9506110000</v>
      </c>
      <c r="C8172" s="16" t="s">
        <v>786</v>
      </c>
      <c r="D8172" s="16" t="s">
        <v>787</v>
      </c>
      <c r="E8172" s="16" t="s">
        <v>797</v>
      </c>
      <c r="F8172" s="27" t="s">
        <v>16227</v>
      </c>
      <c r="G8172" s="27"/>
      <c r="H8172" s="16" t="str">
        <f>IF(ISBLANK(PARTIDAS!$G8172),PARTIDAS!$F8172,CONCATENATE(PARTIDAS!$F8172," (",PARTIDAS!$G8172,")"))</f>
        <v>Esquís para nieve y demás artículos para práctica del esquí de nieve, esquís</v>
      </c>
      <c r="I8172" s="16" t="s">
        <v>9427</v>
      </c>
    </row>
    <row r="8173" spans="1:9" x14ac:dyDescent="0.25">
      <c r="A8173" s="16" t="s">
        <v>8989</v>
      </c>
      <c r="B8173" s="16" t="str">
        <f>TEXT(PARTIDA[[#This Row],[PARTIDA]],"0000000000")</f>
        <v>9506120000</v>
      </c>
      <c r="C8173" s="16" t="s">
        <v>786</v>
      </c>
      <c r="D8173" s="16" t="s">
        <v>787</v>
      </c>
      <c r="E8173" s="16" t="s">
        <v>797</v>
      </c>
      <c r="F8173" s="27" t="s">
        <v>16228</v>
      </c>
      <c r="G8173" s="27"/>
      <c r="H8173" s="16" t="str">
        <f>IF(ISBLANK(PARTIDAS!$G8173),PARTIDAS!$F8173,CONCATENATE(PARTIDAS!$F8173," (",PARTIDAS!$G8173,")"))</f>
        <v>Fijadores de esquí</v>
      </c>
      <c r="I8173" s="16" t="s">
        <v>9427</v>
      </c>
    </row>
    <row r="8174" spans="1:9" x14ac:dyDescent="0.25">
      <c r="A8174" s="16" t="s">
        <v>8990</v>
      </c>
      <c r="B8174" s="16" t="str">
        <f>TEXT(PARTIDA[[#This Row],[PARTIDA]],"0000000000")</f>
        <v>9506190000</v>
      </c>
      <c r="C8174" s="16" t="s">
        <v>786</v>
      </c>
      <c r="D8174" s="16" t="s">
        <v>787</v>
      </c>
      <c r="E8174" s="16" t="s">
        <v>797</v>
      </c>
      <c r="F8174" s="27" t="s">
        <v>16229</v>
      </c>
      <c r="G8174" s="27"/>
      <c r="H8174" s="16" t="str">
        <f>IF(ISBLANK(PARTIDAS!$G8174),PARTIDAS!$F8174,CONCATENATE(PARTIDAS!$F8174," (",PARTIDAS!$G8174,")"))</f>
        <v>Esquís para nieve y demás artículos para práctica del esquí de nieve (los demás)</v>
      </c>
      <c r="I8174" s="16" t="s">
        <v>9427</v>
      </c>
    </row>
    <row r="8175" spans="1:9" x14ac:dyDescent="0.25">
      <c r="A8175" s="16" t="s">
        <v>8991</v>
      </c>
      <c r="B8175" s="16" t="str">
        <f>TEXT(PARTIDA[[#This Row],[PARTIDA]],"0000000000")</f>
        <v>9506210000</v>
      </c>
      <c r="C8175" s="16" t="s">
        <v>786</v>
      </c>
      <c r="D8175" s="16" t="s">
        <v>787</v>
      </c>
      <c r="E8175" s="16" t="s">
        <v>797</v>
      </c>
      <c r="F8175" s="27" t="s">
        <v>16230</v>
      </c>
      <c r="G8175" s="27"/>
      <c r="H8175" s="16" t="str">
        <f>IF(ISBLANK(PARTIDAS!$G8175),PARTIDAS!$F8175,CONCATENATE(PARTIDAS!$F8175," (",PARTIDAS!$G8175,")"))</f>
        <v>Deslizadores de vela</v>
      </c>
      <c r="I8175" s="16" t="s">
        <v>9427</v>
      </c>
    </row>
    <row r="8176" spans="1:9" x14ac:dyDescent="0.25">
      <c r="A8176" s="16" t="s">
        <v>8992</v>
      </c>
      <c r="B8176" s="16" t="str">
        <f>TEXT(PARTIDA[[#This Row],[PARTIDA]],"0000000000")</f>
        <v>9506290000</v>
      </c>
      <c r="C8176" s="16" t="s">
        <v>786</v>
      </c>
      <c r="D8176" s="16" t="s">
        <v>787</v>
      </c>
      <c r="E8176" s="16" t="s">
        <v>797</v>
      </c>
      <c r="F8176" s="27" t="s">
        <v>16231</v>
      </c>
      <c r="G8176" s="27"/>
      <c r="H8176" s="16" t="str">
        <f>IF(ISBLANK(PARTIDAS!$G8176),PARTIDAS!$F8176,CONCATENATE(PARTIDAS!$F8176," (",PARTIDAS!$G8176,")"))</f>
        <v>Esquís acuáticos, tablas, deslizadores de vela y demás artículos para… (los demás)</v>
      </c>
      <c r="I8176" s="16" t="s">
        <v>9427</v>
      </c>
    </row>
    <row r="8177" spans="1:9" x14ac:dyDescent="0.25">
      <c r="A8177" s="16" t="s">
        <v>8993</v>
      </c>
      <c r="B8177" s="16" t="str">
        <f>TEXT(PARTIDA[[#This Row],[PARTIDA]],"0000000000")</f>
        <v>9506310000</v>
      </c>
      <c r="C8177" s="16" t="s">
        <v>786</v>
      </c>
      <c r="D8177" s="16" t="s">
        <v>787</v>
      </c>
      <c r="E8177" s="16" t="s">
        <v>797</v>
      </c>
      <c r="F8177" s="27" t="s">
        <v>16232</v>
      </c>
      <c r="G8177" s="27"/>
      <c r="H8177" s="16" t="str">
        <f>IF(ISBLANK(PARTIDAS!$G8177),PARTIDAS!$F8177,CONCATENATE(PARTIDAS!$F8177," (",PARTIDAS!$G8177,")"))</f>
        <v>Palos de golf («clubs») completos</v>
      </c>
      <c r="I8177" s="16" t="s">
        <v>9427</v>
      </c>
    </row>
    <row r="8178" spans="1:9" x14ac:dyDescent="0.25">
      <c r="A8178" s="16" t="s">
        <v>8994</v>
      </c>
      <c r="B8178" s="16" t="str">
        <f>TEXT(PARTIDA[[#This Row],[PARTIDA]],"0000000000")</f>
        <v>9506320000</v>
      </c>
      <c r="C8178" s="16" t="s">
        <v>786</v>
      </c>
      <c r="D8178" s="16" t="s">
        <v>787</v>
      </c>
      <c r="E8178" s="16" t="s">
        <v>797</v>
      </c>
      <c r="F8178" s="27" t="s">
        <v>16233</v>
      </c>
      <c r="G8178" s="27"/>
      <c r="H8178" s="16" t="str">
        <f>IF(ISBLANK(PARTIDAS!$G8178),PARTIDAS!$F8178,CONCATENATE(PARTIDAS!$F8178," (",PARTIDAS!$G8178,")"))</f>
        <v>Palos de golf («clubs») y demás artículos para golf, pelotas</v>
      </c>
      <c r="I8178" s="16" t="s">
        <v>9427</v>
      </c>
    </row>
    <row r="8179" spans="1:9" x14ac:dyDescent="0.25">
      <c r="A8179" s="16" t="s">
        <v>8995</v>
      </c>
      <c r="B8179" s="16" t="str">
        <f>TEXT(PARTIDA[[#This Row],[PARTIDA]],"0000000000")</f>
        <v>9506390000</v>
      </c>
      <c r="C8179" s="16" t="s">
        <v>786</v>
      </c>
      <c r="D8179" s="16" t="s">
        <v>787</v>
      </c>
      <c r="E8179" s="16" t="s">
        <v>797</v>
      </c>
      <c r="F8179" s="27" t="s">
        <v>16234</v>
      </c>
      <c r="G8179" s="27"/>
      <c r="H8179" s="16" t="str">
        <f>IF(ISBLANK(PARTIDAS!$G8179),PARTIDAS!$F8179,CONCATENATE(PARTIDAS!$F8179," (",PARTIDAS!$G8179,")"))</f>
        <v>Palos de golf («clubs») y demás artículos para golf (los demás)</v>
      </c>
      <c r="I8179" s="16" t="s">
        <v>9427</v>
      </c>
    </row>
    <row r="8180" spans="1:9" x14ac:dyDescent="0.25">
      <c r="A8180" s="16" t="s">
        <v>8996</v>
      </c>
      <c r="B8180" s="16" t="str">
        <f>TEXT(PARTIDA[[#This Row],[PARTIDA]],"0000000000")</f>
        <v>9506400000</v>
      </c>
      <c r="C8180" s="16" t="s">
        <v>786</v>
      </c>
      <c r="D8180" s="16" t="s">
        <v>787</v>
      </c>
      <c r="E8180" s="16" t="s">
        <v>797</v>
      </c>
      <c r="F8180" s="27" t="s">
        <v>8997</v>
      </c>
      <c r="G8180" s="27"/>
      <c r="H8180" s="16" t="str">
        <f>IF(ISBLANK(PARTIDAS!$G8180),PARTIDAS!$F8180,CONCATENATE(PARTIDAS!$F8180," (",PARTIDAS!$G8180,")"))</f>
        <v>Artículos para tenis de mesa</v>
      </c>
      <c r="I8180" s="16" t="s">
        <v>9427</v>
      </c>
    </row>
    <row r="8181" spans="1:9" x14ac:dyDescent="0.25">
      <c r="A8181" s="16" t="s">
        <v>8998</v>
      </c>
      <c r="B8181" s="16" t="str">
        <f>TEXT(PARTIDA[[#This Row],[PARTIDA]],"0000000000")</f>
        <v>9506510000</v>
      </c>
      <c r="C8181" s="16" t="s">
        <v>786</v>
      </c>
      <c r="D8181" s="16" t="s">
        <v>787</v>
      </c>
      <c r="E8181" s="16" t="s">
        <v>797</v>
      </c>
      <c r="F8181" s="27" t="s">
        <v>16235</v>
      </c>
      <c r="G8181" s="27"/>
      <c r="H8181" s="16" t="str">
        <f>IF(ISBLANK(PARTIDAS!$G8181),PARTIDAS!$F8181,CONCATENATE(PARTIDAS!$F8181," (",PARTIDAS!$G8181,")"))</f>
        <v>Raquetas de tenis, incluso sin cordaje</v>
      </c>
      <c r="I8181" s="16" t="s">
        <v>9427</v>
      </c>
    </row>
    <row r="8182" spans="1:9" x14ac:dyDescent="0.25">
      <c r="A8182" s="16" t="s">
        <v>8999</v>
      </c>
      <c r="B8182" s="16" t="str">
        <f>TEXT(PARTIDA[[#This Row],[PARTIDA]],"0000000000")</f>
        <v>9506590000</v>
      </c>
      <c r="C8182" s="16" t="s">
        <v>786</v>
      </c>
      <c r="D8182" s="16" t="s">
        <v>787</v>
      </c>
      <c r="E8182" s="16" t="s">
        <v>797</v>
      </c>
      <c r="F8182" s="27" t="s">
        <v>16236</v>
      </c>
      <c r="G8182" s="27"/>
      <c r="H8182" s="16" t="str">
        <f>IF(ISBLANK(PARTIDAS!$G8182),PARTIDAS!$F8182,CONCATENATE(PARTIDAS!$F8182," (",PARTIDAS!$G8182,")"))</f>
        <v>Raquetas de tenis, bádminton o similares, incluso sin cordaje (los demás)</v>
      </c>
      <c r="I8182" s="16" t="s">
        <v>9427</v>
      </c>
    </row>
    <row r="8183" spans="1:9" x14ac:dyDescent="0.25">
      <c r="A8183" s="16" t="s">
        <v>9000</v>
      </c>
      <c r="B8183" s="16" t="str">
        <f>TEXT(PARTIDA[[#This Row],[PARTIDA]],"0000000000")</f>
        <v>9506610000</v>
      </c>
      <c r="C8183" s="16" t="s">
        <v>786</v>
      </c>
      <c r="D8183" s="16" t="s">
        <v>787</v>
      </c>
      <c r="E8183" s="16" t="s">
        <v>797</v>
      </c>
      <c r="F8183" s="27" t="s">
        <v>16237</v>
      </c>
      <c r="G8183" s="27"/>
      <c r="H8183" s="16" t="str">
        <f>IF(ISBLANK(PARTIDAS!$G8183),PARTIDAS!$F8183,CONCATENATE(PARTIDAS!$F8183," (",PARTIDAS!$G8183,")"))</f>
        <v>Pelotas de tenis</v>
      </c>
      <c r="I8183" s="16" t="s">
        <v>9427</v>
      </c>
    </row>
    <row r="8184" spans="1:9" x14ac:dyDescent="0.25">
      <c r="A8184" s="16" t="s">
        <v>9001</v>
      </c>
      <c r="B8184" s="16" t="str">
        <f>TEXT(PARTIDA[[#This Row],[PARTIDA]],"0000000000")</f>
        <v>9506620000</v>
      </c>
      <c r="C8184" s="16" t="s">
        <v>786</v>
      </c>
      <c r="D8184" s="16" t="s">
        <v>787</v>
      </c>
      <c r="E8184" s="16" t="s">
        <v>797</v>
      </c>
      <c r="F8184" s="27" t="s">
        <v>16238</v>
      </c>
      <c r="G8184" s="27"/>
      <c r="H8184" s="16" t="str">
        <f>IF(ISBLANK(PARTIDAS!$G8184),PARTIDAS!$F8184,CONCATENATE(PARTIDAS!$F8184," (",PARTIDAS!$G8184,")"))</f>
        <v>Balones y pelotas, inflables</v>
      </c>
      <c r="I8184" s="16" t="s">
        <v>9427</v>
      </c>
    </row>
    <row r="8185" spans="1:9" x14ac:dyDescent="0.25">
      <c r="A8185" s="16" t="s">
        <v>9002</v>
      </c>
      <c r="B8185" s="16" t="str">
        <f>TEXT(PARTIDA[[#This Row],[PARTIDA]],"0000000000")</f>
        <v>9506690000</v>
      </c>
      <c r="C8185" s="16" t="s">
        <v>786</v>
      </c>
      <c r="D8185" s="16" t="s">
        <v>787</v>
      </c>
      <c r="E8185" s="16" t="s">
        <v>797</v>
      </c>
      <c r="F8185" s="27" t="s">
        <v>16239</v>
      </c>
      <c r="G8185" s="27"/>
      <c r="H8185" s="16" t="str">
        <f>IF(ISBLANK(PARTIDAS!$G8185),PARTIDAS!$F8185,CONCATENATE(PARTIDAS!$F8185," (",PARTIDAS!$G8185,")"))</f>
        <v>Balones y pelotas (los demás)</v>
      </c>
      <c r="I8185" s="16" t="s">
        <v>9427</v>
      </c>
    </row>
    <row r="8186" spans="1:9" x14ac:dyDescent="0.25">
      <c r="A8186" s="16" t="s">
        <v>9003</v>
      </c>
      <c r="B8186" s="16" t="str">
        <f>TEXT(PARTIDA[[#This Row],[PARTIDA]],"0000000000")</f>
        <v>9506700000</v>
      </c>
      <c r="C8186" s="16" t="s">
        <v>786</v>
      </c>
      <c r="D8186" s="16" t="s">
        <v>787</v>
      </c>
      <c r="E8186" s="16" t="s">
        <v>797</v>
      </c>
      <c r="F8186" s="27" t="s">
        <v>16240</v>
      </c>
      <c r="G8186" s="27"/>
      <c r="H8186" s="16" t="str">
        <f>IF(ISBLANK(PARTIDAS!$G8186),PARTIDAS!$F8186,CONCATENATE(PARTIDAS!$F8186," (",PARTIDAS!$G8186,")"))</f>
        <v>Patines para hielo y patines de ruedas, incluido el calzado con patines fijos</v>
      </c>
      <c r="I8186" s="16" t="s">
        <v>9427</v>
      </c>
    </row>
    <row r="8187" spans="1:9" x14ac:dyDescent="0.25">
      <c r="A8187" s="16" t="s">
        <v>9004</v>
      </c>
      <c r="B8187" s="16" t="str">
        <f>TEXT(PARTIDA[[#This Row],[PARTIDA]],"0000000000")</f>
        <v>9506910000</v>
      </c>
      <c r="C8187" s="16" t="s">
        <v>786</v>
      </c>
      <c r="D8187" s="16" t="s">
        <v>787</v>
      </c>
      <c r="E8187" s="16" t="s">
        <v>797</v>
      </c>
      <c r="F8187" s="27" t="s">
        <v>16241</v>
      </c>
      <c r="G8187" s="27"/>
      <c r="H8187" s="16" t="str">
        <f>IF(ISBLANK(PARTIDAS!$G8187),PARTIDAS!$F8187,CONCATENATE(PARTIDAS!$F8187," (",PARTIDAS!$G8187,")"))</f>
        <v>Artículos y material para cultura física, gimnasia o atletismo</v>
      </c>
      <c r="I8187" s="16" t="s">
        <v>9427</v>
      </c>
    </row>
    <row r="8188" spans="1:9" x14ac:dyDescent="0.25">
      <c r="A8188" s="16" t="s">
        <v>9005</v>
      </c>
      <c r="B8188" s="16" t="str">
        <f>TEXT(PARTIDA[[#This Row],[PARTIDA]],"0000000000")</f>
        <v>9506991000</v>
      </c>
      <c r="C8188" s="16" t="s">
        <v>786</v>
      </c>
      <c r="D8188" s="16" t="s">
        <v>787</v>
      </c>
      <c r="E8188" s="16" t="s">
        <v>797</v>
      </c>
      <c r="F8188" s="27" t="s">
        <v>16242</v>
      </c>
      <c r="G8188" s="27"/>
      <c r="H8188" s="16" t="str">
        <f>IF(ISBLANK(PARTIDAS!$G8188),PARTIDAS!$F8188,CONCATENATE(PARTIDAS!$F8188," (",PARTIDAS!$G8188,")"))</f>
        <v>Artículos y materiales para béisbol y sóftbol, excepto las pelotas</v>
      </c>
      <c r="I8188" s="16" t="s">
        <v>9427</v>
      </c>
    </row>
    <row r="8189" spans="1:9" x14ac:dyDescent="0.25">
      <c r="A8189" s="16" t="s">
        <v>9006</v>
      </c>
      <c r="B8189" s="16" t="str">
        <f>TEXT(PARTIDA[[#This Row],[PARTIDA]],"0000000000")</f>
        <v>9506999000</v>
      </c>
      <c r="C8189" s="16" t="s">
        <v>786</v>
      </c>
      <c r="D8189" s="16" t="s">
        <v>787</v>
      </c>
      <c r="E8189" s="16" t="s">
        <v>797</v>
      </c>
      <c r="F8189" s="27" t="s">
        <v>16243</v>
      </c>
      <c r="G8189" s="27"/>
      <c r="H8189" s="16" t="str">
        <f>IF(ISBLANK(PARTIDAS!$G8189),PARTIDAS!$F8189,CONCATENATE(PARTIDAS!$F8189," (",PARTIDAS!$G8189,")"))</f>
        <v>Artículos y material para cultura física, gimnasia, atletismo, demás… (los demás)</v>
      </c>
      <c r="I8189" s="16" t="s">
        <v>9427</v>
      </c>
    </row>
    <row r="8190" spans="1:9" x14ac:dyDescent="0.25">
      <c r="A8190" s="16" t="s">
        <v>9007</v>
      </c>
      <c r="B8190" s="16" t="str">
        <f>TEXT(PARTIDA[[#This Row],[PARTIDA]],"0000000000")</f>
        <v>9507100000</v>
      </c>
      <c r="C8190" s="16" t="s">
        <v>786</v>
      </c>
      <c r="D8190" s="16" t="s">
        <v>787</v>
      </c>
      <c r="E8190" s="16" t="s">
        <v>797</v>
      </c>
      <c r="F8190" s="27" t="s">
        <v>16244</v>
      </c>
      <c r="G8190" s="27"/>
      <c r="H8190" s="16" t="str">
        <f>IF(ISBLANK(PARTIDAS!$G8190),PARTIDAS!$F8190,CONCATENATE(PARTIDAS!$F8190," (",PARTIDAS!$G8190,")"))</f>
        <v>Cañas de pescar</v>
      </c>
      <c r="I8190" s="16" t="s">
        <v>9427</v>
      </c>
    </row>
    <row r="8191" spans="1:9" x14ac:dyDescent="0.25">
      <c r="A8191" s="16" t="s">
        <v>9008</v>
      </c>
      <c r="B8191" s="16" t="str">
        <f>TEXT(PARTIDA[[#This Row],[PARTIDA]],"0000000000")</f>
        <v>9507200000</v>
      </c>
      <c r="C8191" s="16" t="s">
        <v>786</v>
      </c>
      <c r="D8191" s="16" t="s">
        <v>787</v>
      </c>
      <c r="E8191" s="16" t="s">
        <v>797</v>
      </c>
      <c r="F8191" s="27" t="s">
        <v>16245</v>
      </c>
      <c r="G8191" s="27"/>
      <c r="H8191" s="16" t="str">
        <f>IF(ISBLANK(PARTIDAS!$G8191),PARTIDAS!$F8191,CONCATENATE(PARTIDAS!$F8191," (",PARTIDAS!$G8191,")"))</f>
        <v>Anzuelos, incluso montados en sedal (tanza)</v>
      </c>
      <c r="I8191" s="16" t="s">
        <v>9427</v>
      </c>
    </row>
    <row r="8192" spans="1:9" x14ac:dyDescent="0.25">
      <c r="A8192" s="16" t="s">
        <v>9009</v>
      </c>
      <c r="B8192" s="16" t="str">
        <f>TEXT(PARTIDA[[#This Row],[PARTIDA]],"0000000000")</f>
        <v>9507300000</v>
      </c>
      <c r="C8192" s="16" t="s">
        <v>786</v>
      </c>
      <c r="D8192" s="16" t="s">
        <v>787</v>
      </c>
      <c r="E8192" s="16" t="s">
        <v>797</v>
      </c>
      <c r="F8192" s="27" t="s">
        <v>16246</v>
      </c>
      <c r="G8192" s="27"/>
      <c r="H8192" s="16" t="str">
        <f>IF(ISBLANK(PARTIDAS!$G8192),PARTIDAS!$F8192,CONCATENATE(PARTIDAS!$F8192," (",PARTIDAS!$G8192,")"))</f>
        <v>Carretes de pesca</v>
      </c>
      <c r="I8192" s="16" t="s">
        <v>9427</v>
      </c>
    </row>
    <row r="8193" spans="1:9" x14ac:dyDescent="0.25">
      <c r="A8193" s="16" t="s">
        <v>9010</v>
      </c>
      <c r="B8193" s="16" t="str">
        <f>TEXT(PARTIDA[[#This Row],[PARTIDA]],"0000000000")</f>
        <v>9507901000</v>
      </c>
      <c r="C8193" s="16" t="s">
        <v>786</v>
      </c>
      <c r="D8193" s="16" t="s">
        <v>787</v>
      </c>
      <c r="E8193" s="16" t="s">
        <v>797</v>
      </c>
      <c r="F8193" s="27" t="s">
        <v>16247</v>
      </c>
      <c r="G8193" s="27"/>
      <c r="H8193" s="16" t="str">
        <f>IF(ISBLANK(PARTIDAS!$G8193),PARTIDAS!$F8193,CONCATENATE(PARTIDAS!$F8193," (",PARTIDAS!$G8193,")"))</f>
        <v>Cañas de pescar, anzuelos y demás artículos para la pesca con caña, para la pesca con caña</v>
      </c>
      <c r="I8193" s="16" t="s">
        <v>9427</v>
      </c>
    </row>
    <row r="8194" spans="1:9" x14ac:dyDescent="0.25">
      <c r="A8194" s="16" t="s">
        <v>9011</v>
      </c>
      <c r="B8194" s="16" t="str">
        <f>TEXT(PARTIDA[[#This Row],[PARTIDA]],"0000000000")</f>
        <v>9507909000</v>
      </c>
      <c r="C8194" s="16" t="s">
        <v>786</v>
      </c>
      <c r="D8194" s="16" t="s">
        <v>787</v>
      </c>
      <c r="E8194" s="16" t="s">
        <v>797</v>
      </c>
      <c r="F8194" s="27" t="s">
        <v>16248</v>
      </c>
      <c r="G8194" s="27"/>
      <c r="H8194" s="16" t="str">
        <f>IF(ISBLANK(PARTIDAS!$G8194),PARTIDAS!$F8194,CONCATENATE(PARTIDAS!$F8194," (",PARTIDAS!$G8194,")"))</f>
        <v>Cañas de pescar, anzuelos y demás artículos para la pesca con caña (los demás)</v>
      </c>
      <c r="I8194" s="16" t="s">
        <v>9427</v>
      </c>
    </row>
    <row r="8195" spans="1:9" x14ac:dyDescent="0.25">
      <c r="A8195" s="16" t="s">
        <v>9012</v>
      </c>
      <c r="B8195" s="16" t="str">
        <f>TEXT(PARTIDA[[#This Row],[PARTIDA]],"0000000000")</f>
        <v>9508100000</v>
      </c>
      <c r="C8195" s="16" t="s">
        <v>786</v>
      </c>
      <c r="D8195" s="16" t="s">
        <v>787</v>
      </c>
      <c r="E8195" s="16" t="s">
        <v>797</v>
      </c>
      <c r="F8195" s="27" t="s">
        <v>16249</v>
      </c>
      <c r="G8195" s="27"/>
      <c r="H8195" s="16" t="str">
        <f>IF(ISBLANK(PARTIDAS!$G8195),PARTIDAS!$F8195,CONCATENATE(PARTIDAS!$F8195," (",PARTIDAS!$G8195,")"))</f>
        <v>Circos y zoológicos, ambulantes</v>
      </c>
      <c r="I8195" s="16" t="s">
        <v>9427</v>
      </c>
    </row>
    <row r="8196" spans="1:9" x14ac:dyDescent="0.25">
      <c r="A8196" s="16" t="s">
        <v>16250</v>
      </c>
      <c r="B8196" s="16" t="str">
        <f>TEXT(PARTIDA[[#This Row],[PARTIDA]],"0000000000")</f>
        <v>9508210000</v>
      </c>
      <c r="C8196" s="16" t="s">
        <v>786</v>
      </c>
      <c r="D8196" s="16" t="s">
        <v>787</v>
      </c>
      <c r="E8196" s="16" t="s">
        <v>797</v>
      </c>
      <c r="F8196" s="27" t="s">
        <v>16251</v>
      </c>
      <c r="G8196" s="27"/>
      <c r="H8196" s="16" t="str">
        <f>IF(ISBLANK(PARTIDAS!$G8196),PARTIDAS!$F8196,CONCATENATE(PARTIDAS!$F8196," (",PARTIDAS!$G8196,")"))</f>
        <v>Montañas rusas</v>
      </c>
      <c r="I8196" s="16" t="s">
        <v>9427</v>
      </c>
    </row>
    <row r="8197" spans="1:9" x14ac:dyDescent="0.25">
      <c r="A8197" s="16" t="s">
        <v>16252</v>
      </c>
      <c r="B8197" s="16" t="str">
        <f>TEXT(PARTIDA[[#This Row],[PARTIDA]],"0000000000")</f>
        <v>9508220000</v>
      </c>
      <c r="C8197" s="16" t="s">
        <v>786</v>
      </c>
      <c r="D8197" s="16" t="s">
        <v>787</v>
      </c>
      <c r="E8197" s="16" t="s">
        <v>797</v>
      </c>
      <c r="F8197" s="27" t="s">
        <v>16253</v>
      </c>
      <c r="G8197" s="27"/>
      <c r="H8197" s="16" t="str">
        <f>IF(ISBLANK(PARTIDAS!$G8197),PARTIDAS!$F8197,CONCATENATE(PARTIDAS!$F8197," (",PARTIDAS!$G8197,")"))</f>
        <v>Carruseles, columpios y tiovivos</v>
      </c>
      <c r="I8197" s="16" t="s">
        <v>9427</v>
      </c>
    </row>
    <row r="8198" spans="1:9" x14ac:dyDescent="0.25">
      <c r="A8198" s="16" t="s">
        <v>16254</v>
      </c>
      <c r="B8198" s="16" t="str">
        <f>TEXT(PARTIDA[[#This Row],[PARTIDA]],"0000000000")</f>
        <v>9508230000</v>
      </c>
      <c r="C8198" s="16" t="s">
        <v>786</v>
      </c>
      <c r="D8198" s="16" t="s">
        <v>787</v>
      </c>
      <c r="E8198" s="16" t="s">
        <v>797</v>
      </c>
      <c r="F8198" s="27" t="s">
        <v>16255</v>
      </c>
      <c r="G8198" s="27"/>
      <c r="H8198" s="16" t="str">
        <f>IF(ISBLANK(PARTIDAS!$G8198),PARTIDAS!$F8198,CONCATENATE(PARTIDAS!$F8198," (",PARTIDAS!$G8198,")"))</f>
        <v>Autos de choque</v>
      </c>
      <c r="I8198" s="16" t="s">
        <v>9427</v>
      </c>
    </row>
    <row r="8199" spans="1:9" x14ac:dyDescent="0.25">
      <c r="A8199" s="16" t="s">
        <v>16256</v>
      </c>
      <c r="B8199" s="16" t="str">
        <f>TEXT(PARTIDA[[#This Row],[PARTIDA]],"0000000000")</f>
        <v>9508240000</v>
      </c>
      <c r="C8199" s="16" t="s">
        <v>786</v>
      </c>
      <c r="D8199" s="16" t="s">
        <v>787</v>
      </c>
      <c r="E8199" s="16" t="s">
        <v>797</v>
      </c>
      <c r="F8199" s="27" t="s">
        <v>16257</v>
      </c>
      <c r="G8199" s="27"/>
      <c r="H8199" s="16" t="str">
        <f>IF(ISBLANK(PARTIDAS!$G8199),PARTIDAS!$F8199,CONCATENATE(PARTIDAS!$F8199," (",PARTIDAS!$G8199,")"))</f>
        <v>Simuladores de movimiento y cines dinámicos</v>
      </c>
      <c r="I8199" s="16" t="s">
        <v>9427</v>
      </c>
    </row>
    <row r="8200" spans="1:9" x14ac:dyDescent="0.25">
      <c r="A8200" s="16" t="s">
        <v>16258</v>
      </c>
      <c r="B8200" s="16" t="str">
        <f>TEXT(PARTIDA[[#This Row],[PARTIDA]],"0000000000")</f>
        <v>9508250000</v>
      </c>
      <c r="C8200" s="16" t="s">
        <v>786</v>
      </c>
      <c r="D8200" s="16" t="s">
        <v>787</v>
      </c>
      <c r="E8200" s="16" t="s">
        <v>797</v>
      </c>
      <c r="F8200" s="27" t="s">
        <v>16259</v>
      </c>
      <c r="G8200" s="27"/>
      <c r="H8200" s="16" t="str">
        <f>IF(ISBLANK(PARTIDAS!$G8200),PARTIDAS!$F8200,CONCATENATE(PARTIDAS!$F8200," (",PARTIDAS!$G8200,")"))</f>
        <v>Paseos acuáticos</v>
      </c>
      <c r="I8200" s="16" t="s">
        <v>9427</v>
      </c>
    </row>
    <row r="8201" spans="1:9" x14ac:dyDescent="0.25">
      <c r="A8201" s="16" t="s">
        <v>16260</v>
      </c>
      <c r="B8201" s="16" t="str">
        <f>TEXT(PARTIDA[[#This Row],[PARTIDA]],"0000000000")</f>
        <v>9508260000</v>
      </c>
      <c r="C8201" s="16" t="s">
        <v>786</v>
      </c>
      <c r="D8201" s="16" t="s">
        <v>787</v>
      </c>
      <c r="E8201" s="16" t="s">
        <v>797</v>
      </c>
      <c r="F8201" s="27" t="s">
        <v>16261</v>
      </c>
      <c r="G8201" s="27"/>
      <c r="H8201" s="16" t="str">
        <f>IF(ISBLANK(PARTIDAS!$G8201),PARTIDAS!$F8201,CONCATENATE(PARTIDAS!$F8201," (",PARTIDAS!$G8201,")"))</f>
        <v>Atracciones de parques acuáticos</v>
      </c>
      <c r="I8201" s="16" t="s">
        <v>9427</v>
      </c>
    </row>
    <row r="8202" spans="1:9" x14ac:dyDescent="0.25">
      <c r="A8202" s="16" t="s">
        <v>16262</v>
      </c>
      <c r="B8202" s="16" t="str">
        <f>TEXT(PARTIDA[[#This Row],[PARTIDA]],"0000000000")</f>
        <v>9508290000</v>
      </c>
      <c r="C8202" s="16" t="s">
        <v>786</v>
      </c>
      <c r="D8202" s="16" t="s">
        <v>787</v>
      </c>
      <c r="E8202" s="16" t="s">
        <v>797</v>
      </c>
      <c r="F8202" s="27" t="s">
        <v>16263</v>
      </c>
      <c r="G8202" s="27"/>
      <c r="H8202" s="16" t="str">
        <f>IF(ISBLANK(PARTIDAS!$G8202),PARTIDAS!$F8202,CONCATENATE(PARTIDAS!$F8202," (",PARTIDAS!$G8202,")"))</f>
        <v>Atracciones para parques de diversiones y atracciones de parques… (los demás)</v>
      </c>
      <c r="I8202" s="16" t="s">
        <v>9427</v>
      </c>
    </row>
    <row r="8203" spans="1:9" x14ac:dyDescent="0.25">
      <c r="A8203" s="16" t="s">
        <v>16264</v>
      </c>
      <c r="B8203" s="16" t="str">
        <f>TEXT(PARTIDA[[#This Row],[PARTIDA]],"0000000000")</f>
        <v>9508300000</v>
      </c>
      <c r="C8203" s="16" t="s">
        <v>786</v>
      </c>
      <c r="D8203" s="16" t="s">
        <v>787</v>
      </c>
      <c r="E8203" s="16" t="s">
        <v>797</v>
      </c>
      <c r="F8203" s="27" t="s">
        <v>16265</v>
      </c>
      <c r="G8203" s="27"/>
      <c r="H8203" s="16" t="str">
        <f>IF(ISBLANK(PARTIDAS!$G8203),PARTIDAS!$F8203,CONCATENATE(PARTIDAS!$F8203," (",PARTIDAS!$G8203,")"))</f>
        <v>Atracciones de feria</v>
      </c>
      <c r="I8203" s="16" t="s">
        <v>9427</v>
      </c>
    </row>
    <row r="8204" spans="1:9" x14ac:dyDescent="0.25">
      <c r="A8204" s="16" t="s">
        <v>16266</v>
      </c>
      <c r="B8204" s="16" t="str">
        <f>TEXT(PARTIDA[[#This Row],[PARTIDA]],"0000000000")</f>
        <v>9508400000</v>
      </c>
      <c r="C8204" s="16" t="s">
        <v>786</v>
      </c>
      <c r="D8204" s="16" t="s">
        <v>787</v>
      </c>
      <c r="E8204" s="16" t="s">
        <v>797</v>
      </c>
      <c r="F8204" s="27" t="s">
        <v>16267</v>
      </c>
      <c r="G8204" s="27"/>
      <c r="H8204" s="16" t="str">
        <f>IF(ISBLANK(PARTIDAS!$G8204),PARTIDAS!$F8204,CONCATENATE(PARTIDAS!$F8204," (",PARTIDAS!$G8204,")"))</f>
        <v>Teatros ambulantes</v>
      </c>
      <c r="I8204" s="16" t="s">
        <v>9427</v>
      </c>
    </row>
    <row r="8205" spans="1:9" x14ac:dyDescent="0.25">
      <c r="A8205" s="16" t="s">
        <v>9013</v>
      </c>
      <c r="B8205" s="16" t="str">
        <f>TEXT(PARTIDA[[#This Row],[PARTIDA]],"0000000000")</f>
        <v>9508900000</v>
      </c>
      <c r="C8205" s="16" t="s">
        <v>786</v>
      </c>
      <c r="D8205" s="16" t="s">
        <v>787</v>
      </c>
      <c r="E8205" s="16" t="s">
        <v>797</v>
      </c>
      <c r="F8205" s="27" t="s">
        <v>16268</v>
      </c>
      <c r="G8205" s="27"/>
      <c r="H8205" s="16" t="str">
        <f>IF(ISBLANK(PARTIDAS!$G8205),PARTIDAS!$F8205,CONCATENATE(PARTIDAS!$F8205," (",PARTIDAS!$G8205,")"))</f>
        <v>Circos y zoológicos, ambulantes; atracciones para parques de diversion (los demás)</v>
      </c>
      <c r="I8205" s="16" t="s">
        <v>9648</v>
      </c>
    </row>
    <row r="8206" spans="1:9" x14ac:dyDescent="0.25">
      <c r="A8206" s="16" t="s">
        <v>9014</v>
      </c>
      <c r="B8206" s="16" t="str">
        <f>TEXT(PARTIDA[[#This Row],[PARTIDA]],"0000000000")</f>
        <v>9601100000</v>
      </c>
      <c r="C8206" s="16" t="s">
        <v>786</v>
      </c>
      <c r="D8206" s="16" t="s">
        <v>787</v>
      </c>
      <c r="E8206" s="16" t="s">
        <v>797</v>
      </c>
      <c r="F8206" s="27" t="s">
        <v>16269</v>
      </c>
      <c r="G8206" s="27"/>
      <c r="H8206" s="16" t="str">
        <f>IF(ISBLANK(PARTIDAS!$G8206),PARTIDAS!$F8206,CONCATENATE(PARTIDAS!$F8206," (",PARTIDAS!$G8206,")"))</f>
        <v>Marfil trabajado y sus manufacturas</v>
      </c>
      <c r="I8206" s="16" t="s">
        <v>9427</v>
      </c>
    </row>
    <row r="8207" spans="1:9" x14ac:dyDescent="0.25">
      <c r="A8207" s="16" t="s">
        <v>9015</v>
      </c>
      <c r="B8207" s="16" t="str">
        <f>TEXT(PARTIDA[[#This Row],[PARTIDA]],"0000000000")</f>
        <v>9601900000</v>
      </c>
      <c r="C8207" s="16" t="s">
        <v>786</v>
      </c>
      <c r="D8207" s="16" t="s">
        <v>787</v>
      </c>
      <c r="E8207" s="16" t="s">
        <v>797</v>
      </c>
      <c r="F8207" s="27" t="s">
        <v>16270</v>
      </c>
      <c r="G8207" s="27"/>
      <c r="H8207" s="16" t="str">
        <f>IF(ISBLANK(PARTIDAS!$G8207),PARTIDAS!$F8207,CONCATENATE(PARTIDAS!$F8207," (",PARTIDAS!$G8207,")"))</f>
        <v>Marfil, hueso, concha (caparazón) de tortuga, cuerno, asta, coral… (los demás)</v>
      </c>
      <c r="I8207" s="16" t="s">
        <v>9427</v>
      </c>
    </row>
    <row r="8208" spans="1:9" x14ac:dyDescent="0.25">
      <c r="A8208" s="16" t="s">
        <v>9016</v>
      </c>
      <c r="B8208" s="16" t="str">
        <f>TEXT(PARTIDA[[#This Row],[PARTIDA]],"0000000000")</f>
        <v>9602001000</v>
      </c>
      <c r="C8208" s="16" t="s">
        <v>786</v>
      </c>
      <c r="D8208" s="16" t="s">
        <v>787</v>
      </c>
      <c r="E8208" s="16" t="s">
        <v>797</v>
      </c>
      <c r="F8208" s="27" t="s">
        <v>16271</v>
      </c>
      <c r="G8208" s="27"/>
      <c r="H8208" s="16" t="str">
        <f>IF(ISBLANK(PARTIDAS!$G8208),PARTIDAS!$F8208,CONCATENATE(PARTIDAS!$F8208," (",PARTIDAS!$G8208,")"))</f>
        <v>Cápsulas de gelatina para envasar medicamentos, alimentos y cosméticos</v>
      </c>
      <c r="I8208" s="16" t="s">
        <v>9427</v>
      </c>
    </row>
    <row r="8209" spans="1:9" x14ac:dyDescent="0.25">
      <c r="A8209" s="16" t="s">
        <v>9017</v>
      </c>
      <c r="B8209" s="16" t="str">
        <f>TEXT(PARTIDA[[#This Row],[PARTIDA]],"0000000000")</f>
        <v>9602009000</v>
      </c>
      <c r="C8209" s="16" t="s">
        <v>786</v>
      </c>
      <c r="D8209" s="16" t="s">
        <v>787</v>
      </c>
      <c r="E8209" s="16" t="s">
        <v>797</v>
      </c>
      <c r="F8209" s="27" t="s">
        <v>16270</v>
      </c>
      <c r="G8209" s="27"/>
      <c r="H8209" s="16" t="str">
        <f>IF(ISBLANK(PARTIDAS!$G8209),PARTIDAS!$F8209,CONCATENATE(PARTIDAS!$F8209," (",PARTIDAS!$G8209,")"))</f>
        <v>Marfil, hueso, concha (caparazón) de tortuga, cuerno, asta, coral… (los demás)</v>
      </c>
      <c r="I8209" s="16" t="s">
        <v>9427</v>
      </c>
    </row>
    <row r="8210" spans="1:9" x14ac:dyDescent="0.25">
      <c r="A8210" s="16" t="s">
        <v>9018</v>
      </c>
      <c r="B8210" s="16" t="str">
        <f>TEXT(PARTIDA[[#This Row],[PARTIDA]],"0000000000")</f>
        <v>9603100000</v>
      </c>
      <c r="C8210" s="16" t="s">
        <v>786</v>
      </c>
      <c r="D8210" s="16" t="s">
        <v>787</v>
      </c>
      <c r="E8210" s="16" t="s">
        <v>797</v>
      </c>
      <c r="F8210" s="27" t="s">
        <v>16272</v>
      </c>
      <c r="G8210" s="27"/>
      <c r="H8210" s="16" t="str">
        <f>IF(ISBLANK(PARTIDAS!$G8210),PARTIDAS!$F8210,CONCATENATE(PARTIDAS!$F8210," (",PARTIDAS!$G8210,")"))</f>
        <v>Escobas y escobillas de ramitas u otra materia vegetal atada en haces, incluso con mango</v>
      </c>
      <c r="I8210" s="16" t="s">
        <v>9427</v>
      </c>
    </row>
    <row r="8211" spans="1:9" x14ac:dyDescent="0.25">
      <c r="A8211" s="16" t="s">
        <v>9019</v>
      </c>
      <c r="B8211" s="16" t="str">
        <f>TEXT(PARTIDA[[#This Row],[PARTIDA]],"0000000000")</f>
        <v>9603210000</v>
      </c>
      <c r="C8211" s="16" t="s">
        <v>786</v>
      </c>
      <c r="D8211" s="16" t="s">
        <v>787</v>
      </c>
      <c r="E8211" s="16" t="s">
        <v>797</v>
      </c>
      <c r="F8211" s="27" t="s">
        <v>16273</v>
      </c>
      <c r="G8211" s="27"/>
      <c r="H8211" s="16" t="str">
        <f>IF(ISBLANK(PARTIDAS!$G8211),PARTIDAS!$F8211,CONCATENATE(PARTIDAS!$F8211," (",PARTIDAS!$G8211,")"))</f>
        <v>Cepillos de dientes, incluidos los cepillos para dentaduras postizas</v>
      </c>
      <c r="I8211" s="16" t="s">
        <v>9427</v>
      </c>
    </row>
    <row r="8212" spans="1:9" x14ac:dyDescent="0.25">
      <c r="A8212" s="16" t="s">
        <v>9020</v>
      </c>
      <c r="B8212" s="16" t="str">
        <f>TEXT(PARTIDA[[#This Row],[PARTIDA]],"0000000000")</f>
        <v>9603290000</v>
      </c>
      <c r="C8212" s="16" t="s">
        <v>786</v>
      </c>
      <c r="D8212" s="16" t="s">
        <v>787</v>
      </c>
      <c r="E8212" s="16" t="s">
        <v>797</v>
      </c>
      <c r="F8212" s="27" t="s">
        <v>3845</v>
      </c>
      <c r="G8212" s="27"/>
      <c r="H8212" s="16" t="str">
        <f>IF(ISBLANK(PARTIDAS!$G8212),PARTIDAS!$F8212,CONCATENATE(PARTIDAS!$F8212," (",PARTIDAS!$G8212,")"))</f>
        <v>Productos de limpieza</v>
      </c>
      <c r="I8212" s="16" t="s">
        <v>9427</v>
      </c>
    </row>
    <row r="8213" spans="1:9" x14ac:dyDescent="0.25">
      <c r="A8213" s="16" t="s">
        <v>9021</v>
      </c>
      <c r="B8213" s="16" t="str">
        <f>TEXT(PARTIDA[[#This Row],[PARTIDA]],"0000000000")</f>
        <v>9603301000</v>
      </c>
      <c r="C8213" s="16" t="s">
        <v>786</v>
      </c>
      <c r="D8213" s="16" t="s">
        <v>787</v>
      </c>
      <c r="E8213" s="16" t="s">
        <v>797</v>
      </c>
      <c r="F8213" s="27" t="s">
        <v>16274</v>
      </c>
      <c r="G8213" s="27"/>
      <c r="H8213" s="16" t="str">
        <f>IF(ISBLANK(PARTIDAS!$G8213),PARTIDAS!$F8213,CONCATENATE(PARTIDAS!$F8213," (",PARTIDAS!$G8213,")"))</f>
        <v>Pinceles y brochas para pintura artística, pinceles para escribir y…, para la pintura artística</v>
      </c>
      <c r="I8213" s="16" t="s">
        <v>9427</v>
      </c>
    </row>
    <row r="8214" spans="1:9" x14ac:dyDescent="0.25">
      <c r="A8214" s="16" t="s">
        <v>9022</v>
      </c>
      <c r="B8214" s="16" t="str">
        <f>TEXT(PARTIDA[[#This Row],[PARTIDA]],"0000000000")</f>
        <v>9603309000</v>
      </c>
      <c r="C8214" s="16" t="s">
        <v>786</v>
      </c>
      <c r="D8214" s="16" t="s">
        <v>787</v>
      </c>
      <c r="E8214" s="16" t="s">
        <v>797</v>
      </c>
      <c r="F8214" s="27" t="s">
        <v>876</v>
      </c>
      <c r="G8214" s="27"/>
      <c r="H8214" s="16" t="str">
        <f>IF(ISBLANK(PARTIDAS!$G8214),PARTIDAS!$F8214,CONCATENATE(PARTIDAS!$F8214," (",PARTIDAS!$G8214,")"))</f>
        <v>Herramientas</v>
      </c>
      <c r="I8214" s="16" t="s">
        <v>9427</v>
      </c>
    </row>
    <row r="8215" spans="1:9" x14ac:dyDescent="0.25">
      <c r="A8215" s="16" t="s">
        <v>9023</v>
      </c>
      <c r="B8215" s="16" t="str">
        <f>TEXT(PARTIDA[[#This Row],[PARTIDA]],"0000000000")</f>
        <v>9603400000</v>
      </c>
      <c r="C8215" s="16" t="s">
        <v>786</v>
      </c>
      <c r="D8215" s="16" t="s">
        <v>787</v>
      </c>
      <c r="E8215" s="16" t="s">
        <v>797</v>
      </c>
      <c r="F8215" s="27" t="s">
        <v>16275</v>
      </c>
      <c r="G8215" s="27"/>
      <c r="H8215" s="16" t="str">
        <f>IF(ISBLANK(PARTIDAS!$G8215),PARTIDAS!$F8215,CONCATENATE(PARTIDAS!$F8215," (",PARTIDAS!$G8215,")"))</f>
        <v>Pinceles y brochas para pintar, enlucir, barnizar o similares (excepto los de la subpartida 9603.30); almohadillas o muñequillas y rodillos, para pint</v>
      </c>
      <c r="I8215" s="16" t="s">
        <v>9427</v>
      </c>
    </row>
    <row r="8216" spans="1:9" x14ac:dyDescent="0.25">
      <c r="A8216" s="16" t="s">
        <v>9024</v>
      </c>
      <c r="B8216" s="16" t="str">
        <f>TEXT(PARTIDA[[#This Row],[PARTIDA]],"0000000000")</f>
        <v>9603500000</v>
      </c>
      <c r="C8216" s="16" t="s">
        <v>786</v>
      </c>
      <c r="D8216" s="16" t="s">
        <v>787</v>
      </c>
      <c r="E8216" s="16" t="s">
        <v>797</v>
      </c>
      <c r="F8216" s="27" t="s">
        <v>7097</v>
      </c>
      <c r="G8216" s="27"/>
      <c r="H8216" s="16" t="str">
        <f>IF(ISBLANK(PARTIDAS!$G8216),PARTIDAS!$F8216,CONCATENATE(PARTIDAS!$F8216," (",PARTIDAS!$G8216,")"))</f>
        <v>Partes de máquinas</v>
      </c>
      <c r="I8216" s="16" t="s">
        <v>9427</v>
      </c>
    </row>
    <row r="8217" spans="1:9" x14ac:dyDescent="0.25">
      <c r="A8217" s="16" t="s">
        <v>9025</v>
      </c>
      <c r="B8217" s="16" t="str">
        <f>TEXT(PARTIDA[[#This Row],[PARTIDA]],"0000000000")</f>
        <v>9603901000</v>
      </c>
      <c r="C8217" s="16" t="s">
        <v>786</v>
      </c>
      <c r="D8217" s="16" t="s">
        <v>787</v>
      </c>
      <c r="E8217" s="16" t="s">
        <v>797</v>
      </c>
      <c r="F8217" s="27" t="s">
        <v>16276</v>
      </c>
      <c r="G8217" s="27"/>
      <c r="H8217" s="16" t="str">
        <f>IF(ISBLANK(PARTIDAS!$G8217),PARTIDAS!$F8217,CONCATENATE(PARTIDAS!$F8217," (",PARTIDAS!$G8217,")"))</f>
        <v>Cabezas preparadas para artículos de cepillería</v>
      </c>
      <c r="I8217" s="16" t="s">
        <v>9427</v>
      </c>
    </row>
    <row r="8218" spans="1:9" x14ac:dyDescent="0.25">
      <c r="A8218" s="16" t="s">
        <v>9026</v>
      </c>
      <c r="B8218" s="16" t="str">
        <f>TEXT(PARTIDA[[#This Row],[PARTIDA]],"0000000000")</f>
        <v>9603909000</v>
      </c>
      <c r="C8218" s="16" t="s">
        <v>786</v>
      </c>
      <c r="D8218" s="16" t="s">
        <v>787</v>
      </c>
      <c r="E8218" s="16" t="s">
        <v>797</v>
      </c>
      <c r="F8218" s="27" t="s">
        <v>3845</v>
      </c>
      <c r="G8218" s="27"/>
      <c r="H8218" s="16" t="str">
        <f>IF(ISBLANK(PARTIDAS!$G8218),PARTIDAS!$F8218,CONCATENATE(PARTIDAS!$F8218," (",PARTIDAS!$G8218,")"))</f>
        <v>Productos de limpieza</v>
      </c>
      <c r="I8218" s="16" t="s">
        <v>9477</v>
      </c>
    </row>
    <row r="8219" spans="1:9" x14ac:dyDescent="0.25">
      <c r="A8219" s="16" t="s">
        <v>9027</v>
      </c>
      <c r="B8219" s="16" t="str">
        <f>TEXT(PARTIDA[[#This Row],[PARTIDA]],"0000000000")</f>
        <v>9604000000</v>
      </c>
      <c r="C8219" s="16" t="s">
        <v>786</v>
      </c>
      <c r="D8219" s="16" t="s">
        <v>787</v>
      </c>
      <c r="E8219" s="16" t="s">
        <v>797</v>
      </c>
      <c r="F8219" s="27" t="s">
        <v>9028</v>
      </c>
      <c r="G8219" s="27"/>
      <c r="H8219" s="16" t="str">
        <f>IF(ISBLANK(PARTIDAS!$G8219),PARTIDAS!$F8219,CONCATENATE(PARTIDAS!$F8219," (",PARTIDAS!$G8219,")"))</f>
        <v>Tamices, cedazos y cribas, de mano.</v>
      </c>
      <c r="I8219" s="16" t="s">
        <v>9427</v>
      </c>
    </row>
    <row r="8220" spans="1:9" x14ac:dyDescent="0.25">
      <c r="A8220" s="16" t="s">
        <v>9029</v>
      </c>
      <c r="B8220" s="16" t="str">
        <f>TEXT(PARTIDA[[#This Row],[PARTIDA]],"0000000000")</f>
        <v>9605000000</v>
      </c>
      <c r="C8220" s="16" t="s">
        <v>786</v>
      </c>
      <c r="D8220" s="16" t="s">
        <v>787</v>
      </c>
      <c r="E8220" s="16" t="s">
        <v>797</v>
      </c>
      <c r="F8220" s="27" t="s">
        <v>3845</v>
      </c>
      <c r="G8220" s="27"/>
      <c r="H8220" s="16" t="str">
        <f>IF(ISBLANK(PARTIDAS!$G8220),PARTIDAS!$F8220,CONCATENATE(PARTIDAS!$F8220," (",PARTIDAS!$G8220,")"))</f>
        <v>Productos de limpieza</v>
      </c>
      <c r="I8220" s="16" t="s">
        <v>9427</v>
      </c>
    </row>
    <row r="8221" spans="1:9" x14ac:dyDescent="0.25">
      <c r="A8221" s="16" t="s">
        <v>9030</v>
      </c>
      <c r="B8221" s="16" t="str">
        <f>TEXT(PARTIDA[[#This Row],[PARTIDA]],"0000000000")</f>
        <v>9606100000</v>
      </c>
      <c r="C8221" s="16" t="s">
        <v>786</v>
      </c>
      <c r="D8221" s="16" t="s">
        <v>787</v>
      </c>
      <c r="E8221" s="16" t="s">
        <v>797</v>
      </c>
      <c r="F8221" s="27" t="s">
        <v>16277</v>
      </c>
      <c r="G8221" s="27"/>
      <c r="H8221" s="16" t="str">
        <f>IF(ISBLANK(PARTIDAS!$G8221),PARTIDAS!$F8221,CONCATENATE(PARTIDAS!$F8221," (",PARTIDAS!$G8221,")"))</f>
        <v>Botones de presión y sus partes</v>
      </c>
      <c r="I8221" s="16" t="s">
        <v>9427</v>
      </c>
    </row>
    <row r="8222" spans="1:9" x14ac:dyDescent="0.25">
      <c r="A8222" s="16" t="s">
        <v>9031</v>
      </c>
      <c r="B8222" s="16" t="str">
        <f>TEXT(PARTIDA[[#This Row],[PARTIDA]],"0000000000")</f>
        <v>9606210000</v>
      </c>
      <c r="C8222" s="16" t="s">
        <v>786</v>
      </c>
      <c r="D8222" s="16" t="s">
        <v>787</v>
      </c>
      <c r="E8222" s="16" t="s">
        <v>797</v>
      </c>
      <c r="F8222" s="27" t="s">
        <v>16278</v>
      </c>
      <c r="G8222" s="27"/>
      <c r="H8222" s="16" t="str">
        <f>IF(ISBLANK(PARTIDAS!$G8222),PARTIDAS!$F8222,CONCATENATE(PARTIDAS!$F8222," (",PARTIDAS!$G8222,")"))</f>
        <v>Botones, de plástico, sin forrar con materia textil</v>
      </c>
      <c r="I8222" s="16" t="s">
        <v>9427</v>
      </c>
    </row>
    <row r="8223" spans="1:9" x14ac:dyDescent="0.25">
      <c r="A8223" s="16" t="s">
        <v>9032</v>
      </c>
      <c r="B8223" s="16" t="str">
        <f>TEXT(PARTIDA[[#This Row],[PARTIDA]],"0000000000")</f>
        <v>9606220000</v>
      </c>
      <c r="C8223" s="16" t="s">
        <v>786</v>
      </c>
      <c r="D8223" s="16" t="s">
        <v>787</v>
      </c>
      <c r="E8223" s="16" t="s">
        <v>797</v>
      </c>
      <c r="F8223" s="27" t="s">
        <v>16279</v>
      </c>
      <c r="G8223" s="27"/>
      <c r="H8223" s="16" t="str">
        <f>IF(ISBLANK(PARTIDAS!$G8223),PARTIDAS!$F8223,CONCATENATE(PARTIDAS!$F8223," (",PARTIDAS!$G8223,")"))</f>
        <v>Botones, de metal común, sin forrar con materia textil</v>
      </c>
      <c r="I8223" s="16" t="s">
        <v>9427</v>
      </c>
    </row>
    <row r="8224" spans="1:9" x14ac:dyDescent="0.25">
      <c r="A8224" s="16" t="s">
        <v>9033</v>
      </c>
      <c r="B8224" s="16" t="str">
        <f>TEXT(PARTIDA[[#This Row],[PARTIDA]],"0000000000")</f>
        <v>9606291000</v>
      </c>
      <c r="C8224" s="16" t="s">
        <v>786</v>
      </c>
      <c r="D8224" s="16" t="s">
        <v>787</v>
      </c>
      <c r="E8224" s="16" t="s">
        <v>797</v>
      </c>
      <c r="F8224" s="27" t="s">
        <v>16280</v>
      </c>
      <c r="G8224" s="27"/>
      <c r="H8224" s="16" t="str">
        <f>IF(ISBLANK(PARTIDAS!$G8224),PARTIDAS!$F8224,CONCATENATE(PARTIDAS!$F8224," (",PARTIDAS!$G8224,")"))</f>
        <v>Botones, de tagua (marfil vegetal)</v>
      </c>
      <c r="I8224" s="16" t="s">
        <v>9427</v>
      </c>
    </row>
    <row r="8225" spans="1:9" x14ac:dyDescent="0.25">
      <c r="A8225" s="16" t="s">
        <v>9034</v>
      </c>
      <c r="B8225" s="16" t="str">
        <f>TEXT(PARTIDA[[#This Row],[PARTIDA]],"0000000000")</f>
        <v>9606299000</v>
      </c>
      <c r="C8225" s="16" t="s">
        <v>786</v>
      </c>
      <c r="D8225" s="16" t="s">
        <v>787</v>
      </c>
      <c r="E8225" s="16" t="s">
        <v>797</v>
      </c>
      <c r="F8225" s="27" t="s">
        <v>16281</v>
      </c>
      <c r="G8225" s="27"/>
      <c r="H8225" s="16" t="str">
        <f>IF(ISBLANK(PARTIDAS!$G8225),PARTIDAS!$F8225,CONCATENATE(PARTIDAS!$F8225," (",PARTIDAS!$G8225,")"))</f>
        <v>Botones (los demás)</v>
      </c>
      <c r="I8225" s="16" t="s">
        <v>9427</v>
      </c>
    </row>
    <row r="8226" spans="1:9" x14ac:dyDescent="0.25">
      <c r="A8226" s="16" t="s">
        <v>9035</v>
      </c>
      <c r="B8226" s="16" t="str">
        <f>TEXT(PARTIDA[[#This Row],[PARTIDA]],"0000000000")</f>
        <v>9606301000</v>
      </c>
      <c r="C8226" s="16" t="s">
        <v>786</v>
      </c>
      <c r="D8226" s="16" t="s">
        <v>787</v>
      </c>
      <c r="E8226" s="16" t="s">
        <v>797</v>
      </c>
      <c r="F8226" s="27" t="s">
        <v>16282</v>
      </c>
      <c r="G8226" s="27"/>
      <c r="H8226" s="16" t="str">
        <f>IF(ISBLANK(PARTIDAS!$G8226),PARTIDAS!$F8226,CONCATENATE(PARTIDAS!$F8226," (",PARTIDAS!$G8226,")"))</f>
        <v>Formas para botones y demás partes de botones, de plástico o de tagua (marfil vegetal)</v>
      </c>
      <c r="I8226" s="16" t="s">
        <v>9427</v>
      </c>
    </row>
    <row r="8227" spans="1:9" x14ac:dyDescent="0.25">
      <c r="A8227" s="16" t="s">
        <v>9036</v>
      </c>
      <c r="B8227" s="16" t="str">
        <f>TEXT(PARTIDA[[#This Row],[PARTIDA]],"0000000000")</f>
        <v>9606309000</v>
      </c>
      <c r="C8227" s="16" t="s">
        <v>786</v>
      </c>
      <c r="D8227" s="16" t="s">
        <v>787</v>
      </c>
      <c r="E8227" s="16" t="s">
        <v>797</v>
      </c>
      <c r="F8227" s="27" t="s">
        <v>16283</v>
      </c>
      <c r="G8227" s="27"/>
      <c r="H8227" s="16" t="str">
        <f>IF(ISBLANK(PARTIDAS!$G8227),PARTIDAS!$F8227,CONCATENATE(PARTIDAS!$F8227," (",PARTIDAS!$G8227,")"))</f>
        <v>Formas para botones y demás partes de botones (los demás)</v>
      </c>
      <c r="I8227" s="16" t="s">
        <v>9427</v>
      </c>
    </row>
    <row r="8228" spans="1:9" x14ac:dyDescent="0.25">
      <c r="A8228" s="16" t="s">
        <v>9037</v>
      </c>
      <c r="B8228" s="16" t="str">
        <f>TEXT(PARTIDA[[#This Row],[PARTIDA]],"0000000000")</f>
        <v>9607110000</v>
      </c>
      <c r="C8228" s="16" t="s">
        <v>786</v>
      </c>
      <c r="D8228" s="16" t="s">
        <v>787</v>
      </c>
      <c r="E8228" s="16" t="s">
        <v>797</v>
      </c>
      <c r="F8228" s="27" t="s">
        <v>16284</v>
      </c>
      <c r="G8228" s="27"/>
      <c r="H8228" s="16" t="str">
        <f>IF(ISBLANK(PARTIDAS!$G8228),PARTIDAS!$F8228,CONCATENATE(PARTIDAS!$F8228," (",PARTIDAS!$G8228,")"))</f>
        <v>Cierres de cremallera (cierres relámpago), con dientes de metal común</v>
      </c>
      <c r="I8228" s="16" t="s">
        <v>9427</v>
      </c>
    </row>
    <row r="8229" spans="1:9" x14ac:dyDescent="0.25">
      <c r="A8229" s="16" t="s">
        <v>9038</v>
      </c>
      <c r="B8229" s="16" t="str">
        <f>TEXT(PARTIDA[[#This Row],[PARTIDA]],"0000000000")</f>
        <v>9607190000</v>
      </c>
      <c r="C8229" s="16" t="s">
        <v>786</v>
      </c>
      <c r="D8229" s="16" t="s">
        <v>787</v>
      </c>
      <c r="E8229" s="16" t="s">
        <v>797</v>
      </c>
      <c r="F8229" s="27" t="s">
        <v>16285</v>
      </c>
      <c r="G8229" s="27"/>
      <c r="H8229" s="16" t="str">
        <f>IF(ISBLANK(PARTIDAS!$G8229),PARTIDAS!$F8229,CONCATENATE(PARTIDAS!$F8229," (",PARTIDAS!$G8229,")"))</f>
        <v>Cierres de cremallera (cierres relámpago) (los demás)</v>
      </c>
      <c r="I8229" s="16" t="s">
        <v>9427</v>
      </c>
    </row>
    <row r="8230" spans="1:9" x14ac:dyDescent="0.25">
      <c r="A8230" s="16" t="s">
        <v>9039</v>
      </c>
      <c r="B8230" s="16" t="str">
        <f>TEXT(PARTIDA[[#This Row],[PARTIDA]],"0000000000")</f>
        <v>9607200000</v>
      </c>
      <c r="C8230" s="16" t="s">
        <v>786</v>
      </c>
      <c r="D8230" s="16" t="s">
        <v>787</v>
      </c>
      <c r="E8230" s="16" t="s">
        <v>797</v>
      </c>
      <c r="F8230" s="27" t="s">
        <v>16286</v>
      </c>
      <c r="G8230" s="27"/>
      <c r="H8230" s="16" t="str">
        <f>IF(ISBLANK(PARTIDAS!$G8230),PARTIDAS!$F8230,CONCATENATE(PARTIDAS!$F8230," (",PARTIDAS!$G8230,")"))</f>
        <v>Cierres de cremallera (cierres relámpago) y sus partes, partes</v>
      </c>
      <c r="I8230" s="16" t="s">
        <v>9427</v>
      </c>
    </row>
    <row r="8231" spans="1:9" x14ac:dyDescent="0.25">
      <c r="A8231" s="16" t="s">
        <v>9040</v>
      </c>
      <c r="B8231" s="16" t="str">
        <f>TEXT(PARTIDA[[#This Row],[PARTIDA]],"0000000000")</f>
        <v>9608100000</v>
      </c>
      <c r="C8231" s="16" t="s">
        <v>786</v>
      </c>
      <c r="D8231" s="16" t="s">
        <v>799</v>
      </c>
      <c r="E8231" s="16" t="s">
        <v>9440</v>
      </c>
      <c r="F8231" s="27" t="s">
        <v>9159</v>
      </c>
      <c r="G8231" s="27"/>
      <c r="H8231" s="16" t="str">
        <f>IF(ISBLANK(PARTIDAS!$G8231),PARTIDAS!$F8231,CONCATENATE(PARTIDAS!$F8231," (",PARTIDAS!$G8231,")"))</f>
        <v>Bolígrafos</v>
      </c>
      <c r="I8231" s="16" t="s">
        <v>9477</v>
      </c>
    </row>
    <row r="8232" spans="1:9" x14ac:dyDescent="0.25">
      <c r="A8232" s="16" t="s">
        <v>9041</v>
      </c>
      <c r="B8232" s="16" t="str">
        <f>TEXT(PARTIDA[[#This Row],[PARTIDA]],"0000000000")</f>
        <v>9608200000</v>
      </c>
      <c r="C8232" s="16" t="s">
        <v>786</v>
      </c>
      <c r="D8232" s="16" t="s">
        <v>787</v>
      </c>
      <c r="E8232" s="16" t="s">
        <v>797</v>
      </c>
      <c r="F8232" s="27" t="s">
        <v>16287</v>
      </c>
      <c r="G8232" s="27"/>
      <c r="H8232" s="16" t="str">
        <f>IF(ISBLANK(PARTIDAS!$G8232),PARTIDAS!$F8232,CONCATENATE(PARTIDAS!$F8232," (",PARTIDAS!$G8232,")"))</f>
        <v>Rotuladores y marcadores con punta de fieltro u otra punta porosa</v>
      </c>
      <c r="I8232" s="16" t="s">
        <v>9427</v>
      </c>
    </row>
    <row r="8233" spans="1:9" x14ac:dyDescent="0.25">
      <c r="A8233" s="16" t="s">
        <v>9042</v>
      </c>
      <c r="B8233" s="16" t="str">
        <f>TEXT(PARTIDA[[#This Row],[PARTIDA]],"0000000000")</f>
        <v>9608300000</v>
      </c>
      <c r="C8233" s="16" t="s">
        <v>786</v>
      </c>
      <c r="D8233" s="16" t="s">
        <v>787</v>
      </c>
      <c r="E8233" s="16" t="s">
        <v>797</v>
      </c>
      <c r="F8233" s="27" t="s">
        <v>16288</v>
      </c>
      <c r="G8233" s="27"/>
      <c r="H8233" s="16" t="str">
        <f>IF(ISBLANK(PARTIDAS!$G8233),PARTIDAS!$F8233,CONCATENATE(PARTIDAS!$F8233," (",PARTIDAS!$G8233,")"))</f>
        <v>Estilográficas y demás plumas</v>
      </c>
      <c r="I8233" s="16" t="s">
        <v>9427</v>
      </c>
    </row>
    <row r="8234" spans="1:9" x14ac:dyDescent="0.25">
      <c r="A8234" s="16" t="s">
        <v>9043</v>
      </c>
      <c r="B8234" s="16" t="str">
        <f>TEXT(PARTIDA[[#This Row],[PARTIDA]],"0000000000")</f>
        <v>9608400000</v>
      </c>
      <c r="C8234" s="16" t="s">
        <v>786</v>
      </c>
      <c r="D8234" s="16" t="s">
        <v>787</v>
      </c>
      <c r="E8234" s="16" t="s">
        <v>797</v>
      </c>
      <c r="F8234" s="27" t="s">
        <v>16289</v>
      </c>
      <c r="G8234" s="27"/>
      <c r="H8234" s="16" t="str">
        <f>IF(ISBLANK(PARTIDAS!$G8234),PARTIDAS!$F8234,CONCATENATE(PARTIDAS!$F8234," (",PARTIDAS!$G8234,")"))</f>
        <v>Portaminas</v>
      </c>
      <c r="I8234" s="16" t="s">
        <v>9427</v>
      </c>
    </row>
    <row r="8235" spans="1:9" x14ac:dyDescent="0.25">
      <c r="A8235" s="16" t="s">
        <v>9044</v>
      </c>
      <c r="B8235" s="16" t="str">
        <f>TEXT(PARTIDA[[#This Row],[PARTIDA]],"0000000000")</f>
        <v>9608500000</v>
      </c>
      <c r="C8235" s="16" t="s">
        <v>786</v>
      </c>
      <c r="D8235" s="16" t="s">
        <v>787</v>
      </c>
      <c r="E8235" s="16" t="s">
        <v>797</v>
      </c>
      <c r="F8235" s="27" t="s">
        <v>16290</v>
      </c>
      <c r="G8235" s="27"/>
      <c r="H8235" s="16" t="str">
        <f>IF(ISBLANK(PARTIDAS!$G8235),PARTIDAS!$F8235,CONCATENATE(PARTIDAS!$F8235," (",PARTIDAS!$G8235,")"))</f>
        <v>Juegos de artículos pertenecientes, por lo menos, a dos de las subpartidas anteriores</v>
      </c>
      <c r="I8235" s="16" t="s">
        <v>9427</v>
      </c>
    </row>
    <row r="8236" spans="1:9" x14ac:dyDescent="0.25">
      <c r="A8236" s="16" t="s">
        <v>9045</v>
      </c>
      <c r="B8236" s="16" t="str">
        <f>TEXT(PARTIDA[[#This Row],[PARTIDA]],"0000000000")</f>
        <v>9608600000</v>
      </c>
      <c r="C8236" s="16" t="s">
        <v>786</v>
      </c>
      <c r="D8236" s="16" t="s">
        <v>787</v>
      </c>
      <c r="E8236" s="16" t="s">
        <v>797</v>
      </c>
      <c r="F8236" s="27" t="s">
        <v>16291</v>
      </c>
      <c r="G8236" s="27"/>
      <c r="H8236" s="16" t="str">
        <f>IF(ISBLANK(PARTIDAS!$G8236),PARTIDAS!$F8236,CONCATENATE(PARTIDAS!$F8236," (",PARTIDAS!$G8236,")"))</f>
        <v>Cartuchos de repuesto con su punta para bolígrafo</v>
      </c>
      <c r="I8236" s="16" t="s">
        <v>9427</v>
      </c>
    </row>
    <row r="8237" spans="1:9" x14ac:dyDescent="0.25">
      <c r="A8237" s="16" t="s">
        <v>9046</v>
      </c>
      <c r="B8237" s="16" t="str">
        <f>TEXT(PARTIDA[[#This Row],[PARTIDA]],"0000000000")</f>
        <v>9608910000</v>
      </c>
      <c r="C8237" s="16" t="s">
        <v>786</v>
      </c>
      <c r="D8237" s="16" t="s">
        <v>787</v>
      </c>
      <c r="E8237" s="16" t="s">
        <v>797</v>
      </c>
      <c r="F8237" s="27" t="s">
        <v>16292</v>
      </c>
      <c r="G8237" s="27"/>
      <c r="H8237" s="16" t="str">
        <f>IF(ISBLANK(PARTIDAS!$G8237),PARTIDAS!$F8237,CONCATENATE(PARTIDAS!$F8237," (",PARTIDAS!$G8237,")"))</f>
        <v>Plumillas y puntos para plumillas</v>
      </c>
      <c r="I8237" s="16" t="s">
        <v>9427</v>
      </c>
    </row>
    <row r="8238" spans="1:9" x14ac:dyDescent="0.25">
      <c r="A8238" s="16" t="s">
        <v>9047</v>
      </c>
      <c r="B8238" s="16" t="str">
        <f>TEXT(PARTIDA[[#This Row],[PARTIDA]],"0000000000")</f>
        <v>9608991000</v>
      </c>
      <c r="C8238" s="16" t="s">
        <v>786</v>
      </c>
      <c r="D8238" s="16" t="s">
        <v>787</v>
      </c>
      <c r="E8238" s="16" t="s">
        <v>797</v>
      </c>
      <c r="F8238" s="27" t="s">
        <v>16293</v>
      </c>
      <c r="G8238" s="27"/>
      <c r="H8238" s="16" t="str">
        <f>IF(ISBLANK(PARTIDAS!$G8238),PARTIDAS!$F8238,CONCATENATE(PARTIDAS!$F8238," (",PARTIDAS!$G8238,")"))</f>
        <v>Bolígrafos (los demás, artículos)</v>
      </c>
      <c r="I8238" s="16" t="s">
        <v>9427</v>
      </c>
    </row>
    <row r="8239" spans="1:9" x14ac:dyDescent="0.25">
      <c r="A8239" s="16" t="s">
        <v>9048</v>
      </c>
      <c r="B8239" s="16" t="str">
        <f>TEXT(PARTIDA[[#This Row],[PARTIDA]],"0000000000")</f>
        <v>9608992100</v>
      </c>
      <c r="C8239" s="16" t="s">
        <v>786</v>
      </c>
      <c r="D8239" s="16" t="s">
        <v>787</v>
      </c>
      <c r="E8239" s="16" t="s">
        <v>797</v>
      </c>
      <c r="F8239" s="27" t="s">
        <v>16294</v>
      </c>
      <c r="G8239" s="27"/>
      <c r="H8239" s="16" t="str">
        <f>IF(ISBLANK(PARTIDAS!$G8239),PARTIDAS!$F8239,CONCATENATE(PARTIDAS!$F8239," (",PARTIDAS!$G8239,")"))</f>
        <v>Puntas de bolígrafo, incluso sin bola</v>
      </c>
      <c r="I8239" s="16" t="s">
        <v>9427</v>
      </c>
    </row>
    <row r="8240" spans="1:9" x14ac:dyDescent="0.25">
      <c r="A8240" s="16" t="s">
        <v>9049</v>
      </c>
      <c r="B8240" s="16" t="str">
        <f>TEXT(PARTIDA[[#This Row],[PARTIDA]],"0000000000")</f>
        <v>9608992910</v>
      </c>
      <c r="C8240" s="16" t="s">
        <v>786</v>
      </c>
      <c r="D8240" s="16" t="s">
        <v>787</v>
      </c>
      <c r="E8240" s="16" t="s">
        <v>797</v>
      </c>
      <c r="F8240" s="27" t="s">
        <v>16295</v>
      </c>
      <c r="G8240" s="27"/>
      <c r="H8240" s="16" t="str">
        <f>IF(ISBLANK(PARTIDAS!$G8240),PARTIDAS!$F8240,CONCATENATE(PARTIDAS!$F8240," (",PARTIDAS!$G8240,")"))</f>
        <v>Bolígrafos, partes, de bolígrafos</v>
      </c>
      <c r="I8240" s="16" t="s">
        <v>9427</v>
      </c>
    </row>
    <row r="8241" spans="1:9" x14ac:dyDescent="0.25">
      <c r="A8241" s="16" t="s">
        <v>9050</v>
      </c>
      <c r="B8241" s="16" t="str">
        <f>TEXT(PARTIDA[[#This Row],[PARTIDA]],"0000000000")</f>
        <v>9608992920</v>
      </c>
      <c r="C8241" s="16" t="s">
        <v>786</v>
      </c>
      <c r="D8241" s="16" t="s">
        <v>787</v>
      </c>
      <c r="E8241" s="16" t="s">
        <v>797</v>
      </c>
      <c r="F8241" s="27" t="s">
        <v>16296</v>
      </c>
      <c r="G8241" s="27"/>
      <c r="H8241" s="16" t="str">
        <f>IF(ISBLANK(PARTIDAS!$G8241),PARTIDAS!$F8241,CONCATENATE(PARTIDAS!$F8241," (",PARTIDAS!$G8241,")"))</f>
        <v>Bolígrafos, partes, de rotuladores y marcadores con punta de fieltro u otra punta porosa</v>
      </c>
      <c r="I8241" s="16" t="s">
        <v>9427</v>
      </c>
    </row>
    <row r="8242" spans="1:9" x14ac:dyDescent="0.25">
      <c r="A8242" s="16" t="s">
        <v>9051</v>
      </c>
      <c r="B8242" s="16" t="str">
        <f>TEXT(PARTIDA[[#This Row],[PARTIDA]],"0000000000")</f>
        <v>9608992990</v>
      </c>
      <c r="C8242" s="16" t="s">
        <v>786</v>
      </c>
      <c r="D8242" s="16" t="s">
        <v>787</v>
      </c>
      <c r="E8242" s="16" t="s">
        <v>797</v>
      </c>
      <c r="F8242" s="27" t="s">
        <v>16297</v>
      </c>
      <c r="G8242" s="27"/>
      <c r="H8242" s="16" t="str">
        <f>IF(ISBLANK(PARTIDAS!$G8242),PARTIDAS!$F8242,CONCATENATE(PARTIDAS!$F8242," (",PARTIDAS!$G8242,")"))</f>
        <v>Bolígrafos, partes (los demás)</v>
      </c>
      <c r="I8242" s="16" t="s">
        <v>9427</v>
      </c>
    </row>
    <row r="8243" spans="1:9" x14ac:dyDescent="0.25">
      <c r="A8243" s="16" t="s">
        <v>9052</v>
      </c>
      <c r="B8243" s="16" t="str">
        <f>TEXT(PARTIDA[[#This Row],[PARTIDA]],"0000000000")</f>
        <v>9609100000</v>
      </c>
      <c r="C8243" s="16" t="s">
        <v>786</v>
      </c>
      <c r="D8243" s="16" t="s">
        <v>787</v>
      </c>
      <c r="E8243" s="16" t="s">
        <v>797</v>
      </c>
      <c r="F8243" s="27" t="s">
        <v>16298</v>
      </c>
      <c r="G8243" s="27"/>
      <c r="H8243" s="16" t="str">
        <f>IF(ISBLANK(PARTIDAS!$G8243),PARTIDAS!$F8243,CONCATENATE(PARTIDAS!$F8243," (",PARTIDAS!$G8243,")"))</f>
        <v>Lápices</v>
      </c>
      <c r="I8243" s="16" t="s">
        <v>9427</v>
      </c>
    </row>
    <row r="8244" spans="1:9" x14ac:dyDescent="0.25">
      <c r="A8244" s="16" t="s">
        <v>9053</v>
      </c>
      <c r="B8244" s="16" t="str">
        <f>TEXT(PARTIDA[[#This Row],[PARTIDA]],"0000000000")</f>
        <v>9609200000</v>
      </c>
      <c r="C8244" s="16" t="s">
        <v>786</v>
      </c>
      <c r="D8244" s="16" t="s">
        <v>787</v>
      </c>
      <c r="E8244" s="16" t="s">
        <v>797</v>
      </c>
      <c r="F8244" s="27" t="s">
        <v>16299</v>
      </c>
      <c r="G8244" s="27"/>
      <c r="H8244" s="16" t="str">
        <f>IF(ISBLANK(PARTIDAS!$G8244),PARTIDAS!$F8244,CONCATENATE(PARTIDAS!$F8244," (",PARTIDAS!$G8244,")"))</f>
        <v>Minas para lápices o portaminas</v>
      </c>
      <c r="I8244" s="16" t="s">
        <v>9427</v>
      </c>
    </row>
    <row r="8245" spans="1:9" x14ac:dyDescent="0.25">
      <c r="A8245" s="16" t="s">
        <v>9054</v>
      </c>
      <c r="B8245" s="16" t="str">
        <f>TEXT(PARTIDA[[#This Row],[PARTIDA]],"0000000000")</f>
        <v>9609900000</v>
      </c>
      <c r="C8245" s="16" t="s">
        <v>786</v>
      </c>
      <c r="D8245" s="16" t="s">
        <v>787</v>
      </c>
      <c r="E8245" s="16" t="s">
        <v>797</v>
      </c>
      <c r="F8245" s="27" t="s">
        <v>16300</v>
      </c>
      <c r="G8245" s="27"/>
      <c r="H8245" s="16" t="str">
        <f>IF(ISBLANK(PARTIDAS!$G8245),PARTIDAS!$F8245,CONCATENATE(PARTIDAS!$F8245," (",PARTIDAS!$G8245,")"))</f>
        <v>Lápices, minas, pasteles, carboncillos, tizas para escribir o dibujar… (los demás)</v>
      </c>
      <c r="I8245" s="16" t="s">
        <v>9427</v>
      </c>
    </row>
    <row r="8246" spans="1:9" x14ac:dyDescent="0.25">
      <c r="A8246" s="16" t="s">
        <v>9055</v>
      </c>
      <c r="B8246" s="16" t="str">
        <f>TEXT(PARTIDA[[#This Row],[PARTIDA]],"0000000000")</f>
        <v>9610000000</v>
      </c>
      <c r="C8246" s="16" t="s">
        <v>786</v>
      </c>
      <c r="D8246" s="16" t="s">
        <v>787</v>
      </c>
      <c r="E8246" s="16" t="s">
        <v>797</v>
      </c>
      <c r="F8246" s="27" t="s">
        <v>9056</v>
      </c>
      <c r="G8246" s="27"/>
      <c r="H8246" s="16" t="str">
        <f>IF(ISBLANK(PARTIDAS!$G8246),PARTIDAS!$F8246,CONCATENATE(PARTIDAS!$F8246," (",PARTIDAS!$G8246,")"))</f>
        <v>Pizarras y tableros</v>
      </c>
      <c r="I8246" s="16" t="s">
        <v>9427</v>
      </c>
    </row>
    <row r="8247" spans="1:9" x14ac:dyDescent="0.25">
      <c r="A8247" s="16" t="s">
        <v>9057</v>
      </c>
      <c r="B8247" s="16" t="str">
        <f>TEXT(PARTIDA[[#This Row],[PARTIDA]],"0000000000")</f>
        <v>9611000000</v>
      </c>
      <c r="C8247" s="16" t="s">
        <v>786</v>
      </c>
      <c r="D8247" s="16" t="s">
        <v>787</v>
      </c>
      <c r="E8247" s="16" t="s">
        <v>797</v>
      </c>
      <c r="F8247" s="27" t="s">
        <v>9058</v>
      </c>
      <c r="G8247" s="27"/>
      <c r="H8247" s="16" t="str">
        <f>IF(ISBLANK(PARTIDAS!$G8247),PARTIDAS!$F8247,CONCATENATE(PARTIDAS!$F8247," (",PARTIDAS!$G8247,")"))</f>
        <v>Fechadores, sellos, numeradores, timbradores y similares</v>
      </c>
      <c r="I8247" s="16" t="s">
        <v>9427</v>
      </c>
    </row>
    <row r="8248" spans="1:9" x14ac:dyDescent="0.25">
      <c r="A8248" s="16" t="s">
        <v>9059</v>
      </c>
      <c r="B8248" s="16" t="str">
        <f>TEXT(PARTIDA[[#This Row],[PARTIDA]],"0000000000")</f>
        <v>9612100000</v>
      </c>
      <c r="C8248" s="16" t="s">
        <v>786</v>
      </c>
      <c r="D8248" s="16" t="s">
        <v>787</v>
      </c>
      <c r="E8248" s="16" t="s">
        <v>797</v>
      </c>
      <c r="F8248" s="27" t="s">
        <v>4263</v>
      </c>
      <c r="G8248" s="27"/>
      <c r="H8248" s="16" t="str">
        <f>IF(ISBLANK(PARTIDAS!$G8248),PARTIDAS!$F8248,CONCATENATE(PARTIDAS!$F8248," (",PARTIDAS!$G8248,")"))</f>
        <v>Cintas</v>
      </c>
      <c r="I8248" s="16" t="s">
        <v>9427</v>
      </c>
    </row>
    <row r="8249" spans="1:9" x14ac:dyDescent="0.25">
      <c r="A8249" s="16" t="s">
        <v>9060</v>
      </c>
      <c r="B8249" s="16" t="str">
        <f>TEXT(PARTIDA[[#This Row],[PARTIDA]],"0000000000")</f>
        <v>9612200000</v>
      </c>
      <c r="C8249" s="16" t="s">
        <v>786</v>
      </c>
      <c r="D8249" s="16" t="s">
        <v>787</v>
      </c>
      <c r="E8249" s="16" t="s">
        <v>797</v>
      </c>
      <c r="F8249" s="27" t="s">
        <v>16301</v>
      </c>
      <c r="G8249" s="27"/>
      <c r="H8249" s="16" t="str">
        <f>IF(ISBLANK(PARTIDAS!$G8249),PARTIDAS!$F8249,CONCATENATE(PARTIDAS!$F8249," (",PARTIDAS!$G8249,")"))</f>
        <v>Tampones</v>
      </c>
      <c r="I8249" s="16" t="s">
        <v>9427</v>
      </c>
    </row>
    <row r="8250" spans="1:9" x14ac:dyDescent="0.25">
      <c r="A8250" s="16" t="s">
        <v>9061</v>
      </c>
      <c r="B8250" s="16" t="str">
        <f>TEXT(PARTIDA[[#This Row],[PARTIDA]],"0000000000")</f>
        <v>9613100000</v>
      </c>
      <c r="C8250" s="16" t="s">
        <v>786</v>
      </c>
      <c r="D8250" s="16" t="s">
        <v>787</v>
      </c>
      <c r="E8250" s="16" t="s">
        <v>797</v>
      </c>
      <c r="F8250" s="27" t="s">
        <v>16302</v>
      </c>
      <c r="G8250" s="27"/>
      <c r="H8250" s="16" t="str">
        <f>IF(ISBLANK(PARTIDAS!$G8250),PARTIDAS!$F8250,CONCATENATE(PARTIDAS!$F8250," (",PARTIDAS!$G8250,")"))</f>
        <v>Encendedores de gas no recargables, de bolsillo</v>
      </c>
      <c r="I8250" s="16" t="s">
        <v>9427</v>
      </c>
    </row>
    <row r="8251" spans="1:9" x14ac:dyDescent="0.25">
      <c r="A8251" s="16" t="s">
        <v>9062</v>
      </c>
      <c r="B8251" s="16" t="str">
        <f>TEXT(PARTIDA[[#This Row],[PARTIDA]],"0000000000")</f>
        <v>9613200000</v>
      </c>
      <c r="C8251" s="16" t="s">
        <v>786</v>
      </c>
      <c r="D8251" s="16" t="s">
        <v>787</v>
      </c>
      <c r="E8251" s="16" t="s">
        <v>797</v>
      </c>
      <c r="F8251" s="27" t="s">
        <v>16303</v>
      </c>
      <c r="G8251" s="27"/>
      <c r="H8251" s="16" t="str">
        <f>IF(ISBLANK(PARTIDAS!$G8251),PARTIDAS!$F8251,CONCATENATE(PARTIDAS!$F8251," (",PARTIDAS!$G8251,")"))</f>
        <v>Encendedores de gas recargables, de bolsillo</v>
      </c>
      <c r="I8251" s="16" t="s">
        <v>9427</v>
      </c>
    </row>
    <row r="8252" spans="1:9" x14ac:dyDescent="0.25">
      <c r="A8252" s="16" t="s">
        <v>9063</v>
      </c>
      <c r="B8252" s="16" t="str">
        <f>TEXT(PARTIDA[[#This Row],[PARTIDA]],"0000000000")</f>
        <v>9613800000</v>
      </c>
      <c r="C8252" s="16" t="s">
        <v>786</v>
      </c>
      <c r="D8252" s="16" t="s">
        <v>787</v>
      </c>
      <c r="E8252" s="16" t="s">
        <v>797</v>
      </c>
      <c r="F8252" s="27" t="s">
        <v>16304</v>
      </c>
      <c r="G8252" s="27"/>
      <c r="H8252" s="16" t="str">
        <f>IF(ISBLANK(PARTIDAS!$G8252),PARTIDAS!$F8252,CONCATENATE(PARTIDAS!$F8252," (",PARTIDAS!$G8252,")"))</f>
        <v>Encendedores y mecheros, incluso mecánicos o eléctricos, y sus partes (los demás, encendedores y mecheros)</v>
      </c>
      <c r="I8252" s="16" t="s">
        <v>9427</v>
      </c>
    </row>
    <row r="8253" spans="1:9" x14ac:dyDescent="0.25">
      <c r="A8253" s="16" t="s">
        <v>9064</v>
      </c>
      <c r="B8253" s="16" t="str">
        <f>TEXT(PARTIDA[[#This Row],[PARTIDA]],"0000000000")</f>
        <v>9613900000</v>
      </c>
      <c r="C8253" s="16" t="s">
        <v>786</v>
      </c>
      <c r="D8253" s="16" t="s">
        <v>787</v>
      </c>
      <c r="E8253" s="16" t="s">
        <v>797</v>
      </c>
      <c r="F8253" s="27" t="s">
        <v>16305</v>
      </c>
      <c r="G8253" s="27"/>
      <c r="H8253" s="16" t="str">
        <f>IF(ISBLANK(PARTIDAS!$G8253),PARTIDAS!$F8253,CONCATENATE(PARTIDAS!$F8253," (",PARTIDAS!$G8253,")"))</f>
        <v>Encendedores y mecheros, incluso mecánicos o eléctricos, y sus partes, partes</v>
      </c>
      <c r="I8253" s="16" t="s">
        <v>9427</v>
      </c>
    </row>
    <row r="8254" spans="1:9" x14ac:dyDescent="0.25">
      <c r="A8254" s="16" t="s">
        <v>9065</v>
      </c>
      <c r="B8254" s="16" t="str">
        <f>TEXT(PARTIDA[[#This Row],[PARTIDA]],"0000000000")</f>
        <v>9614000000</v>
      </c>
      <c r="C8254" s="16" t="s">
        <v>786</v>
      </c>
      <c r="D8254" s="16" t="s">
        <v>787</v>
      </c>
      <c r="E8254" s="16" t="s">
        <v>797</v>
      </c>
      <c r="F8254" s="27" t="s">
        <v>9066</v>
      </c>
      <c r="G8254" s="27"/>
      <c r="H8254" s="16" t="str">
        <f>IF(ISBLANK(PARTIDAS!$G8254),PARTIDAS!$F8254,CONCATENATE(PARTIDAS!$F8254," (",PARTIDAS!$G8254,")"))</f>
        <v>Pipas, boquillas para cigarros (puros) o cigarrillos, y sus partes</v>
      </c>
      <c r="I8254" s="16" t="s">
        <v>9427</v>
      </c>
    </row>
    <row r="8255" spans="1:9" x14ac:dyDescent="0.25">
      <c r="A8255" s="16" t="s">
        <v>9067</v>
      </c>
      <c r="B8255" s="16" t="str">
        <f>TEXT(PARTIDA[[#This Row],[PARTIDA]],"0000000000")</f>
        <v>9615110000</v>
      </c>
      <c r="C8255" s="16" t="s">
        <v>786</v>
      </c>
      <c r="D8255" s="16" t="s">
        <v>787</v>
      </c>
      <c r="E8255" s="16" t="s">
        <v>797</v>
      </c>
      <c r="F8255" s="27" t="s">
        <v>16306</v>
      </c>
      <c r="G8255" s="27"/>
      <c r="H8255" s="16" t="str">
        <f>IF(ISBLANK(PARTIDAS!$G8255),PARTIDAS!$F8255,CONCATENATE(PARTIDAS!$F8255," (",PARTIDAS!$G8255,")"))</f>
        <v>Peines, peinetas, pasadores y artículos similares, de caucho endurecido o plástico</v>
      </c>
      <c r="I8255" s="16" t="s">
        <v>9427</v>
      </c>
    </row>
    <row r="8256" spans="1:9" x14ac:dyDescent="0.25">
      <c r="A8256" s="16" t="s">
        <v>9068</v>
      </c>
      <c r="B8256" s="16" t="str">
        <f>TEXT(PARTIDA[[#This Row],[PARTIDA]],"0000000000")</f>
        <v>9615190000</v>
      </c>
      <c r="C8256" s="16" t="s">
        <v>786</v>
      </c>
      <c r="D8256" s="16" t="s">
        <v>787</v>
      </c>
      <c r="E8256" s="16" t="s">
        <v>797</v>
      </c>
      <c r="F8256" s="27" t="s">
        <v>16307</v>
      </c>
      <c r="G8256" s="27"/>
      <c r="H8256" s="16" t="str">
        <f>IF(ISBLANK(PARTIDAS!$G8256),PARTIDAS!$F8256,CONCATENATE(PARTIDAS!$F8256," (",PARTIDAS!$G8256,")"))</f>
        <v>Peines, peinetas, pasadores y artículos similares (los demás)</v>
      </c>
      <c r="I8256" s="16" t="s">
        <v>9427</v>
      </c>
    </row>
    <row r="8257" spans="1:9" x14ac:dyDescent="0.25">
      <c r="A8257" s="16" t="s">
        <v>9069</v>
      </c>
      <c r="B8257" s="16" t="str">
        <f>TEXT(PARTIDA[[#This Row],[PARTIDA]],"0000000000")</f>
        <v>9615900000</v>
      </c>
      <c r="C8257" s="16" t="s">
        <v>786</v>
      </c>
      <c r="D8257" s="16" t="s">
        <v>787</v>
      </c>
      <c r="E8257" s="16" t="s">
        <v>797</v>
      </c>
      <c r="F8257" s="27" t="s">
        <v>9070</v>
      </c>
      <c r="G8257" s="27"/>
      <c r="H8257" s="16" t="str">
        <f>IF(ISBLANK(PARTIDAS!$G8257),PARTIDAS!$F8257,CONCATENATE(PARTIDAS!$F8257," (",PARTIDAS!$G8257,")"))</f>
        <v>Peines, pasadores y artículos similares</v>
      </c>
      <c r="I8257" s="16" t="s">
        <v>9427</v>
      </c>
    </row>
    <row r="8258" spans="1:9" x14ac:dyDescent="0.25">
      <c r="A8258" s="16" t="s">
        <v>9071</v>
      </c>
      <c r="B8258" s="16" t="str">
        <f>TEXT(PARTIDA[[#This Row],[PARTIDA]],"0000000000")</f>
        <v>9616100000</v>
      </c>
      <c r="C8258" s="16" t="s">
        <v>786</v>
      </c>
      <c r="D8258" s="16" t="s">
        <v>787</v>
      </c>
      <c r="E8258" s="16" t="s">
        <v>797</v>
      </c>
      <c r="F8258" s="27" t="s">
        <v>9072</v>
      </c>
      <c r="G8258" s="27"/>
      <c r="H8258" s="16" t="str">
        <f>IF(ISBLANK(PARTIDAS!$G8258),PARTIDAS!$F8258,CONCATENATE(PARTIDAS!$F8258," (",PARTIDAS!$G8258,")"))</f>
        <v>Atomizadores</v>
      </c>
      <c r="I8258" s="16" t="s">
        <v>9427</v>
      </c>
    </row>
    <row r="8259" spans="1:9" x14ac:dyDescent="0.25">
      <c r="A8259" s="16" t="s">
        <v>9073</v>
      </c>
      <c r="B8259" s="16" t="str">
        <f>TEXT(PARTIDA[[#This Row],[PARTIDA]],"0000000000")</f>
        <v>9616200000</v>
      </c>
      <c r="C8259" s="16" t="s">
        <v>786</v>
      </c>
      <c r="D8259" s="16" t="s">
        <v>787</v>
      </c>
      <c r="E8259" s="16" t="s">
        <v>797</v>
      </c>
      <c r="F8259" s="27" t="s">
        <v>16308</v>
      </c>
      <c r="G8259" s="27"/>
      <c r="H8259" s="16" t="str">
        <f>IF(ISBLANK(PARTIDAS!$G8259),PARTIDAS!$F8259,CONCATENATE(PARTIDAS!$F8259," (",PARTIDAS!$G8259,")"))</f>
        <v>Borlas y similares para aplicación de polvos, otros cosméticos o productos de tocador</v>
      </c>
      <c r="I8259" s="16" t="s">
        <v>9427</v>
      </c>
    </row>
    <row r="8260" spans="1:9" x14ac:dyDescent="0.25">
      <c r="A8260" s="16" t="s">
        <v>9074</v>
      </c>
      <c r="B8260" s="16" t="str">
        <f>TEXT(PARTIDA[[#This Row],[PARTIDA]],"0000000000")</f>
        <v>9617000000</v>
      </c>
      <c r="C8260" s="16" t="s">
        <v>786</v>
      </c>
      <c r="D8260" s="16" t="s">
        <v>787</v>
      </c>
      <c r="E8260" s="16" t="s">
        <v>797</v>
      </c>
      <c r="F8260" s="27" t="s">
        <v>9075</v>
      </c>
      <c r="G8260" s="27"/>
      <c r="H8260" s="16" t="str">
        <f>IF(ISBLANK(PARTIDAS!$G8260),PARTIDAS!$F8260,CONCATENATE(PARTIDAS!$F8260," (",PARTIDAS!$G8260,")"))</f>
        <v>Termos y demás recipientes isotérmicos</v>
      </c>
      <c r="I8260" s="16" t="s">
        <v>9427</v>
      </c>
    </row>
    <row r="8261" spans="1:9" x14ac:dyDescent="0.25">
      <c r="A8261" s="16" t="s">
        <v>9076</v>
      </c>
      <c r="B8261" s="16" t="str">
        <f>TEXT(PARTIDA[[#This Row],[PARTIDA]],"0000000000")</f>
        <v>9618000000</v>
      </c>
      <c r="C8261" s="16" t="s">
        <v>786</v>
      </c>
      <c r="D8261" s="16" t="s">
        <v>787</v>
      </c>
      <c r="E8261" s="16" t="s">
        <v>797</v>
      </c>
      <c r="F8261" s="27" t="s">
        <v>9077</v>
      </c>
      <c r="G8261" s="27"/>
      <c r="H8261" s="16" t="str">
        <f>IF(ISBLANK(PARTIDAS!$G8261),PARTIDAS!$F8261,CONCATENATE(PARTIDAS!$F8261," (",PARTIDAS!$G8261,")"))</f>
        <v>Maniquíes y artículos similares</v>
      </c>
      <c r="I8261" s="16" t="s">
        <v>9427</v>
      </c>
    </row>
    <row r="8262" spans="1:9" x14ac:dyDescent="0.25">
      <c r="A8262" s="16" t="s">
        <v>9078</v>
      </c>
      <c r="B8262" s="16" t="str">
        <f>TEXT(PARTIDA[[#This Row],[PARTIDA]],"0000000000")</f>
        <v>9619001000</v>
      </c>
      <c r="C8262" s="16" t="s">
        <v>786</v>
      </c>
      <c r="D8262" s="16" t="s">
        <v>787</v>
      </c>
      <c r="E8262" s="16" t="s">
        <v>797</v>
      </c>
      <c r="F8262" s="27" t="s">
        <v>16309</v>
      </c>
      <c r="G8262" s="27"/>
      <c r="H8262" s="16" t="str">
        <f>IF(ISBLANK(PARTIDAS!$G8262),PARTIDAS!$F8262,CONCATENATE(PARTIDAS!$F8262," (",PARTIDAS!$G8262,")"))</f>
        <v>Pañales para bebés</v>
      </c>
      <c r="I8262" s="16" t="s">
        <v>9427</v>
      </c>
    </row>
    <row r="8263" spans="1:9" x14ac:dyDescent="0.25">
      <c r="A8263" s="16" t="s">
        <v>9079</v>
      </c>
      <c r="B8263" s="16" t="str">
        <f>TEXT(PARTIDA[[#This Row],[PARTIDA]],"0000000000")</f>
        <v>9619002000</v>
      </c>
      <c r="C8263" s="16" t="s">
        <v>786</v>
      </c>
      <c r="D8263" s="16" t="s">
        <v>787</v>
      </c>
      <c r="E8263" s="16" t="s">
        <v>797</v>
      </c>
      <c r="F8263" s="27" t="s">
        <v>16310</v>
      </c>
      <c r="G8263" s="27"/>
      <c r="H8263" s="16" t="str">
        <f>IF(ISBLANK(PARTIDAS!$G8263),PARTIDAS!$F8263,CONCATENATE(PARTIDAS!$F8263," (",PARTIDAS!$G8263,")"))</f>
        <v>Compresas y tampones higiénicos</v>
      </c>
      <c r="I8263" s="16" t="s">
        <v>9427</v>
      </c>
    </row>
    <row r="8264" spans="1:9" x14ac:dyDescent="0.25">
      <c r="A8264" s="16" t="s">
        <v>9080</v>
      </c>
      <c r="B8264" s="16" t="str">
        <f>TEXT(PARTIDA[[#This Row],[PARTIDA]],"0000000000")</f>
        <v>9619009000</v>
      </c>
      <c r="C8264" s="16" t="s">
        <v>786</v>
      </c>
      <c r="D8264" s="16" t="s">
        <v>787</v>
      </c>
      <c r="E8264" s="16" t="s">
        <v>797</v>
      </c>
      <c r="F8264" s="27" t="s">
        <v>16311</v>
      </c>
      <c r="G8264" s="27"/>
      <c r="H8264" s="16" t="str">
        <f>IF(ISBLANK(PARTIDAS!$G8264),PARTIDAS!$F8264,CONCATENATE(PARTIDAS!$F8264," (",PARTIDAS!$G8264,")"))</f>
        <v>Pulverizadores de tocador, sus monturas y cabezas de monturas (los demás)</v>
      </c>
      <c r="I8264" s="16" t="s">
        <v>9427</v>
      </c>
    </row>
    <row r="8265" spans="1:9" x14ac:dyDescent="0.25">
      <c r="A8265" s="16" t="s">
        <v>9081</v>
      </c>
      <c r="B8265" s="16" t="str">
        <f>TEXT(PARTIDA[[#This Row],[PARTIDA]],"0000000000")</f>
        <v>9620000010</v>
      </c>
      <c r="C8265" s="16" t="s">
        <v>786</v>
      </c>
      <c r="D8265" s="16" t="s">
        <v>787</v>
      </c>
      <c r="E8265" s="16" t="s">
        <v>797</v>
      </c>
      <c r="F8265" s="27" t="s">
        <v>16312</v>
      </c>
      <c r="G8265" s="27"/>
      <c r="H8265" s="16" t="str">
        <f>IF(ISBLANK(PARTIDAS!$G8265),PARTIDAS!$F8265,CONCATENATE(PARTIDAS!$F8265," (",PARTIDAS!$G8265,")"))</f>
        <v>Pulverizadores de tocador, sus monturas y cabezas de monturas, de plástico</v>
      </c>
      <c r="I8265" s="16" t="s">
        <v>9427</v>
      </c>
    </row>
    <row r="8266" spans="1:9" x14ac:dyDescent="0.25">
      <c r="A8266" s="16" t="s">
        <v>9082</v>
      </c>
      <c r="B8266" s="16" t="str">
        <f>TEXT(PARTIDA[[#This Row],[PARTIDA]],"0000000000")</f>
        <v>9620000020</v>
      </c>
      <c r="C8266" s="16" t="s">
        <v>786</v>
      </c>
      <c r="D8266" s="16" t="s">
        <v>787</v>
      </c>
      <c r="E8266" s="16" t="s">
        <v>797</v>
      </c>
      <c r="F8266" s="27" t="s">
        <v>16313</v>
      </c>
      <c r="G8266" s="27"/>
      <c r="H8266" s="16" t="str">
        <f>IF(ISBLANK(PARTIDAS!$G8266),PARTIDAS!$F8266,CONCATENATE(PARTIDAS!$F8266," (",PARTIDAS!$G8266,")"))</f>
        <v>Pulverizadores de tocador, sus monturas y cabezas de monturas, de madera</v>
      </c>
      <c r="I8266" s="16" t="s">
        <v>9427</v>
      </c>
    </row>
    <row r="8267" spans="1:9" x14ac:dyDescent="0.25">
      <c r="A8267" s="16" t="s">
        <v>9083</v>
      </c>
      <c r="B8267" s="16" t="str">
        <f>TEXT(PARTIDA[[#This Row],[PARTIDA]],"0000000000")</f>
        <v>9620000091</v>
      </c>
      <c r="C8267" s="16" t="s">
        <v>786</v>
      </c>
      <c r="D8267" s="16" t="s">
        <v>787</v>
      </c>
      <c r="E8267" s="16" t="s">
        <v>797</v>
      </c>
      <c r="F8267" s="27" t="s">
        <v>16314</v>
      </c>
      <c r="G8267" s="27"/>
      <c r="H8267" s="16" t="str">
        <f>IF(ISBLANK(PARTIDAS!$G8267),PARTIDAS!$F8267,CONCATENATE(PARTIDAS!$F8267," (",PARTIDAS!$G8267,")"))</f>
        <v>Pulverizadores de tocador, sus monturas y cabezas de monturas, para cámaras fotográficas</v>
      </c>
      <c r="I8267" s="16" t="s">
        <v>9427</v>
      </c>
    </row>
    <row r="8268" spans="1:9" x14ac:dyDescent="0.25">
      <c r="A8268" s="16" t="s">
        <v>9084</v>
      </c>
      <c r="B8268" s="16" t="str">
        <f>TEXT(PARTIDA[[#This Row],[PARTIDA]],"0000000000")</f>
        <v>9620000099</v>
      </c>
      <c r="C8268" s="16" t="s">
        <v>786</v>
      </c>
      <c r="D8268" s="16" t="s">
        <v>787</v>
      </c>
      <c r="E8268" s="16" t="s">
        <v>797</v>
      </c>
      <c r="F8268" s="27" t="s">
        <v>16311</v>
      </c>
      <c r="G8268" s="27"/>
      <c r="H8268" s="16" t="str">
        <f>IF(ISBLANK(PARTIDAS!$G8268),PARTIDAS!$F8268,CONCATENATE(PARTIDAS!$F8268," (",PARTIDAS!$G8268,")"))</f>
        <v>Pulverizadores de tocador, sus monturas y cabezas de monturas (los demás)</v>
      </c>
      <c r="I8268" s="16" t="s">
        <v>9427</v>
      </c>
    </row>
    <row r="8269" spans="1:9" x14ac:dyDescent="0.25">
      <c r="A8269" s="16" t="s">
        <v>9085</v>
      </c>
      <c r="B8269" s="16" t="str">
        <f>TEXT(PARTIDA[[#This Row],[PARTIDA]],"0000000000")</f>
        <v>9701100000</v>
      </c>
      <c r="C8269" s="16" t="s">
        <v>786</v>
      </c>
      <c r="D8269" s="16" t="s">
        <v>787</v>
      </c>
      <c r="E8269" s="16" t="s">
        <v>797</v>
      </c>
      <c r="F8269" s="27" t="s">
        <v>9086</v>
      </c>
      <c r="G8269" s="27"/>
      <c r="H8269" s="16" t="str">
        <f>IF(ISBLANK(PARTIDAS!$G8269),PARTIDAS!$F8269,CONCATENATE(PARTIDAS!$F8269," (",PARTIDAS!$G8269,")"))</f>
        <v>Pinturas y dibujos</v>
      </c>
      <c r="I8269" s="16" t="s">
        <v>9648</v>
      </c>
    </row>
    <row r="8270" spans="1:9" x14ac:dyDescent="0.25">
      <c r="A8270" s="16" t="s">
        <v>16315</v>
      </c>
      <c r="B8270" s="16" t="str">
        <f>TEXT(PARTIDA[[#This Row],[PARTIDA]],"0000000000")</f>
        <v>9701210000</v>
      </c>
      <c r="C8270" s="16" t="s">
        <v>786</v>
      </c>
      <c r="D8270" s="16" t="s">
        <v>787</v>
      </c>
      <c r="E8270" s="16" t="s">
        <v>797</v>
      </c>
      <c r="F8270" s="27" t="s">
        <v>9086</v>
      </c>
      <c r="G8270" s="27"/>
      <c r="H8270" s="16" t="str">
        <f>IF(ISBLANK(PARTIDAS!$G8270),PARTIDAS!$F8270,CONCATENATE(PARTIDAS!$F8270," (",PARTIDAS!$G8270,")"))</f>
        <v>Pinturas y dibujos</v>
      </c>
      <c r="I8270" s="16" t="s">
        <v>9427</v>
      </c>
    </row>
    <row r="8271" spans="1:9" x14ac:dyDescent="0.25">
      <c r="A8271" s="16" t="s">
        <v>16316</v>
      </c>
      <c r="B8271" s="16" t="str">
        <f>TEXT(PARTIDA[[#This Row],[PARTIDA]],"0000000000")</f>
        <v>9701220000</v>
      </c>
      <c r="C8271" s="16" t="s">
        <v>786</v>
      </c>
      <c r="D8271" s="16" t="s">
        <v>787</v>
      </c>
      <c r="E8271" s="16" t="s">
        <v>797</v>
      </c>
      <c r="F8271" s="27" t="s">
        <v>16317</v>
      </c>
      <c r="G8271" s="27"/>
      <c r="H8271" s="16" t="str">
        <f>IF(ISBLANK(PARTIDAS!$G8271),PARTIDAS!$F8271,CONCATENATE(PARTIDAS!$F8271," (",PARTIDAS!$G8271,")"))</f>
        <v>Pinturas y dibujos, hechos totalmente a mano, de más de 100 años, mosaicos</v>
      </c>
      <c r="I8271" s="16" t="s">
        <v>9427</v>
      </c>
    </row>
    <row r="8272" spans="1:9" x14ac:dyDescent="0.25">
      <c r="A8272" s="16" t="s">
        <v>16318</v>
      </c>
      <c r="B8272" s="16" t="str">
        <f>TEXT(PARTIDA[[#This Row],[PARTIDA]],"0000000000")</f>
        <v>9701290000</v>
      </c>
      <c r="C8272" s="16" t="s">
        <v>786</v>
      </c>
      <c r="D8272" s="16" t="s">
        <v>787</v>
      </c>
      <c r="E8272" s="16" t="s">
        <v>797</v>
      </c>
      <c r="F8272" s="27" t="s">
        <v>16319</v>
      </c>
      <c r="G8272" s="27"/>
      <c r="H8272" s="16" t="str">
        <f>IF(ISBLANK(PARTIDAS!$G8272),PARTIDAS!$F8272,CONCATENATE(PARTIDAS!$F8272," (",PARTIDAS!$G8272,")"))</f>
        <v>Pinturas y dibujos, hechos totalmente a mano, de más de 100 años (los demás)</v>
      </c>
      <c r="I8272" s="16" t="s">
        <v>9427</v>
      </c>
    </row>
    <row r="8273" spans="1:9" x14ac:dyDescent="0.25">
      <c r="A8273" s="16" t="s">
        <v>9087</v>
      </c>
      <c r="B8273" s="16" t="str">
        <f>TEXT(PARTIDA[[#This Row],[PARTIDA]],"0000000000")</f>
        <v>9701900000</v>
      </c>
      <c r="C8273" s="16" t="s">
        <v>786</v>
      </c>
      <c r="D8273" s="16" t="s">
        <v>787</v>
      </c>
      <c r="E8273" s="16" t="s">
        <v>797</v>
      </c>
      <c r="F8273" s="27" t="s">
        <v>16320</v>
      </c>
      <c r="G8273" s="27"/>
      <c r="H8273" s="16" t="str">
        <f>IF(ISBLANK(PARTIDAS!$G8273),PARTIDAS!$F8273,CONCATENATE(PARTIDAS!$F8273," (",PARTIDAS!$G8273,")"))</f>
        <v>Pinturas y dibujos, hechos totalmente a mano, excepto los dibujos de l (los demás)</v>
      </c>
      <c r="I8273" s="16" t="s">
        <v>9648</v>
      </c>
    </row>
    <row r="8274" spans="1:9" x14ac:dyDescent="0.25">
      <c r="A8274" s="16" t="s">
        <v>9088</v>
      </c>
      <c r="B8274" s="16" t="str">
        <f>TEXT(PARTIDA[[#This Row],[PARTIDA]],"0000000000")</f>
        <v>9701910000</v>
      </c>
      <c r="C8274" s="16" t="s">
        <v>786</v>
      </c>
      <c r="D8274" s="16" t="s">
        <v>787</v>
      </c>
      <c r="E8274" s="16" t="s">
        <v>797</v>
      </c>
      <c r="F8274" s="27" t="s">
        <v>9086</v>
      </c>
      <c r="G8274" s="27"/>
      <c r="H8274" s="16" t="str">
        <f>IF(ISBLANK(PARTIDAS!$G8274),PARTIDAS!$F8274,CONCATENATE(PARTIDAS!$F8274," (",PARTIDAS!$G8274,")"))</f>
        <v>Pinturas y dibujos</v>
      </c>
      <c r="I8274" s="16" t="s">
        <v>9427</v>
      </c>
    </row>
    <row r="8275" spans="1:9" x14ac:dyDescent="0.25">
      <c r="A8275" s="16" t="s">
        <v>16321</v>
      </c>
      <c r="B8275" s="16" t="str">
        <f>TEXT(PARTIDA[[#This Row],[PARTIDA]],"0000000000")</f>
        <v>9701920000</v>
      </c>
      <c r="C8275" s="16" t="s">
        <v>786</v>
      </c>
      <c r="D8275" s="16" t="s">
        <v>787</v>
      </c>
      <c r="E8275" s="16" t="s">
        <v>797</v>
      </c>
      <c r="F8275" s="27" t="s">
        <v>16322</v>
      </c>
      <c r="G8275" s="27"/>
      <c r="H8275" s="16" t="str">
        <f>IF(ISBLANK(PARTIDAS!$G8275),PARTIDAS!$F8275,CONCATENATE(PARTIDAS!$F8275," (",PARTIDAS!$G8275,")"))</f>
        <v>Pinturas y dibujos, hechos totalmente a mano, mosaicos</v>
      </c>
      <c r="I8275" s="16" t="s">
        <v>9427</v>
      </c>
    </row>
    <row r="8276" spans="1:9" x14ac:dyDescent="0.25">
      <c r="A8276" s="16" t="s">
        <v>16323</v>
      </c>
      <c r="B8276" s="16" t="str">
        <f>TEXT(PARTIDA[[#This Row],[PARTIDA]],"0000000000")</f>
        <v>9701990000</v>
      </c>
      <c r="C8276" s="16" t="s">
        <v>786</v>
      </c>
      <c r="D8276" s="16" t="s">
        <v>787</v>
      </c>
      <c r="E8276" s="16" t="s">
        <v>797</v>
      </c>
      <c r="F8276" s="27" t="s">
        <v>16324</v>
      </c>
      <c r="G8276" s="27"/>
      <c r="H8276" s="16" t="str">
        <f>IF(ISBLANK(PARTIDAS!$G8276),PARTIDAS!$F8276,CONCATENATE(PARTIDAS!$F8276," (",PARTIDAS!$G8276,")"))</f>
        <v>Pinturas y dibujos, hechos totalmente a mano (los demás)</v>
      </c>
      <c r="I8276" s="16" t="s">
        <v>9427</v>
      </c>
    </row>
    <row r="8277" spans="1:9" x14ac:dyDescent="0.25">
      <c r="A8277" s="16" t="s">
        <v>9089</v>
      </c>
      <c r="B8277" s="16" t="str">
        <f>TEXT(PARTIDA[[#This Row],[PARTIDA]],"0000000000")</f>
        <v>9702000000</v>
      </c>
      <c r="C8277" s="16" t="s">
        <v>786</v>
      </c>
      <c r="D8277" s="16" t="s">
        <v>787</v>
      </c>
      <c r="E8277" s="16" t="s">
        <v>797</v>
      </c>
      <c r="F8277" s="27" t="s">
        <v>9090</v>
      </c>
      <c r="G8277" s="27"/>
      <c r="H8277" s="16" t="str">
        <f>IF(ISBLANK(PARTIDAS!$G8277),PARTIDAS!$F8277,CONCATENATE(PARTIDAS!$F8277," (",PARTIDAS!$G8277,")"))</f>
        <v>Grabados, estampas y litografías</v>
      </c>
      <c r="I8277" s="16" t="s">
        <v>9648</v>
      </c>
    </row>
    <row r="8278" spans="1:9" x14ac:dyDescent="0.25">
      <c r="A8278" s="16" t="s">
        <v>16325</v>
      </c>
      <c r="B8278" s="16" t="str">
        <f>TEXT(PARTIDA[[#This Row],[PARTIDA]],"0000000000")</f>
        <v>9702100000</v>
      </c>
      <c r="C8278" s="16" t="s">
        <v>786</v>
      </c>
      <c r="D8278" s="16" t="s">
        <v>787</v>
      </c>
      <c r="E8278" s="16" t="s">
        <v>797</v>
      </c>
      <c r="F8278" s="27" t="s">
        <v>16326</v>
      </c>
      <c r="G8278" s="27"/>
      <c r="H8278" s="16" t="str">
        <f>IF(ISBLANK(PARTIDAS!$G8278),PARTIDAS!$F8278,CONCATENATE(PARTIDAS!$F8278," (",PARTIDAS!$G8278,")"))</f>
        <v>Grabados, estampas y litografías, originales, de más de 100 años</v>
      </c>
      <c r="I8278" s="16" t="s">
        <v>9427</v>
      </c>
    </row>
    <row r="8279" spans="1:9" x14ac:dyDescent="0.25">
      <c r="A8279" s="16" t="s">
        <v>16327</v>
      </c>
      <c r="B8279" s="16" t="str">
        <f>TEXT(PARTIDA[[#This Row],[PARTIDA]],"0000000000")</f>
        <v>9702900000</v>
      </c>
      <c r="C8279" s="16" t="s">
        <v>786</v>
      </c>
      <c r="D8279" s="16" t="s">
        <v>787</v>
      </c>
      <c r="E8279" s="16" t="s">
        <v>797</v>
      </c>
      <c r="F8279" s="27" t="s">
        <v>16328</v>
      </c>
      <c r="G8279" s="27"/>
      <c r="H8279" s="16" t="str">
        <f>IF(ISBLANK(PARTIDAS!$G8279),PARTIDAS!$F8279,CONCATENATE(PARTIDAS!$F8279," (",PARTIDAS!$G8279,")"))</f>
        <v>Grabados, estampas y litografías, originales (los demás)</v>
      </c>
      <c r="I8279" s="16" t="s">
        <v>9427</v>
      </c>
    </row>
    <row r="8280" spans="1:9" x14ac:dyDescent="0.25">
      <c r="A8280" s="16" t="s">
        <v>9091</v>
      </c>
      <c r="B8280" s="16" t="str">
        <f>TEXT(PARTIDA[[#This Row],[PARTIDA]],"0000000000")</f>
        <v>9703000000</v>
      </c>
      <c r="C8280" s="16" t="s">
        <v>786</v>
      </c>
      <c r="D8280" s="16" t="s">
        <v>787</v>
      </c>
      <c r="E8280" s="16" t="s">
        <v>797</v>
      </c>
      <c r="F8280" s="27" t="s">
        <v>9092</v>
      </c>
      <c r="G8280" s="27"/>
      <c r="H8280" s="16" t="str">
        <f>IF(ISBLANK(PARTIDAS!$G8280),PARTIDAS!$F8280,CONCATENATE(PARTIDAS!$F8280," (",PARTIDAS!$G8280,")"))</f>
        <v>Estatuas y esculturas</v>
      </c>
      <c r="I8280" s="16" t="s">
        <v>9648</v>
      </c>
    </row>
    <row r="8281" spans="1:9" x14ac:dyDescent="0.25">
      <c r="A8281" s="16" t="s">
        <v>16329</v>
      </c>
      <c r="B8281" s="16" t="str">
        <f>TEXT(PARTIDA[[#This Row],[PARTIDA]],"0000000000")</f>
        <v>9703100000</v>
      </c>
      <c r="C8281" s="16" t="s">
        <v>786</v>
      </c>
      <c r="D8281" s="16" t="s">
        <v>787</v>
      </c>
      <c r="E8281" s="16" t="s">
        <v>797</v>
      </c>
      <c r="F8281" s="27" t="s">
        <v>16330</v>
      </c>
      <c r="G8281" s="27"/>
      <c r="H8281" s="16" t="str">
        <f>IF(ISBLANK(PARTIDAS!$G8281),PARTIDAS!$F8281,CONCATENATE(PARTIDAS!$F8281," (",PARTIDAS!$G8281,")"))</f>
        <v>Obras originales de estatuaria o escultura, de cualquier materia, de más de 100 años</v>
      </c>
      <c r="I8281" s="16" t="s">
        <v>9427</v>
      </c>
    </row>
    <row r="8282" spans="1:9" x14ac:dyDescent="0.25">
      <c r="A8282" s="16" t="s">
        <v>16331</v>
      </c>
      <c r="B8282" s="16" t="str">
        <f>TEXT(PARTIDA[[#This Row],[PARTIDA]],"0000000000")</f>
        <v>9703900000</v>
      </c>
      <c r="C8282" s="16" t="s">
        <v>786</v>
      </c>
      <c r="D8282" s="16" t="s">
        <v>787</v>
      </c>
      <c r="E8282" s="16" t="s">
        <v>797</v>
      </c>
      <c r="F8282" s="27" t="s">
        <v>16332</v>
      </c>
      <c r="G8282" s="27"/>
      <c r="H8282" s="16" t="str">
        <f>IF(ISBLANK(PARTIDAS!$G8282),PARTIDAS!$F8282,CONCATENATE(PARTIDAS!$F8282," (",PARTIDAS!$G8282,")"))</f>
        <v>Obras originales de estatuaria o escultura, de cualquier materia (los demás)</v>
      </c>
      <c r="I8282" s="16" t="s">
        <v>9427</v>
      </c>
    </row>
    <row r="8283" spans="1:9" x14ac:dyDescent="0.25">
      <c r="A8283" s="16" t="s">
        <v>9093</v>
      </c>
      <c r="B8283" s="16" t="str">
        <f>TEXT(PARTIDA[[#This Row],[PARTIDA]],"0000000000")</f>
        <v>9704000000</v>
      </c>
      <c r="C8283" s="16" t="s">
        <v>786</v>
      </c>
      <c r="D8283" s="16" t="s">
        <v>787</v>
      </c>
      <c r="E8283" s="16" t="s">
        <v>797</v>
      </c>
      <c r="F8283" s="27" t="s">
        <v>9094</v>
      </c>
      <c r="G8283" s="27"/>
      <c r="H8283" s="16" t="str">
        <f>IF(ISBLANK(PARTIDAS!$G8283),PARTIDAS!$F8283,CONCATENATE(PARTIDAS!$F8283," (",PARTIDAS!$G8283,")"))</f>
        <v>Sellos (estampillas) de correo</v>
      </c>
      <c r="I8283" s="16" t="s">
        <v>9427</v>
      </c>
    </row>
    <row r="8284" spans="1:9" x14ac:dyDescent="0.25">
      <c r="A8284" s="16" t="s">
        <v>9095</v>
      </c>
      <c r="B8284" s="16" t="str">
        <f>TEXT(PARTIDA[[#This Row],[PARTIDA]],"0000000000")</f>
        <v>9705000000</v>
      </c>
      <c r="C8284" s="16" t="s">
        <v>786</v>
      </c>
      <c r="D8284" s="16" t="s">
        <v>787</v>
      </c>
      <c r="E8284" s="16" t="s">
        <v>797</v>
      </c>
      <c r="F8284" s="27" t="s">
        <v>9096</v>
      </c>
      <c r="G8284" s="27"/>
      <c r="H8284" s="16" t="str">
        <f>IF(ISBLANK(PARTIDAS!$G8284),PARTIDAS!$F8284,CONCATENATE(PARTIDAS!$F8284," (",PARTIDAS!$G8284,")"))</f>
        <v>Colecciones y especímenes para colecciones de
zoología, botánica, mineralogía o anatomía o que
tengan interés histórico, arqueológico,
paleontológico, etnográfico o numismático.</v>
      </c>
      <c r="I8284" s="16" t="s">
        <v>9648</v>
      </c>
    </row>
    <row r="8285" spans="1:9" x14ac:dyDescent="0.25">
      <c r="A8285" s="16" t="s">
        <v>16333</v>
      </c>
      <c r="B8285" s="16" t="str">
        <f>TEXT(PARTIDA[[#This Row],[PARTIDA]],"0000000000")</f>
        <v>9705100000</v>
      </c>
      <c r="C8285" s="16" t="s">
        <v>786</v>
      </c>
      <c r="D8285" s="16" t="s">
        <v>787</v>
      </c>
      <c r="E8285" s="16" t="s">
        <v>797</v>
      </c>
      <c r="F8285" s="27" t="s">
        <v>16334</v>
      </c>
      <c r="G8285" s="27"/>
      <c r="H8285" s="16" t="str">
        <f>IF(ISBLANK(PARTIDAS!$G8285),PARTIDAS!$F8285,CONCATENATE(PARTIDAS!$F8285," (",PARTIDAS!$G8285,")"))</f>
        <v>Colecciones y piezas de colección que tengan un interés arqueológico, etnográfico o histórico</v>
      </c>
      <c r="I8285" s="16" t="s">
        <v>9427</v>
      </c>
    </row>
    <row r="8286" spans="1:9" x14ac:dyDescent="0.25">
      <c r="A8286" s="16" t="s">
        <v>16335</v>
      </c>
      <c r="B8286" s="16" t="str">
        <f>TEXT(PARTIDA[[#This Row],[PARTIDA]],"0000000000")</f>
        <v>9705210000</v>
      </c>
      <c r="C8286" s="16" t="s">
        <v>786</v>
      </c>
      <c r="D8286" s="16" t="s">
        <v>787</v>
      </c>
      <c r="E8286" s="16" t="s">
        <v>797</v>
      </c>
      <c r="F8286" s="27" t="s">
        <v>16336</v>
      </c>
      <c r="G8286" s="27"/>
      <c r="H8286" s="16" t="str">
        <f>IF(ISBLANK(PARTIDAS!$G8286),PARTIDAS!$F8286,CONCATENATE(PARTIDAS!$F8286," (",PARTIDAS!$G8286,")"))</f>
        <v>Especímenes humanos y sus partes</v>
      </c>
      <c r="I8286" s="16" t="s">
        <v>9427</v>
      </c>
    </row>
    <row r="8287" spans="1:9" x14ac:dyDescent="0.25">
      <c r="A8287" s="16" t="s">
        <v>16337</v>
      </c>
      <c r="B8287" s="16" t="str">
        <f>TEXT(PARTIDA[[#This Row],[PARTIDA]],"0000000000")</f>
        <v>9705220000</v>
      </c>
      <c r="C8287" s="16" t="s">
        <v>786</v>
      </c>
      <c r="D8287" s="16" t="s">
        <v>787</v>
      </c>
      <c r="E8287" s="16" t="s">
        <v>797</v>
      </c>
      <c r="F8287" s="27" t="s">
        <v>16338</v>
      </c>
      <c r="G8287" s="27"/>
      <c r="H8287" s="16" t="str">
        <f>IF(ISBLANK(PARTIDAS!$G8287),PARTIDAS!$F8287,CONCATENATE(PARTIDAS!$F8287," (",PARTIDAS!$G8287,")"))</f>
        <v>Especies extintas o en peligro de extinción, y sus partes</v>
      </c>
      <c r="I8287" s="16" t="s">
        <v>9427</v>
      </c>
    </row>
    <row r="8288" spans="1:9" x14ac:dyDescent="0.25">
      <c r="A8288" s="16" t="s">
        <v>9105</v>
      </c>
      <c r="B8288" s="16" t="str">
        <f>TEXT(PARTIDA[[#This Row],[PARTIDA]],"0000000000")</f>
        <v>9705290000</v>
      </c>
      <c r="C8288" s="16" t="s">
        <v>786</v>
      </c>
      <c r="D8288" s="16" t="s">
        <v>787</v>
      </c>
      <c r="E8288" s="16" t="s">
        <v>797</v>
      </c>
      <c r="F8288" s="27" t="s">
        <v>4532</v>
      </c>
      <c r="G8288" s="27"/>
      <c r="H8288" s="16" t="str">
        <f>IF(ISBLANK(PARTIDAS!$G8288),PARTIDAS!$F8288,CONCATENATE(PARTIDAS!$F8288," (",PARTIDAS!$G8288,")"))</f>
        <v>Artesanías</v>
      </c>
      <c r="I8288" s="16" t="s">
        <v>9427</v>
      </c>
    </row>
    <row r="8289" spans="1:9" x14ac:dyDescent="0.25">
      <c r="A8289" s="16" t="s">
        <v>16339</v>
      </c>
      <c r="B8289" s="16" t="str">
        <f>TEXT(PARTIDA[[#This Row],[PARTIDA]],"0000000000")</f>
        <v>9705310000</v>
      </c>
      <c r="C8289" s="16" t="s">
        <v>786</v>
      </c>
      <c r="D8289" s="16" t="s">
        <v>787</v>
      </c>
      <c r="E8289" s="16" t="s">
        <v>797</v>
      </c>
      <c r="F8289" s="27" t="s">
        <v>16340</v>
      </c>
      <c r="G8289" s="27"/>
      <c r="H8289" s="16" t="str">
        <f>IF(ISBLANK(PARTIDAS!$G8289),PARTIDAS!$F8289,CONCATENATE(PARTIDAS!$F8289," (",PARTIDAS!$G8289,")"))</f>
        <v>Colecciones y piezas de colección que tengan un interés numismático, de más de 100 años</v>
      </c>
      <c r="I8289" s="16" t="s">
        <v>9427</v>
      </c>
    </row>
    <row r="8290" spans="1:9" x14ac:dyDescent="0.25">
      <c r="A8290" s="16" t="s">
        <v>16341</v>
      </c>
      <c r="B8290" s="16" t="str">
        <f>TEXT(PARTIDA[[#This Row],[PARTIDA]],"0000000000")</f>
        <v>9705390000</v>
      </c>
      <c r="C8290" s="16" t="s">
        <v>786</v>
      </c>
      <c r="D8290" s="16" t="s">
        <v>787</v>
      </c>
      <c r="E8290" s="16" t="s">
        <v>797</v>
      </c>
      <c r="F8290" s="27" t="s">
        <v>16342</v>
      </c>
      <c r="G8290" s="27"/>
      <c r="H8290" s="16" t="str">
        <f>IF(ISBLANK(PARTIDAS!$G8290),PARTIDAS!$F8290,CONCATENATE(PARTIDAS!$F8290," (",PARTIDAS!$G8290,")"))</f>
        <v>Colecciones y piezas de colección que tengan un interés numismático (los demás)</v>
      </c>
      <c r="I8290" s="16" t="s">
        <v>9427</v>
      </c>
    </row>
    <row r="8291" spans="1:9" x14ac:dyDescent="0.25">
      <c r="A8291" s="16" t="s">
        <v>9097</v>
      </c>
      <c r="B8291" s="16" t="str">
        <f>TEXT(PARTIDA[[#This Row],[PARTIDA]],"0000000000")</f>
        <v>9706000000</v>
      </c>
      <c r="C8291" s="16" t="s">
        <v>786</v>
      </c>
      <c r="D8291" s="16" t="s">
        <v>787</v>
      </c>
      <c r="E8291" s="16" t="s">
        <v>797</v>
      </c>
      <c r="F8291" s="27" t="s">
        <v>9098</v>
      </c>
      <c r="G8291" s="27"/>
      <c r="H8291" s="16" t="str">
        <f>IF(ISBLANK(PARTIDAS!$G8291),PARTIDAS!$F8291,CONCATENATE(PARTIDAS!$F8291," (",PARTIDAS!$G8291,")"))</f>
        <v>Antigüedades de más de cien años</v>
      </c>
      <c r="I8291" s="16" t="s">
        <v>9648</v>
      </c>
    </row>
    <row r="8292" spans="1:9" x14ac:dyDescent="0.25">
      <c r="A8292" s="16" t="s">
        <v>16343</v>
      </c>
      <c r="B8292" s="16" t="str">
        <f>TEXT(PARTIDA[[#This Row],[PARTIDA]],"0000000000")</f>
        <v>9706100000</v>
      </c>
      <c r="C8292" s="16" t="s">
        <v>786</v>
      </c>
      <c r="D8292" s="16" t="s">
        <v>787</v>
      </c>
      <c r="E8292" s="16" t="s">
        <v>797</v>
      </c>
      <c r="F8292" s="27" t="s">
        <v>16344</v>
      </c>
      <c r="G8292" s="27"/>
      <c r="H8292" s="16" t="str">
        <f>IF(ISBLANK(PARTIDAS!$G8292),PARTIDAS!$F8292,CONCATENATE(PARTIDAS!$F8292," (",PARTIDAS!$G8292,")"))</f>
        <v>Antigüedades de más de cien años, de más de 250 años</v>
      </c>
      <c r="I8292" s="16" t="s">
        <v>9427</v>
      </c>
    </row>
    <row r="8293" spans="1:9" x14ac:dyDescent="0.25">
      <c r="A8293" s="16" t="s">
        <v>16345</v>
      </c>
      <c r="B8293" s="16" t="str">
        <f>TEXT(PARTIDA[[#This Row],[PARTIDA]],"0000000000")</f>
        <v>9706900000</v>
      </c>
      <c r="C8293" s="16" t="s">
        <v>786</v>
      </c>
      <c r="D8293" s="16" t="s">
        <v>787</v>
      </c>
      <c r="E8293" s="16" t="s">
        <v>797</v>
      </c>
      <c r="F8293" s="27" t="s">
        <v>16346</v>
      </c>
      <c r="G8293" s="27"/>
      <c r="H8293" s="16" t="str">
        <f>IF(ISBLANK(PARTIDAS!$G8293),PARTIDAS!$F8293,CONCATENATE(PARTIDAS!$F8293," (",PARTIDAS!$G8293,")"))</f>
        <v>Antigüedades de más de cien años (los demás)</v>
      </c>
      <c r="I8293" s="16" t="s">
        <v>9427</v>
      </c>
    </row>
    <row r="8294" spans="1:9" x14ac:dyDescent="0.25">
      <c r="A8294" s="16" t="s">
        <v>16347</v>
      </c>
      <c r="B8294" s="16" t="str">
        <f>TEXT(PARTIDA[[#This Row],[PARTIDA]],"0000000000")</f>
        <v>9801000010</v>
      </c>
      <c r="C8294" s="16" t="s">
        <v>786</v>
      </c>
      <c r="D8294" s="16" t="s">
        <v>812</v>
      </c>
      <c r="E8294" s="16" t="s">
        <v>812</v>
      </c>
      <c r="F8294" s="27" t="s">
        <v>16348</v>
      </c>
      <c r="G8294" s="27"/>
      <c r="H8294" s="16" t="str">
        <f>IF(ISBLANK(PARTIDAS!$G8294),PARTIDAS!$F8294,CONCATENATE(PARTIDAS!$F8294," (",PARTIDAS!$G8294,")"))</f>
        <v>Equipaje exonerado del pago de derecho</v>
      </c>
      <c r="I8294" s="16" t="s">
        <v>9427</v>
      </c>
    </row>
    <row r="8295" spans="1:9" x14ac:dyDescent="0.25">
      <c r="A8295" s="16" t="s">
        <v>16349</v>
      </c>
      <c r="B8295" s="16" t="str">
        <f>TEXT(PARTIDA[[#This Row],[PARTIDA]],"0000000000")</f>
        <v>9801000020</v>
      </c>
      <c r="C8295" s="16" t="s">
        <v>786</v>
      </c>
      <c r="D8295" s="16" t="s">
        <v>812</v>
      </c>
      <c r="E8295" s="16" t="s">
        <v>812</v>
      </c>
      <c r="F8295" s="27" t="s">
        <v>16350</v>
      </c>
      <c r="G8295" s="27"/>
      <c r="H8295" s="16" t="str">
        <f>IF(ISBLANK(PARTIDAS!$G8295),PARTIDAS!$F8295,CONCATENATE(PARTIDAS!$F8295," (",PARTIDAS!$G8295,")"))</f>
        <v>Equipaje y menaje de casa de peruanos que fallecen fuera del Perú</v>
      </c>
      <c r="I8295" s="16" t="s">
        <v>9427</v>
      </c>
    </row>
    <row r="8296" spans="1:9" x14ac:dyDescent="0.25">
      <c r="A8296" s="16" t="s">
        <v>16351</v>
      </c>
      <c r="B8296" s="16" t="str">
        <f>TEXT(PARTIDA[[#This Row],[PARTIDA]],"0000000000")</f>
        <v>9803000010</v>
      </c>
      <c r="C8296" s="16" t="s">
        <v>786</v>
      </c>
      <c r="D8296" s="16" t="s">
        <v>812</v>
      </c>
      <c r="E8296" s="16" t="s">
        <v>812</v>
      </c>
      <c r="F8296" s="27" t="s">
        <v>16352</v>
      </c>
      <c r="G8296" s="27"/>
      <c r="H8296" s="16" t="str">
        <f>IF(ISBLANK(PARTIDAS!$G8296),PARTIDAS!$F8296,CONCATENATE(PARTIDAS!$F8296," (",PARTIDAS!$G8296,")"))</f>
        <v>Muestras comerciales de valor insignificante</v>
      </c>
      <c r="I8296" s="16" t="s">
        <v>9427</v>
      </c>
    </row>
    <row r="8297" spans="1:9" x14ac:dyDescent="0.25">
      <c r="A8297" s="16" t="s">
        <v>16353</v>
      </c>
      <c r="B8297" s="16" t="str">
        <f>TEXT(PARTIDA[[#This Row],[PARTIDA]],"0000000000")</f>
        <v>9803000020</v>
      </c>
      <c r="C8297" s="16" t="s">
        <v>786</v>
      </c>
      <c r="D8297" s="16" t="s">
        <v>812</v>
      </c>
      <c r="E8297" s="16" t="s">
        <v>812</v>
      </c>
      <c r="F8297" s="27" t="s">
        <v>16354</v>
      </c>
      <c r="G8297" s="27"/>
      <c r="H8297" s="16" t="str">
        <f>IF(ISBLANK(PARTIDAS!$G8297),PARTIDAS!$F8297,CONCATENATE(PARTIDAS!$F8297," (",PARTIDAS!$G8297,")"))</f>
        <v>Materiales de publicidad impresos</v>
      </c>
      <c r="I8297" s="16" t="s">
        <v>9427</v>
      </c>
    </row>
    <row r="8298" spans="1:9" x14ac:dyDescent="0.25">
      <c r="A8298" s="16" t="s">
        <v>16355</v>
      </c>
      <c r="B8298" s="16" t="str">
        <f>TEXT(PARTIDA[[#This Row],[PARTIDA]],"0000000000")</f>
        <v>9804000000</v>
      </c>
      <c r="C8298" s="16" t="s">
        <v>786</v>
      </c>
      <c r="D8298" s="16" t="s">
        <v>812</v>
      </c>
      <c r="E8298" s="16" t="s">
        <v>812</v>
      </c>
      <c r="F8298" s="27" t="s">
        <v>16356</v>
      </c>
      <c r="G8298" s="27"/>
      <c r="H8298" s="16" t="str">
        <f>IF(ISBLANK(PARTIDAS!$G8298),PARTIDAS!$F8298,CONCATENATE(PARTIDAS!$F8298," (",PARTIDAS!$G8298,")"))</f>
        <v>Mercancías que cuentan con Resolución Liberatoria o Nota Protocolar, excepto vehículos automóviles</v>
      </c>
      <c r="I8298" s="16" t="s">
        <v>9427</v>
      </c>
    </row>
    <row r="8299" spans="1:9" x14ac:dyDescent="0.25">
      <c r="A8299" s="16" t="s">
        <v>16357</v>
      </c>
      <c r="B8299" s="16" t="str">
        <f>TEXT(PARTIDA[[#This Row],[PARTIDA]],"0000000000")</f>
        <v>9805000000</v>
      </c>
      <c r="C8299" s="16" t="s">
        <v>786</v>
      </c>
      <c r="D8299" s="16" t="s">
        <v>812</v>
      </c>
      <c r="E8299" s="16" t="s">
        <v>812</v>
      </c>
      <c r="F8299" s="27" t="s">
        <v>16358</v>
      </c>
      <c r="G8299" s="27"/>
      <c r="H8299" s="16" t="str">
        <f>IF(ISBLANK(PARTIDAS!$G8299),PARTIDAS!$F8299,CONCATENATE(PARTIDAS!$F8299," (",PARTIDAS!$G8299,")"))</f>
        <v>Mercancías para atender las necesidades de las zonas afectadas por desastres naturales, declaradas en estado de emergencia</v>
      </c>
      <c r="I8299" s="16" t="s">
        <v>9427</v>
      </c>
    </row>
    <row r="8300" spans="1:9" x14ac:dyDescent="0.25">
      <c r="A8300" s="16" t="s">
        <v>16359</v>
      </c>
      <c r="B8300" s="16" t="str">
        <f>TEXT(PARTIDA[[#This Row],[PARTIDA]],"0000000000")</f>
        <v>9806000000</v>
      </c>
      <c r="C8300" s="16" t="s">
        <v>786</v>
      </c>
      <c r="D8300" s="16" t="s">
        <v>812</v>
      </c>
      <c r="E8300" s="16" t="s">
        <v>812</v>
      </c>
      <c r="F8300" s="27" t="s">
        <v>16360</v>
      </c>
      <c r="G8300" s="27"/>
      <c r="H8300" s="16" t="str">
        <f>IF(ISBLANK(PARTIDAS!$G8300),PARTIDAS!$F8300,CONCATENATE(PARTIDAS!$F8300," (",PARTIDAS!$G8300,")"))</f>
        <v>Mercancías de ayuda humanitaria que ingresen al amparo del artículo 2º de la Ley Nº 29081</v>
      </c>
      <c r="I8300" s="16" t="s">
        <v>9427</v>
      </c>
    </row>
    <row r="8301" spans="1:9" x14ac:dyDescent="0.25">
      <c r="A8301" s="16" t="s">
        <v>16361</v>
      </c>
      <c r="B8301" s="16" t="str">
        <f>TEXT(PARTIDA[[#This Row],[PARTIDA]],"0000000000")</f>
        <v>9809000010</v>
      </c>
      <c r="C8301" s="16" t="s">
        <v>786</v>
      </c>
      <c r="D8301" s="16" t="s">
        <v>812</v>
      </c>
      <c r="E8301" s="16" t="s">
        <v>812</v>
      </c>
      <c r="F8301" s="27" t="s">
        <v>16362</v>
      </c>
      <c r="G8301" s="27"/>
      <c r="H8301" s="16" t="str">
        <f>IF(ISBLANK(PARTIDAS!$G8301),PARTIDAS!$F8301,CONCATENATE(PARTIDAS!$F8301," (",PARTIDAS!$G8301,")"))</f>
        <v>Correspondencia, documentos, diarios y publicaciones periódicas, sin fines comerciales</v>
      </c>
      <c r="I8301" s="16" t="s">
        <v>9427</v>
      </c>
    </row>
    <row r="8302" spans="1:9" x14ac:dyDescent="0.25">
      <c r="A8302" s="16" t="s">
        <v>16363</v>
      </c>
      <c r="B8302" s="16" t="str">
        <f>TEXT(PARTIDA[[#This Row],[PARTIDA]],"0000000000")</f>
        <v>9809000020</v>
      </c>
      <c r="C8302" s="16" t="s">
        <v>786</v>
      </c>
      <c r="D8302" s="16" t="s">
        <v>812</v>
      </c>
      <c r="E8302" s="16" t="s">
        <v>812</v>
      </c>
      <c r="F8302" s="27" t="s">
        <v>16364</v>
      </c>
      <c r="G8302" s="27"/>
      <c r="H8302" s="16" t="str">
        <f>IF(ISBLANK(PARTIDAS!$G8302),PARTIDAS!$F8302,CONCATENATE(PARTIDAS!$F8302," (",PARTIDAS!$G8302,")"))</f>
        <v>Mercancía hasta por un valor FOB de doscientos y 00/100 dólares de los Estados Unidos de América (US$ 200,00) por envío</v>
      </c>
      <c r="I8302" s="16" t="s">
        <v>9427</v>
      </c>
    </row>
    <row r="8303" spans="1:9" x14ac:dyDescent="0.25">
      <c r="A8303" s="16" t="s">
        <v>16365</v>
      </c>
      <c r="B8303" s="16" t="str">
        <f>TEXT(PARTIDA[[#This Row],[PARTIDA]],"0000000000")</f>
        <v>9809000030</v>
      </c>
      <c r="C8303" s="16" t="s">
        <v>786</v>
      </c>
      <c r="D8303" s="16" t="s">
        <v>812</v>
      </c>
      <c r="E8303" s="16" t="s">
        <v>812</v>
      </c>
      <c r="F8303" s="27" t="s">
        <v>16366</v>
      </c>
      <c r="G8303" s="27"/>
      <c r="H8303" s="16" t="str">
        <f>IF(ISBLANK(PARTIDAS!$G8303),PARTIDAS!$F8303,CONCATENATE(PARTIDAS!$F8303," (",PARTIDAS!$G8303,")"))</f>
        <v xml:space="preserve">Mercancía cuyo valor FOB sea superior a doscientos y 00/100 dólares de los Estados Unidos de América (US$ 200,00) hasta un máximo de dos mil y 00/100 </v>
      </c>
      <c r="I8303" s="16" t="s">
        <v>9427</v>
      </c>
    </row>
    <row r="8304" spans="1:9" x14ac:dyDescent="0.25">
      <c r="A8304" s="16" t="s">
        <v>16367</v>
      </c>
      <c r="B8304" s="16" t="str">
        <f>TEXT(PARTIDA[[#This Row],[PARTIDA]],"0000000000")</f>
        <v>9809000040</v>
      </c>
      <c r="C8304" s="16" t="s">
        <v>786</v>
      </c>
      <c r="D8304" s="16" t="s">
        <v>812</v>
      </c>
      <c r="E8304" s="16" t="s">
        <v>812</v>
      </c>
      <c r="F8304" s="27" t="s">
        <v>16368</v>
      </c>
      <c r="G8304" s="27"/>
      <c r="H8304" s="16" t="str">
        <f>IF(ISBLANK(PARTIDAS!$G8304),PARTIDAS!$F8304,CONCATENATE(PARTIDAS!$F8304," (",PARTIDAS!$G8304,")"))</f>
        <v>Medicamentos para el tratamiento de enfermedades oncológicas, VIH/SIDA y diabetes, cuyo valor FOB no exceda de diez mil y 00/100 dólares de los Estado</v>
      </c>
      <c r="I8304" s="16" t="s">
        <v>9427</v>
      </c>
    </row>
    <row r="8305" spans="1:9" x14ac:dyDescent="0.25">
      <c r="A8305" s="16" t="s">
        <v>16369</v>
      </c>
      <c r="B8305" s="16" t="str">
        <f>TEXT(PARTIDA[[#This Row],[PARTIDA]],"0000000000")</f>
        <v>9810000010</v>
      </c>
      <c r="C8305" s="16" t="s">
        <v>786</v>
      </c>
      <c r="D8305" s="16" t="s">
        <v>812</v>
      </c>
      <c r="E8305" s="16" t="s">
        <v>812</v>
      </c>
      <c r="F8305" s="27" t="s">
        <v>16370</v>
      </c>
      <c r="G8305" s="27"/>
      <c r="H8305" s="16" t="str">
        <f>IF(ISBLANK(PARTIDAS!$G8305),PARTIDAS!$F8305,CONCATENATE(PARTIDAS!$F8305," (",PARTIDAS!$G8305,")"))</f>
        <v>Mercancías hasta por un valor FOB de doscientos y 00/100 dólares de los Estados Unidos de América (US $ 200,00) por envío postal</v>
      </c>
      <c r="I8305" s="16" t="s">
        <v>9427</v>
      </c>
    </row>
    <row r="8306" spans="1:9" x14ac:dyDescent="0.25">
      <c r="A8306" s="16" t="s">
        <v>16371</v>
      </c>
      <c r="B8306" s="16" t="str">
        <f>TEXT(PARTIDA[[#This Row],[PARTIDA]],"0000000000")</f>
        <v>9810000020</v>
      </c>
      <c r="C8306" s="16" t="s">
        <v>786</v>
      </c>
      <c r="D8306" s="16" t="s">
        <v>812</v>
      </c>
      <c r="E8306" s="16" t="s">
        <v>812</v>
      </c>
      <c r="F8306" s="27" t="s">
        <v>16372</v>
      </c>
      <c r="G8306" s="27"/>
      <c r="H8306" s="16" t="str">
        <f>IF(ISBLANK(PARTIDAS!$G8306),PARTIDAS!$F8306,CONCATENATE(PARTIDAS!$F8306," (",PARTIDAS!$G8306,")"))</f>
        <v>Mercancías cuyo valor FOB sea superior a doscientos y 00/100 dólares de los Estados Unidos de América (US $ 200,00) hasta un máximo de dos mil y 00/10</v>
      </c>
      <c r="I8306" s="16" t="s">
        <v>9427</v>
      </c>
    </row>
  </sheetData>
  <conditionalFormatting sqref="B1:E1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70C0"/>
  </sheetPr>
  <dimension ref="A1:S28"/>
  <sheetViews>
    <sheetView tabSelected="1" workbookViewId="0">
      <selection activeCell="G19" sqref="G19"/>
    </sheetView>
  </sheetViews>
  <sheetFormatPr baseColWidth="10" defaultColWidth="9.140625" defaultRowHeight="15" x14ac:dyDescent="0.25"/>
  <cols>
    <col min="1" max="1" width="36" customWidth="1"/>
    <col min="2" max="13" width="9" customWidth="1"/>
    <col min="14" max="14" width="10" customWidth="1"/>
    <col min="15" max="15" width="34" customWidth="1"/>
    <col min="16" max="16" width="2" customWidth="1"/>
    <col min="17" max="17" width="18" customWidth="1"/>
    <col min="18" max="18" width="10" customWidth="1"/>
    <col min="19" max="19" width="60" customWidth="1"/>
  </cols>
  <sheetData>
    <row r="1" spans="1:19" x14ac:dyDescent="0.25">
      <c r="A1" s="51" t="s">
        <v>16373</v>
      </c>
    </row>
    <row r="2" spans="1:19" x14ac:dyDescent="0.25">
      <c r="A2" s="51" t="s">
        <v>16374</v>
      </c>
      <c r="Q2" s="61" t="s">
        <v>16375</v>
      </c>
      <c r="R2" s="62">
        <v>2026</v>
      </c>
      <c r="S2" s="59" t="s">
        <v>16376</v>
      </c>
    </row>
    <row r="3" spans="1:19" x14ac:dyDescent="0.25">
      <c r="A3" s="51" t="s">
        <v>16377</v>
      </c>
      <c r="Q3" s="61" t="s">
        <v>16378</v>
      </c>
      <c r="R3" s="62"/>
      <c r="S3" s="59" t="s">
        <v>16379</v>
      </c>
    </row>
    <row r="4" spans="1:19" x14ac:dyDescent="0.25">
      <c r="B4" s="58">
        <f>$R$2</f>
        <v>2026</v>
      </c>
      <c r="N4" s="67" t="s">
        <v>16380</v>
      </c>
      <c r="Q4" s="61" t="s">
        <v>16381</v>
      </c>
      <c r="R4" s="62" t="s">
        <v>3</v>
      </c>
      <c r="S4" s="59" t="s">
        <v>16382</v>
      </c>
    </row>
    <row r="5" spans="1:19" x14ac:dyDescent="0.25">
      <c r="B5" s="58" t="s">
        <v>16383</v>
      </c>
      <c r="C5" s="58" t="s">
        <v>16384</v>
      </c>
      <c r="D5" s="58" t="s">
        <v>16385</v>
      </c>
      <c r="E5" s="58" t="s">
        <v>16386</v>
      </c>
      <c r="F5" s="58" t="s">
        <v>16387</v>
      </c>
      <c r="G5" s="58" t="s">
        <v>16388</v>
      </c>
      <c r="H5" s="58" t="s">
        <v>16389</v>
      </c>
      <c r="I5" s="58" t="s">
        <v>16390</v>
      </c>
      <c r="J5" s="58" t="s">
        <v>16391</v>
      </c>
      <c r="K5" s="58" t="s">
        <v>16392</v>
      </c>
      <c r="L5" s="58" t="s">
        <v>16393</v>
      </c>
      <c r="M5" s="58" t="s">
        <v>16394</v>
      </c>
      <c r="N5" s="67">
        <f>$R$2</f>
        <v>2026</v>
      </c>
      <c r="Q5" s="61" t="s">
        <v>16395</v>
      </c>
      <c r="R5" s="62" t="s">
        <v>11</v>
      </c>
      <c r="S5" s="59" t="s">
        <v>16396</v>
      </c>
    </row>
    <row r="6" spans="1:19" x14ac:dyDescent="0.25">
      <c r="A6" s="60" t="s">
        <v>16397</v>
      </c>
      <c r="B6" s="60">
        <f>$R$2*100+1</f>
        <v>202601</v>
      </c>
      <c r="C6" s="60">
        <f>$R$2*100+2</f>
        <v>202602</v>
      </c>
      <c r="D6" s="60">
        <f>$R$2*100+3</f>
        <v>202603</v>
      </c>
      <c r="E6" s="60">
        <f>$R$2*100+4</f>
        <v>202604</v>
      </c>
      <c r="F6" s="60">
        <f>$R$2*100+5</f>
        <v>202605</v>
      </c>
      <c r="G6" s="60">
        <f>$R$2*100+6</f>
        <v>202606</v>
      </c>
      <c r="H6" s="60">
        <f>$R$2*100+7</f>
        <v>202607</v>
      </c>
      <c r="I6" s="60">
        <f>$R$2*100+8</f>
        <v>202608</v>
      </c>
      <c r="J6" s="60">
        <f>$R$2*100+9</f>
        <v>202609</v>
      </c>
      <c r="K6" s="60">
        <f>$R$2*100+10</f>
        <v>202610</v>
      </c>
      <c r="L6" s="60">
        <f>$R$2*100+11</f>
        <v>202611</v>
      </c>
      <c r="M6" s="60">
        <f>$R$2*100+12</f>
        <v>202612</v>
      </c>
      <c r="Q6" s="61" t="s">
        <v>16398</v>
      </c>
      <c r="R6" s="62" t="s">
        <v>16399</v>
      </c>
      <c r="S6" s="59" t="s">
        <v>16400</v>
      </c>
    </row>
    <row r="7" spans="1:19" x14ac:dyDescent="0.25">
      <c r="A7" s="52" t="s">
        <v>16401</v>
      </c>
      <c r="B7" s="53">
        <f t="shared" ref="B7:M7" si="0">B9+B13+B17</f>
        <v>440</v>
      </c>
      <c r="C7" s="53">
        <f t="shared" si="0"/>
        <v>0</v>
      </c>
      <c r="D7" s="53">
        <f t="shared" si="0"/>
        <v>2005</v>
      </c>
      <c r="E7" s="53">
        <f t="shared" si="0"/>
        <v>0</v>
      </c>
      <c r="F7" s="53">
        <f t="shared" si="0"/>
        <v>1319</v>
      </c>
      <c r="G7" s="53">
        <f t="shared" si="0"/>
        <v>675</v>
      </c>
      <c r="H7" s="53">
        <f t="shared" si="0"/>
        <v>0</v>
      </c>
      <c r="I7" s="53">
        <f t="shared" si="0"/>
        <v>8830</v>
      </c>
      <c r="J7" s="53">
        <f t="shared" si="0"/>
        <v>0</v>
      </c>
      <c r="K7" s="53">
        <f t="shared" si="0"/>
        <v>0</v>
      </c>
      <c r="L7" s="53">
        <f t="shared" si="0"/>
        <v>0</v>
      </c>
      <c r="M7" s="53">
        <f t="shared" si="0"/>
        <v>0</v>
      </c>
      <c r="N7" s="53">
        <f>SUM(B7:M7)</f>
        <v>13269</v>
      </c>
    </row>
    <row r="9" spans="1:19" x14ac:dyDescent="0.25">
      <c r="A9" s="54" t="s">
        <v>786</v>
      </c>
      <c r="B9" s="55">
        <f t="shared" ref="B9:M9" si="1">SUM(B10:B12)</f>
        <v>0</v>
      </c>
      <c r="C9" s="55">
        <f t="shared" si="1"/>
        <v>0</v>
      </c>
      <c r="D9" s="55">
        <f t="shared" si="1"/>
        <v>1002</v>
      </c>
      <c r="E9" s="55">
        <f t="shared" si="1"/>
        <v>0</v>
      </c>
      <c r="F9" s="55">
        <f t="shared" si="1"/>
        <v>0</v>
      </c>
      <c r="G9" s="55">
        <f t="shared" si="1"/>
        <v>2</v>
      </c>
      <c r="H9" s="55">
        <f t="shared" si="1"/>
        <v>0</v>
      </c>
      <c r="I9" s="55">
        <f t="shared" si="1"/>
        <v>29</v>
      </c>
      <c r="J9" s="55">
        <f t="shared" si="1"/>
        <v>0</v>
      </c>
      <c r="K9" s="55">
        <f t="shared" si="1"/>
        <v>0</v>
      </c>
      <c r="L9" s="55">
        <f t="shared" si="1"/>
        <v>0</v>
      </c>
      <c r="M9" s="55">
        <f t="shared" si="1"/>
        <v>0</v>
      </c>
      <c r="N9" s="55">
        <f t="shared" ref="N9:N21" si="2">SUM(B9:M9)</f>
        <v>1033</v>
      </c>
    </row>
    <row r="10" spans="1:19" x14ac:dyDescent="0.25">
      <c r="A10" s="56" t="s">
        <v>16402</v>
      </c>
      <c r="B10" s="57" t="str">
        <f t="array" ref="B10">_xlfn.LET(_xlpm.v,ROUND(SUMPRODUCT((Cuadro[CATEGORÍA]=$O10)*(IF($R$5="FENUM",IFERROR(--Cuadro[FENUM],0),IFERROR(YEAR(Cuadro[FECHA])*100+MONTH(Cuadro[FECHA]),0))=B$6)*((($R$3="")+(IFERROR(--Cuadro[ADUANA],0)=$R$3))&gt;0)*IF($R$6="FILA",ROUND(IF($R$4="CIF",Cuadro[CIF],IFERROR(--Cuadro[FOB],0))/1000,0)*1000,IF($R$4="CIF",Cuadro[CIF],IFERROR(--Cuadro[FOB],0))))/1000,0),IF(_xlpm.v=0,"",_xlpm.v))</f>
        <v/>
      </c>
      <c r="C10" s="57" t="str">
        <f t="array" ref="C10">_xlfn.LET(_xlpm.v,ROUND(SUMPRODUCT((Cuadro[CATEGORÍA]=$O10)*(IF($R$5="FENUM",IFERROR(--Cuadro[FENUM],0),IFERROR(YEAR(Cuadro[FECHA])*100+MONTH(Cuadro[FECHA]),0))=C$6)*((($R$3="")+(IFERROR(--Cuadro[ADUANA],0)=$R$3))&gt;0)*IF($R$6="FILA",ROUND(IF($R$4="CIF",Cuadro[CIF],IFERROR(--Cuadro[FOB],0))/1000,0)*1000,IF($R$4="CIF",Cuadro[CIF],IFERROR(--Cuadro[FOB],0))))/1000,0),IF(_xlpm.v=0,"",_xlpm.v))</f>
        <v/>
      </c>
      <c r="D10" s="57">
        <f t="array" ref="D10">_xlfn.LET(_xlpm.v,ROUND(SUMPRODUCT((Cuadro[CATEGORÍA]=$O10)*(IF($R$5="FENUM",IFERROR(--Cuadro[FENUM],0),IFERROR(YEAR(Cuadro[FECHA])*100+MONTH(Cuadro[FECHA]),0))=D$6)*((($R$3="")+(IFERROR(--Cuadro[ADUANA],0)=$R$3))&gt;0)*IF($R$6="FILA",ROUND(IF($R$4="CIF",Cuadro[CIF],IFERROR(--Cuadro[FOB],0))/1000,0)*1000,IF($R$4="CIF",Cuadro[CIF],IFERROR(--Cuadro[FOB],0))))/1000,0),IF(_xlpm.v=0,"",_xlpm.v))</f>
        <v>1002</v>
      </c>
      <c r="E10" s="57" t="str">
        <f t="array" ref="E10">_xlfn.LET(_xlpm.v,ROUND(SUMPRODUCT((Cuadro[CATEGORÍA]=$O10)*(IF($R$5="FENUM",IFERROR(--Cuadro[FENUM],0),IFERROR(YEAR(Cuadro[FECHA])*100+MONTH(Cuadro[FECHA]),0))=E$6)*((($R$3="")+(IFERROR(--Cuadro[ADUANA],0)=$R$3))&gt;0)*IF($R$6="FILA",ROUND(IF($R$4="CIF",Cuadro[CIF],IFERROR(--Cuadro[FOB],0))/1000,0)*1000,IF($R$4="CIF",Cuadro[CIF],IFERROR(--Cuadro[FOB],0))))/1000,0),IF(_xlpm.v=0,"",_xlpm.v))</f>
        <v/>
      </c>
      <c r="F10" s="57" t="str">
        <f t="array" ref="F10">_xlfn.LET(_xlpm.v,ROUND(SUMPRODUCT((Cuadro[CATEGORÍA]=$O10)*(IF($R$5="FENUM",IFERROR(--Cuadro[FENUM],0),IFERROR(YEAR(Cuadro[FECHA])*100+MONTH(Cuadro[FECHA]),0))=F$6)*((($R$3="")+(IFERROR(--Cuadro[ADUANA],0)=$R$3))&gt;0)*IF($R$6="FILA",ROUND(IF($R$4="CIF",Cuadro[CIF],IFERROR(--Cuadro[FOB],0))/1000,0)*1000,IF($R$4="CIF",Cuadro[CIF],IFERROR(--Cuadro[FOB],0))))/1000,0),IF(_xlpm.v=0,"",_xlpm.v))</f>
        <v/>
      </c>
      <c r="G10" s="57" t="str">
        <f t="array" ref="G10">_xlfn.LET(_xlpm.v,ROUND(SUMPRODUCT((Cuadro[CATEGORÍA]=$O10)*(IF($R$5="FENUM",IFERROR(--Cuadro[FENUM],0),IFERROR(YEAR(Cuadro[FECHA])*100+MONTH(Cuadro[FECHA]),0))=G$6)*((($R$3="")+(IFERROR(--Cuadro[ADUANA],0)=$R$3))&gt;0)*IF($R$6="FILA",ROUND(IF($R$4="CIF",Cuadro[CIF],IFERROR(--Cuadro[FOB],0))/1000,0)*1000,IF($R$4="CIF",Cuadro[CIF],IFERROR(--Cuadro[FOB],0))))/1000,0),IF(_xlpm.v=0,"",_xlpm.v))</f>
        <v/>
      </c>
      <c r="H10" s="57" t="str">
        <f t="array" ref="H10">_xlfn.LET(_xlpm.v,ROUND(SUMPRODUCT((Cuadro[CATEGORÍA]=$O10)*(IF($R$5="FENUM",IFERROR(--Cuadro[FENUM],0),IFERROR(YEAR(Cuadro[FECHA])*100+MONTH(Cuadro[FECHA]),0))=H$6)*((($R$3="")+(IFERROR(--Cuadro[ADUANA],0)=$R$3))&gt;0)*IF($R$6="FILA",ROUND(IF($R$4="CIF",Cuadro[CIF],IFERROR(--Cuadro[FOB],0))/1000,0)*1000,IF($R$4="CIF",Cuadro[CIF],IFERROR(--Cuadro[FOB],0))))/1000,0),IF(_xlpm.v=0,"",_xlpm.v))</f>
        <v/>
      </c>
      <c r="I10" s="57">
        <f t="array" ref="I10">_xlfn.LET(_xlpm.v,ROUND(SUMPRODUCT((Cuadro[CATEGORÍA]=$O10)*(IF($R$5="FENUM",IFERROR(--Cuadro[FENUM],0),IFERROR(YEAR(Cuadro[FECHA])*100+MONTH(Cuadro[FECHA]),0))=I$6)*((($R$3="")+(IFERROR(--Cuadro[ADUANA],0)=$R$3))&gt;0)*IF($R$6="FILA",ROUND(IF($R$4="CIF",Cuadro[CIF],IFERROR(--Cuadro[FOB],0))/1000,0)*1000,IF($R$4="CIF",Cuadro[CIF],IFERROR(--Cuadro[FOB],0))))/1000,0),IF(_xlpm.v=0,"",_xlpm.v))</f>
        <v>20</v>
      </c>
      <c r="J10" s="57" t="str">
        <f t="array" ref="J10">_xlfn.LET(_xlpm.v,ROUND(SUMPRODUCT((Cuadro[CATEGORÍA]=$O10)*(IF($R$5="FENUM",IFERROR(--Cuadro[FENUM],0),IFERROR(YEAR(Cuadro[FECHA])*100+MONTH(Cuadro[FECHA]),0))=J$6)*((($R$3="")+(IFERROR(--Cuadro[ADUANA],0)=$R$3))&gt;0)*IF($R$6="FILA",ROUND(IF($R$4="CIF",Cuadro[CIF],IFERROR(--Cuadro[FOB],0))/1000,0)*1000,IF($R$4="CIF",Cuadro[CIF],IFERROR(--Cuadro[FOB],0))))/1000,0),IF(_xlpm.v=0,"",_xlpm.v))</f>
        <v/>
      </c>
      <c r="K10" s="57" t="str">
        <f t="array" ref="K10">_xlfn.LET(_xlpm.v,ROUND(SUMPRODUCT((Cuadro[CATEGORÍA]=$O10)*(IF($R$5="FENUM",IFERROR(--Cuadro[FENUM],0),IFERROR(YEAR(Cuadro[FECHA])*100+MONTH(Cuadro[FECHA]),0))=K$6)*((($R$3="")+(IFERROR(--Cuadro[ADUANA],0)=$R$3))&gt;0)*IF($R$6="FILA",ROUND(IF($R$4="CIF",Cuadro[CIF],IFERROR(--Cuadro[FOB],0))/1000,0)*1000,IF($R$4="CIF",Cuadro[CIF],IFERROR(--Cuadro[FOB],0))))/1000,0),IF(_xlpm.v=0,"",_xlpm.v))</f>
        <v/>
      </c>
      <c r="L10" s="57" t="str">
        <f t="array" ref="L10">_xlfn.LET(_xlpm.v,ROUND(SUMPRODUCT((Cuadro[CATEGORÍA]=$O10)*(IF($R$5="FENUM",IFERROR(--Cuadro[FENUM],0),IFERROR(YEAR(Cuadro[FECHA])*100+MONTH(Cuadro[FECHA]),0))=L$6)*((($R$3="")+(IFERROR(--Cuadro[ADUANA],0)=$R$3))&gt;0)*IF($R$6="FILA",ROUND(IF($R$4="CIF",Cuadro[CIF],IFERROR(--Cuadro[FOB],0))/1000,0)*1000,IF($R$4="CIF",Cuadro[CIF],IFERROR(--Cuadro[FOB],0))))/1000,0),IF(_xlpm.v=0,"",_xlpm.v))</f>
        <v/>
      </c>
      <c r="M10" s="57" t="str">
        <f t="array" ref="M10">_xlfn.LET(_xlpm.v,ROUND(SUMPRODUCT((Cuadro[CATEGORÍA]=$O10)*(IF($R$5="FENUM",IFERROR(--Cuadro[FENUM],0),IFERROR(YEAR(Cuadro[FECHA])*100+MONTH(Cuadro[FECHA]),0))=M$6)*((($R$3="")+(IFERROR(--Cuadro[ADUANA],0)=$R$3))&gt;0)*IF($R$6="FILA",ROUND(IF($R$4="CIF",Cuadro[CIF],IFERROR(--Cuadro[FOB],0))/1000,0)*1000,IF($R$4="CIF",Cuadro[CIF],IFERROR(--Cuadro[FOB],0))))/1000,0),IF(_xlpm.v=0,"",_xlpm.v))</f>
        <v/>
      </c>
      <c r="N10" s="57">
        <f t="shared" si="2"/>
        <v>1022</v>
      </c>
      <c r="O10" s="59" t="s">
        <v>787</v>
      </c>
    </row>
    <row r="11" spans="1:19" x14ac:dyDescent="0.25">
      <c r="A11" s="56" t="s">
        <v>16403</v>
      </c>
      <c r="B11" s="57" t="str">
        <f t="array" ref="B11">_xlfn.LET(_xlpm.v,ROUND(SUMPRODUCT((Cuadro[CATEGORÍA]=$O11)*(IF($R$5="FENUM",IFERROR(--Cuadro[FENUM],0),IFERROR(YEAR(Cuadro[FECHA])*100+MONTH(Cuadro[FECHA]),0))=B$6)*((($R$3="")+(IFERROR(--Cuadro[ADUANA],0)=$R$3))&gt;0)*IF($R$6="FILA",ROUND(IF($R$4="CIF",Cuadro[CIF],IFERROR(--Cuadro[FOB],0))/1000,0)*1000,IF($R$4="CIF",Cuadro[CIF],IFERROR(--Cuadro[FOB],0))))/1000,0),IF(_xlpm.v=0,"",_xlpm.v))</f>
        <v/>
      </c>
      <c r="C11" s="57" t="str">
        <f t="array" ref="C11">_xlfn.LET(_xlpm.v,ROUND(SUMPRODUCT((Cuadro[CATEGORÍA]=$O11)*(IF($R$5="FENUM",IFERROR(--Cuadro[FENUM],0),IFERROR(YEAR(Cuadro[FECHA])*100+MONTH(Cuadro[FECHA]),0))=C$6)*((($R$3="")+(IFERROR(--Cuadro[ADUANA],0)=$R$3))&gt;0)*IF($R$6="FILA",ROUND(IF($R$4="CIF",Cuadro[CIF],IFERROR(--Cuadro[FOB],0))/1000,0)*1000,IF($R$4="CIF",Cuadro[CIF],IFERROR(--Cuadro[FOB],0))))/1000,0),IF(_xlpm.v=0,"",_xlpm.v))</f>
        <v/>
      </c>
      <c r="D11" s="57" t="str">
        <f t="array" ref="D11">_xlfn.LET(_xlpm.v,ROUND(SUMPRODUCT((Cuadro[CATEGORÍA]=$O11)*(IF($R$5="FENUM",IFERROR(--Cuadro[FENUM],0),IFERROR(YEAR(Cuadro[FECHA])*100+MONTH(Cuadro[FECHA]),0))=D$6)*((($R$3="")+(IFERROR(--Cuadro[ADUANA],0)=$R$3))&gt;0)*IF($R$6="FILA",ROUND(IF($R$4="CIF",Cuadro[CIF],IFERROR(--Cuadro[FOB],0))/1000,0)*1000,IF($R$4="CIF",Cuadro[CIF],IFERROR(--Cuadro[FOB],0))))/1000,0),IF(_xlpm.v=0,"",_xlpm.v))</f>
        <v/>
      </c>
      <c r="E11" s="57" t="str">
        <f t="array" ref="E11">_xlfn.LET(_xlpm.v,ROUND(SUMPRODUCT((Cuadro[CATEGORÍA]=$O11)*(IF($R$5="FENUM",IFERROR(--Cuadro[FENUM],0),IFERROR(YEAR(Cuadro[FECHA])*100+MONTH(Cuadro[FECHA]),0))=E$6)*((($R$3="")+(IFERROR(--Cuadro[ADUANA],0)=$R$3))&gt;0)*IF($R$6="FILA",ROUND(IF($R$4="CIF",Cuadro[CIF],IFERROR(--Cuadro[FOB],0))/1000,0)*1000,IF($R$4="CIF",Cuadro[CIF],IFERROR(--Cuadro[FOB],0))))/1000,0),IF(_xlpm.v=0,"",_xlpm.v))</f>
        <v/>
      </c>
      <c r="F11" s="57" t="str">
        <f t="array" ref="F11">_xlfn.LET(_xlpm.v,ROUND(SUMPRODUCT((Cuadro[CATEGORÍA]=$O11)*(IF($R$5="FENUM",IFERROR(--Cuadro[FENUM],0),IFERROR(YEAR(Cuadro[FECHA])*100+MONTH(Cuadro[FECHA]),0))=F$6)*((($R$3="")+(IFERROR(--Cuadro[ADUANA],0)=$R$3))&gt;0)*IF($R$6="FILA",ROUND(IF($R$4="CIF",Cuadro[CIF],IFERROR(--Cuadro[FOB],0))/1000,0)*1000,IF($R$4="CIF",Cuadro[CIF],IFERROR(--Cuadro[FOB],0))))/1000,0),IF(_xlpm.v=0,"",_xlpm.v))</f>
        <v/>
      </c>
      <c r="G11" s="57">
        <f t="array" ref="G11">_xlfn.LET(_xlpm.v,ROUND(SUMPRODUCT((Cuadro[CATEGORÍA]=$O11)*(IF($R$5="FENUM",IFERROR(--Cuadro[FENUM],0),IFERROR(YEAR(Cuadro[FECHA])*100+MONTH(Cuadro[FECHA]),0))=G$6)*((($R$3="")+(IFERROR(--Cuadro[ADUANA],0)=$R$3))&gt;0)*IF($R$6="FILA",ROUND(IF($R$4="CIF",Cuadro[CIF],IFERROR(--Cuadro[FOB],0))/1000,0)*1000,IF($R$4="CIF",Cuadro[CIF],IFERROR(--Cuadro[FOB],0))))/1000,0),IF(_xlpm.v=0,"",_xlpm.v))</f>
        <v>2</v>
      </c>
      <c r="H11" s="57" t="str">
        <f t="array" ref="H11">_xlfn.LET(_xlpm.v,ROUND(SUMPRODUCT((Cuadro[CATEGORÍA]=$O11)*(IF($R$5="FENUM",IFERROR(--Cuadro[FENUM],0),IFERROR(YEAR(Cuadro[FECHA])*100+MONTH(Cuadro[FECHA]),0))=H$6)*((($R$3="")+(IFERROR(--Cuadro[ADUANA],0)=$R$3))&gt;0)*IF($R$6="FILA",ROUND(IF($R$4="CIF",Cuadro[CIF],IFERROR(--Cuadro[FOB],0))/1000,0)*1000,IF($R$4="CIF",Cuadro[CIF],IFERROR(--Cuadro[FOB],0))))/1000,0),IF(_xlpm.v=0,"",_xlpm.v))</f>
        <v/>
      </c>
      <c r="I11" s="57">
        <f t="array" ref="I11">_xlfn.LET(_xlpm.v,ROUND(SUMPRODUCT((Cuadro[CATEGORÍA]=$O11)*(IF($R$5="FENUM",IFERROR(--Cuadro[FENUM],0),IFERROR(YEAR(Cuadro[FECHA])*100+MONTH(Cuadro[FECHA]),0))=I$6)*((($R$3="")+(IFERROR(--Cuadro[ADUANA],0)=$R$3))&gt;0)*IF($R$6="FILA",ROUND(IF($R$4="CIF",Cuadro[CIF],IFERROR(--Cuadro[FOB],0))/1000,0)*1000,IF($R$4="CIF",Cuadro[CIF],IFERROR(--Cuadro[FOB],0))))/1000,0),IF(_xlpm.v=0,"",_xlpm.v))</f>
        <v>9</v>
      </c>
      <c r="J11" s="57" t="str">
        <f t="array" ref="J11">_xlfn.LET(_xlpm.v,ROUND(SUMPRODUCT((Cuadro[CATEGORÍA]=$O11)*(IF($R$5="FENUM",IFERROR(--Cuadro[FENUM],0),IFERROR(YEAR(Cuadro[FECHA])*100+MONTH(Cuadro[FECHA]),0))=J$6)*((($R$3="")+(IFERROR(--Cuadro[ADUANA],0)=$R$3))&gt;0)*IF($R$6="FILA",ROUND(IF($R$4="CIF",Cuadro[CIF],IFERROR(--Cuadro[FOB],0))/1000,0)*1000,IF($R$4="CIF",Cuadro[CIF],IFERROR(--Cuadro[FOB],0))))/1000,0),IF(_xlpm.v=0,"",_xlpm.v))</f>
        <v/>
      </c>
      <c r="K11" s="57" t="str">
        <f t="array" ref="K11">_xlfn.LET(_xlpm.v,ROUND(SUMPRODUCT((Cuadro[CATEGORÍA]=$O11)*(IF($R$5="FENUM",IFERROR(--Cuadro[FENUM],0),IFERROR(YEAR(Cuadro[FECHA])*100+MONTH(Cuadro[FECHA]),0))=K$6)*((($R$3="")+(IFERROR(--Cuadro[ADUANA],0)=$R$3))&gt;0)*IF($R$6="FILA",ROUND(IF($R$4="CIF",Cuadro[CIF],IFERROR(--Cuadro[FOB],0))/1000,0)*1000,IF($R$4="CIF",Cuadro[CIF],IFERROR(--Cuadro[FOB],0))))/1000,0),IF(_xlpm.v=0,"",_xlpm.v))</f>
        <v/>
      </c>
      <c r="L11" s="57" t="str">
        <f t="array" ref="L11">_xlfn.LET(_xlpm.v,ROUND(SUMPRODUCT((Cuadro[CATEGORÍA]=$O11)*(IF($R$5="FENUM",IFERROR(--Cuadro[FENUM],0),IFERROR(YEAR(Cuadro[FECHA])*100+MONTH(Cuadro[FECHA]),0))=L$6)*((($R$3="")+(IFERROR(--Cuadro[ADUANA],0)=$R$3))&gt;0)*IF($R$6="FILA",ROUND(IF($R$4="CIF",Cuadro[CIF],IFERROR(--Cuadro[FOB],0))/1000,0)*1000,IF($R$4="CIF",Cuadro[CIF],IFERROR(--Cuadro[FOB],0))))/1000,0),IF(_xlpm.v=0,"",_xlpm.v))</f>
        <v/>
      </c>
      <c r="M11" s="57" t="str">
        <f t="array" ref="M11">_xlfn.LET(_xlpm.v,ROUND(SUMPRODUCT((Cuadro[CATEGORÍA]=$O11)*(IF($R$5="FENUM",IFERROR(--Cuadro[FENUM],0),IFERROR(YEAR(Cuadro[FECHA])*100+MONTH(Cuadro[FECHA]),0))=M$6)*((($R$3="")+(IFERROR(--Cuadro[ADUANA],0)=$R$3))&gt;0)*IF($R$6="FILA",ROUND(IF($R$4="CIF",Cuadro[CIF],IFERROR(--Cuadro[FOB],0))/1000,0)*1000,IF($R$4="CIF",Cuadro[CIF],IFERROR(--Cuadro[FOB],0))))/1000,0),IF(_xlpm.v=0,"",_xlpm.v))</f>
        <v/>
      </c>
      <c r="N11" s="57">
        <f t="shared" si="2"/>
        <v>11</v>
      </c>
      <c r="O11" s="59" t="s">
        <v>799</v>
      </c>
    </row>
    <row r="12" spans="1:19" x14ac:dyDescent="0.25">
      <c r="A12" s="56" t="s">
        <v>16404</v>
      </c>
      <c r="B12" s="57" t="str">
        <f t="array" ref="B12">_xlfn.LET(_xlpm.v,ROUND(SUMPRODUCT((Cuadro[CATEGORÍA]=$O12)*(IF($R$5="FENUM",IFERROR(--Cuadro[FENUM],0),IFERROR(YEAR(Cuadro[FECHA])*100+MONTH(Cuadro[FECHA]),0))=B$6)*((($R$3="")+(IFERROR(--Cuadro[ADUANA],0)=$R$3))&gt;0)*IF($R$6="FILA",ROUND(IF($R$4="CIF",Cuadro[CIF],IFERROR(--Cuadro[FOB],0))/1000,0)*1000,IF($R$4="CIF",Cuadro[CIF],IFERROR(--Cuadro[FOB],0))))/1000,0),IF(_xlpm.v=0,"",_xlpm.v))</f>
        <v/>
      </c>
      <c r="C12" s="57" t="str">
        <f t="array" ref="C12">_xlfn.LET(_xlpm.v,ROUND(SUMPRODUCT((Cuadro[CATEGORÍA]=$O12)*(IF($R$5="FENUM",IFERROR(--Cuadro[FENUM],0),IFERROR(YEAR(Cuadro[FECHA])*100+MONTH(Cuadro[FECHA]),0))=C$6)*((($R$3="")+(IFERROR(--Cuadro[ADUANA],0)=$R$3))&gt;0)*IF($R$6="FILA",ROUND(IF($R$4="CIF",Cuadro[CIF],IFERROR(--Cuadro[FOB],0))/1000,0)*1000,IF($R$4="CIF",Cuadro[CIF],IFERROR(--Cuadro[FOB],0))))/1000,0),IF(_xlpm.v=0,"",_xlpm.v))</f>
        <v/>
      </c>
      <c r="D12" s="57" t="str">
        <f t="array" ref="D12">_xlfn.LET(_xlpm.v,ROUND(SUMPRODUCT((Cuadro[CATEGORÍA]=$O12)*(IF($R$5="FENUM",IFERROR(--Cuadro[FENUM],0),IFERROR(YEAR(Cuadro[FECHA])*100+MONTH(Cuadro[FECHA]),0))=D$6)*((($R$3="")+(IFERROR(--Cuadro[ADUANA],0)=$R$3))&gt;0)*IF($R$6="FILA",ROUND(IF($R$4="CIF",Cuadro[CIF],IFERROR(--Cuadro[FOB],0))/1000,0)*1000,IF($R$4="CIF",Cuadro[CIF],IFERROR(--Cuadro[FOB],0))))/1000,0),IF(_xlpm.v=0,"",_xlpm.v))</f>
        <v/>
      </c>
      <c r="E12" s="57" t="str">
        <f t="array" ref="E12">_xlfn.LET(_xlpm.v,ROUND(SUMPRODUCT((Cuadro[CATEGORÍA]=$O12)*(IF($R$5="FENUM",IFERROR(--Cuadro[FENUM],0),IFERROR(YEAR(Cuadro[FECHA])*100+MONTH(Cuadro[FECHA]),0))=E$6)*((($R$3="")+(IFERROR(--Cuadro[ADUANA],0)=$R$3))&gt;0)*IF($R$6="FILA",ROUND(IF($R$4="CIF",Cuadro[CIF],IFERROR(--Cuadro[FOB],0))/1000,0)*1000,IF($R$4="CIF",Cuadro[CIF],IFERROR(--Cuadro[FOB],0))))/1000,0),IF(_xlpm.v=0,"",_xlpm.v))</f>
        <v/>
      </c>
      <c r="F12" s="57" t="str">
        <f t="array" ref="F12">_xlfn.LET(_xlpm.v,ROUND(SUMPRODUCT((Cuadro[CATEGORÍA]=$O12)*(IF($R$5="FENUM",IFERROR(--Cuadro[FENUM],0),IFERROR(YEAR(Cuadro[FECHA])*100+MONTH(Cuadro[FECHA]),0))=F$6)*((($R$3="")+(IFERROR(--Cuadro[ADUANA],0)=$R$3))&gt;0)*IF($R$6="FILA",ROUND(IF($R$4="CIF",Cuadro[CIF],IFERROR(--Cuadro[FOB],0))/1000,0)*1000,IF($R$4="CIF",Cuadro[CIF],IFERROR(--Cuadro[FOB],0))))/1000,0),IF(_xlpm.v=0,"",_xlpm.v))</f>
        <v/>
      </c>
      <c r="G12" s="57" t="str">
        <f t="array" ref="G12">_xlfn.LET(_xlpm.v,ROUND(SUMPRODUCT((Cuadro[CATEGORÍA]=$O12)*(IF($R$5="FENUM",IFERROR(--Cuadro[FENUM],0),IFERROR(YEAR(Cuadro[FECHA])*100+MONTH(Cuadro[FECHA]),0))=G$6)*((($R$3="")+(IFERROR(--Cuadro[ADUANA],0)=$R$3))&gt;0)*IF($R$6="FILA",ROUND(IF($R$4="CIF",Cuadro[CIF],IFERROR(--Cuadro[FOB],0))/1000,0)*1000,IF($R$4="CIF",Cuadro[CIF],IFERROR(--Cuadro[FOB],0))))/1000,0),IF(_xlpm.v=0,"",_xlpm.v))</f>
        <v/>
      </c>
      <c r="H12" s="57" t="str">
        <f t="array" ref="H12">_xlfn.LET(_xlpm.v,ROUND(SUMPRODUCT((Cuadro[CATEGORÍA]=$O12)*(IF($R$5="FENUM",IFERROR(--Cuadro[FENUM],0),IFERROR(YEAR(Cuadro[FECHA])*100+MONTH(Cuadro[FECHA]),0))=H$6)*((($R$3="")+(IFERROR(--Cuadro[ADUANA],0)=$R$3))&gt;0)*IF($R$6="FILA",ROUND(IF($R$4="CIF",Cuadro[CIF],IFERROR(--Cuadro[FOB],0))/1000,0)*1000,IF($R$4="CIF",Cuadro[CIF],IFERROR(--Cuadro[FOB],0))))/1000,0),IF(_xlpm.v=0,"",_xlpm.v))</f>
        <v/>
      </c>
      <c r="I12" s="57" t="str">
        <f t="array" ref="I12">_xlfn.LET(_xlpm.v,ROUND(SUMPRODUCT((Cuadro[CATEGORÍA]=$O12)*(IF($R$5="FENUM",IFERROR(--Cuadro[FENUM],0),IFERROR(YEAR(Cuadro[FECHA])*100+MONTH(Cuadro[FECHA]),0))=I$6)*((($R$3="")+(IFERROR(--Cuadro[ADUANA],0)=$R$3))&gt;0)*IF($R$6="FILA",ROUND(IF($R$4="CIF",Cuadro[CIF],IFERROR(--Cuadro[FOB],0))/1000,0)*1000,IF($R$4="CIF",Cuadro[CIF],IFERROR(--Cuadro[FOB],0))))/1000,0),IF(_xlpm.v=0,"",_xlpm.v))</f>
        <v/>
      </c>
      <c r="J12" s="57" t="str">
        <f t="array" ref="J12">_xlfn.LET(_xlpm.v,ROUND(SUMPRODUCT((Cuadro[CATEGORÍA]=$O12)*(IF($R$5="FENUM",IFERROR(--Cuadro[FENUM],0),IFERROR(YEAR(Cuadro[FECHA])*100+MONTH(Cuadro[FECHA]),0))=J$6)*((($R$3="")+(IFERROR(--Cuadro[ADUANA],0)=$R$3))&gt;0)*IF($R$6="FILA",ROUND(IF($R$4="CIF",Cuadro[CIF],IFERROR(--Cuadro[FOB],0))/1000,0)*1000,IF($R$4="CIF",Cuadro[CIF],IFERROR(--Cuadro[FOB],0))))/1000,0),IF(_xlpm.v=0,"",_xlpm.v))</f>
        <v/>
      </c>
      <c r="K12" s="57" t="str">
        <f t="array" ref="K12">_xlfn.LET(_xlpm.v,ROUND(SUMPRODUCT((Cuadro[CATEGORÍA]=$O12)*(IF($R$5="FENUM",IFERROR(--Cuadro[FENUM],0),IFERROR(YEAR(Cuadro[FECHA])*100+MONTH(Cuadro[FECHA]),0))=K$6)*((($R$3="")+(IFERROR(--Cuadro[ADUANA],0)=$R$3))&gt;0)*IF($R$6="FILA",ROUND(IF($R$4="CIF",Cuadro[CIF],IFERROR(--Cuadro[FOB],0))/1000,0)*1000,IF($R$4="CIF",Cuadro[CIF],IFERROR(--Cuadro[FOB],0))))/1000,0),IF(_xlpm.v=0,"",_xlpm.v))</f>
        <v/>
      </c>
      <c r="L12" s="57" t="str">
        <f t="array" ref="L12">_xlfn.LET(_xlpm.v,ROUND(SUMPRODUCT((Cuadro[CATEGORÍA]=$O12)*(IF($R$5="FENUM",IFERROR(--Cuadro[FENUM],0),IFERROR(YEAR(Cuadro[FECHA])*100+MONTH(Cuadro[FECHA]),0))=L$6)*((($R$3="")+(IFERROR(--Cuadro[ADUANA],0)=$R$3))&gt;0)*IF($R$6="FILA",ROUND(IF($R$4="CIF",Cuadro[CIF],IFERROR(--Cuadro[FOB],0))/1000,0)*1000,IF($R$4="CIF",Cuadro[CIF],IFERROR(--Cuadro[FOB],0))))/1000,0),IF(_xlpm.v=0,"",_xlpm.v))</f>
        <v/>
      </c>
      <c r="M12" s="57" t="str">
        <f t="array" ref="M12">_xlfn.LET(_xlpm.v,ROUND(SUMPRODUCT((Cuadro[CATEGORÍA]=$O12)*(IF($R$5="FENUM",IFERROR(--Cuadro[FENUM],0),IFERROR(YEAR(Cuadro[FECHA])*100+MONTH(Cuadro[FECHA]),0))=M$6)*((($R$3="")+(IFERROR(--Cuadro[ADUANA],0)=$R$3))&gt;0)*IF($R$6="FILA",ROUND(IF($R$4="CIF",Cuadro[CIF],IFERROR(--Cuadro[FOB],0))/1000,0)*1000,IF($R$4="CIF",Cuadro[CIF],IFERROR(--Cuadro[FOB],0))))/1000,0),IF(_xlpm.v=0,"",_xlpm.v))</f>
        <v/>
      </c>
      <c r="N12" s="57">
        <f t="shared" si="2"/>
        <v>0</v>
      </c>
      <c r="O12" s="59" t="s">
        <v>812</v>
      </c>
    </row>
    <row r="13" spans="1:19" x14ac:dyDescent="0.25">
      <c r="A13" s="54" t="s">
        <v>16405</v>
      </c>
      <c r="B13" s="55">
        <f t="shared" ref="B13:M13" si="3">SUM(B14:B16)</f>
        <v>440</v>
      </c>
      <c r="C13" s="55">
        <f t="shared" si="3"/>
        <v>0</v>
      </c>
      <c r="D13" s="55">
        <f t="shared" si="3"/>
        <v>1003</v>
      </c>
      <c r="E13" s="55">
        <f t="shared" si="3"/>
        <v>0</v>
      </c>
      <c r="F13" s="55">
        <f t="shared" si="3"/>
        <v>1319</v>
      </c>
      <c r="G13" s="55">
        <f t="shared" si="3"/>
        <v>472</v>
      </c>
      <c r="H13" s="55">
        <f t="shared" si="3"/>
        <v>0</v>
      </c>
      <c r="I13" s="55">
        <f t="shared" si="3"/>
        <v>1749</v>
      </c>
      <c r="J13" s="55">
        <f t="shared" si="3"/>
        <v>0</v>
      </c>
      <c r="K13" s="55">
        <f t="shared" si="3"/>
        <v>0</v>
      </c>
      <c r="L13" s="55">
        <f t="shared" si="3"/>
        <v>0</v>
      </c>
      <c r="M13" s="55">
        <f t="shared" si="3"/>
        <v>0</v>
      </c>
      <c r="N13" s="55">
        <f t="shared" si="2"/>
        <v>4983</v>
      </c>
    </row>
    <row r="14" spans="1:19" x14ac:dyDescent="0.25">
      <c r="A14" s="56" t="s">
        <v>16406</v>
      </c>
      <c r="B14" s="57" t="str">
        <f t="array" ref="B14">_xlfn.LET(_xlpm.v,ROUND(SUMPRODUCT((Cuadro[CATEGORÍA]=$O14)*(IF($R$5="FENUM",IFERROR(--Cuadro[FENUM],0),IFERROR(YEAR(Cuadro[FECHA])*100+MONTH(Cuadro[FECHA]),0))=B$6)*((($R$3="")+(IFERROR(--Cuadro[ADUANA],0)=$R$3))&gt;0)*IF($R$6="FILA",ROUND(IF($R$4="CIF",Cuadro[CIF],IFERROR(--Cuadro[FOB],0))/1000,0)*1000,IF($R$4="CIF",Cuadro[CIF],IFERROR(--Cuadro[FOB],0))))/1000,0),IF(_xlpm.v=0,"",_xlpm.v))</f>
        <v/>
      </c>
      <c r="C14" s="57" t="str">
        <f t="array" ref="C14">_xlfn.LET(_xlpm.v,ROUND(SUMPRODUCT((Cuadro[CATEGORÍA]=$O14)*(IF($R$5="FENUM",IFERROR(--Cuadro[FENUM],0),IFERROR(YEAR(Cuadro[FECHA])*100+MONTH(Cuadro[FECHA]),0))=C$6)*((($R$3="")+(IFERROR(--Cuadro[ADUANA],0)=$R$3))&gt;0)*IF($R$6="FILA",ROUND(IF($R$4="CIF",Cuadro[CIF],IFERROR(--Cuadro[FOB],0))/1000,0)*1000,IF($R$4="CIF",Cuadro[CIF],IFERROR(--Cuadro[FOB],0))))/1000,0),IF(_xlpm.v=0,"",_xlpm.v))</f>
        <v/>
      </c>
      <c r="D14" s="57" t="str">
        <f t="array" ref="D14">_xlfn.LET(_xlpm.v,ROUND(SUMPRODUCT((Cuadro[CATEGORÍA]=$O14)*(IF($R$5="FENUM",IFERROR(--Cuadro[FENUM],0),IFERROR(YEAR(Cuadro[FECHA])*100+MONTH(Cuadro[FECHA]),0))=D$6)*((($R$3="")+(IFERROR(--Cuadro[ADUANA],0)=$R$3))&gt;0)*IF($R$6="FILA",ROUND(IF($R$4="CIF",Cuadro[CIF],IFERROR(--Cuadro[FOB],0))/1000,0)*1000,IF($R$4="CIF",Cuadro[CIF],IFERROR(--Cuadro[FOB],0))))/1000,0),IF(_xlpm.v=0,"",_xlpm.v))</f>
        <v/>
      </c>
      <c r="E14" s="57" t="str">
        <f t="array" ref="E14">_xlfn.LET(_xlpm.v,ROUND(SUMPRODUCT((Cuadro[CATEGORÍA]=$O14)*(IF($R$5="FENUM",IFERROR(--Cuadro[FENUM],0),IFERROR(YEAR(Cuadro[FECHA])*100+MONTH(Cuadro[FECHA]),0))=E$6)*((($R$3="")+(IFERROR(--Cuadro[ADUANA],0)=$R$3))&gt;0)*IF($R$6="FILA",ROUND(IF($R$4="CIF",Cuadro[CIF],IFERROR(--Cuadro[FOB],0))/1000,0)*1000,IF($R$4="CIF",Cuadro[CIF],IFERROR(--Cuadro[FOB],0))))/1000,0),IF(_xlpm.v=0,"",_xlpm.v))</f>
        <v/>
      </c>
      <c r="F14" s="57" t="str">
        <f t="array" ref="F14">_xlfn.LET(_xlpm.v,ROUND(SUMPRODUCT((Cuadro[CATEGORÍA]=$O14)*(IF($R$5="FENUM",IFERROR(--Cuadro[FENUM],0),IFERROR(YEAR(Cuadro[FECHA])*100+MONTH(Cuadro[FECHA]),0))=F$6)*((($R$3="")+(IFERROR(--Cuadro[ADUANA],0)=$R$3))&gt;0)*IF($R$6="FILA",ROUND(IF($R$4="CIF",Cuadro[CIF],IFERROR(--Cuadro[FOB],0))/1000,0)*1000,IF($R$4="CIF",Cuadro[CIF],IFERROR(--Cuadro[FOB],0))))/1000,0),IF(_xlpm.v=0,"",_xlpm.v))</f>
        <v/>
      </c>
      <c r="G14" s="57" t="str">
        <f t="array" ref="G14">_xlfn.LET(_xlpm.v,ROUND(SUMPRODUCT((Cuadro[CATEGORÍA]=$O14)*(IF($R$5="FENUM",IFERROR(--Cuadro[FENUM],0),IFERROR(YEAR(Cuadro[FECHA])*100+MONTH(Cuadro[FECHA]),0))=G$6)*((($R$3="")+(IFERROR(--Cuadro[ADUANA],0)=$R$3))&gt;0)*IF($R$6="FILA",ROUND(IF($R$4="CIF",Cuadro[CIF],IFERROR(--Cuadro[FOB],0))/1000,0)*1000,IF($R$4="CIF",Cuadro[CIF],IFERROR(--Cuadro[FOB],0))))/1000,0),IF(_xlpm.v=0,"",_xlpm.v))</f>
        <v/>
      </c>
      <c r="H14" s="57" t="str">
        <f t="array" ref="H14">_xlfn.LET(_xlpm.v,ROUND(SUMPRODUCT((Cuadro[CATEGORÍA]=$O14)*(IF($R$5="FENUM",IFERROR(--Cuadro[FENUM],0),IFERROR(YEAR(Cuadro[FECHA])*100+MONTH(Cuadro[FECHA]),0))=H$6)*((($R$3="")+(IFERROR(--Cuadro[ADUANA],0)=$R$3))&gt;0)*IF($R$6="FILA",ROUND(IF($R$4="CIF",Cuadro[CIF],IFERROR(--Cuadro[FOB],0))/1000,0)*1000,IF($R$4="CIF",Cuadro[CIF],IFERROR(--Cuadro[FOB],0))))/1000,0),IF(_xlpm.v=0,"",_xlpm.v))</f>
        <v/>
      </c>
      <c r="I14" s="57" t="str">
        <f t="array" ref="I14">_xlfn.LET(_xlpm.v,ROUND(SUMPRODUCT((Cuadro[CATEGORÍA]=$O14)*(IF($R$5="FENUM",IFERROR(--Cuadro[FENUM],0),IFERROR(YEAR(Cuadro[FECHA])*100+MONTH(Cuadro[FECHA]),0))=I$6)*((($R$3="")+(IFERROR(--Cuadro[ADUANA],0)=$R$3))&gt;0)*IF($R$6="FILA",ROUND(IF($R$4="CIF",Cuadro[CIF],IFERROR(--Cuadro[FOB],0))/1000,0)*1000,IF($R$4="CIF",Cuadro[CIF],IFERROR(--Cuadro[FOB],0))))/1000,0),IF(_xlpm.v=0,"",_xlpm.v))</f>
        <v/>
      </c>
      <c r="J14" s="57" t="str">
        <f t="array" ref="J14">_xlfn.LET(_xlpm.v,ROUND(SUMPRODUCT((Cuadro[CATEGORÍA]=$O14)*(IF($R$5="FENUM",IFERROR(--Cuadro[FENUM],0),IFERROR(YEAR(Cuadro[FECHA])*100+MONTH(Cuadro[FECHA]),0))=J$6)*((($R$3="")+(IFERROR(--Cuadro[ADUANA],0)=$R$3))&gt;0)*IF($R$6="FILA",ROUND(IF($R$4="CIF",Cuadro[CIF],IFERROR(--Cuadro[FOB],0))/1000,0)*1000,IF($R$4="CIF",Cuadro[CIF],IFERROR(--Cuadro[FOB],0))))/1000,0),IF(_xlpm.v=0,"",_xlpm.v))</f>
        <v/>
      </c>
      <c r="K14" s="57" t="str">
        <f t="array" ref="K14">_xlfn.LET(_xlpm.v,ROUND(SUMPRODUCT((Cuadro[CATEGORÍA]=$O14)*(IF($R$5="FENUM",IFERROR(--Cuadro[FENUM],0),IFERROR(YEAR(Cuadro[FECHA])*100+MONTH(Cuadro[FECHA]),0))=K$6)*((($R$3="")+(IFERROR(--Cuadro[ADUANA],0)=$R$3))&gt;0)*IF($R$6="FILA",ROUND(IF($R$4="CIF",Cuadro[CIF],IFERROR(--Cuadro[FOB],0))/1000,0)*1000,IF($R$4="CIF",Cuadro[CIF],IFERROR(--Cuadro[FOB],0))))/1000,0),IF(_xlpm.v=0,"",_xlpm.v))</f>
        <v/>
      </c>
      <c r="L14" s="57" t="str">
        <f t="array" ref="L14">_xlfn.LET(_xlpm.v,ROUND(SUMPRODUCT((Cuadro[CATEGORÍA]=$O14)*(IF($R$5="FENUM",IFERROR(--Cuadro[FENUM],0),IFERROR(YEAR(Cuadro[FECHA])*100+MONTH(Cuadro[FECHA]),0))=L$6)*((($R$3="")+(IFERROR(--Cuadro[ADUANA],0)=$R$3))&gt;0)*IF($R$6="FILA",ROUND(IF($R$4="CIF",Cuadro[CIF],IFERROR(--Cuadro[FOB],0))/1000,0)*1000,IF($R$4="CIF",Cuadro[CIF],IFERROR(--Cuadro[FOB],0))))/1000,0),IF(_xlpm.v=0,"",_xlpm.v))</f>
        <v/>
      </c>
      <c r="M14" s="57" t="str">
        <f t="array" ref="M14">_xlfn.LET(_xlpm.v,ROUND(SUMPRODUCT((Cuadro[CATEGORÍA]=$O14)*(IF($R$5="FENUM",IFERROR(--Cuadro[FENUM],0),IFERROR(YEAR(Cuadro[FECHA])*100+MONTH(Cuadro[FECHA]),0))=M$6)*((($R$3="")+(IFERROR(--Cuadro[ADUANA],0)=$R$3))&gt;0)*IF($R$6="FILA",ROUND(IF($R$4="CIF",Cuadro[CIF],IFERROR(--Cuadro[FOB],0))/1000,0)*1000,IF($R$4="CIF",Cuadro[CIF],IFERROR(--Cuadro[FOB],0))))/1000,0),IF(_xlpm.v=0,"",_xlpm.v))</f>
        <v/>
      </c>
      <c r="N14" s="57">
        <f t="shared" si="2"/>
        <v>0</v>
      </c>
      <c r="O14" s="59" t="s">
        <v>816</v>
      </c>
    </row>
    <row r="15" spans="1:19" x14ac:dyDescent="0.25">
      <c r="A15" s="56" t="s">
        <v>16407</v>
      </c>
      <c r="B15" s="57">
        <f t="array" ref="B15">_xlfn.LET(_xlpm.v,ROUND(SUMPRODUCT((Cuadro[CATEGORÍA]=$O15)*(IF($R$5="FENUM",IFERROR(--Cuadro[FENUM],0),IFERROR(YEAR(Cuadro[FECHA])*100+MONTH(Cuadro[FECHA]),0))=B$6)*((($R$3="")+(IFERROR(--Cuadro[ADUANA],0)=$R$3))&gt;0)*IF($R$6="FILA",ROUND(IF($R$4="CIF",Cuadro[CIF],IFERROR(--Cuadro[FOB],0))/1000,0)*1000,IF($R$4="CIF",Cuadro[CIF],IFERROR(--Cuadro[FOB],0))))/1000,0),IF(_xlpm.v=0,"",_xlpm.v))</f>
        <v>440</v>
      </c>
      <c r="C15" s="57" t="str">
        <f t="array" ref="C15">_xlfn.LET(_xlpm.v,ROUND(SUMPRODUCT((Cuadro[CATEGORÍA]=$O15)*(IF($R$5="FENUM",IFERROR(--Cuadro[FENUM],0),IFERROR(YEAR(Cuadro[FECHA])*100+MONTH(Cuadro[FECHA]),0))=C$6)*((($R$3="")+(IFERROR(--Cuadro[ADUANA],0)=$R$3))&gt;0)*IF($R$6="FILA",ROUND(IF($R$4="CIF",Cuadro[CIF],IFERROR(--Cuadro[FOB],0))/1000,0)*1000,IF($R$4="CIF",Cuadro[CIF],IFERROR(--Cuadro[FOB],0))))/1000,0),IF(_xlpm.v=0,"",_xlpm.v))</f>
        <v/>
      </c>
      <c r="D15" s="57" t="str">
        <f t="array" ref="D15">_xlfn.LET(_xlpm.v,ROUND(SUMPRODUCT((Cuadro[CATEGORÍA]=$O15)*(IF($R$5="FENUM",IFERROR(--Cuadro[FENUM],0),IFERROR(YEAR(Cuadro[FECHA])*100+MONTH(Cuadro[FECHA]),0))=D$6)*((($R$3="")+(IFERROR(--Cuadro[ADUANA],0)=$R$3))&gt;0)*IF($R$6="FILA",ROUND(IF($R$4="CIF",Cuadro[CIF],IFERROR(--Cuadro[FOB],0))/1000,0)*1000,IF($R$4="CIF",Cuadro[CIF],IFERROR(--Cuadro[FOB],0))))/1000,0),IF(_xlpm.v=0,"",_xlpm.v))</f>
        <v/>
      </c>
      <c r="E15" s="57" t="str">
        <f t="array" ref="E15">_xlfn.LET(_xlpm.v,ROUND(SUMPRODUCT((Cuadro[CATEGORÍA]=$O15)*(IF($R$5="FENUM",IFERROR(--Cuadro[FENUM],0),IFERROR(YEAR(Cuadro[FECHA])*100+MONTH(Cuadro[FECHA]),0))=E$6)*((($R$3="")+(IFERROR(--Cuadro[ADUANA],0)=$R$3))&gt;0)*IF($R$6="FILA",ROUND(IF($R$4="CIF",Cuadro[CIF],IFERROR(--Cuadro[FOB],0))/1000,0)*1000,IF($R$4="CIF",Cuadro[CIF],IFERROR(--Cuadro[FOB],0))))/1000,0),IF(_xlpm.v=0,"",_xlpm.v))</f>
        <v/>
      </c>
      <c r="F15" s="57" t="str">
        <f t="array" ref="F15">_xlfn.LET(_xlpm.v,ROUND(SUMPRODUCT((Cuadro[CATEGORÍA]=$O15)*(IF($R$5="FENUM",IFERROR(--Cuadro[FENUM],0),IFERROR(YEAR(Cuadro[FECHA])*100+MONTH(Cuadro[FECHA]),0))=F$6)*((($R$3="")+(IFERROR(--Cuadro[ADUANA],0)=$R$3))&gt;0)*IF($R$6="FILA",ROUND(IF($R$4="CIF",Cuadro[CIF],IFERROR(--Cuadro[FOB],0))/1000,0)*1000,IF($R$4="CIF",Cuadro[CIF],IFERROR(--Cuadro[FOB],0))))/1000,0),IF(_xlpm.v=0,"",_xlpm.v))</f>
        <v/>
      </c>
      <c r="G15" s="57">
        <f t="array" ref="G15">_xlfn.LET(_xlpm.v,ROUND(SUMPRODUCT((Cuadro[CATEGORÍA]=$O15)*(IF($R$5="FENUM",IFERROR(--Cuadro[FENUM],0),IFERROR(YEAR(Cuadro[FECHA])*100+MONTH(Cuadro[FECHA]),0))=G$6)*((($R$3="")+(IFERROR(--Cuadro[ADUANA],0)=$R$3))&gt;0)*IF($R$6="FILA",ROUND(IF($R$4="CIF",Cuadro[CIF],IFERROR(--Cuadro[FOB],0))/1000,0)*1000,IF($R$4="CIF",Cuadro[CIF],IFERROR(--Cuadro[FOB],0))))/1000,0),IF(_xlpm.v=0,"",_xlpm.v))</f>
        <v>472</v>
      </c>
      <c r="H15" s="57" t="str">
        <f t="array" ref="H15">_xlfn.LET(_xlpm.v,ROUND(SUMPRODUCT((Cuadro[CATEGORÍA]=$O15)*(IF($R$5="FENUM",IFERROR(--Cuadro[FENUM],0),IFERROR(YEAR(Cuadro[FECHA])*100+MONTH(Cuadro[FECHA]),0))=H$6)*((($R$3="")+(IFERROR(--Cuadro[ADUANA],0)=$R$3))&gt;0)*IF($R$6="FILA",ROUND(IF($R$4="CIF",Cuadro[CIF],IFERROR(--Cuadro[FOB],0))/1000,0)*1000,IF($R$4="CIF",Cuadro[CIF],IFERROR(--Cuadro[FOB],0))))/1000,0),IF(_xlpm.v=0,"",_xlpm.v))</f>
        <v/>
      </c>
      <c r="I15" s="57" t="str">
        <f t="array" ref="I15">_xlfn.LET(_xlpm.v,ROUND(SUMPRODUCT((Cuadro[CATEGORÍA]=$O15)*(IF($R$5="FENUM",IFERROR(--Cuadro[FENUM],0),IFERROR(YEAR(Cuadro[FECHA])*100+MONTH(Cuadro[FECHA]),0))=I$6)*((($R$3="")+(IFERROR(--Cuadro[ADUANA],0)=$R$3))&gt;0)*IF($R$6="FILA",ROUND(IF($R$4="CIF",Cuadro[CIF],IFERROR(--Cuadro[FOB],0))/1000,0)*1000,IF($R$4="CIF",Cuadro[CIF],IFERROR(--Cuadro[FOB],0))))/1000,0),IF(_xlpm.v=0,"",_xlpm.v))</f>
        <v/>
      </c>
      <c r="J15" s="57" t="str">
        <f t="array" ref="J15">_xlfn.LET(_xlpm.v,ROUND(SUMPRODUCT((Cuadro[CATEGORÍA]=$O15)*(IF($R$5="FENUM",IFERROR(--Cuadro[FENUM],0),IFERROR(YEAR(Cuadro[FECHA])*100+MONTH(Cuadro[FECHA]),0))=J$6)*((($R$3="")+(IFERROR(--Cuadro[ADUANA],0)=$R$3))&gt;0)*IF($R$6="FILA",ROUND(IF($R$4="CIF",Cuadro[CIF],IFERROR(--Cuadro[FOB],0))/1000,0)*1000,IF($R$4="CIF",Cuadro[CIF],IFERROR(--Cuadro[FOB],0))))/1000,0),IF(_xlpm.v=0,"",_xlpm.v))</f>
        <v/>
      </c>
      <c r="K15" s="57" t="str">
        <f t="array" ref="K15">_xlfn.LET(_xlpm.v,ROUND(SUMPRODUCT((Cuadro[CATEGORÍA]=$O15)*(IF($R$5="FENUM",IFERROR(--Cuadro[FENUM],0),IFERROR(YEAR(Cuadro[FECHA])*100+MONTH(Cuadro[FECHA]),0))=K$6)*((($R$3="")+(IFERROR(--Cuadro[ADUANA],0)=$R$3))&gt;0)*IF($R$6="FILA",ROUND(IF($R$4="CIF",Cuadro[CIF],IFERROR(--Cuadro[FOB],0))/1000,0)*1000,IF($R$4="CIF",Cuadro[CIF],IFERROR(--Cuadro[FOB],0))))/1000,0),IF(_xlpm.v=0,"",_xlpm.v))</f>
        <v/>
      </c>
      <c r="L15" s="57" t="str">
        <f t="array" ref="L15">_xlfn.LET(_xlpm.v,ROUND(SUMPRODUCT((Cuadro[CATEGORÍA]=$O15)*(IF($R$5="FENUM",IFERROR(--Cuadro[FENUM],0),IFERROR(YEAR(Cuadro[FECHA])*100+MONTH(Cuadro[FECHA]),0))=L$6)*((($R$3="")+(IFERROR(--Cuadro[ADUANA],0)=$R$3))&gt;0)*IF($R$6="FILA",ROUND(IF($R$4="CIF",Cuadro[CIF],IFERROR(--Cuadro[FOB],0))/1000,0)*1000,IF($R$4="CIF",Cuadro[CIF],IFERROR(--Cuadro[FOB],0))))/1000,0),IF(_xlpm.v=0,"",_xlpm.v))</f>
        <v/>
      </c>
      <c r="M15" s="57" t="str">
        <f t="array" ref="M15">_xlfn.LET(_xlpm.v,ROUND(SUMPRODUCT((Cuadro[CATEGORÍA]=$O15)*(IF($R$5="FENUM",IFERROR(--Cuadro[FENUM],0),IFERROR(YEAR(Cuadro[FECHA])*100+MONTH(Cuadro[FECHA]),0))=M$6)*((($R$3="")+(IFERROR(--Cuadro[ADUANA],0)=$R$3))&gt;0)*IF($R$6="FILA",ROUND(IF($R$4="CIF",Cuadro[CIF],IFERROR(--Cuadro[FOB],0))/1000,0)*1000,IF($R$4="CIF",Cuadro[CIF],IFERROR(--Cuadro[FOB],0))))/1000,0),IF(_xlpm.v=0,"",_xlpm.v))</f>
        <v/>
      </c>
      <c r="N15" s="57">
        <f t="shared" si="2"/>
        <v>912</v>
      </c>
      <c r="O15" s="59" t="s">
        <v>825</v>
      </c>
    </row>
    <row r="16" spans="1:19" x14ac:dyDescent="0.25">
      <c r="A16" s="56" t="s">
        <v>16408</v>
      </c>
      <c r="B16" s="57" t="str">
        <f t="array" ref="B16">_xlfn.LET(_xlpm.v,ROUND(SUMPRODUCT((Cuadro[CATEGORÍA]=$O16)*(IF($R$5="FENUM",IFERROR(--Cuadro[FENUM],0),IFERROR(YEAR(Cuadro[FECHA])*100+MONTH(Cuadro[FECHA]),0))=B$6)*((($R$3="")+(IFERROR(--Cuadro[ADUANA],0)=$R$3))&gt;0)*IF($R$6="FILA",ROUND(IF($R$4="CIF",Cuadro[CIF],IFERROR(--Cuadro[FOB],0))/1000,0)*1000,IF($R$4="CIF",Cuadro[CIF],IFERROR(--Cuadro[FOB],0))))/1000,0),IF(_xlpm.v=0,"",_xlpm.v))</f>
        <v/>
      </c>
      <c r="C16" s="57" t="str">
        <f t="array" ref="C16">_xlfn.LET(_xlpm.v,ROUND(SUMPRODUCT((Cuadro[CATEGORÍA]=$O16)*(IF($R$5="FENUM",IFERROR(--Cuadro[FENUM],0),IFERROR(YEAR(Cuadro[FECHA])*100+MONTH(Cuadro[FECHA]),0))=C$6)*((($R$3="")+(IFERROR(--Cuadro[ADUANA],0)=$R$3))&gt;0)*IF($R$6="FILA",ROUND(IF($R$4="CIF",Cuadro[CIF],IFERROR(--Cuadro[FOB],0))/1000,0)*1000,IF($R$4="CIF",Cuadro[CIF],IFERROR(--Cuadro[FOB],0))))/1000,0),IF(_xlpm.v=0,"",_xlpm.v))</f>
        <v/>
      </c>
      <c r="D16" s="57">
        <f t="array" ref="D16">_xlfn.LET(_xlpm.v,ROUND(SUMPRODUCT((Cuadro[CATEGORÍA]=$O16)*(IF($R$5="FENUM",IFERROR(--Cuadro[FENUM],0),IFERROR(YEAR(Cuadro[FECHA])*100+MONTH(Cuadro[FECHA]),0))=D$6)*((($R$3="")+(IFERROR(--Cuadro[ADUANA],0)=$R$3))&gt;0)*IF($R$6="FILA",ROUND(IF($R$4="CIF",Cuadro[CIF],IFERROR(--Cuadro[FOB],0))/1000,0)*1000,IF($R$4="CIF",Cuadro[CIF],IFERROR(--Cuadro[FOB],0))))/1000,0),IF(_xlpm.v=0,"",_xlpm.v))</f>
        <v>1003</v>
      </c>
      <c r="E16" s="57" t="str">
        <f t="array" ref="E16">_xlfn.LET(_xlpm.v,ROUND(SUMPRODUCT((Cuadro[CATEGORÍA]=$O16)*(IF($R$5="FENUM",IFERROR(--Cuadro[FENUM],0),IFERROR(YEAR(Cuadro[FECHA])*100+MONTH(Cuadro[FECHA]),0))=E$6)*((($R$3="")+(IFERROR(--Cuadro[ADUANA],0)=$R$3))&gt;0)*IF($R$6="FILA",ROUND(IF($R$4="CIF",Cuadro[CIF],IFERROR(--Cuadro[FOB],0))/1000,0)*1000,IF($R$4="CIF",Cuadro[CIF],IFERROR(--Cuadro[FOB],0))))/1000,0),IF(_xlpm.v=0,"",_xlpm.v))</f>
        <v/>
      </c>
      <c r="F16" s="57">
        <f t="array" ref="F16">_xlfn.LET(_xlpm.v,ROUND(SUMPRODUCT((Cuadro[CATEGORÍA]=$O16)*(IF($R$5="FENUM",IFERROR(--Cuadro[FENUM],0),IFERROR(YEAR(Cuadro[FECHA])*100+MONTH(Cuadro[FECHA]),0))=F$6)*((($R$3="")+(IFERROR(--Cuadro[ADUANA],0)=$R$3))&gt;0)*IF($R$6="FILA",ROUND(IF($R$4="CIF",Cuadro[CIF],IFERROR(--Cuadro[FOB],0))/1000,0)*1000,IF($R$4="CIF",Cuadro[CIF],IFERROR(--Cuadro[FOB],0))))/1000,0),IF(_xlpm.v=0,"",_xlpm.v))</f>
        <v>1319</v>
      </c>
      <c r="G16" s="57" t="str">
        <f t="array" ref="G16">_xlfn.LET(_xlpm.v,ROUND(SUMPRODUCT((Cuadro[CATEGORÍA]=$O16)*(IF($R$5="FENUM",IFERROR(--Cuadro[FENUM],0),IFERROR(YEAR(Cuadro[FECHA])*100+MONTH(Cuadro[FECHA]),0))=G$6)*((($R$3="")+(IFERROR(--Cuadro[ADUANA],0)=$R$3))&gt;0)*IF($R$6="FILA",ROUND(IF($R$4="CIF",Cuadro[CIF],IFERROR(--Cuadro[FOB],0))/1000,0)*1000,IF($R$4="CIF",Cuadro[CIF],IFERROR(--Cuadro[FOB],0))))/1000,0),IF(_xlpm.v=0,"",_xlpm.v))</f>
        <v/>
      </c>
      <c r="H16" s="57" t="str">
        <f t="array" ref="H16">_xlfn.LET(_xlpm.v,ROUND(SUMPRODUCT((Cuadro[CATEGORÍA]=$O16)*(IF($R$5="FENUM",IFERROR(--Cuadro[FENUM],0),IFERROR(YEAR(Cuadro[FECHA])*100+MONTH(Cuadro[FECHA]),0))=H$6)*((($R$3="")+(IFERROR(--Cuadro[ADUANA],0)=$R$3))&gt;0)*IF($R$6="FILA",ROUND(IF($R$4="CIF",Cuadro[CIF],IFERROR(--Cuadro[FOB],0))/1000,0)*1000,IF($R$4="CIF",Cuadro[CIF],IFERROR(--Cuadro[FOB],0))))/1000,0),IF(_xlpm.v=0,"",_xlpm.v))</f>
        <v/>
      </c>
      <c r="I16" s="57">
        <f t="array" ref="I16">_xlfn.LET(_xlpm.v,ROUND(SUMPRODUCT((Cuadro[CATEGORÍA]=$O16)*(IF($R$5="FENUM",IFERROR(--Cuadro[FENUM],0),IFERROR(YEAR(Cuadro[FECHA])*100+MONTH(Cuadro[FECHA]),0))=I$6)*((($R$3="")+(IFERROR(--Cuadro[ADUANA],0)=$R$3))&gt;0)*IF($R$6="FILA",ROUND(IF($R$4="CIF",Cuadro[CIF],IFERROR(--Cuadro[FOB],0))/1000,0)*1000,IF($R$4="CIF",Cuadro[CIF],IFERROR(--Cuadro[FOB],0))))/1000,0),IF(_xlpm.v=0,"",_xlpm.v))</f>
        <v>1749</v>
      </c>
      <c r="J16" s="57" t="str">
        <f t="array" ref="J16">_xlfn.LET(_xlpm.v,ROUND(SUMPRODUCT((Cuadro[CATEGORÍA]=$O16)*(IF($R$5="FENUM",IFERROR(--Cuadro[FENUM],0),IFERROR(YEAR(Cuadro[FECHA])*100+MONTH(Cuadro[FECHA]),0))=J$6)*((($R$3="")+(IFERROR(--Cuadro[ADUANA],0)=$R$3))&gt;0)*IF($R$6="FILA",ROUND(IF($R$4="CIF",Cuadro[CIF],IFERROR(--Cuadro[FOB],0))/1000,0)*1000,IF($R$4="CIF",Cuadro[CIF],IFERROR(--Cuadro[FOB],0))))/1000,0),IF(_xlpm.v=0,"",_xlpm.v))</f>
        <v/>
      </c>
      <c r="K16" s="57" t="str">
        <f t="array" ref="K16">_xlfn.LET(_xlpm.v,ROUND(SUMPRODUCT((Cuadro[CATEGORÍA]=$O16)*(IF($R$5="FENUM",IFERROR(--Cuadro[FENUM],0),IFERROR(YEAR(Cuadro[FECHA])*100+MONTH(Cuadro[FECHA]),0))=K$6)*((($R$3="")+(IFERROR(--Cuadro[ADUANA],0)=$R$3))&gt;0)*IF($R$6="FILA",ROUND(IF($R$4="CIF",Cuadro[CIF],IFERROR(--Cuadro[FOB],0))/1000,0)*1000,IF($R$4="CIF",Cuadro[CIF],IFERROR(--Cuadro[FOB],0))))/1000,0),IF(_xlpm.v=0,"",_xlpm.v))</f>
        <v/>
      </c>
      <c r="L16" s="57" t="str">
        <f t="array" ref="L16">_xlfn.LET(_xlpm.v,ROUND(SUMPRODUCT((Cuadro[CATEGORÍA]=$O16)*(IF($R$5="FENUM",IFERROR(--Cuadro[FENUM],0),IFERROR(YEAR(Cuadro[FECHA])*100+MONTH(Cuadro[FECHA]),0))=L$6)*((($R$3="")+(IFERROR(--Cuadro[ADUANA],0)=$R$3))&gt;0)*IF($R$6="FILA",ROUND(IF($R$4="CIF",Cuadro[CIF],IFERROR(--Cuadro[FOB],0))/1000,0)*1000,IF($R$4="CIF",Cuadro[CIF],IFERROR(--Cuadro[FOB],0))))/1000,0),IF(_xlpm.v=0,"",_xlpm.v))</f>
        <v/>
      </c>
      <c r="M16" s="57" t="str">
        <f t="array" ref="M16">_xlfn.LET(_xlpm.v,ROUND(SUMPRODUCT((Cuadro[CATEGORÍA]=$O16)*(IF($R$5="FENUM",IFERROR(--Cuadro[FENUM],0),IFERROR(YEAR(Cuadro[FECHA])*100+MONTH(Cuadro[FECHA]),0))=M$6)*((($R$3="")+(IFERROR(--Cuadro[ADUANA],0)=$R$3))&gt;0)*IF($R$6="FILA",ROUND(IF($R$4="CIF",Cuadro[CIF],IFERROR(--Cuadro[FOB],0))/1000,0)*1000,IF($R$4="CIF",Cuadro[CIF],IFERROR(--Cuadro[FOB],0))))/1000,0),IF(_xlpm.v=0,"",_xlpm.v))</f>
        <v/>
      </c>
      <c r="N16" s="57">
        <f t="shared" si="2"/>
        <v>4071</v>
      </c>
      <c r="O16" s="59" t="s">
        <v>835</v>
      </c>
    </row>
    <row r="17" spans="1:15" x14ac:dyDescent="0.25">
      <c r="A17" s="54" t="s">
        <v>860</v>
      </c>
      <c r="B17" s="55">
        <f t="shared" ref="B17:M17" si="4">SUM(B18:B21)</f>
        <v>0</v>
      </c>
      <c r="C17" s="55">
        <f t="shared" si="4"/>
        <v>0</v>
      </c>
      <c r="D17" s="55">
        <f t="shared" si="4"/>
        <v>0</v>
      </c>
      <c r="E17" s="55">
        <f t="shared" si="4"/>
        <v>0</v>
      </c>
      <c r="F17" s="55">
        <f t="shared" si="4"/>
        <v>0</v>
      </c>
      <c r="G17" s="55">
        <f t="shared" si="4"/>
        <v>201</v>
      </c>
      <c r="H17" s="55">
        <f t="shared" si="4"/>
        <v>0</v>
      </c>
      <c r="I17" s="55">
        <f t="shared" si="4"/>
        <v>7052</v>
      </c>
      <c r="J17" s="55">
        <f t="shared" si="4"/>
        <v>0</v>
      </c>
      <c r="K17" s="55">
        <f t="shared" si="4"/>
        <v>0</v>
      </c>
      <c r="L17" s="55">
        <f t="shared" si="4"/>
        <v>0</v>
      </c>
      <c r="M17" s="55">
        <f t="shared" si="4"/>
        <v>0</v>
      </c>
      <c r="N17" s="55">
        <f t="shared" si="2"/>
        <v>7253</v>
      </c>
    </row>
    <row r="18" spans="1:15" x14ac:dyDescent="0.25">
      <c r="A18" s="56" t="s">
        <v>16409</v>
      </c>
      <c r="B18" s="57" t="str">
        <f t="array" ref="B18">_xlfn.LET(_xlpm.v,ROUND(SUMPRODUCT((Cuadro[CATEGORÍA]=$O18)*(IF($R$5="FENUM",IFERROR(--Cuadro[FENUM],0),IFERROR(YEAR(Cuadro[FECHA])*100+MONTH(Cuadro[FECHA]),0))=B$6)*((($R$3="")+(IFERROR(--Cuadro[ADUANA],0)=$R$3))&gt;0)*IF($R$6="FILA",ROUND(IF($R$4="CIF",Cuadro[CIF],IFERROR(--Cuadro[FOB],0))/1000,0)*1000,IF($R$4="CIF",Cuadro[CIF],IFERROR(--Cuadro[FOB],0))))/1000,0),IF(_xlpm.v=0,"",_xlpm.v))</f>
        <v/>
      </c>
      <c r="C18" s="57" t="str">
        <f t="array" ref="C18">_xlfn.LET(_xlpm.v,ROUND(SUMPRODUCT((Cuadro[CATEGORÍA]=$O18)*(IF($R$5="FENUM",IFERROR(--Cuadro[FENUM],0),IFERROR(YEAR(Cuadro[FECHA])*100+MONTH(Cuadro[FECHA]),0))=C$6)*((($R$3="")+(IFERROR(--Cuadro[ADUANA],0)=$R$3))&gt;0)*IF($R$6="FILA",ROUND(IF($R$4="CIF",Cuadro[CIF],IFERROR(--Cuadro[FOB],0))/1000,0)*1000,IF($R$4="CIF",Cuadro[CIF],IFERROR(--Cuadro[FOB],0))))/1000,0),IF(_xlpm.v=0,"",_xlpm.v))</f>
        <v/>
      </c>
      <c r="D18" s="57" t="str">
        <f t="array" ref="D18">_xlfn.LET(_xlpm.v,ROUND(SUMPRODUCT((Cuadro[CATEGORÍA]=$O18)*(IF($R$5="FENUM",IFERROR(--Cuadro[FENUM],0),IFERROR(YEAR(Cuadro[FECHA])*100+MONTH(Cuadro[FECHA]),0))=D$6)*((($R$3="")+(IFERROR(--Cuadro[ADUANA],0)=$R$3))&gt;0)*IF($R$6="FILA",ROUND(IF($R$4="CIF",Cuadro[CIF],IFERROR(--Cuadro[FOB],0))/1000,0)*1000,IF($R$4="CIF",Cuadro[CIF],IFERROR(--Cuadro[FOB],0))))/1000,0),IF(_xlpm.v=0,"",_xlpm.v))</f>
        <v/>
      </c>
      <c r="E18" s="57" t="str">
        <f t="array" ref="E18">_xlfn.LET(_xlpm.v,ROUND(SUMPRODUCT((Cuadro[CATEGORÍA]=$O18)*(IF($R$5="FENUM",IFERROR(--Cuadro[FENUM],0),IFERROR(YEAR(Cuadro[FECHA])*100+MONTH(Cuadro[FECHA]),0))=E$6)*((($R$3="")+(IFERROR(--Cuadro[ADUANA],0)=$R$3))&gt;0)*IF($R$6="FILA",ROUND(IF($R$4="CIF",Cuadro[CIF],IFERROR(--Cuadro[FOB],0))/1000,0)*1000,IF($R$4="CIF",Cuadro[CIF],IFERROR(--Cuadro[FOB],0))))/1000,0),IF(_xlpm.v=0,"",_xlpm.v))</f>
        <v/>
      </c>
      <c r="F18" s="57" t="str">
        <f t="array" ref="F18">_xlfn.LET(_xlpm.v,ROUND(SUMPRODUCT((Cuadro[CATEGORÍA]=$O18)*(IF($R$5="FENUM",IFERROR(--Cuadro[FENUM],0),IFERROR(YEAR(Cuadro[FECHA])*100+MONTH(Cuadro[FECHA]),0))=F$6)*((($R$3="")+(IFERROR(--Cuadro[ADUANA],0)=$R$3))&gt;0)*IF($R$6="FILA",ROUND(IF($R$4="CIF",Cuadro[CIF],IFERROR(--Cuadro[FOB],0))/1000,0)*1000,IF($R$4="CIF",Cuadro[CIF],IFERROR(--Cuadro[FOB],0))))/1000,0),IF(_xlpm.v=0,"",_xlpm.v))</f>
        <v/>
      </c>
      <c r="G18" s="57" t="str">
        <f t="array" ref="G18">_xlfn.LET(_xlpm.v,ROUND(SUMPRODUCT((Cuadro[CATEGORÍA]=$O18)*(IF($R$5="FENUM",IFERROR(--Cuadro[FENUM],0),IFERROR(YEAR(Cuadro[FECHA])*100+MONTH(Cuadro[FECHA]),0))=G$6)*((($R$3="")+(IFERROR(--Cuadro[ADUANA],0)=$R$3))&gt;0)*IF($R$6="FILA",ROUND(IF($R$4="CIF",Cuadro[CIF],IFERROR(--Cuadro[FOB],0))/1000,0)*1000,IF($R$4="CIF",Cuadro[CIF],IFERROR(--Cuadro[FOB],0))))/1000,0),IF(_xlpm.v=0,"",_xlpm.v))</f>
        <v/>
      </c>
      <c r="H18" s="57" t="str">
        <f t="array" ref="H18">_xlfn.LET(_xlpm.v,ROUND(SUMPRODUCT((Cuadro[CATEGORÍA]=$O18)*(IF($R$5="FENUM",IFERROR(--Cuadro[FENUM],0),IFERROR(YEAR(Cuadro[FECHA])*100+MONTH(Cuadro[FECHA]),0))=H$6)*((($R$3="")+(IFERROR(--Cuadro[ADUANA],0)=$R$3))&gt;0)*IF($R$6="FILA",ROUND(IF($R$4="CIF",Cuadro[CIF],IFERROR(--Cuadro[FOB],0))/1000,0)*1000,IF($R$4="CIF",Cuadro[CIF],IFERROR(--Cuadro[FOB],0))))/1000,0),IF(_xlpm.v=0,"",_xlpm.v))</f>
        <v/>
      </c>
      <c r="I18" s="57">
        <f t="array" ref="I18">_xlfn.LET(_xlpm.v,ROUND(SUMPRODUCT((Cuadro[CATEGORÍA]=$O18)*(IF($R$5="FENUM",IFERROR(--Cuadro[FENUM],0),IFERROR(YEAR(Cuadro[FECHA])*100+MONTH(Cuadro[FECHA]),0))=I$6)*((($R$3="")+(IFERROR(--Cuadro[ADUANA],0)=$R$3))&gt;0)*IF($R$6="FILA",ROUND(IF($R$4="CIF",Cuadro[CIF],IFERROR(--Cuadro[FOB],0))/1000,0)*1000,IF($R$4="CIF",Cuadro[CIF],IFERROR(--Cuadro[FOB],0))))/1000,0),IF(_xlpm.v=0,"",_xlpm.v))</f>
        <v>55</v>
      </c>
      <c r="J18" s="57" t="str">
        <f t="array" ref="J18">_xlfn.LET(_xlpm.v,ROUND(SUMPRODUCT((Cuadro[CATEGORÍA]=$O18)*(IF($R$5="FENUM",IFERROR(--Cuadro[FENUM],0),IFERROR(YEAR(Cuadro[FECHA])*100+MONTH(Cuadro[FECHA]),0))=J$6)*((($R$3="")+(IFERROR(--Cuadro[ADUANA],0)=$R$3))&gt;0)*IF($R$6="FILA",ROUND(IF($R$4="CIF",Cuadro[CIF],IFERROR(--Cuadro[FOB],0))/1000,0)*1000,IF($R$4="CIF",Cuadro[CIF],IFERROR(--Cuadro[FOB],0))))/1000,0),IF(_xlpm.v=0,"",_xlpm.v))</f>
        <v/>
      </c>
      <c r="K18" s="57" t="str">
        <f t="array" ref="K18">_xlfn.LET(_xlpm.v,ROUND(SUMPRODUCT((Cuadro[CATEGORÍA]=$O18)*(IF($R$5="FENUM",IFERROR(--Cuadro[FENUM],0),IFERROR(YEAR(Cuadro[FECHA])*100+MONTH(Cuadro[FECHA]),0))=K$6)*((($R$3="")+(IFERROR(--Cuadro[ADUANA],0)=$R$3))&gt;0)*IF($R$6="FILA",ROUND(IF($R$4="CIF",Cuadro[CIF],IFERROR(--Cuadro[FOB],0))/1000,0)*1000,IF($R$4="CIF",Cuadro[CIF],IFERROR(--Cuadro[FOB],0))))/1000,0),IF(_xlpm.v=0,"",_xlpm.v))</f>
        <v/>
      </c>
      <c r="L18" s="57" t="str">
        <f t="array" ref="L18">_xlfn.LET(_xlpm.v,ROUND(SUMPRODUCT((Cuadro[CATEGORÍA]=$O18)*(IF($R$5="FENUM",IFERROR(--Cuadro[FENUM],0),IFERROR(YEAR(Cuadro[FECHA])*100+MONTH(Cuadro[FECHA]),0))=L$6)*((($R$3="")+(IFERROR(--Cuadro[ADUANA],0)=$R$3))&gt;0)*IF($R$6="FILA",ROUND(IF($R$4="CIF",Cuadro[CIF],IFERROR(--Cuadro[FOB],0))/1000,0)*1000,IF($R$4="CIF",Cuadro[CIF],IFERROR(--Cuadro[FOB],0))))/1000,0),IF(_xlpm.v=0,"",_xlpm.v))</f>
        <v/>
      </c>
      <c r="M18" s="57" t="str">
        <f t="array" ref="M18">_xlfn.LET(_xlpm.v,ROUND(SUMPRODUCT((Cuadro[CATEGORÍA]=$O18)*(IF($R$5="FENUM",IFERROR(--Cuadro[FENUM],0),IFERROR(YEAR(Cuadro[FECHA])*100+MONTH(Cuadro[FECHA]),0))=M$6)*((($R$3="")+(IFERROR(--Cuadro[ADUANA],0)=$R$3))&gt;0)*IF($R$6="FILA",ROUND(IF($R$4="CIF",Cuadro[CIF],IFERROR(--Cuadro[FOB],0))/1000,0)*1000,IF($R$4="CIF",Cuadro[CIF],IFERROR(--Cuadro[FOB],0))))/1000,0),IF(_xlpm.v=0,"",_xlpm.v))</f>
        <v/>
      </c>
      <c r="N18" s="57">
        <f t="shared" si="2"/>
        <v>55</v>
      </c>
      <c r="O18" s="59" t="s">
        <v>861</v>
      </c>
    </row>
    <row r="19" spans="1:15" x14ac:dyDescent="0.25">
      <c r="A19" s="56" t="s">
        <v>16410</v>
      </c>
      <c r="B19" s="57" t="str">
        <f t="array" ref="B19">_xlfn.LET(_xlpm.v,ROUND(SUMPRODUCT((Cuadro[CATEGORÍA]=$O19)*(IF($R$5="FENUM",IFERROR(--Cuadro[FENUM],0),IFERROR(YEAR(Cuadro[FECHA])*100+MONTH(Cuadro[FECHA]),0))=B$6)*((($R$3="")+(IFERROR(--Cuadro[ADUANA],0)=$R$3))&gt;0)*IF($R$6="FILA",ROUND(IF($R$4="CIF",Cuadro[CIF],IFERROR(--Cuadro[FOB],0))/1000,0)*1000,IF($R$4="CIF",Cuadro[CIF],IFERROR(--Cuadro[FOB],0))))/1000,0),IF(_xlpm.v=0,"",_xlpm.v))</f>
        <v/>
      </c>
      <c r="C19" s="57" t="str">
        <f t="array" ref="C19">_xlfn.LET(_xlpm.v,ROUND(SUMPRODUCT((Cuadro[CATEGORÍA]=$O19)*(IF($R$5="FENUM",IFERROR(--Cuadro[FENUM],0),IFERROR(YEAR(Cuadro[FECHA])*100+MONTH(Cuadro[FECHA]),0))=C$6)*((($R$3="")+(IFERROR(--Cuadro[ADUANA],0)=$R$3))&gt;0)*IF($R$6="FILA",ROUND(IF($R$4="CIF",Cuadro[CIF],IFERROR(--Cuadro[FOB],0))/1000,0)*1000,IF($R$4="CIF",Cuadro[CIF],IFERROR(--Cuadro[FOB],0))))/1000,0),IF(_xlpm.v=0,"",_xlpm.v))</f>
        <v/>
      </c>
      <c r="D19" s="57" t="str">
        <f t="array" ref="D19">_xlfn.LET(_xlpm.v,ROUND(SUMPRODUCT((Cuadro[CATEGORÍA]=$O19)*(IF($R$5="FENUM",IFERROR(--Cuadro[FENUM],0),IFERROR(YEAR(Cuadro[FECHA])*100+MONTH(Cuadro[FECHA]),0))=D$6)*((($R$3="")+(IFERROR(--Cuadro[ADUANA],0)=$R$3))&gt;0)*IF($R$6="FILA",ROUND(IF($R$4="CIF",Cuadro[CIF],IFERROR(--Cuadro[FOB],0))/1000,0)*1000,IF($R$4="CIF",Cuadro[CIF],IFERROR(--Cuadro[FOB],0))))/1000,0),IF(_xlpm.v=0,"",_xlpm.v))</f>
        <v/>
      </c>
      <c r="E19" s="57" t="str">
        <f t="array" ref="E19">_xlfn.LET(_xlpm.v,ROUND(SUMPRODUCT((Cuadro[CATEGORÍA]=$O19)*(IF($R$5="FENUM",IFERROR(--Cuadro[FENUM],0),IFERROR(YEAR(Cuadro[FECHA])*100+MONTH(Cuadro[FECHA]),0))=E$6)*((($R$3="")+(IFERROR(--Cuadro[ADUANA],0)=$R$3))&gt;0)*IF($R$6="FILA",ROUND(IF($R$4="CIF",Cuadro[CIF],IFERROR(--Cuadro[FOB],0))/1000,0)*1000,IF($R$4="CIF",Cuadro[CIF],IFERROR(--Cuadro[FOB],0))))/1000,0),IF(_xlpm.v=0,"",_xlpm.v))</f>
        <v/>
      </c>
      <c r="F19" s="57" t="str">
        <f t="array" ref="F19">_xlfn.LET(_xlpm.v,ROUND(SUMPRODUCT((Cuadro[CATEGORÍA]=$O19)*(IF($R$5="FENUM",IFERROR(--Cuadro[FENUM],0),IFERROR(YEAR(Cuadro[FECHA])*100+MONTH(Cuadro[FECHA]),0))=F$6)*((($R$3="")+(IFERROR(--Cuadro[ADUANA],0)=$R$3))&gt;0)*IF($R$6="FILA",ROUND(IF($R$4="CIF",Cuadro[CIF],IFERROR(--Cuadro[FOB],0))/1000,0)*1000,IF($R$4="CIF",Cuadro[CIF],IFERROR(--Cuadro[FOB],0))))/1000,0),IF(_xlpm.v=0,"",_xlpm.v))</f>
        <v/>
      </c>
      <c r="G19" s="57" t="str">
        <f t="array" ref="G19">_xlfn.LET(_xlpm.v,ROUND(SUMPRODUCT((Cuadro[CATEGORÍA]=$O19)*(IF($R$5="FENUM",IFERROR(--Cuadro[FENUM],0),IFERROR(YEAR(Cuadro[FECHA])*100+MONTH(Cuadro[FECHA]),0))=G$6)*((($R$3="")+(IFERROR(--Cuadro[ADUANA],0)=$R$3))&gt;0)*IF($R$6="FILA",ROUND(IF($R$4="CIF",Cuadro[CIF],IFERROR(--Cuadro[FOB],0))/1000,0)*1000,IF($R$4="CIF",Cuadro[CIF],IFERROR(--Cuadro[FOB],0))))/1000,0),IF(_xlpm.v=0,"",_xlpm.v))</f>
        <v/>
      </c>
      <c r="H19" s="57" t="str">
        <f t="array" ref="H19">_xlfn.LET(_xlpm.v,ROUND(SUMPRODUCT((Cuadro[CATEGORÍA]=$O19)*(IF($R$5="FENUM",IFERROR(--Cuadro[FENUM],0),IFERROR(YEAR(Cuadro[FECHA])*100+MONTH(Cuadro[FECHA]),0))=H$6)*((($R$3="")+(IFERROR(--Cuadro[ADUANA],0)=$R$3))&gt;0)*IF($R$6="FILA",ROUND(IF($R$4="CIF",Cuadro[CIF],IFERROR(--Cuadro[FOB],0))/1000,0)*1000,IF($R$4="CIF",Cuadro[CIF],IFERROR(--Cuadro[FOB],0))))/1000,0),IF(_xlpm.v=0,"",_xlpm.v))</f>
        <v/>
      </c>
      <c r="I19" s="57" t="str">
        <f t="array" ref="I19">_xlfn.LET(_xlpm.v,ROUND(SUMPRODUCT((Cuadro[CATEGORÍA]=$O19)*(IF($R$5="FENUM",IFERROR(--Cuadro[FENUM],0),IFERROR(YEAR(Cuadro[FECHA])*100+MONTH(Cuadro[FECHA]),0))=I$6)*((($R$3="")+(IFERROR(--Cuadro[ADUANA],0)=$R$3))&gt;0)*IF($R$6="FILA",ROUND(IF($R$4="CIF",Cuadro[CIF],IFERROR(--Cuadro[FOB],0))/1000,0)*1000,IF($R$4="CIF",Cuadro[CIF],IFERROR(--Cuadro[FOB],0))))/1000,0),IF(_xlpm.v=0,"",_xlpm.v))</f>
        <v/>
      </c>
      <c r="J19" s="57" t="str">
        <f t="array" ref="J19">_xlfn.LET(_xlpm.v,ROUND(SUMPRODUCT((Cuadro[CATEGORÍA]=$O19)*(IF($R$5="FENUM",IFERROR(--Cuadro[FENUM],0),IFERROR(YEAR(Cuadro[FECHA])*100+MONTH(Cuadro[FECHA]),0))=J$6)*((($R$3="")+(IFERROR(--Cuadro[ADUANA],0)=$R$3))&gt;0)*IF($R$6="FILA",ROUND(IF($R$4="CIF",Cuadro[CIF],IFERROR(--Cuadro[FOB],0))/1000,0)*1000,IF($R$4="CIF",Cuadro[CIF],IFERROR(--Cuadro[FOB],0))))/1000,0),IF(_xlpm.v=0,"",_xlpm.v))</f>
        <v/>
      </c>
      <c r="K19" s="57" t="str">
        <f t="array" ref="K19">_xlfn.LET(_xlpm.v,ROUND(SUMPRODUCT((Cuadro[CATEGORÍA]=$O19)*(IF($R$5="FENUM",IFERROR(--Cuadro[FENUM],0),IFERROR(YEAR(Cuadro[FECHA])*100+MONTH(Cuadro[FECHA]),0))=K$6)*((($R$3="")+(IFERROR(--Cuadro[ADUANA],0)=$R$3))&gt;0)*IF($R$6="FILA",ROUND(IF($R$4="CIF",Cuadro[CIF],IFERROR(--Cuadro[FOB],0))/1000,0)*1000,IF($R$4="CIF",Cuadro[CIF],IFERROR(--Cuadro[FOB],0))))/1000,0),IF(_xlpm.v=0,"",_xlpm.v))</f>
        <v/>
      </c>
      <c r="L19" s="57" t="str">
        <f t="array" ref="L19">_xlfn.LET(_xlpm.v,ROUND(SUMPRODUCT((Cuadro[CATEGORÍA]=$O19)*(IF($R$5="FENUM",IFERROR(--Cuadro[FENUM],0),IFERROR(YEAR(Cuadro[FECHA])*100+MONTH(Cuadro[FECHA]),0))=L$6)*((($R$3="")+(IFERROR(--Cuadro[ADUANA],0)=$R$3))&gt;0)*IF($R$6="FILA",ROUND(IF($R$4="CIF",Cuadro[CIF],IFERROR(--Cuadro[FOB],0))/1000,0)*1000,IF($R$4="CIF",Cuadro[CIF],IFERROR(--Cuadro[FOB],0))))/1000,0),IF(_xlpm.v=0,"",_xlpm.v))</f>
        <v/>
      </c>
      <c r="M19" s="57" t="str">
        <f t="array" ref="M19">_xlfn.LET(_xlpm.v,ROUND(SUMPRODUCT((Cuadro[CATEGORÍA]=$O19)*(IF($R$5="FENUM",IFERROR(--Cuadro[FENUM],0),IFERROR(YEAR(Cuadro[FECHA])*100+MONTH(Cuadro[FECHA]),0))=M$6)*((($R$3="")+(IFERROR(--Cuadro[ADUANA],0)=$R$3))&gt;0)*IF($R$6="FILA",ROUND(IF($R$4="CIF",Cuadro[CIF],IFERROR(--Cuadro[FOB],0))/1000,0)*1000,IF($R$4="CIF",Cuadro[CIF],IFERROR(--Cuadro[FOB],0))))/1000,0),IF(_xlpm.v=0,"",_xlpm.v))</f>
        <v/>
      </c>
      <c r="N19" s="57">
        <f t="shared" si="2"/>
        <v>0</v>
      </c>
      <c r="O19" s="59" t="s">
        <v>865</v>
      </c>
    </row>
    <row r="20" spans="1:15" x14ac:dyDescent="0.25">
      <c r="A20" s="56" t="s">
        <v>16411</v>
      </c>
      <c r="B20" s="57" t="str">
        <f t="array" ref="B20">_xlfn.LET(_xlpm.v,ROUND(SUMPRODUCT((Cuadro[CATEGORÍA]=$O20)*(IF($R$5="FENUM",IFERROR(--Cuadro[FENUM],0),IFERROR(YEAR(Cuadro[FECHA])*100+MONTH(Cuadro[FECHA]),0))=B$6)*((($R$3="")+(IFERROR(--Cuadro[ADUANA],0)=$R$3))&gt;0)*IF($R$6="FILA",ROUND(IF($R$4="CIF",Cuadro[CIF],IFERROR(--Cuadro[FOB],0))/1000,0)*1000,IF($R$4="CIF",Cuadro[CIF],IFERROR(--Cuadro[FOB],0))))/1000,0),IF(_xlpm.v=0,"",_xlpm.v))</f>
        <v/>
      </c>
      <c r="C20" s="57" t="str">
        <f t="array" ref="C20">_xlfn.LET(_xlpm.v,ROUND(SUMPRODUCT((Cuadro[CATEGORÍA]=$O20)*(IF($R$5="FENUM",IFERROR(--Cuadro[FENUM],0),IFERROR(YEAR(Cuadro[FECHA])*100+MONTH(Cuadro[FECHA]),0))=C$6)*((($R$3="")+(IFERROR(--Cuadro[ADUANA],0)=$R$3))&gt;0)*IF($R$6="FILA",ROUND(IF($R$4="CIF",Cuadro[CIF],IFERROR(--Cuadro[FOB],0))/1000,0)*1000,IF($R$4="CIF",Cuadro[CIF],IFERROR(--Cuadro[FOB],0))))/1000,0),IF(_xlpm.v=0,"",_xlpm.v))</f>
        <v/>
      </c>
      <c r="D20" s="57" t="str">
        <f t="array" ref="D20">_xlfn.LET(_xlpm.v,ROUND(SUMPRODUCT((Cuadro[CATEGORÍA]=$O20)*(IF($R$5="FENUM",IFERROR(--Cuadro[FENUM],0),IFERROR(YEAR(Cuadro[FECHA])*100+MONTH(Cuadro[FECHA]),0))=D$6)*((($R$3="")+(IFERROR(--Cuadro[ADUANA],0)=$R$3))&gt;0)*IF($R$6="FILA",ROUND(IF($R$4="CIF",Cuadro[CIF],IFERROR(--Cuadro[FOB],0))/1000,0)*1000,IF($R$4="CIF",Cuadro[CIF],IFERROR(--Cuadro[FOB],0))))/1000,0),IF(_xlpm.v=0,"",_xlpm.v))</f>
        <v/>
      </c>
      <c r="E20" s="57" t="str">
        <f t="array" ref="E20">_xlfn.LET(_xlpm.v,ROUND(SUMPRODUCT((Cuadro[CATEGORÍA]=$O20)*(IF($R$5="FENUM",IFERROR(--Cuadro[FENUM],0),IFERROR(YEAR(Cuadro[FECHA])*100+MONTH(Cuadro[FECHA]),0))=E$6)*((($R$3="")+(IFERROR(--Cuadro[ADUANA],0)=$R$3))&gt;0)*IF($R$6="FILA",ROUND(IF($R$4="CIF",Cuadro[CIF],IFERROR(--Cuadro[FOB],0))/1000,0)*1000,IF($R$4="CIF",Cuadro[CIF],IFERROR(--Cuadro[FOB],0))))/1000,0),IF(_xlpm.v=0,"",_xlpm.v))</f>
        <v/>
      </c>
      <c r="F20" s="57" t="str">
        <f t="array" ref="F20">_xlfn.LET(_xlpm.v,ROUND(SUMPRODUCT((Cuadro[CATEGORÍA]=$O20)*(IF($R$5="FENUM",IFERROR(--Cuadro[FENUM],0),IFERROR(YEAR(Cuadro[FECHA])*100+MONTH(Cuadro[FECHA]),0))=F$6)*((($R$3="")+(IFERROR(--Cuadro[ADUANA],0)=$R$3))&gt;0)*IF($R$6="FILA",ROUND(IF($R$4="CIF",Cuadro[CIF],IFERROR(--Cuadro[FOB],0))/1000,0)*1000,IF($R$4="CIF",Cuadro[CIF],IFERROR(--Cuadro[FOB],0))))/1000,0),IF(_xlpm.v=0,"",_xlpm.v))</f>
        <v/>
      </c>
      <c r="G20" s="57">
        <f t="array" ref="G20">_xlfn.LET(_xlpm.v,ROUND(SUMPRODUCT((Cuadro[CATEGORÍA]=$O20)*(IF($R$5="FENUM",IFERROR(--Cuadro[FENUM],0),IFERROR(YEAR(Cuadro[FECHA])*100+MONTH(Cuadro[FECHA]),0))=G$6)*((($R$3="")+(IFERROR(--Cuadro[ADUANA],0)=$R$3))&gt;0)*IF($R$6="FILA",ROUND(IF($R$4="CIF",Cuadro[CIF],IFERROR(--Cuadro[FOB],0))/1000,0)*1000,IF($R$4="CIF",Cuadro[CIF],IFERROR(--Cuadro[FOB],0))))/1000,0),IF(_xlpm.v=0,"",_xlpm.v))</f>
        <v>2</v>
      </c>
      <c r="H20" s="57" t="str">
        <f t="array" ref="H20">_xlfn.LET(_xlpm.v,ROUND(SUMPRODUCT((Cuadro[CATEGORÍA]=$O20)*(IF($R$5="FENUM",IFERROR(--Cuadro[FENUM],0),IFERROR(YEAR(Cuadro[FECHA])*100+MONTH(Cuadro[FECHA]),0))=H$6)*((($R$3="")+(IFERROR(--Cuadro[ADUANA],0)=$R$3))&gt;0)*IF($R$6="FILA",ROUND(IF($R$4="CIF",Cuadro[CIF],IFERROR(--Cuadro[FOB],0))/1000,0)*1000,IF($R$4="CIF",Cuadro[CIF],IFERROR(--Cuadro[FOB],0))))/1000,0),IF(_xlpm.v=0,"",_xlpm.v))</f>
        <v/>
      </c>
      <c r="I20" s="57">
        <f t="array" ref="I20">_xlfn.LET(_xlpm.v,ROUND(SUMPRODUCT((Cuadro[CATEGORÍA]=$O20)*(IF($R$5="FENUM",IFERROR(--Cuadro[FENUM],0),IFERROR(YEAR(Cuadro[FECHA])*100+MONTH(Cuadro[FECHA]),0))=I$6)*((($R$3="")+(IFERROR(--Cuadro[ADUANA],0)=$R$3))&gt;0)*IF($R$6="FILA",ROUND(IF($R$4="CIF",Cuadro[CIF],IFERROR(--Cuadro[FOB],0))/1000,0)*1000,IF($R$4="CIF",Cuadro[CIF],IFERROR(--Cuadro[FOB],0))))/1000,0),IF(_xlpm.v=0,"",_xlpm.v))</f>
        <v>6901</v>
      </c>
      <c r="J20" s="57" t="str">
        <f t="array" ref="J20">_xlfn.LET(_xlpm.v,ROUND(SUMPRODUCT((Cuadro[CATEGORÍA]=$O20)*(IF($R$5="FENUM",IFERROR(--Cuadro[FENUM],0),IFERROR(YEAR(Cuadro[FECHA])*100+MONTH(Cuadro[FECHA]),0))=J$6)*((($R$3="")+(IFERROR(--Cuadro[ADUANA],0)=$R$3))&gt;0)*IF($R$6="FILA",ROUND(IF($R$4="CIF",Cuadro[CIF],IFERROR(--Cuadro[FOB],0))/1000,0)*1000,IF($R$4="CIF",Cuadro[CIF],IFERROR(--Cuadro[FOB],0))))/1000,0),IF(_xlpm.v=0,"",_xlpm.v))</f>
        <v/>
      </c>
      <c r="K20" s="57" t="str">
        <f t="array" ref="K20">_xlfn.LET(_xlpm.v,ROUND(SUMPRODUCT((Cuadro[CATEGORÍA]=$O20)*(IF($R$5="FENUM",IFERROR(--Cuadro[FENUM],0),IFERROR(YEAR(Cuadro[FECHA])*100+MONTH(Cuadro[FECHA]),0))=K$6)*((($R$3="")+(IFERROR(--Cuadro[ADUANA],0)=$R$3))&gt;0)*IF($R$6="FILA",ROUND(IF($R$4="CIF",Cuadro[CIF],IFERROR(--Cuadro[FOB],0))/1000,0)*1000,IF($R$4="CIF",Cuadro[CIF],IFERROR(--Cuadro[FOB],0))))/1000,0),IF(_xlpm.v=0,"",_xlpm.v))</f>
        <v/>
      </c>
      <c r="L20" s="57" t="str">
        <f t="array" ref="L20">_xlfn.LET(_xlpm.v,ROUND(SUMPRODUCT((Cuadro[CATEGORÍA]=$O20)*(IF($R$5="FENUM",IFERROR(--Cuadro[FENUM],0),IFERROR(YEAR(Cuadro[FECHA])*100+MONTH(Cuadro[FECHA]),0))=L$6)*((($R$3="")+(IFERROR(--Cuadro[ADUANA],0)=$R$3))&gt;0)*IF($R$6="FILA",ROUND(IF($R$4="CIF",Cuadro[CIF],IFERROR(--Cuadro[FOB],0))/1000,0)*1000,IF($R$4="CIF",Cuadro[CIF],IFERROR(--Cuadro[FOB],0))))/1000,0),IF(_xlpm.v=0,"",_xlpm.v))</f>
        <v/>
      </c>
      <c r="M20" s="57" t="str">
        <f t="array" ref="M20">_xlfn.LET(_xlpm.v,ROUND(SUMPRODUCT((Cuadro[CATEGORÍA]=$O20)*(IF($R$5="FENUM",IFERROR(--Cuadro[FENUM],0),IFERROR(YEAR(Cuadro[FECHA])*100+MONTH(Cuadro[FECHA]),0))=M$6)*((($R$3="")+(IFERROR(--Cuadro[ADUANA],0)=$R$3))&gt;0)*IF($R$6="FILA",ROUND(IF($R$4="CIF",Cuadro[CIF],IFERROR(--Cuadro[FOB],0))/1000,0)*1000,IF($R$4="CIF",Cuadro[CIF],IFERROR(--Cuadro[FOB],0))))/1000,0),IF(_xlpm.v=0,"",_xlpm.v))</f>
        <v/>
      </c>
      <c r="N20" s="57">
        <f t="shared" si="2"/>
        <v>6903</v>
      </c>
      <c r="O20" s="59" t="s">
        <v>873</v>
      </c>
    </row>
    <row r="21" spans="1:15" x14ac:dyDescent="0.25">
      <c r="A21" s="56" t="s">
        <v>16412</v>
      </c>
      <c r="B21" s="57" t="str">
        <f t="array" ref="B21">_xlfn.LET(_xlpm.v,ROUND(SUMPRODUCT((Cuadro[CATEGORÍA]=$O21)*(IF($R$5="FENUM",IFERROR(--Cuadro[FENUM],0),IFERROR(YEAR(Cuadro[FECHA])*100+MONTH(Cuadro[FECHA]),0))=B$6)*((($R$3="")+(IFERROR(--Cuadro[ADUANA],0)=$R$3))&gt;0)*IF($R$6="FILA",ROUND(IF($R$4="CIF",Cuadro[CIF],IFERROR(--Cuadro[FOB],0))/1000,0)*1000,IF($R$4="CIF",Cuadro[CIF],IFERROR(--Cuadro[FOB],0))))/1000,0),IF(_xlpm.v=0,"",_xlpm.v))</f>
        <v/>
      </c>
      <c r="C21" s="57" t="str">
        <f t="array" ref="C21">_xlfn.LET(_xlpm.v,ROUND(SUMPRODUCT((Cuadro[CATEGORÍA]=$O21)*(IF($R$5="FENUM",IFERROR(--Cuadro[FENUM],0),IFERROR(YEAR(Cuadro[FECHA])*100+MONTH(Cuadro[FECHA]),0))=C$6)*((($R$3="")+(IFERROR(--Cuadro[ADUANA],0)=$R$3))&gt;0)*IF($R$6="FILA",ROUND(IF($R$4="CIF",Cuadro[CIF],IFERROR(--Cuadro[FOB],0))/1000,0)*1000,IF($R$4="CIF",Cuadro[CIF],IFERROR(--Cuadro[FOB],0))))/1000,0),IF(_xlpm.v=0,"",_xlpm.v))</f>
        <v/>
      </c>
      <c r="D21" s="57" t="str">
        <f t="array" ref="D21">_xlfn.LET(_xlpm.v,ROUND(SUMPRODUCT((Cuadro[CATEGORÍA]=$O21)*(IF($R$5="FENUM",IFERROR(--Cuadro[FENUM],0),IFERROR(YEAR(Cuadro[FECHA])*100+MONTH(Cuadro[FECHA]),0))=D$6)*((($R$3="")+(IFERROR(--Cuadro[ADUANA],0)=$R$3))&gt;0)*IF($R$6="FILA",ROUND(IF($R$4="CIF",Cuadro[CIF],IFERROR(--Cuadro[FOB],0))/1000,0)*1000,IF($R$4="CIF",Cuadro[CIF],IFERROR(--Cuadro[FOB],0))))/1000,0),IF(_xlpm.v=0,"",_xlpm.v))</f>
        <v/>
      </c>
      <c r="E21" s="57" t="str">
        <f t="array" ref="E21">_xlfn.LET(_xlpm.v,ROUND(SUMPRODUCT((Cuadro[CATEGORÍA]=$O21)*(IF($R$5="FENUM",IFERROR(--Cuadro[FENUM],0),IFERROR(YEAR(Cuadro[FECHA])*100+MONTH(Cuadro[FECHA]),0))=E$6)*((($R$3="")+(IFERROR(--Cuadro[ADUANA],0)=$R$3))&gt;0)*IF($R$6="FILA",ROUND(IF($R$4="CIF",Cuadro[CIF],IFERROR(--Cuadro[FOB],0))/1000,0)*1000,IF($R$4="CIF",Cuadro[CIF],IFERROR(--Cuadro[FOB],0))))/1000,0),IF(_xlpm.v=0,"",_xlpm.v))</f>
        <v/>
      </c>
      <c r="F21" s="57" t="str">
        <f t="array" ref="F21">_xlfn.LET(_xlpm.v,ROUND(SUMPRODUCT((Cuadro[CATEGORÍA]=$O21)*(IF($R$5="FENUM",IFERROR(--Cuadro[FENUM],0),IFERROR(YEAR(Cuadro[FECHA])*100+MONTH(Cuadro[FECHA]),0))=F$6)*((($R$3="")+(IFERROR(--Cuadro[ADUANA],0)=$R$3))&gt;0)*IF($R$6="FILA",ROUND(IF($R$4="CIF",Cuadro[CIF],IFERROR(--Cuadro[FOB],0))/1000,0)*1000,IF($R$4="CIF",Cuadro[CIF],IFERROR(--Cuadro[FOB],0))))/1000,0),IF(_xlpm.v=0,"",_xlpm.v))</f>
        <v/>
      </c>
      <c r="G21" s="57">
        <f t="array" ref="G21">_xlfn.LET(_xlpm.v,ROUND(SUMPRODUCT((Cuadro[CATEGORÍA]=$O21)*(IF($R$5="FENUM",IFERROR(--Cuadro[FENUM],0),IFERROR(YEAR(Cuadro[FECHA])*100+MONTH(Cuadro[FECHA]),0))=G$6)*((($R$3="")+(IFERROR(--Cuadro[ADUANA],0)=$R$3))&gt;0)*IF($R$6="FILA",ROUND(IF($R$4="CIF",Cuadro[CIF],IFERROR(--Cuadro[FOB],0))/1000,0)*1000,IF($R$4="CIF",Cuadro[CIF],IFERROR(--Cuadro[FOB],0))))/1000,0),IF(_xlpm.v=0,"",_xlpm.v))</f>
        <v>199</v>
      </c>
      <c r="H21" s="57" t="str">
        <f t="array" ref="H21">_xlfn.LET(_xlpm.v,ROUND(SUMPRODUCT((Cuadro[CATEGORÍA]=$O21)*(IF($R$5="FENUM",IFERROR(--Cuadro[FENUM],0),IFERROR(YEAR(Cuadro[FECHA])*100+MONTH(Cuadro[FECHA]),0))=H$6)*((($R$3="")+(IFERROR(--Cuadro[ADUANA],0)=$R$3))&gt;0)*IF($R$6="FILA",ROUND(IF($R$4="CIF",Cuadro[CIF],IFERROR(--Cuadro[FOB],0))/1000,0)*1000,IF($R$4="CIF",Cuadro[CIF],IFERROR(--Cuadro[FOB],0))))/1000,0),IF(_xlpm.v=0,"",_xlpm.v))</f>
        <v/>
      </c>
      <c r="I21" s="57">
        <f t="array" ref="I21">_xlfn.LET(_xlpm.v,ROUND(SUMPRODUCT((Cuadro[CATEGORÍA]=$O21)*(IF($R$5="FENUM",IFERROR(--Cuadro[FENUM],0),IFERROR(YEAR(Cuadro[FECHA])*100+MONTH(Cuadro[FECHA]),0))=I$6)*((($R$3="")+(IFERROR(--Cuadro[ADUANA],0)=$R$3))&gt;0)*IF($R$6="FILA",ROUND(IF($R$4="CIF",Cuadro[CIF],IFERROR(--Cuadro[FOB],0))/1000,0)*1000,IF($R$4="CIF",Cuadro[CIF],IFERROR(--Cuadro[FOB],0))))/1000,0),IF(_xlpm.v=0,"",_xlpm.v))</f>
        <v>96</v>
      </c>
      <c r="J21" s="57" t="str">
        <f t="array" ref="J21">_xlfn.LET(_xlpm.v,ROUND(SUMPRODUCT((Cuadro[CATEGORÍA]=$O21)*(IF($R$5="FENUM",IFERROR(--Cuadro[FENUM],0),IFERROR(YEAR(Cuadro[FECHA])*100+MONTH(Cuadro[FECHA]),0))=J$6)*((($R$3="")+(IFERROR(--Cuadro[ADUANA],0)=$R$3))&gt;0)*IF($R$6="FILA",ROUND(IF($R$4="CIF",Cuadro[CIF],IFERROR(--Cuadro[FOB],0))/1000,0)*1000,IF($R$4="CIF",Cuadro[CIF],IFERROR(--Cuadro[FOB],0))))/1000,0),IF(_xlpm.v=0,"",_xlpm.v))</f>
        <v/>
      </c>
      <c r="K21" s="57" t="str">
        <f t="array" ref="K21">_xlfn.LET(_xlpm.v,ROUND(SUMPRODUCT((Cuadro[CATEGORÍA]=$O21)*(IF($R$5="FENUM",IFERROR(--Cuadro[FENUM],0),IFERROR(YEAR(Cuadro[FECHA])*100+MONTH(Cuadro[FECHA]),0))=K$6)*((($R$3="")+(IFERROR(--Cuadro[ADUANA],0)=$R$3))&gt;0)*IF($R$6="FILA",ROUND(IF($R$4="CIF",Cuadro[CIF],IFERROR(--Cuadro[FOB],0))/1000,0)*1000,IF($R$4="CIF",Cuadro[CIF],IFERROR(--Cuadro[FOB],0))))/1000,0),IF(_xlpm.v=0,"",_xlpm.v))</f>
        <v/>
      </c>
      <c r="L21" s="57" t="str">
        <f t="array" ref="L21">_xlfn.LET(_xlpm.v,ROUND(SUMPRODUCT((Cuadro[CATEGORÍA]=$O21)*(IF($R$5="FENUM",IFERROR(--Cuadro[FENUM],0),IFERROR(YEAR(Cuadro[FECHA])*100+MONTH(Cuadro[FECHA]),0))=L$6)*((($R$3="")+(IFERROR(--Cuadro[ADUANA],0)=$R$3))&gt;0)*IF($R$6="FILA",ROUND(IF($R$4="CIF",Cuadro[CIF],IFERROR(--Cuadro[FOB],0))/1000,0)*1000,IF($R$4="CIF",Cuadro[CIF],IFERROR(--Cuadro[FOB],0))))/1000,0),IF(_xlpm.v=0,"",_xlpm.v))</f>
        <v/>
      </c>
      <c r="M21" s="57" t="str">
        <f t="array" ref="M21">_xlfn.LET(_xlpm.v,ROUND(SUMPRODUCT((Cuadro[CATEGORÍA]=$O21)*(IF($R$5="FENUM",IFERROR(--Cuadro[FENUM],0),IFERROR(YEAR(Cuadro[FECHA])*100+MONTH(Cuadro[FECHA]),0))=M$6)*((($R$3="")+(IFERROR(--Cuadro[ADUANA],0)=$R$3))&gt;0)*IF($R$6="FILA",ROUND(IF($R$4="CIF",Cuadro[CIF],IFERROR(--Cuadro[FOB],0))/1000,0)*1000,IF($R$4="CIF",Cuadro[CIF],IFERROR(--Cuadro[FOB],0))))/1000,0),IF(_xlpm.v=0,"",_xlpm.v))</f>
        <v/>
      </c>
      <c r="N21" s="57">
        <f t="shared" si="2"/>
        <v>295</v>
      </c>
      <c r="O21" s="59" t="s">
        <v>881</v>
      </c>
    </row>
    <row r="23" spans="1:15" x14ac:dyDescent="0.25">
      <c r="A23" s="61" t="s">
        <v>16413</v>
      </c>
    </row>
    <row r="24" spans="1:15" x14ac:dyDescent="0.25">
      <c r="A24" s="63" t="s">
        <v>16414</v>
      </c>
      <c r="B24" s="57">
        <f t="array" ref="B24">ROUND(SUMPRODUCT((IF($R$5="FENUM",IFERROR(--Cuadro[FENUM],0),IFERROR(YEAR(Cuadro[FECHA])*100+MONTH(Cuadro[FECHA]),0))=B$6)*((($R$3="")+(IFERROR(--Cuadro[ADUANA],0)=$R$3))&gt;0)*IF($R$4="CIF",Cuadro[CIF],IFERROR(--Cuadro[FOB],0)))/1000,1)</f>
        <v>439.9</v>
      </c>
      <c r="C24" s="57">
        <f t="array" ref="C24">ROUND(SUMPRODUCT((IF($R$5="FENUM",IFERROR(--Cuadro[FENUM],0),IFERROR(YEAR(Cuadro[FECHA])*100+MONTH(Cuadro[FECHA]),0))=C$6)*((($R$3="")+(IFERROR(--Cuadro[ADUANA],0)=$R$3))&gt;0)*IF($R$4="CIF",Cuadro[CIF],IFERROR(--Cuadro[FOB],0)))/1000,1)</f>
        <v>0</v>
      </c>
      <c r="D24" s="57">
        <f t="array" ref="D24">ROUND(SUMPRODUCT((IF($R$5="FENUM",IFERROR(--Cuadro[FENUM],0),IFERROR(YEAR(Cuadro[FECHA])*100+MONTH(Cuadro[FECHA]),0))=D$6)*((($R$3="")+(IFERROR(--Cuadro[ADUANA],0)=$R$3))&gt;0)*IF($R$4="CIF",Cuadro[CIF],IFERROR(--Cuadro[FOB],0)))/1000,1)</f>
        <v>2002.7</v>
      </c>
      <c r="E24" s="57">
        <f t="array" ref="E24">ROUND(SUMPRODUCT((IF($R$5="FENUM",IFERROR(--Cuadro[FENUM],0),IFERROR(YEAR(Cuadro[FECHA])*100+MONTH(Cuadro[FECHA]),0))=E$6)*((($R$3="")+(IFERROR(--Cuadro[ADUANA],0)=$R$3))&gt;0)*IF($R$4="CIF",Cuadro[CIF],IFERROR(--Cuadro[FOB],0)))/1000,1)</f>
        <v>0</v>
      </c>
      <c r="F24" s="57">
        <f t="array" ref="F24">ROUND(SUMPRODUCT((IF($R$5="FENUM",IFERROR(--Cuadro[FENUM],0),IFERROR(YEAR(Cuadro[FECHA])*100+MONTH(Cuadro[FECHA]),0))=F$6)*((($R$3="")+(IFERROR(--Cuadro[ADUANA],0)=$R$3))&gt;0)*IF($R$4="CIF",Cuadro[CIF],IFERROR(--Cuadro[FOB],0)))/1000,1)</f>
        <v>1319.4</v>
      </c>
      <c r="G24" s="57">
        <f t="array" ref="G24">ROUND(SUMPRODUCT((IF($R$5="FENUM",IFERROR(--Cuadro[FENUM],0),IFERROR(YEAR(Cuadro[FECHA])*100+MONTH(Cuadro[FECHA]),0))=G$6)*((($R$3="")+(IFERROR(--Cuadro[ADUANA],0)=$R$3))&gt;0)*IF($R$4="CIF",Cuadro[CIF],IFERROR(--Cuadro[FOB],0)))/1000,1)</f>
        <v>675.9</v>
      </c>
      <c r="H24" s="57">
        <f t="array" ref="H24">ROUND(SUMPRODUCT((IF($R$5="FENUM",IFERROR(--Cuadro[FENUM],0),IFERROR(YEAR(Cuadro[FECHA])*100+MONTH(Cuadro[FECHA]),0))=H$6)*((($R$3="")+(IFERROR(--Cuadro[ADUANA],0)=$R$3))&gt;0)*IF($R$4="CIF",Cuadro[CIF],IFERROR(--Cuadro[FOB],0)))/1000,1)</f>
        <v>0</v>
      </c>
      <c r="I24" s="57">
        <f t="array" ref="I24">ROUND(SUMPRODUCT((IF($R$5="FENUM",IFERROR(--Cuadro[FENUM],0),IFERROR(YEAR(Cuadro[FECHA])*100+MONTH(Cuadro[FECHA]),0))=I$6)*((($R$3="")+(IFERROR(--Cuadro[ADUANA],0)=$R$3))&gt;0)*IF($R$4="CIF",Cuadro[CIF],IFERROR(--Cuadro[FOB],0)))/1000,1)</f>
        <v>8829.1</v>
      </c>
      <c r="J24" s="57">
        <f t="array" ref="J24">ROUND(SUMPRODUCT((IF($R$5="FENUM",IFERROR(--Cuadro[FENUM],0),IFERROR(YEAR(Cuadro[FECHA])*100+MONTH(Cuadro[FECHA]),0))=J$6)*((($R$3="")+(IFERROR(--Cuadro[ADUANA],0)=$R$3))&gt;0)*IF($R$4="CIF",Cuadro[CIF],IFERROR(--Cuadro[FOB],0)))/1000,1)</f>
        <v>0</v>
      </c>
      <c r="K24" s="57">
        <f t="array" ref="K24">ROUND(SUMPRODUCT((IF($R$5="FENUM",IFERROR(--Cuadro[FENUM],0),IFERROR(YEAR(Cuadro[FECHA])*100+MONTH(Cuadro[FECHA]),0))=K$6)*((($R$3="")+(IFERROR(--Cuadro[ADUANA],0)=$R$3))&gt;0)*IF($R$4="CIF",Cuadro[CIF],IFERROR(--Cuadro[FOB],0)))/1000,1)</f>
        <v>0</v>
      </c>
      <c r="L24" s="57">
        <f t="array" ref="L24">ROUND(SUMPRODUCT((IF($R$5="FENUM",IFERROR(--Cuadro[FENUM],0),IFERROR(YEAR(Cuadro[FECHA])*100+MONTH(Cuadro[FECHA]),0))=L$6)*((($R$3="")+(IFERROR(--Cuadro[ADUANA],0)=$R$3))&gt;0)*IF($R$4="CIF",Cuadro[CIF],IFERROR(--Cuadro[FOB],0)))/1000,1)</f>
        <v>0</v>
      </c>
      <c r="M24" s="57">
        <f t="array" ref="M24">ROUND(SUMPRODUCT((IF($R$5="FENUM",IFERROR(--Cuadro[FENUM],0),IFERROR(YEAR(Cuadro[FECHA])*100+MONTH(Cuadro[FECHA]),0))=M$6)*((($R$3="")+(IFERROR(--Cuadro[ADUANA],0)=$R$3))&gt;0)*IF($R$4="CIF",Cuadro[CIF],IFERROR(--Cuadro[FOB],0)))/1000,1)</f>
        <v>0</v>
      </c>
      <c r="N24" s="57">
        <f>SUM(B24:M24)</f>
        <v>13267</v>
      </c>
    </row>
    <row r="25" spans="1:15" x14ac:dyDescent="0.25">
      <c r="A25" s="63" t="s">
        <v>16415</v>
      </c>
      <c r="B25" s="57">
        <f t="shared" ref="B25:N25" si="5">ROUND(B24-B7,1)</f>
        <v>-0.1</v>
      </c>
      <c r="C25" s="57">
        <f t="shared" si="5"/>
        <v>0</v>
      </c>
      <c r="D25" s="57">
        <f t="shared" si="5"/>
        <v>-2.2999999999999998</v>
      </c>
      <c r="E25" s="57">
        <f t="shared" si="5"/>
        <v>0</v>
      </c>
      <c r="F25" s="57">
        <f t="shared" si="5"/>
        <v>0.4</v>
      </c>
      <c r="G25" s="57">
        <f t="shared" si="5"/>
        <v>0.9</v>
      </c>
      <c r="H25" s="57">
        <f t="shared" si="5"/>
        <v>0</v>
      </c>
      <c r="I25" s="57">
        <f t="shared" si="5"/>
        <v>-0.9</v>
      </c>
      <c r="J25" s="57">
        <f t="shared" si="5"/>
        <v>0</v>
      </c>
      <c r="K25" s="57">
        <f t="shared" si="5"/>
        <v>0</v>
      </c>
      <c r="L25" s="57">
        <f t="shared" si="5"/>
        <v>0</v>
      </c>
      <c r="M25" s="57">
        <f t="shared" si="5"/>
        <v>0</v>
      </c>
      <c r="N25" s="57">
        <f t="shared" si="5"/>
        <v>-2</v>
      </c>
    </row>
    <row r="27" spans="1:15" x14ac:dyDescent="0.25">
      <c r="A27" s="59" t="s">
        <v>16416</v>
      </c>
    </row>
    <row r="28" spans="1:15" x14ac:dyDescent="0.25">
      <c r="A28" s="59" t="s">
        <v>16417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C00000"/>
  </sheetPr>
  <dimension ref="A1:M6"/>
  <sheetViews>
    <sheetView workbookViewId="0">
      <selection activeCell="F21" sqref="F21"/>
    </sheetView>
  </sheetViews>
  <sheetFormatPr baseColWidth="10" defaultColWidth="9.140625" defaultRowHeight="15" x14ac:dyDescent="0.25"/>
  <cols>
    <col min="1" max="1" width="30" customWidth="1"/>
    <col min="2" max="2" width="3" customWidth="1"/>
    <col min="3" max="4" width="15" customWidth="1"/>
    <col min="5" max="5" width="3" customWidth="1"/>
    <col min="6" max="7" width="15" customWidth="1"/>
    <col min="8" max="8" width="3" customWidth="1"/>
    <col min="9" max="9" width="22" customWidth="1"/>
    <col min="10" max="10" width="3" customWidth="1"/>
    <col min="11" max="11" width="22" customWidth="1"/>
    <col min="12" max="12" width="3" customWidth="1"/>
    <col min="13" max="13" width="45" customWidth="1"/>
  </cols>
  <sheetData>
    <row r="1" spans="1:13" x14ac:dyDescent="0.25">
      <c r="A1" s="51" t="s">
        <v>16418</v>
      </c>
    </row>
    <row r="2" spans="1:13" x14ac:dyDescent="0.25">
      <c r="A2" s="59" t="s">
        <v>16419</v>
      </c>
    </row>
    <row r="3" spans="1:13" x14ac:dyDescent="0.25">
      <c r="A3" s="59" t="s">
        <v>16420</v>
      </c>
    </row>
    <row r="4" spans="1:13" ht="45" customHeight="1" x14ac:dyDescent="0.25">
      <c r="A4" s="65" t="s">
        <v>16421</v>
      </c>
      <c r="C4" s="65" t="s">
        <v>16422</v>
      </c>
      <c r="F4" s="65" t="s">
        <v>16423</v>
      </c>
      <c r="I4" s="65" t="s">
        <v>16424</v>
      </c>
      <c r="M4" s="65" t="s">
        <v>16425</v>
      </c>
    </row>
    <row r="5" spans="1:13" x14ac:dyDescent="0.25">
      <c r="A5" s="64">
        <f t="array" ref="A5">SUM(--ISNA(_xlfn.XMATCH(Cuadro[RUC]&amp;"",EMPRESAS[RUC]&amp;"")))</f>
        <v>0</v>
      </c>
      <c r="C5" s="64">
        <f t="array" ref="C5">SUM(--ISNA(_xlfn.XMATCH(Cuadro[PARTIDA]&amp;"",PARTIDA[PARTIDA_TEXTO])))</f>
        <v>0</v>
      </c>
      <c r="F5" s="64">
        <f t="array" ref="F5">SUM(--(_xlfn.XLOOKUP(Cuadro[PARTIDA]&amp;"",PARTIDA[PARTIDA_TEXTO],PARTIDA[TIPO]&amp;"","x")=""))</f>
        <v>0</v>
      </c>
      <c r="I5" s="64">
        <f t="array" ref="I5">SUM(--ISNA(_xlfn.XMATCH(Cuadro[COD_PAIS]&amp;"",PAISES[CÓDIGO]&amp;"")))</f>
        <v>0</v>
      </c>
      <c r="M5" s="64">
        <f t="array" ref="M5">SUM(--ISNA(_xlfn.XMATCH(_xlfn.XLOOKUP(Cuadro[PARTIDA]&amp;"",PARTIDA[PARTIDA_TEXTO],PARTIDA[PRODUCTO],""),PROD_UNICOS[PRODUCTO_ORIGINAL])))</f>
        <v>0</v>
      </c>
    </row>
    <row r="6" spans="1:13" x14ac:dyDescent="0.25">
      <c r="A6" s="66" t="str" cm="1">
        <f t="array" ref="A6">_xlfn.UNIQUE(_xlfn._xlws.FILTER(Cuadro[RUC]&amp;"",ISNA(_xlfn.XMATCH(Cuadro[RUC]&amp;"",EMPRESAS[RUC]&amp;"")),"Ninguno"))</f>
        <v>Ninguno</v>
      </c>
      <c r="C6" s="66" t="str" cm="1">
        <f t="array" ref="C6">_xlfn.UNIQUE(_xlfn._xlws.FILTER(CHOOSE({1,2},Cuadro[PARTIDA]&amp;"",Cuadro[CUODE]&amp;""),ISNA(_xlfn.XMATCH(Cuadro[PARTIDA]&amp;"",PARTIDA[PARTIDA_TEXTO])),"Ninguna"))</f>
        <v>Ninguna</v>
      </c>
      <c r="F6" s="66" t="str" cm="1">
        <f t="array" ref="F6">_xlfn.UNIQUE(_xlfn._xlws.FILTER(CHOOSE({1,2},Cuadro[PARTIDA]&amp;"",Cuadro[CUODE]&amp;""),_xlfn.XLOOKUP(Cuadro[PARTIDA]&amp;"",PARTIDA[PARTIDA_TEXTO],PARTIDA[TIPO]&amp;"","x")="","Ninguna"))</f>
        <v>Ninguna</v>
      </c>
      <c r="I6" s="66" t="str" cm="1">
        <f t="array" ref="I6">_xlfn.UNIQUE(_xlfn._xlws.FILTER(Cuadro[COD_PAIS]&amp;"",ISNA(_xlfn.XMATCH(Cuadro[COD_PAIS]&amp;"",PAISES[CÓDIGO]&amp;"")),"Ninguno"))</f>
        <v>Ninguno</v>
      </c>
      <c r="M6" s="66" t="str" cm="1">
        <f t="array" ref="M6">_xlfn.UNIQUE(_xlfn._xlws.FILTER(_xlfn.XLOOKUP(Cuadro[PARTIDA]&amp;"",PARTIDA[PARTIDA_TEXTO],PARTIDA[PRODUCTO],""),ISNA(_xlfn.XMATCH(_xlfn.XLOOKUP(Cuadro[PARTIDA]&amp;"",PARTIDA[PARTIDA_TEXTO],PARTIDA[PRODUCTO],""),PROD_UNICOS[PRODUCTO_ORIGINAL])),"Ninguno"))</f>
        <v>Ninguno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ORIGEN</vt:lpstr>
      <vt:lpstr>IMPORTACIONES</vt:lpstr>
      <vt:lpstr>RUC</vt:lpstr>
      <vt:lpstr>UNICOS</vt:lpstr>
      <vt:lpstr>PARTIDAS</vt:lpstr>
      <vt:lpstr>CUADRO 16</vt:lpstr>
      <vt:lpstr>REVISIÓN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Practicante1 Sucursal Iquitos</dc:creator>
  <cp:lastModifiedBy>Practicante1 Sucursal Iquitos</cp:lastModifiedBy>
  <dcterms:created xsi:type="dcterms:W3CDTF">2026-08-12T17:28:18Z</dcterms:created>
  <dcterms:modified xsi:type="dcterms:W3CDTF">2026-10-14T16:32:02Z</dcterms:modified>
</cp:coreProperties>
</file>